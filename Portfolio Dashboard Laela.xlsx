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queryTables/queryTable1.xml" ContentType="application/vnd.openxmlformats-officedocument.spreadsheetml.query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hidePivotFieldList="1"/>
  <mc:AlternateContent xmlns:mc="http://schemas.openxmlformats.org/markup-compatibility/2006">
    <mc:Choice Requires="x15">
      <x15ac:absPath xmlns:x15ac="http://schemas.microsoft.com/office/spreadsheetml/2010/11/ac" url="/Users/adlanardiansyah/Documents/cv+ portfolio Laela /"/>
    </mc:Choice>
  </mc:AlternateContent>
  <xr:revisionPtr revIDLastSave="0" documentId="13_ncr:1_{EBDBEFA9-BF96-414E-A2BB-6054F2BCB55C}" xr6:coauthVersionLast="47" xr6:coauthVersionMax="47" xr10:uidLastSave="{00000000-0000-0000-0000-000000000000}"/>
  <bookViews>
    <workbookView xWindow="0" yWindow="660" windowWidth="29400" windowHeight="17180" xr2:uid="{00000000-000D-0000-FFFF-FFFF00000000}"/>
  </bookViews>
  <sheets>
    <sheet name="DASHBOARD CRM Royalty Program" sheetId="17" r:id="rId1"/>
    <sheet name="Analisa" sheetId="10" r:id="rId2"/>
    <sheet name="Transaksi" sheetId="2" r:id="rId3"/>
    <sheet name="Redemption" sheetId="3" r:id="rId4"/>
    <sheet name="Reward_Inventory" sheetId="4" r:id="rId5"/>
    <sheet name="Merchant_Partners" sheetId="5" r:id="rId6"/>
    <sheet name="power-query" sheetId="7" r:id="rId7"/>
    <sheet name="Members" sheetId="1" r:id="rId8"/>
    <sheet name="Target_Program" sheetId="6" r:id="rId9"/>
  </sheets>
  <definedNames>
    <definedName name="_xlnm._FilterDatabase" localSheetId="1" hidden="1">Analisa!$A$55:$E$65</definedName>
    <definedName name="ExternalData_1" localSheetId="6" hidden="1">'power-query'!$A$1:$M$6850</definedName>
  </definedNames>
  <calcPr calcId="191029"/>
  <pivotCaches>
    <pivotCache cacheId="78" r:id="rId10"/>
    <pivotCache cacheId="79" r:id="rId11"/>
    <pivotCache cacheId="80" r:id="rId12"/>
    <pivotCache cacheId="81" r:id="rId1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" i="10" l="1"/>
  <c r="A14" i="17"/>
  <c r="A13" i="17"/>
  <c r="G6" i="17"/>
  <c r="G5" i="17"/>
  <c r="D6" i="17"/>
  <c r="D5" i="17"/>
  <c r="F17" i="10"/>
  <c r="F18" i="10"/>
  <c r="D7" i="17" s="1"/>
  <c r="F19" i="10"/>
  <c r="G7" i="17" s="1"/>
  <c r="A6" i="17"/>
  <c r="A5" i="17"/>
  <c r="E64" i="10" a="1"/>
  <c r="E63" i="10" a="1"/>
  <c r="E62" i="10" a="1"/>
  <c r="E61" i="10" a="1"/>
  <c r="E60" i="10" a="1"/>
  <c r="E59" i="10" a="1"/>
  <c r="E58" i="10" a="1"/>
  <c r="E57" i="10" a="1"/>
  <c r="E56" i="10" a="1"/>
  <c r="E65" i="10" a="1"/>
  <c r="D35" i="10"/>
  <c r="D36" i="10"/>
  <c r="D37" i="10" s="1"/>
  <c r="D34" i="10"/>
  <c r="G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J3" i="4"/>
  <c r="J4" i="4"/>
  <c r="J5" i="4"/>
  <c r="J6" i="4"/>
  <c r="J7" i="4"/>
  <c r="J8" i="4"/>
  <c r="J9" i="4"/>
  <c r="J10" i="4"/>
  <c r="J11" i="4"/>
  <c r="J2" i="4"/>
  <c r="I9" i="4"/>
  <c r="I7" i="4"/>
  <c r="I8" i="4"/>
  <c r="I4" i="4"/>
  <c r="I10" i="4"/>
  <c r="I11" i="4"/>
  <c r="I2" i="4"/>
  <c r="I6" i="4"/>
  <c r="I3" i="4"/>
  <c r="I5" i="4"/>
  <c r="H9" i="4"/>
  <c r="H7" i="4"/>
  <c r="H8" i="4"/>
  <c r="H4" i="4"/>
  <c r="H10" i="4"/>
  <c r="H11" i="4"/>
  <c r="H2" i="4"/>
  <c r="H6" i="4"/>
  <c r="H3" i="4"/>
  <c r="H5" i="4"/>
  <c r="B22" i="10"/>
  <c r="J6" i="17" s="1"/>
  <c r="B21" i="10"/>
  <c r="E19" i="10"/>
  <c r="E18" i="10"/>
  <c r="C6" i="6"/>
  <c r="D6" i="6"/>
  <c r="B6" i="6"/>
  <c r="A11" i="17" l="1"/>
  <c r="A7" i="17"/>
  <c r="B23" i="10"/>
  <c r="J7" i="17" s="1"/>
  <c r="J5" i="17"/>
  <c r="E36" i="10"/>
  <c r="A12" i="17" s="1"/>
  <c r="E34" i="10"/>
  <c r="E35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F5A6DB-7FDA-7D4A-A44B-1BBA76EBF58A}" keepAlive="1" name="Query - Members" description="Connection to the 'Members' query in the workbook." type="5" refreshedVersion="8" background="1" saveData="1">
    <dbPr connection="Provider=Microsoft.Mashup.OleDb.1;Data Source=$Workbook$;Location=Members;Extended Properties=&quot;&quot;" command="SELECT * FROM [Members]"/>
  </connection>
  <connection id="2" xr16:uid="{A0FC5471-9CDC-7142-A0A1-05BFF3F08B22}" keepAlive="1" name="Query - Members (2)" description="Connection to the 'Members (2)' query in the workbook." type="5" refreshedVersion="8" background="1" saveData="1">
    <dbPr connection="Provider=Microsoft.Mashup.OleDb.1;Data Source=$Workbook$;Location=&quot;Members (2)&quot;;Extended Properties=&quot;&quot;" command="SELECT * FROM [Members (2)]"/>
  </connection>
  <connection id="3" xr16:uid="{2DB8E56E-3BE5-104F-B201-AEAB4DA7D9F7}" keepAlive="1" name="Query - power-query" description="Connection to the 'power-query' query in the workbook." type="5" refreshedVersion="0" background="1">
    <dbPr connection="Provider=Microsoft.Mashup.OleDb.1;Data Source=$Workbook$;Location=power-query;Extended Properties=&quot;&quot;" command="SELECT * FROM [power-query]"/>
  </connection>
  <connection id="4" xr16:uid="{3B31ED58-9BE4-7349-BB1A-A3B548D170F1}" keepAlive="1" name="Query - Redemption" description="Connection to the 'Redemption' query in the workbook." type="5" refreshedVersion="8" background="1" saveData="1">
    <dbPr connection="Provider=Microsoft.Mashup.OleDb.1;Data Source=$Workbook$;Location=Redemption;Extended Properties=&quot;&quot;" command="SELECT * FROM [Redemption]"/>
  </connection>
  <connection id="5" xr16:uid="{8372206B-8F17-1A40-A317-7F8E90093A76}" keepAlive="1" name="Query - Redemption (2)" description="Connection to the 'Redemption (2)' query in the workbook." type="5" refreshedVersion="8" background="1" saveData="1">
    <dbPr connection="Provider=Microsoft.Mashup.OleDb.1;Data Source=$Workbook$;Location=&quot;Redemption (2)&quot;;Extended Properties=&quot;&quot;" command="SELECT * FROM [Redemption (2)]"/>
  </connection>
  <connection id="6" xr16:uid="{4D18D8E7-40C2-4A44-AF06-0046C3F0A739}" keepAlive="1" name="Query - Reward_Inventory" description="Connection to the 'Reward_Inventory' query in the workbook." type="5" refreshedVersion="8" background="1" saveData="1">
    <dbPr connection="Provider=Microsoft.Mashup.OleDb.1;Data Source=$Workbook$;Location=Reward_Inventory;Extended Properties=&quot;&quot;" command="SELECT * FROM [Reward_Inventory]"/>
  </connection>
  <connection id="7" xr16:uid="{23A42FA4-2190-BB4E-B6E7-23A17A6AD72B}" keepAlive="1" name="Query - Transaksi" description="Connection to the 'Transaksi' query in the workbook." type="5" refreshedVersion="8" background="1" saveData="1">
    <dbPr connection="Provider=Microsoft.Mashup.OleDb.1;Data Source=$Workbook$;Location=Transaksi;Extended Properties=&quot;&quot;" command="SELECT * FROM [Transaksi]"/>
  </connection>
  <connection id="8" xr16:uid="{E6591909-7FF0-3243-91E6-14BBC01B79DA}" keepAlive="1" name="Query - Transaksi (2)" description="Connection to the 'Transaksi (2)' query in the workbook." type="5" refreshedVersion="8" background="1" saveData="1">
    <dbPr connection="Provider=Microsoft.Mashup.OleDb.1;Data Source=$Workbook$;Location=&quot;Transaksi (2)&quot;;Extended Properties=&quot;&quot;" command="SELECT * FROM [Transaksi (2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<sst xmlns="http://schemas.openxmlformats.org/spreadsheetml/2006/main" count="69776" uniqueCount="3698">
  <si>
    <t>MemberID</t>
  </si>
  <si>
    <t>Kota</t>
  </si>
  <si>
    <t>Tier</t>
  </si>
  <si>
    <t>M0001</t>
  </si>
  <si>
    <t>Semarang</t>
  </si>
  <si>
    <t>Silver</t>
  </si>
  <si>
    <t>M0002</t>
  </si>
  <si>
    <t>Bandung</t>
  </si>
  <si>
    <t>M0003</t>
  </si>
  <si>
    <t>Gold</t>
  </si>
  <si>
    <t>M0004</t>
  </si>
  <si>
    <t>Jakarta</t>
  </si>
  <si>
    <t>M0005</t>
  </si>
  <si>
    <t>M0006</t>
  </si>
  <si>
    <t>Yogyakarta</t>
  </si>
  <si>
    <t>M0007</t>
  </si>
  <si>
    <t>M0008</t>
  </si>
  <si>
    <t>Surabaya</t>
  </si>
  <si>
    <t>M0009</t>
  </si>
  <si>
    <t>M0010</t>
  </si>
  <si>
    <t>Makassar</t>
  </si>
  <si>
    <t>M0011</t>
  </si>
  <si>
    <t>M0012</t>
  </si>
  <si>
    <t>M0013</t>
  </si>
  <si>
    <t>Denpasar</t>
  </si>
  <si>
    <t>M0014</t>
  </si>
  <si>
    <t>M0015</t>
  </si>
  <si>
    <t>M0016</t>
  </si>
  <si>
    <t>M0017</t>
  </si>
  <si>
    <t>M0018</t>
  </si>
  <si>
    <t>M0019</t>
  </si>
  <si>
    <t>M0020</t>
  </si>
  <si>
    <t>Medan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</si>
  <si>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</si>
  <si>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</si>
  <si>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</si>
  <si>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</si>
  <si>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</si>
  <si>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</si>
  <si>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</si>
  <si>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</si>
  <si>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</si>
  <si>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</si>
  <si>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</si>
  <si>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</si>
  <si>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</si>
  <si>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</si>
  <si>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</si>
  <si>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</si>
  <si>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</si>
  <si>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</si>
  <si>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</si>
  <si>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</si>
  <si>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</si>
  <si>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</si>
  <si>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Platinum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</si>
  <si>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</si>
  <si>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</si>
  <si>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</si>
  <si>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</si>
  <si>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</si>
  <si>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</si>
  <si>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</si>
  <si>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</si>
  <si>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</si>
  <si>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</si>
  <si>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</si>
  <si>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</si>
  <si>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</si>
  <si>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</si>
  <si>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</si>
  <si>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</si>
  <si>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</si>
  <si>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</si>
  <si>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</si>
  <si>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</si>
  <si>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</si>
  <si>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</si>
  <si>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</si>
  <si>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</si>
  <si>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</si>
  <si>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</si>
  <si>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</si>
  <si>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</si>
  <si>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</si>
  <si>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</si>
  <si>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</si>
  <si>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</si>
  <si>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</si>
  <si>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</si>
  <si>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</si>
  <si>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</si>
  <si>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</si>
  <si>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</si>
  <si>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</si>
  <si>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</si>
  <si>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</si>
  <si>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</si>
  <si>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</si>
  <si>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</si>
  <si>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</si>
  <si>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</si>
  <si>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</si>
  <si>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</si>
  <si>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</si>
  <si>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</si>
  <si>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</si>
  <si>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</si>
  <si>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</si>
  <si>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</si>
  <si>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</si>
  <si>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</si>
  <si>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</si>
  <si>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</si>
  <si>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</si>
  <si>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</si>
  <si>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</si>
  <si>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</si>
  <si>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</si>
  <si>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</si>
  <si>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</si>
  <si>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</si>
  <si>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</si>
  <si>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</si>
  <si>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</si>
  <si>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</si>
  <si>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</si>
  <si>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</si>
  <si>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</si>
  <si>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</si>
  <si>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</si>
  <si>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</si>
  <si>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</si>
  <si>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</si>
  <si>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</si>
  <si>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</si>
  <si>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</si>
  <si>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</si>
  <si>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</si>
  <si>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</si>
  <si>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</si>
  <si>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</si>
  <si>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</si>
  <si>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</si>
  <si>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</si>
  <si>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</si>
  <si>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</si>
  <si>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</si>
  <si>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</si>
  <si>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</si>
  <si>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</si>
  <si>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</si>
  <si>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</si>
  <si>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</si>
  <si>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</si>
  <si>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</si>
  <si>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</si>
  <si>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</si>
  <si>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</si>
  <si>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</si>
  <si>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</si>
  <si>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</si>
  <si>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</si>
  <si>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</si>
  <si>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</si>
  <si>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</si>
  <si>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</si>
  <si>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</si>
  <si>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</si>
  <si>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</si>
  <si>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</si>
  <si>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</si>
  <si>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</si>
  <si>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</si>
  <si>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</si>
  <si>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</si>
  <si>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</si>
  <si>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</si>
  <si>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</si>
  <si>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</si>
  <si>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</si>
  <si>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</si>
  <si>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</si>
  <si>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</si>
  <si>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</si>
  <si>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</si>
  <si>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</si>
  <si>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</si>
  <si>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</si>
  <si>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</si>
  <si>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</si>
  <si>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</si>
  <si>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</si>
  <si>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</si>
  <si>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</si>
  <si>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</si>
  <si>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</si>
  <si>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</si>
  <si>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</si>
  <si>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</si>
  <si>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</si>
  <si>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</si>
  <si>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</si>
  <si>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</si>
  <si>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</si>
  <si>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</si>
  <si>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</si>
  <si>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</si>
  <si>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</si>
  <si>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</si>
  <si>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</si>
  <si>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</si>
  <si>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</si>
  <si>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</si>
  <si>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</si>
  <si>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</si>
  <si>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</si>
  <si>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</si>
  <si>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</si>
  <si>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</si>
  <si>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</si>
  <si>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</si>
  <si>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</si>
  <si>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</si>
  <si>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</si>
  <si>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</si>
  <si>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</si>
  <si>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</si>
  <si>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</si>
  <si>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</si>
  <si>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</si>
  <si>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</si>
  <si>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</si>
  <si>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</si>
  <si>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</si>
  <si>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</si>
  <si>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</si>
  <si>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</si>
  <si>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</si>
  <si>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</si>
  <si>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</si>
  <si>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</si>
  <si>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</si>
  <si>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</si>
  <si>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</si>
  <si>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</si>
  <si>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</si>
  <si>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</si>
  <si>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</si>
  <si>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</si>
  <si>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</si>
  <si>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</si>
  <si>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</si>
  <si>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</si>
  <si>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</si>
  <si>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</si>
  <si>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</si>
  <si>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</si>
  <si>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</si>
  <si>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</si>
  <si>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</si>
  <si>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</si>
  <si>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</si>
  <si>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</si>
  <si>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</si>
  <si>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</si>
  <si>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</si>
  <si>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</si>
  <si>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</si>
  <si>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</si>
  <si>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</si>
  <si>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</si>
  <si>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</si>
  <si>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</si>
  <si>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</si>
  <si>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</si>
  <si>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</si>
  <si>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</si>
  <si>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</si>
  <si>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</si>
  <si>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</si>
  <si>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</si>
  <si>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</si>
  <si>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</si>
  <si>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</si>
  <si>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</si>
  <si>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</si>
  <si>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</si>
  <si>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</si>
  <si>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</si>
  <si>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</si>
  <si>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</si>
  <si>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</si>
  <si>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</si>
  <si>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</si>
  <si>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</si>
  <si>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</si>
  <si>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</si>
  <si>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</si>
  <si>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</si>
  <si>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</si>
  <si>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</si>
  <si>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</si>
  <si>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</si>
  <si>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</si>
  <si>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</si>
  <si>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</si>
  <si>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</si>
  <si>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</si>
  <si>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</si>
  <si>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</si>
  <si>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</si>
  <si>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</si>
  <si>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</si>
  <si>
    <t>TransaksiID</t>
  </si>
  <si>
    <t>Tanggal</t>
  </si>
  <si>
    <t>Toko</t>
  </si>
  <si>
    <t>Kategori</t>
  </si>
  <si>
    <t>NominalBelanja</t>
  </si>
  <si>
    <t>PoinDidapat</t>
  </si>
  <si>
    <t>TX002281</t>
  </si>
  <si>
    <t>Toko H - Denpasar</t>
  </si>
  <si>
    <t>Groceries</t>
  </si>
  <si>
    <t>TX000593</t>
  </si>
  <si>
    <t>Toko E - Semarang</t>
  </si>
  <si>
    <t>F&amp;B</t>
  </si>
  <si>
    <t>TX002146</t>
  </si>
  <si>
    <t>Toko F - Makassar</t>
  </si>
  <si>
    <t>Fashion</t>
  </si>
  <si>
    <t>TX000237</t>
  </si>
  <si>
    <t>Toko D - Medan</t>
  </si>
  <si>
    <t>TX001046</t>
  </si>
  <si>
    <t>Toko G - Yogyakarta</t>
  </si>
  <si>
    <t>TX001232</t>
  </si>
  <si>
    <t>Electronics</t>
  </si>
  <si>
    <t>TX001006</t>
  </si>
  <si>
    <t>TX000920</t>
  </si>
  <si>
    <t>Home &amp; Living</t>
  </si>
  <si>
    <t>TX000195</t>
  </si>
  <si>
    <t>Health &amp; Beauty</t>
  </si>
  <si>
    <t>TX000048</t>
  </si>
  <si>
    <t>TX000259</t>
  </si>
  <si>
    <t>Toko B - Bandung</t>
  </si>
  <si>
    <t>TX001759</t>
  </si>
  <si>
    <t>Toko A - Jakarta</t>
  </si>
  <si>
    <t>TX000018</t>
  </si>
  <si>
    <t>TX001247</t>
  </si>
  <si>
    <t>TX001986</t>
  </si>
  <si>
    <t>TX002131</t>
  </si>
  <si>
    <t>TX001562</t>
  </si>
  <si>
    <t>Toko C - Surabaya</t>
  </si>
  <si>
    <t>TX001899</t>
  </si>
  <si>
    <t>TX001249</t>
  </si>
  <si>
    <t>TX001634</t>
  </si>
  <si>
    <t>TX000109</t>
  </si>
  <si>
    <t>TX001130</t>
  </si>
  <si>
    <t>TX001033</t>
  </si>
  <si>
    <t>TX001858</t>
  </si>
  <si>
    <t>TX000057</t>
  </si>
  <si>
    <t>TX000465</t>
  </si>
  <si>
    <t>TX001502</t>
  </si>
  <si>
    <t>TX000007</t>
  </si>
  <si>
    <t>TX000761</t>
  </si>
  <si>
    <t>TX000809</t>
  </si>
  <si>
    <t>TX000112</t>
  </si>
  <si>
    <t>TX002268</t>
  </si>
  <si>
    <t>TX002059</t>
  </si>
  <si>
    <t>TX000509</t>
  </si>
  <si>
    <t>TX000196</t>
  </si>
  <si>
    <t>TX001103</t>
  </si>
  <si>
    <t>TX000108</t>
  </si>
  <si>
    <t>TX002108</t>
  </si>
  <si>
    <t>TX000995</t>
  </si>
  <si>
    <t>TX001904</t>
  </si>
  <si>
    <t>TX000794</t>
  </si>
  <si>
    <t>TX001054</t>
  </si>
  <si>
    <t>TX000066</t>
  </si>
  <si>
    <t>TX001598</t>
  </si>
  <si>
    <t>TX001356</t>
  </si>
  <si>
    <t>TX000485</t>
  </si>
  <si>
    <t>TX001233</t>
  </si>
  <si>
    <t>TX001018</t>
  </si>
  <si>
    <t>TX000041</t>
  </si>
  <si>
    <t>TX000286</t>
  </si>
  <si>
    <t>TX002302</t>
  </si>
  <si>
    <t>TX001731</t>
  </si>
  <si>
    <t>TX001453</t>
  </si>
  <si>
    <t>TX001504</t>
  </si>
  <si>
    <t>TX001219</t>
  </si>
  <si>
    <t>TX001061</t>
  </si>
  <si>
    <t>TX001401</t>
  </si>
  <si>
    <t>TX002239</t>
  </si>
  <si>
    <t>TX000415</t>
  </si>
  <si>
    <t>TX001657</t>
  </si>
  <si>
    <t>TX001105</t>
  </si>
  <si>
    <t>TX002227</t>
  </si>
  <si>
    <t>TX000867</t>
  </si>
  <si>
    <t>TX001005</t>
  </si>
  <si>
    <t>TX001407</t>
  </si>
  <si>
    <t>TX001087</t>
  </si>
  <si>
    <t>TX001596</t>
  </si>
  <si>
    <t>TX002032</t>
  </si>
  <si>
    <t>TX000709</t>
  </si>
  <si>
    <t>TX000944</t>
  </si>
  <si>
    <t>TX001021</t>
  </si>
  <si>
    <t>TX000127</t>
  </si>
  <si>
    <t>TX001918</t>
  </si>
  <si>
    <t>TX000441</t>
  </si>
  <si>
    <t>TX000305</t>
  </si>
  <si>
    <t>TX001374</t>
  </si>
  <si>
    <t>TX000746</t>
  </si>
  <si>
    <t>TX001242</t>
  </si>
  <si>
    <t>TX000681</t>
  </si>
  <si>
    <t>TX002253</t>
  </si>
  <si>
    <t>TX001126</t>
  </si>
  <si>
    <t>TX002259</t>
  </si>
  <si>
    <t>TX002160</t>
  </si>
  <si>
    <t>TX002031</t>
  </si>
  <si>
    <t>TX000850</t>
  </si>
  <si>
    <t>TX001439</t>
  </si>
  <si>
    <t>TX000051</t>
  </si>
  <si>
    <t>TX000635</t>
  </si>
  <si>
    <t>TX001147</t>
  </si>
  <si>
    <t>TX000121</t>
  </si>
  <si>
    <t>TX000315</t>
  </si>
  <si>
    <t>TX001442</t>
  </si>
  <si>
    <t>TX001327</t>
  </si>
  <si>
    <t>TX001862</t>
  </si>
  <si>
    <t>TX002056</t>
  </si>
  <si>
    <t>TX001329</t>
  </si>
  <si>
    <t>TX001820</t>
  </si>
  <si>
    <t>TX001578</t>
  </si>
  <si>
    <t>TX001698</t>
  </si>
  <si>
    <t>TX001506</t>
  </si>
  <si>
    <t>TX001855</t>
  </si>
  <si>
    <t>TX001777</t>
  </si>
  <si>
    <t>TX000454</t>
  </si>
  <si>
    <t>TX001422</t>
  </si>
  <si>
    <t>TX000882</t>
  </si>
  <si>
    <t>TX000822</t>
  </si>
  <si>
    <t>TX001353</t>
  </si>
  <si>
    <t>TX001381</t>
  </si>
  <si>
    <t>TX001074</t>
  </si>
  <si>
    <t>TX001794</t>
  </si>
  <si>
    <t>TX000193</t>
  </si>
  <si>
    <t>TX001280</t>
  </si>
  <si>
    <t>TX000654</t>
  </si>
  <si>
    <t>TX000322</t>
  </si>
  <si>
    <t>TX000590</t>
  </si>
  <si>
    <t>TX001751</t>
  </si>
  <si>
    <t>TX000765</t>
  </si>
  <si>
    <t>TX001277</t>
  </si>
  <si>
    <t>TX001589</t>
  </si>
  <si>
    <t>TX002115</t>
  </si>
  <si>
    <t>TX001436</t>
  </si>
  <si>
    <t>TX001691</t>
  </si>
  <si>
    <t>TX001551</t>
  </si>
  <si>
    <t>TX000686</t>
  </si>
  <si>
    <t>TX000558</t>
  </si>
  <si>
    <t>TX000846</t>
  </si>
  <si>
    <t>TX001144</t>
  </si>
  <si>
    <t>TX001560</t>
  </si>
  <si>
    <t>TX001464</t>
  </si>
  <si>
    <t>TX000840</t>
  </si>
  <si>
    <t>TX000821</t>
  </si>
  <si>
    <t>TX000937</t>
  </si>
  <si>
    <t>TX000758</t>
  </si>
  <si>
    <t>TX002035</t>
  </si>
  <si>
    <t>TX001552</t>
  </si>
  <si>
    <t>TX000969</t>
  </si>
  <si>
    <t>TX001515</t>
  </si>
  <si>
    <t>TX000376</t>
  </si>
  <si>
    <t>TX000371</t>
  </si>
  <si>
    <t>TX001978</t>
  </si>
  <si>
    <t>TX000813</t>
  </si>
  <si>
    <t>TX000988</t>
  </si>
  <si>
    <t>TX000661</t>
  </si>
  <si>
    <t>TX000670</t>
  </si>
  <si>
    <t>TX001131</t>
  </si>
  <si>
    <t>TX002024</t>
  </si>
  <si>
    <t>TX002045</t>
  </si>
  <si>
    <t>TX000076</t>
  </si>
  <si>
    <t>TX000986</t>
  </si>
  <si>
    <t>TX001044</t>
  </si>
  <si>
    <t>TX002120</t>
  </si>
  <si>
    <t>TX001443</t>
  </si>
  <si>
    <t>TX001319</t>
  </si>
  <si>
    <t>TX002288</t>
  </si>
  <si>
    <t>TX001700</t>
  </si>
  <si>
    <t>TX000094</t>
  </si>
  <si>
    <t>TX001142</t>
  </si>
  <si>
    <t>TX001929</t>
  </si>
  <si>
    <t>TX000330</t>
  </si>
  <si>
    <t>TX002018</t>
  </si>
  <si>
    <t>TX001465</t>
  </si>
  <si>
    <t>TX000901</t>
  </si>
  <si>
    <t>TX002130</t>
  </si>
  <si>
    <t>TX000332</t>
  </si>
  <si>
    <t>TX000757</t>
  </si>
  <si>
    <t>TX001136</t>
  </si>
  <si>
    <t>TX001995</t>
  </si>
  <si>
    <t>TX001979</t>
  </si>
  <si>
    <t>TX000611</t>
  </si>
  <si>
    <t>TX001650</t>
  </si>
  <si>
    <t>TX000390</t>
  </si>
  <si>
    <t>TX001923</t>
  </si>
  <si>
    <t>TX001476</t>
  </si>
  <si>
    <t>TX000588</t>
  </si>
  <si>
    <t>TX000243</t>
  </si>
  <si>
    <t>TX000232</t>
  </si>
  <si>
    <t>TX000615</t>
  </si>
  <si>
    <t>TX002142</t>
  </si>
  <si>
    <t>TX000283</t>
  </si>
  <si>
    <t>TX001945</t>
  </si>
  <si>
    <t>TX000624</t>
  </si>
  <si>
    <t>TX001809</t>
  </si>
  <si>
    <t>TX001961</t>
  </si>
  <si>
    <t>TX000349</t>
  </si>
  <si>
    <t>TX001512</t>
  </si>
  <si>
    <t>TX001709</t>
  </si>
  <si>
    <t>TX002264</t>
  </si>
  <si>
    <t>TX001168</t>
  </si>
  <si>
    <t>TX001253</t>
  </si>
  <si>
    <t>TX000655</t>
  </si>
  <si>
    <t>TX000727</t>
  </si>
  <si>
    <t>TX002255</t>
  </si>
  <si>
    <t>TX000672</t>
  </si>
  <si>
    <t>TX001094</t>
  </si>
  <si>
    <t>TX001663</t>
  </si>
  <si>
    <t>TX001413</t>
  </si>
  <si>
    <t>TX001972</t>
  </si>
  <si>
    <t>TX000826</t>
  </si>
  <si>
    <t>TX000675</t>
  </si>
  <si>
    <t>TX002043</t>
  </si>
  <si>
    <t>TX001418</t>
  </si>
  <si>
    <t>TX002280</t>
  </si>
  <si>
    <t>TX000693</t>
  </si>
  <si>
    <t>TX000369</t>
  </si>
  <si>
    <t>TX001090</t>
  </si>
  <si>
    <t>TX002103</t>
  </si>
  <si>
    <t>TX002137</t>
  </si>
  <si>
    <t>TX001656</t>
  </si>
  <si>
    <t>TX000426</t>
  </si>
  <si>
    <t>TX000859</t>
  </si>
  <si>
    <t>TX000404</t>
  </si>
  <si>
    <t>TX001110</t>
  </si>
  <si>
    <t>TX001220</t>
  </si>
  <si>
    <t>TX001315</t>
  </si>
  <si>
    <t>TX000791</t>
  </si>
  <si>
    <t>TX001508</t>
  </si>
  <si>
    <t>TX001509</t>
  </si>
  <si>
    <t>TX001027</t>
  </si>
  <si>
    <t>TX001819</t>
  </si>
  <si>
    <t>TX000469</t>
  </si>
  <si>
    <t>TX001336</t>
  </si>
  <si>
    <t>TX000680</t>
  </si>
  <si>
    <t>TX001665</t>
  </si>
  <si>
    <t>TX000554</t>
  </si>
  <si>
    <t>TX000135</t>
  </si>
  <si>
    <t>TX000599</t>
  </si>
  <si>
    <t>TX002123</t>
  </si>
  <si>
    <t>TX000242</t>
  </si>
  <si>
    <t>TX001966</t>
  </si>
  <si>
    <t>TX001715</t>
  </si>
  <si>
    <t>TX002318</t>
  </si>
  <si>
    <t>TX000574</t>
  </si>
  <si>
    <t>TX002265</t>
  </si>
  <si>
    <t>TX000170</t>
  </si>
  <si>
    <t>TX000444</t>
  </si>
  <si>
    <t>TX000702</t>
  </si>
  <si>
    <t>TX000293</t>
  </si>
  <si>
    <t>TX001196</t>
  </si>
  <si>
    <t>TX001994</t>
  </si>
  <si>
    <t>TX001495</t>
  </si>
  <si>
    <t>TX002101</t>
  </si>
  <si>
    <t>TX001626</t>
  </si>
  <si>
    <t>TX001555</t>
  </si>
  <si>
    <t>TX000855</t>
  </si>
  <si>
    <t>TX001207</t>
  </si>
  <si>
    <t>TX001625</t>
  </si>
  <si>
    <t>TX001823</t>
  </si>
  <si>
    <t>TX000817</t>
  </si>
  <si>
    <t>TX001040</t>
  </si>
  <si>
    <t>TX000829</t>
  </si>
  <si>
    <t>TX001132</t>
  </si>
  <si>
    <t>TX001947</t>
  </si>
  <si>
    <t>TX002106</t>
  </si>
  <si>
    <t>TX000124</t>
  </si>
  <si>
    <t>TX001113</t>
  </si>
  <si>
    <t>TX001298</t>
  </si>
  <si>
    <t>TX000651</t>
  </si>
  <si>
    <t>TX002096</t>
  </si>
  <si>
    <t>TX002166</t>
  </si>
  <si>
    <t>TX002100</t>
  </si>
  <si>
    <t>TX000202</t>
  </si>
  <si>
    <t>TX000921</t>
  </si>
  <si>
    <t>TX002159</t>
  </si>
  <si>
    <t>TX002053</t>
  </si>
  <si>
    <t>TX002038</t>
  </si>
  <si>
    <t>TX000206</t>
  </si>
  <si>
    <t>TX000956</t>
  </si>
  <si>
    <t>TX001222</t>
  </si>
  <si>
    <t>TX000907</t>
  </si>
  <si>
    <t>TX001001</t>
  </si>
  <si>
    <t>TX001028</t>
  </si>
  <si>
    <t>TX001934</t>
  </si>
  <si>
    <t>TX000912</t>
  </si>
  <si>
    <t>TX001730</t>
  </si>
  <si>
    <t>TX000368</t>
  </si>
  <si>
    <t>TX002216</t>
  </si>
  <si>
    <t>TX000166</t>
  </si>
  <si>
    <t>TX001066</t>
  </si>
  <si>
    <t>TX001172</t>
  </si>
  <si>
    <t>TX000984</t>
  </si>
  <si>
    <t>TX001826</t>
  </si>
  <si>
    <t>TX002025</t>
  </si>
  <si>
    <t>TX002129</t>
  </si>
  <si>
    <t>TX001115</t>
  </si>
  <si>
    <t>TX000570</t>
  </si>
  <si>
    <t>TX001216</t>
  </si>
  <si>
    <t>TX001206</t>
  </si>
  <si>
    <t>TX000584</t>
  </si>
  <si>
    <t>TX002140</t>
  </si>
  <si>
    <t>TX000586</t>
  </si>
  <si>
    <t>TX000103</t>
  </si>
  <si>
    <t>TX001091</t>
  </si>
  <si>
    <t>TX000307</t>
  </si>
  <si>
    <t>TX002068</t>
  </si>
  <si>
    <t>TX001164</t>
  </si>
  <si>
    <t>TX001968</t>
  </si>
  <si>
    <t>TX000580</t>
  </si>
  <si>
    <t>TX000587</t>
  </si>
  <si>
    <t>TX002037</t>
  </si>
  <si>
    <t>TX002057</t>
  </si>
  <si>
    <t>TX001370</t>
  </si>
  <si>
    <t>TX000077</t>
  </si>
  <si>
    <t>TX000191</t>
  </si>
  <si>
    <t>TX000207</t>
  </si>
  <si>
    <t>TX002000</t>
  </si>
  <si>
    <t>TX001675</t>
  </si>
  <si>
    <t>TX000522</t>
  </si>
  <si>
    <t>TX000002</t>
  </si>
  <si>
    <t>TX000737</t>
  </si>
  <si>
    <t>TX001497</t>
  </si>
  <si>
    <t>TX000628</t>
  </si>
  <si>
    <t>TX002046</t>
  </si>
  <si>
    <t>TX001590</t>
  </si>
  <si>
    <t>TX000336</t>
  </si>
  <si>
    <t>TX000764</t>
  </si>
  <si>
    <t>TX000713</t>
  </si>
  <si>
    <t>TX000734</t>
  </si>
  <si>
    <t>TX000978</t>
  </si>
  <si>
    <t>TX001462</t>
  </si>
  <si>
    <t>TX000088</t>
  </si>
  <si>
    <t>TX001927</t>
  </si>
  <si>
    <t>TX000914</t>
  </si>
  <si>
    <t>TX000496</t>
  </si>
  <si>
    <t>TX001166</t>
  </si>
  <si>
    <t>TX000201</t>
  </si>
  <si>
    <t>TX000703</t>
  </si>
  <si>
    <t>TX001223</t>
  </si>
  <si>
    <t>TX000769</t>
  </si>
  <si>
    <t>TX002003</t>
  </si>
  <si>
    <t>TX001133</t>
  </si>
  <si>
    <t>TX001696</t>
  </si>
  <si>
    <t>TX001167</t>
  </si>
  <si>
    <t>TX000750</t>
  </si>
  <si>
    <t>TX000440</t>
  </si>
  <si>
    <t>TX000860</t>
  </si>
  <si>
    <t>TX000304</t>
  </si>
  <si>
    <t>TX001922</t>
  </si>
  <si>
    <t>TX001521</t>
  </si>
  <si>
    <t>TX000227</t>
  </si>
  <si>
    <t>TX002124</t>
  </si>
  <si>
    <t>TX001284</t>
  </si>
  <si>
    <t>TX001460</t>
  </si>
  <si>
    <t>TX000583</t>
  </si>
  <si>
    <t>TX000528</t>
  </si>
  <si>
    <t>TX002134</t>
  </si>
  <si>
    <t>TX000633</t>
  </si>
  <si>
    <t>TX002319</t>
  </si>
  <si>
    <t>TX000182</t>
  </si>
  <si>
    <t>TX000298</t>
  </si>
  <si>
    <t>TX001545</t>
  </si>
  <si>
    <t>TX000281</t>
  </si>
  <si>
    <t>TX002094</t>
  </si>
  <si>
    <t>TX001179</t>
  </si>
  <si>
    <t>TX000954</t>
  </si>
  <si>
    <t>TX000271</t>
  </si>
  <si>
    <t>TX002044</t>
  </si>
  <si>
    <t>TX000407</t>
  </si>
  <si>
    <t>TX000326</t>
  </si>
  <si>
    <t>TX001907</t>
  </si>
  <si>
    <t>TX001708</t>
  </si>
  <si>
    <t>TX002014</t>
  </si>
  <si>
    <t>TX001403</t>
  </si>
  <si>
    <t>TX000416</t>
  </si>
  <si>
    <t>TX001644</t>
  </si>
  <si>
    <t>TX001832</t>
  </si>
  <si>
    <t>TX001012</t>
  </si>
  <si>
    <t>TX001769</t>
  </si>
  <si>
    <t>TX000894</t>
  </si>
  <si>
    <t>TX001071</t>
  </si>
  <si>
    <t>TX001177</t>
  </si>
  <si>
    <t>TX001282</t>
  </si>
  <si>
    <t>TX001237</t>
  </si>
  <si>
    <t>TX000342</t>
  </si>
  <si>
    <t>TX000269</t>
  </si>
  <si>
    <t>TX001692</t>
  </si>
  <si>
    <t>TX000055</t>
  </si>
  <si>
    <t>TX002147</t>
  </si>
  <si>
    <t>TX001010</t>
  </si>
  <si>
    <t>TX002243</t>
  </si>
  <si>
    <t>TX000560</t>
  </si>
  <si>
    <t>TX001614</t>
  </si>
  <si>
    <t>TX001836</t>
  </si>
  <si>
    <t>TX000768</t>
  </si>
  <si>
    <t>TX000141</t>
  </si>
  <si>
    <t>TX000673</t>
  </si>
  <si>
    <t>TX000162</t>
  </si>
  <si>
    <t>TX000443</t>
  </si>
  <si>
    <t>TX001272</t>
  </si>
  <si>
    <t>TX001399</t>
  </si>
  <si>
    <t>TX001714</t>
  </si>
  <si>
    <t>TX001896</t>
  </si>
  <si>
    <t>TX000429</t>
  </si>
  <si>
    <t>TX000448</t>
  </si>
  <si>
    <t>TX000841</t>
  </si>
  <si>
    <t>TX001297</t>
  </si>
  <si>
    <t>TX000526</t>
  </si>
  <si>
    <t>TX001227</t>
  </si>
  <si>
    <t>TX001226</t>
  </si>
  <si>
    <t>TX000422</t>
  </si>
  <si>
    <t>TX001996</t>
  </si>
  <si>
    <t>TX001944</t>
  </si>
  <si>
    <t>TX002267</t>
  </si>
  <si>
    <t>TX001632</t>
  </si>
  <si>
    <t>TX000025</t>
  </si>
  <si>
    <t>TX001627</t>
  </si>
  <si>
    <t>TX000805</t>
  </si>
  <si>
    <t>TX001606</t>
  </si>
  <si>
    <t>TX000895</t>
  </si>
  <si>
    <t>TX001793</t>
  </si>
  <si>
    <t>TX001430</t>
  </si>
  <si>
    <t>TX002296</t>
  </si>
  <si>
    <t>TX002090</t>
  </si>
  <si>
    <t>TX001195</t>
  </si>
  <si>
    <t>TX000645</t>
  </si>
  <si>
    <t>TX001256</t>
  </si>
  <si>
    <t>TX000433</t>
  </si>
  <si>
    <t>TX001295</t>
  </si>
  <si>
    <t>TX000481</t>
  </si>
  <si>
    <t>TX000486</t>
  </si>
  <si>
    <t>TX001719</t>
  </si>
  <si>
    <t>TX000178</t>
  </si>
  <si>
    <t>TX000401</t>
  </si>
  <si>
    <t>TX000928</t>
  </si>
  <si>
    <t>TX000684</t>
  </si>
  <si>
    <t>TX000004</t>
  </si>
  <si>
    <t>TX001594</t>
  </si>
  <si>
    <t>TX001955</t>
  </si>
  <si>
    <t>TX001163</t>
  </si>
  <si>
    <t>TX001575</t>
  </si>
  <si>
    <t>TX001283</t>
  </si>
  <si>
    <t>TX000478</t>
  </si>
  <si>
    <t>TX000926</t>
  </si>
  <si>
    <t>TX002071</t>
  </si>
  <si>
    <t>TX001035</t>
  </si>
  <si>
    <t>TX001554</t>
  </si>
  <si>
    <t>TX000773</t>
  </si>
  <si>
    <t>TX002076</t>
  </si>
  <si>
    <t>TX001345</t>
  </si>
  <si>
    <t>TX000953</t>
  </si>
  <si>
    <t>TX002215</t>
  </si>
  <si>
    <t>TX002195</t>
  </si>
  <si>
    <t>TX000276</t>
  </si>
  <si>
    <t>TX001481</t>
  </si>
  <si>
    <t>TX001265</t>
  </si>
  <si>
    <t>TX001604</t>
  </si>
  <si>
    <t>TX000561</t>
  </si>
  <si>
    <t>TX000009</t>
  </si>
  <si>
    <t>TX000996</t>
  </si>
  <si>
    <t>TX000980</t>
  </si>
  <si>
    <t>TX000049</t>
  </si>
  <si>
    <t>TX001516</t>
  </si>
  <si>
    <t>TX000726</t>
  </si>
  <si>
    <t>TX001924</t>
  </si>
  <si>
    <t>TX001423</t>
  </si>
  <si>
    <t>TX001702</t>
  </si>
  <si>
    <t>TX000187</t>
  </si>
  <si>
    <t>TX001349</t>
  </si>
  <si>
    <t>TX002016</t>
  </si>
  <si>
    <t>TX000775</t>
  </si>
  <si>
    <t>TX002092</t>
  </si>
  <si>
    <t>TX000608</t>
  </si>
  <si>
    <t>TX002263</t>
  </si>
  <si>
    <t>TX000302</t>
  </si>
  <si>
    <t>TX001267</t>
  </si>
  <si>
    <t>TX001398</t>
  </si>
  <si>
    <t>TX001428</t>
  </si>
  <si>
    <t>TX001782</t>
  </si>
  <si>
    <t>TX000120</t>
  </si>
  <si>
    <t>TX002291</t>
  </si>
  <si>
    <t>TX000354</t>
  </si>
  <si>
    <t>TX000213</t>
  </si>
  <si>
    <t>TX000701</t>
  </si>
  <si>
    <t>TX000725</t>
  </si>
  <si>
    <t>TX001482</t>
  </si>
  <si>
    <t>TX000792</t>
  </si>
  <si>
    <t>TX000445</t>
  </si>
  <si>
    <t>TX001451</t>
  </si>
  <si>
    <t>TX000511</t>
  </si>
  <si>
    <t>TX001269</t>
  </si>
  <si>
    <t>TX001060</t>
  </si>
  <si>
    <t>TX000367</t>
  </si>
  <si>
    <t>TX000698</t>
  </si>
  <si>
    <t>TX001427</t>
  </si>
  <si>
    <t>TX000881</t>
  </si>
  <si>
    <t>TX000903</t>
  </si>
  <si>
    <t>TX000364</t>
  </si>
  <si>
    <t>TX001852</t>
  </si>
  <si>
    <t>TX000613</t>
  </si>
  <si>
    <t>TX001866</t>
  </si>
  <si>
    <t>TX001844</t>
  </si>
  <si>
    <t>TX000762</t>
  </si>
  <si>
    <t>TX000419</t>
  </si>
  <si>
    <t>TX001013</t>
  </si>
  <si>
    <t>TX000224</t>
  </si>
  <si>
    <t>TX002112</t>
  </si>
  <si>
    <t>TX001973</t>
  </si>
  <si>
    <t>TX000230</t>
  </si>
  <si>
    <t>TX000397</t>
  </si>
  <si>
    <t>TX001471</t>
  </si>
  <si>
    <t>TX001553</t>
  </si>
  <si>
    <t>TX000536</t>
  </si>
  <si>
    <t>TX001919</t>
  </si>
  <si>
    <t>TX001987</t>
  </si>
  <si>
    <t>TX001389</t>
  </si>
  <si>
    <t>TX002151</t>
  </si>
  <si>
    <t>TX000487</t>
  </si>
  <si>
    <t>TX001263</t>
  </si>
  <si>
    <t>TX000971</t>
  </si>
  <si>
    <t>TX001958</t>
  </si>
  <si>
    <t>TX001550</t>
  </si>
  <si>
    <t>TX001706</t>
  </si>
  <si>
    <t>TX001409</t>
  </si>
  <si>
    <t>TX001433</t>
  </si>
  <si>
    <t>TX000352</t>
  </si>
  <si>
    <t>TX001238</t>
  </si>
  <si>
    <t>TX000706</t>
  </si>
  <si>
    <t>TX002050</t>
  </si>
  <si>
    <t>TX001900</t>
  </si>
  <si>
    <t>TX001544</t>
  </si>
  <si>
    <t>TX000564</t>
  </si>
  <si>
    <t>TX002036</t>
  </si>
  <si>
    <t>TX001868</t>
  </si>
  <si>
    <t>TX001069</t>
  </si>
  <si>
    <t>TX001630</t>
  </si>
  <si>
    <t>TX002141</t>
  </si>
  <si>
    <t>TX002052</t>
  </si>
  <si>
    <t>TX000038</t>
  </si>
  <si>
    <t>TX000878</t>
  </si>
  <si>
    <t>TX000694</t>
  </si>
  <si>
    <t>TX000548</t>
  </si>
  <si>
    <t>TX002181</t>
  </si>
  <si>
    <t>TX000966</t>
  </si>
  <si>
    <t>TX001733</t>
  </si>
  <si>
    <t>TX000373</t>
  </si>
  <si>
    <t>TX000138</t>
  </si>
  <si>
    <t>TX001180</t>
  </si>
  <si>
    <t>TX001221</t>
  </si>
  <si>
    <t>TX001653</t>
  </si>
  <si>
    <t>TX001290</t>
  </si>
  <si>
    <t>TX000556</t>
  </si>
  <si>
    <t>TX001785</t>
  </si>
  <si>
    <t>TX001602</t>
  </si>
  <si>
    <t>TX000847</t>
  </si>
  <si>
    <t>TX000621</t>
  </si>
  <si>
    <t>TX001305</t>
  </si>
  <si>
    <t>TX001659</t>
  </si>
  <si>
    <t>TX001429</t>
  </si>
  <si>
    <t>TX001324</t>
  </si>
  <si>
    <t>TX002292</t>
  </si>
  <si>
    <t>TX001337</t>
  </si>
  <si>
    <t>TX002180</t>
  </si>
  <si>
    <t>TX001366</t>
  </si>
  <si>
    <t>TX001029</t>
  </si>
  <si>
    <t>TX001348</t>
  </si>
  <si>
    <t>TX000514</t>
  </si>
  <si>
    <t>TX000068</t>
  </si>
  <si>
    <t>TX000538</t>
  </si>
  <si>
    <t>TX000573</t>
  </si>
  <si>
    <t>TX001085</t>
  </si>
  <si>
    <t>TX001082</t>
  </si>
  <si>
    <t>TX002145</t>
  </si>
  <si>
    <t>TX000310</t>
  </si>
  <si>
    <t>TX001376</t>
  </si>
  <si>
    <t>TX001368</t>
  </si>
  <si>
    <t>TX001291</t>
  </si>
  <si>
    <t>TX000577</t>
  </si>
  <si>
    <t>TX000738</t>
  </si>
  <si>
    <t>TX001765</t>
  </si>
  <si>
    <t>TX000126</t>
  </si>
  <si>
    <t>TX002088</t>
  </si>
  <si>
    <t>TX000679</t>
  </si>
  <si>
    <t>TX001937</t>
  </si>
  <si>
    <t>TX000221</t>
  </si>
  <si>
    <t>TX000453</t>
  </si>
  <si>
    <t>TX000150</t>
  </si>
  <si>
    <t>TX001211</t>
  </si>
  <si>
    <t>TX000936</t>
  </si>
  <si>
    <t>TX001350</t>
  </si>
  <si>
    <t>TX000614</t>
  </si>
  <si>
    <t>TX000550</t>
  </si>
  <si>
    <t>TX000639</t>
  </si>
  <si>
    <t>TX002219</t>
  </si>
  <si>
    <t>TX000637</t>
  </si>
  <si>
    <t>TX002161</t>
  </si>
  <si>
    <t>TX001959</t>
  </si>
  <si>
    <t>TX002083</t>
  </si>
  <si>
    <t>TX001744</t>
  </si>
  <si>
    <t>TX001434</t>
  </si>
  <si>
    <t>TX002206</t>
  </si>
  <si>
    <t>TX000265</t>
  </si>
  <si>
    <t>TX000228</t>
  </si>
  <si>
    <t>TX000300</t>
  </si>
  <si>
    <t>TX001546</t>
  </si>
  <si>
    <t>TX000976</t>
  </si>
  <si>
    <t>TX002119</t>
  </si>
  <si>
    <t>TX000399</t>
  </si>
  <si>
    <t>TX001593</t>
  </si>
  <si>
    <t>TX001358</t>
  </si>
  <si>
    <t>TX000203</t>
  </si>
  <si>
    <t>TX000348</t>
  </si>
  <si>
    <t>TX000955</t>
  </si>
  <si>
    <t>TX000640</t>
  </si>
  <si>
    <t>TX000731</t>
  </si>
  <si>
    <t>TX000061</t>
  </si>
  <si>
    <t>TX001095</t>
  </si>
  <si>
    <t>TX001292</t>
  </si>
  <si>
    <t>TX002152</t>
  </si>
  <si>
    <t>TX000383</t>
  </si>
  <si>
    <t>TX001264</t>
  </si>
  <si>
    <t>TX001933</t>
  </si>
  <si>
    <t>TX001003</t>
  </si>
  <si>
    <t>TX000268</t>
  </si>
  <si>
    <t>TX000873</t>
  </si>
  <si>
    <t>TX002012</t>
  </si>
  <si>
    <t>TX001326</t>
  </si>
  <si>
    <t>TX000858</t>
  </si>
  <si>
    <t>TX000099</t>
  </si>
  <si>
    <t>TX000183</t>
  </si>
  <si>
    <t>TX000261</t>
  </si>
  <si>
    <t>TX001601</t>
  </si>
  <si>
    <t>TX000159</t>
  </si>
  <si>
    <t>TX000899</t>
  </si>
  <si>
    <t>TX001078</t>
  </si>
  <si>
    <t>TX001774</t>
  </si>
  <si>
    <t>TX002086</t>
  </si>
  <si>
    <t>TX000896</t>
  </si>
  <si>
    <t>TX001145</t>
  </si>
  <si>
    <t>TX000803</t>
  </si>
  <si>
    <t>TX001146</t>
  </si>
  <si>
    <t>TX001397</t>
  </si>
  <si>
    <t>TX000559</t>
  </si>
  <si>
    <t>TX002192</t>
  </si>
  <si>
    <t>TX000083</t>
  </si>
  <si>
    <t>TX001727</t>
  </si>
  <si>
    <t>TX001559</t>
  </si>
  <si>
    <t>TX000339</t>
  </si>
  <si>
    <t>TX000491</t>
  </si>
  <si>
    <t>TX000105</t>
  </si>
  <si>
    <t>TX001387</t>
  </si>
  <si>
    <t>TX000477</t>
  </si>
  <si>
    <t>TX001828</t>
  </si>
  <si>
    <t>TX001664</t>
  </si>
  <si>
    <t>TX001770</t>
  </si>
  <si>
    <t>TX000789</t>
  </si>
  <si>
    <t>TX001197</t>
  </si>
  <si>
    <t>TX001635</t>
  </si>
  <si>
    <t>TX000576</t>
  </si>
  <si>
    <t>TX000886</t>
  </si>
  <si>
    <t>TX001447</t>
  </si>
  <si>
    <t>TX001299</t>
  </si>
  <si>
    <t>TX000423</t>
  </si>
  <si>
    <t>TX000853</t>
  </si>
  <si>
    <t>TX001038</t>
  </si>
  <si>
    <t>TX000331</t>
  </si>
  <si>
    <t>TX001157</t>
  </si>
  <si>
    <t>TX001755</t>
  </si>
  <si>
    <t>TX002317</t>
  </si>
  <si>
    <t>TX000134</t>
  </si>
  <si>
    <t>TX001878</t>
  </si>
  <si>
    <t>TX002138</t>
  </si>
  <si>
    <t>TX001339</t>
  </si>
  <si>
    <t>TX000471</t>
  </si>
  <si>
    <t>TX001344</t>
  </si>
  <si>
    <t>TX000983</t>
  </si>
  <si>
    <t>TX000092</t>
  </si>
  <si>
    <t>TX000436</t>
  </si>
  <si>
    <t>TX001334</t>
  </si>
  <si>
    <t>TX001610</t>
  </si>
  <si>
    <t>TX001400</t>
  </si>
  <si>
    <t>TX001811</t>
  </si>
  <si>
    <t>TX000012</t>
  </si>
  <si>
    <t>TX000211</t>
  </si>
  <si>
    <t>TX000054</t>
  </si>
  <si>
    <t>TX002246</t>
  </si>
  <si>
    <t>TX001953</t>
  </si>
  <si>
    <t>TX000387</t>
  </si>
  <si>
    <t>TX001705</t>
  </si>
  <si>
    <t>TX002313</t>
  </si>
  <si>
    <t>TX000786</t>
  </si>
  <si>
    <t>TX001234</t>
  </si>
  <si>
    <t>TX000616</t>
  </si>
  <si>
    <t>TX000620</t>
  </si>
  <si>
    <t>TX000629</t>
  </si>
  <si>
    <t>TX000759</t>
  </si>
  <si>
    <t>TX000578</t>
  </si>
  <si>
    <t>TX001605</t>
  </si>
  <si>
    <t>TX000631</t>
  </si>
  <si>
    <t>TX000892</t>
  </si>
  <si>
    <t>TX000168</t>
  </si>
  <si>
    <t>TX002054</t>
  </si>
  <si>
    <t>TX000597</t>
  </si>
  <si>
    <t>TX001801</t>
  </si>
  <si>
    <t>TX000993</t>
  </si>
  <si>
    <t>TX000704</t>
  </si>
  <si>
    <t>TX000780</t>
  </si>
  <si>
    <t>TX002225</t>
  </si>
  <si>
    <t>TX001974</t>
  </si>
  <si>
    <t>TX001210</t>
  </si>
  <si>
    <t>TX001703</t>
  </si>
  <si>
    <t>TX001815</t>
  </si>
  <si>
    <t>TX000662</t>
  </si>
  <si>
    <t>TX001912</t>
  </si>
  <si>
    <t>TX002254</t>
  </si>
  <si>
    <t>TX001483</t>
  </si>
  <si>
    <t>TX001685</t>
  </si>
  <si>
    <t>TX000663</t>
  </si>
  <si>
    <t>TX000862</t>
  </si>
  <si>
    <t>TX001248</t>
  </si>
  <si>
    <t>TX000249</t>
  </si>
  <si>
    <t>TX000779</t>
  </si>
  <si>
    <t>TX000060</t>
  </si>
  <si>
    <t>TX001646</t>
  </si>
  <si>
    <t>TX001250</t>
  </si>
  <si>
    <t>TX000282</t>
  </si>
  <si>
    <t>TX001540</t>
  </si>
  <si>
    <t>TX002262</t>
  </si>
  <si>
    <t>TX001779</t>
  </si>
  <si>
    <t>TX002208</t>
  </si>
  <si>
    <t>TX000442</t>
  </si>
  <si>
    <t>TX000922</t>
  </si>
  <si>
    <t>TX001672</t>
  </si>
  <si>
    <t>TX001287</t>
  </si>
  <si>
    <t>TX002182</t>
  </si>
  <si>
    <t>TX001198</t>
  </si>
  <si>
    <t>TX000303</t>
  </si>
  <si>
    <t>TX002316</t>
  </si>
  <si>
    <t>TX001747</t>
  </si>
  <si>
    <t>TX002089</t>
  </si>
  <si>
    <t>TX002308</t>
  </si>
  <si>
    <t>TX000260</t>
  </si>
  <si>
    <t>TX000985</t>
  </si>
  <si>
    <t>TX002005</t>
  </si>
  <si>
    <t>TX001480</t>
  </si>
  <si>
    <t>TX002191</t>
  </si>
  <si>
    <t>TX002102</t>
  </si>
  <si>
    <t>TX001911</t>
  </si>
  <si>
    <t>TX001843</t>
  </si>
  <si>
    <t>TX002098</t>
  </si>
  <si>
    <t>TX001791</t>
  </si>
  <si>
    <t>TX000050</t>
  </si>
  <si>
    <t>TX000547</t>
  </si>
  <si>
    <t>TX000852</t>
  </si>
  <si>
    <t>TX000535</t>
  </si>
  <si>
    <t>TX001803</t>
  </si>
  <si>
    <t>TX000814</t>
  </si>
  <si>
    <t>TX001106</t>
  </si>
  <si>
    <t>TX000958</t>
  </si>
  <si>
    <t>TX001125</t>
  </si>
  <si>
    <t>TX000425</t>
  </si>
  <si>
    <t>TX000417</t>
  </si>
  <si>
    <t>TX001699</t>
  </si>
  <si>
    <t>TX000001</t>
  </si>
  <si>
    <t>TX000900</t>
  </si>
  <si>
    <t>TX002260</t>
  </si>
  <si>
    <t>TX000386</t>
  </si>
  <si>
    <t>TX001507</t>
  </si>
  <si>
    <t>TX001721</t>
  </si>
  <si>
    <t>TX000177</t>
  </si>
  <si>
    <t>TX001609</t>
  </si>
  <si>
    <t>TX000513</t>
  </si>
  <si>
    <t>TX000537</t>
  </si>
  <si>
    <t>TX001359</t>
  </si>
  <si>
    <t>TX000439</t>
  </si>
  <si>
    <t>TX000362</t>
  </si>
  <si>
    <t>TX001890</t>
  </si>
  <si>
    <t>TX000116</t>
  </si>
  <si>
    <t>TX001438</t>
  </si>
  <si>
    <t>TX000337</t>
  </si>
  <si>
    <t>TX000767</t>
  </si>
  <si>
    <t>TX002110</t>
  </si>
  <si>
    <t>TX000714</t>
  </si>
  <si>
    <t>TX000435</t>
  </si>
  <si>
    <t>TX001543</t>
  </si>
  <si>
    <t>TX000031</t>
  </si>
  <si>
    <t>TX000871</t>
  </si>
  <si>
    <t>TX001954</t>
  </si>
  <si>
    <t>TX001477</t>
  </si>
  <si>
    <t>TX000408</t>
  </si>
  <si>
    <t>TX001140</t>
  </si>
  <si>
    <t>TX001007</t>
  </si>
  <si>
    <t>TX001910</t>
  </si>
  <si>
    <t>TX002237</t>
  </si>
  <si>
    <t>TX000294</t>
  </si>
  <si>
    <t>TX000306</t>
  </si>
  <si>
    <t>TX001689</t>
  </si>
  <si>
    <t>TX000147</t>
  </si>
  <si>
    <t>TX001302</t>
  </si>
  <si>
    <t>TX002196</t>
  </si>
  <si>
    <t>TX001072</t>
  </si>
  <si>
    <t>TX001148</t>
  </si>
  <si>
    <t>TX001571</t>
  </si>
  <si>
    <t>TX000479</t>
  </si>
  <si>
    <t>TX001964</t>
  </si>
  <si>
    <t>TX001526</t>
  </si>
  <si>
    <t>TX001760</t>
  </si>
  <si>
    <t>TX000626</t>
  </si>
  <si>
    <t>TX000643</t>
  </si>
  <si>
    <t>TX000040</t>
  </si>
  <si>
    <t>TX000973</t>
  </si>
  <si>
    <t>TX000457</t>
  </si>
  <si>
    <t>TX000231</t>
  </si>
  <si>
    <t>TX001182</t>
  </si>
  <si>
    <t>TX000081</t>
  </si>
  <si>
    <t>TX000074</t>
  </si>
  <si>
    <t>TX000102</t>
  </si>
  <si>
    <t>TX000557</t>
  </si>
  <si>
    <t>TX001648</t>
  </si>
  <si>
    <t>TX000229</t>
  </si>
  <si>
    <t>TX002311</t>
  </si>
  <si>
    <t>TX001173</t>
  </si>
  <si>
    <t>TX002085</t>
  </si>
  <si>
    <t>TX001488</t>
  </si>
  <si>
    <t>TX000542</t>
  </si>
  <si>
    <t>TX001788</t>
  </si>
  <si>
    <t>TX000508</t>
  </si>
  <si>
    <t>TX001827</t>
  </si>
  <si>
    <t>TX001913</t>
  </si>
  <si>
    <t>TX002009</t>
  </si>
  <si>
    <t>TX002002</t>
  </si>
  <si>
    <t>TX000234</t>
  </si>
  <si>
    <t>TX001865</t>
  </si>
  <si>
    <t>TX001662</t>
  </si>
  <si>
    <t>TX002177</t>
  </si>
  <si>
    <t>TX001789</t>
  </si>
  <si>
    <t>TX001740</t>
  </si>
  <si>
    <t>TX001202</t>
  </si>
  <si>
    <t>TX000925</t>
  </si>
  <si>
    <t>TX000463</t>
  </si>
  <si>
    <t>TX001790</t>
  </si>
  <si>
    <t>TX001118</t>
  </si>
  <si>
    <t>TX001081</t>
  </si>
  <si>
    <t>TX001607</t>
  </si>
  <si>
    <t>TX001153</t>
  </si>
  <si>
    <t>TX000284</t>
  </si>
  <si>
    <t>TX001340</t>
  </si>
  <si>
    <t>TX000447</t>
  </si>
  <si>
    <t>TX001678</t>
  </si>
  <si>
    <t>TX000994</t>
  </si>
  <si>
    <t>TX001838</t>
  </si>
  <si>
    <t>TX001712</t>
  </si>
  <si>
    <t>TX000065</t>
  </si>
  <si>
    <t>TX000059</t>
  </si>
  <si>
    <t>TX001897</t>
  </si>
  <si>
    <t>TX000256</t>
  </si>
  <si>
    <t>TX001454</t>
  </si>
  <si>
    <t>TX001478</t>
  </si>
  <si>
    <t>TX001565</t>
  </si>
  <si>
    <t>TX001925</t>
  </si>
  <si>
    <t>TX001916</t>
  </si>
  <si>
    <t>TX002095</t>
  </si>
  <si>
    <t>TX001379</t>
  </si>
  <si>
    <t>TX000644</t>
  </si>
  <si>
    <t>TX001776</t>
  </si>
  <si>
    <t>TX000917</t>
  </si>
  <si>
    <t>TX002067</t>
  </si>
  <si>
    <t>TX001274</t>
  </si>
  <si>
    <t>TX000632</t>
  </si>
  <si>
    <t>TX000802</t>
  </si>
  <si>
    <t>TX002097</t>
  </si>
  <si>
    <t>TX000035</t>
  </si>
  <si>
    <t>TX001411</t>
  </si>
  <si>
    <t>TX001658</t>
  </si>
  <si>
    <t>TX001457</t>
  </si>
  <si>
    <t>TX000676</t>
  </si>
  <si>
    <t>TX001542</t>
  </si>
  <si>
    <t>TX000656</t>
  </si>
  <si>
    <t>TX000020</t>
  </si>
  <si>
    <t>TX001194</t>
  </si>
  <si>
    <t>TX000623</t>
  </si>
  <si>
    <t>TX000370</t>
  </si>
  <si>
    <t>TX001761</t>
  </si>
  <si>
    <t>TX000808</t>
  </si>
  <si>
    <t>TX000251</t>
  </si>
  <si>
    <t>TX001355</t>
  </si>
  <si>
    <t>TX001750</t>
  </si>
  <si>
    <t>TX000164</t>
  </si>
  <si>
    <t>TX000730</t>
  </si>
  <si>
    <t>TX000960</t>
  </si>
  <si>
    <t>TX001654</t>
  </si>
  <si>
    <t>TX001848</t>
  </si>
  <si>
    <t>TX000199</t>
  </si>
  <si>
    <t>TX000209</t>
  </si>
  <si>
    <t>TX000289</t>
  </si>
  <si>
    <t>TX001783</t>
  </si>
  <si>
    <t>TX001080</t>
  </si>
  <si>
    <t>TX000749</t>
  </si>
  <si>
    <t>TX001178</t>
  </si>
  <si>
    <t>TX000409</t>
  </si>
  <si>
    <t>TX000143</t>
  </si>
  <si>
    <t>TX000023</t>
  </si>
  <si>
    <t>TX000205</t>
  </si>
  <si>
    <t>TX000189</t>
  </si>
  <si>
    <t>TX001139</t>
  </si>
  <si>
    <t>TX000341</t>
  </si>
  <si>
    <t>TX000642</t>
  </si>
  <si>
    <t>TX002077</t>
  </si>
  <si>
    <t>TX002210</t>
  </si>
  <si>
    <t>TX001597</t>
  </si>
  <si>
    <t>TX000889</t>
  </si>
  <si>
    <t>TX001998</t>
  </si>
  <si>
    <t>TX000919</t>
  </si>
  <si>
    <t>TX002236</t>
  </si>
  <si>
    <t>TX002066</t>
  </si>
  <si>
    <t>TX000532</t>
  </si>
  <si>
    <t>TX000830</t>
  </si>
  <si>
    <t>TX000835</t>
  </si>
  <si>
    <t>TX001116</t>
  </si>
  <si>
    <t>TX000082</t>
  </si>
  <si>
    <t>TX000708</t>
  </si>
  <si>
    <t>TX000400</t>
  </si>
  <si>
    <t>TX000052</t>
  </si>
  <si>
    <t>TX000772</t>
  </si>
  <si>
    <t>TX000641</t>
  </si>
  <si>
    <t>TX001335</t>
  </si>
  <si>
    <t>TX001129</t>
  </si>
  <si>
    <t>TX000720</t>
  </si>
  <si>
    <t>TX001805</t>
  </si>
  <si>
    <t>TX000391</t>
  </si>
  <si>
    <t>TX001942</t>
  </si>
  <si>
    <t>TX000139</t>
  </si>
  <si>
    <t>TX001886</t>
  </si>
  <si>
    <t>TX001218</t>
  </si>
  <si>
    <t>TX000562</t>
  </si>
  <si>
    <t>TX000095</t>
  </si>
  <si>
    <t>TX002218</t>
  </si>
  <si>
    <t>TX001857</t>
  </si>
  <si>
    <t>TX001489</t>
  </si>
  <si>
    <t>TX000665</t>
  </si>
  <si>
    <t>TX001638</t>
  </si>
  <si>
    <t>TX001244</t>
  </si>
  <si>
    <t>TX001184</t>
  </si>
  <si>
    <t>TX000609</t>
  </si>
  <si>
    <t>TX002028</t>
  </si>
  <si>
    <t>TX001710</t>
  </si>
  <si>
    <t>TX000172</t>
  </si>
  <si>
    <t>TX001375</t>
  </si>
  <si>
    <t>TX001720</t>
  </si>
  <si>
    <t>TX001261</t>
  </si>
  <si>
    <t>TX001323</t>
  </si>
  <si>
    <t>TX000949</t>
  </si>
  <si>
    <t>TX002121</t>
  </si>
  <si>
    <t>TX001300</t>
  </si>
  <si>
    <t>TX001990</t>
  </si>
  <si>
    <t>TX001404</t>
  </si>
  <si>
    <t>TX001388</t>
  </si>
  <si>
    <t>TX001655</t>
  </si>
  <si>
    <t>TX001976</t>
  </si>
  <si>
    <t>TX000161</t>
  </si>
  <si>
    <t>TX000932</t>
  </si>
  <si>
    <t>TX002125</t>
  </si>
  <si>
    <t>TX001273</t>
  </si>
  <si>
    <t>TX001246</t>
  </si>
  <si>
    <t>TX001083</t>
  </si>
  <si>
    <t>TX001311</t>
  </si>
  <si>
    <t>TX001584</t>
  </si>
  <si>
    <t>TX000421</t>
  </si>
  <si>
    <t>TX001786</t>
  </si>
  <si>
    <t>TX000287</t>
  </si>
  <si>
    <t>TX001209</t>
  </si>
  <si>
    <t>TX002249</t>
  </si>
  <si>
    <t>TX000017</t>
  </si>
  <si>
    <t>TX001600</t>
  </si>
  <si>
    <t>TX002033</t>
  </si>
  <si>
    <t>TX002069</t>
  </si>
  <si>
    <t>TX000131</t>
  </si>
  <si>
    <t>TX001045</t>
  </si>
  <si>
    <t>TX002315</t>
  </si>
  <si>
    <t>TX000488</t>
  </si>
  <si>
    <t>TX001395</t>
  </si>
  <si>
    <t>TX000136</t>
  </si>
  <si>
    <t>TX002023</t>
  </si>
  <si>
    <t>TX000530</t>
  </si>
  <si>
    <t>TX002169</t>
  </si>
  <si>
    <t>TX000212</t>
  </si>
  <si>
    <t>TX001525</t>
  </si>
  <si>
    <t>TX001037</t>
  </si>
  <si>
    <t>TX000275</t>
  </si>
  <si>
    <t>TX001119</t>
  </si>
  <si>
    <t>TX000089</t>
  </si>
  <si>
    <t>TX000751</t>
  </si>
  <si>
    <t>TX002202</t>
  </si>
  <si>
    <t>TX000299</t>
  </si>
  <si>
    <t>TX002283</t>
  </si>
  <si>
    <t>TX001530</t>
  </si>
  <si>
    <t>TX002310</t>
  </si>
  <si>
    <t>TX000603</t>
  </si>
  <si>
    <t>TX002234</t>
  </si>
  <si>
    <t>TX002213</t>
  </si>
  <si>
    <t>TX001231</t>
  </si>
  <si>
    <t>TX001566</t>
  </si>
  <si>
    <t>TX001228</t>
  </si>
  <si>
    <t>TX001158</t>
  </si>
  <si>
    <t>TX000104</t>
  </si>
  <si>
    <t>TX001939</t>
  </si>
  <si>
    <t>TX000217</t>
  </si>
  <si>
    <t>TX000046</t>
  </si>
  <si>
    <t>TX002099</t>
  </si>
  <si>
    <t>TX000997</t>
  </si>
  <si>
    <t>TX002173</t>
  </si>
  <si>
    <t>TX000927</t>
  </si>
  <si>
    <t>TX001124</t>
  </si>
  <si>
    <t>TX002164</t>
  </si>
  <si>
    <t>TX000366</t>
  </si>
  <si>
    <t>TX001999</t>
  </si>
  <si>
    <t>TX000529</t>
  </si>
  <si>
    <t>TX000045</t>
  </si>
  <si>
    <t>TX002194</t>
  </si>
  <si>
    <t>TX000482</t>
  </si>
  <si>
    <t>TX000527</t>
  </si>
  <si>
    <t>TX000449</t>
  </si>
  <si>
    <t>TX002156</t>
  </si>
  <si>
    <t>TX000572</t>
  </si>
  <si>
    <t>TX000111</t>
  </si>
  <si>
    <t>TX001484</t>
  </si>
  <si>
    <t>TX002209</t>
  </si>
  <si>
    <t>TX001205</t>
  </si>
  <si>
    <t>TX001673</t>
  </si>
  <si>
    <t>TX000600</t>
  </si>
  <si>
    <t>TX002189</t>
  </si>
  <si>
    <t>TX000309</t>
  </si>
  <si>
    <t>TX000834</t>
  </si>
  <si>
    <t>TX000942</t>
  </si>
  <si>
    <t>TX000063</t>
  </si>
  <si>
    <t>TX001437</t>
  </si>
  <si>
    <t>TX000987</t>
  </si>
  <si>
    <t>TX001371</t>
  </si>
  <si>
    <t>TX000333</t>
  </si>
  <si>
    <t>TX002021</t>
  </si>
  <si>
    <t>TX002188</t>
  </si>
  <si>
    <t>TX001797</t>
  </si>
  <si>
    <t>TX001455</t>
  </si>
  <si>
    <t>TX000630</t>
  </si>
  <si>
    <t>TX001241</t>
  </si>
  <si>
    <t>TX001316</t>
  </si>
  <si>
    <t>TX002155</t>
  </si>
  <si>
    <t>TX001498</t>
  </si>
  <si>
    <t>TX002127</t>
  </si>
  <si>
    <t>TX000824</t>
  </si>
  <si>
    <t>TX001722</t>
  </si>
  <si>
    <t>TX000461</t>
  </si>
  <si>
    <t>TX001088</t>
  </si>
  <si>
    <t>TX000160</t>
  </si>
  <si>
    <t>TX000740</t>
  </si>
  <si>
    <t>TX001382</t>
  </si>
  <si>
    <t>TX001347</t>
  </si>
  <si>
    <t>TX001642</t>
  </si>
  <si>
    <t>TX001240</t>
  </si>
  <si>
    <t>TX000084</t>
  </si>
  <si>
    <t>TX002178</t>
  </si>
  <si>
    <t>TX000428</t>
  </si>
  <si>
    <t>TX000290</t>
  </si>
  <si>
    <t>TX002082</t>
  </si>
  <si>
    <t>TX000240</t>
  </si>
  <si>
    <t>TX000770</t>
  </si>
  <si>
    <t>TX000402</t>
  </si>
  <si>
    <t>TX000155</t>
  </si>
  <si>
    <t>TX000619</t>
  </si>
  <si>
    <t>TX002230</t>
  </si>
  <si>
    <t>TX000296</t>
  </si>
  <si>
    <t>TX001661</t>
  </si>
  <si>
    <t>TX000280</t>
  </si>
  <si>
    <t>TX000582</t>
  </si>
  <si>
    <t>TX002176</t>
  </si>
  <si>
    <t>TX001724</t>
  </si>
  <si>
    <t>TX001684</t>
  </si>
  <si>
    <t>TX001230</t>
  </si>
  <si>
    <t>TX000719</t>
  </si>
  <si>
    <t>TX001938</t>
  </si>
  <si>
    <t>TX000596</t>
  </si>
  <si>
    <t>TX000970</t>
  </si>
  <si>
    <t>TX000699</t>
  </si>
  <si>
    <t>TX000977</t>
  </si>
  <si>
    <t>TX000951</t>
  </si>
  <si>
    <t>TX000427</t>
  </si>
  <si>
    <t>TX000176</t>
  </si>
  <si>
    <t>TX000080</t>
  </si>
  <si>
    <t>TX000594</t>
  </si>
  <si>
    <t>TX001941</t>
  </si>
  <si>
    <t>TX002154</t>
  </si>
  <si>
    <t>TX000492</t>
  </si>
  <si>
    <t>TX002136</t>
  </si>
  <si>
    <t>TX002248</t>
  </si>
  <si>
    <t>TX001354</t>
  </si>
  <si>
    <t>TX000825</t>
  </si>
  <si>
    <t>TX000495</t>
  </si>
  <si>
    <t>TX000800</t>
  </si>
  <si>
    <t>TX002011</t>
  </si>
  <si>
    <t>TX000848</t>
  </si>
  <si>
    <t>TX001229</t>
  </si>
  <si>
    <t>TX002158</t>
  </si>
  <si>
    <t>TX000888</t>
  </si>
  <si>
    <t>TX001861</t>
  </si>
  <si>
    <t>TX001892</t>
  </si>
  <si>
    <t>TX001458</t>
  </si>
  <si>
    <t>TX002261</t>
  </si>
  <si>
    <t>TX001104</t>
  </si>
  <si>
    <t>TX002285</t>
  </si>
  <si>
    <t>TX001688</t>
  </si>
  <si>
    <t>TX000410</t>
  </si>
  <si>
    <t>TX000013</t>
  </si>
  <si>
    <t>TX001380</t>
  </si>
  <si>
    <t>TX000405</t>
  </si>
  <si>
    <t>TX001098</t>
  </si>
  <si>
    <t>TX001895</t>
  </si>
  <si>
    <t>TX000952</t>
  </si>
  <si>
    <t>TX002001</t>
  </si>
  <si>
    <t>TX000975</t>
  </si>
  <si>
    <t>TX001372</t>
  </si>
  <si>
    <t>TX000216</t>
  </si>
  <si>
    <t>TX002184</t>
  </si>
  <si>
    <t>TX001738</t>
  </si>
  <si>
    <t>TX000472</t>
  </si>
  <si>
    <t>TX001363</t>
  </si>
  <si>
    <t>TX000539</t>
  </si>
  <si>
    <t>TX001160</t>
  </si>
  <si>
    <t>TX000991</t>
  </si>
  <si>
    <t>TX002277</t>
  </si>
  <si>
    <t>TX001009</t>
  </si>
  <si>
    <t>TX002250</t>
  </si>
  <si>
    <t>TX000875</t>
  </si>
  <si>
    <t>TX000497</t>
  </si>
  <si>
    <t>TX000312</t>
  </si>
  <si>
    <t>TX000132</t>
  </si>
  <si>
    <t>TX000252</t>
  </si>
  <si>
    <t>TX001048</t>
  </si>
  <si>
    <t>TX000137</t>
  </si>
  <si>
    <t>TX000648</t>
  </si>
  <si>
    <t>TX000595</t>
  </si>
  <si>
    <t>TX001982</t>
  </si>
  <si>
    <t>TX000585</t>
  </si>
  <si>
    <t>TX000811</t>
  </si>
  <si>
    <t>TX001752</t>
  </si>
  <si>
    <t>TX000279</t>
  </si>
  <si>
    <t>TX000360</t>
  </si>
  <si>
    <t>TX001270</t>
  </si>
  <si>
    <t>TX001585</t>
  </si>
  <si>
    <t>TX002084</t>
  </si>
  <si>
    <t>TX000351</t>
  </si>
  <si>
    <t>TX001293</t>
  </si>
  <si>
    <t>TX002274</t>
  </si>
  <si>
    <t>TX001275</t>
  </si>
  <si>
    <t>TX002293</t>
  </si>
  <si>
    <t>TX000028</t>
  </si>
  <si>
    <t>TX001767</t>
  </si>
  <si>
    <t>TX000660</t>
  </si>
  <si>
    <t>TX001308</t>
  </si>
  <si>
    <t>TX000571</t>
  </si>
  <si>
    <t>TX001189</t>
  </si>
  <si>
    <t>TX001671</t>
  </si>
  <si>
    <t>TX002122</t>
  </si>
  <si>
    <t>TX000650</t>
  </si>
  <si>
    <t>TX000869</t>
  </si>
  <si>
    <t>TX001393</t>
  </si>
  <si>
    <t>TX000891</t>
  </si>
  <si>
    <t>TX001052</t>
  </si>
  <si>
    <t>TX000828</t>
  </si>
  <si>
    <t>TX001768</t>
  </si>
  <si>
    <t>TX001536</t>
  </si>
  <si>
    <t>TX001637</t>
  </si>
  <si>
    <t>TX001563</t>
  </si>
  <si>
    <t>TX001420</t>
  </si>
  <si>
    <t>TX001058</t>
  </si>
  <si>
    <t>TX000598</t>
  </si>
  <si>
    <t>TX001011</t>
  </si>
  <si>
    <t>TX000861</t>
  </si>
  <si>
    <t>TX001415</t>
  </si>
  <si>
    <t>TX000091</t>
  </si>
  <si>
    <t>TX001749</t>
  </si>
  <si>
    <t>TX000790</t>
  </si>
  <si>
    <t>TX000263</t>
  </si>
  <si>
    <t>TX000712</t>
  </si>
  <si>
    <t>TX001537</t>
  </si>
  <si>
    <t>TX002022</t>
  </si>
  <si>
    <t>TX000149</t>
  </si>
  <si>
    <t>TX002049</t>
  </si>
  <si>
    <t>TX002117</t>
  </si>
  <si>
    <t>TX000079</t>
  </si>
  <si>
    <t>TX001853</t>
  </si>
  <si>
    <t>TX001643</t>
  </si>
  <si>
    <t>TX000998</t>
  </si>
  <si>
    <t>TX000036</t>
  </si>
  <si>
    <t>TX001294</t>
  </si>
  <si>
    <t>TX000235</t>
  </si>
  <si>
    <t>TX001266</t>
  </si>
  <si>
    <t>TX000324</t>
  </si>
  <si>
    <t>TX002013</t>
  </si>
  <si>
    <t>TX001031</t>
  </si>
  <si>
    <t>TX001629</t>
  </si>
  <si>
    <t>TX002290</t>
  </si>
  <si>
    <t>TX000816</t>
  </si>
  <si>
    <t>TX001049</t>
  </si>
  <si>
    <t>TX002271</t>
  </si>
  <si>
    <t>TX000396</t>
  </si>
  <si>
    <t>TX000782</t>
  </si>
  <si>
    <t>TX001729</t>
  </si>
  <si>
    <t>TX001518</t>
  </si>
  <si>
    <t>TX002135</t>
  </si>
  <si>
    <t>TX000504</t>
  </si>
  <si>
    <t>TX002029</t>
  </si>
  <si>
    <t>TX000384</t>
  </si>
  <si>
    <t>TX000311</t>
  </si>
  <si>
    <t>TX002010</t>
  </si>
  <si>
    <t>TX000905</t>
  </si>
  <si>
    <t>TX000521</t>
  </si>
  <si>
    <t>TX001592</t>
  </si>
  <si>
    <t>TX001736</t>
  </si>
  <si>
    <t>TX000760</t>
  </si>
  <si>
    <t>TX000190</t>
  </si>
  <si>
    <t>TX001756</t>
  </si>
  <si>
    <t>TX000664</t>
  </si>
  <si>
    <t>TX001016</t>
  </si>
  <si>
    <t>TX000575</t>
  </si>
  <si>
    <t>TX000316</t>
  </si>
  <si>
    <t>TX000743</t>
  </si>
  <si>
    <t>TX001444</t>
  </si>
  <si>
    <t>TX002171</t>
  </si>
  <si>
    <t>TX001818</t>
  </si>
  <si>
    <t>TX000787</t>
  </si>
  <si>
    <t>TX002300</t>
  </si>
  <si>
    <t>TX000962</t>
  </si>
  <si>
    <t>TX000027</t>
  </si>
  <si>
    <t>TX001538</t>
  </si>
  <si>
    <t>TX001288</t>
  </si>
  <si>
    <t>TX000667</t>
  </si>
  <si>
    <t>TX000257</t>
  </si>
  <si>
    <t>TX001556</t>
  </si>
  <si>
    <t>TX001622</t>
  </si>
  <si>
    <t>TX001213</t>
  </si>
  <si>
    <t>TX001214</t>
  </si>
  <si>
    <t>TX000967</t>
  </si>
  <si>
    <t>TX000683</t>
  </si>
  <si>
    <t>TX000689</t>
  </si>
  <si>
    <t>TX000864</t>
  </si>
  <si>
    <t>TX000499</t>
  </si>
  <si>
    <t>TX000042</t>
  </si>
  <si>
    <t>TX000992</t>
  </si>
  <si>
    <t>TX001908</t>
  </si>
  <si>
    <t>TX000100</t>
  </si>
  <si>
    <t>TX001615</t>
  </si>
  <si>
    <t>TX000923</t>
  </si>
  <si>
    <t>TX002040</t>
  </si>
  <si>
    <t>TX001441</t>
  </si>
  <si>
    <t>TX000721</t>
  </si>
  <si>
    <t>TX000437</t>
  </si>
  <si>
    <t>TX001101</t>
  </si>
  <si>
    <t>TX002039</t>
  </si>
  <si>
    <t>TX001577</t>
  </si>
  <si>
    <t>TX001948</t>
  </si>
  <si>
    <t>TX000517</t>
  </si>
  <si>
    <t>TX000820</t>
  </si>
  <si>
    <t>TX001117</t>
  </si>
  <si>
    <t>TX000157</t>
  </si>
  <si>
    <t>TX002020</t>
  </si>
  <si>
    <t>TX000420</t>
  </si>
  <si>
    <t>TX000832</t>
  </si>
  <si>
    <t>TX001851</t>
  </si>
  <si>
    <t>TX000778</t>
  </si>
  <si>
    <t>TX000503</t>
  </si>
  <si>
    <t>TX001988</t>
  </si>
  <si>
    <t>TX002295</t>
  </si>
  <si>
    <t>TX001520</t>
  </si>
  <si>
    <t>TX001624</t>
  </si>
  <si>
    <t>TX001840</t>
  </si>
  <si>
    <t>TX001652</t>
  </si>
  <si>
    <t>TX001225</t>
  </si>
  <si>
    <t>TX000350</t>
  </si>
  <si>
    <t>TX001645</t>
  </si>
  <si>
    <t>TX001057</t>
  </si>
  <si>
    <t>TX000636</t>
  </si>
  <si>
    <t>TX001822</t>
  </si>
  <si>
    <t>TX000319</t>
  </si>
  <si>
    <t>TX001396</t>
  </si>
  <si>
    <t>TX000544</t>
  </si>
  <si>
    <t>TX000356</t>
  </si>
  <si>
    <t>TX001619</t>
  </si>
  <si>
    <t>TX002203</t>
  </si>
  <si>
    <t>TX000494</t>
  </si>
  <si>
    <t>TX002233</t>
  </si>
  <si>
    <t>TX001717</t>
  </si>
  <si>
    <t>TX000724</t>
  </si>
  <si>
    <t>TX000181</t>
  </si>
  <si>
    <t>TX002211</t>
  </si>
  <si>
    <t>TX000245</t>
  </si>
  <si>
    <t>TX000167</t>
  </si>
  <si>
    <t>TX002105</t>
  </si>
  <si>
    <t>TX000393</t>
  </si>
  <si>
    <t>TX001245</t>
  </si>
  <si>
    <t>TX002168</t>
  </si>
  <si>
    <t>TX002008</t>
  </si>
  <si>
    <t>TX000941</t>
  </si>
  <si>
    <t>TX001059</t>
  </si>
  <si>
    <t>TX000086</t>
  </si>
  <si>
    <t>TX000747</t>
  </si>
  <si>
    <t>TX001181</t>
  </si>
  <si>
    <t>TX001882</t>
  </si>
  <si>
    <t>TX001419</t>
  </si>
  <si>
    <t>TX000913</t>
  </si>
  <si>
    <t>TX002116</t>
  </si>
  <si>
    <t>TX001416</t>
  </si>
  <si>
    <t>TX001806</t>
  </si>
  <si>
    <t>TX000982</t>
  </si>
  <si>
    <t>TX000381</t>
  </si>
  <si>
    <t>TX001364</t>
  </si>
  <si>
    <t>TX002212</t>
  </si>
  <si>
    <t>TX001039</t>
  </si>
  <si>
    <t>TX000510</t>
  </si>
  <si>
    <t>TX001885</t>
  </si>
  <si>
    <t>TX000022</t>
  </si>
  <si>
    <t>TX001579</t>
  </si>
  <si>
    <t>TX001541</t>
  </si>
  <si>
    <t>TX000188</t>
  </si>
  <si>
    <t>TX001015</t>
  </si>
  <si>
    <t>TX001505</t>
  </si>
  <si>
    <t>TX000394</t>
  </si>
  <si>
    <t>TX000171</t>
  </si>
  <si>
    <t>TX001682</t>
  </si>
  <si>
    <t>TX000075</t>
  </si>
  <si>
    <t>TX001159</t>
  </si>
  <si>
    <t>TX001587</t>
  </si>
  <si>
    <t>TX000010</t>
  </si>
  <si>
    <t>TX000011</t>
  </si>
  <si>
    <t>TX001817</t>
  </si>
  <si>
    <t>TX002062</t>
  </si>
  <si>
    <t>TX000827</t>
  </si>
  <si>
    <t>TX001239</t>
  </si>
  <si>
    <t>TX002153</t>
  </si>
  <si>
    <t>TX001463</t>
  </si>
  <si>
    <t>TX000285</t>
  </si>
  <si>
    <t>TX001468</t>
  </si>
  <si>
    <t>TX000617</t>
  </si>
  <si>
    <t>TX001360</t>
  </si>
  <si>
    <t>TX002238</t>
  </si>
  <si>
    <t>TX002080</t>
  </si>
  <si>
    <t>TX001150</t>
  </si>
  <si>
    <t>TX002223</t>
  </si>
  <si>
    <t>TX002017</t>
  </si>
  <si>
    <t>TX000474</t>
  </si>
  <si>
    <t>TX000140</t>
  </si>
  <si>
    <t>TX001926</t>
  </si>
  <si>
    <t>TX001190</t>
  </si>
  <si>
    <t>TX001251</t>
  </si>
  <si>
    <t>TX002058</t>
  </si>
  <si>
    <t>TX000192</t>
  </si>
  <si>
    <t>TX001331</t>
  </si>
  <si>
    <t>TX001812</t>
  </si>
  <si>
    <t>TX001257</t>
  </si>
  <si>
    <t>TX000056</t>
  </si>
  <si>
    <t>TX000483</t>
  </si>
  <si>
    <t>TX000044</t>
  </si>
  <si>
    <t>TX001824</t>
  </si>
  <si>
    <t>TX000321</t>
  </si>
  <si>
    <t>TX001914</t>
  </si>
  <si>
    <t>TX002149</t>
  </si>
  <si>
    <t>TX000755</t>
  </si>
  <si>
    <t>TX001042</t>
  </si>
  <si>
    <t>TX002299</t>
  </si>
  <si>
    <t>TX000431</t>
  </si>
  <si>
    <t>TX000210</t>
  </si>
  <si>
    <t>TX001816</t>
  </si>
  <si>
    <t>TX001697</t>
  </si>
  <si>
    <t>TX001833</t>
  </si>
  <si>
    <t>TX000208</t>
  </si>
  <si>
    <t>TX000238</t>
  </si>
  <si>
    <t>TX001004</t>
  </si>
  <si>
    <t>TX001949</t>
  </si>
  <si>
    <t>TX000346</t>
  </si>
  <si>
    <t>TX000963</t>
  </si>
  <si>
    <t>TX001863</t>
  </si>
  <si>
    <t>TX001834</t>
  </si>
  <si>
    <t>TX001519</t>
  </si>
  <si>
    <t>TX001365</t>
  </si>
  <si>
    <t>TX001383</t>
  </si>
  <si>
    <t>TX000458</t>
  </si>
  <si>
    <t>TX001200</t>
  </si>
  <si>
    <t>TX000301</t>
  </si>
  <si>
    <t>TX002244</t>
  </si>
  <si>
    <t>TX000460</t>
  </si>
  <si>
    <t>TX000943</t>
  </si>
  <si>
    <t>TX001490</t>
  </si>
  <si>
    <t>TX001408</t>
  </si>
  <si>
    <t>TX001260</t>
  </si>
  <si>
    <t>TX001859</t>
  </si>
  <si>
    <t>TX000475</t>
  </si>
  <si>
    <t>TX001977</t>
  </si>
  <si>
    <t>TX002063</t>
  </si>
  <si>
    <t>TX001109</t>
  </si>
  <si>
    <t>TX000464</t>
  </si>
  <si>
    <t>TX000006</t>
  </si>
  <si>
    <t>TX000842</t>
  </si>
  <si>
    <t>TX000327</t>
  </si>
  <si>
    <t>TX002257</t>
  </si>
  <si>
    <t>TX001511</t>
  </si>
  <si>
    <t>TX001449</t>
  </si>
  <si>
    <t>TX001936</t>
  </si>
  <si>
    <t>TX000893</t>
  </si>
  <si>
    <t>TX001084</t>
  </si>
  <si>
    <t>TX000014</t>
  </si>
  <si>
    <t>TX001154</t>
  </si>
  <si>
    <t>TX000695</t>
  </si>
  <si>
    <t>TX000388</t>
  </si>
  <si>
    <t>TX000524</t>
  </si>
  <si>
    <t>TX001669</t>
  </si>
  <si>
    <t>TX001726</t>
  </si>
  <si>
    <t>TX001735</t>
  </si>
  <si>
    <t>TX001286</t>
  </si>
  <si>
    <t>TX000604</t>
  </si>
  <si>
    <t>TX000843</t>
  </si>
  <si>
    <t>TX000323</t>
  </si>
  <si>
    <t>TX001564</t>
  </si>
  <si>
    <t>TX002222</t>
  </si>
  <si>
    <t>TX001014</t>
  </si>
  <si>
    <t>TX001854</t>
  </si>
  <si>
    <t>TX002064</t>
  </si>
  <si>
    <t>TX002284</t>
  </si>
  <si>
    <t>TX001503</t>
  </si>
  <si>
    <t>TX000555</t>
  </si>
  <si>
    <t>TX001281</t>
  </si>
  <si>
    <t>TX000831</t>
  </si>
  <si>
    <t>TX001856</t>
  </si>
  <si>
    <t>TX000456</t>
  </si>
  <si>
    <t>TX000308</t>
  </si>
  <si>
    <t>TX000073</t>
  </si>
  <si>
    <t>TX000258</t>
  </si>
  <si>
    <t>TX001762</t>
  </si>
  <si>
    <t>TX000003</t>
  </si>
  <si>
    <t>TX001303</t>
  </si>
  <si>
    <t>TX002047</t>
  </si>
  <si>
    <t>TX002305</t>
  </si>
  <si>
    <t>TX001448</t>
  </si>
  <si>
    <t>TX001392</t>
  </si>
  <si>
    <t>TX002201</t>
  </si>
  <si>
    <t>TX000930</t>
  </si>
  <si>
    <t>TX001981</t>
  </si>
  <si>
    <t>TX001970</t>
  </si>
  <si>
    <t>TX000480</t>
  </si>
  <si>
    <t>TX002256</t>
  </si>
  <si>
    <t>TX001829</t>
  </si>
  <si>
    <t>TX000910</t>
  </si>
  <si>
    <t>TX000118</t>
  </si>
  <si>
    <t>TX001611</t>
  </si>
  <si>
    <t>TX002111</t>
  </si>
  <si>
    <t>TX001030</t>
  </si>
  <si>
    <t>TX001235</t>
  </si>
  <si>
    <t>TX000467</t>
  </si>
  <si>
    <t>TX002030</t>
  </si>
  <si>
    <t>TX001732</t>
  </si>
  <si>
    <t>TX001469</t>
  </si>
  <si>
    <t>TX000446</t>
  </si>
  <si>
    <t>TX001963</t>
  </si>
  <si>
    <t>TX001036</t>
  </si>
  <si>
    <t>TX001199</t>
  </si>
  <si>
    <t>TX001357</t>
  </si>
  <si>
    <t>TX000777</t>
  </si>
  <si>
    <t>TX000605</t>
  </si>
  <si>
    <t>TX000569</t>
  </si>
  <si>
    <t>TX001681</t>
  </si>
  <si>
    <t>TX002275</t>
  </si>
  <si>
    <t>TX001079</t>
  </si>
  <si>
    <t>TX001093</t>
  </si>
  <si>
    <t>TX001258</t>
  </si>
  <si>
    <t>TX000085</t>
  </si>
  <si>
    <t>TX001677</t>
  </si>
  <si>
    <t>TX002074</t>
  </si>
  <si>
    <t>TX002091</t>
  </si>
  <si>
    <t>TX001534</t>
  </si>
  <si>
    <t>TX001212</t>
  </si>
  <si>
    <t>TX000756</t>
  </si>
  <si>
    <t>TX001873</t>
  </si>
  <si>
    <t>TX000152</t>
  </si>
  <si>
    <t>TX002027</t>
  </si>
  <si>
    <t>TX001547</t>
  </si>
  <si>
    <t>TX000389</t>
  </si>
  <si>
    <t>TX001162</t>
  </si>
  <si>
    <t>TX000732</t>
  </si>
  <si>
    <t>TX000173</t>
  </si>
  <si>
    <t>TX001557</t>
  </si>
  <si>
    <t>TX000531</t>
  </si>
  <si>
    <t>TX002162</t>
  </si>
  <si>
    <t>TX000766</t>
  </si>
  <si>
    <t>TX000736</t>
  </si>
  <si>
    <t>TX001362</t>
  </si>
  <si>
    <t>TX001993</t>
  </si>
  <si>
    <t>TX002114</t>
  </si>
  <si>
    <t>TX002007</t>
  </si>
  <si>
    <t>TX000375</t>
  </si>
  <si>
    <t>TX001513</t>
  </si>
  <si>
    <t>TX000710</t>
  </si>
  <si>
    <t>TX000938</t>
  </si>
  <si>
    <t>TX002199</t>
  </si>
  <si>
    <t>TX001185</t>
  </si>
  <si>
    <t>TX001075</t>
  </si>
  <si>
    <t>TX001137</t>
  </si>
  <si>
    <t>TX001864</t>
  </si>
  <si>
    <t>TX000671</t>
  </si>
  <si>
    <t>TX000033</t>
  </si>
  <si>
    <t>TX000239</t>
  </si>
  <si>
    <t>TX000128</t>
  </si>
  <si>
    <t>TX000355</t>
  </si>
  <si>
    <t>TX000165</t>
  </si>
  <si>
    <t>TX001576</t>
  </si>
  <si>
    <t>TX002220</t>
  </si>
  <si>
    <t>TX001814</t>
  </si>
  <si>
    <t>TX001320</t>
  </si>
  <si>
    <t>TX001781</t>
  </si>
  <si>
    <t>TX001499</t>
  </si>
  <si>
    <t>TX000493</t>
  </si>
  <si>
    <t>TX000473</t>
  </si>
  <si>
    <t>TX000974</t>
  </si>
  <si>
    <t>TX001787</t>
  </si>
  <si>
    <t>TX001909</t>
  </si>
  <si>
    <t>TX001683</t>
  </si>
  <si>
    <t>TX000090</t>
  </si>
  <si>
    <t>TX001686</t>
  </si>
  <si>
    <t>TX000098</t>
  </si>
  <si>
    <t>TX001067</t>
  </si>
  <si>
    <t>TX001024</t>
  </si>
  <si>
    <t>TX001935</t>
  </si>
  <si>
    <t>TX001725</t>
  </si>
  <si>
    <t>TX000450</t>
  </si>
  <si>
    <t>TX000551</t>
  </si>
  <si>
    <t>TX002081</t>
  </si>
  <si>
    <t>TX001608</t>
  </si>
  <si>
    <t>TX000219</t>
  </si>
  <si>
    <t>TX000179</t>
  </si>
  <si>
    <t>TX000434</t>
  </si>
  <si>
    <t>TX001341</t>
  </si>
  <si>
    <t>TX001321</t>
  </si>
  <si>
    <t>TX001501</t>
  </si>
  <si>
    <t>TX001842</t>
  </si>
  <si>
    <t>TX000568</t>
  </si>
  <si>
    <t>TX000682</t>
  </si>
  <si>
    <t>TX001517</t>
  </si>
  <si>
    <t>TX001410</t>
  </si>
  <si>
    <t>TX000742</t>
  </si>
  <si>
    <t>TX001306</t>
  </si>
  <si>
    <t>TX001906</t>
  </si>
  <si>
    <t>TX000484</t>
  </si>
  <si>
    <t>TX001952</t>
  </si>
  <si>
    <t>TX002060</t>
  </si>
  <si>
    <t>TX002272</t>
  </si>
  <si>
    <t>TX000438</t>
  </si>
  <si>
    <t>TX001618</t>
  </si>
  <si>
    <t>TX000781</t>
  </si>
  <si>
    <t>TX000549</t>
  </si>
  <si>
    <t>TX000854</t>
  </si>
  <si>
    <t>TX001086</t>
  </si>
  <si>
    <t>TX002200</t>
  </si>
  <si>
    <t>TX000783</t>
  </si>
  <si>
    <t>TX001894</t>
  </si>
  <si>
    <t>TX001586</t>
  </si>
  <si>
    <t>TX001813</t>
  </si>
  <si>
    <t>TX001008</t>
  </si>
  <si>
    <t>TX001666</t>
  </si>
  <si>
    <t>TX001887</t>
  </si>
  <si>
    <t>TX000674</t>
  </si>
  <si>
    <t>TX002266</t>
  </si>
  <si>
    <t>TX000687</t>
  </si>
  <si>
    <t>TX001745</t>
  </si>
  <si>
    <t>TX000459</t>
  </si>
  <si>
    <t>TX000818</t>
  </si>
  <si>
    <t>TX001268</t>
  </si>
  <si>
    <t>TX000753</t>
  </si>
  <si>
    <t>TX000122</t>
  </si>
  <si>
    <t>TX000700</t>
  </si>
  <si>
    <t>TX000877</t>
  </si>
  <si>
    <t>TX001612</t>
  </si>
  <si>
    <t>TX001766</t>
  </si>
  <si>
    <t>TX001041</t>
  </si>
  <si>
    <t>TX000897</t>
  </si>
  <si>
    <t>TX002174</t>
  </si>
  <si>
    <t>TX000579</t>
  </si>
  <si>
    <t>TX001445</t>
  </si>
  <si>
    <t>TX000856</t>
  </si>
  <si>
    <t>TX001810</t>
  </si>
  <si>
    <t>TX000039</t>
  </si>
  <si>
    <t>TX001318</t>
  </si>
  <si>
    <t>TX000032</t>
  </si>
  <si>
    <t>TX002143</t>
  </si>
  <si>
    <t>TX000107</t>
  </si>
  <si>
    <t>TX000024</t>
  </si>
  <si>
    <t>TX000711</t>
  </si>
  <si>
    <t>TX000070</t>
  </si>
  <si>
    <t>TX000200</t>
  </si>
  <si>
    <t>TX002042</t>
  </si>
  <si>
    <t>TX001120</t>
  </si>
  <si>
    <t>TX002175</t>
  </si>
  <si>
    <t>TX001128</t>
  </si>
  <si>
    <t>TX001580</t>
  </si>
  <si>
    <t>TX001191</t>
  </si>
  <si>
    <t>TX001951</t>
  </si>
  <si>
    <t>TX001271</t>
  </si>
  <si>
    <t>TX001174</t>
  </si>
  <si>
    <t>TX001099</t>
  </si>
  <si>
    <t>TX001532</t>
  </si>
  <si>
    <t>TX002205</t>
  </si>
  <si>
    <t>TX001243</t>
  </si>
  <si>
    <t>TX000385</t>
  </si>
  <si>
    <t>TX001149</t>
  </si>
  <si>
    <t>TX000266</t>
  </si>
  <si>
    <t>TX001704</t>
  </si>
  <si>
    <t>TX002163</t>
  </si>
  <si>
    <t>TX001017</t>
  </si>
  <si>
    <t>TX001459</t>
  </si>
  <si>
    <t>TX001135</t>
  </si>
  <si>
    <t>TX001946</t>
  </si>
  <si>
    <t>TX001065</t>
  </si>
  <si>
    <t>TX000505</t>
  </si>
  <si>
    <t>TX000277</t>
  </si>
  <si>
    <t>TX000810</t>
  </si>
  <si>
    <t>TX000340</t>
  </si>
  <si>
    <t>TX001975</t>
  </si>
  <si>
    <t>TX001533</t>
  </si>
  <si>
    <t>TX000946</t>
  </si>
  <si>
    <t>TX002004</t>
  </si>
  <si>
    <t>TX000186</t>
  </si>
  <si>
    <t>TX000799</t>
  </si>
  <si>
    <t>TX000931</t>
  </si>
  <si>
    <t>TX001893</t>
  </si>
  <si>
    <t>TX000745</t>
  </si>
  <si>
    <t>TX000979</t>
  </si>
  <si>
    <t>TX002019</t>
  </si>
  <si>
    <t>TX001121</t>
  </si>
  <si>
    <t>TX000062</t>
  </si>
  <si>
    <t>TX001603</t>
  </si>
  <si>
    <t>TX000798</t>
  </si>
  <si>
    <t>TX001771</t>
  </si>
  <si>
    <t>TX002287</t>
  </si>
  <si>
    <t>TX001152</t>
  </si>
  <si>
    <t>TX000142</t>
  </si>
  <si>
    <t>TX002150</t>
  </si>
  <si>
    <t>TX002148</t>
  </si>
  <si>
    <t>TX001784</t>
  </si>
  <si>
    <t>TX001332</t>
  </si>
  <si>
    <t>TX000194</t>
  </si>
  <si>
    <t>TX000647</t>
  </si>
  <si>
    <t>TX001527</t>
  </si>
  <si>
    <t>TX000034</t>
  </si>
  <si>
    <t>TX001965</t>
  </si>
  <si>
    <t>TX000801</t>
  </si>
  <si>
    <t>TX000058</t>
  </si>
  <si>
    <t>TX000939</t>
  </si>
  <si>
    <t>TX001754</t>
  </si>
  <si>
    <t>TX000359</t>
  </si>
  <si>
    <t>TX001070</t>
  </si>
  <si>
    <t>TX002065</t>
  </si>
  <si>
    <t>TX001569</t>
  </si>
  <si>
    <t>TX001649</t>
  </si>
  <si>
    <t>TX000069</t>
  </si>
  <si>
    <t>TX001343</t>
  </si>
  <si>
    <t>TX000292</t>
  </si>
  <si>
    <t>TX000047</t>
  </si>
  <si>
    <t>TX000924</t>
  </si>
  <si>
    <t>TX000278</t>
  </si>
  <si>
    <t>TX002224</t>
  </si>
  <si>
    <t>TX002278</t>
  </si>
  <si>
    <t>TX000225</t>
  </si>
  <si>
    <t>TX000865</t>
  </si>
  <si>
    <t>TX000382</t>
  </si>
  <si>
    <t>TX001905</t>
  </si>
  <si>
    <t>TX000365</t>
  </si>
  <si>
    <t>TX001901</t>
  </si>
  <si>
    <t>TX001391</t>
  </si>
  <si>
    <t>TX000934</t>
  </si>
  <si>
    <t>TX001025</t>
  </si>
  <si>
    <t>TX000774</t>
  </si>
  <si>
    <t>TX001734</t>
  </si>
  <si>
    <t>TX000067</t>
  </si>
  <si>
    <t>TX001204</t>
  </si>
  <si>
    <t>TX001056</t>
  </si>
  <si>
    <t>TX000868</t>
  </si>
  <si>
    <t>TX001674</t>
  </si>
  <si>
    <t>TX000029</t>
  </si>
  <si>
    <t>TX000295</t>
  </si>
  <si>
    <t>TX001651</t>
  </si>
  <si>
    <t>TX000114</t>
  </si>
  <si>
    <t>TX000246</t>
  </si>
  <si>
    <t>TX001440</t>
  </si>
  <si>
    <t>TX001023</t>
  </si>
  <si>
    <t>TX001186</t>
  </si>
  <si>
    <t>TX000981</t>
  </si>
  <si>
    <t>TX000412</t>
  </si>
  <si>
    <t>TX002051</t>
  </si>
  <si>
    <t>TX001879</t>
  </si>
  <si>
    <t>TX000117</t>
  </si>
  <si>
    <t>TX002231</t>
  </si>
  <si>
    <t>TX002078</t>
  </si>
  <si>
    <t>TX000248</t>
  </si>
  <si>
    <t>TX001514</t>
  </si>
  <si>
    <t>TX000666</t>
  </si>
  <si>
    <t>TX000752</t>
  </si>
  <si>
    <t>TX001957</t>
  </si>
  <si>
    <t>TX001352</t>
  </si>
  <si>
    <t>TX000093</t>
  </si>
  <si>
    <t>TX001406</t>
  </si>
  <si>
    <t>TX000115</t>
  </si>
  <si>
    <t>TX001377</t>
  </si>
  <si>
    <t>TX000255</t>
  </si>
  <si>
    <t>TX000430</t>
  </si>
  <si>
    <t>TX000589</t>
  </si>
  <si>
    <t>TX002312</t>
  </si>
  <si>
    <t>TX002235</t>
  </si>
  <si>
    <t>TX000119</t>
  </si>
  <si>
    <t>TX001414</t>
  </si>
  <si>
    <t>TX000133</t>
  </si>
  <si>
    <t>TX001883</t>
  </si>
  <si>
    <t>TX000264</t>
  </si>
  <si>
    <t>TX002015</t>
  </si>
  <si>
    <t>TX001314</t>
  </si>
  <si>
    <t>TX000247</t>
  </si>
  <si>
    <t>TX001711</t>
  </si>
  <si>
    <t>TX000776</t>
  </si>
  <si>
    <t>TX000553</t>
  </si>
  <si>
    <t>TX001114</t>
  </si>
  <si>
    <t>TX001217</t>
  </si>
  <si>
    <t>TX001778</t>
  </si>
  <si>
    <t>TX000581</t>
  </si>
  <si>
    <t>TX001917</t>
  </si>
  <si>
    <t>TX001461</t>
  </si>
  <si>
    <t>TX001780</t>
  </si>
  <si>
    <t>TX000652</t>
  </si>
  <si>
    <t>TX001676</t>
  </si>
  <si>
    <t>TX001795</t>
  </si>
  <si>
    <t>TX001171</t>
  </si>
  <si>
    <t>TX001143</t>
  </si>
  <si>
    <t>TX001898</t>
  </si>
  <si>
    <t>TX001849</t>
  </si>
  <si>
    <t>TX000197</t>
  </si>
  <si>
    <t>TX000534</t>
  </si>
  <si>
    <t>TX000863</t>
  </si>
  <si>
    <t>TX001792</t>
  </si>
  <si>
    <t>TX001869</t>
  </si>
  <si>
    <t>TX001369</t>
  </si>
  <si>
    <t>TX000898</t>
  </si>
  <si>
    <t>TX001808</t>
  </si>
  <si>
    <t>TX001051</t>
  </si>
  <si>
    <t>TX000677</t>
  </si>
  <si>
    <t>TX000015</t>
  </si>
  <si>
    <t>TX000501</t>
  </si>
  <si>
    <t>TX000968</t>
  </si>
  <si>
    <t>TX001107</t>
  </si>
  <si>
    <t>TX001847</t>
  </si>
  <si>
    <t>TX000241</t>
  </si>
  <si>
    <t>TX002107</t>
  </si>
  <si>
    <t>TX000601</t>
  </si>
  <si>
    <t>TX000876</t>
  </si>
  <si>
    <t>TX000274</t>
  </si>
  <si>
    <t>TX000685</t>
  </si>
  <si>
    <t>TX001962</t>
  </si>
  <si>
    <t>TX001491</t>
  </si>
  <si>
    <t>TX001640</t>
  </si>
  <si>
    <t>TX001134</t>
  </si>
  <si>
    <t>TX001989</t>
  </si>
  <si>
    <t>TX001472</t>
  </si>
  <si>
    <t>TX000372</t>
  </si>
  <si>
    <t>TX002186</t>
  </si>
  <si>
    <t>TX001716</t>
  </si>
  <si>
    <t>TX000272</t>
  </si>
  <si>
    <t>TX000606</t>
  </si>
  <si>
    <t>TX001474</t>
  </si>
  <si>
    <t>TX001254</t>
  </si>
  <si>
    <t>TX001548</t>
  </si>
  <si>
    <t>TX000215</t>
  </si>
  <si>
    <t>TX001967</t>
  </si>
  <si>
    <t>TX000345</t>
  </si>
  <si>
    <t>TX000839</t>
  </si>
  <si>
    <t>TX001616</t>
  </si>
  <si>
    <t>TX000148</t>
  </si>
  <si>
    <t>TX001022</t>
  </si>
  <si>
    <t>TX001984</t>
  </si>
  <si>
    <t>TX001748</t>
  </si>
  <si>
    <t>TX000413</t>
  </si>
  <si>
    <t>TX002207</t>
  </si>
  <si>
    <t>TX001224</t>
  </si>
  <si>
    <t>TX000784</t>
  </si>
  <si>
    <t>TX000343</t>
  </si>
  <si>
    <t>TX000948</t>
  </si>
  <si>
    <t>TX000748</t>
  </si>
  <si>
    <t>TX000174</t>
  </si>
  <si>
    <t>TX001830</t>
  </si>
  <si>
    <t>TX000378</t>
  </si>
  <si>
    <t>TX001492</t>
  </si>
  <si>
    <t>TX000739</t>
  </si>
  <si>
    <t>TX001330</t>
  </si>
  <si>
    <t>TX001568</t>
  </si>
  <si>
    <t>TX001876</t>
  </si>
  <si>
    <t>TX000053</t>
  </si>
  <si>
    <t>TX000019</t>
  </si>
  <si>
    <t>TX001310</t>
  </si>
  <si>
    <t>TX000222</t>
  </si>
  <si>
    <t>TX001839</t>
  </si>
  <si>
    <t>TX001992</t>
  </si>
  <si>
    <t>TX002270</t>
  </si>
  <si>
    <t>TX001390</t>
  </si>
  <si>
    <t>TX001141</t>
  </si>
  <si>
    <t>TX002061</t>
  </si>
  <si>
    <t>TX001431</t>
  </si>
  <si>
    <t>TX001386</t>
  </si>
  <si>
    <t>TX000096</t>
  </si>
  <si>
    <t>TX001500</t>
  </si>
  <si>
    <t>TX000262</t>
  </si>
  <si>
    <t>TX002157</t>
  </si>
  <si>
    <t>TX002075</t>
  </si>
  <si>
    <t>TX001903</t>
  </si>
  <si>
    <t>TX000180</t>
  </si>
  <si>
    <t>TX001127</t>
  </si>
  <si>
    <t>TX001599</t>
  </si>
  <si>
    <t>TX000717</t>
  </si>
  <si>
    <t>TX002294</t>
  </si>
  <si>
    <t>TX001588</t>
  </si>
  <si>
    <t>TX000185</t>
  </si>
  <si>
    <t>TX000468</t>
  </si>
  <si>
    <t>TX001405</t>
  </si>
  <si>
    <t>TX000904</t>
  </si>
  <si>
    <t>TX002087</t>
  </si>
  <si>
    <t>TX000072</t>
  </si>
  <si>
    <t>TX001170</t>
  </si>
  <si>
    <t>TX001930</t>
  </si>
  <si>
    <t>TX001902</t>
  </si>
  <si>
    <t>TX000347</t>
  </si>
  <si>
    <t>TX001837</t>
  </si>
  <si>
    <t>TX001208</t>
  </si>
  <si>
    <t>TX000030</t>
  </si>
  <si>
    <t>TX002214</t>
  </si>
  <si>
    <t>TX000797</t>
  </si>
  <si>
    <t>TX001064</t>
  </si>
  <si>
    <t>TX001529</t>
  </si>
  <si>
    <t>TX000158</t>
  </si>
  <si>
    <t>TX000933</t>
  </si>
  <si>
    <t>TX000659</t>
  </si>
  <si>
    <t>TX001758</t>
  </si>
  <si>
    <t>TX001660</t>
  </si>
  <si>
    <t>TX002221</t>
  </si>
  <si>
    <t>TX000395</t>
  </si>
  <si>
    <t>TX001077</t>
  </si>
  <si>
    <t>TX000989</t>
  </si>
  <si>
    <t>TX000455</t>
  </si>
  <si>
    <t>TX001384</t>
  </si>
  <si>
    <t>TX001860</t>
  </si>
  <si>
    <t>TX000403</t>
  </si>
  <si>
    <t>TX000990</t>
  </si>
  <si>
    <t>TX001446</t>
  </si>
  <si>
    <t>TX001473</t>
  </si>
  <si>
    <t>TX000678</t>
  </si>
  <si>
    <t>TX001309</t>
  </si>
  <si>
    <t>TX001617</t>
  </si>
  <si>
    <t>TX001252</t>
  </si>
  <si>
    <t>TX001378</t>
  </si>
  <si>
    <t>TX000823</t>
  </si>
  <si>
    <t>TX000964</t>
  </si>
  <si>
    <t>TX002251</t>
  </si>
  <si>
    <t>TX000836</t>
  </si>
  <si>
    <t>TX001034</t>
  </si>
  <si>
    <t>TX000175</t>
  </si>
  <si>
    <t>TX000940</t>
  </si>
  <si>
    <t>TX001055</t>
  </si>
  <si>
    <t>TX001102</t>
  </si>
  <si>
    <t>TX000692</t>
  </si>
  <si>
    <t>TX002079</t>
  </si>
  <si>
    <t>TX001991</t>
  </si>
  <si>
    <t>TX000335</t>
  </si>
  <si>
    <t>TX000874</t>
  </si>
  <si>
    <t>TX000806</t>
  </si>
  <si>
    <t>TX002187</t>
  </si>
  <si>
    <t>TX000008</t>
  </si>
  <si>
    <t>TX000518</t>
  </si>
  <si>
    <t>TX000198</t>
  </si>
  <si>
    <t>TX000297</t>
  </si>
  <si>
    <t>TX001417</t>
  </si>
  <si>
    <t>TX001932</t>
  </si>
  <si>
    <t>TX000220</t>
  </si>
  <si>
    <t>TX001255</t>
  </si>
  <si>
    <t>TX001531</t>
  </si>
  <si>
    <t>TX001798</t>
  </si>
  <si>
    <t>TX001535</t>
  </si>
  <si>
    <t>TX001746</t>
  </si>
  <si>
    <t>TX000123</t>
  </si>
  <si>
    <t>TX001713</t>
  </si>
  <si>
    <t>TX000379</t>
  </si>
  <si>
    <t>TX001063</t>
  </si>
  <si>
    <t>TX000723</t>
  </si>
  <si>
    <t>TX001871</t>
  </si>
  <si>
    <t>TX002006</t>
  </si>
  <si>
    <t>TX000163</t>
  </si>
  <si>
    <t>TX001187</t>
  </si>
  <si>
    <t>TX001092</t>
  </si>
  <si>
    <t>TX000125</t>
  </si>
  <si>
    <t>TX000552</t>
  </si>
  <si>
    <t>TX000005</t>
  </si>
  <si>
    <t>TX001570</t>
  </si>
  <si>
    <t>TX002252</t>
  </si>
  <si>
    <t>TX000916</t>
  </si>
  <si>
    <t>TX001558</t>
  </si>
  <si>
    <t>TX001872</t>
  </si>
  <si>
    <t>TX000959</t>
  </si>
  <si>
    <t>TX000793</t>
  </si>
  <si>
    <t>TX002118</t>
  </si>
  <si>
    <t>TX000612</t>
  </si>
  <si>
    <t>TX001772</t>
  </si>
  <si>
    <t>TX000288</t>
  </si>
  <si>
    <t>TX001773</t>
  </si>
  <si>
    <t>TX001452</t>
  </si>
  <si>
    <t>TX000957</t>
  </si>
  <si>
    <t>TX001633</t>
  </si>
  <si>
    <t>TX001888</t>
  </si>
  <si>
    <t>TX002314</t>
  </si>
  <si>
    <t>TX001670</t>
  </si>
  <si>
    <t>TX001960</t>
  </si>
  <si>
    <t>TX001985</t>
  </si>
  <si>
    <t>TX000909</t>
  </si>
  <si>
    <t>TX001867</t>
  </si>
  <si>
    <t>TX000507</t>
  </si>
  <si>
    <t>TX000357</t>
  </si>
  <si>
    <t>TX001424</t>
  </si>
  <si>
    <t>TX001342</t>
  </si>
  <si>
    <t>TX002217</t>
  </si>
  <si>
    <t>TX000353</t>
  </si>
  <si>
    <t>TX000845</t>
  </si>
  <si>
    <t>TX001155</t>
  </si>
  <si>
    <t>TX001549</t>
  </si>
  <si>
    <t>TX001723</t>
  </si>
  <si>
    <t>TX002072</t>
  </si>
  <si>
    <t>TX000837</t>
  </si>
  <si>
    <t>TX000947</t>
  </si>
  <si>
    <t>TX000668</t>
  </si>
  <si>
    <t>TX000887</t>
  </si>
  <si>
    <t>TX001285</t>
  </si>
  <si>
    <t>TX000785</t>
  </si>
  <si>
    <t>TX000334</t>
  </si>
  <si>
    <t>TX000154</t>
  </si>
  <si>
    <t>TX001421</t>
  </si>
  <si>
    <t>TX000788</t>
  </si>
  <si>
    <t>TX000502</t>
  </si>
  <si>
    <t>TX001841</t>
  </si>
  <si>
    <t>TX001737</t>
  </si>
  <si>
    <t>TX001931</t>
  </si>
  <si>
    <t>TX000722</t>
  </si>
  <si>
    <t>TX000374</t>
  </si>
  <si>
    <t>TX002185</t>
  </si>
  <si>
    <t>TX000591</t>
  </si>
  <si>
    <t>TX000313</t>
  </si>
  <si>
    <t>TX001850</t>
  </si>
  <si>
    <t>TX001623</t>
  </si>
  <si>
    <t>TX000043</t>
  </si>
  <si>
    <t>TX002041</t>
  </si>
  <si>
    <t>TX000646</t>
  </si>
  <si>
    <t>TX001874</t>
  </si>
  <si>
    <t>TX002139</t>
  </si>
  <si>
    <t>TX000972</t>
  </si>
  <si>
    <t>TX002167</t>
  </si>
  <si>
    <t>TX000523</t>
  </si>
  <si>
    <t>TX000418</t>
  </si>
  <si>
    <t>TX000763</t>
  </si>
  <si>
    <t>TX000658</t>
  </si>
  <si>
    <t>TX001165</t>
  </si>
  <si>
    <t>TX001971</t>
  </si>
  <si>
    <t>TX000705</t>
  </si>
  <si>
    <t>TX000733</t>
  </si>
  <si>
    <t>TX002193</t>
  </si>
  <si>
    <t>TX002109</t>
  </si>
  <si>
    <t>TX002055</t>
  </si>
  <si>
    <t>TX000945</t>
  </si>
  <si>
    <t>TX000169</t>
  </si>
  <si>
    <t>TX002165</t>
  </si>
  <si>
    <t>TX001567</t>
  </si>
  <si>
    <t>TX000361</t>
  </si>
  <si>
    <t>TX001807</t>
  </si>
  <si>
    <t>TX001019</t>
  </si>
  <si>
    <t>TX001470</t>
  </si>
  <si>
    <t>TX000908</t>
  </si>
  <si>
    <t>TX001694</t>
  </si>
  <si>
    <t>TX000744</t>
  </si>
  <si>
    <t>TX000273</t>
  </si>
  <si>
    <t>TX001494</t>
  </si>
  <si>
    <t>TX000520</t>
  </si>
  <si>
    <t>TX000815</t>
  </si>
  <si>
    <t>TX000819</t>
  </si>
  <si>
    <t>TX001402</t>
  </si>
  <si>
    <t>TX000735</t>
  </si>
  <si>
    <t>TX001523</t>
  </si>
  <si>
    <t>TX001639</t>
  </si>
  <si>
    <t>TX002247</t>
  </si>
  <si>
    <t>TX001510</t>
  </si>
  <si>
    <t>TX002170</t>
  </si>
  <si>
    <t>TX002048</t>
  </si>
  <si>
    <t>TX000915</t>
  </si>
  <si>
    <t>TX001701</t>
  </si>
  <si>
    <t>TX002276</t>
  </si>
  <si>
    <t>TX001122</t>
  </si>
  <si>
    <t>TX002240</t>
  </si>
  <si>
    <t>TX000129</t>
  </si>
  <si>
    <t>TX001915</t>
  </si>
  <si>
    <t>TX000999</t>
  </si>
  <si>
    <t>TX000690</t>
  </si>
  <si>
    <t>TX001884</t>
  </si>
  <si>
    <t>TX001647</t>
  </si>
  <si>
    <t>TX000545</t>
  </si>
  <si>
    <t>TX000380</t>
  </si>
  <si>
    <t>TX001728</t>
  </si>
  <si>
    <t>TX001956</t>
  </si>
  <si>
    <t>TX000204</t>
  </si>
  <si>
    <t>TX000344</t>
  </si>
  <si>
    <t>TX002144</t>
  </si>
  <si>
    <t>TX001679</t>
  </si>
  <si>
    <t>TX002232</t>
  </si>
  <si>
    <t>TX000519</t>
  </si>
  <si>
    <t>TX001943</t>
  </si>
  <si>
    <t>TX001804</t>
  </si>
  <si>
    <t>TX002183</t>
  </si>
  <si>
    <t>TX000489</t>
  </si>
  <si>
    <t>TX001262</t>
  </si>
  <si>
    <t>TX001002</t>
  </si>
  <si>
    <t>TX001574</t>
  </si>
  <si>
    <t>TX001425</t>
  </si>
  <si>
    <t>TX001920</t>
  </si>
  <si>
    <t>TX001595</t>
  </si>
  <si>
    <t>TX000918</t>
  </si>
  <si>
    <t>TX000233</t>
  </si>
  <si>
    <t>TX000795</t>
  </si>
  <si>
    <t>TX001707</t>
  </si>
  <si>
    <t>TX001467</t>
  </si>
  <si>
    <t>TX002241</t>
  </si>
  <si>
    <t>TX001743</t>
  </si>
  <si>
    <t>TX001821</t>
  </si>
  <si>
    <t>TX001123</t>
  </si>
  <si>
    <t>TX000515</t>
  </si>
  <si>
    <t>TX002309</t>
  </si>
  <si>
    <t>TX000512</t>
  </si>
  <si>
    <t>TX000113</t>
  </si>
  <si>
    <t>TX001000</t>
  </si>
  <si>
    <t>TX000218</t>
  </si>
  <si>
    <t>TX001385</t>
  </si>
  <si>
    <t>TX001583</t>
  </si>
  <si>
    <t>TX000500</t>
  </si>
  <si>
    <t>TX002298</t>
  </si>
  <si>
    <t>TX000935</t>
  </si>
  <si>
    <t>TX000226</t>
  </si>
  <si>
    <t>TX001043</t>
  </si>
  <si>
    <t>TX001193</t>
  </si>
  <si>
    <t>TX000741</t>
  </si>
  <si>
    <t>TX001317</t>
  </si>
  <si>
    <t>TX002229</t>
  </si>
  <si>
    <t>TX001450</t>
  </si>
  <si>
    <t>TX000398</t>
  </si>
  <si>
    <t>TX001764</t>
  </si>
  <si>
    <t>TX001667</t>
  </si>
  <si>
    <t>TX000541</t>
  </si>
  <si>
    <t>TX000329</t>
  </si>
  <si>
    <t>TX000796</t>
  </si>
  <si>
    <t>TX000849</t>
  </si>
  <si>
    <t>TX000622</t>
  </si>
  <si>
    <t>TX000214</t>
  </si>
  <si>
    <t>TX000771</t>
  </si>
  <si>
    <t>TX000338</t>
  </si>
  <si>
    <t>TX000804</t>
  </si>
  <si>
    <t>TX001183</t>
  </si>
  <si>
    <t>TX001169</t>
  </si>
  <si>
    <t>TX000037</t>
  </si>
  <si>
    <t>TX000106</t>
  </si>
  <si>
    <t>TX000363</t>
  </si>
  <si>
    <t>TX000851</t>
  </si>
  <si>
    <t>TX001741</t>
  </si>
  <si>
    <t>TX000857</t>
  </si>
  <si>
    <t>TX001466</t>
  </si>
  <si>
    <t>TX000566</t>
  </si>
  <si>
    <t>TX000250</t>
  </si>
  <si>
    <t>TX001475</t>
  </si>
  <si>
    <t>TX000318</t>
  </si>
  <si>
    <t>TX001201</t>
  </si>
  <si>
    <t>TX001108</t>
  </si>
  <si>
    <t>TX000653</t>
  </si>
  <si>
    <t>TX000071</t>
  </si>
  <si>
    <t>TX001668</t>
  </si>
  <si>
    <t>TX001175</t>
  </si>
  <si>
    <t>TX001089</t>
  </si>
  <si>
    <t>TX002289</t>
  </si>
  <si>
    <t>TX000411</t>
  </si>
  <si>
    <t>TX002226</t>
  </si>
  <si>
    <t>TX001026</t>
  </si>
  <si>
    <t>TX000540</t>
  </si>
  <si>
    <t>TX000602</t>
  </si>
  <si>
    <t>TX001333</t>
  </si>
  <si>
    <t>TX002197</t>
  </si>
  <si>
    <t>TX001435</t>
  </si>
  <si>
    <t>TX002133</t>
  </si>
  <si>
    <t>TX000838</t>
  </si>
  <si>
    <t>TX002113</t>
  </si>
  <si>
    <t>TX001628</t>
  </si>
  <si>
    <t>TX000807</t>
  </si>
  <si>
    <t>TX000883</t>
  </si>
  <si>
    <t>TX001485</t>
  </si>
  <si>
    <t>TX000638</t>
  </si>
  <si>
    <t>TX000424</t>
  </si>
  <si>
    <t>TX000728</t>
  </si>
  <si>
    <t>TX001997</t>
  </si>
  <si>
    <t>TX000377</t>
  </si>
  <si>
    <t>TX000525</t>
  </si>
  <si>
    <t>TX000151</t>
  </si>
  <si>
    <t>TX001581</t>
  </si>
  <si>
    <t>TX001950</t>
  </si>
  <si>
    <t>TX001775</t>
  </si>
  <si>
    <t>TX000627</t>
  </si>
  <si>
    <t>TX002204</t>
  </si>
  <si>
    <t>TX001846</t>
  </si>
  <si>
    <t>TX000144</t>
  </si>
  <si>
    <t>TX000718</t>
  </si>
  <si>
    <t>TX000567</t>
  </si>
  <si>
    <t>TX001881</t>
  </si>
  <si>
    <t>TX001156</t>
  </si>
  <si>
    <t>TX001432</t>
  </si>
  <si>
    <t>TX002132</t>
  </si>
  <si>
    <t>TX000880</t>
  </si>
  <si>
    <t>TX001076</t>
  </si>
  <si>
    <t>TX000625</t>
  </si>
  <si>
    <t>TX002269</t>
  </si>
  <si>
    <t>TX002304</t>
  </si>
  <si>
    <t>TX001367</t>
  </si>
  <si>
    <t>TX000618</t>
  </si>
  <si>
    <t>TX001325</t>
  </si>
  <si>
    <t>TX001983</t>
  </si>
  <si>
    <t>TX000691</t>
  </si>
  <si>
    <t>TX002172</t>
  </si>
  <si>
    <t>TX001690</t>
  </si>
  <si>
    <t>TX001351</t>
  </si>
  <si>
    <t>TX002242</t>
  </si>
  <si>
    <t>TX001831</t>
  </si>
  <si>
    <t>TX001687</t>
  </si>
  <si>
    <t>TX001693</t>
  </si>
  <si>
    <t>TX000466</t>
  </si>
  <si>
    <t>TX001188</t>
  </si>
  <si>
    <t>TX001192</t>
  </si>
  <si>
    <t>TX000146</t>
  </si>
  <si>
    <t>TX000325</t>
  </si>
  <si>
    <t>TX001763</t>
  </si>
  <si>
    <t>TX000707</t>
  </si>
  <si>
    <t>TX000715</t>
  </si>
  <si>
    <t>TX001835</t>
  </si>
  <si>
    <t>TX001112</t>
  </si>
  <si>
    <t>TX002128</t>
  </si>
  <si>
    <t>TX000902</t>
  </si>
  <si>
    <t>TX000688</t>
  </si>
  <si>
    <t>TX001631</t>
  </si>
  <si>
    <t>TX001940</t>
  </si>
  <si>
    <t>TX001825</t>
  </si>
  <si>
    <t>TX000101</t>
  </si>
  <si>
    <t>TX000291</t>
  </si>
  <si>
    <t>TX000879</t>
  </si>
  <si>
    <t>TX001456</t>
  </si>
  <si>
    <t>TX000392</t>
  </si>
  <si>
    <t>TX000087</t>
  </si>
  <si>
    <t>TX001276</t>
  </si>
  <si>
    <t>TX001524</t>
  </si>
  <si>
    <t>TX000476</t>
  </si>
  <si>
    <t>TX001695</t>
  </si>
  <si>
    <t>TX001296</t>
  </si>
  <si>
    <t>TX002093</t>
  </si>
  <si>
    <t>TX001138</t>
  </si>
  <si>
    <t>TX002073</t>
  </si>
  <si>
    <t>TX001236</t>
  </si>
  <si>
    <t>TX000833</t>
  </si>
  <si>
    <t>TX000592</t>
  </si>
  <si>
    <t>TX002306</t>
  </si>
  <si>
    <t>TX001621</t>
  </si>
  <si>
    <t>TX001636</t>
  </si>
  <si>
    <t>TX000110</t>
  </si>
  <si>
    <t>TX001161</t>
  </si>
  <si>
    <t>TX000223</t>
  </si>
  <si>
    <t>TX001053</t>
  </si>
  <si>
    <t>TX001312</t>
  </si>
  <si>
    <t>TX002104</t>
  </si>
  <si>
    <t>TX002307</t>
  </si>
  <si>
    <t>TX000254</t>
  </si>
  <si>
    <t>TX001073</t>
  </si>
  <si>
    <t>TX001620</t>
  </si>
  <si>
    <t>TX001493</t>
  </si>
  <si>
    <t>TX000546</t>
  </si>
  <si>
    <t>TX000950</t>
  </si>
  <si>
    <t>TX001572</t>
  </si>
  <si>
    <t>TX000844</t>
  </si>
  <si>
    <t>TX000064</t>
  </si>
  <si>
    <t>TX000414</t>
  </si>
  <si>
    <t>TX000885</t>
  </si>
  <si>
    <t>TX000452</t>
  </si>
  <si>
    <t>TX001259</t>
  </si>
  <si>
    <t>TX000657</t>
  </si>
  <si>
    <t>TX001880</t>
  </si>
  <si>
    <t>TX001582</t>
  </si>
  <si>
    <t>TX001487</t>
  </si>
  <si>
    <t>TX001486</t>
  </si>
  <si>
    <t>TX001328</t>
  </si>
  <si>
    <t>TX000078</t>
  </si>
  <si>
    <t>TX002070</t>
  </si>
  <si>
    <t>TX000870</t>
  </si>
  <si>
    <t>TX000451</t>
  </si>
  <si>
    <t>TX001020</t>
  </si>
  <si>
    <t>TX001561</t>
  </si>
  <si>
    <t>TX001980</t>
  </si>
  <si>
    <t>TX000697</t>
  </si>
  <si>
    <t>TX001742</t>
  </si>
  <si>
    <t>TX000812</t>
  </si>
  <si>
    <t>TX002301</t>
  </si>
  <si>
    <t>TX000911</t>
  </si>
  <si>
    <t>TX001522</t>
  </si>
  <si>
    <t>TX001050</t>
  </si>
  <si>
    <t>TX000506</t>
  </si>
  <si>
    <t>TX000406</t>
  </si>
  <si>
    <t>TX000184</t>
  </si>
  <si>
    <t>TX001877</t>
  </si>
  <si>
    <t>TX001718</t>
  </si>
  <si>
    <t>TX000610</t>
  </si>
  <si>
    <t>TX002034</t>
  </si>
  <si>
    <t>TX001969</t>
  </si>
  <si>
    <t>TX000021</t>
  </si>
  <si>
    <t>TX001426</t>
  </si>
  <si>
    <t>TX001591</t>
  </si>
  <si>
    <t>TX000328</t>
  </si>
  <si>
    <t>TX001875</t>
  </si>
  <si>
    <t>TX002303</t>
  </si>
  <si>
    <t>TX000267</t>
  </si>
  <si>
    <t>TX001891</t>
  </si>
  <si>
    <t>TX001757</t>
  </si>
  <si>
    <t>TX002179</t>
  </si>
  <si>
    <t>TX000866</t>
  </si>
  <si>
    <t>TX002279</t>
  </si>
  <si>
    <t>TX002228</t>
  </si>
  <si>
    <t>TX000490</t>
  </si>
  <si>
    <t>TX000607</t>
  </si>
  <si>
    <t>TX001739</t>
  </si>
  <si>
    <t>TX000153</t>
  </si>
  <si>
    <t>TX000890</t>
  </si>
  <si>
    <t>TX002273</t>
  </si>
  <si>
    <t>TX000270</t>
  </si>
  <si>
    <t>TX000097</t>
  </si>
  <si>
    <t>TX000965</t>
  </si>
  <si>
    <t>TX001800</t>
  </si>
  <si>
    <t>TX000872</t>
  </si>
  <si>
    <t>TX001573</t>
  </si>
  <si>
    <t>TX000533</t>
  </si>
  <si>
    <t>TX001068</t>
  </si>
  <si>
    <t>TX001100</t>
  </si>
  <si>
    <t>TX002126</t>
  </si>
  <si>
    <t>TX000716</t>
  </si>
  <si>
    <t>TX002198</t>
  </si>
  <si>
    <t>TX002282</t>
  </si>
  <si>
    <t>TX001539</t>
  </si>
  <si>
    <t>TX002286</t>
  </si>
  <si>
    <t>TX000470</t>
  </si>
  <si>
    <t>TX000565</t>
  </si>
  <si>
    <t>TX001799</t>
  </si>
  <si>
    <t>TX000462</t>
  </si>
  <si>
    <t>TX001278</t>
  </si>
  <si>
    <t>TX001796</t>
  </si>
  <si>
    <t>TX001870</t>
  </si>
  <si>
    <t>TX001394</t>
  </si>
  <si>
    <t>TX001346</t>
  </si>
  <si>
    <t>TX000696</t>
  </si>
  <si>
    <t>TX001176</t>
  </si>
  <si>
    <t>TX001753</t>
  </si>
  <si>
    <t>TX000929</t>
  </si>
  <si>
    <t>TX001215</t>
  </si>
  <si>
    <t>TX001373</t>
  </si>
  <si>
    <t>TX000244</t>
  </si>
  <si>
    <t>TX001680</t>
  </si>
  <si>
    <t>TX001313</t>
  </si>
  <si>
    <t>TX000649</t>
  </si>
  <si>
    <t>TX000314</t>
  </si>
  <si>
    <t>TX000156</t>
  </si>
  <si>
    <t>TX001304</t>
  </si>
  <si>
    <t>TX001151</t>
  </si>
  <si>
    <t>TX001802</t>
  </si>
  <si>
    <t>TX001047</t>
  </si>
  <si>
    <t>TX001641</t>
  </si>
  <si>
    <t>TX001307</t>
  </si>
  <si>
    <t>TX001928</t>
  </si>
  <si>
    <t>TX001496</t>
  </si>
  <si>
    <t>TX000026</t>
  </si>
  <si>
    <t>TX002245</t>
  </si>
  <si>
    <t>TX000016</t>
  </si>
  <si>
    <t>TX001322</t>
  </si>
  <si>
    <t>TX000884</t>
  </si>
  <si>
    <t>TX001361</t>
  </si>
  <si>
    <t>TX001845</t>
  </si>
  <si>
    <t>TX001613</t>
  </si>
  <si>
    <t>TX000498</t>
  </si>
  <si>
    <t>TX000516</t>
  </si>
  <si>
    <t>TX002297</t>
  </si>
  <si>
    <t>TX001479</t>
  </si>
  <si>
    <t>TX001412</t>
  </si>
  <si>
    <t>TX001096</t>
  </si>
  <si>
    <t>TX000543</t>
  </si>
  <si>
    <t>TX000634</t>
  </si>
  <si>
    <t>TX000432</t>
  </si>
  <si>
    <t>TX000729</t>
  </si>
  <si>
    <t>TX001289</t>
  </si>
  <si>
    <t>TX002258</t>
  </si>
  <si>
    <t>TX000317</t>
  </si>
  <si>
    <t>TX001921</t>
  </si>
  <si>
    <t>TX001338</t>
  </si>
  <si>
    <t>TX000320</t>
  </si>
  <si>
    <t>TX001032</t>
  </si>
  <si>
    <t>TX002026</t>
  </si>
  <si>
    <t>TX002190</t>
  </si>
  <si>
    <t>TX001111</t>
  </si>
  <si>
    <t>TX001889</t>
  </si>
  <si>
    <t>TX001528</t>
  </si>
  <si>
    <t>TX000754</t>
  </si>
  <si>
    <t>TX000563</t>
  </si>
  <si>
    <t>TX000669</t>
  </si>
  <si>
    <t>TX000253</t>
  </si>
  <si>
    <t>TX000358</t>
  </si>
  <si>
    <t>TX001279</t>
  </si>
  <si>
    <t>TX001301</t>
  </si>
  <si>
    <t>TX001203</t>
  </si>
  <si>
    <t>TX000130</t>
  </si>
  <si>
    <t>TX000145</t>
  </si>
  <si>
    <t>TX000961</t>
  </si>
  <si>
    <t>TX000906</t>
  </si>
  <si>
    <t>TX001097</t>
  </si>
  <si>
    <t>TX000236</t>
  </si>
  <si>
    <t>TX001062</t>
  </si>
  <si>
    <t>RedemptionID</t>
  </si>
  <si>
    <t>RewardID</t>
  </si>
  <si>
    <t>NamaReward</t>
  </si>
  <si>
    <t>PoinDitukar</t>
  </si>
  <si>
    <t>Status</t>
  </si>
  <si>
    <t>RD00001</t>
  </si>
  <si>
    <t>RW009</t>
  </si>
  <si>
    <t>Merchandise Tas Belanja Ramah Lingkungan</t>
  </si>
  <si>
    <t>Berhasil</t>
  </si>
  <si>
    <t>RD00002</t>
  </si>
  <si>
    <t>RW006</t>
  </si>
  <si>
    <t>RD00003</t>
  </si>
  <si>
    <t>RW005</t>
  </si>
  <si>
    <t>Voucher Ojek Online Rp25.000</t>
  </si>
  <si>
    <t>RD00004</t>
  </si>
  <si>
    <t>RW008</t>
  </si>
  <si>
    <t>Diskon 15% Fashion Partner</t>
  </si>
  <si>
    <t>RD00005</t>
  </si>
  <si>
    <t>RW003</t>
  </si>
  <si>
    <t>Diskon 20% F&amp;B Partner</t>
  </si>
  <si>
    <t>RD00006</t>
  </si>
  <si>
    <t>RW007</t>
  </si>
  <si>
    <t>Voucher Belanja Rp200.000</t>
  </si>
  <si>
    <t>Dibatalkan</t>
  </si>
  <si>
    <t>RD00007</t>
  </si>
  <si>
    <t>RD00008</t>
  </si>
  <si>
    <t>RD00009</t>
  </si>
  <si>
    <t>RD00010</t>
  </si>
  <si>
    <t>RD00011</t>
  </si>
  <si>
    <t>RW010</t>
  </si>
  <si>
    <t>Voucher Nonton Bioskop</t>
  </si>
  <si>
    <t>RD00012</t>
  </si>
  <si>
    <t>RW001</t>
  </si>
  <si>
    <t>Voucher Belanja Rp50.000</t>
  </si>
  <si>
    <t>RD00013</t>
  </si>
  <si>
    <t>RW004</t>
  </si>
  <si>
    <t>Merchandise Tumbler Eksklusif</t>
  </si>
  <si>
    <t>RD00014</t>
  </si>
  <si>
    <t>RD00015</t>
  </si>
  <si>
    <t>RW002</t>
  </si>
  <si>
    <t>Voucher Belanja Rp100.000</t>
  </si>
  <si>
    <t>RD00016</t>
  </si>
  <si>
    <t>RD00017</t>
  </si>
  <si>
    <t>RD00018</t>
  </si>
  <si>
    <t>RD00019</t>
  </si>
  <si>
    <t>RD00020</t>
  </si>
  <si>
    <t>RD00021</t>
  </si>
  <si>
    <t>RD00022</t>
  </si>
  <si>
    <t>RD00023</t>
  </si>
  <si>
    <t>RD00024</t>
  </si>
  <si>
    <t>RD00025</t>
  </si>
  <si>
    <t>RD00026</t>
  </si>
  <si>
    <t>RD00027</t>
  </si>
  <si>
    <t>RD00028</t>
  </si>
  <si>
    <t>RD00029</t>
  </si>
  <si>
    <t>RD00030</t>
  </si>
  <si>
    <t>RD00031</t>
  </si>
  <si>
    <t>RD00032</t>
  </si>
  <si>
    <t>RD00033</t>
  </si>
  <si>
    <t>RD00034</t>
  </si>
  <si>
    <t>RD00035</t>
  </si>
  <si>
    <t>RD00036</t>
  </si>
  <si>
    <t>RD00037</t>
  </si>
  <si>
    <t>RD00038</t>
  </si>
  <si>
    <t>RD00039</t>
  </si>
  <si>
    <t>RD00040</t>
  </si>
  <si>
    <t>RD00041</t>
  </si>
  <si>
    <t>RD00042</t>
  </si>
  <si>
    <t>RD00043</t>
  </si>
  <si>
    <t>RD00044</t>
  </si>
  <si>
    <t>RD00045</t>
  </si>
  <si>
    <t>RD00046</t>
  </si>
  <si>
    <t>RD00047</t>
  </si>
  <si>
    <t>RD00048</t>
  </si>
  <si>
    <t>RD00049</t>
  </si>
  <si>
    <t>RD00050</t>
  </si>
  <si>
    <t>RD00051</t>
  </si>
  <si>
    <t>RD00052</t>
  </si>
  <si>
    <t>RD00053</t>
  </si>
  <si>
    <t>RD00054</t>
  </si>
  <si>
    <t>RD00055</t>
  </si>
  <si>
    <t>RD00056</t>
  </si>
  <si>
    <t>RD00057</t>
  </si>
  <si>
    <t>RD00058</t>
  </si>
  <si>
    <t>RD00059</t>
  </si>
  <si>
    <t>RD00060</t>
  </si>
  <si>
    <t>RD00061</t>
  </si>
  <si>
    <t>RD00062</t>
  </si>
  <si>
    <t>RD00063</t>
  </si>
  <si>
    <t>RD00064</t>
  </si>
  <si>
    <t>RD00065</t>
  </si>
  <si>
    <t>RD00066</t>
  </si>
  <si>
    <t>RD00067</t>
  </si>
  <si>
    <t>RD00068</t>
  </si>
  <si>
    <t>RD00069</t>
  </si>
  <si>
    <t>RD00070</t>
  </si>
  <si>
    <t>RD00071</t>
  </si>
  <si>
    <t>RD00072</t>
  </si>
  <si>
    <t>RD00073</t>
  </si>
  <si>
    <t>RD00074</t>
  </si>
  <si>
    <t>RD00075</t>
  </si>
  <si>
    <t>RD00076</t>
  </si>
  <si>
    <t>RD00077</t>
  </si>
  <si>
    <t>RD00078</t>
  </si>
  <si>
    <t>RD00079</t>
  </si>
  <si>
    <t>RD00080</t>
  </si>
  <si>
    <t>RD00081</t>
  </si>
  <si>
    <t>RD00082</t>
  </si>
  <si>
    <t>RD00083</t>
  </si>
  <si>
    <t>RD00084</t>
  </si>
  <si>
    <t>RD00085</t>
  </si>
  <si>
    <t>RD00086</t>
  </si>
  <si>
    <t>RD00087</t>
  </si>
  <si>
    <t>RD00088</t>
  </si>
  <si>
    <t>RD00089</t>
  </si>
  <si>
    <t>RD00090</t>
  </si>
  <si>
    <t>RD00091</t>
  </si>
  <si>
    <t>RD00092</t>
  </si>
  <si>
    <t>RD00093</t>
  </si>
  <si>
    <t>RD00094</t>
  </si>
  <si>
    <t>RD00095</t>
  </si>
  <si>
    <t>RD00096</t>
  </si>
  <si>
    <t>RD00097</t>
  </si>
  <si>
    <t>RD00098</t>
  </si>
  <si>
    <t>RD00099</t>
  </si>
  <si>
    <t>RD00100</t>
  </si>
  <si>
    <t>RD00101</t>
  </si>
  <si>
    <t>RD00102</t>
  </si>
  <si>
    <t>RD00103</t>
  </si>
  <si>
    <t>RD00104</t>
  </si>
  <si>
    <t>RD00105</t>
  </si>
  <si>
    <t>RD00106</t>
  </si>
  <si>
    <t>RD00107</t>
  </si>
  <si>
    <t>RD00108</t>
  </si>
  <si>
    <t>RD00109</t>
  </si>
  <si>
    <t>RD00110</t>
  </si>
  <si>
    <t>RD00111</t>
  </si>
  <si>
    <t>RD00112</t>
  </si>
  <si>
    <t>RD00113</t>
  </si>
  <si>
    <t>RD00114</t>
  </si>
  <si>
    <t>RD00115</t>
  </si>
  <si>
    <t>RD00116</t>
  </si>
  <si>
    <t>RD00117</t>
  </si>
  <si>
    <t>RD00118</t>
  </si>
  <si>
    <t>RD00119</t>
  </si>
  <si>
    <t>RD00120</t>
  </si>
  <si>
    <t>RD00121</t>
  </si>
  <si>
    <t>RD00122</t>
  </si>
  <si>
    <t>RD00123</t>
  </si>
  <si>
    <t>RD00124</t>
  </si>
  <si>
    <t>RD00125</t>
  </si>
  <si>
    <t>RD00126</t>
  </si>
  <si>
    <t>RD00127</t>
  </si>
  <si>
    <t>RD00128</t>
  </si>
  <si>
    <t>RD00129</t>
  </si>
  <si>
    <t>RD00130</t>
  </si>
  <si>
    <t>RD00131</t>
  </si>
  <si>
    <t>RD00132</t>
  </si>
  <si>
    <t>RD00133</t>
  </si>
  <si>
    <t>RD00134</t>
  </si>
  <si>
    <t>RD00135</t>
  </si>
  <si>
    <t>RD00136</t>
  </si>
  <si>
    <t>RD00137</t>
  </si>
  <si>
    <t>RD00138</t>
  </si>
  <si>
    <t>RD00139</t>
  </si>
  <si>
    <t>RD00140</t>
  </si>
  <si>
    <t>RD00141</t>
  </si>
  <si>
    <t>RD00142</t>
  </si>
  <si>
    <t>RD00143</t>
  </si>
  <si>
    <t>RD00144</t>
  </si>
  <si>
    <t>RD00145</t>
  </si>
  <si>
    <t>RD00146</t>
  </si>
  <si>
    <t>RD00147</t>
  </si>
  <si>
    <t>RD00148</t>
  </si>
  <si>
    <t>RD00149</t>
  </si>
  <si>
    <t>RD00150</t>
  </si>
  <si>
    <t>RD00151</t>
  </si>
  <si>
    <t>RD00152</t>
  </si>
  <si>
    <t>RD00153</t>
  </si>
  <si>
    <t>RD00154</t>
  </si>
  <si>
    <t>RD00155</t>
  </si>
  <si>
    <t>RD00156</t>
  </si>
  <si>
    <t>RD00157</t>
  </si>
  <si>
    <t>RD00158</t>
  </si>
  <si>
    <t>RD00159</t>
  </si>
  <si>
    <t>RD00160</t>
  </si>
  <si>
    <t>RD00161</t>
  </si>
  <si>
    <t>RD00162</t>
  </si>
  <si>
    <t>RD00163</t>
  </si>
  <si>
    <t>RD00164</t>
  </si>
  <si>
    <t>RD00165</t>
  </si>
  <si>
    <t>RD00166</t>
  </si>
  <si>
    <t>RD00167</t>
  </si>
  <si>
    <t>RD00168</t>
  </si>
  <si>
    <t>RD00169</t>
  </si>
  <si>
    <t>RD00170</t>
  </si>
  <si>
    <t>RD00171</t>
  </si>
  <si>
    <t>RD00172</t>
  </si>
  <si>
    <t>RD00173</t>
  </si>
  <si>
    <t>RD00174</t>
  </si>
  <si>
    <t>RD00175</t>
  </si>
  <si>
    <t>RD00176</t>
  </si>
  <si>
    <t>RD00177</t>
  </si>
  <si>
    <t>RD00178</t>
  </si>
  <si>
    <t>RD00179</t>
  </si>
  <si>
    <t>RD00180</t>
  </si>
  <si>
    <t>RD00181</t>
  </si>
  <si>
    <t>RD00182</t>
  </si>
  <si>
    <t>RD00183</t>
  </si>
  <si>
    <t>RD00184</t>
  </si>
  <si>
    <t>RD00185</t>
  </si>
  <si>
    <t>RD00186</t>
  </si>
  <si>
    <t>RD00187</t>
  </si>
  <si>
    <t>RD00188</t>
  </si>
  <si>
    <t>RD00189</t>
  </si>
  <si>
    <t>RD00190</t>
  </si>
  <si>
    <t>RD00191</t>
  </si>
  <si>
    <t>RD00192</t>
  </si>
  <si>
    <t>RD00193</t>
  </si>
  <si>
    <t>RD00194</t>
  </si>
  <si>
    <t>RD00195</t>
  </si>
  <si>
    <t>RD00196</t>
  </si>
  <si>
    <t>RD00197</t>
  </si>
  <si>
    <t>RD00198</t>
  </si>
  <si>
    <t>RD00199</t>
  </si>
  <si>
    <t>RD00200</t>
  </si>
  <si>
    <t>RD00201</t>
  </si>
  <si>
    <t>RD00202</t>
  </si>
  <si>
    <t>RD00203</t>
  </si>
  <si>
    <t>RD00204</t>
  </si>
  <si>
    <t>RD00205</t>
  </si>
  <si>
    <t>RD00206</t>
  </si>
  <si>
    <t>RD00207</t>
  </si>
  <si>
    <t>RD00208</t>
  </si>
  <si>
    <t>RD00209</t>
  </si>
  <si>
    <t>RD00210</t>
  </si>
  <si>
    <t>RD00211</t>
  </si>
  <si>
    <t>RD00212</t>
  </si>
  <si>
    <t>RD00213</t>
  </si>
  <si>
    <t>RD00214</t>
  </si>
  <si>
    <t>RD00215</t>
  </si>
  <si>
    <t>RD00216</t>
  </si>
  <si>
    <t>RD00217</t>
  </si>
  <si>
    <t>RD00218</t>
  </si>
  <si>
    <t>RD00219</t>
  </si>
  <si>
    <t>RD00220</t>
  </si>
  <si>
    <t>RD00221</t>
  </si>
  <si>
    <t>RD00222</t>
  </si>
  <si>
    <t>RD00223</t>
  </si>
  <si>
    <t>RD00224</t>
  </si>
  <si>
    <t>RD00225</t>
  </si>
  <si>
    <t>RD00226</t>
  </si>
  <si>
    <t>RD00227</t>
  </si>
  <si>
    <t>RD00228</t>
  </si>
  <si>
    <t>RD00229</t>
  </si>
  <si>
    <t>RD00230</t>
  </si>
  <si>
    <t>RD00231</t>
  </si>
  <si>
    <t>RD00232</t>
  </si>
  <si>
    <t>RD00233</t>
  </si>
  <si>
    <t>RD00234</t>
  </si>
  <si>
    <t>RD00235</t>
  </si>
  <si>
    <t>RD00236</t>
  </si>
  <si>
    <t>RD00237</t>
  </si>
  <si>
    <t>RD00238</t>
  </si>
  <si>
    <t>RD00239</t>
  </si>
  <si>
    <t>RD00240</t>
  </si>
  <si>
    <t>RD00241</t>
  </si>
  <si>
    <t>RD00242</t>
  </si>
  <si>
    <t>RD00243</t>
  </si>
  <si>
    <t>RD00244</t>
  </si>
  <si>
    <t>RD00245</t>
  </si>
  <si>
    <t>RD00246</t>
  </si>
  <si>
    <t>RD00247</t>
  </si>
  <si>
    <t>RD00248</t>
  </si>
  <si>
    <t>RD00249</t>
  </si>
  <si>
    <t>RD00250</t>
  </si>
  <si>
    <t>RD00251</t>
  </si>
  <si>
    <t>RD00252</t>
  </si>
  <si>
    <t>RD00253</t>
  </si>
  <si>
    <t>RD00254</t>
  </si>
  <si>
    <t>RD00255</t>
  </si>
  <si>
    <t>RD00256</t>
  </si>
  <si>
    <t>RD00257</t>
  </si>
  <si>
    <t>RD00258</t>
  </si>
  <si>
    <t>RD00259</t>
  </si>
  <si>
    <t>RD00260</t>
  </si>
  <si>
    <t>RD00261</t>
  </si>
  <si>
    <t>RD00262</t>
  </si>
  <si>
    <t>RD00263</t>
  </si>
  <si>
    <t>RD00264</t>
  </si>
  <si>
    <t>RD00265</t>
  </si>
  <si>
    <t>RD00266</t>
  </si>
  <si>
    <t>RD00267</t>
  </si>
  <si>
    <t>RD00268</t>
  </si>
  <si>
    <t>RD00269</t>
  </si>
  <si>
    <t>RD00270</t>
  </si>
  <si>
    <t>RD00271</t>
  </si>
  <si>
    <t>RD00272</t>
  </si>
  <si>
    <t>RD00273</t>
  </si>
  <si>
    <t>RD00274</t>
  </si>
  <si>
    <t>RD00275</t>
  </si>
  <si>
    <t>RD00276</t>
  </si>
  <si>
    <t>RD00277</t>
  </si>
  <si>
    <t>RD00278</t>
  </si>
  <si>
    <t>RD00279</t>
  </si>
  <si>
    <t>RD00280</t>
  </si>
  <si>
    <t>RD00281</t>
  </si>
  <si>
    <t>RD00282</t>
  </si>
  <si>
    <t>RD00283</t>
  </si>
  <si>
    <t>RD00284</t>
  </si>
  <si>
    <t>RD00285</t>
  </si>
  <si>
    <t>RD00286</t>
  </si>
  <si>
    <t>RD00287</t>
  </si>
  <si>
    <t>RD00288</t>
  </si>
  <si>
    <t>RD00289</t>
  </si>
  <si>
    <t>RD00290</t>
  </si>
  <si>
    <t>RD00291</t>
  </si>
  <si>
    <t>RD00292</t>
  </si>
  <si>
    <t>RD00293</t>
  </si>
  <si>
    <t>RD00294</t>
  </si>
  <si>
    <t>RD00295</t>
  </si>
  <si>
    <t>RD00296</t>
  </si>
  <si>
    <t>RD00297</t>
  </si>
  <si>
    <t>RD00298</t>
  </si>
  <si>
    <t>RD00299</t>
  </si>
  <si>
    <t>RD00300</t>
  </si>
  <si>
    <t>RD00301</t>
  </si>
  <si>
    <t>RD00302</t>
  </si>
  <si>
    <t>RD00303</t>
  </si>
  <si>
    <t>RD00304</t>
  </si>
  <si>
    <t>RD00305</t>
  </si>
  <si>
    <t>RD00306</t>
  </si>
  <si>
    <t>RD00307</t>
  </si>
  <si>
    <t>RD00308</t>
  </si>
  <si>
    <t>RD00309</t>
  </si>
  <si>
    <t>RD00310</t>
  </si>
  <si>
    <t>RD00311</t>
  </si>
  <si>
    <t>RD00312</t>
  </si>
  <si>
    <t>RD00313</t>
  </si>
  <si>
    <t>RD00314</t>
  </si>
  <si>
    <t>RD00315</t>
  </si>
  <si>
    <t>RD00316</t>
  </si>
  <si>
    <t>RD00317</t>
  </si>
  <si>
    <t>RD00318</t>
  </si>
  <si>
    <t>RD00319</t>
  </si>
  <si>
    <t>RD00320</t>
  </si>
  <si>
    <t>RD00321</t>
  </si>
  <si>
    <t>RD00322</t>
  </si>
  <si>
    <t>RD00323</t>
  </si>
  <si>
    <t>RD00324</t>
  </si>
  <si>
    <t>RD00325</t>
  </si>
  <si>
    <t>RD00326</t>
  </si>
  <si>
    <t>RD00327</t>
  </si>
  <si>
    <t>RD00328</t>
  </si>
  <si>
    <t>RD00329</t>
  </si>
  <si>
    <t>RD00330</t>
  </si>
  <si>
    <t>RD00331</t>
  </si>
  <si>
    <t>RD00332</t>
  </si>
  <si>
    <t>RD00333</t>
  </si>
  <si>
    <t>RD00334</t>
  </si>
  <si>
    <t>RD00335</t>
  </si>
  <si>
    <t>RD00336</t>
  </si>
  <si>
    <t>RD00337</t>
  </si>
  <si>
    <t>RD00338</t>
  </si>
  <si>
    <t>RD00339</t>
  </si>
  <si>
    <t>RD00340</t>
  </si>
  <si>
    <t>RD00341</t>
  </si>
  <si>
    <t>RD00342</t>
  </si>
  <si>
    <t>RD00343</t>
  </si>
  <si>
    <t>RD00344</t>
  </si>
  <si>
    <t>RD00345</t>
  </si>
  <si>
    <t>RD00346</t>
  </si>
  <si>
    <t>RD00347</t>
  </si>
  <si>
    <t>RD00348</t>
  </si>
  <si>
    <t>RD00349</t>
  </si>
  <si>
    <t>RD00350</t>
  </si>
  <si>
    <t>RD00351</t>
  </si>
  <si>
    <t>RD00352</t>
  </si>
  <si>
    <t>RD00353</t>
  </si>
  <si>
    <t>RD00354</t>
  </si>
  <si>
    <t>RD00355</t>
  </si>
  <si>
    <t>RD00356</t>
  </si>
  <si>
    <t>RD00357</t>
  </si>
  <si>
    <t>RD00358</t>
  </si>
  <si>
    <t>RD00359</t>
  </si>
  <si>
    <t>RD00360</t>
  </si>
  <si>
    <t>RD00361</t>
  </si>
  <si>
    <t>RD00362</t>
  </si>
  <si>
    <t>RD00363</t>
  </si>
  <si>
    <t>RD00364</t>
  </si>
  <si>
    <t>RD00365</t>
  </si>
  <si>
    <t>RD00366</t>
  </si>
  <si>
    <t>RD00367</t>
  </si>
  <si>
    <t>RD00368</t>
  </si>
  <si>
    <t>RD00369</t>
  </si>
  <si>
    <t>RD00370</t>
  </si>
  <si>
    <t>RD00371</t>
  </si>
  <si>
    <t>RD00372</t>
  </si>
  <si>
    <t>RD00373</t>
  </si>
  <si>
    <t>RD00374</t>
  </si>
  <si>
    <t>RD00375</t>
  </si>
  <si>
    <t>RD00376</t>
  </si>
  <si>
    <t>RD00377</t>
  </si>
  <si>
    <t>RD00378</t>
  </si>
  <si>
    <t>RD00379</t>
  </si>
  <si>
    <t>RD00380</t>
  </si>
  <si>
    <t>RD00381</t>
  </si>
  <si>
    <t>RD00382</t>
  </si>
  <si>
    <t>RD00383</t>
  </si>
  <si>
    <t>RD00384</t>
  </si>
  <si>
    <t>RD00385</t>
  </si>
  <si>
    <t>RD00386</t>
  </si>
  <si>
    <t>RD00387</t>
  </si>
  <si>
    <t>RD00388</t>
  </si>
  <si>
    <t>RD00389</t>
  </si>
  <si>
    <t>RD00390</t>
  </si>
  <si>
    <t>RD00391</t>
  </si>
  <si>
    <t>RD00392</t>
  </si>
  <si>
    <t>RD00393</t>
  </si>
  <si>
    <t>RD00394</t>
  </si>
  <si>
    <t>RD00395</t>
  </si>
  <si>
    <t>RD00396</t>
  </si>
  <si>
    <t>RD00397</t>
  </si>
  <si>
    <t>RD00398</t>
  </si>
  <si>
    <t>RD00399</t>
  </si>
  <si>
    <t>RD00400</t>
  </si>
  <si>
    <t>RD00401</t>
  </si>
  <si>
    <t>RD00402</t>
  </si>
  <si>
    <t>RD00403</t>
  </si>
  <si>
    <t>RD00404</t>
  </si>
  <si>
    <t>RD00405</t>
  </si>
  <si>
    <t>RD00406</t>
  </si>
  <si>
    <t>RD00407</t>
  </si>
  <si>
    <t>RD00408</t>
  </si>
  <si>
    <t>RD00409</t>
  </si>
  <si>
    <t>RD00410</t>
  </si>
  <si>
    <t>RD00411</t>
  </si>
  <si>
    <t>RD00412</t>
  </si>
  <si>
    <t>RD00413</t>
  </si>
  <si>
    <t>RD00414</t>
  </si>
  <si>
    <t>RD00415</t>
  </si>
  <si>
    <t>RD00416</t>
  </si>
  <si>
    <t>RD00417</t>
  </si>
  <si>
    <t>RD00418</t>
  </si>
  <si>
    <t>RD00419</t>
  </si>
  <si>
    <t>RD00420</t>
  </si>
  <si>
    <t>RD00421</t>
  </si>
  <si>
    <t>RD00422</t>
  </si>
  <si>
    <t>RD00423</t>
  </si>
  <si>
    <t>RD00424</t>
  </si>
  <si>
    <t>RD00425</t>
  </si>
  <si>
    <t>RD00426</t>
  </si>
  <si>
    <t>RD00427</t>
  </si>
  <si>
    <t>RD00428</t>
  </si>
  <si>
    <t>RD00429</t>
  </si>
  <si>
    <t>RD00430</t>
  </si>
  <si>
    <t>RD00431</t>
  </si>
  <si>
    <t>RD00432</t>
  </si>
  <si>
    <t>RD00433</t>
  </si>
  <si>
    <t>RD00434</t>
  </si>
  <si>
    <t>RD00435</t>
  </si>
  <si>
    <t>RD00436</t>
  </si>
  <si>
    <t>RD00437</t>
  </si>
  <si>
    <t>RD00438</t>
  </si>
  <si>
    <t>RD00439</t>
  </si>
  <si>
    <t>RD00440</t>
  </si>
  <si>
    <t>RD00441</t>
  </si>
  <si>
    <t>RD00442</t>
  </si>
  <si>
    <t>RD00443</t>
  </si>
  <si>
    <t>RD00444</t>
  </si>
  <si>
    <t>RD00445</t>
  </si>
  <si>
    <t>RD00446</t>
  </si>
  <si>
    <t>RD00447</t>
  </si>
  <si>
    <t>RD00448</t>
  </si>
  <si>
    <t>RD00449</t>
  </si>
  <si>
    <t>RD00450</t>
  </si>
  <si>
    <t>RD00451</t>
  </si>
  <si>
    <t>RD00452</t>
  </si>
  <si>
    <t>RD00453</t>
  </si>
  <si>
    <t>RD00454</t>
  </si>
  <si>
    <t>RD00455</t>
  </si>
  <si>
    <t>RD00456</t>
  </si>
  <si>
    <t>RD00457</t>
  </si>
  <si>
    <t>RD00458</t>
  </si>
  <si>
    <t>RD00459</t>
  </si>
  <si>
    <t>RD00460</t>
  </si>
  <si>
    <t>RD00461</t>
  </si>
  <si>
    <t>RD00462</t>
  </si>
  <si>
    <t>RD00463</t>
  </si>
  <si>
    <t>RD00464</t>
  </si>
  <si>
    <t>RD00465</t>
  </si>
  <si>
    <t>RD00466</t>
  </si>
  <si>
    <t>RD00467</t>
  </si>
  <si>
    <t>RD00468</t>
  </si>
  <si>
    <t>RD00469</t>
  </si>
  <si>
    <t>RD00470</t>
  </si>
  <si>
    <t>RD00471</t>
  </si>
  <si>
    <t>RD00472</t>
  </si>
  <si>
    <t>RD00473</t>
  </si>
  <si>
    <t>RD00474</t>
  </si>
  <si>
    <t>RD00475</t>
  </si>
  <si>
    <t>RD00476</t>
  </si>
  <si>
    <t>RD00477</t>
  </si>
  <si>
    <t>RD00478</t>
  </si>
  <si>
    <t>RD00479</t>
  </si>
  <si>
    <t>RD00480</t>
  </si>
  <si>
    <t>RD00481</t>
  </si>
  <si>
    <t>RD00482</t>
  </si>
  <si>
    <t>RD00483</t>
  </si>
  <si>
    <t>RD00484</t>
  </si>
  <si>
    <t>RD00485</t>
  </si>
  <si>
    <t>RD00486</t>
  </si>
  <si>
    <t>RD00487</t>
  </si>
  <si>
    <t>RD00488</t>
  </si>
  <si>
    <t>RD00489</t>
  </si>
  <si>
    <t>RD00490</t>
  </si>
  <si>
    <t>RD00491</t>
  </si>
  <si>
    <t>RD00492</t>
  </si>
  <si>
    <t>RD00493</t>
  </si>
  <si>
    <t>RD00494</t>
  </si>
  <si>
    <t>RD00495</t>
  </si>
  <si>
    <t>RD00496</t>
  </si>
  <si>
    <t>RD00497</t>
  </si>
  <si>
    <t>RD00498</t>
  </si>
  <si>
    <t>RD00499</t>
  </si>
  <si>
    <t>RD00500</t>
  </si>
  <si>
    <t>RD00501</t>
  </si>
  <si>
    <t>RD00502</t>
  </si>
  <si>
    <t>RD00503</t>
  </si>
  <si>
    <t>RD00504</t>
  </si>
  <si>
    <t>RD00505</t>
  </si>
  <si>
    <t>RD00506</t>
  </si>
  <si>
    <t>RD00507</t>
  </si>
  <si>
    <t>RD00508</t>
  </si>
  <si>
    <t>RD00509</t>
  </si>
  <si>
    <t>RD00510</t>
  </si>
  <si>
    <t>RD00511</t>
  </si>
  <si>
    <t>RD00512</t>
  </si>
  <si>
    <t>RD00513</t>
  </si>
  <si>
    <t>RD00514</t>
  </si>
  <si>
    <t>RD00515</t>
  </si>
  <si>
    <t>RD00516</t>
  </si>
  <si>
    <t>RD00517</t>
  </si>
  <si>
    <t>RD00518</t>
  </si>
  <si>
    <t>RD00519</t>
  </si>
  <si>
    <t>RD00520</t>
  </si>
  <si>
    <t>RD00521</t>
  </si>
  <si>
    <t>RD00522</t>
  </si>
  <si>
    <t>RD00523</t>
  </si>
  <si>
    <t>RD00524</t>
  </si>
  <si>
    <t>RD00525</t>
  </si>
  <si>
    <t>RD00526</t>
  </si>
  <si>
    <t>RD00527</t>
  </si>
  <si>
    <t>RD00528</t>
  </si>
  <si>
    <t>RD00529</t>
  </si>
  <si>
    <t>RD00530</t>
  </si>
  <si>
    <t>RD00531</t>
  </si>
  <si>
    <t>RD00532</t>
  </si>
  <si>
    <t>RD00533</t>
  </si>
  <si>
    <t>RD00534</t>
  </si>
  <si>
    <t>RD00535</t>
  </si>
  <si>
    <t>RD00536</t>
  </si>
  <si>
    <t>RD00537</t>
  </si>
  <si>
    <t>RD00538</t>
  </si>
  <si>
    <t>RD00539</t>
  </si>
  <si>
    <t>RD00540</t>
  </si>
  <si>
    <t>RD00541</t>
  </si>
  <si>
    <t>RD00542</t>
  </si>
  <si>
    <t>RD00543</t>
  </si>
  <si>
    <t>RD00544</t>
  </si>
  <si>
    <t>RD00545</t>
  </si>
  <si>
    <t>RD00546</t>
  </si>
  <si>
    <t>RD00547</t>
  </si>
  <si>
    <t>RD00548</t>
  </si>
  <si>
    <t>RD00549</t>
  </si>
  <si>
    <t>RD00550</t>
  </si>
  <si>
    <t>RD00551</t>
  </si>
  <si>
    <t>RD00552</t>
  </si>
  <si>
    <t>RD00553</t>
  </si>
  <si>
    <t>RD00554</t>
  </si>
  <si>
    <t>RD00555</t>
  </si>
  <si>
    <t>RD00556</t>
  </si>
  <si>
    <t>RD00557</t>
  </si>
  <si>
    <t>RD00558</t>
  </si>
  <si>
    <t>RD00559</t>
  </si>
  <si>
    <t>RD00560</t>
  </si>
  <si>
    <t>RD00561</t>
  </si>
  <si>
    <t>RD00562</t>
  </si>
  <si>
    <t>RD00563</t>
  </si>
  <si>
    <t>RD00564</t>
  </si>
  <si>
    <t>RD00565</t>
  </si>
  <si>
    <t>RD00566</t>
  </si>
  <si>
    <t>RD00567</t>
  </si>
  <si>
    <t>RD00568</t>
  </si>
  <si>
    <t>RD00569</t>
  </si>
  <si>
    <t>RD00570</t>
  </si>
  <si>
    <t>RD00571</t>
  </si>
  <si>
    <t>RD00572</t>
  </si>
  <si>
    <t>RD00573</t>
  </si>
  <si>
    <t>RD00574</t>
  </si>
  <si>
    <t>RD00575</t>
  </si>
  <si>
    <t>RD00576</t>
  </si>
  <si>
    <t>RD00577</t>
  </si>
  <si>
    <t>RD00578</t>
  </si>
  <si>
    <t>RD00579</t>
  </si>
  <si>
    <t>RD00580</t>
  </si>
  <si>
    <t>RD00581</t>
  </si>
  <si>
    <t>RD00582</t>
  </si>
  <si>
    <t>RD00583</t>
  </si>
  <si>
    <t>RD00584</t>
  </si>
  <si>
    <t>RD00585</t>
  </si>
  <si>
    <t>RD00586</t>
  </si>
  <si>
    <t>RD00587</t>
  </si>
  <si>
    <t>RD00588</t>
  </si>
  <si>
    <t>RD00589</t>
  </si>
  <si>
    <t>RD00590</t>
  </si>
  <si>
    <t>RD00591</t>
  </si>
  <si>
    <t>RD00592</t>
  </si>
  <si>
    <t>RD00593</t>
  </si>
  <si>
    <t>RD00594</t>
  </si>
  <si>
    <t>RD00595</t>
  </si>
  <si>
    <t>RD00596</t>
  </si>
  <si>
    <t>RD00597</t>
  </si>
  <si>
    <t>RD00598</t>
  </si>
  <si>
    <t>RD00599</t>
  </si>
  <si>
    <t>RD00600</t>
  </si>
  <si>
    <t>RD00601</t>
  </si>
  <si>
    <t>RD00602</t>
  </si>
  <si>
    <t>RD00603</t>
  </si>
  <si>
    <t>RD00604</t>
  </si>
  <si>
    <t>RD00605</t>
  </si>
  <si>
    <t>RD00606</t>
  </si>
  <si>
    <t>RD00607</t>
  </si>
  <si>
    <t>RD00608</t>
  </si>
  <si>
    <t>RD00609</t>
  </si>
  <si>
    <t>RD00610</t>
  </si>
  <si>
    <t>RD00611</t>
  </si>
  <si>
    <t>RD00612</t>
  </si>
  <si>
    <t>RD00613</t>
  </si>
  <si>
    <t>RD00614</t>
  </si>
  <si>
    <t>RD00615</t>
  </si>
  <si>
    <t>RD00616</t>
  </si>
  <si>
    <t>RD00617</t>
  </si>
  <si>
    <t>RD00618</t>
  </si>
  <si>
    <t>RD00619</t>
  </si>
  <si>
    <t>RD00620</t>
  </si>
  <si>
    <t>RD00621</t>
  </si>
  <si>
    <t>RD00622</t>
  </si>
  <si>
    <t>RD00623</t>
  </si>
  <si>
    <t>RD00624</t>
  </si>
  <si>
    <t>RD00625</t>
  </si>
  <si>
    <t>RD00626</t>
  </si>
  <si>
    <t>RD00627</t>
  </si>
  <si>
    <t>RD00628</t>
  </si>
  <si>
    <t>RD00629</t>
  </si>
  <si>
    <t>RD00630</t>
  </si>
  <si>
    <t>RD00631</t>
  </si>
  <si>
    <t>RD00632</t>
  </si>
  <si>
    <t>RD00633</t>
  </si>
  <si>
    <t>RD00634</t>
  </si>
  <si>
    <t>RD00635</t>
  </si>
  <si>
    <t>RD00636</t>
  </si>
  <si>
    <t>RD00637</t>
  </si>
  <si>
    <t>RD00638</t>
  </si>
  <si>
    <t>RD00639</t>
  </si>
  <si>
    <t>RD00640</t>
  </si>
  <si>
    <t>RD00641</t>
  </si>
  <si>
    <t>RD00642</t>
  </si>
  <si>
    <t>RD00643</t>
  </si>
  <si>
    <t>RD00644</t>
  </si>
  <si>
    <t>RD00645</t>
  </si>
  <si>
    <t>RD00646</t>
  </si>
  <si>
    <t>RD00647</t>
  </si>
  <si>
    <t>RD00648</t>
  </si>
  <si>
    <t>RD00649</t>
  </si>
  <si>
    <t>RD00650</t>
  </si>
  <si>
    <t>RD00651</t>
  </si>
  <si>
    <t>RD00652</t>
  </si>
  <si>
    <t>RD00653</t>
  </si>
  <si>
    <t>RD00654</t>
  </si>
  <si>
    <t>RD00655</t>
  </si>
  <si>
    <t>RD00656</t>
  </si>
  <si>
    <t>RD00657</t>
  </si>
  <si>
    <t>RD00658</t>
  </si>
  <si>
    <t>RD00659</t>
  </si>
  <si>
    <t>RD00660</t>
  </si>
  <si>
    <t>RD00661</t>
  </si>
  <si>
    <t>RD00662</t>
  </si>
  <si>
    <t>RD00663</t>
  </si>
  <si>
    <t>RD00664</t>
  </si>
  <si>
    <t>RD00665</t>
  </si>
  <si>
    <t>RD00666</t>
  </si>
  <si>
    <t>RD00667</t>
  </si>
  <si>
    <t>RD00668</t>
  </si>
  <si>
    <t>RD00669</t>
  </si>
  <si>
    <t>RD00670</t>
  </si>
  <si>
    <t>RD00671</t>
  </si>
  <si>
    <t>RD00672</t>
  </si>
  <si>
    <t>RD00673</t>
  </si>
  <si>
    <t>RD00674</t>
  </si>
  <si>
    <t>RD00675</t>
  </si>
  <si>
    <t>RD00676</t>
  </si>
  <si>
    <t>RD00677</t>
  </si>
  <si>
    <t>RD00678</t>
  </si>
  <si>
    <t>RD00679</t>
  </si>
  <si>
    <t>RD00680</t>
  </si>
  <si>
    <t>RD00681</t>
  </si>
  <si>
    <t>RD00682</t>
  </si>
  <si>
    <t>RD00683</t>
  </si>
  <si>
    <t>RD00684</t>
  </si>
  <si>
    <t>RD00685</t>
  </si>
  <si>
    <t>RD00686</t>
  </si>
  <si>
    <t>RD00687</t>
  </si>
  <si>
    <t>RD00688</t>
  </si>
  <si>
    <t>RD00689</t>
  </si>
  <si>
    <t>RD00690</t>
  </si>
  <si>
    <t>RD00691</t>
  </si>
  <si>
    <t>RD00692</t>
  </si>
  <si>
    <t>RD00693</t>
  </si>
  <si>
    <t>RD00694</t>
  </si>
  <si>
    <t>RD00695</t>
  </si>
  <si>
    <t>RD00696</t>
  </si>
  <si>
    <t>RD00697</t>
  </si>
  <si>
    <t>RD00698</t>
  </si>
  <si>
    <t>RD00699</t>
  </si>
  <si>
    <t>RD00700</t>
  </si>
  <si>
    <t>RD00701</t>
  </si>
  <si>
    <t>RD00702</t>
  </si>
  <si>
    <t>RD00703</t>
  </si>
  <si>
    <t>RD00704</t>
  </si>
  <si>
    <t>RD00705</t>
  </si>
  <si>
    <t>RD00706</t>
  </si>
  <si>
    <t>RD00707</t>
  </si>
  <si>
    <t>RD00708</t>
  </si>
  <si>
    <t>RD00709</t>
  </si>
  <si>
    <t>RD00710</t>
  </si>
  <si>
    <t>RD00711</t>
  </si>
  <si>
    <t>RD00712</t>
  </si>
  <si>
    <t>RD00713</t>
  </si>
  <si>
    <t>RD00714</t>
  </si>
  <si>
    <t>RD00715</t>
  </si>
  <si>
    <t>RD00716</t>
  </si>
  <si>
    <t>RD00717</t>
  </si>
  <si>
    <t>RD00718</t>
  </si>
  <si>
    <t>RD00719</t>
  </si>
  <si>
    <t>RD00720</t>
  </si>
  <si>
    <t>RD00721</t>
  </si>
  <si>
    <t>RD00722</t>
  </si>
  <si>
    <t>RD00723</t>
  </si>
  <si>
    <t>RD00724</t>
  </si>
  <si>
    <t>RD00725</t>
  </si>
  <si>
    <t>RD00726</t>
  </si>
  <si>
    <t>RD00727</t>
  </si>
  <si>
    <t>RD00728</t>
  </si>
  <si>
    <t>RD00729</t>
  </si>
  <si>
    <t>RD00730</t>
  </si>
  <si>
    <t>RD00731</t>
  </si>
  <si>
    <t>RD00732</t>
  </si>
  <si>
    <t>RD00733</t>
  </si>
  <si>
    <t>RD00734</t>
  </si>
  <si>
    <t>RD00735</t>
  </si>
  <si>
    <t>RD00736</t>
  </si>
  <si>
    <t>RD00737</t>
  </si>
  <si>
    <t>RD00738</t>
  </si>
  <si>
    <t>RD00739</t>
  </si>
  <si>
    <t>RD00740</t>
  </si>
  <si>
    <t>RD00741</t>
  </si>
  <si>
    <t>RD00742</t>
  </si>
  <si>
    <t>RD00743</t>
  </si>
  <si>
    <t>RD00744</t>
  </si>
  <si>
    <t>RD00745</t>
  </si>
  <si>
    <t>RD00746</t>
  </si>
  <si>
    <t>RD00747</t>
  </si>
  <si>
    <t>RD00748</t>
  </si>
  <si>
    <t>RD00749</t>
  </si>
  <si>
    <t>RD00750</t>
  </si>
  <si>
    <t>RD00751</t>
  </si>
  <si>
    <t>RD00752</t>
  </si>
  <si>
    <t>RD00753</t>
  </si>
  <si>
    <t>RD00754</t>
  </si>
  <si>
    <t>RD00755</t>
  </si>
  <si>
    <t>RD00756</t>
  </si>
  <si>
    <t>RD00757</t>
  </si>
  <si>
    <t>RD00758</t>
  </si>
  <si>
    <t>RD00759</t>
  </si>
  <si>
    <t>RD00760</t>
  </si>
  <si>
    <t>RD00761</t>
  </si>
  <si>
    <t>RD00762</t>
  </si>
  <si>
    <t>RD00763</t>
  </si>
  <si>
    <t>RD00764</t>
  </si>
  <si>
    <t>RD00765</t>
  </si>
  <si>
    <t>RD00766</t>
  </si>
  <si>
    <t>RD00767</t>
  </si>
  <si>
    <t>RD00768</t>
  </si>
  <si>
    <t>RD00769</t>
  </si>
  <si>
    <t>RD00770</t>
  </si>
  <si>
    <t>RD00771</t>
  </si>
  <si>
    <t>RD00772</t>
  </si>
  <si>
    <t>RD00773</t>
  </si>
  <si>
    <t>RD00774</t>
  </si>
  <si>
    <t>RD00775</t>
  </si>
  <si>
    <t>RD00776</t>
  </si>
  <si>
    <t>RD00777</t>
  </si>
  <si>
    <t>RD00778</t>
  </si>
  <si>
    <t>RD00779</t>
  </si>
  <si>
    <t>RD00780</t>
  </si>
  <si>
    <t>RD00781</t>
  </si>
  <si>
    <t>RD00782</t>
  </si>
  <si>
    <t>RD00783</t>
  </si>
  <si>
    <t>RD00784</t>
  </si>
  <si>
    <t>RD00785</t>
  </si>
  <si>
    <t>RD00786</t>
  </si>
  <si>
    <t>RD00787</t>
  </si>
  <si>
    <t>RD00788</t>
  </si>
  <si>
    <t>RD00789</t>
  </si>
  <si>
    <t>RD00790</t>
  </si>
  <si>
    <t>RD00791</t>
  </si>
  <si>
    <t>RD00792</t>
  </si>
  <si>
    <t>RD00793</t>
  </si>
  <si>
    <t>RD00794</t>
  </si>
  <si>
    <t>RD00795</t>
  </si>
  <si>
    <t>RD00796</t>
  </si>
  <si>
    <t>RD00797</t>
  </si>
  <si>
    <t>RD00798</t>
  </si>
  <si>
    <t>RD00799</t>
  </si>
  <si>
    <t>RD00800</t>
  </si>
  <si>
    <t>RD00801</t>
  </si>
  <si>
    <t>RD00802</t>
  </si>
  <si>
    <t>RD00803</t>
  </si>
  <si>
    <t>RD00804</t>
  </si>
  <si>
    <t>RD00805</t>
  </si>
  <si>
    <t>RD00806</t>
  </si>
  <si>
    <t>RD00807</t>
  </si>
  <si>
    <t>RD00808</t>
  </si>
  <si>
    <t>RD00809</t>
  </si>
  <si>
    <t>RD00810</t>
  </si>
  <si>
    <t>RD00811</t>
  </si>
  <si>
    <t>RD00812</t>
  </si>
  <si>
    <t>RD00813</t>
  </si>
  <si>
    <t>RD00814</t>
  </si>
  <si>
    <t>RD00815</t>
  </si>
  <si>
    <t>RD00816</t>
  </si>
  <si>
    <t>RD00817</t>
  </si>
  <si>
    <t>RD00818</t>
  </si>
  <si>
    <t>RD00819</t>
  </si>
  <si>
    <t>RD00820</t>
  </si>
  <si>
    <t>RD00821</t>
  </si>
  <si>
    <t>RD00822</t>
  </si>
  <si>
    <t>RD00823</t>
  </si>
  <si>
    <t>RD00824</t>
  </si>
  <si>
    <t>RD00825</t>
  </si>
  <si>
    <t>RD00826</t>
  </si>
  <si>
    <t>RD00827</t>
  </si>
  <si>
    <t>RD00828</t>
  </si>
  <si>
    <t>RD00829</t>
  </si>
  <si>
    <t>RD00830</t>
  </si>
  <si>
    <t>RD00831</t>
  </si>
  <si>
    <t>RD00832</t>
  </si>
  <si>
    <t>RD00833</t>
  </si>
  <si>
    <t>RD00834</t>
  </si>
  <si>
    <t>RD00835</t>
  </si>
  <si>
    <t>RD00836</t>
  </si>
  <si>
    <t>RD00837</t>
  </si>
  <si>
    <t>RD00838</t>
  </si>
  <si>
    <t>RD00839</t>
  </si>
  <si>
    <t>RD00840</t>
  </si>
  <si>
    <t>RD00841</t>
  </si>
  <si>
    <t>RD00842</t>
  </si>
  <si>
    <t>RD00843</t>
  </si>
  <si>
    <t>RD00844</t>
  </si>
  <si>
    <t>RD00845</t>
  </si>
  <si>
    <t>RD00846</t>
  </si>
  <si>
    <t>RD00847</t>
  </si>
  <si>
    <t>RD00848</t>
  </si>
  <si>
    <t>RD00849</t>
  </si>
  <si>
    <t>RD00850</t>
  </si>
  <si>
    <t>RD00851</t>
  </si>
  <si>
    <t>RD00852</t>
  </si>
  <si>
    <t>RD00853</t>
  </si>
  <si>
    <t>RD00854</t>
  </si>
  <si>
    <t>RD00855</t>
  </si>
  <si>
    <t>RD00856</t>
  </si>
  <si>
    <t>RD00857</t>
  </si>
  <si>
    <t>RD00858</t>
  </si>
  <si>
    <t>RD00859</t>
  </si>
  <si>
    <t>RD00860</t>
  </si>
  <si>
    <t>RD00861</t>
  </si>
  <si>
    <t>RD00862</t>
  </si>
  <si>
    <t>RD00863</t>
  </si>
  <si>
    <t>RD00864</t>
  </si>
  <si>
    <t>RD00865</t>
  </si>
  <si>
    <t>RD00866</t>
  </si>
  <si>
    <t>RD00867</t>
  </si>
  <si>
    <t>RD00868</t>
  </si>
  <si>
    <t>RD00869</t>
  </si>
  <si>
    <t>RD00870</t>
  </si>
  <si>
    <t>RD00871</t>
  </si>
  <si>
    <t>RD00872</t>
  </si>
  <si>
    <t>RD00873</t>
  </si>
  <si>
    <t>RD00874</t>
  </si>
  <si>
    <t>RD00875</t>
  </si>
  <si>
    <t>RD00876</t>
  </si>
  <si>
    <t>RD00877</t>
  </si>
  <si>
    <t>RD00878</t>
  </si>
  <si>
    <t>RD00879</t>
  </si>
  <si>
    <t>RD00880</t>
  </si>
  <si>
    <t>RD00881</t>
  </si>
  <si>
    <t>RD00882</t>
  </si>
  <si>
    <t>RD00883</t>
  </si>
  <si>
    <t>RD00884</t>
  </si>
  <si>
    <t>RD00885</t>
  </si>
  <si>
    <t>RD00886</t>
  </si>
  <si>
    <t>RD00887</t>
  </si>
  <si>
    <t>RD00888</t>
  </si>
  <si>
    <t>RD00889</t>
  </si>
  <si>
    <t>RD00890</t>
  </si>
  <si>
    <t>RD00891</t>
  </si>
  <si>
    <t>RD00892</t>
  </si>
  <si>
    <t>RD00893</t>
  </si>
  <si>
    <t>RD00894</t>
  </si>
  <si>
    <t>RD00895</t>
  </si>
  <si>
    <t>RD00896</t>
  </si>
  <si>
    <t>RD00897</t>
  </si>
  <si>
    <t>RD00898</t>
  </si>
  <si>
    <t>RD00899</t>
  </si>
  <si>
    <t>RD00900</t>
  </si>
  <si>
    <t>PoinDibutuhkan</t>
  </si>
  <si>
    <t>StokAwal</t>
  </si>
  <si>
    <t>JumlahDitukar</t>
  </si>
  <si>
    <t>StokTersisa</t>
  </si>
  <si>
    <t>Semua Toko</t>
  </si>
  <si>
    <t>PartnerID</t>
  </si>
  <si>
    <t>NamaPartner</t>
  </si>
  <si>
    <t>Catatan</t>
  </si>
  <si>
    <t>MP01</t>
  </si>
  <si>
    <t>Kopi Kenangan</t>
  </si>
  <si>
    <t>Aktif</t>
  </si>
  <si>
    <t>Diskon 15% untuk member Gold &amp; Platinum</t>
  </si>
  <si>
    <t>MP02</t>
  </si>
  <si>
    <t>Erafone</t>
  </si>
  <si>
    <t>Cicilan 0% khusus member</t>
  </si>
  <si>
    <t>MP03</t>
  </si>
  <si>
    <t>Informa</t>
  </si>
  <si>
    <t>Diskon 10% all items</t>
  </si>
  <si>
    <t>MP04</t>
  </si>
  <si>
    <t>CGV Cinemas</t>
  </si>
  <si>
    <t>Entertainment</t>
  </si>
  <si>
    <t>Buy 1 Get 1 tiket weekday</t>
  </si>
  <si>
    <t>MP05</t>
  </si>
  <si>
    <t>Watsons</t>
  </si>
  <si>
    <t>Poin 2x untuk pembelian di atas Rp150rb</t>
  </si>
  <si>
    <t>MP06</t>
  </si>
  <si>
    <t>Gramedia</t>
  </si>
  <si>
    <t>Books &amp; Stationery</t>
  </si>
  <si>
    <t>Prospek</t>
  </si>
  <si>
    <t>Rencana diskon 10% member baru</t>
  </si>
  <si>
    <t>MP07</t>
  </si>
  <si>
    <t>Guardian</t>
  </si>
  <si>
    <t>Sedang negosiasi kerja sama poin ganda</t>
  </si>
  <si>
    <t>MP08</t>
  </si>
  <si>
    <t>Zalora</t>
  </si>
  <si>
    <t>Rencana cashback poin untuk pembelian online</t>
  </si>
  <si>
    <t>MP09</t>
  </si>
  <si>
    <t>GoFood</t>
  </si>
  <si>
    <t>Voucher potongan ongkir untuk redemption poin</t>
  </si>
  <si>
    <t>MP10</t>
  </si>
  <si>
    <t>IKEA</t>
  </si>
  <si>
    <t>Rencana bundling reward furniture kecil</t>
  </si>
  <si>
    <t>Bulan</t>
  </si>
  <si>
    <t>TargetTransaksi</t>
  </si>
  <si>
    <t>TargetNominal</t>
  </si>
  <si>
    <t>TargetRedemption</t>
  </si>
  <si>
    <t>2026-06</t>
  </si>
  <si>
    <t>2026-07</t>
  </si>
  <si>
    <t>2026-08</t>
  </si>
  <si>
    <t>2026-09</t>
  </si>
  <si>
    <t>Tanggal Gabung</t>
  </si>
  <si>
    <t>Free Ongkir 3X</t>
  </si>
  <si>
    <t>Grand Total</t>
  </si>
  <si>
    <t>2026</t>
  </si>
  <si>
    <t>Months (Tanggal)</t>
  </si>
  <si>
    <t>Years (Tanggal)</t>
  </si>
  <si>
    <t>(Multiple Items)</t>
  </si>
  <si>
    <t>Tanggal transaksi</t>
  </si>
  <si>
    <t>Tanggal Redeem</t>
  </si>
  <si>
    <t>Jumlah redemption per jun-sep 2026</t>
  </si>
  <si>
    <t>Target</t>
  </si>
  <si>
    <t>Transaksi</t>
  </si>
  <si>
    <t xml:space="preserve">Total Belanja </t>
  </si>
  <si>
    <t>Redemption</t>
  </si>
  <si>
    <t xml:space="preserve">GAP </t>
  </si>
  <si>
    <t>Pencapaian</t>
  </si>
  <si>
    <t>Actual</t>
  </si>
  <si>
    <t>ACTUAL VS TARGET for Jun-Sep 2026</t>
  </si>
  <si>
    <t xml:space="preserve">point </t>
  </si>
  <si>
    <t xml:space="preserve">nilai </t>
  </si>
  <si>
    <t>point</t>
  </si>
  <si>
    <t>nilai</t>
  </si>
  <si>
    <t>tahun</t>
  </si>
  <si>
    <t>Jumlah Redeem</t>
  </si>
  <si>
    <t>total belanja</t>
  </si>
  <si>
    <t>jumlah transaksi</t>
  </si>
  <si>
    <t xml:space="preserve">insight </t>
  </si>
  <si>
    <t xml:space="preserve">Rata- rata nominal per transaksi( actual) </t>
  </si>
  <si>
    <t xml:space="preserve">rata- rata nominal per transaksi( target) </t>
  </si>
  <si>
    <t>selisih presentase (actual)</t>
  </si>
  <si>
    <t>Jumlah Transaksi Per jun-Sep 2026</t>
  </si>
  <si>
    <t>stok terpakai</t>
  </si>
  <si>
    <t>kecepatan/bulan</t>
  </si>
  <si>
    <t>kecepatan penukaran</t>
  </si>
  <si>
    <t>estimasi habis(bulan)</t>
  </si>
  <si>
    <t>Rekomendasi</t>
  </si>
  <si>
    <t>Kontrol stok reward</t>
  </si>
  <si>
    <t>Rekomendasi partnership merchant</t>
  </si>
  <si>
    <t>kategori belanja</t>
  </si>
  <si>
    <t xml:space="preserve">transaksi per kategori belanja </t>
  </si>
  <si>
    <t>Merchant Saat ini</t>
  </si>
  <si>
    <t>Sum of NominalBelanja</t>
  </si>
  <si>
    <t>frekuensi belanja</t>
  </si>
  <si>
    <t>Rata-rata Belanja</t>
  </si>
  <si>
    <t>Berdasarkan Data yang dilampirkan, Silver menyumbang porsi terbesar karena jumlah membernya paling banyak. Rata-rata nominalnya paling rendah, dan Platinum paling tinggi. Jadi peluangnya ada di upsell/bundling untuk Silver, dan mendorong Silver naik ke Gold.</t>
  </si>
  <si>
    <t>insight :</t>
  </si>
  <si>
    <t>Analisis engagement per tier member (Jun-Sep 2026)</t>
  </si>
  <si>
    <t>Evaluasi performa program vs target (Jun-Sep 2026)</t>
  </si>
  <si>
    <t>Saat ini jumlah transaksi terbanyak ada di kategori f&amp;b sebanyak 140, masih cukup aman untuk prospek kedepannya akan berfokus ke fashion dengan bekerja sama dengan merchant Zalora. kami memilih berfokus pada fashion dibanding health&amp; beauty karena walaupun kategori health and beauty jumlah transaksi terbesar kedua setelah f&amp;b tapi dari segi total belanja h&amp;b tergolong lebih sedikit dibanding kategori fashion.</t>
  </si>
  <si>
    <t>jumlah redeem</t>
  </si>
  <si>
    <t xml:space="preserve">Transaksi (75%) dan redemption (57%) belum mencapai target, sedangkan total belanja melampaui target (129%) karena rata-rata nominal per transaksi Rp302.890, sekitar 74% di atas target. </t>
  </si>
  <si>
    <t>Total  Belanja</t>
  </si>
  <si>
    <t>Presentase</t>
  </si>
  <si>
    <t>Dashboard Evaluasi Program CRM Loyalty Periode Jun-Sep 2026</t>
  </si>
  <si>
    <t>Redemption Berhasil</t>
  </si>
  <si>
    <t>Rata-Rata Per Transaksi</t>
  </si>
  <si>
    <t xml:space="preserve">Insight Utama </t>
  </si>
  <si>
    <t>1 reward harus segera restock ( voucher belanja Rp.200.000 )  karena estimasi habisnya dibawah 6 bulan, dan sisanya ada 6 reward yang harus dievaluasi karena stock berlebih</t>
  </si>
  <si>
    <t xml:space="preserve">Bulan </t>
  </si>
  <si>
    <t>Juni</t>
  </si>
  <si>
    <t>Juli</t>
  </si>
  <si>
    <t>Agustus</t>
  </si>
  <si>
    <t xml:space="preserve">September </t>
  </si>
  <si>
    <t>Actual Nominal</t>
  </si>
  <si>
    <t>Actual Transaksi</t>
  </si>
  <si>
    <t>Transaksi : Actual VS Target</t>
  </si>
  <si>
    <t>Total Belanja : Actual vs Target</t>
  </si>
  <si>
    <t>Actual Redeem</t>
  </si>
  <si>
    <t>redeem actual vs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</si>
</sst>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\-yy;@"/>
    <numFmt numFmtId="165" formatCode="&quot;Rp&quot;#,##0;[Red]&quot;Rp&quot;#,##0"/>
    <numFmt numFmtId="166" formatCode="0;[Red]0"/>
    <numFmt numFmtId="167" formatCode="&quot;Rp&quot;#,##0"/>
    <numFmt numFmtId="168" formatCode="0.0"/>
  </numFmts>
  <fonts count="17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6"/>
      <color rgb="FF000000"/>
      <name val="-webkit-standard"/>
    </font>
    <font>
      <sz val="16"/>
      <color theme="1"/>
      <name val="Calibri"/>
      <family val="2"/>
      <scheme val="minor"/>
    </font>
    <font>
      <b/>
      <sz val="26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rgb="FF000000"/>
      <name val="-webkit-standard"/>
    </font>
    <font>
      <b/>
      <sz val="18"/>
      <color rgb="FFFFFFFF"/>
      <name val="Arial"/>
      <family val="2"/>
    </font>
    <font>
      <sz val="22"/>
      <color theme="1"/>
      <name val="Calibri"/>
      <family val="2"/>
      <scheme val="minor"/>
    </font>
    <font>
      <b/>
      <sz val="14"/>
      <color theme="3"/>
      <name val="Calibri"/>
      <family val="2"/>
      <scheme val="minor"/>
    </font>
    <font>
      <b/>
      <sz val="20"/>
      <color rgb="FF000000"/>
      <name val="-webkit-standard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1F3864"/>
        <bgColor rgb="FF333333"/>
      </patternFill>
    </fill>
    <fill>
      <patternFill patternType="solid">
        <fgColor theme="3" tint="0.79998168889431442"/>
        <bgColor indexed="64"/>
      </patternFill>
    </fill>
  </fills>
  <borders count="20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2">
    <xf numFmtId="0" fontId="0" fillId="0" borderId="0" xfId="0"/>
    <xf numFmtId="0" fontId="4" fillId="2" borderId="1" xfId="0" applyFont="1" applyFill="1" applyBorder="1"/>
    <xf numFmtId="0" fontId="4" fillId="2" borderId="2" xfId="0" applyFont="1" applyFill="1" applyBorder="1"/>
    <xf numFmtId="0" fontId="4" fillId="2" borderId="3" xfId="0" applyFont="1" applyFill="1" applyBorder="1"/>
    <xf numFmtId="0" fontId="0" fillId="3" borderId="4" xfId="0" applyFill="1" applyBorder="1"/>
    <xf numFmtId="0" fontId="0" fillId="3" borderId="5" xfId="0" applyFill="1" applyBorder="1"/>
    <xf numFmtId="0" fontId="0" fillId="4" borderId="4" xfId="0" applyFill="1" applyBorder="1"/>
    <xf numFmtId="0" fontId="0" fillId="4" borderId="5" xfId="0" applyFill="1" applyBorder="1"/>
    <xf numFmtId="164" fontId="0" fillId="0" borderId="0" xfId="0" applyNumberFormat="1"/>
    <xf numFmtId="0" fontId="6" fillId="0" borderId="0" xfId="0" applyFont="1"/>
    <xf numFmtId="0" fontId="6" fillId="0" borderId="0" xfId="0" applyFont="1" applyAlignment="1">
      <alignment horizontal="left"/>
    </xf>
    <xf numFmtId="164" fontId="6" fillId="0" borderId="0" xfId="0" applyNumberFormat="1" applyFont="1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2" fillId="0" borderId="0" xfId="0" applyFont="1"/>
    <xf numFmtId="164" fontId="2" fillId="0" borderId="0" xfId="0" applyNumberFormat="1" applyFont="1" applyAlignment="1">
      <alignment horizontal="left"/>
    </xf>
    <xf numFmtId="164" fontId="0" fillId="0" borderId="0" xfId="0" applyNumberFormat="1" applyAlignment="1">
      <alignment horizontal="left"/>
    </xf>
    <xf numFmtId="166" fontId="2" fillId="0" borderId="0" xfId="0" applyNumberFormat="1" applyFont="1" applyAlignment="1">
      <alignment horizontal="left"/>
    </xf>
    <xf numFmtId="166" fontId="0" fillId="0" borderId="0" xfId="0" applyNumberFormat="1" applyAlignment="1">
      <alignment horizontal="left"/>
    </xf>
    <xf numFmtId="0" fontId="0" fillId="4" borderId="7" xfId="0" applyFill="1" applyBorder="1"/>
    <xf numFmtId="0" fontId="0" fillId="4" borderId="8" xfId="0" applyFill="1" applyBorder="1"/>
    <xf numFmtId="0" fontId="0" fillId="0" borderId="0" xfId="0" applyAlignment="1">
      <alignment horizontal="left"/>
    </xf>
    <xf numFmtId="165" fontId="7" fillId="0" borderId="0" xfId="0" applyNumberFormat="1" applyFont="1"/>
    <xf numFmtId="166" fontId="7" fillId="0" borderId="0" xfId="0" applyNumberFormat="1" applyFont="1"/>
    <xf numFmtId="0" fontId="0" fillId="0" borderId="0" xfId="0" pivotButton="1"/>
    <xf numFmtId="0" fontId="0" fillId="0" borderId="0" xfId="0" applyAlignment="1">
      <alignment horizontal="center"/>
    </xf>
    <xf numFmtId="0" fontId="5" fillId="0" borderId="10" xfId="0" applyFont="1" applyBorder="1"/>
    <xf numFmtId="167" fontId="0" fillId="0" borderId="0" xfId="0" applyNumberFormat="1"/>
    <xf numFmtId="9" fontId="0" fillId="0" borderId="0" xfId="0" applyNumberFormat="1"/>
    <xf numFmtId="0" fontId="0" fillId="0" borderId="0" xfId="0" applyAlignment="1">
      <alignment horizontal="center" vertical="center" wrapText="1"/>
    </xf>
    <xf numFmtId="9" fontId="0" fillId="0" borderId="0" xfId="1" applyFont="1" applyAlignment="1">
      <alignment horizontal="left"/>
    </xf>
    <xf numFmtId="168" fontId="0" fillId="0" borderId="0" xfId="0" applyNumberFormat="1" applyAlignment="1">
      <alignment horizontal="left"/>
    </xf>
    <xf numFmtId="1" fontId="0" fillId="0" borderId="0" xfId="0" applyNumberFormat="1"/>
    <xf numFmtId="0" fontId="0" fillId="3" borderId="5" xfId="0" applyFill="1" applyBorder="1" applyAlignment="1">
      <alignment horizontal="left"/>
    </xf>
    <xf numFmtId="0" fontId="0" fillId="4" borderId="5" xfId="0" applyFill="1" applyBorder="1" applyAlignment="1">
      <alignment horizontal="left"/>
    </xf>
    <xf numFmtId="1" fontId="0" fillId="3" borderId="6" xfId="0" applyNumberFormat="1" applyFill="1" applyBorder="1"/>
    <xf numFmtId="1" fontId="0" fillId="4" borderId="6" xfId="0" applyNumberFormat="1" applyFill="1" applyBorder="1"/>
    <xf numFmtId="0" fontId="9" fillId="0" borderId="0" xfId="0" applyFont="1"/>
    <xf numFmtId="0" fontId="5" fillId="4" borderId="10" xfId="0" applyFont="1" applyFill="1" applyBorder="1"/>
    <xf numFmtId="9" fontId="0" fillId="0" borderId="0" xfId="1" applyFont="1"/>
    <xf numFmtId="0" fontId="5" fillId="0" borderId="0" xfId="0" applyFont="1"/>
    <xf numFmtId="0" fontId="5" fillId="4" borderId="11" xfId="0" applyFont="1" applyFill="1" applyBorder="1"/>
    <xf numFmtId="165" fontId="5" fillId="4" borderId="11" xfId="0" applyNumberFormat="1" applyFont="1" applyFill="1" applyBorder="1"/>
    <xf numFmtId="0" fontId="4" fillId="0" borderId="0" xfId="0" applyFont="1"/>
    <xf numFmtId="0" fontId="15" fillId="0" borderId="0" xfId="0" applyFont="1"/>
    <xf numFmtId="166" fontId="5" fillId="2" borderId="2" xfId="0" applyNumberFormat="1" applyFont="1" applyFill="1" applyBorder="1"/>
    <xf numFmtId="166" fontId="0" fillId="3" borderId="5" xfId="0" applyNumberFormat="1" applyFill="1" applyBorder="1"/>
    <xf numFmtId="166" fontId="0" fillId="4" borderId="5" xfId="0" applyNumberFormat="1" applyFill="1" applyBorder="1"/>
    <xf numFmtId="166" fontId="0" fillId="4" borderId="8" xfId="0" applyNumberFormat="1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8" xfId="0" applyFill="1" applyBorder="1" applyAlignment="1">
      <alignment horizontal="left"/>
    </xf>
    <xf numFmtId="1" fontId="0" fillId="3" borderId="9" xfId="0" applyNumberFormat="1" applyFill="1" applyBorder="1"/>
    <xf numFmtId="0" fontId="1" fillId="0" borderId="0" xfId="0" applyFont="1"/>
    <xf numFmtId="0" fontId="14" fillId="6" borderId="12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1" fillId="6" borderId="0" xfId="0" applyFont="1" applyFill="1" applyAlignment="1">
      <alignment horizontal="center"/>
    </xf>
    <xf numFmtId="0" fontId="1" fillId="6" borderId="17" xfId="0" applyFont="1" applyFill="1" applyBorder="1" applyAlignment="1">
      <alignment horizontal="center"/>
    </xf>
    <xf numFmtId="0" fontId="1" fillId="6" borderId="18" xfId="0" applyFont="1" applyFill="1" applyBorder="1" applyAlignment="1">
      <alignment horizontal="center"/>
    </xf>
    <xf numFmtId="0" fontId="1" fillId="6" borderId="13" xfId="0" applyFont="1" applyFill="1" applyBorder="1" applyAlignment="1">
      <alignment horizontal="center"/>
    </xf>
    <xf numFmtId="0" fontId="1" fillId="6" borderId="14" xfId="0" applyFont="1" applyFill="1" applyBorder="1" applyAlignment="1">
      <alignment horizontal="center"/>
    </xf>
    <xf numFmtId="0" fontId="1" fillId="6" borderId="15" xfId="0" applyFont="1" applyFill="1" applyBorder="1" applyAlignment="1">
      <alignment horizontal="center"/>
    </xf>
    <xf numFmtId="167" fontId="14" fillId="6" borderId="12" xfId="0" applyNumberFormat="1" applyFont="1" applyFill="1" applyBorder="1" applyAlignment="1">
      <alignment horizontal="center"/>
    </xf>
    <xf numFmtId="167" fontId="14" fillId="6" borderId="0" xfId="0" applyNumberFormat="1" applyFont="1" applyFill="1" applyAlignment="1">
      <alignment horizontal="center"/>
    </xf>
    <xf numFmtId="167" fontId="14" fillId="6" borderId="16" xfId="0" applyNumberFormat="1" applyFont="1" applyFill="1" applyBorder="1" applyAlignment="1">
      <alignment horizontal="center"/>
    </xf>
    <xf numFmtId="0" fontId="1" fillId="6" borderId="16" xfId="0" applyFont="1" applyFill="1" applyBorder="1" applyAlignment="1">
      <alignment horizontal="center"/>
    </xf>
    <xf numFmtId="0" fontId="1" fillId="6" borderId="19" xfId="0" applyFont="1" applyFill="1" applyBorder="1" applyAlignment="1">
      <alignment horizontal="center"/>
    </xf>
    <xf numFmtId="0" fontId="13" fillId="5" borderId="0" xfId="0" applyFont="1" applyFill="1" applyAlignment="1">
      <alignment horizontal="center" vertical="center"/>
    </xf>
    <xf numFmtId="9" fontId="1" fillId="6" borderId="17" xfId="1" applyFont="1" applyFill="1" applyBorder="1" applyAlignment="1">
      <alignment horizontal="center"/>
    </xf>
    <xf numFmtId="9" fontId="1" fillId="6" borderId="18" xfId="1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16" fillId="0" borderId="0" xfId="0" applyFont="1" applyAlignment="1">
      <alignment horizontal="left"/>
    </xf>
    <xf numFmtId="0" fontId="16" fillId="0" borderId="0" xfId="0" applyFont="1" applyAlignment="1">
      <alignment horizontal="left" wrapText="1"/>
    </xf>
    <xf numFmtId="0" fontId="12" fillId="0" borderId="0" xfId="0" applyFont="1" applyAlignment="1">
      <alignment horizontal="center" wrapText="1"/>
    </xf>
    <xf numFmtId="0" fontId="11" fillId="0" borderId="0" xfId="0" applyFont="1" applyAlignment="1">
      <alignment horizontal="center" wrapText="1"/>
    </xf>
    <xf numFmtId="0" fontId="0" fillId="0" borderId="0" xfId="0" applyNumberFormat="1"/>
  </cellXfs>
  <cellStyles count="2">
    <cellStyle name="Normal" xfId="0" builtinId="0"/>
    <cellStyle name="Percent" xfId="1" builtinId="5"/>
  </cellStyles>
  <dxfs count="45"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4" formatCode="[$-409]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numFmt numFmtId="0" formatCode="General"/>
    </dxf>
    <dxf>
      <numFmt numFmtId="166" formatCode="0;[Red]0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166" formatCode="0;[Red]0"/>
    </dxf>
    <dxf>
      <numFmt numFmtId="165" formatCode="&quot;Rp&quot;#,##0;[Red]&quot;Rp&quot;#,##0"/>
    </dxf>
    <dxf>
      <numFmt numFmtId="0" formatCode="General"/>
    </dxf>
    <dxf>
      <numFmt numFmtId="0" formatCode="General"/>
    </dxf>
    <dxf>
      <numFmt numFmtId="164" formatCode="[$-409]d\-mmm\-yy;@"/>
    </dxf>
    <dxf>
      <numFmt numFmtId="0" formatCode="General"/>
    </dxf>
    <dxf>
      <numFmt numFmtId="0" formatCode="General"/>
    </dxf>
    <dxf>
      <numFmt numFmtId="1" formatCode="0"/>
    </dxf>
    <dxf>
      <numFmt numFmtId="168" formatCode="0.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6" formatCode="0;[Red]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[$-409]d\-mmm\-yy;@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numFmt numFmtId="166" formatCode="0;[Red]0"/>
    </dxf>
    <dxf>
      <numFmt numFmtId="165" formatCode="&quot;Rp&quot;#,##0;[Red]&quot;Rp&quot;#,##0"/>
    </dxf>
    <dxf>
      <numFmt numFmtId="165" formatCode="&quot;Rp&quot;#,##0;[Red]&quot;Rp&quot;#,##0"/>
    </dxf>
    <dxf>
      <numFmt numFmtId="164" formatCode="[$-409]d\-mmm\-yy;@"/>
    </dxf>
    <dxf>
      <numFmt numFmtId="165" formatCode="&quot;Rp&quot;#,##0;[Red]&quot;Rp&quot;#,##0"/>
    </dxf>
    <dxf>
      <numFmt numFmtId="165" formatCode="&quot;Rp&quot;#,##0;[Red]&quot;Rp&quot;#,##0"/>
    </dxf>
    <dxf>
      <numFmt numFmtId="13" formatCode="0%"/>
    </dxf>
    <dxf>
      <numFmt numFmtId="165" formatCode="&quot;Rp&quot;#,##0;[Red]&quot;Rp&quot;#,##0"/>
    </dxf>
    <dxf>
      <numFmt numFmtId="165" formatCode="&quot;Rp&quot;#,##0;[Red]&quot;Rp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4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1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Transaksi</a:t>
            </a:r>
            <a:r>
              <a:rPr lang="en-US" sz="1800" b="1" baseline="0">
                <a:solidFill>
                  <a:schemeClr val="tx1"/>
                </a:solidFill>
              </a:rPr>
              <a:t> : Actual vs Target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Analisa!$J$12:$J$13</c:f>
              <c:strCache>
                <c:ptCount val="2"/>
                <c:pt idx="0">
                  <c:v>Transaksi : Actual VS Target</c:v>
                </c:pt>
                <c:pt idx="1">
                  <c:v>Actual Transaksi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Analisa!$I$14:$I$17</c:f>
              <c:strCache>
                <c:ptCount val="4"/>
                <c:pt idx="0">
                  <c:v>Juni</c:v>
                </c:pt>
                <c:pt idx="1">
                  <c:v>Juli</c:v>
                </c:pt>
                <c:pt idx="2">
                  <c:v>Agustus</c:v>
                </c:pt>
                <c:pt idx="3">
                  <c:v>September </c:v>
                </c:pt>
              </c:strCache>
            </c:strRef>
          </c:cat>
          <c:val>
            <c:numRef>
              <c:f>Analisa!$J$14:$J$17</c:f>
              <c:numCache>
                <c:formatCode>General</c:formatCode>
                <c:ptCount val="4"/>
                <c:pt idx="0">
                  <c:v>183</c:v>
                </c:pt>
                <c:pt idx="1">
                  <c:v>229</c:v>
                </c:pt>
                <c:pt idx="2">
                  <c:v>218</c:v>
                </c:pt>
                <c:pt idx="3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A7-B447-9D1F-9DDCCDB3DA14}"/>
            </c:ext>
          </c:extLst>
        </c:ser>
        <c:ser>
          <c:idx val="1"/>
          <c:order val="1"/>
          <c:tx>
            <c:strRef>
              <c:f>Analisa!$K$12:$K$13</c:f>
              <c:strCache>
                <c:ptCount val="2"/>
                <c:pt idx="0">
                  <c:v>Transaksi : Actual VS Target</c:v>
                </c:pt>
                <c:pt idx="1">
                  <c:v>TargetTransaksi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Analisa!$I$14:$I$17</c:f>
              <c:strCache>
                <c:ptCount val="4"/>
                <c:pt idx="0">
                  <c:v>Juni</c:v>
                </c:pt>
                <c:pt idx="1">
                  <c:v>Juli</c:v>
                </c:pt>
                <c:pt idx="2">
                  <c:v>Agustus</c:v>
                </c:pt>
                <c:pt idx="3">
                  <c:v>September </c:v>
                </c:pt>
              </c:strCache>
            </c:strRef>
          </c:cat>
          <c:val>
            <c:numRef>
              <c:f>Analisa!$K$14:$K$17</c:f>
              <c:numCache>
                <c:formatCode>0;[Red]0</c:formatCode>
                <c:ptCount val="4"/>
                <c:pt idx="0">
                  <c:v>260</c:v>
                </c:pt>
                <c:pt idx="1">
                  <c:v>270</c:v>
                </c:pt>
                <c:pt idx="2">
                  <c:v>280</c:v>
                </c:pt>
                <c:pt idx="3">
                  <c:v>290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A7-B447-9D1F-9DDCCDB3DA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02255103"/>
        <c:axId val="1903071615"/>
      </c:barChart>
      <c:catAx>
        <c:axId val="190225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3071615"/>
        <c:crosses val="autoZero"/>
        <c:auto val="1"/>
        <c:lblAlgn val="ctr"/>
        <c:lblOffset val="100"/>
        <c:noMultiLvlLbl val="0"/>
      </c:catAx>
      <c:valAx>
        <c:axId val="190307161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0225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 Total Belanja</a:t>
            </a:r>
            <a:r>
              <a:rPr lang="en-US" sz="1600" b="1" baseline="0">
                <a:solidFill>
                  <a:schemeClr val="tx1"/>
                </a:solidFill>
              </a:rPr>
              <a:t>  (Rp Juta) : Actual vs Target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Analisa!$J$6</c:f>
              <c:strCache>
                <c:ptCount val="1"/>
                <c:pt idx="0">
                  <c:v>Actual Nominal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55,4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0-8BD9-6A4D-A058-A81ACDF4CFD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72,0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8BD9-6A4D-A058-A81ACDF4CFD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65,6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8BD9-6A4D-A058-A81ACDF4CFD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55,3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8BD9-6A4D-A058-A81ACDF4CF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Analisa!$I$7:$I$10</c:f>
              <c:strCache>
                <c:ptCount val="4"/>
                <c:pt idx="0">
                  <c:v>Juni</c:v>
                </c:pt>
                <c:pt idx="1">
                  <c:v>Juli</c:v>
                </c:pt>
                <c:pt idx="2">
                  <c:v>Agustus</c:v>
                </c:pt>
                <c:pt idx="3">
                  <c:v>September </c:v>
                </c:pt>
              </c:strCache>
            </c:strRef>
          </c:cat>
          <c:val>
            <c:numRef>
              <c:f>Analisa!$J$7:$J$10</c:f>
              <c:numCache>
                <c:formatCode>"Rp"#,##0;[Red]"Rp"#,##0</c:formatCode>
                <c:ptCount val="4"/>
                <c:pt idx="0">
                  <c:v>55419579</c:v>
                </c:pt>
                <c:pt idx="1">
                  <c:v>72011619</c:v>
                </c:pt>
                <c:pt idx="2">
                  <c:v>65613055</c:v>
                </c:pt>
                <c:pt idx="3">
                  <c:v>55325754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BD9-6A4D-A058-A81ACDF4CFDD}"/>
            </c:ext>
          </c:extLst>
        </c:ser>
        <c:ser>
          <c:idx val="1"/>
          <c:order val="1"/>
          <c:tx>
            <c:strRef>
              <c:f>Analisa!$K$6</c:f>
              <c:strCache>
                <c:ptCount val="1"/>
                <c:pt idx="0">
                  <c:v>TargetNominal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r>
                      <a:rPr lang="en-US"/>
                      <a:t>45,0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5-8BD9-6A4D-A058-A81ACDF4CFD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r>
                      <a:rPr lang="en-US"/>
                      <a:t>47,0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6-8BD9-6A4D-A058-A81ACDF4CFD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r>
                      <a:rPr lang="en-US"/>
                      <a:t>49,0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7-8BD9-6A4D-A058-A81ACDF4CFD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r>
                      <a:rPr lang="en-US"/>
                      <a:t>51,0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8-8BD9-6A4D-A058-A81ACDF4CF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Analisa!$I$7:$I$10</c:f>
              <c:strCache>
                <c:ptCount val="4"/>
                <c:pt idx="0">
                  <c:v>Juni</c:v>
                </c:pt>
                <c:pt idx="1">
                  <c:v>Juli</c:v>
                </c:pt>
                <c:pt idx="2">
                  <c:v>Agustus</c:v>
                </c:pt>
                <c:pt idx="3">
                  <c:v>September </c:v>
                </c:pt>
              </c:strCache>
            </c:strRef>
          </c:cat>
          <c:val>
            <c:numRef>
              <c:f>Analisa!$K$7:$K$10</c:f>
              <c:numCache>
                <c:formatCode>"Rp"#,##0;[Red]"Rp"#,##0</c:formatCode>
                <c:ptCount val="4"/>
                <c:pt idx="0">
                  <c:v>45000000</c:v>
                </c:pt>
                <c:pt idx="1">
                  <c:v>47000000</c:v>
                </c:pt>
                <c:pt idx="2">
                  <c:v>49000000</c:v>
                </c:pt>
                <c:pt idx="3">
                  <c:v>51000000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BD9-6A4D-A058-A81ACDF4CFD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072085439"/>
        <c:axId val="1917394815"/>
      </c:barChart>
      <c:catAx>
        <c:axId val="107208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7394815"/>
        <c:crosses val="autoZero"/>
        <c:auto val="1"/>
        <c:lblAlgn val="ctr"/>
        <c:lblOffset val="100"/>
        <c:noMultiLvlLbl val="0"/>
      </c:catAx>
      <c:valAx>
        <c:axId val="1917394815"/>
        <c:scaling>
          <c:orientation val="minMax"/>
        </c:scaling>
        <c:delete val="1"/>
        <c:axPos val="l"/>
        <c:numFmt formatCode="&quot;Rp&quot;#,##0;[Red]&quot;Rp&quot;#,##0" sourceLinked="1"/>
        <c:majorTickMark val="none"/>
        <c:minorTickMark val="none"/>
        <c:tickLblPos val="nextTo"/>
        <c:crossAx val="1072085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1">
                <a:solidFill>
                  <a:schemeClr val="tx1"/>
                </a:solidFill>
              </a:rPr>
              <a:t>Redemption Berhasil</a:t>
            </a:r>
            <a:r>
              <a:rPr lang="en-US" sz="1800" b="1" baseline="0">
                <a:solidFill>
                  <a:schemeClr val="tx1"/>
                </a:solidFill>
              </a:rPr>
              <a:t> : Actual vs Target</a:t>
            </a:r>
            <a:endParaRPr lang="en-US" sz="18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Analisa!$J$19</c:f>
              <c:strCache>
                <c:ptCount val="1"/>
                <c:pt idx="0">
                  <c:v>Actual Redeem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Analisa!$I$20:$I$23</c:f>
              <c:strCache>
                <c:ptCount val="4"/>
                <c:pt idx="0">
                  <c:v>Juni</c:v>
                </c:pt>
                <c:pt idx="1">
                  <c:v>Juli</c:v>
                </c:pt>
                <c:pt idx="2">
                  <c:v>Agustus</c:v>
                </c:pt>
                <c:pt idx="3">
                  <c:v>September </c:v>
                </c:pt>
              </c:strCache>
            </c:strRef>
          </c:cat>
          <c:val>
            <c:numRef>
              <c:f>Analisa!$J$20:$J$23</c:f>
              <c:numCache>
                <c:formatCode>General</c:formatCode>
                <c:ptCount val="4"/>
                <c:pt idx="0">
                  <c:v>47</c:v>
                </c:pt>
                <c:pt idx="1">
                  <c:v>56</c:v>
                </c:pt>
                <c:pt idx="2">
                  <c:v>64</c:v>
                </c:pt>
                <c:pt idx="3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8C-2E44-947E-EB4B223AE970}"/>
            </c:ext>
          </c:extLst>
        </c:ser>
        <c:ser>
          <c:idx val="1"/>
          <c:order val="1"/>
          <c:tx>
            <c:strRef>
              <c:f>Analisa!$K$19</c:f>
              <c:strCache>
                <c:ptCount val="1"/>
                <c:pt idx="0">
                  <c:v>Actual Nominal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Analisa!$I$20:$I$23</c:f>
              <c:strCache>
                <c:ptCount val="4"/>
                <c:pt idx="0">
                  <c:v>Juni</c:v>
                </c:pt>
                <c:pt idx="1">
                  <c:v>Juli</c:v>
                </c:pt>
                <c:pt idx="2">
                  <c:v>Agustus</c:v>
                </c:pt>
                <c:pt idx="3">
                  <c:v>September </c:v>
                </c:pt>
              </c:strCache>
            </c:strRef>
          </c:cat>
          <c:val>
            <c:numRef>
              <c:f>Analisa!$K$20:$K$23</c:f>
              <c:numCache>
                <c:formatCode>0;[Red]0</c:formatCode>
                <c:ptCount val="4"/>
                <c:pt idx="0">
                  <c:v>90</c:v>
                </c:pt>
                <c:pt idx="1">
                  <c:v>95</c:v>
                </c:pt>
                <c:pt idx="2">
                  <c:v>100</c:v>
                </c:pt>
                <c:pt idx="3">
                  <c:v>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48C-2E44-947E-EB4B223AE97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-25"/>
        <c:axId val="1902186879"/>
        <c:axId val="1902193599"/>
      </c:barChart>
      <c:catAx>
        <c:axId val="190218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2193599"/>
        <c:crosses val="autoZero"/>
        <c:auto val="1"/>
        <c:lblAlgn val="ctr"/>
        <c:lblOffset val="100"/>
        <c:noMultiLvlLbl val="0"/>
      </c:catAx>
      <c:valAx>
        <c:axId val="1902193599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0218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Dashboard Laela.xlsx]Analisa!PivotTable25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Kontribusi</a:t>
            </a:r>
            <a:r>
              <a:rPr lang="en-US" baseline="0">
                <a:solidFill>
                  <a:schemeClr val="tx1"/>
                </a:solidFill>
              </a:rPr>
              <a:t> Total Belanja Per Tier</a:t>
            </a:r>
            <a:endParaRPr lang="en-US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5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9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0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2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3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4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6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17"/>
        <c:spPr>
          <a:gradFill rotWithShape="1">
            <a:gsLst>
              <a:gs pos="0">
                <a:schemeClr val="accent6">
                  <a:shade val="51000"/>
                  <a:satMod val="130000"/>
                </a:schemeClr>
              </a:gs>
              <a:gs pos="80000">
                <a:schemeClr val="accent6">
                  <a:shade val="93000"/>
                  <a:satMod val="130000"/>
                </a:schemeClr>
              </a:gs>
              <a:gs pos="100000">
                <a:schemeClr val="accent6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Analisa!$B$33</c:f>
              <c:strCache>
                <c:ptCount val="1"/>
                <c:pt idx="0">
                  <c:v>frekuensi belanja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6144-844D-AF55-ACAAD47E4C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144-844D-AF55-ACAAD47E4C2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144-844D-AF55-ACAAD47E4C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Analisa!$A$34:$A$37</c:f>
              <c:strCache>
                <c:ptCount val="3"/>
                <c:pt idx="0">
                  <c:v>Gold</c:v>
                </c:pt>
                <c:pt idx="1">
                  <c:v>Platinum</c:v>
                </c:pt>
                <c:pt idx="2">
                  <c:v>Silver</c:v>
                </c:pt>
              </c:strCache>
            </c:strRef>
          </c:cat>
          <c:val>
            <c:numRef>
              <c:f>Analisa!$B$34:$B$37</c:f>
              <c:numCache>
                <c:formatCode>General</c:formatCode>
                <c:ptCount val="3"/>
                <c:pt idx="0">
                  <c:v>247</c:v>
                </c:pt>
                <c:pt idx="1">
                  <c:v>78</c:v>
                </c:pt>
                <c:pt idx="2">
                  <c:v>495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44-844D-AF55-ACAAD47E4C2A}"/>
            </c:ext>
          </c:extLst>
        </c:ser>
        <c:ser>
          <c:idx val="1"/>
          <c:order val="1"/>
          <c:tx>
            <c:strRef>
              <c:f>Analisa!$C$33</c:f>
              <c:strCache>
                <c:ptCount val="1"/>
                <c:pt idx="0">
                  <c:v>Rata-rata Belanja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6144-844D-AF55-ACAAD47E4C2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6144-844D-AF55-ACAAD47E4C2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C-6144-844D-AF55-ACAAD47E4C2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Analisa!$A$34:$A$37</c:f>
              <c:strCache>
                <c:ptCount val="3"/>
                <c:pt idx="0">
                  <c:v>Gold</c:v>
                </c:pt>
                <c:pt idx="1">
                  <c:v>Platinum</c:v>
                </c:pt>
                <c:pt idx="2">
                  <c:v>Silver</c:v>
                </c:pt>
              </c:strCache>
            </c:strRef>
          </c:cat>
          <c:val>
            <c:numRef>
              <c:f>Analisa!$C$34:$C$37</c:f>
              <c:numCache>
                <c:formatCode>General</c:formatCode>
                <c:ptCount val="3"/>
                <c:pt idx="0">
                  <c:v>316590.91902834008</c:v>
                </c:pt>
                <c:pt idx="1">
                  <c:v>331984.8205128205</c:v>
                </c:pt>
                <c:pt idx="2">
                  <c:v>291469.15959595959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6144-844D-AF55-ACAAD47E4C2A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[Portfolio Dashboard Laela.xlsx]Analisa!PivotTable14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Transaski</a:t>
            </a:r>
            <a:r>
              <a:rPr lang="en-US" sz="1600" b="1" baseline="0">
                <a:solidFill>
                  <a:schemeClr val="tx1"/>
                </a:solidFill>
              </a:rPr>
              <a:t> Per kategori Belanja ( Rp Juta)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Analisa!$B$78</c:f>
              <c:strCache>
                <c:ptCount val="1"/>
                <c:pt idx="0">
                  <c:v>jumlah transaksi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Analisa!$A$79:$A$85</c:f>
              <c:strCache>
                <c:ptCount val="6"/>
                <c:pt idx="0">
                  <c:v>Home &amp; Living</c:v>
                </c:pt>
                <c:pt idx="1">
                  <c:v>Groceries</c:v>
                </c:pt>
                <c:pt idx="2">
                  <c:v>Electronics</c:v>
                </c:pt>
                <c:pt idx="3">
                  <c:v>Health &amp; Beauty</c:v>
                </c:pt>
                <c:pt idx="4">
                  <c:v>F&amp;B</c:v>
                </c:pt>
                <c:pt idx="5">
                  <c:v>Fashion</c:v>
                </c:pt>
              </c:strCache>
            </c:strRef>
          </c:cat>
          <c:val>
            <c:numRef>
              <c:f>Analisa!$B$79:$B$85</c:f>
              <c:numCache>
                <c:formatCode>General</c:formatCode>
                <c:ptCount val="6"/>
                <c:pt idx="0">
                  <c:v>138</c:v>
                </c:pt>
                <c:pt idx="1">
                  <c:v>131</c:v>
                </c:pt>
                <c:pt idx="2">
                  <c:v>134</c:v>
                </c:pt>
                <c:pt idx="3">
                  <c:v>139</c:v>
                </c:pt>
                <c:pt idx="4">
                  <c:v>140</c:v>
                </c:pt>
                <c:pt idx="5">
                  <c:v>138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37-B248-8B36-BCCA349EAD8A}"/>
            </c:ext>
          </c:extLst>
        </c:ser>
        <c:ser>
          <c:idx val="1"/>
          <c:order val="1"/>
          <c:tx>
            <c:strRef>
              <c:f>Analisa!$C$78</c:f>
              <c:strCache>
                <c:ptCount val="1"/>
                <c:pt idx="0">
                  <c:v>Sum of NominalBelanja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Analisa!$A$79:$A$85</c:f>
              <c:strCache>
                <c:ptCount val="6"/>
                <c:pt idx="0">
                  <c:v>Home &amp; Living</c:v>
                </c:pt>
                <c:pt idx="1">
                  <c:v>Groceries</c:v>
                </c:pt>
                <c:pt idx="2">
                  <c:v>Electronics</c:v>
                </c:pt>
                <c:pt idx="3">
                  <c:v>Health &amp; Beauty</c:v>
                </c:pt>
                <c:pt idx="4">
                  <c:v>F&amp;B</c:v>
                </c:pt>
                <c:pt idx="5">
                  <c:v>Fashion</c:v>
                </c:pt>
              </c:strCache>
            </c:strRef>
          </c:cat>
          <c:val>
            <c:numRef>
              <c:f>Analisa!$C$79:$C$85</c:f>
              <c:numCache>
                <c:formatCode>"Rp"#,##0;[Red]"Rp"#,##0</c:formatCode>
                <c:ptCount val="6"/>
                <c:pt idx="0">
                  <c:v>38586141</c:v>
                </c:pt>
                <c:pt idx="1">
                  <c:v>40015154</c:v>
                </c:pt>
                <c:pt idx="2">
                  <c:v>40831682</c:v>
                </c:pt>
                <c:pt idx="3">
                  <c:v>41437058</c:v>
                </c:pt>
                <c:pt idx="4">
                  <c:v>43544061</c:v>
                </c:pt>
                <c:pt idx="5">
                  <c:v>43955911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37-B248-8B36-BCCA349EAD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-25"/>
        <c:axId val="1873414783"/>
        <c:axId val="1072228415"/>
      </c:barChart>
      <c:catAx>
        <c:axId val="18734147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228415"/>
        <c:crosses val="autoZero"/>
        <c:auto val="1"/>
        <c:lblAlgn val="ctr"/>
        <c:lblOffset val="100"/>
        <c:noMultiLvlLbl val="0"/>
      </c:catAx>
      <c:valAx>
        <c:axId val="1072228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3414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solidFill>
                  <a:schemeClr val="tx1"/>
                </a:solidFill>
              </a:rPr>
              <a:t>Estimasi</a:t>
            </a:r>
            <a:r>
              <a:rPr lang="en-US" sz="1600" b="1" baseline="0">
                <a:solidFill>
                  <a:schemeClr val="tx1"/>
                </a:solidFill>
              </a:rPr>
              <a:t> Stock Reward Habis(bulan)</a:t>
            </a:r>
            <a:endParaRPr lang="en-US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Analisa!$C$55</c:f>
              <c:strCache>
                <c:ptCount val="1"/>
                <c:pt idx="0">
                  <c:v>StokTersisa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Analisa!$B$56:$B$65</c:f>
              <c:strCache>
                <c:ptCount val="10"/>
                <c:pt idx="0">
                  <c:v>Free Ongkir 3X</c:v>
                </c:pt>
                <c:pt idx="1">
                  <c:v>Voucher Ojek Online Rp25.000</c:v>
                </c:pt>
                <c:pt idx="2">
                  <c:v>Voucher Belanja Rp50.000</c:v>
                </c:pt>
                <c:pt idx="3">
                  <c:v>Diskon 20% F&amp;B Partner</c:v>
                </c:pt>
                <c:pt idx="4">
                  <c:v>Voucher Belanja Rp100.000</c:v>
                </c:pt>
                <c:pt idx="5">
                  <c:v>Diskon 15% Fashion Partner</c:v>
                </c:pt>
                <c:pt idx="6">
                  <c:v>Voucher Nonton Bioskop</c:v>
                </c:pt>
                <c:pt idx="7">
                  <c:v>Merchandise Tumbler Eksklusif</c:v>
                </c:pt>
                <c:pt idx="8">
                  <c:v>Merchandise Tas Belanja Ramah Lingkungan</c:v>
                </c:pt>
                <c:pt idx="9">
                  <c:v>Voucher Belanja Rp200.000</c:v>
                </c:pt>
              </c:strCache>
            </c:strRef>
          </c:cat>
          <c:val>
            <c:numRef>
              <c:f>Analisa!$C$56:$C$65</c:f>
              <c:numCache>
                <c:formatCode>General</c:formatCode>
                <c:ptCount val="10"/>
                <c:pt idx="0">
                  <c:v>726</c:v>
                </c:pt>
                <c:pt idx="1">
                  <c:v>532</c:v>
                </c:pt>
                <c:pt idx="2">
                  <c:v>422</c:v>
                </c:pt>
                <c:pt idx="3">
                  <c:v>334</c:v>
                </c:pt>
                <c:pt idx="4">
                  <c:v>272</c:v>
                </c:pt>
                <c:pt idx="5">
                  <c:v>172</c:v>
                </c:pt>
                <c:pt idx="6">
                  <c:v>116</c:v>
                </c:pt>
                <c:pt idx="7">
                  <c:v>91</c:v>
                </c:pt>
                <c:pt idx="8">
                  <c:v>118</c:v>
                </c:pt>
                <c:pt idx="9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2A-514D-8E25-C5D859ED9FB3}"/>
            </c:ext>
          </c:extLst>
        </c:ser>
        <c:ser>
          <c:idx val="1"/>
          <c:order val="1"/>
          <c:tx>
            <c:strRef>
              <c:f>Analisa!$D$55</c:f>
              <c:strCache>
                <c:ptCount val="1"/>
                <c:pt idx="0">
                  <c:v>estimasi habis(bulan)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Analisa!$B$56:$B$65</c:f>
              <c:strCache>
                <c:ptCount val="10"/>
                <c:pt idx="0">
                  <c:v>Free Ongkir 3X</c:v>
                </c:pt>
                <c:pt idx="1">
                  <c:v>Voucher Ojek Online Rp25.000</c:v>
                </c:pt>
                <c:pt idx="2">
                  <c:v>Voucher Belanja Rp50.000</c:v>
                </c:pt>
                <c:pt idx="3">
                  <c:v>Diskon 20% F&amp;B Partner</c:v>
                </c:pt>
                <c:pt idx="4">
                  <c:v>Voucher Belanja Rp100.000</c:v>
                </c:pt>
                <c:pt idx="5">
                  <c:v>Diskon 15% Fashion Partner</c:v>
                </c:pt>
                <c:pt idx="6">
                  <c:v>Voucher Nonton Bioskop</c:v>
                </c:pt>
                <c:pt idx="7">
                  <c:v>Merchandise Tumbler Eksklusif</c:v>
                </c:pt>
                <c:pt idx="8">
                  <c:v>Merchandise Tas Belanja Ramah Lingkungan</c:v>
                </c:pt>
                <c:pt idx="9">
                  <c:v>Voucher Belanja Rp200.000</c:v>
                </c:pt>
              </c:strCache>
            </c:strRef>
          </c:cat>
          <c:val>
            <c:numRef>
              <c:f>Analisa!$D$56:$D$65</c:f>
              <c:numCache>
                <c:formatCode>0</c:formatCode>
                <c:ptCount val="10"/>
                <c:pt idx="0">
                  <c:v>117.72972972972973</c:v>
                </c:pt>
                <c:pt idx="1">
                  <c:v>93.882352941176464</c:v>
                </c:pt>
                <c:pt idx="2">
                  <c:v>64.92307692307692</c:v>
                </c:pt>
                <c:pt idx="3">
                  <c:v>60.727272727272727</c:v>
                </c:pt>
                <c:pt idx="4">
                  <c:v>41.846153846153847</c:v>
                </c:pt>
                <c:pt idx="5">
                  <c:v>26.46153846153846</c:v>
                </c:pt>
                <c:pt idx="6">
                  <c:v>21.75</c:v>
                </c:pt>
                <c:pt idx="7">
                  <c:v>18.508474576271187</c:v>
                </c:pt>
                <c:pt idx="8">
                  <c:v>17.26829268292683</c:v>
                </c:pt>
                <c:pt idx="9">
                  <c:v>5.1428571428571432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2A-514D-8E25-C5D859ED9F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72142911"/>
        <c:axId val="1975252543"/>
      </c:barChart>
      <c:catAx>
        <c:axId val="1072142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5252543"/>
        <c:crosses val="autoZero"/>
        <c:auto val="1"/>
        <c:lblAlgn val="ctr"/>
        <c:lblOffset val="100"/>
        <c:noMultiLvlLbl val="0"/>
      </c:catAx>
      <c:valAx>
        <c:axId val="19752525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1429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5</xdr:col>
      <xdr:colOff>647700</xdr:colOff>
      <xdr:row>31</xdr:row>
      <xdr:rowOff>177800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7C6E726-63EB-3548-A803-35E42D9933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16</xdr:row>
      <xdr:rowOff>0</xdr:rowOff>
    </xdr:from>
    <xdr:to>
      <xdr:col>11</xdr:col>
      <xdr:colOff>800100</xdr:colOff>
      <xdr:row>32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0DD776F-A4A2-2641-B1BC-500EAA8CE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34</xdr:row>
      <xdr:rowOff>0</xdr:rowOff>
    </xdr:from>
    <xdr:to>
      <xdr:col>5</xdr:col>
      <xdr:colOff>647700</xdr:colOff>
      <xdr:row>50</xdr:row>
      <xdr:rowOff>12700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4E3D45E-7C09-004C-9714-72C5340FEF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12700</xdr:colOff>
      <xdr:row>34</xdr:row>
      <xdr:rowOff>0</xdr:rowOff>
    </xdr:from>
    <xdr:to>
      <xdr:col>11</xdr:col>
      <xdr:colOff>812800</xdr:colOff>
      <xdr:row>50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E0EA79C-9B7B-C542-BCDF-604060028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12700</xdr:colOff>
      <xdr:row>52</xdr:row>
      <xdr:rowOff>0</xdr:rowOff>
    </xdr:from>
    <xdr:to>
      <xdr:col>5</xdr:col>
      <xdr:colOff>647700</xdr:colOff>
      <xdr:row>69</xdr:row>
      <xdr:rowOff>25400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A8D7BA6-139E-EA49-B873-CB18896807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12700</xdr:colOff>
      <xdr:row>52</xdr:row>
      <xdr:rowOff>12700</xdr:rowOff>
    </xdr:from>
    <xdr:to>
      <xdr:col>12</xdr:col>
      <xdr:colOff>50800</xdr:colOff>
      <xdr:row>68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B7A710D7-CA8D-AC41-8677-0C40FF8C09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lan Ardiansyah" refreshedDate="46294.542590393517" createdVersion="8" refreshedVersion="8" minRefreshableVersion="3" recordCount="900" xr:uid="{5964F7B6-58E6-9E4B-B220-F31337E71AC2}">
  <cacheSource type="worksheet">
    <worksheetSource name="Table3"/>
  </cacheSource>
  <cacheFields count="10">
    <cacheField name="RedemptionID" numFmtId="0">
      <sharedItems count="900">
        <s v="RD00001"/>
        <s v="RD00002"/>
        <s v="RD00003"/>
        <s v="RD00004"/>
        <s v="RD00005"/>
        <s v="RD00006"/>
        <s v="RD00007"/>
        <s v="RD00008"/>
        <s v="RD00009"/>
        <s v="RD00010"/>
        <s v="RD00011"/>
        <s v="RD00012"/>
        <s v="RD00013"/>
        <s v="RD00014"/>
        <s v="RD00015"/>
        <s v="RD00016"/>
        <s v="RD00017"/>
        <s v="RD00018"/>
        <s v="RD00019"/>
        <s v="RD00020"/>
        <s v="RD00021"/>
        <s v="RD00022"/>
        <s v="RD00023"/>
        <s v="RD00024"/>
        <s v="RD00025"/>
        <s v="RD00026"/>
        <s v="RD00027"/>
        <s v="RD00028"/>
        <s v="RD00029"/>
        <s v="RD00030"/>
        <s v="RD00031"/>
        <s v="RD00032"/>
        <s v="RD00033"/>
        <s v="RD00034"/>
        <s v="RD00035"/>
        <s v="RD00036"/>
        <s v="RD00037"/>
        <s v="RD00038"/>
        <s v="RD00039"/>
        <s v="RD00040"/>
        <s v="RD00041"/>
        <s v="RD00042"/>
        <s v="RD00043"/>
        <s v="RD00044"/>
        <s v="RD00045"/>
        <s v="RD00046"/>
        <s v="RD00047"/>
        <s v="RD00048"/>
        <s v="RD00049"/>
        <s v="RD00050"/>
        <s v="RD00051"/>
        <s v="RD00052"/>
        <s v="RD00053"/>
        <s v="RD00054"/>
        <s v="RD00055"/>
        <s v="RD00056"/>
        <s v="RD00057"/>
        <s v="RD00058"/>
        <s v="RD00059"/>
        <s v="RD00060"/>
        <s v="RD00061"/>
        <s v="RD00062"/>
        <s v="RD00063"/>
        <s v="RD00064"/>
        <s v="RD00065"/>
        <s v="RD00066"/>
        <s v="RD00067"/>
        <s v="RD00068"/>
        <s v="RD00069"/>
        <s v="RD00070"/>
        <s v="RD00071"/>
        <s v="RD00072"/>
        <s v="RD00073"/>
        <s v="RD00074"/>
        <s v="RD00075"/>
        <s v="RD00076"/>
        <s v="RD00077"/>
        <s v="RD00078"/>
        <s v="RD00079"/>
        <s v="RD00080"/>
        <s v="RD00081"/>
        <s v="RD00082"/>
        <s v="RD00083"/>
        <s v="RD00084"/>
        <s v="RD00085"/>
        <s v="RD00086"/>
        <s v="RD00087"/>
        <s v="RD00088"/>
        <s v="RD00089"/>
        <s v="RD00090"/>
        <s v="RD00091"/>
        <s v="RD00092"/>
        <s v="RD00093"/>
        <s v="RD00094"/>
        <s v="RD00095"/>
        <s v="RD00096"/>
        <s v="RD00097"/>
        <s v="RD00098"/>
        <s v="RD00099"/>
        <s v="RD00100"/>
        <s v="RD00101"/>
        <s v="RD00102"/>
        <s v="RD00103"/>
        <s v="RD00104"/>
        <s v="RD00105"/>
        <s v="RD00106"/>
        <s v="RD00107"/>
        <s v="RD00108"/>
        <s v="RD00109"/>
        <s v="RD00110"/>
        <s v="RD00111"/>
        <s v="RD00112"/>
        <s v="RD00113"/>
        <s v="RD00114"/>
        <s v="RD00115"/>
        <s v="RD00116"/>
        <s v="RD00117"/>
        <s v="RD00118"/>
        <s v="RD00119"/>
        <s v="RD00120"/>
        <s v="RD00121"/>
        <s v="RD00122"/>
        <s v="RD00123"/>
        <s v="RD00124"/>
        <s v="RD00125"/>
        <s v="RD00126"/>
        <s v="RD00127"/>
        <s v="RD00128"/>
        <s v="RD00129"/>
        <s v="RD00130"/>
        <s v="RD00131"/>
        <s v="RD00132"/>
        <s v="RD00133"/>
        <s v="RD00134"/>
        <s v="RD00135"/>
        <s v="RD00136"/>
        <s v="RD00137"/>
        <s v="RD00138"/>
        <s v="RD00139"/>
        <s v="RD00140"/>
        <s v="RD00141"/>
        <s v="RD00142"/>
        <s v="RD00143"/>
        <s v="RD00144"/>
        <s v="RD00145"/>
        <s v="RD00146"/>
        <s v="RD00147"/>
        <s v="RD00148"/>
        <s v="RD00149"/>
        <s v="RD00150"/>
        <s v="RD00151"/>
        <s v="RD00152"/>
        <s v="RD00153"/>
        <s v="RD00154"/>
        <s v="RD00155"/>
        <s v="RD00156"/>
        <s v="RD00157"/>
        <s v="RD00158"/>
        <s v="RD00159"/>
        <s v="RD00160"/>
        <s v="RD00161"/>
        <s v="RD00162"/>
        <s v="RD00163"/>
        <s v="RD00164"/>
        <s v="RD00165"/>
        <s v="RD00166"/>
        <s v="RD00167"/>
        <s v="RD00168"/>
        <s v="RD00169"/>
        <s v="RD00170"/>
        <s v="RD00171"/>
        <s v="RD00172"/>
        <s v="RD00173"/>
        <s v="RD00174"/>
        <s v="RD00175"/>
        <s v="RD00176"/>
        <s v="RD00177"/>
        <s v="RD00178"/>
        <s v="RD00179"/>
        <s v="RD00180"/>
        <s v="RD00181"/>
        <s v="RD00182"/>
        <s v="RD00183"/>
        <s v="RD00184"/>
        <s v="RD00185"/>
        <s v="RD00186"/>
        <s v="RD00187"/>
        <s v="RD00188"/>
        <s v="RD00189"/>
        <s v="RD00190"/>
        <s v="RD00191"/>
        <s v="RD00192"/>
        <s v="RD00193"/>
        <s v="RD00194"/>
        <s v="RD00195"/>
        <s v="RD00196"/>
        <s v="RD00197"/>
        <s v="RD00198"/>
        <s v="RD00199"/>
        <s v="RD00200"/>
        <s v="RD00201"/>
        <s v="RD00202"/>
        <s v="RD00203"/>
        <s v="RD00204"/>
        <s v="RD00205"/>
        <s v="RD00206"/>
        <s v="RD00207"/>
        <s v="RD00208"/>
        <s v="RD00209"/>
        <s v="RD00210"/>
        <s v="RD00211"/>
        <s v="RD00212"/>
        <s v="RD00213"/>
        <s v="RD00214"/>
        <s v="RD00215"/>
        <s v="RD00216"/>
        <s v="RD00217"/>
        <s v="RD00218"/>
        <s v="RD00219"/>
        <s v="RD00220"/>
        <s v="RD00221"/>
        <s v="RD00222"/>
        <s v="RD00223"/>
        <s v="RD00224"/>
        <s v="RD00225"/>
        <s v="RD00226"/>
        <s v="RD00227"/>
        <s v="RD00228"/>
        <s v="RD00229"/>
        <s v="RD00230"/>
        <s v="RD00231"/>
        <s v="RD00232"/>
        <s v="RD00233"/>
        <s v="RD00234"/>
        <s v="RD00235"/>
        <s v="RD00236"/>
        <s v="RD00237"/>
        <s v="RD00238"/>
        <s v="RD00239"/>
        <s v="RD00240"/>
        <s v="RD00241"/>
        <s v="RD00242"/>
        <s v="RD00243"/>
        <s v="RD00244"/>
        <s v="RD00245"/>
        <s v="RD00246"/>
        <s v="RD00247"/>
        <s v="RD00248"/>
        <s v="RD00249"/>
        <s v="RD00250"/>
        <s v="RD00251"/>
        <s v="RD00252"/>
        <s v="RD00253"/>
        <s v="RD00254"/>
        <s v="RD00255"/>
        <s v="RD00256"/>
        <s v="RD00257"/>
        <s v="RD00258"/>
        <s v="RD00259"/>
        <s v="RD00260"/>
        <s v="RD00261"/>
        <s v="RD00262"/>
        <s v="RD00263"/>
        <s v="RD00264"/>
        <s v="RD00265"/>
        <s v="RD00266"/>
        <s v="RD00267"/>
        <s v="RD00268"/>
        <s v="RD00269"/>
        <s v="RD00270"/>
        <s v="RD00271"/>
        <s v="RD00272"/>
        <s v="RD00273"/>
        <s v="RD00274"/>
        <s v="RD00275"/>
        <s v="RD00276"/>
        <s v="RD00277"/>
        <s v="RD00278"/>
        <s v="RD00279"/>
        <s v="RD00280"/>
        <s v="RD00281"/>
        <s v="RD00282"/>
        <s v="RD00283"/>
        <s v="RD00284"/>
        <s v="RD00285"/>
        <s v="RD00286"/>
        <s v="RD00287"/>
        <s v="RD00288"/>
        <s v="RD00289"/>
        <s v="RD00290"/>
        <s v="RD00291"/>
        <s v="RD00292"/>
        <s v="RD00293"/>
        <s v="RD00294"/>
        <s v="RD00295"/>
        <s v="RD00296"/>
        <s v="RD00297"/>
        <s v="RD00298"/>
        <s v="RD00299"/>
        <s v="RD00300"/>
        <s v="RD00301"/>
        <s v="RD00302"/>
        <s v="RD00303"/>
        <s v="RD00304"/>
        <s v="RD00305"/>
        <s v="RD00306"/>
        <s v="RD00307"/>
        <s v="RD00308"/>
        <s v="RD00309"/>
        <s v="RD00310"/>
        <s v="RD00311"/>
        <s v="RD00312"/>
        <s v="RD00313"/>
        <s v="RD00314"/>
        <s v="RD00315"/>
        <s v="RD00316"/>
        <s v="RD00317"/>
        <s v="RD00318"/>
        <s v="RD00319"/>
        <s v="RD00320"/>
        <s v="RD00321"/>
        <s v="RD00322"/>
        <s v="RD00323"/>
        <s v="RD00324"/>
        <s v="RD00325"/>
        <s v="RD00326"/>
        <s v="RD00327"/>
        <s v="RD00328"/>
        <s v="RD00329"/>
        <s v="RD00330"/>
        <s v="RD00331"/>
        <s v="RD00332"/>
        <s v="RD00333"/>
        <s v="RD00334"/>
        <s v="RD00335"/>
        <s v="RD00336"/>
        <s v="RD00337"/>
        <s v="RD00338"/>
        <s v="RD00339"/>
        <s v="RD00340"/>
        <s v="RD00341"/>
        <s v="RD00342"/>
        <s v="RD00343"/>
        <s v="RD00344"/>
        <s v="RD00345"/>
        <s v="RD00346"/>
        <s v="RD00347"/>
        <s v="RD00348"/>
        <s v="RD00349"/>
        <s v="RD00350"/>
        <s v="RD00351"/>
        <s v="RD00352"/>
        <s v="RD00353"/>
        <s v="RD00354"/>
        <s v="RD00355"/>
        <s v="RD00356"/>
        <s v="RD00357"/>
        <s v="RD00358"/>
        <s v="RD00359"/>
        <s v="RD00360"/>
        <s v="RD00361"/>
        <s v="RD00362"/>
        <s v="RD00363"/>
        <s v="RD00364"/>
        <s v="RD00365"/>
        <s v="RD00366"/>
        <s v="RD00367"/>
        <s v="RD00368"/>
        <s v="RD00369"/>
        <s v="RD00370"/>
        <s v="RD00371"/>
        <s v="RD00372"/>
        <s v="RD00373"/>
        <s v="RD00374"/>
        <s v="RD00375"/>
        <s v="RD00376"/>
        <s v="RD00377"/>
        <s v="RD00378"/>
        <s v="RD00379"/>
        <s v="RD00380"/>
        <s v="RD00381"/>
        <s v="RD00382"/>
        <s v="RD00383"/>
        <s v="RD00384"/>
        <s v="RD00385"/>
        <s v="RD00386"/>
        <s v="RD00387"/>
        <s v="RD00388"/>
        <s v="RD00389"/>
        <s v="RD00390"/>
        <s v="RD00391"/>
        <s v="RD00392"/>
        <s v="RD00393"/>
        <s v="RD00394"/>
        <s v="RD00395"/>
        <s v="RD00396"/>
        <s v="RD00397"/>
        <s v="RD00398"/>
        <s v="RD00399"/>
        <s v="RD00400"/>
        <s v="RD00401"/>
        <s v="RD00402"/>
        <s v="RD00403"/>
        <s v="RD00404"/>
        <s v="RD00405"/>
        <s v="RD00406"/>
        <s v="RD00407"/>
        <s v="RD00408"/>
        <s v="RD00409"/>
        <s v="RD00410"/>
        <s v="RD00411"/>
        <s v="RD00412"/>
        <s v="RD00413"/>
        <s v="RD00414"/>
        <s v="RD00415"/>
        <s v="RD00416"/>
        <s v="RD00417"/>
        <s v="RD00418"/>
        <s v="RD00419"/>
        <s v="RD00420"/>
        <s v="RD00421"/>
        <s v="RD00422"/>
        <s v="RD00423"/>
        <s v="RD00424"/>
        <s v="RD00425"/>
        <s v="RD00426"/>
        <s v="RD00427"/>
        <s v="RD00428"/>
        <s v="RD00429"/>
        <s v="RD00430"/>
        <s v="RD00431"/>
        <s v="RD00432"/>
        <s v="RD00433"/>
        <s v="RD00434"/>
        <s v="RD00435"/>
        <s v="RD00436"/>
        <s v="RD00437"/>
        <s v="RD00438"/>
        <s v="RD00439"/>
        <s v="RD00440"/>
        <s v="RD00441"/>
        <s v="RD00442"/>
        <s v="RD00443"/>
        <s v="RD00444"/>
        <s v="RD00445"/>
        <s v="RD00446"/>
        <s v="RD00447"/>
        <s v="RD00448"/>
        <s v="RD00449"/>
        <s v="RD00450"/>
        <s v="RD00451"/>
        <s v="RD00452"/>
        <s v="RD00453"/>
        <s v="RD00454"/>
        <s v="RD00455"/>
        <s v="RD00456"/>
        <s v="RD00457"/>
        <s v="RD00458"/>
        <s v="RD00459"/>
        <s v="RD00460"/>
        <s v="RD00461"/>
        <s v="RD00462"/>
        <s v="RD00463"/>
        <s v="RD00464"/>
        <s v="RD00465"/>
        <s v="RD00466"/>
        <s v="RD00467"/>
        <s v="RD00468"/>
        <s v="RD00469"/>
        <s v="RD00470"/>
        <s v="RD00471"/>
        <s v="RD00472"/>
        <s v="RD00473"/>
        <s v="RD00474"/>
        <s v="RD00475"/>
        <s v="RD00476"/>
        <s v="RD00477"/>
        <s v="RD00478"/>
        <s v="RD00479"/>
        <s v="RD00480"/>
        <s v="RD00481"/>
        <s v="RD00482"/>
        <s v="RD00483"/>
        <s v="RD00484"/>
        <s v="RD00485"/>
        <s v="RD00486"/>
        <s v="RD00487"/>
        <s v="RD00488"/>
        <s v="RD00489"/>
        <s v="RD00490"/>
        <s v="RD00491"/>
        <s v="RD00492"/>
        <s v="RD00493"/>
        <s v="RD00494"/>
        <s v="RD00495"/>
        <s v="RD00496"/>
        <s v="RD00497"/>
        <s v="RD00498"/>
        <s v="RD00499"/>
        <s v="RD00500"/>
        <s v="RD00501"/>
        <s v="RD00502"/>
        <s v="RD00503"/>
        <s v="RD00504"/>
        <s v="RD00505"/>
        <s v="RD00506"/>
        <s v="RD00507"/>
        <s v="RD00508"/>
        <s v="RD00509"/>
        <s v="RD00510"/>
        <s v="RD00511"/>
        <s v="RD00512"/>
        <s v="RD00513"/>
        <s v="RD00514"/>
        <s v="RD00515"/>
        <s v="RD00516"/>
        <s v="RD00517"/>
        <s v="RD00518"/>
        <s v="RD00519"/>
        <s v="RD00520"/>
        <s v="RD00521"/>
        <s v="RD00522"/>
        <s v="RD00523"/>
        <s v="RD00524"/>
        <s v="RD00525"/>
        <s v="RD00526"/>
        <s v="RD00527"/>
        <s v="RD00528"/>
        <s v="RD00529"/>
        <s v="RD00530"/>
        <s v="RD00531"/>
        <s v="RD00532"/>
        <s v="RD00533"/>
        <s v="RD00534"/>
        <s v="RD00535"/>
        <s v="RD00536"/>
        <s v="RD00537"/>
        <s v="RD00538"/>
        <s v="RD00539"/>
        <s v="RD00540"/>
        <s v="RD00541"/>
        <s v="RD00542"/>
        <s v="RD00543"/>
        <s v="RD00544"/>
        <s v="RD00545"/>
        <s v="RD00546"/>
        <s v="RD00547"/>
        <s v="RD00548"/>
        <s v="RD00549"/>
        <s v="RD00550"/>
        <s v="RD00551"/>
        <s v="RD00552"/>
        <s v="RD00553"/>
        <s v="RD00554"/>
        <s v="RD00555"/>
        <s v="RD00556"/>
        <s v="RD00557"/>
        <s v="RD00558"/>
        <s v="RD00559"/>
        <s v="RD00560"/>
        <s v="RD00561"/>
        <s v="RD00562"/>
        <s v="RD00563"/>
        <s v="RD00564"/>
        <s v="RD00565"/>
        <s v="RD00566"/>
        <s v="RD00567"/>
        <s v="RD00568"/>
        <s v="RD00569"/>
        <s v="RD00570"/>
        <s v="RD00571"/>
        <s v="RD00572"/>
        <s v="RD00573"/>
        <s v="RD00574"/>
        <s v="RD00575"/>
        <s v="RD00576"/>
        <s v="RD00577"/>
        <s v="RD00578"/>
        <s v="RD00579"/>
        <s v="RD00580"/>
        <s v="RD00581"/>
        <s v="RD00582"/>
        <s v="RD00583"/>
        <s v="RD00584"/>
        <s v="RD00585"/>
        <s v="RD00586"/>
        <s v="RD00587"/>
        <s v="RD00588"/>
        <s v="RD00589"/>
        <s v="RD00590"/>
        <s v="RD00591"/>
        <s v="RD00592"/>
        <s v="RD00593"/>
        <s v="RD00594"/>
        <s v="RD00595"/>
        <s v="RD00596"/>
        <s v="RD00597"/>
        <s v="RD00598"/>
        <s v="RD00599"/>
        <s v="RD00600"/>
        <s v="RD00601"/>
        <s v="RD00602"/>
        <s v="RD00603"/>
        <s v="RD00604"/>
        <s v="RD00605"/>
        <s v="RD00606"/>
        <s v="RD00607"/>
        <s v="RD00608"/>
        <s v="RD00609"/>
        <s v="RD00610"/>
        <s v="RD00611"/>
        <s v="RD00612"/>
        <s v="RD00613"/>
        <s v="RD00614"/>
        <s v="RD00615"/>
        <s v="RD00616"/>
        <s v="RD00617"/>
        <s v="RD00618"/>
        <s v="RD00619"/>
        <s v="RD00620"/>
        <s v="RD00621"/>
        <s v="RD00622"/>
        <s v="RD00623"/>
        <s v="RD00624"/>
        <s v="RD00625"/>
        <s v="RD00626"/>
        <s v="RD00627"/>
        <s v="RD00628"/>
        <s v="RD00629"/>
        <s v="RD00630"/>
        <s v="RD00631"/>
        <s v="RD00632"/>
        <s v="RD00633"/>
        <s v="RD00634"/>
        <s v="RD00635"/>
        <s v="RD00636"/>
        <s v="RD00637"/>
        <s v="RD00638"/>
        <s v="RD00639"/>
        <s v="RD00640"/>
        <s v="RD00641"/>
        <s v="RD00642"/>
        <s v="RD00643"/>
        <s v="RD00644"/>
        <s v="RD00645"/>
        <s v="RD00646"/>
        <s v="RD00647"/>
        <s v="RD00648"/>
        <s v="RD00649"/>
        <s v="RD00650"/>
        <s v="RD00651"/>
        <s v="RD00652"/>
        <s v="RD00653"/>
        <s v="RD00654"/>
        <s v="RD00655"/>
        <s v="RD00656"/>
        <s v="RD00657"/>
        <s v="RD00658"/>
        <s v="RD00659"/>
        <s v="RD00660"/>
        <s v="RD00661"/>
        <s v="RD00662"/>
        <s v="RD00663"/>
        <s v="RD00664"/>
        <s v="RD00665"/>
        <s v="RD00666"/>
        <s v="RD00667"/>
        <s v="RD00668"/>
        <s v="RD00669"/>
        <s v="RD00670"/>
        <s v="RD00671"/>
        <s v="RD00672"/>
        <s v="RD00673"/>
        <s v="RD00674"/>
        <s v="RD00675"/>
        <s v="RD00676"/>
        <s v="RD00677"/>
        <s v="RD00678"/>
        <s v="RD00679"/>
        <s v="RD00680"/>
        <s v="RD00681"/>
        <s v="RD00682"/>
        <s v="RD00683"/>
        <s v="RD00684"/>
        <s v="RD00685"/>
        <s v="RD00686"/>
        <s v="RD00687"/>
        <s v="RD00688"/>
        <s v="RD00689"/>
        <s v="RD00690"/>
        <s v="RD00691"/>
        <s v="RD00692"/>
        <s v="RD00693"/>
        <s v="RD00694"/>
        <s v="RD00695"/>
        <s v="RD00696"/>
        <s v="RD00697"/>
        <s v="RD00698"/>
        <s v="RD00699"/>
        <s v="RD00700"/>
        <s v="RD00701"/>
        <s v="RD00702"/>
        <s v="RD00703"/>
        <s v="RD00704"/>
        <s v="RD00705"/>
        <s v="RD00706"/>
        <s v="RD00707"/>
        <s v="RD00708"/>
        <s v="RD00709"/>
        <s v="RD00710"/>
        <s v="RD00711"/>
        <s v="RD00712"/>
        <s v="RD00713"/>
        <s v="RD00714"/>
        <s v="RD00715"/>
        <s v="RD00716"/>
        <s v="RD00717"/>
        <s v="RD00718"/>
        <s v="RD00719"/>
        <s v="RD00720"/>
        <s v="RD00721"/>
        <s v="RD00722"/>
        <s v="RD00723"/>
        <s v="RD00724"/>
        <s v="RD00725"/>
        <s v="RD00726"/>
        <s v="RD00727"/>
        <s v="RD00728"/>
        <s v="RD00729"/>
        <s v="RD00730"/>
        <s v="RD00731"/>
        <s v="RD00732"/>
        <s v="RD00733"/>
        <s v="RD00734"/>
        <s v="RD00735"/>
        <s v="RD00736"/>
        <s v="RD00737"/>
        <s v="RD00738"/>
        <s v="RD00739"/>
        <s v="RD00740"/>
        <s v="RD00741"/>
        <s v="RD00742"/>
        <s v="RD00743"/>
        <s v="RD00744"/>
        <s v="RD00745"/>
        <s v="RD00746"/>
        <s v="RD00747"/>
        <s v="RD00748"/>
        <s v="RD00749"/>
        <s v="RD00750"/>
        <s v="RD00751"/>
        <s v="RD00752"/>
        <s v="RD00753"/>
        <s v="RD00754"/>
        <s v="RD00755"/>
        <s v="RD00756"/>
        <s v="RD00757"/>
        <s v="RD00758"/>
        <s v="RD00759"/>
        <s v="RD00760"/>
        <s v="RD00761"/>
        <s v="RD00762"/>
        <s v="RD00763"/>
        <s v="RD00764"/>
        <s v="RD00765"/>
        <s v="RD00766"/>
        <s v="RD00767"/>
        <s v="RD00768"/>
        <s v="RD00769"/>
        <s v="RD00770"/>
        <s v="RD00771"/>
        <s v="RD00772"/>
        <s v="RD00773"/>
        <s v="RD00774"/>
        <s v="RD00775"/>
        <s v="RD00776"/>
        <s v="RD00777"/>
        <s v="RD00778"/>
        <s v="RD00779"/>
        <s v="RD00780"/>
        <s v="RD00781"/>
        <s v="RD00782"/>
        <s v="RD00783"/>
        <s v="RD00784"/>
        <s v="RD00785"/>
        <s v="RD00786"/>
        <s v="RD00787"/>
        <s v="RD00788"/>
        <s v="RD00789"/>
        <s v="RD00790"/>
        <s v="RD00791"/>
        <s v="RD00792"/>
        <s v="RD00793"/>
        <s v="RD00794"/>
        <s v="RD00795"/>
        <s v="RD00796"/>
        <s v="RD00797"/>
        <s v="RD00798"/>
        <s v="RD00799"/>
        <s v="RD00800"/>
        <s v="RD00801"/>
        <s v="RD00802"/>
        <s v="RD00803"/>
        <s v="RD00804"/>
        <s v="RD00805"/>
        <s v="RD00806"/>
        <s v="RD00807"/>
        <s v="RD00808"/>
        <s v="RD00809"/>
        <s v="RD00810"/>
        <s v="RD00811"/>
        <s v="RD00812"/>
        <s v="RD00813"/>
        <s v="RD00814"/>
        <s v="RD00815"/>
        <s v="RD00816"/>
        <s v="RD00817"/>
        <s v="RD00818"/>
        <s v="RD00819"/>
        <s v="RD00820"/>
        <s v="RD00821"/>
        <s v="RD00822"/>
        <s v="RD00823"/>
        <s v="RD00824"/>
        <s v="RD00825"/>
        <s v="RD00826"/>
        <s v="RD00827"/>
        <s v="RD00828"/>
        <s v="RD00829"/>
        <s v="RD00830"/>
        <s v="RD00831"/>
        <s v="RD00832"/>
        <s v="RD00833"/>
        <s v="RD00834"/>
        <s v="RD00835"/>
        <s v="RD00836"/>
        <s v="RD00837"/>
        <s v="RD00838"/>
        <s v="RD00839"/>
        <s v="RD00840"/>
        <s v="RD00841"/>
        <s v="RD00842"/>
        <s v="RD00843"/>
        <s v="RD00844"/>
        <s v="RD00845"/>
        <s v="RD00846"/>
        <s v="RD00847"/>
        <s v="RD00848"/>
        <s v="RD00849"/>
        <s v="RD00850"/>
        <s v="RD00851"/>
        <s v="RD00852"/>
        <s v="RD00853"/>
        <s v="RD00854"/>
        <s v="RD00855"/>
        <s v="RD00856"/>
        <s v="RD00857"/>
        <s v="RD00858"/>
        <s v="RD00859"/>
        <s v="RD00860"/>
        <s v="RD00861"/>
        <s v="RD00862"/>
        <s v="RD00863"/>
        <s v="RD00864"/>
        <s v="RD00865"/>
        <s v="RD00866"/>
        <s v="RD00867"/>
        <s v="RD00868"/>
        <s v="RD00869"/>
        <s v="RD00870"/>
        <s v="RD00871"/>
        <s v="RD00872"/>
        <s v="RD00873"/>
        <s v="RD00874"/>
        <s v="RD00875"/>
        <s v="RD00876"/>
        <s v="RD00877"/>
        <s v="RD00878"/>
        <s v="RD00879"/>
        <s v="RD00880"/>
        <s v="RD00881"/>
        <s v="RD00882"/>
        <s v="RD00883"/>
        <s v="RD00884"/>
        <s v="RD00885"/>
        <s v="RD00886"/>
        <s v="RD00887"/>
        <s v="RD00888"/>
        <s v="RD00889"/>
        <s v="RD00890"/>
        <s v="RD00891"/>
        <s v="RD00892"/>
        <s v="RD00893"/>
        <s v="RD00894"/>
        <s v="RD00895"/>
        <s v="RD00896"/>
        <s v="RD00897"/>
        <s v="RD00898"/>
        <s v="RD00899"/>
        <s v="RD00900"/>
      </sharedItems>
    </cacheField>
    <cacheField name="MemberID" numFmtId="0">
      <sharedItems/>
    </cacheField>
    <cacheField name="Tanggal" numFmtId="164">
      <sharedItems containsSemiMixedTypes="0" containsNonDate="0" containsDate="1" containsString="0" minDate="2025-10-01T00:00:00" maxDate="2026-09-29T00:00:00" count="329">
        <d v="2026-08-25T00:00:00"/>
        <d v="2026-08-19T00:00:00"/>
        <d v="2025-10-02T00:00:00"/>
        <d v="2026-01-11T00:00:00"/>
        <d v="2026-03-10T00:00:00"/>
        <d v="2025-11-12T00:00:00"/>
        <d v="2025-12-20T00:00:00"/>
        <d v="2026-06-22T00:00:00"/>
        <d v="2026-08-01T00:00:00"/>
        <d v="2026-03-13T00:00:00"/>
        <d v="2026-06-02T00:00:00"/>
        <d v="2026-02-11T00:00:00"/>
        <d v="2026-09-17T00:00:00"/>
        <d v="2026-03-17T00:00:00"/>
        <d v="2026-01-10T00:00:00"/>
        <d v="2026-05-01T00:00:00"/>
        <d v="2026-01-02T00:00:00"/>
        <d v="2026-04-12T00:00:00"/>
        <d v="2026-01-23T00:00:00"/>
        <d v="2025-10-12T00:00:00"/>
        <d v="2026-08-28T00:00:00"/>
        <d v="2026-08-17T00:00:00"/>
        <d v="2025-11-15T00:00:00"/>
        <d v="2026-09-25T00:00:00"/>
        <d v="2025-10-26T00:00:00"/>
        <d v="2026-08-13T00:00:00"/>
        <d v="2026-08-04T00:00:00"/>
        <d v="2025-12-16T00:00:00"/>
        <d v="2026-04-07T00:00:00"/>
        <d v="2026-07-18T00:00:00"/>
        <d v="2025-10-08T00:00:00"/>
        <d v="2026-05-11T00:00:00"/>
        <d v="2026-09-10T00:00:00"/>
        <d v="2025-11-30T00:00:00"/>
        <d v="2026-01-13T00:00:00"/>
        <d v="2026-02-14T00:00:00"/>
        <d v="2026-06-11T00:00:00"/>
        <d v="2025-12-06T00:00:00"/>
        <d v="2026-01-14T00:00:00"/>
        <d v="2026-01-19T00:00:00"/>
        <d v="2026-09-12T00:00:00"/>
        <d v="2026-05-03T00:00:00"/>
        <d v="2026-04-28T00:00:00"/>
        <d v="2025-10-15T00:00:00"/>
        <d v="2026-02-12T00:00:00"/>
        <d v="2026-02-05T00:00:00"/>
        <d v="2026-07-26T00:00:00"/>
        <d v="2025-11-13T00:00:00"/>
        <d v="2026-05-29T00:00:00"/>
        <d v="2026-03-15T00:00:00"/>
        <d v="2026-04-15T00:00:00"/>
        <d v="2026-08-02T00:00:00"/>
        <d v="2025-11-07T00:00:00"/>
        <d v="2026-07-13T00:00:00"/>
        <d v="2025-10-27T00:00:00"/>
        <d v="2026-01-29T00:00:00"/>
        <d v="2026-03-31T00:00:00"/>
        <d v="2026-09-09T00:00:00"/>
        <d v="2025-10-24T00:00:00"/>
        <d v="2026-02-07T00:00:00"/>
        <d v="2026-08-14T00:00:00"/>
        <d v="2026-03-04T00:00:00"/>
        <d v="2025-12-07T00:00:00"/>
        <d v="2025-10-22T00:00:00"/>
        <d v="2025-12-31T00:00:00"/>
        <d v="2025-12-26T00:00:00"/>
        <d v="2026-06-10T00:00:00"/>
        <d v="2026-05-28T00:00:00"/>
        <d v="2026-06-29T00:00:00"/>
        <d v="2025-12-12T00:00:00"/>
        <d v="2025-11-29T00:00:00"/>
        <d v="2025-10-23T00:00:00"/>
        <d v="2026-06-13T00:00:00"/>
        <d v="2026-04-03T00:00:00"/>
        <d v="2026-02-22T00:00:00"/>
        <d v="2026-08-10T00:00:00"/>
        <d v="2026-05-12T00:00:00"/>
        <d v="2026-03-11T00:00:00"/>
        <d v="2025-12-17T00:00:00"/>
        <d v="2026-09-02T00:00:00"/>
        <d v="2025-10-28T00:00:00"/>
        <d v="2026-01-26T00:00:00"/>
        <d v="2025-10-19T00:00:00"/>
        <d v="2026-09-27T00:00:00"/>
        <d v="2026-05-15T00:00:00"/>
        <d v="2026-07-15T00:00:00"/>
        <d v="2026-05-23T00:00:00"/>
        <d v="2025-11-27T00:00:00"/>
        <d v="2025-12-03T00:00:00"/>
        <d v="2025-11-17T00:00:00"/>
        <d v="2026-02-23T00:00:00"/>
        <d v="2026-02-17T00:00:00"/>
        <d v="2026-09-05T00:00:00"/>
        <d v="2026-01-17T00:00:00"/>
        <d v="2025-10-03T00:00:00"/>
        <d v="2026-07-20T00:00:00"/>
        <d v="2026-05-02T00:00:00"/>
        <d v="2026-02-04T00:00:00"/>
        <d v="2026-03-18T00:00:00"/>
        <d v="2026-04-20T00:00:00"/>
        <d v="2026-07-30T00:00:00"/>
        <d v="2026-05-24T00:00:00"/>
        <d v="2026-05-21T00:00:00"/>
        <d v="2026-09-01T00:00:00"/>
        <d v="2026-05-20T00:00:00"/>
        <d v="2026-07-19T00:00:00"/>
        <d v="2026-08-26T00:00:00"/>
        <d v="2025-11-06T00:00:00"/>
        <d v="2026-08-05T00:00:00"/>
        <d v="2026-02-08T00:00:00"/>
        <d v="2026-01-31T00:00:00"/>
        <d v="2026-01-15T00:00:00"/>
        <d v="2026-04-17T00:00:00"/>
        <d v="2025-12-01T00:00:00"/>
        <d v="2026-06-09T00:00:00"/>
        <d v="2026-03-08T00:00:00"/>
        <d v="2026-09-06T00:00:00"/>
        <d v="2026-05-17T00:00:00"/>
        <d v="2026-06-01T00:00:00"/>
        <d v="2026-07-16T00:00:00"/>
        <d v="2026-05-05T00:00:00"/>
        <d v="2026-08-11T00:00:00"/>
        <d v="2026-06-20T00:00:00"/>
        <d v="2026-05-26T00:00:00"/>
        <d v="2025-11-10T00:00:00"/>
        <d v="2026-03-03T00:00:00"/>
        <d v="2025-12-05T00:00:00"/>
        <d v="2026-05-07T00:00:00"/>
        <d v="2026-07-10T00:00:00"/>
        <d v="2025-11-25T00:00:00"/>
        <d v="2026-05-06T00:00:00"/>
        <d v="2025-11-18T00:00:00"/>
        <d v="2026-09-04T00:00:00"/>
        <d v="2025-11-11T00:00:00"/>
        <d v="2025-10-09T00:00:00"/>
        <d v="2026-09-26T00:00:00"/>
        <d v="2026-08-16T00:00:00"/>
        <d v="2026-03-24T00:00:00"/>
        <d v="2026-02-10T00:00:00"/>
        <d v="2025-10-10T00:00:00"/>
        <d v="2026-04-21T00:00:00"/>
        <d v="2025-10-07T00:00:00"/>
        <d v="2026-06-07T00:00:00"/>
        <d v="2025-12-04T00:00:00"/>
        <d v="2026-09-22T00:00:00"/>
        <d v="2025-10-14T00:00:00"/>
        <d v="2026-06-04T00:00:00"/>
        <d v="2026-08-29T00:00:00"/>
        <d v="2026-01-06T00:00:00"/>
        <d v="2025-12-15T00:00:00"/>
        <d v="2025-12-18T00:00:00"/>
        <d v="2026-06-06T00:00:00"/>
        <d v="2025-10-11T00:00:00"/>
        <d v="2026-07-27T00:00:00"/>
        <d v="2026-01-12T00:00:00"/>
        <d v="2025-10-05T00:00:00"/>
        <d v="2026-07-24T00:00:00"/>
        <d v="2026-07-11T00:00:00"/>
        <d v="2026-04-23T00:00:00"/>
        <d v="2026-01-27T00:00:00"/>
        <d v="2026-06-28T00:00:00"/>
        <d v="2025-11-02T00:00:00"/>
        <d v="2026-05-31T00:00:00"/>
        <d v="2026-08-27T00:00:00"/>
        <d v="2026-05-18T00:00:00"/>
        <d v="2026-02-25T00:00:00"/>
        <d v="2026-05-13T00:00:00"/>
        <d v="2026-06-17T00:00:00"/>
        <d v="2026-07-28T00:00:00"/>
        <d v="2026-04-18T00:00:00"/>
        <d v="2026-05-30T00:00:00"/>
        <d v="2026-08-15T00:00:00"/>
        <d v="2026-09-07T00:00:00"/>
        <d v="2026-08-07T00:00:00"/>
        <d v="2025-11-21T00:00:00"/>
        <d v="2025-12-29T00:00:00"/>
        <d v="2025-10-17T00:00:00"/>
        <d v="2026-03-22T00:00:00"/>
        <d v="2025-11-28T00:00:00"/>
        <d v="2026-01-25T00:00:00"/>
        <d v="2026-09-19T00:00:00"/>
        <d v="2026-08-06T00:00:00"/>
        <d v="2025-11-26T00:00:00"/>
        <d v="2026-08-09T00:00:00"/>
        <d v="2025-11-22T00:00:00"/>
        <d v="2025-11-23T00:00:00"/>
        <d v="2026-09-28T00:00:00"/>
        <d v="2025-11-20T00:00:00"/>
        <d v="2026-03-21T00:00:00"/>
        <d v="2025-12-02T00:00:00"/>
        <d v="2025-10-04T00:00:00"/>
        <d v="2026-02-24T00:00:00"/>
        <d v="2025-12-27T00:00:00"/>
        <d v="2026-05-04T00:00:00"/>
        <d v="2025-12-10T00:00:00"/>
        <d v="2026-04-30T00:00:00"/>
        <d v="2026-09-15T00:00:00"/>
        <d v="2025-10-16T00:00:00"/>
        <d v="2025-12-14T00:00:00"/>
        <d v="2025-12-24T00:00:00"/>
        <d v="2025-11-01T00:00:00"/>
        <d v="2026-07-22T00:00:00"/>
        <d v="2026-08-20T00:00:00"/>
        <d v="2026-03-01T00:00:00"/>
        <d v="2026-04-24T00:00:00"/>
        <d v="2026-03-05T00:00:00"/>
        <d v="2026-03-26T00:00:00"/>
        <d v="2026-02-21T00:00:00"/>
        <d v="2026-09-24T00:00:00"/>
        <d v="2026-07-06T00:00:00"/>
        <d v="2026-09-23T00:00:00"/>
        <d v="2026-07-03T00:00:00"/>
        <d v="2026-06-24T00:00:00"/>
        <d v="2026-08-22T00:00:00"/>
        <d v="2026-07-04T00:00:00"/>
        <d v="2026-06-16T00:00:00"/>
        <d v="2025-10-31T00:00:00"/>
        <d v="2025-10-25T00:00:00"/>
        <d v="2026-07-21T00:00:00"/>
        <d v="2026-07-17T00:00:00"/>
        <d v="2026-03-29T00:00:00"/>
        <d v="2026-01-18T00:00:00"/>
        <d v="2025-11-09T00:00:00"/>
        <d v="2026-04-25T00:00:00"/>
        <d v="2026-07-14T00:00:00"/>
        <d v="2026-05-14T00:00:00"/>
        <d v="2025-12-13T00:00:00"/>
        <d v="2026-09-21T00:00:00"/>
        <d v="2026-05-22T00:00:00"/>
        <d v="2025-10-21T00:00:00"/>
        <d v="2026-04-09T00:00:00"/>
        <d v="2026-04-10T00:00:00"/>
        <d v="2026-02-28T00:00:00"/>
        <d v="2026-03-06T00:00:00"/>
        <d v="2026-06-08T00:00:00"/>
        <d v="2026-03-28T00:00:00"/>
        <d v="2026-05-19T00:00:00"/>
        <d v="2026-01-28T00:00:00"/>
        <d v="2026-03-23T00:00:00"/>
        <d v="2026-02-20T00:00:00"/>
        <d v="2026-07-23T00:00:00"/>
        <d v="2026-01-05T00:00:00"/>
        <d v="2026-06-15T00:00:00"/>
        <d v="2026-01-01T00:00:00"/>
        <d v="2026-02-18T00:00:00"/>
        <d v="2026-02-03T00:00:00"/>
        <d v="2026-05-16T00:00:00"/>
        <d v="2026-07-01T00:00:00"/>
        <d v="2026-03-14T00:00:00"/>
        <d v="2026-07-29T00:00:00"/>
        <d v="2025-10-13T00:00:00"/>
        <d v="2026-03-12T00:00:00"/>
        <d v="2026-02-09T00:00:00"/>
        <d v="2026-07-05T00:00:00"/>
        <d v="2026-03-07T00:00:00"/>
        <d v="2026-09-13T00:00:00"/>
        <d v="2026-03-16T00:00:00"/>
        <d v="2026-03-02T00:00:00"/>
        <d v="2026-04-11T00:00:00"/>
        <d v="2026-04-27T00:00:00"/>
        <d v="2026-06-05T00:00:00"/>
        <d v="2026-09-11T00:00:00"/>
        <d v="2026-08-30T00:00:00"/>
        <d v="2026-07-12T00:00:00"/>
        <d v="2026-02-26T00:00:00"/>
        <d v="2025-10-01T00:00:00"/>
        <d v="2026-08-03T00:00:00"/>
        <d v="2026-09-14T00:00:00"/>
        <d v="2025-12-22T00:00:00"/>
        <d v="2025-12-11T00:00:00"/>
        <d v="2026-01-16T00:00:00"/>
        <d v="2026-09-20T00:00:00"/>
        <d v="2026-08-08T00:00:00"/>
        <d v="2026-03-30T00:00:00"/>
        <d v="2026-04-08T00:00:00"/>
        <d v="2026-01-22T00:00:00"/>
        <d v="2026-01-07T00:00:00"/>
        <d v="2026-01-09T00:00:00"/>
        <d v="2026-09-03T00:00:00"/>
        <d v="2025-11-03T00:00:00"/>
        <d v="2026-06-25T00:00:00"/>
        <d v="2026-05-27T00:00:00"/>
        <d v="2026-04-04T00:00:00"/>
        <d v="2026-01-08T00:00:00"/>
        <d v="2025-11-08T00:00:00"/>
        <d v="2026-05-10T00:00:00"/>
        <d v="2026-07-31T00:00:00"/>
        <d v="2026-02-06T00:00:00"/>
        <d v="2025-10-18T00:00:00"/>
        <d v="2025-10-06T00:00:00"/>
        <d v="2026-05-08T00:00:00"/>
        <d v="2026-08-23T00:00:00"/>
        <d v="2026-01-04T00:00:00"/>
        <d v="2026-03-09T00:00:00"/>
        <d v="2026-03-25T00:00:00"/>
        <d v="2026-06-23T00:00:00"/>
        <d v="2025-10-30T00:00:00"/>
        <d v="2025-11-05T00:00:00"/>
        <d v="2026-01-21T00:00:00"/>
        <d v="2026-08-24T00:00:00"/>
        <d v="2026-04-02T00:00:00"/>
        <d v="2025-12-30T00:00:00"/>
        <d v="2026-04-13T00:00:00"/>
        <d v="2026-06-27T00:00:00"/>
        <d v="2026-07-02T00:00:00"/>
        <d v="2026-06-18T00:00:00"/>
        <d v="2026-02-15T00:00:00"/>
        <d v="2026-01-20T00:00:00"/>
        <d v="2026-07-09T00:00:00"/>
        <d v="2025-12-08T00:00:00"/>
        <d v="2026-04-14T00:00:00"/>
        <d v="2026-02-19T00:00:00"/>
        <d v="2025-10-20T00:00:00"/>
        <d v="2026-03-27T00:00:00"/>
        <d v="2026-04-26T00:00:00"/>
        <d v="2026-03-19T00:00:00"/>
        <d v="2026-04-19T00:00:00"/>
        <d v="2026-04-16T00:00:00"/>
        <d v="2026-09-18T00:00:00"/>
        <d v="2026-04-29T00:00:00"/>
        <d v="2025-12-21T00:00:00"/>
        <d v="2026-05-25T00:00:00"/>
        <d v="2026-02-27T00:00:00"/>
        <d v="2026-04-22T00:00:00"/>
        <d v="2025-11-04T00:00:00"/>
        <d v="2026-07-08T00:00:00"/>
        <d v="2025-12-25T00:00:00"/>
        <d v="2025-11-24T00:00:00"/>
        <d v="2026-08-31T00:00:00"/>
      </sharedItems>
      <fieldGroup par="9"/>
    </cacheField>
    <cacheField name="RewardID" numFmtId="0">
      <sharedItems/>
    </cacheField>
    <cacheField name="NamaReward" numFmtId="0">
      <sharedItems/>
    </cacheField>
    <cacheField name="PoinDitukar" numFmtId="166">
      <sharedItems containsSemiMixedTypes="0" containsString="0" containsNumber="1" containsInteger="1" minValue="1500" maxValue="20000"/>
    </cacheField>
    <cacheField name="Status" numFmtId="0">
      <sharedItems count="2">
        <s v="Berhasil"/>
        <s v="Dibatalkan"/>
      </sharedItems>
    </cacheField>
    <cacheField name="Months (Tanggal)" numFmtId="0" databaseField="0">
      <fieldGroup base="2">
        <rangePr groupBy="months" startDate="2025-10-01T00:00:00" endDate="2026-09-29T00:00:00"/>
        <groupItems count="14">
          <s v="&lt;01/10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9/26"/>
        </groupItems>
      </fieldGroup>
    </cacheField>
    <cacheField name="Quarters (Tanggal)" numFmtId="0" databaseField="0">
      <fieldGroup base="2">
        <rangePr groupBy="quarters" startDate="2025-10-01T00:00:00" endDate="2026-09-29T00:00:00"/>
        <groupItems count="6">
          <s v="&lt;01/10/25"/>
          <s v="Qtr1"/>
          <s v="Qtr2"/>
          <s v="Qtr3"/>
          <s v="Qtr4"/>
          <s v="&gt;29/09/26"/>
        </groupItems>
      </fieldGroup>
    </cacheField>
    <cacheField name="Years (Tanggal)" numFmtId="0" databaseField="0">
      <fieldGroup base="2">
        <rangePr groupBy="years" startDate="2025-10-01T00:00:00" endDate="2026-09-29T00:00:00"/>
        <groupItems count="4">
          <s v="&lt;01/10/25"/>
          <s v="2025"/>
          <s v="2026"/>
          <s v="&gt;29/09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lan Ardiansyah" refreshedDate="46294.546997569443" createdVersion="8" refreshedVersion="8" minRefreshableVersion="3" recordCount="2319" xr:uid="{3C0709A5-BC47-4047-BA97-F69909841046}">
  <cacheSource type="worksheet">
    <worksheetSource name="Table2"/>
  </cacheSource>
  <cacheFields count="10">
    <cacheField name="TransaksiID" numFmtId="0">
      <sharedItems count="2319">
        <s v="TX002281"/>
        <s v="TX000593"/>
        <s v="TX002146"/>
        <s v="TX000237"/>
        <s v="TX001046"/>
        <s v="TX001232"/>
        <s v="TX001006"/>
        <s v="TX000920"/>
        <s v="TX000195"/>
        <s v="TX000048"/>
        <s v="TX000259"/>
        <s v="TX001759"/>
        <s v="TX000018"/>
        <s v="TX001247"/>
        <s v="TX001986"/>
        <s v="TX002131"/>
        <s v="TX001562"/>
        <s v="TX001899"/>
        <s v="TX001249"/>
        <s v="TX001634"/>
        <s v="TX000109"/>
        <s v="TX001130"/>
        <s v="TX001033"/>
        <s v="TX001858"/>
        <s v="TX000057"/>
        <s v="TX000465"/>
        <s v="TX001502"/>
        <s v="TX000007"/>
        <s v="TX000761"/>
        <s v="TX000809"/>
        <s v="TX000112"/>
        <s v="TX002268"/>
        <s v="TX002059"/>
        <s v="TX000509"/>
        <s v="TX000196"/>
        <s v="TX001103"/>
        <s v="TX000108"/>
        <s v="TX002108"/>
        <s v="TX000995"/>
        <s v="TX001904"/>
        <s v="TX000794"/>
        <s v="TX001054"/>
        <s v="TX000066"/>
        <s v="TX001598"/>
        <s v="TX001356"/>
        <s v="TX000485"/>
        <s v="TX001233"/>
        <s v="TX001018"/>
        <s v="TX000041"/>
        <s v="TX000286"/>
        <s v="TX002302"/>
        <s v="TX001731"/>
        <s v="TX001453"/>
        <s v="TX001504"/>
        <s v="TX001219"/>
        <s v="TX001061"/>
        <s v="TX001401"/>
        <s v="TX002239"/>
        <s v="TX000415"/>
        <s v="TX001657"/>
        <s v="TX001105"/>
        <s v="TX002227"/>
        <s v="TX000867"/>
        <s v="TX001005"/>
        <s v="TX001407"/>
        <s v="TX001087"/>
        <s v="TX001596"/>
        <s v="TX002032"/>
        <s v="TX000709"/>
        <s v="TX000944"/>
        <s v="TX001021"/>
        <s v="TX000127"/>
        <s v="TX001918"/>
        <s v="TX000441"/>
        <s v="TX000305"/>
        <s v="TX001374"/>
        <s v="TX000746"/>
        <s v="TX001242"/>
        <s v="TX000681"/>
        <s v="TX002253"/>
        <s v="TX001126"/>
        <s v="TX002259"/>
        <s v="TX002160"/>
        <s v="TX002031"/>
        <s v="TX000850"/>
        <s v="TX001439"/>
        <s v="TX000051"/>
        <s v="TX000635"/>
        <s v="TX001147"/>
        <s v="TX000121"/>
        <s v="TX000315"/>
        <s v="TX001442"/>
        <s v="TX001327"/>
        <s v="TX001862"/>
        <s v="TX002056"/>
        <s v="TX001329"/>
        <s v="TX001820"/>
        <s v="TX001578"/>
        <s v="TX001698"/>
        <s v="TX001506"/>
        <s v="TX001855"/>
        <s v="TX001777"/>
        <s v="TX000454"/>
        <s v="TX001422"/>
        <s v="TX000882"/>
        <s v="TX000822"/>
        <s v="TX001353"/>
        <s v="TX001381"/>
        <s v="TX001074"/>
        <s v="TX001794"/>
        <s v="TX000193"/>
        <s v="TX001280"/>
        <s v="TX000654"/>
        <s v="TX000322"/>
        <s v="TX000590"/>
        <s v="TX001751"/>
        <s v="TX000765"/>
        <s v="TX001277"/>
        <s v="TX001589"/>
        <s v="TX002115"/>
        <s v="TX001436"/>
        <s v="TX001691"/>
        <s v="TX001551"/>
        <s v="TX000686"/>
        <s v="TX000558"/>
        <s v="TX000846"/>
        <s v="TX001144"/>
        <s v="TX001560"/>
        <s v="TX001464"/>
        <s v="TX000840"/>
        <s v="TX000821"/>
        <s v="TX000937"/>
        <s v="TX000758"/>
        <s v="TX002035"/>
        <s v="TX001552"/>
        <s v="TX000969"/>
        <s v="TX001515"/>
        <s v="TX000376"/>
        <s v="TX000371"/>
        <s v="TX001978"/>
        <s v="TX000813"/>
        <s v="TX000988"/>
        <s v="TX000661"/>
        <s v="TX000670"/>
        <s v="TX001131"/>
        <s v="TX002024"/>
        <s v="TX002045"/>
        <s v="TX000076"/>
        <s v="TX000986"/>
        <s v="TX001044"/>
        <s v="TX002120"/>
        <s v="TX001443"/>
        <s v="TX001319"/>
        <s v="TX002288"/>
        <s v="TX001700"/>
        <s v="TX000094"/>
        <s v="TX001142"/>
        <s v="TX001929"/>
        <s v="TX000330"/>
        <s v="TX002018"/>
        <s v="TX001465"/>
        <s v="TX000901"/>
        <s v="TX002130"/>
        <s v="TX000332"/>
        <s v="TX000757"/>
        <s v="TX001136"/>
        <s v="TX001995"/>
        <s v="TX001979"/>
        <s v="TX000611"/>
        <s v="TX001650"/>
        <s v="TX000390"/>
        <s v="TX001923"/>
        <s v="TX001476"/>
        <s v="TX000588"/>
        <s v="TX000243"/>
        <s v="TX000232"/>
        <s v="TX000615"/>
        <s v="TX002142"/>
        <s v="TX000283"/>
        <s v="TX001945"/>
        <s v="TX000624"/>
        <s v="TX001809"/>
        <s v="TX001961"/>
        <s v="TX000349"/>
        <s v="TX001512"/>
        <s v="TX001709"/>
        <s v="TX002264"/>
        <s v="TX001168"/>
        <s v="TX001253"/>
        <s v="TX000655"/>
        <s v="TX000727"/>
        <s v="TX002255"/>
        <s v="TX000672"/>
        <s v="TX001094"/>
        <s v="TX001663"/>
        <s v="TX001413"/>
        <s v="TX001972"/>
        <s v="TX000826"/>
        <s v="TX000675"/>
        <s v="TX002043"/>
        <s v="TX001418"/>
        <s v="TX002280"/>
        <s v="TX000693"/>
        <s v="TX000369"/>
        <s v="TX001090"/>
        <s v="TX002103"/>
        <s v="TX002137"/>
        <s v="TX001656"/>
        <s v="TX000426"/>
        <s v="TX000859"/>
        <s v="TX000404"/>
        <s v="TX001110"/>
        <s v="TX001220"/>
        <s v="TX001315"/>
        <s v="TX000791"/>
        <s v="TX001508"/>
        <s v="TX001509"/>
        <s v="TX001027"/>
        <s v="TX001819"/>
        <s v="TX000469"/>
        <s v="TX001336"/>
        <s v="TX000680"/>
        <s v="TX001665"/>
        <s v="TX000554"/>
        <s v="TX000135"/>
        <s v="TX000599"/>
        <s v="TX002123"/>
        <s v="TX000242"/>
        <s v="TX001966"/>
        <s v="TX001715"/>
        <s v="TX002318"/>
        <s v="TX000574"/>
        <s v="TX002265"/>
        <s v="TX000170"/>
        <s v="TX000444"/>
        <s v="TX000702"/>
        <s v="TX000293"/>
        <s v="TX001196"/>
        <s v="TX001994"/>
        <s v="TX001495"/>
        <s v="TX002101"/>
        <s v="TX001626"/>
        <s v="TX001555"/>
        <s v="TX000855"/>
        <s v="TX001207"/>
        <s v="TX001625"/>
        <s v="TX001823"/>
        <s v="TX000817"/>
        <s v="TX001040"/>
        <s v="TX000829"/>
        <s v="TX001132"/>
        <s v="TX001947"/>
        <s v="TX002106"/>
        <s v="TX000124"/>
        <s v="TX001113"/>
        <s v="TX001298"/>
        <s v="TX000651"/>
        <s v="TX002096"/>
        <s v="TX002166"/>
        <s v="TX002100"/>
        <s v="TX000202"/>
        <s v="TX000921"/>
        <s v="TX002159"/>
        <s v="TX002053"/>
        <s v="TX002038"/>
        <s v="TX000206"/>
        <s v="TX000956"/>
        <s v="TX001222"/>
        <s v="TX000907"/>
        <s v="TX001001"/>
        <s v="TX001028"/>
        <s v="TX001934"/>
        <s v="TX000912"/>
        <s v="TX001730"/>
        <s v="TX000368"/>
        <s v="TX002216"/>
        <s v="TX000166"/>
        <s v="TX001066"/>
        <s v="TX001172"/>
        <s v="TX000984"/>
        <s v="TX001826"/>
        <s v="TX002025"/>
        <s v="TX002129"/>
        <s v="TX001115"/>
        <s v="TX000570"/>
        <s v="TX001216"/>
        <s v="TX001206"/>
        <s v="TX000584"/>
        <s v="TX002140"/>
        <s v="TX000586"/>
        <s v="TX000103"/>
        <s v="TX001091"/>
        <s v="TX000307"/>
        <s v="TX002068"/>
        <s v="TX001164"/>
        <s v="TX001968"/>
        <s v="TX000580"/>
        <s v="TX000587"/>
        <s v="TX002037"/>
        <s v="TX002057"/>
        <s v="TX001370"/>
        <s v="TX000077"/>
        <s v="TX000191"/>
        <s v="TX000207"/>
        <s v="TX002000"/>
        <s v="TX001675"/>
        <s v="TX000522"/>
        <s v="TX000002"/>
        <s v="TX000737"/>
        <s v="TX001497"/>
        <s v="TX000628"/>
        <s v="TX002046"/>
        <s v="TX001590"/>
        <s v="TX000336"/>
        <s v="TX000764"/>
        <s v="TX000713"/>
        <s v="TX000734"/>
        <s v="TX000978"/>
        <s v="TX001462"/>
        <s v="TX000088"/>
        <s v="TX001927"/>
        <s v="TX000914"/>
        <s v="TX000496"/>
        <s v="TX001166"/>
        <s v="TX000201"/>
        <s v="TX000703"/>
        <s v="TX001223"/>
        <s v="TX000769"/>
        <s v="TX002003"/>
        <s v="TX001133"/>
        <s v="TX001696"/>
        <s v="TX001167"/>
        <s v="TX000750"/>
        <s v="TX000440"/>
        <s v="TX000860"/>
        <s v="TX000304"/>
        <s v="TX001922"/>
        <s v="TX001521"/>
        <s v="TX000227"/>
        <s v="TX002124"/>
        <s v="TX001284"/>
        <s v="TX001460"/>
        <s v="TX000583"/>
        <s v="TX000528"/>
        <s v="TX002134"/>
        <s v="TX000633"/>
        <s v="TX002319"/>
        <s v="TX000182"/>
        <s v="TX000298"/>
        <s v="TX001545"/>
        <s v="TX000281"/>
        <s v="TX002094"/>
        <s v="TX001179"/>
        <s v="TX000954"/>
        <s v="TX000271"/>
        <s v="TX002044"/>
        <s v="TX000407"/>
        <s v="TX000326"/>
        <s v="TX001907"/>
        <s v="TX001708"/>
        <s v="TX002014"/>
        <s v="TX001403"/>
        <s v="TX000416"/>
        <s v="TX001644"/>
        <s v="TX001832"/>
        <s v="TX001012"/>
        <s v="TX001769"/>
        <s v="TX000894"/>
        <s v="TX001071"/>
        <s v="TX001177"/>
        <s v="TX001282"/>
        <s v="TX001237"/>
        <s v="TX000342"/>
        <s v="TX000269"/>
        <s v="TX001692"/>
        <s v="TX000055"/>
        <s v="TX002147"/>
        <s v="TX001010"/>
        <s v="TX002243"/>
        <s v="TX000560"/>
        <s v="TX001614"/>
        <s v="TX001836"/>
        <s v="TX000768"/>
        <s v="TX000141"/>
        <s v="TX000673"/>
        <s v="TX000162"/>
        <s v="TX000443"/>
        <s v="TX001272"/>
        <s v="TX001399"/>
        <s v="TX001714"/>
        <s v="TX001896"/>
        <s v="TX000429"/>
        <s v="TX000448"/>
        <s v="TX000841"/>
        <s v="TX001297"/>
        <s v="TX000526"/>
        <s v="TX001227"/>
        <s v="TX001226"/>
        <s v="TX000422"/>
        <s v="TX001996"/>
        <s v="TX001944"/>
        <s v="TX002267"/>
        <s v="TX001632"/>
        <s v="TX000025"/>
        <s v="TX001627"/>
        <s v="TX000805"/>
        <s v="TX001606"/>
        <s v="TX000895"/>
        <s v="TX001793"/>
        <s v="TX001430"/>
        <s v="TX002296"/>
        <s v="TX002090"/>
        <s v="TX001195"/>
        <s v="TX000645"/>
        <s v="TX001256"/>
        <s v="TX000433"/>
        <s v="TX001295"/>
        <s v="TX000481"/>
        <s v="TX000486"/>
        <s v="TX001719"/>
        <s v="TX000178"/>
        <s v="TX000401"/>
        <s v="TX000928"/>
        <s v="TX000684"/>
        <s v="TX000004"/>
        <s v="TX001594"/>
        <s v="TX001955"/>
        <s v="TX001163"/>
        <s v="TX001575"/>
        <s v="TX001283"/>
        <s v="TX000478"/>
        <s v="TX000926"/>
        <s v="TX002071"/>
        <s v="TX001035"/>
        <s v="TX001554"/>
        <s v="TX000773"/>
        <s v="TX002076"/>
        <s v="TX001345"/>
        <s v="TX000953"/>
        <s v="TX002215"/>
        <s v="TX002195"/>
        <s v="TX000276"/>
        <s v="TX001481"/>
        <s v="TX001265"/>
        <s v="TX001604"/>
        <s v="TX000561"/>
        <s v="TX000009"/>
        <s v="TX000996"/>
        <s v="TX000980"/>
        <s v="TX000049"/>
        <s v="TX001516"/>
        <s v="TX000726"/>
        <s v="TX001924"/>
        <s v="TX001423"/>
        <s v="TX001702"/>
        <s v="TX000187"/>
        <s v="TX001349"/>
        <s v="TX002016"/>
        <s v="TX000775"/>
        <s v="TX002092"/>
        <s v="TX000608"/>
        <s v="TX002263"/>
        <s v="TX000302"/>
        <s v="TX001267"/>
        <s v="TX001398"/>
        <s v="TX001428"/>
        <s v="TX001782"/>
        <s v="TX000120"/>
        <s v="TX002291"/>
        <s v="TX000354"/>
        <s v="TX000213"/>
        <s v="TX000701"/>
        <s v="TX000725"/>
        <s v="TX001482"/>
        <s v="TX000792"/>
        <s v="TX000445"/>
        <s v="TX001451"/>
        <s v="TX000511"/>
        <s v="TX001269"/>
        <s v="TX001060"/>
        <s v="TX000367"/>
        <s v="TX000698"/>
        <s v="TX001427"/>
        <s v="TX000881"/>
        <s v="TX000903"/>
        <s v="TX000364"/>
        <s v="TX001852"/>
        <s v="TX000613"/>
        <s v="TX001866"/>
        <s v="TX001844"/>
        <s v="TX000762"/>
        <s v="TX000419"/>
        <s v="TX001013"/>
        <s v="TX000224"/>
        <s v="TX002112"/>
        <s v="TX001973"/>
        <s v="TX000230"/>
        <s v="TX000397"/>
        <s v="TX001471"/>
        <s v="TX001553"/>
        <s v="TX000536"/>
        <s v="TX001919"/>
        <s v="TX001987"/>
        <s v="TX001389"/>
        <s v="TX002151"/>
        <s v="TX000487"/>
        <s v="TX001263"/>
        <s v="TX000971"/>
        <s v="TX001958"/>
        <s v="TX001550"/>
        <s v="TX001706"/>
        <s v="TX001409"/>
        <s v="TX001433"/>
        <s v="TX000352"/>
        <s v="TX001238"/>
        <s v="TX000706"/>
        <s v="TX002050"/>
        <s v="TX001900"/>
        <s v="TX001544"/>
        <s v="TX000564"/>
        <s v="TX002036"/>
        <s v="TX001868"/>
        <s v="TX001069"/>
        <s v="TX001630"/>
        <s v="TX002141"/>
        <s v="TX002052"/>
        <s v="TX000038"/>
        <s v="TX000878"/>
        <s v="TX000694"/>
        <s v="TX000548"/>
        <s v="TX002181"/>
        <s v="TX000966"/>
        <s v="TX001733"/>
        <s v="TX000373"/>
        <s v="TX000138"/>
        <s v="TX001180"/>
        <s v="TX001221"/>
        <s v="TX001653"/>
        <s v="TX001290"/>
        <s v="TX000556"/>
        <s v="TX001785"/>
        <s v="TX001602"/>
        <s v="TX000847"/>
        <s v="TX000621"/>
        <s v="TX001305"/>
        <s v="TX001659"/>
        <s v="TX001429"/>
        <s v="TX001324"/>
        <s v="TX002292"/>
        <s v="TX001337"/>
        <s v="TX002180"/>
        <s v="TX001366"/>
        <s v="TX001029"/>
        <s v="TX001348"/>
        <s v="TX000514"/>
        <s v="TX000068"/>
        <s v="TX000538"/>
        <s v="TX000573"/>
        <s v="TX001085"/>
        <s v="TX001082"/>
        <s v="TX002145"/>
        <s v="TX000310"/>
        <s v="TX001376"/>
        <s v="TX001368"/>
        <s v="TX001291"/>
        <s v="TX000577"/>
        <s v="TX000738"/>
        <s v="TX001765"/>
        <s v="TX000126"/>
        <s v="TX002088"/>
        <s v="TX000679"/>
        <s v="TX001937"/>
        <s v="TX000221"/>
        <s v="TX000453"/>
        <s v="TX000150"/>
        <s v="TX001211"/>
        <s v="TX000936"/>
        <s v="TX001350"/>
        <s v="TX000614"/>
        <s v="TX000550"/>
        <s v="TX000639"/>
        <s v="TX002219"/>
        <s v="TX000637"/>
        <s v="TX002161"/>
        <s v="TX001959"/>
        <s v="TX002083"/>
        <s v="TX001744"/>
        <s v="TX001434"/>
        <s v="TX002206"/>
        <s v="TX000265"/>
        <s v="TX000228"/>
        <s v="TX000300"/>
        <s v="TX001546"/>
        <s v="TX000976"/>
        <s v="TX002119"/>
        <s v="TX000399"/>
        <s v="TX001593"/>
        <s v="TX001358"/>
        <s v="TX000203"/>
        <s v="TX000348"/>
        <s v="TX000955"/>
        <s v="TX000640"/>
        <s v="TX000731"/>
        <s v="TX000061"/>
        <s v="TX001095"/>
        <s v="TX001292"/>
        <s v="TX002152"/>
        <s v="TX000383"/>
        <s v="TX001264"/>
        <s v="TX001933"/>
        <s v="TX001003"/>
        <s v="TX000268"/>
        <s v="TX000873"/>
        <s v="TX002012"/>
        <s v="TX001326"/>
        <s v="TX000858"/>
        <s v="TX000099"/>
        <s v="TX000183"/>
        <s v="TX000261"/>
        <s v="TX001601"/>
        <s v="TX000159"/>
        <s v="TX000899"/>
        <s v="TX001078"/>
        <s v="TX001774"/>
        <s v="TX002086"/>
        <s v="TX000896"/>
        <s v="TX001145"/>
        <s v="TX000803"/>
        <s v="TX001146"/>
        <s v="TX001397"/>
        <s v="TX000559"/>
        <s v="TX002192"/>
        <s v="TX000083"/>
        <s v="TX001727"/>
        <s v="TX001559"/>
        <s v="TX000339"/>
        <s v="TX000491"/>
        <s v="TX000105"/>
        <s v="TX001387"/>
        <s v="TX000477"/>
        <s v="TX001828"/>
        <s v="TX001664"/>
        <s v="TX001770"/>
        <s v="TX000789"/>
        <s v="TX001197"/>
        <s v="TX001635"/>
        <s v="TX000576"/>
        <s v="TX000886"/>
        <s v="TX001447"/>
        <s v="TX001299"/>
        <s v="TX000423"/>
        <s v="TX000853"/>
        <s v="TX001038"/>
        <s v="TX000331"/>
        <s v="TX001157"/>
        <s v="TX001755"/>
        <s v="TX002317"/>
        <s v="TX000134"/>
        <s v="TX001878"/>
        <s v="TX002138"/>
        <s v="TX001339"/>
        <s v="TX000471"/>
        <s v="TX001344"/>
        <s v="TX000983"/>
        <s v="TX000092"/>
        <s v="TX000436"/>
        <s v="TX001334"/>
        <s v="TX001610"/>
        <s v="TX001400"/>
        <s v="TX001811"/>
        <s v="TX000012"/>
        <s v="TX000211"/>
        <s v="TX000054"/>
        <s v="TX002246"/>
        <s v="TX001953"/>
        <s v="TX000387"/>
        <s v="TX001705"/>
        <s v="TX002313"/>
        <s v="TX000786"/>
        <s v="TX001234"/>
        <s v="TX000616"/>
        <s v="TX000620"/>
        <s v="TX000629"/>
        <s v="TX000759"/>
        <s v="TX000578"/>
        <s v="TX001605"/>
        <s v="TX000631"/>
        <s v="TX000892"/>
        <s v="TX000168"/>
        <s v="TX002054"/>
        <s v="TX000597"/>
        <s v="TX001801"/>
        <s v="TX000993"/>
        <s v="TX000704"/>
        <s v="TX000780"/>
        <s v="TX002225"/>
        <s v="TX001974"/>
        <s v="TX001210"/>
        <s v="TX001703"/>
        <s v="TX001815"/>
        <s v="TX000662"/>
        <s v="TX001912"/>
        <s v="TX002254"/>
        <s v="TX001483"/>
        <s v="TX001685"/>
        <s v="TX000663"/>
        <s v="TX000862"/>
        <s v="TX001248"/>
        <s v="TX000249"/>
        <s v="TX000779"/>
        <s v="TX000060"/>
        <s v="TX001646"/>
        <s v="TX001250"/>
        <s v="TX000282"/>
        <s v="TX001540"/>
        <s v="TX002262"/>
        <s v="TX001779"/>
        <s v="TX002208"/>
        <s v="TX000442"/>
        <s v="TX000922"/>
        <s v="TX001672"/>
        <s v="TX001287"/>
        <s v="TX002182"/>
        <s v="TX001198"/>
        <s v="TX000303"/>
        <s v="TX002316"/>
        <s v="TX001747"/>
        <s v="TX002089"/>
        <s v="TX002308"/>
        <s v="TX000260"/>
        <s v="TX000985"/>
        <s v="TX002005"/>
        <s v="TX001480"/>
        <s v="TX002191"/>
        <s v="TX002102"/>
        <s v="TX001911"/>
        <s v="TX001843"/>
        <s v="TX002098"/>
        <s v="TX001791"/>
        <s v="TX000050"/>
        <s v="TX000547"/>
        <s v="TX000852"/>
        <s v="TX000535"/>
        <s v="TX001803"/>
        <s v="TX000814"/>
        <s v="TX001106"/>
        <s v="TX000958"/>
        <s v="TX001125"/>
        <s v="TX000425"/>
        <s v="TX000417"/>
        <s v="TX001699"/>
        <s v="TX000001"/>
        <s v="TX000900"/>
        <s v="TX002260"/>
        <s v="TX000386"/>
        <s v="TX001507"/>
        <s v="TX001721"/>
        <s v="TX000177"/>
        <s v="TX001609"/>
        <s v="TX000513"/>
        <s v="TX000537"/>
        <s v="TX001359"/>
        <s v="TX000439"/>
        <s v="TX000362"/>
        <s v="TX001890"/>
        <s v="TX000116"/>
        <s v="TX001438"/>
        <s v="TX000337"/>
        <s v="TX000767"/>
        <s v="TX002110"/>
        <s v="TX000714"/>
        <s v="TX000435"/>
        <s v="TX001543"/>
        <s v="TX000031"/>
        <s v="TX000871"/>
        <s v="TX001954"/>
        <s v="TX001477"/>
        <s v="TX000408"/>
        <s v="TX001140"/>
        <s v="TX001007"/>
        <s v="TX001910"/>
        <s v="TX002237"/>
        <s v="TX000294"/>
        <s v="TX000306"/>
        <s v="TX001689"/>
        <s v="TX000147"/>
        <s v="TX001302"/>
        <s v="TX002196"/>
        <s v="TX001072"/>
        <s v="TX001148"/>
        <s v="TX001571"/>
        <s v="TX000479"/>
        <s v="TX001964"/>
        <s v="TX001526"/>
        <s v="TX001760"/>
        <s v="TX000626"/>
        <s v="TX000643"/>
        <s v="TX000040"/>
        <s v="TX000973"/>
        <s v="TX000457"/>
        <s v="TX000231"/>
        <s v="TX001182"/>
        <s v="TX000081"/>
        <s v="TX000074"/>
        <s v="TX000102"/>
        <s v="TX000557"/>
        <s v="TX001648"/>
        <s v="TX000229"/>
        <s v="TX002311"/>
        <s v="TX001173"/>
        <s v="TX002085"/>
        <s v="TX001488"/>
        <s v="TX000542"/>
        <s v="TX001788"/>
        <s v="TX000508"/>
        <s v="TX001827"/>
        <s v="TX001913"/>
        <s v="TX002009"/>
        <s v="TX002002"/>
        <s v="TX000234"/>
        <s v="TX001865"/>
        <s v="TX001662"/>
        <s v="TX002177"/>
        <s v="TX001789"/>
        <s v="TX001740"/>
        <s v="TX001202"/>
        <s v="TX000925"/>
        <s v="TX000463"/>
        <s v="TX001790"/>
        <s v="TX001118"/>
        <s v="TX001081"/>
        <s v="TX001607"/>
        <s v="TX001153"/>
        <s v="TX000284"/>
        <s v="TX001340"/>
        <s v="TX000447"/>
        <s v="TX001678"/>
        <s v="TX000994"/>
        <s v="TX001838"/>
        <s v="TX001712"/>
        <s v="TX000065"/>
        <s v="TX000059"/>
        <s v="TX001897"/>
        <s v="TX000256"/>
        <s v="TX001454"/>
        <s v="TX001478"/>
        <s v="TX001565"/>
        <s v="TX001925"/>
        <s v="TX001916"/>
        <s v="TX002095"/>
        <s v="TX001379"/>
        <s v="TX000644"/>
        <s v="TX001776"/>
        <s v="TX000917"/>
        <s v="TX002067"/>
        <s v="TX001274"/>
        <s v="TX000632"/>
        <s v="TX000802"/>
        <s v="TX002097"/>
        <s v="TX000035"/>
        <s v="TX001411"/>
        <s v="TX001658"/>
        <s v="TX001457"/>
        <s v="TX000676"/>
        <s v="TX001542"/>
        <s v="TX000656"/>
        <s v="TX000020"/>
        <s v="TX001194"/>
        <s v="TX000623"/>
        <s v="TX000370"/>
        <s v="TX001761"/>
        <s v="TX000808"/>
        <s v="TX000251"/>
        <s v="TX001355"/>
        <s v="TX001750"/>
        <s v="TX000164"/>
        <s v="TX000730"/>
        <s v="TX000960"/>
        <s v="TX001654"/>
        <s v="TX001848"/>
        <s v="TX000199"/>
        <s v="TX000209"/>
        <s v="TX000289"/>
        <s v="TX001783"/>
        <s v="TX001080"/>
        <s v="TX000749"/>
        <s v="TX001178"/>
        <s v="TX000409"/>
        <s v="TX000143"/>
        <s v="TX000023"/>
        <s v="TX000205"/>
        <s v="TX000189"/>
        <s v="TX001139"/>
        <s v="TX000341"/>
        <s v="TX000642"/>
        <s v="TX002077"/>
        <s v="TX002210"/>
        <s v="TX001597"/>
        <s v="TX000889"/>
        <s v="TX001998"/>
        <s v="TX000919"/>
        <s v="TX002236"/>
        <s v="TX002066"/>
        <s v="TX000532"/>
        <s v="TX000830"/>
        <s v="TX000835"/>
        <s v="TX001116"/>
        <s v="TX000082"/>
        <s v="TX000708"/>
        <s v="TX000400"/>
        <s v="TX000052"/>
        <s v="TX000772"/>
        <s v="TX000641"/>
        <s v="TX001335"/>
        <s v="TX001129"/>
        <s v="TX000720"/>
        <s v="TX001805"/>
        <s v="TX000391"/>
        <s v="TX001942"/>
        <s v="TX000139"/>
        <s v="TX001886"/>
        <s v="TX001218"/>
        <s v="TX000562"/>
        <s v="TX000095"/>
        <s v="TX002218"/>
        <s v="TX001857"/>
        <s v="TX001489"/>
        <s v="TX000665"/>
        <s v="TX001638"/>
        <s v="TX001244"/>
        <s v="TX001184"/>
        <s v="TX000609"/>
        <s v="TX002028"/>
        <s v="TX001710"/>
        <s v="TX000172"/>
        <s v="TX001375"/>
        <s v="TX001720"/>
        <s v="TX001261"/>
        <s v="TX001323"/>
        <s v="TX000949"/>
        <s v="TX002121"/>
        <s v="TX001300"/>
        <s v="TX001990"/>
        <s v="TX001404"/>
        <s v="TX001388"/>
        <s v="TX001655"/>
        <s v="TX001976"/>
        <s v="TX000161"/>
        <s v="TX000932"/>
        <s v="TX002125"/>
        <s v="TX001273"/>
        <s v="TX001246"/>
        <s v="TX001083"/>
        <s v="TX001311"/>
        <s v="TX001584"/>
        <s v="TX000421"/>
        <s v="TX001786"/>
        <s v="TX000287"/>
        <s v="TX001209"/>
        <s v="TX002249"/>
        <s v="TX000017"/>
        <s v="TX001600"/>
        <s v="TX002033"/>
        <s v="TX002069"/>
        <s v="TX000131"/>
        <s v="TX001045"/>
        <s v="TX002315"/>
        <s v="TX000488"/>
        <s v="TX001395"/>
        <s v="TX000136"/>
        <s v="TX002023"/>
        <s v="TX000530"/>
        <s v="TX002169"/>
        <s v="TX000212"/>
        <s v="TX001525"/>
        <s v="TX001037"/>
        <s v="TX000275"/>
        <s v="TX001119"/>
        <s v="TX000089"/>
        <s v="TX000751"/>
        <s v="TX002202"/>
        <s v="TX000299"/>
        <s v="TX002283"/>
        <s v="TX001530"/>
        <s v="TX002310"/>
        <s v="TX000603"/>
        <s v="TX002234"/>
        <s v="TX002213"/>
        <s v="TX001231"/>
        <s v="TX001566"/>
        <s v="TX001228"/>
        <s v="TX001158"/>
        <s v="TX000104"/>
        <s v="TX001939"/>
        <s v="TX000217"/>
        <s v="TX000046"/>
        <s v="TX002099"/>
        <s v="TX000997"/>
        <s v="TX002173"/>
        <s v="TX000927"/>
        <s v="TX001124"/>
        <s v="TX002164"/>
        <s v="TX000366"/>
        <s v="TX001999"/>
        <s v="TX000529"/>
        <s v="TX000045"/>
        <s v="TX002194"/>
        <s v="TX000482"/>
        <s v="TX000527"/>
        <s v="TX000449"/>
        <s v="TX002156"/>
        <s v="TX000572"/>
        <s v="TX000111"/>
        <s v="TX001484"/>
        <s v="TX002209"/>
        <s v="TX001205"/>
        <s v="TX001673"/>
        <s v="TX000600"/>
        <s v="TX002189"/>
        <s v="TX000309"/>
        <s v="TX000834"/>
        <s v="TX000942"/>
        <s v="TX000063"/>
        <s v="TX001437"/>
        <s v="TX000987"/>
        <s v="TX001371"/>
        <s v="TX000333"/>
        <s v="TX002021"/>
        <s v="TX002188"/>
        <s v="TX001797"/>
        <s v="TX001455"/>
        <s v="TX000630"/>
        <s v="TX001241"/>
        <s v="TX001316"/>
        <s v="TX002155"/>
        <s v="TX001498"/>
        <s v="TX002127"/>
        <s v="TX000824"/>
        <s v="TX001722"/>
        <s v="TX000461"/>
        <s v="TX001088"/>
        <s v="TX000160"/>
        <s v="TX000740"/>
        <s v="TX001382"/>
        <s v="TX001347"/>
        <s v="TX001642"/>
        <s v="TX001240"/>
        <s v="TX000084"/>
        <s v="TX002178"/>
        <s v="TX000428"/>
        <s v="TX000290"/>
        <s v="TX002082"/>
        <s v="TX000240"/>
        <s v="TX000770"/>
        <s v="TX000402"/>
        <s v="TX000155"/>
        <s v="TX000619"/>
        <s v="TX002230"/>
        <s v="TX000296"/>
        <s v="TX001661"/>
        <s v="TX000280"/>
        <s v="TX000582"/>
        <s v="TX002176"/>
        <s v="TX001724"/>
        <s v="TX001684"/>
        <s v="TX001230"/>
        <s v="TX000719"/>
        <s v="TX001938"/>
        <s v="TX000596"/>
        <s v="TX000970"/>
        <s v="TX000699"/>
        <s v="TX000977"/>
        <s v="TX000951"/>
        <s v="TX000427"/>
        <s v="TX000176"/>
        <s v="TX000080"/>
        <s v="TX000594"/>
        <s v="TX001941"/>
        <s v="TX002154"/>
        <s v="TX000492"/>
        <s v="TX002136"/>
        <s v="TX002248"/>
        <s v="TX001354"/>
        <s v="TX000825"/>
        <s v="TX000495"/>
        <s v="TX000800"/>
        <s v="TX002011"/>
        <s v="TX000848"/>
        <s v="TX001229"/>
        <s v="TX002158"/>
        <s v="TX000888"/>
        <s v="TX001861"/>
        <s v="TX001892"/>
        <s v="TX001458"/>
        <s v="TX002261"/>
        <s v="TX001104"/>
        <s v="TX002285"/>
        <s v="TX001688"/>
        <s v="TX000410"/>
        <s v="TX000013"/>
        <s v="TX001380"/>
        <s v="TX000405"/>
        <s v="TX001098"/>
        <s v="TX001895"/>
        <s v="TX000952"/>
        <s v="TX002001"/>
        <s v="TX000975"/>
        <s v="TX001372"/>
        <s v="TX000216"/>
        <s v="TX002184"/>
        <s v="TX001738"/>
        <s v="TX000472"/>
        <s v="TX001363"/>
        <s v="TX000539"/>
        <s v="TX001160"/>
        <s v="TX000991"/>
        <s v="TX002277"/>
        <s v="TX001009"/>
        <s v="TX002250"/>
        <s v="TX000875"/>
        <s v="TX000497"/>
        <s v="TX000312"/>
        <s v="TX000132"/>
        <s v="TX000252"/>
        <s v="TX001048"/>
        <s v="TX000137"/>
        <s v="TX000648"/>
        <s v="TX000595"/>
        <s v="TX001982"/>
        <s v="TX000585"/>
        <s v="TX000811"/>
        <s v="TX001752"/>
        <s v="TX000279"/>
        <s v="TX000360"/>
        <s v="TX001270"/>
        <s v="TX001585"/>
        <s v="TX002084"/>
        <s v="TX000351"/>
        <s v="TX001293"/>
        <s v="TX002274"/>
        <s v="TX001275"/>
        <s v="TX002293"/>
        <s v="TX000028"/>
        <s v="TX001767"/>
        <s v="TX000660"/>
        <s v="TX001308"/>
        <s v="TX000571"/>
        <s v="TX001189"/>
        <s v="TX001671"/>
        <s v="TX002122"/>
        <s v="TX000650"/>
        <s v="TX000869"/>
        <s v="TX001393"/>
        <s v="TX000891"/>
        <s v="TX001052"/>
        <s v="TX000828"/>
        <s v="TX001768"/>
        <s v="TX001536"/>
        <s v="TX001637"/>
        <s v="TX001563"/>
        <s v="TX001420"/>
        <s v="TX001058"/>
        <s v="TX000598"/>
        <s v="TX001011"/>
        <s v="TX000861"/>
        <s v="TX001415"/>
        <s v="TX000091"/>
        <s v="TX001749"/>
        <s v="TX000790"/>
        <s v="TX000263"/>
        <s v="TX000712"/>
        <s v="TX001537"/>
        <s v="TX002022"/>
        <s v="TX000149"/>
        <s v="TX002049"/>
        <s v="TX002117"/>
        <s v="TX000079"/>
        <s v="TX001853"/>
        <s v="TX001643"/>
        <s v="TX000998"/>
        <s v="TX000036"/>
        <s v="TX001294"/>
        <s v="TX000235"/>
        <s v="TX001266"/>
        <s v="TX000324"/>
        <s v="TX002013"/>
        <s v="TX001031"/>
        <s v="TX001629"/>
        <s v="TX002290"/>
        <s v="TX000816"/>
        <s v="TX001049"/>
        <s v="TX002271"/>
        <s v="TX000396"/>
        <s v="TX000782"/>
        <s v="TX001729"/>
        <s v="TX001518"/>
        <s v="TX002135"/>
        <s v="TX000504"/>
        <s v="TX002029"/>
        <s v="TX000384"/>
        <s v="TX000311"/>
        <s v="TX002010"/>
        <s v="TX000905"/>
        <s v="TX000521"/>
        <s v="TX001592"/>
        <s v="TX001736"/>
        <s v="TX000760"/>
        <s v="TX000190"/>
        <s v="TX001756"/>
        <s v="TX000664"/>
        <s v="TX001016"/>
        <s v="TX000575"/>
        <s v="TX000316"/>
        <s v="TX000743"/>
        <s v="TX001444"/>
        <s v="TX002171"/>
        <s v="TX001818"/>
        <s v="TX000787"/>
        <s v="TX002300"/>
        <s v="TX000962"/>
        <s v="TX000027"/>
        <s v="TX001538"/>
        <s v="TX001288"/>
        <s v="TX000667"/>
        <s v="TX000257"/>
        <s v="TX001556"/>
        <s v="TX001622"/>
        <s v="TX001213"/>
        <s v="TX001214"/>
        <s v="TX000967"/>
        <s v="TX000683"/>
        <s v="TX000689"/>
        <s v="TX000864"/>
        <s v="TX000499"/>
        <s v="TX000042"/>
        <s v="TX000992"/>
        <s v="TX001908"/>
        <s v="TX000100"/>
        <s v="TX001615"/>
        <s v="TX000923"/>
        <s v="TX002040"/>
        <s v="TX001441"/>
        <s v="TX000721"/>
        <s v="TX000437"/>
        <s v="TX001101"/>
        <s v="TX002039"/>
        <s v="TX001577"/>
        <s v="TX001948"/>
        <s v="TX000517"/>
        <s v="TX000820"/>
        <s v="TX001117"/>
        <s v="TX000157"/>
        <s v="TX002020"/>
        <s v="TX000420"/>
        <s v="TX000832"/>
        <s v="TX001851"/>
        <s v="TX000778"/>
        <s v="TX000503"/>
        <s v="TX001988"/>
        <s v="TX002295"/>
        <s v="TX001520"/>
        <s v="TX001624"/>
        <s v="TX001840"/>
        <s v="TX001652"/>
        <s v="TX001225"/>
        <s v="TX000350"/>
        <s v="TX001645"/>
        <s v="TX001057"/>
        <s v="TX000636"/>
        <s v="TX001822"/>
        <s v="TX000319"/>
        <s v="TX001396"/>
        <s v="TX000544"/>
        <s v="TX000356"/>
        <s v="TX001619"/>
        <s v="TX002203"/>
        <s v="TX000494"/>
        <s v="TX002233"/>
        <s v="TX001717"/>
        <s v="TX000724"/>
        <s v="TX000181"/>
        <s v="TX002211"/>
        <s v="TX000245"/>
        <s v="TX000167"/>
        <s v="TX002105"/>
        <s v="TX000393"/>
        <s v="TX001245"/>
        <s v="TX002168"/>
        <s v="TX002008"/>
        <s v="TX000941"/>
        <s v="TX001059"/>
        <s v="TX000086"/>
        <s v="TX000747"/>
        <s v="TX001181"/>
        <s v="TX001882"/>
        <s v="TX001419"/>
        <s v="TX000913"/>
        <s v="TX002116"/>
        <s v="TX001416"/>
        <s v="TX001806"/>
        <s v="TX000982"/>
        <s v="TX000381"/>
        <s v="TX001364"/>
        <s v="TX002212"/>
        <s v="TX001039"/>
        <s v="TX000510"/>
        <s v="TX001885"/>
        <s v="TX000022"/>
        <s v="TX001579"/>
        <s v="TX001541"/>
        <s v="TX000188"/>
        <s v="TX001015"/>
        <s v="TX001505"/>
        <s v="TX000394"/>
        <s v="TX000171"/>
        <s v="TX001682"/>
        <s v="TX000075"/>
        <s v="TX001159"/>
        <s v="TX001587"/>
        <s v="TX000010"/>
        <s v="TX000011"/>
        <s v="TX001817"/>
        <s v="TX002062"/>
        <s v="TX000827"/>
        <s v="TX001239"/>
        <s v="TX002153"/>
        <s v="TX001463"/>
        <s v="TX000285"/>
        <s v="TX001468"/>
        <s v="TX000617"/>
        <s v="TX001360"/>
        <s v="TX002238"/>
        <s v="TX002080"/>
        <s v="TX001150"/>
        <s v="TX002223"/>
        <s v="TX002017"/>
        <s v="TX000474"/>
        <s v="TX000140"/>
        <s v="TX001926"/>
        <s v="TX001190"/>
        <s v="TX001251"/>
        <s v="TX002058"/>
        <s v="TX000192"/>
        <s v="TX001331"/>
        <s v="TX001812"/>
        <s v="TX001257"/>
        <s v="TX000056"/>
        <s v="TX000483"/>
        <s v="TX000044"/>
        <s v="TX001824"/>
        <s v="TX000321"/>
        <s v="TX001914"/>
        <s v="TX002149"/>
        <s v="TX000755"/>
        <s v="TX001042"/>
        <s v="TX002299"/>
        <s v="TX000431"/>
        <s v="TX000210"/>
        <s v="TX001816"/>
        <s v="TX001697"/>
        <s v="TX001833"/>
        <s v="TX000208"/>
        <s v="TX000238"/>
        <s v="TX001004"/>
        <s v="TX001949"/>
        <s v="TX000346"/>
        <s v="TX000963"/>
        <s v="TX001863"/>
        <s v="TX001834"/>
        <s v="TX001519"/>
        <s v="TX001365"/>
        <s v="TX001383"/>
        <s v="TX000458"/>
        <s v="TX001200"/>
        <s v="TX000301"/>
        <s v="TX002244"/>
        <s v="TX000460"/>
        <s v="TX000943"/>
        <s v="TX001490"/>
        <s v="TX001408"/>
        <s v="TX001260"/>
        <s v="TX001859"/>
        <s v="TX000475"/>
        <s v="TX001977"/>
        <s v="TX002063"/>
        <s v="TX001109"/>
        <s v="TX000464"/>
        <s v="TX000006"/>
        <s v="TX000842"/>
        <s v="TX000327"/>
        <s v="TX002257"/>
        <s v="TX001511"/>
        <s v="TX001449"/>
        <s v="TX001936"/>
        <s v="TX000893"/>
        <s v="TX001084"/>
        <s v="TX000014"/>
        <s v="TX001154"/>
        <s v="TX000695"/>
        <s v="TX000388"/>
        <s v="TX000524"/>
        <s v="TX001669"/>
        <s v="TX001726"/>
        <s v="TX001735"/>
        <s v="TX001286"/>
        <s v="TX000604"/>
        <s v="TX000843"/>
        <s v="TX000323"/>
        <s v="TX001564"/>
        <s v="TX002222"/>
        <s v="TX001014"/>
        <s v="TX001854"/>
        <s v="TX002064"/>
        <s v="TX002284"/>
        <s v="TX001503"/>
        <s v="TX000555"/>
        <s v="TX001281"/>
        <s v="TX000831"/>
        <s v="TX001856"/>
        <s v="TX000456"/>
        <s v="TX000308"/>
        <s v="TX000073"/>
        <s v="TX000258"/>
        <s v="TX001762"/>
        <s v="TX000003"/>
        <s v="TX001303"/>
        <s v="TX002047"/>
        <s v="TX002305"/>
        <s v="TX001448"/>
        <s v="TX001392"/>
        <s v="TX002201"/>
        <s v="TX000930"/>
        <s v="TX001981"/>
        <s v="TX001970"/>
        <s v="TX000480"/>
        <s v="TX002256"/>
        <s v="TX001829"/>
        <s v="TX000910"/>
        <s v="TX000118"/>
        <s v="TX001611"/>
        <s v="TX002111"/>
        <s v="TX001030"/>
        <s v="TX001235"/>
        <s v="TX000467"/>
        <s v="TX002030"/>
        <s v="TX001732"/>
        <s v="TX001469"/>
        <s v="TX000446"/>
        <s v="TX001963"/>
        <s v="TX001036"/>
        <s v="TX001199"/>
        <s v="TX001357"/>
        <s v="TX000777"/>
        <s v="TX000605"/>
        <s v="TX000569"/>
        <s v="TX001681"/>
        <s v="TX002275"/>
        <s v="TX001079"/>
        <s v="TX001093"/>
        <s v="TX001258"/>
        <s v="TX000085"/>
        <s v="TX001677"/>
        <s v="TX002074"/>
        <s v="TX002091"/>
        <s v="TX001534"/>
        <s v="TX001212"/>
        <s v="TX000756"/>
        <s v="TX001873"/>
        <s v="TX000152"/>
        <s v="TX002027"/>
        <s v="TX001547"/>
        <s v="TX000389"/>
        <s v="TX001162"/>
        <s v="TX000732"/>
        <s v="TX000173"/>
        <s v="TX001557"/>
        <s v="TX000531"/>
        <s v="TX002162"/>
        <s v="TX000766"/>
        <s v="TX000736"/>
        <s v="TX001362"/>
        <s v="TX001993"/>
        <s v="TX002114"/>
        <s v="TX002007"/>
        <s v="TX000375"/>
        <s v="TX001513"/>
        <s v="TX000710"/>
        <s v="TX000938"/>
        <s v="TX002199"/>
        <s v="TX001185"/>
        <s v="TX001075"/>
        <s v="TX001137"/>
        <s v="TX001864"/>
        <s v="TX000671"/>
        <s v="TX000033"/>
        <s v="TX000239"/>
        <s v="TX000128"/>
        <s v="TX000355"/>
        <s v="TX000165"/>
        <s v="TX001576"/>
        <s v="TX002220"/>
        <s v="TX001814"/>
        <s v="TX001320"/>
        <s v="TX001781"/>
        <s v="TX001499"/>
        <s v="TX000493"/>
        <s v="TX000473"/>
        <s v="TX000974"/>
        <s v="TX001787"/>
        <s v="TX001909"/>
        <s v="TX001683"/>
        <s v="TX000090"/>
        <s v="TX001686"/>
        <s v="TX000098"/>
        <s v="TX001067"/>
        <s v="TX001024"/>
        <s v="TX001935"/>
        <s v="TX001725"/>
        <s v="TX000450"/>
        <s v="TX000551"/>
        <s v="TX002081"/>
        <s v="TX001608"/>
        <s v="TX000219"/>
        <s v="TX000179"/>
        <s v="TX000434"/>
        <s v="TX001341"/>
        <s v="TX001321"/>
        <s v="TX001501"/>
        <s v="TX001842"/>
        <s v="TX000568"/>
        <s v="TX000682"/>
        <s v="TX001517"/>
        <s v="TX001410"/>
        <s v="TX000742"/>
        <s v="TX001306"/>
        <s v="TX001906"/>
        <s v="TX000484"/>
        <s v="TX001952"/>
        <s v="TX002060"/>
        <s v="TX002272"/>
        <s v="TX000438"/>
        <s v="TX001618"/>
        <s v="TX000781"/>
        <s v="TX000549"/>
        <s v="TX000854"/>
        <s v="TX001086"/>
        <s v="TX002200"/>
        <s v="TX000783"/>
        <s v="TX001894"/>
        <s v="TX001586"/>
        <s v="TX001813"/>
        <s v="TX001008"/>
        <s v="TX001666"/>
        <s v="TX001887"/>
        <s v="TX000674"/>
        <s v="TX002266"/>
        <s v="TX000687"/>
        <s v="TX001745"/>
        <s v="TX000459"/>
        <s v="TX000818"/>
        <s v="TX001268"/>
        <s v="TX000753"/>
        <s v="TX000122"/>
        <s v="TX000700"/>
        <s v="TX000877"/>
        <s v="TX001612"/>
        <s v="TX001766"/>
        <s v="TX001041"/>
        <s v="TX000897"/>
        <s v="TX002174"/>
        <s v="TX000579"/>
        <s v="TX001445"/>
        <s v="TX000856"/>
        <s v="TX001810"/>
        <s v="TX000039"/>
        <s v="TX001318"/>
        <s v="TX000032"/>
        <s v="TX002143"/>
        <s v="TX000107"/>
        <s v="TX000024"/>
        <s v="TX000711"/>
        <s v="TX000070"/>
        <s v="TX000200"/>
        <s v="TX002042"/>
        <s v="TX001120"/>
        <s v="TX002175"/>
        <s v="TX001128"/>
        <s v="TX001580"/>
        <s v="TX001191"/>
        <s v="TX001951"/>
        <s v="TX001271"/>
        <s v="TX001174"/>
        <s v="TX001099"/>
        <s v="TX001532"/>
        <s v="TX002205"/>
        <s v="TX001243"/>
        <s v="TX000385"/>
        <s v="TX001149"/>
        <s v="TX000266"/>
        <s v="TX001704"/>
        <s v="TX002163"/>
        <s v="TX001017"/>
        <s v="TX001459"/>
        <s v="TX001135"/>
        <s v="TX001946"/>
        <s v="TX001065"/>
        <s v="TX000505"/>
        <s v="TX000277"/>
        <s v="TX000810"/>
        <s v="TX000340"/>
        <s v="TX001975"/>
        <s v="TX001533"/>
        <s v="TX000946"/>
        <s v="TX002004"/>
        <s v="TX000186"/>
        <s v="TX000799"/>
        <s v="TX000931"/>
        <s v="TX001893"/>
        <s v="TX000745"/>
        <s v="TX000979"/>
        <s v="TX002019"/>
        <s v="TX001121"/>
        <s v="TX000062"/>
        <s v="TX001603"/>
        <s v="TX000798"/>
        <s v="TX001771"/>
        <s v="TX002287"/>
        <s v="TX001152"/>
        <s v="TX000142"/>
        <s v="TX002150"/>
        <s v="TX002148"/>
        <s v="TX001784"/>
        <s v="TX001332"/>
        <s v="TX000194"/>
        <s v="TX000647"/>
        <s v="TX001527"/>
        <s v="TX000034"/>
        <s v="TX001965"/>
        <s v="TX000801"/>
        <s v="TX000058"/>
        <s v="TX000939"/>
        <s v="TX001754"/>
        <s v="TX000359"/>
        <s v="TX001070"/>
        <s v="TX002065"/>
        <s v="TX001569"/>
        <s v="TX001649"/>
        <s v="TX000069"/>
        <s v="TX001343"/>
        <s v="TX000292"/>
        <s v="TX000047"/>
        <s v="TX000924"/>
        <s v="TX000278"/>
        <s v="TX002224"/>
        <s v="TX002278"/>
        <s v="TX000225"/>
        <s v="TX000865"/>
        <s v="TX000382"/>
        <s v="TX001905"/>
        <s v="TX000365"/>
        <s v="TX001901"/>
        <s v="TX001391"/>
        <s v="TX000934"/>
        <s v="TX001025"/>
        <s v="TX000774"/>
        <s v="TX001734"/>
        <s v="TX000067"/>
        <s v="TX001204"/>
        <s v="TX001056"/>
        <s v="TX000868"/>
        <s v="TX001674"/>
        <s v="TX000029"/>
        <s v="TX000295"/>
        <s v="TX001651"/>
        <s v="TX000114"/>
        <s v="TX000246"/>
        <s v="TX001440"/>
        <s v="TX001023"/>
        <s v="TX001186"/>
        <s v="TX000981"/>
        <s v="TX000412"/>
        <s v="TX002051"/>
        <s v="TX001879"/>
        <s v="TX000117"/>
        <s v="TX002231"/>
        <s v="TX002078"/>
        <s v="TX000248"/>
        <s v="TX001514"/>
        <s v="TX000666"/>
        <s v="TX000752"/>
        <s v="TX001957"/>
        <s v="TX001352"/>
        <s v="TX000093"/>
        <s v="TX001406"/>
        <s v="TX000115"/>
        <s v="TX001377"/>
        <s v="TX000255"/>
        <s v="TX000430"/>
        <s v="TX000589"/>
        <s v="TX002312"/>
        <s v="TX002235"/>
        <s v="TX000119"/>
        <s v="TX001414"/>
        <s v="TX000133"/>
        <s v="TX001883"/>
        <s v="TX000264"/>
        <s v="TX002015"/>
        <s v="TX001314"/>
        <s v="TX000247"/>
        <s v="TX001711"/>
        <s v="TX000776"/>
        <s v="TX000553"/>
        <s v="TX001114"/>
        <s v="TX001217"/>
        <s v="TX001778"/>
        <s v="TX000581"/>
        <s v="TX001917"/>
        <s v="TX001461"/>
        <s v="TX001780"/>
        <s v="TX000652"/>
        <s v="TX001676"/>
        <s v="TX001795"/>
        <s v="TX001171"/>
        <s v="TX001143"/>
        <s v="TX001898"/>
        <s v="TX001849"/>
        <s v="TX000197"/>
        <s v="TX000534"/>
        <s v="TX000863"/>
        <s v="TX001792"/>
        <s v="TX001869"/>
        <s v="TX001369"/>
        <s v="TX000898"/>
        <s v="TX001808"/>
        <s v="TX001051"/>
        <s v="TX000677"/>
        <s v="TX000015"/>
        <s v="TX000501"/>
        <s v="TX000968"/>
        <s v="TX001107"/>
        <s v="TX001847"/>
        <s v="TX000241"/>
        <s v="TX002107"/>
        <s v="TX000601"/>
        <s v="TX000876"/>
        <s v="TX000274"/>
        <s v="TX000685"/>
        <s v="TX001962"/>
        <s v="TX001491"/>
        <s v="TX001640"/>
        <s v="TX001134"/>
        <s v="TX001989"/>
        <s v="TX001472"/>
        <s v="TX000372"/>
        <s v="TX002186"/>
        <s v="TX001716"/>
        <s v="TX000272"/>
        <s v="TX000606"/>
        <s v="TX001474"/>
        <s v="TX001254"/>
        <s v="TX001548"/>
        <s v="TX000215"/>
        <s v="TX001967"/>
        <s v="TX000345"/>
        <s v="TX000839"/>
        <s v="TX001616"/>
        <s v="TX000148"/>
        <s v="TX001022"/>
        <s v="TX001984"/>
        <s v="TX001748"/>
        <s v="TX000413"/>
        <s v="TX002207"/>
        <s v="TX001224"/>
        <s v="TX000784"/>
        <s v="TX000343"/>
        <s v="TX000948"/>
        <s v="TX000748"/>
        <s v="TX000174"/>
        <s v="TX001830"/>
        <s v="TX000378"/>
        <s v="TX001492"/>
        <s v="TX000739"/>
        <s v="TX001330"/>
        <s v="TX001568"/>
        <s v="TX001876"/>
        <s v="TX000053"/>
        <s v="TX000019"/>
        <s v="TX001310"/>
        <s v="TX000222"/>
        <s v="TX001839"/>
        <s v="TX001992"/>
        <s v="TX002270"/>
        <s v="TX001390"/>
        <s v="TX001141"/>
        <s v="TX002061"/>
        <s v="TX001431"/>
        <s v="TX001386"/>
        <s v="TX000096"/>
        <s v="TX001500"/>
        <s v="TX000262"/>
        <s v="TX002157"/>
        <s v="TX002075"/>
        <s v="TX001903"/>
        <s v="TX000180"/>
        <s v="TX001127"/>
        <s v="TX001599"/>
        <s v="TX000717"/>
        <s v="TX002294"/>
        <s v="TX001588"/>
        <s v="TX000185"/>
        <s v="TX000468"/>
        <s v="TX001405"/>
        <s v="TX000904"/>
        <s v="TX002087"/>
        <s v="TX000072"/>
        <s v="TX001170"/>
        <s v="TX001930"/>
        <s v="TX001902"/>
        <s v="TX000347"/>
        <s v="TX001837"/>
        <s v="TX001208"/>
        <s v="TX000030"/>
        <s v="TX002214"/>
        <s v="TX000797"/>
        <s v="TX001064"/>
        <s v="TX001529"/>
        <s v="TX000158"/>
        <s v="TX000933"/>
        <s v="TX000659"/>
        <s v="TX001758"/>
        <s v="TX001660"/>
        <s v="TX002221"/>
        <s v="TX000395"/>
        <s v="TX001077"/>
        <s v="TX000989"/>
        <s v="TX000455"/>
        <s v="TX001384"/>
        <s v="TX001860"/>
        <s v="TX000403"/>
        <s v="TX000990"/>
        <s v="TX001446"/>
        <s v="TX001473"/>
        <s v="TX000678"/>
        <s v="TX001309"/>
        <s v="TX001617"/>
        <s v="TX001252"/>
        <s v="TX001378"/>
        <s v="TX000823"/>
        <s v="TX000964"/>
        <s v="TX002251"/>
        <s v="TX000836"/>
        <s v="TX001034"/>
        <s v="TX000175"/>
        <s v="TX000940"/>
        <s v="TX001055"/>
        <s v="TX001102"/>
        <s v="TX000692"/>
        <s v="TX002079"/>
        <s v="TX001991"/>
        <s v="TX000335"/>
        <s v="TX000874"/>
        <s v="TX000806"/>
        <s v="TX002187"/>
        <s v="TX000008"/>
        <s v="TX000518"/>
        <s v="TX000198"/>
        <s v="TX000297"/>
        <s v="TX001417"/>
        <s v="TX001932"/>
        <s v="TX000220"/>
        <s v="TX001255"/>
        <s v="TX001531"/>
        <s v="TX001798"/>
        <s v="TX001535"/>
        <s v="TX001746"/>
        <s v="TX000123"/>
        <s v="TX001713"/>
        <s v="TX000379"/>
        <s v="TX001063"/>
        <s v="TX000723"/>
        <s v="TX001871"/>
        <s v="TX002006"/>
        <s v="TX000163"/>
        <s v="TX001187"/>
        <s v="TX001092"/>
        <s v="TX000125"/>
        <s v="TX000552"/>
        <s v="TX000005"/>
        <s v="TX001570"/>
        <s v="TX002252"/>
        <s v="TX000916"/>
        <s v="TX001558"/>
        <s v="TX001872"/>
        <s v="TX000959"/>
        <s v="TX000793"/>
        <s v="TX002118"/>
        <s v="TX000612"/>
        <s v="TX001772"/>
        <s v="TX000288"/>
        <s v="TX001773"/>
        <s v="TX001452"/>
        <s v="TX000957"/>
        <s v="TX001633"/>
        <s v="TX001888"/>
        <s v="TX002314"/>
        <s v="TX001670"/>
        <s v="TX001960"/>
        <s v="TX001985"/>
        <s v="TX000909"/>
        <s v="TX001867"/>
        <s v="TX000507"/>
        <s v="TX000357"/>
        <s v="TX001424"/>
        <s v="TX001342"/>
        <s v="TX002217"/>
        <s v="TX000353"/>
        <s v="TX000845"/>
        <s v="TX001155"/>
        <s v="TX001549"/>
        <s v="TX001723"/>
        <s v="TX002072"/>
        <s v="TX000837"/>
        <s v="TX000947"/>
        <s v="TX000668"/>
        <s v="TX000887"/>
        <s v="TX001285"/>
        <s v="TX000785"/>
        <s v="TX000334"/>
        <s v="TX000154"/>
        <s v="TX001421"/>
        <s v="TX000788"/>
        <s v="TX000502"/>
        <s v="TX001841"/>
        <s v="TX001737"/>
        <s v="TX001931"/>
        <s v="TX000722"/>
        <s v="TX000374"/>
        <s v="TX002185"/>
        <s v="TX000591"/>
        <s v="TX000313"/>
        <s v="TX001850"/>
        <s v="TX001623"/>
        <s v="TX000043"/>
        <s v="TX002041"/>
        <s v="TX000646"/>
        <s v="TX001874"/>
        <s v="TX002139"/>
        <s v="TX000972"/>
        <s v="TX002167"/>
        <s v="TX000523"/>
        <s v="TX000418"/>
        <s v="TX000763"/>
        <s v="TX000658"/>
        <s v="TX001165"/>
        <s v="TX001971"/>
        <s v="TX000705"/>
        <s v="TX000733"/>
        <s v="TX002193"/>
        <s v="TX002109"/>
        <s v="TX002055"/>
        <s v="TX000945"/>
        <s v="TX000169"/>
        <s v="TX002165"/>
        <s v="TX001567"/>
        <s v="TX000361"/>
        <s v="TX001807"/>
        <s v="TX001019"/>
        <s v="TX001470"/>
        <s v="TX000908"/>
        <s v="TX001694"/>
        <s v="TX000744"/>
        <s v="TX000273"/>
        <s v="TX001494"/>
        <s v="TX000520"/>
        <s v="TX000815"/>
        <s v="TX000819"/>
        <s v="TX001402"/>
        <s v="TX000735"/>
        <s v="TX001523"/>
        <s v="TX001639"/>
        <s v="TX002247"/>
        <s v="TX001510"/>
        <s v="TX002170"/>
        <s v="TX002048"/>
        <s v="TX000915"/>
        <s v="TX001701"/>
        <s v="TX002276"/>
        <s v="TX001122"/>
        <s v="TX002240"/>
        <s v="TX000129"/>
        <s v="TX001915"/>
        <s v="TX000999"/>
        <s v="TX000690"/>
        <s v="TX001884"/>
        <s v="TX001647"/>
        <s v="TX000545"/>
        <s v="TX000380"/>
        <s v="TX001728"/>
        <s v="TX001956"/>
        <s v="TX000204"/>
        <s v="TX000344"/>
        <s v="TX002144"/>
        <s v="TX001679"/>
        <s v="TX002232"/>
        <s v="TX000519"/>
        <s v="TX001943"/>
        <s v="TX001804"/>
        <s v="TX002183"/>
        <s v="TX000489"/>
        <s v="TX001262"/>
        <s v="TX001002"/>
        <s v="TX001574"/>
        <s v="TX001425"/>
        <s v="TX001920"/>
        <s v="TX001595"/>
        <s v="TX000918"/>
        <s v="TX000233"/>
        <s v="TX000795"/>
        <s v="TX001707"/>
        <s v="TX001467"/>
        <s v="TX002241"/>
        <s v="TX001743"/>
        <s v="TX001821"/>
        <s v="TX001123"/>
        <s v="TX000515"/>
        <s v="TX002309"/>
        <s v="TX000512"/>
        <s v="TX000113"/>
        <s v="TX001000"/>
        <s v="TX000218"/>
        <s v="TX001385"/>
        <s v="TX001583"/>
        <s v="TX000500"/>
        <s v="TX002298"/>
        <s v="TX000935"/>
        <s v="TX000226"/>
        <s v="TX001043"/>
        <s v="TX001193"/>
        <s v="TX000741"/>
        <s v="TX001317"/>
        <s v="TX002229"/>
        <s v="TX001450"/>
        <s v="TX000398"/>
        <s v="TX001764"/>
        <s v="TX001667"/>
        <s v="TX000541"/>
        <s v="TX000329"/>
        <s v="TX000796"/>
        <s v="TX000849"/>
        <s v="TX000622"/>
        <s v="TX000214"/>
        <s v="TX000771"/>
        <s v="TX000338"/>
        <s v="TX000804"/>
        <s v="TX001183"/>
        <s v="TX001169"/>
        <s v="TX000037"/>
        <s v="TX000106"/>
        <s v="TX000363"/>
        <s v="TX000851"/>
        <s v="TX001741"/>
        <s v="TX000857"/>
        <s v="TX001466"/>
        <s v="TX000566"/>
        <s v="TX000250"/>
        <s v="TX001475"/>
        <s v="TX000318"/>
        <s v="TX001201"/>
        <s v="TX001108"/>
        <s v="TX000653"/>
        <s v="TX000071"/>
        <s v="TX001668"/>
        <s v="TX001175"/>
        <s v="TX001089"/>
        <s v="TX002289"/>
        <s v="TX000411"/>
        <s v="TX002226"/>
        <s v="TX001026"/>
        <s v="TX000540"/>
        <s v="TX000602"/>
        <s v="TX001333"/>
        <s v="TX002197"/>
        <s v="TX001435"/>
        <s v="TX002133"/>
        <s v="TX000838"/>
        <s v="TX002113"/>
        <s v="TX001628"/>
        <s v="TX000807"/>
        <s v="TX000883"/>
        <s v="TX001485"/>
        <s v="TX000638"/>
        <s v="TX000424"/>
        <s v="TX000728"/>
        <s v="TX001997"/>
        <s v="TX000377"/>
        <s v="TX000525"/>
        <s v="TX000151"/>
        <s v="TX001581"/>
        <s v="TX001950"/>
        <s v="TX001775"/>
        <s v="TX000627"/>
        <s v="TX002204"/>
        <s v="TX001846"/>
        <s v="TX000144"/>
        <s v="TX000718"/>
        <s v="TX000567"/>
        <s v="TX001881"/>
        <s v="TX001156"/>
        <s v="TX001432"/>
        <s v="TX002132"/>
        <s v="TX000880"/>
        <s v="TX001076"/>
        <s v="TX000625"/>
        <s v="TX002269"/>
        <s v="TX002304"/>
        <s v="TX001367"/>
        <s v="TX000618"/>
        <s v="TX001325"/>
        <s v="TX001983"/>
        <s v="TX000691"/>
        <s v="TX002172"/>
        <s v="TX001690"/>
        <s v="TX001351"/>
        <s v="TX002242"/>
        <s v="TX001831"/>
        <s v="TX001687"/>
        <s v="TX001693"/>
        <s v="TX000466"/>
        <s v="TX001188"/>
        <s v="TX001192"/>
        <s v="TX000146"/>
        <s v="TX000325"/>
        <s v="TX001763"/>
        <s v="TX000707"/>
        <s v="TX000715"/>
        <s v="TX001835"/>
        <s v="TX001112"/>
        <s v="TX002128"/>
        <s v="TX000902"/>
        <s v="TX000688"/>
        <s v="TX001631"/>
        <s v="TX001940"/>
        <s v="TX001825"/>
        <s v="TX000101"/>
        <s v="TX000291"/>
        <s v="TX000879"/>
        <s v="TX001456"/>
        <s v="TX000392"/>
        <s v="TX000087"/>
        <s v="TX001276"/>
        <s v="TX001524"/>
        <s v="TX000476"/>
        <s v="TX001695"/>
        <s v="TX001296"/>
        <s v="TX002093"/>
        <s v="TX001138"/>
        <s v="TX002073"/>
        <s v="TX001236"/>
        <s v="TX000833"/>
        <s v="TX000592"/>
        <s v="TX002306"/>
        <s v="TX001621"/>
        <s v="TX001636"/>
        <s v="TX000110"/>
        <s v="TX001161"/>
        <s v="TX000223"/>
        <s v="TX001053"/>
        <s v="TX001312"/>
        <s v="TX002104"/>
        <s v="TX002307"/>
        <s v="TX000254"/>
        <s v="TX001073"/>
        <s v="TX001620"/>
        <s v="TX001493"/>
        <s v="TX000546"/>
        <s v="TX000950"/>
        <s v="TX001572"/>
        <s v="TX000844"/>
        <s v="TX000064"/>
        <s v="TX000414"/>
        <s v="TX000885"/>
        <s v="TX000452"/>
        <s v="TX001259"/>
        <s v="TX000657"/>
        <s v="TX001880"/>
        <s v="TX001582"/>
        <s v="TX001487"/>
        <s v="TX001486"/>
        <s v="TX001328"/>
        <s v="TX000078"/>
        <s v="TX002070"/>
        <s v="TX000870"/>
        <s v="TX000451"/>
        <s v="TX001020"/>
        <s v="TX001561"/>
        <s v="TX001980"/>
        <s v="TX000697"/>
        <s v="TX001742"/>
        <s v="TX000812"/>
        <s v="TX002301"/>
        <s v="TX000911"/>
        <s v="TX001522"/>
        <s v="TX001050"/>
        <s v="TX000506"/>
        <s v="TX000406"/>
        <s v="TX000184"/>
        <s v="TX001877"/>
        <s v="TX001718"/>
        <s v="TX000610"/>
        <s v="TX002034"/>
        <s v="TX001969"/>
        <s v="TX000021"/>
        <s v="TX001426"/>
        <s v="TX001591"/>
        <s v="TX000328"/>
        <s v="TX001875"/>
        <s v="TX002303"/>
        <s v="TX000267"/>
        <s v="TX001891"/>
        <s v="TX001757"/>
        <s v="TX002179"/>
        <s v="TX000866"/>
        <s v="TX002279"/>
        <s v="TX002228"/>
        <s v="TX000490"/>
        <s v="TX000607"/>
        <s v="TX001739"/>
        <s v="TX000153"/>
        <s v="TX000890"/>
        <s v="TX002273"/>
        <s v="TX000270"/>
        <s v="TX000097"/>
        <s v="TX000965"/>
        <s v="TX001800"/>
        <s v="TX000872"/>
        <s v="TX001573"/>
        <s v="TX000533"/>
        <s v="TX001068"/>
        <s v="TX001100"/>
        <s v="TX002126"/>
        <s v="TX000716"/>
        <s v="TX002198"/>
        <s v="TX002282"/>
        <s v="TX001539"/>
        <s v="TX002286"/>
        <s v="TX000470"/>
        <s v="TX000565"/>
        <s v="TX001799"/>
        <s v="TX000462"/>
        <s v="TX001278"/>
        <s v="TX001796"/>
        <s v="TX001870"/>
        <s v="TX001394"/>
        <s v="TX001346"/>
        <s v="TX000696"/>
        <s v="TX001176"/>
        <s v="TX001753"/>
        <s v="TX000929"/>
        <s v="TX001215"/>
        <s v="TX001373"/>
        <s v="TX000244"/>
        <s v="TX001680"/>
        <s v="TX001313"/>
        <s v="TX000649"/>
        <s v="TX000314"/>
        <s v="TX000156"/>
        <s v="TX001304"/>
        <s v="TX001151"/>
        <s v="TX001802"/>
        <s v="TX001047"/>
        <s v="TX001641"/>
        <s v="TX001307"/>
        <s v="TX001928"/>
        <s v="TX001496"/>
        <s v="TX000026"/>
        <s v="TX002245"/>
        <s v="TX000016"/>
        <s v="TX001322"/>
        <s v="TX000884"/>
        <s v="TX001361"/>
        <s v="TX001845"/>
        <s v="TX001613"/>
        <s v="TX000498"/>
        <s v="TX000516"/>
        <s v="TX002297"/>
        <s v="TX001479"/>
        <s v="TX001412"/>
        <s v="TX001096"/>
        <s v="TX000543"/>
        <s v="TX000634"/>
        <s v="TX000432"/>
        <s v="TX000729"/>
        <s v="TX001289"/>
        <s v="TX002258"/>
        <s v="TX000317"/>
        <s v="TX001921"/>
        <s v="TX001338"/>
        <s v="TX000320"/>
        <s v="TX001032"/>
        <s v="TX002026"/>
        <s v="TX002190"/>
        <s v="TX001111"/>
        <s v="TX001889"/>
        <s v="TX001528"/>
        <s v="TX000754"/>
        <s v="TX000563"/>
        <s v="TX000669"/>
        <s v="TX000253"/>
        <s v="TX000358"/>
        <s v="TX001279"/>
        <s v="TX001301"/>
        <s v="TX001203"/>
        <s v="TX000130"/>
        <s v="TX000145"/>
        <s v="TX000961"/>
        <s v="TX000906"/>
        <s v="TX001097"/>
        <s v="TX000236"/>
        <s v="TX001062"/>
      </sharedItems>
    </cacheField>
    <cacheField name="MemberID" numFmtId="0">
      <sharedItems/>
    </cacheField>
    <cacheField name="Tanggal" numFmtId="164">
      <sharedItems containsSemiMixedTypes="0" containsNonDate="0" containsDate="1" containsString="0" minDate="2025-10-01T00:00:00" maxDate="2026-09-29T00:00:00" count="362">
        <d v="2025-10-22T00:00:00"/>
        <d v="2026-03-04T00:00:00"/>
        <d v="2026-04-29T00:00:00"/>
        <d v="2025-11-16T00:00:00"/>
        <d v="2025-12-24T00:00:00"/>
        <d v="2026-07-25T00:00:00"/>
        <d v="2025-10-14T00:00:00"/>
        <d v="2025-11-14T00:00:00"/>
        <d v="2026-08-06T00:00:00"/>
        <d v="2026-03-03T00:00:00"/>
        <d v="2026-04-03T00:00:00"/>
        <d v="2026-03-09T00:00:00"/>
        <d v="2026-05-31T00:00:00"/>
        <d v="2026-07-03T00:00:00"/>
        <d v="2025-12-16T00:00:00"/>
        <d v="2025-12-01T00:00:00"/>
        <d v="2026-06-05T00:00:00"/>
        <d v="2025-10-18T00:00:00"/>
        <d v="2025-11-08T00:00:00"/>
        <d v="2026-03-12T00:00:00"/>
        <d v="2025-10-23T00:00:00"/>
        <d v="2026-09-03T00:00:00"/>
        <d v="2026-08-21T00:00:00"/>
        <d v="2026-02-28T00:00:00"/>
        <d v="2026-01-06T00:00:00"/>
        <d v="2025-10-02T00:00:00"/>
        <d v="2026-04-12T00:00:00"/>
        <d v="2026-05-22T00:00:00"/>
        <d v="2025-11-12T00:00:00"/>
        <d v="2025-11-13T00:00:00"/>
        <d v="2026-09-17T00:00:00"/>
        <d v="2026-09-16T00:00:00"/>
        <d v="2025-11-27T00:00:00"/>
        <d v="2025-12-17T00:00:00"/>
        <d v="2026-02-01T00:00:00"/>
        <d v="2026-06-15T00:00:00"/>
        <d v="2026-05-16T00:00:00"/>
        <d v="2025-12-06T00:00:00"/>
        <d v="2025-11-29T00:00:00"/>
        <d v="2026-03-23T00:00:00"/>
        <d v="2026-05-19T00:00:00"/>
        <d v="2026-07-22T00:00:00"/>
        <d v="2025-12-05T00:00:00"/>
        <d v="2026-04-09T00:00:00"/>
        <d v="2025-12-29T00:00:00"/>
        <d v="2026-05-17T00:00:00"/>
        <d v="2026-08-27T00:00:00"/>
        <d v="2026-01-08T00:00:00"/>
        <d v="2026-02-27T00:00:00"/>
        <d v="2026-06-06T00:00:00"/>
        <d v="2026-09-12T00:00:00"/>
        <d v="2025-11-28T00:00:00"/>
        <d v="2025-12-14T00:00:00"/>
        <d v="2026-05-24T00:00:00"/>
        <d v="2026-04-30T00:00:00"/>
        <d v="2026-07-20T00:00:00"/>
        <d v="2026-08-26T00:00:00"/>
        <d v="2026-03-14T00:00:00"/>
        <d v="2026-09-23T00:00:00"/>
        <d v="2026-03-13T00:00:00"/>
        <d v="2025-11-20T00:00:00"/>
        <d v="2025-11-23T00:00:00"/>
        <d v="2026-02-25T00:00:00"/>
        <d v="2026-04-26T00:00:00"/>
        <d v="2026-03-15T00:00:00"/>
        <d v="2026-09-15T00:00:00"/>
        <d v="2026-07-26T00:00:00"/>
        <d v="2025-11-19T00:00:00"/>
        <d v="2026-08-11T00:00:00"/>
        <d v="2026-08-31T00:00:00"/>
        <d v="2026-02-11T00:00:00"/>
        <d v="2026-01-26T00:00:00"/>
        <d v="2026-06-23T00:00:00"/>
        <d v="2026-01-20T00:00:00"/>
        <d v="2026-03-22T00:00:00"/>
        <d v="2026-08-09T00:00:00"/>
        <d v="2026-08-16T00:00:00"/>
        <d v="2025-10-10T00:00:00"/>
        <d v="2026-05-26T00:00:00"/>
        <d v="2026-09-05T00:00:00"/>
        <d v="2026-01-30T00:00:00"/>
        <d v="2026-06-24T00:00:00"/>
        <d v="2026-05-20T00:00:00"/>
        <d v="2025-12-26T00:00:00"/>
        <d v="2026-05-23T00:00:00"/>
        <d v="2026-04-24T00:00:00"/>
        <d v="2026-03-26T00:00:00"/>
        <d v="2026-02-12T00:00:00"/>
        <d v="2026-07-23T00:00:00"/>
        <d v="2026-07-18T00:00:00"/>
        <d v="2025-10-06T00:00:00"/>
        <d v="2026-09-11T00:00:00"/>
        <d v="2026-07-16T00:00:00"/>
        <d v="2026-01-25T00:00:00"/>
        <d v="2026-06-17T00:00:00"/>
        <d v="2026-01-02T00:00:00"/>
        <d v="2026-04-17T00:00:00"/>
        <d v="2026-05-27T00:00:00"/>
        <d v="2026-07-14T00:00:00"/>
        <d v="2025-11-17T00:00:00"/>
        <d v="2026-09-01T00:00:00"/>
        <d v="2026-04-28T00:00:00"/>
        <d v="2026-02-04T00:00:00"/>
        <d v="2026-08-02T00:00:00"/>
        <d v="2026-07-29T00:00:00"/>
        <d v="2026-03-07T00:00:00"/>
        <d v="2026-05-03T00:00:00"/>
        <d v="2026-02-24T00:00:00"/>
        <d v="2025-11-06T00:00:00"/>
        <d v="2025-12-09T00:00:00"/>
        <d v="2026-04-05T00:00:00"/>
        <d v="2026-04-20T00:00:00"/>
        <d v="2025-10-21T00:00:00"/>
        <d v="2026-09-20T00:00:00"/>
        <d v="2025-10-05T00:00:00"/>
        <d v="2025-10-03T00:00:00"/>
        <d v="2026-01-13T00:00:00"/>
        <d v="2026-08-28T00:00:00"/>
        <d v="2026-01-14T00:00:00"/>
        <d v="2026-07-27T00:00:00"/>
        <d v="2026-08-30T00:00:00"/>
        <d v="2026-09-06T00:00:00"/>
        <d v="2026-05-02T00:00:00"/>
        <d v="2026-03-20T00:00:00"/>
        <d v="2026-07-11T00:00:00"/>
        <d v="2026-07-04T00:00:00"/>
        <d v="2026-08-17T00:00:00"/>
        <d v="2026-03-17T00:00:00"/>
        <d v="2026-09-24T00:00:00"/>
        <d v="2026-05-13T00:00:00"/>
        <d v="2026-08-18T00:00:00"/>
        <d v="2025-10-31T00:00:00"/>
        <d v="2026-04-15T00:00:00"/>
        <d v="2026-01-01T00:00:00"/>
        <d v="2026-01-11T00:00:00"/>
        <d v="2026-01-22T00:00:00"/>
        <d v="2026-09-19T00:00:00"/>
        <d v="2026-08-24T00:00:00"/>
        <d v="2025-10-07T00:00:00"/>
        <d v="2025-12-10T00:00:00"/>
        <d v="2025-10-27T00:00:00"/>
        <d v="2026-09-10T00:00:00"/>
        <d v="2026-08-05T00:00:00"/>
        <d v="2026-07-01T00:00:00"/>
        <d v="2025-12-30T00:00:00"/>
        <d v="2026-05-07T00:00:00"/>
        <d v="2025-12-12T00:00:00"/>
        <d v="2026-04-06T00:00:00"/>
        <d v="2026-06-27T00:00:00"/>
        <d v="2026-06-30T00:00:00"/>
        <d v="2026-01-16T00:00:00"/>
        <d v="2026-06-09T00:00:00"/>
        <d v="2026-03-29T00:00:00"/>
        <d v="2025-10-04T00:00:00"/>
        <d v="2026-02-05T00:00:00"/>
        <d v="2026-08-20T00:00:00"/>
        <d v="2026-07-09T00:00:00"/>
        <d v="2026-02-14T00:00:00"/>
        <d v="2026-07-13T00:00:00"/>
        <d v="2026-08-10T00:00:00"/>
        <d v="2026-04-22T00:00:00"/>
        <d v="2026-04-01T00:00:00"/>
        <d v="2026-03-10T00:00:00"/>
        <d v="2026-05-21T00:00:00"/>
        <d v="2026-02-21T00:00:00"/>
        <d v="2026-07-21T00:00:00"/>
        <d v="2026-06-25T00:00:00"/>
        <d v="2026-01-23T00:00:00"/>
        <d v="2026-05-28T00:00:00"/>
        <d v="2026-07-19T00:00:00"/>
        <d v="2026-05-05T00:00:00"/>
        <d v="2026-07-10T00:00:00"/>
        <d v="2025-11-25T00:00:00"/>
        <d v="2026-01-09T00:00:00"/>
        <d v="2026-02-18T00:00:00"/>
        <d v="2026-09-14T00:00:00"/>
        <d v="2025-12-21T00:00:00"/>
        <d v="2026-06-21T00:00:00"/>
        <d v="2025-12-13T00:00:00"/>
        <d v="2026-08-13T00:00:00"/>
        <d v="2026-02-19T00:00:00"/>
        <d v="2026-04-14T00:00:00"/>
        <d v="2025-10-16T00:00:00"/>
        <d v="2026-05-10T00:00:00"/>
        <d v="2026-03-16T00:00:00"/>
        <d v="2026-05-06T00:00:00"/>
        <d v="2026-02-07T00:00:00"/>
        <d v="2026-03-24T00:00:00"/>
        <d v="2026-04-21T00:00:00"/>
        <d v="2026-06-12T00:00:00"/>
        <d v="2025-12-22T00:00:00"/>
        <d v="2025-12-23T00:00:00"/>
        <d v="2026-06-04T00:00:00"/>
        <d v="2026-09-09T00:00:00"/>
        <d v="2026-05-18T00:00:00"/>
        <d v="2025-12-25T00:00:00"/>
        <d v="2026-05-15T00:00:00"/>
        <d v="2025-11-24T00:00:00"/>
        <d v="2026-08-03T00:00:00"/>
        <d v="2026-04-19T00:00:00"/>
        <d v="2026-01-21T00:00:00"/>
        <d v="2025-10-08T00:00:00"/>
        <d v="2026-06-19T00:00:00"/>
        <d v="2026-01-31T00:00:00"/>
        <d v="2026-07-28T00:00:00"/>
        <d v="2026-01-05T00:00:00"/>
        <d v="2026-09-28T00:00:00"/>
        <d v="2026-09-13T00:00:00"/>
        <d v="2026-07-07T00:00:00"/>
        <d v="2026-02-22T00:00:00"/>
        <d v="2026-04-07T00:00:00"/>
        <d v="2026-09-07T00:00:00"/>
        <d v="2026-06-13T00:00:00"/>
        <d v="2026-06-29T00:00:00"/>
        <d v="2026-08-22T00:00:00"/>
        <d v="2026-02-02T00:00:00"/>
        <d v="2026-02-03T00:00:00"/>
        <d v="2026-05-25T00:00:00"/>
        <d v="2026-09-21T00:00:00"/>
        <d v="2026-07-24T00:00:00"/>
        <d v="2025-10-13T00:00:00"/>
        <d v="2026-01-03T00:00:00"/>
        <d v="2026-07-02T00:00:00"/>
        <d v="2025-11-10T00:00:00"/>
        <d v="2025-11-21T00:00:00"/>
        <d v="2025-12-18T00:00:00"/>
        <d v="2026-09-02T00:00:00"/>
        <d v="2025-11-09T00:00:00"/>
        <d v="2026-06-03T00:00:00"/>
        <d v="2026-08-04T00:00:00"/>
        <d v="2025-11-22T00:00:00"/>
        <d v="2025-10-24T00:00:00"/>
        <d v="2026-01-10T00:00:00"/>
        <d v="2026-08-08T00:00:00"/>
        <d v="2026-03-08T00:00:00"/>
        <d v="2026-04-13T00:00:00"/>
        <d v="2025-11-30T00:00:00"/>
        <d v="2026-02-06T00:00:00"/>
        <d v="2026-02-16T00:00:00"/>
        <d v="2025-12-08T00:00:00"/>
        <d v="2025-10-20T00:00:00"/>
        <d v="2025-11-02T00:00:00"/>
        <d v="2025-12-19T00:00:00"/>
        <d v="2026-09-22T00:00:00"/>
        <d v="2025-10-29T00:00:00"/>
        <d v="2026-02-26T00:00:00"/>
        <d v="2026-01-07T00:00:00"/>
        <d v="2026-06-14T00:00:00"/>
        <d v="2026-01-15T00:00:00"/>
        <d v="2026-04-08T00:00:00"/>
        <d v="2026-03-28T00:00:00"/>
        <d v="2026-09-25T00:00:00"/>
        <d v="2026-07-06T00:00:00"/>
        <d v="2026-09-04T00:00:00"/>
        <d v="2025-12-27T00:00:00"/>
        <d v="2026-03-11T00:00:00"/>
        <d v="2026-05-09T00:00:00"/>
        <d v="2025-11-18T00:00:00"/>
        <d v="2026-02-20T00:00:00"/>
        <d v="2026-03-21T00:00:00"/>
        <d v="2025-12-04T00:00:00"/>
        <d v="2026-04-04T00:00:00"/>
        <d v="2025-12-07T00:00:00"/>
        <d v="2026-04-18T00:00:00"/>
        <d v="2025-11-05T00:00:00"/>
        <d v="2026-05-30T00:00:00"/>
        <d v="2026-02-15T00:00:00"/>
        <d v="2026-03-05T00:00:00"/>
        <d v="2026-09-27T00:00:00"/>
        <d v="2026-06-28T00:00:00"/>
        <d v="2026-02-10T00:00:00"/>
        <d v="2025-10-09T00:00:00"/>
        <d v="2025-10-01T00:00:00"/>
        <d v="2026-08-19T00:00:00"/>
        <d v="2025-10-28T00:00:00"/>
        <d v="2025-11-26T00:00:00"/>
        <d v="2026-07-05T00:00:00"/>
        <d v="2026-09-26T00:00:00"/>
        <d v="2026-08-15T00:00:00"/>
        <d v="2026-08-12T00:00:00"/>
        <d v="2025-10-19T00:00:00"/>
        <d v="2026-01-29T00:00:00"/>
        <d v="2026-06-16T00:00:00"/>
        <d v="2026-04-11T00:00:00"/>
        <d v="2026-03-25T00:00:00"/>
        <d v="2026-01-19T00:00:00"/>
        <d v="2025-10-26T00:00:00"/>
        <d v="2025-11-01T00:00:00"/>
        <d v="2026-07-17T00:00:00"/>
        <d v="2026-04-10T00:00:00"/>
        <d v="2026-02-13T00:00:00"/>
        <d v="2026-01-28T00:00:00"/>
        <d v="2026-05-29T00:00:00"/>
        <d v="2026-02-08T00:00:00"/>
        <d v="2026-02-09T00:00:00"/>
        <d v="2026-08-29T00:00:00"/>
        <d v="2026-05-04T00:00:00"/>
        <d v="2026-09-18T00:00:00"/>
        <d v="2025-10-12T00:00:00"/>
        <d v="2025-11-07T00:00:00"/>
        <d v="2025-11-03T00:00:00"/>
        <d v="2025-10-15T00:00:00"/>
        <d v="2025-12-11T00:00:00"/>
        <d v="2025-11-11T00:00:00"/>
        <d v="2026-02-23T00:00:00"/>
        <d v="2026-08-14T00:00:00"/>
        <d v="2025-12-20T00:00:00"/>
        <d v="2026-05-14T00:00:00"/>
        <d v="2026-01-12T00:00:00"/>
        <d v="2025-12-15T00:00:00"/>
        <d v="2026-01-04T00:00:00"/>
        <d v="2026-06-01T00:00:00"/>
        <d v="2025-10-25T00:00:00"/>
        <d v="2026-03-02T00:00:00"/>
        <d v="2026-07-08T00:00:00"/>
        <d v="2026-03-18T00:00:00"/>
        <d v="2026-05-11T00:00:00"/>
        <d v="2025-12-03T00:00:00"/>
        <d v="2026-06-10T00:00:00"/>
        <d v="2026-01-18T00:00:00"/>
        <d v="2026-08-01T00:00:00"/>
        <d v="2026-03-19T00:00:00"/>
        <d v="2026-01-24T00:00:00"/>
        <d v="2026-05-12T00:00:00"/>
        <d v="2026-06-22T00:00:00"/>
        <d v="2026-06-07T00:00:00"/>
        <d v="2026-03-01T00:00:00"/>
        <d v="2025-11-15T00:00:00"/>
        <d v="2026-04-16T00:00:00"/>
        <d v="2026-01-27T00:00:00"/>
        <d v="2026-07-12T00:00:00"/>
        <d v="2026-01-17T00:00:00"/>
        <d v="2026-04-02T00:00:00"/>
        <d v="2026-03-27T00:00:00"/>
        <d v="2026-09-08T00:00:00"/>
        <d v="2025-10-17T00:00:00"/>
        <d v="2026-02-17T00:00:00"/>
        <d v="2026-07-31T00:00:00"/>
        <d v="2026-06-08T00:00:00"/>
        <d v="2026-05-08T00:00:00"/>
        <d v="2025-12-28T00:00:00"/>
        <d v="2026-06-20T00:00:00"/>
        <d v="2026-08-25T00:00:00"/>
        <d v="2026-03-31T00:00:00"/>
        <d v="2025-10-30T00:00:00"/>
        <d v="2026-05-01T00:00:00"/>
        <d v="2026-07-30T00:00:00"/>
        <d v="2026-06-11T00:00:00"/>
        <d v="2025-12-31T00:00:00"/>
        <d v="2026-08-23T00:00:00"/>
        <d v="2026-06-02T00:00:00"/>
        <d v="2025-12-02T00:00:00"/>
        <d v="2026-06-18T00:00:00"/>
        <d v="2025-10-11T00:00:00"/>
        <d v="2026-04-27T00:00:00"/>
        <d v="2026-04-25T00:00:00"/>
        <d v="2026-03-30T00:00:00"/>
        <d v="2026-04-23T00:00:00"/>
        <d v="2026-08-07T00:00:00"/>
        <d v="2026-06-26T00:00:00"/>
        <d v="2025-11-04T00:00:00"/>
        <d v="2026-07-15T00:00:00"/>
      </sharedItems>
      <fieldGroup par="9"/>
    </cacheField>
    <cacheField name="Toko" numFmtId="0">
      <sharedItems/>
    </cacheField>
    <cacheField name="Kategori" numFmtId="0">
      <sharedItems count="6">
        <s v="Groceries"/>
        <s v="F&amp;B"/>
        <s v="Fashion"/>
        <s v="Electronics"/>
        <s v="Home &amp; Living"/>
        <s v="Health &amp; Beauty"/>
      </sharedItems>
    </cacheField>
    <cacheField name="NominalBelanja" numFmtId="165">
      <sharedItems containsSemiMixedTypes="0" containsString="0" containsNumber="1" containsInteger="1" minValue="25000" maxValue="2041534"/>
    </cacheField>
    <cacheField name="PoinDidapat" numFmtId="166">
      <sharedItems containsSemiMixedTypes="0" containsString="0" containsNumber="1" containsInteger="1" minValue="2" maxValue="204"/>
    </cacheField>
    <cacheField name="Months (Tanggal)" numFmtId="0" databaseField="0">
      <fieldGroup base="2">
        <rangePr groupBy="months" startDate="2025-10-01T00:00:00" endDate="2026-09-29T00:00:00"/>
        <groupItems count="14">
          <s v="&lt;01/10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9/26"/>
        </groupItems>
      </fieldGroup>
    </cacheField>
    <cacheField name="Quarters (Tanggal)" numFmtId="0" databaseField="0">
      <fieldGroup base="2">
        <rangePr groupBy="quarters" startDate="2025-10-01T00:00:00" endDate="2026-09-29T00:00:00"/>
        <groupItems count="6">
          <s v="&lt;01/10/25"/>
          <s v="Qtr1"/>
          <s v="Qtr2"/>
          <s v="Qtr3"/>
          <s v="Qtr4"/>
          <s v="&gt;29/09/26"/>
        </groupItems>
      </fieldGroup>
    </cacheField>
    <cacheField name="Years (Tanggal)" numFmtId="0" databaseField="0">
      <fieldGroup base="2">
        <rangePr groupBy="years" startDate="2025-10-01T00:00:00" endDate="2026-09-29T00:00:00"/>
        <groupItems count="4">
          <s v="&lt;01/10/25"/>
          <s v="2025"/>
          <s v="2026"/>
          <s v="&gt;29/09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lan Ardiansyah" refreshedDate="46295.395399768517" createdVersion="8" refreshedVersion="8" minRefreshableVersion="3" recordCount="6849" xr:uid="{75DF8328-CA17-4F46-97FE-B9F3976F99E5}">
  <cacheSource type="worksheet">
    <worksheetSource name="Members__2"/>
  </cacheSource>
  <cacheFields count="8">
    <cacheField name="MemberID" numFmtId="0">
      <sharedItems/>
    </cacheField>
    <cacheField name="Tier" numFmtId="0">
      <sharedItems count="3">
        <s v="Gold"/>
        <s v="Silver"/>
        <s v="Platinum"/>
      </sharedItems>
    </cacheField>
    <cacheField name="TransaksiID" numFmtId="0">
      <sharedItems count="2194">
        <s v="TX002281"/>
        <s v="TX002280"/>
        <s v="TX002283"/>
        <s v="TX002285"/>
        <s v="TX002277"/>
        <s v="TX002284"/>
        <s v="TX002278"/>
        <s v="TX002276"/>
        <s v="TX002279"/>
        <s v="TX002282"/>
        <s v="TX000048"/>
        <s v="TX000041"/>
        <s v="TX000049"/>
        <s v="TX000038"/>
        <s v="TX000050"/>
        <s v="TX000040"/>
        <s v="TX000035"/>
        <s v="TX000046"/>
        <s v="TX000045"/>
        <s v="TX000036"/>
        <s v="TX000042"/>
        <s v="TX000044"/>
        <s v="TX000033"/>
        <s v="TX000039"/>
        <s v="TX000034"/>
        <s v="TX000047"/>
        <s v="TX000043"/>
        <s v="TX000037"/>
        <s v="TX000150"/>
        <s v="TX000147"/>
        <s v="TX000149"/>
        <s v="TX000148"/>
        <s v="TX000593"/>
        <s v="TX000597"/>
        <s v="TX000596"/>
        <s v="TX000594"/>
        <s v="TX000595"/>
        <s v="TX000598"/>
        <s v="TX000570"/>
        <s v="TX000572"/>
        <s v="TX000571"/>
        <s v="TX000569"/>
        <s v="TX000568"/>
        <s v="TX000567"/>
        <s v="TX002146"/>
        <s v="TX002142"/>
        <s v="TX002140"/>
        <s v="TX002147"/>
        <s v="TX002141"/>
        <s v="TX002145"/>
        <s v="TX002149"/>
        <s v="TX002143"/>
        <s v="TX002148"/>
        <s v="TX002144"/>
        <s v="TX000195"/>
        <s v="TX000196"/>
        <s v="TX000193"/>
        <s v="TX000191"/>
        <s v="TX000187"/>
        <s v="TX000189"/>
        <s v="TX000190"/>
        <s v="TX000188"/>
        <s v="TX000192"/>
        <s v="TX000194"/>
        <s v="TX000237"/>
        <s v="TX000232"/>
        <s v="TX000227"/>
        <s v="TX000224"/>
        <s v="TX000230"/>
        <s v="TX000228"/>
        <s v="TX000231"/>
        <s v="TX000229"/>
        <s v="TX000234"/>
        <s v="TX000235"/>
        <s v="TX000225"/>
        <s v="TX000233"/>
        <s v="TX000226"/>
        <s v="TX000223"/>
        <s v="TX000236"/>
        <s v="TX000259"/>
        <s v="TX000265"/>
        <s v="TX000268"/>
        <s v="TX000261"/>
        <s v="TX000260"/>
        <s v="TX000256"/>
        <s v="TX000251"/>
        <s v="TX000252"/>
        <s v="TX000263"/>
        <s v="TX000257"/>
        <s v="TX000258"/>
        <s v="TX000266"/>
        <s v="TX000255"/>
        <s v="TX000264"/>
        <s v="TX000262"/>
        <s v="TX000254"/>
        <s v="TX000267"/>
        <s v="TX000253"/>
        <s v="TX001526"/>
        <s v="TX001525"/>
        <s v="TX001530"/>
        <s v="TX001532"/>
        <s v="TX001533"/>
        <s v="TX001527"/>
        <s v="TX001529"/>
        <s v="TX001531"/>
        <s v="TX001524"/>
        <s v="TX001528"/>
        <s v="TX000330"/>
        <s v="TX000326"/>
        <s v="TX000331"/>
        <s v="TX000324"/>
        <s v="TX000327"/>
        <s v="TX000329"/>
        <s v="TX000325"/>
        <s v="TX000328"/>
        <s v="TX000332"/>
        <s v="TX000336"/>
        <s v="TX000342"/>
        <s v="TX000339"/>
        <s v="TX000337"/>
        <s v="TX000341"/>
        <s v="TX000333"/>
        <s v="TX000340"/>
        <s v="TX000343"/>
        <s v="TX000335"/>
        <s v="TX000334"/>
        <s v="TX000338"/>
        <s v="TX000416"/>
        <s v="TX000419"/>
        <s v="TX000417"/>
        <s v="TX000418"/>
        <s v="TX001046"/>
        <s v="TX001044"/>
        <s v="TX001045"/>
        <s v="TX001043"/>
        <s v="TX001575"/>
        <s v="TX001574"/>
        <s v="TX001573"/>
        <s v="TX001232"/>
        <s v="TX001223"/>
        <s v="TX001227"/>
        <s v="TX001226"/>
        <s v="TX001231"/>
        <s v="TX001228"/>
        <s v="TX001230"/>
        <s v="TX001229"/>
        <s v="TX001225"/>
        <s v="TX001224"/>
        <s v="TX002068"/>
        <s v="TX002071"/>
        <s v="TX002076"/>
        <s v="TX002067"/>
        <s v="TX002077"/>
        <s v="TX002066"/>
        <s v="TX002069"/>
        <s v="TX002062"/>
        <s v="TX002063"/>
        <s v="TX002064"/>
        <s v="TX002074"/>
        <s v="TX002065"/>
        <s v="TX002078"/>
        <s v="TX002061"/>
        <s v="TX002075"/>
        <s v="TX002072"/>
        <s v="TX002073"/>
        <s v="TX002070"/>
        <s v="TX001006"/>
        <s v="TX001018"/>
        <s v="TX001005"/>
        <s v="TX001021"/>
        <s v="TX001001"/>
        <s v="TX001012"/>
        <s v="TX001010"/>
        <s v="TX001013"/>
        <s v="TX001003"/>
        <s v="TX001007"/>
        <s v="TX001009"/>
        <s v="TX001011"/>
        <s v="TX001016"/>
        <s v="TX001015"/>
        <s v="TX001004"/>
        <s v="TX001014"/>
        <s v="TX001008"/>
        <s v="TX001017"/>
        <s v="TX001022"/>
        <s v="TX001019"/>
        <s v="TX000999"/>
        <s v="TX001002"/>
        <s v="TX001000"/>
        <s v="TX001020"/>
        <s v="TX000920"/>
        <s v="TX000921"/>
        <s v="TX000922"/>
        <s v="TX000919"/>
        <s v="TX001256"/>
        <s v="TX001265"/>
        <s v="TX001267"/>
        <s v="TX001263"/>
        <s v="TX001264"/>
        <s v="TX001261"/>
        <s v="TX001266"/>
        <s v="TX001257"/>
        <s v="TX001260"/>
        <s v="TX001258"/>
        <s v="TX001262"/>
        <s v="TX001259"/>
        <s v="TX001759"/>
        <s v="TX001755"/>
        <s v="TX001760"/>
        <s v="TX001761"/>
        <s v="TX001756"/>
        <s v="TX001754"/>
        <s v="TX001758"/>
        <s v="TX001757"/>
        <s v="TX001329"/>
        <s v="TX001331"/>
        <s v="TX001332"/>
        <s v="TX001330"/>
        <s v="TX001333"/>
        <s v="TX001328"/>
        <s v="TX001247"/>
        <s v="TX001249"/>
        <s v="TX001248"/>
        <s v="TX001250"/>
        <s v="TX001986"/>
        <s v="TX001987"/>
        <s v="TX001982"/>
        <s v="TX001988"/>
        <s v="TX001981"/>
        <s v="TX001984"/>
        <s v="TX001985"/>
        <s v="TX001983"/>
        <s v="TX000469"/>
        <s v="TX000477"/>
        <s v="TX000471"/>
        <s v="TX000472"/>
        <s v="TX000474"/>
        <s v="TX000475"/>
        <s v="TX000473"/>
        <s v="TX000476"/>
        <s v="TX000470"/>
        <s v="TX002131"/>
        <s v="TX002130"/>
        <s v="TX002129"/>
        <s v="TX002127"/>
        <s v="TX002133"/>
        <s v="TX002132"/>
        <s v="TX002128"/>
        <s v="TX002126"/>
        <s v="TX001562"/>
        <s v="TX001565"/>
        <s v="TX001566"/>
        <s v="TX001563"/>
        <s v="TX001564"/>
        <s v="TX001567"/>
        <s v="TX001899"/>
        <s v="TX001904"/>
        <s v="TX001907"/>
        <s v="TX001900"/>
        <s v="TX001908"/>
        <s v="TX001906"/>
        <s v="TX001905"/>
        <s v="TX001901"/>
        <s v="TX001903"/>
        <s v="TX001902"/>
        <s v="TX000485"/>
        <s v="TX000486"/>
        <s v="TX000487"/>
        <s v="TX000491"/>
        <s v="TX000488"/>
        <s v="TX000492"/>
        <s v="TX000493"/>
        <s v="TX000484"/>
        <s v="TX000489"/>
        <s v="TX000490"/>
        <s v="TX000209"/>
        <s v="TX000210"/>
        <s v="TX000208"/>
        <s v="TX001634"/>
        <s v="TX001626"/>
        <s v="TX001625"/>
        <s v="TX001632"/>
        <s v="TX001627"/>
        <s v="TX001630"/>
        <s v="TX001635"/>
        <s v="TX001638"/>
        <s v="TX001637"/>
        <s v="TX001629"/>
        <s v="TX001622"/>
        <s v="TX001624"/>
        <s v="TX001633"/>
        <s v="TX001623"/>
        <s v="TX001628"/>
        <s v="TX001631"/>
        <s v="TX001621"/>
        <s v="TX001636"/>
        <s v="TX001345"/>
        <s v="TX001349"/>
        <s v="TX001348"/>
        <s v="TX001350"/>
        <s v="TX001347"/>
        <s v="TX001346"/>
        <s v="TX000109"/>
        <s v="TX000112"/>
        <s v="TX000108"/>
        <s v="TX000103"/>
        <s v="TX000105"/>
        <s v="TX000116"/>
        <s v="TX000104"/>
        <s v="TX000111"/>
        <s v="TX000107"/>
        <s v="TX000114"/>
        <s v="TX000117"/>
        <s v="TX000115"/>
        <s v="TX000113"/>
        <s v="TX000106"/>
        <s v="TX000110"/>
        <s v="TX001130"/>
        <s v="TX001131"/>
        <s v="TX001132"/>
        <s v="TX001133"/>
        <s v="TX000693"/>
        <s v="TX000702"/>
        <s v="TX000703"/>
        <s v="TX000701"/>
        <s v="TX000698"/>
        <s v="TX000706"/>
        <s v="TX000694"/>
        <s v="TX000704"/>
        <s v="TX000699"/>
        <s v="TX000695"/>
        <s v="TX000700"/>
        <s v="TX000705"/>
        <s v="TX000707"/>
        <s v="TX000697"/>
        <s v="TX000696"/>
        <s v="TX001033"/>
        <s v="TX001040"/>
        <s v="TX001035"/>
        <s v="TX001038"/>
        <s v="TX001037"/>
        <s v="TX001039"/>
        <s v="TX001036"/>
        <s v="TX001034"/>
        <s v="TX001054"/>
        <s v="TX001048"/>
        <s v="TX001052"/>
        <s v="TX001049"/>
        <s v="TX001051"/>
        <s v="TX001053"/>
        <s v="TX001050"/>
        <s v="TX001047"/>
        <s v="TX001858"/>
        <s v="TX001862"/>
        <s v="TX001855"/>
        <s v="TX001852"/>
        <s v="TX001844"/>
        <s v="TX001848"/>
        <s v="TX001857"/>
        <s v="TX001861"/>
        <s v="TX001853"/>
        <s v="TX001851"/>
        <s v="TX001863"/>
        <s v="TX001859"/>
        <s v="TX001854"/>
        <s v="TX001856"/>
        <s v="TX001849"/>
        <s v="TX001847"/>
        <s v="TX001860"/>
        <s v="TX001850"/>
        <s v="TX001846"/>
        <s v="TX001845"/>
        <s v="TX001929"/>
        <s v="TX001930"/>
        <s v="TX001932"/>
        <s v="TX001931"/>
        <s v="TX000057"/>
        <s v="TX000060"/>
        <s v="TX000059"/>
        <s v="TX000056"/>
        <s v="TX000058"/>
        <s v="TX000007"/>
        <s v="TX000002"/>
        <s v="TX000004"/>
        <s v="TX000009"/>
        <s v="TX000012"/>
        <s v="TX000001"/>
        <s v="TX000010"/>
        <s v="TX000011"/>
        <s v="TX000006"/>
        <s v="TX000003"/>
        <s v="TX000008"/>
        <s v="TX000005"/>
        <s v="TX000465"/>
        <s v="TX000463"/>
        <s v="TX000464"/>
        <s v="TX000462"/>
        <s v="TX001502"/>
        <s v="TX001504"/>
        <s v="TX001506"/>
        <s v="TX001515"/>
        <s v="TX001512"/>
        <s v="TX001508"/>
        <s v="TX001509"/>
        <s v="TX001516"/>
        <s v="TX001507"/>
        <s v="TX001498"/>
        <s v="TX001505"/>
        <s v="TX001511"/>
        <s v="TX001503"/>
        <s v="TX001513"/>
        <s v="TX001499"/>
        <s v="TX001501"/>
        <s v="TX001517"/>
        <s v="TX001514"/>
        <s v="TX001500"/>
        <s v="TX001510"/>
        <s v="TX001571"/>
        <s v="TX001570"/>
        <s v="TX001572"/>
        <s v="TX000767"/>
        <s v="TX000766"/>
        <s v="TX000761"/>
        <s v="TX000765"/>
        <s v="TX000764"/>
        <s v="TX000762"/>
        <s v="TX000760"/>
        <s v="TX000763"/>
        <s v="TX001336"/>
        <s v="TX001337"/>
        <s v="TX001339"/>
        <s v="TX001334"/>
        <s v="TX001335"/>
        <s v="TX001338"/>
        <s v="TX000809"/>
        <s v="TX000794"/>
        <s v="TX000813"/>
        <s v="TX000805"/>
        <s v="TX000803"/>
        <s v="TX000802"/>
        <s v="TX000808"/>
        <s v="TX000800"/>
        <s v="TX000811"/>
        <s v="TX000810"/>
        <s v="TX000799"/>
        <s v="TX000798"/>
        <s v="TX000801"/>
        <s v="TX000797"/>
        <s v="TX000806"/>
        <s v="TX000795"/>
        <s v="TX000796"/>
        <s v="TX000804"/>
        <s v="TX000807"/>
        <s v="TX000812"/>
        <s v="TX000769"/>
        <s v="TX000768"/>
        <s v="TX000773"/>
        <s v="TX000775"/>
        <s v="TX000772"/>
        <s v="TX000770"/>
        <s v="TX000777"/>
        <s v="TX000774"/>
        <s v="TX000776"/>
        <s v="TX000771"/>
        <s v="TX002268"/>
        <s v="TX002267"/>
        <s v="TX002266"/>
        <s v="TX002269"/>
        <s v="TX000159"/>
        <s v="TX000160"/>
        <s v="TX002059"/>
        <s v="TX002058"/>
        <s v="TX002060"/>
        <s v="TX001182"/>
        <s v="TX001184"/>
        <s v="TX001181"/>
        <s v="TX001185"/>
        <s v="TX001183"/>
        <s v="TX000509"/>
        <s v="TX000508"/>
        <s v="TX000505"/>
        <s v="TX000507"/>
        <s v="TX000506"/>
        <s v="TX002302"/>
        <s v="TX002288"/>
        <s v="TX002296"/>
        <s v="TX002291"/>
        <s v="TX002292"/>
        <s v="TX002293"/>
        <s v="TX002290"/>
        <s v="TX002300"/>
        <s v="TX002295"/>
        <s v="TX002299"/>
        <s v="TX002287"/>
        <s v="TX002294"/>
        <s v="TX002298"/>
        <s v="TX002289"/>
        <s v="TX002301"/>
        <s v="TX002303"/>
        <s v="TX002286"/>
        <s v="TX002297"/>
        <s v="TX002108"/>
        <s v="TX002103"/>
        <s v="TX002106"/>
        <s v="TX002110"/>
        <s v="TX002105"/>
        <s v="TX002111"/>
        <s v="TX002107"/>
        <s v="TX002109"/>
        <s v="TX002104"/>
        <s v="TX001196"/>
        <s v="TX001195"/>
        <s v="TX001197"/>
        <s v="TX001194"/>
        <s v="TX001189"/>
        <s v="TX001190"/>
        <s v="TX001191"/>
        <s v="TX001186"/>
        <s v="TX001187"/>
        <s v="TX001193"/>
        <s v="TX001188"/>
        <s v="TX001192"/>
        <s v="TX002308"/>
        <s v="TX002305"/>
        <s v="TX002309"/>
        <s v="TX002304"/>
        <s v="TX002306"/>
        <s v="TX002307"/>
        <s v="TX000995"/>
        <s v="TX000988"/>
        <s v="TX000996"/>
        <s v="TX000993"/>
        <s v="TX000994"/>
        <s v="TX000997"/>
        <s v="TX000987"/>
        <s v="TX000991"/>
        <s v="TX000998"/>
        <s v="TX000992"/>
        <s v="TX000989"/>
        <s v="TX000990"/>
        <s v="TX001242"/>
        <s v="TX001244"/>
        <s v="TX001246"/>
        <s v="TX001241"/>
        <s v="TX001240"/>
        <s v="TX001245"/>
        <s v="TX001239"/>
        <s v="TX001243"/>
        <s v="TX001324"/>
        <s v="TX001326"/>
        <s v="TX001323"/>
        <s v="TX001321"/>
        <s v="TX001325"/>
        <s v="TX001322"/>
        <s v="TX000066"/>
        <s v="TX000068"/>
        <s v="TX000074"/>
        <s v="TX000065"/>
        <s v="TX000075"/>
        <s v="TX000073"/>
        <s v="TX000070"/>
        <s v="TX000069"/>
        <s v="TX000067"/>
        <s v="TX000072"/>
        <s v="TX000071"/>
        <s v="TX000064"/>
        <s v="TX001598"/>
        <s v="TX001596"/>
        <s v="TX001601"/>
        <s v="TX001597"/>
        <s v="TX001600"/>
        <s v="TX001599"/>
        <s v="TX001811"/>
        <s v="TX001812"/>
        <s v="TX001813"/>
        <s v="TX001810"/>
        <s v="TX001356"/>
        <s v="TX001353"/>
        <s v="TX001366"/>
        <s v="TX001368"/>
        <s v="TX001358"/>
        <s v="TX001359"/>
        <s v="TX001355"/>
        <s v="TX001354"/>
        <s v="TX001363"/>
        <s v="TX001364"/>
        <s v="TX001360"/>
        <s v="TX001365"/>
        <s v="TX001357"/>
        <s v="TX001362"/>
        <s v="TX001367"/>
        <s v="TX001361"/>
        <s v="TX000415"/>
        <s v="TX000404"/>
        <s v="TX000407"/>
        <s v="TX000401"/>
        <s v="TX000397"/>
        <s v="TX000399"/>
        <s v="TX000408"/>
        <s v="TX000409"/>
        <s v="TX000400"/>
        <s v="TX000402"/>
        <s v="TX000410"/>
        <s v="TX000405"/>
        <s v="TX000396"/>
        <s v="TX000393"/>
        <s v="TX000394"/>
        <s v="TX000412"/>
        <s v="TX000413"/>
        <s v="TX000395"/>
        <s v="TX000403"/>
        <s v="TX000398"/>
        <s v="TX000411"/>
        <s v="TX000392"/>
        <s v="TX000414"/>
        <s v="TX000406"/>
        <s v="TX001495"/>
        <s v="TX001497"/>
        <s v="TX001488"/>
        <s v="TX001489"/>
        <s v="TX001490"/>
        <s v="TX001491"/>
        <s v="TX001492"/>
        <s v="TX001494"/>
        <s v="TX001493"/>
        <s v="TX001487"/>
        <s v="TX001486"/>
        <s v="TX001496"/>
        <s v="TX001233"/>
        <s v="TX001237"/>
        <s v="TX001238"/>
        <s v="TX001234"/>
        <s v="TX001235"/>
        <s v="TX001236"/>
        <s v="TX000522"/>
        <s v="TX000528"/>
        <s v="TX000526"/>
        <s v="TX000530"/>
        <s v="TX000529"/>
        <s v="TX000527"/>
        <s v="TX000524"/>
        <s v="TX000523"/>
        <s v="TX000525"/>
        <s v="TX000286"/>
        <s v="TX000284"/>
        <s v="TX000285"/>
        <s v="TX000670"/>
        <s v="TX000665"/>
        <s v="TX000664"/>
        <s v="TX000667"/>
        <s v="TX000671"/>
        <s v="TX000666"/>
        <s v="TX000668"/>
        <s v="TX000669"/>
        <s v="TX001731"/>
        <s v="TX001730"/>
        <s v="TX001729"/>
        <s v="TX001732"/>
        <s v="TX001453"/>
        <s v="TX001443"/>
        <s v="TX001462"/>
        <s v="TX001460"/>
        <s v="TX001451"/>
        <s v="TX001447"/>
        <s v="TX001454"/>
        <s v="TX001457"/>
        <s v="TX001455"/>
        <s v="TX001458"/>
        <s v="TX001444"/>
        <s v="TX001449"/>
        <s v="TX001448"/>
        <s v="TX001445"/>
        <s v="TX001459"/>
        <s v="TX001461"/>
        <s v="TX001446"/>
        <s v="TX001452"/>
        <s v="TX001450"/>
        <s v="TX001456"/>
        <s v="TX001340"/>
        <s v="TX001341"/>
        <s v="TX001343"/>
        <s v="TX001342"/>
        <s v="TX001219"/>
        <s v="TX001220"/>
        <s v="TX001222"/>
        <s v="TX001221"/>
        <s v="TX001218"/>
        <s v="TX001217"/>
        <s v="TX000349"/>
        <s v="TX000354"/>
        <s v="TX000352"/>
        <s v="TX000348"/>
        <s v="TX000351"/>
        <s v="TX000350"/>
        <s v="TX000346"/>
        <s v="TX000355"/>
        <s v="TX000347"/>
        <s v="TX000353"/>
        <s v="TX001061"/>
        <s v="TX001066"/>
        <s v="TX001060"/>
        <s v="TX001059"/>
        <s v="TX001067"/>
        <s v="TX001065"/>
        <s v="TX001064"/>
        <s v="TX001063"/>
        <s v="TX001068"/>
        <s v="TX001062"/>
        <s v="TX000121"/>
        <s v="TX000120"/>
        <s v="TX000118"/>
        <s v="TX000122"/>
        <s v="TX000119"/>
        <s v="TX001401"/>
        <s v="TX001407"/>
        <s v="TX001413"/>
        <s v="TX001403"/>
        <s v="TX001399"/>
        <s v="TX001398"/>
        <s v="TX001409"/>
        <s v="TX001400"/>
        <s v="TX001411"/>
        <s v="TX001404"/>
        <s v="TX001415"/>
        <s v="TX001408"/>
        <s v="TX001410"/>
        <s v="TX001406"/>
        <s v="TX001414"/>
        <s v="TX001405"/>
        <s v="TX001402"/>
        <s v="TX001412"/>
        <s v="TX001589"/>
        <s v="TX001584"/>
        <s v="TX001585"/>
        <s v="TX001587"/>
        <s v="TX001586"/>
        <s v="TX001588"/>
        <s v="TX001583"/>
        <s v="TX001582"/>
        <s v="TX002239"/>
        <s v="TX002237"/>
        <s v="TX002236"/>
        <s v="TX002234"/>
        <s v="TX002238"/>
        <s v="TX002235"/>
        <s v="TX001945"/>
        <s v="TX001947"/>
        <s v="TX001944"/>
        <s v="TX001955"/>
        <s v="TX001958"/>
        <s v="TX001959"/>
        <s v="TX001953"/>
        <s v="TX001954"/>
        <s v="TX001948"/>
        <s v="TX001949"/>
        <s v="TX001952"/>
        <s v="TX001951"/>
        <s v="TX001946"/>
        <s v="TX001957"/>
        <s v="TX001956"/>
        <s v="TX001950"/>
        <s v="TX001144"/>
        <s v="TX001142"/>
        <s v="TX001145"/>
        <s v="TX001140"/>
        <s v="TX001139"/>
        <s v="TX001143"/>
        <s v="TX001141"/>
        <s v="TX001138"/>
        <s v="TX001657"/>
        <s v="TX001650"/>
        <s v="TX001656"/>
        <s v="TX001644"/>
        <s v="TX001653"/>
        <s v="TX001659"/>
        <s v="TX001646"/>
        <s v="TX001648"/>
        <s v="TX001658"/>
        <s v="TX001654"/>
        <s v="TX001655"/>
        <s v="TX001643"/>
        <s v="TX001652"/>
        <s v="TX001645"/>
        <s v="TX001649"/>
        <s v="TX001651"/>
        <s v="TX001660"/>
        <s v="TX001647"/>
        <s v="TX001614"/>
        <s v="TX001615"/>
        <s v="TX001612"/>
        <s v="TX001616"/>
        <s v="TX001613"/>
        <s v="TX002227"/>
        <s v="TX002225"/>
        <s v="TX002230"/>
        <s v="TX002233"/>
        <s v="TX002224"/>
        <s v="TX002231"/>
        <s v="TX002232"/>
        <s v="TX002229"/>
        <s v="TX002226"/>
        <s v="TX002228"/>
        <s v="TX000867"/>
        <s v="TX000859"/>
        <s v="TX000855"/>
        <s v="TX000860"/>
        <s v="TX000873"/>
        <s v="TX000858"/>
        <s v="TX000853"/>
        <s v="TX000862"/>
        <s v="TX000852"/>
        <s v="TX000871"/>
        <s v="TX000875"/>
        <s v="TX000869"/>
        <s v="TX000861"/>
        <s v="TX000864"/>
        <s v="TX000854"/>
        <s v="TX000856"/>
        <s v="TX000865"/>
        <s v="TX000868"/>
        <s v="TX000863"/>
        <s v="TX000874"/>
        <s v="TX000857"/>
        <s v="TX000870"/>
        <s v="TX000866"/>
        <s v="TX000872"/>
        <s v="TX001071"/>
        <s v="TX001069"/>
        <s v="TX001070"/>
        <s v="TX000780"/>
        <s v="TX000779"/>
        <s v="TX000778"/>
        <s v="TX000781"/>
        <s v="TX000213"/>
        <s v="TX000221"/>
        <s v="TX000211"/>
        <s v="TX000212"/>
        <s v="TX000217"/>
        <s v="TX000216"/>
        <s v="TX000219"/>
        <s v="TX000215"/>
        <s v="TX000222"/>
        <s v="TX000220"/>
        <s v="TX000218"/>
        <s v="TX000214"/>
        <s v="TX000135"/>
        <s v="TX000134"/>
        <s v="TX000131"/>
        <s v="TX000136"/>
        <s v="TX000132"/>
        <s v="TX000133"/>
        <s v="TX002115"/>
        <s v="TX002112"/>
        <s v="TX002117"/>
        <s v="TX002116"/>
        <s v="TX002114"/>
        <s v="TX002113"/>
        <s v="TX002032"/>
        <s v="TX002031"/>
        <s v="TX002035"/>
        <s v="TX002038"/>
        <s v="TX002037"/>
        <s v="TX002036"/>
        <s v="TX002033"/>
        <s v="TX002040"/>
        <s v="TX002039"/>
        <s v="TX002030"/>
        <s v="TX002041"/>
        <s v="TX002034"/>
        <s v="TX000709"/>
        <s v="TX000713"/>
        <s v="TX000714"/>
        <s v="TX000708"/>
        <s v="TX000712"/>
        <s v="TX000710"/>
        <s v="TX000711"/>
        <s v="TX000715"/>
        <s v="TX000944"/>
        <s v="TX000937"/>
        <s v="TX000928"/>
        <s v="TX000936"/>
        <s v="TX000932"/>
        <s v="TX000927"/>
        <s v="TX000942"/>
        <s v="TX000941"/>
        <s v="TX000943"/>
        <s v="TX000930"/>
        <s v="TX000938"/>
        <s v="TX000931"/>
        <s v="TX000939"/>
        <s v="TX000934"/>
        <s v="TX000933"/>
        <s v="TX000940"/>
        <s v="TX000935"/>
        <s v="TX000929"/>
        <s v="TX000969"/>
        <s v="TX000971"/>
        <s v="TX000973"/>
        <s v="TX000970"/>
        <s v="TX000974"/>
        <s v="TX000972"/>
        <s v="TX000127"/>
        <s v="TX000128"/>
        <s v="TX000129"/>
        <s v="TX000130"/>
        <s v="TX001675"/>
        <s v="TX001685"/>
        <s v="TX001678"/>
        <s v="TX001684"/>
        <s v="TX001682"/>
        <s v="TX001681"/>
        <s v="TX001677"/>
        <s v="TX001683"/>
        <s v="TX001674"/>
        <s v="TX001676"/>
        <s v="TX001679"/>
        <s v="TX001680"/>
        <s v="TX001918"/>
        <s v="TX001923"/>
        <s v="TX001927"/>
        <s v="TX001922"/>
        <s v="TX001924"/>
        <s v="TX001919"/>
        <s v="TX001912"/>
        <s v="TX001911"/>
        <s v="TX001910"/>
        <s v="TX001913"/>
        <s v="TX001925"/>
        <s v="TX001916"/>
        <s v="TX001926"/>
        <s v="TX001914"/>
        <s v="TX001909"/>
        <s v="TX001917"/>
        <s v="TX001915"/>
        <s v="TX001920"/>
        <s v="TX001928"/>
        <s v="TX001921"/>
        <s v="TX000441"/>
        <s v="TX000444"/>
        <s v="TX000440"/>
        <s v="TX000443"/>
        <s v="TX000448"/>
        <s v="TX000445"/>
        <s v="TX000442"/>
        <s v="TX000439"/>
        <s v="TX000447"/>
        <s v="TX000449"/>
        <s v="TX000446"/>
        <s v="TX000438"/>
        <s v="TX000305"/>
        <s v="TX000293"/>
        <s v="TX000307"/>
        <s v="TX000304"/>
        <s v="TX000298"/>
        <s v="TX000302"/>
        <s v="TX000310"/>
        <s v="TX000300"/>
        <s v="TX000303"/>
        <s v="TX000294"/>
        <s v="TX000306"/>
        <s v="TX000289"/>
        <s v="TX000287"/>
        <s v="TX000299"/>
        <s v="TX000309"/>
        <s v="TX000290"/>
        <s v="TX000296"/>
        <s v="TX000301"/>
        <s v="TX000308"/>
        <s v="TX000292"/>
        <s v="TX000295"/>
        <s v="TX000297"/>
        <s v="TX000288"/>
        <s v="TX000291"/>
        <s v="TX002137"/>
        <s v="TX002134"/>
        <s v="TX002138"/>
        <s v="TX002136"/>
        <s v="TX002135"/>
        <s v="TX002139"/>
        <s v="TX001374"/>
        <s v="TX001370"/>
        <s v="TX001376"/>
        <s v="TX001375"/>
        <s v="TX001371"/>
        <s v="TX001372"/>
        <s v="TX001369"/>
        <s v="TX001373"/>
        <s v="TX000051"/>
        <s v="TX000052"/>
        <s v="TX000746"/>
        <s v="TX000750"/>
        <s v="TX000749"/>
        <s v="TX000751"/>
        <s v="TX000747"/>
        <s v="TX000753"/>
        <s v="TX000745"/>
        <s v="TX000752"/>
        <s v="TX000748"/>
        <s v="TX000744"/>
        <s v="TX000681"/>
        <s v="TX000686"/>
        <s v="TX000680"/>
        <s v="TX000684"/>
        <s v="TX000679"/>
        <s v="TX000683"/>
        <s v="TX000689"/>
        <s v="TX000682"/>
        <s v="TX000687"/>
        <s v="TX000685"/>
        <s v="TX000678"/>
        <s v="TX000692"/>
        <s v="TX000690"/>
        <s v="TX000691"/>
        <s v="TX000688"/>
        <s v="TX002253"/>
        <s v="TX002255"/>
        <s v="TX002254"/>
        <s v="TX002256"/>
        <s v="TX002252"/>
        <s v="TX002101"/>
        <s v="TX002100"/>
        <s v="TX002102"/>
        <s v="TX002098"/>
        <s v="TX002099"/>
        <s v="TX001126"/>
        <s v="TX001125"/>
        <s v="TX001119"/>
        <s v="TX001124"/>
        <s v="TX001120"/>
        <s v="TX001121"/>
        <s v="TX001122"/>
        <s v="TX001123"/>
        <s v="TX000061"/>
        <s v="TX000063"/>
        <s v="TX000062"/>
        <s v="TX002259"/>
        <s v="TX002264"/>
        <s v="TX002265"/>
        <s v="TX002263"/>
        <s v="TX002262"/>
        <s v="TX002260"/>
        <s v="TX002261"/>
        <s v="TX002257"/>
        <s v="TX002258"/>
        <s v="TX002160"/>
        <s v="TX002159"/>
        <s v="TX002151"/>
        <s v="TX002161"/>
        <s v="TX002152"/>
        <s v="TX002156"/>
        <s v="TX002155"/>
        <s v="TX002154"/>
        <s v="TX002158"/>
        <s v="TX002153"/>
        <s v="TX002150"/>
        <s v="TX002157"/>
        <s v="TX000599"/>
        <s v="TX000603"/>
        <s v="TX000600"/>
        <s v="TX000601"/>
        <s v="TX000602"/>
        <s v="TX000850"/>
        <s v="TX000847"/>
        <s v="TX000848"/>
        <s v="TX000849"/>
        <s v="TX000851"/>
        <s v="TX001439"/>
        <s v="TX001442"/>
        <s v="TX001438"/>
        <s v="TX001441"/>
        <s v="TX001440"/>
        <s v="TX002318"/>
        <s v="TX002319"/>
        <s v="TX002317"/>
        <s v="TX002316"/>
        <s v="TX002315"/>
        <s v="TX002314"/>
        <s v="TX000635"/>
        <s v="TX000639"/>
        <s v="TX000637"/>
        <s v="TX000636"/>
        <s v="TX000638"/>
        <s v="TX000634"/>
        <s v="TX001147"/>
        <s v="TX001146"/>
        <s v="TX001148"/>
        <s v="TX001150"/>
        <s v="TX001149"/>
        <s v="TX000315"/>
        <s v="TX000316"/>
        <s v="TX000319"/>
        <s v="TX000318"/>
        <s v="TX000314"/>
        <s v="TX000317"/>
        <s v="TX002018"/>
        <s v="TX002014"/>
        <s v="TX002016"/>
        <s v="TX002012"/>
        <s v="TX002005"/>
        <s v="TX002009"/>
        <s v="TX002023"/>
        <s v="TX002021"/>
        <s v="TX002011"/>
        <s v="TX002022"/>
        <s v="TX002013"/>
        <s v="TX002010"/>
        <s v="TX002020"/>
        <s v="TX002008"/>
        <s v="TX002017"/>
        <s v="TX002007"/>
        <s v="TX002004"/>
        <s v="TX002019"/>
        <s v="TX002015"/>
        <s v="TX002006"/>
        <s v="TX000322"/>
        <s v="TX000321"/>
        <s v="TX000323"/>
        <s v="TX000320"/>
        <s v="TX001327"/>
        <s v="TX001481"/>
        <s v="TX001482"/>
        <s v="TX001483"/>
        <s v="TX001480"/>
        <s v="TX001484"/>
        <s v="TX001485"/>
        <s v="TX002056"/>
        <s v="TX002045"/>
        <s v="TX002043"/>
        <s v="TX002053"/>
        <s v="TX002057"/>
        <s v="TX002046"/>
        <s v="TX002044"/>
        <s v="TX002050"/>
        <s v="TX002052"/>
        <s v="TX002054"/>
        <s v="TX002049"/>
        <s v="TX002047"/>
        <s v="TX002042"/>
        <s v="TX002051"/>
        <s v="TX002055"/>
        <s v="TX002048"/>
        <s v="TX001968"/>
        <s v="TX001970"/>
        <s v="TX001967"/>
        <s v="TX001969"/>
        <s v="TX001995"/>
        <s v="TX001994"/>
        <s v="TX002000"/>
        <s v="TX002003"/>
        <s v="TX001996"/>
        <s v="TX002002"/>
        <s v="TX001998"/>
        <s v="TX001999"/>
        <s v="TX002001"/>
        <s v="TX001993"/>
        <s v="TX001992"/>
        <s v="TX001997"/>
        <s v="TX001820"/>
        <s v="TX001819"/>
        <s v="TX001823"/>
        <s v="TX001826"/>
        <s v="TX001832"/>
        <s v="TX001836"/>
        <s v="TX001828"/>
        <s v="TX001815"/>
        <s v="TX001843"/>
        <s v="TX001827"/>
        <s v="TX001838"/>
        <s v="TX001818"/>
        <s v="TX001840"/>
        <s v="TX001822"/>
        <s v="TX001817"/>
        <s v="TX001824"/>
        <s v="TX001816"/>
        <s v="TX001833"/>
        <s v="TX001834"/>
        <s v="TX001829"/>
        <s v="TX001814"/>
        <s v="TX001842"/>
        <s v="TX001830"/>
        <s v="TX001839"/>
        <s v="TX001837"/>
        <s v="TX001841"/>
        <s v="TX001821"/>
        <s v="TX001831"/>
        <s v="TX001835"/>
        <s v="TX001825"/>
        <s v="TX001578"/>
        <s v="TX001579"/>
        <s v="TX001580"/>
        <s v="TX001581"/>
        <s v="TX001698"/>
        <s v="TX001700"/>
        <s v="TX001709"/>
        <s v="TX001715"/>
        <s v="TX001696"/>
        <s v="TX001708"/>
        <s v="TX001692"/>
        <s v="TX001714"/>
        <s v="TX001702"/>
        <s v="TX001706"/>
        <s v="TX001705"/>
        <s v="TX001703"/>
        <s v="TX001699"/>
        <s v="TX001712"/>
        <s v="TX001710"/>
        <s v="TX001697"/>
        <s v="TX001704"/>
        <s v="TX001711"/>
        <s v="TX001716"/>
        <s v="TX001713"/>
        <s v="TX001694"/>
        <s v="TX001701"/>
        <s v="TX001707"/>
        <s v="TX001693"/>
        <s v="TX001695"/>
        <s v="TX001740"/>
        <s v="TX001738"/>
        <s v="TX001736"/>
        <s v="TX001735"/>
        <s v="TX001737"/>
        <s v="TX001743"/>
        <s v="TX001741"/>
        <s v="TX001742"/>
        <s v="TX001739"/>
        <s v="TX000425"/>
        <s v="TX001777"/>
        <s v="TX001782"/>
        <s v="TX001779"/>
        <s v="TX001776"/>
        <s v="TX001783"/>
        <s v="TX001781"/>
        <s v="TX001778"/>
        <s v="TX001780"/>
        <s v="TX001775"/>
        <s v="TX000170"/>
        <s v="TX000166"/>
        <s v="TX000162"/>
        <s v="TX000168"/>
        <s v="TX000164"/>
        <s v="TX000172"/>
        <s v="TX000161"/>
        <s v="TX000167"/>
        <s v="TX000171"/>
        <s v="TX000165"/>
        <s v="TX000163"/>
        <s v="TX000169"/>
        <s v="TX000454"/>
        <s v="TX000453"/>
        <s v="TX000457"/>
        <s v="TX000461"/>
        <s v="TX000458"/>
        <s v="TX000460"/>
        <s v="TX000456"/>
        <s v="TX000450"/>
        <s v="TX000459"/>
        <s v="TX000455"/>
        <s v="TX000452"/>
        <s v="TX000451"/>
        <s v="TX001422"/>
        <s v="TX001418"/>
        <s v="TX001423"/>
        <s v="TX001420"/>
        <s v="TX001419"/>
        <s v="TX001416"/>
        <s v="TX001417"/>
        <s v="TX001424"/>
        <s v="TX001421"/>
        <s v="TX001425"/>
        <s v="TX001866"/>
        <s v="TX001868"/>
        <s v="TX001865"/>
        <s v="TX001864"/>
        <s v="TX001869"/>
        <s v="TX001871"/>
        <s v="TX001867"/>
        <s v="TX001870"/>
        <s v="TX000882"/>
        <s v="TX000881"/>
        <s v="TX000878"/>
        <s v="TX000877"/>
        <s v="TX000876"/>
        <s v="TX000883"/>
        <s v="TX000880"/>
        <s v="TX000879"/>
        <s v="TX000884"/>
        <s v="TX000846"/>
        <s v="TX000843"/>
        <s v="TX000845"/>
        <s v="TX000844"/>
        <s v="TX001381"/>
        <s v="TX001379"/>
        <s v="TX001382"/>
        <s v="TX001380"/>
        <s v="TX001377"/>
        <s v="TX001378"/>
        <s v="TX001074"/>
        <s v="TX001072"/>
        <s v="TX001075"/>
        <s v="TX001073"/>
        <s v="TX001794"/>
        <s v="TX001801"/>
        <s v="TX001803"/>
        <s v="TX001797"/>
        <s v="TX001795"/>
        <s v="TX001798"/>
        <s v="TX001800"/>
        <s v="TX001799"/>
        <s v="TX001796"/>
        <s v="TX001802"/>
        <s v="TX000986"/>
        <s v="TX000984"/>
        <s v="TX000980"/>
        <s v="TX000983"/>
        <s v="TX000985"/>
        <s v="TX000982"/>
        <s v="TX000979"/>
        <s v="TX000981"/>
        <s v="TX001280"/>
        <s v="TX001277"/>
        <s v="TX001281"/>
        <s v="TX001278"/>
        <s v="TX001279"/>
        <s v="TX000202"/>
        <s v="TX000206"/>
        <s v="TX000201"/>
        <s v="TX000203"/>
        <s v="TX000205"/>
        <s v="TX000204"/>
        <s v="TX000654"/>
        <s v="TX000661"/>
        <s v="TX000655"/>
        <s v="TX000651"/>
        <s v="TX000645"/>
        <s v="TX000640"/>
        <s v="TX000662"/>
        <s v="TX000663"/>
        <s v="TX000643"/>
        <s v="TX000644"/>
        <s v="TX000656"/>
        <s v="TX000642"/>
        <s v="TX000641"/>
        <s v="TX000648"/>
        <s v="TX000660"/>
        <s v="TX000650"/>
        <s v="TX000647"/>
        <s v="TX000652"/>
        <s v="TX000659"/>
        <s v="TX000646"/>
        <s v="TX000658"/>
        <s v="TX000653"/>
        <s v="TX000657"/>
        <s v="TX000649"/>
        <s v="TX001966"/>
        <s v="TX001965"/>
        <s v="TX000590"/>
        <s v="TX000588"/>
        <s v="TX000574"/>
        <s v="TX000584"/>
        <s v="TX000586"/>
        <s v="TX000580"/>
        <s v="TX000587"/>
        <s v="TX000583"/>
        <s v="TX000573"/>
        <s v="TX000577"/>
        <s v="TX000576"/>
        <s v="TX000578"/>
        <s v="TX000582"/>
        <s v="TX000585"/>
        <s v="TX000575"/>
        <s v="TX000579"/>
        <s v="TX000589"/>
        <s v="TX000581"/>
        <s v="TX000591"/>
        <s v="TX000592"/>
        <s v="TX001751"/>
        <s v="TX001744"/>
        <s v="TX001747"/>
        <s v="TX001750"/>
        <s v="TX001752"/>
        <s v="TX001749"/>
        <s v="TX001745"/>
        <s v="TX001748"/>
        <s v="TX001746"/>
        <s v="TX001753"/>
        <s v="TX001436"/>
        <s v="TX001437"/>
        <s v="TX001691"/>
        <s v="TX001689"/>
        <s v="TX001688"/>
        <s v="TX001690"/>
        <s v="TX001551"/>
        <s v="TX001560"/>
        <s v="TX001552"/>
        <s v="TX001555"/>
        <s v="TX001545"/>
        <s v="TX001554"/>
        <s v="TX001553"/>
        <s v="TX001550"/>
        <s v="TX001544"/>
        <s v="TX001546"/>
        <s v="TX001559"/>
        <s v="TX001540"/>
        <s v="TX001543"/>
        <s v="TX001542"/>
        <s v="TX001538"/>
        <s v="TX001556"/>
        <s v="TX001541"/>
        <s v="TX001547"/>
        <s v="TX001557"/>
        <s v="TX001548"/>
        <s v="TX001558"/>
        <s v="TX001549"/>
        <s v="TX001561"/>
        <s v="TX001539"/>
        <s v="TX000367"/>
        <s v="TX000364"/>
        <s v="TX000362"/>
        <s v="TX000366"/>
        <s v="TX000360"/>
        <s v="TX000356"/>
        <s v="TX000359"/>
        <s v="TX000365"/>
        <s v="TX000357"/>
        <s v="TX000361"/>
        <s v="TX000363"/>
        <s v="TX000358"/>
        <s v="TX001896"/>
        <s v="TX001878"/>
        <s v="TX001890"/>
        <s v="TX001886"/>
        <s v="TX001892"/>
        <s v="TX001895"/>
        <s v="TX001882"/>
        <s v="TX001885"/>
        <s v="TX001894"/>
        <s v="TX001887"/>
        <s v="TX001893"/>
        <s v="TX001879"/>
        <s v="TX001883"/>
        <s v="TX001888"/>
        <s v="TX001884"/>
        <s v="TX001881"/>
        <s v="TX001880"/>
        <s v="TX001877"/>
        <s v="TX001891"/>
        <s v="TX001889"/>
        <s v="TX000558"/>
        <s v="TX000560"/>
        <s v="TX000556"/>
        <s v="TX000559"/>
        <s v="TX000557"/>
        <s v="TX000555"/>
        <s v="TX001253"/>
        <s v="TX001251"/>
        <s v="TX001254"/>
        <s v="TX001252"/>
        <s v="TX001255"/>
        <s v="TX000249"/>
        <s v="TX000248"/>
        <s v="TX000247"/>
        <s v="TX001590"/>
        <s v="TX001594"/>
        <s v="TX001593"/>
        <s v="TX001592"/>
        <s v="TX001595"/>
        <s v="TX001591"/>
        <s v="TX001464"/>
        <s v="TX001465"/>
        <s v="TX001463"/>
        <s v="TX001468"/>
        <s v="TX001469"/>
        <s v="TX001470"/>
        <s v="TX001467"/>
        <s v="TX001466"/>
        <s v="TX000840"/>
        <s v="TX000835"/>
        <s v="TX000839"/>
        <s v="TX000836"/>
        <s v="TX000837"/>
        <s v="TX000838"/>
        <s v="TX002243"/>
        <s v="TX002246"/>
        <s v="TX002249"/>
        <s v="TX002248"/>
        <s v="TX002244"/>
        <s v="TX002247"/>
        <s v="TX002240"/>
        <s v="TX002241"/>
        <s v="TX002242"/>
        <s v="TX002245"/>
        <s v="TX000758"/>
        <s v="TX000757"/>
        <s v="TX000759"/>
        <s v="TX000755"/>
        <s v="TX000756"/>
        <s v="TX000754"/>
        <s v="TX001471"/>
        <s v="TX001472"/>
        <s v="TX001474"/>
        <s v="TX001473"/>
        <s v="TX002120"/>
        <s v="TX002123"/>
        <s v="TX002124"/>
        <s v="TX002119"/>
        <s v="TX002121"/>
        <s v="TX002125"/>
        <s v="TX002122"/>
        <s v="TX002118"/>
        <s v="TX000376"/>
        <s v="TX000373"/>
        <s v="TX000375"/>
        <s v="TX000372"/>
        <s v="TX000378"/>
        <s v="TX000379"/>
        <s v="TX000374"/>
        <s v="TX000377"/>
        <s v="TX000611"/>
        <s v="TX000615"/>
        <s v="TX000613"/>
        <s v="TX000614"/>
        <s v="TX000612"/>
        <s v="TX000371"/>
        <s v="TX000369"/>
        <s v="TX000368"/>
        <s v="TX000370"/>
        <s v="TX001978"/>
        <s v="TX001979"/>
        <s v="TX001976"/>
        <s v="TX001977"/>
        <s v="TX001975"/>
        <s v="TX001980"/>
        <s v="TX000199"/>
        <s v="TX000200"/>
        <s v="TX002024"/>
        <s v="TX002025"/>
        <s v="TX002028"/>
        <s v="TX002029"/>
        <s v="TX002027"/>
        <s v="TX002026"/>
        <s v="TX000926"/>
        <s v="TX000925"/>
        <s v="TX000923"/>
        <s v="TX000924"/>
        <s v="TX000076"/>
        <s v="TX000077"/>
        <s v="TX000079"/>
        <s v="TX000078"/>
        <s v="TX001319"/>
        <s v="TX001320"/>
        <s v="TX001318"/>
        <s v="TX001606"/>
        <s v="TX001610"/>
        <s v="TX001609"/>
        <s v="TX001607"/>
        <s v="TX001611"/>
        <s v="TX001608"/>
        <s v="TX000094"/>
        <s v="TX000099"/>
        <s v="TX000102"/>
        <s v="TX000095"/>
        <s v="TX000100"/>
        <s v="TX000098"/>
        <s v="TX000093"/>
        <s v="TX000096"/>
        <s v="TX000101"/>
        <s v="TX000097"/>
        <s v="TX000182"/>
        <s v="TX000183"/>
        <s v="TX000181"/>
        <s v="TX000186"/>
        <s v="TX000185"/>
        <s v="TX000184"/>
        <s v="TX000901"/>
        <s v="TX000895"/>
        <s v="TX000903"/>
        <s v="TX000899"/>
        <s v="TX000896"/>
        <s v="TX000900"/>
        <s v="TX000905"/>
        <s v="TX000897"/>
        <s v="TX000898"/>
        <s v="TX000904"/>
        <s v="TX000902"/>
        <s v="TX000906"/>
        <s v="TX001136"/>
        <s v="TX001137"/>
        <s v="TX001135"/>
        <s v="TX001134"/>
        <s v="TX000426"/>
        <s v="TX000429"/>
        <s v="TX000428"/>
        <s v="TX000427"/>
        <s v="TX000431"/>
        <s v="TX000430"/>
        <s v="TX000672"/>
        <s v="TX000675"/>
        <s v="TX000673"/>
        <s v="TX000676"/>
        <s v="TX000674"/>
        <s v="TX000677"/>
        <s v="TX000727"/>
        <s v="TX000726"/>
        <s v="TX000725"/>
        <s v="TX000731"/>
        <s v="TX000730"/>
        <s v="TX000724"/>
        <s v="TX000732"/>
        <s v="TX000723"/>
        <s v="TX000722"/>
        <s v="TX000733"/>
        <s v="TX000728"/>
        <s v="TX000729"/>
        <s v="TX000390"/>
        <s v="TX000383"/>
        <s v="TX000387"/>
        <s v="TX000386"/>
        <s v="TX000391"/>
        <s v="TX000384"/>
        <s v="TX000381"/>
        <s v="TX000388"/>
        <s v="TX000389"/>
        <s v="TX000385"/>
        <s v="TX000382"/>
        <s v="TX000380"/>
        <s v="TX001476"/>
        <s v="TX001477"/>
        <s v="TX001478"/>
        <s v="TX001479"/>
        <s v="TX000243"/>
        <s v="TX000242"/>
        <s v="TX000240"/>
        <s v="TX000245"/>
        <s v="TX000238"/>
        <s v="TX000239"/>
        <s v="TX000246"/>
        <s v="TX000241"/>
        <s v="TX000244"/>
        <s v="TX001733"/>
        <s v="TX001734"/>
        <s v="TX000283"/>
        <s v="TX000281"/>
        <s v="TX000282"/>
        <s v="TX000280"/>
        <s v="TX000624"/>
        <s v="TX000628"/>
        <s v="TX000633"/>
        <s v="TX000621"/>
        <s v="TX000616"/>
        <s v="TX000620"/>
        <s v="TX000629"/>
        <s v="TX000631"/>
        <s v="TX000626"/>
        <s v="TX000632"/>
        <s v="TX000623"/>
        <s v="TX000630"/>
        <s v="TX000619"/>
        <s v="TX000617"/>
        <s v="TX000622"/>
        <s v="TX000627"/>
        <s v="TX000625"/>
        <s v="TX000618"/>
        <s v="TX001809"/>
        <s v="TX001805"/>
        <s v="TX001806"/>
        <s v="TX001808"/>
        <s v="TX001807"/>
        <s v="TX001804"/>
        <s v="TX001961"/>
        <s v="TX001964"/>
        <s v="TX001963"/>
        <s v="TX001962"/>
        <s v="TX001960"/>
        <s v="TX000271"/>
        <s v="TX000269"/>
        <s v="TX000276"/>
        <s v="TX000275"/>
        <s v="TX000274"/>
        <s v="TX000272"/>
        <s v="TX000273"/>
        <s v="TX000270"/>
        <s v="TX001665"/>
        <s v="TX001664"/>
        <s v="TX001669"/>
        <s v="TX001666"/>
        <s v="TX001667"/>
        <s v="TX001668"/>
        <s v="TX001168"/>
        <s v="TX001172"/>
        <s v="TX001164"/>
        <s v="TX001166"/>
        <s v="TX001167"/>
        <s v="TX001177"/>
        <s v="TX001163"/>
        <s v="TX001157"/>
        <s v="TX001173"/>
        <s v="TX001178"/>
        <s v="TX001158"/>
        <s v="TX001160"/>
        <s v="TX001159"/>
        <s v="TX001162"/>
        <s v="TX001174"/>
        <s v="TX001171"/>
        <s v="TX001170"/>
        <s v="TX001155"/>
        <s v="TX001165"/>
        <s v="TX001169"/>
        <s v="TX001175"/>
        <s v="TX001156"/>
        <s v="TX001161"/>
        <s v="TX001176"/>
        <s v="TX002206"/>
        <s v="TX002208"/>
        <s v="TX002210"/>
        <s v="TX002209"/>
        <s v="TX002211"/>
        <s v="TX002205"/>
        <s v="TX002207"/>
        <s v="TX002204"/>
        <s v="TX000423"/>
        <s v="TX000424"/>
        <s v="TX001110"/>
        <s v="TX001113"/>
        <s v="TX001115"/>
        <s v="TX001106"/>
        <s v="TX001109"/>
        <s v="TX001114"/>
        <s v="TX001107"/>
        <s v="TX001108"/>
        <s v="TX001112"/>
        <s v="TX001111"/>
        <s v="TX001663"/>
        <s v="TX001662"/>
        <s v="TX001661"/>
        <s v="TX001672"/>
        <s v="TX001673"/>
        <s v="TX001671"/>
        <s v="TX001670"/>
        <s v="TX001972"/>
        <s v="TX001973"/>
        <s v="TX001974"/>
        <s v="TX001971"/>
        <s v="TX001315"/>
        <s v="TX001316"/>
        <s v="TX001314"/>
        <s v="TX001317"/>
        <s v="TX000791"/>
        <s v="TX000792"/>
        <s v="TX000789"/>
        <s v="TX000786"/>
        <s v="TX000790"/>
        <s v="TX000782"/>
        <s v="TX000787"/>
        <s v="TX000783"/>
        <s v="TX000784"/>
        <s v="TX000793"/>
        <s v="TX000785"/>
        <s v="TX000788"/>
        <s v="TX001027"/>
        <s v="TX001028"/>
        <s v="TX001029"/>
        <s v="TX001031"/>
        <s v="TX001030"/>
        <s v="TX001032"/>
        <s v="TX000894"/>
        <s v="TX000886"/>
        <s v="TX000892"/>
        <s v="TX000889"/>
        <s v="TX000888"/>
        <s v="TX000891"/>
        <s v="TX000893"/>
        <s v="TX000887"/>
        <s v="TX000885"/>
        <s v="TX000890"/>
        <s v="TX000554"/>
        <s v="TX000548"/>
        <s v="TX000538"/>
        <s v="TX000550"/>
        <s v="TX000547"/>
        <s v="TX000537"/>
        <s v="TX000542"/>
        <s v="TX000539"/>
        <s v="TX000544"/>
        <s v="TX000551"/>
        <s v="TX000549"/>
        <s v="TX000553"/>
        <s v="TX000552"/>
        <s v="TX000545"/>
        <s v="TX000541"/>
        <s v="TX000540"/>
        <s v="TX000546"/>
        <s v="TX000543"/>
        <s v="TX001179"/>
        <s v="TX001180"/>
        <s v="TX001934"/>
        <s v="TX001937"/>
        <s v="TX001942"/>
        <s v="TX001939"/>
        <s v="TX001938"/>
        <s v="TX001941"/>
        <s v="TX001936"/>
        <s v="TX001935"/>
        <s v="TX001943"/>
        <s v="TX001940"/>
        <s v="TX001719"/>
        <s v="TX001727"/>
        <s v="TX001721"/>
        <s v="TX001720"/>
        <s v="TX001722"/>
        <s v="TX001724"/>
        <s v="TX001717"/>
        <s v="TX001726"/>
        <s v="TX001725"/>
        <s v="TX001723"/>
        <s v="TX001728"/>
        <s v="TX001718"/>
        <s v="TX000956"/>
        <s v="TX000954"/>
        <s v="TX000953"/>
        <s v="TX000966"/>
        <s v="TX000955"/>
        <s v="TX000958"/>
        <s v="TX000960"/>
        <s v="TX000949"/>
        <s v="TX000951"/>
        <s v="TX000952"/>
        <s v="TX000962"/>
        <s v="TX000967"/>
        <s v="TX000963"/>
        <s v="TX000946"/>
        <s v="TX000968"/>
        <s v="TX000948"/>
        <s v="TX000964"/>
        <s v="TX000959"/>
        <s v="TX000957"/>
        <s v="TX000947"/>
        <s v="TX000945"/>
        <s v="TX000950"/>
        <s v="TX000965"/>
        <s v="TX000961"/>
        <s v="TX001207"/>
        <s v="TX001206"/>
        <s v="TX001211"/>
        <s v="TX001210"/>
        <s v="TX001209"/>
        <s v="TX001205"/>
        <s v="TX001212"/>
        <s v="TX001204"/>
        <s v="TX001208"/>
        <s v="TX000817"/>
        <s v="TX000814"/>
        <s v="TX000816"/>
        <s v="TX000815"/>
        <s v="TX002216"/>
        <s v="TX002215"/>
        <s v="TX002219"/>
        <s v="TX002218"/>
        <s v="TX002214"/>
        <s v="TX002217"/>
        <s v="TX000124"/>
        <s v="TX000126"/>
        <s v="TX000123"/>
        <s v="TX000125"/>
        <s v="TX001298"/>
        <s v="TX001297"/>
        <s v="TX001295"/>
        <s v="TX001290"/>
        <s v="TX001305"/>
        <s v="TX001291"/>
        <s v="TX001292"/>
        <s v="TX001299"/>
        <s v="TX001302"/>
        <s v="TX001300"/>
        <s v="TX001293"/>
        <s v="TX001294"/>
        <s v="TX001303"/>
        <s v="TX001306"/>
        <s v="TX001296"/>
        <s v="TX001304"/>
        <s v="TX001307"/>
        <s v="TX001301"/>
        <s v="TX002096"/>
        <s v="TX002094"/>
        <s v="TX002090"/>
        <s v="TX002092"/>
        <s v="TX002088"/>
        <s v="TX002089"/>
        <s v="TX002095"/>
        <s v="TX002097"/>
        <s v="TX002091"/>
        <s v="TX002093"/>
        <s v="TX002166"/>
        <s v="TX002164"/>
        <s v="TX002165"/>
        <s v="TX001216"/>
        <s v="TX001933"/>
        <s v="TX000433"/>
        <s v="TX000436"/>
        <s v="TX000435"/>
        <s v="TX000437"/>
        <s v="TX000434"/>
        <s v="TX000432"/>
        <s v="TX000907"/>
        <s v="TX000912"/>
        <s v="TX000914"/>
        <s v="TX000913"/>
        <s v="TX000910"/>
        <s v="TX000909"/>
        <s v="TX000908"/>
        <s v="TX000915"/>
        <s v="TX000911"/>
        <s v="TX001521"/>
        <s v="TX001518"/>
        <s v="TX001520"/>
        <s v="TX001519"/>
        <s v="TX001523"/>
        <s v="TX001522"/>
        <s v="TX001284"/>
        <s v="TX001282"/>
        <s v="TX001283"/>
        <s v="TX001287"/>
        <s v="TX001288"/>
        <s v="TX001286"/>
        <s v="TX001285"/>
        <s v="TX001289"/>
        <s v="TX000496"/>
        <s v="TX000495"/>
        <s v="TX000497"/>
        <s v="TX000499"/>
        <s v="TX000494"/>
        <s v="TX000501"/>
        <s v="TX000502"/>
        <s v="TX000500"/>
        <s v="TX000498"/>
        <s v="TX001344"/>
        <s v="TX000207"/>
        <s v="TX000737"/>
        <s v="TX000734"/>
        <s v="TX000738"/>
        <s v="TX000740"/>
        <s v="TX000743"/>
        <s v="TX000736"/>
        <s v="TX000742"/>
        <s v="TX000739"/>
        <s v="TX000735"/>
        <s v="TX000741"/>
        <s v="TX001389"/>
        <s v="TX001397"/>
        <s v="TX001387"/>
        <s v="TX001388"/>
        <s v="TX001395"/>
        <s v="TX001393"/>
        <s v="TX001396"/>
        <s v="TX001383"/>
        <s v="TX001392"/>
        <s v="TX001391"/>
        <s v="TX001390"/>
        <s v="TX001386"/>
        <s v="TX001384"/>
        <s v="TX001385"/>
        <s v="TX001394"/>
        <s v="TX000422"/>
        <s v="TX000421"/>
        <s v="TX000420"/>
        <s v="TX001118"/>
        <s v="TX001116"/>
        <s v="TX001117"/>
        <s v="TX000092"/>
        <s v="TX001785"/>
        <s v="TX001788"/>
        <s v="TX001789"/>
        <s v="TX001786"/>
        <s v="TX001787"/>
        <s v="TX001784"/>
        <s v="TX001769"/>
        <s v="TX001765"/>
        <s v="TX001770"/>
        <s v="TX001767"/>
        <s v="TX001768"/>
        <s v="TX001762"/>
        <s v="TX001766"/>
        <s v="TX001771"/>
        <s v="TX001764"/>
        <s v="TX001763"/>
        <s v="TX000055"/>
        <s v="TX000054"/>
        <s v="TX000053"/>
        <s v="TX000608"/>
        <s v="TX000604"/>
        <s v="TX000605"/>
        <s v="TX000606"/>
        <s v="TX000607"/>
        <s v="TX001793"/>
        <s v="TX001791"/>
        <s v="TX001790"/>
        <s v="TX001792"/>
        <s v="TX001272"/>
        <s v="TX001269"/>
        <s v="TX001273"/>
        <s v="TX001270"/>
        <s v="TX001268"/>
        <s v="TX001271"/>
        <s v="TX000841"/>
        <s v="TX000842"/>
        <s v="TX001153"/>
        <s v="TX001154"/>
        <s v="TX001152"/>
        <s v="TX001151"/>
        <s v="TX001430"/>
        <s v="TX001428"/>
        <s v="TX001427"/>
        <s v="TX001433"/>
        <s v="TX001429"/>
        <s v="TX001434"/>
        <s v="TX001431"/>
        <s v="TX001435"/>
        <s v="TX001432"/>
        <s v="TX001426"/>
        <s v="TX000481"/>
        <s v="TX000478"/>
        <s v="TX000479"/>
        <s v="TX000482"/>
        <s v="TX000483"/>
        <s v="TX000480"/>
        <s v="TX002195"/>
        <s v="TX002181"/>
        <s v="TX002180"/>
        <s v="TX002192"/>
        <s v="TX002182"/>
        <s v="TX002191"/>
        <s v="TX002196"/>
        <s v="TX002177"/>
        <s v="TX002194"/>
        <s v="TX002189"/>
        <s v="TX002188"/>
        <s v="TX002178"/>
        <s v="TX002176"/>
        <s v="TX002184"/>
        <s v="TX002199"/>
        <s v="TX002186"/>
        <s v="TX002187"/>
        <s v="TX002185"/>
        <s v="TX002193"/>
        <s v="TX002183"/>
        <s v="TX002197"/>
        <s v="TX002179"/>
        <s v="TX002198"/>
        <s v="TX002190"/>
        <s v="TX001604"/>
        <s v="TX001602"/>
        <s v="TX001605"/>
        <s v="TX001603"/>
        <s v="TX000561"/>
        <s v="TX000564"/>
        <s v="TX000562"/>
        <s v="TX000566"/>
        <s v="TX000565"/>
        <s v="TX000563"/>
        <s v="TX001198"/>
        <s v="TX001202"/>
        <s v="TX001200"/>
        <s v="TX001199"/>
        <s v="TX001201"/>
        <s v="TX000511"/>
        <s v="TX000514"/>
        <s v="TX000513"/>
        <s v="TX000521"/>
        <s v="TX000517"/>
        <s v="TX000510"/>
        <s v="TX000518"/>
        <s v="TX000520"/>
        <s v="TX000519"/>
        <s v="TX000515"/>
        <s v="TX000512"/>
        <s v="TX000516"/>
        <s v="TX002313"/>
        <s v="TX002311"/>
        <s v="TX002310"/>
        <s v="TX002312"/>
        <s v="TX000536"/>
        <s v="TX000535"/>
        <s v="TX000532"/>
        <s v="TX000531"/>
        <s v="TX000534"/>
        <s v="TX000533"/>
        <s v="TX001897"/>
        <s v="TX001898"/>
        <s v="TX001274"/>
        <s v="TX001275"/>
        <s v="TX001276"/>
        <s v="TX000917"/>
        <s v="TX000916"/>
        <s v="TX000918"/>
        <s v="TX001129"/>
        <s v="TX001128"/>
        <s v="TX000720"/>
        <s v="TX000719"/>
        <s v="TX000721"/>
        <s v="TX000717"/>
        <s v="TX000718"/>
        <s v="TX000716"/>
        <s v="TX000609"/>
        <s v="TX000610"/>
        <s v="TX001990"/>
        <s v="TX001989"/>
        <s v="TX001991"/>
        <s v="TX002169"/>
        <s v="TX002173"/>
        <s v="TX002171"/>
        <s v="TX002168"/>
        <s v="TX002174"/>
        <s v="TX002175"/>
        <s v="TX002167"/>
        <s v="TX002170"/>
        <s v="TX002172"/>
        <s v="TX002202"/>
        <s v="TX002203"/>
        <s v="TX002201"/>
        <s v="TX002200"/>
        <s v="TX002213"/>
        <s v="TX002212"/>
        <s v="TX001642"/>
        <s v="TX001640"/>
        <s v="TX001639"/>
        <s v="TX001641"/>
        <s v="TX000155"/>
        <s v="TX000156"/>
        <s v="TX000975"/>
        <s v="TX002250"/>
        <s v="TX002251"/>
        <s v="TX000312"/>
        <s v="TX000311"/>
        <s v="TX000313"/>
        <s v="TX000279"/>
        <s v="TX000277"/>
        <s v="TX000278"/>
        <s v="TX001536"/>
        <s v="TX001537"/>
        <s v="TX001058"/>
        <s v="TX001057"/>
        <s v="TX001056"/>
        <s v="TX001055"/>
        <s v="TX000504"/>
        <s v="TX000503"/>
        <s v="TX001213"/>
        <s v="TX001214"/>
        <s v="TX001215"/>
        <s v="TX001577"/>
        <s v="TX001576"/>
        <s v="TX000157"/>
        <s v="TX000158"/>
        <s v="TX001619"/>
        <s v="TX001618"/>
        <s v="TX001617"/>
        <s v="TX001620"/>
        <s v="TX002223"/>
        <s v="TX002222"/>
        <s v="TX001042"/>
        <s v="TX000467"/>
        <s v="TX000466"/>
        <s v="TX001534"/>
        <s v="TX001535"/>
        <s v="TX000152"/>
        <s v="TX000154"/>
        <s v="TX000151"/>
        <s v="TX000153"/>
        <s v="TX000173"/>
        <s v="TX000174"/>
        <s v="TX002162"/>
        <s v="TX002163"/>
        <s v="TX002220"/>
        <s v="TX002221"/>
        <s v="TX001686"/>
        <s v="TX001687"/>
        <s v="TX001024"/>
        <s v="TX001025"/>
        <s v="TX001023"/>
        <s v="TX001026"/>
        <s v="TX000818"/>
        <s v="TX000819"/>
        <s v="TX001041"/>
        <s v="TX001569"/>
        <s v="TX001568"/>
        <s v="TX001352"/>
        <s v="TX001351"/>
        <s v="TX000197"/>
        <s v="TX000198"/>
        <s v="TX000345"/>
        <s v="TX000344"/>
        <s v="TX001127"/>
        <s v="TX000468"/>
        <s v="TX000250"/>
        <s v="TX001475"/>
        <s v="TX001203"/>
      </sharedItems>
    </cacheField>
    <cacheField name="Tanggal" numFmtId="164">
      <sharedItems containsSemiMixedTypes="0" containsNonDate="0" containsDate="1" containsString="0" minDate="2025-10-01T00:00:00" maxDate="2026-09-29T00:00:00" count="362">
        <d v="2025-10-22T00:00:00"/>
        <d v="2026-07-09T00:00:00"/>
        <d v="2026-08-05T00:00:00"/>
        <d v="2026-09-02T00:00:00"/>
        <d v="2025-10-19T00:00:00"/>
        <d v="2026-04-27T00:00:00"/>
        <d v="2026-02-17T00:00:00"/>
        <d v="2026-05-12T00:00:00"/>
        <d v="2026-02-10T00:00:00"/>
        <d v="2025-10-29T00:00:00"/>
        <d v="2026-03-03T00:00:00"/>
        <d v="2025-12-29T00:00:00"/>
        <d v="2026-02-06T00:00:00"/>
        <d v="2026-05-09T00:00:00"/>
        <d v="2026-01-10T00:00:00"/>
        <d v="2026-09-15T00:00:00"/>
        <d v="2025-12-25T00:00:00"/>
        <d v="2026-02-25T00:00:00"/>
        <d v="2026-02-08T00:00:00"/>
        <d v="2025-10-24T00:00:00"/>
        <d v="2026-04-14T00:00:00"/>
        <d v="2026-05-25T00:00:00"/>
        <d v="2025-11-16T00:00:00"/>
        <d v="2026-06-29T00:00:00"/>
        <d v="2026-08-21T00:00:00"/>
        <d v="2026-05-15T00:00:00"/>
        <d v="2026-07-26T00:00:00"/>
        <d v="2026-02-28T00:00:00"/>
        <d v="2025-10-26T00:00:00"/>
        <d v="2026-04-08T00:00:00"/>
        <d v="2025-12-19T00:00:00"/>
        <d v="2026-03-16T00:00:00"/>
        <d v="2026-03-04T00:00:00"/>
        <d v="2026-04-03T00:00:00"/>
        <d v="2025-12-14T00:00:00"/>
        <d v="2026-05-11T00:00:00"/>
        <d v="2026-08-17T00:00:00"/>
        <d v="2026-03-24T00:00:00"/>
        <d v="2026-06-09T00:00:00"/>
        <d v="2025-10-16T00:00:00"/>
        <d v="2026-03-27T00:00:00"/>
        <d v="2025-12-11T00:00:00"/>
        <d v="2026-04-29T00:00:00"/>
        <d v="2026-09-16T00:00:00"/>
        <d v="2025-11-22T00:00:00"/>
        <d v="2026-02-22T00:00:00"/>
        <d v="2026-07-14T00:00:00"/>
        <d v="2026-07-01T00:00:00"/>
        <d v="2026-06-15T00:00:00"/>
        <d v="2025-10-07T00:00:00"/>
        <d v="2026-08-06T00:00:00"/>
        <d v="2025-12-17T00:00:00"/>
        <d v="2026-07-25T00:00:00"/>
        <d v="2026-08-27T00:00:00"/>
        <d v="2026-05-20T00:00:00"/>
        <d v="2026-04-07T00:00:00"/>
        <d v="2025-11-07T00:00:00"/>
        <d v="2026-08-01T00:00:00"/>
        <d v="2026-07-20T00:00:00"/>
        <d v="2025-10-27T00:00:00"/>
        <d v="2026-01-08T00:00:00"/>
        <d v="2026-08-09T00:00:00"/>
        <d v="2026-06-28T00:00:00"/>
        <d v="2026-01-11T00:00:00"/>
        <d v="2026-06-22T00:00:00"/>
        <d v="2025-11-12T00:00:00"/>
        <d v="2026-05-18T00:00:00"/>
        <d v="2026-07-11T00:00:00"/>
        <d v="2026-01-31T00:00:00"/>
        <d v="2026-09-12T00:00:00"/>
        <d v="2026-05-19T00:00:00"/>
        <d v="2026-05-29T00:00:00"/>
        <d v="2026-07-06T00:00:00"/>
        <d v="2025-10-01T00:00:00"/>
        <d v="2026-08-15T00:00:00"/>
        <d v="2025-11-26T00:00:00"/>
        <d v="2025-10-09T00:00:00"/>
        <d v="2026-09-06T00:00:00"/>
        <d v="2026-03-20T00:00:00"/>
        <d v="2025-12-13T00:00:00"/>
        <d v="2026-03-26T00:00:00"/>
        <d v="2026-04-17T00:00:00"/>
        <d v="2026-06-21T00:00:00"/>
        <d v="2026-03-30T00:00:00"/>
        <d v="2026-07-02T00:00:00"/>
        <d v="2026-04-06T00:00:00"/>
        <d v="2026-06-08T00:00:00"/>
        <d v="2026-07-13T00:00:00"/>
        <d v="2026-02-14T00:00:00"/>
        <d v="2025-11-06T00:00:00"/>
        <d v="2026-05-28T00:00:00"/>
        <d v="2026-09-28T00:00:00"/>
        <d v="2026-08-25T00:00:00"/>
        <d v="2026-09-01T00:00:00"/>
        <d v="2025-12-24T00:00:00"/>
        <d v="2026-01-24T00:00:00"/>
        <d v="2026-01-09T00:00:00"/>
        <d v="2026-06-23T00:00:00"/>
        <d v="2026-02-23T00:00:00"/>
        <d v="2025-12-26T00:00:00"/>
        <d v="2026-01-16T00:00:00"/>
        <d v="2025-10-31T00:00:00"/>
        <d v="2026-08-24T00:00:00"/>
        <d v="2026-05-21T00:00:00"/>
        <d v="2026-09-03T00:00:00"/>
        <d v="2026-05-01T00:00:00"/>
        <d v="2026-08-18T00:00:00"/>
        <d v="2025-11-21T00:00:00"/>
        <d v="2026-08-30T00:00:00"/>
        <d v="2026-08-31T00:00:00"/>
        <d v="2026-09-17T00:00:00"/>
        <d v="2026-06-24T00:00:00"/>
        <d v="2026-05-10T00:00:00"/>
        <d v="2026-09-10T00:00:00"/>
        <d v="2025-11-13T00:00:00"/>
        <d v="2026-02-07T00:00:00"/>
        <d v="2026-01-03T00:00:00"/>
        <d v="2025-11-20T00:00:00"/>
        <d v="2026-01-01T00:00:00"/>
        <d v="2026-09-09T00:00:00"/>
        <d v="2025-12-27T00:00:00"/>
        <d v="2026-07-24T00:00:00"/>
        <d v="2026-01-27T00:00:00"/>
        <d v="2026-07-31T00:00:00"/>
        <d v="2026-01-05T00:00:00"/>
        <d v="2026-01-30T00:00:00"/>
        <d v="2025-10-12T00:00:00"/>
        <d v="2026-08-13T00:00:00"/>
        <d v="2026-06-05T00:00:00"/>
        <d v="2025-10-25T00:00:00"/>
        <d v="2026-03-05T00:00:00"/>
        <d v="2025-10-14T00:00:00"/>
        <d v="2026-04-09T00:00:00"/>
        <d v="2026-03-13T00:00:00"/>
        <d v="2026-01-22T00:00:00"/>
        <d v="2025-11-19T00:00:00"/>
        <d v="2025-12-16T00:00:00"/>
        <d v="2026-04-02T00:00:00"/>
        <d v="2026-03-31T00:00:00"/>
        <d v="2026-03-21T00:00:00"/>
        <d v="2026-08-04T00:00:00"/>
        <d v="2026-03-07T00:00:00"/>
        <d v="2025-11-25T00:00:00"/>
        <d v="2026-03-22T00:00:00"/>
        <d v="2025-11-14T00:00:00"/>
        <d v="2026-06-14T00:00:00"/>
        <d v="2026-01-14T00:00:00"/>
        <d v="2025-10-21T00:00:00"/>
        <d v="2025-11-02T00:00:00"/>
        <d v="2026-01-28T00:00:00"/>
        <d v="2026-04-05T00:00:00"/>
        <d v="2025-12-31T00:00:00"/>
        <d v="2026-01-21T00:00:00"/>
        <d v="2026-03-09T00:00:00"/>
        <d v="2026-06-26T00:00:00"/>
        <d v="2026-06-25T00:00:00"/>
        <d v="2026-04-24T00:00:00"/>
        <d v="2026-04-18T00:00:00"/>
        <d v="2026-08-11T00:00:00"/>
        <d v="2026-07-03T00:00:00"/>
        <d v="2025-11-08T00:00:00"/>
        <d v="2026-08-20T00:00:00"/>
        <d v="2025-12-30T00:00:00"/>
        <d v="2025-11-30T00:00:00"/>
        <d v="2025-10-23T00:00:00"/>
        <d v="2025-10-03T00:00:00"/>
        <d v="2025-10-28T00:00:00"/>
        <d v="2026-04-04T00:00:00"/>
        <d v="2026-04-28T00:00:00"/>
        <d v="2026-04-11T00:00:00"/>
        <d v="2026-03-28T00:00:00"/>
        <d v="2026-09-04T00:00:00"/>
        <d v="2025-12-05T00:00:00"/>
        <d v="2025-12-01T00:00:00"/>
        <d v="2026-06-04T00:00:00"/>
        <d v="2025-12-23T00:00:00"/>
        <d v="2026-07-22T00:00:00"/>
        <d v="2025-11-04T00:00:00"/>
        <d v="2026-07-23T00:00:00"/>
        <d v="2026-09-19T00:00:00"/>
        <d v="2025-10-18T00:00:00"/>
        <d v="2025-12-06T00:00:00"/>
        <d v="2025-11-17T00:00:00"/>
        <d v="2026-09-22T00:00:00"/>
        <d v="2026-08-28T00:00:00"/>
        <d v="2026-08-23T00:00:00"/>
        <d v="2026-08-03T00:00:00"/>
        <d v="2026-03-12T00:00:00"/>
        <d v="2026-02-01T00:00:00"/>
        <d v="2026-07-05T00:00:00"/>
        <d v="2026-07-12T00:00:00"/>
        <d v="2026-03-08T00:00:00"/>
        <d v="2026-02-09T00:00:00"/>
        <d v="2026-04-21T00:00:00"/>
        <d v="2026-02-19T00:00:00"/>
        <d v="2026-09-26T00:00:00"/>
        <d v="2026-03-15T00:00:00"/>
        <d v="2026-05-04T00:00:00"/>
        <d v="2026-02-13T00:00:00"/>
        <d v="2026-06-03T00:00:00"/>
        <d v="2026-03-14T00:00:00"/>
        <d v="2026-08-02T00:00:00"/>
        <d v="2025-12-04T00:00:00"/>
        <d v="2026-05-16T00:00:00"/>
        <d v="2026-08-26T00:00:00"/>
        <d v="2026-04-20T00:00:00"/>
        <d v="2026-03-17T00:00:00"/>
        <d v="2025-12-07T00:00:00"/>
        <d v="2026-02-05T00:00:00"/>
        <d v="2026-05-08T00:00:00"/>
        <d v="2025-11-29T00:00:00"/>
        <d v="2026-08-16T00:00:00"/>
        <d v="2025-10-11T00:00:00"/>
        <d v="2026-01-23T00:00:00"/>
        <d v="2025-10-06T00:00:00"/>
        <d v="2026-05-30T00:00:00"/>
        <d v="2026-02-15T00:00:00"/>
        <d v="2026-03-19T00:00:00"/>
        <d v="2026-08-19T00:00:00"/>
        <d v="2026-02-27T00:00:00"/>
        <d v="2026-06-20T00:00:00"/>
        <d v="2026-06-27T00:00:00"/>
        <d v="2026-07-16T00:00:00"/>
        <d v="2025-10-20T00:00:00"/>
        <d v="2026-07-04T00:00:00"/>
        <d v="2026-04-15T00:00:00"/>
        <d v="2026-07-18T00:00:00"/>
        <d v="2026-01-06T00:00:00"/>
        <d v="2026-05-14T00:00:00"/>
        <d v="2026-05-22T00:00:00"/>
        <d v="2025-10-08T00:00:00"/>
        <d v="2025-12-21T00:00:00"/>
        <d v="2026-06-17T00:00:00"/>
        <d v="2025-10-02T00:00:00"/>
        <d v="2026-04-12T00:00:00"/>
        <d v="2026-06-06T00:00:00"/>
        <d v="2025-11-24T00:00:00"/>
        <d v="2026-03-01T00:00:00"/>
        <d v="2025-12-08T00:00:00"/>
        <d v="2026-01-07T00:00:00"/>
        <d v="2025-10-30T00:00:00"/>
        <d v="2026-09-23T00:00:00"/>
        <d v="2026-07-28T00:00:00"/>
        <d v="2026-06-19T00:00:00"/>
        <d v="2026-08-08T00:00:00"/>
        <d v="2025-10-04T00:00:00"/>
        <d v="2026-07-07T00:00:00"/>
        <d v="2026-09-21T00:00:00"/>
        <d v="2026-02-21T00:00:00"/>
        <d v="2026-09-05T00:00:00"/>
        <d v="2026-09-07T00:00:00"/>
        <d v="2025-11-27T00:00:00"/>
        <d v="2026-04-25T00:00:00"/>
        <d v="2026-07-27T00:00:00"/>
        <d v="2026-01-29T00:00:00"/>
        <d v="2025-12-02T00:00:00"/>
        <d v="2026-01-18T00:00:00"/>
        <d v="2026-04-10T00:00:00"/>
        <d v="2026-04-22T00:00:00"/>
        <d v="2026-05-06T00:00:00"/>
        <d v="2026-05-17T00:00:00"/>
        <d v="2026-05-07T00:00:00"/>
        <d v="2025-11-28T00:00:00"/>
        <d v="2025-10-05T00:00:00"/>
        <d v="2026-06-18T00:00:00"/>
        <d v="2026-09-24T00:00:00"/>
        <d v="2026-02-04T00:00:00"/>
        <d v="2026-06-07T00:00:00"/>
        <d v="2026-07-10T00:00:00"/>
        <d v="2026-08-10T00:00:00"/>
        <d v="2026-03-23T00:00:00"/>
        <d v="2026-09-11T00:00:00"/>
        <d v="2025-10-13T00:00:00"/>
        <d v="2025-12-03T00:00:00"/>
        <d v="2026-06-11T00:00:00"/>
        <d v="2026-01-20T00:00:00"/>
        <d v="2026-02-12T00:00:00"/>
        <d v="2026-03-25T00:00:00"/>
        <d v="2026-05-23T00:00:00"/>
        <d v="2026-09-25T00:00:00"/>
        <d v="2026-04-30T00:00:00"/>
        <d v="2025-10-15T00:00:00"/>
        <d v="2026-07-21T00:00:00"/>
        <d v="2025-11-10T00:00:00"/>
        <d v="2026-01-15T00:00:00"/>
        <d v="2026-09-14T00:00:00"/>
        <d v="2026-02-20T00:00:00"/>
        <d v="2026-03-02T00:00:00"/>
        <d v="2026-06-02T00:00:00"/>
        <d v="2025-12-28T00:00:00"/>
        <d v="2026-02-18T00:00:00"/>
        <d v="2025-11-01T00:00:00"/>
        <d v="2026-02-02T00:00:00"/>
        <d v="2026-06-13T00:00:00"/>
        <d v="2025-11-15T00:00:00"/>
        <d v="2026-03-18T00:00:00"/>
        <d v="2026-03-10T00:00:00"/>
        <d v="2026-02-03T00:00:00"/>
        <d v="2025-12-18T00:00:00"/>
        <d v="2026-01-26T00:00:00"/>
        <d v="2026-08-22T00:00:00"/>
        <d v="2026-05-05T00:00:00"/>
        <d v="2026-06-16T00:00:00"/>
        <d v="2026-07-08T00:00:00"/>
        <d v="2026-08-29T00:00:00"/>
        <d v="2026-02-24T00:00:00"/>
        <d v="2026-01-12T00:00:00"/>
        <d v="2025-12-09T00:00:00"/>
        <d v="2025-12-12T00:00:00"/>
        <d v="2026-05-03T00:00:00"/>
        <d v="2026-02-26T00:00:00"/>
        <d v="2026-06-12T00:00:00"/>
        <d v="2025-11-23T00:00:00"/>
        <d v="2026-02-16T00:00:00"/>
        <d v="2025-12-22T00:00:00"/>
        <d v="2026-03-29T00:00:00"/>
        <d v="2026-01-19T00:00:00"/>
        <d v="2026-08-12T00:00:00"/>
        <d v="2026-05-24T00:00:00"/>
        <d v="2025-11-03T00:00:00"/>
        <d v="2025-12-10T00:00:00"/>
        <d v="2025-12-20T00:00:00"/>
        <d v="2026-07-30T00:00:00"/>
        <d v="2025-11-09T00:00:00"/>
        <d v="2026-05-13T00:00:00"/>
        <d v="2026-04-26T00:00:00"/>
        <d v="2026-05-26T00:00:00"/>
        <d v="2025-11-11T00:00:00"/>
        <d v="2026-01-17T00:00:00"/>
        <d v="2026-09-08T00:00:00"/>
        <d v="2026-01-04T00:00:00"/>
        <d v="2026-07-15T00:00:00"/>
        <d v="2025-11-05T00:00:00"/>
        <d v="2026-09-20T00:00:00"/>
        <d v="2026-02-11T00:00:00"/>
        <d v="2026-04-01T00:00:00"/>
        <d v="2026-06-01T00:00:00"/>
        <d v="2026-04-16T00:00:00"/>
        <d v="2026-04-19T00:00:00"/>
        <d v="2026-07-29T00:00:00"/>
        <d v="2025-10-17T00:00:00"/>
        <d v="2026-06-10T00:00:00"/>
        <d v="2026-06-30T00:00:00"/>
        <d v="2025-10-10T00:00:00"/>
        <d v="2026-01-25T00:00:00"/>
        <d v="2026-04-13T00:00:00"/>
        <d v="2026-05-27T00:00:00"/>
        <d v="2025-11-18T00:00:00"/>
        <d v="2026-01-13T00:00:00"/>
        <d v="2026-08-14T00:00:00"/>
        <d v="2026-07-19T00:00:00"/>
        <d v="2026-05-02T00:00:00"/>
        <d v="2026-09-18T00:00:00"/>
        <d v="2026-09-13T00:00:00"/>
        <d v="2026-08-07T00:00:00"/>
        <d v="2026-01-02T00:00:00"/>
        <d v="2026-09-27T00:00:00"/>
        <d v="2026-03-11T00:00:00"/>
        <d v="2026-05-31T00:00:00"/>
        <d v="2026-07-17T00:00:00"/>
        <d v="2025-12-15T00:00:00"/>
        <d v="2026-04-23T00:00:00"/>
      </sharedItems>
      <fieldGroup par="7"/>
    </cacheField>
    <cacheField name="NominalBelanja" numFmtId="165">
      <sharedItems containsSemiMixedTypes="0" containsString="0" containsNumber="1" containsInteger="1" minValue="25000" maxValue="2041534"/>
    </cacheField>
    <cacheField name="Months (Tanggal)" numFmtId="0" databaseField="0">
      <fieldGroup base="3">
        <rangePr groupBy="months" startDate="2025-10-01T00:00:00" endDate="2026-09-29T00:00:00"/>
        <groupItems count="14">
          <s v="&lt;01/10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9/26"/>
        </groupItems>
      </fieldGroup>
    </cacheField>
    <cacheField name="Quarters (Tanggal)" numFmtId="0" databaseField="0">
      <fieldGroup base="3">
        <rangePr groupBy="quarters" startDate="2025-10-01T00:00:00" endDate="2026-09-29T00:00:00"/>
        <groupItems count="6">
          <s v="&lt;01/10/25"/>
          <s v="Qtr1"/>
          <s v="Qtr2"/>
          <s v="Qtr3"/>
          <s v="Qtr4"/>
          <s v="&gt;29/09/26"/>
        </groupItems>
      </fieldGroup>
    </cacheField>
    <cacheField name="Years (Tanggal)" numFmtId="0" databaseField="0">
      <fieldGroup base="3">
        <rangePr groupBy="years" startDate="2025-10-01T00:00:00" endDate="2026-09-29T00:00:00"/>
        <groupItems count="4">
          <s v="&lt;01/10/25"/>
          <s v="2025"/>
          <s v="2026"/>
          <s v="&gt;29/09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lan Ardiansyah" refreshedDate="46295.402781944445" createdVersion="8" refreshedVersion="8" minRefreshableVersion="3" recordCount="2320" xr:uid="{B95E8752-9507-B547-8C7A-669DDDD4938F}">
  <cacheSource type="worksheet">
    <worksheetSource ref="A1:H1048576" sheet="Transaksi"/>
  </cacheSource>
  <cacheFields count="11">
    <cacheField name="TransaksiID" numFmtId="0">
      <sharedItems containsBlank="1" count="2320">
        <s v="TX002281"/>
        <s v="TX000593"/>
        <s v="TX002146"/>
        <s v="TX000237"/>
        <s v="TX001046"/>
        <s v="TX001232"/>
        <s v="TX001006"/>
        <s v="TX000920"/>
        <s v="TX000195"/>
        <s v="TX000048"/>
        <s v="TX000259"/>
        <s v="TX001759"/>
        <s v="TX000018"/>
        <s v="TX001247"/>
        <s v="TX001986"/>
        <s v="TX002131"/>
        <s v="TX001562"/>
        <s v="TX001899"/>
        <s v="TX001249"/>
        <s v="TX001634"/>
        <s v="TX000109"/>
        <s v="TX001130"/>
        <s v="TX001033"/>
        <s v="TX001858"/>
        <s v="TX000057"/>
        <s v="TX000465"/>
        <s v="TX001502"/>
        <s v="TX000007"/>
        <s v="TX000761"/>
        <s v="TX000809"/>
        <s v="TX000112"/>
        <s v="TX002268"/>
        <s v="TX002059"/>
        <s v="TX000509"/>
        <s v="TX000196"/>
        <s v="TX001103"/>
        <s v="TX000108"/>
        <s v="TX002108"/>
        <s v="TX000995"/>
        <s v="TX001904"/>
        <s v="TX000794"/>
        <s v="TX001054"/>
        <s v="TX000066"/>
        <s v="TX001598"/>
        <s v="TX001356"/>
        <s v="TX000485"/>
        <s v="TX001233"/>
        <s v="TX001018"/>
        <s v="TX000041"/>
        <s v="TX000286"/>
        <s v="TX002302"/>
        <s v="TX001731"/>
        <s v="TX001453"/>
        <s v="TX001504"/>
        <s v="TX001219"/>
        <s v="TX001061"/>
        <s v="TX001401"/>
        <s v="TX002239"/>
        <s v="TX000415"/>
        <s v="TX001657"/>
        <s v="TX001105"/>
        <s v="TX002227"/>
        <s v="TX000867"/>
        <s v="TX001005"/>
        <s v="TX001407"/>
        <s v="TX001087"/>
        <s v="TX001596"/>
        <s v="TX002032"/>
        <s v="TX000709"/>
        <s v="TX000944"/>
        <s v="TX001021"/>
        <s v="TX000127"/>
        <s v="TX001918"/>
        <s v="TX000441"/>
        <s v="TX000305"/>
        <s v="TX001374"/>
        <s v="TX000746"/>
        <s v="TX001242"/>
        <s v="TX000681"/>
        <s v="TX002253"/>
        <s v="TX001126"/>
        <s v="TX002259"/>
        <s v="TX002160"/>
        <s v="TX002031"/>
        <s v="TX000850"/>
        <s v="TX001439"/>
        <s v="TX000051"/>
        <s v="TX000635"/>
        <s v="TX001147"/>
        <s v="TX000121"/>
        <s v="TX000315"/>
        <s v="TX001442"/>
        <s v="TX001327"/>
        <s v="TX001862"/>
        <s v="TX002056"/>
        <s v="TX001329"/>
        <s v="TX001820"/>
        <s v="TX001578"/>
        <s v="TX001698"/>
        <s v="TX001506"/>
        <s v="TX001855"/>
        <s v="TX001777"/>
        <s v="TX000454"/>
        <s v="TX001422"/>
        <s v="TX000882"/>
        <s v="TX000822"/>
        <s v="TX001353"/>
        <s v="TX001381"/>
        <s v="TX001074"/>
        <s v="TX001794"/>
        <s v="TX000193"/>
        <s v="TX001280"/>
        <s v="TX000654"/>
        <s v="TX000322"/>
        <s v="TX000590"/>
        <s v="TX001751"/>
        <s v="TX000765"/>
        <s v="TX001277"/>
        <s v="TX001589"/>
        <s v="TX002115"/>
        <s v="TX001436"/>
        <s v="TX001691"/>
        <s v="TX001551"/>
        <s v="TX000686"/>
        <s v="TX000558"/>
        <s v="TX000846"/>
        <s v="TX001144"/>
        <s v="TX001560"/>
        <s v="TX001464"/>
        <s v="TX000840"/>
        <s v="TX000821"/>
        <s v="TX000937"/>
        <s v="TX000758"/>
        <s v="TX002035"/>
        <s v="TX001552"/>
        <s v="TX000969"/>
        <s v="TX001515"/>
        <s v="TX000376"/>
        <s v="TX000371"/>
        <s v="TX001978"/>
        <s v="TX000813"/>
        <s v="TX000988"/>
        <s v="TX000661"/>
        <s v="TX000670"/>
        <s v="TX001131"/>
        <s v="TX002024"/>
        <s v="TX002045"/>
        <s v="TX000076"/>
        <s v="TX000986"/>
        <s v="TX001044"/>
        <s v="TX002120"/>
        <s v="TX001443"/>
        <s v="TX001319"/>
        <s v="TX002288"/>
        <s v="TX001700"/>
        <s v="TX000094"/>
        <s v="TX001142"/>
        <s v="TX001929"/>
        <s v="TX000330"/>
        <s v="TX002018"/>
        <s v="TX001465"/>
        <s v="TX000901"/>
        <s v="TX002130"/>
        <s v="TX000332"/>
        <s v="TX000757"/>
        <s v="TX001136"/>
        <s v="TX001995"/>
        <s v="TX001979"/>
        <s v="TX000611"/>
        <s v="TX001650"/>
        <s v="TX000390"/>
        <s v="TX001923"/>
        <s v="TX001476"/>
        <s v="TX000588"/>
        <s v="TX000243"/>
        <s v="TX000232"/>
        <s v="TX000615"/>
        <s v="TX002142"/>
        <s v="TX000283"/>
        <s v="TX001945"/>
        <s v="TX000624"/>
        <s v="TX001809"/>
        <s v="TX001961"/>
        <s v="TX000349"/>
        <s v="TX001512"/>
        <s v="TX001709"/>
        <s v="TX002264"/>
        <s v="TX001168"/>
        <s v="TX001253"/>
        <s v="TX000655"/>
        <s v="TX000727"/>
        <s v="TX002255"/>
        <s v="TX000672"/>
        <s v="TX001094"/>
        <s v="TX001663"/>
        <s v="TX001413"/>
        <s v="TX001972"/>
        <s v="TX000826"/>
        <s v="TX000675"/>
        <s v="TX002043"/>
        <s v="TX001418"/>
        <s v="TX002280"/>
        <s v="TX000693"/>
        <s v="TX000369"/>
        <s v="TX001090"/>
        <s v="TX002103"/>
        <s v="TX002137"/>
        <s v="TX001656"/>
        <s v="TX000426"/>
        <s v="TX000859"/>
        <s v="TX000404"/>
        <s v="TX001110"/>
        <s v="TX001220"/>
        <s v="TX001315"/>
        <s v="TX000791"/>
        <s v="TX001508"/>
        <s v="TX001509"/>
        <s v="TX001027"/>
        <s v="TX001819"/>
        <s v="TX000469"/>
        <s v="TX001336"/>
        <s v="TX000680"/>
        <s v="TX001665"/>
        <s v="TX000554"/>
        <s v="TX000135"/>
        <s v="TX000599"/>
        <s v="TX002123"/>
        <s v="TX000242"/>
        <s v="TX001966"/>
        <s v="TX001715"/>
        <s v="TX002318"/>
        <s v="TX000574"/>
        <s v="TX002265"/>
        <s v="TX000170"/>
        <s v="TX000444"/>
        <s v="TX000702"/>
        <s v="TX000293"/>
        <s v="TX001196"/>
        <s v="TX001994"/>
        <s v="TX001495"/>
        <s v="TX002101"/>
        <s v="TX001626"/>
        <s v="TX001555"/>
        <s v="TX000855"/>
        <s v="TX001207"/>
        <s v="TX001625"/>
        <s v="TX001823"/>
        <s v="TX000817"/>
        <s v="TX001040"/>
        <s v="TX000829"/>
        <s v="TX001132"/>
        <s v="TX001947"/>
        <s v="TX002106"/>
        <s v="TX000124"/>
        <s v="TX001113"/>
        <s v="TX001298"/>
        <s v="TX000651"/>
        <s v="TX002096"/>
        <s v="TX002166"/>
        <s v="TX002100"/>
        <s v="TX000202"/>
        <s v="TX000921"/>
        <s v="TX002159"/>
        <s v="TX002053"/>
        <s v="TX002038"/>
        <s v="TX000206"/>
        <s v="TX000956"/>
        <s v="TX001222"/>
        <s v="TX000907"/>
        <s v="TX001001"/>
        <s v="TX001028"/>
        <s v="TX001934"/>
        <s v="TX000912"/>
        <s v="TX001730"/>
        <s v="TX000368"/>
        <s v="TX002216"/>
        <s v="TX000166"/>
        <s v="TX001066"/>
        <s v="TX001172"/>
        <s v="TX000984"/>
        <s v="TX001826"/>
        <s v="TX002025"/>
        <s v="TX002129"/>
        <s v="TX001115"/>
        <s v="TX000570"/>
        <s v="TX001216"/>
        <s v="TX001206"/>
        <s v="TX000584"/>
        <s v="TX002140"/>
        <s v="TX000586"/>
        <s v="TX000103"/>
        <s v="TX001091"/>
        <s v="TX000307"/>
        <s v="TX002068"/>
        <s v="TX001164"/>
        <s v="TX001968"/>
        <s v="TX000580"/>
        <s v="TX000587"/>
        <s v="TX002037"/>
        <s v="TX002057"/>
        <s v="TX001370"/>
        <s v="TX000077"/>
        <s v="TX000191"/>
        <s v="TX000207"/>
        <s v="TX002000"/>
        <s v="TX001675"/>
        <s v="TX000522"/>
        <s v="TX000002"/>
        <s v="TX000737"/>
        <s v="TX001497"/>
        <s v="TX000628"/>
        <s v="TX002046"/>
        <s v="TX001590"/>
        <s v="TX000336"/>
        <s v="TX000764"/>
        <s v="TX000713"/>
        <s v="TX000734"/>
        <s v="TX000978"/>
        <s v="TX001462"/>
        <s v="TX000088"/>
        <s v="TX001927"/>
        <s v="TX000914"/>
        <s v="TX000496"/>
        <s v="TX001166"/>
        <s v="TX000201"/>
        <s v="TX000703"/>
        <s v="TX001223"/>
        <s v="TX000769"/>
        <s v="TX002003"/>
        <s v="TX001133"/>
        <s v="TX001696"/>
        <s v="TX001167"/>
        <s v="TX000750"/>
        <s v="TX000440"/>
        <s v="TX000860"/>
        <s v="TX000304"/>
        <s v="TX001922"/>
        <s v="TX001521"/>
        <s v="TX000227"/>
        <s v="TX002124"/>
        <s v="TX001284"/>
        <s v="TX001460"/>
        <s v="TX000583"/>
        <s v="TX000528"/>
        <s v="TX002134"/>
        <s v="TX000633"/>
        <s v="TX002319"/>
        <s v="TX000182"/>
        <s v="TX000298"/>
        <s v="TX001545"/>
        <s v="TX000281"/>
        <s v="TX002094"/>
        <s v="TX001179"/>
        <s v="TX000954"/>
        <s v="TX000271"/>
        <s v="TX002044"/>
        <s v="TX000407"/>
        <s v="TX000326"/>
        <s v="TX001907"/>
        <s v="TX001708"/>
        <s v="TX002014"/>
        <s v="TX001403"/>
        <s v="TX000416"/>
        <s v="TX001644"/>
        <s v="TX001832"/>
        <s v="TX001012"/>
        <s v="TX001769"/>
        <s v="TX000894"/>
        <s v="TX001071"/>
        <s v="TX001177"/>
        <s v="TX001282"/>
        <s v="TX001237"/>
        <s v="TX000342"/>
        <s v="TX000269"/>
        <s v="TX001692"/>
        <s v="TX000055"/>
        <s v="TX002147"/>
        <s v="TX001010"/>
        <s v="TX002243"/>
        <s v="TX000560"/>
        <s v="TX001614"/>
        <s v="TX001836"/>
        <s v="TX000768"/>
        <s v="TX000141"/>
        <s v="TX000673"/>
        <s v="TX000162"/>
        <s v="TX000443"/>
        <s v="TX001272"/>
        <s v="TX001399"/>
        <s v="TX001714"/>
        <s v="TX001896"/>
        <s v="TX000429"/>
        <s v="TX000448"/>
        <s v="TX000841"/>
        <s v="TX001297"/>
        <s v="TX000526"/>
        <s v="TX001227"/>
        <s v="TX001226"/>
        <s v="TX000422"/>
        <s v="TX001996"/>
        <s v="TX001944"/>
        <s v="TX002267"/>
        <s v="TX001632"/>
        <s v="TX000025"/>
        <s v="TX001627"/>
        <s v="TX000805"/>
        <s v="TX001606"/>
        <s v="TX000895"/>
        <s v="TX001793"/>
        <s v="TX001430"/>
        <s v="TX002296"/>
        <s v="TX002090"/>
        <s v="TX001195"/>
        <s v="TX000645"/>
        <s v="TX001256"/>
        <s v="TX000433"/>
        <s v="TX001295"/>
        <s v="TX000481"/>
        <s v="TX000486"/>
        <s v="TX001719"/>
        <s v="TX000178"/>
        <s v="TX000401"/>
        <s v="TX000928"/>
        <s v="TX000684"/>
        <s v="TX000004"/>
        <s v="TX001594"/>
        <s v="TX001955"/>
        <s v="TX001163"/>
        <s v="TX001575"/>
        <s v="TX001283"/>
        <s v="TX000478"/>
        <s v="TX000926"/>
        <s v="TX002071"/>
        <s v="TX001035"/>
        <s v="TX001554"/>
        <s v="TX000773"/>
        <s v="TX002076"/>
        <s v="TX001345"/>
        <s v="TX000953"/>
        <s v="TX002215"/>
        <s v="TX002195"/>
        <s v="TX000276"/>
        <s v="TX001481"/>
        <s v="TX001265"/>
        <s v="TX001604"/>
        <s v="TX000561"/>
        <s v="TX000009"/>
        <s v="TX000996"/>
        <s v="TX000980"/>
        <s v="TX000049"/>
        <s v="TX001516"/>
        <s v="TX000726"/>
        <s v="TX001924"/>
        <s v="TX001423"/>
        <s v="TX001702"/>
        <s v="TX000187"/>
        <s v="TX001349"/>
        <s v="TX002016"/>
        <s v="TX000775"/>
        <s v="TX002092"/>
        <s v="TX000608"/>
        <s v="TX002263"/>
        <s v="TX000302"/>
        <s v="TX001267"/>
        <s v="TX001398"/>
        <s v="TX001428"/>
        <s v="TX001782"/>
        <s v="TX000120"/>
        <s v="TX002291"/>
        <s v="TX000354"/>
        <s v="TX000213"/>
        <s v="TX000701"/>
        <s v="TX000725"/>
        <s v="TX001482"/>
        <s v="TX000792"/>
        <s v="TX000445"/>
        <s v="TX001451"/>
        <s v="TX000511"/>
        <s v="TX001269"/>
        <s v="TX001060"/>
        <s v="TX000367"/>
        <s v="TX000698"/>
        <s v="TX001427"/>
        <s v="TX000881"/>
        <s v="TX000903"/>
        <s v="TX000364"/>
        <s v="TX001852"/>
        <s v="TX000613"/>
        <s v="TX001866"/>
        <s v="TX001844"/>
        <s v="TX000762"/>
        <s v="TX000419"/>
        <s v="TX001013"/>
        <s v="TX000224"/>
        <s v="TX002112"/>
        <s v="TX001973"/>
        <s v="TX000230"/>
        <s v="TX000397"/>
        <s v="TX001471"/>
        <s v="TX001553"/>
        <s v="TX000536"/>
        <s v="TX001919"/>
        <s v="TX001987"/>
        <s v="TX001389"/>
        <s v="TX002151"/>
        <s v="TX000487"/>
        <s v="TX001263"/>
        <s v="TX000971"/>
        <s v="TX001958"/>
        <s v="TX001550"/>
        <s v="TX001706"/>
        <s v="TX001409"/>
        <s v="TX001433"/>
        <s v="TX000352"/>
        <s v="TX001238"/>
        <s v="TX000706"/>
        <s v="TX002050"/>
        <s v="TX001900"/>
        <s v="TX001544"/>
        <s v="TX000564"/>
        <s v="TX002036"/>
        <s v="TX001868"/>
        <s v="TX001069"/>
        <s v="TX001630"/>
        <s v="TX002141"/>
        <s v="TX002052"/>
        <s v="TX000038"/>
        <s v="TX000878"/>
        <s v="TX000694"/>
        <s v="TX000548"/>
        <s v="TX002181"/>
        <s v="TX000966"/>
        <s v="TX001733"/>
        <s v="TX000373"/>
        <s v="TX000138"/>
        <s v="TX001180"/>
        <s v="TX001221"/>
        <s v="TX001653"/>
        <s v="TX001290"/>
        <s v="TX000556"/>
        <s v="TX001785"/>
        <s v="TX001602"/>
        <s v="TX000847"/>
        <s v="TX000621"/>
        <s v="TX001305"/>
        <s v="TX001659"/>
        <s v="TX001429"/>
        <s v="TX001324"/>
        <s v="TX002292"/>
        <s v="TX001337"/>
        <s v="TX002180"/>
        <s v="TX001366"/>
        <s v="TX001029"/>
        <s v="TX001348"/>
        <s v="TX000514"/>
        <s v="TX000068"/>
        <s v="TX000538"/>
        <s v="TX000573"/>
        <s v="TX001085"/>
        <s v="TX001082"/>
        <s v="TX002145"/>
        <s v="TX000310"/>
        <s v="TX001376"/>
        <s v="TX001368"/>
        <s v="TX001291"/>
        <s v="TX000577"/>
        <s v="TX000738"/>
        <s v="TX001765"/>
        <s v="TX000126"/>
        <s v="TX002088"/>
        <s v="TX000679"/>
        <s v="TX001937"/>
        <s v="TX000221"/>
        <s v="TX000453"/>
        <s v="TX000150"/>
        <s v="TX001211"/>
        <s v="TX000936"/>
        <s v="TX001350"/>
        <s v="TX000614"/>
        <s v="TX000550"/>
        <s v="TX000639"/>
        <s v="TX002219"/>
        <s v="TX000637"/>
        <s v="TX002161"/>
        <s v="TX001959"/>
        <s v="TX002083"/>
        <s v="TX001744"/>
        <s v="TX001434"/>
        <s v="TX002206"/>
        <s v="TX000265"/>
        <s v="TX000228"/>
        <s v="TX000300"/>
        <s v="TX001546"/>
        <s v="TX000976"/>
        <s v="TX002119"/>
        <s v="TX000399"/>
        <s v="TX001593"/>
        <s v="TX001358"/>
        <s v="TX000203"/>
        <s v="TX000348"/>
        <s v="TX000955"/>
        <s v="TX000640"/>
        <s v="TX000731"/>
        <s v="TX000061"/>
        <s v="TX001095"/>
        <s v="TX001292"/>
        <s v="TX002152"/>
        <s v="TX000383"/>
        <s v="TX001264"/>
        <s v="TX001933"/>
        <s v="TX001003"/>
        <s v="TX000268"/>
        <s v="TX000873"/>
        <s v="TX002012"/>
        <s v="TX001326"/>
        <s v="TX000858"/>
        <s v="TX000099"/>
        <s v="TX000183"/>
        <s v="TX000261"/>
        <s v="TX001601"/>
        <s v="TX000159"/>
        <s v="TX000899"/>
        <s v="TX001078"/>
        <s v="TX001774"/>
        <s v="TX002086"/>
        <s v="TX000896"/>
        <s v="TX001145"/>
        <s v="TX000803"/>
        <s v="TX001146"/>
        <s v="TX001397"/>
        <s v="TX000559"/>
        <s v="TX002192"/>
        <s v="TX000083"/>
        <s v="TX001727"/>
        <s v="TX001559"/>
        <s v="TX000339"/>
        <s v="TX000491"/>
        <s v="TX000105"/>
        <s v="TX001387"/>
        <s v="TX000477"/>
        <s v="TX001828"/>
        <s v="TX001664"/>
        <s v="TX001770"/>
        <s v="TX000789"/>
        <s v="TX001197"/>
        <s v="TX001635"/>
        <s v="TX000576"/>
        <s v="TX000886"/>
        <s v="TX001447"/>
        <s v="TX001299"/>
        <s v="TX000423"/>
        <s v="TX000853"/>
        <s v="TX001038"/>
        <s v="TX000331"/>
        <s v="TX001157"/>
        <s v="TX001755"/>
        <s v="TX002317"/>
        <s v="TX000134"/>
        <s v="TX001878"/>
        <s v="TX002138"/>
        <s v="TX001339"/>
        <s v="TX000471"/>
        <s v="TX001344"/>
        <s v="TX000983"/>
        <s v="TX000092"/>
        <s v="TX000436"/>
        <s v="TX001334"/>
        <s v="TX001610"/>
        <s v="TX001400"/>
        <s v="TX001811"/>
        <s v="TX000012"/>
        <s v="TX000211"/>
        <s v="TX000054"/>
        <s v="TX002246"/>
        <s v="TX001953"/>
        <s v="TX000387"/>
        <s v="TX001705"/>
        <s v="TX002313"/>
        <s v="TX000786"/>
        <s v="TX001234"/>
        <s v="TX000616"/>
        <s v="TX000620"/>
        <s v="TX000629"/>
        <s v="TX000759"/>
        <s v="TX000578"/>
        <s v="TX001605"/>
        <s v="TX000631"/>
        <s v="TX000892"/>
        <s v="TX000168"/>
        <s v="TX002054"/>
        <s v="TX000597"/>
        <s v="TX001801"/>
        <s v="TX000993"/>
        <s v="TX000704"/>
        <s v="TX000780"/>
        <s v="TX002225"/>
        <s v="TX001974"/>
        <s v="TX001210"/>
        <s v="TX001703"/>
        <s v="TX001815"/>
        <s v="TX000662"/>
        <s v="TX001912"/>
        <s v="TX002254"/>
        <s v="TX001483"/>
        <s v="TX001685"/>
        <s v="TX000663"/>
        <s v="TX000862"/>
        <s v="TX001248"/>
        <s v="TX000249"/>
        <s v="TX000779"/>
        <s v="TX000060"/>
        <s v="TX001646"/>
        <s v="TX001250"/>
        <s v="TX000282"/>
        <s v="TX001540"/>
        <s v="TX002262"/>
        <s v="TX001779"/>
        <s v="TX002208"/>
        <s v="TX000442"/>
        <s v="TX000922"/>
        <s v="TX001672"/>
        <s v="TX001287"/>
        <s v="TX002182"/>
        <s v="TX001198"/>
        <s v="TX000303"/>
        <s v="TX002316"/>
        <s v="TX001747"/>
        <s v="TX002089"/>
        <s v="TX002308"/>
        <s v="TX000260"/>
        <s v="TX000985"/>
        <s v="TX002005"/>
        <s v="TX001480"/>
        <s v="TX002191"/>
        <s v="TX002102"/>
        <s v="TX001911"/>
        <s v="TX001843"/>
        <s v="TX002098"/>
        <s v="TX001791"/>
        <s v="TX000050"/>
        <s v="TX000547"/>
        <s v="TX000852"/>
        <s v="TX000535"/>
        <s v="TX001803"/>
        <s v="TX000814"/>
        <s v="TX001106"/>
        <s v="TX000958"/>
        <s v="TX001125"/>
        <s v="TX000425"/>
        <s v="TX000417"/>
        <s v="TX001699"/>
        <s v="TX000001"/>
        <s v="TX000900"/>
        <s v="TX002260"/>
        <s v="TX000386"/>
        <s v="TX001507"/>
        <s v="TX001721"/>
        <s v="TX000177"/>
        <s v="TX001609"/>
        <s v="TX000513"/>
        <s v="TX000537"/>
        <s v="TX001359"/>
        <s v="TX000439"/>
        <s v="TX000362"/>
        <s v="TX001890"/>
        <s v="TX000116"/>
        <s v="TX001438"/>
        <s v="TX000337"/>
        <s v="TX000767"/>
        <s v="TX002110"/>
        <s v="TX000714"/>
        <s v="TX000435"/>
        <s v="TX001543"/>
        <s v="TX000031"/>
        <s v="TX000871"/>
        <s v="TX001954"/>
        <s v="TX001477"/>
        <s v="TX000408"/>
        <s v="TX001140"/>
        <s v="TX001007"/>
        <s v="TX001910"/>
        <s v="TX002237"/>
        <s v="TX000294"/>
        <s v="TX000306"/>
        <s v="TX001689"/>
        <s v="TX000147"/>
        <s v="TX001302"/>
        <s v="TX002196"/>
        <s v="TX001072"/>
        <s v="TX001148"/>
        <s v="TX001571"/>
        <s v="TX000479"/>
        <s v="TX001964"/>
        <s v="TX001526"/>
        <s v="TX001760"/>
        <s v="TX000626"/>
        <s v="TX000643"/>
        <s v="TX000040"/>
        <s v="TX000973"/>
        <s v="TX000457"/>
        <s v="TX000231"/>
        <s v="TX001182"/>
        <s v="TX000081"/>
        <s v="TX000074"/>
        <s v="TX000102"/>
        <s v="TX000557"/>
        <s v="TX001648"/>
        <s v="TX000229"/>
        <s v="TX002311"/>
        <s v="TX001173"/>
        <s v="TX002085"/>
        <s v="TX001488"/>
        <s v="TX000542"/>
        <s v="TX001788"/>
        <s v="TX000508"/>
        <s v="TX001827"/>
        <s v="TX001913"/>
        <s v="TX002009"/>
        <s v="TX002002"/>
        <s v="TX000234"/>
        <s v="TX001865"/>
        <s v="TX001662"/>
        <s v="TX002177"/>
        <s v="TX001789"/>
        <s v="TX001740"/>
        <s v="TX001202"/>
        <s v="TX000925"/>
        <s v="TX000463"/>
        <s v="TX001790"/>
        <s v="TX001118"/>
        <s v="TX001081"/>
        <s v="TX001607"/>
        <s v="TX001153"/>
        <s v="TX000284"/>
        <s v="TX001340"/>
        <s v="TX000447"/>
        <s v="TX001678"/>
        <s v="TX000994"/>
        <s v="TX001838"/>
        <s v="TX001712"/>
        <s v="TX000065"/>
        <s v="TX000059"/>
        <s v="TX001897"/>
        <s v="TX000256"/>
        <s v="TX001454"/>
        <s v="TX001478"/>
        <s v="TX001565"/>
        <s v="TX001925"/>
        <s v="TX001916"/>
        <s v="TX002095"/>
        <s v="TX001379"/>
        <s v="TX000644"/>
        <s v="TX001776"/>
        <s v="TX000917"/>
        <s v="TX002067"/>
        <s v="TX001274"/>
        <s v="TX000632"/>
        <s v="TX000802"/>
        <s v="TX002097"/>
        <s v="TX000035"/>
        <s v="TX001411"/>
        <s v="TX001658"/>
        <s v="TX001457"/>
        <s v="TX000676"/>
        <s v="TX001542"/>
        <s v="TX000656"/>
        <s v="TX000020"/>
        <s v="TX001194"/>
        <s v="TX000623"/>
        <s v="TX000370"/>
        <s v="TX001761"/>
        <s v="TX000808"/>
        <s v="TX000251"/>
        <s v="TX001355"/>
        <s v="TX001750"/>
        <s v="TX000164"/>
        <s v="TX000730"/>
        <s v="TX000960"/>
        <s v="TX001654"/>
        <s v="TX001848"/>
        <s v="TX000199"/>
        <s v="TX000209"/>
        <s v="TX000289"/>
        <s v="TX001783"/>
        <s v="TX001080"/>
        <s v="TX000749"/>
        <s v="TX001178"/>
        <s v="TX000409"/>
        <s v="TX000143"/>
        <s v="TX000023"/>
        <s v="TX000205"/>
        <s v="TX000189"/>
        <s v="TX001139"/>
        <s v="TX000341"/>
        <s v="TX000642"/>
        <s v="TX002077"/>
        <s v="TX002210"/>
        <s v="TX001597"/>
        <s v="TX000889"/>
        <s v="TX001998"/>
        <s v="TX000919"/>
        <s v="TX002236"/>
        <s v="TX002066"/>
        <s v="TX000532"/>
        <s v="TX000830"/>
        <s v="TX000835"/>
        <s v="TX001116"/>
        <s v="TX000082"/>
        <s v="TX000708"/>
        <s v="TX000400"/>
        <s v="TX000052"/>
        <s v="TX000772"/>
        <s v="TX000641"/>
        <s v="TX001335"/>
        <s v="TX001129"/>
        <s v="TX000720"/>
        <s v="TX001805"/>
        <s v="TX000391"/>
        <s v="TX001942"/>
        <s v="TX000139"/>
        <s v="TX001886"/>
        <s v="TX001218"/>
        <s v="TX000562"/>
        <s v="TX000095"/>
        <s v="TX002218"/>
        <s v="TX001857"/>
        <s v="TX001489"/>
        <s v="TX000665"/>
        <s v="TX001638"/>
        <s v="TX001244"/>
        <s v="TX001184"/>
        <s v="TX000609"/>
        <s v="TX002028"/>
        <s v="TX001710"/>
        <s v="TX000172"/>
        <s v="TX001375"/>
        <s v="TX001720"/>
        <s v="TX001261"/>
        <s v="TX001323"/>
        <s v="TX000949"/>
        <s v="TX002121"/>
        <s v="TX001300"/>
        <s v="TX001990"/>
        <s v="TX001404"/>
        <s v="TX001388"/>
        <s v="TX001655"/>
        <s v="TX001976"/>
        <s v="TX000161"/>
        <s v="TX000932"/>
        <s v="TX002125"/>
        <s v="TX001273"/>
        <s v="TX001246"/>
        <s v="TX001083"/>
        <s v="TX001311"/>
        <s v="TX001584"/>
        <s v="TX000421"/>
        <s v="TX001786"/>
        <s v="TX000287"/>
        <s v="TX001209"/>
        <s v="TX002249"/>
        <s v="TX000017"/>
        <s v="TX001600"/>
        <s v="TX002033"/>
        <s v="TX002069"/>
        <s v="TX000131"/>
        <s v="TX001045"/>
        <s v="TX002315"/>
        <s v="TX000488"/>
        <s v="TX001395"/>
        <s v="TX000136"/>
        <s v="TX002023"/>
        <s v="TX000530"/>
        <s v="TX002169"/>
        <s v="TX000212"/>
        <s v="TX001525"/>
        <s v="TX001037"/>
        <s v="TX000275"/>
        <s v="TX001119"/>
        <s v="TX000089"/>
        <s v="TX000751"/>
        <s v="TX002202"/>
        <s v="TX000299"/>
        <s v="TX002283"/>
        <s v="TX001530"/>
        <s v="TX002310"/>
        <s v="TX000603"/>
        <s v="TX002234"/>
        <s v="TX002213"/>
        <s v="TX001231"/>
        <s v="TX001566"/>
        <s v="TX001228"/>
        <s v="TX001158"/>
        <s v="TX000104"/>
        <s v="TX001939"/>
        <s v="TX000217"/>
        <s v="TX000046"/>
        <s v="TX002099"/>
        <s v="TX000997"/>
        <s v="TX002173"/>
        <s v="TX000927"/>
        <s v="TX001124"/>
        <s v="TX002164"/>
        <s v="TX000366"/>
        <s v="TX001999"/>
        <s v="TX000529"/>
        <s v="TX000045"/>
        <s v="TX002194"/>
        <s v="TX000482"/>
        <s v="TX000527"/>
        <s v="TX000449"/>
        <s v="TX002156"/>
        <s v="TX000572"/>
        <s v="TX000111"/>
        <s v="TX001484"/>
        <s v="TX002209"/>
        <s v="TX001205"/>
        <s v="TX001673"/>
        <s v="TX000600"/>
        <s v="TX002189"/>
        <s v="TX000309"/>
        <s v="TX000834"/>
        <s v="TX000942"/>
        <s v="TX000063"/>
        <s v="TX001437"/>
        <s v="TX000987"/>
        <s v="TX001371"/>
        <s v="TX000333"/>
        <s v="TX002021"/>
        <s v="TX002188"/>
        <s v="TX001797"/>
        <s v="TX001455"/>
        <s v="TX000630"/>
        <s v="TX001241"/>
        <s v="TX001316"/>
        <s v="TX002155"/>
        <s v="TX001498"/>
        <s v="TX002127"/>
        <s v="TX000824"/>
        <s v="TX001722"/>
        <s v="TX000461"/>
        <s v="TX001088"/>
        <s v="TX000160"/>
        <s v="TX000740"/>
        <s v="TX001382"/>
        <s v="TX001347"/>
        <s v="TX001642"/>
        <s v="TX001240"/>
        <s v="TX000084"/>
        <s v="TX002178"/>
        <s v="TX000428"/>
        <s v="TX000290"/>
        <s v="TX002082"/>
        <s v="TX000240"/>
        <s v="TX000770"/>
        <s v="TX000402"/>
        <s v="TX000155"/>
        <s v="TX000619"/>
        <s v="TX002230"/>
        <s v="TX000296"/>
        <s v="TX001661"/>
        <s v="TX000280"/>
        <s v="TX000582"/>
        <s v="TX002176"/>
        <s v="TX001724"/>
        <s v="TX001684"/>
        <s v="TX001230"/>
        <s v="TX000719"/>
        <s v="TX001938"/>
        <s v="TX000596"/>
        <s v="TX000970"/>
        <s v="TX000699"/>
        <s v="TX000977"/>
        <s v="TX000951"/>
        <s v="TX000427"/>
        <s v="TX000176"/>
        <s v="TX000080"/>
        <s v="TX000594"/>
        <s v="TX001941"/>
        <s v="TX002154"/>
        <s v="TX000492"/>
        <s v="TX002136"/>
        <s v="TX002248"/>
        <s v="TX001354"/>
        <s v="TX000825"/>
        <s v="TX000495"/>
        <s v="TX000800"/>
        <s v="TX002011"/>
        <s v="TX000848"/>
        <s v="TX001229"/>
        <s v="TX002158"/>
        <s v="TX000888"/>
        <s v="TX001861"/>
        <s v="TX001892"/>
        <s v="TX001458"/>
        <s v="TX002261"/>
        <s v="TX001104"/>
        <s v="TX002285"/>
        <s v="TX001688"/>
        <s v="TX000410"/>
        <s v="TX000013"/>
        <s v="TX001380"/>
        <s v="TX000405"/>
        <s v="TX001098"/>
        <s v="TX001895"/>
        <s v="TX000952"/>
        <s v="TX002001"/>
        <s v="TX000975"/>
        <s v="TX001372"/>
        <s v="TX000216"/>
        <s v="TX002184"/>
        <s v="TX001738"/>
        <s v="TX000472"/>
        <s v="TX001363"/>
        <s v="TX000539"/>
        <s v="TX001160"/>
        <s v="TX000991"/>
        <s v="TX002277"/>
        <s v="TX001009"/>
        <s v="TX002250"/>
        <s v="TX000875"/>
        <s v="TX000497"/>
        <s v="TX000312"/>
        <s v="TX000132"/>
        <s v="TX000252"/>
        <s v="TX001048"/>
        <s v="TX000137"/>
        <s v="TX000648"/>
        <s v="TX000595"/>
        <s v="TX001982"/>
        <s v="TX000585"/>
        <s v="TX000811"/>
        <s v="TX001752"/>
        <s v="TX000279"/>
        <s v="TX000360"/>
        <s v="TX001270"/>
        <s v="TX001585"/>
        <s v="TX002084"/>
        <s v="TX000351"/>
        <s v="TX001293"/>
        <s v="TX002274"/>
        <s v="TX001275"/>
        <s v="TX002293"/>
        <s v="TX000028"/>
        <s v="TX001767"/>
        <s v="TX000660"/>
        <s v="TX001308"/>
        <s v="TX000571"/>
        <s v="TX001189"/>
        <s v="TX001671"/>
        <s v="TX002122"/>
        <s v="TX000650"/>
        <s v="TX000869"/>
        <s v="TX001393"/>
        <s v="TX000891"/>
        <s v="TX001052"/>
        <s v="TX000828"/>
        <s v="TX001768"/>
        <s v="TX001536"/>
        <s v="TX001637"/>
        <s v="TX001563"/>
        <s v="TX001420"/>
        <s v="TX001058"/>
        <s v="TX000598"/>
        <s v="TX001011"/>
        <s v="TX000861"/>
        <s v="TX001415"/>
        <s v="TX000091"/>
        <s v="TX001749"/>
        <s v="TX000790"/>
        <s v="TX000263"/>
        <s v="TX000712"/>
        <s v="TX001537"/>
        <s v="TX002022"/>
        <s v="TX000149"/>
        <s v="TX002049"/>
        <s v="TX002117"/>
        <s v="TX000079"/>
        <s v="TX001853"/>
        <s v="TX001643"/>
        <s v="TX000998"/>
        <s v="TX000036"/>
        <s v="TX001294"/>
        <s v="TX000235"/>
        <s v="TX001266"/>
        <s v="TX000324"/>
        <s v="TX002013"/>
        <s v="TX001031"/>
        <s v="TX001629"/>
        <s v="TX002290"/>
        <s v="TX000816"/>
        <s v="TX001049"/>
        <s v="TX002271"/>
        <s v="TX000396"/>
        <s v="TX000782"/>
        <s v="TX001729"/>
        <s v="TX001518"/>
        <s v="TX002135"/>
        <s v="TX000504"/>
        <s v="TX002029"/>
        <s v="TX000384"/>
        <s v="TX000311"/>
        <s v="TX002010"/>
        <s v="TX000905"/>
        <s v="TX000521"/>
        <s v="TX001592"/>
        <s v="TX001736"/>
        <s v="TX000760"/>
        <s v="TX000190"/>
        <s v="TX001756"/>
        <s v="TX000664"/>
        <s v="TX001016"/>
        <s v="TX000575"/>
        <s v="TX000316"/>
        <s v="TX000743"/>
        <s v="TX001444"/>
        <s v="TX002171"/>
        <s v="TX001818"/>
        <s v="TX000787"/>
        <s v="TX002300"/>
        <s v="TX000962"/>
        <s v="TX000027"/>
        <s v="TX001538"/>
        <s v="TX001288"/>
        <s v="TX000667"/>
        <s v="TX000257"/>
        <s v="TX001556"/>
        <s v="TX001622"/>
        <s v="TX001213"/>
        <s v="TX001214"/>
        <s v="TX000967"/>
        <s v="TX000683"/>
        <s v="TX000689"/>
        <s v="TX000864"/>
        <s v="TX000499"/>
        <s v="TX000042"/>
        <s v="TX000992"/>
        <s v="TX001908"/>
        <s v="TX000100"/>
        <s v="TX001615"/>
        <s v="TX000923"/>
        <s v="TX002040"/>
        <s v="TX001441"/>
        <s v="TX000721"/>
        <s v="TX000437"/>
        <s v="TX001101"/>
        <s v="TX002039"/>
        <s v="TX001577"/>
        <s v="TX001948"/>
        <s v="TX000517"/>
        <s v="TX000820"/>
        <s v="TX001117"/>
        <s v="TX000157"/>
        <s v="TX002020"/>
        <s v="TX000420"/>
        <s v="TX000832"/>
        <s v="TX001851"/>
        <s v="TX000778"/>
        <s v="TX000503"/>
        <s v="TX001988"/>
        <s v="TX002295"/>
        <s v="TX001520"/>
        <s v="TX001624"/>
        <s v="TX001840"/>
        <s v="TX001652"/>
        <s v="TX001225"/>
        <s v="TX000350"/>
        <s v="TX001645"/>
        <s v="TX001057"/>
        <s v="TX000636"/>
        <s v="TX001822"/>
        <s v="TX000319"/>
        <s v="TX001396"/>
        <s v="TX000544"/>
        <s v="TX000356"/>
        <s v="TX001619"/>
        <s v="TX002203"/>
        <s v="TX000494"/>
        <s v="TX002233"/>
        <s v="TX001717"/>
        <s v="TX000724"/>
        <s v="TX000181"/>
        <s v="TX002211"/>
        <s v="TX000245"/>
        <s v="TX000167"/>
        <s v="TX002105"/>
        <s v="TX000393"/>
        <s v="TX001245"/>
        <s v="TX002168"/>
        <s v="TX002008"/>
        <s v="TX000941"/>
        <s v="TX001059"/>
        <s v="TX000086"/>
        <s v="TX000747"/>
        <s v="TX001181"/>
        <s v="TX001882"/>
        <s v="TX001419"/>
        <s v="TX000913"/>
        <s v="TX002116"/>
        <s v="TX001416"/>
        <s v="TX001806"/>
        <s v="TX000982"/>
        <s v="TX000381"/>
        <s v="TX001364"/>
        <s v="TX002212"/>
        <s v="TX001039"/>
        <s v="TX000510"/>
        <s v="TX001885"/>
        <s v="TX000022"/>
        <s v="TX001579"/>
        <s v="TX001541"/>
        <s v="TX000188"/>
        <s v="TX001015"/>
        <s v="TX001505"/>
        <s v="TX000394"/>
        <s v="TX000171"/>
        <s v="TX001682"/>
        <s v="TX000075"/>
        <s v="TX001159"/>
        <s v="TX001587"/>
        <s v="TX000010"/>
        <s v="TX000011"/>
        <s v="TX001817"/>
        <s v="TX002062"/>
        <s v="TX000827"/>
        <s v="TX001239"/>
        <s v="TX002153"/>
        <s v="TX001463"/>
        <s v="TX000285"/>
        <s v="TX001468"/>
        <s v="TX000617"/>
        <s v="TX001360"/>
        <s v="TX002238"/>
        <s v="TX002080"/>
        <s v="TX001150"/>
        <s v="TX002223"/>
        <s v="TX002017"/>
        <s v="TX000474"/>
        <s v="TX000140"/>
        <s v="TX001926"/>
        <s v="TX001190"/>
        <s v="TX001251"/>
        <s v="TX002058"/>
        <s v="TX000192"/>
        <s v="TX001331"/>
        <s v="TX001812"/>
        <s v="TX001257"/>
        <s v="TX000056"/>
        <s v="TX000483"/>
        <s v="TX000044"/>
        <s v="TX001824"/>
        <s v="TX000321"/>
        <s v="TX001914"/>
        <s v="TX002149"/>
        <s v="TX000755"/>
        <s v="TX001042"/>
        <s v="TX002299"/>
        <s v="TX000431"/>
        <s v="TX000210"/>
        <s v="TX001816"/>
        <s v="TX001697"/>
        <s v="TX001833"/>
        <s v="TX000208"/>
        <s v="TX000238"/>
        <s v="TX001004"/>
        <s v="TX001949"/>
        <s v="TX000346"/>
        <s v="TX000963"/>
        <s v="TX001863"/>
        <s v="TX001834"/>
        <s v="TX001519"/>
        <s v="TX001365"/>
        <s v="TX001383"/>
        <s v="TX000458"/>
        <s v="TX001200"/>
        <s v="TX000301"/>
        <s v="TX002244"/>
        <s v="TX000460"/>
        <s v="TX000943"/>
        <s v="TX001490"/>
        <s v="TX001408"/>
        <s v="TX001260"/>
        <s v="TX001859"/>
        <s v="TX000475"/>
        <s v="TX001977"/>
        <s v="TX002063"/>
        <s v="TX001109"/>
        <s v="TX000464"/>
        <s v="TX000006"/>
        <s v="TX000842"/>
        <s v="TX000327"/>
        <s v="TX002257"/>
        <s v="TX001511"/>
        <s v="TX001449"/>
        <s v="TX001936"/>
        <s v="TX000893"/>
        <s v="TX001084"/>
        <s v="TX000014"/>
        <s v="TX001154"/>
        <s v="TX000695"/>
        <s v="TX000388"/>
        <s v="TX000524"/>
        <s v="TX001669"/>
        <s v="TX001726"/>
        <s v="TX001735"/>
        <s v="TX001286"/>
        <s v="TX000604"/>
        <s v="TX000843"/>
        <s v="TX000323"/>
        <s v="TX001564"/>
        <s v="TX002222"/>
        <s v="TX001014"/>
        <s v="TX001854"/>
        <s v="TX002064"/>
        <s v="TX002284"/>
        <s v="TX001503"/>
        <s v="TX000555"/>
        <s v="TX001281"/>
        <s v="TX000831"/>
        <s v="TX001856"/>
        <s v="TX000456"/>
        <s v="TX000308"/>
        <s v="TX000073"/>
        <s v="TX000258"/>
        <s v="TX001762"/>
        <s v="TX000003"/>
        <s v="TX001303"/>
        <s v="TX002047"/>
        <s v="TX002305"/>
        <s v="TX001448"/>
        <s v="TX001392"/>
        <s v="TX002201"/>
        <s v="TX000930"/>
        <s v="TX001981"/>
        <s v="TX001970"/>
        <s v="TX000480"/>
        <s v="TX002256"/>
        <s v="TX001829"/>
        <s v="TX000910"/>
        <s v="TX000118"/>
        <s v="TX001611"/>
        <s v="TX002111"/>
        <s v="TX001030"/>
        <s v="TX001235"/>
        <s v="TX000467"/>
        <s v="TX002030"/>
        <s v="TX001732"/>
        <s v="TX001469"/>
        <s v="TX000446"/>
        <s v="TX001963"/>
        <s v="TX001036"/>
        <s v="TX001199"/>
        <s v="TX001357"/>
        <s v="TX000777"/>
        <s v="TX000605"/>
        <s v="TX000569"/>
        <s v="TX001681"/>
        <s v="TX002275"/>
        <s v="TX001079"/>
        <s v="TX001093"/>
        <s v="TX001258"/>
        <s v="TX000085"/>
        <s v="TX001677"/>
        <s v="TX002074"/>
        <s v="TX002091"/>
        <s v="TX001534"/>
        <s v="TX001212"/>
        <s v="TX000756"/>
        <s v="TX001873"/>
        <s v="TX000152"/>
        <s v="TX002027"/>
        <s v="TX001547"/>
        <s v="TX000389"/>
        <s v="TX001162"/>
        <s v="TX000732"/>
        <s v="TX000173"/>
        <s v="TX001557"/>
        <s v="TX000531"/>
        <s v="TX002162"/>
        <s v="TX000766"/>
        <s v="TX000736"/>
        <s v="TX001362"/>
        <s v="TX001993"/>
        <s v="TX002114"/>
        <s v="TX002007"/>
        <s v="TX000375"/>
        <s v="TX001513"/>
        <s v="TX000710"/>
        <s v="TX000938"/>
        <s v="TX002199"/>
        <s v="TX001185"/>
        <s v="TX001075"/>
        <s v="TX001137"/>
        <s v="TX001864"/>
        <s v="TX000671"/>
        <s v="TX000033"/>
        <s v="TX000239"/>
        <s v="TX000128"/>
        <s v="TX000355"/>
        <s v="TX000165"/>
        <s v="TX001576"/>
        <s v="TX002220"/>
        <s v="TX001814"/>
        <s v="TX001320"/>
        <s v="TX001781"/>
        <s v="TX001499"/>
        <s v="TX000493"/>
        <s v="TX000473"/>
        <s v="TX000974"/>
        <s v="TX001787"/>
        <s v="TX001909"/>
        <s v="TX001683"/>
        <s v="TX000090"/>
        <s v="TX001686"/>
        <s v="TX000098"/>
        <s v="TX001067"/>
        <s v="TX001024"/>
        <s v="TX001935"/>
        <s v="TX001725"/>
        <s v="TX000450"/>
        <s v="TX000551"/>
        <s v="TX002081"/>
        <s v="TX001608"/>
        <s v="TX000219"/>
        <s v="TX000179"/>
        <s v="TX000434"/>
        <s v="TX001341"/>
        <s v="TX001321"/>
        <s v="TX001501"/>
        <s v="TX001842"/>
        <s v="TX000568"/>
        <s v="TX000682"/>
        <s v="TX001517"/>
        <s v="TX001410"/>
        <s v="TX000742"/>
        <s v="TX001306"/>
        <s v="TX001906"/>
        <s v="TX000484"/>
        <s v="TX001952"/>
        <s v="TX002060"/>
        <s v="TX002272"/>
        <s v="TX000438"/>
        <s v="TX001618"/>
        <s v="TX000781"/>
        <s v="TX000549"/>
        <s v="TX000854"/>
        <s v="TX001086"/>
        <s v="TX002200"/>
        <s v="TX000783"/>
        <s v="TX001894"/>
        <s v="TX001586"/>
        <s v="TX001813"/>
        <s v="TX001008"/>
        <s v="TX001666"/>
        <s v="TX001887"/>
        <s v="TX000674"/>
        <s v="TX002266"/>
        <s v="TX000687"/>
        <s v="TX001745"/>
        <s v="TX000459"/>
        <s v="TX000818"/>
        <s v="TX001268"/>
        <s v="TX000753"/>
        <s v="TX000122"/>
        <s v="TX000700"/>
        <s v="TX000877"/>
        <s v="TX001612"/>
        <s v="TX001766"/>
        <s v="TX001041"/>
        <s v="TX000897"/>
        <s v="TX002174"/>
        <s v="TX000579"/>
        <s v="TX001445"/>
        <s v="TX000856"/>
        <s v="TX001810"/>
        <s v="TX000039"/>
        <s v="TX001318"/>
        <s v="TX000032"/>
        <s v="TX002143"/>
        <s v="TX000107"/>
        <s v="TX000024"/>
        <s v="TX000711"/>
        <s v="TX000070"/>
        <s v="TX000200"/>
        <s v="TX002042"/>
        <s v="TX001120"/>
        <s v="TX002175"/>
        <s v="TX001128"/>
        <s v="TX001580"/>
        <s v="TX001191"/>
        <s v="TX001951"/>
        <s v="TX001271"/>
        <s v="TX001174"/>
        <s v="TX001099"/>
        <s v="TX001532"/>
        <s v="TX002205"/>
        <s v="TX001243"/>
        <s v="TX000385"/>
        <s v="TX001149"/>
        <s v="TX000266"/>
        <s v="TX001704"/>
        <s v="TX002163"/>
        <s v="TX001017"/>
        <s v="TX001459"/>
        <s v="TX001135"/>
        <s v="TX001946"/>
        <s v="TX001065"/>
        <s v="TX000505"/>
        <s v="TX000277"/>
        <s v="TX000810"/>
        <s v="TX000340"/>
        <s v="TX001975"/>
        <s v="TX001533"/>
        <s v="TX000946"/>
        <s v="TX002004"/>
        <s v="TX000186"/>
        <s v="TX000799"/>
        <s v="TX000931"/>
        <s v="TX001893"/>
        <s v="TX000745"/>
        <s v="TX000979"/>
        <s v="TX002019"/>
        <s v="TX001121"/>
        <s v="TX000062"/>
        <s v="TX001603"/>
        <s v="TX000798"/>
        <s v="TX001771"/>
        <s v="TX002287"/>
        <s v="TX001152"/>
        <s v="TX000142"/>
        <s v="TX002150"/>
        <s v="TX002148"/>
        <s v="TX001784"/>
        <s v="TX001332"/>
        <s v="TX000194"/>
        <s v="TX000647"/>
        <s v="TX001527"/>
        <s v="TX000034"/>
        <s v="TX001965"/>
        <s v="TX000801"/>
        <s v="TX000058"/>
        <s v="TX000939"/>
        <s v="TX001754"/>
        <s v="TX000359"/>
        <s v="TX001070"/>
        <s v="TX002065"/>
        <s v="TX001569"/>
        <s v="TX001649"/>
        <s v="TX000069"/>
        <s v="TX001343"/>
        <s v="TX000292"/>
        <s v="TX000047"/>
        <s v="TX000924"/>
        <s v="TX000278"/>
        <s v="TX002224"/>
        <s v="TX002278"/>
        <s v="TX000225"/>
        <s v="TX000865"/>
        <s v="TX000382"/>
        <s v="TX001905"/>
        <s v="TX000365"/>
        <s v="TX001901"/>
        <s v="TX001391"/>
        <s v="TX000934"/>
        <s v="TX001025"/>
        <s v="TX000774"/>
        <s v="TX001734"/>
        <s v="TX000067"/>
        <s v="TX001204"/>
        <s v="TX001056"/>
        <s v="TX000868"/>
        <s v="TX001674"/>
        <s v="TX000029"/>
        <s v="TX000295"/>
        <s v="TX001651"/>
        <s v="TX000114"/>
        <s v="TX000246"/>
        <s v="TX001440"/>
        <s v="TX001023"/>
        <s v="TX001186"/>
        <s v="TX000981"/>
        <s v="TX000412"/>
        <s v="TX002051"/>
        <s v="TX001879"/>
        <s v="TX000117"/>
        <s v="TX002231"/>
        <s v="TX002078"/>
        <s v="TX000248"/>
        <s v="TX001514"/>
        <s v="TX000666"/>
        <s v="TX000752"/>
        <s v="TX001957"/>
        <s v="TX001352"/>
        <s v="TX000093"/>
        <s v="TX001406"/>
        <s v="TX000115"/>
        <s v="TX001377"/>
        <s v="TX000255"/>
        <s v="TX000430"/>
        <s v="TX000589"/>
        <s v="TX002312"/>
        <s v="TX002235"/>
        <s v="TX000119"/>
        <s v="TX001414"/>
        <s v="TX000133"/>
        <s v="TX001883"/>
        <s v="TX000264"/>
        <s v="TX002015"/>
        <s v="TX001314"/>
        <s v="TX000247"/>
        <s v="TX001711"/>
        <s v="TX000776"/>
        <s v="TX000553"/>
        <s v="TX001114"/>
        <s v="TX001217"/>
        <s v="TX001778"/>
        <s v="TX000581"/>
        <s v="TX001917"/>
        <s v="TX001461"/>
        <s v="TX001780"/>
        <s v="TX000652"/>
        <s v="TX001676"/>
        <s v="TX001795"/>
        <s v="TX001171"/>
        <s v="TX001143"/>
        <s v="TX001898"/>
        <s v="TX001849"/>
        <s v="TX000197"/>
        <s v="TX000534"/>
        <s v="TX000863"/>
        <s v="TX001792"/>
        <s v="TX001869"/>
        <s v="TX001369"/>
        <s v="TX000898"/>
        <s v="TX001808"/>
        <s v="TX001051"/>
        <s v="TX000677"/>
        <s v="TX000015"/>
        <s v="TX000501"/>
        <s v="TX000968"/>
        <s v="TX001107"/>
        <s v="TX001847"/>
        <s v="TX000241"/>
        <s v="TX002107"/>
        <s v="TX000601"/>
        <s v="TX000876"/>
        <s v="TX000274"/>
        <s v="TX000685"/>
        <s v="TX001962"/>
        <s v="TX001491"/>
        <s v="TX001640"/>
        <s v="TX001134"/>
        <s v="TX001989"/>
        <s v="TX001472"/>
        <s v="TX000372"/>
        <s v="TX002186"/>
        <s v="TX001716"/>
        <s v="TX000272"/>
        <s v="TX000606"/>
        <s v="TX001474"/>
        <s v="TX001254"/>
        <s v="TX001548"/>
        <s v="TX000215"/>
        <s v="TX001967"/>
        <s v="TX000345"/>
        <s v="TX000839"/>
        <s v="TX001616"/>
        <s v="TX000148"/>
        <s v="TX001022"/>
        <s v="TX001984"/>
        <s v="TX001748"/>
        <s v="TX000413"/>
        <s v="TX002207"/>
        <s v="TX001224"/>
        <s v="TX000784"/>
        <s v="TX000343"/>
        <s v="TX000948"/>
        <s v="TX000748"/>
        <s v="TX000174"/>
        <s v="TX001830"/>
        <s v="TX000378"/>
        <s v="TX001492"/>
        <s v="TX000739"/>
        <s v="TX001330"/>
        <s v="TX001568"/>
        <s v="TX001876"/>
        <s v="TX000053"/>
        <s v="TX000019"/>
        <s v="TX001310"/>
        <s v="TX000222"/>
        <s v="TX001839"/>
        <s v="TX001992"/>
        <s v="TX002270"/>
        <s v="TX001390"/>
        <s v="TX001141"/>
        <s v="TX002061"/>
        <s v="TX001431"/>
        <s v="TX001386"/>
        <s v="TX000096"/>
        <s v="TX001500"/>
        <s v="TX000262"/>
        <s v="TX002157"/>
        <s v="TX002075"/>
        <s v="TX001903"/>
        <s v="TX000180"/>
        <s v="TX001127"/>
        <s v="TX001599"/>
        <s v="TX000717"/>
        <s v="TX002294"/>
        <s v="TX001588"/>
        <s v="TX000185"/>
        <s v="TX000468"/>
        <s v="TX001405"/>
        <s v="TX000904"/>
        <s v="TX002087"/>
        <s v="TX000072"/>
        <s v="TX001170"/>
        <s v="TX001930"/>
        <s v="TX001902"/>
        <s v="TX000347"/>
        <s v="TX001837"/>
        <s v="TX001208"/>
        <s v="TX000030"/>
        <s v="TX002214"/>
        <s v="TX000797"/>
        <s v="TX001064"/>
        <s v="TX001529"/>
        <s v="TX000158"/>
        <s v="TX000933"/>
        <s v="TX000659"/>
        <s v="TX001758"/>
        <s v="TX001660"/>
        <s v="TX002221"/>
        <s v="TX000395"/>
        <s v="TX001077"/>
        <s v="TX000989"/>
        <s v="TX000455"/>
        <s v="TX001384"/>
        <s v="TX001860"/>
        <s v="TX000403"/>
        <s v="TX000990"/>
        <s v="TX001446"/>
        <s v="TX001473"/>
        <s v="TX000678"/>
        <s v="TX001309"/>
        <s v="TX001617"/>
        <s v="TX001252"/>
        <s v="TX001378"/>
        <s v="TX000823"/>
        <s v="TX000964"/>
        <s v="TX002251"/>
        <s v="TX000836"/>
        <s v="TX001034"/>
        <s v="TX000175"/>
        <s v="TX000940"/>
        <s v="TX001055"/>
        <s v="TX001102"/>
        <s v="TX000692"/>
        <s v="TX002079"/>
        <s v="TX001991"/>
        <s v="TX000335"/>
        <s v="TX000874"/>
        <s v="TX000806"/>
        <s v="TX002187"/>
        <s v="TX000008"/>
        <s v="TX000518"/>
        <s v="TX000198"/>
        <s v="TX000297"/>
        <s v="TX001417"/>
        <s v="TX001932"/>
        <s v="TX000220"/>
        <s v="TX001255"/>
        <s v="TX001531"/>
        <s v="TX001798"/>
        <s v="TX001535"/>
        <s v="TX001746"/>
        <s v="TX000123"/>
        <s v="TX001713"/>
        <s v="TX000379"/>
        <s v="TX001063"/>
        <s v="TX000723"/>
        <s v="TX001871"/>
        <s v="TX002006"/>
        <s v="TX000163"/>
        <s v="TX001187"/>
        <s v="TX001092"/>
        <s v="TX000125"/>
        <s v="TX000552"/>
        <s v="TX000005"/>
        <s v="TX001570"/>
        <s v="TX002252"/>
        <s v="TX000916"/>
        <s v="TX001558"/>
        <s v="TX001872"/>
        <s v="TX000959"/>
        <s v="TX000793"/>
        <s v="TX002118"/>
        <s v="TX000612"/>
        <s v="TX001772"/>
        <s v="TX000288"/>
        <s v="TX001773"/>
        <s v="TX001452"/>
        <s v="TX000957"/>
        <s v="TX001633"/>
        <s v="TX001888"/>
        <s v="TX002314"/>
        <s v="TX001670"/>
        <s v="TX001960"/>
        <s v="TX001985"/>
        <s v="TX000909"/>
        <s v="TX001867"/>
        <s v="TX000507"/>
        <s v="TX000357"/>
        <s v="TX001424"/>
        <s v="TX001342"/>
        <s v="TX002217"/>
        <s v="TX000353"/>
        <s v="TX000845"/>
        <s v="TX001155"/>
        <s v="TX001549"/>
        <s v="TX001723"/>
        <s v="TX002072"/>
        <s v="TX000837"/>
        <s v="TX000947"/>
        <s v="TX000668"/>
        <s v="TX000887"/>
        <s v="TX001285"/>
        <s v="TX000785"/>
        <s v="TX000334"/>
        <s v="TX000154"/>
        <s v="TX001421"/>
        <s v="TX000788"/>
        <s v="TX000502"/>
        <s v="TX001841"/>
        <s v="TX001737"/>
        <s v="TX001931"/>
        <s v="TX000722"/>
        <s v="TX000374"/>
        <s v="TX002185"/>
        <s v="TX000591"/>
        <s v="TX000313"/>
        <s v="TX001850"/>
        <s v="TX001623"/>
        <s v="TX000043"/>
        <s v="TX002041"/>
        <s v="TX000646"/>
        <s v="TX001874"/>
        <s v="TX002139"/>
        <s v="TX000972"/>
        <s v="TX002167"/>
        <s v="TX000523"/>
        <s v="TX000418"/>
        <s v="TX000763"/>
        <s v="TX000658"/>
        <s v="TX001165"/>
        <s v="TX001971"/>
        <s v="TX000705"/>
        <s v="TX000733"/>
        <s v="TX002193"/>
        <s v="TX002109"/>
        <s v="TX002055"/>
        <s v="TX000945"/>
        <s v="TX000169"/>
        <s v="TX002165"/>
        <s v="TX001567"/>
        <s v="TX000361"/>
        <s v="TX001807"/>
        <s v="TX001019"/>
        <s v="TX001470"/>
        <s v="TX000908"/>
        <s v="TX001694"/>
        <s v="TX000744"/>
        <s v="TX000273"/>
        <s v="TX001494"/>
        <s v="TX000520"/>
        <s v="TX000815"/>
        <s v="TX000819"/>
        <s v="TX001402"/>
        <s v="TX000735"/>
        <s v="TX001523"/>
        <s v="TX001639"/>
        <s v="TX002247"/>
        <s v="TX001510"/>
        <s v="TX002170"/>
        <s v="TX002048"/>
        <s v="TX000915"/>
        <s v="TX001701"/>
        <s v="TX002276"/>
        <s v="TX001122"/>
        <s v="TX002240"/>
        <s v="TX000129"/>
        <s v="TX001915"/>
        <s v="TX000999"/>
        <s v="TX000690"/>
        <s v="TX001884"/>
        <s v="TX001647"/>
        <s v="TX000545"/>
        <s v="TX000380"/>
        <s v="TX001728"/>
        <s v="TX001956"/>
        <s v="TX000204"/>
        <s v="TX000344"/>
        <s v="TX002144"/>
        <s v="TX001679"/>
        <s v="TX002232"/>
        <s v="TX000519"/>
        <s v="TX001943"/>
        <s v="TX001804"/>
        <s v="TX002183"/>
        <s v="TX000489"/>
        <s v="TX001262"/>
        <s v="TX001002"/>
        <s v="TX001574"/>
        <s v="TX001425"/>
        <s v="TX001920"/>
        <s v="TX001595"/>
        <s v="TX000918"/>
        <s v="TX000233"/>
        <s v="TX000795"/>
        <s v="TX001707"/>
        <s v="TX001467"/>
        <s v="TX002241"/>
        <s v="TX001743"/>
        <s v="TX001821"/>
        <s v="TX001123"/>
        <s v="TX000515"/>
        <s v="TX002309"/>
        <s v="TX000512"/>
        <s v="TX000113"/>
        <s v="TX001000"/>
        <s v="TX000218"/>
        <s v="TX001385"/>
        <s v="TX001583"/>
        <s v="TX000500"/>
        <s v="TX002298"/>
        <s v="TX000935"/>
        <s v="TX000226"/>
        <s v="TX001043"/>
        <s v="TX001193"/>
        <s v="TX000741"/>
        <s v="TX001317"/>
        <s v="TX002229"/>
        <s v="TX001450"/>
        <s v="TX000398"/>
        <s v="TX001764"/>
        <s v="TX001667"/>
        <s v="TX000541"/>
        <s v="TX000329"/>
        <s v="TX000796"/>
        <s v="TX000849"/>
        <s v="TX000622"/>
        <s v="TX000214"/>
        <s v="TX000771"/>
        <s v="TX000338"/>
        <s v="TX000804"/>
        <s v="TX001183"/>
        <s v="TX001169"/>
        <s v="TX000037"/>
        <s v="TX000106"/>
        <s v="TX000363"/>
        <s v="TX000851"/>
        <s v="TX001741"/>
        <s v="TX000857"/>
        <s v="TX001466"/>
        <s v="TX000566"/>
        <s v="TX000250"/>
        <s v="TX001475"/>
        <s v="TX000318"/>
        <s v="TX001201"/>
        <s v="TX001108"/>
        <s v="TX000653"/>
        <s v="TX000071"/>
        <s v="TX001668"/>
        <s v="TX001175"/>
        <s v="TX001089"/>
        <s v="TX002289"/>
        <s v="TX000411"/>
        <s v="TX002226"/>
        <s v="TX001026"/>
        <s v="TX000540"/>
        <s v="TX000602"/>
        <s v="TX001333"/>
        <s v="TX002197"/>
        <s v="TX001435"/>
        <s v="TX002133"/>
        <s v="TX000838"/>
        <s v="TX002113"/>
        <s v="TX001628"/>
        <s v="TX000807"/>
        <s v="TX000883"/>
        <s v="TX001485"/>
        <s v="TX000638"/>
        <s v="TX000424"/>
        <s v="TX000728"/>
        <s v="TX001997"/>
        <s v="TX000377"/>
        <s v="TX000525"/>
        <s v="TX000151"/>
        <s v="TX001581"/>
        <s v="TX001950"/>
        <s v="TX001775"/>
        <s v="TX000627"/>
        <s v="TX002204"/>
        <s v="TX001846"/>
        <s v="TX000144"/>
        <s v="TX000718"/>
        <s v="TX000567"/>
        <s v="TX001881"/>
        <s v="TX001156"/>
        <s v="TX001432"/>
        <s v="TX002132"/>
        <s v="TX000880"/>
        <s v="TX001076"/>
        <s v="TX000625"/>
        <s v="TX002269"/>
        <s v="TX002304"/>
        <s v="TX001367"/>
        <s v="TX000618"/>
        <s v="TX001325"/>
        <s v="TX001983"/>
        <s v="TX000691"/>
        <s v="TX002172"/>
        <s v="TX001690"/>
        <s v="TX001351"/>
        <s v="TX002242"/>
        <s v="TX001831"/>
        <s v="TX001687"/>
        <s v="TX001693"/>
        <s v="TX000466"/>
        <s v="TX001188"/>
        <s v="TX001192"/>
        <s v="TX000146"/>
        <s v="TX000325"/>
        <s v="TX001763"/>
        <s v="TX000707"/>
        <s v="TX000715"/>
        <s v="TX001835"/>
        <s v="TX001112"/>
        <s v="TX002128"/>
        <s v="TX000902"/>
        <s v="TX000688"/>
        <s v="TX001631"/>
        <s v="TX001940"/>
        <s v="TX001825"/>
        <s v="TX000101"/>
        <s v="TX000291"/>
        <s v="TX000879"/>
        <s v="TX001456"/>
        <s v="TX000392"/>
        <s v="TX000087"/>
        <s v="TX001276"/>
        <s v="TX001524"/>
        <s v="TX000476"/>
        <s v="TX001695"/>
        <s v="TX001296"/>
        <s v="TX002093"/>
        <s v="TX001138"/>
        <s v="TX002073"/>
        <s v="TX001236"/>
        <s v="TX000833"/>
        <s v="TX000592"/>
        <s v="TX002306"/>
        <s v="TX001621"/>
        <s v="TX001636"/>
        <s v="TX000110"/>
        <s v="TX001161"/>
        <s v="TX000223"/>
        <s v="TX001053"/>
        <s v="TX001312"/>
        <s v="TX002104"/>
        <s v="TX002307"/>
        <s v="TX000254"/>
        <s v="TX001073"/>
        <s v="TX001620"/>
        <s v="TX001493"/>
        <s v="TX000546"/>
        <s v="TX000950"/>
        <s v="TX001572"/>
        <s v="TX000844"/>
        <s v="TX000064"/>
        <s v="TX000414"/>
        <s v="TX000885"/>
        <s v="TX000452"/>
        <s v="TX001259"/>
        <s v="TX000657"/>
        <s v="TX001880"/>
        <s v="TX001582"/>
        <s v="TX001487"/>
        <s v="TX001486"/>
        <s v="TX001328"/>
        <s v="TX000078"/>
        <s v="TX002070"/>
        <s v="TX000870"/>
        <s v="TX000451"/>
        <s v="TX001020"/>
        <s v="TX001561"/>
        <s v="TX001980"/>
        <s v="TX000697"/>
        <s v="TX001742"/>
        <s v="TX000812"/>
        <s v="TX002301"/>
        <s v="TX000911"/>
        <s v="TX001522"/>
        <s v="TX001050"/>
        <s v="TX000506"/>
        <s v="TX000406"/>
        <s v="TX000184"/>
        <s v="TX001877"/>
        <s v="TX001718"/>
        <s v="TX000610"/>
        <s v="TX002034"/>
        <s v="TX001969"/>
        <s v="TX000021"/>
        <s v="TX001426"/>
        <s v="TX001591"/>
        <s v="TX000328"/>
        <s v="TX001875"/>
        <s v="TX002303"/>
        <s v="TX000267"/>
        <s v="TX001891"/>
        <s v="TX001757"/>
        <s v="TX002179"/>
        <s v="TX000866"/>
        <s v="TX002279"/>
        <s v="TX002228"/>
        <s v="TX000490"/>
        <s v="TX000607"/>
        <s v="TX001739"/>
        <s v="TX000153"/>
        <s v="TX000890"/>
        <s v="TX002273"/>
        <s v="TX000270"/>
        <s v="TX000097"/>
        <s v="TX000965"/>
        <s v="TX001800"/>
        <s v="TX000872"/>
        <s v="TX001573"/>
        <s v="TX000533"/>
        <s v="TX001068"/>
        <s v="TX001100"/>
        <s v="TX002126"/>
        <s v="TX000716"/>
        <s v="TX002198"/>
        <s v="TX002282"/>
        <s v="TX001539"/>
        <s v="TX002286"/>
        <s v="TX000470"/>
        <s v="TX000565"/>
        <s v="TX001799"/>
        <s v="TX000462"/>
        <s v="TX001278"/>
        <s v="TX001796"/>
        <s v="TX001870"/>
        <s v="TX001394"/>
        <s v="TX001346"/>
        <s v="TX000696"/>
        <s v="TX001176"/>
        <s v="TX001753"/>
        <s v="TX000929"/>
        <s v="TX001215"/>
        <s v="TX001373"/>
        <s v="TX000244"/>
        <s v="TX001680"/>
        <s v="TX001313"/>
        <s v="TX000649"/>
        <s v="TX000314"/>
        <s v="TX000156"/>
        <s v="TX001304"/>
        <s v="TX001151"/>
        <s v="TX001802"/>
        <s v="TX001047"/>
        <s v="TX001641"/>
        <s v="TX001307"/>
        <s v="TX001928"/>
        <s v="TX001496"/>
        <s v="TX000026"/>
        <s v="TX002245"/>
        <s v="TX000016"/>
        <s v="TX001322"/>
        <s v="TX000884"/>
        <s v="TX001361"/>
        <s v="TX001845"/>
        <s v="TX001613"/>
        <s v="TX000498"/>
        <s v="TX000516"/>
        <s v="TX002297"/>
        <s v="TX001479"/>
        <s v="TX001412"/>
        <s v="TX001096"/>
        <s v="TX000543"/>
        <s v="TX000634"/>
        <s v="TX000432"/>
        <s v="TX000729"/>
        <s v="TX001289"/>
        <s v="TX002258"/>
        <s v="TX000317"/>
        <s v="TX001921"/>
        <s v="TX001338"/>
        <s v="TX000320"/>
        <s v="TX001032"/>
        <s v="TX002026"/>
        <s v="TX002190"/>
        <s v="TX001111"/>
        <s v="TX001889"/>
        <s v="TX001528"/>
        <s v="TX000754"/>
        <s v="TX000563"/>
        <s v="TX000669"/>
        <s v="TX000253"/>
        <s v="TX000358"/>
        <s v="TX001279"/>
        <s v="TX001301"/>
        <s v="TX001203"/>
        <s v="TX000130"/>
        <s v="TX000145"/>
        <s v="TX000961"/>
        <s v="TX000906"/>
        <s v="TX001097"/>
        <s v="TX000236"/>
        <s v="TX001062"/>
        <m/>
      </sharedItems>
    </cacheField>
    <cacheField name="MemberID" numFmtId="0">
      <sharedItems containsBlank="1"/>
    </cacheField>
    <cacheField name="Tanggal" numFmtId="164">
      <sharedItems containsNonDate="0" containsDate="1" containsString="0" containsBlank="1" minDate="2025-10-01T00:00:00" maxDate="2026-09-29T00:00:00" count="363">
        <d v="2025-10-22T00:00:00"/>
        <d v="2026-03-04T00:00:00"/>
        <d v="2026-04-29T00:00:00"/>
        <d v="2025-11-16T00:00:00"/>
        <d v="2025-12-24T00:00:00"/>
        <d v="2026-07-25T00:00:00"/>
        <d v="2025-10-14T00:00:00"/>
        <d v="2025-11-14T00:00:00"/>
        <d v="2026-08-06T00:00:00"/>
        <d v="2026-03-03T00:00:00"/>
        <d v="2026-04-03T00:00:00"/>
        <d v="2026-03-09T00:00:00"/>
        <d v="2026-05-31T00:00:00"/>
        <d v="2026-07-03T00:00:00"/>
        <d v="2025-12-16T00:00:00"/>
        <d v="2025-12-01T00:00:00"/>
        <d v="2026-06-05T00:00:00"/>
        <d v="2025-10-18T00:00:00"/>
        <d v="2025-11-08T00:00:00"/>
        <d v="2026-03-12T00:00:00"/>
        <d v="2025-10-23T00:00:00"/>
        <d v="2026-09-03T00:00:00"/>
        <d v="2026-08-21T00:00:00"/>
        <d v="2026-02-28T00:00:00"/>
        <d v="2026-01-06T00:00:00"/>
        <d v="2025-10-02T00:00:00"/>
        <d v="2026-04-12T00:00:00"/>
        <d v="2026-05-22T00:00:00"/>
        <d v="2025-11-12T00:00:00"/>
        <d v="2025-11-13T00:00:00"/>
        <d v="2026-09-17T00:00:00"/>
        <d v="2026-09-16T00:00:00"/>
        <d v="2025-11-27T00:00:00"/>
        <d v="2025-12-17T00:00:00"/>
        <d v="2026-02-01T00:00:00"/>
        <d v="2026-06-15T00:00:00"/>
        <d v="2026-05-16T00:00:00"/>
        <d v="2025-12-06T00:00:00"/>
        <d v="2025-11-29T00:00:00"/>
        <d v="2026-03-23T00:00:00"/>
        <d v="2026-05-19T00:00:00"/>
        <d v="2026-07-22T00:00:00"/>
        <d v="2025-12-05T00:00:00"/>
        <d v="2026-04-09T00:00:00"/>
        <d v="2025-12-29T00:00:00"/>
        <d v="2026-05-17T00:00:00"/>
        <d v="2026-08-27T00:00:00"/>
        <d v="2026-01-08T00:00:00"/>
        <d v="2026-02-27T00:00:00"/>
        <d v="2026-06-06T00:00:00"/>
        <d v="2026-09-12T00:00:00"/>
        <d v="2025-11-28T00:00:00"/>
        <d v="2025-12-14T00:00:00"/>
        <d v="2026-05-24T00:00:00"/>
        <d v="2026-04-30T00:00:00"/>
        <d v="2026-07-20T00:00:00"/>
        <d v="2026-08-26T00:00:00"/>
        <d v="2026-03-14T00:00:00"/>
        <d v="2026-09-23T00:00:00"/>
        <d v="2026-03-13T00:00:00"/>
        <d v="2025-11-20T00:00:00"/>
        <d v="2025-11-23T00:00:00"/>
        <d v="2026-02-25T00:00:00"/>
        <d v="2026-04-26T00:00:00"/>
        <d v="2026-03-15T00:00:00"/>
        <d v="2026-09-15T00:00:00"/>
        <d v="2026-07-26T00:00:00"/>
        <d v="2025-11-19T00:00:00"/>
        <d v="2026-08-11T00:00:00"/>
        <d v="2026-08-31T00:00:00"/>
        <d v="2026-02-11T00:00:00"/>
        <d v="2026-01-26T00:00:00"/>
        <d v="2026-06-23T00:00:00"/>
        <d v="2026-01-20T00:00:00"/>
        <d v="2026-03-22T00:00:00"/>
        <d v="2026-08-09T00:00:00"/>
        <d v="2026-08-16T00:00:00"/>
        <d v="2025-10-10T00:00:00"/>
        <d v="2026-05-26T00:00:00"/>
        <d v="2026-09-05T00:00:00"/>
        <d v="2026-01-30T00:00:00"/>
        <d v="2026-06-24T00:00:00"/>
        <d v="2026-05-20T00:00:00"/>
        <d v="2025-12-26T00:00:00"/>
        <d v="2026-05-23T00:00:00"/>
        <d v="2026-04-24T00:00:00"/>
        <d v="2026-03-26T00:00:00"/>
        <d v="2026-02-12T00:00:00"/>
        <d v="2026-07-23T00:00:00"/>
        <d v="2026-07-18T00:00:00"/>
        <d v="2025-10-06T00:00:00"/>
        <d v="2026-09-11T00:00:00"/>
        <d v="2026-07-16T00:00:00"/>
        <d v="2026-01-25T00:00:00"/>
        <d v="2026-06-17T00:00:00"/>
        <d v="2026-01-02T00:00:00"/>
        <d v="2026-04-17T00:00:00"/>
        <d v="2026-05-27T00:00:00"/>
        <d v="2026-07-14T00:00:00"/>
        <d v="2025-11-17T00:00:00"/>
        <d v="2026-09-01T00:00:00"/>
        <d v="2026-04-28T00:00:00"/>
        <d v="2026-02-04T00:00:00"/>
        <d v="2026-08-02T00:00:00"/>
        <d v="2026-07-29T00:00:00"/>
        <d v="2026-03-07T00:00:00"/>
        <d v="2026-05-03T00:00:00"/>
        <d v="2026-02-24T00:00:00"/>
        <d v="2025-11-06T00:00:00"/>
        <d v="2025-12-09T00:00:00"/>
        <d v="2026-04-05T00:00:00"/>
        <d v="2026-04-20T00:00:00"/>
        <d v="2025-10-21T00:00:00"/>
        <d v="2026-09-20T00:00:00"/>
        <d v="2025-10-05T00:00:00"/>
        <d v="2025-10-03T00:00:00"/>
        <d v="2026-01-13T00:00:00"/>
        <d v="2026-08-28T00:00:00"/>
        <d v="2026-01-14T00:00:00"/>
        <d v="2026-07-27T00:00:00"/>
        <d v="2026-08-30T00:00:00"/>
        <d v="2026-09-06T00:00:00"/>
        <d v="2026-05-02T00:00:00"/>
        <d v="2026-03-20T00:00:00"/>
        <d v="2026-07-11T00:00:00"/>
        <d v="2026-07-04T00:00:00"/>
        <d v="2026-08-17T00:00:00"/>
        <d v="2026-03-17T00:00:00"/>
        <d v="2026-09-24T00:00:00"/>
        <d v="2026-05-13T00:00:00"/>
        <d v="2026-08-18T00:00:00"/>
        <d v="2025-10-31T00:00:00"/>
        <d v="2026-04-15T00:00:00"/>
        <d v="2026-01-01T00:00:00"/>
        <d v="2026-01-11T00:00:00"/>
        <d v="2026-01-22T00:00:00"/>
        <d v="2026-09-19T00:00:00"/>
        <d v="2026-08-24T00:00:00"/>
        <d v="2025-10-07T00:00:00"/>
        <d v="2025-12-10T00:00:00"/>
        <d v="2025-10-27T00:00:00"/>
        <d v="2026-09-10T00:00:00"/>
        <d v="2026-08-05T00:00:00"/>
        <d v="2026-07-01T00:00:00"/>
        <d v="2025-12-30T00:00:00"/>
        <d v="2026-05-07T00:00:00"/>
        <d v="2025-12-12T00:00:00"/>
        <d v="2026-04-06T00:00:00"/>
        <d v="2026-06-27T00:00:00"/>
        <d v="2026-06-30T00:00:00"/>
        <d v="2026-01-16T00:00:00"/>
        <d v="2026-06-09T00:00:00"/>
        <d v="2026-03-29T00:00:00"/>
        <d v="2025-10-04T00:00:00"/>
        <d v="2026-02-05T00:00:00"/>
        <d v="2026-08-20T00:00:00"/>
        <d v="2026-07-09T00:00:00"/>
        <d v="2026-02-14T00:00:00"/>
        <d v="2026-07-13T00:00:00"/>
        <d v="2026-08-10T00:00:00"/>
        <d v="2026-04-22T00:00:00"/>
        <d v="2026-04-01T00:00:00"/>
        <d v="2026-03-10T00:00:00"/>
        <d v="2026-05-21T00:00:00"/>
        <d v="2026-02-21T00:00:00"/>
        <d v="2026-07-21T00:00:00"/>
        <d v="2026-06-25T00:00:00"/>
        <d v="2026-01-23T00:00:00"/>
        <d v="2026-05-28T00:00:00"/>
        <d v="2026-07-19T00:00:00"/>
        <d v="2026-05-05T00:00:00"/>
        <d v="2026-07-10T00:00:00"/>
        <d v="2025-11-25T00:00:00"/>
        <d v="2026-01-09T00:00:00"/>
        <d v="2026-02-18T00:00:00"/>
        <d v="2026-09-14T00:00:00"/>
        <d v="2025-12-21T00:00:00"/>
        <d v="2026-06-21T00:00:00"/>
        <d v="2025-12-13T00:00:00"/>
        <d v="2026-08-13T00:00:00"/>
        <d v="2026-02-19T00:00:00"/>
        <d v="2026-04-14T00:00:00"/>
        <d v="2025-10-16T00:00:00"/>
        <d v="2026-05-10T00:00:00"/>
        <d v="2026-03-16T00:00:00"/>
        <d v="2026-05-06T00:00:00"/>
        <d v="2026-02-07T00:00:00"/>
        <d v="2026-03-24T00:00:00"/>
        <d v="2026-04-21T00:00:00"/>
        <d v="2026-06-12T00:00:00"/>
        <d v="2025-12-22T00:00:00"/>
        <d v="2025-12-23T00:00:00"/>
        <d v="2026-06-04T00:00:00"/>
        <d v="2026-09-09T00:00:00"/>
        <d v="2026-05-18T00:00:00"/>
        <d v="2025-12-25T00:00:00"/>
        <d v="2026-05-15T00:00:00"/>
        <d v="2025-11-24T00:00:00"/>
        <d v="2026-08-03T00:00:00"/>
        <d v="2026-04-19T00:00:00"/>
        <d v="2026-01-21T00:00:00"/>
        <d v="2025-10-08T00:00:00"/>
        <d v="2026-06-19T00:00:00"/>
        <d v="2026-01-31T00:00:00"/>
        <d v="2026-07-28T00:00:00"/>
        <d v="2026-01-05T00:00:00"/>
        <d v="2026-09-28T00:00:00"/>
        <d v="2026-09-13T00:00:00"/>
        <d v="2026-07-07T00:00:00"/>
        <d v="2026-02-22T00:00:00"/>
        <d v="2026-04-07T00:00:00"/>
        <d v="2026-09-07T00:00:00"/>
        <d v="2026-06-13T00:00:00"/>
        <d v="2026-06-29T00:00:00"/>
        <d v="2026-08-22T00:00:00"/>
        <d v="2026-02-02T00:00:00"/>
        <d v="2026-02-03T00:00:00"/>
        <d v="2026-05-25T00:00:00"/>
        <d v="2026-09-21T00:00:00"/>
        <d v="2026-07-24T00:00:00"/>
        <d v="2025-10-13T00:00:00"/>
        <d v="2026-01-03T00:00:00"/>
        <d v="2026-07-02T00:00:00"/>
        <d v="2025-11-10T00:00:00"/>
        <d v="2025-11-21T00:00:00"/>
        <d v="2025-12-18T00:00:00"/>
        <d v="2026-09-02T00:00:00"/>
        <d v="2025-11-09T00:00:00"/>
        <d v="2026-06-03T00:00:00"/>
        <d v="2026-08-04T00:00:00"/>
        <d v="2025-11-22T00:00:00"/>
        <d v="2025-10-24T00:00:00"/>
        <d v="2026-01-10T00:00:00"/>
        <d v="2026-08-08T00:00:00"/>
        <d v="2026-03-08T00:00:00"/>
        <d v="2026-04-13T00:00:00"/>
        <d v="2025-11-30T00:00:00"/>
        <d v="2026-02-06T00:00:00"/>
        <d v="2026-02-16T00:00:00"/>
        <d v="2025-12-08T00:00:00"/>
        <d v="2025-10-20T00:00:00"/>
        <d v="2025-11-02T00:00:00"/>
        <d v="2025-12-19T00:00:00"/>
        <d v="2026-09-22T00:00:00"/>
        <d v="2025-10-29T00:00:00"/>
        <d v="2026-02-26T00:00:00"/>
        <d v="2026-01-07T00:00:00"/>
        <d v="2026-06-14T00:00:00"/>
        <d v="2026-01-15T00:00:00"/>
        <d v="2026-04-08T00:00:00"/>
        <d v="2026-03-28T00:00:00"/>
        <d v="2026-09-25T00:00:00"/>
        <d v="2026-07-06T00:00:00"/>
        <d v="2026-09-04T00:00:00"/>
        <d v="2025-12-27T00:00:00"/>
        <d v="2026-03-11T00:00:00"/>
        <d v="2026-05-09T00:00:00"/>
        <d v="2025-11-18T00:00:00"/>
        <d v="2026-02-20T00:00:00"/>
        <d v="2026-03-21T00:00:00"/>
        <d v="2025-12-04T00:00:00"/>
        <d v="2026-04-04T00:00:00"/>
        <d v="2025-12-07T00:00:00"/>
        <d v="2026-04-18T00:00:00"/>
        <d v="2025-11-05T00:00:00"/>
        <d v="2026-05-30T00:00:00"/>
        <d v="2026-02-15T00:00:00"/>
        <d v="2026-03-05T00:00:00"/>
        <d v="2026-09-27T00:00:00"/>
        <d v="2026-06-28T00:00:00"/>
        <d v="2026-02-10T00:00:00"/>
        <d v="2025-10-09T00:00:00"/>
        <d v="2025-10-01T00:00:00"/>
        <d v="2026-08-19T00:00:00"/>
        <d v="2025-10-28T00:00:00"/>
        <d v="2025-11-26T00:00:00"/>
        <d v="2026-07-05T00:00:00"/>
        <d v="2026-09-26T00:00:00"/>
        <d v="2026-08-15T00:00:00"/>
        <d v="2026-08-12T00:00:00"/>
        <d v="2025-10-19T00:00:00"/>
        <d v="2026-01-29T00:00:00"/>
        <d v="2026-06-16T00:00:00"/>
        <d v="2026-04-11T00:00:00"/>
        <d v="2026-03-25T00:00:00"/>
        <d v="2026-01-19T00:00:00"/>
        <d v="2025-10-26T00:00:00"/>
        <d v="2025-11-01T00:00:00"/>
        <d v="2026-07-17T00:00:00"/>
        <d v="2026-04-10T00:00:00"/>
        <d v="2026-02-13T00:00:00"/>
        <d v="2026-01-28T00:00:00"/>
        <d v="2026-05-29T00:00:00"/>
        <d v="2026-02-08T00:00:00"/>
        <d v="2026-02-09T00:00:00"/>
        <d v="2026-08-29T00:00:00"/>
        <d v="2026-05-04T00:00:00"/>
        <d v="2026-09-18T00:00:00"/>
        <d v="2025-10-12T00:00:00"/>
        <d v="2025-11-07T00:00:00"/>
        <d v="2025-11-03T00:00:00"/>
        <d v="2025-10-15T00:00:00"/>
        <d v="2025-12-11T00:00:00"/>
        <d v="2025-11-11T00:00:00"/>
        <d v="2026-02-23T00:00:00"/>
        <d v="2026-08-14T00:00:00"/>
        <d v="2025-12-20T00:00:00"/>
        <d v="2026-05-14T00:00:00"/>
        <d v="2026-01-12T00:00:00"/>
        <d v="2025-12-15T00:00:00"/>
        <d v="2026-01-04T00:00:00"/>
        <d v="2026-06-01T00:00:00"/>
        <d v="2025-10-25T00:00:00"/>
        <d v="2026-03-02T00:00:00"/>
        <d v="2026-07-08T00:00:00"/>
        <d v="2026-03-18T00:00:00"/>
        <d v="2026-05-11T00:00:00"/>
        <d v="2025-12-03T00:00:00"/>
        <d v="2026-06-10T00:00:00"/>
        <d v="2026-01-18T00:00:00"/>
        <d v="2026-08-01T00:00:00"/>
        <d v="2026-03-19T00:00:00"/>
        <d v="2026-01-24T00:00:00"/>
        <d v="2026-05-12T00:00:00"/>
        <d v="2026-06-22T00:00:00"/>
        <d v="2026-06-07T00:00:00"/>
        <d v="2026-03-01T00:00:00"/>
        <d v="2025-11-15T00:00:00"/>
        <d v="2026-04-16T00:00:00"/>
        <d v="2026-01-27T00:00:00"/>
        <d v="2026-07-12T00:00:00"/>
        <d v="2026-01-17T00:00:00"/>
        <d v="2026-04-02T00:00:00"/>
        <d v="2026-03-27T00:00:00"/>
        <d v="2026-09-08T00:00:00"/>
        <d v="2025-10-17T00:00:00"/>
        <d v="2026-02-17T00:00:00"/>
        <d v="2026-07-31T00:00:00"/>
        <d v="2026-06-08T00:00:00"/>
        <d v="2026-05-08T00:00:00"/>
        <d v="2025-12-28T00:00:00"/>
        <d v="2026-06-20T00:00:00"/>
        <d v="2026-08-25T00:00:00"/>
        <d v="2026-03-31T00:00:00"/>
        <d v="2025-10-30T00:00:00"/>
        <d v="2026-05-01T00:00:00"/>
        <d v="2026-07-30T00:00:00"/>
        <d v="2026-06-11T00:00:00"/>
        <d v="2025-12-31T00:00:00"/>
        <d v="2026-08-23T00:00:00"/>
        <d v="2026-06-02T00:00:00"/>
        <d v="2025-12-02T00:00:00"/>
        <d v="2026-06-18T00:00:00"/>
        <d v="2025-10-11T00:00:00"/>
        <d v="2026-04-27T00:00:00"/>
        <d v="2026-04-25T00:00:00"/>
        <d v="2026-03-30T00:00:00"/>
        <d v="2026-04-23T00:00:00"/>
        <d v="2026-08-07T00:00:00"/>
        <d v="2026-06-26T00:00:00"/>
        <d v="2025-11-04T00:00:00"/>
        <d v="2026-07-15T00:00:00"/>
        <m/>
      </sharedItems>
      <fieldGroup par="10"/>
    </cacheField>
    <cacheField name="Toko" numFmtId="0">
      <sharedItems containsBlank="1"/>
    </cacheField>
    <cacheField name="Kategori" numFmtId="0">
      <sharedItems containsBlank="1"/>
    </cacheField>
    <cacheField name="NominalBelanja" numFmtId="165">
      <sharedItems containsString="0" containsBlank="1" containsNumber="1" containsInteger="1" minValue="25000" maxValue="2041534" count="2287">
        <n v="279317"/>
        <n v="231334"/>
        <n v="586040"/>
        <n v="201461"/>
        <n v="404247"/>
        <n v="355497"/>
        <n v="69450"/>
        <n v="233276"/>
        <n v="25000"/>
        <n v="318175"/>
        <n v="548410"/>
        <n v="351666"/>
        <n v="432010"/>
        <n v="32071"/>
        <n v="148908"/>
        <n v="197239"/>
        <n v="296208"/>
        <n v="571577"/>
        <n v="646708"/>
        <n v="107213"/>
        <n v="396958"/>
        <n v="93030"/>
        <n v="722095"/>
        <n v="127349"/>
        <n v="222590"/>
        <n v="358390"/>
        <n v="763998"/>
        <n v="361095"/>
        <n v="897578"/>
        <n v="308968"/>
        <n v="40669"/>
        <n v="560314"/>
        <n v="648050"/>
        <n v="348512"/>
        <n v="59073"/>
        <n v="34760"/>
        <n v="767256"/>
        <n v="83182"/>
        <n v="361214"/>
        <n v="567881"/>
        <n v="601798"/>
        <n v="50474"/>
        <n v="135086"/>
        <n v="353352"/>
        <n v="388348"/>
        <n v="299150"/>
        <n v="78759"/>
        <n v="389207"/>
        <n v="273415"/>
        <n v="36111"/>
        <n v="119551"/>
        <n v="199635"/>
        <n v="368526"/>
        <n v="91134"/>
        <n v="446506"/>
        <n v="148629"/>
        <n v="213851"/>
        <n v="146766"/>
        <n v="275636"/>
        <n v="516174"/>
        <n v="29650"/>
        <n v="171438"/>
        <n v="130801"/>
        <n v="116870"/>
        <n v="206089"/>
        <n v="787473"/>
        <n v="258088"/>
        <n v="485882"/>
        <n v="383191"/>
        <n v="314524"/>
        <n v="385430"/>
        <n v="229841"/>
        <n v="48040"/>
        <n v="601727"/>
        <n v="52547"/>
        <n v="851470"/>
        <n v="160906"/>
        <n v="868396"/>
        <n v="254141"/>
        <n v="353247"/>
        <n v="323552"/>
        <n v="240938"/>
        <n v="175209"/>
        <n v="190352"/>
        <n v="621508"/>
        <n v="311728"/>
        <n v="913514"/>
        <n v="67326"/>
        <n v="301648"/>
        <n v="327923"/>
        <n v="514425"/>
        <n v="92026"/>
        <n v="744828"/>
        <n v="409604"/>
        <n v="323525"/>
        <n v="98620"/>
        <n v="622518"/>
        <n v="136575"/>
        <n v="103944"/>
        <n v="96138"/>
        <n v="208486"/>
        <n v="70207"/>
        <n v="46097"/>
        <n v="234714"/>
        <n v="134995"/>
        <n v="227405"/>
        <n v="320658"/>
        <n v="115397"/>
        <n v="186972"/>
        <n v="216183"/>
        <n v="735437"/>
        <n v="504536"/>
        <n v="416668"/>
        <n v="580543"/>
        <n v="333050"/>
        <n v="157885"/>
        <n v="124975"/>
        <n v="343564"/>
        <n v="727108"/>
        <n v="736327"/>
        <n v="200606"/>
        <n v="529504"/>
        <n v="190374"/>
        <n v="224135"/>
        <n v="67496"/>
        <n v="360132"/>
        <n v="398297"/>
        <n v="56457"/>
        <n v="278364"/>
        <n v="218712"/>
        <n v="531505"/>
        <n v="110881"/>
        <n v="344426"/>
        <n v="677999"/>
        <n v="67345"/>
        <n v="418342"/>
        <n v="420364"/>
        <n v="279500"/>
        <n v="444922"/>
        <n v="141390"/>
        <n v="102012"/>
        <n v="78616"/>
        <n v="476157"/>
        <n v="456392"/>
        <n v="93172"/>
        <n v="500861"/>
        <n v="120744"/>
        <n v="295954"/>
        <n v="214312"/>
        <n v="415697"/>
        <n v="265774"/>
        <n v="149794"/>
        <n v="349418"/>
        <n v="480618"/>
        <n v="112615"/>
        <n v="614503"/>
        <n v="340090"/>
        <n v="365141"/>
        <n v="162611"/>
        <n v="157031"/>
        <n v="361907"/>
        <n v="628216"/>
        <n v="463871"/>
        <n v="173271"/>
        <n v="94551"/>
        <n v="170421"/>
        <n v="221830"/>
        <n v="552470"/>
        <n v="385100"/>
        <n v="94682"/>
        <n v="137453"/>
        <n v="121471"/>
        <n v="407630"/>
        <n v="36360"/>
        <n v="158841"/>
        <n v="203024"/>
        <n v="149035"/>
        <n v="92203"/>
        <n v="353139"/>
        <n v="596910"/>
        <n v="427708"/>
        <n v="716803"/>
        <n v="178338"/>
        <n v="638305"/>
        <n v="271043"/>
        <n v="413173"/>
        <n v="415830"/>
        <n v="321801"/>
        <n v="496741"/>
        <n v="363230"/>
        <n v="25499"/>
        <n v="219013"/>
        <n v="386286"/>
        <n v="279787"/>
        <n v="73634"/>
        <n v="118115"/>
        <n v="174795"/>
        <n v="421018"/>
        <n v="342422"/>
        <n v="186624"/>
        <n v="179586"/>
        <n v="149532"/>
        <n v="382710"/>
        <n v="353093"/>
        <n v="347330"/>
        <n v="205885"/>
        <n v="46096"/>
        <n v="86085"/>
        <n v="71603"/>
        <n v="324560"/>
        <n v="407847"/>
        <n v="764904"/>
        <n v="398580"/>
        <n v="289563"/>
        <n v="155018"/>
        <n v="32438"/>
        <n v="87956"/>
        <n v="649401"/>
        <n v="431192"/>
        <n v="674710"/>
        <n v="574630"/>
        <n v="135887"/>
        <n v="338998"/>
        <n v="160697"/>
        <n v="248238"/>
        <n v="573440"/>
        <n v="243710"/>
        <n v="65991"/>
        <n v="162304"/>
        <n v="310183"/>
        <n v="265009"/>
        <n v="382912"/>
        <n v="395173"/>
        <n v="290317"/>
        <n v="55657"/>
        <n v="514578"/>
        <n v="234187"/>
        <n v="185689"/>
        <n v="214894"/>
        <n v="289661"/>
        <n v="465852"/>
        <n v="118083"/>
        <n v="217463"/>
        <n v="111093"/>
        <n v="466070"/>
        <n v="243126"/>
        <n v="394157"/>
        <n v="1068668"/>
        <n v="109082"/>
        <n v="405986"/>
        <n v="157485"/>
        <n v="102934"/>
        <n v="484327"/>
        <n v="113217"/>
        <n v="569682"/>
        <n v="97129"/>
        <n v="477525"/>
        <n v="248205"/>
        <n v="350143"/>
        <n v="264116"/>
        <n v="184975"/>
        <n v="354905"/>
        <n v="327115"/>
        <n v="188253"/>
        <n v="201295"/>
        <n v="365102"/>
        <n v="164700"/>
        <n v="92657"/>
        <n v="535984"/>
        <n v="403612"/>
        <n v="152835"/>
        <n v="629369"/>
        <n v="788659"/>
        <n v="805231"/>
        <n v="197650"/>
        <n v="142384"/>
        <n v="123558"/>
        <n v="516553"/>
        <n v="129476"/>
        <n v="36153"/>
        <n v="119478"/>
        <n v="613517"/>
        <n v="215136"/>
        <n v="329656"/>
        <n v="245466"/>
        <n v="89538"/>
        <n v="413723"/>
        <n v="224341"/>
        <n v="126593"/>
        <n v="55058"/>
        <n v="194144"/>
        <n v="390483"/>
        <n v="255551"/>
        <n v="360026"/>
        <n v="113903"/>
        <n v="566177"/>
        <n v="70664"/>
        <n v="332987"/>
        <n v="267167"/>
        <n v="65137"/>
        <n v="252446"/>
        <n v="101188"/>
        <n v="104327"/>
        <n v="317120"/>
        <n v="615057"/>
        <n v="492383"/>
        <n v="143856"/>
        <n v="208657"/>
        <n v="87104"/>
        <n v="333806"/>
        <n v="153573"/>
        <n v="357696"/>
        <n v="101606"/>
        <n v="144613"/>
        <n v="484376"/>
        <n v="570811"/>
        <n v="194979"/>
        <n v="161312"/>
        <n v="113259"/>
        <n v="69271"/>
        <n v="124163"/>
        <n v="147617"/>
        <n v="411214"/>
        <n v="118898"/>
        <n v="582865"/>
        <n v="304574"/>
        <n v="53030"/>
        <n v="281811"/>
        <n v="86999"/>
        <n v="100482"/>
        <n v="340703"/>
        <n v="243161"/>
        <n v="394275"/>
        <n v="175740"/>
        <n v="390779"/>
        <n v="455681"/>
        <n v="107257"/>
        <n v="176111"/>
        <n v="98680"/>
        <n v="250654"/>
        <n v="194790"/>
        <n v="427645"/>
        <n v="127656"/>
        <n v="173608"/>
        <n v="53838"/>
        <n v="267145"/>
        <n v="545129"/>
        <n v="346905"/>
        <n v="104369"/>
        <n v="291784"/>
        <n v="68891"/>
        <n v="515335"/>
        <n v="335531"/>
        <n v="363651"/>
        <n v="322414"/>
        <n v="305361"/>
        <n v="320098"/>
        <n v="222247"/>
        <n v="181348"/>
        <n v="131503"/>
        <n v="139947"/>
        <n v="309072"/>
        <n v="485303"/>
        <n v="168442"/>
        <n v="33970"/>
        <n v="50025"/>
        <n v="278807"/>
        <n v="815520"/>
        <n v="1043999"/>
        <n v="331605"/>
        <n v="743425"/>
        <n v="517004"/>
        <n v="113392"/>
        <n v="239326"/>
        <n v="333492"/>
        <n v="178819"/>
        <n v="720699"/>
        <n v="231751"/>
        <n v="196704"/>
        <n v="197641"/>
        <n v="226038"/>
        <n v="308811"/>
        <n v="154116"/>
        <n v="759359"/>
        <n v="490575"/>
        <n v="444882"/>
        <n v="701829"/>
        <n v="559064"/>
        <n v="205124"/>
        <n v="154547"/>
        <n v="263812"/>
        <n v="239853"/>
        <n v="625288"/>
        <n v="135431"/>
        <n v="237215"/>
        <n v="341771"/>
        <n v="134374"/>
        <n v="104695"/>
        <n v="307479"/>
        <n v="287600"/>
        <n v="350587"/>
        <n v="798036"/>
        <n v="336615"/>
        <n v="282251"/>
        <n v="843167"/>
        <n v="451976"/>
        <n v="304260"/>
        <n v="86773"/>
        <n v="109744"/>
        <n v="350070"/>
        <n v="1366322"/>
        <n v="154902"/>
        <n v="308377"/>
        <n v="188282"/>
        <n v="236389"/>
        <n v="349633"/>
        <n v="379227"/>
        <n v="231282"/>
        <n v="82746"/>
        <n v="426099"/>
        <n v="287872"/>
        <n v="233114"/>
        <n v="191922"/>
        <n v="187039"/>
        <n v="340378"/>
        <n v="333292"/>
        <n v="53486"/>
        <n v="229791"/>
        <n v="326544"/>
        <n v="385942"/>
        <n v="758941"/>
        <n v="130847"/>
        <n v="166865"/>
        <n v="137889"/>
        <n v="621786"/>
        <n v="427808"/>
        <n v="38120"/>
        <n v="284569"/>
        <n v="237774"/>
        <n v="194067"/>
        <n v="229176"/>
        <n v="377162"/>
        <n v="168844"/>
        <n v="333950"/>
        <n v="293620"/>
        <n v="225635"/>
        <n v="310182"/>
        <n v="50889"/>
        <n v="437201"/>
        <n v="120890"/>
        <n v="353766"/>
        <n v="177017"/>
        <n v="324006"/>
        <n v="628570"/>
        <n v="62107"/>
        <n v="364062"/>
        <n v="262694"/>
        <n v="336729"/>
        <n v="413626"/>
        <n v="386891"/>
        <n v="302299"/>
        <n v="334275"/>
        <n v="491182"/>
        <n v="233136"/>
        <n v="226535"/>
        <n v="783953"/>
        <n v="666024"/>
        <n v="40550"/>
        <n v="170176"/>
        <n v="228161"/>
        <n v="187656"/>
        <n v="143881"/>
        <n v="337768"/>
        <n v="79664"/>
        <n v="110095"/>
        <n v="76759"/>
        <n v="406660"/>
        <n v="755709"/>
        <n v="443124"/>
        <n v="224882"/>
        <n v="295888"/>
        <n v="104910"/>
        <n v="279908"/>
        <n v="67249"/>
        <n v="264053"/>
        <n v="216228"/>
        <n v="172242"/>
        <n v="224888"/>
        <n v="260947"/>
        <n v="186069"/>
        <n v="269394"/>
        <n v="74163"/>
        <n v="413790"/>
        <n v="319391"/>
        <n v="136246"/>
        <n v="103925"/>
        <n v="39095"/>
        <n v="136201"/>
        <n v="86786"/>
        <n v="56138"/>
        <n v="242860"/>
        <n v="118714"/>
        <n v="439238"/>
        <n v="286727"/>
        <n v="548327"/>
        <n v="378460"/>
        <n v="354810"/>
        <n v="483216"/>
        <n v="393687"/>
        <n v="313570"/>
        <n v="683314"/>
        <n v="259670"/>
        <n v="1106114"/>
        <n v="261597"/>
        <n v="100483"/>
        <n v="261817"/>
        <n v="826989"/>
        <n v="235578"/>
        <n v="414971"/>
        <n v="314439"/>
        <n v="149746"/>
        <n v="121375"/>
        <n v="279517"/>
        <n v="126727"/>
        <n v="138393"/>
        <n v="92733"/>
        <n v="456947"/>
        <n v="947307"/>
        <n v="624534"/>
        <n v="619101"/>
        <n v="146870"/>
        <n v="624283"/>
        <n v="77222"/>
        <n v="207262"/>
        <n v="222599"/>
        <n v="626029"/>
        <n v="136480"/>
        <n v="67733"/>
        <n v="452917"/>
        <n v="133204"/>
        <n v="199789"/>
        <n v="410964"/>
        <n v="452472"/>
        <n v="143023"/>
        <n v="300214"/>
        <n v="511903"/>
        <n v="94580"/>
        <n v="30001"/>
        <n v="217960"/>
        <n v="455578"/>
        <n v="270966"/>
        <n v="374454"/>
        <n v="341874"/>
        <n v="350604"/>
        <n v="519836"/>
        <n v="448755"/>
        <n v="855171"/>
        <n v="691411"/>
        <n v="196342"/>
        <n v="132903"/>
        <n v="328101"/>
        <n v="278307"/>
        <n v="125748"/>
        <n v="704899"/>
        <n v="143889"/>
        <n v="172859"/>
        <n v="163495"/>
        <n v="203398"/>
        <n v="117554"/>
        <n v="551772"/>
        <n v="905130"/>
        <n v="52919"/>
        <n v="190240"/>
        <n v="577826"/>
        <n v="405599"/>
        <n v="225274"/>
        <n v="141528"/>
        <n v="437382"/>
        <n v="596831"/>
        <n v="233326"/>
        <n v="179581"/>
        <n v="185530"/>
        <n v="152283"/>
        <n v="513128"/>
        <n v="100763"/>
        <n v="243285"/>
        <n v="106070"/>
        <n v="131715"/>
        <n v="456135"/>
        <n v="459867"/>
        <n v="602043"/>
        <n v="205650"/>
        <n v="168440"/>
        <n v="558173"/>
        <n v="295769"/>
        <n v="166919"/>
        <n v="150575"/>
        <n v="164119"/>
        <n v="169576"/>
        <n v="240403"/>
        <n v="162975"/>
        <n v="301469"/>
        <n v="328128"/>
        <n v="286179"/>
        <n v="281272"/>
        <n v="136379"/>
        <n v="409605"/>
        <n v="350849"/>
        <n v="132022"/>
        <n v="172580"/>
        <n v="221048"/>
        <n v="194719"/>
        <n v="150491"/>
        <n v="121142"/>
        <n v="82773"/>
        <n v="201836"/>
        <n v="743132"/>
        <n v="127188"/>
        <n v="99126"/>
        <n v="57278"/>
        <n v="567535"/>
        <n v="182772"/>
        <n v="124351"/>
        <n v="124429"/>
        <n v="809436"/>
        <n v="123868"/>
        <n v="335848"/>
        <n v="160866"/>
        <n v="298153"/>
        <n v="323278"/>
        <n v="686743"/>
        <n v="374407"/>
        <n v="74764"/>
        <n v="395686"/>
        <n v="115252"/>
        <n v="77203"/>
        <n v="342451"/>
        <n v="61241"/>
        <n v="140481"/>
        <n v="64006"/>
        <n v="345718"/>
        <n v="135153"/>
        <n v="71668"/>
        <n v="105607"/>
        <n v="264894"/>
        <n v="208293"/>
        <n v="634278"/>
        <n v="433211"/>
        <n v="341863"/>
        <n v="584592"/>
        <n v="209604"/>
        <n v="123541"/>
        <n v="33554"/>
        <n v="284774"/>
        <n v="89819"/>
        <n v="79221"/>
        <n v="50032"/>
        <n v="555011"/>
        <n v="475203"/>
        <n v="64644"/>
        <n v="149983"/>
        <n v="162736"/>
        <n v="84617"/>
        <n v="473194"/>
        <n v="818006"/>
        <n v="247635"/>
        <n v="190326"/>
        <n v="233700"/>
        <n v="173130"/>
        <n v="701543"/>
        <n v="355129"/>
        <n v="254719"/>
        <n v="129406"/>
        <n v="195882"/>
        <n v="58607"/>
        <n v="247046"/>
        <n v="469079"/>
        <n v="573892"/>
        <n v="113462"/>
        <n v="560676"/>
        <n v="271617"/>
        <n v="48720"/>
        <n v="878544"/>
        <n v="130350"/>
        <n v="115749"/>
        <n v="166368"/>
        <n v="157637"/>
        <n v="144937"/>
        <n v="548427"/>
        <n v="182953"/>
        <n v="512599"/>
        <n v="92538"/>
        <n v="78635"/>
        <n v="678163"/>
        <n v="341440"/>
        <n v="144665"/>
        <n v="293926"/>
        <n v="587775"/>
        <n v="361800"/>
        <n v="64585"/>
        <n v="166149"/>
        <n v="127601"/>
        <n v="454168"/>
        <n v="300501"/>
        <n v="119252"/>
        <n v="199776"/>
        <n v="506943"/>
        <n v="288718"/>
        <n v="259310"/>
        <n v="210003"/>
        <n v="283184"/>
        <n v="290250"/>
        <n v="203158"/>
        <n v="462474"/>
        <n v="113610"/>
        <n v="272021"/>
        <n v="292323"/>
        <n v="156131"/>
        <n v="311942"/>
        <n v="344286"/>
        <n v="439722"/>
        <n v="359897"/>
        <n v="383339"/>
        <n v="447484"/>
        <n v="59196"/>
        <n v="214160"/>
        <n v="374457"/>
        <n v="653506"/>
        <n v="314425"/>
        <n v="80091"/>
        <n v="230333"/>
        <n v="210900"/>
        <n v="122669"/>
        <n v="78204"/>
        <n v="600865"/>
        <n v="52528"/>
        <n v="353830"/>
        <n v="140382"/>
        <n v="465747"/>
        <n v="213699"/>
        <n v="317149"/>
        <n v="249303"/>
        <n v="173168"/>
        <n v="289936"/>
        <n v="258929"/>
        <n v="473577"/>
        <n v="51733"/>
        <n v="287905"/>
        <n v="324663"/>
        <n v="86565"/>
        <n v="645956"/>
        <n v="271791"/>
        <n v="622237"/>
        <n v="208974"/>
        <n v="320384"/>
        <n v="466509"/>
        <n v="783406"/>
        <n v="223471"/>
        <n v="66666"/>
        <n v="715551"/>
        <n v="128844"/>
        <n v="715051"/>
        <n v="54813"/>
        <n v="87681"/>
        <n v="630685"/>
        <n v="142967"/>
        <n v="382109"/>
        <n v="521618"/>
        <n v="222005"/>
        <n v="806034"/>
        <n v="349291"/>
        <n v="266888"/>
        <n v="122544"/>
        <n v="223789"/>
        <n v="104829"/>
        <n v="358215"/>
        <n v="235861"/>
        <n v="321458"/>
        <n v="739701"/>
        <n v="237899"/>
        <n v="248924"/>
        <n v="287508"/>
        <n v="386858"/>
        <n v="314964"/>
        <n v="175922"/>
        <n v="219507"/>
        <n v="117659"/>
        <n v="611810"/>
        <n v="596300"/>
        <n v="245974"/>
        <n v="324420"/>
        <n v="296032"/>
        <n v="73723"/>
        <n v="159934"/>
        <n v="128900"/>
        <n v="229524"/>
        <n v="363438"/>
        <n v="156836"/>
        <n v="177490"/>
        <n v="46963"/>
        <n v="31237"/>
        <n v="389528"/>
        <n v="434512"/>
        <n v="460911"/>
        <n v="618132"/>
        <n v="678814"/>
        <n v="710780"/>
        <n v="243800"/>
        <n v="257716"/>
        <n v="213884"/>
        <n v="65857"/>
        <n v="239632"/>
        <n v="198912"/>
        <n v="328160"/>
        <n v="165743"/>
        <n v="402134"/>
        <n v="235631"/>
        <n v="73337"/>
        <n v="190767"/>
        <n v="658792"/>
        <n v="191869"/>
        <n v="247666"/>
        <n v="50660"/>
        <n v="184213"/>
        <n v="340849"/>
        <n v="302929"/>
        <n v="373169"/>
        <n v="365529"/>
        <n v="117505"/>
        <n v="354057"/>
        <n v="75890"/>
        <n v="571841"/>
        <n v="64495"/>
        <n v="155953"/>
        <n v="234135"/>
        <n v="206289"/>
        <n v="571498"/>
        <n v="269475"/>
        <n v="717855"/>
        <n v="227100"/>
        <n v="216483"/>
        <n v="429573"/>
        <n v="167305"/>
        <n v="690685"/>
        <n v="285503"/>
        <n v="341438"/>
        <n v="25428"/>
        <n v="136228"/>
        <n v="220540"/>
        <n v="110540"/>
        <n v="177923"/>
        <n v="453254"/>
        <n v="97632"/>
        <n v="345566"/>
        <n v="108963"/>
        <n v="286718"/>
        <n v="130218"/>
        <n v="718072"/>
        <n v="35828"/>
        <n v="370196"/>
        <n v="532025"/>
        <n v="998751"/>
        <n v="557731"/>
        <n v="585925"/>
        <n v="427053"/>
        <n v="179786"/>
        <n v="269733"/>
        <n v="774192"/>
        <n v="383457"/>
        <n v="287502"/>
        <n v="519210"/>
        <n v="997902"/>
        <n v="110568"/>
        <n v="134150"/>
        <n v="382169"/>
        <n v="351638"/>
        <n v="98949"/>
        <n v="396259"/>
        <n v="130274"/>
        <n v="62292"/>
        <n v="163670"/>
        <n v="192031"/>
        <n v="638980"/>
        <n v="210808"/>
        <n v="150092"/>
        <n v="393791"/>
        <n v="293055"/>
        <n v="345973"/>
        <n v="483723"/>
        <n v="248638"/>
        <n v="251245"/>
        <n v="125791"/>
        <n v="425480"/>
        <n v="103268"/>
        <n v="524778"/>
        <n v="96433"/>
        <n v="474317"/>
        <n v="959002"/>
        <n v="505365"/>
        <n v="398231"/>
        <n v="548012"/>
        <n v="312430"/>
        <n v="943665"/>
        <n v="112195"/>
        <n v="256672"/>
        <n v="208656"/>
        <n v="341517"/>
        <n v="156633"/>
        <n v="123297"/>
        <n v="379095"/>
        <n v="186559"/>
        <n v="225394"/>
        <n v="716503"/>
        <n v="228468"/>
        <n v="28477"/>
        <n v="250132"/>
        <n v="657363"/>
        <n v="120157"/>
        <n v="731781"/>
        <n v="157965"/>
        <n v="221009"/>
        <n v="29400"/>
        <n v="808952"/>
        <n v="205888"/>
        <n v="143825"/>
        <n v="164294"/>
        <n v="104223"/>
        <n v="319020"/>
        <n v="632127"/>
        <n v="244375"/>
        <n v="91895"/>
        <n v="212717"/>
        <n v="222073"/>
        <n v="217306"/>
        <n v="299704"/>
        <n v="479161"/>
        <n v="180280"/>
        <n v="112217"/>
        <n v="126372"/>
        <n v="383955"/>
        <n v="473369"/>
        <n v="254948"/>
        <n v="288565"/>
        <n v="147539"/>
        <n v="85760"/>
        <n v="435131"/>
        <n v="186356"/>
        <n v="75061"/>
        <n v="321924"/>
        <n v="151499"/>
        <n v="346170"/>
        <n v="231297"/>
        <n v="350679"/>
        <n v="192962"/>
        <n v="137505"/>
        <n v="416459"/>
        <n v="545259"/>
        <n v="420405"/>
        <n v="391015"/>
        <n v="154250"/>
        <n v="132745"/>
        <n v="130574"/>
        <n v="307868"/>
        <n v="39527"/>
        <n v="32659"/>
        <n v="101814"/>
        <n v="43537"/>
        <n v="464075"/>
        <n v="357871"/>
        <n v="133022"/>
        <n v="53040"/>
        <n v="137057"/>
        <n v="318214"/>
        <n v="54131"/>
        <n v="406216"/>
        <n v="72294"/>
        <n v="55550"/>
        <n v="232658"/>
        <n v="352994"/>
        <n v="432155"/>
        <n v="153656"/>
        <n v="248917"/>
        <n v="588019"/>
        <n v="890595"/>
        <n v="418526"/>
        <n v="597593"/>
        <n v="334159"/>
        <n v="163824"/>
        <n v="177688"/>
        <n v="347108"/>
        <n v="39534"/>
        <n v="167472"/>
        <n v="160644"/>
        <n v="210528"/>
        <n v="308501"/>
        <n v="442942"/>
        <n v="318241"/>
        <n v="192744"/>
        <n v="375871"/>
        <n v="755944"/>
        <n v="366453"/>
        <n v="340238"/>
        <n v="516078"/>
        <n v="458908"/>
        <n v="521408"/>
        <n v="87050"/>
        <n v="417262"/>
        <n v="245184"/>
        <n v="35136"/>
        <n v="387859"/>
        <n v="195765"/>
        <n v="302425"/>
        <n v="297682"/>
        <n v="829730"/>
        <n v="394340"/>
        <n v="328167"/>
        <n v="650274"/>
        <n v="192680"/>
        <n v="438515"/>
        <n v="260046"/>
        <n v="379794"/>
        <n v="409621"/>
        <n v="88067"/>
        <n v="131460"/>
        <n v="266866"/>
        <n v="57486"/>
        <n v="232874"/>
        <n v="44930"/>
        <n v="398792"/>
        <n v="214823"/>
        <n v="206524"/>
        <n v="201086"/>
        <n v="190554"/>
        <n v="101138"/>
        <n v="96797"/>
        <n v="70051"/>
        <n v="528380"/>
        <n v="255242"/>
        <n v="149293"/>
        <n v="162552"/>
        <n v="290354"/>
        <n v="462971"/>
        <n v="138523"/>
        <n v="375633"/>
        <n v="482647"/>
        <n v="175586"/>
        <n v="154275"/>
        <n v="312297"/>
        <n v="289875"/>
        <n v="289064"/>
        <n v="304588"/>
        <n v="68664"/>
        <n v="637592"/>
        <n v="359784"/>
        <n v="808354"/>
        <n v="270570"/>
        <n v="217626"/>
        <n v="363871"/>
        <n v="180321"/>
        <n v="125803"/>
        <n v="582640"/>
        <n v="209605"/>
        <n v="367270"/>
        <n v="941729"/>
        <n v="305437"/>
        <n v="245710"/>
        <n v="267048"/>
        <n v="911672"/>
        <n v="184553"/>
        <n v="94092"/>
        <n v="316357"/>
        <n v="414087"/>
        <n v="97853"/>
        <n v="371523"/>
        <n v="219900"/>
        <n v="405586"/>
        <n v="299285"/>
        <n v="252492"/>
        <n v="253668"/>
        <n v="272193"/>
        <n v="507037"/>
        <n v="141700"/>
        <n v="26666"/>
        <n v="500259"/>
        <n v="113002"/>
        <n v="107965"/>
        <n v="605826"/>
        <n v="927258"/>
        <n v="375610"/>
        <n v="77521"/>
        <n v="205149"/>
        <n v="264379"/>
        <n v="151481"/>
        <n v="726402"/>
        <n v="219733"/>
        <n v="391745"/>
        <n v="271788"/>
        <n v="358399"/>
        <n v="277907"/>
        <n v="73757"/>
        <n v="332635"/>
        <n v="70431"/>
        <n v="410326"/>
        <n v="287319"/>
        <n v="281678"/>
        <n v="289393"/>
        <n v="468078"/>
        <n v="305378"/>
        <n v="834001"/>
        <n v="342765"/>
        <n v="293768"/>
        <n v="417409"/>
        <n v="270247"/>
        <n v="56405"/>
        <n v="287495"/>
        <n v="317614"/>
        <n v="509097"/>
        <n v="484796"/>
        <n v="459530"/>
        <n v="222595"/>
        <n v="127540"/>
        <n v="125085"/>
        <n v="177574"/>
        <n v="199081"/>
        <n v="35529"/>
        <n v="157585"/>
        <n v="1178406"/>
        <n v="397124"/>
        <n v="76905"/>
        <n v="370056"/>
        <n v="700071"/>
        <n v="229022"/>
        <n v="144942"/>
        <n v="293187"/>
        <n v="733902"/>
        <n v="303866"/>
        <n v="397252"/>
        <n v="105102"/>
        <n v="293599"/>
        <n v="172339"/>
        <n v="87485"/>
        <n v="285092"/>
        <n v="389102"/>
        <n v="124272"/>
        <n v="347954"/>
        <n v="409568"/>
        <n v="324040"/>
        <n v="254066"/>
        <n v="255497"/>
        <n v="230539"/>
        <n v="138456"/>
        <n v="156846"/>
        <n v="798808"/>
        <n v="140753"/>
        <n v="557634"/>
        <n v="77559"/>
        <n v="410555"/>
        <n v="561902"/>
        <n v="381489"/>
        <n v="265283"/>
        <n v="287864"/>
        <n v="599564"/>
        <n v="359368"/>
        <n v="500142"/>
        <n v="427248"/>
        <n v="138157"/>
        <n v="467803"/>
        <n v="90575"/>
        <n v="806181"/>
        <n v="340493"/>
        <n v="647930"/>
        <n v="380634"/>
        <n v="112844"/>
        <n v="148454"/>
        <n v="520330"/>
        <n v="286413"/>
        <n v="685934"/>
        <n v="41630"/>
        <n v="99801"/>
        <n v="190613"/>
        <n v="649374"/>
        <n v="268520"/>
        <n v="716989"/>
        <n v="718472"/>
        <n v="295985"/>
        <n v="696782"/>
        <n v="349878"/>
        <n v="114187"/>
        <n v="597198"/>
        <n v="500968"/>
        <n v="32582"/>
        <n v="155922"/>
        <n v="390087"/>
        <n v="26583"/>
        <n v="340044"/>
        <n v="185777"/>
        <n v="267564"/>
        <n v="284251"/>
        <n v="242418"/>
        <n v="263198"/>
        <n v="159457"/>
        <n v="168277"/>
        <n v="319698"/>
        <n v="635313"/>
        <n v="481541"/>
        <n v="182058"/>
        <n v="182561"/>
        <n v="170607"/>
        <n v="179006"/>
        <n v="29826"/>
        <n v="184214"/>
        <n v="81986"/>
        <n v="91394"/>
        <n v="363393"/>
        <n v="537055"/>
        <n v="483720"/>
        <n v="1168033"/>
        <n v="118819"/>
        <n v="266306"/>
        <n v="358797"/>
        <n v="371615"/>
        <n v="292837"/>
        <n v="518199"/>
        <n v="391051"/>
        <n v="177790"/>
        <n v="704942"/>
        <n v="151299"/>
        <n v="294371"/>
        <n v="106430"/>
        <n v="261726"/>
        <n v="144155"/>
        <n v="128251"/>
        <n v="380884"/>
        <n v="127084"/>
        <n v="119239"/>
        <n v="827899"/>
        <n v="61125"/>
        <n v="167035"/>
        <n v="711195"/>
        <n v="801636"/>
        <n v="59009"/>
        <n v="263371"/>
        <n v="557517"/>
        <n v="708866"/>
        <n v="95945"/>
        <n v="385666"/>
        <n v="82481"/>
        <n v="123012"/>
        <n v="500237"/>
        <n v="138702"/>
        <n v="154962"/>
        <n v="103345"/>
        <n v="47708"/>
        <n v="49635"/>
        <n v="90613"/>
        <n v="162792"/>
        <n v="392796"/>
        <n v="370657"/>
        <n v="182186"/>
        <n v="130766"/>
        <n v="84094"/>
        <n v="531858"/>
        <n v="564013"/>
        <n v="151738"/>
        <n v="278286"/>
        <n v="150330"/>
        <n v="298073"/>
        <n v="668986"/>
        <n v="377574"/>
        <n v="308073"/>
        <n v="692217"/>
        <n v="456136"/>
        <n v="189306"/>
        <n v="55157"/>
        <n v="230039"/>
        <n v="297389"/>
        <n v="322192"/>
        <n v="437507"/>
        <n v="680146"/>
        <n v="346399"/>
        <n v="312959"/>
        <n v="45171"/>
        <n v="32468"/>
        <n v="243961"/>
        <n v="360540"/>
        <n v="479058"/>
        <n v="396987"/>
        <n v="526367"/>
        <n v="508897"/>
        <n v="102650"/>
        <n v="558324"/>
        <n v="645848"/>
        <n v="454971"/>
        <n v="347470"/>
        <n v="459480"/>
        <n v="573904"/>
        <n v="160917"/>
        <n v="237482"/>
        <n v="46541"/>
        <n v="147077"/>
        <n v="336138"/>
        <n v="403149"/>
        <n v="301928"/>
        <n v="143625"/>
        <n v="76695"/>
        <n v="123371"/>
        <n v="300045"/>
        <n v="422097"/>
        <n v="417379"/>
        <n v="300186"/>
        <n v="626740"/>
        <n v="492665"/>
        <n v="241289"/>
        <n v="282402"/>
        <n v="642243"/>
        <n v="412456"/>
        <n v="234999"/>
        <n v="192902"/>
        <n v="237038"/>
        <n v="414385"/>
        <n v="241023"/>
        <n v="315246"/>
        <n v="184884"/>
        <n v="322658"/>
        <n v="199643"/>
        <n v="361405"/>
        <n v="253583"/>
        <n v="119159"/>
        <n v="36603"/>
        <n v="576790"/>
        <n v="490364"/>
        <n v="906348"/>
        <n v="446326"/>
        <n v="323329"/>
        <n v="194781"/>
        <n v="308461"/>
        <n v="390017"/>
        <n v="285747"/>
        <n v="254375"/>
        <n v="580424"/>
        <n v="101874"/>
        <n v="338911"/>
        <n v="405872"/>
        <n v="239705"/>
        <n v="260138"/>
        <n v="427108"/>
        <n v="1152771"/>
        <n v="446236"/>
        <n v="129854"/>
        <n v="160626"/>
        <n v="128213"/>
        <n v="420952"/>
        <n v="297035"/>
        <n v="673626"/>
        <n v="301452"/>
        <n v="322325"/>
        <n v="512530"/>
        <n v="158375"/>
        <n v="773596"/>
        <n v="499770"/>
        <n v="242616"/>
        <n v="351945"/>
        <n v="150331"/>
        <n v="238229"/>
        <n v="226484"/>
        <n v="523510"/>
        <n v="354224"/>
        <n v="305858"/>
        <n v="179171"/>
        <n v="623797"/>
        <n v="228433"/>
        <n v="549244"/>
        <n v="464878"/>
        <n v="848924"/>
        <n v="471271"/>
        <n v="160595"/>
        <n v="579555"/>
        <n v="225925"/>
        <n v="142470"/>
        <n v="507971"/>
        <n v="156721"/>
        <n v="397724"/>
        <n v="289500"/>
        <n v="65909"/>
        <n v="845810"/>
        <n v="286025"/>
        <n v="531127"/>
        <n v="266963"/>
        <n v="149569"/>
        <n v="109986"/>
        <n v="113695"/>
        <n v="291263"/>
        <n v="230895"/>
        <n v="487419"/>
        <n v="320907"/>
        <n v="838078"/>
        <n v="160377"/>
        <n v="540695"/>
        <n v="258580"/>
        <n v="911703"/>
        <n v="328083"/>
        <n v="894094"/>
        <n v="695453"/>
        <n v="331089"/>
        <n v="121586"/>
        <n v="186411"/>
        <n v="464704"/>
        <n v="27151"/>
        <n v="241798"/>
        <n v="149311"/>
        <n v="157461"/>
        <n v="207963"/>
        <n v="235951"/>
        <n v="615103"/>
        <n v="395031"/>
        <n v="355169"/>
        <n v="399494"/>
        <n v="188379"/>
        <n v="193443"/>
        <n v="274599"/>
        <n v="433413"/>
        <n v="239396"/>
        <n v="349085"/>
        <n v="222976"/>
        <n v="330205"/>
        <n v="257418"/>
        <n v="245084"/>
        <n v="202507"/>
        <n v="105873"/>
        <n v="176517"/>
        <n v="167515"/>
        <n v="192098"/>
        <n v="258007"/>
        <n v="263670"/>
        <n v="100280"/>
        <n v="522897"/>
        <n v="215512"/>
        <n v="28559"/>
        <n v="668772"/>
        <n v="175749"/>
        <n v="77622"/>
        <n v="355404"/>
        <n v="161383"/>
        <n v="276918"/>
        <n v="509810"/>
        <n v="55270"/>
        <n v="185448"/>
        <n v="423575"/>
        <n v="214922"/>
        <n v="371923"/>
        <n v="212086"/>
        <n v="276643"/>
        <n v="56212"/>
        <n v="352208"/>
        <n v="259291"/>
        <n v="180938"/>
        <n v="199491"/>
        <n v="493787"/>
        <n v="274515"/>
        <n v="212596"/>
        <n v="605749"/>
        <n v="91049"/>
        <n v="195364"/>
        <n v="300071"/>
        <n v="219014"/>
        <n v="370703"/>
        <n v="122671"/>
        <n v="529548"/>
        <n v="340401"/>
        <n v="158146"/>
        <n v="350577"/>
        <n v="103567"/>
        <n v="153233"/>
        <n v="147763"/>
        <n v="261643"/>
        <n v="98338"/>
        <n v="149119"/>
        <n v="425560"/>
        <n v="510853"/>
        <n v="161676"/>
        <n v="230500"/>
        <n v="651167"/>
        <n v="95724"/>
        <n v="563809"/>
        <n v="223931"/>
        <n v="548900"/>
        <n v="519768"/>
        <n v="237775"/>
        <n v="649993"/>
        <n v="198266"/>
        <n v="71585"/>
        <n v="321337"/>
        <n v="259208"/>
        <n v="76987"/>
        <n v="172099"/>
        <n v="319300"/>
        <n v="161365"/>
        <n v="344370"/>
        <n v="120617"/>
        <n v="153786"/>
        <n v="78780"/>
        <n v="352864"/>
        <n v="212705"/>
        <n v="378080"/>
        <n v="384403"/>
        <n v="266586"/>
        <n v="107588"/>
        <n v="836744"/>
        <n v="53534"/>
        <n v="299579"/>
        <n v="226982"/>
        <n v="81889"/>
        <n v="463244"/>
        <n v="154822"/>
        <n v="507293"/>
        <n v="617574"/>
        <n v="158466"/>
        <n v="144482"/>
        <n v="101811"/>
        <n v="507193"/>
        <n v="197122"/>
        <n v="50403"/>
        <n v="253726"/>
        <n v="52502"/>
        <n v="179697"/>
        <n v="237681"/>
        <n v="333143"/>
        <n v="96677"/>
        <n v="304369"/>
        <n v="206666"/>
        <n v="133852"/>
        <n v="357639"/>
        <n v="406213"/>
        <n v="79963"/>
        <n v="289797"/>
        <n v="522464"/>
        <n v="532344"/>
        <n v="353392"/>
        <n v="100370"/>
        <n v="108588"/>
        <n v="63643"/>
        <n v="167637"/>
        <n v="86466"/>
        <n v="701076"/>
        <n v="434796"/>
        <n v="488647"/>
        <n v="237974"/>
        <n v="193597"/>
        <n v="91276"/>
        <n v="258538"/>
        <n v="153414"/>
        <n v="156455"/>
        <n v="403042"/>
        <n v="308457"/>
        <n v="132944"/>
        <n v="899055"/>
        <n v="104030"/>
        <n v="249347"/>
        <n v="246432"/>
        <n v="171178"/>
        <n v="369232"/>
        <n v="177051"/>
        <n v="334745"/>
        <n v="140651"/>
        <n v="724772"/>
        <n v="240696"/>
        <n v="352882"/>
        <n v="197099"/>
        <n v="565792"/>
        <n v="423576"/>
        <n v="604654"/>
        <n v="235154"/>
        <n v="128986"/>
        <n v="387162"/>
        <n v="216175"/>
        <n v="53483"/>
        <n v="448992"/>
        <n v="135919"/>
        <n v="290189"/>
        <n v="140406"/>
        <n v="402074"/>
        <n v="542163"/>
        <n v="87233"/>
        <n v="216037"/>
        <n v="203140"/>
        <n v="493161"/>
        <n v="226797"/>
        <n v="153160"/>
        <n v="390717"/>
        <n v="92019"/>
        <n v="334429"/>
        <n v="450673"/>
        <n v="360071"/>
        <n v="459826"/>
        <n v="53074"/>
        <n v="33372"/>
        <n v="225650"/>
        <n v="290539"/>
        <n v="169427"/>
        <n v="135893"/>
        <n v="245597"/>
        <n v="895526"/>
        <n v="522899"/>
        <n v="402399"/>
        <n v="106858"/>
        <n v="720402"/>
        <n v="321322"/>
        <n v="546536"/>
        <n v="143791"/>
        <n v="447464"/>
        <n v="185718"/>
        <n v="178154"/>
        <n v="152356"/>
        <n v="293361"/>
        <n v="181551"/>
        <n v="338792"/>
        <n v="853308"/>
        <n v="160457"/>
        <n v="217275"/>
        <n v="120641"/>
        <n v="127997"/>
        <n v="278177"/>
        <n v="27122"/>
        <n v="220289"/>
        <n v="452843"/>
        <n v="104640"/>
        <n v="254089"/>
        <n v="410708"/>
        <n v="159366"/>
        <n v="327313"/>
        <n v="285694"/>
        <n v="527389"/>
        <n v="60643"/>
        <n v="946459"/>
        <n v="515747"/>
        <n v="1128043"/>
        <n v="304858"/>
        <n v="695083"/>
        <n v="29223"/>
        <n v="649938"/>
        <n v="272582"/>
        <n v="558680"/>
        <n v="210902"/>
        <n v="442343"/>
        <n v="230533"/>
        <n v="272942"/>
        <n v="111231"/>
        <n v="78745"/>
        <n v="287528"/>
        <n v="832872"/>
        <n v="416284"/>
        <n v="577265"/>
        <n v="56301"/>
        <n v="80289"/>
        <n v="534816"/>
        <n v="400625"/>
        <n v="413966"/>
        <n v="430396"/>
        <n v="90370"/>
        <n v="43948"/>
        <n v="58669"/>
        <n v="103655"/>
        <n v="64491"/>
        <n v="290723"/>
        <n v="97346"/>
        <n v="123631"/>
        <n v="157823"/>
        <n v="195952"/>
        <n v="169706"/>
        <n v="203600"/>
        <n v="716588"/>
        <n v="250716"/>
        <n v="357245"/>
        <n v="139824"/>
        <n v="361838"/>
        <n v="129648"/>
        <n v="103691"/>
        <n v="25329"/>
        <n v="383836"/>
        <n v="228872"/>
        <n v="121775"/>
        <n v="161822"/>
        <n v="498452"/>
        <n v="587060"/>
        <n v="25079"/>
        <n v="99263"/>
        <n v="816514"/>
        <n v="393909"/>
        <n v="70741"/>
        <n v="217733"/>
        <n v="171903"/>
        <n v="278459"/>
        <n v="229968"/>
        <n v="165177"/>
        <n v="260256"/>
        <n v="368987"/>
        <n v="551972"/>
        <n v="187096"/>
        <n v="117379"/>
        <n v="631491"/>
        <n v="286225"/>
        <n v="386184"/>
        <n v="543334"/>
        <n v="473329"/>
        <n v="234249"/>
        <n v="362708"/>
        <n v="107701"/>
        <n v="359828"/>
        <n v="342186"/>
        <n v="105750"/>
        <n v="259984"/>
        <n v="73572"/>
        <n v="584340"/>
        <n v="239007"/>
        <n v="363102"/>
        <n v="252774"/>
        <n v="180852"/>
        <n v="223073"/>
        <n v="146379"/>
        <n v="444150"/>
        <n v="362020"/>
        <n v="314468"/>
        <n v="331313"/>
        <n v="251529"/>
        <n v="208130"/>
        <n v="46851"/>
        <n v="42599"/>
        <n v="447129"/>
        <n v="177754"/>
        <n v="361661"/>
        <n v="203572"/>
        <n v="189623"/>
        <n v="272778"/>
        <n v="261131"/>
        <n v="160001"/>
        <n v="191174"/>
        <n v="152751"/>
        <n v="89251"/>
        <n v="50516"/>
        <n v="145721"/>
        <n v="230314"/>
        <n v="71847"/>
        <n v="462542"/>
        <n v="157825"/>
        <n v="574418"/>
        <n v="209345"/>
        <n v="140560"/>
        <n v="411176"/>
        <n v="126866"/>
        <n v="106904"/>
        <n v="283638"/>
        <n v="330366"/>
        <n v="77278"/>
        <n v="499884"/>
        <n v="297842"/>
        <n v="181304"/>
        <n v="496901"/>
        <n v="664776"/>
        <n v="335246"/>
        <n v="561991"/>
        <n v="165588"/>
        <n v="436776"/>
        <n v="99470"/>
        <n v="390232"/>
        <n v="103159"/>
        <n v="309787"/>
        <n v="594339"/>
        <n v="256328"/>
        <n v="767311"/>
        <n v="123872"/>
        <n v="721287"/>
        <n v="239988"/>
        <n v="258521"/>
        <n v="574473"/>
        <n v="432784"/>
        <n v="318622"/>
        <n v="168477"/>
        <n v="146785"/>
        <n v="450343"/>
        <n v="328979"/>
        <n v="167020"/>
        <n v="201670"/>
        <n v="227157"/>
        <n v="460947"/>
        <n v="513033"/>
        <n v="178421"/>
        <n v="552803"/>
        <n v="54040"/>
        <n v="442176"/>
        <n v="202989"/>
        <n v="317846"/>
        <n v="168265"/>
        <n v="317609"/>
        <n v="368161"/>
        <n v="145769"/>
        <n v="599847"/>
        <n v="372720"/>
        <n v="221743"/>
        <n v="114479"/>
        <n v="594660"/>
        <n v="359423"/>
        <n v="356426"/>
        <n v="259514"/>
        <n v="148016"/>
        <n v="349081"/>
        <n v="625381"/>
        <n v="385958"/>
        <n v="27299"/>
        <n v="61365"/>
        <n v="63209"/>
        <n v="616900"/>
        <n v="167619"/>
        <n v="687886"/>
        <n v="256647"/>
        <n v="206134"/>
        <n v="72550"/>
        <n v="295185"/>
        <n v="88805"/>
        <n v="335661"/>
        <n v="34242"/>
        <n v="432399"/>
        <n v="436413"/>
        <n v="132021"/>
        <n v="160002"/>
        <n v="337400"/>
        <n v="406519"/>
        <n v="94991"/>
        <n v="191610"/>
        <n v="154099"/>
        <n v="170285"/>
        <n v="121435"/>
        <n v="603088"/>
        <n v="560696"/>
        <n v="290481"/>
        <n v="62500"/>
        <n v="199306"/>
        <n v="56511"/>
        <n v="245343"/>
        <n v="159611"/>
        <n v="457921"/>
        <n v="145556"/>
        <n v="393648"/>
        <n v="274379"/>
        <n v="119065"/>
        <n v="702833"/>
        <n v="149195"/>
        <n v="232302"/>
        <n v="317904"/>
        <n v="56107"/>
        <n v="231343"/>
        <n v="238057"/>
        <n v="198873"/>
        <n v="288862"/>
        <n v="374293"/>
        <n v="683744"/>
        <n v="146396"/>
        <n v="482786"/>
        <n v="426666"/>
        <n v="648486"/>
        <n v="249862"/>
        <n v="160733"/>
        <n v="937968"/>
        <n v="215710"/>
        <n v="86530"/>
        <n v="123710"/>
        <n v="232348"/>
        <n v="207032"/>
        <n v="221835"/>
        <n v="284061"/>
        <n v="209028"/>
        <n v="210903"/>
        <n v="253662"/>
        <n v="364239"/>
        <n v="84827"/>
        <n v="195004"/>
        <n v="396916"/>
        <n v="341768"/>
        <n v="559404"/>
        <n v="666272"/>
        <n v="297551"/>
        <n v="381556"/>
        <n v="330988"/>
        <n v="194967"/>
        <n v="324427"/>
        <n v="319221"/>
        <n v="309544"/>
        <n v="228063"/>
        <n v="107651"/>
        <n v="310668"/>
        <n v="685359"/>
        <n v="490387"/>
        <n v="91742"/>
        <n v="295981"/>
        <n v="38674"/>
        <n v="253505"/>
        <n v="482873"/>
        <n v="185038"/>
        <n v="209555"/>
        <n v="231390"/>
        <n v="100573"/>
        <n v="341328"/>
        <n v="177139"/>
        <n v="65196"/>
        <n v="101616"/>
        <n v="95542"/>
        <n v="531008"/>
        <n v="95151"/>
        <n v="456728"/>
        <n v="283977"/>
        <n v="821335"/>
        <n v="397838"/>
        <n v="1110195"/>
        <n v="292413"/>
        <n v="1014042"/>
        <n v="191258"/>
        <n v="212854"/>
        <n v="140386"/>
        <n v="189911"/>
        <n v="149825"/>
        <n v="426362"/>
        <n v="314282"/>
        <n v="192224"/>
        <n v="33578"/>
        <n v="621941"/>
        <n v="204504"/>
        <n v="259763"/>
        <n v="442173"/>
        <n v="1144657"/>
        <n v="429629"/>
        <n v="167830"/>
        <n v="514686"/>
        <n v="592472"/>
        <n v="181568"/>
        <n v="259427"/>
        <n v="105686"/>
        <n v="373116"/>
        <n v="243639"/>
        <n v="563106"/>
        <n v="155091"/>
        <n v="178586"/>
        <n v="249939"/>
        <n v="363811"/>
        <n v="280249"/>
        <n v="395669"/>
        <n v="721837"/>
        <n v="363306"/>
        <n v="404170"/>
        <n v="212216"/>
        <n v="231102"/>
        <n v="320457"/>
        <n v="676195"/>
        <n v="568580"/>
        <n v="236943"/>
        <n v="163787"/>
        <n v="534634"/>
        <n v="151925"/>
        <n v="530480"/>
        <n v="890592"/>
        <n v="573787"/>
        <n v="420218"/>
        <n v="856111"/>
        <n v="1550689"/>
        <n v="178823"/>
        <n v="732843"/>
        <n v="251392"/>
        <n v="578462"/>
        <n v="137210"/>
        <n v="259100"/>
        <n v="276249"/>
        <n v="351137"/>
        <n v="509549"/>
        <n v="358002"/>
        <n v="727424"/>
        <n v="255860"/>
        <n v="211764"/>
        <n v="71345"/>
        <n v="445718"/>
        <n v="125419"/>
        <n v="147270"/>
        <n v="234692"/>
        <n v="208087"/>
        <n v="191727"/>
        <n v="232150"/>
        <n v="146016"/>
        <n v="359091"/>
        <n v="242794"/>
        <n v="371410"/>
        <n v="57274"/>
        <n v="601630"/>
        <n v="67818"/>
        <n v="754792"/>
        <n v="258688"/>
        <n v="998271"/>
        <n v="315672"/>
        <n v="94661"/>
        <n v="253029"/>
        <n v="372824"/>
        <n v="196690"/>
        <n v="201374"/>
        <n v="122164"/>
        <n v="126042"/>
        <n v="454515"/>
        <n v="378031"/>
        <n v="1063983"/>
        <n v="424601"/>
        <n v="220633"/>
        <n v="371620"/>
        <n v="110335"/>
        <n v="384807"/>
        <n v="361991"/>
        <n v="355896"/>
        <n v="74997"/>
        <n v="311076"/>
        <n v="259014"/>
        <n v="295915"/>
        <n v="518297"/>
        <n v="227826"/>
        <n v="362635"/>
        <n v="208951"/>
        <n v="308229"/>
        <n v="235227"/>
        <n v="243343"/>
        <n v="675473"/>
        <n v="43707"/>
        <n v="528333"/>
        <n v="314354"/>
        <n v="273075"/>
        <n v="162564"/>
        <n v="710223"/>
        <n v="361244"/>
        <n v="742863"/>
        <n v="2041534"/>
        <n v="128573"/>
        <n v="478493"/>
        <n v="326036"/>
        <n v="479271"/>
        <n v="200997"/>
        <n v="107034"/>
        <n v="557078"/>
        <n v="198164"/>
        <n v="402264"/>
        <n v="304080"/>
        <n v="106760"/>
        <n v="356737"/>
        <n v="290019"/>
        <n v="489751"/>
        <n v="390883"/>
        <n v="345366"/>
        <n v="252010"/>
        <n v="184896"/>
        <n v="554706"/>
        <n v="691211"/>
        <n v="544074"/>
        <n v="749109"/>
        <n v="182085"/>
        <n v="1003252"/>
        <n v="84133"/>
        <n v="225433"/>
        <n v="171754"/>
        <n v="510286"/>
        <n v="240874"/>
        <n v="160380"/>
        <n v="214039"/>
        <n v="328404"/>
        <n v="47566"/>
        <n v="98129"/>
        <n v="519913"/>
        <n v="39962"/>
        <n v="826783"/>
        <n v="158437"/>
        <n v="650234"/>
        <n v="575069"/>
        <n v="63341"/>
        <n v="99491"/>
        <n v="298060"/>
        <n v="175461"/>
        <n v="345132"/>
        <n v="746493"/>
        <n v="615460"/>
        <n v="466992"/>
        <n v="680035"/>
        <n v="154152"/>
        <n v="161401"/>
        <n v="187936"/>
        <n v="250590"/>
        <n v="311941"/>
        <n v="63285"/>
        <n v="334480"/>
        <n v="326273"/>
        <n v="108806"/>
        <n v="405925"/>
        <n v="41426"/>
        <n v="130222"/>
        <n v="735420"/>
        <n v="769650"/>
        <n v="303953"/>
        <n v="178176"/>
        <n v="207984"/>
        <n v="93602"/>
        <n v="290027"/>
        <n v="74305"/>
        <n v="874440"/>
        <n v="214341"/>
        <n v="521084"/>
        <n v="52957"/>
        <n v="127475"/>
        <n v="204637"/>
        <n v="211668"/>
        <n v="33904"/>
        <n v="307648"/>
        <n v="1119932"/>
        <n v="274026"/>
        <n v="64558"/>
        <n v="710201"/>
        <n v="153018"/>
        <n v="330392"/>
        <n v="817739"/>
        <n v="1075877"/>
        <n v="221123"/>
        <n v="265173"/>
        <n v="910604"/>
        <n v="768598"/>
        <n v="209510"/>
        <n v="151225"/>
        <n v="353147"/>
        <n v="520661"/>
        <n v="246258"/>
        <n v="266183"/>
        <n v="410414"/>
        <n v="363734"/>
        <n v="468038"/>
        <n v="619724"/>
        <n v="453111"/>
        <n v="226424"/>
        <n v="300279"/>
        <n v="215942"/>
        <n v="425149"/>
        <n v="189673"/>
        <n v="161562"/>
        <n v="214975"/>
        <n v="490422"/>
        <n v="170107"/>
        <n v="142348"/>
        <n v="39850"/>
        <n v="30548"/>
        <n v="299059"/>
        <n v="61359"/>
        <n v="786056"/>
        <n v="284102"/>
        <n v="273971"/>
        <n v="371657"/>
        <n v="192574"/>
        <n v="434312"/>
        <n v="73889"/>
        <n v="484374"/>
        <n v="114310"/>
        <n v="520208"/>
        <n v="254776"/>
        <n v="722372"/>
        <n v="130824"/>
        <n v="257431"/>
        <n v="250102"/>
        <n v="317590"/>
        <n v="555820"/>
        <n v="174494"/>
        <n v="663448"/>
        <n v="69441"/>
        <n v="324171"/>
        <n v="599266"/>
        <n v="265306"/>
        <n v="283282"/>
        <n v="237784"/>
        <n v="646757"/>
        <n v="321240"/>
        <n v="216286"/>
        <n v="219277"/>
        <n v="81293"/>
        <n v="403892"/>
        <n v="363234"/>
        <n v="62732"/>
        <n v="799269"/>
        <n v="186879"/>
        <n v="266275"/>
        <n v="328727"/>
        <n v="39389"/>
        <n v="386673"/>
        <n v="321489"/>
        <n v="302168"/>
        <n v="377722"/>
        <n v="194775"/>
        <n v="149849"/>
        <n v="287710"/>
        <n v="472739"/>
        <n v="367242"/>
        <n v="235947"/>
        <n v="475662"/>
        <n v="309825"/>
        <n v="496252"/>
        <n v="158627"/>
        <n v="251016"/>
        <n v="147216"/>
        <n v="568761"/>
        <n v="254149"/>
        <n v="278849"/>
        <n v="91402"/>
        <n v="494079"/>
        <n v="216522"/>
        <n v="152282"/>
        <n v="234328"/>
        <n v="814605"/>
        <n v="381334"/>
        <n v="105910"/>
        <n v="186176"/>
        <n v="256658"/>
        <n v="238371"/>
        <n v="52125"/>
        <n v="66866"/>
        <n v="258859"/>
        <n v="54446"/>
        <n v="88752"/>
        <n v="380495"/>
        <n v="114511"/>
        <n v="185091"/>
        <n v="73933"/>
        <n v="278715"/>
        <n v="190726"/>
        <n v="463591"/>
        <n v="203803"/>
        <n v="53147"/>
        <n v="467059"/>
        <n v="69347"/>
        <n v="93651"/>
        <n v="143985"/>
        <n v="261405"/>
        <n v="783677"/>
        <n v="343997"/>
        <n v="383008"/>
        <n v="161572"/>
        <n v="149956"/>
        <n v="135570"/>
        <n v="318150"/>
        <n v="263762"/>
        <n v="281126"/>
        <n v="136475"/>
        <n v="634678"/>
        <n v="265179"/>
        <n v="390847"/>
        <n v="73857"/>
        <n v="41069"/>
        <n v="459173"/>
        <n v="703342"/>
        <n v="188027"/>
        <n v="594273"/>
        <n v="128571"/>
        <n v="305102"/>
        <n v="274438"/>
        <n v="114821"/>
        <n v="199420"/>
        <n v="244709"/>
        <n v="455807"/>
        <n v="505689"/>
        <n v="406556"/>
        <n v="519649"/>
        <n v="454673"/>
        <n v="174946"/>
        <n v="83165"/>
        <n v="233447"/>
        <n v="258913"/>
        <n v="861276"/>
        <n v="76961"/>
        <n v="822663"/>
        <n v="262135"/>
        <n v="153428"/>
        <n v="200135"/>
        <n v="88904"/>
        <n v="320521"/>
        <n v="155805"/>
        <n v="124872"/>
        <n v="447557"/>
        <n v="256891"/>
        <n v="144531"/>
        <n v="246394"/>
        <n v="46480"/>
        <n v="916888"/>
        <n v="537768"/>
        <n v="589379"/>
        <m/>
      </sharedItems>
    </cacheField>
    <cacheField name="Tier" numFmtId="165">
      <sharedItems containsBlank="1" count="4">
        <s v="Gold"/>
        <s v="Silver"/>
        <s v="Platinum"/>
        <m/>
      </sharedItems>
    </cacheField>
    <cacheField name="PoinDidapat" numFmtId="166">
      <sharedItems containsString="0" containsBlank="1" containsNumber="1" containsInteger="1" minValue="2" maxValue="204"/>
    </cacheField>
    <cacheField name="Months (Tanggal)" numFmtId="0" databaseField="0">
      <fieldGroup base="2">
        <rangePr groupBy="months" startDate="2025-10-01T00:00:00" endDate="2026-09-29T00:00:00"/>
        <groupItems count="14">
          <s v="&lt;01/10/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9/09/26"/>
        </groupItems>
      </fieldGroup>
    </cacheField>
    <cacheField name="Quarters (Tanggal)" numFmtId="0" databaseField="0">
      <fieldGroup base="2">
        <rangePr groupBy="quarters" startDate="2025-10-01T00:00:00" endDate="2026-09-29T00:00:00"/>
        <groupItems count="6">
          <s v="&lt;01/10/25"/>
          <s v="Qtr1"/>
          <s v="Qtr2"/>
          <s v="Qtr3"/>
          <s v="Qtr4"/>
          <s v="&gt;29/09/26"/>
        </groupItems>
      </fieldGroup>
    </cacheField>
    <cacheField name="Years (Tanggal)" numFmtId="0" databaseField="0">
      <fieldGroup base="2">
        <rangePr groupBy="years" startDate="2025-10-01T00:00:00" endDate="2026-09-29T00:00:00"/>
        <groupItems count="4">
          <s v="&lt;01/10/25"/>
          <s v="2025"/>
          <s v="2026"/>
          <s v="&gt;29/09/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0">
  <r>
    <x v="0"/>
    <s v="M0019"/>
    <x v="0"/>
    <s v="RW009"/>
    <s v="Merchandise Tas Belanja Ramah Lingkungan"/>
    <n v="3500"/>
    <x v="0"/>
  </r>
  <r>
    <x v="1"/>
    <s v="M0080"/>
    <x v="1"/>
    <s v="RW006"/>
    <s v="Free Ongkir 3X"/>
    <n v="1500"/>
    <x v="0"/>
  </r>
  <r>
    <x v="2"/>
    <s v="M0201"/>
    <x v="0"/>
    <s v="RW005"/>
    <s v="Voucher Ojek Online Rp25.000"/>
    <n v="2500"/>
    <x v="0"/>
  </r>
  <r>
    <x v="3"/>
    <s v="M0057"/>
    <x v="2"/>
    <s v="RW008"/>
    <s v="Diskon 15% Fashion Partner"/>
    <n v="4000"/>
    <x v="0"/>
  </r>
  <r>
    <x v="4"/>
    <s v="M0208"/>
    <x v="3"/>
    <s v="RW003"/>
    <s v="Diskon 20% F&amp;B Partner"/>
    <n v="3000"/>
    <x v="0"/>
  </r>
  <r>
    <x v="5"/>
    <s v="M0267"/>
    <x v="4"/>
    <s v="RW007"/>
    <s v="Voucher Belanja Rp200.000"/>
    <n v="20000"/>
    <x v="1"/>
  </r>
  <r>
    <x v="6"/>
    <s v="M0166"/>
    <x v="5"/>
    <s v="RW006"/>
    <s v="Free Ongkir 3X"/>
    <n v="1500"/>
    <x v="0"/>
  </r>
  <r>
    <x v="7"/>
    <s v="M0067"/>
    <x v="6"/>
    <s v="RW008"/>
    <s v="Diskon 15% Fashion Partner"/>
    <n v="4000"/>
    <x v="0"/>
  </r>
  <r>
    <x v="8"/>
    <s v="M0049"/>
    <x v="7"/>
    <s v="RW007"/>
    <s v="Voucher Belanja Rp200.000"/>
    <n v="20000"/>
    <x v="0"/>
  </r>
  <r>
    <x v="9"/>
    <s v="M0280"/>
    <x v="8"/>
    <s v="RW005"/>
    <s v="Voucher Ojek Online Rp25.000"/>
    <n v="2500"/>
    <x v="0"/>
  </r>
  <r>
    <x v="10"/>
    <s v="M0048"/>
    <x v="9"/>
    <s v="RW010"/>
    <s v="Voucher Nonton Bioskop"/>
    <n v="6000"/>
    <x v="0"/>
  </r>
  <r>
    <x v="11"/>
    <s v="M0177"/>
    <x v="10"/>
    <s v="RW001"/>
    <s v="Voucher Belanja Rp50.000"/>
    <n v="5000"/>
    <x v="0"/>
  </r>
  <r>
    <x v="12"/>
    <s v="M0217"/>
    <x v="11"/>
    <s v="RW004"/>
    <s v="Merchandise Tumbler Eksklusif"/>
    <n v="8000"/>
    <x v="0"/>
  </r>
  <r>
    <x v="13"/>
    <s v="M0050"/>
    <x v="12"/>
    <s v="RW007"/>
    <s v="Voucher Belanja Rp200.000"/>
    <n v="20000"/>
    <x v="1"/>
  </r>
  <r>
    <x v="14"/>
    <s v="M0068"/>
    <x v="13"/>
    <s v="RW002"/>
    <s v="Voucher Belanja Rp100.000"/>
    <n v="10000"/>
    <x v="0"/>
  </r>
  <r>
    <x v="15"/>
    <s v="M0095"/>
    <x v="14"/>
    <s v="RW010"/>
    <s v="Voucher Nonton Bioskop"/>
    <n v="6000"/>
    <x v="0"/>
  </r>
  <r>
    <x v="16"/>
    <s v="M0166"/>
    <x v="15"/>
    <s v="RW003"/>
    <s v="Diskon 20% F&amp;B Partner"/>
    <n v="3000"/>
    <x v="0"/>
  </r>
  <r>
    <x v="17"/>
    <s v="M0070"/>
    <x v="16"/>
    <s v="RW006"/>
    <s v="Free Ongkir 3X"/>
    <n v="1500"/>
    <x v="0"/>
  </r>
  <r>
    <x v="18"/>
    <s v="M0033"/>
    <x v="17"/>
    <s v="RW007"/>
    <s v="Voucher Belanja Rp200.000"/>
    <n v="20000"/>
    <x v="1"/>
  </r>
  <r>
    <x v="19"/>
    <s v="M0181"/>
    <x v="18"/>
    <s v="RW003"/>
    <s v="Diskon 20% F&amp;B Partner"/>
    <n v="3000"/>
    <x v="0"/>
  </r>
  <r>
    <x v="20"/>
    <s v="M0045"/>
    <x v="19"/>
    <s v="RW004"/>
    <s v="Merchandise Tumbler Eksklusif"/>
    <n v="8000"/>
    <x v="1"/>
  </r>
  <r>
    <x v="21"/>
    <s v="M0093"/>
    <x v="20"/>
    <s v="RW002"/>
    <s v="Voucher Belanja Rp100.000"/>
    <n v="10000"/>
    <x v="1"/>
  </r>
  <r>
    <x v="22"/>
    <s v="M0135"/>
    <x v="21"/>
    <s v="RW001"/>
    <s v="Voucher Belanja Rp50.000"/>
    <n v="5000"/>
    <x v="0"/>
  </r>
  <r>
    <x v="23"/>
    <s v="M0250"/>
    <x v="22"/>
    <s v="RW001"/>
    <s v="Voucher Belanja Rp50.000"/>
    <n v="5000"/>
    <x v="0"/>
  </r>
  <r>
    <x v="24"/>
    <s v="M0001"/>
    <x v="14"/>
    <s v="RW008"/>
    <s v="Diskon 15% Fashion Partner"/>
    <n v="4000"/>
    <x v="0"/>
  </r>
  <r>
    <x v="25"/>
    <s v="M0133"/>
    <x v="23"/>
    <s v="RW005"/>
    <s v="Voucher Ojek Online Rp25.000"/>
    <n v="2500"/>
    <x v="0"/>
  </r>
  <r>
    <x v="26"/>
    <s v="M0207"/>
    <x v="24"/>
    <s v="RW006"/>
    <s v="Free Ongkir 3X"/>
    <n v="1500"/>
    <x v="0"/>
  </r>
  <r>
    <x v="27"/>
    <s v="M0101"/>
    <x v="25"/>
    <s v="RW008"/>
    <s v="Diskon 15% Fashion Partner"/>
    <n v="4000"/>
    <x v="0"/>
  </r>
  <r>
    <x v="28"/>
    <s v="M0178"/>
    <x v="26"/>
    <s v="RW005"/>
    <s v="Voucher Ojek Online Rp25.000"/>
    <n v="2500"/>
    <x v="0"/>
  </r>
  <r>
    <x v="29"/>
    <s v="M0102"/>
    <x v="27"/>
    <s v="RW006"/>
    <s v="Free Ongkir 3X"/>
    <n v="1500"/>
    <x v="0"/>
  </r>
  <r>
    <x v="30"/>
    <s v="M0105"/>
    <x v="28"/>
    <s v="RW001"/>
    <s v="Voucher Belanja Rp50.000"/>
    <n v="5000"/>
    <x v="0"/>
  </r>
  <r>
    <x v="31"/>
    <s v="M0023"/>
    <x v="29"/>
    <s v="RW007"/>
    <s v="Voucher Belanja Rp200.000"/>
    <n v="20000"/>
    <x v="0"/>
  </r>
  <r>
    <x v="32"/>
    <s v="M0153"/>
    <x v="30"/>
    <s v="RW007"/>
    <s v="Voucher Belanja Rp200.000"/>
    <n v="20000"/>
    <x v="1"/>
  </r>
  <r>
    <x v="33"/>
    <s v="M0297"/>
    <x v="31"/>
    <s v="RW010"/>
    <s v="Voucher Nonton Bioskop"/>
    <n v="6000"/>
    <x v="0"/>
  </r>
  <r>
    <x v="34"/>
    <s v="M0271"/>
    <x v="32"/>
    <s v="RW007"/>
    <s v="Voucher Belanja Rp200.000"/>
    <n v="20000"/>
    <x v="0"/>
  </r>
  <r>
    <x v="35"/>
    <s v="M0154"/>
    <x v="33"/>
    <s v="RW006"/>
    <s v="Free Ongkir 3X"/>
    <n v="1500"/>
    <x v="0"/>
  </r>
  <r>
    <x v="36"/>
    <s v="M0298"/>
    <x v="34"/>
    <s v="RW006"/>
    <s v="Free Ongkir 3X"/>
    <n v="1500"/>
    <x v="0"/>
  </r>
  <r>
    <x v="37"/>
    <s v="M0133"/>
    <x v="35"/>
    <s v="RW004"/>
    <s v="Merchandise Tumbler Eksklusif"/>
    <n v="8000"/>
    <x v="0"/>
  </r>
  <r>
    <x v="38"/>
    <s v="M0163"/>
    <x v="36"/>
    <s v="RW002"/>
    <s v="Voucher Belanja Rp100.000"/>
    <n v="10000"/>
    <x v="0"/>
  </r>
  <r>
    <x v="39"/>
    <s v="M0133"/>
    <x v="37"/>
    <s v="RW001"/>
    <s v="Voucher Belanja Rp50.000"/>
    <n v="5000"/>
    <x v="0"/>
  </r>
  <r>
    <x v="40"/>
    <s v="M0175"/>
    <x v="38"/>
    <s v="RW007"/>
    <s v="Voucher Belanja Rp200.000"/>
    <n v="20000"/>
    <x v="1"/>
  </r>
  <r>
    <x v="41"/>
    <s v="M0217"/>
    <x v="39"/>
    <s v="RW009"/>
    <s v="Merchandise Tas Belanja Ramah Lingkungan"/>
    <n v="3500"/>
    <x v="0"/>
  </r>
  <r>
    <x v="42"/>
    <s v="M0119"/>
    <x v="40"/>
    <s v="RW001"/>
    <s v="Voucher Belanja Rp50.000"/>
    <n v="5000"/>
    <x v="0"/>
  </r>
  <r>
    <x v="43"/>
    <s v="M0241"/>
    <x v="41"/>
    <s v="RW008"/>
    <s v="Diskon 15% Fashion Partner"/>
    <n v="4000"/>
    <x v="0"/>
  </r>
  <r>
    <x v="44"/>
    <s v="M0056"/>
    <x v="42"/>
    <s v="RW004"/>
    <s v="Merchandise Tumbler Eksklusif"/>
    <n v="8000"/>
    <x v="0"/>
  </r>
  <r>
    <x v="45"/>
    <s v="M0198"/>
    <x v="43"/>
    <s v="RW005"/>
    <s v="Voucher Ojek Online Rp25.000"/>
    <n v="2500"/>
    <x v="0"/>
  </r>
  <r>
    <x v="46"/>
    <s v="M0070"/>
    <x v="44"/>
    <s v="RW004"/>
    <s v="Merchandise Tumbler Eksklusif"/>
    <n v="8000"/>
    <x v="0"/>
  </r>
  <r>
    <x v="47"/>
    <s v="M0075"/>
    <x v="25"/>
    <s v="RW008"/>
    <s v="Diskon 15% Fashion Partner"/>
    <n v="4000"/>
    <x v="0"/>
  </r>
  <r>
    <x v="48"/>
    <s v="M0296"/>
    <x v="45"/>
    <s v="RW009"/>
    <s v="Merchandise Tas Belanja Ramah Lingkungan"/>
    <n v="3500"/>
    <x v="0"/>
  </r>
  <r>
    <x v="49"/>
    <s v="M0203"/>
    <x v="46"/>
    <s v="RW007"/>
    <s v="Voucher Belanja Rp200.000"/>
    <n v="20000"/>
    <x v="0"/>
  </r>
  <r>
    <x v="50"/>
    <s v="M0090"/>
    <x v="47"/>
    <s v="RW002"/>
    <s v="Voucher Belanja Rp100.000"/>
    <n v="10000"/>
    <x v="0"/>
  </r>
  <r>
    <x v="51"/>
    <s v="M0101"/>
    <x v="48"/>
    <s v="RW009"/>
    <s v="Merchandise Tas Belanja Ramah Lingkungan"/>
    <n v="3500"/>
    <x v="0"/>
  </r>
  <r>
    <x v="52"/>
    <s v="M0045"/>
    <x v="49"/>
    <s v="RW003"/>
    <s v="Diskon 20% F&amp;B Partner"/>
    <n v="3000"/>
    <x v="0"/>
  </r>
  <r>
    <x v="53"/>
    <s v="M0179"/>
    <x v="12"/>
    <s v="RW008"/>
    <s v="Diskon 15% Fashion Partner"/>
    <n v="4000"/>
    <x v="0"/>
  </r>
  <r>
    <x v="54"/>
    <s v="M0051"/>
    <x v="50"/>
    <s v="RW007"/>
    <s v="Voucher Belanja Rp200.000"/>
    <n v="20000"/>
    <x v="0"/>
  </r>
  <r>
    <x v="55"/>
    <s v="M0014"/>
    <x v="51"/>
    <s v="RW004"/>
    <s v="Merchandise Tumbler Eksklusif"/>
    <n v="8000"/>
    <x v="0"/>
  </r>
  <r>
    <x v="56"/>
    <s v="M0211"/>
    <x v="52"/>
    <s v="RW010"/>
    <s v="Voucher Nonton Bioskop"/>
    <n v="6000"/>
    <x v="0"/>
  </r>
  <r>
    <x v="57"/>
    <s v="M0253"/>
    <x v="53"/>
    <s v="RW001"/>
    <s v="Voucher Belanja Rp50.000"/>
    <n v="5000"/>
    <x v="0"/>
  </r>
  <r>
    <x v="58"/>
    <s v="M0148"/>
    <x v="54"/>
    <s v="RW010"/>
    <s v="Voucher Nonton Bioskop"/>
    <n v="6000"/>
    <x v="0"/>
  </r>
  <r>
    <x v="59"/>
    <s v="M0291"/>
    <x v="55"/>
    <s v="RW005"/>
    <s v="Voucher Ojek Online Rp25.000"/>
    <n v="2500"/>
    <x v="0"/>
  </r>
  <r>
    <x v="60"/>
    <s v="M0216"/>
    <x v="56"/>
    <s v="RW006"/>
    <s v="Free Ongkir 3X"/>
    <n v="1500"/>
    <x v="1"/>
  </r>
  <r>
    <x v="61"/>
    <s v="M0158"/>
    <x v="57"/>
    <s v="RW005"/>
    <s v="Voucher Ojek Online Rp25.000"/>
    <n v="2500"/>
    <x v="1"/>
  </r>
  <r>
    <x v="62"/>
    <s v="M0138"/>
    <x v="58"/>
    <s v="RW001"/>
    <s v="Voucher Belanja Rp50.000"/>
    <n v="5000"/>
    <x v="0"/>
  </r>
  <r>
    <x v="63"/>
    <s v="M0103"/>
    <x v="59"/>
    <s v="RW003"/>
    <s v="Diskon 20% F&amp;B Partner"/>
    <n v="3000"/>
    <x v="1"/>
  </r>
  <r>
    <x v="64"/>
    <s v="M0034"/>
    <x v="60"/>
    <s v="RW001"/>
    <s v="Voucher Belanja Rp50.000"/>
    <n v="5000"/>
    <x v="0"/>
  </r>
  <r>
    <x v="65"/>
    <s v="M0017"/>
    <x v="61"/>
    <s v="RW002"/>
    <s v="Voucher Belanja Rp100.000"/>
    <n v="10000"/>
    <x v="0"/>
  </r>
  <r>
    <x v="66"/>
    <s v="M0272"/>
    <x v="57"/>
    <s v="RW010"/>
    <s v="Voucher Nonton Bioskop"/>
    <n v="6000"/>
    <x v="0"/>
  </r>
  <r>
    <x v="67"/>
    <s v="M0209"/>
    <x v="62"/>
    <s v="RW008"/>
    <s v="Diskon 15% Fashion Partner"/>
    <n v="4000"/>
    <x v="1"/>
  </r>
  <r>
    <x v="68"/>
    <s v="M0085"/>
    <x v="63"/>
    <s v="RW003"/>
    <s v="Diskon 20% F&amp;B Partner"/>
    <n v="3000"/>
    <x v="1"/>
  </r>
  <r>
    <x v="69"/>
    <s v="M0123"/>
    <x v="64"/>
    <s v="RW007"/>
    <s v="Voucher Belanja Rp200.000"/>
    <n v="20000"/>
    <x v="0"/>
  </r>
  <r>
    <x v="70"/>
    <s v="M0123"/>
    <x v="65"/>
    <s v="RW004"/>
    <s v="Merchandise Tumbler Eksklusif"/>
    <n v="8000"/>
    <x v="1"/>
  </r>
  <r>
    <x v="71"/>
    <s v="M0224"/>
    <x v="66"/>
    <s v="RW009"/>
    <s v="Merchandise Tas Belanja Ramah Lingkungan"/>
    <n v="3500"/>
    <x v="0"/>
  </r>
  <r>
    <x v="72"/>
    <s v="M0271"/>
    <x v="67"/>
    <s v="RW003"/>
    <s v="Diskon 20% F&amp;B Partner"/>
    <n v="3000"/>
    <x v="0"/>
  </r>
  <r>
    <x v="73"/>
    <s v="M0051"/>
    <x v="22"/>
    <s v="RW008"/>
    <s v="Diskon 15% Fashion Partner"/>
    <n v="4000"/>
    <x v="0"/>
  </r>
  <r>
    <x v="74"/>
    <s v="M0275"/>
    <x v="68"/>
    <s v="RW003"/>
    <s v="Diskon 20% F&amp;B Partner"/>
    <n v="3000"/>
    <x v="0"/>
  </r>
  <r>
    <x v="75"/>
    <s v="M0004"/>
    <x v="69"/>
    <s v="RW002"/>
    <s v="Voucher Belanja Rp100.000"/>
    <n v="10000"/>
    <x v="0"/>
  </r>
  <r>
    <x v="76"/>
    <s v="M0144"/>
    <x v="70"/>
    <s v="RW006"/>
    <s v="Free Ongkir 3X"/>
    <n v="1500"/>
    <x v="0"/>
  </r>
  <r>
    <x v="77"/>
    <s v="M0019"/>
    <x v="71"/>
    <s v="RW004"/>
    <s v="Merchandise Tumbler Eksklusif"/>
    <n v="8000"/>
    <x v="0"/>
  </r>
  <r>
    <x v="78"/>
    <s v="M0253"/>
    <x v="72"/>
    <s v="RW004"/>
    <s v="Merchandise Tumbler Eksklusif"/>
    <n v="8000"/>
    <x v="0"/>
  </r>
  <r>
    <x v="79"/>
    <s v="M0270"/>
    <x v="73"/>
    <s v="RW006"/>
    <s v="Free Ongkir 3X"/>
    <n v="1500"/>
    <x v="0"/>
  </r>
  <r>
    <x v="80"/>
    <s v="M0007"/>
    <x v="74"/>
    <s v="RW008"/>
    <s v="Diskon 15% Fashion Partner"/>
    <n v="4000"/>
    <x v="0"/>
  </r>
  <r>
    <x v="81"/>
    <s v="M0199"/>
    <x v="75"/>
    <s v="RW008"/>
    <s v="Diskon 15% Fashion Partner"/>
    <n v="4000"/>
    <x v="0"/>
  </r>
  <r>
    <x v="82"/>
    <s v="M0083"/>
    <x v="7"/>
    <s v="RW005"/>
    <s v="Voucher Ojek Online Rp25.000"/>
    <n v="2500"/>
    <x v="0"/>
  </r>
  <r>
    <x v="83"/>
    <s v="M0233"/>
    <x v="76"/>
    <s v="RW010"/>
    <s v="Voucher Nonton Bioskop"/>
    <n v="6000"/>
    <x v="0"/>
  </r>
  <r>
    <x v="84"/>
    <s v="M0014"/>
    <x v="77"/>
    <s v="RW002"/>
    <s v="Voucher Belanja Rp100.000"/>
    <n v="10000"/>
    <x v="0"/>
  </r>
  <r>
    <x v="85"/>
    <s v="M0275"/>
    <x v="78"/>
    <s v="RW008"/>
    <s v="Diskon 15% Fashion Partner"/>
    <n v="4000"/>
    <x v="1"/>
  </r>
  <r>
    <x v="86"/>
    <s v="M0300"/>
    <x v="79"/>
    <s v="RW003"/>
    <s v="Diskon 20% F&amp;B Partner"/>
    <n v="3000"/>
    <x v="0"/>
  </r>
  <r>
    <x v="87"/>
    <s v="M0057"/>
    <x v="80"/>
    <s v="RW007"/>
    <s v="Voucher Belanja Rp200.000"/>
    <n v="20000"/>
    <x v="0"/>
  </r>
  <r>
    <x v="88"/>
    <s v="M0101"/>
    <x v="27"/>
    <s v="RW006"/>
    <s v="Free Ongkir 3X"/>
    <n v="1500"/>
    <x v="0"/>
  </r>
  <r>
    <x v="89"/>
    <s v="M0090"/>
    <x v="81"/>
    <s v="RW010"/>
    <s v="Voucher Nonton Bioskop"/>
    <n v="6000"/>
    <x v="0"/>
  </r>
  <r>
    <x v="90"/>
    <s v="M0262"/>
    <x v="82"/>
    <s v="RW009"/>
    <s v="Merchandise Tas Belanja Ramah Lingkungan"/>
    <n v="3500"/>
    <x v="0"/>
  </r>
  <r>
    <x v="91"/>
    <s v="M0047"/>
    <x v="11"/>
    <s v="RW006"/>
    <s v="Free Ongkir 3X"/>
    <n v="1500"/>
    <x v="0"/>
  </r>
  <r>
    <x v="92"/>
    <s v="M0197"/>
    <x v="83"/>
    <s v="RW007"/>
    <s v="Voucher Belanja Rp200.000"/>
    <n v="20000"/>
    <x v="0"/>
  </r>
  <r>
    <x v="93"/>
    <s v="M0022"/>
    <x v="76"/>
    <s v="RW009"/>
    <s v="Merchandise Tas Belanja Ramah Lingkungan"/>
    <n v="3500"/>
    <x v="0"/>
  </r>
  <r>
    <x v="94"/>
    <s v="M0256"/>
    <x v="36"/>
    <s v="RW002"/>
    <s v="Voucher Belanja Rp100.000"/>
    <n v="10000"/>
    <x v="0"/>
  </r>
  <r>
    <x v="95"/>
    <s v="M0261"/>
    <x v="84"/>
    <s v="RW001"/>
    <s v="Voucher Belanja Rp50.000"/>
    <n v="5000"/>
    <x v="0"/>
  </r>
  <r>
    <x v="96"/>
    <s v="M0176"/>
    <x v="85"/>
    <s v="RW009"/>
    <s v="Merchandise Tas Belanja Ramah Lingkungan"/>
    <n v="3500"/>
    <x v="0"/>
  </r>
  <r>
    <x v="97"/>
    <s v="M0284"/>
    <x v="86"/>
    <s v="RW007"/>
    <s v="Voucher Belanja Rp200.000"/>
    <n v="20000"/>
    <x v="0"/>
  </r>
  <r>
    <x v="98"/>
    <s v="M0217"/>
    <x v="87"/>
    <s v="RW009"/>
    <s v="Merchandise Tas Belanja Ramah Lingkungan"/>
    <n v="3500"/>
    <x v="0"/>
  </r>
  <r>
    <x v="99"/>
    <s v="M0231"/>
    <x v="88"/>
    <s v="RW002"/>
    <s v="Voucher Belanja Rp100.000"/>
    <n v="10000"/>
    <x v="0"/>
  </r>
  <r>
    <x v="100"/>
    <s v="M0060"/>
    <x v="89"/>
    <s v="RW005"/>
    <s v="Voucher Ojek Online Rp25.000"/>
    <n v="2500"/>
    <x v="0"/>
  </r>
  <r>
    <x v="101"/>
    <s v="M0024"/>
    <x v="90"/>
    <s v="RW003"/>
    <s v="Diskon 20% F&amp;B Partner"/>
    <n v="3000"/>
    <x v="0"/>
  </r>
  <r>
    <x v="102"/>
    <s v="M0088"/>
    <x v="65"/>
    <s v="RW006"/>
    <s v="Free Ongkir 3X"/>
    <n v="1500"/>
    <x v="1"/>
  </r>
  <r>
    <x v="103"/>
    <s v="M0244"/>
    <x v="91"/>
    <s v="RW002"/>
    <s v="Voucher Belanja Rp100.000"/>
    <n v="10000"/>
    <x v="1"/>
  </r>
  <r>
    <x v="104"/>
    <s v="M0236"/>
    <x v="92"/>
    <s v="RW005"/>
    <s v="Voucher Ojek Online Rp25.000"/>
    <n v="2500"/>
    <x v="1"/>
  </r>
  <r>
    <x v="105"/>
    <s v="M0128"/>
    <x v="93"/>
    <s v="RW002"/>
    <s v="Voucher Belanja Rp100.000"/>
    <n v="10000"/>
    <x v="1"/>
  </r>
  <r>
    <x v="106"/>
    <s v="M0111"/>
    <x v="94"/>
    <s v="RW009"/>
    <s v="Merchandise Tas Belanja Ramah Lingkungan"/>
    <n v="3500"/>
    <x v="1"/>
  </r>
  <r>
    <x v="107"/>
    <s v="M0065"/>
    <x v="95"/>
    <s v="RW002"/>
    <s v="Voucher Belanja Rp100.000"/>
    <n v="10000"/>
    <x v="0"/>
  </r>
  <r>
    <x v="108"/>
    <s v="M0224"/>
    <x v="96"/>
    <s v="RW002"/>
    <s v="Voucher Belanja Rp100.000"/>
    <n v="10000"/>
    <x v="0"/>
  </r>
  <r>
    <x v="109"/>
    <s v="M0068"/>
    <x v="97"/>
    <s v="RW008"/>
    <s v="Diskon 15% Fashion Partner"/>
    <n v="4000"/>
    <x v="0"/>
  </r>
  <r>
    <x v="110"/>
    <s v="M0126"/>
    <x v="40"/>
    <s v="RW004"/>
    <s v="Merchandise Tumbler Eksklusif"/>
    <n v="8000"/>
    <x v="0"/>
  </r>
  <r>
    <x v="111"/>
    <s v="M0031"/>
    <x v="98"/>
    <s v="RW005"/>
    <s v="Voucher Ojek Online Rp25.000"/>
    <n v="2500"/>
    <x v="0"/>
  </r>
  <r>
    <x v="112"/>
    <s v="M0202"/>
    <x v="90"/>
    <s v="RW007"/>
    <s v="Voucher Belanja Rp200.000"/>
    <n v="20000"/>
    <x v="0"/>
  </r>
  <r>
    <x v="113"/>
    <s v="M0255"/>
    <x v="99"/>
    <s v="RW003"/>
    <s v="Diskon 20% F&amp;B Partner"/>
    <n v="3000"/>
    <x v="0"/>
  </r>
  <r>
    <x v="114"/>
    <s v="M0049"/>
    <x v="100"/>
    <s v="RW006"/>
    <s v="Free Ongkir 3X"/>
    <n v="1500"/>
    <x v="0"/>
  </r>
  <r>
    <x v="115"/>
    <s v="M0049"/>
    <x v="49"/>
    <s v="RW009"/>
    <s v="Merchandise Tas Belanja Ramah Lingkungan"/>
    <n v="3500"/>
    <x v="0"/>
  </r>
  <r>
    <x v="116"/>
    <s v="M0280"/>
    <x v="43"/>
    <s v="RW006"/>
    <s v="Free Ongkir 3X"/>
    <n v="1500"/>
    <x v="0"/>
  </r>
  <r>
    <x v="117"/>
    <s v="M0294"/>
    <x v="101"/>
    <s v="RW010"/>
    <s v="Voucher Nonton Bioskop"/>
    <n v="6000"/>
    <x v="0"/>
  </r>
  <r>
    <x v="118"/>
    <s v="M0089"/>
    <x v="102"/>
    <s v="RW005"/>
    <s v="Voucher Ojek Online Rp25.000"/>
    <n v="2500"/>
    <x v="0"/>
  </r>
  <r>
    <x v="119"/>
    <s v="M0113"/>
    <x v="8"/>
    <s v="RW009"/>
    <s v="Merchandise Tas Belanja Ramah Lingkungan"/>
    <n v="3500"/>
    <x v="0"/>
  </r>
  <r>
    <x v="120"/>
    <s v="M0292"/>
    <x v="98"/>
    <s v="RW007"/>
    <s v="Voucher Belanja Rp200.000"/>
    <n v="20000"/>
    <x v="0"/>
  </r>
  <r>
    <x v="121"/>
    <s v="M0039"/>
    <x v="103"/>
    <s v="RW007"/>
    <s v="Voucher Belanja Rp200.000"/>
    <n v="20000"/>
    <x v="1"/>
  </r>
  <r>
    <x v="122"/>
    <s v="M0052"/>
    <x v="104"/>
    <s v="RW004"/>
    <s v="Merchandise Tumbler Eksklusif"/>
    <n v="8000"/>
    <x v="0"/>
  </r>
  <r>
    <x v="123"/>
    <s v="M0246"/>
    <x v="105"/>
    <s v="RW008"/>
    <s v="Diskon 15% Fashion Partner"/>
    <n v="4000"/>
    <x v="0"/>
  </r>
  <r>
    <x v="124"/>
    <s v="M0165"/>
    <x v="93"/>
    <s v="RW006"/>
    <s v="Free Ongkir 3X"/>
    <n v="1500"/>
    <x v="0"/>
  </r>
  <r>
    <x v="125"/>
    <s v="M0049"/>
    <x v="106"/>
    <s v="RW009"/>
    <s v="Merchandise Tas Belanja Ramah Lingkungan"/>
    <n v="3500"/>
    <x v="0"/>
  </r>
  <r>
    <x v="126"/>
    <s v="M0037"/>
    <x v="49"/>
    <s v="RW006"/>
    <s v="Free Ongkir 3X"/>
    <n v="1500"/>
    <x v="0"/>
  </r>
  <r>
    <x v="127"/>
    <s v="M0212"/>
    <x v="107"/>
    <s v="RW003"/>
    <s v="Diskon 20% F&amp;B Partner"/>
    <n v="3000"/>
    <x v="1"/>
  </r>
  <r>
    <x v="128"/>
    <s v="M0013"/>
    <x v="108"/>
    <s v="RW006"/>
    <s v="Free Ongkir 3X"/>
    <n v="1500"/>
    <x v="0"/>
  </r>
  <r>
    <x v="129"/>
    <s v="M0064"/>
    <x v="89"/>
    <s v="RW004"/>
    <s v="Merchandise Tumbler Eksklusif"/>
    <n v="8000"/>
    <x v="0"/>
  </r>
  <r>
    <x v="130"/>
    <s v="M0290"/>
    <x v="109"/>
    <s v="RW010"/>
    <s v="Voucher Nonton Bioskop"/>
    <n v="6000"/>
    <x v="0"/>
  </r>
  <r>
    <x v="131"/>
    <s v="M0025"/>
    <x v="110"/>
    <s v="RW002"/>
    <s v="Voucher Belanja Rp100.000"/>
    <n v="10000"/>
    <x v="0"/>
  </r>
  <r>
    <x v="132"/>
    <s v="M0261"/>
    <x v="22"/>
    <s v="RW004"/>
    <s v="Merchandise Tumbler Eksklusif"/>
    <n v="8000"/>
    <x v="0"/>
  </r>
  <r>
    <x v="133"/>
    <s v="M0262"/>
    <x v="111"/>
    <s v="RW003"/>
    <s v="Diskon 20% F&amp;B Partner"/>
    <n v="3000"/>
    <x v="0"/>
  </r>
  <r>
    <x v="134"/>
    <s v="M0194"/>
    <x v="112"/>
    <s v="RW007"/>
    <s v="Voucher Belanja Rp200.000"/>
    <n v="20000"/>
    <x v="0"/>
  </r>
  <r>
    <x v="135"/>
    <s v="M0273"/>
    <x v="90"/>
    <s v="RW006"/>
    <s v="Free Ongkir 3X"/>
    <n v="1500"/>
    <x v="0"/>
  </r>
  <r>
    <x v="136"/>
    <s v="M0239"/>
    <x v="113"/>
    <s v="RW004"/>
    <s v="Merchandise Tumbler Eksklusif"/>
    <n v="8000"/>
    <x v="0"/>
  </r>
  <r>
    <x v="137"/>
    <s v="M0086"/>
    <x v="114"/>
    <s v="RW008"/>
    <s v="Diskon 15% Fashion Partner"/>
    <n v="4000"/>
    <x v="0"/>
  </r>
  <r>
    <x v="138"/>
    <s v="M0123"/>
    <x v="115"/>
    <s v="RW006"/>
    <s v="Free Ongkir 3X"/>
    <n v="1500"/>
    <x v="1"/>
  </r>
  <r>
    <x v="139"/>
    <s v="M0265"/>
    <x v="62"/>
    <s v="RW001"/>
    <s v="Voucher Belanja Rp50.000"/>
    <n v="5000"/>
    <x v="0"/>
  </r>
  <r>
    <x v="140"/>
    <s v="M0219"/>
    <x v="116"/>
    <s v="RW007"/>
    <s v="Voucher Belanja Rp200.000"/>
    <n v="20000"/>
    <x v="0"/>
  </r>
  <r>
    <x v="141"/>
    <s v="M0030"/>
    <x v="28"/>
    <s v="RW010"/>
    <s v="Voucher Nonton Bioskop"/>
    <n v="6000"/>
    <x v="1"/>
  </r>
  <r>
    <x v="142"/>
    <s v="M0004"/>
    <x v="3"/>
    <s v="RW005"/>
    <s v="Voucher Ojek Online Rp25.000"/>
    <n v="2500"/>
    <x v="0"/>
  </r>
  <r>
    <x v="143"/>
    <s v="M0056"/>
    <x v="117"/>
    <s v="RW008"/>
    <s v="Diskon 15% Fashion Partner"/>
    <n v="4000"/>
    <x v="0"/>
  </r>
  <r>
    <x v="144"/>
    <s v="M0133"/>
    <x v="118"/>
    <s v="RW008"/>
    <s v="Diskon 15% Fashion Partner"/>
    <n v="4000"/>
    <x v="0"/>
  </r>
  <r>
    <x v="145"/>
    <s v="M0120"/>
    <x v="119"/>
    <s v="RW006"/>
    <s v="Free Ongkir 3X"/>
    <n v="1500"/>
    <x v="1"/>
  </r>
  <r>
    <x v="146"/>
    <s v="M0101"/>
    <x v="120"/>
    <s v="RW010"/>
    <s v="Voucher Nonton Bioskop"/>
    <n v="6000"/>
    <x v="0"/>
  </r>
  <r>
    <x v="147"/>
    <s v="M0052"/>
    <x v="120"/>
    <s v="RW007"/>
    <s v="Voucher Belanja Rp200.000"/>
    <n v="20000"/>
    <x v="0"/>
  </r>
  <r>
    <x v="148"/>
    <s v="M0068"/>
    <x v="121"/>
    <s v="RW008"/>
    <s v="Diskon 15% Fashion Partner"/>
    <n v="4000"/>
    <x v="0"/>
  </r>
  <r>
    <x v="149"/>
    <s v="M0133"/>
    <x v="31"/>
    <s v="RW009"/>
    <s v="Merchandise Tas Belanja Ramah Lingkungan"/>
    <n v="3500"/>
    <x v="0"/>
  </r>
  <r>
    <x v="150"/>
    <s v="M0209"/>
    <x v="89"/>
    <s v="RW002"/>
    <s v="Voucher Belanja Rp100.000"/>
    <n v="10000"/>
    <x v="0"/>
  </r>
  <r>
    <x v="151"/>
    <s v="M0037"/>
    <x v="122"/>
    <s v="RW004"/>
    <s v="Merchandise Tumbler Eksklusif"/>
    <n v="8000"/>
    <x v="0"/>
  </r>
  <r>
    <x v="152"/>
    <s v="M0145"/>
    <x v="123"/>
    <s v="RW009"/>
    <s v="Merchandise Tas Belanja Ramah Lingkungan"/>
    <n v="3500"/>
    <x v="0"/>
  </r>
  <r>
    <x v="153"/>
    <s v="M0112"/>
    <x v="20"/>
    <s v="RW003"/>
    <s v="Diskon 20% F&amp;B Partner"/>
    <n v="3000"/>
    <x v="0"/>
  </r>
  <r>
    <x v="154"/>
    <s v="M0215"/>
    <x v="36"/>
    <s v="RW003"/>
    <s v="Diskon 20% F&amp;B Partner"/>
    <n v="3000"/>
    <x v="1"/>
  </r>
  <r>
    <x v="155"/>
    <s v="M0177"/>
    <x v="1"/>
    <s v="RW002"/>
    <s v="Voucher Belanja Rp100.000"/>
    <n v="10000"/>
    <x v="1"/>
  </r>
  <r>
    <x v="156"/>
    <s v="M0072"/>
    <x v="5"/>
    <s v="RW006"/>
    <s v="Free Ongkir 3X"/>
    <n v="1500"/>
    <x v="0"/>
  </r>
  <r>
    <x v="157"/>
    <s v="M0209"/>
    <x v="67"/>
    <s v="RW001"/>
    <s v="Voucher Belanja Rp50.000"/>
    <n v="5000"/>
    <x v="0"/>
  </r>
  <r>
    <x v="158"/>
    <s v="M0027"/>
    <x v="124"/>
    <s v="RW008"/>
    <s v="Diskon 15% Fashion Partner"/>
    <n v="4000"/>
    <x v="0"/>
  </r>
  <r>
    <x v="159"/>
    <s v="M0270"/>
    <x v="125"/>
    <s v="RW010"/>
    <s v="Voucher Nonton Bioskop"/>
    <n v="6000"/>
    <x v="0"/>
  </r>
  <r>
    <x v="160"/>
    <s v="M0083"/>
    <x v="126"/>
    <s v="RW001"/>
    <s v="Voucher Belanja Rp50.000"/>
    <n v="5000"/>
    <x v="0"/>
  </r>
  <r>
    <x v="161"/>
    <s v="M0287"/>
    <x v="45"/>
    <s v="RW009"/>
    <s v="Merchandise Tas Belanja Ramah Lingkungan"/>
    <n v="3500"/>
    <x v="1"/>
  </r>
  <r>
    <x v="162"/>
    <s v="M0114"/>
    <x v="127"/>
    <s v="RW009"/>
    <s v="Merchandise Tas Belanja Ramah Lingkungan"/>
    <n v="3500"/>
    <x v="0"/>
  </r>
  <r>
    <x v="163"/>
    <s v="M0261"/>
    <x v="105"/>
    <s v="RW010"/>
    <s v="Voucher Nonton Bioskop"/>
    <n v="6000"/>
    <x v="0"/>
  </r>
  <r>
    <x v="164"/>
    <s v="M0264"/>
    <x v="128"/>
    <s v="RW010"/>
    <s v="Voucher Nonton Bioskop"/>
    <n v="6000"/>
    <x v="0"/>
  </r>
  <r>
    <x v="165"/>
    <s v="M0061"/>
    <x v="58"/>
    <s v="RW003"/>
    <s v="Diskon 20% F&amp;B Partner"/>
    <n v="3000"/>
    <x v="1"/>
  </r>
  <r>
    <x v="166"/>
    <s v="M0293"/>
    <x v="129"/>
    <s v="RW005"/>
    <s v="Voucher Ojek Online Rp25.000"/>
    <n v="2500"/>
    <x v="1"/>
  </r>
  <r>
    <x v="167"/>
    <s v="M0013"/>
    <x v="130"/>
    <s v="RW001"/>
    <s v="Voucher Belanja Rp50.000"/>
    <n v="5000"/>
    <x v="0"/>
  </r>
  <r>
    <x v="168"/>
    <s v="M0091"/>
    <x v="131"/>
    <s v="RW003"/>
    <s v="Diskon 20% F&amp;B Partner"/>
    <n v="3000"/>
    <x v="0"/>
  </r>
  <r>
    <x v="169"/>
    <s v="M0096"/>
    <x v="132"/>
    <s v="RW009"/>
    <s v="Merchandise Tas Belanja Ramah Lingkungan"/>
    <n v="3500"/>
    <x v="1"/>
  </r>
  <r>
    <x v="170"/>
    <s v="M0017"/>
    <x v="59"/>
    <s v="RW009"/>
    <s v="Merchandise Tas Belanja Ramah Lingkungan"/>
    <n v="3500"/>
    <x v="0"/>
  </r>
  <r>
    <x v="171"/>
    <s v="M0244"/>
    <x v="109"/>
    <s v="RW007"/>
    <s v="Voucher Belanja Rp200.000"/>
    <n v="20000"/>
    <x v="1"/>
  </r>
  <r>
    <x v="172"/>
    <s v="M0023"/>
    <x v="133"/>
    <s v="RW001"/>
    <s v="Voucher Belanja Rp50.000"/>
    <n v="5000"/>
    <x v="1"/>
  </r>
  <r>
    <x v="173"/>
    <s v="M0028"/>
    <x v="134"/>
    <s v="RW006"/>
    <s v="Free Ongkir 3X"/>
    <n v="1500"/>
    <x v="0"/>
  </r>
  <r>
    <x v="174"/>
    <s v="M0105"/>
    <x v="132"/>
    <s v="RW004"/>
    <s v="Merchandise Tumbler Eksklusif"/>
    <n v="8000"/>
    <x v="0"/>
  </r>
  <r>
    <x v="175"/>
    <s v="M0153"/>
    <x v="64"/>
    <s v="RW001"/>
    <s v="Voucher Belanja Rp50.000"/>
    <n v="5000"/>
    <x v="0"/>
  </r>
  <r>
    <x v="176"/>
    <s v="M0261"/>
    <x v="99"/>
    <s v="RW004"/>
    <s v="Merchandise Tumbler Eksklusif"/>
    <n v="8000"/>
    <x v="0"/>
  </r>
  <r>
    <x v="177"/>
    <s v="M0230"/>
    <x v="5"/>
    <s v="RW003"/>
    <s v="Diskon 20% F&amp;B Partner"/>
    <n v="3000"/>
    <x v="0"/>
  </r>
  <r>
    <x v="178"/>
    <s v="M0291"/>
    <x v="135"/>
    <s v="RW001"/>
    <s v="Voucher Belanja Rp50.000"/>
    <n v="5000"/>
    <x v="0"/>
  </r>
  <r>
    <x v="179"/>
    <s v="M0294"/>
    <x v="4"/>
    <s v="RW007"/>
    <s v="Voucher Belanja Rp200.000"/>
    <n v="20000"/>
    <x v="1"/>
  </r>
  <r>
    <x v="180"/>
    <s v="M0135"/>
    <x v="102"/>
    <s v="RW001"/>
    <s v="Voucher Belanja Rp50.000"/>
    <n v="5000"/>
    <x v="0"/>
  </r>
  <r>
    <x v="181"/>
    <s v="M0197"/>
    <x v="136"/>
    <s v="RW004"/>
    <s v="Merchandise Tumbler Eksklusif"/>
    <n v="8000"/>
    <x v="0"/>
  </r>
  <r>
    <x v="182"/>
    <s v="M0040"/>
    <x v="137"/>
    <s v="RW001"/>
    <s v="Voucher Belanja Rp50.000"/>
    <n v="5000"/>
    <x v="0"/>
  </r>
  <r>
    <x v="183"/>
    <s v="M0240"/>
    <x v="93"/>
    <s v="RW006"/>
    <s v="Free Ongkir 3X"/>
    <n v="1500"/>
    <x v="0"/>
  </r>
  <r>
    <x v="184"/>
    <s v="M0275"/>
    <x v="124"/>
    <s v="RW009"/>
    <s v="Merchandise Tas Belanja Ramah Lingkungan"/>
    <n v="3500"/>
    <x v="1"/>
  </r>
  <r>
    <x v="185"/>
    <s v="M0222"/>
    <x v="138"/>
    <s v="RW003"/>
    <s v="Diskon 20% F&amp;B Partner"/>
    <n v="3000"/>
    <x v="0"/>
  </r>
  <r>
    <x v="186"/>
    <s v="M0094"/>
    <x v="31"/>
    <s v="RW002"/>
    <s v="Voucher Belanja Rp100.000"/>
    <n v="10000"/>
    <x v="1"/>
  </r>
  <r>
    <x v="187"/>
    <s v="M0283"/>
    <x v="139"/>
    <s v="RW001"/>
    <s v="Voucher Belanja Rp50.000"/>
    <n v="5000"/>
    <x v="0"/>
  </r>
  <r>
    <x v="188"/>
    <s v="M0059"/>
    <x v="140"/>
    <s v="RW002"/>
    <s v="Voucher Belanja Rp100.000"/>
    <n v="10000"/>
    <x v="0"/>
  </r>
  <r>
    <x v="189"/>
    <s v="M0193"/>
    <x v="141"/>
    <s v="RW004"/>
    <s v="Merchandise Tumbler Eksklusif"/>
    <n v="8000"/>
    <x v="0"/>
  </r>
  <r>
    <x v="190"/>
    <s v="M0055"/>
    <x v="103"/>
    <s v="RW003"/>
    <s v="Diskon 20% F&amp;B Partner"/>
    <n v="3000"/>
    <x v="0"/>
  </r>
  <r>
    <x v="191"/>
    <s v="M0091"/>
    <x v="101"/>
    <s v="RW009"/>
    <s v="Merchandise Tas Belanja Ramah Lingkungan"/>
    <n v="3500"/>
    <x v="0"/>
  </r>
  <r>
    <x v="192"/>
    <s v="M0141"/>
    <x v="79"/>
    <s v="RW002"/>
    <s v="Voucher Belanja Rp100.000"/>
    <n v="10000"/>
    <x v="1"/>
  </r>
  <r>
    <x v="193"/>
    <s v="M0013"/>
    <x v="142"/>
    <s v="RW009"/>
    <s v="Merchandise Tas Belanja Ramah Lingkungan"/>
    <n v="3500"/>
    <x v="0"/>
  </r>
  <r>
    <x v="194"/>
    <s v="M0223"/>
    <x v="25"/>
    <s v="RW003"/>
    <s v="Diskon 20% F&amp;B Partner"/>
    <n v="3000"/>
    <x v="1"/>
  </r>
  <r>
    <x v="195"/>
    <s v="M0148"/>
    <x v="73"/>
    <s v="RW004"/>
    <s v="Merchandise Tumbler Eksklusif"/>
    <n v="8000"/>
    <x v="0"/>
  </r>
  <r>
    <x v="196"/>
    <s v="M0218"/>
    <x v="61"/>
    <s v="RW005"/>
    <s v="Voucher Ojek Online Rp25.000"/>
    <n v="2500"/>
    <x v="0"/>
  </r>
  <r>
    <x v="197"/>
    <s v="M0248"/>
    <x v="143"/>
    <s v="RW007"/>
    <s v="Voucher Belanja Rp200.000"/>
    <n v="20000"/>
    <x v="0"/>
  </r>
  <r>
    <x v="198"/>
    <s v="M0196"/>
    <x v="30"/>
    <s v="RW010"/>
    <s v="Voucher Nonton Bioskop"/>
    <n v="6000"/>
    <x v="0"/>
  </r>
  <r>
    <x v="199"/>
    <s v="M0123"/>
    <x v="87"/>
    <s v="RW003"/>
    <s v="Diskon 20% F&amp;B Partner"/>
    <n v="3000"/>
    <x v="0"/>
  </r>
  <r>
    <x v="200"/>
    <s v="M0194"/>
    <x v="144"/>
    <s v="RW004"/>
    <s v="Merchandise Tumbler Eksklusif"/>
    <n v="8000"/>
    <x v="0"/>
  </r>
  <r>
    <x v="201"/>
    <s v="M0162"/>
    <x v="145"/>
    <s v="RW007"/>
    <s v="Voucher Belanja Rp200.000"/>
    <n v="20000"/>
    <x v="0"/>
  </r>
  <r>
    <x v="202"/>
    <s v="M0257"/>
    <x v="146"/>
    <s v="RW001"/>
    <s v="Voucher Belanja Rp50.000"/>
    <n v="5000"/>
    <x v="0"/>
  </r>
  <r>
    <x v="203"/>
    <s v="M0059"/>
    <x v="147"/>
    <s v="RW009"/>
    <s v="Merchandise Tas Belanja Ramah Lingkungan"/>
    <n v="3500"/>
    <x v="0"/>
  </r>
  <r>
    <x v="204"/>
    <s v="M0233"/>
    <x v="76"/>
    <s v="RW004"/>
    <s v="Merchandise Tumbler Eksklusif"/>
    <n v="8000"/>
    <x v="1"/>
  </r>
  <r>
    <x v="205"/>
    <s v="M0219"/>
    <x v="148"/>
    <s v="RW003"/>
    <s v="Diskon 20% F&amp;B Partner"/>
    <n v="3000"/>
    <x v="0"/>
  </r>
  <r>
    <x v="206"/>
    <s v="M0049"/>
    <x v="61"/>
    <s v="RW002"/>
    <s v="Voucher Belanja Rp100.000"/>
    <n v="10000"/>
    <x v="0"/>
  </r>
  <r>
    <x v="207"/>
    <s v="M0008"/>
    <x v="149"/>
    <s v="RW009"/>
    <s v="Merchandise Tas Belanja Ramah Lingkungan"/>
    <n v="3500"/>
    <x v="0"/>
  </r>
  <r>
    <x v="208"/>
    <s v="M0013"/>
    <x v="120"/>
    <s v="RW010"/>
    <s v="Voucher Nonton Bioskop"/>
    <n v="6000"/>
    <x v="0"/>
  </r>
  <r>
    <x v="209"/>
    <s v="M0162"/>
    <x v="70"/>
    <s v="RW006"/>
    <s v="Free Ongkir 3X"/>
    <n v="1500"/>
    <x v="0"/>
  </r>
  <r>
    <x v="210"/>
    <s v="M0061"/>
    <x v="150"/>
    <s v="RW001"/>
    <s v="Voucher Belanja Rp50.000"/>
    <n v="5000"/>
    <x v="0"/>
  </r>
  <r>
    <x v="211"/>
    <s v="M0038"/>
    <x v="151"/>
    <s v="RW007"/>
    <s v="Voucher Belanja Rp200.000"/>
    <n v="20000"/>
    <x v="0"/>
  </r>
  <r>
    <x v="212"/>
    <s v="M0132"/>
    <x v="152"/>
    <s v="RW005"/>
    <s v="Voucher Ojek Online Rp25.000"/>
    <n v="2500"/>
    <x v="0"/>
  </r>
  <r>
    <x v="213"/>
    <s v="M0197"/>
    <x v="153"/>
    <s v="RW003"/>
    <s v="Diskon 20% F&amp;B Partner"/>
    <n v="3000"/>
    <x v="0"/>
  </r>
  <r>
    <x v="214"/>
    <s v="M0068"/>
    <x v="154"/>
    <s v="RW006"/>
    <s v="Free Ongkir 3X"/>
    <n v="1500"/>
    <x v="0"/>
  </r>
  <r>
    <x v="215"/>
    <s v="M0037"/>
    <x v="105"/>
    <s v="RW003"/>
    <s v="Diskon 20% F&amp;B Partner"/>
    <n v="3000"/>
    <x v="0"/>
  </r>
  <r>
    <x v="216"/>
    <s v="M0297"/>
    <x v="54"/>
    <s v="RW004"/>
    <s v="Merchandise Tumbler Eksklusif"/>
    <n v="8000"/>
    <x v="0"/>
  </r>
  <r>
    <x v="217"/>
    <s v="M0149"/>
    <x v="155"/>
    <s v="RW007"/>
    <s v="Voucher Belanja Rp200.000"/>
    <n v="20000"/>
    <x v="0"/>
  </r>
  <r>
    <x v="218"/>
    <s v="M0115"/>
    <x v="1"/>
    <s v="RW010"/>
    <s v="Voucher Nonton Bioskop"/>
    <n v="6000"/>
    <x v="0"/>
  </r>
  <r>
    <x v="219"/>
    <s v="M0078"/>
    <x v="15"/>
    <s v="RW009"/>
    <s v="Merchandise Tas Belanja Ramah Lingkungan"/>
    <n v="3500"/>
    <x v="0"/>
  </r>
  <r>
    <x v="220"/>
    <s v="M0009"/>
    <x v="156"/>
    <s v="RW005"/>
    <s v="Voucher Ojek Online Rp25.000"/>
    <n v="2500"/>
    <x v="1"/>
  </r>
  <r>
    <x v="221"/>
    <s v="M0165"/>
    <x v="157"/>
    <s v="RW005"/>
    <s v="Voucher Ojek Online Rp25.000"/>
    <n v="2500"/>
    <x v="0"/>
  </r>
  <r>
    <x v="222"/>
    <s v="M0250"/>
    <x v="82"/>
    <s v="RW007"/>
    <s v="Voucher Belanja Rp200.000"/>
    <n v="20000"/>
    <x v="0"/>
  </r>
  <r>
    <x v="223"/>
    <s v="M0274"/>
    <x v="158"/>
    <s v="RW002"/>
    <s v="Voucher Belanja Rp100.000"/>
    <n v="10000"/>
    <x v="0"/>
  </r>
  <r>
    <x v="224"/>
    <s v="M0152"/>
    <x v="122"/>
    <s v="RW010"/>
    <s v="Voucher Nonton Bioskop"/>
    <n v="6000"/>
    <x v="1"/>
  </r>
  <r>
    <x v="225"/>
    <s v="M0185"/>
    <x v="75"/>
    <s v="RW009"/>
    <s v="Merchandise Tas Belanja Ramah Lingkungan"/>
    <n v="3500"/>
    <x v="0"/>
  </r>
  <r>
    <x v="226"/>
    <s v="M0255"/>
    <x v="159"/>
    <s v="RW010"/>
    <s v="Voucher Nonton Bioskop"/>
    <n v="6000"/>
    <x v="0"/>
  </r>
  <r>
    <x v="227"/>
    <s v="M0217"/>
    <x v="160"/>
    <s v="RW001"/>
    <s v="Voucher Belanja Rp50.000"/>
    <n v="5000"/>
    <x v="0"/>
  </r>
  <r>
    <x v="228"/>
    <s v="M0184"/>
    <x v="120"/>
    <s v="RW009"/>
    <s v="Merchandise Tas Belanja Ramah Lingkungan"/>
    <n v="3500"/>
    <x v="1"/>
  </r>
  <r>
    <x v="229"/>
    <s v="M0276"/>
    <x v="77"/>
    <s v="RW005"/>
    <s v="Voucher Ojek Online Rp25.000"/>
    <n v="2500"/>
    <x v="1"/>
  </r>
  <r>
    <x v="230"/>
    <s v="M0252"/>
    <x v="161"/>
    <s v="RW009"/>
    <s v="Merchandise Tas Belanja Ramah Lingkungan"/>
    <n v="3500"/>
    <x v="0"/>
  </r>
  <r>
    <x v="231"/>
    <s v="M0194"/>
    <x v="20"/>
    <s v="RW004"/>
    <s v="Merchandise Tumbler Eksklusif"/>
    <n v="8000"/>
    <x v="0"/>
  </r>
  <r>
    <x v="232"/>
    <s v="M0228"/>
    <x v="162"/>
    <s v="RW002"/>
    <s v="Voucher Belanja Rp100.000"/>
    <n v="10000"/>
    <x v="0"/>
  </r>
  <r>
    <x v="233"/>
    <s v="M0220"/>
    <x v="36"/>
    <s v="RW004"/>
    <s v="Merchandise Tumbler Eksklusif"/>
    <n v="8000"/>
    <x v="1"/>
  </r>
  <r>
    <x v="234"/>
    <s v="M0021"/>
    <x v="163"/>
    <s v="RW004"/>
    <s v="Merchandise Tumbler Eksklusif"/>
    <n v="8000"/>
    <x v="0"/>
  </r>
  <r>
    <x v="235"/>
    <s v="M0050"/>
    <x v="164"/>
    <s v="RW003"/>
    <s v="Diskon 20% F&amp;B Partner"/>
    <n v="3000"/>
    <x v="0"/>
  </r>
  <r>
    <x v="236"/>
    <s v="M0193"/>
    <x v="152"/>
    <s v="RW009"/>
    <s v="Merchandise Tas Belanja Ramah Lingkungan"/>
    <n v="3500"/>
    <x v="0"/>
  </r>
  <r>
    <x v="237"/>
    <s v="M0231"/>
    <x v="165"/>
    <s v="RW008"/>
    <s v="Diskon 15% Fashion Partner"/>
    <n v="4000"/>
    <x v="0"/>
  </r>
  <r>
    <x v="238"/>
    <s v="M0258"/>
    <x v="48"/>
    <s v="RW003"/>
    <s v="Diskon 20% F&amp;B Partner"/>
    <n v="3000"/>
    <x v="0"/>
  </r>
  <r>
    <x v="239"/>
    <s v="M0050"/>
    <x v="166"/>
    <s v="RW002"/>
    <s v="Voucher Belanja Rp100.000"/>
    <n v="10000"/>
    <x v="0"/>
  </r>
  <r>
    <x v="240"/>
    <s v="M0158"/>
    <x v="167"/>
    <s v="RW001"/>
    <s v="Voucher Belanja Rp50.000"/>
    <n v="5000"/>
    <x v="0"/>
  </r>
  <r>
    <x v="241"/>
    <s v="M0020"/>
    <x v="168"/>
    <s v="RW007"/>
    <s v="Voucher Belanja Rp200.000"/>
    <n v="20000"/>
    <x v="0"/>
  </r>
  <r>
    <x v="242"/>
    <s v="M0244"/>
    <x v="108"/>
    <s v="RW002"/>
    <s v="Voucher Belanja Rp100.000"/>
    <n v="10000"/>
    <x v="0"/>
  </r>
  <r>
    <x v="243"/>
    <s v="M0122"/>
    <x v="62"/>
    <s v="RW010"/>
    <s v="Voucher Nonton Bioskop"/>
    <n v="6000"/>
    <x v="0"/>
  </r>
  <r>
    <x v="244"/>
    <s v="M0249"/>
    <x v="169"/>
    <s v="RW010"/>
    <s v="Voucher Nonton Bioskop"/>
    <n v="6000"/>
    <x v="0"/>
  </r>
  <r>
    <x v="245"/>
    <s v="M0267"/>
    <x v="32"/>
    <s v="RW006"/>
    <s v="Free Ongkir 3X"/>
    <n v="1500"/>
    <x v="0"/>
  </r>
  <r>
    <x v="246"/>
    <s v="M0165"/>
    <x v="170"/>
    <s v="RW003"/>
    <s v="Diskon 20% F&amp;B Partner"/>
    <n v="3000"/>
    <x v="0"/>
  </r>
  <r>
    <x v="247"/>
    <s v="M0209"/>
    <x v="171"/>
    <s v="RW006"/>
    <s v="Free Ongkir 3X"/>
    <n v="1500"/>
    <x v="0"/>
  </r>
  <r>
    <x v="248"/>
    <s v="M0232"/>
    <x v="74"/>
    <s v="RW001"/>
    <s v="Voucher Belanja Rp50.000"/>
    <n v="5000"/>
    <x v="0"/>
  </r>
  <r>
    <x v="249"/>
    <s v="M0061"/>
    <x v="172"/>
    <s v="RW002"/>
    <s v="Voucher Belanja Rp100.000"/>
    <n v="10000"/>
    <x v="0"/>
  </r>
  <r>
    <x v="250"/>
    <s v="M0144"/>
    <x v="37"/>
    <s v="RW001"/>
    <s v="Voucher Belanja Rp50.000"/>
    <n v="5000"/>
    <x v="0"/>
  </r>
  <r>
    <x v="251"/>
    <s v="M0221"/>
    <x v="3"/>
    <s v="RW005"/>
    <s v="Voucher Ojek Online Rp25.000"/>
    <n v="2500"/>
    <x v="0"/>
  </r>
  <r>
    <x v="252"/>
    <s v="M0285"/>
    <x v="173"/>
    <s v="RW003"/>
    <s v="Diskon 20% F&amp;B Partner"/>
    <n v="3000"/>
    <x v="0"/>
  </r>
  <r>
    <x v="253"/>
    <s v="M0105"/>
    <x v="174"/>
    <s v="RW001"/>
    <s v="Voucher Belanja Rp50.000"/>
    <n v="5000"/>
    <x v="0"/>
  </r>
  <r>
    <x v="254"/>
    <s v="M0246"/>
    <x v="66"/>
    <s v="RW007"/>
    <s v="Voucher Belanja Rp200.000"/>
    <n v="20000"/>
    <x v="0"/>
  </r>
  <r>
    <x v="255"/>
    <s v="M0178"/>
    <x v="55"/>
    <s v="RW008"/>
    <s v="Diskon 15% Fashion Partner"/>
    <n v="4000"/>
    <x v="0"/>
  </r>
  <r>
    <x v="256"/>
    <s v="M0199"/>
    <x v="53"/>
    <s v="RW005"/>
    <s v="Voucher Ojek Online Rp25.000"/>
    <n v="2500"/>
    <x v="0"/>
  </r>
  <r>
    <x v="257"/>
    <s v="M0207"/>
    <x v="139"/>
    <s v="RW005"/>
    <s v="Voucher Ojek Online Rp25.000"/>
    <n v="2500"/>
    <x v="0"/>
  </r>
  <r>
    <x v="258"/>
    <s v="M0159"/>
    <x v="11"/>
    <s v="RW005"/>
    <s v="Voucher Ojek Online Rp25.000"/>
    <n v="2500"/>
    <x v="0"/>
  </r>
  <r>
    <x v="259"/>
    <s v="M0070"/>
    <x v="40"/>
    <s v="RW002"/>
    <s v="Voucher Belanja Rp100.000"/>
    <n v="10000"/>
    <x v="0"/>
  </r>
  <r>
    <x v="260"/>
    <s v="M0181"/>
    <x v="175"/>
    <s v="RW002"/>
    <s v="Voucher Belanja Rp100.000"/>
    <n v="10000"/>
    <x v="1"/>
  </r>
  <r>
    <x v="261"/>
    <s v="M0017"/>
    <x v="176"/>
    <s v="RW004"/>
    <s v="Merchandise Tumbler Eksklusif"/>
    <n v="8000"/>
    <x v="0"/>
  </r>
  <r>
    <x v="262"/>
    <s v="M0251"/>
    <x v="177"/>
    <s v="RW005"/>
    <s v="Voucher Ojek Online Rp25.000"/>
    <n v="2500"/>
    <x v="0"/>
  </r>
  <r>
    <x v="263"/>
    <s v="M0038"/>
    <x v="178"/>
    <s v="RW005"/>
    <s v="Voucher Ojek Online Rp25.000"/>
    <n v="2500"/>
    <x v="1"/>
  </r>
  <r>
    <x v="264"/>
    <s v="M0286"/>
    <x v="179"/>
    <s v="RW002"/>
    <s v="Voucher Belanja Rp100.000"/>
    <n v="10000"/>
    <x v="0"/>
  </r>
  <r>
    <x v="265"/>
    <s v="M0062"/>
    <x v="85"/>
    <s v="RW005"/>
    <s v="Voucher Ojek Online Rp25.000"/>
    <n v="2500"/>
    <x v="0"/>
  </r>
  <r>
    <x v="266"/>
    <s v="M0279"/>
    <x v="142"/>
    <s v="RW006"/>
    <s v="Free Ongkir 3X"/>
    <n v="1500"/>
    <x v="0"/>
  </r>
  <r>
    <x v="267"/>
    <s v="M0205"/>
    <x v="137"/>
    <s v="RW008"/>
    <s v="Diskon 15% Fashion Partner"/>
    <n v="4000"/>
    <x v="0"/>
  </r>
  <r>
    <x v="268"/>
    <s v="M0045"/>
    <x v="58"/>
    <s v="RW008"/>
    <s v="Diskon 15% Fashion Partner"/>
    <n v="4000"/>
    <x v="1"/>
  </r>
  <r>
    <x v="269"/>
    <s v="M0286"/>
    <x v="35"/>
    <s v="RW010"/>
    <s v="Voucher Nonton Bioskop"/>
    <n v="6000"/>
    <x v="0"/>
  </r>
  <r>
    <x v="270"/>
    <s v="M0182"/>
    <x v="180"/>
    <s v="RW008"/>
    <s v="Diskon 15% Fashion Partner"/>
    <n v="4000"/>
    <x v="1"/>
  </r>
  <r>
    <x v="271"/>
    <s v="M0007"/>
    <x v="181"/>
    <s v="RW003"/>
    <s v="Diskon 20% F&amp;B Partner"/>
    <n v="3000"/>
    <x v="0"/>
  </r>
  <r>
    <x v="272"/>
    <s v="M0200"/>
    <x v="83"/>
    <s v="RW002"/>
    <s v="Voucher Belanja Rp100.000"/>
    <n v="10000"/>
    <x v="0"/>
  </r>
  <r>
    <x v="273"/>
    <s v="M0104"/>
    <x v="166"/>
    <s v="RW007"/>
    <s v="Voucher Belanja Rp200.000"/>
    <n v="20000"/>
    <x v="0"/>
  </r>
  <r>
    <x v="274"/>
    <s v="M0146"/>
    <x v="182"/>
    <s v="RW006"/>
    <s v="Free Ongkir 3X"/>
    <n v="1500"/>
    <x v="0"/>
  </r>
  <r>
    <x v="275"/>
    <s v="M0190"/>
    <x v="183"/>
    <s v="RW006"/>
    <s v="Free Ongkir 3X"/>
    <n v="1500"/>
    <x v="1"/>
  </r>
  <r>
    <x v="276"/>
    <s v="M0170"/>
    <x v="184"/>
    <s v="RW003"/>
    <s v="Diskon 20% F&amp;B Partner"/>
    <n v="3000"/>
    <x v="1"/>
  </r>
  <r>
    <x v="277"/>
    <s v="M0242"/>
    <x v="63"/>
    <s v="RW007"/>
    <s v="Voucher Belanja Rp200.000"/>
    <n v="20000"/>
    <x v="1"/>
  </r>
  <r>
    <x v="278"/>
    <s v="M0264"/>
    <x v="185"/>
    <s v="RW003"/>
    <s v="Diskon 20% F&amp;B Partner"/>
    <n v="3000"/>
    <x v="0"/>
  </r>
  <r>
    <x v="279"/>
    <s v="M0213"/>
    <x v="1"/>
    <s v="RW008"/>
    <s v="Diskon 15% Fashion Partner"/>
    <n v="4000"/>
    <x v="0"/>
  </r>
  <r>
    <x v="280"/>
    <s v="M0048"/>
    <x v="38"/>
    <s v="RW002"/>
    <s v="Voucher Belanja Rp100.000"/>
    <n v="10000"/>
    <x v="0"/>
  </r>
  <r>
    <x v="281"/>
    <s v="M0059"/>
    <x v="6"/>
    <s v="RW003"/>
    <s v="Diskon 20% F&amp;B Partner"/>
    <n v="3000"/>
    <x v="0"/>
  </r>
  <r>
    <x v="282"/>
    <s v="M0160"/>
    <x v="186"/>
    <s v="RW006"/>
    <s v="Free Ongkir 3X"/>
    <n v="1500"/>
    <x v="0"/>
  </r>
  <r>
    <x v="283"/>
    <s v="M0071"/>
    <x v="167"/>
    <s v="RW003"/>
    <s v="Diskon 20% F&amp;B Partner"/>
    <n v="3000"/>
    <x v="0"/>
  </r>
  <r>
    <x v="284"/>
    <s v="M0141"/>
    <x v="187"/>
    <s v="RW009"/>
    <s v="Merchandise Tas Belanja Ramah Lingkungan"/>
    <n v="3500"/>
    <x v="0"/>
  </r>
  <r>
    <x v="285"/>
    <s v="M0165"/>
    <x v="20"/>
    <s v="RW001"/>
    <s v="Voucher Belanja Rp50.000"/>
    <n v="5000"/>
    <x v="0"/>
  </r>
  <r>
    <x v="286"/>
    <s v="M0177"/>
    <x v="188"/>
    <s v="RW003"/>
    <s v="Diskon 20% F&amp;B Partner"/>
    <n v="3000"/>
    <x v="0"/>
  </r>
  <r>
    <x v="287"/>
    <s v="M0115"/>
    <x v="189"/>
    <s v="RW006"/>
    <s v="Free Ongkir 3X"/>
    <n v="1500"/>
    <x v="0"/>
  </r>
  <r>
    <x v="288"/>
    <s v="M0141"/>
    <x v="166"/>
    <s v="RW008"/>
    <s v="Diskon 15% Fashion Partner"/>
    <n v="4000"/>
    <x v="0"/>
  </r>
  <r>
    <x v="289"/>
    <s v="M0080"/>
    <x v="190"/>
    <s v="RW009"/>
    <s v="Merchandise Tas Belanja Ramah Lingkungan"/>
    <n v="3500"/>
    <x v="0"/>
  </r>
  <r>
    <x v="290"/>
    <s v="M0246"/>
    <x v="162"/>
    <s v="RW008"/>
    <s v="Diskon 15% Fashion Partner"/>
    <n v="4000"/>
    <x v="0"/>
  </r>
  <r>
    <x v="291"/>
    <s v="M0031"/>
    <x v="191"/>
    <s v="RW005"/>
    <s v="Voucher Ojek Online Rp25.000"/>
    <n v="2500"/>
    <x v="1"/>
  </r>
  <r>
    <x v="292"/>
    <s v="M0151"/>
    <x v="192"/>
    <s v="RW005"/>
    <s v="Voucher Ojek Online Rp25.000"/>
    <n v="2500"/>
    <x v="0"/>
  </r>
  <r>
    <x v="293"/>
    <s v="M0180"/>
    <x v="35"/>
    <s v="RW005"/>
    <s v="Voucher Ojek Online Rp25.000"/>
    <n v="2500"/>
    <x v="0"/>
  </r>
  <r>
    <x v="294"/>
    <s v="M0093"/>
    <x v="15"/>
    <s v="RW010"/>
    <s v="Voucher Nonton Bioskop"/>
    <n v="6000"/>
    <x v="0"/>
  </r>
  <r>
    <x v="295"/>
    <s v="M0196"/>
    <x v="1"/>
    <s v="RW005"/>
    <s v="Voucher Ojek Online Rp25.000"/>
    <n v="2500"/>
    <x v="0"/>
  </r>
  <r>
    <x v="296"/>
    <s v="M0187"/>
    <x v="78"/>
    <s v="RW003"/>
    <s v="Diskon 20% F&amp;B Partner"/>
    <n v="3000"/>
    <x v="1"/>
  </r>
  <r>
    <x v="297"/>
    <s v="M0297"/>
    <x v="193"/>
    <s v="RW001"/>
    <s v="Voucher Belanja Rp50.000"/>
    <n v="5000"/>
    <x v="0"/>
  </r>
  <r>
    <x v="298"/>
    <s v="M0280"/>
    <x v="194"/>
    <s v="RW009"/>
    <s v="Merchandise Tas Belanja Ramah Lingkungan"/>
    <n v="3500"/>
    <x v="0"/>
  </r>
  <r>
    <x v="299"/>
    <s v="M0264"/>
    <x v="195"/>
    <s v="RW009"/>
    <s v="Merchandise Tas Belanja Ramah Lingkungan"/>
    <n v="3500"/>
    <x v="0"/>
  </r>
  <r>
    <x v="300"/>
    <s v="M0022"/>
    <x v="86"/>
    <s v="RW002"/>
    <s v="Voucher Belanja Rp100.000"/>
    <n v="10000"/>
    <x v="1"/>
  </r>
  <r>
    <x v="301"/>
    <s v="M0274"/>
    <x v="196"/>
    <s v="RW006"/>
    <s v="Free Ongkir 3X"/>
    <n v="1500"/>
    <x v="0"/>
  </r>
  <r>
    <x v="302"/>
    <s v="M0213"/>
    <x v="197"/>
    <s v="RW007"/>
    <s v="Voucher Belanja Rp200.000"/>
    <n v="20000"/>
    <x v="0"/>
  </r>
  <r>
    <x v="303"/>
    <s v="M0053"/>
    <x v="198"/>
    <s v="RW003"/>
    <s v="Diskon 20% F&amp;B Partner"/>
    <n v="3000"/>
    <x v="0"/>
  </r>
  <r>
    <x v="304"/>
    <s v="M0128"/>
    <x v="7"/>
    <s v="RW005"/>
    <s v="Voucher Ojek Online Rp25.000"/>
    <n v="2500"/>
    <x v="0"/>
  </r>
  <r>
    <x v="305"/>
    <s v="M0103"/>
    <x v="47"/>
    <s v="RW009"/>
    <s v="Merchandise Tas Belanja Ramah Lingkungan"/>
    <n v="3500"/>
    <x v="0"/>
  </r>
  <r>
    <x v="306"/>
    <s v="M0215"/>
    <x v="77"/>
    <s v="RW003"/>
    <s v="Diskon 20% F&amp;B Partner"/>
    <n v="3000"/>
    <x v="0"/>
  </r>
  <r>
    <x v="307"/>
    <s v="M0042"/>
    <x v="199"/>
    <s v="RW008"/>
    <s v="Diskon 15% Fashion Partner"/>
    <n v="4000"/>
    <x v="0"/>
  </r>
  <r>
    <x v="308"/>
    <s v="M0157"/>
    <x v="200"/>
    <s v="RW005"/>
    <s v="Voucher Ojek Online Rp25.000"/>
    <n v="2500"/>
    <x v="0"/>
  </r>
  <r>
    <x v="309"/>
    <s v="M0262"/>
    <x v="82"/>
    <s v="RW002"/>
    <s v="Voucher Belanja Rp100.000"/>
    <n v="10000"/>
    <x v="0"/>
  </r>
  <r>
    <x v="310"/>
    <s v="M0291"/>
    <x v="201"/>
    <s v="RW008"/>
    <s v="Diskon 15% Fashion Partner"/>
    <n v="4000"/>
    <x v="0"/>
  </r>
  <r>
    <x v="311"/>
    <s v="M0120"/>
    <x v="202"/>
    <s v="RW002"/>
    <s v="Voucher Belanja Rp100.000"/>
    <n v="10000"/>
    <x v="1"/>
  </r>
  <r>
    <x v="312"/>
    <s v="M0263"/>
    <x v="203"/>
    <s v="RW007"/>
    <s v="Voucher Belanja Rp200.000"/>
    <n v="20000"/>
    <x v="0"/>
  </r>
  <r>
    <x v="313"/>
    <s v="M0043"/>
    <x v="204"/>
    <s v="RW008"/>
    <s v="Diskon 15% Fashion Partner"/>
    <n v="4000"/>
    <x v="1"/>
  </r>
  <r>
    <x v="314"/>
    <s v="M0186"/>
    <x v="205"/>
    <s v="RW009"/>
    <s v="Merchandise Tas Belanja Ramah Lingkungan"/>
    <n v="3500"/>
    <x v="0"/>
  </r>
  <r>
    <x v="315"/>
    <s v="M0081"/>
    <x v="206"/>
    <s v="RW010"/>
    <s v="Voucher Nonton Bioskop"/>
    <n v="6000"/>
    <x v="0"/>
  </r>
  <r>
    <x v="316"/>
    <s v="M0147"/>
    <x v="207"/>
    <s v="RW001"/>
    <s v="Voucher Belanja Rp50.000"/>
    <n v="5000"/>
    <x v="1"/>
  </r>
  <r>
    <x v="317"/>
    <s v="M0159"/>
    <x v="183"/>
    <s v="RW005"/>
    <s v="Voucher Ojek Online Rp25.000"/>
    <n v="2500"/>
    <x v="0"/>
  </r>
  <r>
    <x v="318"/>
    <s v="M0188"/>
    <x v="208"/>
    <s v="RW009"/>
    <s v="Merchandise Tas Belanja Ramah Lingkungan"/>
    <n v="3500"/>
    <x v="0"/>
  </r>
  <r>
    <x v="319"/>
    <s v="M0109"/>
    <x v="117"/>
    <s v="RW009"/>
    <s v="Merchandise Tas Belanja Ramah Lingkungan"/>
    <n v="3500"/>
    <x v="0"/>
  </r>
  <r>
    <x v="320"/>
    <s v="M0202"/>
    <x v="209"/>
    <s v="RW008"/>
    <s v="Diskon 15% Fashion Partner"/>
    <n v="4000"/>
    <x v="1"/>
  </r>
  <r>
    <x v="321"/>
    <s v="M0049"/>
    <x v="25"/>
    <s v="RW002"/>
    <s v="Voucher Belanja Rp100.000"/>
    <n v="10000"/>
    <x v="0"/>
  </r>
  <r>
    <x v="322"/>
    <s v="M0092"/>
    <x v="210"/>
    <s v="RW008"/>
    <s v="Diskon 15% Fashion Partner"/>
    <n v="4000"/>
    <x v="0"/>
  </r>
  <r>
    <x v="323"/>
    <s v="M0158"/>
    <x v="147"/>
    <s v="RW010"/>
    <s v="Voucher Nonton Bioskop"/>
    <n v="6000"/>
    <x v="0"/>
  </r>
  <r>
    <x v="324"/>
    <s v="M0273"/>
    <x v="14"/>
    <s v="RW009"/>
    <s v="Merchandise Tas Belanja Ramah Lingkungan"/>
    <n v="3500"/>
    <x v="0"/>
  </r>
  <r>
    <x v="325"/>
    <s v="M0186"/>
    <x v="47"/>
    <s v="RW004"/>
    <s v="Merchandise Tumbler Eksklusif"/>
    <n v="8000"/>
    <x v="0"/>
  </r>
  <r>
    <x v="326"/>
    <s v="M0282"/>
    <x v="211"/>
    <s v="RW009"/>
    <s v="Merchandise Tas Belanja Ramah Lingkungan"/>
    <n v="3500"/>
    <x v="0"/>
  </r>
  <r>
    <x v="327"/>
    <s v="M0033"/>
    <x v="169"/>
    <s v="RW007"/>
    <s v="Voucher Belanja Rp200.000"/>
    <n v="20000"/>
    <x v="0"/>
  </r>
  <r>
    <x v="328"/>
    <s v="M0260"/>
    <x v="212"/>
    <s v="RW003"/>
    <s v="Diskon 20% F&amp;B Partner"/>
    <n v="3000"/>
    <x v="1"/>
  </r>
  <r>
    <x v="329"/>
    <s v="M0191"/>
    <x v="90"/>
    <s v="RW006"/>
    <s v="Free Ongkir 3X"/>
    <n v="1500"/>
    <x v="0"/>
  </r>
  <r>
    <x v="330"/>
    <s v="M0275"/>
    <x v="89"/>
    <s v="RW007"/>
    <s v="Voucher Belanja Rp200.000"/>
    <n v="20000"/>
    <x v="1"/>
  </r>
  <r>
    <x v="331"/>
    <s v="M0204"/>
    <x v="128"/>
    <s v="RW007"/>
    <s v="Voucher Belanja Rp200.000"/>
    <n v="20000"/>
    <x v="0"/>
  </r>
  <r>
    <x v="332"/>
    <s v="M0128"/>
    <x v="212"/>
    <s v="RW007"/>
    <s v="Voucher Belanja Rp200.000"/>
    <n v="20000"/>
    <x v="0"/>
  </r>
  <r>
    <x v="333"/>
    <s v="M0285"/>
    <x v="213"/>
    <s v="RW010"/>
    <s v="Voucher Nonton Bioskop"/>
    <n v="6000"/>
    <x v="0"/>
  </r>
  <r>
    <x v="334"/>
    <s v="M0141"/>
    <x v="19"/>
    <s v="RW010"/>
    <s v="Voucher Nonton Bioskop"/>
    <n v="6000"/>
    <x v="0"/>
  </r>
  <r>
    <x v="335"/>
    <s v="M0218"/>
    <x v="214"/>
    <s v="RW005"/>
    <s v="Voucher Ojek Online Rp25.000"/>
    <n v="2500"/>
    <x v="1"/>
  </r>
  <r>
    <x v="336"/>
    <s v="M0046"/>
    <x v="138"/>
    <s v="RW004"/>
    <s v="Merchandise Tumbler Eksklusif"/>
    <n v="8000"/>
    <x v="0"/>
  </r>
  <r>
    <x v="337"/>
    <s v="M0058"/>
    <x v="205"/>
    <s v="RW009"/>
    <s v="Merchandise Tas Belanja Ramah Lingkungan"/>
    <n v="3500"/>
    <x v="0"/>
  </r>
  <r>
    <x v="338"/>
    <s v="M0221"/>
    <x v="215"/>
    <s v="RW002"/>
    <s v="Voucher Belanja Rp100.000"/>
    <n v="10000"/>
    <x v="0"/>
  </r>
  <r>
    <x v="339"/>
    <s v="M0092"/>
    <x v="216"/>
    <s v="RW001"/>
    <s v="Voucher Belanja Rp50.000"/>
    <n v="5000"/>
    <x v="0"/>
  </r>
  <r>
    <x v="340"/>
    <s v="M0216"/>
    <x v="138"/>
    <s v="RW001"/>
    <s v="Voucher Belanja Rp50.000"/>
    <n v="5000"/>
    <x v="1"/>
  </r>
  <r>
    <x v="341"/>
    <s v="M0292"/>
    <x v="56"/>
    <s v="RW001"/>
    <s v="Voucher Belanja Rp50.000"/>
    <n v="5000"/>
    <x v="0"/>
  </r>
  <r>
    <x v="342"/>
    <s v="M0034"/>
    <x v="217"/>
    <s v="RW005"/>
    <s v="Voucher Ojek Online Rp25.000"/>
    <n v="2500"/>
    <x v="0"/>
  </r>
  <r>
    <x v="343"/>
    <s v="M0156"/>
    <x v="164"/>
    <s v="RW010"/>
    <s v="Voucher Nonton Bioskop"/>
    <n v="6000"/>
    <x v="0"/>
  </r>
  <r>
    <x v="344"/>
    <s v="M0188"/>
    <x v="218"/>
    <s v="RW008"/>
    <s v="Diskon 15% Fashion Partner"/>
    <n v="4000"/>
    <x v="0"/>
  </r>
  <r>
    <x v="345"/>
    <s v="M0154"/>
    <x v="102"/>
    <s v="RW005"/>
    <s v="Voucher Ojek Online Rp25.000"/>
    <n v="2500"/>
    <x v="0"/>
  </r>
  <r>
    <x v="346"/>
    <s v="M0067"/>
    <x v="55"/>
    <s v="RW010"/>
    <s v="Voucher Nonton Bioskop"/>
    <n v="6000"/>
    <x v="1"/>
  </r>
  <r>
    <x v="347"/>
    <s v="M0158"/>
    <x v="219"/>
    <s v="RW003"/>
    <s v="Diskon 20% F&amp;B Partner"/>
    <n v="3000"/>
    <x v="1"/>
  </r>
  <r>
    <x v="348"/>
    <s v="M0142"/>
    <x v="8"/>
    <s v="RW006"/>
    <s v="Free Ongkir 3X"/>
    <n v="1500"/>
    <x v="0"/>
  </r>
  <r>
    <x v="349"/>
    <s v="M0023"/>
    <x v="220"/>
    <s v="RW005"/>
    <s v="Voucher Ojek Online Rp25.000"/>
    <n v="2500"/>
    <x v="0"/>
  </r>
  <r>
    <x v="350"/>
    <s v="M0180"/>
    <x v="90"/>
    <s v="RW007"/>
    <s v="Voucher Belanja Rp200.000"/>
    <n v="20000"/>
    <x v="1"/>
  </r>
  <r>
    <x v="351"/>
    <s v="M0171"/>
    <x v="32"/>
    <s v="RW002"/>
    <s v="Voucher Belanja Rp100.000"/>
    <n v="10000"/>
    <x v="0"/>
  </r>
  <r>
    <x v="352"/>
    <s v="M0232"/>
    <x v="17"/>
    <s v="RW004"/>
    <s v="Merchandise Tumbler Eksklusif"/>
    <n v="8000"/>
    <x v="1"/>
  </r>
  <r>
    <x v="353"/>
    <s v="M0032"/>
    <x v="97"/>
    <s v="RW008"/>
    <s v="Diskon 15% Fashion Partner"/>
    <n v="4000"/>
    <x v="0"/>
  </r>
  <r>
    <x v="354"/>
    <s v="M0003"/>
    <x v="13"/>
    <s v="RW009"/>
    <s v="Merchandise Tas Belanja Ramah Lingkungan"/>
    <n v="3500"/>
    <x v="1"/>
  </r>
  <r>
    <x v="355"/>
    <s v="M0145"/>
    <x v="46"/>
    <s v="RW005"/>
    <s v="Voucher Ojek Online Rp25.000"/>
    <n v="2500"/>
    <x v="0"/>
  </r>
  <r>
    <x v="356"/>
    <s v="M0128"/>
    <x v="73"/>
    <s v="RW006"/>
    <s v="Free Ongkir 3X"/>
    <n v="1500"/>
    <x v="0"/>
  </r>
  <r>
    <x v="357"/>
    <s v="M0011"/>
    <x v="187"/>
    <s v="RW002"/>
    <s v="Voucher Belanja Rp100.000"/>
    <n v="10000"/>
    <x v="0"/>
  </r>
  <r>
    <x v="358"/>
    <s v="M0209"/>
    <x v="130"/>
    <s v="RW002"/>
    <s v="Voucher Belanja Rp100.000"/>
    <n v="10000"/>
    <x v="0"/>
  </r>
  <r>
    <x v="359"/>
    <s v="M0237"/>
    <x v="133"/>
    <s v="RW004"/>
    <s v="Merchandise Tumbler Eksklusif"/>
    <n v="8000"/>
    <x v="0"/>
  </r>
  <r>
    <x v="360"/>
    <s v="M0112"/>
    <x v="200"/>
    <s v="RW010"/>
    <s v="Voucher Nonton Bioskop"/>
    <n v="6000"/>
    <x v="0"/>
  </r>
  <r>
    <x v="361"/>
    <s v="M0025"/>
    <x v="37"/>
    <s v="RW005"/>
    <s v="Voucher Ojek Online Rp25.000"/>
    <n v="2500"/>
    <x v="0"/>
  </r>
  <r>
    <x v="362"/>
    <s v="M0077"/>
    <x v="221"/>
    <s v="RW001"/>
    <s v="Voucher Belanja Rp50.000"/>
    <n v="5000"/>
    <x v="0"/>
  </r>
  <r>
    <x v="363"/>
    <s v="M0280"/>
    <x v="222"/>
    <s v="RW010"/>
    <s v="Voucher Nonton Bioskop"/>
    <n v="6000"/>
    <x v="0"/>
  </r>
  <r>
    <x v="364"/>
    <s v="M0157"/>
    <x v="40"/>
    <s v="RW006"/>
    <s v="Free Ongkir 3X"/>
    <n v="1500"/>
    <x v="1"/>
  </r>
  <r>
    <x v="365"/>
    <s v="M0036"/>
    <x v="223"/>
    <s v="RW009"/>
    <s v="Merchandise Tas Belanja Ramah Lingkungan"/>
    <n v="3500"/>
    <x v="1"/>
  </r>
  <r>
    <x v="366"/>
    <s v="M0269"/>
    <x v="224"/>
    <s v="RW009"/>
    <s v="Merchandise Tas Belanja Ramah Lingkungan"/>
    <n v="3500"/>
    <x v="1"/>
  </r>
  <r>
    <x v="367"/>
    <s v="M0149"/>
    <x v="140"/>
    <s v="RW010"/>
    <s v="Voucher Nonton Bioskop"/>
    <n v="6000"/>
    <x v="0"/>
  </r>
  <r>
    <x v="368"/>
    <s v="M0004"/>
    <x v="153"/>
    <s v="RW009"/>
    <s v="Merchandise Tas Belanja Ramah Lingkungan"/>
    <n v="3500"/>
    <x v="0"/>
  </r>
  <r>
    <x v="369"/>
    <s v="M0083"/>
    <x v="213"/>
    <s v="RW009"/>
    <s v="Merchandise Tas Belanja Ramah Lingkungan"/>
    <n v="3500"/>
    <x v="0"/>
  </r>
  <r>
    <x v="370"/>
    <s v="M0006"/>
    <x v="225"/>
    <s v="RW005"/>
    <s v="Voucher Ojek Online Rp25.000"/>
    <n v="2500"/>
    <x v="0"/>
  </r>
  <r>
    <x v="371"/>
    <s v="M0130"/>
    <x v="96"/>
    <s v="RW006"/>
    <s v="Free Ongkir 3X"/>
    <n v="1500"/>
    <x v="0"/>
  </r>
  <r>
    <x v="372"/>
    <s v="M0088"/>
    <x v="226"/>
    <s v="RW003"/>
    <s v="Diskon 20% F&amp;B Partner"/>
    <n v="3000"/>
    <x v="1"/>
  </r>
  <r>
    <x v="373"/>
    <s v="M0029"/>
    <x v="126"/>
    <s v="RW007"/>
    <s v="Voucher Belanja Rp200.000"/>
    <n v="20000"/>
    <x v="0"/>
  </r>
  <r>
    <x v="374"/>
    <s v="M0122"/>
    <x v="86"/>
    <s v="RW002"/>
    <s v="Voucher Belanja Rp100.000"/>
    <n v="10000"/>
    <x v="0"/>
  </r>
  <r>
    <x v="375"/>
    <s v="M0197"/>
    <x v="135"/>
    <s v="RW001"/>
    <s v="Voucher Belanja Rp50.000"/>
    <n v="5000"/>
    <x v="1"/>
  </r>
  <r>
    <x v="376"/>
    <s v="M0224"/>
    <x v="160"/>
    <s v="RW009"/>
    <s v="Merchandise Tas Belanja Ramah Lingkungan"/>
    <n v="3500"/>
    <x v="0"/>
  </r>
  <r>
    <x v="377"/>
    <s v="M0084"/>
    <x v="227"/>
    <s v="RW007"/>
    <s v="Voucher Belanja Rp200.000"/>
    <n v="20000"/>
    <x v="0"/>
  </r>
  <r>
    <x v="378"/>
    <s v="M0238"/>
    <x v="228"/>
    <s v="RW001"/>
    <s v="Voucher Belanja Rp50.000"/>
    <n v="5000"/>
    <x v="0"/>
  </r>
  <r>
    <x v="379"/>
    <s v="M0179"/>
    <x v="176"/>
    <s v="RW002"/>
    <s v="Voucher Belanja Rp100.000"/>
    <n v="10000"/>
    <x v="0"/>
  </r>
  <r>
    <x v="380"/>
    <s v="M0264"/>
    <x v="224"/>
    <s v="RW009"/>
    <s v="Merchandise Tas Belanja Ramah Lingkungan"/>
    <n v="3500"/>
    <x v="0"/>
  </r>
  <r>
    <x v="381"/>
    <s v="M0260"/>
    <x v="33"/>
    <s v="RW001"/>
    <s v="Voucher Belanja Rp50.000"/>
    <n v="5000"/>
    <x v="1"/>
  </r>
  <r>
    <x v="382"/>
    <s v="M0244"/>
    <x v="42"/>
    <s v="RW007"/>
    <s v="Voucher Belanja Rp200.000"/>
    <n v="20000"/>
    <x v="0"/>
  </r>
  <r>
    <x v="383"/>
    <s v="M0179"/>
    <x v="113"/>
    <s v="RW009"/>
    <s v="Merchandise Tas Belanja Ramah Lingkungan"/>
    <n v="3500"/>
    <x v="0"/>
  </r>
  <r>
    <x v="384"/>
    <s v="M0053"/>
    <x v="95"/>
    <s v="RW010"/>
    <s v="Voucher Nonton Bioskop"/>
    <n v="6000"/>
    <x v="0"/>
  </r>
  <r>
    <x v="385"/>
    <s v="M0210"/>
    <x v="229"/>
    <s v="RW007"/>
    <s v="Voucher Belanja Rp200.000"/>
    <n v="20000"/>
    <x v="1"/>
  </r>
  <r>
    <x v="386"/>
    <s v="M0078"/>
    <x v="150"/>
    <s v="RW009"/>
    <s v="Merchandise Tas Belanja Ramah Lingkungan"/>
    <n v="3500"/>
    <x v="0"/>
  </r>
  <r>
    <x v="387"/>
    <s v="M0227"/>
    <x v="230"/>
    <s v="RW001"/>
    <s v="Voucher Belanja Rp50.000"/>
    <n v="5000"/>
    <x v="0"/>
  </r>
  <r>
    <x v="388"/>
    <s v="M0224"/>
    <x v="231"/>
    <s v="RW008"/>
    <s v="Diskon 15% Fashion Partner"/>
    <n v="4000"/>
    <x v="0"/>
  </r>
  <r>
    <x v="389"/>
    <s v="M0031"/>
    <x v="232"/>
    <s v="RW007"/>
    <s v="Voucher Belanja Rp200.000"/>
    <n v="20000"/>
    <x v="0"/>
  </r>
  <r>
    <x v="390"/>
    <s v="M0034"/>
    <x v="43"/>
    <s v="RW008"/>
    <s v="Diskon 15% Fashion Partner"/>
    <n v="4000"/>
    <x v="0"/>
  </r>
  <r>
    <x v="391"/>
    <s v="M0137"/>
    <x v="69"/>
    <s v="RW003"/>
    <s v="Diskon 20% F&amp;B Partner"/>
    <n v="3000"/>
    <x v="1"/>
  </r>
  <r>
    <x v="392"/>
    <s v="M0065"/>
    <x v="193"/>
    <s v="RW008"/>
    <s v="Diskon 15% Fashion Partner"/>
    <n v="4000"/>
    <x v="0"/>
  </r>
  <r>
    <x v="393"/>
    <s v="M0111"/>
    <x v="233"/>
    <s v="RW001"/>
    <s v="Voucher Belanja Rp50.000"/>
    <n v="5000"/>
    <x v="0"/>
  </r>
  <r>
    <x v="394"/>
    <s v="M0190"/>
    <x v="39"/>
    <s v="RW010"/>
    <s v="Voucher Nonton Bioskop"/>
    <n v="6000"/>
    <x v="0"/>
  </r>
  <r>
    <x v="395"/>
    <s v="M0150"/>
    <x v="234"/>
    <s v="RW006"/>
    <s v="Free Ongkir 3X"/>
    <n v="1500"/>
    <x v="0"/>
  </r>
  <r>
    <x v="396"/>
    <s v="M0286"/>
    <x v="189"/>
    <s v="RW001"/>
    <s v="Voucher Belanja Rp50.000"/>
    <n v="5000"/>
    <x v="1"/>
  </r>
  <r>
    <x v="397"/>
    <s v="M0294"/>
    <x v="235"/>
    <s v="RW009"/>
    <s v="Merchandise Tas Belanja Ramah Lingkungan"/>
    <n v="3500"/>
    <x v="0"/>
  </r>
  <r>
    <x v="398"/>
    <s v="M0233"/>
    <x v="71"/>
    <s v="RW007"/>
    <s v="Voucher Belanja Rp200.000"/>
    <n v="20000"/>
    <x v="0"/>
  </r>
  <r>
    <x v="399"/>
    <s v="M0041"/>
    <x v="146"/>
    <s v="RW004"/>
    <s v="Merchandise Tumbler Eksklusif"/>
    <n v="8000"/>
    <x v="1"/>
  </r>
  <r>
    <x v="400"/>
    <s v="M0014"/>
    <x v="115"/>
    <s v="RW003"/>
    <s v="Diskon 20% F&amp;B Partner"/>
    <n v="3000"/>
    <x v="1"/>
  </r>
  <r>
    <x v="401"/>
    <s v="M0195"/>
    <x v="104"/>
    <s v="RW008"/>
    <s v="Diskon 15% Fashion Partner"/>
    <n v="4000"/>
    <x v="0"/>
  </r>
  <r>
    <x v="402"/>
    <s v="M0273"/>
    <x v="17"/>
    <s v="RW002"/>
    <s v="Voucher Belanja Rp100.000"/>
    <n v="10000"/>
    <x v="0"/>
  </r>
  <r>
    <x v="403"/>
    <s v="M0060"/>
    <x v="173"/>
    <s v="RW005"/>
    <s v="Voucher Ojek Online Rp25.000"/>
    <n v="2500"/>
    <x v="0"/>
  </r>
  <r>
    <x v="404"/>
    <s v="M0265"/>
    <x v="194"/>
    <s v="RW003"/>
    <s v="Diskon 20% F&amp;B Partner"/>
    <n v="3000"/>
    <x v="1"/>
  </r>
  <r>
    <x v="405"/>
    <s v="M0206"/>
    <x v="213"/>
    <s v="RW001"/>
    <s v="Voucher Belanja Rp50.000"/>
    <n v="5000"/>
    <x v="0"/>
  </r>
  <r>
    <x v="406"/>
    <s v="M0236"/>
    <x v="236"/>
    <s v="RW007"/>
    <s v="Voucher Belanja Rp200.000"/>
    <n v="20000"/>
    <x v="0"/>
  </r>
  <r>
    <x v="407"/>
    <s v="M0080"/>
    <x v="27"/>
    <s v="RW006"/>
    <s v="Free Ongkir 3X"/>
    <n v="1500"/>
    <x v="0"/>
  </r>
  <r>
    <x v="408"/>
    <s v="M0009"/>
    <x v="22"/>
    <s v="RW009"/>
    <s v="Merchandise Tas Belanja Ramah Lingkungan"/>
    <n v="3500"/>
    <x v="1"/>
  </r>
  <r>
    <x v="409"/>
    <s v="M0068"/>
    <x v="116"/>
    <s v="RW006"/>
    <s v="Free Ongkir 3X"/>
    <n v="1500"/>
    <x v="1"/>
  </r>
  <r>
    <x v="410"/>
    <s v="M0095"/>
    <x v="42"/>
    <s v="RW009"/>
    <s v="Merchandise Tas Belanja Ramah Lingkungan"/>
    <n v="3500"/>
    <x v="0"/>
  </r>
  <r>
    <x v="411"/>
    <s v="M0294"/>
    <x v="237"/>
    <s v="RW003"/>
    <s v="Diskon 20% F&amp;B Partner"/>
    <n v="3000"/>
    <x v="0"/>
  </r>
  <r>
    <x v="412"/>
    <s v="M0103"/>
    <x v="238"/>
    <s v="RW004"/>
    <s v="Merchandise Tumbler Eksklusif"/>
    <n v="8000"/>
    <x v="1"/>
  </r>
  <r>
    <x v="413"/>
    <s v="M0030"/>
    <x v="58"/>
    <s v="RW003"/>
    <s v="Diskon 20% F&amp;B Partner"/>
    <n v="3000"/>
    <x v="0"/>
  </r>
  <r>
    <x v="414"/>
    <s v="M0265"/>
    <x v="239"/>
    <s v="RW008"/>
    <s v="Diskon 15% Fashion Partner"/>
    <n v="4000"/>
    <x v="0"/>
  </r>
  <r>
    <x v="415"/>
    <s v="M0090"/>
    <x v="199"/>
    <s v="RW005"/>
    <s v="Voucher Ojek Online Rp25.000"/>
    <n v="2500"/>
    <x v="0"/>
  </r>
  <r>
    <x v="416"/>
    <s v="M0205"/>
    <x v="95"/>
    <s v="RW008"/>
    <s v="Diskon 15% Fashion Partner"/>
    <n v="4000"/>
    <x v="0"/>
  </r>
  <r>
    <x v="417"/>
    <s v="M0274"/>
    <x v="85"/>
    <s v="RW004"/>
    <s v="Merchandise Tumbler Eksklusif"/>
    <n v="8000"/>
    <x v="0"/>
  </r>
  <r>
    <x v="418"/>
    <s v="M0130"/>
    <x v="106"/>
    <s v="RW004"/>
    <s v="Merchandise Tumbler Eksklusif"/>
    <n v="8000"/>
    <x v="1"/>
  </r>
  <r>
    <x v="419"/>
    <s v="M0191"/>
    <x v="47"/>
    <s v="RW007"/>
    <s v="Voucher Belanja Rp200.000"/>
    <n v="20000"/>
    <x v="0"/>
  </r>
  <r>
    <x v="420"/>
    <s v="M0068"/>
    <x v="25"/>
    <s v="RW008"/>
    <s v="Diskon 15% Fashion Partner"/>
    <n v="4000"/>
    <x v="1"/>
  </r>
  <r>
    <x v="421"/>
    <s v="M0199"/>
    <x v="240"/>
    <s v="RW005"/>
    <s v="Voucher Ojek Online Rp25.000"/>
    <n v="2500"/>
    <x v="0"/>
  </r>
  <r>
    <x v="422"/>
    <s v="M0219"/>
    <x v="105"/>
    <s v="RW004"/>
    <s v="Merchandise Tumbler Eksklusif"/>
    <n v="8000"/>
    <x v="1"/>
  </r>
  <r>
    <x v="423"/>
    <s v="M0264"/>
    <x v="241"/>
    <s v="RW002"/>
    <s v="Voucher Belanja Rp100.000"/>
    <n v="10000"/>
    <x v="0"/>
  </r>
  <r>
    <x v="424"/>
    <s v="M0163"/>
    <x v="242"/>
    <s v="RW002"/>
    <s v="Voucher Belanja Rp100.000"/>
    <n v="10000"/>
    <x v="0"/>
  </r>
  <r>
    <x v="425"/>
    <s v="M0250"/>
    <x v="113"/>
    <s v="RW006"/>
    <s v="Free Ongkir 3X"/>
    <n v="1500"/>
    <x v="1"/>
  </r>
  <r>
    <x v="426"/>
    <s v="M0147"/>
    <x v="243"/>
    <s v="RW003"/>
    <s v="Diskon 20% F&amp;B Partner"/>
    <n v="3000"/>
    <x v="0"/>
  </r>
  <r>
    <x v="427"/>
    <s v="M0234"/>
    <x v="244"/>
    <s v="RW008"/>
    <s v="Diskon 15% Fashion Partner"/>
    <n v="4000"/>
    <x v="0"/>
  </r>
  <r>
    <x v="428"/>
    <s v="M0130"/>
    <x v="245"/>
    <s v="RW006"/>
    <s v="Free Ongkir 3X"/>
    <n v="1500"/>
    <x v="1"/>
  </r>
  <r>
    <x v="429"/>
    <s v="M0051"/>
    <x v="246"/>
    <s v="RW002"/>
    <s v="Voucher Belanja Rp100.000"/>
    <n v="10000"/>
    <x v="0"/>
  </r>
  <r>
    <x v="430"/>
    <s v="M0151"/>
    <x v="247"/>
    <s v="RW008"/>
    <s v="Diskon 15% Fashion Partner"/>
    <n v="4000"/>
    <x v="1"/>
  </r>
  <r>
    <x v="431"/>
    <s v="M0124"/>
    <x v="248"/>
    <s v="RW001"/>
    <s v="Voucher Belanja Rp50.000"/>
    <n v="5000"/>
    <x v="0"/>
  </r>
  <r>
    <x v="432"/>
    <s v="M0197"/>
    <x v="249"/>
    <s v="RW005"/>
    <s v="Voucher Ojek Online Rp25.000"/>
    <n v="2500"/>
    <x v="0"/>
  </r>
  <r>
    <x v="433"/>
    <s v="M0083"/>
    <x v="114"/>
    <s v="RW008"/>
    <s v="Diskon 15% Fashion Partner"/>
    <n v="4000"/>
    <x v="0"/>
  </r>
  <r>
    <x v="434"/>
    <s v="M0160"/>
    <x v="137"/>
    <s v="RW006"/>
    <s v="Free Ongkir 3X"/>
    <n v="1500"/>
    <x v="0"/>
  </r>
  <r>
    <x v="435"/>
    <s v="M0100"/>
    <x v="243"/>
    <s v="RW008"/>
    <s v="Diskon 15% Fashion Partner"/>
    <n v="4000"/>
    <x v="0"/>
  </r>
  <r>
    <x v="436"/>
    <s v="M0296"/>
    <x v="250"/>
    <s v="RW010"/>
    <s v="Voucher Nonton Bioskop"/>
    <n v="6000"/>
    <x v="1"/>
  </r>
  <r>
    <x v="437"/>
    <s v="M0047"/>
    <x v="251"/>
    <s v="RW005"/>
    <s v="Voucher Ojek Online Rp25.000"/>
    <n v="2500"/>
    <x v="0"/>
  </r>
  <r>
    <x v="438"/>
    <s v="M0217"/>
    <x v="252"/>
    <s v="RW008"/>
    <s v="Diskon 15% Fashion Partner"/>
    <n v="4000"/>
    <x v="0"/>
  </r>
  <r>
    <x v="439"/>
    <s v="M0122"/>
    <x v="178"/>
    <s v="RW002"/>
    <s v="Voucher Belanja Rp100.000"/>
    <n v="10000"/>
    <x v="0"/>
  </r>
  <r>
    <x v="440"/>
    <s v="M0254"/>
    <x v="253"/>
    <s v="RW003"/>
    <s v="Diskon 20% F&amp;B Partner"/>
    <n v="3000"/>
    <x v="0"/>
  </r>
  <r>
    <x v="441"/>
    <s v="M0196"/>
    <x v="191"/>
    <s v="RW008"/>
    <s v="Diskon 15% Fashion Partner"/>
    <n v="4000"/>
    <x v="0"/>
  </r>
  <r>
    <x v="442"/>
    <s v="M0294"/>
    <x v="16"/>
    <s v="RW003"/>
    <s v="Diskon 20% F&amp;B Partner"/>
    <n v="3000"/>
    <x v="0"/>
  </r>
  <r>
    <x v="443"/>
    <s v="M0040"/>
    <x v="22"/>
    <s v="RW008"/>
    <s v="Diskon 15% Fashion Partner"/>
    <n v="4000"/>
    <x v="0"/>
  </r>
  <r>
    <x v="444"/>
    <s v="M0144"/>
    <x v="254"/>
    <s v="RW010"/>
    <s v="Voucher Nonton Bioskop"/>
    <n v="6000"/>
    <x v="0"/>
  </r>
  <r>
    <x v="445"/>
    <s v="M0052"/>
    <x v="255"/>
    <s v="RW007"/>
    <s v="Voucher Belanja Rp200.000"/>
    <n v="20000"/>
    <x v="0"/>
  </r>
  <r>
    <x v="446"/>
    <s v="M0254"/>
    <x v="216"/>
    <s v="RW001"/>
    <s v="Voucher Belanja Rp50.000"/>
    <n v="5000"/>
    <x v="1"/>
  </r>
  <r>
    <x v="447"/>
    <s v="M0251"/>
    <x v="256"/>
    <s v="RW004"/>
    <s v="Merchandise Tumbler Eksklusif"/>
    <n v="8000"/>
    <x v="0"/>
  </r>
  <r>
    <x v="448"/>
    <s v="M0230"/>
    <x v="145"/>
    <s v="RW010"/>
    <s v="Voucher Nonton Bioskop"/>
    <n v="6000"/>
    <x v="0"/>
  </r>
  <r>
    <x v="449"/>
    <s v="M0155"/>
    <x v="257"/>
    <s v="RW007"/>
    <s v="Voucher Belanja Rp200.000"/>
    <n v="20000"/>
    <x v="0"/>
  </r>
  <r>
    <x v="450"/>
    <s v="M0274"/>
    <x v="187"/>
    <s v="RW001"/>
    <s v="Voucher Belanja Rp50.000"/>
    <n v="5000"/>
    <x v="0"/>
  </r>
  <r>
    <x v="451"/>
    <s v="M0224"/>
    <x v="69"/>
    <s v="RW006"/>
    <s v="Free Ongkir 3X"/>
    <n v="1500"/>
    <x v="0"/>
  </r>
  <r>
    <x v="452"/>
    <s v="M0130"/>
    <x v="49"/>
    <s v="RW004"/>
    <s v="Merchandise Tumbler Eksklusif"/>
    <n v="8000"/>
    <x v="0"/>
  </r>
  <r>
    <x v="453"/>
    <s v="M0183"/>
    <x v="258"/>
    <s v="RW008"/>
    <s v="Diskon 15% Fashion Partner"/>
    <n v="4000"/>
    <x v="0"/>
  </r>
  <r>
    <x v="454"/>
    <s v="M0241"/>
    <x v="54"/>
    <s v="RW001"/>
    <s v="Voucher Belanja Rp50.000"/>
    <n v="5000"/>
    <x v="0"/>
  </r>
  <r>
    <x v="455"/>
    <s v="M0041"/>
    <x v="110"/>
    <s v="RW004"/>
    <s v="Merchandise Tumbler Eksklusif"/>
    <n v="8000"/>
    <x v="1"/>
  </r>
  <r>
    <x v="456"/>
    <s v="M0263"/>
    <x v="168"/>
    <s v="RW005"/>
    <s v="Voucher Ojek Online Rp25.000"/>
    <n v="2500"/>
    <x v="0"/>
  </r>
  <r>
    <x v="457"/>
    <s v="M0180"/>
    <x v="66"/>
    <s v="RW003"/>
    <s v="Diskon 20% F&amp;B Partner"/>
    <n v="3000"/>
    <x v="1"/>
  </r>
  <r>
    <x v="458"/>
    <s v="M0201"/>
    <x v="215"/>
    <s v="RW001"/>
    <s v="Voucher Belanja Rp50.000"/>
    <n v="5000"/>
    <x v="0"/>
  </r>
  <r>
    <x v="459"/>
    <s v="M0152"/>
    <x v="178"/>
    <s v="RW001"/>
    <s v="Voucher Belanja Rp50.000"/>
    <n v="5000"/>
    <x v="0"/>
  </r>
  <r>
    <x v="460"/>
    <s v="M0275"/>
    <x v="200"/>
    <s v="RW009"/>
    <s v="Merchandise Tas Belanja Ramah Lingkungan"/>
    <n v="3500"/>
    <x v="0"/>
  </r>
  <r>
    <x v="461"/>
    <s v="M0095"/>
    <x v="123"/>
    <s v="RW003"/>
    <s v="Diskon 20% F&amp;B Partner"/>
    <n v="3000"/>
    <x v="1"/>
  </r>
  <r>
    <x v="462"/>
    <s v="M0276"/>
    <x v="259"/>
    <s v="RW008"/>
    <s v="Diskon 15% Fashion Partner"/>
    <n v="4000"/>
    <x v="0"/>
  </r>
  <r>
    <x v="463"/>
    <s v="M0292"/>
    <x v="260"/>
    <s v="RW003"/>
    <s v="Diskon 20% F&amp;B Partner"/>
    <n v="3000"/>
    <x v="0"/>
  </r>
  <r>
    <x v="464"/>
    <s v="M0134"/>
    <x v="259"/>
    <s v="RW002"/>
    <s v="Voucher Belanja Rp100.000"/>
    <n v="10000"/>
    <x v="0"/>
  </r>
  <r>
    <x v="465"/>
    <s v="M0109"/>
    <x v="139"/>
    <s v="RW002"/>
    <s v="Voucher Belanja Rp100.000"/>
    <n v="10000"/>
    <x v="0"/>
  </r>
  <r>
    <x v="466"/>
    <s v="M0189"/>
    <x v="157"/>
    <s v="RW005"/>
    <s v="Voucher Ojek Online Rp25.000"/>
    <n v="2500"/>
    <x v="1"/>
  </r>
  <r>
    <x v="467"/>
    <s v="M0238"/>
    <x v="261"/>
    <s v="RW002"/>
    <s v="Voucher Belanja Rp100.000"/>
    <n v="10000"/>
    <x v="0"/>
  </r>
  <r>
    <x v="468"/>
    <s v="M0142"/>
    <x v="97"/>
    <s v="RW001"/>
    <s v="Voucher Belanja Rp50.000"/>
    <n v="5000"/>
    <x v="1"/>
  </r>
  <r>
    <x v="469"/>
    <s v="M0001"/>
    <x v="262"/>
    <s v="RW010"/>
    <s v="Voucher Nonton Bioskop"/>
    <n v="6000"/>
    <x v="0"/>
  </r>
  <r>
    <x v="470"/>
    <s v="M0100"/>
    <x v="205"/>
    <s v="RW004"/>
    <s v="Merchandise Tumbler Eksklusif"/>
    <n v="8000"/>
    <x v="1"/>
  </r>
  <r>
    <x v="471"/>
    <s v="M0182"/>
    <x v="259"/>
    <s v="RW009"/>
    <s v="Merchandise Tas Belanja Ramah Lingkungan"/>
    <n v="3500"/>
    <x v="0"/>
  </r>
  <r>
    <x v="472"/>
    <s v="M0273"/>
    <x v="5"/>
    <s v="RW002"/>
    <s v="Voucher Belanja Rp100.000"/>
    <n v="10000"/>
    <x v="1"/>
  </r>
  <r>
    <x v="473"/>
    <s v="M0149"/>
    <x v="34"/>
    <s v="RW008"/>
    <s v="Diskon 15% Fashion Partner"/>
    <n v="4000"/>
    <x v="0"/>
  </r>
  <r>
    <x v="474"/>
    <s v="M0013"/>
    <x v="231"/>
    <s v="RW005"/>
    <s v="Voucher Ojek Online Rp25.000"/>
    <n v="2500"/>
    <x v="1"/>
  </r>
  <r>
    <x v="475"/>
    <s v="M0174"/>
    <x v="65"/>
    <s v="RW010"/>
    <s v="Voucher Nonton Bioskop"/>
    <n v="6000"/>
    <x v="0"/>
  </r>
  <r>
    <x v="476"/>
    <s v="M0189"/>
    <x v="211"/>
    <s v="RW009"/>
    <s v="Merchandise Tas Belanja Ramah Lingkungan"/>
    <n v="3500"/>
    <x v="0"/>
  </r>
  <r>
    <x v="477"/>
    <s v="M0006"/>
    <x v="263"/>
    <s v="RW010"/>
    <s v="Voucher Nonton Bioskop"/>
    <n v="6000"/>
    <x v="0"/>
  </r>
  <r>
    <x v="478"/>
    <s v="M0207"/>
    <x v="63"/>
    <s v="RW009"/>
    <s v="Merchandise Tas Belanja Ramah Lingkungan"/>
    <n v="3500"/>
    <x v="0"/>
  </r>
  <r>
    <x v="479"/>
    <s v="M0240"/>
    <x v="123"/>
    <s v="RW001"/>
    <s v="Voucher Belanja Rp50.000"/>
    <n v="5000"/>
    <x v="1"/>
  </r>
  <r>
    <x v="480"/>
    <s v="M0003"/>
    <x v="264"/>
    <s v="RW009"/>
    <s v="Merchandise Tas Belanja Ramah Lingkungan"/>
    <n v="3500"/>
    <x v="0"/>
  </r>
  <r>
    <x v="481"/>
    <s v="M0014"/>
    <x v="265"/>
    <s v="RW004"/>
    <s v="Merchandise Tumbler Eksklusif"/>
    <n v="8000"/>
    <x v="0"/>
  </r>
  <r>
    <x v="482"/>
    <s v="M0128"/>
    <x v="146"/>
    <s v="RW006"/>
    <s v="Free Ongkir 3X"/>
    <n v="1500"/>
    <x v="0"/>
  </r>
  <r>
    <x v="483"/>
    <s v="M0060"/>
    <x v="266"/>
    <s v="RW007"/>
    <s v="Voucher Belanja Rp200.000"/>
    <n v="20000"/>
    <x v="0"/>
  </r>
  <r>
    <x v="484"/>
    <s v="M0267"/>
    <x v="267"/>
    <s v="RW008"/>
    <s v="Diskon 15% Fashion Partner"/>
    <n v="4000"/>
    <x v="0"/>
  </r>
  <r>
    <x v="485"/>
    <s v="M0020"/>
    <x v="220"/>
    <s v="RW001"/>
    <s v="Voucher Belanja Rp50.000"/>
    <n v="5000"/>
    <x v="0"/>
  </r>
  <r>
    <x v="486"/>
    <s v="M0190"/>
    <x v="153"/>
    <s v="RW003"/>
    <s v="Diskon 20% F&amp;B Partner"/>
    <n v="3000"/>
    <x v="1"/>
  </r>
  <r>
    <x v="487"/>
    <s v="M0064"/>
    <x v="74"/>
    <s v="RW008"/>
    <s v="Diskon 15% Fashion Partner"/>
    <n v="4000"/>
    <x v="0"/>
  </r>
  <r>
    <x v="488"/>
    <s v="M0052"/>
    <x v="268"/>
    <s v="RW001"/>
    <s v="Voucher Belanja Rp50.000"/>
    <n v="5000"/>
    <x v="1"/>
  </r>
  <r>
    <x v="489"/>
    <s v="M0061"/>
    <x v="119"/>
    <s v="RW001"/>
    <s v="Voucher Belanja Rp50.000"/>
    <n v="5000"/>
    <x v="0"/>
  </r>
  <r>
    <x v="490"/>
    <s v="M0024"/>
    <x v="125"/>
    <s v="RW001"/>
    <s v="Voucher Belanja Rp50.000"/>
    <n v="5000"/>
    <x v="0"/>
  </r>
  <r>
    <x v="491"/>
    <s v="M0259"/>
    <x v="140"/>
    <s v="RW009"/>
    <s v="Merchandise Tas Belanja Ramah Lingkungan"/>
    <n v="3500"/>
    <x v="0"/>
  </r>
  <r>
    <x v="492"/>
    <s v="M0072"/>
    <x v="269"/>
    <s v="RW010"/>
    <s v="Voucher Nonton Bioskop"/>
    <n v="6000"/>
    <x v="1"/>
  </r>
  <r>
    <x v="493"/>
    <s v="M0299"/>
    <x v="207"/>
    <s v="RW006"/>
    <s v="Free Ongkir 3X"/>
    <n v="1500"/>
    <x v="0"/>
  </r>
  <r>
    <x v="494"/>
    <s v="M0240"/>
    <x v="270"/>
    <s v="RW010"/>
    <s v="Voucher Nonton Bioskop"/>
    <n v="6000"/>
    <x v="1"/>
  </r>
  <r>
    <x v="495"/>
    <s v="M0228"/>
    <x v="215"/>
    <s v="RW007"/>
    <s v="Voucher Belanja Rp200.000"/>
    <n v="20000"/>
    <x v="0"/>
  </r>
  <r>
    <x v="496"/>
    <s v="M0114"/>
    <x v="196"/>
    <s v="RW005"/>
    <s v="Voucher Ojek Online Rp25.000"/>
    <n v="2500"/>
    <x v="0"/>
  </r>
  <r>
    <x v="497"/>
    <s v="M0084"/>
    <x v="213"/>
    <s v="RW002"/>
    <s v="Voucher Belanja Rp100.000"/>
    <n v="10000"/>
    <x v="0"/>
  </r>
  <r>
    <x v="498"/>
    <s v="M0165"/>
    <x v="186"/>
    <s v="RW008"/>
    <s v="Diskon 15% Fashion Partner"/>
    <n v="4000"/>
    <x v="0"/>
  </r>
  <r>
    <x v="499"/>
    <s v="M0050"/>
    <x v="91"/>
    <s v="RW001"/>
    <s v="Voucher Belanja Rp50.000"/>
    <n v="5000"/>
    <x v="0"/>
  </r>
  <r>
    <x v="500"/>
    <s v="M0038"/>
    <x v="92"/>
    <s v="RW005"/>
    <s v="Voucher Ojek Online Rp25.000"/>
    <n v="2500"/>
    <x v="0"/>
  </r>
  <r>
    <x v="501"/>
    <s v="M0099"/>
    <x v="137"/>
    <s v="RW006"/>
    <s v="Free Ongkir 3X"/>
    <n v="1500"/>
    <x v="0"/>
  </r>
  <r>
    <x v="502"/>
    <s v="M0063"/>
    <x v="101"/>
    <s v="RW007"/>
    <s v="Voucher Belanja Rp200.000"/>
    <n v="20000"/>
    <x v="1"/>
  </r>
  <r>
    <x v="503"/>
    <s v="M0214"/>
    <x v="98"/>
    <s v="RW006"/>
    <s v="Free Ongkir 3X"/>
    <n v="1500"/>
    <x v="0"/>
  </r>
  <r>
    <x v="504"/>
    <s v="M0121"/>
    <x v="271"/>
    <s v="RW006"/>
    <s v="Free Ongkir 3X"/>
    <n v="1500"/>
    <x v="0"/>
  </r>
  <r>
    <x v="505"/>
    <s v="M0003"/>
    <x v="163"/>
    <s v="RW001"/>
    <s v="Voucher Belanja Rp50.000"/>
    <n v="5000"/>
    <x v="0"/>
  </r>
  <r>
    <x v="506"/>
    <s v="M0116"/>
    <x v="272"/>
    <s v="RW005"/>
    <s v="Voucher Ojek Online Rp25.000"/>
    <n v="2500"/>
    <x v="0"/>
  </r>
  <r>
    <x v="507"/>
    <s v="M0011"/>
    <x v="94"/>
    <s v="RW008"/>
    <s v="Diskon 15% Fashion Partner"/>
    <n v="4000"/>
    <x v="0"/>
  </r>
  <r>
    <x v="508"/>
    <s v="M0051"/>
    <x v="32"/>
    <s v="RW009"/>
    <s v="Merchandise Tas Belanja Ramah Lingkungan"/>
    <n v="3500"/>
    <x v="0"/>
  </r>
  <r>
    <x v="509"/>
    <s v="M0141"/>
    <x v="195"/>
    <s v="RW005"/>
    <s v="Voucher Ojek Online Rp25.000"/>
    <n v="2500"/>
    <x v="1"/>
  </r>
  <r>
    <x v="510"/>
    <s v="M0060"/>
    <x v="144"/>
    <s v="RW007"/>
    <s v="Voucher Belanja Rp200.000"/>
    <n v="20000"/>
    <x v="0"/>
  </r>
  <r>
    <x v="511"/>
    <s v="M0126"/>
    <x v="99"/>
    <s v="RW001"/>
    <s v="Voucher Belanja Rp50.000"/>
    <n v="5000"/>
    <x v="1"/>
  </r>
  <r>
    <x v="512"/>
    <s v="M0139"/>
    <x v="133"/>
    <s v="RW010"/>
    <s v="Voucher Nonton Bioskop"/>
    <n v="6000"/>
    <x v="0"/>
  </r>
  <r>
    <x v="513"/>
    <s v="M0127"/>
    <x v="211"/>
    <s v="RW010"/>
    <s v="Voucher Nonton Bioskop"/>
    <n v="6000"/>
    <x v="0"/>
  </r>
  <r>
    <x v="514"/>
    <s v="M0195"/>
    <x v="57"/>
    <s v="RW010"/>
    <s v="Voucher Nonton Bioskop"/>
    <n v="6000"/>
    <x v="0"/>
  </r>
  <r>
    <x v="515"/>
    <s v="M0080"/>
    <x v="32"/>
    <s v="RW007"/>
    <s v="Voucher Belanja Rp200.000"/>
    <n v="20000"/>
    <x v="0"/>
  </r>
  <r>
    <x v="516"/>
    <s v="M0250"/>
    <x v="273"/>
    <s v="RW006"/>
    <s v="Free Ongkir 3X"/>
    <n v="1500"/>
    <x v="0"/>
  </r>
  <r>
    <x v="517"/>
    <s v="M0096"/>
    <x v="26"/>
    <s v="RW007"/>
    <s v="Voucher Belanja Rp200.000"/>
    <n v="20000"/>
    <x v="0"/>
  </r>
  <r>
    <x v="518"/>
    <s v="M0049"/>
    <x v="112"/>
    <s v="RW003"/>
    <s v="Diskon 20% F&amp;B Partner"/>
    <n v="3000"/>
    <x v="0"/>
  </r>
  <r>
    <x v="519"/>
    <s v="M0293"/>
    <x v="144"/>
    <s v="RW009"/>
    <s v="Merchandise Tas Belanja Ramah Lingkungan"/>
    <n v="3500"/>
    <x v="0"/>
  </r>
  <r>
    <x v="520"/>
    <s v="M0237"/>
    <x v="88"/>
    <s v="RW001"/>
    <s v="Voucher Belanja Rp50.000"/>
    <n v="5000"/>
    <x v="0"/>
  </r>
  <r>
    <x v="521"/>
    <s v="M0068"/>
    <x v="274"/>
    <s v="RW001"/>
    <s v="Voucher Belanja Rp50.000"/>
    <n v="5000"/>
    <x v="0"/>
  </r>
  <r>
    <x v="522"/>
    <s v="M0053"/>
    <x v="246"/>
    <s v="RW006"/>
    <s v="Free Ongkir 3X"/>
    <n v="1500"/>
    <x v="0"/>
  </r>
  <r>
    <x v="523"/>
    <s v="M0059"/>
    <x v="275"/>
    <s v="RW001"/>
    <s v="Voucher Belanja Rp50.000"/>
    <n v="5000"/>
    <x v="0"/>
  </r>
  <r>
    <x v="524"/>
    <s v="M0099"/>
    <x v="207"/>
    <s v="RW008"/>
    <s v="Diskon 15% Fashion Partner"/>
    <n v="4000"/>
    <x v="0"/>
  </r>
  <r>
    <x v="525"/>
    <s v="M0071"/>
    <x v="276"/>
    <s v="RW003"/>
    <s v="Diskon 20% F&amp;B Partner"/>
    <n v="3000"/>
    <x v="0"/>
  </r>
  <r>
    <x v="526"/>
    <s v="M0023"/>
    <x v="121"/>
    <s v="RW008"/>
    <s v="Diskon 15% Fashion Partner"/>
    <n v="4000"/>
    <x v="0"/>
  </r>
  <r>
    <x v="527"/>
    <s v="M0102"/>
    <x v="275"/>
    <s v="RW009"/>
    <s v="Merchandise Tas Belanja Ramah Lingkungan"/>
    <n v="3500"/>
    <x v="0"/>
  </r>
  <r>
    <x v="528"/>
    <s v="M0069"/>
    <x v="66"/>
    <s v="RW005"/>
    <s v="Voucher Ojek Online Rp25.000"/>
    <n v="2500"/>
    <x v="0"/>
  </r>
  <r>
    <x v="529"/>
    <s v="M0271"/>
    <x v="82"/>
    <s v="RW007"/>
    <s v="Voucher Belanja Rp200.000"/>
    <n v="20000"/>
    <x v="0"/>
  </r>
  <r>
    <x v="530"/>
    <s v="M0031"/>
    <x v="66"/>
    <s v="RW001"/>
    <s v="Voucher Belanja Rp50.000"/>
    <n v="5000"/>
    <x v="1"/>
  </r>
  <r>
    <x v="531"/>
    <s v="M0135"/>
    <x v="270"/>
    <s v="RW006"/>
    <s v="Free Ongkir 3X"/>
    <n v="1500"/>
    <x v="0"/>
  </r>
  <r>
    <x v="532"/>
    <s v="M0050"/>
    <x v="277"/>
    <s v="RW006"/>
    <s v="Free Ongkir 3X"/>
    <n v="1500"/>
    <x v="0"/>
  </r>
  <r>
    <x v="533"/>
    <s v="M0012"/>
    <x v="182"/>
    <s v="RW009"/>
    <s v="Merchandise Tas Belanja Ramah Lingkungan"/>
    <n v="3500"/>
    <x v="0"/>
  </r>
  <r>
    <x v="534"/>
    <s v="M0203"/>
    <x v="105"/>
    <s v="RW005"/>
    <s v="Voucher Ojek Online Rp25.000"/>
    <n v="2500"/>
    <x v="1"/>
  </r>
  <r>
    <x v="535"/>
    <s v="M0094"/>
    <x v="66"/>
    <s v="RW002"/>
    <s v="Voucher Belanja Rp100.000"/>
    <n v="10000"/>
    <x v="0"/>
  </r>
  <r>
    <x v="536"/>
    <s v="M0153"/>
    <x v="128"/>
    <s v="RW010"/>
    <s v="Voucher Nonton Bioskop"/>
    <n v="6000"/>
    <x v="0"/>
  </r>
  <r>
    <x v="537"/>
    <s v="M0126"/>
    <x v="278"/>
    <s v="RW008"/>
    <s v="Diskon 15% Fashion Partner"/>
    <n v="4000"/>
    <x v="1"/>
  </r>
  <r>
    <x v="538"/>
    <s v="M0093"/>
    <x v="32"/>
    <s v="RW010"/>
    <s v="Voucher Nonton Bioskop"/>
    <n v="6000"/>
    <x v="1"/>
  </r>
  <r>
    <x v="539"/>
    <s v="M0163"/>
    <x v="219"/>
    <s v="RW005"/>
    <s v="Voucher Ojek Online Rp25.000"/>
    <n v="2500"/>
    <x v="0"/>
  </r>
  <r>
    <x v="540"/>
    <s v="M0095"/>
    <x v="279"/>
    <s v="RW002"/>
    <s v="Voucher Belanja Rp100.000"/>
    <n v="10000"/>
    <x v="1"/>
  </r>
  <r>
    <x v="541"/>
    <s v="M0149"/>
    <x v="126"/>
    <s v="RW009"/>
    <s v="Merchandise Tas Belanja Ramah Lingkungan"/>
    <n v="3500"/>
    <x v="0"/>
  </r>
  <r>
    <x v="542"/>
    <s v="M0067"/>
    <x v="126"/>
    <s v="RW009"/>
    <s v="Merchandise Tas Belanja Ramah Lingkungan"/>
    <n v="3500"/>
    <x v="0"/>
  </r>
  <r>
    <x v="543"/>
    <s v="M0110"/>
    <x v="105"/>
    <s v="RW008"/>
    <s v="Diskon 15% Fashion Partner"/>
    <n v="4000"/>
    <x v="0"/>
  </r>
  <r>
    <x v="544"/>
    <s v="M0242"/>
    <x v="280"/>
    <s v="RW005"/>
    <s v="Voucher Ojek Online Rp25.000"/>
    <n v="2500"/>
    <x v="0"/>
  </r>
  <r>
    <x v="545"/>
    <s v="M0016"/>
    <x v="276"/>
    <s v="RW001"/>
    <s v="Voucher Belanja Rp50.000"/>
    <n v="5000"/>
    <x v="0"/>
  </r>
  <r>
    <x v="546"/>
    <s v="M0160"/>
    <x v="271"/>
    <s v="RW005"/>
    <s v="Voucher Ojek Online Rp25.000"/>
    <n v="2500"/>
    <x v="1"/>
  </r>
  <r>
    <x v="547"/>
    <s v="M0033"/>
    <x v="121"/>
    <s v="RW002"/>
    <s v="Voucher Belanja Rp100.000"/>
    <n v="10000"/>
    <x v="0"/>
  </r>
  <r>
    <x v="548"/>
    <s v="M0015"/>
    <x v="267"/>
    <s v="RW010"/>
    <s v="Voucher Nonton Bioskop"/>
    <n v="6000"/>
    <x v="1"/>
  </r>
  <r>
    <x v="549"/>
    <s v="M0160"/>
    <x v="102"/>
    <s v="RW009"/>
    <s v="Merchandise Tas Belanja Ramah Lingkungan"/>
    <n v="3500"/>
    <x v="0"/>
  </r>
  <r>
    <x v="550"/>
    <s v="M0279"/>
    <x v="127"/>
    <s v="RW002"/>
    <s v="Voucher Belanja Rp100.000"/>
    <n v="10000"/>
    <x v="0"/>
  </r>
  <r>
    <x v="551"/>
    <s v="M0124"/>
    <x v="49"/>
    <s v="RW002"/>
    <s v="Voucher Belanja Rp100.000"/>
    <n v="10000"/>
    <x v="0"/>
  </r>
  <r>
    <x v="552"/>
    <s v="M0098"/>
    <x v="259"/>
    <s v="RW008"/>
    <s v="Diskon 15% Fashion Partner"/>
    <n v="4000"/>
    <x v="0"/>
  </r>
  <r>
    <x v="553"/>
    <s v="M0188"/>
    <x v="189"/>
    <s v="RW004"/>
    <s v="Merchandise Tumbler Eksklusif"/>
    <n v="8000"/>
    <x v="1"/>
  </r>
  <r>
    <x v="554"/>
    <s v="M0203"/>
    <x v="281"/>
    <s v="RW002"/>
    <s v="Voucher Belanja Rp100.000"/>
    <n v="10000"/>
    <x v="0"/>
  </r>
  <r>
    <x v="555"/>
    <s v="M0142"/>
    <x v="282"/>
    <s v="RW009"/>
    <s v="Merchandise Tas Belanja Ramah Lingkungan"/>
    <n v="3500"/>
    <x v="1"/>
  </r>
  <r>
    <x v="556"/>
    <s v="M0240"/>
    <x v="71"/>
    <s v="RW006"/>
    <s v="Free Ongkir 3X"/>
    <n v="1500"/>
    <x v="0"/>
  </r>
  <r>
    <x v="557"/>
    <s v="M0247"/>
    <x v="217"/>
    <s v="RW007"/>
    <s v="Voucher Belanja Rp200.000"/>
    <n v="20000"/>
    <x v="0"/>
  </r>
  <r>
    <x v="558"/>
    <s v="M0274"/>
    <x v="193"/>
    <s v="RW010"/>
    <s v="Voucher Nonton Bioskop"/>
    <n v="6000"/>
    <x v="1"/>
  </r>
  <r>
    <x v="559"/>
    <s v="M0214"/>
    <x v="164"/>
    <s v="RW006"/>
    <s v="Free Ongkir 3X"/>
    <n v="1500"/>
    <x v="0"/>
  </r>
  <r>
    <x v="560"/>
    <s v="M0284"/>
    <x v="94"/>
    <s v="RW010"/>
    <s v="Voucher Nonton Bioskop"/>
    <n v="6000"/>
    <x v="0"/>
  </r>
  <r>
    <x v="561"/>
    <s v="M0141"/>
    <x v="283"/>
    <s v="RW003"/>
    <s v="Diskon 20% F&amp;B Partner"/>
    <n v="3000"/>
    <x v="0"/>
  </r>
  <r>
    <x v="562"/>
    <s v="M0192"/>
    <x v="133"/>
    <s v="RW003"/>
    <s v="Diskon 20% F&amp;B Partner"/>
    <n v="3000"/>
    <x v="1"/>
  </r>
  <r>
    <x v="563"/>
    <s v="M0135"/>
    <x v="250"/>
    <s v="RW007"/>
    <s v="Voucher Belanja Rp200.000"/>
    <n v="20000"/>
    <x v="0"/>
  </r>
  <r>
    <x v="564"/>
    <s v="M0180"/>
    <x v="180"/>
    <s v="RW001"/>
    <s v="Voucher Belanja Rp50.000"/>
    <n v="5000"/>
    <x v="0"/>
  </r>
  <r>
    <x v="565"/>
    <s v="M0104"/>
    <x v="284"/>
    <s v="RW006"/>
    <s v="Free Ongkir 3X"/>
    <n v="1500"/>
    <x v="0"/>
  </r>
  <r>
    <x v="566"/>
    <s v="M0076"/>
    <x v="277"/>
    <s v="RW001"/>
    <s v="Voucher Belanja Rp50.000"/>
    <n v="5000"/>
    <x v="0"/>
  </r>
  <r>
    <x v="567"/>
    <s v="M0147"/>
    <x v="98"/>
    <s v="RW006"/>
    <s v="Free Ongkir 3X"/>
    <n v="1500"/>
    <x v="0"/>
  </r>
  <r>
    <x v="568"/>
    <s v="M0023"/>
    <x v="161"/>
    <s v="RW010"/>
    <s v="Voucher Nonton Bioskop"/>
    <n v="6000"/>
    <x v="0"/>
  </r>
  <r>
    <x v="569"/>
    <s v="M0055"/>
    <x v="43"/>
    <s v="RW010"/>
    <s v="Voucher Nonton Bioskop"/>
    <n v="6000"/>
    <x v="0"/>
  </r>
  <r>
    <x v="570"/>
    <s v="M0163"/>
    <x v="285"/>
    <s v="RW004"/>
    <s v="Merchandise Tumbler Eksklusif"/>
    <n v="8000"/>
    <x v="0"/>
  </r>
  <r>
    <x v="571"/>
    <s v="M0068"/>
    <x v="286"/>
    <s v="RW009"/>
    <s v="Merchandise Tas Belanja Ramah Lingkungan"/>
    <n v="3500"/>
    <x v="0"/>
  </r>
  <r>
    <x v="572"/>
    <s v="M0262"/>
    <x v="287"/>
    <s v="RW001"/>
    <s v="Voucher Belanja Rp50.000"/>
    <n v="5000"/>
    <x v="0"/>
  </r>
  <r>
    <x v="573"/>
    <s v="M0194"/>
    <x v="129"/>
    <s v="RW003"/>
    <s v="Diskon 20% F&amp;B Partner"/>
    <n v="3000"/>
    <x v="0"/>
  </r>
  <r>
    <x v="574"/>
    <s v="M0277"/>
    <x v="110"/>
    <s v="RW004"/>
    <s v="Merchandise Tumbler Eksklusif"/>
    <n v="8000"/>
    <x v="0"/>
  </r>
  <r>
    <x v="575"/>
    <s v="M0153"/>
    <x v="80"/>
    <s v="RW006"/>
    <s v="Free Ongkir 3X"/>
    <n v="1500"/>
    <x v="0"/>
  </r>
  <r>
    <x v="576"/>
    <s v="M0237"/>
    <x v="212"/>
    <s v="RW003"/>
    <s v="Diskon 20% F&amp;B Partner"/>
    <n v="3000"/>
    <x v="0"/>
  </r>
  <r>
    <x v="577"/>
    <s v="M0277"/>
    <x v="52"/>
    <s v="RW004"/>
    <s v="Merchandise Tumbler Eksklusif"/>
    <n v="8000"/>
    <x v="1"/>
  </r>
  <r>
    <x v="578"/>
    <s v="M0110"/>
    <x v="60"/>
    <s v="RW010"/>
    <s v="Voucher Nonton Bioskop"/>
    <n v="6000"/>
    <x v="0"/>
  </r>
  <r>
    <x v="579"/>
    <s v="M0224"/>
    <x v="131"/>
    <s v="RW002"/>
    <s v="Voucher Belanja Rp100.000"/>
    <n v="10000"/>
    <x v="0"/>
  </r>
  <r>
    <x v="580"/>
    <s v="M0271"/>
    <x v="156"/>
    <s v="RW005"/>
    <s v="Voucher Ojek Online Rp25.000"/>
    <n v="2500"/>
    <x v="0"/>
  </r>
  <r>
    <x v="581"/>
    <s v="M0205"/>
    <x v="47"/>
    <s v="RW008"/>
    <s v="Diskon 15% Fashion Partner"/>
    <n v="4000"/>
    <x v="0"/>
  </r>
  <r>
    <x v="582"/>
    <s v="M0063"/>
    <x v="288"/>
    <s v="RW005"/>
    <s v="Voucher Ojek Online Rp25.000"/>
    <n v="2500"/>
    <x v="0"/>
  </r>
  <r>
    <x v="583"/>
    <s v="M0122"/>
    <x v="4"/>
    <s v="RW010"/>
    <s v="Voucher Nonton Bioskop"/>
    <n v="6000"/>
    <x v="0"/>
  </r>
  <r>
    <x v="584"/>
    <s v="M0068"/>
    <x v="126"/>
    <s v="RW010"/>
    <s v="Voucher Nonton Bioskop"/>
    <n v="6000"/>
    <x v="0"/>
  </r>
  <r>
    <x v="585"/>
    <s v="M0134"/>
    <x v="84"/>
    <s v="RW002"/>
    <s v="Voucher Belanja Rp100.000"/>
    <n v="10000"/>
    <x v="0"/>
  </r>
  <r>
    <x v="586"/>
    <s v="M0191"/>
    <x v="61"/>
    <s v="RW008"/>
    <s v="Diskon 15% Fashion Partner"/>
    <n v="4000"/>
    <x v="1"/>
  </r>
  <r>
    <x v="587"/>
    <s v="M0139"/>
    <x v="21"/>
    <s v="RW008"/>
    <s v="Diskon 15% Fashion Partner"/>
    <n v="4000"/>
    <x v="0"/>
  </r>
  <r>
    <x v="588"/>
    <s v="M0299"/>
    <x v="279"/>
    <s v="RW010"/>
    <s v="Voucher Nonton Bioskop"/>
    <n v="6000"/>
    <x v="0"/>
  </r>
  <r>
    <x v="589"/>
    <s v="M0221"/>
    <x v="40"/>
    <s v="RW008"/>
    <s v="Diskon 15% Fashion Partner"/>
    <n v="4000"/>
    <x v="0"/>
  </r>
  <r>
    <x v="590"/>
    <s v="M0038"/>
    <x v="224"/>
    <s v="RW004"/>
    <s v="Merchandise Tumbler Eksklusif"/>
    <n v="8000"/>
    <x v="0"/>
  </r>
  <r>
    <x v="591"/>
    <s v="M0196"/>
    <x v="232"/>
    <s v="RW004"/>
    <s v="Merchandise Tumbler Eksklusif"/>
    <n v="8000"/>
    <x v="0"/>
  </r>
  <r>
    <x v="592"/>
    <s v="M0005"/>
    <x v="204"/>
    <s v="RW001"/>
    <s v="Voucher Belanja Rp50.000"/>
    <n v="5000"/>
    <x v="0"/>
  </r>
  <r>
    <x v="593"/>
    <s v="M0054"/>
    <x v="25"/>
    <s v="RW005"/>
    <s v="Voucher Ojek Online Rp25.000"/>
    <n v="2500"/>
    <x v="0"/>
  </r>
  <r>
    <x v="594"/>
    <s v="M0071"/>
    <x v="237"/>
    <s v="RW008"/>
    <s v="Diskon 15% Fashion Partner"/>
    <n v="4000"/>
    <x v="1"/>
  </r>
  <r>
    <x v="595"/>
    <s v="M0221"/>
    <x v="278"/>
    <s v="RW006"/>
    <s v="Free Ongkir 3X"/>
    <n v="1500"/>
    <x v="1"/>
  </r>
  <r>
    <x v="596"/>
    <s v="M0137"/>
    <x v="289"/>
    <s v="RW004"/>
    <s v="Merchandise Tumbler Eksklusif"/>
    <n v="8000"/>
    <x v="0"/>
  </r>
  <r>
    <x v="597"/>
    <s v="M0224"/>
    <x v="50"/>
    <s v="RW010"/>
    <s v="Voucher Nonton Bioskop"/>
    <n v="6000"/>
    <x v="0"/>
  </r>
  <r>
    <x v="598"/>
    <s v="M0067"/>
    <x v="290"/>
    <s v="RW002"/>
    <s v="Voucher Belanja Rp100.000"/>
    <n v="10000"/>
    <x v="1"/>
  </r>
  <r>
    <x v="599"/>
    <s v="M0194"/>
    <x v="60"/>
    <s v="RW010"/>
    <s v="Voucher Nonton Bioskop"/>
    <n v="6000"/>
    <x v="0"/>
  </r>
  <r>
    <x v="600"/>
    <s v="M0247"/>
    <x v="238"/>
    <s v="RW002"/>
    <s v="Voucher Belanja Rp100.000"/>
    <n v="10000"/>
    <x v="0"/>
  </r>
  <r>
    <x v="601"/>
    <s v="M0165"/>
    <x v="102"/>
    <s v="RW001"/>
    <s v="Voucher Belanja Rp50.000"/>
    <n v="5000"/>
    <x v="1"/>
  </r>
  <r>
    <x v="602"/>
    <s v="M0031"/>
    <x v="98"/>
    <s v="RW002"/>
    <s v="Voucher Belanja Rp100.000"/>
    <n v="10000"/>
    <x v="1"/>
  </r>
  <r>
    <x v="603"/>
    <s v="M0080"/>
    <x v="276"/>
    <s v="RW005"/>
    <s v="Voucher Ojek Online Rp25.000"/>
    <n v="2500"/>
    <x v="0"/>
  </r>
  <r>
    <x v="604"/>
    <s v="M0076"/>
    <x v="184"/>
    <s v="RW007"/>
    <s v="Voucher Belanja Rp200.000"/>
    <n v="20000"/>
    <x v="0"/>
  </r>
  <r>
    <x v="605"/>
    <s v="M0171"/>
    <x v="8"/>
    <s v="RW004"/>
    <s v="Merchandise Tumbler Eksklusif"/>
    <n v="8000"/>
    <x v="0"/>
  </r>
  <r>
    <x v="606"/>
    <s v="M0093"/>
    <x v="286"/>
    <s v="RW008"/>
    <s v="Diskon 15% Fashion Partner"/>
    <n v="4000"/>
    <x v="0"/>
  </r>
  <r>
    <x v="607"/>
    <s v="M0267"/>
    <x v="218"/>
    <s v="RW001"/>
    <s v="Voucher Belanja Rp50.000"/>
    <n v="5000"/>
    <x v="0"/>
  </r>
  <r>
    <x v="608"/>
    <s v="M0099"/>
    <x v="291"/>
    <s v="RW004"/>
    <s v="Merchandise Tumbler Eksklusif"/>
    <n v="8000"/>
    <x v="1"/>
  </r>
  <r>
    <x v="609"/>
    <s v="M0181"/>
    <x v="252"/>
    <s v="RW004"/>
    <s v="Merchandise Tumbler Eksklusif"/>
    <n v="8000"/>
    <x v="0"/>
  </r>
  <r>
    <x v="610"/>
    <s v="M0243"/>
    <x v="193"/>
    <s v="RW009"/>
    <s v="Merchandise Tas Belanja Ramah Lingkungan"/>
    <n v="3500"/>
    <x v="0"/>
  </r>
  <r>
    <x v="611"/>
    <s v="M0179"/>
    <x v="60"/>
    <s v="RW002"/>
    <s v="Voucher Belanja Rp100.000"/>
    <n v="10000"/>
    <x v="0"/>
  </r>
  <r>
    <x v="612"/>
    <s v="M0035"/>
    <x v="292"/>
    <s v="RW007"/>
    <s v="Voucher Belanja Rp200.000"/>
    <n v="20000"/>
    <x v="0"/>
  </r>
  <r>
    <x v="613"/>
    <s v="M0058"/>
    <x v="194"/>
    <s v="RW006"/>
    <s v="Free Ongkir 3X"/>
    <n v="1500"/>
    <x v="0"/>
  </r>
  <r>
    <x v="614"/>
    <s v="M0168"/>
    <x v="216"/>
    <s v="RW009"/>
    <s v="Merchandise Tas Belanja Ramah Lingkungan"/>
    <n v="3500"/>
    <x v="0"/>
  </r>
  <r>
    <x v="615"/>
    <s v="M0087"/>
    <x v="293"/>
    <s v="RW003"/>
    <s v="Diskon 20% F&amp;B Partner"/>
    <n v="3000"/>
    <x v="1"/>
  </r>
  <r>
    <x v="616"/>
    <s v="M0297"/>
    <x v="76"/>
    <s v="RW008"/>
    <s v="Diskon 15% Fashion Partner"/>
    <n v="4000"/>
    <x v="1"/>
  </r>
  <r>
    <x v="617"/>
    <s v="M0148"/>
    <x v="262"/>
    <s v="RW009"/>
    <s v="Merchandise Tas Belanja Ramah Lingkungan"/>
    <n v="3500"/>
    <x v="0"/>
  </r>
  <r>
    <x v="618"/>
    <s v="M0161"/>
    <x v="293"/>
    <s v="RW001"/>
    <s v="Voucher Belanja Rp50.000"/>
    <n v="5000"/>
    <x v="1"/>
  </r>
  <r>
    <x v="619"/>
    <s v="M0151"/>
    <x v="253"/>
    <s v="RW002"/>
    <s v="Voucher Belanja Rp100.000"/>
    <n v="10000"/>
    <x v="0"/>
  </r>
  <r>
    <x v="620"/>
    <s v="M0177"/>
    <x v="149"/>
    <s v="RW001"/>
    <s v="Voucher Belanja Rp50.000"/>
    <n v="5000"/>
    <x v="0"/>
  </r>
  <r>
    <x v="621"/>
    <s v="M0246"/>
    <x v="115"/>
    <s v="RW004"/>
    <s v="Merchandise Tumbler Eksklusif"/>
    <n v="8000"/>
    <x v="1"/>
  </r>
  <r>
    <x v="622"/>
    <s v="M0143"/>
    <x v="294"/>
    <s v="RW007"/>
    <s v="Voucher Belanja Rp200.000"/>
    <n v="20000"/>
    <x v="0"/>
  </r>
  <r>
    <x v="623"/>
    <s v="M0201"/>
    <x v="28"/>
    <s v="RW009"/>
    <s v="Merchandise Tas Belanja Ramah Lingkungan"/>
    <n v="3500"/>
    <x v="0"/>
  </r>
  <r>
    <x v="624"/>
    <s v="M0003"/>
    <x v="295"/>
    <s v="RW010"/>
    <s v="Voucher Nonton Bioskop"/>
    <n v="6000"/>
    <x v="1"/>
  </r>
  <r>
    <x v="625"/>
    <s v="M0135"/>
    <x v="79"/>
    <s v="RW005"/>
    <s v="Voucher Ojek Online Rp25.000"/>
    <n v="2500"/>
    <x v="0"/>
  </r>
  <r>
    <x v="626"/>
    <s v="M0071"/>
    <x v="296"/>
    <s v="RW010"/>
    <s v="Voucher Nonton Bioskop"/>
    <n v="6000"/>
    <x v="0"/>
  </r>
  <r>
    <x v="627"/>
    <s v="M0180"/>
    <x v="167"/>
    <s v="RW001"/>
    <s v="Voucher Belanja Rp50.000"/>
    <n v="5000"/>
    <x v="1"/>
  </r>
  <r>
    <x v="628"/>
    <s v="M0254"/>
    <x v="80"/>
    <s v="RW007"/>
    <s v="Voucher Belanja Rp200.000"/>
    <n v="20000"/>
    <x v="0"/>
  </r>
  <r>
    <x v="629"/>
    <s v="M0027"/>
    <x v="206"/>
    <s v="RW002"/>
    <s v="Voucher Belanja Rp100.000"/>
    <n v="10000"/>
    <x v="0"/>
  </r>
  <r>
    <x v="630"/>
    <s v="M0143"/>
    <x v="3"/>
    <s v="RW002"/>
    <s v="Voucher Belanja Rp100.000"/>
    <n v="10000"/>
    <x v="0"/>
  </r>
  <r>
    <x v="631"/>
    <s v="M0091"/>
    <x v="297"/>
    <s v="RW003"/>
    <s v="Diskon 20% F&amp;B Partner"/>
    <n v="3000"/>
    <x v="0"/>
  </r>
  <r>
    <x v="632"/>
    <s v="M0171"/>
    <x v="241"/>
    <s v="RW008"/>
    <s v="Diskon 15% Fashion Partner"/>
    <n v="4000"/>
    <x v="0"/>
  </r>
  <r>
    <x v="633"/>
    <s v="M0250"/>
    <x v="227"/>
    <s v="RW005"/>
    <s v="Voucher Ojek Online Rp25.000"/>
    <n v="2500"/>
    <x v="0"/>
  </r>
  <r>
    <x v="634"/>
    <s v="M0004"/>
    <x v="26"/>
    <s v="RW010"/>
    <s v="Voucher Nonton Bioskop"/>
    <n v="6000"/>
    <x v="0"/>
  </r>
  <r>
    <x v="635"/>
    <s v="M0043"/>
    <x v="156"/>
    <s v="RW007"/>
    <s v="Voucher Belanja Rp200.000"/>
    <n v="20000"/>
    <x v="1"/>
  </r>
  <r>
    <x v="636"/>
    <s v="M0100"/>
    <x v="188"/>
    <s v="RW002"/>
    <s v="Voucher Belanja Rp100.000"/>
    <n v="10000"/>
    <x v="1"/>
  </r>
  <r>
    <x v="637"/>
    <s v="M0141"/>
    <x v="125"/>
    <s v="RW004"/>
    <s v="Merchandise Tumbler Eksklusif"/>
    <n v="8000"/>
    <x v="0"/>
  </r>
  <r>
    <x v="638"/>
    <s v="M0042"/>
    <x v="98"/>
    <s v="RW003"/>
    <s v="Diskon 20% F&amp;B Partner"/>
    <n v="3000"/>
    <x v="0"/>
  </r>
  <r>
    <x v="639"/>
    <s v="M0149"/>
    <x v="185"/>
    <s v="RW006"/>
    <s v="Free Ongkir 3X"/>
    <n v="1500"/>
    <x v="0"/>
  </r>
  <r>
    <x v="640"/>
    <s v="M0227"/>
    <x v="63"/>
    <s v="RW001"/>
    <s v="Voucher Belanja Rp50.000"/>
    <n v="5000"/>
    <x v="0"/>
  </r>
  <r>
    <x v="641"/>
    <s v="M0239"/>
    <x v="298"/>
    <s v="RW006"/>
    <s v="Free Ongkir 3X"/>
    <n v="1500"/>
    <x v="0"/>
  </r>
  <r>
    <x v="642"/>
    <s v="M0284"/>
    <x v="299"/>
    <s v="RW008"/>
    <s v="Diskon 15% Fashion Partner"/>
    <n v="4000"/>
    <x v="0"/>
  </r>
  <r>
    <x v="643"/>
    <s v="M0136"/>
    <x v="271"/>
    <s v="RW001"/>
    <s v="Voucher Belanja Rp50.000"/>
    <n v="5000"/>
    <x v="0"/>
  </r>
  <r>
    <x v="644"/>
    <s v="M0242"/>
    <x v="281"/>
    <s v="RW010"/>
    <s v="Voucher Nonton Bioskop"/>
    <n v="6000"/>
    <x v="1"/>
  </r>
  <r>
    <x v="645"/>
    <s v="M0028"/>
    <x v="221"/>
    <s v="RW007"/>
    <s v="Voucher Belanja Rp200.000"/>
    <n v="20000"/>
    <x v="0"/>
  </r>
  <r>
    <x v="646"/>
    <s v="M0289"/>
    <x v="146"/>
    <s v="RW002"/>
    <s v="Voucher Belanja Rp100.000"/>
    <n v="10000"/>
    <x v="0"/>
  </r>
  <r>
    <x v="647"/>
    <s v="M0064"/>
    <x v="258"/>
    <s v="RW004"/>
    <s v="Merchandise Tumbler Eksklusif"/>
    <n v="8000"/>
    <x v="0"/>
  </r>
  <r>
    <x v="648"/>
    <s v="M0087"/>
    <x v="158"/>
    <s v="RW010"/>
    <s v="Voucher Nonton Bioskop"/>
    <n v="6000"/>
    <x v="0"/>
  </r>
  <r>
    <x v="649"/>
    <s v="M0232"/>
    <x v="190"/>
    <s v="RW008"/>
    <s v="Diskon 15% Fashion Partner"/>
    <n v="4000"/>
    <x v="0"/>
  </r>
  <r>
    <x v="650"/>
    <s v="M0067"/>
    <x v="289"/>
    <s v="RW010"/>
    <s v="Voucher Nonton Bioskop"/>
    <n v="6000"/>
    <x v="0"/>
  </r>
  <r>
    <x v="651"/>
    <s v="M0258"/>
    <x v="300"/>
    <s v="RW001"/>
    <s v="Voucher Belanja Rp50.000"/>
    <n v="5000"/>
    <x v="0"/>
  </r>
  <r>
    <x v="652"/>
    <s v="M0253"/>
    <x v="263"/>
    <s v="RW007"/>
    <s v="Voucher Belanja Rp200.000"/>
    <n v="20000"/>
    <x v="0"/>
  </r>
  <r>
    <x v="653"/>
    <s v="M0033"/>
    <x v="69"/>
    <s v="RW005"/>
    <s v="Voucher Ojek Online Rp25.000"/>
    <n v="2500"/>
    <x v="0"/>
  </r>
  <r>
    <x v="654"/>
    <s v="M0237"/>
    <x v="225"/>
    <s v="RW008"/>
    <s v="Diskon 15% Fashion Partner"/>
    <n v="4000"/>
    <x v="0"/>
  </r>
  <r>
    <x v="655"/>
    <s v="M0113"/>
    <x v="202"/>
    <s v="RW002"/>
    <s v="Voucher Belanja Rp100.000"/>
    <n v="10000"/>
    <x v="1"/>
  </r>
  <r>
    <x v="656"/>
    <s v="M0053"/>
    <x v="73"/>
    <s v="RW001"/>
    <s v="Voucher Belanja Rp50.000"/>
    <n v="5000"/>
    <x v="0"/>
  </r>
  <r>
    <x v="657"/>
    <s v="M0291"/>
    <x v="197"/>
    <s v="RW004"/>
    <s v="Merchandise Tumbler Eksklusif"/>
    <n v="8000"/>
    <x v="0"/>
  </r>
  <r>
    <x v="658"/>
    <s v="M0253"/>
    <x v="14"/>
    <s v="RW010"/>
    <s v="Voucher Nonton Bioskop"/>
    <n v="6000"/>
    <x v="0"/>
  </r>
  <r>
    <x v="659"/>
    <s v="M0183"/>
    <x v="175"/>
    <s v="RW002"/>
    <s v="Voucher Belanja Rp100.000"/>
    <n v="10000"/>
    <x v="0"/>
  </r>
  <r>
    <x v="660"/>
    <s v="M0169"/>
    <x v="44"/>
    <s v="RW007"/>
    <s v="Voucher Belanja Rp200.000"/>
    <n v="20000"/>
    <x v="0"/>
  </r>
  <r>
    <x v="661"/>
    <s v="M0203"/>
    <x v="238"/>
    <s v="RW005"/>
    <s v="Voucher Ojek Online Rp25.000"/>
    <n v="2500"/>
    <x v="1"/>
  </r>
  <r>
    <x v="662"/>
    <s v="M0037"/>
    <x v="245"/>
    <s v="RW008"/>
    <s v="Diskon 15% Fashion Partner"/>
    <n v="4000"/>
    <x v="0"/>
  </r>
  <r>
    <x v="663"/>
    <s v="M0060"/>
    <x v="277"/>
    <s v="RW004"/>
    <s v="Merchandise Tumbler Eksklusif"/>
    <n v="8000"/>
    <x v="0"/>
  </r>
  <r>
    <x v="664"/>
    <s v="M0232"/>
    <x v="301"/>
    <s v="RW007"/>
    <s v="Voucher Belanja Rp200.000"/>
    <n v="20000"/>
    <x v="0"/>
  </r>
  <r>
    <x v="665"/>
    <s v="M0052"/>
    <x v="174"/>
    <s v="RW008"/>
    <s v="Diskon 15% Fashion Partner"/>
    <n v="4000"/>
    <x v="0"/>
  </r>
  <r>
    <x v="666"/>
    <s v="M0016"/>
    <x v="40"/>
    <s v="RW003"/>
    <s v="Diskon 20% F&amp;B Partner"/>
    <n v="3000"/>
    <x v="0"/>
  </r>
  <r>
    <x v="667"/>
    <s v="M0063"/>
    <x v="302"/>
    <s v="RW003"/>
    <s v="Diskon 20% F&amp;B Partner"/>
    <n v="3000"/>
    <x v="0"/>
  </r>
  <r>
    <x v="668"/>
    <s v="M0253"/>
    <x v="238"/>
    <s v="RW004"/>
    <s v="Merchandise Tumbler Eksklusif"/>
    <n v="8000"/>
    <x v="0"/>
  </r>
  <r>
    <x v="669"/>
    <s v="M0287"/>
    <x v="233"/>
    <s v="RW007"/>
    <s v="Voucher Belanja Rp200.000"/>
    <n v="20000"/>
    <x v="0"/>
  </r>
  <r>
    <x v="670"/>
    <s v="M0213"/>
    <x v="110"/>
    <s v="RW005"/>
    <s v="Voucher Ojek Online Rp25.000"/>
    <n v="2500"/>
    <x v="0"/>
  </r>
  <r>
    <x v="671"/>
    <s v="M0263"/>
    <x v="230"/>
    <s v="RW001"/>
    <s v="Voucher Belanja Rp50.000"/>
    <n v="5000"/>
    <x v="0"/>
  </r>
  <r>
    <x v="672"/>
    <s v="M0110"/>
    <x v="303"/>
    <s v="RW002"/>
    <s v="Voucher Belanja Rp100.000"/>
    <n v="10000"/>
    <x v="1"/>
  </r>
  <r>
    <x v="673"/>
    <s v="M0137"/>
    <x v="31"/>
    <s v="RW005"/>
    <s v="Voucher Ojek Online Rp25.000"/>
    <n v="2500"/>
    <x v="0"/>
  </r>
  <r>
    <x v="674"/>
    <s v="M0003"/>
    <x v="33"/>
    <s v="RW009"/>
    <s v="Merchandise Tas Belanja Ramah Lingkungan"/>
    <n v="3500"/>
    <x v="0"/>
  </r>
  <r>
    <x v="675"/>
    <s v="M0280"/>
    <x v="37"/>
    <s v="RW009"/>
    <s v="Merchandise Tas Belanja Ramah Lingkungan"/>
    <n v="3500"/>
    <x v="0"/>
  </r>
  <r>
    <x v="676"/>
    <s v="M0089"/>
    <x v="276"/>
    <s v="RW009"/>
    <s v="Merchandise Tas Belanja Ramah Lingkungan"/>
    <n v="3500"/>
    <x v="1"/>
  </r>
  <r>
    <x v="677"/>
    <s v="M0184"/>
    <x v="17"/>
    <s v="RW001"/>
    <s v="Voucher Belanja Rp50.000"/>
    <n v="5000"/>
    <x v="0"/>
  </r>
  <r>
    <x v="678"/>
    <s v="M0128"/>
    <x v="251"/>
    <s v="RW001"/>
    <s v="Voucher Belanja Rp50.000"/>
    <n v="5000"/>
    <x v="1"/>
  </r>
  <r>
    <x v="679"/>
    <s v="M0236"/>
    <x v="290"/>
    <s v="RW008"/>
    <s v="Diskon 15% Fashion Partner"/>
    <n v="4000"/>
    <x v="0"/>
  </r>
  <r>
    <x v="680"/>
    <s v="M0058"/>
    <x v="58"/>
    <s v="RW002"/>
    <s v="Voucher Belanja Rp100.000"/>
    <n v="10000"/>
    <x v="1"/>
  </r>
  <r>
    <x v="681"/>
    <s v="M0089"/>
    <x v="168"/>
    <s v="RW007"/>
    <s v="Voucher Belanja Rp200.000"/>
    <n v="20000"/>
    <x v="0"/>
  </r>
  <r>
    <x v="682"/>
    <s v="M0017"/>
    <x v="304"/>
    <s v="RW001"/>
    <s v="Voucher Belanja Rp50.000"/>
    <n v="5000"/>
    <x v="0"/>
  </r>
  <r>
    <x v="683"/>
    <s v="M0193"/>
    <x v="27"/>
    <s v="RW001"/>
    <s v="Voucher Belanja Rp50.000"/>
    <n v="5000"/>
    <x v="0"/>
  </r>
  <r>
    <x v="684"/>
    <s v="M0248"/>
    <x v="97"/>
    <s v="RW001"/>
    <s v="Voucher Belanja Rp50.000"/>
    <n v="5000"/>
    <x v="0"/>
  </r>
  <r>
    <x v="685"/>
    <s v="M0060"/>
    <x v="1"/>
    <s v="RW001"/>
    <s v="Voucher Belanja Rp50.000"/>
    <n v="5000"/>
    <x v="0"/>
  </r>
  <r>
    <x v="686"/>
    <s v="M0100"/>
    <x v="143"/>
    <s v="RW001"/>
    <s v="Voucher Belanja Rp50.000"/>
    <n v="5000"/>
    <x v="1"/>
  </r>
  <r>
    <x v="687"/>
    <s v="M0262"/>
    <x v="153"/>
    <s v="RW003"/>
    <s v="Diskon 20% F&amp;B Partner"/>
    <n v="3000"/>
    <x v="0"/>
  </r>
  <r>
    <x v="688"/>
    <s v="M0256"/>
    <x v="270"/>
    <s v="RW002"/>
    <s v="Voucher Belanja Rp100.000"/>
    <n v="10000"/>
    <x v="0"/>
  </r>
  <r>
    <x v="689"/>
    <s v="M0036"/>
    <x v="48"/>
    <s v="RW009"/>
    <s v="Merchandise Tas Belanja Ramah Lingkungan"/>
    <n v="3500"/>
    <x v="1"/>
  </r>
  <r>
    <x v="690"/>
    <s v="M0088"/>
    <x v="279"/>
    <s v="RW005"/>
    <s v="Voucher Ojek Online Rp25.000"/>
    <n v="2500"/>
    <x v="0"/>
  </r>
  <r>
    <x v="691"/>
    <s v="M0215"/>
    <x v="305"/>
    <s v="RW009"/>
    <s v="Merchandise Tas Belanja Ramah Lingkungan"/>
    <n v="3500"/>
    <x v="0"/>
  </r>
  <r>
    <x v="692"/>
    <s v="M0090"/>
    <x v="163"/>
    <s v="RW007"/>
    <s v="Voucher Belanja Rp200.000"/>
    <n v="20000"/>
    <x v="1"/>
  </r>
  <r>
    <x v="693"/>
    <s v="M0021"/>
    <x v="231"/>
    <s v="RW005"/>
    <s v="Voucher Ojek Online Rp25.000"/>
    <n v="2500"/>
    <x v="0"/>
  </r>
  <r>
    <x v="694"/>
    <s v="M0142"/>
    <x v="295"/>
    <s v="RW003"/>
    <s v="Diskon 20% F&amp;B Partner"/>
    <n v="3000"/>
    <x v="0"/>
  </r>
  <r>
    <x v="695"/>
    <s v="M0210"/>
    <x v="64"/>
    <s v="RW008"/>
    <s v="Diskon 15% Fashion Partner"/>
    <n v="4000"/>
    <x v="0"/>
  </r>
  <r>
    <x v="696"/>
    <s v="M0087"/>
    <x v="231"/>
    <s v="RW001"/>
    <s v="Voucher Belanja Rp50.000"/>
    <n v="5000"/>
    <x v="1"/>
  </r>
  <r>
    <x v="697"/>
    <s v="M0179"/>
    <x v="227"/>
    <s v="RW006"/>
    <s v="Free Ongkir 3X"/>
    <n v="1500"/>
    <x v="0"/>
  </r>
  <r>
    <x v="698"/>
    <s v="M0022"/>
    <x v="36"/>
    <s v="RW002"/>
    <s v="Voucher Belanja Rp100.000"/>
    <n v="10000"/>
    <x v="0"/>
  </r>
  <r>
    <x v="699"/>
    <s v="M0276"/>
    <x v="306"/>
    <s v="RW002"/>
    <s v="Voucher Belanja Rp100.000"/>
    <n v="10000"/>
    <x v="1"/>
  </r>
  <r>
    <x v="700"/>
    <s v="M0038"/>
    <x v="204"/>
    <s v="RW004"/>
    <s v="Merchandise Tumbler Eksklusif"/>
    <n v="8000"/>
    <x v="1"/>
  </r>
  <r>
    <x v="701"/>
    <s v="M0227"/>
    <x v="147"/>
    <s v="RW010"/>
    <s v="Voucher Nonton Bioskop"/>
    <n v="6000"/>
    <x v="0"/>
  </r>
  <r>
    <x v="702"/>
    <s v="M0187"/>
    <x v="111"/>
    <s v="RW006"/>
    <s v="Free Ongkir 3X"/>
    <n v="1500"/>
    <x v="0"/>
  </r>
  <r>
    <x v="703"/>
    <s v="M0200"/>
    <x v="154"/>
    <s v="RW004"/>
    <s v="Merchandise Tumbler Eksklusif"/>
    <n v="8000"/>
    <x v="0"/>
  </r>
  <r>
    <x v="704"/>
    <s v="M0225"/>
    <x v="55"/>
    <s v="RW010"/>
    <s v="Voucher Nonton Bioskop"/>
    <n v="6000"/>
    <x v="0"/>
  </r>
  <r>
    <x v="705"/>
    <s v="M0175"/>
    <x v="307"/>
    <s v="RW006"/>
    <s v="Free Ongkir 3X"/>
    <n v="1500"/>
    <x v="0"/>
  </r>
  <r>
    <x v="706"/>
    <s v="M0229"/>
    <x v="130"/>
    <s v="RW006"/>
    <s v="Free Ongkir 3X"/>
    <n v="1500"/>
    <x v="0"/>
  </r>
  <r>
    <x v="707"/>
    <s v="M0257"/>
    <x v="95"/>
    <s v="RW006"/>
    <s v="Free Ongkir 3X"/>
    <n v="1500"/>
    <x v="0"/>
  </r>
  <r>
    <x v="708"/>
    <s v="M0085"/>
    <x v="231"/>
    <s v="RW001"/>
    <s v="Voucher Belanja Rp50.000"/>
    <n v="5000"/>
    <x v="0"/>
  </r>
  <r>
    <x v="709"/>
    <s v="M0178"/>
    <x v="308"/>
    <s v="RW006"/>
    <s v="Free Ongkir 3X"/>
    <n v="1500"/>
    <x v="0"/>
  </r>
  <r>
    <x v="710"/>
    <s v="M0083"/>
    <x v="309"/>
    <s v="RW003"/>
    <s v="Diskon 20% F&amp;B Partner"/>
    <n v="3000"/>
    <x v="0"/>
  </r>
  <r>
    <x v="711"/>
    <s v="M0215"/>
    <x v="203"/>
    <s v="RW008"/>
    <s v="Diskon 15% Fashion Partner"/>
    <n v="4000"/>
    <x v="0"/>
  </r>
  <r>
    <x v="712"/>
    <s v="M0203"/>
    <x v="295"/>
    <s v="RW003"/>
    <s v="Diskon 20% F&amp;B Partner"/>
    <n v="3000"/>
    <x v="0"/>
  </r>
  <r>
    <x v="713"/>
    <s v="M0005"/>
    <x v="81"/>
    <s v="RW004"/>
    <s v="Merchandise Tumbler Eksklusif"/>
    <n v="8000"/>
    <x v="1"/>
  </r>
  <r>
    <x v="714"/>
    <s v="M0036"/>
    <x v="63"/>
    <s v="RW004"/>
    <s v="Merchandise Tumbler Eksklusif"/>
    <n v="8000"/>
    <x v="0"/>
  </r>
  <r>
    <x v="715"/>
    <s v="M0090"/>
    <x v="122"/>
    <s v="RW009"/>
    <s v="Merchandise Tas Belanja Ramah Lingkungan"/>
    <n v="3500"/>
    <x v="1"/>
  </r>
  <r>
    <x v="716"/>
    <s v="M0159"/>
    <x v="177"/>
    <s v="RW009"/>
    <s v="Merchandise Tas Belanja Ramah Lingkungan"/>
    <n v="3500"/>
    <x v="0"/>
  </r>
  <r>
    <x v="717"/>
    <s v="M0062"/>
    <x v="236"/>
    <s v="RW009"/>
    <s v="Merchandise Tas Belanja Ramah Lingkungan"/>
    <n v="3500"/>
    <x v="0"/>
  </r>
  <r>
    <x v="718"/>
    <s v="M0255"/>
    <x v="285"/>
    <s v="RW004"/>
    <s v="Merchandise Tumbler Eksklusif"/>
    <n v="8000"/>
    <x v="0"/>
  </r>
  <r>
    <x v="719"/>
    <s v="M0107"/>
    <x v="28"/>
    <s v="RW008"/>
    <s v="Diskon 15% Fashion Partner"/>
    <n v="4000"/>
    <x v="0"/>
  </r>
  <r>
    <x v="720"/>
    <s v="M0186"/>
    <x v="251"/>
    <s v="RW009"/>
    <s v="Merchandise Tas Belanja Ramah Lingkungan"/>
    <n v="3500"/>
    <x v="0"/>
  </r>
  <r>
    <x v="721"/>
    <s v="M0267"/>
    <x v="310"/>
    <s v="RW002"/>
    <s v="Voucher Belanja Rp100.000"/>
    <n v="10000"/>
    <x v="0"/>
  </r>
  <r>
    <x v="722"/>
    <s v="M0202"/>
    <x v="64"/>
    <s v="RW001"/>
    <s v="Voucher Belanja Rp50.000"/>
    <n v="5000"/>
    <x v="0"/>
  </r>
  <r>
    <x v="723"/>
    <s v="M0008"/>
    <x v="237"/>
    <s v="RW008"/>
    <s v="Diskon 15% Fashion Partner"/>
    <n v="4000"/>
    <x v="0"/>
  </r>
  <r>
    <x v="724"/>
    <s v="M0221"/>
    <x v="163"/>
    <s v="RW002"/>
    <s v="Voucher Belanja Rp100.000"/>
    <n v="10000"/>
    <x v="0"/>
  </r>
  <r>
    <x v="725"/>
    <s v="M0271"/>
    <x v="300"/>
    <s v="RW004"/>
    <s v="Merchandise Tumbler Eksklusif"/>
    <n v="8000"/>
    <x v="0"/>
  </r>
  <r>
    <x v="726"/>
    <s v="M0278"/>
    <x v="232"/>
    <s v="RW006"/>
    <s v="Free Ongkir 3X"/>
    <n v="1500"/>
    <x v="1"/>
  </r>
  <r>
    <x v="727"/>
    <s v="M0211"/>
    <x v="122"/>
    <s v="RW010"/>
    <s v="Voucher Nonton Bioskop"/>
    <n v="6000"/>
    <x v="1"/>
  </r>
  <r>
    <x v="728"/>
    <s v="M0115"/>
    <x v="106"/>
    <s v="RW008"/>
    <s v="Diskon 15% Fashion Partner"/>
    <n v="4000"/>
    <x v="0"/>
  </r>
  <r>
    <x v="729"/>
    <s v="M0034"/>
    <x v="311"/>
    <s v="RW008"/>
    <s v="Diskon 15% Fashion Partner"/>
    <n v="4000"/>
    <x v="0"/>
  </r>
  <r>
    <x v="730"/>
    <s v="M0146"/>
    <x v="187"/>
    <s v="RW003"/>
    <s v="Diskon 20% F&amp;B Partner"/>
    <n v="3000"/>
    <x v="0"/>
  </r>
  <r>
    <x v="731"/>
    <s v="M0211"/>
    <x v="107"/>
    <s v="RW002"/>
    <s v="Voucher Belanja Rp100.000"/>
    <n v="10000"/>
    <x v="0"/>
  </r>
  <r>
    <x v="732"/>
    <s v="M0098"/>
    <x v="312"/>
    <s v="RW009"/>
    <s v="Merchandise Tas Belanja Ramah Lingkungan"/>
    <n v="3500"/>
    <x v="1"/>
  </r>
  <r>
    <x v="733"/>
    <s v="M0284"/>
    <x v="3"/>
    <s v="RW009"/>
    <s v="Merchandise Tas Belanja Ramah Lingkungan"/>
    <n v="3500"/>
    <x v="0"/>
  </r>
  <r>
    <x v="734"/>
    <s v="M0097"/>
    <x v="277"/>
    <s v="RW001"/>
    <s v="Voucher Belanja Rp50.000"/>
    <n v="5000"/>
    <x v="0"/>
  </r>
  <r>
    <x v="735"/>
    <s v="M0130"/>
    <x v="287"/>
    <s v="RW007"/>
    <s v="Voucher Belanja Rp200.000"/>
    <n v="20000"/>
    <x v="0"/>
  </r>
  <r>
    <x v="736"/>
    <s v="M0079"/>
    <x v="196"/>
    <s v="RW006"/>
    <s v="Free Ongkir 3X"/>
    <n v="1500"/>
    <x v="0"/>
  </r>
  <r>
    <x v="737"/>
    <s v="M0017"/>
    <x v="148"/>
    <s v="RW009"/>
    <s v="Merchandise Tas Belanja Ramah Lingkungan"/>
    <n v="3500"/>
    <x v="1"/>
  </r>
  <r>
    <x v="738"/>
    <s v="M0171"/>
    <x v="194"/>
    <s v="RW006"/>
    <s v="Free Ongkir 3X"/>
    <n v="1500"/>
    <x v="1"/>
  </r>
  <r>
    <x v="739"/>
    <s v="M0296"/>
    <x v="11"/>
    <s v="RW005"/>
    <s v="Voucher Ojek Online Rp25.000"/>
    <n v="2500"/>
    <x v="0"/>
  </r>
  <r>
    <x v="740"/>
    <s v="M0228"/>
    <x v="125"/>
    <s v="RW005"/>
    <s v="Voucher Ojek Online Rp25.000"/>
    <n v="2500"/>
    <x v="0"/>
  </r>
  <r>
    <x v="741"/>
    <s v="M0046"/>
    <x v="313"/>
    <s v="RW005"/>
    <s v="Voucher Ojek Online Rp25.000"/>
    <n v="2500"/>
    <x v="0"/>
  </r>
  <r>
    <x v="742"/>
    <s v="M0176"/>
    <x v="314"/>
    <s v="RW006"/>
    <s v="Free Ongkir 3X"/>
    <n v="1500"/>
    <x v="1"/>
  </r>
  <r>
    <x v="743"/>
    <s v="M0210"/>
    <x v="103"/>
    <s v="RW009"/>
    <s v="Merchandise Tas Belanja Ramah Lingkungan"/>
    <n v="3500"/>
    <x v="0"/>
  </r>
  <r>
    <x v="744"/>
    <s v="M0196"/>
    <x v="170"/>
    <s v="RW004"/>
    <s v="Merchandise Tumbler Eksklusif"/>
    <n v="8000"/>
    <x v="1"/>
  </r>
  <r>
    <x v="745"/>
    <s v="M0094"/>
    <x v="27"/>
    <s v="RW007"/>
    <s v="Voucher Belanja Rp200.000"/>
    <n v="20000"/>
    <x v="0"/>
  </r>
  <r>
    <x v="746"/>
    <s v="M0029"/>
    <x v="179"/>
    <s v="RW004"/>
    <s v="Merchandise Tumbler Eksklusif"/>
    <n v="8000"/>
    <x v="0"/>
  </r>
  <r>
    <x v="747"/>
    <s v="M0013"/>
    <x v="270"/>
    <s v="RW004"/>
    <s v="Merchandise Tumbler Eksklusif"/>
    <n v="8000"/>
    <x v="0"/>
  </r>
  <r>
    <x v="748"/>
    <s v="M0209"/>
    <x v="237"/>
    <s v="RW003"/>
    <s v="Diskon 20% F&amp;B Partner"/>
    <n v="3000"/>
    <x v="1"/>
  </r>
  <r>
    <x v="749"/>
    <s v="M0118"/>
    <x v="168"/>
    <s v="RW002"/>
    <s v="Voucher Belanja Rp100.000"/>
    <n v="10000"/>
    <x v="1"/>
  </r>
  <r>
    <x v="750"/>
    <s v="M0223"/>
    <x v="67"/>
    <s v="RW002"/>
    <s v="Voucher Belanja Rp100.000"/>
    <n v="10000"/>
    <x v="0"/>
  </r>
  <r>
    <x v="751"/>
    <s v="M0251"/>
    <x v="137"/>
    <s v="RW005"/>
    <s v="Voucher Ojek Online Rp25.000"/>
    <n v="2500"/>
    <x v="0"/>
  </r>
  <r>
    <x v="752"/>
    <s v="M0083"/>
    <x v="4"/>
    <s v="RW001"/>
    <s v="Voucher Belanja Rp50.000"/>
    <n v="5000"/>
    <x v="0"/>
  </r>
  <r>
    <x v="753"/>
    <s v="M0106"/>
    <x v="290"/>
    <s v="RW002"/>
    <s v="Voucher Belanja Rp100.000"/>
    <n v="10000"/>
    <x v="0"/>
  </r>
  <r>
    <x v="754"/>
    <s v="M0261"/>
    <x v="270"/>
    <s v="RW002"/>
    <s v="Voucher Belanja Rp100.000"/>
    <n v="10000"/>
    <x v="0"/>
  </r>
  <r>
    <x v="755"/>
    <s v="M0266"/>
    <x v="236"/>
    <s v="RW007"/>
    <s v="Voucher Belanja Rp200.000"/>
    <n v="20000"/>
    <x v="1"/>
  </r>
  <r>
    <x v="756"/>
    <s v="M0260"/>
    <x v="197"/>
    <s v="RW003"/>
    <s v="Diskon 20% F&amp;B Partner"/>
    <n v="3000"/>
    <x v="0"/>
  </r>
  <r>
    <x v="757"/>
    <s v="M0041"/>
    <x v="269"/>
    <s v="RW001"/>
    <s v="Voucher Belanja Rp50.000"/>
    <n v="5000"/>
    <x v="1"/>
  </r>
  <r>
    <x v="758"/>
    <s v="M0102"/>
    <x v="126"/>
    <s v="RW008"/>
    <s v="Diskon 15% Fashion Partner"/>
    <n v="4000"/>
    <x v="0"/>
  </r>
  <r>
    <x v="759"/>
    <s v="M0097"/>
    <x v="155"/>
    <s v="RW008"/>
    <s v="Diskon 15% Fashion Partner"/>
    <n v="4000"/>
    <x v="0"/>
  </r>
  <r>
    <x v="760"/>
    <s v="M0089"/>
    <x v="278"/>
    <s v="RW006"/>
    <s v="Free Ongkir 3X"/>
    <n v="1500"/>
    <x v="0"/>
  </r>
  <r>
    <x v="761"/>
    <s v="M0025"/>
    <x v="238"/>
    <s v="RW005"/>
    <s v="Voucher Ojek Online Rp25.000"/>
    <n v="2500"/>
    <x v="0"/>
  </r>
  <r>
    <x v="762"/>
    <s v="M0133"/>
    <x v="41"/>
    <s v="RW004"/>
    <s v="Merchandise Tumbler Eksklusif"/>
    <n v="8000"/>
    <x v="0"/>
  </r>
  <r>
    <x v="763"/>
    <s v="M0287"/>
    <x v="12"/>
    <s v="RW001"/>
    <s v="Voucher Belanja Rp50.000"/>
    <n v="5000"/>
    <x v="0"/>
  </r>
  <r>
    <x v="764"/>
    <s v="M0091"/>
    <x v="180"/>
    <s v="RW009"/>
    <s v="Merchandise Tas Belanja Ramah Lingkungan"/>
    <n v="3500"/>
    <x v="1"/>
  </r>
  <r>
    <x v="765"/>
    <s v="M0012"/>
    <x v="125"/>
    <s v="RW009"/>
    <s v="Merchandise Tas Belanja Ramah Lingkungan"/>
    <n v="3500"/>
    <x v="0"/>
  </r>
  <r>
    <x v="766"/>
    <s v="M0090"/>
    <x v="168"/>
    <s v="RW004"/>
    <s v="Merchandise Tumbler Eksklusif"/>
    <n v="8000"/>
    <x v="0"/>
  </r>
  <r>
    <x v="767"/>
    <s v="M0144"/>
    <x v="29"/>
    <s v="RW002"/>
    <s v="Voucher Belanja Rp100.000"/>
    <n v="10000"/>
    <x v="0"/>
  </r>
  <r>
    <x v="768"/>
    <s v="M0032"/>
    <x v="269"/>
    <s v="RW006"/>
    <s v="Free Ongkir 3X"/>
    <n v="1500"/>
    <x v="0"/>
  </r>
  <r>
    <x v="769"/>
    <s v="M0280"/>
    <x v="315"/>
    <s v="RW008"/>
    <s v="Diskon 15% Fashion Partner"/>
    <n v="4000"/>
    <x v="1"/>
  </r>
  <r>
    <x v="770"/>
    <s v="M0254"/>
    <x v="1"/>
    <s v="RW008"/>
    <s v="Diskon 15% Fashion Partner"/>
    <n v="4000"/>
    <x v="1"/>
  </r>
  <r>
    <x v="771"/>
    <s v="M0176"/>
    <x v="272"/>
    <s v="RW001"/>
    <s v="Voucher Belanja Rp50.000"/>
    <n v="5000"/>
    <x v="1"/>
  </r>
  <r>
    <x v="772"/>
    <s v="M0063"/>
    <x v="316"/>
    <s v="RW003"/>
    <s v="Diskon 20% F&amp;B Partner"/>
    <n v="3000"/>
    <x v="0"/>
  </r>
  <r>
    <x v="773"/>
    <s v="M0221"/>
    <x v="34"/>
    <s v="RW004"/>
    <s v="Merchandise Tumbler Eksklusif"/>
    <n v="8000"/>
    <x v="0"/>
  </r>
  <r>
    <x v="774"/>
    <s v="M0059"/>
    <x v="161"/>
    <s v="RW002"/>
    <s v="Voucher Belanja Rp100.000"/>
    <n v="10000"/>
    <x v="1"/>
  </r>
  <r>
    <x v="775"/>
    <s v="M0050"/>
    <x v="317"/>
    <s v="RW007"/>
    <s v="Voucher Belanja Rp200.000"/>
    <n v="20000"/>
    <x v="0"/>
  </r>
  <r>
    <x v="776"/>
    <s v="M0023"/>
    <x v="118"/>
    <s v="RW006"/>
    <s v="Free Ongkir 3X"/>
    <n v="1500"/>
    <x v="0"/>
  </r>
  <r>
    <x v="777"/>
    <s v="M0171"/>
    <x v="98"/>
    <s v="RW010"/>
    <s v="Voucher Nonton Bioskop"/>
    <n v="6000"/>
    <x v="1"/>
  </r>
  <r>
    <x v="778"/>
    <s v="M0148"/>
    <x v="104"/>
    <s v="RW007"/>
    <s v="Voucher Belanja Rp200.000"/>
    <n v="20000"/>
    <x v="0"/>
  </r>
  <r>
    <x v="779"/>
    <s v="M0024"/>
    <x v="89"/>
    <s v="RW005"/>
    <s v="Voucher Ojek Online Rp25.000"/>
    <n v="2500"/>
    <x v="0"/>
  </r>
  <r>
    <x v="780"/>
    <s v="M0017"/>
    <x v="185"/>
    <s v="RW007"/>
    <s v="Voucher Belanja Rp200.000"/>
    <n v="20000"/>
    <x v="1"/>
  </r>
  <r>
    <x v="781"/>
    <s v="M0259"/>
    <x v="301"/>
    <s v="RW006"/>
    <s v="Free Ongkir 3X"/>
    <n v="1500"/>
    <x v="0"/>
  </r>
  <r>
    <x v="782"/>
    <s v="M0167"/>
    <x v="318"/>
    <s v="RW010"/>
    <s v="Voucher Nonton Bioskop"/>
    <n v="6000"/>
    <x v="1"/>
  </r>
  <r>
    <x v="783"/>
    <s v="M0158"/>
    <x v="234"/>
    <s v="RW010"/>
    <s v="Voucher Nonton Bioskop"/>
    <n v="6000"/>
    <x v="0"/>
  </r>
  <r>
    <x v="784"/>
    <s v="M0219"/>
    <x v="292"/>
    <s v="RW007"/>
    <s v="Voucher Belanja Rp200.000"/>
    <n v="20000"/>
    <x v="0"/>
  </r>
  <r>
    <x v="785"/>
    <s v="M0118"/>
    <x v="297"/>
    <s v="RW004"/>
    <s v="Merchandise Tumbler Eksklusif"/>
    <n v="8000"/>
    <x v="0"/>
  </r>
  <r>
    <x v="786"/>
    <s v="M0184"/>
    <x v="90"/>
    <s v="RW002"/>
    <s v="Voucher Belanja Rp100.000"/>
    <n v="10000"/>
    <x v="0"/>
  </r>
  <r>
    <x v="787"/>
    <s v="M0048"/>
    <x v="237"/>
    <s v="RW009"/>
    <s v="Merchandise Tas Belanja Ramah Lingkungan"/>
    <n v="3500"/>
    <x v="0"/>
  </r>
  <r>
    <x v="788"/>
    <s v="M0072"/>
    <x v="278"/>
    <s v="RW006"/>
    <s v="Free Ongkir 3X"/>
    <n v="1500"/>
    <x v="1"/>
  </r>
  <r>
    <x v="789"/>
    <s v="M0011"/>
    <x v="297"/>
    <s v="RW009"/>
    <s v="Merchandise Tas Belanja Ramah Lingkungan"/>
    <n v="3500"/>
    <x v="0"/>
  </r>
  <r>
    <x v="790"/>
    <s v="M0030"/>
    <x v="296"/>
    <s v="RW001"/>
    <s v="Voucher Belanja Rp50.000"/>
    <n v="5000"/>
    <x v="0"/>
  </r>
  <r>
    <x v="791"/>
    <s v="M0048"/>
    <x v="295"/>
    <s v="RW009"/>
    <s v="Merchandise Tas Belanja Ramah Lingkungan"/>
    <n v="3500"/>
    <x v="0"/>
  </r>
  <r>
    <x v="792"/>
    <s v="M0156"/>
    <x v="192"/>
    <s v="RW006"/>
    <s v="Free Ongkir 3X"/>
    <n v="1500"/>
    <x v="0"/>
  </r>
  <r>
    <x v="793"/>
    <s v="M0031"/>
    <x v="319"/>
    <s v="RW002"/>
    <s v="Voucher Belanja Rp100.000"/>
    <n v="10000"/>
    <x v="0"/>
  </r>
  <r>
    <x v="794"/>
    <s v="M0291"/>
    <x v="6"/>
    <s v="RW004"/>
    <s v="Merchandise Tumbler Eksklusif"/>
    <n v="8000"/>
    <x v="0"/>
  </r>
  <r>
    <x v="795"/>
    <s v="M0028"/>
    <x v="37"/>
    <s v="RW005"/>
    <s v="Voucher Ojek Online Rp25.000"/>
    <n v="2500"/>
    <x v="1"/>
  </r>
  <r>
    <x v="796"/>
    <s v="M0294"/>
    <x v="41"/>
    <s v="RW008"/>
    <s v="Diskon 15% Fashion Partner"/>
    <n v="4000"/>
    <x v="0"/>
  </r>
  <r>
    <x v="797"/>
    <s v="M0093"/>
    <x v="297"/>
    <s v="RW007"/>
    <s v="Voucher Belanja Rp200.000"/>
    <n v="20000"/>
    <x v="0"/>
  </r>
  <r>
    <x v="798"/>
    <s v="M0039"/>
    <x v="38"/>
    <s v="RW003"/>
    <s v="Diskon 20% F&amp;B Partner"/>
    <n v="3000"/>
    <x v="0"/>
  </r>
  <r>
    <x v="799"/>
    <s v="M0042"/>
    <x v="38"/>
    <s v="RW005"/>
    <s v="Voucher Ojek Online Rp25.000"/>
    <n v="2500"/>
    <x v="0"/>
  </r>
  <r>
    <x v="800"/>
    <s v="M0216"/>
    <x v="285"/>
    <s v="RW004"/>
    <s v="Merchandise Tumbler Eksklusif"/>
    <n v="8000"/>
    <x v="0"/>
  </r>
  <r>
    <x v="801"/>
    <s v="M0297"/>
    <x v="320"/>
    <s v="RW001"/>
    <s v="Voucher Belanja Rp50.000"/>
    <n v="5000"/>
    <x v="1"/>
  </r>
  <r>
    <x v="802"/>
    <s v="M0131"/>
    <x v="201"/>
    <s v="RW010"/>
    <s v="Voucher Nonton Bioskop"/>
    <n v="6000"/>
    <x v="0"/>
  </r>
  <r>
    <x v="803"/>
    <s v="M0286"/>
    <x v="168"/>
    <s v="RW010"/>
    <s v="Voucher Nonton Bioskop"/>
    <n v="6000"/>
    <x v="0"/>
  </r>
  <r>
    <x v="804"/>
    <s v="M0225"/>
    <x v="242"/>
    <s v="RW007"/>
    <s v="Voucher Belanja Rp200.000"/>
    <n v="20000"/>
    <x v="0"/>
  </r>
  <r>
    <x v="805"/>
    <s v="M0038"/>
    <x v="311"/>
    <s v="RW002"/>
    <s v="Voucher Belanja Rp100.000"/>
    <n v="10000"/>
    <x v="0"/>
  </r>
  <r>
    <x v="806"/>
    <s v="M0148"/>
    <x v="190"/>
    <s v="RW001"/>
    <s v="Voucher Belanja Rp50.000"/>
    <n v="5000"/>
    <x v="0"/>
  </r>
  <r>
    <x v="807"/>
    <s v="M0044"/>
    <x v="117"/>
    <s v="RW005"/>
    <s v="Voucher Ojek Online Rp25.000"/>
    <n v="2500"/>
    <x v="0"/>
  </r>
  <r>
    <x v="808"/>
    <s v="M0025"/>
    <x v="158"/>
    <s v="RW002"/>
    <s v="Voucher Belanja Rp100.000"/>
    <n v="10000"/>
    <x v="1"/>
  </r>
  <r>
    <x v="809"/>
    <s v="M0261"/>
    <x v="97"/>
    <s v="RW005"/>
    <s v="Voucher Ojek Online Rp25.000"/>
    <n v="2500"/>
    <x v="1"/>
  </r>
  <r>
    <x v="810"/>
    <s v="M0278"/>
    <x v="98"/>
    <s v="RW006"/>
    <s v="Free Ongkir 3X"/>
    <n v="1500"/>
    <x v="1"/>
  </r>
  <r>
    <x v="811"/>
    <s v="M0132"/>
    <x v="114"/>
    <s v="RW007"/>
    <s v="Voucher Belanja Rp200.000"/>
    <n v="20000"/>
    <x v="0"/>
  </r>
  <r>
    <x v="812"/>
    <s v="M0213"/>
    <x v="321"/>
    <s v="RW001"/>
    <s v="Voucher Belanja Rp50.000"/>
    <n v="5000"/>
    <x v="1"/>
  </r>
  <r>
    <x v="813"/>
    <s v="M0135"/>
    <x v="229"/>
    <s v="RW009"/>
    <s v="Merchandise Tas Belanja Ramah Lingkungan"/>
    <n v="3500"/>
    <x v="0"/>
  </r>
  <r>
    <x v="814"/>
    <s v="M0204"/>
    <x v="165"/>
    <s v="RW010"/>
    <s v="Voucher Nonton Bioskop"/>
    <n v="6000"/>
    <x v="0"/>
  </r>
  <r>
    <x v="815"/>
    <s v="M0034"/>
    <x v="313"/>
    <s v="RW004"/>
    <s v="Merchandise Tumbler Eksklusif"/>
    <n v="8000"/>
    <x v="0"/>
  </r>
  <r>
    <x v="816"/>
    <s v="M0103"/>
    <x v="316"/>
    <s v="RW008"/>
    <s v="Diskon 15% Fashion Partner"/>
    <n v="4000"/>
    <x v="1"/>
  </r>
  <r>
    <x v="817"/>
    <s v="M0186"/>
    <x v="175"/>
    <s v="RW007"/>
    <s v="Voucher Belanja Rp200.000"/>
    <n v="20000"/>
    <x v="0"/>
  </r>
  <r>
    <x v="818"/>
    <s v="M0040"/>
    <x v="45"/>
    <s v="RW005"/>
    <s v="Voucher Ojek Online Rp25.000"/>
    <n v="2500"/>
    <x v="0"/>
  </r>
  <r>
    <x v="819"/>
    <s v="M0226"/>
    <x v="25"/>
    <s v="RW003"/>
    <s v="Diskon 20% F&amp;B Partner"/>
    <n v="3000"/>
    <x v="0"/>
  </r>
  <r>
    <x v="820"/>
    <s v="M0287"/>
    <x v="86"/>
    <s v="RW004"/>
    <s v="Merchandise Tumbler Eksklusif"/>
    <n v="8000"/>
    <x v="0"/>
  </r>
  <r>
    <x v="821"/>
    <s v="M0175"/>
    <x v="278"/>
    <s v="RW003"/>
    <s v="Diskon 20% F&amp;B Partner"/>
    <n v="3000"/>
    <x v="0"/>
  </r>
  <r>
    <x v="822"/>
    <s v="M0066"/>
    <x v="210"/>
    <s v="RW008"/>
    <s v="Diskon 15% Fashion Partner"/>
    <n v="4000"/>
    <x v="1"/>
  </r>
  <r>
    <x v="823"/>
    <s v="M0183"/>
    <x v="131"/>
    <s v="RW002"/>
    <s v="Voucher Belanja Rp100.000"/>
    <n v="10000"/>
    <x v="0"/>
  </r>
  <r>
    <x v="824"/>
    <s v="M0015"/>
    <x v="210"/>
    <s v="RW007"/>
    <s v="Voucher Belanja Rp200.000"/>
    <n v="20000"/>
    <x v="0"/>
  </r>
  <r>
    <x v="825"/>
    <s v="M0233"/>
    <x v="110"/>
    <s v="RW006"/>
    <s v="Free Ongkir 3X"/>
    <n v="1500"/>
    <x v="0"/>
  </r>
  <r>
    <x v="826"/>
    <s v="M0063"/>
    <x v="244"/>
    <s v="RW002"/>
    <s v="Voucher Belanja Rp100.000"/>
    <n v="10000"/>
    <x v="1"/>
  </r>
  <r>
    <x v="827"/>
    <s v="M0055"/>
    <x v="322"/>
    <s v="RW008"/>
    <s v="Diskon 15% Fashion Partner"/>
    <n v="4000"/>
    <x v="0"/>
  </r>
  <r>
    <x v="828"/>
    <s v="M0195"/>
    <x v="210"/>
    <s v="RW002"/>
    <s v="Voucher Belanja Rp100.000"/>
    <n v="10000"/>
    <x v="0"/>
  </r>
  <r>
    <x v="829"/>
    <s v="M0220"/>
    <x v="66"/>
    <s v="RW003"/>
    <s v="Diskon 20% F&amp;B Partner"/>
    <n v="3000"/>
    <x v="0"/>
  </r>
  <r>
    <x v="830"/>
    <s v="M0173"/>
    <x v="157"/>
    <s v="RW008"/>
    <s v="Diskon 15% Fashion Partner"/>
    <n v="4000"/>
    <x v="0"/>
  </r>
  <r>
    <x v="831"/>
    <s v="M0152"/>
    <x v="28"/>
    <s v="RW008"/>
    <s v="Diskon 15% Fashion Partner"/>
    <n v="4000"/>
    <x v="0"/>
  </r>
  <r>
    <x v="832"/>
    <s v="M0138"/>
    <x v="185"/>
    <s v="RW008"/>
    <s v="Diskon 15% Fashion Partner"/>
    <n v="4000"/>
    <x v="1"/>
  </r>
  <r>
    <x v="833"/>
    <s v="M0131"/>
    <x v="256"/>
    <s v="RW001"/>
    <s v="Voucher Belanja Rp50.000"/>
    <n v="5000"/>
    <x v="0"/>
  </r>
  <r>
    <x v="834"/>
    <s v="M0056"/>
    <x v="236"/>
    <s v="RW002"/>
    <s v="Voucher Belanja Rp100.000"/>
    <n v="10000"/>
    <x v="0"/>
  </r>
  <r>
    <x v="835"/>
    <s v="M0207"/>
    <x v="59"/>
    <s v="RW003"/>
    <s v="Diskon 20% F&amp;B Partner"/>
    <n v="3000"/>
    <x v="0"/>
  </r>
  <r>
    <x v="836"/>
    <s v="M0046"/>
    <x v="167"/>
    <s v="RW009"/>
    <s v="Merchandise Tas Belanja Ramah Lingkungan"/>
    <n v="3500"/>
    <x v="0"/>
  </r>
  <r>
    <x v="837"/>
    <s v="M0191"/>
    <x v="321"/>
    <s v="RW009"/>
    <s v="Merchandise Tas Belanja Ramah Lingkungan"/>
    <n v="3500"/>
    <x v="0"/>
  </r>
  <r>
    <x v="838"/>
    <s v="M0163"/>
    <x v="52"/>
    <s v="RW006"/>
    <s v="Free Ongkir 3X"/>
    <n v="1500"/>
    <x v="0"/>
  </r>
  <r>
    <x v="839"/>
    <s v="M0253"/>
    <x v="310"/>
    <s v="RW002"/>
    <s v="Voucher Belanja Rp100.000"/>
    <n v="10000"/>
    <x v="0"/>
  </r>
  <r>
    <x v="840"/>
    <s v="M0082"/>
    <x v="158"/>
    <s v="RW002"/>
    <s v="Voucher Belanja Rp100.000"/>
    <n v="10000"/>
    <x v="0"/>
  </r>
  <r>
    <x v="841"/>
    <s v="M0278"/>
    <x v="323"/>
    <s v="RW003"/>
    <s v="Diskon 20% F&amp;B Partner"/>
    <n v="3000"/>
    <x v="0"/>
  </r>
  <r>
    <x v="842"/>
    <s v="M0024"/>
    <x v="289"/>
    <s v="RW007"/>
    <s v="Voucher Belanja Rp200.000"/>
    <n v="20000"/>
    <x v="0"/>
  </r>
  <r>
    <x v="843"/>
    <s v="M0090"/>
    <x v="178"/>
    <s v="RW005"/>
    <s v="Voucher Ojek Online Rp25.000"/>
    <n v="2500"/>
    <x v="0"/>
  </r>
  <r>
    <x v="844"/>
    <s v="M0151"/>
    <x v="13"/>
    <s v="RW009"/>
    <s v="Merchandise Tas Belanja Ramah Lingkungan"/>
    <n v="3500"/>
    <x v="0"/>
  </r>
  <r>
    <x v="845"/>
    <s v="M0209"/>
    <x v="151"/>
    <s v="RW005"/>
    <s v="Voucher Ojek Online Rp25.000"/>
    <n v="2500"/>
    <x v="0"/>
  </r>
  <r>
    <x v="846"/>
    <s v="M0164"/>
    <x v="324"/>
    <s v="RW008"/>
    <s v="Diskon 15% Fashion Partner"/>
    <n v="4000"/>
    <x v="0"/>
  </r>
  <r>
    <x v="847"/>
    <s v="M0228"/>
    <x v="325"/>
    <s v="RW003"/>
    <s v="Diskon 20% F&amp;B Partner"/>
    <n v="3000"/>
    <x v="0"/>
  </r>
  <r>
    <x v="848"/>
    <s v="M0174"/>
    <x v="166"/>
    <s v="RW002"/>
    <s v="Voucher Belanja Rp100.000"/>
    <n v="10000"/>
    <x v="0"/>
  </r>
  <r>
    <x v="849"/>
    <s v="M0084"/>
    <x v="170"/>
    <s v="RW004"/>
    <s v="Merchandise Tumbler Eksklusif"/>
    <n v="8000"/>
    <x v="0"/>
  </r>
  <r>
    <x v="850"/>
    <s v="M0184"/>
    <x v="268"/>
    <s v="RW004"/>
    <s v="Merchandise Tumbler Eksklusif"/>
    <n v="8000"/>
    <x v="0"/>
  </r>
  <r>
    <x v="851"/>
    <s v="M0222"/>
    <x v="139"/>
    <s v="RW009"/>
    <s v="Merchandise Tas Belanja Ramah Lingkungan"/>
    <n v="3500"/>
    <x v="1"/>
  </r>
  <r>
    <x v="852"/>
    <s v="M0074"/>
    <x v="174"/>
    <s v="RW001"/>
    <s v="Voucher Belanja Rp50.000"/>
    <n v="5000"/>
    <x v="0"/>
  </r>
  <r>
    <x v="853"/>
    <s v="M0163"/>
    <x v="232"/>
    <s v="RW003"/>
    <s v="Diskon 20% F&amp;B Partner"/>
    <n v="3000"/>
    <x v="0"/>
  </r>
  <r>
    <x v="854"/>
    <s v="M0222"/>
    <x v="247"/>
    <s v="RW001"/>
    <s v="Voucher Belanja Rp50.000"/>
    <n v="5000"/>
    <x v="0"/>
  </r>
  <r>
    <x v="855"/>
    <s v="M0015"/>
    <x v="65"/>
    <s v="RW003"/>
    <s v="Diskon 20% F&amp;B Partner"/>
    <n v="3000"/>
    <x v="0"/>
  </r>
  <r>
    <x v="856"/>
    <s v="M0267"/>
    <x v="57"/>
    <s v="RW009"/>
    <s v="Merchandise Tas Belanja Ramah Lingkungan"/>
    <n v="3500"/>
    <x v="0"/>
  </r>
  <r>
    <x v="857"/>
    <s v="M0214"/>
    <x v="40"/>
    <s v="RW002"/>
    <s v="Voucher Belanja Rp100.000"/>
    <n v="10000"/>
    <x v="0"/>
  </r>
  <r>
    <x v="858"/>
    <s v="M0012"/>
    <x v="150"/>
    <s v="RW009"/>
    <s v="Merchandise Tas Belanja Ramah Lingkungan"/>
    <n v="3500"/>
    <x v="0"/>
  </r>
  <r>
    <x v="859"/>
    <s v="M0208"/>
    <x v="300"/>
    <s v="RW001"/>
    <s v="Voucher Belanja Rp50.000"/>
    <n v="5000"/>
    <x v="0"/>
  </r>
  <r>
    <x v="860"/>
    <s v="M0090"/>
    <x v="39"/>
    <s v="RW010"/>
    <s v="Voucher Nonton Bioskop"/>
    <n v="6000"/>
    <x v="0"/>
  </r>
  <r>
    <x v="861"/>
    <s v="M0184"/>
    <x v="261"/>
    <s v="RW002"/>
    <s v="Voucher Belanja Rp100.000"/>
    <n v="10000"/>
    <x v="1"/>
  </r>
  <r>
    <x v="862"/>
    <s v="M0300"/>
    <x v="39"/>
    <s v="RW006"/>
    <s v="Free Ongkir 3X"/>
    <n v="1500"/>
    <x v="0"/>
  </r>
  <r>
    <x v="863"/>
    <s v="M0131"/>
    <x v="144"/>
    <s v="RW009"/>
    <s v="Merchandise Tas Belanja Ramah Lingkungan"/>
    <n v="3500"/>
    <x v="0"/>
  </r>
  <r>
    <x v="864"/>
    <s v="M0097"/>
    <x v="213"/>
    <s v="RW006"/>
    <s v="Free Ongkir 3X"/>
    <n v="1500"/>
    <x v="1"/>
  </r>
  <r>
    <x v="865"/>
    <s v="M0148"/>
    <x v="0"/>
    <s v="RW003"/>
    <s v="Diskon 20% F&amp;B Partner"/>
    <n v="3000"/>
    <x v="0"/>
  </r>
  <r>
    <x v="866"/>
    <s v="M0067"/>
    <x v="169"/>
    <s v="RW008"/>
    <s v="Diskon 15% Fashion Partner"/>
    <n v="4000"/>
    <x v="0"/>
  </r>
  <r>
    <x v="867"/>
    <s v="M0159"/>
    <x v="246"/>
    <s v="RW008"/>
    <s v="Diskon 15% Fashion Partner"/>
    <n v="4000"/>
    <x v="0"/>
  </r>
  <r>
    <x v="868"/>
    <s v="M0117"/>
    <x v="266"/>
    <s v="RW009"/>
    <s v="Merchandise Tas Belanja Ramah Lingkungan"/>
    <n v="3500"/>
    <x v="0"/>
  </r>
  <r>
    <x v="869"/>
    <s v="M0032"/>
    <x v="217"/>
    <s v="RW010"/>
    <s v="Voucher Nonton Bioskop"/>
    <n v="6000"/>
    <x v="0"/>
  </r>
  <r>
    <x v="870"/>
    <s v="M0062"/>
    <x v="154"/>
    <s v="RW002"/>
    <s v="Voucher Belanja Rp100.000"/>
    <n v="10000"/>
    <x v="0"/>
  </r>
  <r>
    <x v="871"/>
    <s v="M0073"/>
    <x v="231"/>
    <s v="RW003"/>
    <s v="Diskon 20% F&amp;B Partner"/>
    <n v="3000"/>
    <x v="0"/>
  </r>
  <r>
    <x v="872"/>
    <s v="M0080"/>
    <x v="3"/>
    <s v="RW002"/>
    <s v="Voucher Belanja Rp100.000"/>
    <n v="10000"/>
    <x v="0"/>
  </r>
  <r>
    <x v="873"/>
    <s v="M0135"/>
    <x v="134"/>
    <s v="RW003"/>
    <s v="Diskon 20% F&amp;B Partner"/>
    <n v="3000"/>
    <x v="0"/>
  </r>
  <r>
    <x v="874"/>
    <s v="M0264"/>
    <x v="43"/>
    <s v="RW001"/>
    <s v="Voucher Belanja Rp50.000"/>
    <n v="5000"/>
    <x v="0"/>
  </r>
  <r>
    <x v="875"/>
    <s v="M0050"/>
    <x v="177"/>
    <s v="RW010"/>
    <s v="Voucher Nonton Bioskop"/>
    <n v="6000"/>
    <x v="0"/>
  </r>
  <r>
    <x v="876"/>
    <s v="M0005"/>
    <x v="267"/>
    <s v="RW003"/>
    <s v="Diskon 20% F&amp;B Partner"/>
    <n v="3000"/>
    <x v="0"/>
  </r>
  <r>
    <x v="877"/>
    <s v="M0256"/>
    <x v="298"/>
    <s v="RW007"/>
    <s v="Voucher Belanja Rp200.000"/>
    <n v="20000"/>
    <x v="0"/>
  </r>
  <r>
    <x v="878"/>
    <s v="M0111"/>
    <x v="116"/>
    <s v="RW005"/>
    <s v="Voucher Ojek Online Rp25.000"/>
    <n v="2500"/>
    <x v="0"/>
  </r>
  <r>
    <x v="879"/>
    <s v="M0129"/>
    <x v="326"/>
    <s v="RW006"/>
    <s v="Free Ongkir 3X"/>
    <n v="1500"/>
    <x v="0"/>
  </r>
  <r>
    <x v="880"/>
    <s v="M0288"/>
    <x v="15"/>
    <s v="RW006"/>
    <s v="Free Ongkir 3X"/>
    <n v="1500"/>
    <x v="1"/>
  </r>
  <r>
    <x v="881"/>
    <s v="M0264"/>
    <x v="129"/>
    <s v="RW001"/>
    <s v="Voucher Belanja Rp50.000"/>
    <n v="5000"/>
    <x v="0"/>
  </r>
  <r>
    <x v="882"/>
    <s v="M0068"/>
    <x v="49"/>
    <s v="RW002"/>
    <s v="Voucher Belanja Rp100.000"/>
    <n v="10000"/>
    <x v="1"/>
  </r>
  <r>
    <x v="883"/>
    <s v="M0105"/>
    <x v="21"/>
    <s v="RW002"/>
    <s v="Voucher Belanja Rp100.000"/>
    <n v="10000"/>
    <x v="0"/>
  </r>
  <r>
    <x v="884"/>
    <s v="M0144"/>
    <x v="136"/>
    <s v="RW009"/>
    <s v="Merchandise Tas Belanja Ramah Lingkungan"/>
    <n v="3500"/>
    <x v="0"/>
  </r>
  <r>
    <x v="885"/>
    <s v="M0201"/>
    <x v="253"/>
    <s v="RW007"/>
    <s v="Voucher Belanja Rp200.000"/>
    <n v="20000"/>
    <x v="0"/>
  </r>
  <r>
    <x v="886"/>
    <s v="M0089"/>
    <x v="290"/>
    <s v="RW007"/>
    <s v="Voucher Belanja Rp200.000"/>
    <n v="20000"/>
    <x v="0"/>
  </r>
  <r>
    <x v="887"/>
    <s v="M0255"/>
    <x v="159"/>
    <s v="RW006"/>
    <s v="Free Ongkir 3X"/>
    <n v="1500"/>
    <x v="0"/>
  </r>
  <r>
    <x v="888"/>
    <s v="M0101"/>
    <x v="327"/>
    <s v="RW007"/>
    <s v="Voucher Belanja Rp200.000"/>
    <n v="20000"/>
    <x v="0"/>
  </r>
  <r>
    <x v="889"/>
    <s v="M0269"/>
    <x v="49"/>
    <s v="RW007"/>
    <s v="Voucher Belanja Rp200.000"/>
    <n v="20000"/>
    <x v="0"/>
  </r>
  <r>
    <x v="890"/>
    <s v="M0094"/>
    <x v="30"/>
    <s v="RW002"/>
    <s v="Voucher Belanja Rp100.000"/>
    <n v="10000"/>
    <x v="0"/>
  </r>
  <r>
    <x v="891"/>
    <s v="M0210"/>
    <x v="328"/>
    <s v="RW006"/>
    <s v="Free Ongkir 3X"/>
    <n v="1500"/>
    <x v="0"/>
  </r>
  <r>
    <x v="892"/>
    <s v="M0281"/>
    <x v="141"/>
    <s v="RW006"/>
    <s v="Free Ongkir 3X"/>
    <n v="1500"/>
    <x v="0"/>
  </r>
  <r>
    <x v="893"/>
    <s v="M0281"/>
    <x v="93"/>
    <s v="RW008"/>
    <s v="Diskon 15% Fashion Partner"/>
    <n v="4000"/>
    <x v="0"/>
  </r>
  <r>
    <x v="894"/>
    <s v="M0154"/>
    <x v="298"/>
    <s v="RW003"/>
    <s v="Diskon 20% F&amp;B Partner"/>
    <n v="3000"/>
    <x v="0"/>
  </r>
  <r>
    <x v="895"/>
    <s v="M0082"/>
    <x v="79"/>
    <s v="RW005"/>
    <s v="Voucher Ojek Online Rp25.000"/>
    <n v="2500"/>
    <x v="0"/>
  </r>
  <r>
    <x v="896"/>
    <s v="M0239"/>
    <x v="147"/>
    <s v="RW008"/>
    <s v="Diskon 15% Fashion Partner"/>
    <n v="4000"/>
    <x v="1"/>
  </r>
  <r>
    <x v="897"/>
    <s v="M0274"/>
    <x v="28"/>
    <s v="RW004"/>
    <s v="Merchandise Tumbler Eksklusif"/>
    <n v="8000"/>
    <x v="0"/>
  </r>
  <r>
    <x v="898"/>
    <s v="M0079"/>
    <x v="324"/>
    <s v="RW006"/>
    <s v="Free Ongkir 3X"/>
    <n v="1500"/>
    <x v="0"/>
  </r>
  <r>
    <x v="899"/>
    <s v="M0219"/>
    <x v="319"/>
    <s v="RW002"/>
    <s v="Voucher Belanja Rp100.000"/>
    <n v="1000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19">
  <r>
    <x v="0"/>
    <s v="M0296"/>
    <x v="0"/>
    <s v="Toko H - Denpasar"/>
    <x v="0"/>
    <n v="279317"/>
    <n v="27"/>
  </r>
  <r>
    <x v="1"/>
    <s v="M0082"/>
    <x v="1"/>
    <s v="Toko E - Semarang"/>
    <x v="1"/>
    <n v="231334"/>
    <n v="23"/>
  </r>
  <r>
    <x v="2"/>
    <s v="M0276"/>
    <x v="2"/>
    <s v="Toko F - Makassar"/>
    <x v="2"/>
    <n v="586040"/>
    <n v="58"/>
  </r>
  <r>
    <x v="3"/>
    <s v="M0035"/>
    <x v="3"/>
    <s v="Toko D - Medan"/>
    <x v="1"/>
    <n v="201461"/>
    <n v="20"/>
  </r>
  <r>
    <x v="4"/>
    <s v="M0134"/>
    <x v="4"/>
    <s v="Toko G - Yogyakarta"/>
    <x v="0"/>
    <n v="404247"/>
    <n v="40"/>
  </r>
  <r>
    <x v="5"/>
    <s v="M0161"/>
    <x v="5"/>
    <s v="Toko H - Denpasar"/>
    <x v="3"/>
    <n v="355497"/>
    <n v="35"/>
  </r>
  <r>
    <x v="6"/>
    <s v="M0128"/>
    <x v="6"/>
    <s v="Toko H - Denpasar"/>
    <x v="3"/>
    <n v="69450"/>
    <n v="6"/>
  </r>
  <r>
    <x v="7"/>
    <s v="M0119"/>
    <x v="7"/>
    <s v="Toko E - Semarang"/>
    <x v="4"/>
    <n v="233276"/>
    <n v="23"/>
  </r>
  <r>
    <x v="8"/>
    <s v="M0028"/>
    <x v="8"/>
    <s v="Toko H - Denpasar"/>
    <x v="5"/>
    <n v="25000"/>
    <n v="2"/>
  </r>
  <r>
    <x v="9"/>
    <s v="M0003"/>
    <x v="9"/>
    <s v="Toko G - Yogyakarta"/>
    <x v="4"/>
    <n v="318175"/>
    <n v="31"/>
  </r>
  <r>
    <x v="10"/>
    <s v="M0039"/>
    <x v="10"/>
    <s v="Toko B - Bandung"/>
    <x v="5"/>
    <n v="548410"/>
    <n v="54"/>
  </r>
  <r>
    <x v="11"/>
    <s v="M0233"/>
    <x v="11"/>
    <s v="Toko A - Jakarta"/>
    <x v="4"/>
    <n v="351666"/>
    <n v="35"/>
  </r>
  <r>
    <x v="12"/>
    <s v="M0002"/>
    <x v="12"/>
    <s v="Toko G - Yogyakarta"/>
    <x v="1"/>
    <n v="432010"/>
    <n v="43"/>
  </r>
  <r>
    <x v="13"/>
    <s v="M0164"/>
    <x v="13"/>
    <s v="Toko D - Medan"/>
    <x v="3"/>
    <n v="32071"/>
    <n v="3"/>
  </r>
  <r>
    <x v="14"/>
    <s v="M0259"/>
    <x v="14"/>
    <s v="Toko H - Denpasar"/>
    <x v="1"/>
    <n v="148908"/>
    <n v="14"/>
  </r>
  <r>
    <x v="15"/>
    <s v="M0274"/>
    <x v="15"/>
    <s v="Toko F - Makassar"/>
    <x v="5"/>
    <n v="197239"/>
    <n v="19"/>
  </r>
  <r>
    <x v="16"/>
    <s v="M0205"/>
    <x v="16"/>
    <s v="Toko C - Surabaya"/>
    <x v="1"/>
    <n v="296208"/>
    <n v="29"/>
  </r>
  <r>
    <x v="17"/>
    <s v="M0248"/>
    <x v="17"/>
    <s v="Toko A - Jakarta"/>
    <x v="5"/>
    <n v="571577"/>
    <n v="57"/>
  </r>
  <r>
    <x v="18"/>
    <s v="M0164"/>
    <x v="18"/>
    <s v="Toko A - Jakarta"/>
    <x v="5"/>
    <n v="646708"/>
    <n v="64"/>
  </r>
  <r>
    <x v="19"/>
    <s v="M0218"/>
    <x v="19"/>
    <s v="Toko C - Surabaya"/>
    <x v="4"/>
    <n v="107213"/>
    <n v="10"/>
  </r>
  <r>
    <x v="20"/>
    <s v="M0013"/>
    <x v="20"/>
    <s v="Toko E - Semarang"/>
    <x v="1"/>
    <n v="396958"/>
    <n v="39"/>
  </r>
  <r>
    <x v="21"/>
    <s v="M0146"/>
    <x v="21"/>
    <s v="Toko C - Surabaya"/>
    <x v="1"/>
    <n v="93030"/>
    <n v="9"/>
  </r>
  <r>
    <x v="22"/>
    <s v="M0131"/>
    <x v="22"/>
    <s v="Toko G - Yogyakarta"/>
    <x v="1"/>
    <n v="722095"/>
    <n v="72"/>
  </r>
  <r>
    <x v="23"/>
    <s v="M0243"/>
    <x v="23"/>
    <s v="Toko E - Semarang"/>
    <x v="2"/>
    <n v="127349"/>
    <n v="12"/>
  </r>
  <r>
    <x v="24"/>
    <s v="M0006"/>
    <x v="24"/>
    <s v="Toko E - Semarang"/>
    <x v="4"/>
    <n v="222590"/>
    <n v="22"/>
  </r>
  <r>
    <x v="25"/>
    <s v="M0065"/>
    <x v="25"/>
    <s v="Toko D - Medan"/>
    <x v="5"/>
    <n v="358390"/>
    <n v="35"/>
  </r>
  <r>
    <x v="26"/>
    <s v="M0199"/>
    <x v="26"/>
    <s v="Toko F - Makassar"/>
    <x v="4"/>
    <n v="763998"/>
    <n v="76"/>
  </r>
  <r>
    <x v="27"/>
    <s v="M0001"/>
    <x v="27"/>
    <s v="Toko C - Surabaya"/>
    <x v="1"/>
    <n v="361095"/>
    <n v="36"/>
  </r>
  <r>
    <x v="28"/>
    <s v="M0100"/>
    <x v="28"/>
    <s v="Toko E - Semarang"/>
    <x v="0"/>
    <n v="897578"/>
    <n v="89"/>
  </r>
  <r>
    <x v="29"/>
    <s v="M0105"/>
    <x v="29"/>
    <s v="Toko B - Bandung"/>
    <x v="5"/>
    <n v="308968"/>
    <n v="30"/>
  </r>
  <r>
    <x v="30"/>
    <s v="M0013"/>
    <x v="30"/>
    <s v="Toko B - Bandung"/>
    <x v="1"/>
    <n v="40669"/>
    <n v="4"/>
  </r>
  <r>
    <x v="31"/>
    <s v="M0294"/>
    <x v="31"/>
    <s v="Toko E - Semarang"/>
    <x v="1"/>
    <n v="560314"/>
    <n v="56"/>
  </r>
  <r>
    <x v="32"/>
    <s v="M0266"/>
    <x v="32"/>
    <s v="Toko C - Surabaya"/>
    <x v="1"/>
    <n v="648050"/>
    <n v="64"/>
  </r>
  <r>
    <x v="33"/>
    <s v="M0073"/>
    <x v="24"/>
    <s v="Toko A - Jakarta"/>
    <x v="3"/>
    <n v="348512"/>
    <n v="34"/>
  </r>
  <r>
    <x v="34"/>
    <s v="M0028"/>
    <x v="33"/>
    <s v="Toko A - Jakarta"/>
    <x v="1"/>
    <n v="59073"/>
    <n v="5"/>
  </r>
  <r>
    <x v="35"/>
    <s v="M0140"/>
    <x v="34"/>
    <s v="Toko F - Makassar"/>
    <x v="3"/>
    <n v="34760"/>
    <n v="3"/>
  </r>
  <r>
    <x v="36"/>
    <s v="M0013"/>
    <x v="35"/>
    <s v="Toko D - Medan"/>
    <x v="5"/>
    <n v="767256"/>
    <n v="76"/>
  </r>
  <r>
    <x v="37"/>
    <s v="M0271"/>
    <x v="36"/>
    <s v="Toko G - Yogyakarta"/>
    <x v="1"/>
    <n v="83182"/>
    <n v="8"/>
  </r>
  <r>
    <x v="38"/>
    <s v="M0127"/>
    <x v="1"/>
    <s v="Toko G - Yogyakarta"/>
    <x v="5"/>
    <n v="361214"/>
    <n v="36"/>
  </r>
  <r>
    <x v="39"/>
    <s v="M0248"/>
    <x v="37"/>
    <s v="Toko G - Yogyakarta"/>
    <x v="4"/>
    <n v="567881"/>
    <n v="56"/>
  </r>
  <r>
    <x v="40"/>
    <s v="M0105"/>
    <x v="27"/>
    <s v="Toko A - Jakarta"/>
    <x v="3"/>
    <n v="601798"/>
    <n v="60"/>
  </r>
  <r>
    <x v="41"/>
    <s v="M0135"/>
    <x v="38"/>
    <s v="Toko G - Yogyakarta"/>
    <x v="1"/>
    <n v="50474"/>
    <n v="5"/>
  </r>
  <r>
    <x v="42"/>
    <s v="M0008"/>
    <x v="39"/>
    <s v="Toko B - Bandung"/>
    <x v="1"/>
    <n v="135086"/>
    <n v="13"/>
  </r>
  <r>
    <x v="43"/>
    <s v="M0213"/>
    <x v="40"/>
    <s v="Toko H - Denpasar"/>
    <x v="0"/>
    <n v="353352"/>
    <n v="35"/>
  </r>
  <r>
    <x v="44"/>
    <s v="M0183"/>
    <x v="41"/>
    <s v="Toko E - Semarang"/>
    <x v="4"/>
    <n v="388348"/>
    <n v="38"/>
  </r>
  <r>
    <x v="45"/>
    <s v="M0070"/>
    <x v="17"/>
    <s v="Toko H - Denpasar"/>
    <x v="5"/>
    <n v="299150"/>
    <n v="29"/>
  </r>
  <r>
    <x v="46"/>
    <s v="M0162"/>
    <x v="42"/>
    <s v="Toko D - Medan"/>
    <x v="0"/>
    <n v="78759"/>
    <n v="7"/>
  </r>
  <r>
    <x v="47"/>
    <s v="M0128"/>
    <x v="43"/>
    <s v="Toko E - Semarang"/>
    <x v="5"/>
    <n v="389207"/>
    <n v="38"/>
  </r>
  <r>
    <x v="48"/>
    <s v="M0003"/>
    <x v="44"/>
    <s v="Toko B - Bandung"/>
    <x v="5"/>
    <n v="273415"/>
    <n v="27"/>
  </r>
  <r>
    <x v="49"/>
    <s v="M0043"/>
    <x v="45"/>
    <s v="Toko G - Yogyakarta"/>
    <x v="2"/>
    <n v="36111"/>
    <n v="3"/>
  </r>
  <r>
    <x v="50"/>
    <s v="M0297"/>
    <x v="46"/>
    <s v="Toko A - Jakarta"/>
    <x v="4"/>
    <n v="119551"/>
    <n v="11"/>
  </r>
  <r>
    <x v="51"/>
    <s v="M0229"/>
    <x v="47"/>
    <s v="Toko F - Makassar"/>
    <x v="3"/>
    <n v="199635"/>
    <n v="19"/>
  </r>
  <r>
    <x v="52"/>
    <s v="M0192"/>
    <x v="48"/>
    <s v="Toko D - Medan"/>
    <x v="0"/>
    <n v="368526"/>
    <n v="36"/>
  </r>
  <r>
    <x v="53"/>
    <s v="M0199"/>
    <x v="49"/>
    <s v="Toko H - Denpasar"/>
    <x v="5"/>
    <n v="91134"/>
    <n v="9"/>
  </r>
  <r>
    <x v="54"/>
    <s v="M0160"/>
    <x v="50"/>
    <s v="Toko F - Makassar"/>
    <x v="0"/>
    <n v="446506"/>
    <n v="44"/>
  </r>
  <r>
    <x v="55"/>
    <s v="M0137"/>
    <x v="51"/>
    <s v="Toko B - Bandung"/>
    <x v="1"/>
    <n v="148629"/>
    <n v="14"/>
  </r>
  <r>
    <x v="56"/>
    <s v="M0187"/>
    <x v="52"/>
    <s v="Toko C - Surabaya"/>
    <x v="1"/>
    <n v="213851"/>
    <n v="21"/>
  </r>
  <r>
    <x v="57"/>
    <s v="M0289"/>
    <x v="53"/>
    <s v="Toko G - Yogyakarta"/>
    <x v="5"/>
    <n v="146766"/>
    <n v="14"/>
  </r>
  <r>
    <x v="58"/>
    <s v="M0056"/>
    <x v="54"/>
    <s v="Toko F - Makassar"/>
    <x v="4"/>
    <n v="275636"/>
    <n v="27"/>
  </r>
  <r>
    <x v="59"/>
    <s v="M0220"/>
    <x v="55"/>
    <s v="Toko A - Jakarta"/>
    <x v="5"/>
    <n v="516174"/>
    <n v="51"/>
  </r>
  <r>
    <x v="60"/>
    <s v="M0140"/>
    <x v="56"/>
    <s v="Toko G - Yogyakarta"/>
    <x v="1"/>
    <n v="29650"/>
    <n v="2"/>
  </r>
  <r>
    <x v="61"/>
    <s v="M0288"/>
    <x v="57"/>
    <s v="Toko A - Jakarta"/>
    <x v="0"/>
    <n v="171438"/>
    <n v="17"/>
  </r>
  <r>
    <x v="62"/>
    <s v="M0113"/>
    <x v="58"/>
    <s v="Toko F - Makassar"/>
    <x v="5"/>
    <n v="130801"/>
    <n v="13"/>
  </r>
  <r>
    <x v="63"/>
    <s v="M0128"/>
    <x v="59"/>
    <s v="Toko C - Surabaya"/>
    <x v="4"/>
    <n v="116870"/>
    <n v="11"/>
  </r>
  <r>
    <x v="64"/>
    <s v="M0187"/>
    <x v="60"/>
    <s v="Toko C - Surabaya"/>
    <x v="0"/>
    <n v="206089"/>
    <n v="20"/>
  </r>
  <r>
    <x v="65"/>
    <s v="M0140"/>
    <x v="61"/>
    <s v="Toko G - Yogyakarta"/>
    <x v="5"/>
    <n v="787473"/>
    <n v="78"/>
  </r>
  <r>
    <x v="66"/>
    <s v="M0213"/>
    <x v="62"/>
    <s v="Toko A - Jakarta"/>
    <x v="3"/>
    <n v="258088"/>
    <n v="25"/>
  </r>
  <r>
    <x v="67"/>
    <s v="M0264"/>
    <x v="63"/>
    <s v="Toko C - Surabaya"/>
    <x v="3"/>
    <n v="485882"/>
    <n v="48"/>
  </r>
  <r>
    <x v="68"/>
    <s v="M0094"/>
    <x v="64"/>
    <s v="Toko E - Semarang"/>
    <x v="3"/>
    <n v="383191"/>
    <n v="38"/>
  </r>
  <r>
    <x v="69"/>
    <s v="M0121"/>
    <x v="65"/>
    <s v="Toko G - Yogyakarta"/>
    <x v="2"/>
    <n v="314524"/>
    <n v="31"/>
  </r>
  <r>
    <x v="70"/>
    <s v="M0128"/>
    <x v="66"/>
    <s v="Toko B - Bandung"/>
    <x v="1"/>
    <n v="385430"/>
    <n v="38"/>
  </r>
  <r>
    <x v="71"/>
    <s v="M0016"/>
    <x v="67"/>
    <s v="Toko F - Makassar"/>
    <x v="2"/>
    <n v="229841"/>
    <n v="22"/>
  </r>
  <r>
    <x v="72"/>
    <s v="M0249"/>
    <x v="68"/>
    <s v="Toko B - Bandung"/>
    <x v="1"/>
    <n v="48040"/>
    <n v="4"/>
  </r>
  <r>
    <x v="73"/>
    <s v="M0063"/>
    <x v="69"/>
    <s v="Toko F - Makassar"/>
    <x v="4"/>
    <n v="601727"/>
    <n v="60"/>
  </r>
  <r>
    <x v="74"/>
    <s v="M0044"/>
    <x v="70"/>
    <s v="Toko H - Denpasar"/>
    <x v="2"/>
    <n v="52547"/>
    <n v="5"/>
  </r>
  <r>
    <x v="75"/>
    <s v="M0184"/>
    <x v="71"/>
    <s v="Toko D - Medan"/>
    <x v="2"/>
    <n v="851470"/>
    <n v="85"/>
  </r>
  <r>
    <x v="76"/>
    <s v="M0098"/>
    <x v="72"/>
    <s v="Toko D - Medan"/>
    <x v="4"/>
    <n v="160906"/>
    <n v="16"/>
  </r>
  <r>
    <x v="77"/>
    <s v="M0163"/>
    <x v="10"/>
    <s v="Toko C - Surabaya"/>
    <x v="4"/>
    <n v="868396"/>
    <n v="86"/>
  </r>
  <r>
    <x v="78"/>
    <s v="M0092"/>
    <x v="73"/>
    <s v="Toko G - Yogyakarta"/>
    <x v="0"/>
    <n v="254141"/>
    <n v="25"/>
  </r>
  <r>
    <x v="79"/>
    <s v="M0292"/>
    <x v="74"/>
    <s v="Toko E - Semarang"/>
    <x v="0"/>
    <n v="353247"/>
    <n v="35"/>
  </r>
  <r>
    <x v="80"/>
    <s v="M0143"/>
    <x v="75"/>
    <s v="Toko D - Medan"/>
    <x v="2"/>
    <n v="323552"/>
    <n v="32"/>
  </r>
  <r>
    <x v="81"/>
    <s v="M0293"/>
    <x v="76"/>
    <s v="Toko H - Denpasar"/>
    <x v="4"/>
    <n v="240938"/>
    <n v="24"/>
  </r>
  <r>
    <x v="82"/>
    <s v="M0277"/>
    <x v="77"/>
    <s v="Toko H - Denpasar"/>
    <x v="1"/>
    <n v="175209"/>
    <n v="17"/>
  </r>
  <r>
    <x v="83"/>
    <s v="M0264"/>
    <x v="78"/>
    <s v="Toko C - Surabaya"/>
    <x v="4"/>
    <n v="190352"/>
    <n v="19"/>
  </r>
  <r>
    <x v="84"/>
    <s v="M0112"/>
    <x v="7"/>
    <s v="Toko E - Semarang"/>
    <x v="1"/>
    <n v="621508"/>
    <n v="62"/>
  </r>
  <r>
    <x v="85"/>
    <s v="M0191"/>
    <x v="79"/>
    <s v="Toko F - Makassar"/>
    <x v="3"/>
    <n v="311728"/>
    <n v="31"/>
  </r>
  <r>
    <x v="86"/>
    <s v="M0004"/>
    <x v="80"/>
    <s v="Toko G - Yogyakarta"/>
    <x v="5"/>
    <n v="913514"/>
    <n v="91"/>
  </r>
  <r>
    <x v="87"/>
    <s v="M0088"/>
    <x v="81"/>
    <s v="Toko H - Denpasar"/>
    <x v="3"/>
    <n v="67326"/>
    <n v="6"/>
  </r>
  <r>
    <x v="88"/>
    <s v="M0149"/>
    <x v="38"/>
    <s v="Toko F - Makassar"/>
    <x v="5"/>
    <n v="301648"/>
    <n v="30"/>
  </r>
  <r>
    <x v="89"/>
    <s v="M0014"/>
    <x v="82"/>
    <s v="Toko D - Medan"/>
    <x v="1"/>
    <n v="327923"/>
    <n v="32"/>
  </r>
  <r>
    <x v="90"/>
    <s v="M0046"/>
    <x v="6"/>
    <s v="Toko F - Makassar"/>
    <x v="5"/>
    <n v="514425"/>
    <n v="51"/>
  </r>
  <r>
    <x v="91"/>
    <s v="M0191"/>
    <x v="58"/>
    <s v="Toko C - Surabaya"/>
    <x v="5"/>
    <n v="92026"/>
    <n v="9"/>
  </r>
  <r>
    <x v="92"/>
    <s v="M0176"/>
    <x v="71"/>
    <s v="Toko H - Denpasar"/>
    <x v="4"/>
    <n v="744828"/>
    <n v="74"/>
  </r>
  <r>
    <x v="93"/>
    <s v="M0243"/>
    <x v="83"/>
    <s v="Toko A - Jakarta"/>
    <x v="4"/>
    <n v="409604"/>
    <n v="40"/>
  </r>
  <r>
    <x v="94"/>
    <s v="M0265"/>
    <x v="84"/>
    <s v="Toko B - Bandung"/>
    <x v="0"/>
    <n v="323525"/>
    <n v="32"/>
  </r>
  <r>
    <x v="95"/>
    <s v="M0177"/>
    <x v="85"/>
    <s v="Toko F - Makassar"/>
    <x v="5"/>
    <n v="98620"/>
    <n v="9"/>
  </r>
  <r>
    <x v="96"/>
    <s v="M0242"/>
    <x v="86"/>
    <s v="Toko B - Bandung"/>
    <x v="5"/>
    <n v="622518"/>
    <n v="62"/>
  </r>
  <r>
    <x v="97"/>
    <s v="M0210"/>
    <x v="87"/>
    <s v="Toko B - Bandung"/>
    <x v="1"/>
    <n v="136575"/>
    <n v="13"/>
  </r>
  <r>
    <x v="98"/>
    <s v="M0227"/>
    <x v="88"/>
    <s v="Toko E - Semarang"/>
    <x v="3"/>
    <n v="103944"/>
    <n v="10"/>
  </r>
  <r>
    <x v="99"/>
    <s v="M0199"/>
    <x v="89"/>
    <s v="Toko C - Surabaya"/>
    <x v="5"/>
    <n v="96138"/>
    <n v="9"/>
  </r>
  <r>
    <x v="100"/>
    <s v="M0243"/>
    <x v="90"/>
    <s v="Toko H - Denpasar"/>
    <x v="1"/>
    <n v="208486"/>
    <n v="20"/>
  </r>
  <r>
    <x v="101"/>
    <s v="M0236"/>
    <x v="91"/>
    <s v="Toko A - Jakarta"/>
    <x v="0"/>
    <n v="70207"/>
    <n v="7"/>
  </r>
  <r>
    <x v="102"/>
    <s v="M0064"/>
    <x v="92"/>
    <s v="Toko B - Bandung"/>
    <x v="0"/>
    <n v="46097"/>
    <n v="4"/>
  </r>
  <r>
    <x v="103"/>
    <s v="M0188"/>
    <x v="93"/>
    <s v="Toko F - Makassar"/>
    <x v="3"/>
    <n v="234714"/>
    <n v="23"/>
  </r>
  <r>
    <x v="104"/>
    <s v="M0114"/>
    <x v="64"/>
    <s v="Toko C - Surabaya"/>
    <x v="2"/>
    <n v="134995"/>
    <n v="13"/>
  </r>
  <r>
    <x v="105"/>
    <s v="M0108"/>
    <x v="15"/>
    <s v="Toko B - Bandung"/>
    <x v="2"/>
    <n v="227405"/>
    <n v="22"/>
  </r>
  <r>
    <x v="106"/>
    <s v="M0183"/>
    <x v="94"/>
    <s v="Toko B - Bandung"/>
    <x v="5"/>
    <n v="320658"/>
    <n v="32"/>
  </r>
  <r>
    <x v="107"/>
    <s v="M0185"/>
    <x v="95"/>
    <s v="Toko E - Semarang"/>
    <x v="1"/>
    <n v="115397"/>
    <n v="11"/>
  </r>
  <r>
    <x v="108"/>
    <s v="M0139"/>
    <x v="44"/>
    <s v="Toko A - Jakarta"/>
    <x v="3"/>
    <n v="186972"/>
    <n v="18"/>
  </r>
  <r>
    <x v="109"/>
    <s v="M0239"/>
    <x v="42"/>
    <s v="Toko B - Bandung"/>
    <x v="1"/>
    <n v="216183"/>
    <n v="21"/>
  </r>
  <r>
    <x v="110"/>
    <s v="M0028"/>
    <x v="5"/>
    <s v="Toko A - Jakarta"/>
    <x v="1"/>
    <n v="735437"/>
    <n v="73"/>
  </r>
  <r>
    <x v="111"/>
    <s v="M0169"/>
    <x v="71"/>
    <s v="Toko G - Yogyakarta"/>
    <x v="3"/>
    <n v="504536"/>
    <n v="50"/>
  </r>
  <r>
    <x v="112"/>
    <s v="M0089"/>
    <x v="96"/>
    <s v="Toko G - Yogyakarta"/>
    <x v="5"/>
    <n v="416668"/>
    <n v="41"/>
  </r>
  <r>
    <x v="113"/>
    <s v="M0047"/>
    <x v="97"/>
    <s v="Toko F - Makassar"/>
    <x v="2"/>
    <n v="580543"/>
    <n v="58"/>
  </r>
  <r>
    <x v="114"/>
    <s v="M0081"/>
    <x v="98"/>
    <s v="Toko D - Medan"/>
    <x v="5"/>
    <n v="333050"/>
    <n v="33"/>
  </r>
  <r>
    <x v="115"/>
    <s v="M0232"/>
    <x v="99"/>
    <s v="Toko H - Denpasar"/>
    <x v="5"/>
    <n v="157885"/>
    <n v="15"/>
  </r>
  <r>
    <x v="116"/>
    <s v="M0100"/>
    <x v="58"/>
    <s v="Toko G - Yogyakarta"/>
    <x v="4"/>
    <n v="124975"/>
    <n v="12"/>
  </r>
  <r>
    <x v="117"/>
    <s v="M0169"/>
    <x v="56"/>
    <s v="Toko E - Semarang"/>
    <x v="2"/>
    <n v="343564"/>
    <n v="34"/>
  </r>
  <r>
    <x v="118"/>
    <s v="M0211"/>
    <x v="100"/>
    <s v="Toko A - Jakarta"/>
    <x v="3"/>
    <n v="727108"/>
    <n v="72"/>
  </r>
  <r>
    <x v="119"/>
    <s v="M0272"/>
    <x v="101"/>
    <s v="Toko E - Semarang"/>
    <x v="1"/>
    <n v="736327"/>
    <n v="73"/>
  </r>
  <r>
    <x v="120"/>
    <s v="M0190"/>
    <x v="102"/>
    <s v="Toko E - Semarang"/>
    <x v="1"/>
    <n v="200606"/>
    <n v="20"/>
  </r>
  <r>
    <x v="121"/>
    <s v="M0226"/>
    <x v="101"/>
    <s v="Toko H - Denpasar"/>
    <x v="0"/>
    <n v="529504"/>
    <n v="52"/>
  </r>
  <r>
    <x v="122"/>
    <s v="M0204"/>
    <x v="103"/>
    <s v="Toko A - Jakarta"/>
    <x v="5"/>
    <n v="190374"/>
    <n v="19"/>
  </r>
  <r>
    <x v="123"/>
    <s v="M0092"/>
    <x v="104"/>
    <s v="Toko F - Makassar"/>
    <x v="4"/>
    <n v="224135"/>
    <n v="22"/>
  </r>
  <r>
    <x v="124"/>
    <s v="M0078"/>
    <x v="0"/>
    <s v="Toko D - Medan"/>
    <x v="2"/>
    <n v="67496"/>
    <n v="6"/>
  </r>
  <r>
    <x v="125"/>
    <s v="M0111"/>
    <x v="14"/>
    <s v="Toko A - Jakarta"/>
    <x v="5"/>
    <n v="360132"/>
    <n v="36"/>
  </r>
  <r>
    <x v="126"/>
    <s v="M0148"/>
    <x v="86"/>
    <s v="Toko C - Surabaya"/>
    <x v="4"/>
    <n v="398297"/>
    <n v="39"/>
  </r>
  <r>
    <x v="127"/>
    <s v="M0204"/>
    <x v="55"/>
    <s v="Toko G - Yogyakarta"/>
    <x v="5"/>
    <n v="56457"/>
    <n v="5"/>
  </r>
  <r>
    <x v="128"/>
    <s v="M0193"/>
    <x v="27"/>
    <s v="Toko H - Denpasar"/>
    <x v="3"/>
    <n v="278364"/>
    <n v="27"/>
  </r>
  <r>
    <x v="129"/>
    <s v="M0109"/>
    <x v="0"/>
    <s v="Toko H - Denpasar"/>
    <x v="0"/>
    <n v="218712"/>
    <n v="21"/>
  </r>
  <r>
    <x v="130"/>
    <s v="M0108"/>
    <x v="105"/>
    <s v="Toko H - Denpasar"/>
    <x v="3"/>
    <n v="531505"/>
    <n v="53"/>
  </r>
  <r>
    <x v="131"/>
    <s v="M0121"/>
    <x v="106"/>
    <s v="Toko H - Denpasar"/>
    <x v="5"/>
    <n v="110881"/>
    <n v="11"/>
  </r>
  <r>
    <x v="132"/>
    <s v="M0099"/>
    <x v="107"/>
    <s v="Toko G - Yogyakarta"/>
    <x v="1"/>
    <n v="344426"/>
    <n v="34"/>
  </r>
  <r>
    <x v="133"/>
    <s v="M0264"/>
    <x v="108"/>
    <s v="Toko G - Yogyakarta"/>
    <x v="4"/>
    <n v="677999"/>
    <n v="67"/>
  </r>
  <r>
    <x v="134"/>
    <s v="M0204"/>
    <x v="109"/>
    <s v="Toko E - Semarang"/>
    <x v="0"/>
    <n v="67345"/>
    <n v="6"/>
  </r>
  <r>
    <x v="135"/>
    <s v="M0123"/>
    <x v="49"/>
    <s v="Toko F - Makassar"/>
    <x v="0"/>
    <n v="418342"/>
    <n v="41"/>
  </r>
  <r>
    <x v="136"/>
    <s v="M0199"/>
    <x v="110"/>
    <s v="Toko D - Medan"/>
    <x v="3"/>
    <n v="420364"/>
    <n v="42"/>
  </r>
  <r>
    <x v="137"/>
    <s v="M0054"/>
    <x v="111"/>
    <s v="Toko E - Semarang"/>
    <x v="5"/>
    <n v="279500"/>
    <n v="27"/>
  </r>
  <r>
    <x v="138"/>
    <s v="M0053"/>
    <x v="112"/>
    <s v="Toko A - Jakarta"/>
    <x v="0"/>
    <n v="444922"/>
    <n v="44"/>
  </r>
  <r>
    <x v="139"/>
    <s v="M0258"/>
    <x v="113"/>
    <s v="Toko A - Jakarta"/>
    <x v="5"/>
    <n v="141390"/>
    <n v="14"/>
  </r>
  <r>
    <x v="140"/>
    <s v="M0105"/>
    <x v="48"/>
    <s v="Toko E - Semarang"/>
    <x v="3"/>
    <n v="102012"/>
    <n v="10"/>
  </r>
  <r>
    <x v="141"/>
    <s v="M0127"/>
    <x v="114"/>
    <s v="Toko H - Denpasar"/>
    <x v="2"/>
    <n v="78616"/>
    <n v="7"/>
  </r>
  <r>
    <x v="142"/>
    <s v="M0089"/>
    <x v="95"/>
    <s v="Toko F - Makassar"/>
    <x v="4"/>
    <n v="476157"/>
    <n v="47"/>
  </r>
  <r>
    <x v="143"/>
    <s v="M0090"/>
    <x v="47"/>
    <s v="Toko G - Yogyakarta"/>
    <x v="5"/>
    <n v="456392"/>
    <n v="45"/>
  </r>
  <r>
    <x v="144"/>
    <s v="M0146"/>
    <x v="115"/>
    <s v="Toko A - Jakarta"/>
    <x v="5"/>
    <n v="93172"/>
    <n v="9"/>
  </r>
  <r>
    <x v="145"/>
    <s v="M0263"/>
    <x v="60"/>
    <s v="Toko H - Denpasar"/>
    <x v="1"/>
    <n v="500861"/>
    <n v="50"/>
  </r>
  <r>
    <x v="146"/>
    <s v="M0265"/>
    <x v="116"/>
    <s v="Toko C - Surabaya"/>
    <x v="3"/>
    <n v="120744"/>
    <n v="12"/>
  </r>
  <r>
    <x v="147"/>
    <s v="M0009"/>
    <x v="117"/>
    <s v="Toko B - Bandung"/>
    <x v="4"/>
    <n v="295954"/>
    <n v="29"/>
  </r>
  <r>
    <x v="148"/>
    <s v="M0126"/>
    <x v="118"/>
    <s v="Toko E - Semarang"/>
    <x v="4"/>
    <n v="214312"/>
    <n v="21"/>
  </r>
  <r>
    <x v="149"/>
    <s v="M0134"/>
    <x v="30"/>
    <s v="Toko C - Surabaya"/>
    <x v="3"/>
    <n v="415697"/>
    <n v="41"/>
  </r>
  <r>
    <x v="150"/>
    <s v="M0273"/>
    <x v="119"/>
    <s v="Toko E - Semarang"/>
    <x v="1"/>
    <n v="265774"/>
    <n v="26"/>
  </r>
  <r>
    <x v="151"/>
    <s v="M0192"/>
    <x v="27"/>
    <s v="Toko G - Yogyakarta"/>
    <x v="5"/>
    <n v="149794"/>
    <n v="14"/>
  </r>
  <r>
    <x v="152"/>
    <s v="M0174"/>
    <x v="120"/>
    <s v="Toko E - Semarang"/>
    <x v="3"/>
    <n v="349418"/>
    <n v="34"/>
  </r>
  <r>
    <x v="153"/>
    <s v="M0297"/>
    <x v="121"/>
    <s v="Toko E - Semarang"/>
    <x v="1"/>
    <n v="480618"/>
    <n v="48"/>
  </r>
  <r>
    <x v="154"/>
    <s v="M0227"/>
    <x v="122"/>
    <s v="Toko C - Surabaya"/>
    <x v="2"/>
    <n v="112615"/>
    <n v="11"/>
  </r>
  <r>
    <x v="155"/>
    <s v="M0012"/>
    <x v="123"/>
    <s v="Toko D - Medan"/>
    <x v="2"/>
    <n v="614503"/>
    <n v="61"/>
  </r>
  <r>
    <x v="156"/>
    <s v="M0148"/>
    <x v="124"/>
    <s v="Toko D - Medan"/>
    <x v="2"/>
    <n v="340090"/>
    <n v="34"/>
  </r>
  <r>
    <x v="157"/>
    <s v="M0250"/>
    <x v="125"/>
    <s v="Toko D - Medan"/>
    <x v="0"/>
    <n v="365141"/>
    <n v="36"/>
  </r>
  <r>
    <x v="158"/>
    <s v="M0048"/>
    <x v="126"/>
    <s v="Toko E - Semarang"/>
    <x v="5"/>
    <n v="162611"/>
    <n v="16"/>
  </r>
  <r>
    <x v="159"/>
    <s v="M0262"/>
    <x v="127"/>
    <s v="Toko G - Yogyakarta"/>
    <x v="5"/>
    <n v="157031"/>
    <n v="15"/>
  </r>
  <r>
    <x v="160"/>
    <s v="M0193"/>
    <x v="128"/>
    <s v="Toko H - Denpasar"/>
    <x v="2"/>
    <n v="361907"/>
    <n v="36"/>
  </r>
  <r>
    <x v="161"/>
    <s v="M0116"/>
    <x v="129"/>
    <s v="Toko G - Yogyakarta"/>
    <x v="2"/>
    <n v="628216"/>
    <n v="62"/>
  </r>
  <r>
    <x v="162"/>
    <s v="M0274"/>
    <x v="130"/>
    <s v="Toko H - Denpasar"/>
    <x v="4"/>
    <n v="463871"/>
    <n v="46"/>
  </r>
  <r>
    <x v="163"/>
    <s v="M0049"/>
    <x v="83"/>
    <s v="Toko C - Surabaya"/>
    <x v="2"/>
    <n v="173271"/>
    <n v="17"/>
  </r>
  <r>
    <x v="164"/>
    <s v="M0099"/>
    <x v="131"/>
    <s v="Toko G - Yogyakarta"/>
    <x v="5"/>
    <n v="94551"/>
    <n v="9"/>
  </r>
  <r>
    <x v="165"/>
    <s v="M0147"/>
    <x v="132"/>
    <s v="Toko G - Yogyakarta"/>
    <x v="5"/>
    <n v="170421"/>
    <n v="17"/>
  </r>
  <r>
    <x v="166"/>
    <s v="M0261"/>
    <x v="36"/>
    <s v="Toko F - Makassar"/>
    <x v="1"/>
    <n v="221830"/>
    <n v="22"/>
  </r>
  <r>
    <x v="167"/>
    <s v="M0258"/>
    <x v="133"/>
    <s v="Toko H - Denpasar"/>
    <x v="5"/>
    <n v="552470"/>
    <n v="55"/>
  </r>
  <r>
    <x v="168"/>
    <s v="M0086"/>
    <x v="134"/>
    <s v="Toko C - Surabaya"/>
    <x v="4"/>
    <n v="385100"/>
    <n v="38"/>
  </r>
  <r>
    <x v="169"/>
    <s v="M0220"/>
    <x v="135"/>
    <s v="Toko D - Medan"/>
    <x v="2"/>
    <n v="94682"/>
    <n v="9"/>
  </r>
  <r>
    <x v="170"/>
    <s v="M0055"/>
    <x v="136"/>
    <s v="Toko D - Medan"/>
    <x v="1"/>
    <n v="137453"/>
    <n v="13"/>
  </r>
  <r>
    <x v="171"/>
    <s v="M0249"/>
    <x v="137"/>
    <s v="Toko A - Jakarta"/>
    <x v="0"/>
    <n v="121471"/>
    <n v="12"/>
  </r>
  <r>
    <x v="172"/>
    <s v="M0196"/>
    <x v="108"/>
    <s v="Toko H - Denpasar"/>
    <x v="2"/>
    <n v="407630"/>
    <n v="40"/>
  </r>
  <r>
    <x v="173"/>
    <s v="M0081"/>
    <x v="138"/>
    <s v="Toko E - Semarang"/>
    <x v="1"/>
    <n v="36360"/>
    <n v="3"/>
  </r>
  <r>
    <x v="174"/>
    <s v="M0036"/>
    <x v="139"/>
    <s v="Toko A - Jakarta"/>
    <x v="3"/>
    <n v="158841"/>
    <n v="15"/>
  </r>
  <r>
    <x v="175"/>
    <s v="M0035"/>
    <x v="140"/>
    <s v="Toko H - Denpasar"/>
    <x v="3"/>
    <n v="203024"/>
    <n v="20"/>
  </r>
  <r>
    <x v="176"/>
    <s v="M0086"/>
    <x v="141"/>
    <s v="Toko H - Denpasar"/>
    <x v="2"/>
    <n v="149035"/>
    <n v="14"/>
  </r>
  <r>
    <x v="177"/>
    <s v="M0276"/>
    <x v="31"/>
    <s v="Toko F - Makassar"/>
    <x v="0"/>
    <n v="92203"/>
    <n v="9"/>
  </r>
  <r>
    <x v="178"/>
    <s v="M0042"/>
    <x v="142"/>
    <s v="Toko C - Surabaya"/>
    <x v="5"/>
    <n v="353139"/>
    <n v="35"/>
  </r>
  <r>
    <x v="179"/>
    <s v="M0253"/>
    <x v="143"/>
    <s v="Toko H - Denpasar"/>
    <x v="0"/>
    <n v="596910"/>
    <n v="59"/>
  </r>
  <r>
    <x v="180"/>
    <s v="M0087"/>
    <x v="117"/>
    <s v="Toko A - Jakarta"/>
    <x v="5"/>
    <n v="427708"/>
    <n v="42"/>
  </r>
  <r>
    <x v="181"/>
    <s v="M0240"/>
    <x v="144"/>
    <s v="Toko E - Semarang"/>
    <x v="1"/>
    <n v="716803"/>
    <n v="71"/>
  </r>
  <r>
    <x v="182"/>
    <s v="M0254"/>
    <x v="145"/>
    <s v="Toko F - Makassar"/>
    <x v="4"/>
    <n v="178338"/>
    <n v="17"/>
  </r>
  <r>
    <x v="183"/>
    <s v="M0051"/>
    <x v="146"/>
    <s v="Toko B - Bandung"/>
    <x v="0"/>
    <n v="638305"/>
    <n v="63"/>
  </r>
  <r>
    <x v="184"/>
    <s v="M0199"/>
    <x v="147"/>
    <s v="Toko H - Denpasar"/>
    <x v="0"/>
    <n v="271043"/>
    <n v="27"/>
  </r>
  <r>
    <x v="185"/>
    <s v="M0227"/>
    <x v="148"/>
    <s v="Toko G - Yogyakarta"/>
    <x v="5"/>
    <n v="413173"/>
    <n v="41"/>
  </r>
  <r>
    <x v="186"/>
    <s v="M0293"/>
    <x v="149"/>
    <s v="Toko G - Yogyakarta"/>
    <x v="5"/>
    <n v="415830"/>
    <n v="41"/>
  </r>
  <r>
    <x v="187"/>
    <s v="M0151"/>
    <x v="144"/>
    <s v="Toko B - Bandung"/>
    <x v="2"/>
    <n v="25000"/>
    <n v="2"/>
  </r>
  <r>
    <x v="188"/>
    <s v="M0165"/>
    <x v="125"/>
    <s v="Toko H - Denpasar"/>
    <x v="4"/>
    <n v="321801"/>
    <n v="32"/>
  </r>
  <r>
    <x v="189"/>
    <s v="M0089"/>
    <x v="51"/>
    <s v="Toko F - Makassar"/>
    <x v="3"/>
    <n v="496741"/>
    <n v="49"/>
  </r>
  <r>
    <x v="190"/>
    <s v="M0096"/>
    <x v="114"/>
    <s v="Toko F - Makassar"/>
    <x v="0"/>
    <n v="363230"/>
    <n v="36"/>
  </r>
  <r>
    <x v="191"/>
    <s v="M0292"/>
    <x v="150"/>
    <s v="Toko F - Makassar"/>
    <x v="0"/>
    <n v="25499"/>
    <n v="2"/>
  </r>
  <r>
    <x v="192"/>
    <s v="M0091"/>
    <x v="151"/>
    <s v="Toko G - Yogyakarta"/>
    <x v="4"/>
    <n v="219013"/>
    <n v="21"/>
  </r>
  <r>
    <x v="193"/>
    <s v="M0140"/>
    <x v="100"/>
    <s v="Toko F - Makassar"/>
    <x v="0"/>
    <n v="386286"/>
    <n v="38"/>
  </r>
  <r>
    <x v="194"/>
    <s v="M0221"/>
    <x v="48"/>
    <s v="Toko H - Denpasar"/>
    <x v="1"/>
    <n v="279787"/>
    <n v="27"/>
  </r>
  <r>
    <x v="195"/>
    <s v="M0187"/>
    <x v="152"/>
    <s v="Toko D - Medan"/>
    <x v="5"/>
    <n v="73634"/>
    <n v="7"/>
  </r>
  <r>
    <x v="196"/>
    <s v="M0257"/>
    <x v="153"/>
    <s v="Toko C - Surabaya"/>
    <x v="0"/>
    <n v="118115"/>
    <n v="11"/>
  </r>
  <r>
    <x v="197"/>
    <s v="M0108"/>
    <x v="154"/>
    <s v="Toko F - Makassar"/>
    <x v="1"/>
    <n v="174795"/>
    <n v="17"/>
  </r>
  <r>
    <x v="198"/>
    <s v="M0091"/>
    <x v="48"/>
    <s v="Toko A - Jakarta"/>
    <x v="3"/>
    <n v="421018"/>
    <n v="42"/>
  </r>
  <r>
    <x v="199"/>
    <s v="M0265"/>
    <x v="147"/>
    <s v="Toko C - Surabaya"/>
    <x v="4"/>
    <n v="342422"/>
    <n v="34"/>
  </r>
  <r>
    <x v="200"/>
    <s v="M0188"/>
    <x v="155"/>
    <s v="Toko C - Surabaya"/>
    <x v="2"/>
    <n v="186624"/>
    <n v="18"/>
  </r>
  <r>
    <x v="201"/>
    <s v="M0296"/>
    <x v="156"/>
    <s v="Toko C - Surabaya"/>
    <x v="4"/>
    <n v="179586"/>
    <n v="17"/>
  </r>
  <r>
    <x v="202"/>
    <s v="M0093"/>
    <x v="157"/>
    <s v="Toko B - Bandung"/>
    <x v="2"/>
    <n v="149532"/>
    <n v="14"/>
  </r>
  <r>
    <x v="203"/>
    <s v="M0053"/>
    <x v="158"/>
    <s v="Toko F - Makassar"/>
    <x v="2"/>
    <n v="382710"/>
    <n v="38"/>
  </r>
  <r>
    <x v="204"/>
    <s v="M0140"/>
    <x v="159"/>
    <s v="Toko A - Jakarta"/>
    <x v="4"/>
    <n v="353093"/>
    <n v="35"/>
  </r>
  <r>
    <x v="205"/>
    <s v="M0271"/>
    <x v="160"/>
    <s v="Toko C - Surabaya"/>
    <x v="4"/>
    <n v="347330"/>
    <n v="34"/>
  </r>
  <r>
    <x v="206"/>
    <s v="M0275"/>
    <x v="161"/>
    <s v="Toko A - Jakarta"/>
    <x v="3"/>
    <n v="205885"/>
    <n v="20"/>
  </r>
  <r>
    <x v="207"/>
    <s v="M0220"/>
    <x v="162"/>
    <s v="Toko G - Yogyakarta"/>
    <x v="5"/>
    <n v="46096"/>
    <n v="4"/>
  </r>
  <r>
    <x v="208"/>
    <s v="M0061"/>
    <x v="163"/>
    <s v="Toko H - Denpasar"/>
    <x v="2"/>
    <n v="86085"/>
    <n v="8"/>
  </r>
  <r>
    <x v="209"/>
    <s v="M0113"/>
    <x v="164"/>
    <s v="Toko A - Jakarta"/>
    <x v="1"/>
    <n v="71603"/>
    <n v="7"/>
  </r>
  <r>
    <x v="210"/>
    <s v="M0056"/>
    <x v="165"/>
    <s v="Toko G - Yogyakarta"/>
    <x v="1"/>
    <n v="324560"/>
    <n v="32"/>
  </r>
  <r>
    <x v="211"/>
    <s v="M0141"/>
    <x v="69"/>
    <s v="Toko A - Jakarta"/>
    <x v="0"/>
    <n v="407847"/>
    <n v="40"/>
  </r>
  <r>
    <x v="212"/>
    <s v="M0160"/>
    <x v="124"/>
    <s v="Toko C - Surabaya"/>
    <x v="0"/>
    <n v="764904"/>
    <n v="76"/>
  </r>
  <r>
    <x v="213"/>
    <s v="M0173"/>
    <x v="166"/>
    <s v="Toko B - Bandung"/>
    <x v="5"/>
    <n v="398580"/>
    <n v="39"/>
  </r>
  <r>
    <x v="214"/>
    <s v="M0104"/>
    <x v="167"/>
    <s v="Toko A - Jakarta"/>
    <x v="1"/>
    <n v="289563"/>
    <n v="28"/>
  </r>
  <r>
    <x v="215"/>
    <s v="M0199"/>
    <x v="168"/>
    <s v="Toko E - Semarang"/>
    <x v="5"/>
    <n v="155018"/>
    <n v="15"/>
  </r>
  <r>
    <x v="216"/>
    <s v="M0199"/>
    <x v="124"/>
    <s v="Toko C - Surabaya"/>
    <x v="0"/>
    <n v="32438"/>
    <n v="3"/>
  </r>
  <r>
    <x v="217"/>
    <s v="M0130"/>
    <x v="133"/>
    <s v="Toko B - Bandung"/>
    <x v="1"/>
    <n v="87956"/>
    <n v="8"/>
  </r>
  <r>
    <x v="218"/>
    <s v="M0242"/>
    <x v="169"/>
    <s v="Toko E - Semarang"/>
    <x v="1"/>
    <n v="649401"/>
    <n v="64"/>
  </r>
  <r>
    <x v="219"/>
    <s v="M0068"/>
    <x v="101"/>
    <s v="Toko C - Surabaya"/>
    <x v="2"/>
    <n v="431192"/>
    <n v="43"/>
  </r>
  <r>
    <x v="220"/>
    <s v="M0178"/>
    <x v="132"/>
    <s v="Toko G - Yogyakarta"/>
    <x v="5"/>
    <n v="674710"/>
    <n v="67"/>
  </r>
  <r>
    <x v="221"/>
    <s v="M0092"/>
    <x v="0"/>
    <s v="Toko H - Denpasar"/>
    <x v="5"/>
    <n v="574630"/>
    <n v="57"/>
  </r>
  <r>
    <x v="222"/>
    <s v="M0222"/>
    <x v="170"/>
    <s v="Toko E - Semarang"/>
    <x v="5"/>
    <n v="135887"/>
    <n v="13"/>
  </r>
  <r>
    <x v="223"/>
    <s v="M0077"/>
    <x v="171"/>
    <s v="Toko H - Denpasar"/>
    <x v="0"/>
    <n v="338998"/>
    <n v="33"/>
  </r>
  <r>
    <x v="224"/>
    <s v="M0017"/>
    <x v="172"/>
    <s v="Toko F - Makassar"/>
    <x v="5"/>
    <n v="160697"/>
    <n v="16"/>
  </r>
  <r>
    <x v="225"/>
    <s v="M0083"/>
    <x v="173"/>
    <s v="Toko H - Denpasar"/>
    <x v="0"/>
    <n v="248238"/>
    <n v="24"/>
  </r>
  <r>
    <x v="226"/>
    <s v="M0273"/>
    <x v="87"/>
    <s v="Toko E - Semarang"/>
    <x v="4"/>
    <n v="573440"/>
    <n v="57"/>
  </r>
  <r>
    <x v="227"/>
    <s v="M0036"/>
    <x v="60"/>
    <s v="Toko F - Makassar"/>
    <x v="2"/>
    <n v="243710"/>
    <n v="24"/>
  </r>
  <r>
    <x v="228"/>
    <s v="M0255"/>
    <x v="174"/>
    <s v="Toko C - Surabaya"/>
    <x v="1"/>
    <n v="65991"/>
    <n v="6"/>
  </r>
  <r>
    <x v="229"/>
    <s v="M0227"/>
    <x v="148"/>
    <s v="Toko F - Makassar"/>
    <x v="2"/>
    <n v="162304"/>
    <n v="16"/>
  </r>
  <r>
    <x v="230"/>
    <s v="M0300"/>
    <x v="142"/>
    <s v="Toko F - Makassar"/>
    <x v="1"/>
    <n v="310183"/>
    <n v="31"/>
  </r>
  <r>
    <x v="231"/>
    <s v="M0081"/>
    <x v="175"/>
    <s v="Toko G - Yogyakarta"/>
    <x v="0"/>
    <n v="265009"/>
    <n v="26"/>
  </r>
  <r>
    <x v="232"/>
    <s v="M0293"/>
    <x v="126"/>
    <s v="Toko A - Jakarta"/>
    <x v="5"/>
    <n v="382912"/>
    <n v="38"/>
  </r>
  <r>
    <x v="233"/>
    <s v="M0024"/>
    <x v="53"/>
    <s v="Toko F - Makassar"/>
    <x v="0"/>
    <n v="395173"/>
    <n v="39"/>
  </r>
  <r>
    <x v="234"/>
    <s v="M0063"/>
    <x v="176"/>
    <s v="Toko G - Yogyakarta"/>
    <x v="4"/>
    <n v="290317"/>
    <n v="29"/>
  </r>
  <r>
    <x v="235"/>
    <s v="M0093"/>
    <x v="177"/>
    <s v="Toko E - Semarang"/>
    <x v="4"/>
    <n v="55657"/>
    <n v="5"/>
  </r>
  <r>
    <x v="236"/>
    <s v="M0044"/>
    <x v="178"/>
    <s v="Toko H - Denpasar"/>
    <x v="0"/>
    <n v="514578"/>
    <n v="51"/>
  </r>
  <r>
    <x v="237"/>
    <s v="M0154"/>
    <x v="28"/>
    <s v="Toko B - Bandung"/>
    <x v="2"/>
    <n v="234187"/>
    <n v="23"/>
  </r>
  <r>
    <x v="238"/>
    <s v="M0261"/>
    <x v="38"/>
    <s v="Toko B - Bandung"/>
    <x v="2"/>
    <n v="185689"/>
    <n v="18"/>
  </r>
  <r>
    <x v="239"/>
    <s v="M0198"/>
    <x v="179"/>
    <s v="Toko F - Makassar"/>
    <x v="4"/>
    <n v="214894"/>
    <n v="21"/>
  </r>
  <r>
    <x v="240"/>
    <s v="M0270"/>
    <x v="111"/>
    <s v="Toko D - Medan"/>
    <x v="1"/>
    <n v="289661"/>
    <n v="28"/>
  </r>
  <r>
    <x v="241"/>
    <s v="M0218"/>
    <x v="34"/>
    <s v="Toko C - Surabaya"/>
    <x v="1"/>
    <n v="465852"/>
    <n v="46"/>
  </r>
  <r>
    <x v="242"/>
    <s v="M0204"/>
    <x v="180"/>
    <s v="Toko C - Surabaya"/>
    <x v="0"/>
    <n v="118083"/>
    <n v="11"/>
  </r>
  <r>
    <x v="243"/>
    <s v="M0113"/>
    <x v="49"/>
    <s v="Toko F - Makassar"/>
    <x v="5"/>
    <n v="217463"/>
    <n v="21"/>
  </r>
  <r>
    <x v="244"/>
    <s v="M0157"/>
    <x v="63"/>
    <s v="Toko G - Yogyakarta"/>
    <x v="3"/>
    <n v="111093"/>
    <n v="11"/>
  </r>
  <r>
    <x v="245"/>
    <s v="M0218"/>
    <x v="181"/>
    <s v="Toko D - Medan"/>
    <x v="1"/>
    <n v="466070"/>
    <n v="46"/>
  </r>
  <r>
    <x v="246"/>
    <s v="M0242"/>
    <x v="156"/>
    <s v="Toko A - Jakarta"/>
    <x v="0"/>
    <n v="243126"/>
    <n v="24"/>
  </r>
  <r>
    <x v="247"/>
    <s v="M0106"/>
    <x v="119"/>
    <s v="Toko B - Bandung"/>
    <x v="2"/>
    <n v="394157"/>
    <n v="39"/>
  </r>
  <r>
    <x v="248"/>
    <s v="M0131"/>
    <x v="86"/>
    <s v="Toko E - Semarang"/>
    <x v="2"/>
    <n v="1068668"/>
    <n v="106"/>
  </r>
  <r>
    <x v="249"/>
    <s v="M0108"/>
    <x v="182"/>
    <s v="Toko G - Yogyakarta"/>
    <x v="1"/>
    <n v="109082"/>
    <n v="10"/>
  </r>
  <r>
    <x v="250"/>
    <s v="M0146"/>
    <x v="183"/>
    <s v="Toko H - Denpasar"/>
    <x v="5"/>
    <n v="405986"/>
    <n v="40"/>
  </r>
  <r>
    <x v="251"/>
    <s v="M0253"/>
    <x v="74"/>
    <s v="Toko A - Jakarta"/>
    <x v="1"/>
    <n v="157485"/>
    <n v="15"/>
  </r>
  <r>
    <x v="252"/>
    <s v="M0271"/>
    <x v="86"/>
    <s v="Toko F - Makassar"/>
    <x v="3"/>
    <n v="102934"/>
    <n v="10"/>
  </r>
  <r>
    <x v="253"/>
    <s v="M0015"/>
    <x v="162"/>
    <s v="Toko E - Semarang"/>
    <x v="3"/>
    <n v="484327"/>
    <n v="48"/>
  </r>
  <r>
    <x v="254"/>
    <s v="M0141"/>
    <x v="8"/>
    <s v="Toko E - Semarang"/>
    <x v="5"/>
    <n v="113217"/>
    <n v="11"/>
  </r>
  <r>
    <x v="255"/>
    <s v="M0171"/>
    <x v="26"/>
    <s v="Toko G - Yogyakarta"/>
    <x v="2"/>
    <n v="569682"/>
    <n v="56"/>
  </r>
  <r>
    <x v="256"/>
    <s v="M0089"/>
    <x v="184"/>
    <s v="Toko D - Medan"/>
    <x v="1"/>
    <n v="97129"/>
    <n v="9"/>
  </r>
  <r>
    <x v="257"/>
    <s v="M0269"/>
    <x v="99"/>
    <s v="Toko F - Makassar"/>
    <x v="0"/>
    <n v="477525"/>
    <n v="47"/>
  </r>
  <r>
    <x v="258"/>
    <s v="M0279"/>
    <x v="134"/>
    <s v="Toko C - Surabaya"/>
    <x v="4"/>
    <n v="248205"/>
    <n v="24"/>
  </r>
  <r>
    <x v="259"/>
    <s v="M0270"/>
    <x v="45"/>
    <s v="Toko B - Bandung"/>
    <x v="5"/>
    <n v="350143"/>
    <n v="35"/>
  </r>
  <r>
    <x v="260"/>
    <s v="M0031"/>
    <x v="39"/>
    <s v="Toko A - Jakarta"/>
    <x v="4"/>
    <n v="264116"/>
    <n v="26"/>
  </r>
  <r>
    <x v="261"/>
    <s v="M0119"/>
    <x v="126"/>
    <s v="Toko H - Denpasar"/>
    <x v="2"/>
    <n v="184975"/>
    <n v="18"/>
  </r>
  <r>
    <x v="262"/>
    <s v="M0277"/>
    <x v="185"/>
    <s v="Toko B - Bandung"/>
    <x v="0"/>
    <n v="354905"/>
    <n v="35"/>
  </r>
  <r>
    <x v="263"/>
    <s v="M0265"/>
    <x v="149"/>
    <s v="Toko E - Semarang"/>
    <x v="1"/>
    <n v="327115"/>
    <n v="32"/>
  </r>
  <r>
    <x v="264"/>
    <s v="M0264"/>
    <x v="159"/>
    <s v="Toko D - Medan"/>
    <x v="4"/>
    <n v="188253"/>
    <n v="18"/>
  </r>
  <r>
    <x v="265"/>
    <s v="M0031"/>
    <x v="186"/>
    <s v="Toko C - Surabaya"/>
    <x v="3"/>
    <n v="201295"/>
    <n v="20"/>
  </r>
  <r>
    <x v="266"/>
    <s v="M0122"/>
    <x v="49"/>
    <s v="Toko H - Denpasar"/>
    <x v="0"/>
    <n v="365102"/>
    <n v="36"/>
  </r>
  <r>
    <x v="267"/>
    <s v="M0160"/>
    <x v="103"/>
    <s v="Toko G - Yogyakarta"/>
    <x v="5"/>
    <n v="164700"/>
    <n v="16"/>
  </r>
  <r>
    <x v="268"/>
    <s v="M0117"/>
    <x v="61"/>
    <s v="Toko B - Bandung"/>
    <x v="3"/>
    <n v="92657"/>
    <n v="9"/>
  </r>
  <r>
    <x v="269"/>
    <s v="M0128"/>
    <x v="184"/>
    <s v="Toko E - Semarang"/>
    <x v="3"/>
    <n v="535984"/>
    <n v="53"/>
  </r>
  <r>
    <x v="270"/>
    <s v="M0130"/>
    <x v="123"/>
    <s v="Toko C - Surabaya"/>
    <x v="3"/>
    <n v="403612"/>
    <n v="40"/>
  </r>
  <r>
    <x v="271"/>
    <s v="M0252"/>
    <x v="187"/>
    <s v="Toko B - Bandung"/>
    <x v="1"/>
    <n v="152835"/>
    <n v="15"/>
  </r>
  <r>
    <x v="272"/>
    <s v="M0117"/>
    <x v="4"/>
    <s v="Toko G - Yogyakarta"/>
    <x v="2"/>
    <n v="629369"/>
    <n v="62"/>
  </r>
  <r>
    <x v="273"/>
    <s v="M0229"/>
    <x v="188"/>
    <s v="Toko A - Jakarta"/>
    <x v="2"/>
    <n v="788659"/>
    <n v="78"/>
  </r>
  <r>
    <x v="274"/>
    <s v="M0053"/>
    <x v="111"/>
    <s v="Toko F - Makassar"/>
    <x v="3"/>
    <n v="805231"/>
    <n v="80"/>
  </r>
  <r>
    <x v="275"/>
    <s v="M0285"/>
    <x v="40"/>
    <s v="Toko F - Makassar"/>
    <x v="1"/>
    <n v="197650"/>
    <n v="19"/>
  </r>
  <r>
    <x v="276"/>
    <s v="M0024"/>
    <x v="162"/>
    <s v="Toko G - Yogyakarta"/>
    <x v="5"/>
    <n v="142384"/>
    <n v="14"/>
  </r>
  <r>
    <x v="277"/>
    <s v="M0137"/>
    <x v="189"/>
    <s v="Toko D - Medan"/>
    <x v="4"/>
    <n v="123558"/>
    <n v="12"/>
  </r>
  <r>
    <x v="278"/>
    <s v="M0151"/>
    <x v="190"/>
    <s v="Toko E - Semarang"/>
    <x v="0"/>
    <n v="516553"/>
    <n v="51"/>
  </r>
  <r>
    <x v="279"/>
    <s v="M0126"/>
    <x v="191"/>
    <s v="Toko D - Medan"/>
    <x v="2"/>
    <n v="129476"/>
    <n v="12"/>
  </r>
  <r>
    <x v="280"/>
    <s v="M0242"/>
    <x v="183"/>
    <s v="Toko G - Yogyakarta"/>
    <x v="4"/>
    <n v="36153"/>
    <n v="3"/>
  </r>
  <r>
    <x v="281"/>
    <s v="M0263"/>
    <x v="34"/>
    <s v="Toko B - Bandung"/>
    <x v="5"/>
    <n v="119478"/>
    <n v="11"/>
  </r>
  <r>
    <x v="282"/>
    <s v="M0274"/>
    <x v="192"/>
    <s v="Toko G - Yogyakarta"/>
    <x v="3"/>
    <n v="613517"/>
    <n v="61"/>
  </r>
  <r>
    <x v="283"/>
    <s v="M0141"/>
    <x v="193"/>
    <s v="Toko H - Denpasar"/>
    <x v="3"/>
    <n v="215136"/>
    <n v="21"/>
  </r>
  <r>
    <x v="284"/>
    <s v="M0080"/>
    <x v="187"/>
    <s v="Toko G - Yogyakarta"/>
    <x v="3"/>
    <n v="329656"/>
    <n v="32"/>
  </r>
  <r>
    <x v="285"/>
    <s v="M0159"/>
    <x v="12"/>
    <s v="Toko C - Surabaya"/>
    <x v="5"/>
    <n v="245466"/>
    <n v="24"/>
  </r>
  <r>
    <x v="286"/>
    <s v="M0157"/>
    <x v="96"/>
    <s v="Toko H - Denpasar"/>
    <x v="4"/>
    <n v="89538"/>
    <n v="8"/>
  </r>
  <r>
    <x v="287"/>
    <s v="M0081"/>
    <x v="194"/>
    <s v="Toko G - Yogyakarta"/>
    <x v="0"/>
    <n v="413723"/>
    <n v="41"/>
  </r>
  <r>
    <x v="288"/>
    <s v="M0276"/>
    <x v="195"/>
    <s v="Toko F - Makassar"/>
    <x v="3"/>
    <n v="224341"/>
    <n v="22"/>
  </r>
  <r>
    <x v="289"/>
    <s v="M0081"/>
    <x v="124"/>
    <s v="Toko B - Bandung"/>
    <x v="5"/>
    <n v="126593"/>
    <n v="12"/>
  </r>
  <r>
    <x v="290"/>
    <s v="M0013"/>
    <x v="64"/>
    <s v="Toko A - Jakarta"/>
    <x v="2"/>
    <n v="55058"/>
    <n v="5"/>
  </r>
  <r>
    <x v="291"/>
    <s v="M0140"/>
    <x v="37"/>
    <s v="Toko H - Denpasar"/>
    <x v="1"/>
    <n v="194144"/>
    <n v="19"/>
  </r>
  <r>
    <x v="292"/>
    <s v="M0044"/>
    <x v="151"/>
    <s v="Toko D - Medan"/>
    <x v="0"/>
    <n v="390483"/>
    <n v="39"/>
  </r>
  <r>
    <x v="293"/>
    <s v="M0267"/>
    <x v="46"/>
    <s v="Toko F - Makassar"/>
    <x v="1"/>
    <n v="255551"/>
    <n v="25"/>
  </r>
  <r>
    <x v="294"/>
    <s v="M0151"/>
    <x v="196"/>
    <s v="Toko D - Medan"/>
    <x v="4"/>
    <n v="360026"/>
    <n v="36"/>
  </r>
  <r>
    <x v="295"/>
    <s v="M0256"/>
    <x v="4"/>
    <s v="Toko H - Denpasar"/>
    <x v="2"/>
    <n v="113903"/>
    <n v="11"/>
  </r>
  <r>
    <x v="296"/>
    <s v="M0081"/>
    <x v="197"/>
    <s v="Toko B - Bandung"/>
    <x v="0"/>
    <n v="566177"/>
    <n v="56"/>
  </r>
  <r>
    <x v="297"/>
    <s v="M0081"/>
    <x v="198"/>
    <s v="Toko F - Makassar"/>
    <x v="1"/>
    <n v="70664"/>
    <n v="7"/>
  </r>
  <r>
    <x v="298"/>
    <s v="M0264"/>
    <x v="145"/>
    <s v="Toko E - Semarang"/>
    <x v="4"/>
    <n v="332987"/>
    <n v="33"/>
  </r>
  <r>
    <x v="299"/>
    <s v="M0265"/>
    <x v="199"/>
    <s v="Toko C - Surabaya"/>
    <x v="3"/>
    <n v="267167"/>
    <n v="26"/>
  </r>
  <r>
    <x v="300"/>
    <s v="M0184"/>
    <x v="73"/>
    <s v="Toko E - Semarang"/>
    <x v="2"/>
    <n v="65137"/>
    <n v="6"/>
  </r>
  <r>
    <x v="301"/>
    <s v="M0009"/>
    <x v="78"/>
    <s v="Toko E - Semarang"/>
    <x v="4"/>
    <n v="252446"/>
    <n v="25"/>
  </r>
  <r>
    <x v="302"/>
    <s v="M0028"/>
    <x v="46"/>
    <s v="Toko B - Bandung"/>
    <x v="5"/>
    <n v="101188"/>
    <n v="10"/>
  </r>
  <r>
    <x v="303"/>
    <s v="M0032"/>
    <x v="66"/>
    <s v="Toko C - Surabaya"/>
    <x v="3"/>
    <n v="104327"/>
    <n v="10"/>
  </r>
  <r>
    <x v="304"/>
    <s v="M0261"/>
    <x v="200"/>
    <s v="Toko B - Bandung"/>
    <x v="1"/>
    <n v="317120"/>
    <n v="31"/>
  </r>
  <r>
    <x v="305"/>
    <s v="M0224"/>
    <x v="51"/>
    <s v="Toko H - Denpasar"/>
    <x v="4"/>
    <n v="615057"/>
    <n v="61"/>
  </r>
  <r>
    <x v="306"/>
    <s v="M0075"/>
    <x v="162"/>
    <s v="Toko G - Yogyakarta"/>
    <x v="0"/>
    <n v="492383"/>
    <n v="49"/>
  </r>
  <r>
    <x v="307"/>
    <s v="M0001"/>
    <x v="201"/>
    <s v="Toko G - Yogyakarta"/>
    <x v="0"/>
    <n v="143856"/>
    <n v="14"/>
  </r>
  <r>
    <x v="308"/>
    <s v="M0097"/>
    <x v="33"/>
    <s v="Toko G - Yogyakarta"/>
    <x v="5"/>
    <n v="208657"/>
    <n v="20"/>
  </r>
  <r>
    <x v="309"/>
    <s v="M0198"/>
    <x v="46"/>
    <s v="Toko C - Surabaya"/>
    <x v="4"/>
    <n v="87104"/>
    <n v="8"/>
  </r>
  <r>
    <x v="310"/>
    <s v="M0087"/>
    <x v="202"/>
    <s v="Toko D - Medan"/>
    <x v="1"/>
    <n v="333806"/>
    <n v="33"/>
  </r>
  <r>
    <x v="311"/>
    <s v="M0265"/>
    <x v="203"/>
    <s v="Toko B - Bandung"/>
    <x v="4"/>
    <n v="153573"/>
    <n v="15"/>
  </r>
  <r>
    <x v="312"/>
    <s v="M0212"/>
    <x v="152"/>
    <s v="Toko H - Denpasar"/>
    <x v="5"/>
    <n v="357696"/>
    <n v="35"/>
  </r>
  <r>
    <x v="313"/>
    <s v="M0049"/>
    <x v="150"/>
    <s v="Toko G - Yogyakarta"/>
    <x v="5"/>
    <n v="101606"/>
    <n v="10"/>
  </r>
  <r>
    <x v="314"/>
    <s v="M0100"/>
    <x v="204"/>
    <s v="Toko B - Bandung"/>
    <x v="3"/>
    <n v="144613"/>
    <n v="14"/>
  </r>
  <r>
    <x v="315"/>
    <s v="M0094"/>
    <x v="126"/>
    <s v="Toko H - Denpasar"/>
    <x v="0"/>
    <n v="484376"/>
    <n v="48"/>
  </r>
  <r>
    <x v="316"/>
    <s v="M0097"/>
    <x v="92"/>
    <s v="Toko A - Jakarta"/>
    <x v="5"/>
    <n v="570811"/>
    <n v="57"/>
  </r>
  <r>
    <x v="317"/>
    <s v="M0125"/>
    <x v="43"/>
    <s v="Toko H - Denpasar"/>
    <x v="5"/>
    <n v="194979"/>
    <n v="19"/>
  </r>
  <r>
    <x v="318"/>
    <s v="M0192"/>
    <x v="205"/>
    <s v="Toko B - Bandung"/>
    <x v="2"/>
    <n v="161312"/>
    <n v="16"/>
  </r>
  <r>
    <x v="319"/>
    <s v="M0010"/>
    <x v="36"/>
    <s v="Toko H - Denpasar"/>
    <x v="2"/>
    <n v="113259"/>
    <n v="11"/>
  </r>
  <r>
    <x v="320"/>
    <s v="M0249"/>
    <x v="206"/>
    <s v="Toko H - Denpasar"/>
    <x v="1"/>
    <n v="69271"/>
    <n v="6"/>
  </r>
  <r>
    <x v="321"/>
    <s v="M0117"/>
    <x v="118"/>
    <s v="Toko D - Medan"/>
    <x v="1"/>
    <n v="124163"/>
    <n v="12"/>
  </r>
  <r>
    <x v="322"/>
    <s v="M0071"/>
    <x v="207"/>
    <s v="Toko G - Yogyakarta"/>
    <x v="5"/>
    <n v="147617"/>
    <n v="14"/>
  </r>
  <r>
    <x v="323"/>
    <s v="M0151"/>
    <x v="208"/>
    <s v="Toko D - Medan"/>
    <x v="4"/>
    <n v="411214"/>
    <n v="41"/>
  </r>
  <r>
    <x v="324"/>
    <s v="M0031"/>
    <x v="209"/>
    <s v="Toko G - Yogyakarta"/>
    <x v="1"/>
    <n v="118898"/>
    <n v="11"/>
  </r>
  <r>
    <x v="325"/>
    <s v="M0093"/>
    <x v="210"/>
    <s v="Toko H - Denpasar"/>
    <x v="1"/>
    <n v="582865"/>
    <n v="58"/>
  </r>
  <r>
    <x v="326"/>
    <s v="M0161"/>
    <x v="29"/>
    <s v="Toko E - Semarang"/>
    <x v="2"/>
    <n v="304574"/>
    <n v="30"/>
  </r>
  <r>
    <x v="327"/>
    <s v="M0102"/>
    <x v="211"/>
    <s v="Toko C - Surabaya"/>
    <x v="0"/>
    <n v="53030"/>
    <n v="5"/>
  </r>
  <r>
    <x v="328"/>
    <s v="M0261"/>
    <x v="75"/>
    <s v="Toko H - Denpasar"/>
    <x v="2"/>
    <n v="281811"/>
    <n v="28"/>
  </r>
  <r>
    <x v="329"/>
    <s v="M0146"/>
    <x v="144"/>
    <s v="Toko C - Surabaya"/>
    <x v="4"/>
    <n v="86999"/>
    <n v="8"/>
  </r>
  <r>
    <x v="330"/>
    <s v="M0227"/>
    <x v="69"/>
    <s v="Toko F - Makassar"/>
    <x v="0"/>
    <n v="100482"/>
    <n v="10"/>
  </r>
  <r>
    <x v="331"/>
    <s v="M0151"/>
    <x v="47"/>
    <s v="Toko E - Semarang"/>
    <x v="1"/>
    <n v="340703"/>
    <n v="34"/>
  </r>
  <r>
    <x v="332"/>
    <s v="M0098"/>
    <x v="212"/>
    <s v="Toko B - Bandung"/>
    <x v="5"/>
    <n v="243161"/>
    <n v="24"/>
  </r>
  <r>
    <x v="333"/>
    <s v="M0063"/>
    <x v="165"/>
    <s v="Toko A - Jakarta"/>
    <x v="3"/>
    <n v="394275"/>
    <n v="39"/>
  </r>
  <r>
    <x v="334"/>
    <s v="M0113"/>
    <x v="213"/>
    <s v="Toko F - Makassar"/>
    <x v="5"/>
    <n v="175740"/>
    <n v="17"/>
  </r>
  <r>
    <x v="335"/>
    <s v="M0044"/>
    <x v="96"/>
    <s v="Toko B - Bandung"/>
    <x v="3"/>
    <n v="390779"/>
    <n v="39"/>
  </r>
  <r>
    <x v="336"/>
    <s v="M0249"/>
    <x v="189"/>
    <s v="Toko C - Surabaya"/>
    <x v="4"/>
    <n v="455681"/>
    <n v="45"/>
  </r>
  <r>
    <x v="337"/>
    <s v="M0200"/>
    <x v="37"/>
    <s v="Toko C - Surabaya"/>
    <x v="0"/>
    <n v="107257"/>
    <n v="10"/>
  </r>
  <r>
    <x v="338"/>
    <s v="M0035"/>
    <x v="47"/>
    <s v="Toko F - Makassar"/>
    <x v="4"/>
    <n v="176111"/>
    <n v="17"/>
  </r>
  <r>
    <x v="339"/>
    <s v="M0273"/>
    <x v="214"/>
    <s v="Toko H - Denpasar"/>
    <x v="0"/>
    <n v="98680"/>
    <n v="9"/>
  </r>
  <r>
    <x v="340"/>
    <s v="M0170"/>
    <x v="215"/>
    <s v="Toko A - Jakarta"/>
    <x v="2"/>
    <n v="250654"/>
    <n v="25"/>
  </r>
  <r>
    <x v="341"/>
    <s v="M0192"/>
    <x v="159"/>
    <s v="Toko E - Semarang"/>
    <x v="3"/>
    <n v="25000"/>
    <n v="2"/>
  </r>
  <r>
    <x v="342"/>
    <s v="M0081"/>
    <x v="7"/>
    <s v="Toko C - Surabaya"/>
    <x v="1"/>
    <n v="194790"/>
    <n v="19"/>
  </r>
  <r>
    <x v="343"/>
    <s v="M0075"/>
    <x v="216"/>
    <s v="Toko H - Denpasar"/>
    <x v="5"/>
    <n v="427645"/>
    <n v="42"/>
  </r>
  <r>
    <x v="344"/>
    <s v="M0275"/>
    <x v="217"/>
    <s v="Toko C - Surabaya"/>
    <x v="3"/>
    <n v="127656"/>
    <n v="12"/>
  </r>
  <r>
    <x v="345"/>
    <s v="M0087"/>
    <x v="38"/>
    <s v="Toko C - Surabaya"/>
    <x v="3"/>
    <n v="173608"/>
    <n v="17"/>
  </r>
  <r>
    <x v="346"/>
    <s v="M0300"/>
    <x v="218"/>
    <s v="Toko A - Jakarta"/>
    <x v="0"/>
    <n v="53838"/>
    <n v="5"/>
  </r>
  <r>
    <x v="347"/>
    <s v="M0027"/>
    <x v="219"/>
    <s v="Toko H - Denpasar"/>
    <x v="4"/>
    <n v="267145"/>
    <n v="26"/>
  </r>
  <r>
    <x v="348"/>
    <s v="M0044"/>
    <x v="43"/>
    <s v="Toko H - Denpasar"/>
    <x v="0"/>
    <n v="545129"/>
    <n v="54"/>
  </r>
  <r>
    <x v="349"/>
    <s v="M0204"/>
    <x v="54"/>
    <s v="Toko G - Yogyakarta"/>
    <x v="4"/>
    <n v="346905"/>
    <n v="34"/>
  </r>
  <r>
    <x v="350"/>
    <s v="M0042"/>
    <x v="72"/>
    <s v="Toko E - Semarang"/>
    <x v="0"/>
    <n v="104369"/>
    <n v="10"/>
  </r>
  <r>
    <x v="351"/>
    <s v="M0269"/>
    <x v="220"/>
    <s v="Toko G - Yogyakarta"/>
    <x v="5"/>
    <n v="291784"/>
    <n v="29"/>
  </r>
  <r>
    <x v="352"/>
    <s v="M0152"/>
    <x v="221"/>
    <s v="Toko B - Bandung"/>
    <x v="5"/>
    <n v="68891"/>
    <n v="6"/>
  </r>
  <r>
    <x v="353"/>
    <s v="M0122"/>
    <x v="222"/>
    <s v="Toko F - Makassar"/>
    <x v="1"/>
    <n v="515335"/>
    <n v="51"/>
  </r>
  <r>
    <x v="354"/>
    <s v="M0040"/>
    <x v="23"/>
    <s v="Toko D - Medan"/>
    <x v="0"/>
    <n v="335531"/>
    <n v="33"/>
  </r>
  <r>
    <x v="355"/>
    <s v="M0265"/>
    <x v="98"/>
    <s v="Toko B - Bandung"/>
    <x v="5"/>
    <n v="363651"/>
    <n v="36"/>
  </r>
  <r>
    <x v="356"/>
    <s v="M0056"/>
    <x v="223"/>
    <s v="Toko F - Makassar"/>
    <x v="1"/>
    <n v="322414"/>
    <n v="32"/>
  </r>
  <r>
    <x v="357"/>
    <s v="M0048"/>
    <x v="4"/>
    <s v="Toko C - Surabaya"/>
    <x v="3"/>
    <n v="305361"/>
    <n v="30"/>
  </r>
  <r>
    <x v="358"/>
    <s v="M0248"/>
    <x v="23"/>
    <s v="Toko H - Denpasar"/>
    <x v="4"/>
    <n v="320098"/>
    <n v="32"/>
  </r>
  <r>
    <x v="359"/>
    <s v="M0227"/>
    <x v="218"/>
    <s v="Toko E - Semarang"/>
    <x v="3"/>
    <n v="222247"/>
    <n v="22"/>
  </r>
  <r>
    <x v="360"/>
    <s v="M0262"/>
    <x v="2"/>
    <s v="Toko H - Denpasar"/>
    <x v="2"/>
    <n v="181348"/>
    <n v="18"/>
  </r>
  <r>
    <x v="361"/>
    <s v="M0187"/>
    <x v="212"/>
    <s v="Toko C - Surabaya"/>
    <x v="4"/>
    <n v="131503"/>
    <n v="13"/>
  </r>
  <r>
    <x v="362"/>
    <s v="M0057"/>
    <x v="224"/>
    <s v="Toko C - Surabaya"/>
    <x v="0"/>
    <n v="139947"/>
    <n v="13"/>
  </r>
  <r>
    <x v="363"/>
    <s v="M0220"/>
    <x v="8"/>
    <s v="Toko H - Denpasar"/>
    <x v="4"/>
    <n v="309072"/>
    <n v="30"/>
  </r>
  <r>
    <x v="364"/>
    <s v="M0242"/>
    <x v="225"/>
    <s v="Toko E - Semarang"/>
    <x v="4"/>
    <n v="485303"/>
    <n v="48"/>
  </r>
  <r>
    <x v="365"/>
    <s v="M0128"/>
    <x v="226"/>
    <s v="Toko C - Surabaya"/>
    <x v="3"/>
    <n v="25000"/>
    <n v="2"/>
  </r>
  <r>
    <x v="366"/>
    <s v="M0234"/>
    <x v="51"/>
    <s v="Toko A - Jakarta"/>
    <x v="5"/>
    <n v="168442"/>
    <n v="16"/>
  </r>
  <r>
    <x v="367"/>
    <s v="M0115"/>
    <x v="227"/>
    <s v="Toko D - Medan"/>
    <x v="3"/>
    <n v="33970"/>
    <n v="3"/>
  </r>
  <r>
    <x v="368"/>
    <s v="M0138"/>
    <x v="224"/>
    <s v="Toko E - Semarang"/>
    <x v="4"/>
    <n v="50025"/>
    <n v="5"/>
  </r>
  <r>
    <x v="369"/>
    <s v="M0151"/>
    <x v="165"/>
    <s v="Toko F - Makassar"/>
    <x v="0"/>
    <n v="278807"/>
    <n v="27"/>
  </r>
  <r>
    <x v="370"/>
    <s v="M0170"/>
    <x v="228"/>
    <s v="Toko D - Medan"/>
    <x v="5"/>
    <n v="815520"/>
    <n v="81"/>
  </r>
  <r>
    <x v="371"/>
    <s v="M0162"/>
    <x v="119"/>
    <s v="Toko C - Surabaya"/>
    <x v="5"/>
    <n v="1043999"/>
    <n v="104"/>
  </r>
  <r>
    <x v="372"/>
    <s v="M0049"/>
    <x v="131"/>
    <s v="Toko C - Surabaya"/>
    <x v="1"/>
    <n v="331605"/>
    <n v="33"/>
  </r>
  <r>
    <x v="373"/>
    <s v="M0040"/>
    <x v="155"/>
    <s v="Toko C - Surabaya"/>
    <x v="2"/>
    <n v="743425"/>
    <n v="74"/>
  </r>
  <r>
    <x v="374"/>
    <s v="M0227"/>
    <x v="229"/>
    <s v="Toko A - Jakarta"/>
    <x v="2"/>
    <n v="517004"/>
    <n v="51"/>
  </r>
  <r>
    <x v="375"/>
    <s v="M0005"/>
    <x v="189"/>
    <s v="Toko E - Semarang"/>
    <x v="2"/>
    <n v="113392"/>
    <n v="11"/>
  </r>
  <r>
    <x v="376"/>
    <s v="M0276"/>
    <x v="230"/>
    <s v="Toko D - Medan"/>
    <x v="2"/>
    <n v="239326"/>
    <n v="23"/>
  </r>
  <r>
    <x v="377"/>
    <s v="M0128"/>
    <x v="135"/>
    <s v="Toko H - Denpasar"/>
    <x v="4"/>
    <n v="333492"/>
    <n v="33"/>
  </r>
  <r>
    <x v="378"/>
    <s v="M0290"/>
    <x v="55"/>
    <s v="Toko G - Yogyakarta"/>
    <x v="3"/>
    <n v="178819"/>
    <n v="17"/>
  </r>
  <r>
    <x v="379"/>
    <s v="M0078"/>
    <x v="231"/>
    <s v="Toko B - Bandung"/>
    <x v="4"/>
    <n v="720699"/>
    <n v="72"/>
  </r>
  <r>
    <x v="380"/>
    <s v="M0216"/>
    <x v="232"/>
    <s v="Toko H - Denpasar"/>
    <x v="5"/>
    <n v="231751"/>
    <n v="23"/>
  </r>
  <r>
    <x v="381"/>
    <s v="M0242"/>
    <x v="29"/>
    <s v="Toko C - Surabaya"/>
    <x v="4"/>
    <n v="196704"/>
    <n v="19"/>
  </r>
  <r>
    <x v="382"/>
    <s v="M0102"/>
    <x v="233"/>
    <s v="Toko A - Jakarta"/>
    <x v="3"/>
    <n v="197641"/>
    <n v="19"/>
  </r>
  <r>
    <x v="383"/>
    <s v="M0018"/>
    <x v="234"/>
    <s v="Toko F - Makassar"/>
    <x v="3"/>
    <n v="226038"/>
    <n v="22"/>
  </r>
  <r>
    <x v="384"/>
    <s v="M0091"/>
    <x v="36"/>
    <s v="Toko H - Denpasar"/>
    <x v="2"/>
    <n v="308811"/>
    <n v="30"/>
  </r>
  <r>
    <x v="385"/>
    <s v="M0024"/>
    <x v="235"/>
    <s v="Toko D - Medan"/>
    <x v="5"/>
    <n v="154116"/>
    <n v="15"/>
  </r>
  <r>
    <x v="386"/>
    <s v="M0063"/>
    <x v="236"/>
    <s v="Toko H - Denpasar"/>
    <x v="3"/>
    <n v="759359"/>
    <n v="75"/>
  </r>
  <r>
    <x v="387"/>
    <s v="M0167"/>
    <x v="237"/>
    <s v="Toko G - Yogyakarta"/>
    <x v="2"/>
    <n v="490575"/>
    <n v="49"/>
  </r>
  <r>
    <x v="388"/>
    <s v="M0187"/>
    <x v="238"/>
    <s v="Toko D - Medan"/>
    <x v="5"/>
    <n v="444882"/>
    <n v="44"/>
  </r>
  <r>
    <x v="389"/>
    <s v="M0227"/>
    <x v="233"/>
    <s v="Toko F - Makassar"/>
    <x v="3"/>
    <n v="701829"/>
    <n v="70"/>
  </r>
  <r>
    <x v="390"/>
    <s v="M0246"/>
    <x v="2"/>
    <s v="Toko B - Bandung"/>
    <x v="5"/>
    <n v="559064"/>
    <n v="55"/>
  </r>
  <r>
    <x v="391"/>
    <s v="M0061"/>
    <x v="191"/>
    <s v="Toko H - Denpasar"/>
    <x v="4"/>
    <n v="205124"/>
    <n v="20"/>
  </r>
  <r>
    <x v="392"/>
    <s v="M0063"/>
    <x v="239"/>
    <s v="Toko H - Denpasar"/>
    <x v="2"/>
    <n v="154547"/>
    <n v="15"/>
  </r>
  <r>
    <x v="393"/>
    <s v="M0110"/>
    <x v="165"/>
    <s v="Toko G - Yogyakarta"/>
    <x v="4"/>
    <n v="263812"/>
    <n v="26"/>
  </r>
  <r>
    <x v="394"/>
    <s v="M0171"/>
    <x v="103"/>
    <s v="Toko B - Bandung"/>
    <x v="2"/>
    <n v="239853"/>
    <n v="23"/>
  </r>
  <r>
    <x v="395"/>
    <s v="M0075"/>
    <x v="225"/>
    <s v="Toko D - Medan"/>
    <x v="3"/>
    <n v="625288"/>
    <n v="62"/>
  </r>
  <r>
    <x v="396"/>
    <s v="M0161"/>
    <x v="186"/>
    <s v="Toko D - Medan"/>
    <x v="0"/>
    <n v="135431"/>
    <n v="13"/>
  </r>
  <r>
    <x v="397"/>
    <s v="M0161"/>
    <x v="221"/>
    <s v="Toko D - Medan"/>
    <x v="5"/>
    <n v="237215"/>
    <n v="23"/>
  </r>
  <r>
    <x v="398"/>
    <s v="M0058"/>
    <x v="240"/>
    <s v="Toko C - Surabaya"/>
    <x v="1"/>
    <n v="341771"/>
    <n v="34"/>
  </r>
  <r>
    <x v="399"/>
    <s v="M0261"/>
    <x v="232"/>
    <s v="Toko F - Makassar"/>
    <x v="2"/>
    <n v="134374"/>
    <n v="13"/>
  </r>
  <r>
    <x v="400"/>
    <s v="M0253"/>
    <x v="241"/>
    <s v="Toko E - Semarang"/>
    <x v="1"/>
    <n v="104695"/>
    <n v="10"/>
  </r>
  <r>
    <x v="401"/>
    <s v="M0294"/>
    <x v="34"/>
    <s v="Toko C - Surabaya"/>
    <x v="4"/>
    <n v="307479"/>
    <n v="30"/>
  </r>
  <r>
    <x v="402"/>
    <s v="M0218"/>
    <x v="52"/>
    <s v="Toko C - Surabaya"/>
    <x v="3"/>
    <n v="287600"/>
    <n v="28"/>
  </r>
  <r>
    <x v="403"/>
    <s v="M0002"/>
    <x v="242"/>
    <s v="Toko B - Bandung"/>
    <x v="1"/>
    <n v="350587"/>
    <n v="35"/>
  </r>
  <r>
    <x v="404"/>
    <s v="M0218"/>
    <x v="11"/>
    <s v="Toko F - Makassar"/>
    <x v="1"/>
    <n v="798036"/>
    <n v="79"/>
  </r>
  <r>
    <x v="405"/>
    <s v="M0105"/>
    <x v="151"/>
    <s v="Toko A - Jakarta"/>
    <x v="2"/>
    <n v="336615"/>
    <n v="33"/>
  </r>
  <r>
    <x v="406"/>
    <s v="M0215"/>
    <x v="243"/>
    <s v="Toko E - Semarang"/>
    <x v="0"/>
    <n v="25000"/>
    <n v="2"/>
  </r>
  <r>
    <x v="407"/>
    <s v="M0116"/>
    <x v="195"/>
    <s v="Toko B - Bandung"/>
    <x v="4"/>
    <n v="282251"/>
    <n v="28"/>
  </r>
  <r>
    <x v="408"/>
    <s v="M0238"/>
    <x v="209"/>
    <s v="Toko F - Makassar"/>
    <x v="5"/>
    <n v="843167"/>
    <n v="84"/>
  </r>
  <r>
    <x v="409"/>
    <s v="M0189"/>
    <x v="195"/>
    <s v="Toko G - Yogyakarta"/>
    <x v="0"/>
    <n v="451976"/>
    <n v="45"/>
  </r>
  <r>
    <x v="410"/>
    <s v="M0297"/>
    <x v="244"/>
    <s v="Toko H - Denpasar"/>
    <x v="5"/>
    <n v="304260"/>
    <n v="30"/>
  </r>
  <r>
    <x v="411"/>
    <s v="M0269"/>
    <x v="245"/>
    <s v="Toko C - Surabaya"/>
    <x v="5"/>
    <n v="86773"/>
    <n v="8"/>
  </r>
  <r>
    <x v="412"/>
    <s v="M0154"/>
    <x v="246"/>
    <s v="Toko F - Makassar"/>
    <x v="5"/>
    <n v="109744"/>
    <n v="10"/>
  </r>
  <r>
    <x v="413"/>
    <s v="M0089"/>
    <x v="137"/>
    <s v="Toko G - Yogyakarta"/>
    <x v="1"/>
    <n v="350070"/>
    <n v="35"/>
  </r>
  <r>
    <x v="414"/>
    <s v="M0166"/>
    <x v="247"/>
    <s v="Toko B - Bandung"/>
    <x v="1"/>
    <n v="1366322"/>
    <n v="136"/>
  </r>
  <r>
    <x v="415"/>
    <s v="M0062"/>
    <x v="137"/>
    <s v="Toko G - Yogyakarta"/>
    <x v="1"/>
    <n v="154902"/>
    <n v="15"/>
  </r>
  <r>
    <x v="416"/>
    <s v="M0171"/>
    <x v="21"/>
    <s v="Toko E - Semarang"/>
    <x v="2"/>
    <n v="308377"/>
    <n v="30"/>
  </r>
  <r>
    <x v="417"/>
    <s v="M0069"/>
    <x v="180"/>
    <s v="Toko D - Medan"/>
    <x v="4"/>
    <n v="188282"/>
    <n v="18"/>
  </r>
  <r>
    <x v="418"/>
    <s v="M0070"/>
    <x v="141"/>
    <s v="Toko A - Jakarta"/>
    <x v="2"/>
    <n v="236389"/>
    <n v="23"/>
  </r>
  <r>
    <x v="419"/>
    <s v="M0228"/>
    <x v="245"/>
    <s v="Toko D - Medan"/>
    <x v="0"/>
    <n v="349633"/>
    <n v="34"/>
  </r>
  <r>
    <x v="420"/>
    <s v="M0026"/>
    <x v="230"/>
    <s v="Toko C - Surabaya"/>
    <x v="3"/>
    <n v="379227"/>
    <n v="37"/>
  </r>
  <r>
    <x v="421"/>
    <s v="M0056"/>
    <x v="248"/>
    <s v="Toko H - Denpasar"/>
    <x v="3"/>
    <n v="231282"/>
    <n v="23"/>
  </r>
  <r>
    <x v="422"/>
    <s v="M0121"/>
    <x v="249"/>
    <s v="Toko G - Yogyakarta"/>
    <x v="3"/>
    <n v="82746"/>
    <n v="8"/>
  </r>
  <r>
    <x v="423"/>
    <s v="M0092"/>
    <x v="250"/>
    <s v="Toko B - Bandung"/>
    <x v="1"/>
    <n v="426099"/>
    <n v="42"/>
  </r>
  <r>
    <x v="424"/>
    <s v="M0001"/>
    <x v="236"/>
    <s v="Toko C - Surabaya"/>
    <x v="1"/>
    <n v="287872"/>
    <n v="28"/>
  </r>
  <r>
    <x v="425"/>
    <s v="M0212"/>
    <x v="29"/>
    <s v="Toko B - Bandung"/>
    <x v="4"/>
    <n v="233114"/>
    <n v="23"/>
  </r>
  <r>
    <x v="426"/>
    <s v="M0253"/>
    <x v="251"/>
    <s v="Toko C - Surabaya"/>
    <x v="0"/>
    <n v="191922"/>
    <n v="19"/>
  </r>
  <r>
    <x v="427"/>
    <s v="M0151"/>
    <x v="237"/>
    <s v="Toko D - Medan"/>
    <x v="5"/>
    <n v="187039"/>
    <n v="18"/>
  </r>
  <r>
    <x v="428"/>
    <s v="M0208"/>
    <x v="183"/>
    <s v="Toko E - Semarang"/>
    <x v="1"/>
    <n v="340378"/>
    <n v="34"/>
  </r>
  <r>
    <x v="429"/>
    <s v="M0170"/>
    <x v="190"/>
    <s v="Toko G - Yogyakarta"/>
    <x v="0"/>
    <n v="333292"/>
    <n v="33"/>
  </r>
  <r>
    <x v="430"/>
    <s v="M0069"/>
    <x v="252"/>
    <s v="Toko G - Yogyakarta"/>
    <x v="5"/>
    <n v="53486"/>
    <n v="5"/>
  </r>
  <r>
    <x v="431"/>
    <s v="M0120"/>
    <x v="253"/>
    <s v="Toko E - Semarang"/>
    <x v="0"/>
    <n v="229791"/>
    <n v="22"/>
  </r>
  <r>
    <x v="432"/>
    <s v="M0267"/>
    <x v="254"/>
    <s v="Toko E - Semarang"/>
    <x v="2"/>
    <n v="326544"/>
    <n v="32"/>
  </r>
  <r>
    <x v="433"/>
    <s v="M0131"/>
    <x v="115"/>
    <s v="Toko A - Jakarta"/>
    <x v="5"/>
    <n v="385942"/>
    <n v="38"/>
  </r>
  <r>
    <x v="434"/>
    <s v="M0204"/>
    <x v="255"/>
    <s v="Toko A - Jakarta"/>
    <x v="4"/>
    <n v="758941"/>
    <n v="75"/>
  </r>
  <r>
    <x v="435"/>
    <s v="M0102"/>
    <x v="43"/>
    <s v="Toko C - Surabaya"/>
    <x v="4"/>
    <n v="130847"/>
    <n v="13"/>
  </r>
  <r>
    <x v="436"/>
    <s v="M0267"/>
    <x v="222"/>
    <s v="Toko E - Semarang"/>
    <x v="2"/>
    <n v="166865"/>
    <n v="16"/>
  </r>
  <r>
    <x v="437"/>
    <s v="M0181"/>
    <x v="188"/>
    <s v="Toko G - Yogyakarta"/>
    <x v="5"/>
    <n v="137889"/>
    <n v="13"/>
  </r>
  <r>
    <x v="438"/>
    <s v="M0122"/>
    <x v="92"/>
    <s v="Toko B - Bandung"/>
    <x v="3"/>
    <n v="621786"/>
    <n v="62"/>
  </r>
  <r>
    <x v="439"/>
    <s v="M0285"/>
    <x v="256"/>
    <s v="Toko B - Bandung"/>
    <x v="1"/>
    <n v="427808"/>
    <n v="42"/>
  </r>
  <r>
    <x v="440"/>
    <s v="M0281"/>
    <x v="218"/>
    <s v="Toko B - Bandung"/>
    <x v="4"/>
    <n v="38120"/>
    <n v="3"/>
  </r>
  <r>
    <x v="441"/>
    <s v="M0040"/>
    <x v="161"/>
    <s v="Toko A - Jakarta"/>
    <x v="4"/>
    <n v="284569"/>
    <n v="28"/>
  </r>
  <r>
    <x v="442"/>
    <s v="M0197"/>
    <x v="257"/>
    <s v="Toko D - Medan"/>
    <x v="1"/>
    <n v="237774"/>
    <n v="23"/>
  </r>
  <r>
    <x v="443"/>
    <s v="M0166"/>
    <x v="118"/>
    <s v="Toko F - Makassar"/>
    <x v="1"/>
    <n v="194067"/>
    <n v="19"/>
  </r>
  <r>
    <x v="444"/>
    <s v="M0214"/>
    <x v="66"/>
    <s v="Toko A - Jakarta"/>
    <x v="3"/>
    <n v="229176"/>
    <n v="22"/>
  </r>
  <r>
    <x v="445"/>
    <s v="M0079"/>
    <x v="252"/>
    <s v="Toko A - Jakarta"/>
    <x v="2"/>
    <n v="377162"/>
    <n v="37"/>
  </r>
  <r>
    <x v="446"/>
    <s v="M0001"/>
    <x v="180"/>
    <s v="Toko G - Yogyakarta"/>
    <x v="3"/>
    <n v="168844"/>
    <n v="16"/>
  </r>
  <r>
    <x v="447"/>
    <s v="M0127"/>
    <x v="230"/>
    <s v="Toko A - Jakarta"/>
    <x v="5"/>
    <n v="333950"/>
    <n v="33"/>
  </r>
  <r>
    <x v="448"/>
    <s v="M0126"/>
    <x v="171"/>
    <s v="Toko F - Makassar"/>
    <x v="3"/>
    <n v="293620"/>
    <n v="29"/>
  </r>
  <r>
    <x v="449"/>
    <s v="M0003"/>
    <x v="237"/>
    <s v="Toko H - Denpasar"/>
    <x v="3"/>
    <n v="225635"/>
    <n v="22"/>
  </r>
  <r>
    <x v="450"/>
    <s v="M0199"/>
    <x v="241"/>
    <s v="Toko G - Yogyakarta"/>
    <x v="2"/>
    <n v="310182"/>
    <n v="31"/>
  </r>
  <r>
    <x v="451"/>
    <s v="M0096"/>
    <x v="175"/>
    <s v="Toko H - Denpasar"/>
    <x v="0"/>
    <n v="50889"/>
    <n v="5"/>
  </r>
  <r>
    <x v="452"/>
    <s v="M0249"/>
    <x v="121"/>
    <s v="Toko G - Yogyakarta"/>
    <x v="3"/>
    <n v="437201"/>
    <n v="43"/>
  </r>
  <r>
    <x v="453"/>
    <s v="M0188"/>
    <x v="69"/>
    <s v="Toko E - Semarang"/>
    <x v="4"/>
    <n v="120890"/>
    <n v="12"/>
  </r>
  <r>
    <x v="454"/>
    <s v="M0227"/>
    <x v="253"/>
    <s v="Toko C - Surabaya"/>
    <x v="1"/>
    <n v="353766"/>
    <n v="35"/>
  </r>
  <r>
    <x v="455"/>
    <s v="M0028"/>
    <x v="244"/>
    <s v="Toko F - Makassar"/>
    <x v="5"/>
    <n v="177017"/>
    <n v="17"/>
  </r>
  <r>
    <x v="456"/>
    <s v="M0181"/>
    <x v="98"/>
    <s v="Toko F - Makassar"/>
    <x v="3"/>
    <n v="324006"/>
    <n v="32"/>
  </r>
  <r>
    <x v="457"/>
    <s v="M0262"/>
    <x v="258"/>
    <s v="Toko A - Jakarta"/>
    <x v="4"/>
    <n v="628570"/>
    <n v="62"/>
  </r>
  <r>
    <x v="458"/>
    <s v="M0102"/>
    <x v="259"/>
    <s v="Toko G - Yogyakarta"/>
    <x v="3"/>
    <n v="62107"/>
    <n v="6"/>
  </r>
  <r>
    <x v="459"/>
    <s v="M0269"/>
    <x v="32"/>
    <s v="Toko H - Denpasar"/>
    <x v="0"/>
    <n v="364062"/>
    <n v="36"/>
  </r>
  <r>
    <x v="460"/>
    <s v="M0084"/>
    <x v="218"/>
    <s v="Toko H - Denpasar"/>
    <x v="5"/>
    <n v="262694"/>
    <n v="26"/>
  </r>
  <r>
    <x v="461"/>
    <s v="M0293"/>
    <x v="168"/>
    <s v="Toko E - Semarang"/>
    <x v="4"/>
    <n v="336729"/>
    <n v="33"/>
  </r>
  <r>
    <x v="462"/>
    <s v="M0044"/>
    <x v="51"/>
    <s v="Toko A - Jakarta"/>
    <x v="4"/>
    <n v="413626"/>
    <n v="41"/>
  </r>
  <r>
    <x v="463"/>
    <s v="M0166"/>
    <x v="112"/>
    <s v="Toko F - Makassar"/>
    <x v="0"/>
    <n v="386891"/>
    <n v="38"/>
  </r>
  <r>
    <x v="464"/>
    <s v="M0187"/>
    <x v="71"/>
    <s v="Toko B - Bandung"/>
    <x v="4"/>
    <n v="302299"/>
    <n v="30"/>
  </r>
  <r>
    <x v="465"/>
    <s v="M0189"/>
    <x v="260"/>
    <s v="Toko D - Medan"/>
    <x v="4"/>
    <n v="334275"/>
    <n v="33"/>
  </r>
  <r>
    <x v="466"/>
    <s v="M0236"/>
    <x v="232"/>
    <s v="Toko B - Bandung"/>
    <x v="1"/>
    <n v="491182"/>
    <n v="49"/>
  </r>
  <r>
    <x v="467"/>
    <s v="M0014"/>
    <x v="120"/>
    <s v="Toko D - Medan"/>
    <x v="1"/>
    <n v="233136"/>
    <n v="23"/>
  </r>
  <r>
    <x v="468"/>
    <s v="M0297"/>
    <x v="119"/>
    <s v="Toko G - Yogyakarta"/>
    <x v="4"/>
    <n v="226535"/>
    <n v="22"/>
  </r>
  <r>
    <x v="469"/>
    <s v="M0051"/>
    <x v="168"/>
    <s v="Toko H - Denpasar"/>
    <x v="3"/>
    <n v="783953"/>
    <n v="78"/>
  </r>
  <r>
    <x v="470"/>
    <s v="M0034"/>
    <x v="261"/>
    <s v="Toko A - Jakarta"/>
    <x v="3"/>
    <n v="666024"/>
    <n v="66"/>
  </r>
  <r>
    <x v="471"/>
    <s v="M0093"/>
    <x v="18"/>
    <s v="Toko B - Bandung"/>
    <x v="1"/>
    <n v="40550"/>
    <n v="4"/>
  </r>
  <r>
    <x v="472"/>
    <s v="M0096"/>
    <x v="262"/>
    <s v="Toko D - Medan"/>
    <x v="5"/>
    <n v="170176"/>
    <n v="17"/>
  </r>
  <r>
    <x v="473"/>
    <s v="M0197"/>
    <x v="263"/>
    <s v="Toko E - Semarang"/>
    <x v="3"/>
    <n v="228161"/>
    <n v="22"/>
  </r>
  <r>
    <x v="474"/>
    <s v="M0104"/>
    <x v="264"/>
    <s v="Toko H - Denpasar"/>
    <x v="3"/>
    <n v="187656"/>
    <n v="18"/>
  </r>
  <r>
    <x v="475"/>
    <s v="M0063"/>
    <x v="35"/>
    <s v="Toko E - Semarang"/>
    <x v="4"/>
    <n v="143881"/>
    <n v="14"/>
  </r>
  <r>
    <x v="476"/>
    <s v="M0192"/>
    <x v="114"/>
    <s v="Toko H - Denpasar"/>
    <x v="1"/>
    <n v="337768"/>
    <n v="33"/>
  </r>
  <r>
    <x v="477"/>
    <s v="M0074"/>
    <x v="205"/>
    <s v="Toko D - Medan"/>
    <x v="1"/>
    <n v="79664"/>
    <n v="7"/>
  </r>
  <r>
    <x v="478"/>
    <s v="M0167"/>
    <x v="87"/>
    <s v="Toko C - Surabaya"/>
    <x v="1"/>
    <n v="110095"/>
    <n v="11"/>
  </r>
  <r>
    <x v="479"/>
    <s v="M0137"/>
    <x v="61"/>
    <s v="Toko B - Bandung"/>
    <x v="3"/>
    <n v="76759"/>
    <n v="7"/>
  </r>
  <r>
    <x v="480"/>
    <s v="M0052"/>
    <x v="164"/>
    <s v="Toko B - Bandung"/>
    <x v="2"/>
    <n v="406660"/>
    <n v="40"/>
  </r>
  <r>
    <x v="481"/>
    <s v="M0093"/>
    <x v="111"/>
    <s v="Toko H - Denpasar"/>
    <x v="2"/>
    <n v="755709"/>
    <n v="75"/>
  </r>
  <r>
    <x v="482"/>
    <s v="M0189"/>
    <x v="195"/>
    <s v="Toko C - Surabaya"/>
    <x v="0"/>
    <n v="443124"/>
    <n v="44"/>
  </r>
  <r>
    <x v="483"/>
    <s v="M0114"/>
    <x v="224"/>
    <s v="Toko F - Makassar"/>
    <x v="3"/>
    <n v="25000"/>
    <n v="2"/>
  </r>
  <r>
    <x v="484"/>
    <s v="M0116"/>
    <x v="152"/>
    <s v="Toko G - Yogyakarta"/>
    <x v="0"/>
    <n v="224882"/>
    <n v="22"/>
  </r>
  <r>
    <x v="485"/>
    <s v="M0052"/>
    <x v="169"/>
    <s v="Toko D - Medan"/>
    <x v="3"/>
    <n v="295888"/>
    <n v="29"/>
  </r>
  <r>
    <x v="486"/>
    <s v="M0243"/>
    <x v="265"/>
    <s v="Toko B - Bandung"/>
    <x v="4"/>
    <n v="104910"/>
    <n v="10"/>
  </r>
  <r>
    <x v="487"/>
    <s v="M0086"/>
    <x v="217"/>
    <s v="Toko D - Medan"/>
    <x v="1"/>
    <n v="279908"/>
    <n v="27"/>
  </r>
  <r>
    <x v="488"/>
    <s v="M0244"/>
    <x v="262"/>
    <s v="Toko E - Semarang"/>
    <x v="3"/>
    <n v="67249"/>
    <n v="6"/>
  </r>
  <r>
    <x v="489"/>
    <s v="M0243"/>
    <x v="266"/>
    <s v="Toko G - Yogyakarta"/>
    <x v="5"/>
    <n v="264053"/>
    <n v="26"/>
  </r>
  <r>
    <x v="490"/>
    <s v="M0100"/>
    <x v="202"/>
    <s v="Toko D - Medan"/>
    <x v="2"/>
    <n v="216228"/>
    <n v="21"/>
  </r>
  <r>
    <x v="491"/>
    <s v="M0057"/>
    <x v="120"/>
    <s v="Toko D - Medan"/>
    <x v="3"/>
    <n v="172242"/>
    <n v="17"/>
  </r>
  <r>
    <x v="492"/>
    <s v="M0128"/>
    <x v="67"/>
    <s v="Toko H - Denpasar"/>
    <x v="2"/>
    <n v="224888"/>
    <n v="22"/>
  </r>
  <r>
    <x v="493"/>
    <s v="M0035"/>
    <x v="75"/>
    <s v="Toko E - Semarang"/>
    <x v="4"/>
    <n v="260947"/>
    <n v="26"/>
  </r>
  <r>
    <x v="494"/>
    <s v="M0272"/>
    <x v="267"/>
    <s v="Toko H - Denpasar"/>
    <x v="5"/>
    <n v="186069"/>
    <n v="18"/>
  </r>
  <r>
    <x v="495"/>
    <s v="M0257"/>
    <x v="268"/>
    <s v="Toko E - Semarang"/>
    <x v="1"/>
    <n v="269394"/>
    <n v="26"/>
  </r>
  <r>
    <x v="496"/>
    <s v="M0035"/>
    <x v="269"/>
    <s v="Toko G - Yogyakarta"/>
    <x v="2"/>
    <n v="74163"/>
    <n v="7"/>
  </r>
  <r>
    <x v="497"/>
    <s v="M0056"/>
    <x v="175"/>
    <s v="Toko E - Semarang"/>
    <x v="5"/>
    <n v="413790"/>
    <n v="41"/>
  </r>
  <r>
    <x v="498"/>
    <s v="M0194"/>
    <x v="201"/>
    <s v="Toko H - Denpasar"/>
    <x v="2"/>
    <n v="319391"/>
    <n v="31"/>
  </r>
  <r>
    <x v="499"/>
    <s v="M0204"/>
    <x v="9"/>
    <s v="Toko D - Medan"/>
    <x v="2"/>
    <n v="136246"/>
    <n v="13"/>
  </r>
  <r>
    <x v="500"/>
    <s v="M0076"/>
    <x v="139"/>
    <s v="Toko D - Medan"/>
    <x v="0"/>
    <n v="103925"/>
    <n v="10"/>
  </r>
  <r>
    <x v="501"/>
    <s v="M0249"/>
    <x v="270"/>
    <s v="Toko B - Bandung"/>
    <x v="0"/>
    <n v="39095"/>
    <n v="3"/>
  </r>
  <r>
    <x v="502"/>
    <s v="M0259"/>
    <x v="144"/>
    <s v="Toko C - Surabaya"/>
    <x v="4"/>
    <n v="136201"/>
    <n v="13"/>
  </r>
  <r>
    <x v="503"/>
    <s v="M0186"/>
    <x v="5"/>
    <s v="Toko B - Bandung"/>
    <x v="3"/>
    <n v="86786"/>
    <n v="8"/>
  </r>
  <r>
    <x v="504"/>
    <s v="M0277"/>
    <x v="271"/>
    <s v="Toko H - Denpasar"/>
    <x v="3"/>
    <n v="56138"/>
    <n v="5"/>
  </r>
  <r>
    <x v="505"/>
    <s v="M0070"/>
    <x v="20"/>
    <s v="Toko G - Yogyakarta"/>
    <x v="1"/>
    <n v="242860"/>
    <n v="24"/>
  </r>
  <r>
    <x v="506"/>
    <s v="M0166"/>
    <x v="241"/>
    <s v="Toko E - Semarang"/>
    <x v="3"/>
    <n v="118714"/>
    <n v="11"/>
  </r>
  <r>
    <x v="507"/>
    <s v="M0123"/>
    <x v="11"/>
    <s v="Toko G - Yogyakarta"/>
    <x v="2"/>
    <n v="439238"/>
    <n v="43"/>
  </r>
  <r>
    <x v="508"/>
    <s v="M0253"/>
    <x v="254"/>
    <s v="Toko B - Bandung"/>
    <x v="0"/>
    <n v="286727"/>
    <n v="28"/>
  </r>
  <r>
    <x v="509"/>
    <s v="M0204"/>
    <x v="272"/>
    <s v="Toko A - Jakarta"/>
    <x v="3"/>
    <n v="548327"/>
    <n v="54"/>
  </r>
  <r>
    <x v="510"/>
    <s v="M0227"/>
    <x v="145"/>
    <s v="Toko B - Bandung"/>
    <x v="3"/>
    <n v="378460"/>
    <n v="37"/>
  </r>
  <r>
    <x v="511"/>
    <s v="M0187"/>
    <x v="273"/>
    <s v="Toko B - Bandung"/>
    <x v="1"/>
    <n v="354810"/>
    <n v="35"/>
  </r>
  <r>
    <x v="512"/>
    <s v="M0189"/>
    <x v="160"/>
    <s v="Toko B - Bandung"/>
    <x v="0"/>
    <n v="483216"/>
    <n v="48"/>
  </r>
  <r>
    <x v="513"/>
    <s v="M0051"/>
    <x v="127"/>
    <s v="Toko F - Makassar"/>
    <x v="2"/>
    <n v="393687"/>
    <n v="39"/>
  </r>
  <r>
    <x v="514"/>
    <s v="M0162"/>
    <x v="89"/>
    <s v="Toko F - Makassar"/>
    <x v="3"/>
    <n v="313570"/>
    <n v="31"/>
  </r>
  <r>
    <x v="515"/>
    <s v="M0093"/>
    <x v="121"/>
    <s v="Toko F - Makassar"/>
    <x v="0"/>
    <n v="683314"/>
    <n v="68"/>
  </r>
  <r>
    <x v="516"/>
    <s v="M0265"/>
    <x v="274"/>
    <s v="Toko B - Bandung"/>
    <x v="3"/>
    <n v="259670"/>
    <n v="25"/>
  </r>
  <r>
    <x v="517"/>
    <s v="M0248"/>
    <x v="99"/>
    <s v="Toko A - Jakarta"/>
    <x v="5"/>
    <n v="1106114"/>
    <n v="110"/>
  </r>
  <r>
    <x v="518"/>
    <s v="M0204"/>
    <x v="255"/>
    <s v="Toko F - Makassar"/>
    <x v="3"/>
    <n v="261597"/>
    <n v="26"/>
  </r>
  <r>
    <x v="519"/>
    <s v="M0079"/>
    <x v="160"/>
    <s v="Toko B - Bandung"/>
    <x v="3"/>
    <n v="100483"/>
    <n v="10"/>
  </r>
  <r>
    <x v="520"/>
    <s v="M0264"/>
    <x v="123"/>
    <s v="Toko A - Jakarta"/>
    <x v="3"/>
    <n v="261817"/>
    <n v="26"/>
  </r>
  <r>
    <x v="521"/>
    <s v="M0244"/>
    <x v="32"/>
    <s v="Toko C - Surabaya"/>
    <x v="5"/>
    <n v="826989"/>
    <n v="82"/>
  </r>
  <r>
    <x v="522"/>
    <s v="M0138"/>
    <x v="275"/>
    <s v="Toko H - Denpasar"/>
    <x v="2"/>
    <n v="235578"/>
    <n v="23"/>
  </r>
  <r>
    <x v="523"/>
    <s v="M0218"/>
    <x v="276"/>
    <s v="Toko D - Medan"/>
    <x v="2"/>
    <n v="414971"/>
    <n v="41"/>
  </r>
  <r>
    <x v="524"/>
    <s v="M0276"/>
    <x v="31"/>
    <s v="Toko E - Semarang"/>
    <x v="3"/>
    <n v="314439"/>
    <n v="31"/>
  </r>
  <r>
    <x v="525"/>
    <s v="M0265"/>
    <x v="247"/>
    <s v="Toko B - Bandung"/>
    <x v="1"/>
    <n v="149746"/>
    <n v="14"/>
  </r>
  <r>
    <x v="526"/>
    <s v="M0003"/>
    <x v="256"/>
    <s v="Toko C - Surabaya"/>
    <x v="2"/>
    <n v="121375"/>
    <n v="12"/>
  </r>
  <r>
    <x v="527"/>
    <s v="M0114"/>
    <x v="277"/>
    <s v="Toko C - Surabaya"/>
    <x v="0"/>
    <n v="279517"/>
    <n v="27"/>
  </r>
  <r>
    <x v="528"/>
    <s v="M0093"/>
    <x v="2"/>
    <s v="Toko A - Jakarta"/>
    <x v="3"/>
    <n v="126727"/>
    <n v="12"/>
  </r>
  <r>
    <x v="529"/>
    <s v="M0077"/>
    <x v="157"/>
    <s v="Toko G - Yogyakarta"/>
    <x v="0"/>
    <n v="138393"/>
    <n v="13"/>
  </r>
  <r>
    <x v="530"/>
    <s v="M0281"/>
    <x v="97"/>
    <s v="Toko B - Bandung"/>
    <x v="5"/>
    <n v="92733"/>
    <n v="9"/>
  </r>
  <r>
    <x v="531"/>
    <s v="M0122"/>
    <x v="196"/>
    <s v="Toko F - Makassar"/>
    <x v="3"/>
    <n v="456947"/>
    <n v="45"/>
  </r>
  <r>
    <x v="532"/>
    <s v="M0230"/>
    <x v="46"/>
    <s v="Toko C - Surabaya"/>
    <x v="1"/>
    <n v="947307"/>
    <n v="94"/>
  </r>
  <r>
    <x v="533"/>
    <s v="M0054"/>
    <x v="27"/>
    <s v="Toko C - Surabaya"/>
    <x v="5"/>
    <n v="624534"/>
    <n v="62"/>
  </r>
  <r>
    <x v="534"/>
    <s v="M0018"/>
    <x v="278"/>
    <s v="Toko A - Jakarta"/>
    <x v="5"/>
    <n v="619101"/>
    <n v="61"/>
  </r>
  <r>
    <x v="535"/>
    <s v="M0152"/>
    <x v="176"/>
    <s v="Toko G - Yogyakarta"/>
    <x v="5"/>
    <n v="146870"/>
    <n v="14"/>
  </r>
  <r>
    <x v="536"/>
    <s v="M0160"/>
    <x v="0"/>
    <s v="Toko A - Jakarta"/>
    <x v="5"/>
    <n v="624283"/>
    <n v="62"/>
  </r>
  <r>
    <x v="537"/>
    <s v="M0220"/>
    <x v="184"/>
    <s v="Toko H - Denpasar"/>
    <x v="2"/>
    <n v="77222"/>
    <n v="7"/>
  </r>
  <r>
    <x v="538"/>
    <s v="M0171"/>
    <x v="253"/>
    <s v="Toko E - Semarang"/>
    <x v="0"/>
    <n v="207262"/>
    <n v="20"/>
  </r>
  <r>
    <x v="539"/>
    <s v="M0078"/>
    <x v="212"/>
    <s v="Toko G - Yogyakarta"/>
    <x v="4"/>
    <n v="222599"/>
    <n v="22"/>
  </r>
  <r>
    <x v="540"/>
    <s v="M0237"/>
    <x v="234"/>
    <s v="Toko H - Denpasar"/>
    <x v="1"/>
    <n v="626029"/>
    <n v="62"/>
  </r>
  <r>
    <x v="541"/>
    <s v="M0214"/>
    <x v="278"/>
    <s v="Toko C - Surabaya"/>
    <x v="4"/>
    <n v="136480"/>
    <n v="13"/>
  </r>
  <r>
    <x v="542"/>
    <s v="M0112"/>
    <x v="279"/>
    <s v="Toko D - Medan"/>
    <x v="4"/>
    <n v="25000"/>
    <n v="2"/>
  </r>
  <r>
    <x v="543"/>
    <s v="M0087"/>
    <x v="280"/>
    <s v="Toko F - Makassar"/>
    <x v="4"/>
    <n v="67733"/>
    <n v="6"/>
  </r>
  <r>
    <x v="544"/>
    <s v="M0171"/>
    <x v="125"/>
    <s v="Toko A - Jakarta"/>
    <x v="4"/>
    <n v="452917"/>
    <n v="45"/>
  </r>
  <r>
    <x v="545"/>
    <s v="M0220"/>
    <x v="0"/>
    <s v="Toko D - Medan"/>
    <x v="5"/>
    <n v="133204"/>
    <n v="13"/>
  </r>
  <r>
    <x v="546"/>
    <s v="M0189"/>
    <x v="237"/>
    <s v="Toko B - Bandung"/>
    <x v="2"/>
    <n v="199789"/>
    <n v="19"/>
  </r>
  <r>
    <x v="547"/>
    <s v="M0175"/>
    <x v="249"/>
    <s v="Toko H - Denpasar"/>
    <x v="3"/>
    <n v="410964"/>
    <n v="41"/>
  </r>
  <r>
    <x v="548"/>
    <s v="M0297"/>
    <x v="281"/>
    <s v="Toko G - Yogyakarta"/>
    <x v="2"/>
    <n v="452472"/>
    <n v="45"/>
  </r>
  <r>
    <x v="549"/>
    <s v="M0178"/>
    <x v="100"/>
    <s v="Toko E - Semarang"/>
    <x v="4"/>
    <n v="143023"/>
    <n v="14"/>
  </r>
  <r>
    <x v="550"/>
    <s v="M0281"/>
    <x v="32"/>
    <s v="Toko F - Makassar"/>
    <x v="0"/>
    <n v="300214"/>
    <n v="30"/>
  </r>
  <r>
    <x v="551"/>
    <s v="M0183"/>
    <x v="87"/>
    <s v="Toko D - Medan"/>
    <x v="3"/>
    <n v="511903"/>
    <n v="51"/>
  </r>
  <r>
    <x v="552"/>
    <s v="M0130"/>
    <x v="22"/>
    <s v="Toko A - Jakarta"/>
    <x v="0"/>
    <n v="94580"/>
    <n v="9"/>
  </r>
  <r>
    <x v="553"/>
    <s v="M0181"/>
    <x v="156"/>
    <s v="Toko E - Semarang"/>
    <x v="4"/>
    <n v="30001"/>
    <n v="3"/>
  </r>
  <r>
    <x v="554"/>
    <s v="M0074"/>
    <x v="236"/>
    <s v="Toko H - Denpasar"/>
    <x v="2"/>
    <n v="217960"/>
    <n v="21"/>
  </r>
  <r>
    <x v="555"/>
    <s v="M0008"/>
    <x v="50"/>
    <s v="Toko G - Yogyakarta"/>
    <x v="5"/>
    <n v="455578"/>
    <n v="45"/>
  </r>
  <r>
    <x v="556"/>
    <s v="M0077"/>
    <x v="282"/>
    <s v="Toko H - Denpasar"/>
    <x v="3"/>
    <n v="270966"/>
    <n v="27"/>
  </r>
  <r>
    <x v="557"/>
    <s v="M0081"/>
    <x v="283"/>
    <s v="Toko G - Yogyakarta"/>
    <x v="2"/>
    <n v="374454"/>
    <n v="37"/>
  </r>
  <r>
    <x v="558"/>
    <s v="M0140"/>
    <x v="195"/>
    <s v="Toko B - Bandung"/>
    <x v="2"/>
    <n v="341874"/>
    <n v="34"/>
  </r>
  <r>
    <x v="559"/>
    <s v="M0140"/>
    <x v="85"/>
    <s v="Toko G - Yogyakarta"/>
    <x v="1"/>
    <n v="350604"/>
    <n v="35"/>
  </r>
  <r>
    <x v="560"/>
    <s v="M0276"/>
    <x v="209"/>
    <s v="Toko F - Makassar"/>
    <x v="1"/>
    <n v="519836"/>
    <n v="51"/>
  </r>
  <r>
    <x v="561"/>
    <s v="M0044"/>
    <x v="65"/>
    <s v="Toko F - Makassar"/>
    <x v="4"/>
    <n v="448755"/>
    <n v="44"/>
  </r>
  <r>
    <x v="562"/>
    <s v="M0184"/>
    <x v="197"/>
    <s v="Toko B - Bandung"/>
    <x v="0"/>
    <n v="855171"/>
    <n v="85"/>
  </r>
  <r>
    <x v="563"/>
    <s v="M0183"/>
    <x v="284"/>
    <s v="Toko B - Bandung"/>
    <x v="5"/>
    <n v="691411"/>
    <n v="69"/>
  </r>
  <r>
    <x v="564"/>
    <s v="M0171"/>
    <x v="285"/>
    <s v="Toko H - Denpasar"/>
    <x v="5"/>
    <n v="196342"/>
    <n v="19"/>
  </r>
  <r>
    <x v="565"/>
    <s v="M0081"/>
    <x v="225"/>
    <s v="Toko G - Yogyakarta"/>
    <x v="4"/>
    <n v="132903"/>
    <n v="13"/>
  </r>
  <r>
    <x v="566"/>
    <s v="M0097"/>
    <x v="30"/>
    <s v="Toko H - Denpasar"/>
    <x v="2"/>
    <n v="328101"/>
    <n v="32"/>
  </r>
  <r>
    <x v="567"/>
    <s v="M0234"/>
    <x v="246"/>
    <s v="Toko E - Semarang"/>
    <x v="3"/>
    <n v="278307"/>
    <n v="27"/>
  </r>
  <r>
    <x v="568"/>
    <s v="M0015"/>
    <x v="3"/>
    <s v="Toko B - Bandung"/>
    <x v="0"/>
    <n v="125748"/>
    <n v="12"/>
  </r>
  <r>
    <x v="569"/>
    <s v="M0269"/>
    <x v="94"/>
    <s v="Toko F - Makassar"/>
    <x v="4"/>
    <n v="704899"/>
    <n v="70"/>
  </r>
  <r>
    <x v="570"/>
    <s v="M0092"/>
    <x v="252"/>
    <s v="Toko F - Makassar"/>
    <x v="5"/>
    <n v="143889"/>
    <n v="14"/>
  </r>
  <r>
    <x v="571"/>
    <s v="M0252"/>
    <x v="253"/>
    <s v="Toko D - Medan"/>
    <x v="3"/>
    <n v="172859"/>
    <n v="17"/>
  </r>
  <r>
    <x v="572"/>
    <s v="M0034"/>
    <x v="133"/>
    <s v="Toko C - Surabaya"/>
    <x v="4"/>
    <n v="163495"/>
    <n v="16"/>
  </r>
  <r>
    <x v="573"/>
    <s v="M0064"/>
    <x v="45"/>
    <s v="Toko F - Makassar"/>
    <x v="0"/>
    <n v="203398"/>
    <n v="20"/>
  </r>
  <r>
    <x v="574"/>
    <s v="M0019"/>
    <x v="286"/>
    <s v="Toko B - Bandung"/>
    <x v="3"/>
    <n v="117554"/>
    <n v="11"/>
  </r>
  <r>
    <x v="575"/>
    <s v="M0157"/>
    <x v="119"/>
    <s v="Toko A - Jakarta"/>
    <x v="4"/>
    <n v="551772"/>
    <n v="55"/>
  </r>
  <r>
    <x v="576"/>
    <s v="M0121"/>
    <x v="287"/>
    <s v="Toko G - Yogyakarta"/>
    <x v="5"/>
    <n v="905130"/>
    <n v="90"/>
  </r>
  <r>
    <x v="577"/>
    <s v="M0181"/>
    <x v="180"/>
    <s v="Toko D - Medan"/>
    <x v="5"/>
    <n v="52919"/>
    <n v="5"/>
  </r>
  <r>
    <x v="578"/>
    <s v="M0086"/>
    <x v="48"/>
    <s v="Toko B - Bandung"/>
    <x v="1"/>
    <n v="190240"/>
    <n v="19"/>
  </r>
  <r>
    <x v="579"/>
    <s v="M0077"/>
    <x v="288"/>
    <s v="Toko D - Medan"/>
    <x v="4"/>
    <n v="577826"/>
    <n v="57"/>
  </r>
  <r>
    <x v="580"/>
    <s v="M0088"/>
    <x v="51"/>
    <s v="Toko A - Jakarta"/>
    <x v="3"/>
    <n v="405599"/>
    <n v="40"/>
  </r>
  <r>
    <x v="581"/>
    <s v="M0285"/>
    <x v="21"/>
    <s v="Toko E - Semarang"/>
    <x v="4"/>
    <n v="225274"/>
    <n v="22"/>
  </r>
  <r>
    <x v="582"/>
    <s v="M0088"/>
    <x v="243"/>
    <s v="Toko H - Denpasar"/>
    <x v="3"/>
    <n v="141528"/>
    <n v="14"/>
  </r>
  <r>
    <x v="583"/>
    <s v="M0277"/>
    <x v="0"/>
    <s v="Toko D - Medan"/>
    <x v="0"/>
    <n v="437382"/>
    <n v="43"/>
  </r>
  <r>
    <x v="584"/>
    <s v="M0253"/>
    <x v="51"/>
    <s v="Toko H - Denpasar"/>
    <x v="5"/>
    <n v="596831"/>
    <n v="59"/>
  </r>
  <r>
    <x v="585"/>
    <s v="M0268"/>
    <x v="43"/>
    <s v="Toko H - Denpasar"/>
    <x v="5"/>
    <n v="233326"/>
    <n v="23"/>
  </r>
  <r>
    <x v="586"/>
    <s v="M0232"/>
    <x v="38"/>
    <s v="Toko E - Semarang"/>
    <x v="4"/>
    <n v="179581"/>
    <n v="17"/>
  </r>
  <r>
    <x v="587"/>
    <s v="M0189"/>
    <x v="87"/>
    <s v="Toko C - Surabaya"/>
    <x v="0"/>
    <n v="185530"/>
    <n v="18"/>
  </r>
  <r>
    <x v="588"/>
    <s v="M0283"/>
    <x v="130"/>
    <s v="Toko C - Surabaya"/>
    <x v="0"/>
    <n v="152283"/>
    <n v="15"/>
  </r>
  <r>
    <x v="589"/>
    <s v="M0039"/>
    <x v="226"/>
    <s v="Toko B - Bandung"/>
    <x v="5"/>
    <n v="513128"/>
    <n v="51"/>
  </r>
  <r>
    <x v="590"/>
    <s v="M0035"/>
    <x v="55"/>
    <s v="Toko H - Denpasar"/>
    <x v="1"/>
    <n v="100763"/>
    <n v="10"/>
  </r>
  <r>
    <x v="591"/>
    <s v="M0044"/>
    <x v="147"/>
    <s v="Toko G - Yogyakarta"/>
    <x v="3"/>
    <n v="243285"/>
    <n v="24"/>
  </r>
  <r>
    <x v="592"/>
    <s v="M0204"/>
    <x v="64"/>
    <s v="Toko D - Medan"/>
    <x v="5"/>
    <n v="106070"/>
    <n v="10"/>
  </r>
  <r>
    <x v="593"/>
    <s v="M0125"/>
    <x v="78"/>
    <s v="Toko G - Yogyakarta"/>
    <x v="4"/>
    <n v="131715"/>
    <n v="13"/>
  </r>
  <r>
    <x v="594"/>
    <s v="M0273"/>
    <x v="151"/>
    <s v="Toko A - Jakarta"/>
    <x v="3"/>
    <n v="456135"/>
    <n v="45"/>
  </r>
  <r>
    <x v="595"/>
    <s v="M0056"/>
    <x v="258"/>
    <s v="Toko E - Semarang"/>
    <x v="2"/>
    <n v="459867"/>
    <n v="45"/>
  </r>
  <r>
    <x v="596"/>
    <s v="M0212"/>
    <x v="289"/>
    <s v="Toko C - Surabaya"/>
    <x v="4"/>
    <n v="602043"/>
    <n v="60"/>
  </r>
  <r>
    <x v="597"/>
    <s v="M0183"/>
    <x v="16"/>
    <s v="Toko D - Medan"/>
    <x v="3"/>
    <n v="205650"/>
    <n v="20"/>
  </r>
  <r>
    <x v="598"/>
    <s v="M0031"/>
    <x v="117"/>
    <s v="Toko F - Makassar"/>
    <x v="0"/>
    <n v="168440"/>
    <n v="16"/>
  </r>
  <r>
    <x v="599"/>
    <s v="M0051"/>
    <x v="157"/>
    <s v="Toko H - Denpasar"/>
    <x v="2"/>
    <n v="558173"/>
    <n v="55"/>
  </r>
  <r>
    <x v="600"/>
    <s v="M0122"/>
    <x v="290"/>
    <s v="Toko G - Yogyakarta"/>
    <x v="4"/>
    <n v="295769"/>
    <n v="29"/>
  </r>
  <r>
    <x v="601"/>
    <s v="M0089"/>
    <x v="172"/>
    <s v="Toko C - Surabaya"/>
    <x v="4"/>
    <n v="166919"/>
    <n v="16"/>
  </r>
  <r>
    <x v="602"/>
    <s v="M0096"/>
    <x v="162"/>
    <s v="Toko F - Makassar"/>
    <x v="3"/>
    <n v="150575"/>
    <n v="15"/>
  </r>
  <r>
    <x v="603"/>
    <s v="M0007"/>
    <x v="262"/>
    <s v="Toko B - Bandung"/>
    <x v="3"/>
    <n v="164119"/>
    <n v="16"/>
  </r>
  <r>
    <x v="604"/>
    <s v="M0140"/>
    <x v="277"/>
    <s v="Toko D - Medan"/>
    <x v="4"/>
    <n v="169576"/>
    <n v="16"/>
  </r>
  <r>
    <x v="605"/>
    <s v="M0171"/>
    <x v="265"/>
    <s v="Toko H - Denpasar"/>
    <x v="2"/>
    <n v="240403"/>
    <n v="24"/>
  </r>
  <r>
    <x v="606"/>
    <s v="M0277"/>
    <x v="11"/>
    <s v="Toko F - Makassar"/>
    <x v="2"/>
    <n v="162975"/>
    <n v="16"/>
  </r>
  <r>
    <x v="607"/>
    <s v="M0055"/>
    <x v="219"/>
    <s v="Toko D - Medan"/>
    <x v="4"/>
    <n v="301469"/>
    <n v="30"/>
  </r>
  <r>
    <x v="608"/>
    <s v="M0166"/>
    <x v="291"/>
    <s v="Toko A - Jakarta"/>
    <x v="4"/>
    <n v="328128"/>
    <n v="32"/>
  </r>
  <r>
    <x v="609"/>
    <s v="M0251"/>
    <x v="155"/>
    <s v="Toko B - Bandung"/>
    <x v="3"/>
    <n v="286179"/>
    <n v="28"/>
  </r>
  <r>
    <x v="610"/>
    <s v="M0128"/>
    <x v="14"/>
    <s v="Toko D - Medan"/>
    <x v="0"/>
    <n v="281272"/>
    <n v="28"/>
  </r>
  <r>
    <x v="611"/>
    <s v="M0039"/>
    <x v="44"/>
    <s v="Toko H - Denpasar"/>
    <x v="4"/>
    <n v="25000"/>
    <n v="2"/>
  </r>
  <r>
    <x v="612"/>
    <s v="M0113"/>
    <x v="291"/>
    <s v="Toko D - Medan"/>
    <x v="0"/>
    <n v="136379"/>
    <n v="13"/>
  </r>
  <r>
    <x v="613"/>
    <s v="M0262"/>
    <x v="159"/>
    <s v="Toko C - Surabaya"/>
    <x v="5"/>
    <n v="409605"/>
    <n v="40"/>
  </r>
  <r>
    <x v="614"/>
    <s v="M0175"/>
    <x v="160"/>
    <s v="Toko C - Surabaya"/>
    <x v="4"/>
    <n v="350849"/>
    <n v="35"/>
  </r>
  <r>
    <x v="615"/>
    <s v="M0113"/>
    <x v="59"/>
    <s v="Toko D - Medan"/>
    <x v="0"/>
    <n v="132022"/>
    <n v="13"/>
  </r>
  <r>
    <x v="616"/>
    <s v="M0012"/>
    <x v="52"/>
    <s v="Toko C - Surabaya"/>
    <x v="5"/>
    <n v="172580"/>
    <n v="17"/>
  </r>
  <r>
    <x v="617"/>
    <s v="M0027"/>
    <x v="288"/>
    <s v="Toko F - Makassar"/>
    <x v="4"/>
    <n v="221048"/>
    <n v="22"/>
  </r>
  <r>
    <x v="618"/>
    <s v="M0039"/>
    <x v="292"/>
    <s v="Toko A - Jakarta"/>
    <x v="4"/>
    <n v="194719"/>
    <n v="19"/>
  </r>
  <r>
    <x v="619"/>
    <s v="M0213"/>
    <x v="208"/>
    <s v="Toko E - Semarang"/>
    <x v="5"/>
    <n v="150491"/>
    <n v="15"/>
  </r>
  <r>
    <x v="620"/>
    <s v="M0023"/>
    <x v="293"/>
    <s v="Toko E - Semarang"/>
    <x v="3"/>
    <n v="121142"/>
    <n v="12"/>
  </r>
  <r>
    <x v="621"/>
    <s v="M0116"/>
    <x v="294"/>
    <s v="Toko B - Bandung"/>
    <x v="4"/>
    <n v="82773"/>
    <n v="8"/>
  </r>
  <r>
    <x v="622"/>
    <s v="M0140"/>
    <x v="117"/>
    <s v="Toko C - Surabaya"/>
    <x v="3"/>
    <n v="201836"/>
    <n v="20"/>
  </r>
  <r>
    <x v="623"/>
    <s v="M0235"/>
    <x v="108"/>
    <s v="Toko E - Semarang"/>
    <x v="5"/>
    <n v="743132"/>
    <n v="74"/>
  </r>
  <r>
    <x v="624"/>
    <s v="M0268"/>
    <x v="52"/>
    <s v="Toko H - Denpasar"/>
    <x v="3"/>
    <n v="127188"/>
    <n v="12"/>
  </r>
  <r>
    <x v="625"/>
    <s v="M0116"/>
    <x v="193"/>
    <s v="Toko F - Makassar"/>
    <x v="1"/>
    <n v="99126"/>
    <n v="9"/>
  </r>
  <r>
    <x v="626"/>
    <s v="M0148"/>
    <x v="295"/>
    <s v="Toko C - Surabaya"/>
    <x v="5"/>
    <n v="57278"/>
    <n v="5"/>
  </r>
  <r>
    <x v="627"/>
    <s v="M0105"/>
    <x v="105"/>
    <s v="Toko B - Bandung"/>
    <x v="2"/>
    <n v="567535"/>
    <n v="56"/>
  </r>
  <r>
    <x v="628"/>
    <s v="M0149"/>
    <x v="218"/>
    <s v="Toko F - Makassar"/>
    <x v="4"/>
    <n v="182772"/>
    <n v="18"/>
  </r>
  <r>
    <x v="629"/>
    <s v="M0186"/>
    <x v="133"/>
    <s v="Toko C - Surabaya"/>
    <x v="5"/>
    <n v="124351"/>
    <n v="12"/>
  </r>
  <r>
    <x v="630"/>
    <s v="M0078"/>
    <x v="113"/>
    <s v="Toko H - Denpasar"/>
    <x v="3"/>
    <n v="124429"/>
    <n v="12"/>
  </r>
  <r>
    <x v="631"/>
    <s v="M0281"/>
    <x v="61"/>
    <s v="Toko G - Yogyakarta"/>
    <x v="1"/>
    <n v="809436"/>
    <n v="80"/>
  </r>
  <r>
    <x v="632"/>
    <s v="M0010"/>
    <x v="243"/>
    <s v="Toko G - Yogyakarta"/>
    <x v="5"/>
    <n v="123868"/>
    <n v="12"/>
  </r>
  <r>
    <x v="633"/>
    <s v="M0228"/>
    <x v="105"/>
    <s v="Toko E - Semarang"/>
    <x v="5"/>
    <n v="335848"/>
    <n v="33"/>
  </r>
  <r>
    <x v="634"/>
    <s v="M0204"/>
    <x v="294"/>
    <s v="Toko E - Semarang"/>
    <x v="0"/>
    <n v="160866"/>
    <n v="16"/>
  </r>
  <r>
    <x v="635"/>
    <s v="M0049"/>
    <x v="1"/>
    <s v="Toko H - Denpasar"/>
    <x v="2"/>
    <n v="298153"/>
    <n v="29"/>
  </r>
  <r>
    <x v="636"/>
    <s v="M0070"/>
    <x v="198"/>
    <s v="Toko F - Makassar"/>
    <x v="2"/>
    <n v="323278"/>
    <n v="32"/>
  </r>
  <r>
    <x v="637"/>
    <s v="M0013"/>
    <x v="296"/>
    <s v="Toko B - Bandung"/>
    <x v="4"/>
    <n v="686743"/>
    <n v="68"/>
  </r>
  <r>
    <x v="638"/>
    <s v="M0186"/>
    <x v="297"/>
    <s v="Toko A - Jakarta"/>
    <x v="0"/>
    <n v="374407"/>
    <n v="37"/>
  </r>
  <r>
    <x v="639"/>
    <s v="M0068"/>
    <x v="298"/>
    <s v="Toko E - Semarang"/>
    <x v="1"/>
    <n v="74764"/>
    <n v="7"/>
  </r>
  <r>
    <x v="640"/>
    <s v="M0242"/>
    <x v="181"/>
    <s v="Toko G - Yogyakarta"/>
    <x v="5"/>
    <n v="395686"/>
    <n v="39"/>
  </r>
  <r>
    <x v="641"/>
    <s v="M0222"/>
    <x v="107"/>
    <s v="Toko H - Denpasar"/>
    <x v="2"/>
    <n v="115252"/>
    <n v="11"/>
  </r>
  <r>
    <x v="642"/>
    <s v="M0234"/>
    <x v="98"/>
    <s v="Toko B - Bandung"/>
    <x v="2"/>
    <n v="77203"/>
    <n v="7"/>
  </r>
  <r>
    <x v="643"/>
    <s v="M0104"/>
    <x v="55"/>
    <s v="Toko F - Makassar"/>
    <x v="0"/>
    <n v="342451"/>
    <n v="34"/>
  </r>
  <r>
    <x v="644"/>
    <s v="M0154"/>
    <x v="13"/>
    <s v="Toko A - Jakarta"/>
    <x v="4"/>
    <n v="61241"/>
    <n v="6"/>
  </r>
  <r>
    <x v="645"/>
    <s v="M0218"/>
    <x v="182"/>
    <s v="Toko F - Makassar"/>
    <x v="1"/>
    <n v="140481"/>
    <n v="14"/>
  </r>
  <r>
    <x v="646"/>
    <s v="M0081"/>
    <x v="299"/>
    <s v="Toko B - Bandung"/>
    <x v="3"/>
    <n v="64006"/>
    <n v="6"/>
  </r>
  <r>
    <x v="647"/>
    <s v="M0115"/>
    <x v="121"/>
    <s v="Toko C - Surabaya"/>
    <x v="1"/>
    <n v="345718"/>
    <n v="34"/>
  </r>
  <r>
    <x v="648"/>
    <s v="M0192"/>
    <x v="54"/>
    <s v="Toko E - Semarang"/>
    <x v="2"/>
    <n v="135153"/>
    <n v="13"/>
  </r>
  <r>
    <x v="649"/>
    <s v="M0171"/>
    <x v="172"/>
    <s v="Toko A - Jakarta"/>
    <x v="2"/>
    <n v="71668"/>
    <n v="7"/>
  </r>
  <r>
    <x v="650"/>
    <s v="M0059"/>
    <x v="280"/>
    <s v="Toko G - Yogyakarta"/>
    <x v="1"/>
    <n v="105607"/>
    <n v="10"/>
  </r>
  <r>
    <x v="651"/>
    <s v="M0113"/>
    <x v="252"/>
    <s v="Toko A - Jakarta"/>
    <x v="1"/>
    <n v="264894"/>
    <n v="26"/>
  </r>
  <r>
    <x v="652"/>
    <s v="M0131"/>
    <x v="50"/>
    <s v="Toko A - Jakarta"/>
    <x v="4"/>
    <n v="208293"/>
    <n v="20"/>
  </r>
  <r>
    <x v="653"/>
    <s v="M0048"/>
    <x v="143"/>
    <s v="Toko B - Bandung"/>
    <x v="5"/>
    <n v="634278"/>
    <n v="63"/>
  </r>
  <r>
    <x v="654"/>
    <s v="M0151"/>
    <x v="230"/>
    <s v="Toko D - Medan"/>
    <x v="4"/>
    <n v="433211"/>
    <n v="43"/>
  </r>
  <r>
    <x v="655"/>
    <s v="M0233"/>
    <x v="178"/>
    <s v="Toko B - Bandung"/>
    <x v="5"/>
    <n v="341863"/>
    <n v="34"/>
  </r>
  <r>
    <x v="656"/>
    <s v="M0300"/>
    <x v="300"/>
    <s v="Toko F - Makassar"/>
    <x v="1"/>
    <n v="584592"/>
    <n v="58"/>
  </r>
  <r>
    <x v="657"/>
    <s v="M0017"/>
    <x v="226"/>
    <s v="Toko H - Denpasar"/>
    <x v="2"/>
    <n v="209604"/>
    <n v="20"/>
  </r>
  <r>
    <x v="658"/>
    <s v="M0246"/>
    <x v="290"/>
    <s v="Toko B - Bandung"/>
    <x v="0"/>
    <n v="123541"/>
    <n v="12"/>
  </r>
  <r>
    <x v="659"/>
    <s v="M0275"/>
    <x v="48"/>
    <s v="Toko B - Bandung"/>
    <x v="5"/>
    <n v="33554"/>
    <n v="3"/>
  </r>
  <r>
    <x v="660"/>
    <s v="M0178"/>
    <x v="137"/>
    <s v="Toko H - Denpasar"/>
    <x v="1"/>
    <n v="284774"/>
    <n v="28"/>
  </r>
  <r>
    <x v="661"/>
    <s v="M0068"/>
    <x v="181"/>
    <s v="Toko H - Denpasar"/>
    <x v="1"/>
    <n v="89819"/>
    <n v="8"/>
  </r>
  <r>
    <x v="662"/>
    <s v="M0180"/>
    <x v="180"/>
    <s v="Toko G - Yogyakarta"/>
    <x v="3"/>
    <n v="79221"/>
    <n v="7"/>
  </r>
  <r>
    <x v="663"/>
    <s v="M0126"/>
    <x v="301"/>
    <s v="Toko G - Yogyakarta"/>
    <x v="0"/>
    <n v="50032"/>
    <n v="5"/>
  </r>
  <r>
    <x v="664"/>
    <s v="M0011"/>
    <x v="163"/>
    <s v="Toko B - Bandung"/>
    <x v="4"/>
    <n v="555011"/>
    <n v="55"/>
  </r>
  <r>
    <x v="665"/>
    <s v="M0062"/>
    <x v="302"/>
    <s v="Toko H - Denpasar"/>
    <x v="3"/>
    <n v="475203"/>
    <n v="47"/>
  </r>
  <r>
    <x v="666"/>
    <s v="M0178"/>
    <x v="135"/>
    <s v="Toko F - Makassar"/>
    <x v="0"/>
    <n v="64644"/>
    <n v="6"/>
  </r>
  <r>
    <x v="667"/>
    <s v="M0215"/>
    <x v="77"/>
    <s v="Toko E - Semarang"/>
    <x v="4"/>
    <n v="149983"/>
    <n v="14"/>
  </r>
  <r>
    <x v="668"/>
    <s v="M0187"/>
    <x v="183"/>
    <s v="Toko G - Yogyakarta"/>
    <x v="2"/>
    <n v="162736"/>
    <n v="16"/>
  </r>
  <r>
    <x v="669"/>
    <s v="M0241"/>
    <x v="103"/>
    <s v="Toko G - Yogyakarta"/>
    <x v="3"/>
    <n v="84617"/>
    <n v="8"/>
  </r>
  <r>
    <x v="670"/>
    <s v="M0001"/>
    <x v="219"/>
    <s v="Toko H - Denpasar"/>
    <x v="2"/>
    <n v="473194"/>
    <n v="47"/>
  </r>
  <r>
    <x v="671"/>
    <s v="M0034"/>
    <x v="42"/>
    <s v="Toko B - Bandung"/>
    <x v="4"/>
    <n v="818006"/>
    <n v="81"/>
  </r>
  <r>
    <x v="672"/>
    <s v="M0005"/>
    <x v="114"/>
    <s v="Toko A - Jakarta"/>
    <x v="5"/>
    <n v="247635"/>
    <n v="24"/>
  </r>
  <r>
    <x v="673"/>
    <s v="M0290"/>
    <x v="189"/>
    <s v="Toko F - Makassar"/>
    <x v="2"/>
    <n v="190326"/>
    <n v="19"/>
  </r>
  <r>
    <x v="674"/>
    <s v="M0253"/>
    <x v="69"/>
    <s v="Toko A - Jakarta"/>
    <x v="1"/>
    <n v="233700"/>
    <n v="23"/>
  </r>
  <r>
    <x v="675"/>
    <s v="M0055"/>
    <x v="165"/>
    <s v="Toko B - Bandung"/>
    <x v="2"/>
    <n v="173130"/>
    <n v="17"/>
  </r>
  <r>
    <x v="676"/>
    <s v="M0227"/>
    <x v="210"/>
    <s v="Toko G - Yogyakarta"/>
    <x v="0"/>
    <n v="701543"/>
    <n v="70"/>
  </r>
  <r>
    <x v="677"/>
    <s v="M0299"/>
    <x v="303"/>
    <s v="Toko H - Denpasar"/>
    <x v="1"/>
    <n v="355129"/>
    <n v="35"/>
  </r>
  <r>
    <x v="678"/>
    <s v="M0104"/>
    <x v="124"/>
    <s v="Toko G - Yogyakarta"/>
    <x v="2"/>
    <n v="254719"/>
    <n v="25"/>
  </r>
  <r>
    <x v="679"/>
    <s v="M0162"/>
    <x v="304"/>
    <s v="Toko B - Bandung"/>
    <x v="2"/>
    <n v="129406"/>
    <n v="12"/>
  </r>
  <r>
    <x v="680"/>
    <s v="M0087"/>
    <x v="267"/>
    <s v="Toko D - Medan"/>
    <x v="3"/>
    <n v="195882"/>
    <n v="19"/>
  </r>
  <r>
    <x v="681"/>
    <s v="M0087"/>
    <x v="85"/>
    <s v="Toko G - Yogyakarta"/>
    <x v="5"/>
    <n v="58607"/>
    <n v="5"/>
  </r>
  <r>
    <x v="682"/>
    <s v="M0087"/>
    <x v="289"/>
    <s v="Toko G - Yogyakarta"/>
    <x v="1"/>
    <n v="247046"/>
    <n v="24"/>
  </r>
  <r>
    <x v="683"/>
    <s v="M0099"/>
    <x v="251"/>
    <s v="Toko G - Yogyakarta"/>
    <x v="0"/>
    <n v="469079"/>
    <n v="46"/>
  </r>
  <r>
    <x v="684"/>
    <s v="M0081"/>
    <x v="22"/>
    <s v="Toko C - Surabaya"/>
    <x v="4"/>
    <n v="573892"/>
    <n v="57"/>
  </r>
  <r>
    <x v="685"/>
    <s v="M0214"/>
    <x v="254"/>
    <s v="Toko A - Jakarta"/>
    <x v="3"/>
    <n v="113462"/>
    <n v="11"/>
  </r>
  <r>
    <x v="686"/>
    <s v="M0087"/>
    <x v="220"/>
    <s v="Toko H - Denpasar"/>
    <x v="0"/>
    <n v="560676"/>
    <n v="56"/>
  </r>
  <r>
    <x v="687"/>
    <s v="M0115"/>
    <x v="288"/>
    <s v="Toko B - Bandung"/>
    <x v="1"/>
    <n v="271617"/>
    <n v="27"/>
  </r>
  <r>
    <x v="688"/>
    <s v="M0024"/>
    <x v="51"/>
    <s v="Toko G - Yogyakarta"/>
    <x v="0"/>
    <n v="48720"/>
    <n v="4"/>
  </r>
  <r>
    <x v="689"/>
    <s v="M0265"/>
    <x v="305"/>
    <s v="Toko F - Makassar"/>
    <x v="4"/>
    <n v="878544"/>
    <n v="87"/>
  </r>
  <r>
    <x v="690"/>
    <s v="M0082"/>
    <x v="10"/>
    <s v="Toko E - Semarang"/>
    <x v="2"/>
    <n v="130350"/>
    <n v="13"/>
  </r>
  <r>
    <x v="691"/>
    <s v="M0239"/>
    <x v="300"/>
    <s v="Toko F - Makassar"/>
    <x v="2"/>
    <n v="115749"/>
    <n v="11"/>
  </r>
  <r>
    <x v="692"/>
    <s v="M0127"/>
    <x v="283"/>
    <s v="Toko F - Makassar"/>
    <x v="1"/>
    <n v="166368"/>
    <n v="16"/>
  </r>
  <r>
    <x v="693"/>
    <s v="M0093"/>
    <x v="127"/>
    <s v="Toko A - Jakarta"/>
    <x v="4"/>
    <n v="157637"/>
    <n v="15"/>
  </r>
  <r>
    <x v="694"/>
    <s v="M0103"/>
    <x v="306"/>
    <s v="Toko E - Semarang"/>
    <x v="0"/>
    <n v="144937"/>
    <n v="14"/>
  </r>
  <r>
    <x v="695"/>
    <s v="M0288"/>
    <x v="87"/>
    <s v="Toko H - Denpasar"/>
    <x v="5"/>
    <n v="548427"/>
    <n v="54"/>
  </r>
  <r>
    <x v="696"/>
    <s v="M0257"/>
    <x v="218"/>
    <s v="Toko H - Denpasar"/>
    <x v="4"/>
    <n v="182953"/>
    <n v="18"/>
  </r>
  <r>
    <x v="697"/>
    <s v="M0157"/>
    <x v="179"/>
    <s v="Toko B - Bandung"/>
    <x v="4"/>
    <n v="512599"/>
    <n v="51"/>
  </r>
  <r>
    <x v="698"/>
    <s v="M0227"/>
    <x v="219"/>
    <s v="Toko F - Makassar"/>
    <x v="0"/>
    <n v="92538"/>
    <n v="9"/>
  </r>
  <r>
    <x v="699"/>
    <s v="M0242"/>
    <x v="14"/>
    <s v="Toko H - Denpasar"/>
    <x v="5"/>
    <n v="78635"/>
    <n v="7"/>
  </r>
  <r>
    <x v="700"/>
    <s v="M0089"/>
    <x v="146"/>
    <s v="Toko G - Yogyakarta"/>
    <x v="1"/>
    <n v="678163"/>
    <n v="67"/>
  </r>
  <r>
    <x v="701"/>
    <s v="M0249"/>
    <x v="123"/>
    <s v="Toko A - Jakarta"/>
    <x v="3"/>
    <n v="341440"/>
    <n v="34"/>
  </r>
  <r>
    <x v="702"/>
    <s v="M0292"/>
    <x v="89"/>
    <s v="Toko H - Denpasar"/>
    <x v="1"/>
    <n v="144665"/>
    <n v="14"/>
  </r>
  <r>
    <x v="703"/>
    <s v="M0197"/>
    <x v="176"/>
    <s v="Toko A - Jakarta"/>
    <x v="4"/>
    <n v="293926"/>
    <n v="29"/>
  </r>
  <r>
    <x v="704"/>
    <s v="M0224"/>
    <x v="126"/>
    <s v="Toko C - Surabaya"/>
    <x v="0"/>
    <n v="587775"/>
    <n v="58"/>
  </r>
  <r>
    <x v="705"/>
    <s v="M0089"/>
    <x v="103"/>
    <s v="Toko C - Surabaya"/>
    <x v="5"/>
    <n v="361800"/>
    <n v="36"/>
  </r>
  <r>
    <x v="706"/>
    <s v="M0113"/>
    <x v="102"/>
    <s v="Toko D - Medan"/>
    <x v="3"/>
    <n v="64585"/>
    <n v="6"/>
  </r>
  <r>
    <x v="707"/>
    <s v="M0164"/>
    <x v="126"/>
    <s v="Toko B - Bandung"/>
    <x v="4"/>
    <n v="166149"/>
    <n v="16"/>
  </r>
  <r>
    <x v="708"/>
    <s v="M0037"/>
    <x v="62"/>
    <s v="Toko D - Medan"/>
    <x v="3"/>
    <n v="127601"/>
    <n v="12"/>
  </r>
  <r>
    <x v="709"/>
    <s v="M0103"/>
    <x v="212"/>
    <s v="Toko C - Surabaya"/>
    <x v="3"/>
    <n v="454168"/>
    <n v="45"/>
  </r>
  <r>
    <x v="710"/>
    <s v="M0006"/>
    <x v="307"/>
    <s v="Toko A - Jakarta"/>
    <x v="5"/>
    <n v="300501"/>
    <n v="30"/>
  </r>
  <r>
    <x v="711"/>
    <s v="M0220"/>
    <x v="96"/>
    <s v="Toko H - Denpasar"/>
    <x v="1"/>
    <n v="119252"/>
    <n v="11"/>
  </r>
  <r>
    <x v="712"/>
    <s v="M0164"/>
    <x v="155"/>
    <s v="Toko A - Jakarta"/>
    <x v="5"/>
    <n v="199776"/>
    <n v="19"/>
  </r>
  <r>
    <x v="713"/>
    <s v="M0042"/>
    <x v="185"/>
    <s v="Toko B - Bandung"/>
    <x v="1"/>
    <n v="506943"/>
    <n v="50"/>
  </r>
  <r>
    <x v="714"/>
    <s v="M0204"/>
    <x v="84"/>
    <s v="Toko G - Yogyakarta"/>
    <x v="0"/>
    <n v="288718"/>
    <n v="28"/>
  </r>
  <r>
    <x v="715"/>
    <s v="M0293"/>
    <x v="212"/>
    <s v="Toko D - Medan"/>
    <x v="4"/>
    <n v="259310"/>
    <n v="25"/>
  </r>
  <r>
    <x v="716"/>
    <s v="M0236"/>
    <x v="145"/>
    <s v="Toko G - Yogyakarta"/>
    <x v="2"/>
    <n v="210003"/>
    <n v="21"/>
  </r>
  <r>
    <x v="717"/>
    <s v="M0283"/>
    <x v="212"/>
    <s v="Toko A - Jakarta"/>
    <x v="2"/>
    <n v="283184"/>
    <n v="28"/>
  </r>
  <r>
    <x v="718"/>
    <s v="M0063"/>
    <x v="281"/>
    <s v="Toko A - Jakarta"/>
    <x v="4"/>
    <n v="290250"/>
    <n v="29"/>
  </r>
  <r>
    <x v="719"/>
    <s v="M0119"/>
    <x v="67"/>
    <s v="Toko A - Jakarta"/>
    <x v="2"/>
    <n v="203158"/>
    <n v="20"/>
  </r>
  <r>
    <x v="720"/>
    <s v="M0223"/>
    <x v="308"/>
    <s v="Toko H - Denpasar"/>
    <x v="0"/>
    <n v="462474"/>
    <n v="46"/>
  </r>
  <r>
    <x v="721"/>
    <s v="M0170"/>
    <x v="309"/>
    <s v="Toko A - Jakarta"/>
    <x v="2"/>
    <n v="113610"/>
    <n v="11"/>
  </r>
  <r>
    <x v="722"/>
    <s v="M0281"/>
    <x v="109"/>
    <s v="Toko H - Denpasar"/>
    <x v="3"/>
    <n v="272021"/>
    <n v="27"/>
  </r>
  <r>
    <x v="723"/>
    <s v="M0155"/>
    <x v="150"/>
    <s v="Toko D - Medan"/>
    <x v="4"/>
    <n v="292323"/>
    <n v="29"/>
  </r>
  <r>
    <x v="724"/>
    <s v="M0044"/>
    <x v="310"/>
    <s v="Toko H - Denpasar"/>
    <x v="5"/>
    <n v="156131"/>
    <n v="15"/>
  </r>
  <r>
    <x v="725"/>
    <s v="M0300"/>
    <x v="58"/>
    <s v="Toko E - Semarang"/>
    <x v="5"/>
    <n v="311942"/>
    <n v="31"/>
  </r>
  <r>
    <x v="726"/>
    <s v="M0232"/>
    <x v="80"/>
    <s v="Toko F - Makassar"/>
    <x v="1"/>
    <n v="344286"/>
    <n v="34"/>
  </r>
  <r>
    <x v="727"/>
    <s v="M0269"/>
    <x v="268"/>
    <s v="Toko E - Semarang"/>
    <x v="1"/>
    <n v="439722"/>
    <n v="43"/>
  </r>
  <r>
    <x v="728"/>
    <s v="M0298"/>
    <x v="96"/>
    <s v="Toko A - Jakarta"/>
    <x v="1"/>
    <n v="359897"/>
    <n v="35"/>
  </r>
  <r>
    <x v="729"/>
    <s v="M0039"/>
    <x v="252"/>
    <s v="Toko A - Jakarta"/>
    <x v="1"/>
    <n v="383339"/>
    <n v="38"/>
  </r>
  <r>
    <x v="730"/>
    <s v="M0126"/>
    <x v="117"/>
    <s v="Toko D - Medan"/>
    <x v="4"/>
    <n v="447484"/>
    <n v="44"/>
  </r>
  <r>
    <x v="731"/>
    <s v="M0262"/>
    <x v="47"/>
    <s v="Toko F - Makassar"/>
    <x v="3"/>
    <n v="59196"/>
    <n v="5"/>
  </r>
  <r>
    <x v="732"/>
    <s v="M0197"/>
    <x v="17"/>
    <s v="Toko D - Medan"/>
    <x v="1"/>
    <n v="214160"/>
    <n v="21"/>
  </r>
  <r>
    <x v="733"/>
    <s v="M0281"/>
    <x v="138"/>
    <s v="Toko H - Denpasar"/>
    <x v="4"/>
    <n v="374457"/>
    <n v="37"/>
  </r>
  <r>
    <x v="734"/>
    <s v="M0270"/>
    <x v="19"/>
    <s v="Toko A - Jakarta"/>
    <x v="4"/>
    <n v="653506"/>
    <n v="65"/>
  </r>
  <r>
    <x v="735"/>
    <s v="M0249"/>
    <x v="287"/>
    <s v="Toko G - Yogyakarta"/>
    <x v="1"/>
    <n v="314425"/>
    <n v="31"/>
  </r>
  <r>
    <x v="736"/>
    <s v="M0242"/>
    <x v="212"/>
    <s v="Toko D - Medan"/>
    <x v="4"/>
    <n v="80091"/>
    <n v="8"/>
  </r>
  <r>
    <x v="737"/>
    <s v="M0270"/>
    <x v="135"/>
    <s v="Toko E - Semarang"/>
    <x v="2"/>
    <n v="230333"/>
    <n v="23"/>
  </r>
  <r>
    <x v="738"/>
    <s v="M0238"/>
    <x v="311"/>
    <s v="Toko B - Bandung"/>
    <x v="3"/>
    <n v="210900"/>
    <n v="21"/>
  </r>
  <r>
    <x v="739"/>
    <s v="M0003"/>
    <x v="232"/>
    <s v="Toko G - Yogyakarta"/>
    <x v="1"/>
    <n v="122669"/>
    <n v="12"/>
  </r>
  <r>
    <x v="740"/>
    <s v="M0077"/>
    <x v="305"/>
    <s v="Toko E - Semarang"/>
    <x v="3"/>
    <n v="78204"/>
    <n v="7"/>
  </r>
  <r>
    <x v="741"/>
    <s v="M0113"/>
    <x v="148"/>
    <s v="Toko D - Medan"/>
    <x v="4"/>
    <n v="600865"/>
    <n v="60"/>
  </r>
  <r>
    <x v="742"/>
    <s v="M0076"/>
    <x v="312"/>
    <s v="Toko A - Jakarta"/>
    <x v="1"/>
    <n v="52528"/>
    <n v="5"/>
  </r>
  <r>
    <x v="743"/>
    <s v="M0239"/>
    <x v="89"/>
    <s v="Toko F - Makassar"/>
    <x v="5"/>
    <n v="353830"/>
    <n v="35"/>
  </r>
  <r>
    <x v="744"/>
    <s v="M0106"/>
    <x v="128"/>
    <s v="Toko F - Makassar"/>
    <x v="3"/>
    <n v="140382"/>
    <n v="14"/>
  </r>
  <r>
    <x v="745"/>
    <s v="M0141"/>
    <x v="223"/>
    <s v="Toko H - Denpasar"/>
    <x v="1"/>
    <n v="465747"/>
    <n v="46"/>
  </r>
  <r>
    <x v="746"/>
    <s v="M0122"/>
    <x v="178"/>
    <s v="Toko G - Yogyakarta"/>
    <x v="0"/>
    <n v="213699"/>
    <n v="21"/>
  </r>
  <r>
    <x v="747"/>
    <s v="M0143"/>
    <x v="101"/>
    <s v="Toko B - Bandung"/>
    <x v="3"/>
    <n v="317149"/>
    <n v="31"/>
  </r>
  <r>
    <x v="748"/>
    <s v="M0060"/>
    <x v="313"/>
    <s v="Toko B - Bandung"/>
    <x v="3"/>
    <n v="249303"/>
    <n v="24"/>
  </r>
  <r>
    <x v="749"/>
    <s v="M0057"/>
    <x v="156"/>
    <s v="Toko C - Surabaya"/>
    <x v="1"/>
    <n v="173168"/>
    <n v="17"/>
  </r>
  <r>
    <x v="750"/>
    <s v="M0227"/>
    <x v="7"/>
    <s v="Toko A - Jakarta"/>
    <x v="0"/>
    <n v="289936"/>
    <n v="28"/>
  </r>
  <r>
    <x v="751"/>
    <s v="M0001"/>
    <x v="176"/>
    <s v="Toko E - Semarang"/>
    <x v="5"/>
    <n v="258929"/>
    <n v="25"/>
  </r>
  <r>
    <x v="752"/>
    <s v="M0116"/>
    <x v="272"/>
    <s v="Toko A - Jakarta"/>
    <x v="1"/>
    <n v="473577"/>
    <n v="47"/>
  </r>
  <r>
    <x v="753"/>
    <s v="M0293"/>
    <x v="314"/>
    <s v="Toko C - Surabaya"/>
    <x v="0"/>
    <n v="51733"/>
    <n v="5"/>
  </r>
  <r>
    <x v="754"/>
    <s v="M0055"/>
    <x v="175"/>
    <s v="Toko D - Medan"/>
    <x v="0"/>
    <n v="287905"/>
    <n v="28"/>
  </r>
  <r>
    <x v="755"/>
    <s v="M0199"/>
    <x v="250"/>
    <s v="Toko F - Makassar"/>
    <x v="4"/>
    <n v="324663"/>
    <n v="32"/>
  </r>
  <r>
    <x v="756"/>
    <s v="M0228"/>
    <x v="126"/>
    <s v="Toko B - Bandung"/>
    <x v="4"/>
    <n v="86565"/>
    <n v="8"/>
  </r>
  <r>
    <x v="757"/>
    <s v="M0026"/>
    <x v="152"/>
    <s v="Toko C - Surabaya"/>
    <x v="2"/>
    <n v="645956"/>
    <n v="64"/>
  </r>
  <r>
    <x v="758"/>
    <s v="M0215"/>
    <x v="21"/>
    <s v="Toko F - Makassar"/>
    <x v="0"/>
    <n v="271791"/>
    <n v="27"/>
  </r>
  <r>
    <x v="759"/>
    <s v="M0074"/>
    <x v="201"/>
    <s v="Toko D - Medan"/>
    <x v="2"/>
    <n v="622237"/>
    <n v="62"/>
  </r>
  <r>
    <x v="760"/>
    <s v="M0077"/>
    <x v="33"/>
    <s v="Toko A - Jakarta"/>
    <x v="2"/>
    <n v="208974"/>
    <n v="20"/>
  </r>
  <r>
    <x v="761"/>
    <s v="M0183"/>
    <x v="84"/>
    <s v="Toko H - Denpasar"/>
    <x v="5"/>
    <n v="320384"/>
    <n v="32"/>
  </r>
  <r>
    <x v="762"/>
    <s v="M0063"/>
    <x v="315"/>
    <s v="Toko E - Semarang"/>
    <x v="5"/>
    <n v="466509"/>
    <n v="46"/>
  </r>
  <r>
    <x v="763"/>
    <s v="M0052"/>
    <x v="147"/>
    <s v="Toko G - Yogyakarta"/>
    <x v="3"/>
    <n v="783406"/>
    <n v="78"/>
  </r>
  <r>
    <x v="764"/>
    <s v="M0246"/>
    <x v="293"/>
    <s v="Toko G - Yogyakarta"/>
    <x v="1"/>
    <n v="223471"/>
    <n v="22"/>
  </r>
  <r>
    <x v="765"/>
    <s v="M0013"/>
    <x v="22"/>
    <s v="Toko F - Makassar"/>
    <x v="1"/>
    <n v="66666"/>
    <n v="6"/>
  </r>
  <r>
    <x v="766"/>
    <s v="M0191"/>
    <x v="254"/>
    <s v="Toko A - Jakarta"/>
    <x v="0"/>
    <n v="715551"/>
    <n v="71"/>
  </r>
  <r>
    <x v="767"/>
    <s v="M0049"/>
    <x v="137"/>
    <s v="Toko A - Jakarta"/>
    <x v="1"/>
    <n v="128844"/>
    <n v="12"/>
  </r>
  <r>
    <x v="768"/>
    <s v="M0101"/>
    <x v="316"/>
    <s v="Toko B - Bandung"/>
    <x v="1"/>
    <n v="715051"/>
    <n v="71"/>
  </r>
  <r>
    <x v="769"/>
    <s v="M0271"/>
    <x v="185"/>
    <s v="Toko G - Yogyakarta"/>
    <x v="2"/>
    <n v="54813"/>
    <n v="5"/>
  </r>
  <r>
    <x v="770"/>
    <s v="M0094"/>
    <x v="317"/>
    <s v="Toko C - Surabaya"/>
    <x v="1"/>
    <n v="87681"/>
    <n v="8"/>
  </r>
  <r>
    <x v="771"/>
    <s v="M0062"/>
    <x v="85"/>
    <s v="Toko B - Bandung"/>
    <x v="2"/>
    <n v="630685"/>
    <n v="63"/>
  </r>
  <r>
    <x v="772"/>
    <s v="M0204"/>
    <x v="306"/>
    <s v="Toko H - Denpasar"/>
    <x v="3"/>
    <n v="142967"/>
    <n v="14"/>
  </r>
  <r>
    <x v="773"/>
    <s v="M0002"/>
    <x v="280"/>
    <s v="Toko B - Bandung"/>
    <x v="2"/>
    <n v="382109"/>
    <n v="38"/>
  </r>
  <r>
    <x v="774"/>
    <s v="M0113"/>
    <x v="234"/>
    <s v="Toko C - Surabaya"/>
    <x v="1"/>
    <n v="521618"/>
    <n v="52"/>
  </r>
  <r>
    <x v="775"/>
    <s v="M0253"/>
    <x v="179"/>
    <s v="Toko A - Jakarta"/>
    <x v="2"/>
    <n v="222005"/>
    <n v="22"/>
  </r>
  <r>
    <x v="776"/>
    <s v="M0196"/>
    <x v="246"/>
    <s v="Toko E - Semarang"/>
    <x v="1"/>
    <n v="806034"/>
    <n v="80"/>
  </r>
  <r>
    <x v="777"/>
    <s v="M0056"/>
    <x v="100"/>
    <s v="Toko E - Semarang"/>
    <x v="4"/>
    <n v="349291"/>
    <n v="34"/>
  </r>
  <r>
    <x v="778"/>
    <s v="M0148"/>
    <x v="142"/>
    <s v="Toko E - Semarang"/>
    <x v="4"/>
    <n v="266888"/>
    <n v="26"/>
  </r>
  <r>
    <x v="779"/>
    <s v="M0128"/>
    <x v="270"/>
    <s v="Toko G - Yogyakarta"/>
    <x v="1"/>
    <n v="122544"/>
    <n v="12"/>
  </r>
  <r>
    <x v="780"/>
    <s v="M0249"/>
    <x v="190"/>
    <s v="Toko B - Bandung"/>
    <x v="3"/>
    <n v="223789"/>
    <n v="22"/>
  </r>
  <r>
    <x v="781"/>
    <s v="M0289"/>
    <x v="51"/>
    <s v="Toko F - Makassar"/>
    <x v="2"/>
    <n v="104829"/>
    <n v="10"/>
  </r>
  <r>
    <x v="782"/>
    <s v="M0044"/>
    <x v="260"/>
    <s v="Toko B - Bandung"/>
    <x v="2"/>
    <n v="358215"/>
    <n v="35"/>
  </r>
  <r>
    <x v="783"/>
    <s v="M0044"/>
    <x v="159"/>
    <s v="Toko E - Semarang"/>
    <x v="4"/>
    <n v="235861"/>
    <n v="23"/>
  </r>
  <r>
    <x v="784"/>
    <s v="M0226"/>
    <x v="318"/>
    <s v="Toko D - Medan"/>
    <x v="2"/>
    <n v="321458"/>
    <n v="32"/>
  </r>
  <r>
    <x v="785"/>
    <s v="M0019"/>
    <x v="249"/>
    <s v="Toko E - Semarang"/>
    <x v="4"/>
    <n v="739701"/>
    <n v="73"/>
  </r>
  <r>
    <x v="786"/>
    <s v="M0171"/>
    <x v="311"/>
    <s v="Toko A - Jakarta"/>
    <x v="5"/>
    <n v="237899"/>
    <n v="23"/>
  </r>
  <r>
    <x v="787"/>
    <s v="M0281"/>
    <x v="83"/>
    <s v="Toko B - Bandung"/>
    <x v="3"/>
    <n v="248924"/>
    <n v="24"/>
  </r>
  <r>
    <x v="788"/>
    <s v="M0139"/>
    <x v="27"/>
    <s v="Toko E - Semarang"/>
    <x v="3"/>
    <n v="287508"/>
    <n v="28"/>
  </r>
  <r>
    <x v="789"/>
    <s v="M0149"/>
    <x v="228"/>
    <s v="Toko G - Yogyakarta"/>
    <x v="4"/>
    <n v="386858"/>
    <n v="38"/>
  </r>
  <r>
    <x v="790"/>
    <s v="M0207"/>
    <x v="125"/>
    <s v="Toko C - Surabaya"/>
    <x v="3"/>
    <n v="314964"/>
    <n v="31"/>
  </r>
  <r>
    <x v="791"/>
    <s v="M0069"/>
    <x v="235"/>
    <s v="Toko D - Medan"/>
    <x v="2"/>
    <n v="175922"/>
    <n v="17"/>
  </r>
  <r>
    <x v="792"/>
    <s v="M0254"/>
    <x v="319"/>
    <s v="Toko A - Jakarta"/>
    <x v="5"/>
    <n v="219507"/>
    <n v="21"/>
  </r>
  <r>
    <x v="793"/>
    <s v="M0201"/>
    <x v="147"/>
    <s v="Toko D - Medan"/>
    <x v="5"/>
    <n v="117659"/>
    <n v="11"/>
  </r>
  <r>
    <x v="794"/>
    <s v="M0233"/>
    <x v="320"/>
    <s v="Toko B - Bandung"/>
    <x v="3"/>
    <n v="611810"/>
    <n v="61"/>
  </r>
  <r>
    <x v="795"/>
    <s v="M0087"/>
    <x v="256"/>
    <s v="Toko B - Bandung"/>
    <x v="0"/>
    <n v="25000"/>
    <n v="2"/>
  </r>
  <r>
    <x v="796"/>
    <s v="M0089"/>
    <x v="145"/>
    <s v="Toko H - Denpasar"/>
    <x v="2"/>
    <n v="596300"/>
    <n v="59"/>
  </r>
  <r>
    <x v="797"/>
    <s v="M0003"/>
    <x v="65"/>
    <s v="Toko C - Surabaya"/>
    <x v="2"/>
    <n v="245974"/>
    <n v="24"/>
  </r>
  <r>
    <x v="798"/>
    <s v="M0123"/>
    <x v="246"/>
    <s v="Toko D - Medan"/>
    <x v="0"/>
    <n v="324420"/>
    <n v="32"/>
  </r>
  <r>
    <x v="799"/>
    <s v="M0064"/>
    <x v="127"/>
    <s v="Toko H - Denpasar"/>
    <x v="0"/>
    <n v="296032"/>
    <n v="29"/>
  </r>
  <r>
    <x v="800"/>
    <s v="M0035"/>
    <x v="134"/>
    <s v="Toko C - Surabaya"/>
    <x v="3"/>
    <n v="73723"/>
    <n v="7"/>
  </r>
  <r>
    <x v="801"/>
    <s v="M0153"/>
    <x v="135"/>
    <s v="Toko D - Medan"/>
    <x v="4"/>
    <n v="159934"/>
    <n v="15"/>
  </r>
  <r>
    <x v="802"/>
    <s v="M0010"/>
    <x v="13"/>
    <s v="Toko C - Surabaya"/>
    <x v="1"/>
    <n v="128900"/>
    <n v="12"/>
  </r>
  <r>
    <x v="803"/>
    <s v="M0008"/>
    <x v="91"/>
    <s v="Toko D - Medan"/>
    <x v="1"/>
    <n v="229524"/>
    <n v="22"/>
  </r>
  <r>
    <x v="804"/>
    <s v="M0012"/>
    <x v="201"/>
    <s v="Toko F - Makassar"/>
    <x v="2"/>
    <n v="363438"/>
    <n v="36"/>
  </r>
  <r>
    <x v="805"/>
    <s v="M0078"/>
    <x v="321"/>
    <s v="Toko B - Bandung"/>
    <x v="5"/>
    <n v="156836"/>
    <n v="15"/>
  </r>
  <r>
    <x v="806"/>
    <s v="M0220"/>
    <x v="322"/>
    <s v="Toko A - Jakarta"/>
    <x v="1"/>
    <n v="177490"/>
    <n v="17"/>
  </r>
  <r>
    <x v="807"/>
    <s v="M0035"/>
    <x v="209"/>
    <s v="Toko G - Yogyakarta"/>
    <x v="5"/>
    <n v="46963"/>
    <n v="4"/>
  </r>
  <r>
    <x v="808"/>
    <s v="M0299"/>
    <x v="129"/>
    <s v="Toko F - Makassar"/>
    <x v="4"/>
    <n v="31237"/>
    <n v="3"/>
  </r>
  <r>
    <x v="809"/>
    <s v="M0151"/>
    <x v="321"/>
    <s v="Toko H - Denpasar"/>
    <x v="4"/>
    <n v="389528"/>
    <n v="38"/>
  </r>
  <r>
    <x v="810"/>
    <s v="M0268"/>
    <x v="220"/>
    <s v="Toko G - Yogyakarta"/>
    <x v="1"/>
    <n v="434512"/>
    <n v="43"/>
  </r>
  <r>
    <x v="811"/>
    <s v="M0198"/>
    <x v="201"/>
    <s v="Toko C - Surabaya"/>
    <x v="3"/>
    <n v="460911"/>
    <n v="46"/>
  </r>
  <r>
    <x v="812"/>
    <s v="M0077"/>
    <x v="271"/>
    <s v="Toko E - Semarang"/>
    <x v="5"/>
    <n v="618132"/>
    <n v="61"/>
  </r>
  <r>
    <x v="813"/>
    <s v="M0237"/>
    <x v="199"/>
    <s v="Toko C - Surabaya"/>
    <x v="4"/>
    <n v="678814"/>
    <n v="67"/>
  </r>
  <r>
    <x v="814"/>
    <s v="M0073"/>
    <x v="249"/>
    <s v="Toko B - Bandung"/>
    <x v="5"/>
    <n v="710780"/>
    <n v="71"/>
  </r>
  <r>
    <x v="815"/>
    <s v="M0242"/>
    <x v="19"/>
    <s v="Toko G - Yogyakarta"/>
    <x v="1"/>
    <n v="243800"/>
    <n v="24"/>
  </r>
  <r>
    <x v="816"/>
    <s v="M0249"/>
    <x v="290"/>
    <s v="Toko C - Surabaya"/>
    <x v="1"/>
    <n v="257716"/>
    <n v="25"/>
  </r>
  <r>
    <x v="817"/>
    <s v="M0262"/>
    <x v="84"/>
    <s v="Toko G - Yogyakarta"/>
    <x v="2"/>
    <n v="213884"/>
    <n v="21"/>
  </r>
  <r>
    <x v="818"/>
    <s v="M0261"/>
    <x v="323"/>
    <s v="Toko C - Surabaya"/>
    <x v="2"/>
    <n v="65857"/>
    <n v="6"/>
  </r>
  <r>
    <x v="819"/>
    <s v="M0035"/>
    <x v="324"/>
    <s v="Toko B - Bandung"/>
    <x v="3"/>
    <n v="239632"/>
    <n v="23"/>
  </r>
  <r>
    <x v="820"/>
    <s v="M0244"/>
    <x v="227"/>
    <s v="Toko E - Semarang"/>
    <x v="3"/>
    <n v="198912"/>
    <n v="19"/>
  </r>
  <r>
    <x v="821"/>
    <s v="M0221"/>
    <x v="273"/>
    <s v="Toko A - Jakarta"/>
    <x v="2"/>
    <n v="328160"/>
    <n v="32"/>
  </r>
  <r>
    <x v="822"/>
    <s v="M0281"/>
    <x v="141"/>
    <s v="Toko B - Bandung"/>
    <x v="2"/>
    <n v="165743"/>
    <n v="16"/>
  </r>
  <r>
    <x v="823"/>
    <s v="M0237"/>
    <x v="121"/>
    <s v="Toko F - Makassar"/>
    <x v="3"/>
    <n v="402134"/>
    <n v="40"/>
  </r>
  <r>
    <x v="824"/>
    <s v="M0231"/>
    <x v="300"/>
    <s v="Toko C - Surabaya"/>
    <x v="3"/>
    <n v="235631"/>
    <n v="23"/>
  </r>
  <r>
    <x v="825"/>
    <s v="M0155"/>
    <x v="53"/>
    <s v="Toko F - Makassar"/>
    <x v="0"/>
    <n v="73337"/>
    <n v="7"/>
  </r>
  <r>
    <x v="826"/>
    <s v="M0120"/>
    <x v="160"/>
    <s v="Toko H - Denpasar"/>
    <x v="1"/>
    <n v="190767"/>
    <n v="19"/>
  </r>
  <r>
    <x v="827"/>
    <s v="M0065"/>
    <x v="217"/>
    <s v="Toko E - Semarang"/>
    <x v="4"/>
    <n v="658792"/>
    <n v="65"/>
  </r>
  <r>
    <x v="828"/>
    <s v="M0238"/>
    <x v="325"/>
    <s v="Toko A - Jakarta"/>
    <x v="0"/>
    <n v="191869"/>
    <n v="19"/>
  </r>
  <r>
    <x v="829"/>
    <s v="M0142"/>
    <x v="226"/>
    <s v="Toko F - Makassar"/>
    <x v="4"/>
    <n v="247666"/>
    <n v="24"/>
  </r>
  <r>
    <x v="830"/>
    <s v="M0140"/>
    <x v="284"/>
    <s v="Toko C - Surabaya"/>
    <x v="0"/>
    <n v="50660"/>
    <n v="5"/>
  </r>
  <r>
    <x v="831"/>
    <s v="M0215"/>
    <x v="97"/>
    <s v="Toko A - Jakarta"/>
    <x v="0"/>
    <n v="184213"/>
    <n v="18"/>
  </r>
  <r>
    <x v="832"/>
    <s v="M0150"/>
    <x v="190"/>
    <s v="Toko E - Semarang"/>
    <x v="4"/>
    <n v="340849"/>
    <n v="34"/>
  </r>
  <r>
    <x v="833"/>
    <s v="M0043"/>
    <x v="57"/>
    <s v="Toko B - Bandung"/>
    <x v="0"/>
    <n v="302929"/>
    <n v="30"/>
  </r>
  <r>
    <x v="834"/>
    <s v="M0179"/>
    <x v="308"/>
    <s v="Toko E - Semarang"/>
    <x v="2"/>
    <n v="373169"/>
    <n v="37"/>
  </r>
  <r>
    <x v="835"/>
    <s v="M0063"/>
    <x v="68"/>
    <s v="Toko D - Medan"/>
    <x v="2"/>
    <n v="365529"/>
    <n v="36"/>
  </r>
  <r>
    <x v="836"/>
    <s v="M0224"/>
    <x v="202"/>
    <s v="Toko C - Surabaya"/>
    <x v="1"/>
    <n v="117505"/>
    <n v="11"/>
  </r>
  <r>
    <x v="837"/>
    <s v="M0127"/>
    <x v="186"/>
    <s v="Toko D - Medan"/>
    <x v="1"/>
    <n v="354057"/>
    <n v="35"/>
  </r>
  <r>
    <x v="838"/>
    <s v="M0242"/>
    <x v="8"/>
    <s v="Toko G - Yogyakarta"/>
    <x v="5"/>
    <n v="75890"/>
    <n v="7"/>
  </r>
  <r>
    <x v="839"/>
    <s v="M0227"/>
    <x v="273"/>
    <s v="Toko B - Bandung"/>
    <x v="1"/>
    <n v="571841"/>
    <n v="57"/>
  </r>
  <r>
    <x v="840"/>
    <s v="M0008"/>
    <x v="294"/>
    <s v="Toko H - Denpasar"/>
    <x v="3"/>
    <n v="64495"/>
    <n v="6"/>
  </r>
  <r>
    <x v="841"/>
    <s v="M0006"/>
    <x v="67"/>
    <s v="Toko A - Jakarta"/>
    <x v="3"/>
    <n v="155953"/>
    <n v="15"/>
  </r>
  <r>
    <x v="842"/>
    <s v="M0247"/>
    <x v="31"/>
    <s v="Toko H - Denpasar"/>
    <x v="3"/>
    <n v="234135"/>
    <n v="23"/>
  </r>
  <r>
    <x v="843"/>
    <s v="M0039"/>
    <x v="272"/>
    <s v="Toko F - Makassar"/>
    <x v="2"/>
    <n v="206289"/>
    <n v="20"/>
  </r>
  <r>
    <x v="844"/>
    <s v="M0192"/>
    <x v="314"/>
    <s v="Toko F - Makassar"/>
    <x v="2"/>
    <n v="571498"/>
    <n v="57"/>
  </r>
  <r>
    <x v="845"/>
    <s v="M0196"/>
    <x v="138"/>
    <s v="Toko B - Bandung"/>
    <x v="4"/>
    <n v="269475"/>
    <n v="26"/>
  </r>
  <r>
    <x v="846"/>
    <s v="M0205"/>
    <x v="88"/>
    <s v="Toko G - Yogyakarta"/>
    <x v="0"/>
    <n v="717855"/>
    <n v="71"/>
  </r>
  <r>
    <x v="847"/>
    <s v="M0249"/>
    <x v="33"/>
    <s v="Toko F - Makassar"/>
    <x v="1"/>
    <n v="227100"/>
    <n v="22"/>
  </r>
  <r>
    <x v="848"/>
    <s v="M0249"/>
    <x v="46"/>
    <s v="Toko H - Denpasar"/>
    <x v="0"/>
    <n v="216483"/>
    <n v="21"/>
  </r>
  <r>
    <x v="849"/>
    <s v="M0269"/>
    <x v="200"/>
    <s v="Toko H - Denpasar"/>
    <x v="3"/>
    <n v="429573"/>
    <n v="42"/>
  </r>
  <r>
    <x v="850"/>
    <s v="M0185"/>
    <x v="43"/>
    <s v="Toko F - Makassar"/>
    <x v="1"/>
    <n v="167305"/>
    <n v="16"/>
  </r>
  <r>
    <x v="851"/>
    <s v="M0089"/>
    <x v="63"/>
    <s v="Toko C - Surabaya"/>
    <x v="2"/>
    <n v="690685"/>
    <n v="69"/>
  </r>
  <r>
    <x v="852"/>
    <s v="M0236"/>
    <x v="37"/>
    <s v="Toko A - Jakarta"/>
    <x v="1"/>
    <n v="285503"/>
    <n v="28"/>
  </r>
  <r>
    <x v="853"/>
    <s v="M0118"/>
    <x v="286"/>
    <s v="Toko G - Yogyakarta"/>
    <x v="5"/>
    <n v="341438"/>
    <n v="34"/>
  </r>
  <r>
    <x v="854"/>
    <s v="M0267"/>
    <x v="219"/>
    <s v="Toko F - Makassar"/>
    <x v="4"/>
    <n v="25428"/>
    <n v="2"/>
  </r>
  <r>
    <x v="855"/>
    <s v="M0168"/>
    <x v="325"/>
    <s v="Toko H - Denpasar"/>
    <x v="5"/>
    <n v="136228"/>
    <n v="13"/>
  </r>
  <r>
    <x v="856"/>
    <s v="M0087"/>
    <x v="326"/>
    <s v="Toko G - Yogyakarta"/>
    <x v="0"/>
    <n v="220540"/>
    <n v="22"/>
  </r>
  <r>
    <x v="857"/>
    <s v="M0105"/>
    <x v="272"/>
    <s v="Toko G - Yogyakarta"/>
    <x v="4"/>
    <n v="110540"/>
    <n v="11"/>
  </r>
  <r>
    <x v="858"/>
    <s v="M0269"/>
    <x v="233"/>
    <s v="Toko D - Medan"/>
    <x v="5"/>
    <n v="177923"/>
    <n v="17"/>
  </r>
  <r>
    <x v="859"/>
    <s v="M0003"/>
    <x v="195"/>
    <s v="Toko E - Semarang"/>
    <x v="0"/>
    <n v="453254"/>
    <n v="45"/>
  </r>
  <r>
    <x v="860"/>
    <s v="M0187"/>
    <x v="10"/>
    <s v="Toko E - Semarang"/>
    <x v="3"/>
    <n v="97632"/>
    <n v="9"/>
  </r>
  <r>
    <x v="861"/>
    <s v="M0220"/>
    <x v="172"/>
    <s v="Toko H - Denpasar"/>
    <x v="1"/>
    <n v="345566"/>
    <n v="34"/>
  </r>
  <r>
    <x v="862"/>
    <s v="M0192"/>
    <x v="46"/>
    <s v="Toko G - Yogyakarta"/>
    <x v="1"/>
    <n v="108963"/>
    <n v="10"/>
  </r>
  <r>
    <x v="863"/>
    <s v="M0091"/>
    <x v="322"/>
    <s v="Toko E - Semarang"/>
    <x v="2"/>
    <n v="286718"/>
    <n v="28"/>
  </r>
  <r>
    <x v="864"/>
    <s v="M0204"/>
    <x v="85"/>
    <s v="Toko F - Makassar"/>
    <x v="4"/>
    <n v="25000"/>
    <n v="2"/>
  </r>
  <r>
    <x v="865"/>
    <s v="M0089"/>
    <x v="84"/>
    <s v="Toko C - Surabaya"/>
    <x v="4"/>
    <n v="130218"/>
    <n v="13"/>
  </r>
  <r>
    <x v="866"/>
    <s v="M0002"/>
    <x v="280"/>
    <s v="Toko C - Surabaya"/>
    <x v="5"/>
    <n v="718072"/>
    <n v="71"/>
  </r>
  <r>
    <x v="867"/>
    <s v="M0154"/>
    <x v="20"/>
    <s v="Toko E - Semarang"/>
    <x v="4"/>
    <n v="35828"/>
    <n v="3"/>
  </r>
  <r>
    <x v="868"/>
    <s v="M0087"/>
    <x v="154"/>
    <s v="Toko F - Makassar"/>
    <x v="2"/>
    <n v="370196"/>
    <n v="37"/>
  </r>
  <r>
    <x v="869"/>
    <s v="M0053"/>
    <x v="232"/>
    <s v="Toko G - Yogyakarta"/>
    <x v="5"/>
    <n v="532025"/>
    <n v="53"/>
  </r>
  <r>
    <x v="870"/>
    <s v="M0233"/>
    <x v="168"/>
    <s v="Toko A - Jakarta"/>
    <x v="0"/>
    <n v="998751"/>
    <n v="99"/>
  </r>
  <r>
    <x v="871"/>
    <s v="M0105"/>
    <x v="43"/>
    <s v="Toko H - Denpasar"/>
    <x v="4"/>
    <n v="557731"/>
    <n v="55"/>
  </r>
  <r>
    <x v="872"/>
    <s v="M0039"/>
    <x v="278"/>
    <s v="Toko H - Denpasar"/>
    <x v="0"/>
    <n v="585925"/>
    <n v="58"/>
  </r>
  <r>
    <x v="873"/>
    <s v="M0183"/>
    <x v="38"/>
    <s v="Toko E - Semarang"/>
    <x v="5"/>
    <n v="427053"/>
    <n v="42"/>
  </r>
  <r>
    <x v="874"/>
    <s v="M0232"/>
    <x v="289"/>
    <s v="Toko A - Jakarta"/>
    <x v="2"/>
    <n v="179786"/>
    <n v="17"/>
  </r>
  <r>
    <x v="875"/>
    <s v="M0024"/>
    <x v="160"/>
    <s v="Toko A - Jakarta"/>
    <x v="1"/>
    <n v="269733"/>
    <n v="26"/>
  </r>
  <r>
    <x v="876"/>
    <s v="M0096"/>
    <x v="327"/>
    <s v="Toko B - Bandung"/>
    <x v="0"/>
    <n v="774192"/>
    <n v="77"/>
  </r>
  <r>
    <x v="877"/>
    <s v="M0122"/>
    <x v="80"/>
    <s v="Toko A - Jakarta"/>
    <x v="4"/>
    <n v="383457"/>
    <n v="38"/>
  </r>
  <r>
    <x v="878"/>
    <s v="M0220"/>
    <x v="145"/>
    <s v="Toko G - Yogyakarta"/>
    <x v="0"/>
    <n v="287502"/>
    <n v="28"/>
  </r>
  <r>
    <x v="879"/>
    <s v="M0243"/>
    <x v="192"/>
    <s v="Toko B - Bandung"/>
    <x v="2"/>
    <n v="519210"/>
    <n v="51"/>
  </r>
  <r>
    <x v="880"/>
    <s v="M0030"/>
    <x v="206"/>
    <s v="Toko H - Denpasar"/>
    <x v="1"/>
    <n v="997902"/>
    <n v="99"/>
  </r>
  <r>
    <x v="881"/>
    <s v="M0033"/>
    <x v="320"/>
    <s v="Toko B - Bandung"/>
    <x v="3"/>
    <n v="110568"/>
    <n v="11"/>
  </r>
  <r>
    <x v="882"/>
    <s v="M0044"/>
    <x v="316"/>
    <s v="Toko E - Semarang"/>
    <x v="4"/>
    <n v="134150"/>
    <n v="13"/>
  </r>
  <r>
    <x v="883"/>
    <s v="M0236"/>
    <x v="89"/>
    <s v="Toko C - Surabaya"/>
    <x v="0"/>
    <n v="25000"/>
    <n v="2"/>
  </r>
  <r>
    <x v="884"/>
    <s v="M0140"/>
    <x v="266"/>
    <s v="Toko B - Bandung"/>
    <x v="3"/>
    <n v="382169"/>
    <n v="38"/>
  </r>
  <r>
    <x v="885"/>
    <s v="M0098"/>
    <x v="328"/>
    <s v="Toko B - Bandung"/>
    <x v="2"/>
    <n v="351638"/>
    <n v="35"/>
  </r>
  <r>
    <x v="886"/>
    <s v="M0151"/>
    <x v="206"/>
    <s v="Toko F - Makassar"/>
    <x v="5"/>
    <n v="98949"/>
    <n v="9"/>
  </r>
  <r>
    <x v="887"/>
    <s v="M0056"/>
    <x v="228"/>
    <s v="Toko D - Medan"/>
    <x v="2"/>
    <n v="396259"/>
    <n v="39"/>
  </r>
  <r>
    <x v="888"/>
    <s v="M0018"/>
    <x v="288"/>
    <s v="Toko G - Yogyakarta"/>
    <x v="0"/>
    <n v="130274"/>
    <n v="13"/>
  </r>
  <r>
    <x v="889"/>
    <s v="M0002"/>
    <x v="27"/>
    <s v="Toko A - Jakarta"/>
    <x v="4"/>
    <n v="62292"/>
    <n v="6"/>
  </r>
  <r>
    <x v="890"/>
    <s v="M0031"/>
    <x v="207"/>
    <s v="Toko G - Yogyakarta"/>
    <x v="3"/>
    <n v="163670"/>
    <n v="16"/>
  </r>
  <r>
    <x v="891"/>
    <s v="M0028"/>
    <x v="82"/>
    <s v="Toko A - Jakarta"/>
    <x v="0"/>
    <n v="192031"/>
    <n v="19"/>
  </r>
  <r>
    <x v="892"/>
    <s v="M0148"/>
    <x v="239"/>
    <s v="Toko C - Surabaya"/>
    <x v="1"/>
    <n v="638980"/>
    <n v="63"/>
  </r>
  <r>
    <x v="893"/>
    <s v="M0049"/>
    <x v="163"/>
    <s v="Toko B - Bandung"/>
    <x v="4"/>
    <n v="210808"/>
    <n v="21"/>
  </r>
  <r>
    <x v="894"/>
    <s v="M0089"/>
    <x v="176"/>
    <s v="Toko F - Makassar"/>
    <x v="5"/>
    <n v="150092"/>
    <n v="15"/>
  </r>
  <r>
    <x v="895"/>
    <s v="M0267"/>
    <x v="44"/>
    <s v="Toko C - Surabaya"/>
    <x v="2"/>
    <n v="393791"/>
    <n v="39"/>
  </r>
  <r>
    <x v="896"/>
    <s v="M0283"/>
    <x v="267"/>
    <s v="Toko B - Bandung"/>
    <x v="0"/>
    <n v="293055"/>
    <n v="29"/>
  </r>
  <r>
    <x v="897"/>
    <s v="M0213"/>
    <x v="218"/>
    <s v="Toko B - Bandung"/>
    <x v="3"/>
    <n v="345973"/>
    <n v="34"/>
  </r>
  <r>
    <x v="898"/>
    <s v="M0115"/>
    <x v="165"/>
    <s v="Toko G - Yogyakarta"/>
    <x v="5"/>
    <n v="483723"/>
    <n v="48"/>
  </r>
  <r>
    <x v="899"/>
    <s v="M0261"/>
    <x v="60"/>
    <s v="Toko D - Medan"/>
    <x v="4"/>
    <n v="248638"/>
    <n v="24"/>
  </r>
  <r>
    <x v="900"/>
    <s v="M0119"/>
    <x v="10"/>
    <s v="Toko A - Jakarta"/>
    <x v="1"/>
    <n v="251245"/>
    <n v="25"/>
  </r>
  <r>
    <x v="901"/>
    <s v="M0289"/>
    <x v="29"/>
    <s v="Toko B - Bandung"/>
    <x v="3"/>
    <n v="125791"/>
    <n v="12"/>
  </r>
  <r>
    <x v="902"/>
    <s v="M0267"/>
    <x v="329"/>
    <s v="Toko F - Makassar"/>
    <x v="1"/>
    <n v="425480"/>
    <n v="42"/>
  </r>
  <r>
    <x v="903"/>
    <s v="M0076"/>
    <x v="208"/>
    <s v="Toko H - Denpasar"/>
    <x v="2"/>
    <n v="103268"/>
    <n v="10"/>
  </r>
  <r>
    <x v="904"/>
    <s v="M0108"/>
    <x v="330"/>
    <s v="Toko D - Medan"/>
    <x v="0"/>
    <n v="524778"/>
    <n v="52"/>
  </r>
  <r>
    <x v="905"/>
    <s v="M0109"/>
    <x v="46"/>
    <s v="Toko B - Bandung"/>
    <x v="5"/>
    <n v="96433"/>
    <n v="9"/>
  </r>
  <r>
    <x v="906"/>
    <s v="M0142"/>
    <x v="274"/>
    <s v="Toko D - Medan"/>
    <x v="1"/>
    <n v="474317"/>
    <n v="47"/>
  </r>
  <r>
    <x v="907"/>
    <s v="M0010"/>
    <x v="163"/>
    <s v="Toko F - Makassar"/>
    <x v="4"/>
    <n v="959002"/>
    <n v="95"/>
  </r>
  <r>
    <x v="908"/>
    <s v="M0094"/>
    <x v="331"/>
    <s v="Toko H - Denpasar"/>
    <x v="3"/>
    <n v="505365"/>
    <n v="50"/>
  </r>
  <r>
    <x v="909"/>
    <s v="M0056"/>
    <x v="313"/>
    <s v="Toko E - Semarang"/>
    <x v="4"/>
    <n v="398231"/>
    <n v="39"/>
  </r>
  <r>
    <x v="910"/>
    <s v="M0004"/>
    <x v="332"/>
    <s v="Toko E - Semarang"/>
    <x v="4"/>
    <n v="548012"/>
    <n v="54"/>
  </r>
  <r>
    <x v="911"/>
    <s v="M0102"/>
    <x v="333"/>
    <s v="Toko E - Semarang"/>
    <x v="2"/>
    <n v="312430"/>
    <n v="31"/>
  </r>
  <r>
    <x v="912"/>
    <s v="M0089"/>
    <x v="215"/>
    <s v="Toko C - Surabaya"/>
    <x v="5"/>
    <n v="943665"/>
    <n v="94"/>
  </r>
  <r>
    <x v="913"/>
    <s v="M0178"/>
    <x v="233"/>
    <s v="Toko A - Jakarta"/>
    <x v="4"/>
    <n v="112195"/>
    <n v="11"/>
  </r>
  <r>
    <x v="914"/>
    <s v="M0145"/>
    <x v="231"/>
    <s v="Toko B - Bandung"/>
    <x v="1"/>
    <n v="256672"/>
    <n v="25"/>
  </r>
  <r>
    <x v="915"/>
    <s v="M0095"/>
    <x v="295"/>
    <s v="Toko C - Surabaya"/>
    <x v="0"/>
    <n v="208656"/>
    <n v="20"/>
  </r>
  <r>
    <x v="916"/>
    <s v="M0240"/>
    <x v="334"/>
    <s v="Toko B - Bandung"/>
    <x v="4"/>
    <n v="341517"/>
    <n v="34"/>
  </r>
  <r>
    <x v="917"/>
    <s v="M0055"/>
    <x v="247"/>
    <s v="Toko H - Denpasar"/>
    <x v="4"/>
    <n v="156633"/>
    <n v="15"/>
  </r>
  <r>
    <x v="918"/>
    <s v="M0252"/>
    <x v="246"/>
    <s v="Toko A - Jakarta"/>
    <x v="4"/>
    <n v="123297"/>
    <n v="12"/>
  </r>
  <r>
    <x v="919"/>
    <s v="M0018"/>
    <x v="226"/>
    <s v="Toko E - Semarang"/>
    <x v="0"/>
    <n v="379095"/>
    <n v="37"/>
  </r>
  <r>
    <x v="920"/>
    <s v="M0246"/>
    <x v="255"/>
    <s v="Toko A - Jakarta"/>
    <x v="0"/>
    <n v="186559"/>
    <n v="18"/>
  </r>
  <r>
    <x v="921"/>
    <s v="M0160"/>
    <x v="326"/>
    <s v="Toko C - Surabaya"/>
    <x v="3"/>
    <n v="225394"/>
    <n v="22"/>
  </r>
  <r>
    <x v="922"/>
    <s v="M0079"/>
    <x v="255"/>
    <s v="Toko A - Jakarta"/>
    <x v="2"/>
    <n v="716503"/>
    <n v="71"/>
  </r>
  <r>
    <x v="923"/>
    <s v="M0012"/>
    <x v="288"/>
    <s v="Toko D - Medan"/>
    <x v="0"/>
    <n v="228468"/>
    <n v="22"/>
  </r>
  <r>
    <x v="924"/>
    <s v="M0285"/>
    <x v="335"/>
    <s v="Toko C - Surabaya"/>
    <x v="5"/>
    <n v="28477"/>
    <n v="2"/>
  </r>
  <r>
    <x v="925"/>
    <s v="M0243"/>
    <x v="321"/>
    <s v="Toko G - Yogyakarta"/>
    <x v="3"/>
    <n v="250132"/>
    <n v="25"/>
  </r>
  <r>
    <x v="926"/>
    <s v="M0198"/>
    <x v="119"/>
    <s v="Toko B - Bandung"/>
    <x v="1"/>
    <n v="657363"/>
    <n v="65"/>
  </r>
  <r>
    <x v="927"/>
    <s v="M0090"/>
    <x v="214"/>
    <s v="Toko C - Surabaya"/>
    <x v="5"/>
    <n v="120157"/>
    <n v="12"/>
  </r>
  <r>
    <x v="928"/>
    <s v="M0218"/>
    <x v="205"/>
    <s v="Toko B - Bandung"/>
    <x v="2"/>
    <n v="731781"/>
    <n v="73"/>
  </r>
  <r>
    <x v="929"/>
    <s v="M0163"/>
    <x v="45"/>
    <s v="Toko F - Makassar"/>
    <x v="3"/>
    <n v="157965"/>
    <n v="15"/>
  </r>
  <r>
    <x v="930"/>
    <s v="M0153"/>
    <x v="23"/>
    <s v="Toko D - Medan"/>
    <x v="5"/>
    <n v="221009"/>
    <n v="22"/>
  </r>
  <r>
    <x v="931"/>
    <s v="M0085"/>
    <x v="184"/>
    <s v="Toko G - Yogyakarta"/>
    <x v="3"/>
    <n v="29400"/>
    <n v="2"/>
  </r>
  <r>
    <x v="932"/>
    <s v="M0263"/>
    <x v="203"/>
    <s v="Toko B - Bandung"/>
    <x v="0"/>
    <n v="808952"/>
    <n v="80"/>
  </r>
  <r>
    <x v="933"/>
    <s v="M0227"/>
    <x v="150"/>
    <s v="Toko D - Medan"/>
    <x v="5"/>
    <n v="205888"/>
    <n v="20"/>
  </r>
  <r>
    <x v="934"/>
    <s v="M0024"/>
    <x v="323"/>
    <s v="Toko G - Yogyakarta"/>
    <x v="5"/>
    <n v="143825"/>
    <n v="14"/>
  </r>
  <r>
    <x v="935"/>
    <s v="M0184"/>
    <x v="179"/>
    <s v="Toko F - Makassar"/>
    <x v="2"/>
    <n v="164294"/>
    <n v="16"/>
  </r>
  <r>
    <x v="936"/>
    <s v="M0228"/>
    <x v="236"/>
    <s v="Toko A - Jakarta"/>
    <x v="1"/>
    <n v="104223"/>
    <n v="10"/>
  </r>
  <r>
    <x v="937"/>
    <s v="M0166"/>
    <x v="16"/>
    <s v="Toko F - Makassar"/>
    <x v="0"/>
    <n v="319020"/>
    <n v="31"/>
  </r>
  <r>
    <x v="938"/>
    <s v="M0175"/>
    <x v="171"/>
    <s v="Toko H - Denpasar"/>
    <x v="2"/>
    <n v="632127"/>
    <n v="63"/>
  </r>
  <r>
    <x v="939"/>
    <s v="M0122"/>
    <x v="84"/>
    <s v="Toko A - Jakarta"/>
    <x v="4"/>
    <n v="244375"/>
    <n v="24"/>
  </r>
  <r>
    <x v="940"/>
    <s v="M0273"/>
    <x v="98"/>
    <s v="Toko H - Denpasar"/>
    <x v="2"/>
    <n v="91895"/>
    <n v="9"/>
  </r>
  <r>
    <x v="941"/>
    <s v="M0171"/>
    <x v="166"/>
    <s v="Toko G - Yogyakarta"/>
    <x v="2"/>
    <n v="212717"/>
    <n v="21"/>
  </r>
  <r>
    <x v="942"/>
    <s v="M0260"/>
    <x v="237"/>
    <s v="Toko F - Makassar"/>
    <x v="5"/>
    <n v="222073"/>
    <n v="22"/>
  </r>
  <r>
    <x v="943"/>
    <s v="M0187"/>
    <x v="324"/>
    <s v="Toko F - Makassar"/>
    <x v="1"/>
    <n v="217306"/>
    <n v="21"/>
  </r>
  <r>
    <x v="944"/>
    <s v="M0186"/>
    <x v="91"/>
    <s v="Toko D - Medan"/>
    <x v="1"/>
    <n v="299704"/>
    <n v="29"/>
  </r>
  <r>
    <x v="945"/>
    <s v="M0220"/>
    <x v="233"/>
    <s v="Toko G - Yogyakarta"/>
    <x v="4"/>
    <n v="479161"/>
    <n v="47"/>
  </r>
  <r>
    <x v="946"/>
    <s v="M0258"/>
    <x v="238"/>
    <s v="Toko H - Denpasar"/>
    <x v="1"/>
    <n v="180280"/>
    <n v="18"/>
  </r>
  <r>
    <x v="947"/>
    <s v="M0024"/>
    <x v="256"/>
    <s v="Toko C - Surabaya"/>
    <x v="2"/>
    <n v="112217"/>
    <n v="11"/>
  </r>
  <r>
    <x v="948"/>
    <s v="M0121"/>
    <x v="92"/>
    <s v="Toko A - Jakarta"/>
    <x v="2"/>
    <n v="126372"/>
    <n v="12"/>
  </r>
  <r>
    <x v="949"/>
    <s v="M0273"/>
    <x v="69"/>
    <s v="Toko E - Semarang"/>
    <x v="1"/>
    <n v="383955"/>
    <n v="38"/>
  </r>
  <r>
    <x v="950"/>
    <s v="M0167"/>
    <x v="324"/>
    <s v="Toko G - Yogyakarta"/>
    <x v="3"/>
    <n v="473369"/>
    <n v="47"/>
  </r>
  <r>
    <x v="951"/>
    <s v="M0163"/>
    <x v="46"/>
    <s v="Toko B - Bandung"/>
    <x v="3"/>
    <n v="254948"/>
    <n v="25"/>
  </r>
  <r>
    <x v="952"/>
    <s v="M0140"/>
    <x v="336"/>
    <s v="Toko G - Yogyakarta"/>
    <x v="4"/>
    <n v="288565"/>
    <n v="28"/>
  </r>
  <r>
    <x v="953"/>
    <s v="M0172"/>
    <x v="239"/>
    <s v="Toko E - Semarang"/>
    <x v="1"/>
    <n v="147539"/>
    <n v="14"/>
  </r>
  <r>
    <x v="954"/>
    <s v="M0211"/>
    <x v="108"/>
    <s v="Toko E - Semarang"/>
    <x v="1"/>
    <n v="85760"/>
    <n v="8"/>
  </r>
  <r>
    <x v="955"/>
    <s v="M0058"/>
    <x v="120"/>
    <s v="Toko D - Medan"/>
    <x v="5"/>
    <n v="435131"/>
    <n v="43"/>
  </r>
  <r>
    <x v="956"/>
    <s v="M0237"/>
    <x v="329"/>
    <s v="Toko D - Medan"/>
    <x v="2"/>
    <n v="186356"/>
    <n v="18"/>
  </r>
  <r>
    <x v="957"/>
    <s v="M0044"/>
    <x v="36"/>
    <s v="Toko F - Makassar"/>
    <x v="1"/>
    <n v="75061"/>
    <n v="7"/>
  </r>
  <r>
    <x v="958"/>
    <s v="M0157"/>
    <x v="236"/>
    <s v="Toko A - Jakarta"/>
    <x v="4"/>
    <n v="321924"/>
    <n v="32"/>
  </r>
  <r>
    <x v="959"/>
    <s v="M0290"/>
    <x v="214"/>
    <s v="Toko B - Bandung"/>
    <x v="5"/>
    <n v="151499"/>
    <n v="15"/>
  </r>
  <r>
    <x v="960"/>
    <s v="M0002"/>
    <x v="2"/>
    <s v="Toko A - Jakarta"/>
    <x v="3"/>
    <n v="346170"/>
    <n v="34"/>
  </r>
  <r>
    <x v="961"/>
    <s v="M0213"/>
    <x v="13"/>
    <s v="Toko D - Medan"/>
    <x v="2"/>
    <n v="231297"/>
    <n v="23"/>
  </r>
  <r>
    <x v="962"/>
    <s v="M0264"/>
    <x v="126"/>
    <s v="Toko H - Denpasar"/>
    <x v="4"/>
    <n v="350679"/>
    <n v="35"/>
  </r>
  <r>
    <x v="963"/>
    <s v="M0267"/>
    <x v="337"/>
    <s v="Toko H - Denpasar"/>
    <x v="1"/>
    <n v="192962"/>
    <n v="19"/>
  </r>
  <r>
    <x v="964"/>
    <s v="M0017"/>
    <x v="170"/>
    <s v="Toko A - Jakarta"/>
    <x v="3"/>
    <n v="137505"/>
    <n v="13"/>
  </r>
  <r>
    <x v="965"/>
    <s v="M0134"/>
    <x v="338"/>
    <s v="Toko F - Makassar"/>
    <x v="2"/>
    <n v="416459"/>
    <n v="41"/>
  </r>
  <r>
    <x v="966"/>
    <s v="M0300"/>
    <x v="170"/>
    <s v="Toko B - Bandung"/>
    <x v="2"/>
    <n v="545259"/>
    <n v="54"/>
  </r>
  <r>
    <x v="967"/>
    <s v="M0070"/>
    <x v="291"/>
    <s v="Toko D - Medan"/>
    <x v="0"/>
    <n v="420405"/>
    <n v="42"/>
  </r>
  <r>
    <x v="968"/>
    <s v="M0186"/>
    <x v="106"/>
    <s v="Toko F - Makassar"/>
    <x v="3"/>
    <n v="391015"/>
    <n v="39"/>
  </r>
  <r>
    <x v="969"/>
    <s v="M0017"/>
    <x v="210"/>
    <s v="Toko B - Bandung"/>
    <x v="3"/>
    <n v="154250"/>
    <n v="15"/>
  </r>
  <r>
    <x v="970"/>
    <s v="M0262"/>
    <x v="213"/>
    <s v="Toko G - Yogyakarta"/>
    <x v="1"/>
    <n v="132745"/>
    <n v="13"/>
  </r>
  <r>
    <x v="971"/>
    <s v="M0075"/>
    <x v="338"/>
    <s v="Toko H - Denpasar"/>
    <x v="1"/>
    <n v="130574"/>
    <n v="13"/>
  </r>
  <r>
    <x v="972"/>
    <s v="M0280"/>
    <x v="190"/>
    <s v="Toko D - Medan"/>
    <x v="5"/>
    <n v="307868"/>
    <n v="30"/>
  </r>
  <r>
    <x v="973"/>
    <s v="M0034"/>
    <x v="193"/>
    <s v="Toko G - Yogyakarta"/>
    <x v="5"/>
    <n v="39527"/>
    <n v="3"/>
  </r>
  <r>
    <x v="974"/>
    <s v="M0201"/>
    <x v="338"/>
    <s v="Toko E - Semarang"/>
    <x v="0"/>
    <n v="32659"/>
    <n v="3"/>
  </r>
  <r>
    <x v="975"/>
    <s v="M0131"/>
    <x v="57"/>
    <s v="Toko D - Medan"/>
    <x v="0"/>
    <n v="101814"/>
    <n v="10"/>
  </r>
  <r>
    <x v="976"/>
    <s v="M0040"/>
    <x v="117"/>
    <s v="Toko D - Medan"/>
    <x v="3"/>
    <n v="43537"/>
    <n v="4"/>
  </r>
  <r>
    <x v="977"/>
    <s v="M0143"/>
    <x v="51"/>
    <s v="Toko B - Bandung"/>
    <x v="4"/>
    <n v="464075"/>
    <n v="46"/>
  </r>
  <r>
    <x v="978"/>
    <s v="M0010"/>
    <x v="261"/>
    <s v="Toko B - Bandung"/>
    <x v="4"/>
    <n v="357871"/>
    <n v="35"/>
  </r>
  <r>
    <x v="979"/>
    <s v="M0098"/>
    <x v="138"/>
    <s v="Toko F - Makassar"/>
    <x v="3"/>
    <n v="133022"/>
    <n v="13"/>
  </r>
  <r>
    <x v="980"/>
    <s v="M0282"/>
    <x v="211"/>
    <s v="Toko G - Yogyakarta"/>
    <x v="1"/>
    <n v="53040"/>
    <n v="5"/>
  </r>
  <r>
    <x v="981"/>
    <s v="M0044"/>
    <x v="165"/>
    <s v="Toko C - Surabaya"/>
    <x v="5"/>
    <n v="137057"/>
    <n v="13"/>
  </r>
  <r>
    <x v="982"/>
    <s v="M0296"/>
    <x v="142"/>
    <s v="Toko E - Semarang"/>
    <x v="0"/>
    <n v="318214"/>
    <n v="31"/>
  </r>
  <r>
    <x v="983"/>
    <s v="M0201"/>
    <x v="158"/>
    <s v="Toko G - Yogyakarta"/>
    <x v="3"/>
    <n v="54131"/>
    <n v="5"/>
  </r>
  <r>
    <x v="984"/>
    <s v="M0299"/>
    <x v="313"/>
    <s v="Toko D - Medan"/>
    <x v="2"/>
    <n v="406216"/>
    <n v="40"/>
  </r>
  <r>
    <x v="985"/>
    <s v="M0083"/>
    <x v="259"/>
    <s v="Toko G - Yogyakarta"/>
    <x v="4"/>
    <n v="72294"/>
    <n v="7"/>
  </r>
  <r>
    <x v="986"/>
    <s v="M0289"/>
    <x v="216"/>
    <s v="Toko D - Medan"/>
    <x v="2"/>
    <n v="55550"/>
    <n v="5"/>
  </r>
  <r>
    <x v="987"/>
    <s v="M0284"/>
    <x v="282"/>
    <s v="Toko E - Semarang"/>
    <x v="5"/>
    <n v="232658"/>
    <n v="23"/>
  </r>
  <r>
    <x v="988"/>
    <s v="M0161"/>
    <x v="60"/>
    <s v="Toko D - Medan"/>
    <x v="4"/>
    <n v="352994"/>
    <n v="35"/>
  </r>
  <r>
    <x v="989"/>
    <s v="M0205"/>
    <x v="244"/>
    <s v="Toko F - Makassar"/>
    <x v="3"/>
    <n v="432155"/>
    <n v="43"/>
  </r>
  <r>
    <x v="990"/>
    <s v="M0161"/>
    <x v="133"/>
    <s v="Toko A - Jakarta"/>
    <x v="5"/>
    <n v="153656"/>
    <n v="15"/>
  </r>
  <r>
    <x v="991"/>
    <s v="M0151"/>
    <x v="117"/>
    <s v="Toko G - Yogyakarta"/>
    <x v="2"/>
    <n v="248917"/>
    <n v="24"/>
  </r>
  <r>
    <x v="992"/>
    <s v="M0013"/>
    <x v="290"/>
    <s v="Toko A - Jakarta"/>
    <x v="2"/>
    <n v="588019"/>
    <n v="58"/>
  </r>
  <r>
    <x v="993"/>
    <s v="M0252"/>
    <x v="273"/>
    <s v="Toko F - Makassar"/>
    <x v="1"/>
    <n v="890595"/>
    <n v="89"/>
  </r>
  <r>
    <x v="994"/>
    <s v="M0034"/>
    <x v="227"/>
    <s v="Toko E - Semarang"/>
    <x v="0"/>
    <n v="418526"/>
    <n v="41"/>
  </r>
  <r>
    <x v="995"/>
    <s v="M0003"/>
    <x v="62"/>
    <s v="Toko C - Surabaya"/>
    <x v="0"/>
    <n v="597593"/>
    <n v="59"/>
  </r>
  <r>
    <x v="996"/>
    <s v="M0270"/>
    <x v="298"/>
    <s v="Toko B - Bandung"/>
    <x v="5"/>
    <n v="334159"/>
    <n v="33"/>
  </r>
  <r>
    <x v="997"/>
    <s v="M0127"/>
    <x v="79"/>
    <s v="Toko F - Makassar"/>
    <x v="5"/>
    <n v="163824"/>
    <n v="16"/>
  </r>
  <r>
    <x v="998"/>
    <s v="M0280"/>
    <x v="254"/>
    <s v="Toko A - Jakarta"/>
    <x v="4"/>
    <n v="177688"/>
    <n v="17"/>
  </r>
  <r>
    <x v="999"/>
    <s v="M0121"/>
    <x v="252"/>
    <s v="Toko G - Yogyakarta"/>
    <x v="2"/>
    <n v="347108"/>
    <n v="34"/>
  </r>
  <r>
    <x v="1000"/>
    <s v="M0143"/>
    <x v="318"/>
    <s v="Toko C - Surabaya"/>
    <x v="4"/>
    <n v="39534"/>
    <n v="3"/>
  </r>
  <r>
    <x v="1001"/>
    <s v="M0279"/>
    <x v="1"/>
    <s v="Toko A - Jakarta"/>
    <x v="0"/>
    <n v="167472"/>
    <n v="16"/>
  </r>
  <r>
    <x v="1002"/>
    <s v="M0052"/>
    <x v="328"/>
    <s v="Toko H - Denpasar"/>
    <x v="5"/>
    <n v="160644"/>
    <n v="16"/>
  </r>
  <r>
    <x v="1003"/>
    <s v="M0261"/>
    <x v="54"/>
    <s v="Toko D - Medan"/>
    <x v="1"/>
    <n v="210528"/>
    <n v="21"/>
  </r>
  <r>
    <x v="1004"/>
    <s v="M0075"/>
    <x v="100"/>
    <s v="Toko F - Makassar"/>
    <x v="3"/>
    <n v="308501"/>
    <n v="30"/>
  </r>
  <r>
    <x v="1005"/>
    <s v="M0003"/>
    <x v="293"/>
    <s v="Toko A - Jakarta"/>
    <x v="1"/>
    <n v="442942"/>
    <n v="44"/>
  </r>
  <r>
    <x v="1006"/>
    <s v="M0281"/>
    <x v="178"/>
    <s v="Toko G - Yogyakarta"/>
    <x v="1"/>
    <n v="318241"/>
    <n v="31"/>
  </r>
  <r>
    <x v="1007"/>
    <s v="M0069"/>
    <x v="32"/>
    <s v="Toko A - Jakarta"/>
    <x v="4"/>
    <n v="192744"/>
    <n v="19"/>
  </r>
  <r>
    <x v="1008"/>
    <s v="M0075"/>
    <x v="71"/>
    <s v="Toko G - Yogyakarta"/>
    <x v="5"/>
    <n v="375871"/>
    <n v="37"/>
  </r>
  <r>
    <x v="1009"/>
    <s v="M0063"/>
    <x v="163"/>
    <s v="Toko F - Makassar"/>
    <x v="1"/>
    <n v="755944"/>
    <n v="75"/>
  </r>
  <r>
    <x v="1010"/>
    <s v="M0277"/>
    <x v="218"/>
    <s v="Toko C - Surabaya"/>
    <x v="4"/>
    <n v="366453"/>
    <n v="36"/>
  </r>
  <r>
    <x v="1011"/>
    <s v="M0080"/>
    <x v="151"/>
    <s v="Toko D - Medan"/>
    <x v="3"/>
    <n v="340238"/>
    <n v="34"/>
  </r>
  <r>
    <x v="1012"/>
    <s v="M0013"/>
    <x v="228"/>
    <s v="Toko G - Yogyakarta"/>
    <x v="1"/>
    <n v="516078"/>
    <n v="51"/>
  </r>
  <r>
    <x v="1013"/>
    <s v="M0197"/>
    <x v="156"/>
    <s v="Toko B - Bandung"/>
    <x v="3"/>
    <n v="458908"/>
    <n v="45"/>
  </r>
  <r>
    <x v="1014"/>
    <s v="M0283"/>
    <x v="181"/>
    <s v="Toko F - Makassar"/>
    <x v="2"/>
    <n v="521408"/>
    <n v="52"/>
  </r>
  <r>
    <x v="1015"/>
    <s v="M0157"/>
    <x v="93"/>
    <s v="Toko E - Semarang"/>
    <x v="1"/>
    <n v="87050"/>
    <n v="8"/>
  </r>
  <r>
    <x v="1016"/>
    <s v="M0223"/>
    <x v="237"/>
    <s v="Toko F - Makassar"/>
    <x v="4"/>
    <n v="417262"/>
    <n v="41"/>
  </r>
  <r>
    <x v="1017"/>
    <s v="M0083"/>
    <x v="109"/>
    <s v="Toko E - Semarang"/>
    <x v="0"/>
    <n v="245184"/>
    <n v="24"/>
  </r>
  <r>
    <x v="1018"/>
    <s v="M0281"/>
    <x v="339"/>
    <s v="Toko D - Medan"/>
    <x v="0"/>
    <n v="35136"/>
    <n v="3"/>
  </r>
  <r>
    <x v="1019"/>
    <s v="M0044"/>
    <x v="340"/>
    <s v="Toko H - Denpasar"/>
    <x v="0"/>
    <n v="387859"/>
    <n v="38"/>
  </r>
  <r>
    <x v="1020"/>
    <s v="M0108"/>
    <x v="85"/>
    <s v="Toko F - Makassar"/>
    <x v="4"/>
    <n v="195765"/>
    <n v="19"/>
  </r>
  <r>
    <x v="1021"/>
    <s v="M0121"/>
    <x v="331"/>
    <s v="Toko D - Medan"/>
    <x v="2"/>
    <n v="302425"/>
    <n v="30"/>
  </r>
  <r>
    <x v="1022"/>
    <s v="M0007"/>
    <x v="134"/>
    <s v="Toko C - Surabaya"/>
    <x v="5"/>
    <n v="297682"/>
    <n v="29"/>
  </r>
  <r>
    <x v="1023"/>
    <s v="M0190"/>
    <x v="126"/>
    <s v="Toko C - Surabaya"/>
    <x v="2"/>
    <n v="829730"/>
    <n v="82"/>
  </r>
  <r>
    <x v="1024"/>
    <s v="M0127"/>
    <x v="341"/>
    <s v="Toko A - Jakarta"/>
    <x v="4"/>
    <n v="394340"/>
    <n v="39"/>
  </r>
  <r>
    <x v="1025"/>
    <s v="M0184"/>
    <x v="65"/>
    <s v="Toko D - Medan"/>
    <x v="1"/>
    <n v="328167"/>
    <n v="32"/>
  </r>
  <r>
    <x v="1026"/>
    <s v="M0049"/>
    <x v="21"/>
    <s v="Toko F - Makassar"/>
    <x v="5"/>
    <n v="650274"/>
    <n v="65"/>
  </r>
  <r>
    <x v="1027"/>
    <s v="M0262"/>
    <x v="112"/>
    <s v="Toko H - Denpasar"/>
    <x v="4"/>
    <n v="192680"/>
    <n v="19"/>
  </r>
  <r>
    <x v="1028"/>
    <s v="M0281"/>
    <x v="124"/>
    <s v="Toko G - Yogyakarta"/>
    <x v="3"/>
    <n v="438515"/>
    <n v="43"/>
  </r>
  <r>
    <x v="1029"/>
    <s v="M0239"/>
    <x v="149"/>
    <s v="Toko H - Denpasar"/>
    <x v="1"/>
    <n v="260046"/>
    <n v="26"/>
  </r>
  <r>
    <x v="1030"/>
    <s v="M0192"/>
    <x v="2"/>
    <s v="Toko G - Yogyakarta"/>
    <x v="1"/>
    <n v="25000"/>
    <n v="2"/>
  </r>
  <r>
    <x v="1031"/>
    <s v="M0087"/>
    <x v="207"/>
    <s v="Toko C - Surabaya"/>
    <x v="3"/>
    <n v="379794"/>
    <n v="37"/>
  </r>
  <r>
    <x v="1032"/>
    <s v="M0163"/>
    <x v="342"/>
    <s v="Toko G - Yogyakarta"/>
    <x v="3"/>
    <n v="409621"/>
    <n v="40"/>
  </r>
  <r>
    <x v="1033"/>
    <s v="M0173"/>
    <x v="153"/>
    <s v="Toko G - Yogyakarta"/>
    <x v="4"/>
    <n v="88067"/>
    <n v="8"/>
  </r>
  <r>
    <x v="1034"/>
    <s v="M0277"/>
    <x v="236"/>
    <s v="Toko D - Medan"/>
    <x v="2"/>
    <n v="131460"/>
    <n v="13"/>
  </r>
  <r>
    <x v="1035"/>
    <s v="M0199"/>
    <x v="197"/>
    <s v="Toko C - Surabaya"/>
    <x v="1"/>
    <n v="266866"/>
    <n v="26"/>
  </r>
  <r>
    <x v="1036"/>
    <s v="M0274"/>
    <x v="15"/>
    <s v="Toko E - Semarang"/>
    <x v="1"/>
    <n v="57486"/>
    <n v="5"/>
  </r>
  <r>
    <x v="1037"/>
    <s v="M0108"/>
    <x v="243"/>
    <s v="Toko A - Jakarta"/>
    <x v="2"/>
    <n v="232874"/>
    <n v="23"/>
  </r>
  <r>
    <x v="1038"/>
    <s v="M0228"/>
    <x v="248"/>
    <s v="Toko G - Yogyakarta"/>
    <x v="1"/>
    <n v="44930"/>
    <n v="4"/>
  </r>
  <r>
    <x v="1039"/>
    <s v="M0064"/>
    <x v="163"/>
    <s v="Toko C - Surabaya"/>
    <x v="5"/>
    <n v="398792"/>
    <n v="39"/>
  </r>
  <r>
    <x v="1040"/>
    <s v="M0140"/>
    <x v="16"/>
    <s v="Toko H - Denpasar"/>
    <x v="2"/>
    <n v="214823"/>
    <n v="21"/>
  </r>
  <r>
    <x v="1041"/>
    <s v="M0023"/>
    <x v="15"/>
    <s v="Toko A - Jakarta"/>
    <x v="1"/>
    <n v="206524"/>
    <n v="20"/>
  </r>
  <r>
    <x v="1042"/>
    <s v="M0097"/>
    <x v="317"/>
    <s v="Toko G - Yogyakarta"/>
    <x v="3"/>
    <n v="201086"/>
    <n v="20"/>
  </r>
  <r>
    <x v="1043"/>
    <s v="M0185"/>
    <x v="135"/>
    <s v="Toko C - Surabaya"/>
    <x v="0"/>
    <n v="190554"/>
    <n v="19"/>
  </r>
  <r>
    <x v="1044"/>
    <s v="M0181"/>
    <x v="277"/>
    <s v="Toko B - Bandung"/>
    <x v="0"/>
    <n v="101138"/>
    <n v="10"/>
  </r>
  <r>
    <x v="1045"/>
    <s v="M0219"/>
    <x v="6"/>
    <s v="Toko F - Makassar"/>
    <x v="0"/>
    <n v="96797"/>
    <n v="9"/>
  </r>
  <r>
    <x v="1046"/>
    <s v="M0163"/>
    <x v="102"/>
    <s v="Toko D - Medan"/>
    <x v="4"/>
    <n v="70051"/>
    <n v="7"/>
  </r>
  <r>
    <x v="1047"/>
    <s v="M0010"/>
    <x v="242"/>
    <s v="Toko G - Yogyakarta"/>
    <x v="4"/>
    <n v="25000"/>
    <n v="2"/>
  </r>
  <r>
    <x v="1048"/>
    <s v="M0281"/>
    <x v="343"/>
    <s v="Toko G - Yogyakarta"/>
    <x v="1"/>
    <n v="528380"/>
    <n v="52"/>
  </r>
  <r>
    <x v="1049"/>
    <s v="M0061"/>
    <x v="246"/>
    <s v="Toko B - Bandung"/>
    <x v="3"/>
    <n v="255242"/>
    <n v="25"/>
  </r>
  <r>
    <x v="1050"/>
    <s v="M0044"/>
    <x v="344"/>
    <s v="Toko B - Bandung"/>
    <x v="4"/>
    <n v="149293"/>
    <n v="14"/>
  </r>
  <r>
    <x v="1051"/>
    <s v="M0268"/>
    <x v="19"/>
    <s v="Toko F - Makassar"/>
    <x v="2"/>
    <n v="162552"/>
    <n v="16"/>
  </r>
  <r>
    <x v="1052"/>
    <s v="M0036"/>
    <x v="328"/>
    <s v="Toko B - Bandung"/>
    <x v="3"/>
    <n v="290354"/>
    <n v="29"/>
  </r>
  <r>
    <x v="1053"/>
    <s v="M0102"/>
    <x v="138"/>
    <s v="Toko C - Surabaya"/>
    <x v="4"/>
    <n v="462971"/>
    <n v="46"/>
  </r>
  <r>
    <x v="1054"/>
    <s v="M0056"/>
    <x v="228"/>
    <s v="Toko F - Makassar"/>
    <x v="5"/>
    <n v="138523"/>
    <n v="13"/>
  </r>
  <r>
    <x v="1055"/>
    <s v="M0021"/>
    <x v="304"/>
    <s v="Toko H - Denpasar"/>
    <x v="5"/>
    <n v="375633"/>
    <n v="37"/>
  </r>
  <r>
    <x v="1056"/>
    <s v="M0087"/>
    <x v="194"/>
    <s v="Toko H - Denpasar"/>
    <x v="5"/>
    <n v="482647"/>
    <n v="48"/>
  </r>
  <r>
    <x v="1057"/>
    <s v="M0288"/>
    <x v="66"/>
    <s v="Toko A - Jakarta"/>
    <x v="4"/>
    <n v="175586"/>
    <n v="17"/>
  </r>
  <r>
    <x v="1058"/>
    <s v="M0044"/>
    <x v="132"/>
    <s v="Toko A - Jakarta"/>
    <x v="5"/>
    <n v="154275"/>
    <n v="15"/>
  </r>
  <r>
    <x v="1059"/>
    <s v="M0221"/>
    <x v="158"/>
    <s v="Toko G - Yogyakarta"/>
    <x v="5"/>
    <n v="312297"/>
    <n v="31"/>
  </r>
  <r>
    <x v="1060"/>
    <s v="M0042"/>
    <x v="189"/>
    <s v="Toko H - Denpasar"/>
    <x v="3"/>
    <n v="289875"/>
    <n v="28"/>
  </r>
  <r>
    <x v="1061"/>
    <s v="M0081"/>
    <x v="238"/>
    <s v="Toko B - Bandung"/>
    <x v="2"/>
    <n v="289064"/>
    <n v="28"/>
  </r>
  <r>
    <x v="1062"/>
    <s v="M0281"/>
    <x v="104"/>
    <s v="Toko C - Surabaya"/>
    <x v="1"/>
    <n v="304588"/>
    <n v="30"/>
  </r>
  <r>
    <x v="1063"/>
    <s v="M0228"/>
    <x v="98"/>
    <s v="Toko D - Medan"/>
    <x v="0"/>
    <n v="68664"/>
    <n v="6"/>
  </r>
  <r>
    <x v="1064"/>
    <s v="M0224"/>
    <x v="234"/>
    <s v="Toko H - Denpasar"/>
    <x v="3"/>
    <n v="637592"/>
    <n v="63"/>
  </r>
  <r>
    <x v="1065"/>
    <s v="M0161"/>
    <x v="193"/>
    <s v="Toko B - Bandung"/>
    <x v="3"/>
    <n v="359784"/>
    <n v="35"/>
  </r>
  <r>
    <x v="1066"/>
    <s v="M0095"/>
    <x v="28"/>
    <s v="Toko F - Makassar"/>
    <x v="4"/>
    <n v="808354"/>
    <n v="80"/>
  </r>
  <r>
    <x v="1067"/>
    <s v="M0252"/>
    <x v="243"/>
    <s v="Toko G - Yogyakarta"/>
    <x v="0"/>
    <n v="270570"/>
    <n v="27"/>
  </r>
  <r>
    <x v="1068"/>
    <s v="M0082"/>
    <x v="9"/>
    <s v="Toko H - Denpasar"/>
    <x v="0"/>
    <n v="217626"/>
    <n v="21"/>
  </r>
  <r>
    <x v="1069"/>
    <s v="M0123"/>
    <x v="177"/>
    <s v="Toko C - Surabaya"/>
    <x v="0"/>
    <n v="363871"/>
    <n v="36"/>
  </r>
  <r>
    <x v="1070"/>
    <s v="M0093"/>
    <x v="88"/>
    <s v="Toko E - Semarang"/>
    <x v="4"/>
    <n v="180321"/>
    <n v="18"/>
  </r>
  <r>
    <x v="1071"/>
    <s v="M0125"/>
    <x v="317"/>
    <s v="Toko A - Jakarta"/>
    <x v="2"/>
    <n v="125803"/>
    <n v="12"/>
  </r>
  <r>
    <x v="1072"/>
    <s v="M0122"/>
    <x v="345"/>
    <s v="Toko C - Surabaya"/>
    <x v="2"/>
    <n v="582640"/>
    <n v="58"/>
  </r>
  <r>
    <x v="1073"/>
    <s v="M0061"/>
    <x v="282"/>
    <s v="Toko H - Denpasar"/>
    <x v="3"/>
    <n v="209605"/>
    <n v="20"/>
  </r>
  <r>
    <x v="1074"/>
    <s v="M0026"/>
    <x v="202"/>
    <s v="Toko D - Medan"/>
    <x v="3"/>
    <n v="367270"/>
    <n v="36"/>
  </r>
  <r>
    <x v="1075"/>
    <s v="M0010"/>
    <x v="38"/>
    <s v="Toko B - Bandung"/>
    <x v="2"/>
    <n v="941729"/>
    <n v="94"/>
  </r>
  <r>
    <x v="1076"/>
    <s v="M0082"/>
    <x v="52"/>
    <s v="Toko B - Bandung"/>
    <x v="2"/>
    <n v="305437"/>
    <n v="30"/>
  </r>
  <r>
    <x v="1077"/>
    <s v="M0252"/>
    <x v="24"/>
    <s v="Toko C - Surabaya"/>
    <x v="0"/>
    <n v="245710"/>
    <n v="24"/>
  </r>
  <r>
    <x v="1078"/>
    <s v="M0277"/>
    <x v="267"/>
    <s v="Toko A - Jakarta"/>
    <x v="4"/>
    <n v="267048"/>
    <n v="26"/>
  </r>
  <r>
    <x v="1079"/>
    <s v="M0070"/>
    <x v="1"/>
    <s v="Toko C - Surabaya"/>
    <x v="4"/>
    <n v="911672"/>
    <n v="91"/>
  </r>
  <r>
    <x v="1080"/>
    <s v="M0275"/>
    <x v="10"/>
    <s v="Toko G - Yogyakarta"/>
    <x v="4"/>
    <n v="184553"/>
    <n v="18"/>
  </r>
  <r>
    <x v="1081"/>
    <s v="M0290"/>
    <x v="323"/>
    <s v="Toko D - Medan"/>
    <x v="1"/>
    <n v="94092"/>
    <n v="9"/>
  </r>
  <r>
    <x v="1082"/>
    <s v="M0183"/>
    <x v="299"/>
    <s v="Toko E - Semarang"/>
    <x v="3"/>
    <n v="316357"/>
    <n v="31"/>
  </r>
  <r>
    <x v="1083"/>
    <s v="M0108"/>
    <x v="127"/>
    <s v="Toko C - Surabaya"/>
    <x v="0"/>
    <n v="414087"/>
    <n v="41"/>
  </r>
  <r>
    <x v="1084"/>
    <s v="M0071"/>
    <x v="346"/>
    <s v="Toko C - Surabaya"/>
    <x v="4"/>
    <n v="97853"/>
    <n v="9"/>
  </r>
  <r>
    <x v="1085"/>
    <s v="M0105"/>
    <x v="291"/>
    <s v="Toko F - Makassar"/>
    <x v="4"/>
    <n v="371523"/>
    <n v="37"/>
  </r>
  <r>
    <x v="1086"/>
    <s v="M0262"/>
    <x v="8"/>
    <s v="Toko C - Surabaya"/>
    <x v="4"/>
    <n v="219900"/>
    <n v="21"/>
  </r>
  <r>
    <x v="1087"/>
    <s v="M0112"/>
    <x v="326"/>
    <s v="Toko H - Denpasar"/>
    <x v="1"/>
    <n v="405586"/>
    <n v="40"/>
  </r>
  <r>
    <x v="1088"/>
    <s v="M0161"/>
    <x v="217"/>
    <s v="Toko B - Bandung"/>
    <x v="3"/>
    <n v="299285"/>
    <n v="29"/>
  </r>
  <r>
    <x v="1089"/>
    <s v="M0277"/>
    <x v="150"/>
    <s v="Toko C - Surabaya"/>
    <x v="0"/>
    <n v="252492"/>
    <n v="25"/>
  </r>
  <r>
    <x v="1090"/>
    <s v="M0115"/>
    <x v="144"/>
    <s v="Toko A - Jakarta"/>
    <x v="4"/>
    <n v="253668"/>
    <n v="25"/>
  </r>
  <r>
    <x v="1091"/>
    <s v="M0243"/>
    <x v="273"/>
    <s v="Toko H - Denpasar"/>
    <x v="5"/>
    <n v="272193"/>
    <n v="27"/>
  </r>
  <r>
    <x v="1092"/>
    <s v="M0246"/>
    <x v="141"/>
    <s v="Toko D - Medan"/>
    <x v="5"/>
    <n v="507037"/>
    <n v="50"/>
  </r>
  <r>
    <x v="1093"/>
    <s v="M0192"/>
    <x v="200"/>
    <s v="Toko E - Semarang"/>
    <x v="0"/>
    <n v="141700"/>
    <n v="14"/>
  </r>
  <r>
    <x v="1094"/>
    <s v="M0293"/>
    <x v="130"/>
    <s v="Toko C - Surabaya"/>
    <x v="5"/>
    <n v="26666"/>
    <n v="2"/>
  </r>
  <r>
    <x v="1095"/>
    <s v="M0140"/>
    <x v="286"/>
    <s v="Toko D - Medan"/>
    <x v="5"/>
    <n v="500259"/>
    <n v="50"/>
  </r>
  <r>
    <x v="1096"/>
    <s v="M0296"/>
    <x v="226"/>
    <s v="Toko B - Bandung"/>
    <x v="1"/>
    <n v="113002"/>
    <n v="11"/>
  </r>
  <r>
    <x v="1097"/>
    <s v="M0226"/>
    <x v="212"/>
    <s v="Toko A - Jakarta"/>
    <x v="5"/>
    <n v="107965"/>
    <n v="10"/>
  </r>
  <r>
    <x v="1098"/>
    <s v="M0056"/>
    <x v="13"/>
    <s v="Toko E - Semarang"/>
    <x v="5"/>
    <n v="605826"/>
    <n v="60"/>
  </r>
  <r>
    <x v="1099"/>
    <s v="M0002"/>
    <x v="13"/>
    <s v="Toko H - Denpasar"/>
    <x v="3"/>
    <n v="927258"/>
    <n v="92"/>
  </r>
  <r>
    <x v="1100"/>
    <s v="M0185"/>
    <x v="41"/>
    <s v="Toko E - Semarang"/>
    <x v="1"/>
    <n v="375610"/>
    <n v="37"/>
  </r>
  <r>
    <x v="1101"/>
    <s v="M0056"/>
    <x v="86"/>
    <s v="Toko C - Surabaya"/>
    <x v="3"/>
    <n v="77521"/>
    <n v="7"/>
  </r>
  <r>
    <x v="1102"/>
    <s v="M0140"/>
    <x v="333"/>
    <s v="Toko G - Yogyakarta"/>
    <x v="2"/>
    <n v="205149"/>
    <n v="20"/>
  </r>
  <r>
    <x v="1103"/>
    <s v="M0246"/>
    <x v="114"/>
    <s v="Toko B - Bandung"/>
    <x v="0"/>
    <n v="264379"/>
    <n v="26"/>
  </r>
  <r>
    <x v="1104"/>
    <s v="M0122"/>
    <x v="89"/>
    <s v="Toko B - Bandung"/>
    <x v="0"/>
    <n v="151481"/>
    <n v="15"/>
  </r>
  <r>
    <x v="1105"/>
    <s v="M0261"/>
    <x v="119"/>
    <s v="Toko H - Denpasar"/>
    <x v="0"/>
    <n v="726402"/>
    <n v="72"/>
  </r>
  <r>
    <x v="1106"/>
    <s v="M0124"/>
    <x v="10"/>
    <s v="Toko D - Medan"/>
    <x v="3"/>
    <n v="219733"/>
    <n v="21"/>
  </r>
  <r>
    <x v="1107"/>
    <s v="M0184"/>
    <x v="134"/>
    <s v="Toko D - Medan"/>
    <x v="4"/>
    <n v="391745"/>
    <n v="39"/>
  </r>
  <r>
    <x v="1108"/>
    <s v="M0034"/>
    <x v="322"/>
    <s v="Toko C - Surabaya"/>
    <x v="2"/>
    <n v="271788"/>
    <n v="27"/>
  </r>
  <r>
    <x v="1109"/>
    <s v="M0281"/>
    <x v="112"/>
    <s v="Toko B - Bandung"/>
    <x v="3"/>
    <n v="358399"/>
    <n v="35"/>
  </r>
  <r>
    <x v="1110"/>
    <s v="M0231"/>
    <x v="222"/>
    <s v="Toko A - Jakarta"/>
    <x v="2"/>
    <n v="277907"/>
    <n v="27"/>
  </r>
  <r>
    <x v="1111"/>
    <s v="M0068"/>
    <x v="283"/>
    <s v="Toko B - Bandung"/>
    <x v="4"/>
    <n v="73757"/>
    <n v="7"/>
  </r>
  <r>
    <x v="1112"/>
    <s v="M0183"/>
    <x v="251"/>
    <s v="Toko D - Medan"/>
    <x v="3"/>
    <n v="332635"/>
    <n v="33"/>
  </r>
  <r>
    <x v="1113"/>
    <s v="M0077"/>
    <x v="131"/>
    <s v="Toko H - Denpasar"/>
    <x v="4"/>
    <n v="70431"/>
    <n v="7"/>
  </r>
  <r>
    <x v="1114"/>
    <s v="M0151"/>
    <x v="121"/>
    <s v="Toko A - Jakarta"/>
    <x v="1"/>
    <n v="410326"/>
    <n v="41"/>
  </r>
  <r>
    <x v="1115"/>
    <s v="M0127"/>
    <x v="233"/>
    <s v="Toko E - Semarang"/>
    <x v="4"/>
    <n v="287319"/>
    <n v="28"/>
  </r>
  <r>
    <x v="1116"/>
    <s v="M0296"/>
    <x v="280"/>
    <s v="Toko D - Medan"/>
    <x v="2"/>
    <n v="281678"/>
    <n v="28"/>
  </r>
  <r>
    <x v="1117"/>
    <s v="M0128"/>
    <x v="206"/>
    <s v="Toko D - Medan"/>
    <x v="3"/>
    <n v="289393"/>
    <n v="28"/>
  </r>
  <r>
    <x v="1118"/>
    <s v="M0291"/>
    <x v="62"/>
    <s v="Toko E - Semarang"/>
    <x v="0"/>
    <n v="468078"/>
    <n v="46"/>
  </r>
  <r>
    <x v="1119"/>
    <s v="M0113"/>
    <x v="321"/>
    <s v="Toko D - Medan"/>
    <x v="2"/>
    <n v="305378"/>
    <n v="30"/>
  </r>
  <r>
    <x v="1120"/>
    <s v="M0071"/>
    <x v="347"/>
    <s v="Toko A - Jakarta"/>
    <x v="3"/>
    <n v="834001"/>
    <n v="83"/>
  </r>
  <r>
    <x v="1121"/>
    <s v="M0045"/>
    <x v="306"/>
    <s v="Toko C - Surabaya"/>
    <x v="3"/>
    <n v="342765"/>
    <n v="34"/>
  </r>
  <r>
    <x v="1122"/>
    <s v="M0017"/>
    <x v="229"/>
    <s v="Toko E - Semarang"/>
    <x v="3"/>
    <n v="293768"/>
    <n v="29"/>
  </r>
  <r>
    <x v="1123"/>
    <s v="M0039"/>
    <x v="275"/>
    <s v="Toko H - Denpasar"/>
    <x v="5"/>
    <n v="417409"/>
    <n v="41"/>
  </r>
  <r>
    <x v="1124"/>
    <s v="M0135"/>
    <x v="298"/>
    <s v="Toko C - Surabaya"/>
    <x v="0"/>
    <n v="270247"/>
    <n v="27"/>
  </r>
  <r>
    <x v="1125"/>
    <s v="M0018"/>
    <x v="322"/>
    <s v="Toko G - Yogyakarta"/>
    <x v="5"/>
    <n v="56405"/>
    <n v="5"/>
  </r>
  <r>
    <x v="1126"/>
    <s v="M0089"/>
    <x v="115"/>
    <s v="Toko D - Medan"/>
    <x v="2"/>
    <n v="287495"/>
    <n v="28"/>
  </r>
  <r>
    <x v="1127"/>
    <s v="M0082"/>
    <x v="316"/>
    <s v="Toko E - Semarang"/>
    <x v="1"/>
    <n v="317614"/>
    <n v="31"/>
  </r>
  <r>
    <x v="1128"/>
    <s v="M0259"/>
    <x v="236"/>
    <s v="Toko B - Bandung"/>
    <x v="5"/>
    <n v="509097"/>
    <n v="50"/>
  </r>
  <r>
    <x v="1129"/>
    <s v="M0081"/>
    <x v="6"/>
    <s v="Toko B - Bandung"/>
    <x v="3"/>
    <n v="484796"/>
    <n v="48"/>
  </r>
  <r>
    <x v="1130"/>
    <s v="M0105"/>
    <x v="337"/>
    <s v="Toko A - Jakarta"/>
    <x v="1"/>
    <n v="459530"/>
    <n v="45"/>
  </r>
  <r>
    <x v="1131"/>
    <s v="M0232"/>
    <x v="220"/>
    <s v="Toko H - Denpasar"/>
    <x v="5"/>
    <n v="222595"/>
    <n v="22"/>
  </r>
  <r>
    <x v="1132"/>
    <s v="M0041"/>
    <x v="307"/>
    <s v="Toko G - Yogyakarta"/>
    <x v="3"/>
    <n v="127540"/>
    <n v="12"/>
  </r>
  <r>
    <x v="1133"/>
    <s v="M0052"/>
    <x v="222"/>
    <s v="Toko A - Jakarta"/>
    <x v="0"/>
    <n v="125085"/>
    <n v="12"/>
  </r>
  <r>
    <x v="1134"/>
    <s v="M0167"/>
    <x v="69"/>
    <s v="Toko G - Yogyakarta"/>
    <x v="3"/>
    <n v="177574"/>
    <n v="17"/>
  </r>
  <r>
    <x v="1135"/>
    <s v="M0211"/>
    <x v="64"/>
    <s v="Toko B - Bandung"/>
    <x v="0"/>
    <n v="199081"/>
    <n v="19"/>
  </r>
  <r>
    <x v="1136"/>
    <s v="M0268"/>
    <x v="191"/>
    <s v="Toko E - Semarang"/>
    <x v="0"/>
    <n v="35529"/>
    <n v="3"/>
  </r>
  <r>
    <x v="1137"/>
    <s v="M0051"/>
    <x v="106"/>
    <s v="Toko D - Medan"/>
    <x v="2"/>
    <n v="157585"/>
    <n v="15"/>
  </r>
  <r>
    <x v="1138"/>
    <s v="M0171"/>
    <x v="200"/>
    <s v="Toko G - Yogyakarta"/>
    <x v="5"/>
    <n v="1178406"/>
    <n v="117"/>
  </r>
  <r>
    <x v="1139"/>
    <s v="M0295"/>
    <x v="246"/>
    <s v="Toko A - Jakarta"/>
    <x v="2"/>
    <n v="397124"/>
    <n v="39"/>
  </r>
  <r>
    <x v="1140"/>
    <s v="M0168"/>
    <x v="153"/>
    <s v="Toko C - Surabaya"/>
    <x v="1"/>
    <n v="76905"/>
    <n v="7"/>
  </r>
  <r>
    <x v="1141"/>
    <s v="M0297"/>
    <x v="178"/>
    <s v="Toko B - Bandung"/>
    <x v="2"/>
    <n v="370056"/>
    <n v="37"/>
  </r>
  <r>
    <x v="1142"/>
    <s v="M0002"/>
    <x v="303"/>
    <s v="Toko F - Makassar"/>
    <x v="4"/>
    <n v="700071"/>
    <n v="70"/>
  </r>
  <r>
    <x v="1143"/>
    <s v="M0234"/>
    <x v="193"/>
    <s v="Toko B - Bandung"/>
    <x v="3"/>
    <n v="229022"/>
    <n v="22"/>
  </r>
  <r>
    <x v="1144"/>
    <s v="M0089"/>
    <x v="203"/>
    <s v="Toko E - Semarang"/>
    <x v="0"/>
    <n v="144942"/>
    <n v="14"/>
  </r>
  <r>
    <x v="1145"/>
    <s v="M0172"/>
    <x v="213"/>
    <s v="Toko G - Yogyakarta"/>
    <x v="2"/>
    <n v="293187"/>
    <n v="29"/>
  </r>
  <r>
    <x v="1146"/>
    <s v="M0080"/>
    <x v="182"/>
    <s v="Toko E - Semarang"/>
    <x v="1"/>
    <n v="733902"/>
    <n v="73"/>
  </r>
  <r>
    <x v="1147"/>
    <s v="M0154"/>
    <x v="65"/>
    <s v="Toko F - Makassar"/>
    <x v="1"/>
    <n v="303866"/>
    <n v="30"/>
  </r>
  <r>
    <x v="1148"/>
    <s v="M0223"/>
    <x v="348"/>
    <s v="Toko H - Denpasar"/>
    <x v="5"/>
    <n v="397252"/>
    <n v="39"/>
  </r>
  <r>
    <x v="1149"/>
    <s v="M0273"/>
    <x v="6"/>
    <s v="Toko A - Jakarta"/>
    <x v="2"/>
    <n v="638305"/>
    <n v="63"/>
  </r>
  <r>
    <x v="1150"/>
    <s v="M0089"/>
    <x v="230"/>
    <s v="Toko C - Surabaya"/>
    <x v="3"/>
    <n v="105102"/>
    <n v="10"/>
  </r>
  <r>
    <x v="1151"/>
    <s v="M0113"/>
    <x v="92"/>
    <s v="Toko C - Surabaya"/>
    <x v="5"/>
    <n v="293599"/>
    <n v="29"/>
  </r>
  <r>
    <x v="1152"/>
    <s v="M0186"/>
    <x v="284"/>
    <s v="Toko F - Makassar"/>
    <x v="2"/>
    <n v="172339"/>
    <n v="17"/>
  </r>
  <r>
    <x v="1153"/>
    <s v="M0115"/>
    <x v="19"/>
    <s v="Toko D - Medan"/>
    <x v="4"/>
    <n v="87485"/>
    <n v="8"/>
  </r>
  <r>
    <x v="1154"/>
    <s v="M0135"/>
    <x v="312"/>
    <s v="Toko B - Bandung"/>
    <x v="4"/>
    <n v="285092"/>
    <n v="28"/>
  </r>
  <r>
    <x v="1155"/>
    <s v="M0108"/>
    <x v="9"/>
    <s v="Toko E - Semarang"/>
    <x v="2"/>
    <n v="389102"/>
    <n v="38"/>
  </r>
  <r>
    <x v="1156"/>
    <s v="M0234"/>
    <x v="14"/>
    <s v="Toko C - Surabaya"/>
    <x v="3"/>
    <n v="124272"/>
    <n v="12"/>
  </r>
  <r>
    <x v="1157"/>
    <s v="M0203"/>
    <x v="148"/>
    <s v="Toko D - Medan"/>
    <x v="5"/>
    <n v="25000"/>
    <n v="2"/>
  </r>
  <r>
    <x v="1158"/>
    <s v="M0218"/>
    <x v="349"/>
    <s v="Toko E - Semarang"/>
    <x v="2"/>
    <n v="347954"/>
    <n v="34"/>
  </r>
  <r>
    <x v="1159"/>
    <s v="M0205"/>
    <x v="136"/>
    <s v="Toko B - Bandung"/>
    <x v="5"/>
    <n v="409568"/>
    <n v="40"/>
  </r>
  <r>
    <x v="1160"/>
    <s v="M0188"/>
    <x v="155"/>
    <s v="Toko G - Yogyakarta"/>
    <x v="0"/>
    <n v="324040"/>
    <n v="32"/>
  </r>
  <r>
    <x v="1161"/>
    <s v="M0136"/>
    <x v="296"/>
    <s v="Toko B - Bandung"/>
    <x v="4"/>
    <n v="254066"/>
    <n v="25"/>
  </r>
  <r>
    <x v="1162"/>
    <s v="M0082"/>
    <x v="126"/>
    <s v="Toko H - Denpasar"/>
    <x v="5"/>
    <n v="255497"/>
    <n v="25"/>
  </r>
  <r>
    <x v="1163"/>
    <s v="M0128"/>
    <x v="332"/>
    <s v="Toko E - Semarang"/>
    <x v="2"/>
    <n v="230539"/>
    <n v="23"/>
  </r>
  <r>
    <x v="1164"/>
    <s v="M0113"/>
    <x v="291"/>
    <s v="Toko C - Surabaya"/>
    <x v="0"/>
    <n v="138456"/>
    <n v="13"/>
  </r>
  <r>
    <x v="1165"/>
    <s v="M0187"/>
    <x v="343"/>
    <s v="Toko F - Makassar"/>
    <x v="4"/>
    <n v="156846"/>
    <n v="15"/>
  </r>
  <r>
    <x v="1166"/>
    <s v="M0010"/>
    <x v="160"/>
    <s v="Toko E - Semarang"/>
    <x v="2"/>
    <n v="798808"/>
    <n v="79"/>
  </r>
  <r>
    <x v="1167"/>
    <s v="M0232"/>
    <x v="1"/>
    <s v="Toko C - Surabaya"/>
    <x v="0"/>
    <n v="140753"/>
    <n v="14"/>
  </r>
  <r>
    <x v="1168"/>
    <s v="M0104"/>
    <x v="35"/>
    <s v="Toko A - Jakarta"/>
    <x v="2"/>
    <n v="557634"/>
    <n v="55"/>
  </r>
  <r>
    <x v="1169"/>
    <s v="M0039"/>
    <x v="271"/>
    <s v="Toko F - Makassar"/>
    <x v="0"/>
    <n v="77559"/>
    <n v="7"/>
  </r>
  <r>
    <x v="1170"/>
    <s v="M0094"/>
    <x v="312"/>
    <s v="Toko A - Jakarta"/>
    <x v="0"/>
    <n v="410555"/>
    <n v="41"/>
  </r>
  <r>
    <x v="1171"/>
    <s v="M0203"/>
    <x v="126"/>
    <s v="Toko C - Surabaya"/>
    <x v="5"/>
    <n v="561902"/>
    <n v="56"/>
  </r>
  <r>
    <x v="1172"/>
    <s v="M0262"/>
    <x v="282"/>
    <s v="Toko A - Jakarta"/>
    <x v="1"/>
    <n v="381489"/>
    <n v="38"/>
  </r>
  <r>
    <x v="1173"/>
    <s v="M0019"/>
    <x v="242"/>
    <s v="Toko C - Surabaya"/>
    <x v="5"/>
    <n v="265283"/>
    <n v="26"/>
  </r>
  <r>
    <x v="1174"/>
    <s v="M0265"/>
    <x v="157"/>
    <s v="Toko G - Yogyakarta"/>
    <x v="3"/>
    <n v="287864"/>
    <n v="28"/>
  </r>
  <r>
    <x v="1175"/>
    <s v="M0272"/>
    <x v="89"/>
    <s v="Toko C - Surabaya"/>
    <x v="2"/>
    <n v="599564"/>
    <n v="59"/>
  </r>
  <r>
    <x v="1176"/>
    <s v="M0009"/>
    <x v="231"/>
    <s v="Toko A - Jakarta"/>
    <x v="3"/>
    <n v="359368"/>
    <n v="35"/>
  </r>
  <r>
    <x v="1177"/>
    <s v="M0243"/>
    <x v="22"/>
    <s v="Toko E - Semarang"/>
    <x v="5"/>
    <n v="500142"/>
    <n v="50"/>
  </r>
  <r>
    <x v="1178"/>
    <s v="M0220"/>
    <x v="350"/>
    <s v="Toko C - Surabaya"/>
    <x v="5"/>
    <n v="427248"/>
    <n v="42"/>
  </r>
  <r>
    <x v="1179"/>
    <s v="M0127"/>
    <x v="117"/>
    <s v="Toko E - Semarang"/>
    <x v="3"/>
    <n v="138157"/>
    <n v="13"/>
  </r>
  <r>
    <x v="1180"/>
    <s v="M0003"/>
    <x v="231"/>
    <s v="Toko F - Makassar"/>
    <x v="0"/>
    <n v="467803"/>
    <n v="46"/>
  </r>
  <r>
    <x v="1181"/>
    <s v="M0171"/>
    <x v="178"/>
    <s v="Toko C - Surabaya"/>
    <x v="5"/>
    <n v="90575"/>
    <n v="9"/>
  </r>
  <r>
    <x v="1182"/>
    <s v="M0035"/>
    <x v="28"/>
    <s v="Toko C - Surabaya"/>
    <x v="3"/>
    <n v="806181"/>
    <n v="80"/>
  </r>
  <r>
    <x v="1183"/>
    <s v="M0166"/>
    <x v="292"/>
    <s v="Toko H - Denpasar"/>
    <x v="0"/>
    <n v="340493"/>
    <n v="34"/>
  </r>
  <r>
    <x v="1184"/>
    <s v="M0048"/>
    <x v="35"/>
    <s v="Toko A - Jakarta"/>
    <x v="0"/>
    <n v="647930"/>
    <n v="64"/>
  </r>
  <r>
    <x v="1185"/>
    <s v="M0262"/>
    <x v="124"/>
    <s v="Toko D - Medan"/>
    <x v="0"/>
    <n v="380634"/>
    <n v="38"/>
  </r>
  <r>
    <x v="1186"/>
    <s v="M0130"/>
    <x v="83"/>
    <s v="Toko C - Surabaya"/>
    <x v="1"/>
    <n v="112844"/>
    <n v="11"/>
  </r>
  <r>
    <x v="1187"/>
    <s v="M0218"/>
    <x v="69"/>
    <s v="Toko C - Surabaya"/>
    <x v="5"/>
    <n v="148454"/>
    <n v="14"/>
  </r>
  <r>
    <x v="1188"/>
    <s v="M0297"/>
    <x v="351"/>
    <s v="Toko F - Makassar"/>
    <x v="3"/>
    <n v="520330"/>
    <n v="52"/>
  </r>
  <r>
    <x v="1189"/>
    <s v="M0106"/>
    <x v="18"/>
    <s v="Toko D - Medan"/>
    <x v="2"/>
    <n v="286413"/>
    <n v="28"/>
  </r>
  <r>
    <x v="1190"/>
    <s v="M0135"/>
    <x v="147"/>
    <s v="Toko A - Jakarta"/>
    <x v="1"/>
    <n v="685934"/>
    <n v="68"/>
  </r>
  <r>
    <x v="1191"/>
    <s v="M0295"/>
    <x v="107"/>
    <s v="Toko C - Surabaya"/>
    <x v="3"/>
    <n v="41630"/>
    <n v="4"/>
  </r>
  <r>
    <x v="1192"/>
    <s v="M0056"/>
    <x v="284"/>
    <s v="Toko F - Makassar"/>
    <x v="4"/>
    <n v="99801"/>
    <n v="9"/>
  </r>
  <r>
    <x v="1193"/>
    <s v="M0104"/>
    <x v="352"/>
    <s v="Toko A - Jakarta"/>
    <x v="0"/>
    <n v="190613"/>
    <n v="19"/>
  </r>
  <r>
    <x v="1194"/>
    <s v="M0229"/>
    <x v="30"/>
    <s v="Toko F - Makassar"/>
    <x v="3"/>
    <n v="649374"/>
    <n v="64"/>
  </r>
  <r>
    <x v="1195"/>
    <s v="M0200"/>
    <x v="159"/>
    <s v="Toko E - Semarang"/>
    <x v="3"/>
    <n v="268520"/>
    <n v="26"/>
  </r>
  <r>
    <x v="1196"/>
    <s v="M0275"/>
    <x v="191"/>
    <s v="Toko A - Jakarta"/>
    <x v="3"/>
    <n v="716989"/>
    <n v="71"/>
  </r>
  <r>
    <x v="1197"/>
    <s v="M0072"/>
    <x v="54"/>
    <s v="Toko G - Yogyakarta"/>
    <x v="5"/>
    <n v="718472"/>
    <n v="71"/>
  </r>
  <r>
    <x v="1198"/>
    <s v="M0263"/>
    <x v="228"/>
    <s v="Toko E - Semarang"/>
    <x v="2"/>
    <n v="295985"/>
    <n v="29"/>
  </r>
  <r>
    <x v="1199"/>
    <s v="M0055"/>
    <x v="140"/>
    <s v="Toko H - Denpasar"/>
    <x v="2"/>
    <n v="696782"/>
    <n v="69"/>
  </r>
  <r>
    <x v="1200"/>
    <s v="M0045"/>
    <x v="300"/>
    <s v="Toko E - Semarang"/>
    <x v="3"/>
    <n v="349878"/>
    <n v="34"/>
  </r>
  <r>
    <x v="1201"/>
    <s v="M0262"/>
    <x v="284"/>
    <s v="Toko D - Medan"/>
    <x v="3"/>
    <n v="114187"/>
    <n v="11"/>
  </r>
  <r>
    <x v="1202"/>
    <s v="M0116"/>
    <x v="82"/>
    <s v="Toko B - Bandung"/>
    <x v="0"/>
    <n v="597198"/>
    <n v="59"/>
  </r>
  <r>
    <x v="1203"/>
    <s v="M0074"/>
    <x v="292"/>
    <s v="Toko F - Makassar"/>
    <x v="2"/>
    <n v="500968"/>
    <n v="50"/>
  </r>
  <r>
    <x v="1204"/>
    <s v="M0212"/>
    <x v="291"/>
    <s v="Toko D - Medan"/>
    <x v="4"/>
    <n v="32582"/>
    <n v="3"/>
  </r>
  <r>
    <x v="1205"/>
    <s v="M0231"/>
    <x v="244"/>
    <s v="Toko E - Semarang"/>
    <x v="5"/>
    <n v="155922"/>
    <n v="15"/>
  </r>
  <r>
    <x v="1206"/>
    <s v="M0100"/>
    <x v="222"/>
    <s v="Toko C - Surabaya"/>
    <x v="3"/>
    <n v="390087"/>
    <n v="39"/>
  </r>
  <r>
    <x v="1207"/>
    <s v="M0028"/>
    <x v="210"/>
    <s v="Toko E - Semarang"/>
    <x v="0"/>
    <n v="26583"/>
    <n v="2"/>
  </r>
  <r>
    <x v="1208"/>
    <s v="M0233"/>
    <x v="50"/>
    <s v="Toko C - Surabaya"/>
    <x v="2"/>
    <n v="340044"/>
    <n v="34"/>
  </r>
  <r>
    <x v="1209"/>
    <s v="M0090"/>
    <x v="170"/>
    <s v="Toko C - Surabaya"/>
    <x v="1"/>
    <n v="185777"/>
    <n v="18"/>
  </r>
  <r>
    <x v="1210"/>
    <s v="M0128"/>
    <x v="343"/>
    <s v="Toko D - Medan"/>
    <x v="4"/>
    <n v="267564"/>
    <n v="26"/>
  </r>
  <r>
    <x v="1211"/>
    <s v="M0081"/>
    <x v="179"/>
    <s v="Toko E - Semarang"/>
    <x v="2"/>
    <n v="284251"/>
    <n v="28"/>
  </r>
  <r>
    <x v="1212"/>
    <s v="M0046"/>
    <x v="165"/>
    <s v="Toko F - Makassar"/>
    <x v="1"/>
    <n v="242418"/>
    <n v="24"/>
  </r>
  <r>
    <x v="1213"/>
    <s v="M0097"/>
    <x v="29"/>
    <s v="Toko D - Medan"/>
    <x v="5"/>
    <n v="263198"/>
    <n v="26"/>
  </r>
  <r>
    <x v="1214"/>
    <s v="M0192"/>
    <x v="137"/>
    <s v="Toko E - Semarang"/>
    <x v="3"/>
    <n v="159457"/>
    <n v="15"/>
  </r>
  <r>
    <x v="1215"/>
    <s v="M0280"/>
    <x v="219"/>
    <s v="Toko A - Jakarta"/>
    <x v="5"/>
    <n v="168277"/>
    <n v="16"/>
  </r>
  <r>
    <x v="1216"/>
    <s v="M0242"/>
    <x v="118"/>
    <s v="Toko F - Makassar"/>
    <x v="3"/>
    <n v="319698"/>
    <n v="31"/>
  </r>
  <r>
    <x v="1217"/>
    <s v="M0104"/>
    <x v="57"/>
    <s v="Toko D - Medan"/>
    <x v="1"/>
    <n v="635313"/>
    <n v="63"/>
  </r>
  <r>
    <x v="1218"/>
    <s v="M0297"/>
    <x v="52"/>
    <s v="Toko F - Makassar"/>
    <x v="1"/>
    <n v="481541"/>
    <n v="48"/>
  </r>
  <r>
    <x v="1219"/>
    <s v="M0122"/>
    <x v="353"/>
    <s v="Toko F - Makassar"/>
    <x v="3"/>
    <n v="182058"/>
    <n v="18"/>
  </r>
  <r>
    <x v="1220"/>
    <s v="M0002"/>
    <x v="113"/>
    <s v="Toko G - Yogyakarta"/>
    <x v="4"/>
    <n v="182561"/>
    <n v="18"/>
  </r>
  <r>
    <x v="1221"/>
    <s v="M0204"/>
    <x v="158"/>
    <s v="Toko G - Yogyakarta"/>
    <x v="4"/>
    <n v="170607"/>
    <n v="17"/>
  </r>
  <r>
    <x v="1222"/>
    <s v="M0170"/>
    <x v="270"/>
    <s v="Toko C - Surabaya"/>
    <x v="5"/>
    <n v="179006"/>
    <n v="17"/>
  </r>
  <r>
    <x v="1223"/>
    <s v="M0090"/>
    <x v="302"/>
    <s v="Toko C - Surabaya"/>
    <x v="3"/>
    <n v="29826"/>
    <n v="2"/>
  </r>
  <r>
    <x v="1224"/>
    <s v="M0039"/>
    <x v="55"/>
    <s v="Toko G - Yogyakarta"/>
    <x v="2"/>
    <n v="184214"/>
    <n v="18"/>
  </r>
  <r>
    <x v="1225"/>
    <s v="M0204"/>
    <x v="240"/>
    <s v="Toko H - Denpasar"/>
    <x v="3"/>
    <n v="81986"/>
    <n v="8"/>
  </r>
  <r>
    <x v="1226"/>
    <s v="M0218"/>
    <x v="330"/>
    <s v="Toko E - Semarang"/>
    <x v="2"/>
    <n v="91394"/>
    <n v="9"/>
  </r>
  <r>
    <x v="1227"/>
    <s v="M0158"/>
    <x v="245"/>
    <s v="Toko E - Semarang"/>
    <x v="5"/>
    <n v="363393"/>
    <n v="36"/>
  </r>
  <r>
    <x v="1228"/>
    <s v="M0158"/>
    <x v="7"/>
    <s v="Toko E - Semarang"/>
    <x v="1"/>
    <n v="537055"/>
    <n v="53"/>
  </r>
  <r>
    <x v="1229"/>
    <s v="M0122"/>
    <x v="122"/>
    <s v="Toko B - Bandung"/>
    <x v="2"/>
    <n v="483720"/>
    <n v="48"/>
  </r>
  <r>
    <x v="1230"/>
    <s v="M0092"/>
    <x v="335"/>
    <s v="Toko H - Denpasar"/>
    <x v="3"/>
    <n v="1168033"/>
    <n v="116"/>
  </r>
  <r>
    <x v="1231"/>
    <s v="M0092"/>
    <x v="118"/>
    <s v="Toko A - Jakarta"/>
    <x v="5"/>
    <n v="118819"/>
    <n v="11"/>
  </r>
  <r>
    <x v="1232"/>
    <s v="M0113"/>
    <x v="41"/>
    <s v="Toko G - Yogyakarta"/>
    <x v="3"/>
    <n v="266306"/>
    <n v="26"/>
  </r>
  <r>
    <x v="1233"/>
    <s v="M0071"/>
    <x v="59"/>
    <s v="Toko G - Yogyakarta"/>
    <x v="1"/>
    <n v="358797"/>
    <n v="35"/>
  </r>
  <r>
    <x v="1234"/>
    <s v="M0003"/>
    <x v="181"/>
    <s v="Toko D - Medan"/>
    <x v="1"/>
    <n v="371615"/>
    <n v="37"/>
  </r>
  <r>
    <x v="1235"/>
    <s v="M0127"/>
    <x v="56"/>
    <s v="Toko E - Semarang"/>
    <x v="1"/>
    <n v="292837"/>
    <n v="29"/>
  </r>
  <r>
    <x v="1236"/>
    <s v="M0248"/>
    <x v="18"/>
    <s v="Toko H - Denpasar"/>
    <x v="3"/>
    <n v="518199"/>
    <n v="51"/>
  </r>
  <r>
    <x v="1237"/>
    <s v="M0012"/>
    <x v="237"/>
    <s v="Toko C - Surabaya"/>
    <x v="0"/>
    <n v="391051"/>
    <n v="39"/>
  </r>
  <r>
    <x v="1238"/>
    <s v="M0216"/>
    <x v="298"/>
    <s v="Toko A - Jakarta"/>
    <x v="2"/>
    <n v="177790"/>
    <n v="17"/>
  </r>
  <r>
    <x v="1239"/>
    <s v="M0120"/>
    <x v="349"/>
    <s v="Toko E - Semarang"/>
    <x v="0"/>
    <n v="704942"/>
    <n v="70"/>
  </r>
  <r>
    <x v="1240"/>
    <s v="M0264"/>
    <x v="244"/>
    <s v="Toko F - Makassar"/>
    <x v="0"/>
    <n v="151299"/>
    <n v="15"/>
  </r>
  <r>
    <x v="1241"/>
    <s v="M0191"/>
    <x v="336"/>
    <s v="Toko H - Denpasar"/>
    <x v="2"/>
    <n v="294371"/>
    <n v="29"/>
  </r>
  <r>
    <x v="1242"/>
    <s v="M0095"/>
    <x v="188"/>
    <s v="Toko E - Semarang"/>
    <x v="4"/>
    <n v="106430"/>
    <n v="10"/>
  </r>
  <r>
    <x v="1243"/>
    <s v="M0062"/>
    <x v="154"/>
    <s v="Toko A - Jakarta"/>
    <x v="3"/>
    <n v="261726"/>
    <n v="26"/>
  </r>
  <r>
    <x v="1244"/>
    <s v="M0140"/>
    <x v="292"/>
    <s v="Toko H - Denpasar"/>
    <x v="2"/>
    <n v="144155"/>
    <n v="14"/>
  </r>
  <r>
    <x v="1245"/>
    <s v="M0264"/>
    <x v="303"/>
    <s v="Toko F - Makassar"/>
    <x v="4"/>
    <n v="128251"/>
    <n v="12"/>
  </r>
  <r>
    <x v="1246"/>
    <s v="M0209"/>
    <x v="311"/>
    <s v="Toko A - Jakarta"/>
    <x v="5"/>
    <n v="380884"/>
    <n v="38"/>
  </r>
  <r>
    <x v="1247"/>
    <s v="M0253"/>
    <x v="236"/>
    <s v="Toko D - Medan"/>
    <x v="4"/>
    <n v="127084"/>
    <n v="12"/>
  </r>
  <r>
    <x v="1248"/>
    <s v="M0074"/>
    <x v="235"/>
    <s v="Toko H - Denpasar"/>
    <x v="5"/>
    <n v="119239"/>
    <n v="11"/>
  </r>
  <r>
    <x v="1249"/>
    <s v="M0108"/>
    <x v="332"/>
    <s v="Toko D - Medan"/>
    <x v="1"/>
    <n v="827899"/>
    <n v="82"/>
  </r>
  <r>
    <x v="1250"/>
    <s v="M0142"/>
    <x v="321"/>
    <s v="Toko H - Denpasar"/>
    <x v="4"/>
    <n v="61125"/>
    <n v="6"/>
  </r>
  <r>
    <x v="1251"/>
    <s v="M0022"/>
    <x v="188"/>
    <s v="Toko A - Jakarta"/>
    <x v="0"/>
    <n v="167035"/>
    <n v="16"/>
  </r>
  <r>
    <x v="1252"/>
    <s v="M0262"/>
    <x v="115"/>
    <s v="Toko G - Yogyakarta"/>
    <x v="0"/>
    <n v="711195"/>
    <n v="71"/>
  </r>
  <r>
    <x v="1253"/>
    <s v="M0058"/>
    <x v="107"/>
    <s v="Toko A - Jakarta"/>
    <x v="0"/>
    <n v="25000"/>
    <n v="2"/>
  </r>
  <r>
    <x v="1254"/>
    <s v="M0108"/>
    <x v="351"/>
    <s v="Toko A - Jakarta"/>
    <x v="0"/>
    <n v="801636"/>
    <n v="80"/>
  </r>
  <r>
    <x v="1255"/>
    <s v="M0243"/>
    <x v="75"/>
    <s v="Toko B - Bandung"/>
    <x v="2"/>
    <n v="59009"/>
    <n v="5"/>
  </r>
  <r>
    <x v="1256"/>
    <s v="M0103"/>
    <x v="202"/>
    <s v="Toko F - Makassar"/>
    <x v="0"/>
    <n v="263371"/>
    <n v="26"/>
  </r>
  <r>
    <x v="1257"/>
    <s v="M0072"/>
    <x v="78"/>
    <s v="Toko A - Jakarta"/>
    <x v="5"/>
    <n v="557517"/>
    <n v="55"/>
  </r>
  <r>
    <x v="1258"/>
    <s v="M0259"/>
    <x v="20"/>
    <s v="Toko A - Jakarta"/>
    <x v="4"/>
    <n v="708866"/>
    <n v="70"/>
  </r>
  <r>
    <x v="1259"/>
    <s v="M0297"/>
    <x v="101"/>
    <s v="Toko E - Semarang"/>
    <x v="5"/>
    <n v="95945"/>
    <n v="9"/>
  </r>
  <r>
    <x v="1260"/>
    <s v="M0200"/>
    <x v="67"/>
    <s v="Toko B - Bandung"/>
    <x v="0"/>
    <n v="385666"/>
    <n v="38"/>
  </r>
  <r>
    <x v="1261"/>
    <s v="M0218"/>
    <x v="226"/>
    <s v="Toko C - Surabaya"/>
    <x v="0"/>
    <n v="82481"/>
    <n v="8"/>
  </r>
  <r>
    <x v="1262"/>
    <s v="M0242"/>
    <x v="185"/>
    <s v="Toko H - Denpasar"/>
    <x v="1"/>
    <n v="123012"/>
    <n v="12"/>
  </r>
  <r>
    <x v="1263"/>
    <s v="M0220"/>
    <x v="279"/>
    <s v="Toko H - Denpasar"/>
    <x v="4"/>
    <n v="500237"/>
    <n v="50"/>
  </r>
  <r>
    <x v="1264"/>
    <s v="M0161"/>
    <x v="46"/>
    <s v="Toko C - Surabaya"/>
    <x v="2"/>
    <n v="138702"/>
    <n v="13"/>
  </r>
  <r>
    <x v="1265"/>
    <s v="M0051"/>
    <x v="245"/>
    <s v="Toko G - Yogyakarta"/>
    <x v="5"/>
    <n v="154962"/>
    <n v="15"/>
  </r>
  <r>
    <x v="1266"/>
    <s v="M0220"/>
    <x v="295"/>
    <s v="Toko F - Makassar"/>
    <x v="2"/>
    <n v="103345"/>
    <n v="10"/>
  </r>
  <r>
    <x v="1267"/>
    <s v="M0136"/>
    <x v="218"/>
    <s v="Toko A - Jakarta"/>
    <x v="3"/>
    <n v="47708"/>
    <n v="4"/>
  </r>
  <r>
    <x v="1268"/>
    <s v="M0088"/>
    <x v="311"/>
    <s v="Toko B - Bandung"/>
    <x v="1"/>
    <n v="49635"/>
    <n v="4"/>
  </r>
  <r>
    <x v="1269"/>
    <s v="M0242"/>
    <x v="23"/>
    <s v="Toko A - Jakarta"/>
    <x v="3"/>
    <n v="90613"/>
    <n v="9"/>
  </r>
  <r>
    <x v="1270"/>
    <s v="M0046"/>
    <x v="160"/>
    <s v="Toko H - Denpasar"/>
    <x v="5"/>
    <n v="162792"/>
    <n v="16"/>
  </r>
  <r>
    <x v="1271"/>
    <s v="M0186"/>
    <x v="85"/>
    <s v="Toko E - Semarang"/>
    <x v="1"/>
    <n v="392796"/>
    <n v="39"/>
  </r>
  <r>
    <x v="1272"/>
    <s v="M0077"/>
    <x v="58"/>
    <s v="Toko G - Yogyakarta"/>
    <x v="2"/>
    <n v="370657"/>
    <n v="37"/>
  </r>
  <r>
    <x v="1273"/>
    <s v="M0052"/>
    <x v="282"/>
    <s v="Toko H - Denpasar"/>
    <x v="2"/>
    <n v="182186"/>
    <n v="18"/>
  </r>
  <r>
    <x v="1274"/>
    <s v="M0217"/>
    <x v="126"/>
    <s v="Toko E - Semarang"/>
    <x v="2"/>
    <n v="130766"/>
    <n v="13"/>
  </r>
  <r>
    <x v="1275"/>
    <s v="M0282"/>
    <x v="202"/>
    <s v="Toko E - Semarang"/>
    <x v="2"/>
    <n v="84094"/>
    <n v="8"/>
  </r>
  <r>
    <x v="1276"/>
    <s v="M0071"/>
    <x v="174"/>
    <s v="Toko A - Jakarta"/>
    <x v="5"/>
    <n v="531858"/>
    <n v="53"/>
  </r>
  <r>
    <x v="1277"/>
    <s v="M0288"/>
    <x v="2"/>
    <s v="Toko F - Makassar"/>
    <x v="0"/>
    <n v="564013"/>
    <n v="56"/>
  </r>
  <r>
    <x v="1278"/>
    <s v="M0228"/>
    <x v="155"/>
    <s v="Toko H - Denpasar"/>
    <x v="1"/>
    <n v="151738"/>
    <n v="15"/>
  </r>
  <r>
    <x v="1279"/>
    <s v="M0096"/>
    <x v="319"/>
    <s v="Toko H - Denpasar"/>
    <x v="0"/>
    <n v="278286"/>
    <n v="27"/>
  </r>
  <r>
    <x v="1280"/>
    <s v="M0027"/>
    <x v="318"/>
    <s v="Toko H - Denpasar"/>
    <x v="5"/>
    <n v="150330"/>
    <n v="15"/>
  </r>
  <r>
    <x v="1281"/>
    <s v="M0283"/>
    <x v="253"/>
    <s v="Toko H - Denpasar"/>
    <x v="1"/>
    <n v="298073"/>
    <n v="29"/>
  </r>
  <r>
    <x v="1282"/>
    <s v="M0036"/>
    <x v="292"/>
    <s v="Toko H - Denpasar"/>
    <x v="5"/>
    <n v="668986"/>
    <n v="66"/>
  </r>
  <r>
    <x v="1283"/>
    <s v="M0024"/>
    <x v="63"/>
    <s v="Toko G - Yogyakarta"/>
    <x v="3"/>
    <n v="377574"/>
    <n v="37"/>
  </r>
  <r>
    <x v="1284"/>
    <s v="M0271"/>
    <x v="43"/>
    <s v="Toko A - Jakarta"/>
    <x v="3"/>
    <n v="308073"/>
    <n v="30"/>
  </r>
  <r>
    <x v="1285"/>
    <s v="M0056"/>
    <x v="248"/>
    <s v="Toko F - Makassar"/>
    <x v="4"/>
    <n v="692217"/>
    <n v="69"/>
  </r>
  <r>
    <x v="1286"/>
    <s v="M0163"/>
    <x v="325"/>
    <s v="Toko B - Bandung"/>
    <x v="2"/>
    <n v="456136"/>
    <n v="45"/>
  </r>
  <r>
    <x v="1287"/>
    <s v="M0280"/>
    <x v="258"/>
    <s v="Toko F - Makassar"/>
    <x v="3"/>
    <n v="189306"/>
    <n v="18"/>
  </r>
  <r>
    <x v="1288"/>
    <s v="M0262"/>
    <x v="109"/>
    <s v="Toko B - Bandung"/>
    <x v="1"/>
    <n v="55157"/>
    <n v="5"/>
  </r>
  <r>
    <x v="1289"/>
    <s v="M0121"/>
    <x v="194"/>
    <s v="Toko C - Surabaya"/>
    <x v="2"/>
    <n v="230039"/>
    <n v="23"/>
  </r>
  <r>
    <x v="1290"/>
    <s v="M0137"/>
    <x v="238"/>
    <s v="Toko C - Surabaya"/>
    <x v="1"/>
    <n v="297389"/>
    <n v="29"/>
  </r>
  <r>
    <x v="1291"/>
    <s v="M0010"/>
    <x v="354"/>
    <s v="Toko E - Semarang"/>
    <x v="0"/>
    <n v="322192"/>
    <n v="32"/>
  </r>
  <r>
    <x v="1292"/>
    <s v="M0098"/>
    <x v="199"/>
    <s v="Toko E - Semarang"/>
    <x v="4"/>
    <n v="437507"/>
    <n v="43"/>
  </r>
  <r>
    <x v="1293"/>
    <s v="M0153"/>
    <x v="355"/>
    <s v="Toko B - Bandung"/>
    <x v="3"/>
    <n v="680146"/>
    <n v="68"/>
  </r>
  <r>
    <x v="1294"/>
    <s v="M0246"/>
    <x v="65"/>
    <s v="Toko G - Yogyakarta"/>
    <x v="1"/>
    <n v="346399"/>
    <n v="34"/>
  </r>
  <r>
    <x v="1295"/>
    <s v="M0188"/>
    <x v="137"/>
    <s v="Toko F - Makassar"/>
    <x v="1"/>
    <n v="312959"/>
    <n v="31"/>
  </r>
  <r>
    <x v="1296"/>
    <s v="M0117"/>
    <x v="274"/>
    <s v="Toko B - Bandung"/>
    <x v="3"/>
    <n v="45171"/>
    <n v="4"/>
  </r>
  <r>
    <x v="1297"/>
    <s v="M0272"/>
    <x v="44"/>
    <s v="Toko H - Denpasar"/>
    <x v="4"/>
    <n v="32468"/>
    <n v="3"/>
  </r>
  <r>
    <x v="1298"/>
    <s v="M0188"/>
    <x v="325"/>
    <s v="Toko H - Denpasar"/>
    <x v="0"/>
    <n v="243961"/>
    <n v="24"/>
  </r>
  <r>
    <x v="1299"/>
    <s v="M0240"/>
    <x v="165"/>
    <s v="Toko H - Denpasar"/>
    <x v="0"/>
    <n v="360540"/>
    <n v="36"/>
  </r>
  <r>
    <x v="1300"/>
    <s v="M0126"/>
    <x v="297"/>
    <s v="Toko B - Bandung"/>
    <x v="3"/>
    <n v="479058"/>
    <n v="47"/>
  </r>
  <r>
    <x v="1301"/>
    <s v="M0055"/>
    <x v="105"/>
    <s v="Toko A - Jakarta"/>
    <x v="5"/>
    <n v="396987"/>
    <n v="39"/>
  </r>
  <r>
    <x v="1302"/>
    <s v="M0183"/>
    <x v="54"/>
    <s v="Toko F - Makassar"/>
    <x v="5"/>
    <n v="526367"/>
    <n v="52"/>
  </r>
  <r>
    <x v="1303"/>
    <s v="M0284"/>
    <x v="23"/>
    <s v="Toko H - Denpasar"/>
    <x v="1"/>
    <n v="508897"/>
    <n v="50"/>
  </r>
  <r>
    <x v="1304"/>
    <s v="M0131"/>
    <x v="154"/>
    <s v="Toko D - Medan"/>
    <x v="4"/>
    <n v="102650"/>
    <n v="10"/>
  </r>
  <r>
    <x v="1305"/>
    <s v="M0074"/>
    <x v="141"/>
    <s v="Toko A - Jakarta"/>
    <x v="0"/>
    <n v="558324"/>
    <n v="55"/>
  </r>
  <r>
    <x v="1306"/>
    <s v="M0246"/>
    <x v="194"/>
    <s v="Toko G - Yogyakarta"/>
    <x v="4"/>
    <n v="25000"/>
    <n v="2"/>
  </r>
  <r>
    <x v="1307"/>
    <s v="M0002"/>
    <x v="307"/>
    <s v="Toko B - Bandung"/>
    <x v="5"/>
    <n v="645848"/>
    <n v="64"/>
  </r>
  <r>
    <x v="1308"/>
    <s v="M0210"/>
    <x v="247"/>
    <s v="Toko G - Yogyakarta"/>
    <x v="4"/>
    <n v="454971"/>
    <n v="45"/>
  </r>
  <r>
    <x v="1309"/>
    <s v="M0204"/>
    <x v="195"/>
    <s v="Toko C - Surabaya"/>
    <x v="5"/>
    <n v="347470"/>
    <n v="34"/>
  </r>
  <r>
    <x v="1310"/>
    <s v="M0028"/>
    <x v="299"/>
    <s v="Toko E - Semarang"/>
    <x v="1"/>
    <n v="459480"/>
    <n v="45"/>
  </r>
  <r>
    <x v="1311"/>
    <s v="M0128"/>
    <x v="259"/>
    <s v="Toko B - Bandung"/>
    <x v="2"/>
    <n v="573904"/>
    <n v="57"/>
  </r>
  <r>
    <x v="1312"/>
    <s v="M0199"/>
    <x v="23"/>
    <s v="Toko H - Denpasar"/>
    <x v="2"/>
    <n v="160917"/>
    <n v="16"/>
  </r>
  <r>
    <x v="1313"/>
    <s v="M0056"/>
    <x v="350"/>
    <s v="Toko G - Yogyakarta"/>
    <x v="3"/>
    <n v="237482"/>
    <n v="23"/>
  </r>
  <r>
    <x v="1314"/>
    <s v="M0024"/>
    <x v="323"/>
    <s v="Toko B - Bandung"/>
    <x v="2"/>
    <n v="46541"/>
    <n v="4"/>
  </r>
  <r>
    <x v="1315"/>
    <s v="M0224"/>
    <x v="52"/>
    <s v="Toko C - Surabaya"/>
    <x v="4"/>
    <n v="147077"/>
    <n v="14"/>
  </r>
  <r>
    <x v="1316"/>
    <s v="M0008"/>
    <x v="220"/>
    <s v="Toko F - Makassar"/>
    <x v="5"/>
    <n v="336138"/>
    <n v="33"/>
  </r>
  <r>
    <x v="1317"/>
    <s v="M0151"/>
    <x v="202"/>
    <s v="Toko E - Semarang"/>
    <x v="4"/>
    <n v="403149"/>
    <n v="40"/>
  </r>
  <r>
    <x v="1318"/>
    <s v="M0211"/>
    <x v="147"/>
    <s v="Toko F - Makassar"/>
    <x v="2"/>
    <n v="301928"/>
    <n v="30"/>
  </r>
  <r>
    <x v="1319"/>
    <s v="M0001"/>
    <x v="94"/>
    <s v="Toko E - Semarang"/>
    <x v="0"/>
    <n v="143625"/>
    <n v="14"/>
  </r>
  <r>
    <x v="1320"/>
    <s v="M0001"/>
    <x v="209"/>
    <s v="Toko E - Semarang"/>
    <x v="5"/>
    <n v="76695"/>
    <n v="7"/>
  </r>
  <r>
    <x v="1321"/>
    <s v="M0242"/>
    <x v="88"/>
    <s v="Toko H - Denpasar"/>
    <x v="2"/>
    <n v="123371"/>
    <n v="12"/>
  </r>
  <r>
    <x v="1322"/>
    <s v="M0267"/>
    <x v="65"/>
    <s v="Toko C - Surabaya"/>
    <x v="1"/>
    <n v="300045"/>
    <n v="30"/>
  </r>
  <r>
    <x v="1323"/>
    <s v="M0108"/>
    <x v="341"/>
    <s v="Toko A - Jakarta"/>
    <x v="4"/>
    <n v="422097"/>
    <n v="42"/>
  </r>
  <r>
    <x v="1324"/>
    <s v="M0163"/>
    <x v="83"/>
    <s v="Toko A - Jakarta"/>
    <x v="3"/>
    <n v="417379"/>
    <n v="41"/>
  </r>
  <r>
    <x v="1325"/>
    <s v="M0277"/>
    <x v="196"/>
    <s v="Toko F - Makassar"/>
    <x v="2"/>
    <n v="300186"/>
    <n v="30"/>
  </r>
  <r>
    <x v="1326"/>
    <s v="M0193"/>
    <x v="245"/>
    <s v="Toko B - Bandung"/>
    <x v="4"/>
    <n v="626740"/>
    <n v="62"/>
  </r>
  <r>
    <x v="1327"/>
    <s v="M0043"/>
    <x v="127"/>
    <s v="Toko E - Semarang"/>
    <x v="3"/>
    <n v="492665"/>
    <n v="49"/>
  </r>
  <r>
    <x v="1328"/>
    <s v="M0193"/>
    <x v="230"/>
    <s v="Toko E - Semarang"/>
    <x v="3"/>
    <n v="241289"/>
    <n v="24"/>
  </r>
  <r>
    <x v="1329"/>
    <s v="M0087"/>
    <x v="21"/>
    <s v="Toko C - Surabaya"/>
    <x v="4"/>
    <n v="282402"/>
    <n v="28"/>
  </r>
  <r>
    <x v="1330"/>
    <s v="M0183"/>
    <x v="301"/>
    <s v="Toko H - Denpasar"/>
    <x v="0"/>
    <n v="642243"/>
    <n v="64"/>
  </r>
  <r>
    <x v="1331"/>
    <s v="M0289"/>
    <x v="353"/>
    <s v="Toko F - Makassar"/>
    <x v="0"/>
    <n v="412456"/>
    <n v="41"/>
  </r>
  <r>
    <x v="1332"/>
    <s v="M0268"/>
    <x v="70"/>
    <s v="Toko F - Makassar"/>
    <x v="2"/>
    <n v="234999"/>
    <n v="23"/>
  </r>
  <r>
    <x v="1333"/>
    <s v="M0149"/>
    <x v="138"/>
    <s v="Toko B - Bandung"/>
    <x v="0"/>
    <n v="192902"/>
    <n v="19"/>
  </r>
  <r>
    <x v="1334"/>
    <s v="M0287"/>
    <x v="124"/>
    <s v="Toko H - Denpasar"/>
    <x v="1"/>
    <n v="237038"/>
    <n v="23"/>
  </r>
  <r>
    <x v="1335"/>
    <s v="M0262"/>
    <x v="339"/>
    <s v="Toko D - Medan"/>
    <x v="2"/>
    <n v="414385"/>
    <n v="41"/>
  </r>
  <r>
    <x v="1336"/>
    <s v="M0068"/>
    <x v="250"/>
    <s v="Toko B - Bandung"/>
    <x v="2"/>
    <n v="241023"/>
    <n v="24"/>
  </r>
  <r>
    <x v="1337"/>
    <s v="M0018"/>
    <x v="133"/>
    <s v="Toko E - Semarang"/>
    <x v="4"/>
    <n v="315246"/>
    <n v="31"/>
  </r>
  <r>
    <x v="1338"/>
    <s v="M0249"/>
    <x v="41"/>
    <s v="Toko A - Jakarta"/>
    <x v="5"/>
    <n v="184884"/>
    <n v="18"/>
  </r>
  <r>
    <x v="1339"/>
    <s v="M0154"/>
    <x v="51"/>
    <s v="Toko G - Yogyakarta"/>
    <x v="3"/>
    <n v="322658"/>
    <n v="32"/>
  </r>
  <r>
    <x v="1340"/>
    <s v="M0165"/>
    <x v="63"/>
    <s v="Toko D - Medan"/>
    <x v="0"/>
    <n v="199643"/>
    <n v="19"/>
  </r>
  <r>
    <x v="1341"/>
    <s v="M0266"/>
    <x v="172"/>
    <s v="Toko C - Surabaya"/>
    <x v="3"/>
    <n v="361405"/>
    <n v="36"/>
  </r>
  <r>
    <x v="1342"/>
    <s v="M0028"/>
    <x v="320"/>
    <s v="Toko G - Yogyakarta"/>
    <x v="1"/>
    <n v="253583"/>
    <n v="25"/>
  </r>
  <r>
    <x v="1343"/>
    <s v="M0177"/>
    <x v="263"/>
    <s v="Toko A - Jakarta"/>
    <x v="0"/>
    <n v="119159"/>
    <n v="11"/>
  </r>
  <r>
    <x v="1344"/>
    <s v="M0241"/>
    <x v="347"/>
    <s v="Toko A - Jakarta"/>
    <x v="0"/>
    <n v="36603"/>
    <n v="3"/>
  </r>
  <r>
    <x v="1345"/>
    <s v="M0166"/>
    <x v="110"/>
    <s v="Toko A - Jakarta"/>
    <x v="4"/>
    <n v="576790"/>
    <n v="57"/>
  </r>
  <r>
    <x v="1346"/>
    <s v="M0006"/>
    <x v="356"/>
    <s v="Toko D - Medan"/>
    <x v="4"/>
    <n v="490364"/>
    <n v="49"/>
  </r>
  <r>
    <x v="1347"/>
    <s v="M0069"/>
    <x v="106"/>
    <s v="Toko A - Jakarta"/>
    <x v="2"/>
    <n v="906348"/>
    <n v="90"/>
  </r>
  <r>
    <x v="1348"/>
    <s v="M0003"/>
    <x v="217"/>
    <s v="Toko E - Semarang"/>
    <x v="1"/>
    <n v="446326"/>
    <n v="44"/>
  </r>
  <r>
    <x v="1349"/>
    <s v="M0242"/>
    <x v="277"/>
    <s v="Toko F - Makassar"/>
    <x v="0"/>
    <n v="323329"/>
    <n v="32"/>
  </r>
  <r>
    <x v="1350"/>
    <s v="M0047"/>
    <x v="19"/>
    <s v="Toko B - Bandung"/>
    <x v="1"/>
    <n v="194781"/>
    <n v="19"/>
  </r>
  <r>
    <x v="1351"/>
    <s v="M0249"/>
    <x v="264"/>
    <s v="Toko H - Denpasar"/>
    <x v="2"/>
    <n v="308461"/>
    <n v="30"/>
  </r>
  <r>
    <x v="1352"/>
    <s v="M0276"/>
    <x v="98"/>
    <s v="Toko B - Bandung"/>
    <x v="1"/>
    <n v="390017"/>
    <n v="39"/>
  </r>
  <r>
    <x v="1353"/>
    <s v="M0099"/>
    <x v="271"/>
    <s v="Toko B - Bandung"/>
    <x v="0"/>
    <n v="285747"/>
    <n v="28"/>
  </r>
  <r>
    <x v="1354"/>
    <s v="M0133"/>
    <x v="231"/>
    <s v="Toko E - Semarang"/>
    <x v="3"/>
    <n v="254375"/>
    <n v="25"/>
  </r>
  <r>
    <x v="1355"/>
    <s v="M0297"/>
    <x v="65"/>
    <s v="Toko D - Medan"/>
    <x v="3"/>
    <n v="580424"/>
    <n v="58"/>
  </r>
  <r>
    <x v="1356"/>
    <s v="M0061"/>
    <x v="74"/>
    <s v="Toko E - Semarang"/>
    <x v="5"/>
    <n v="101874"/>
    <n v="10"/>
  </r>
  <r>
    <x v="1357"/>
    <s v="M0033"/>
    <x v="98"/>
    <s v="Toko G - Yogyakarta"/>
    <x v="4"/>
    <n v="338911"/>
    <n v="33"/>
  </r>
  <r>
    <x v="1358"/>
    <s v="M0242"/>
    <x v="48"/>
    <s v="Toko G - Yogyakarta"/>
    <x v="5"/>
    <n v="405872"/>
    <n v="40"/>
  </r>
  <r>
    <x v="1359"/>
    <s v="M0227"/>
    <x v="52"/>
    <s v="Toko A - Jakarta"/>
    <x v="4"/>
    <n v="239705"/>
    <n v="23"/>
  </r>
  <r>
    <x v="1360"/>
    <s v="M0242"/>
    <x v="260"/>
    <s v="Toko C - Surabaya"/>
    <x v="0"/>
    <n v="260138"/>
    <n v="26"/>
  </r>
  <r>
    <x v="1361"/>
    <s v="M0033"/>
    <x v="100"/>
    <s v="Toko G - Yogyakarta"/>
    <x v="2"/>
    <n v="427108"/>
    <n v="42"/>
  </r>
  <r>
    <x v="1362"/>
    <s v="M0036"/>
    <x v="6"/>
    <s v="Toko G - Yogyakarta"/>
    <x v="0"/>
    <n v="1152771"/>
    <n v="115"/>
  </r>
  <r>
    <x v="1363"/>
    <s v="M0128"/>
    <x v="229"/>
    <s v="Toko G - Yogyakarta"/>
    <x v="4"/>
    <n v="446236"/>
    <n v="44"/>
  </r>
  <r>
    <x v="1364"/>
    <s v="M0253"/>
    <x v="211"/>
    <s v="Toko H - Denpasar"/>
    <x v="4"/>
    <n v="129854"/>
    <n v="12"/>
  </r>
  <r>
    <x v="1365"/>
    <s v="M0051"/>
    <x v="249"/>
    <s v="Toko B - Bandung"/>
    <x v="3"/>
    <n v="160626"/>
    <n v="16"/>
  </r>
  <r>
    <x v="1366"/>
    <s v="M0122"/>
    <x v="11"/>
    <s v="Toko E - Semarang"/>
    <x v="1"/>
    <n v="128213"/>
    <n v="12"/>
  </r>
  <r>
    <x v="1367"/>
    <s v="M0243"/>
    <x v="48"/>
    <s v="Toko A - Jakarta"/>
    <x v="3"/>
    <n v="420952"/>
    <n v="42"/>
  </r>
  <r>
    <x v="1368"/>
    <s v="M0242"/>
    <x v="108"/>
    <s v="Toko A - Jakarta"/>
    <x v="2"/>
    <n v="297035"/>
    <n v="29"/>
  </r>
  <r>
    <x v="1369"/>
    <s v="M0200"/>
    <x v="101"/>
    <s v="Toko F - Makassar"/>
    <x v="0"/>
    <n v="673626"/>
    <n v="67"/>
  </r>
  <r>
    <x v="1370"/>
    <s v="M0183"/>
    <x v="222"/>
    <s v="Toko A - Jakarta"/>
    <x v="4"/>
    <n v="301452"/>
    <n v="30"/>
  </r>
  <r>
    <x v="1371"/>
    <s v="M0186"/>
    <x v="170"/>
    <s v="Toko H - Denpasar"/>
    <x v="5"/>
    <n v="322325"/>
    <n v="32"/>
  </r>
  <r>
    <x v="1372"/>
    <s v="M0064"/>
    <x v="175"/>
    <s v="Toko D - Medan"/>
    <x v="4"/>
    <n v="512530"/>
    <n v="51"/>
  </r>
  <r>
    <x v="1373"/>
    <s v="M0155"/>
    <x v="13"/>
    <s v="Toko G - Yogyakarta"/>
    <x v="4"/>
    <n v="158375"/>
    <n v="15"/>
  </r>
  <r>
    <x v="1374"/>
    <s v="M0044"/>
    <x v="295"/>
    <s v="Toko E - Semarang"/>
    <x v="2"/>
    <n v="773596"/>
    <n v="77"/>
  </r>
  <r>
    <x v="1375"/>
    <s v="M0290"/>
    <x v="165"/>
    <s v="Toko B - Bandung"/>
    <x v="1"/>
    <n v="499770"/>
    <n v="49"/>
  </r>
  <r>
    <x v="1376"/>
    <s v="M0064"/>
    <x v="202"/>
    <s v="Toko H - Denpasar"/>
    <x v="0"/>
    <n v="242616"/>
    <n v="24"/>
  </r>
  <r>
    <x v="1377"/>
    <s v="M0121"/>
    <x v="0"/>
    <s v="Toko G - Yogyakarta"/>
    <x v="0"/>
    <n v="351945"/>
    <n v="35"/>
  </r>
  <r>
    <x v="1378"/>
    <s v="M0198"/>
    <x v="215"/>
    <s v="Toko A - Jakarta"/>
    <x v="0"/>
    <n v="150331"/>
    <n v="15"/>
  </r>
  <r>
    <x v="1379"/>
    <s v="M0187"/>
    <x v="285"/>
    <s v="Toko E - Semarang"/>
    <x v="1"/>
    <n v="238229"/>
    <n v="23"/>
  </r>
  <r>
    <x v="1380"/>
    <s v="M0166"/>
    <x v="348"/>
    <s v="Toko C - Surabaya"/>
    <x v="4"/>
    <n v="226484"/>
    <n v="22"/>
  </r>
  <r>
    <x v="1381"/>
    <s v="M0243"/>
    <x v="280"/>
    <s v="Toko E - Semarang"/>
    <x v="4"/>
    <n v="523510"/>
    <n v="52"/>
  </r>
  <r>
    <x v="1382"/>
    <s v="M0068"/>
    <x v="13"/>
    <s v="Toko G - Yogyakarta"/>
    <x v="5"/>
    <n v="354224"/>
    <n v="35"/>
  </r>
  <r>
    <x v="1383"/>
    <s v="M0258"/>
    <x v="203"/>
    <s v="Toko C - Surabaya"/>
    <x v="5"/>
    <n v="305858"/>
    <n v="30"/>
  </r>
  <r>
    <x v="1384"/>
    <s v="M0267"/>
    <x v="333"/>
    <s v="Toko G - Yogyakarta"/>
    <x v="1"/>
    <n v="25000"/>
    <n v="2"/>
  </r>
  <r>
    <x v="1385"/>
    <s v="M0141"/>
    <x v="236"/>
    <s v="Toko H - Denpasar"/>
    <x v="4"/>
    <n v="179171"/>
    <n v="17"/>
  </r>
  <r>
    <x v="1386"/>
    <s v="M0065"/>
    <x v="298"/>
    <s v="Toko G - Yogyakarta"/>
    <x v="3"/>
    <n v="623797"/>
    <n v="62"/>
  </r>
  <r>
    <x v="1387"/>
    <s v="M0001"/>
    <x v="16"/>
    <s v="Toko H - Denpasar"/>
    <x v="2"/>
    <n v="228433"/>
    <n v="22"/>
  </r>
  <r>
    <x v="1388"/>
    <s v="M0110"/>
    <x v="188"/>
    <s v="Toko H - Denpasar"/>
    <x v="0"/>
    <n v="549244"/>
    <n v="54"/>
  </r>
  <r>
    <x v="1389"/>
    <s v="M0048"/>
    <x v="322"/>
    <s v="Toko F - Makassar"/>
    <x v="5"/>
    <n v="464878"/>
    <n v="46"/>
  </r>
  <r>
    <x v="1390"/>
    <s v="M0293"/>
    <x v="183"/>
    <s v="Toko F - Makassar"/>
    <x v="2"/>
    <n v="848924"/>
    <n v="84"/>
  </r>
  <r>
    <x v="1391"/>
    <s v="M0199"/>
    <x v="326"/>
    <s v="Toko E - Semarang"/>
    <x v="5"/>
    <n v="471271"/>
    <n v="47"/>
  </r>
  <r>
    <x v="1392"/>
    <s v="M0192"/>
    <x v="166"/>
    <s v="Toko C - Surabaya"/>
    <x v="3"/>
    <n v="160595"/>
    <n v="16"/>
  </r>
  <r>
    <x v="1393"/>
    <s v="M0252"/>
    <x v="124"/>
    <s v="Toko A - Jakarta"/>
    <x v="1"/>
    <n v="579555"/>
    <n v="57"/>
  </r>
  <r>
    <x v="1394"/>
    <s v="M0115"/>
    <x v="146"/>
    <s v="Toko F - Makassar"/>
    <x v="4"/>
    <n v="225925"/>
    <n v="22"/>
  </r>
  <r>
    <x v="1395"/>
    <s v="M0140"/>
    <x v="350"/>
    <s v="Toko G - Yogyakarta"/>
    <x v="4"/>
    <n v="142470"/>
    <n v="14"/>
  </r>
  <r>
    <x v="1396"/>
    <s v="M0002"/>
    <x v="123"/>
    <s v="Toko G - Yogyakarta"/>
    <x v="1"/>
    <n v="507971"/>
    <n v="50"/>
  </r>
  <r>
    <x v="1397"/>
    <s v="M0150"/>
    <x v="237"/>
    <s v="Toko C - Surabaya"/>
    <x v="0"/>
    <n v="156721"/>
    <n v="15"/>
  </r>
  <r>
    <x v="1398"/>
    <s v="M0093"/>
    <x v="100"/>
    <s v="Toko C - Surabaya"/>
    <x v="4"/>
    <n v="397724"/>
    <n v="39"/>
  </r>
  <r>
    <x v="1399"/>
    <s v="M0055"/>
    <x v="77"/>
    <s v="Toko H - Denpasar"/>
    <x v="3"/>
    <n v="289500"/>
    <n v="28"/>
  </r>
  <r>
    <x v="1400"/>
    <s v="M0075"/>
    <x v="52"/>
    <s v="Toko A - Jakarta"/>
    <x v="3"/>
    <n v="65909"/>
    <n v="6"/>
  </r>
  <r>
    <x v="1401"/>
    <s v="M0222"/>
    <x v="119"/>
    <s v="Toko C - Surabaya"/>
    <x v="1"/>
    <n v="845810"/>
    <n v="84"/>
  </r>
  <r>
    <x v="1402"/>
    <s v="M0228"/>
    <x v="209"/>
    <s v="Toko E - Semarang"/>
    <x v="0"/>
    <n v="286025"/>
    <n v="28"/>
  </r>
  <r>
    <x v="1403"/>
    <s v="M0231"/>
    <x v="217"/>
    <s v="Toko G - Yogyakarta"/>
    <x v="4"/>
    <n v="531127"/>
    <n v="53"/>
  </r>
  <r>
    <x v="1404"/>
    <s v="M0170"/>
    <x v="273"/>
    <s v="Toko A - Jakarta"/>
    <x v="5"/>
    <n v="266963"/>
    <n v="26"/>
  </r>
  <r>
    <x v="1405"/>
    <s v="M0084"/>
    <x v="109"/>
    <s v="Toko E - Semarang"/>
    <x v="3"/>
    <n v="149569"/>
    <n v="14"/>
  </r>
  <r>
    <x v="1406"/>
    <s v="M0111"/>
    <x v="65"/>
    <s v="Toko G - Yogyakarta"/>
    <x v="2"/>
    <n v="109986"/>
    <n v="10"/>
  </r>
  <r>
    <x v="1407"/>
    <s v="M0047"/>
    <x v="171"/>
    <s v="Toko C - Surabaya"/>
    <x v="2"/>
    <n v="113695"/>
    <n v="11"/>
  </r>
  <r>
    <x v="1408"/>
    <s v="M0205"/>
    <x v="342"/>
    <s v="Toko E - Semarang"/>
    <x v="0"/>
    <n v="291263"/>
    <n v="29"/>
  </r>
  <r>
    <x v="1409"/>
    <s v="M0287"/>
    <x v="169"/>
    <s v="Toko H - Denpasar"/>
    <x v="4"/>
    <n v="230895"/>
    <n v="23"/>
  </r>
  <r>
    <x v="1410"/>
    <s v="M0128"/>
    <x v="270"/>
    <s v="Toko C - Surabaya"/>
    <x v="4"/>
    <n v="487419"/>
    <n v="48"/>
  </r>
  <r>
    <x v="1411"/>
    <s v="M0243"/>
    <x v="274"/>
    <s v="Toko F - Makassar"/>
    <x v="5"/>
    <n v="320907"/>
    <n v="32"/>
  </r>
  <r>
    <x v="1412"/>
    <s v="M0267"/>
    <x v="46"/>
    <s v="Toko A - Jakarta"/>
    <x v="3"/>
    <n v="838078"/>
    <n v="83"/>
  </r>
  <r>
    <x v="1413"/>
    <s v="M0296"/>
    <x v="354"/>
    <s v="Toko F - Makassar"/>
    <x v="4"/>
    <n v="160377"/>
    <n v="16"/>
  </r>
  <r>
    <x v="1414"/>
    <s v="M0199"/>
    <x v="239"/>
    <s v="Toko E - Semarang"/>
    <x v="0"/>
    <n v="540695"/>
    <n v="54"/>
  </r>
  <r>
    <x v="1415"/>
    <s v="M0078"/>
    <x v="114"/>
    <s v="Toko C - Surabaya"/>
    <x v="0"/>
    <n v="258580"/>
    <n v="25"/>
  </r>
  <r>
    <x v="1416"/>
    <s v="M0169"/>
    <x v="51"/>
    <s v="Toko H - Denpasar"/>
    <x v="4"/>
    <n v="911703"/>
    <n v="91"/>
  </r>
  <r>
    <x v="1417"/>
    <s v="M0108"/>
    <x v="217"/>
    <s v="Toko B - Bandung"/>
    <x v="2"/>
    <n v="328083"/>
    <n v="32"/>
  </r>
  <r>
    <x v="1418"/>
    <s v="M0243"/>
    <x v="341"/>
    <s v="Toko H - Denpasar"/>
    <x v="5"/>
    <n v="894094"/>
    <n v="89"/>
  </r>
  <r>
    <x v="1419"/>
    <s v="M0064"/>
    <x v="222"/>
    <s v="Toko C - Surabaya"/>
    <x v="2"/>
    <n v="695453"/>
    <n v="69"/>
  </r>
  <r>
    <x v="1420"/>
    <s v="M0044"/>
    <x v="109"/>
    <s v="Toko B - Bandung"/>
    <x v="1"/>
    <n v="331089"/>
    <n v="33"/>
  </r>
  <r>
    <x v="1421"/>
    <s v="M0008"/>
    <x v="181"/>
    <s v="Toko F - Makassar"/>
    <x v="0"/>
    <n v="121586"/>
    <n v="12"/>
  </r>
  <r>
    <x v="1422"/>
    <s v="M0039"/>
    <x v="121"/>
    <s v="Toko B - Bandung"/>
    <x v="5"/>
    <n v="186411"/>
    <n v="18"/>
  </r>
  <r>
    <x v="1423"/>
    <s v="M0234"/>
    <x v="21"/>
    <s v="Toko E - Semarang"/>
    <x v="0"/>
    <n v="464704"/>
    <n v="46"/>
  </r>
  <r>
    <x v="1424"/>
    <s v="M0001"/>
    <x v="322"/>
    <s v="Toko B - Bandung"/>
    <x v="1"/>
    <n v="27151"/>
    <n v="2"/>
  </r>
  <r>
    <x v="1425"/>
    <s v="M0171"/>
    <x v="35"/>
    <s v="Toko B - Bandung"/>
    <x v="0"/>
    <n v="241798"/>
    <n v="24"/>
  </r>
  <r>
    <x v="1426"/>
    <s v="M0265"/>
    <x v="350"/>
    <s v="Toko D - Medan"/>
    <x v="4"/>
    <n v="149311"/>
    <n v="14"/>
  </r>
  <r>
    <x v="1427"/>
    <s v="M0298"/>
    <x v="132"/>
    <s v="Toko E - Semarang"/>
    <x v="4"/>
    <n v="157461"/>
    <n v="15"/>
  </r>
  <r>
    <x v="1428"/>
    <s v="M0192"/>
    <x v="267"/>
    <s v="Toko A - Jakarta"/>
    <x v="0"/>
    <n v="207963"/>
    <n v="20"/>
  </r>
  <r>
    <x v="1429"/>
    <s v="M0186"/>
    <x v="266"/>
    <s v="Toko H - Denpasar"/>
    <x v="5"/>
    <n v="235951"/>
    <n v="23"/>
  </r>
  <r>
    <x v="1430"/>
    <s v="M0282"/>
    <x v="357"/>
    <s v="Toko F - Makassar"/>
    <x v="1"/>
    <n v="615103"/>
    <n v="61"/>
  </r>
  <r>
    <x v="1431"/>
    <s v="M0121"/>
    <x v="87"/>
    <s v="Toko H - Denpasar"/>
    <x v="1"/>
    <n v="395031"/>
    <n v="39"/>
  </r>
  <r>
    <x v="1432"/>
    <s v="M0259"/>
    <x v="115"/>
    <s v="Toko D - Medan"/>
    <x v="2"/>
    <n v="355169"/>
    <n v="35"/>
  </r>
  <r>
    <x v="1433"/>
    <s v="M0256"/>
    <x v="224"/>
    <s v="Toko G - Yogyakarta"/>
    <x v="2"/>
    <n v="399494"/>
    <n v="39"/>
  </r>
  <r>
    <x v="1434"/>
    <s v="M0069"/>
    <x v="53"/>
    <s v="Toko F - Makassar"/>
    <x v="2"/>
    <n v="188379"/>
    <n v="18"/>
  </r>
  <r>
    <x v="1435"/>
    <s v="M0292"/>
    <x v="120"/>
    <s v="Toko E - Semarang"/>
    <x v="5"/>
    <n v="193443"/>
    <n v="19"/>
  </r>
  <r>
    <x v="1436"/>
    <s v="M0242"/>
    <x v="331"/>
    <s v="Toko C - Surabaya"/>
    <x v="1"/>
    <n v="274599"/>
    <n v="27"/>
  </r>
  <r>
    <x v="1437"/>
    <s v="M0117"/>
    <x v="320"/>
    <s v="Toko H - Denpasar"/>
    <x v="4"/>
    <n v="433413"/>
    <n v="43"/>
  </r>
  <r>
    <x v="1438"/>
    <s v="M0014"/>
    <x v="8"/>
    <s v="Toko G - Yogyakarta"/>
    <x v="0"/>
    <n v="239396"/>
    <n v="23"/>
  </r>
  <r>
    <x v="1439"/>
    <s v="M0215"/>
    <x v="328"/>
    <s v="Toko D - Medan"/>
    <x v="1"/>
    <n v="349085"/>
    <n v="34"/>
  </r>
  <r>
    <x v="1440"/>
    <s v="M0271"/>
    <x v="204"/>
    <s v="Toko B - Bandung"/>
    <x v="2"/>
    <n v="222976"/>
    <n v="22"/>
  </r>
  <r>
    <x v="1441"/>
    <s v="M0130"/>
    <x v="82"/>
    <s v="Toko E - Semarang"/>
    <x v="2"/>
    <n v="330205"/>
    <n v="33"/>
  </r>
  <r>
    <x v="1442"/>
    <s v="M0162"/>
    <x v="19"/>
    <s v="Toko H - Denpasar"/>
    <x v="1"/>
    <n v="257418"/>
    <n v="25"/>
  </r>
  <r>
    <x v="1443"/>
    <s v="M0066"/>
    <x v="128"/>
    <s v="Toko B - Bandung"/>
    <x v="5"/>
    <n v="245084"/>
    <n v="24"/>
  </r>
  <r>
    <x v="1444"/>
    <s v="M0264"/>
    <x v="53"/>
    <s v="Toko A - Jakarta"/>
    <x v="1"/>
    <n v="202507"/>
    <n v="20"/>
  </r>
  <r>
    <x v="1445"/>
    <s v="M0229"/>
    <x v="141"/>
    <s v="Toko H - Denpasar"/>
    <x v="1"/>
    <n v="105873"/>
    <n v="10"/>
  </r>
  <r>
    <x v="1446"/>
    <s v="M0193"/>
    <x v="260"/>
    <s v="Toko H - Denpasar"/>
    <x v="4"/>
    <n v="176517"/>
    <n v="17"/>
  </r>
  <r>
    <x v="1447"/>
    <s v="M0063"/>
    <x v="236"/>
    <s v="Toko E - Semarang"/>
    <x v="3"/>
    <n v="167515"/>
    <n v="16"/>
  </r>
  <r>
    <x v="1448"/>
    <s v="M0254"/>
    <x v="15"/>
    <s v="Toko C - Surabaya"/>
    <x v="3"/>
    <n v="192098"/>
    <n v="19"/>
  </r>
  <r>
    <x v="1449"/>
    <s v="M0131"/>
    <x v="134"/>
    <s v="Toko F - Makassar"/>
    <x v="0"/>
    <n v="258007"/>
    <n v="25"/>
  </r>
  <r>
    <x v="1450"/>
    <s v="M0155"/>
    <x v="185"/>
    <s v="Toko B - Bandung"/>
    <x v="2"/>
    <n v="263670"/>
    <n v="26"/>
  </r>
  <r>
    <x v="1451"/>
    <s v="M0183"/>
    <x v="196"/>
    <s v="Toko G - Yogyakarta"/>
    <x v="5"/>
    <n v="100280"/>
    <n v="10"/>
  </r>
  <r>
    <x v="1452"/>
    <s v="M0102"/>
    <x v="88"/>
    <s v="Toko B - Bandung"/>
    <x v="1"/>
    <n v="522897"/>
    <n v="52"/>
  </r>
  <r>
    <x v="1453"/>
    <s v="M0084"/>
    <x v="142"/>
    <s v="Toko D - Medan"/>
    <x v="1"/>
    <n v="215512"/>
    <n v="21"/>
  </r>
  <r>
    <x v="1454"/>
    <s v="M0080"/>
    <x v="323"/>
    <s v="Toko D - Medan"/>
    <x v="0"/>
    <n v="28559"/>
    <n v="2"/>
  </r>
  <r>
    <x v="1455"/>
    <s v="M0224"/>
    <x v="21"/>
    <s v="Toko C - Surabaya"/>
    <x v="2"/>
    <n v="668772"/>
    <n v="66"/>
  </r>
  <r>
    <x v="1456"/>
    <s v="M0295"/>
    <x v="234"/>
    <s v="Toko H - Denpasar"/>
    <x v="1"/>
    <n v="25000"/>
    <n v="2"/>
  </r>
  <r>
    <x v="1457"/>
    <s v="M0140"/>
    <x v="332"/>
    <s v="Toko H - Denpasar"/>
    <x v="5"/>
    <n v="175749"/>
    <n v="17"/>
  </r>
  <r>
    <x v="1458"/>
    <s v="M0140"/>
    <x v="231"/>
    <s v="Toko B - Bandung"/>
    <x v="3"/>
    <n v="77622"/>
    <n v="7"/>
  </r>
  <r>
    <x v="1459"/>
    <s v="M0166"/>
    <x v="203"/>
    <s v="Toko C - Surabaya"/>
    <x v="5"/>
    <n v="355404"/>
    <n v="35"/>
  </r>
  <r>
    <x v="1460"/>
    <s v="M0010"/>
    <x v="60"/>
    <s v="Toko H - Denpasar"/>
    <x v="5"/>
    <n v="161383"/>
    <n v="16"/>
  </r>
  <r>
    <x v="1461"/>
    <s v="M0224"/>
    <x v="206"/>
    <s v="Toko G - Yogyakarta"/>
    <x v="4"/>
    <n v="276918"/>
    <n v="27"/>
  </r>
  <r>
    <x v="1462"/>
    <s v="M0267"/>
    <x v="304"/>
    <s v="Toko H - Denpasar"/>
    <x v="2"/>
    <n v="25000"/>
    <n v="2"/>
  </r>
  <r>
    <x v="1463"/>
    <s v="M0269"/>
    <x v="196"/>
    <s v="Toko F - Makassar"/>
    <x v="4"/>
    <n v="25000"/>
    <n v="2"/>
  </r>
  <r>
    <x v="1464"/>
    <s v="M0202"/>
    <x v="72"/>
    <s v="Toko B - Bandung"/>
    <x v="0"/>
    <n v="509810"/>
    <n v="50"/>
  </r>
  <r>
    <x v="1465"/>
    <s v="M0157"/>
    <x v="299"/>
    <s v="Toko F - Makassar"/>
    <x v="5"/>
    <n v="55270"/>
    <n v="5"/>
  </r>
  <r>
    <x v="1466"/>
    <s v="M0099"/>
    <x v="87"/>
    <s v="Toko D - Medan"/>
    <x v="0"/>
    <n v="185448"/>
    <n v="18"/>
  </r>
  <r>
    <x v="1467"/>
    <s v="M0245"/>
    <x v="52"/>
    <s v="Toko C - Surabaya"/>
    <x v="1"/>
    <n v="423575"/>
    <n v="42"/>
  </r>
  <r>
    <x v="1468"/>
    <s v="M0020"/>
    <x v="358"/>
    <s v="Toko H - Denpasar"/>
    <x v="1"/>
    <n v="214922"/>
    <n v="21"/>
  </r>
  <r>
    <x v="1469"/>
    <s v="M0263"/>
    <x v="262"/>
    <s v="Toko F - Makassar"/>
    <x v="3"/>
    <n v="371923"/>
    <n v="37"/>
  </r>
  <r>
    <x v="1470"/>
    <s v="M0204"/>
    <x v="208"/>
    <s v="Toko D - Medan"/>
    <x v="1"/>
    <n v="212086"/>
    <n v="21"/>
  </r>
  <r>
    <x v="1471"/>
    <s v="M0055"/>
    <x v="106"/>
    <s v="Toko C - Surabaya"/>
    <x v="1"/>
    <n v="276643"/>
    <n v="27"/>
  </r>
  <r>
    <x v="1472"/>
    <s v="M0151"/>
    <x v="162"/>
    <s v="Toko A - Jakarta"/>
    <x v="0"/>
    <n v="56212"/>
    <n v="5"/>
  </r>
  <r>
    <x v="1473"/>
    <s v="M0096"/>
    <x v="139"/>
    <s v="Toko G - Yogyakarta"/>
    <x v="2"/>
    <n v="352208"/>
    <n v="35"/>
  </r>
  <r>
    <x v="1474"/>
    <s v="M0025"/>
    <x v="188"/>
    <s v="Toko E - Semarang"/>
    <x v="4"/>
    <n v="259291"/>
    <n v="25"/>
  </r>
  <r>
    <x v="1475"/>
    <s v="M0204"/>
    <x v="242"/>
    <s v="Toko C - Surabaya"/>
    <x v="3"/>
    <n v="180938"/>
    <n v="18"/>
  </r>
  <r>
    <x v="1476"/>
    <s v="M0076"/>
    <x v="356"/>
    <s v="Toko C - Surabaya"/>
    <x v="2"/>
    <n v="199491"/>
    <n v="19"/>
  </r>
  <r>
    <x v="1477"/>
    <s v="M0278"/>
    <x v="21"/>
    <s v="Toko A - Jakarta"/>
    <x v="1"/>
    <n v="493787"/>
    <n v="49"/>
  </r>
  <r>
    <x v="1478"/>
    <s v="M0101"/>
    <x v="344"/>
    <s v="Toko D - Medan"/>
    <x v="0"/>
    <n v="274515"/>
    <n v="27"/>
  </r>
  <r>
    <x v="1479"/>
    <s v="M0097"/>
    <x v="152"/>
    <s v="Toko D - Medan"/>
    <x v="4"/>
    <n v="212596"/>
    <n v="21"/>
  </r>
  <r>
    <x v="1480"/>
    <s v="M0183"/>
    <x v="22"/>
    <s v="Toko D - Medan"/>
    <x v="4"/>
    <n v="605749"/>
    <n v="60"/>
  </r>
  <r>
    <x v="1481"/>
    <s v="M0261"/>
    <x v="301"/>
    <s v="Toko H - Denpasar"/>
    <x v="5"/>
    <n v="91049"/>
    <n v="9"/>
  </r>
  <r>
    <x v="1482"/>
    <s v="M0272"/>
    <x v="283"/>
    <s v="Toko B - Bandung"/>
    <x v="0"/>
    <n v="195364"/>
    <n v="19"/>
  </r>
  <r>
    <x v="1483"/>
    <s v="M0262"/>
    <x v="335"/>
    <s v="Toko A - Jakarta"/>
    <x v="3"/>
    <n v="300071"/>
    <n v="30"/>
  </r>
  <r>
    <x v="1484"/>
    <s v="M0054"/>
    <x v="159"/>
    <s v="Toko F - Makassar"/>
    <x v="2"/>
    <n v="219014"/>
    <n v="21"/>
  </r>
  <r>
    <x v="1485"/>
    <s v="M0199"/>
    <x v="349"/>
    <s v="Toko G - Yogyakarta"/>
    <x v="4"/>
    <n v="370703"/>
    <n v="37"/>
  </r>
  <r>
    <x v="1486"/>
    <s v="M0094"/>
    <x v="314"/>
    <s v="Toko C - Surabaya"/>
    <x v="5"/>
    <n v="122671"/>
    <n v="12"/>
  </r>
  <r>
    <x v="1487"/>
    <s v="M0121"/>
    <x v="281"/>
    <s v="Toko H - Denpasar"/>
    <x v="3"/>
    <n v="529548"/>
    <n v="52"/>
  </r>
  <r>
    <x v="1488"/>
    <s v="M0281"/>
    <x v="291"/>
    <s v="Toko G - Yogyakarta"/>
    <x v="4"/>
    <n v="340401"/>
    <n v="34"/>
  </r>
  <r>
    <x v="1489"/>
    <s v="M0153"/>
    <x v="213"/>
    <s v="Toko H - Denpasar"/>
    <x v="5"/>
    <n v="158146"/>
    <n v="15"/>
  </r>
  <r>
    <x v="1490"/>
    <s v="M0139"/>
    <x v="10"/>
    <s v="Toko F - Makassar"/>
    <x v="1"/>
    <n v="25000"/>
    <n v="2"/>
  </r>
  <r>
    <x v="1491"/>
    <s v="M0147"/>
    <x v="113"/>
    <s v="Toko D - Medan"/>
    <x v="3"/>
    <n v="350577"/>
    <n v="35"/>
  </r>
  <r>
    <x v="1492"/>
    <s v="M0244"/>
    <x v="28"/>
    <s v="Toko C - Surabaya"/>
    <x v="5"/>
    <n v="103567"/>
    <n v="10"/>
  </r>
  <r>
    <x v="1493"/>
    <s v="M0090"/>
    <x v="282"/>
    <s v="Toko H - Denpasar"/>
    <x v="1"/>
    <n v="153233"/>
    <n v="15"/>
  </r>
  <r>
    <x v="1494"/>
    <s v="M0003"/>
    <x v="3"/>
    <s v="Toko G - Yogyakarta"/>
    <x v="0"/>
    <n v="147763"/>
    <n v="14"/>
  </r>
  <r>
    <x v="1495"/>
    <s v="M0036"/>
    <x v="188"/>
    <s v="Toko F - Makassar"/>
    <x v="2"/>
    <n v="261643"/>
    <n v="26"/>
  </r>
  <r>
    <x v="1496"/>
    <s v="M0016"/>
    <x v="330"/>
    <s v="Toko A - Jakarta"/>
    <x v="5"/>
    <n v="98338"/>
    <n v="9"/>
  </r>
  <r>
    <x v="1497"/>
    <s v="M0051"/>
    <x v="189"/>
    <s v="Toko A - Jakarta"/>
    <x v="0"/>
    <n v="149119"/>
    <n v="14"/>
  </r>
  <r>
    <x v="1498"/>
    <s v="M0024"/>
    <x v="77"/>
    <s v="Toko H - Denpasar"/>
    <x v="0"/>
    <n v="425560"/>
    <n v="42"/>
  </r>
  <r>
    <x v="1499"/>
    <s v="M0209"/>
    <x v="262"/>
    <s v="Toko F - Makassar"/>
    <x v="0"/>
    <n v="510853"/>
    <n v="51"/>
  </r>
  <r>
    <x v="1500"/>
    <s v="M0286"/>
    <x v="151"/>
    <s v="Toko G - Yogyakarta"/>
    <x v="2"/>
    <n v="161676"/>
    <n v="16"/>
  </r>
  <r>
    <x v="1501"/>
    <s v="M0242"/>
    <x v="272"/>
    <s v="Toko C - Surabaya"/>
    <x v="4"/>
    <n v="230500"/>
    <n v="23"/>
  </r>
  <r>
    <x v="1502"/>
    <s v="M0174"/>
    <x v="222"/>
    <s v="Toko G - Yogyakarta"/>
    <x v="5"/>
    <n v="651167"/>
    <n v="65"/>
  </r>
  <r>
    <x v="1503"/>
    <s v="M0236"/>
    <x v="161"/>
    <s v="Toko E - Semarang"/>
    <x v="3"/>
    <n v="95724"/>
    <n v="9"/>
  </r>
  <r>
    <x v="1504"/>
    <s v="M0199"/>
    <x v="291"/>
    <s v="Toko F - Makassar"/>
    <x v="5"/>
    <n v="563809"/>
    <n v="56"/>
  </r>
  <r>
    <x v="1505"/>
    <s v="M0070"/>
    <x v="81"/>
    <s v="Toko D - Medan"/>
    <x v="1"/>
    <n v="223931"/>
    <n v="22"/>
  </r>
  <r>
    <x v="1506"/>
    <s v="M0068"/>
    <x v="253"/>
    <s v="Toko C - Surabaya"/>
    <x v="4"/>
    <n v="548900"/>
    <n v="54"/>
  </r>
  <r>
    <x v="1507"/>
    <s v="M0123"/>
    <x v="154"/>
    <s v="Toko A - Jakarta"/>
    <x v="1"/>
    <n v="519768"/>
    <n v="51"/>
  </r>
  <r>
    <x v="1508"/>
    <s v="M0237"/>
    <x v="279"/>
    <s v="Toko E - Semarang"/>
    <x v="3"/>
    <n v="237775"/>
    <n v="23"/>
  </r>
  <r>
    <x v="1509"/>
    <s v="M0249"/>
    <x v="113"/>
    <s v="Toko F - Makassar"/>
    <x v="3"/>
    <n v="649993"/>
    <n v="64"/>
  </r>
  <r>
    <x v="1510"/>
    <s v="M0224"/>
    <x v="140"/>
    <s v="Toko G - Yogyakarta"/>
    <x v="3"/>
    <n v="198266"/>
    <n v="19"/>
  </r>
  <r>
    <x v="1511"/>
    <s v="M0010"/>
    <x v="210"/>
    <s v="Toko F - Makassar"/>
    <x v="0"/>
    <n v="71585"/>
    <n v="7"/>
  </r>
  <r>
    <x v="1512"/>
    <s v="M0225"/>
    <x v="308"/>
    <s v="Toko A - Jakarta"/>
    <x v="5"/>
    <n v="321337"/>
    <n v="32"/>
  </r>
  <r>
    <x v="1513"/>
    <s v="M0012"/>
    <x v="309"/>
    <s v="Toko A - Jakarta"/>
    <x v="3"/>
    <n v="259208"/>
    <n v="25"/>
  </r>
  <r>
    <x v="1514"/>
    <s v="M0137"/>
    <x v="192"/>
    <s v="Toko F - Makassar"/>
    <x v="2"/>
    <n v="76987"/>
    <n v="7"/>
  </r>
  <r>
    <x v="1515"/>
    <s v="M0129"/>
    <x v="274"/>
    <s v="Toko C - Surabaya"/>
    <x v="2"/>
    <n v="172099"/>
    <n v="17"/>
  </r>
  <r>
    <x v="1516"/>
    <s v="M0252"/>
    <x v="245"/>
    <s v="Toko D - Medan"/>
    <x v="2"/>
    <n v="319300"/>
    <n v="31"/>
  </r>
  <r>
    <x v="1517"/>
    <s v="M0228"/>
    <x v="137"/>
    <s v="Toko D - Medan"/>
    <x v="4"/>
    <n v="161365"/>
    <n v="16"/>
  </r>
  <r>
    <x v="1518"/>
    <s v="M0064"/>
    <x v="156"/>
    <s v="Toko H - Denpasar"/>
    <x v="5"/>
    <n v="344370"/>
    <n v="34"/>
  </r>
  <r>
    <x v="1519"/>
    <s v="M0077"/>
    <x v="322"/>
    <s v="Toko E - Semarang"/>
    <x v="4"/>
    <n v="120617"/>
    <n v="12"/>
  </r>
  <r>
    <x v="1520"/>
    <s v="M0268"/>
    <x v="118"/>
    <s v="Toko A - Jakarta"/>
    <x v="4"/>
    <n v="153786"/>
    <n v="15"/>
  </r>
  <r>
    <x v="1521"/>
    <s v="M0215"/>
    <x v="96"/>
    <s v="Toko E - Semarang"/>
    <x v="4"/>
    <n v="78780"/>
    <n v="7"/>
  </r>
  <r>
    <x v="1522"/>
    <s v="M0034"/>
    <x v="74"/>
    <s v="Toko C - Surabaya"/>
    <x v="5"/>
    <n v="352864"/>
    <n v="35"/>
  </r>
  <r>
    <x v="1523"/>
    <s v="M0026"/>
    <x v="232"/>
    <s v="Toko C - Surabaya"/>
    <x v="5"/>
    <n v="212705"/>
    <n v="21"/>
  </r>
  <r>
    <x v="1524"/>
    <s v="M0062"/>
    <x v="177"/>
    <s v="Toko F - Makassar"/>
    <x v="0"/>
    <n v="378080"/>
    <n v="37"/>
  </r>
  <r>
    <x v="1525"/>
    <s v="M0179"/>
    <x v="17"/>
    <s v="Toko D - Medan"/>
    <x v="5"/>
    <n v="384403"/>
    <n v="38"/>
  </r>
  <r>
    <x v="1526"/>
    <s v="M0175"/>
    <x v="159"/>
    <s v="Toko E - Semarang"/>
    <x v="4"/>
    <n v="266586"/>
    <n v="26"/>
  </r>
  <r>
    <x v="1527"/>
    <s v="M0199"/>
    <x v="246"/>
    <s v="Toko A - Jakarta"/>
    <x v="4"/>
    <n v="107588"/>
    <n v="10"/>
  </r>
  <r>
    <x v="1528"/>
    <s v="M0242"/>
    <x v="185"/>
    <s v="Toko A - Jakarta"/>
    <x v="5"/>
    <n v="836744"/>
    <n v="83"/>
  </r>
  <r>
    <x v="1529"/>
    <s v="M0080"/>
    <x v="333"/>
    <s v="Toko A - Jakarta"/>
    <x v="0"/>
    <n v="53534"/>
    <n v="5"/>
  </r>
  <r>
    <x v="1530"/>
    <s v="M0092"/>
    <x v="69"/>
    <s v="Toko D - Medan"/>
    <x v="3"/>
    <n v="299579"/>
    <n v="29"/>
  </r>
  <r>
    <x v="1531"/>
    <s v="M0199"/>
    <x v="359"/>
    <s v="Toko H - Denpasar"/>
    <x v="5"/>
    <n v="226982"/>
    <n v="22"/>
  </r>
  <r>
    <x v="1532"/>
    <s v="M0187"/>
    <x v="259"/>
    <s v="Toko E - Semarang"/>
    <x v="3"/>
    <n v="81889"/>
    <n v="8"/>
  </r>
  <r>
    <x v="1533"/>
    <s v="M0097"/>
    <x v="102"/>
    <s v="Toko E - Semarang"/>
    <x v="4"/>
    <n v="463244"/>
    <n v="46"/>
  </r>
  <r>
    <x v="1534"/>
    <s v="M0171"/>
    <x v="295"/>
    <s v="Toko G - Yogyakarta"/>
    <x v="5"/>
    <n v="25000"/>
    <n v="2"/>
  </r>
  <r>
    <x v="1535"/>
    <s v="M0248"/>
    <x v="243"/>
    <s v="Toko C - Surabaya"/>
    <x v="3"/>
    <n v="154822"/>
    <n v="15"/>
  </r>
  <r>
    <x v="1536"/>
    <s v="M0070"/>
    <x v="360"/>
    <s v="Toko B - Bandung"/>
    <x v="5"/>
    <n v="507293"/>
    <n v="50"/>
  </r>
  <r>
    <x v="1537"/>
    <s v="M0253"/>
    <x v="280"/>
    <s v="Toko C - Surabaya"/>
    <x v="1"/>
    <n v="25000"/>
    <n v="2"/>
  </r>
  <r>
    <x v="1538"/>
    <s v="M0266"/>
    <x v="33"/>
    <s v="Toko D - Medan"/>
    <x v="5"/>
    <n v="617574"/>
    <n v="61"/>
  </r>
  <r>
    <x v="1539"/>
    <s v="M0295"/>
    <x v="30"/>
    <s v="Toko D - Medan"/>
    <x v="1"/>
    <n v="158466"/>
    <n v="15"/>
  </r>
  <r>
    <x v="1540"/>
    <s v="M0063"/>
    <x v="281"/>
    <s v="Toko H - Denpasar"/>
    <x v="3"/>
    <n v="144482"/>
    <n v="14"/>
  </r>
  <r>
    <x v="1541"/>
    <s v="M0217"/>
    <x v="333"/>
    <s v="Toko F - Makassar"/>
    <x v="3"/>
    <n v="101811"/>
    <n v="10"/>
  </r>
  <r>
    <x v="1542"/>
    <s v="M0103"/>
    <x v="165"/>
    <s v="Toko B - Bandung"/>
    <x v="2"/>
    <n v="507193"/>
    <n v="50"/>
  </r>
  <r>
    <x v="1543"/>
    <s v="M0077"/>
    <x v="289"/>
    <s v="Toko G - Yogyakarta"/>
    <x v="1"/>
    <n v="197122"/>
    <n v="19"/>
  </r>
  <r>
    <x v="1544"/>
    <s v="M0113"/>
    <x v="332"/>
    <s v="Toko H - Denpasar"/>
    <x v="5"/>
    <n v="50403"/>
    <n v="5"/>
  </r>
  <r>
    <x v="1545"/>
    <s v="M0140"/>
    <x v="243"/>
    <s v="Toko A - Jakarta"/>
    <x v="2"/>
    <n v="253726"/>
    <n v="25"/>
  </r>
  <r>
    <x v="1546"/>
    <s v="M0282"/>
    <x v="258"/>
    <s v="Toko E - Semarang"/>
    <x v="4"/>
    <n v="52502"/>
    <n v="5"/>
  </r>
  <r>
    <x v="1547"/>
    <s v="M0104"/>
    <x v="138"/>
    <s v="Toko D - Medan"/>
    <x v="0"/>
    <n v="179697"/>
    <n v="17"/>
  </r>
  <r>
    <x v="1548"/>
    <s v="M0246"/>
    <x v="314"/>
    <s v="Toko A - Jakarta"/>
    <x v="4"/>
    <n v="237681"/>
    <n v="23"/>
  </r>
  <r>
    <x v="1549"/>
    <s v="M0211"/>
    <x v="193"/>
    <s v="Toko G - Yogyakarta"/>
    <x v="1"/>
    <n v="333143"/>
    <n v="33"/>
  </r>
  <r>
    <x v="1550"/>
    <s v="M0241"/>
    <x v="73"/>
    <s v="Toko C - Surabaya"/>
    <x v="5"/>
    <n v="96677"/>
    <n v="9"/>
  </r>
  <r>
    <x v="1551"/>
    <s v="M0128"/>
    <x v="96"/>
    <s v="Toko A - Jakarta"/>
    <x v="5"/>
    <n v="304369"/>
    <n v="30"/>
  </r>
  <r>
    <x v="1552"/>
    <s v="M0222"/>
    <x v="274"/>
    <s v="Toko C - Surabaya"/>
    <x v="1"/>
    <n v="206666"/>
    <n v="20"/>
  </r>
  <r>
    <x v="1553"/>
    <s v="M0246"/>
    <x v="149"/>
    <s v="Toko F - Makassar"/>
    <x v="1"/>
    <n v="133852"/>
    <n v="13"/>
  </r>
  <r>
    <x v="1554"/>
    <s v="M0091"/>
    <x v="28"/>
    <s v="Toko A - Jakarta"/>
    <x v="2"/>
    <n v="357639"/>
    <n v="35"/>
  </r>
  <r>
    <x v="1555"/>
    <s v="M0294"/>
    <x v="110"/>
    <s v="Toko H - Denpasar"/>
    <x v="2"/>
    <n v="406213"/>
    <n v="40"/>
  </r>
  <r>
    <x v="1556"/>
    <s v="M0092"/>
    <x v="75"/>
    <s v="Toko G - Yogyakarta"/>
    <x v="2"/>
    <n v="79963"/>
    <n v="7"/>
  </r>
  <r>
    <x v="1557"/>
    <s v="M0232"/>
    <x v="255"/>
    <s v="Toko A - Jakarta"/>
    <x v="3"/>
    <n v="289797"/>
    <n v="28"/>
  </r>
  <r>
    <x v="1558"/>
    <s v="M0064"/>
    <x v="66"/>
    <s v="Toko H - Denpasar"/>
    <x v="0"/>
    <n v="522464"/>
    <n v="52"/>
  </r>
  <r>
    <x v="1559"/>
    <s v="M0107"/>
    <x v="4"/>
    <s v="Toko H - Denpasar"/>
    <x v="1"/>
    <n v="532344"/>
    <n v="53"/>
  </r>
  <r>
    <x v="1560"/>
    <s v="M0167"/>
    <x v="81"/>
    <s v="Toko E - Semarang"/>
    <x v="4"/>
    <n v="353392"/>
    <n v="35"/>
  </r>
  <r>
    <x v="1561"/>
    <s v="M0098"/>
    <x v="296"/>
    <s v="Toko F - Makassar"/>
    <x v="5"/>
    <n v="100370"/>
    <n v="10"/>
  </r>
  <r>
    <x v="1562"/>
    <s v="M0014"/>
    <x v="39"/>
    <s v="Toko H - Denpasar"/>
    <x v="1"/>
    <n v="108588"/>
    <n v="10"/>
  </r>
  <r>
    <x v="1563"/>
    <s v="M0093"/>
    <x v="345"/>
    <s v="Toko G - Yogyakarta"/>
    <x v="1"/>
    <n v="63643"/>
    <n v="6"/>
  </r>
  <r>
    <x v="1564"/>
    <s v="M0114"/>
    <x v="298"/>
    <s v="Toko C - Surabaya"/>
    <x v="5"/>
    <n v="167637"/>
    <n v="16"/>
  </r>
  <r>
    <x v="1565"/>
    <s v="M0216"/>
    <x v="60"/>
    <s v="Toko F - Makassar"/>
    <x v="1"/>
    <n v="86466"/>
    <n v="8"/>
  </r>
  <r>
    <x v="1566"/>
    <s v="M0234"/>
    <x v="149"/>
    <s v="Toko F - Makassar"/>
    <x v="1"/>
    <n v="701076"/>
    <n v="70"/>
  </r>
  <r>
    <x v="1567"/>
    <s v="M0132"/>
    <x v="132"/>
    <s v="Toko E - Semarang"/>
    <x v="2"/>
    <n v="434796"/>
    <n v="43"/>
  </r>
  <r>
    <x v="1568"/>
    <s v="M0116"/>
    <x v="90"/>
    <s v="Toko E - Semarang"/>
    <x v="2"/>
    <n v="488647"/>
    <n v="48"/>
  </r>
  <r>
    <x v="1569"/>
    <s v="M0280"/>
    <x v="60"/>
    <s v="Toko D - Medan"/>
    <x v="5"/>
    <n v="237974"/>
    <n v="23"/>
  </r>
  <r>
    <x v="1570"/>
    <s v="M0081"/>
    <x v="263"/>
    <s v="Toko F - Makassar"/>
    <x v="3"/>
    <n v="193597"/>
    <n v="19"/>
  </r>
  <r>
    <x v="1571"/>
    <s v="M0192"/>
    <x v="192"/>
    <s v="Toko D - Medan"/>
    <x v="0"/>
    <n v="91276"/>
    <n v="9"/>
  </r>
  <r>
    <x v="1572"/>
    <s v="M0113"/>
    <x v="35"/>
    <s v="Toko F - Makassar"/>
    <x v="1"/>
    <n v="258538"/>
    <n v="25"/>
  </r>
  <r>
    <x v="1573"/>
    <s v="M0241"/>
    <x v="198"/>
    <s v="Toko B - Bandung"/>
    <x v="4"/>
    <n v="153414"/>
    <n v="15"/>
  </r>
  <r>
    <x v="1574"/>
    <s v="M0003"/>
    <x v="213"/>
    <s v="Toko G - Yogyakarta"/>
    <x v="5"/>
    <n v="156455"/>
    <n v="15"/>
  </r>
  <r>
    <x v="1575"/>
    <s v="M0174"/>
    <x v="197"/>
    <s v="Toko C - Surabaya"/>
    <x v="1"/>
    <n v="403042"/>
    <n v="40"/>
  </r>
  <r>
    <x v="1576"/>
    <s v="M0002"/>
    <x v="155"/>
    <s v="Toko E - Semarang"/>
    <x v="2"/>
    <n v="308457"/>
    <n v="30"/>
  </r>
  <r>
    <x v="1577"/>
    <s v="M0276"/>
    <x v="143"/>
    <s v="Toko F - Makassar"/>
    <x v="2"/>
    <n v="132944"/>
    <n v="13"/>
  </r>
  <r>
    <x v="1578"/>
    <s v="M0013"/>
    <x v="261"/>
    <s v="Toko B - Bandung"/>
    <x v="1"/>
    <n v="899055"/>
    <n v="89"/>
  </r>
  <r>
    <x v="1579"/>
    <s v="M0002"/>
    <x v="178"/>
    <s v="Toko G - Yogyakarta"/>
    <x v="4"/>
    <n v="104030"/>
    <n v="10"/>
  </r>
  <r>
    <x v="1580"/>
    <s v="M0094"/>
    <x v="49"/>
    <s v="Toko F - Makassar"/>
    <x v="4"/>
    <n v="249347"/>
    <n v="24"/>
  </r>
  <r>
    <x v="1581"/>
    <s v="M0008"/>
    <x v="201"/>
    <s v="Toko E - Semarang"/>
    <x v="5"/>
    <n v="246432"/>
    <n v="24"/>
  </r>
  <r>
    <x v="1582"/>
    <s v="M0030"/>
    <x v="359"/>
    <s v="Toko C - Surabaya"/>
    <x v="3"/>
    <n v="171178"/>
    <n v="17"/>
  </r>
  <r>
    <x v="1583"/>
    <s v="M0265"/>
    <x v="179"/>
    <s v="Toko A - Jakarta"/>
    <x v="3"/>
    <n v="369232"/>
    <n v="36"/>
  </r>
  <r>
    <x v="1584"/>
    <s v="M0143"/>
    <x v="135"/>
    <s v="Toko A - Jakarta"/>
    <x v="3"/>
    <n v="177051"/>
    <n v="17"/>
  </r>
  <r>
    <x v="1585"/>
    <s v="M0280"/>
    <x v="206"/>
    <s v="Toko H - Denpasar"/>
    <x v="3"/>
    <n v="334745"/>
    <n v="33"/>
  </r>
  <r>
    <x v="1586"/>
    <s v="M0145"/>
    <x v="39"/>
    <s v="Toko B - Bandung"/>
    <x v="1"/>
    <n v="140651"/>
    <n v="14"/>
  </r>
  <r>
    <x v="1587"/>
    <s v="M0210"/>
    <x v="37"/>
    <s v="Toko C - Surabaya"/>
    <x v="1"/>
    <n v="724772"/>
    <n v="72"/>
  </r>
  <r>
    <x v="1588"/>
    <s v="M0154"/>
    <x v="125"/>
    <s v="Toko E - Semarang"/>
    <x v="0"/>
    <n v="240696"/>
    <n v="24"/>
  </r>
  <r>
    <x v="1589"/>
    <s v="M0253"/>
    <x v="219"/>
    <s v="Toko D - Medan"/>
    <x v="0"/>
    <n v="352882"/>
    <n v="35"/>
  </r>
  <r>
    <x v="1590"/>
    <s v="M0167"/>
    <x v="204"/>
    <s v="Toko B - Bandung"/>
    <x v="5"/>
    <n v="197099"/>
    <n v="19"/>
  </r>
  <r>
    <x v="1591"/>
    <s v="M0151"/>
    <x v="242"/>
    <s v="Toko A - Jakarta"/>
    <x v="2"/>
    <n v="565792"/>
    <n v="56"/>
  </r>
  <r>
    <x v="1592"/>
    <s v="M0140"/>
    <x v="158"/>
    <s v="Toko A - Jakarta"/>
    <x v="0"/>
    <n v="423576"/>
    <n v="42"/>
  </r>
  <r>
    <x v="1593"/>
    <s v="M0201"/>
    <x v="157"/>
    <s v="Toko A - Jakarta"/>
    <x v="4"/>
    <n v="604654"/>
    <n v="60"/>
  </r>
  <r>
    <x v="1594"/>
    <s v="M0283"/>
    <x v="338"/>
    <s v="Toko H - Denpasar"/>
    <x v="2"/>
    <n v="235154"/>
    <n v="23"/>
  </r>
  <r>
    <x v="1595"/>
    <s v="M0163"/>
    <x v="321"/>
    <s v="Toko H - Denpasar"/>
    <x v="1"/>
    <n v="128986"/>
    <n v="12"/>
  </r>
  <r>
    <x v="1596"/>
    <s v="M0055"/>
    <x v="359"/>
    <s v="Toko G - Yogyakarta"/>
    <x v="2"/>
    <n v="387162"/>
    <n v="38"/>
  </r>
  <r>
    <x v="1597"/>
    <s v="M0149"/>
    <x v="143"/>
    <s v="Toko E - Semarang"/>
    <x v="1"/>
    <n v="216175"/>
    <n v="21"/>
  </r>
  <r>
    <x v="1598"/>
    <s v="M0039"/>
    <x v="123"/>
    <s v="Toko C - Surabaya"/>
    <x v="0"/>
    <n v="53483"/>
    <n v="5"/>
  </r>
  <r>
    <x v="1599"/>
    <s v="M0227"/>
    <x v="99"/>
    <s v="Toko E - Semarang"/>
    <x v="3"/>
    <n v="448992"/>
    <n v="44"/>
  </r>
  <r>
    <x v="1600"/>
    <s v="M0278"/>
    <x v="236"/>
    <s v="Toko E - Semarang"/>
    <x v="0"/>
    <n v="135919"/>
    <n v="13"/>
  </r>
  <r>
    <x v="1601"/>
    <s v="M0128"/>
    <x v="105"/>
    <s v="Toko G - Yogyakarta"/>
    <x v="3"/>
    <n v="290189"/>
    <n v="29"/>
  </r>
  <r>
    <x v="1602"/>
    <s v="M0192"/>
    <x v="170"/>
    <s v="Toko D - Medan"/>
    <x v="5"/>
    <n v="25000"/>
    <n v="2"/>
  </r>
  <r>
    <x v="1603"/>
    <s v="M0147"/>
    <x v="229"/>
    <s v="Toko F - Makassar"/>
    <x v="5"/>
    <n v="140406"/>
    <n v="14"/>
  </r>
  <r>
    <x v="1604"/>
    <s v="M0253"/>
    <x v="280"/>
    <s v="Toko F - Makassar"/>
    <x v="0"/>
    <n v="402074"/>
    <n v="40"/>
  </r>
  <r>
    <x v="1605"/>
    <s v="M0137"/>
    <x v="190"/>
    <s v="Toko A - Jakarta"/>
    <x v="5"/>
    <n v="542163"/>
    <n v="54"/>
  </r>
  <r>
    <x v="1606"/>
    <s v="M0073"/>
    <x v="239"/>
    <s v="Toko G - Yogyakarta"/>
    <x v="2"/>
    <n v="87233"/>
    <n v="8"/>
  </r>
  <r>
    <x v="1607"/>
    <s v="M0041"/>
    <x v="336"/>
    <s v="Toko B - Bandung"/>
    <x v="3"/>
    <n v="216037"/>
    <n v="21"/>
  </r>
  <r>
    <x v="1608"/>
    <s v="M0105"/>
    <x v="239"/>
    <s v="Toko G - Yogyakarta"/>
    <x v="0"/>
    <n v="203140"/>
    <n v="20"/>
  </r>
  <r>
    <x v="1609"/>
    <s v="M0049"/>
    <x v="31"/>
    <s v="Toko G - Yogyakarta"/>
    <x v="3"/>
    <n v="493161"/>
    <n v="49"/>
  </r>
  <r>
    <x v="1610"/>
    <s v="M0258"/>
    <x v="118"/>
    <s v="Toko C - Surabaya"/>
    <x v="4"/>
    <n v="226797"/>
    <n v="22"/>
  </r>
  <r>
    <x v="1611"/>
    <s v="M0201"/>
    <x v="108"/>
    <s v="Toko E - Semarang"/>
    <x v="0"/>
    <n v="153160"/>
    <n v="15"/>
  </r>
  <r>
    <x v="1612"/>
    <s v="M0122"/>
    <x v="360"/>
    <s v="Toko B - Bandung"/>
    <x v="1"/>
    <n v="390717"/>
    <n v="39"/>
  </r>
  <r>
    <x v="1613"/>
    <s v="M0262"/>
    <x v="289"/>
    <s v="Toko C - Surabaya"/>
    <x v="1"/>
    <n v="92019"/>
    <n v="9"/>
  </r>
  <r>
    <x v="1614"/>
    <s v="M0027"/>
    <x v="155"/>
    <s v="Toko E - Semarang"/>
    <x v="3"/>
    <n v="334429"/>
    <n v="33"/>
  </r>
  <r>
    <x v="1615"/>
    <s v="M0105"/>
    <x v="153"/>
    <s v="Toko G - Yogyakarta"/>
    <x v="0"/>
    <n v="450673"/>
    <n v="45"/>
  </r>
  <r>
    <x v="1616"/>
    <s v="M0121"/>
    <x v="87"/>
    <s v="Toko D - Medan"/>
    <x v="3"/>
    <n v="360071"/>
    <n v="36"/>
  </r>
  <r>
    <x v="1617"/>
    <s v="M0246"/>
    <x v="74"/>
    <s v="Toko C - Surabaya"/>
    <x v="3"/>
    <n v="459826"/>
    <n v="45"/>
  </r>
  <r>
    <x v="1618"/>
    <s v="M0098"/>
    <x v="6"/>
    <s v="Toko E - Semarang"/>
    <x v="2"/>
    <n v="53074"/>
    <n v="5"/>
  </r>
  <r>
    <x v="1619"/>
    <s v="M0126"/>
    <x v="144"/>
    <s v="Toko H - Denpasar"/>
    <x v="5"/>
    <n v="33372"/>
    <n v="3"/>
  </r>
  <r>
    <x v="1620"/>
    <s v="M0262"/>
    <x v="135"/>
    <s v="Toko C - Surabaya"/>
    <x v="5"/>
    <n v="225650"/>
    <n v="22"/>
  </r>
  <r>
    <x v="1621"/>
    <s v="M0143"/>
    <x v="343"/>
    <s v="Toko E - Semarang"/>
    <x v="5"/>
    <n v="290539"/>
    <n v="29"/>
  </r>
  <r>
    <x v="1622"/>
    <s v="M0007"/>
    <x v="127"/>
    <s v="Toko G - Yogyakarta"/>
    <x v="2"/>
    <n v="169427"/>
    <n v="16"/>
  </r>
  <r>
    <x v="1623"/>
    <s v="M0214"/>
    <x v="58"/>
    <s v="Toko A - Jakarta"/>
    <x v="1"/>
    <n v="135893"/>
    <n v="13"/>
  </r>
  <r>
    <x v="1624"/>
    <s v="M0105"/>
    <x v="208"/>
    <s v="Toko D - Medan"/>
    <x v="2"/>
    <n v="245597"/>
    <n v="24"/>
  </r>
  <r>
    <x v="1625"/>
    <s v="M0234"/>
    <x v="276"/>
    <s v="Toko F - Makassar"/>
    <x v="5"/>
    <n v="895526"/>
    <n v="89"/>
  </r>
  <r>
    <x v="1626"/>
    <s v="M0297"/>
    <x v="55"/>
    <s v="Toko B - Bandung"/>
    <x v="5"/>
    <n v="522899"/>
    <n v="52"/>
  </r>
  <r>
    <x v="1627"/>
    <s v="M0150"/>
    <x v="244"/>
    <s v="Toko D - Medan"/>
    <x v="3"/>
    <n v="402399"/>
    <n v="40"/>
  </r>
  <r>
    <x v="1628"/>
    <s v="M0018"/>
    <x v="153"/>
    <s v="Toko C - Surabaya"/>
    <x v="2"/>
    <n v="106858"/>
    <n v="10"/>
  </r>
  <r>
    <x v="1629"/>
    <s v="M0277"/>
    <x v="227"/>
    <s v="Toko B - Bandung"/>
    <x v="2"/>
    <n v="720402"/>
    <n v="72"/>
  </r>
  <r>
    <x v="1630"/>
    <s v="M0276"/>
    <x v="35"/>
    <s v="Toko D - Medan"/>
    <x v="2"/>
    <n v="321322"/>
    <n v="32"/>
  </r>
  <r>
    <x v="1631"/>
    <s v="M0237"/>
    <x v="168"/>
    <s v="Toko B - Bandung"/>
    <x v="1"/>
    <n v="546536"/>
    <n v="54"/>
  </r>
  <r>
    <x v="1632"/>
    <s v="M0177"/>
    <x v="52"/>
    <s v="Toko H - Denpasar"/>
    <x v="5"/>
    <n v="143791"/>
    <n v="14"/>
  </r>
  <r>
    <x v="1633"/>
    <s v="M0028"/>
    <x v="55"/>
    <s v="Toko D - Medan"/>
    <x v="3"/>
    <n v="447464"/>
    <n v="44"/>
  </r>
  <r>
    <x v="1634"/>
    <s v="M0089"/>
    <x v="337"/>
    <s v="Toko G - Yogyakarta"/>
    <x v="1"/>
    <n v="185718"/>
    <n v="18"/>
  </r>
  <r>
    <x v="1635"/>
    <s v="M0201"/>
    <x v="108"/>
    <s v="Toko A - Jakarta"/>
    <x v="2"/>
    <n v="178154"/>
    <n v="17"/>
  </r>
  <r>
    <x v="1636"/>
    <s v="M0003"/>
    <x v="22"/>
    <s v="Toko B - Bandung"/>
    <x v="1"/>
    <n v="152356"/>
    <n v="15"/>
  </r>
  <r>
    <x v="1637"/>
    <s v="M0255"/>
    <x v="259"/>
    <s v="Toko B - Bandung"/>
    <x v="0"/>
    <n v="293361"/>
    <n v="29"/>
  </r>
  <r>
    <x v="1638"/>
    <s v="M0105"/>
    <x v="218"/>
    <s v="Toko A - Jakarta"/>
    <x v="3"/>
    <n v="181551"/>
    <n v="18"/>
  </r>
  <r>
    <x v="1639"/>
    <s v="M0006"/>
    <x v="21"/>
    <s v="Toko C - Surabaya"/>
    <x v="4"/>
    <n v="338792"/>
    <n v="33"/>
  </r>
  <r>
    <x v="1640"/>
    <s v="M0121"/>
    <x v="223"/>
    <s v="Toko G - Yogyakarta"/>
    <x v="4"/>
    <n v="853308"/>
    <n v="85"/>
  </r>
  <r>
    <x v="1641"/>
    <s v="M0233"/>
    <x v="359"/>
    <s v="Toko E - Semarang"/>
    <x v="3"/>
    <n v="160457"/>
    <n v="16"/>
  </r>
  <r>
    <x v="1642"/>
    <s v="M0052"/>
    <x v="103"/>
    <s v="Toko H - Denpasar"/>
    <x v="3"/>
    <n v="217275"/>
    <n v="21"/>
  </r>
  <r>
    <x v="1643"/>
    <s v="M0138"/>
    <x v="3"/>
    <s v="Toko B - Bandung"/>
    <x v="4"/>
    <n v="120641"/>
    <n v="12"/>
  </r>
  <r>
    <x v="1644"/>
    <s v="M0267"/>
    <x v="205"/>
    <s v="Toko B - Bandung"/>
    <x v="0"/>
    <n v="127997"/>
    <n v="12"/>
  </r>
  <r>
    <x v="1645"/>
    <s v="M0206"/>
    <x v="155"/>
    <s v="Toko G - Yogyakarta"/>
    <x v="0"/>
    <n v="278177"/>
    <n v="27"/>
  </r>
  <r>
    <x v="1646"/>
    <s v="M0220"/>
    <x v="201"/>
    <s v="Toko E - Semarang"/>
    <x v="1"/>
    <n v="27122"/>
    <n v="2"/>
  </r>
  <r>
    <x v="1647"/>
    <s v="M0008"/>
    <x v="147"/>
    <s v="Toko B - Bandung"/>
    <x v="1"/>
    <n v="220289"/>
    <n v="22"/>
  </r>
  <r>
    <x v="1648"/>
    <s v="M0179"/>
    <x v="203"/>
    <s v="Toko A - Jakarta"/>
    <x v="2"/>
    <n v="452843"/>
    <n v="45"/>
  </r>
  <r>
    <x v="1649"/>
    <s v="M0044"/>
    <x v="341"/>
    <s v="Toko C - Surabaya"/>
    <x v="0"/>
    <n v="104640"/>
    <n v="10"/>
  </r>
  <r>
    <x v="1650"/>
    <s v="M0003"/>
    <x v="196"/>
    <s v="Toko F - Makassar"/>
    <x v="5"/>
    <n v="254089"/>
    <n v="25"/>
  </r>
  <r>
    <x v="1651"/>
    <s v="M0120"/>
    <x v="12"/>
    <s v="Toko B - Bandung"/>
    <x v="3"/>
    <n v="410708"/>
    <n v="41"/>
  </r>
  <r>
    <x v="1652"/>
    <s v="M0041"/>
    <x v="323"/>
    <s v="Toko G - Yogyakarta"/>
    <x v="4"/>
    <n v="159366"/>
    <n v="15"/>
  </r>
  <r>
    <x v="1653"/>
    <s v="M0288"/>
    <x v="306"/>
    <s v="Toko A - Jakarta"/>
    <x v="1"/>
    <n v="327313"/>
    <n v="32"/>
  </r>
  <r>
    <x v="1654"/>
    <s v="M0296"/>
    <x v="336"/>
    <s v="Toko C - Surabaya"/>
    <x v="0"/>
    <n v="285694"/>
    <n v="28"/>
  </r>
  <r>
    <x v="1655"/>
    <s v="M0035"/>
    <x v="194"/>
    <s v="Toko D - Medan"/>
    <x v="5"/>
    <n v="527389"/>
    <n v="52"/>
  </r>
  <r>
    <x v="1656"/>
    <s v="M0113"/>
    <x v="340"/>
    <s v="Toko C - Surabaya"/>
    <x v="2"/>
    <n v="60643"/>
    <n v="6"/>
  </r>
  <r>
    <x v="1657"/>
    <s v="M0055"/>
    <x v="12"/>
    <s v="Toko E - Semarang"/>
    <x v="4"/>
    <n v="946459"/>
    <n v="94"/>
  </r>
  <r>
    <x v="1658"/>
    <s v="M0248"/>
    <x v="117"/>
    <s v="Toko C - Surabaya"/>
    <x v="0"/>
    <n v="515747"/>
    <n v="51"/>
  </r>
  <r>
    <x v="1659"/>
    <s v="M0052"/>
    <x v="124"/>
    <s v="Toko E - Semarang"/>
    <x v="0"/>
    <n v="1128043"/>
    <n v="112"/>
  </r>
  <r>
    <x v="1660"/>
    <s v="M0248"/>
    <x v="226"/>
    <s v="Toko D - Medan"/>
    <x v="5"/>
    <n v="304858"/>
    <n v="30"/>
  </r>
  <r>
    <x v="1661"/>
    <s v="M0186"/>
    <x v="314"/>
    <s v="Toko E - Semarang"/>
    <x v="2"/>
    <n v="695083"/>
    <n v="69"/>
  </r>
  <r>
    <x v="1662"/>
    <s v="M0121"/>
    <x v="334"/>
    <s v="Toko F - Makassar"/>
    <x v="5"/>
    <n v="29223"/>
    <n v="2"/>
  </r>
  <r>
    <x v="1663"/>
    <s v="M0129"/>
    <x v="134"/>
    <s v="Toko F - Makassar"/>
    <x v="1"/>
    <n v="649938"/>
    <n v="64"/>
  </r>
  <r>
    <x v="1664"/>
    <s v="M0102"/>
    <x v="266"/>
    <s v="Toko B - Bandung"/>
    <x v="0"/>
    <n v="272582"/>
    <n v="27"/>
  </r>
  <r>
    <x v="1665"/>
    <s v="M0230"/>
    <x v="242"/>
    <s v="Toko H - Denpasar"/>
    <x v="5"/>
    <n v="558680"/>
    <n v="55"/>
  </r>
  <r>
    <x v="1666"/>
    <s v="M0008"/>
    <x v="18"/>
    <s v="Toko C - Surabaya"/>
    <x v="2"/>
    <n v="210902"/>
    <n v="21"/>
  </r>
  <r>
    <x v="1667"/>
    <s v="M0157"/>
    <x v="158"/>
    <s v="Toko B - Bandung"/>
    <x v="5"/>
    <n v="442343"/>
    <n v="44"/>
  </r>
  <r>
    <x v="1668"/>
    <s v="M0136"/>
    <x v="251"/>
    <s v="Toko C - Surabaya"/>
    <x v="2"/>
    <n v="230533"/>
    <n v="23"/>
  </r>
  <r>
    <x v="1669"/>
    <s v="M0113"/>
    <x v="301"/>
    <s v="Toko F - Makassar"/>
    <x v="5"/>
    <n v="272942"/>
    <n v="27"/>
  </r>
  <r>
    <x v="1670"/>
    <s v="M0224"/>
    <x v="191"/>
    <s v="Toko B - Bandung"/>
    <x v="0"/>
    <n v="111231"/>
    <n v="11"/>
  </r>
  <r>
    <x v="1671"/>
    <s v="M0002"/>
    <x v="143"/>
    <s v="Toko G - Yogyakarta"/>
    <x v="3"/>
    <n v="78745"/>
    <n v="7"/>
  </r>
  <r>
    <x v="1672"/>
    <s v="M0044"/>
    <x v="46"/>
    <s v="Toko F - Makassar"/>
    <x v="3"/>
    <n v="287528"/>
    <n v="28"/>
  </r>
  <r>
    <x v="1673"/>
    <s v="M0220"/>
    <x v="300"/>
    <s v="Toko C - Surabaya"/>
    <x v="1"/>
    <n v="832872"/>
    <n v="83"/>
  </r>
  <r>
    <x v="1674"/>
    <s v="M0013"/>
    <x v="57"/>
    <s v="Toko C - Surabaya"/>
    <x v="0"/>
    <n v="416284"/>
    <n v="41"/>
  </r>
  <r>
    <x v="1675"/>
    <s v="M0036"/>
    <x v="115"/>
    <s v="Toko B - Bandung"/>
    <x v="0"/>
    <n v="577265"/>
    <n v="57"/>
  </r>
  <r>
    <x v="1676"/>
    <s v="M0191"/>
    <x v="311"/>
    <s v="Toko H - Denpasar"/>
    <x v="5"/>
    <n v="56301"/>
    <n v="5"/>
  </r>
  <r>
    <x v="1677"/>
    <s v="M0129"/>
    <x v="213"/>
    <s v="Toko E - Semarang"/>
    <x v="1"/>
    <n v="80289"/>
    <n v="8"/>
  </r>
  <r>
    <x v="1678"/>
    <s v="M0154"/>
    <x v="114"/>
    <s v="Toko B - Bandung"/>
    <x v="4"/>
    <n v="534816"/>
    <n v="53"/>
  </r>
  <r>
    <x v="1679"/>
    <s v="M0126"/>
    <x v="191"/>
    <s v="Toko E - Semarang"/>
    <x v="4"/>
    <n v="400625"/>
    <n v="40"/>
  </r>
  <r>
    <x v="1680"/>
    <s v="M0056"/>
    <x v="172"/>
    <s v="Toko D - Medan"/>
    <x v="2"/>
    <n v="413966"/>
    <n v="41"/>
  </r>
  <r>
    <x v="1681"/>
    <s v="M0265"/>
    <x v="86"/>
    <s v="Toko H - Denpasar"/>
    <x v="1"/>
    <n v="430396"/>
    <n v="43"/>
  </r>
  <r>
    <x v="1682"/>
    <s v="M0246"/>
    <x v="195"/>
    <s v="Toko H - Denpasar"/>
    <x v="1"/>
    <n v="90370"/>
    <n v="9"/>
  </r>
  <r>
    <x v="1683"/>
    <s v="M0013"/>
    <x v="103"/>
    <s v="Toko E - Semarang"/>
    <x v="1"/>
    <n v="43948"/>
    <n v="4"/>
  </r>
  <r>
    <x v="1684"/>
    <s v="M0288"/>
    <x v="187"/>
    <s v="Toko G - Yogyakarta"/>
    <x v="0"/>
    <n v="58669"/>
    <n v="5"/>
  </r>
  <r>
    <x v="1685"/>
    <s v="M0267"/>
    <x v="80"/>
    <s v="Toko B - Bandung"/>
    <x v="0"/>
    <n v="103655"/>
    <n v="10"/>
  </r>
  <r>
    <x v="1686"/>
    <s v="M0037"/>
    <x v="233"/>
    <s v="Toko G - Yogyakarta"/>
    <x v="0"/>
    <n v="64491"/>
    <n v="6"/>
  </r>
  <r>
    <x v="1687"/>
    <s v="M0199"/>
    <x v="221"/>
    <s v="Toko A - Jakarta"/>
    <x v="5"/>
    <n v="290723"/>
    <n v="29"/>
  </r>
  <r>
    <x v="1688"/>
    <s v="M0090"/>
    <x v="195"/>
    <s v="Toko H - Denpasar"/>
    <x v="3"/>
    <n v="97346"/>
    <n v="9"/>
  </r>
  <r>
    <x v="1689"/>
    <s v="M0098"/>
    <x v="262"/>
    <s v="Toko G - Yogyakarta"/>
    <x v="5"/>
    <n v="123631"/>
    <n v="12"/>
  </r>
  <r>
    <x v="1690"/>
    <s v="M0253"/>
    <x v="67"/>
    <s v="Toko H - Denpasar"/>
    <x v="5"/>
    <n v="157823"/>
    <n v="15"/>
  </r>
  <r>
    <x v="1691"/>
    <s v="M0182"/>
    <x v="115"/>
    <s v="Toko E - Semarang"/>
    <x v="2"/>
    <n v="195952"/>
    <n v="19"/>
  </r>
  <r>
    <x v="1692"/>
    <s v="M0012"/>
    <x v="342"/>
    <s v="Toko A - Jakarta"/>
    <x v="0"/>
    <n v="169706"/>
    <n v="16"/>
  </r>
  <r>
    <x v="1693"/>
    <s v="M0187"/>
    <x v="89"/>
    <s v="Toko A - Jakarta"/>
    <x v="1"/>
    <n v="203600"/>
    <n v="20"/>
  </r>
  <r>
    <x v="1694"/>
    <s v="M0013"/>
    <x v="260"/>
    <s v="Toko E - Semarang"/>
    <x v="5"/>
    <n v="716588"/>
    <n v="71"/>
  </r>
  <r>
    <x v="1695"/>
    <s v="M0185"/>
    <x v="79"/>
    <s v="Toko H - Denpasar"/>
    <x v="5"/>
    <n v="250716"/>
    <n v="25"/>
  </r>
  <r>
    <x v="1696"/>
    <s v="M0039"/>
    <x v="178"/>
    <s v="Toko E - Semarang"/>
    <x v="1"/>
    <n v="357245"/>
    <n v="35"/>
  </r>
  <r>
    <x v="1697"/>
    <s v="M0061"/>
    <x v="294"/>
    <s v="Toko C - Surabaya"/>
    <x v="0"/>
    <n v="139824"/>
    <n v="13"/>
  </r>
  <r>
    <x v="1698"/>
    <s v="M0081"/>
    <x v="96"/>
    <s v="Toko B - Bandung"/>
    <x v="4"/>
    <n v="361838"/>
    <n v="36"/>
  </r>
  <r>
    <x v="1699"/>
    <s v="M0299"/>
    <x v="354"/>
    <s v="Toko A - Jakarta"/>
    <x v="3"/>
    <n v="129648"/>
    <n v="12"/>
  </r>
  <r>
    <x v="1700"/>
    <s v="M0289"/>
    <x v="117"/>
    <s v="Toko E - Semarang"/>
    <x v="5"/>
    <n v="103691"/>
    <n v="10"/>
  </r>
  <r>
    <x v="1701"/>
    <s v="M0014"/>
    <x v="251"/>
    <s v="Toko B - Bandung"/>
    <x v="4"/>
    <n v="25329"/>
    <n v="2"/>
  </r>
  <r>
    <x v="1702"/>
    <s v="M0187"/>
    <x v="41"/>
    <s v="Toko C - Surabaya"/>
    <x v="3"/>
    <n v="383836"/>
    <n v="38"/>
  </r>
  <r>
    <x v="1703"/>
    <s v="M0017"/>
    <x v="61"/>
    <s v="Toko D - Medan"/>
    <x v="2"/>
    <n v="228872"/>
    <n v="22"/>
  </r>
  <r>
    <x v="1704"/>
    <s v="M0246"/>
    <x v="87"/>
    <s v="Toko C - Surabaya"/>
    <x v="5"/>
    <n v="121775"/>
    <n v="12"/>
  </r>
  <r>
    <x v="1705"/>
    <s v="M0039"/>
    <x v="86"/>
    <s v="Toko D - Medan"/>
    <x v="4"/>
    <n v="161822"/>
    <n v="16"/>
  </r>
  <r>
    <x v="1706"/>
    <s v="M0262"/>
    <x v="346"/>
    <s v="Toko H - Denpasar"/>
    <x v="1"/>
    <n v="498452"/>
    <n v="49"/>
  </r>
  <r>
    <x v="1707"/>
    <s v="M0173"/>
    <x v="115"/>
    <s v="Toko A - Jakarta"/>
    <x v="5"/>
    <n v="587060"/>
    <n v="58"/>
  </r>
  <r>
    <x v="1708"/>
    <s v="M0037"/>
    <x v="285"/>
    <s v="Toko C - Surabaya"/>
    <x v="5"/>
    <n v="25079"/>
    <n v="2"/>
  </r>
  <r>
    <x v="1709"/>
    <s v="M0227"/>
    <x v="344"/>
    <s v="Toko B - Bandung"/>
    <x v="5"/>
    <n v="99263"/>
    <n v="9"/>
  </r>
  <r>
    <x v="1710"/>
    <s v="M0102"/>
    <x v="359"/>
    <s v="Toko B - Bandung"/>
    <x v="3"/>
    <n v="816514"/>
    <n v="81"/>
  </r>
  <r>
    <x v="1711"/>
    <s v="M0077"/>
    <x v="63"/>
    <s v="Toko G - Yogyakarta"/>
    <x v="1"/>
    <n v="393909"/>
    <n v="39"/>
  </r>
  <r>
    <x v="1712"/>
    <s v="M0141"/>
    <x v="361"/>
    <s v="Toko D - Medan"/>
    <x v="4"/>
    <n v="70741"/>
    <n v="7"/>
  </r>
  <r>
    <x v="1713"/>
    <s v="M0160"/>
    <x v="109"/>
    <s v="Toko G - Yogyakarta"/>
    <x v="5"/>
    <n v="217733"/>
    <n v="21"/>
  </r>
  <r>
    <x v="1714"/>
    <s v="M0236"/>
    <x v="132"/>
    <s v="Toko A - Jakarta"/>
    <x v="0"/>
    <n v="171903"/>
    <n v="17"/>
  </r>
  <r>
    <x v="1715"/>
    <s v="M0081"/>
    <x v="105"/>
    <s v="Toko H - Denpasar"/>
    <x v="3"/>
    <n v="278459"/>
    <n v="27"/>
  </r>
  <r>
    <x v="1716"/>
    <s v="M0249"/>
    <x v="178"/>
    <s v="Toko G - Yogyakarta"/>
    <x v="2"/>
    <n v="229968"/>
    <n v="22"/>
  </r>
  <r>
    <x v="1717"/>
    <s v="M0192"/>
    <x v="295"/>
    <s v="Toko E - Semarang"/>
    <x v="1"/>
    <n v="165177"/>
    <n v="16"/>
  </r>
  <r>
    <x v="1718"/>
    <s v="M0236"/>
    <x v="277"/>
    <s v="Toko H - Denpasar"/>
    <x v="5"/>
    <n v="260256"/>
    <n v="26"/>
  </r>
  <r>
    <x v="1719"/>
    <s v="M0089"/>
    <x v="51"/>
    <s v="Toko E - Semarang"/>
    <x v="4"/>
    <n v="368987"/>
    <n v="36"/>
  </r>
  <r>
    <x v="1720"/>
    <s v="M0224"/>
    <x v="261"/>
    <s v="Toko B - Bandung"/>
    <x v="5"/>
    <n v="551972"/>
    <n v="55"/>
  </r>
  <r>
    <x v="1721"/>
    <s v="M0239"/>
    <x v="197"/>
    <s v="Toko F - Makassar"/>
    <x v="5"/>
    <n v="187096"/>
    <n v="18"/>
  </r>
  <r>
    <x v="1722"/>
    <s v="M0151"/>
    <x v="330"/>
    <s v="Toko E - Semarang"/>
    <x v="2"/>
    <n v="117379"/>
    <n v="11"/>
  </r>
  <r>
    <x v="1723"/>
    <s v="M0148"/>
    <x v="150"/>
    <s v="Toko E - Semarang"/>
    <x v="4"/>
    <n v="631491"/>
    <n v="63"/>
  </r>
  <r>
    <x v="1724"/>
    <s v="M0247"/>
    <x v="200"/>
    <s v="Toko E - Semarang"/>
    <x v="3"/>
    <n v="286225"/>
    <n v="28"/>
  </r>
  <r>
    <x v="1725"/>
    <s v="M0243"/>
    <x v="148"/>
    <s v="Toko E - Semarang"/>
    <x v="1"/>
    <n v="386184"/>
    <n v="38"/>
  </r>
  <r>
    <x v="1726"/>
    <s v="M0029"/>
    <x v="284"/>
    <s v="Toko B - Bandung"/>
    <x v="5"/>
    <n v="543334"/>
    <n v="54"/>
  </r>
  <r>
    <x v="1727"/>
    <s v="M0076"/>
    <x v="17"/>
    <s v="Toko B - Bandung"/>
    <x v="4"/>
    <n v="473329"/>
    <n v="47"/>
  </r>
  <r>
    <x v="1728"/>
    <s v="M0113"/>
    <x v="143"/>
    <s v="Toko A - Jakarta"/>
    <x v="2"/>
    <n v="234249"/>
    <n v="23"/>
  </r>
  <r>
    <x v="1729"/>
    <s v="M0238"/>
    <x v="228"/>
    <s v="Toko H - Denpasar"/>
    <x v="2"/>
    <n v="362708"/>
    <n v="36"/>
  </r>
  <r>
    <x v="1730"/>
    <s v="M0244"/>
    <x v="33"/>
    <s v="Toko H - Denpasar"/>
    <x v="3"/>
    <n v="107701"/>
    <n v="10"/>
  </r>
  <r>
    <x v="1731"/>
    <s v="M0184"/>
    <x v="311"/>
    <s v="Toko F - Makassar"/>
    <x v="3"/>
    <n v="359828"/>
    <n v="35"/>
  </r>
  <r>
    <x v="1732"/>
    <s v="M0116"/>
    <x v="154"/>
    <s v="Toko B - Bandung"/>
    <x v="3"/>
    <n v="342186"/>
    <n v="34"/>
  </r>
  <r>
    <x v="1733"/>
    <s v="M0240"/>
    <x v="330"/>
    <s v="Toko B - Bandung"/>
    <x v="1"/>
    <n v="105750"/>
    <n v="10"/>
  </r>
  <r>
    <x v="1734"/>
    <s v="M0135"/>
    <x v="76"/>
    <s v="Toko A - Jakarta"/>
    <x v="5"/>
    <n v="259984"/>
    <n v="25"/>
  </r>
  <r>
    <x v="1735"/>
    <s v="M0091"/>
    <x v="84"/>
    <s v="Toko H - Denpasar"/>
    <x v="5"/>
    <n v="73572"/>
    <n v="7"/>
  </r>
  <r>
    <x v="1736"/>
    <s v="M0002"/>
    <x v="57"/>
    <s v="Toko D - Medan"/>
    <x v="4"/>
    <n v="584340"/>
    <n v="58"/>
  </r>
  <r>
    <x v="1737"/>
    <s v="M0071"/>
    <x v="221"/>
    <s v="Toko H - Denpasar"/>
    <x v="2"/>
    <n v="239007"/>
    <n v="23"/>
  </r>
  <r>
    <x v="1738"/>
    <s v="M0122"/>
    <x v="196"/>
    <s v="Toko D - Medan"/>
    <x v="1"/>
    <n v="363102"/>
    <n v="36"/>
  </r>
  <r>
    <x v="1739"/>
    <s v="M0141"/>
    <x v="165"/>
    <s v="Toko H - Denpasar"/>
    <x v="0"/>
    <n v="252774"/>
    <n v="25"/>
  </r>
  <r>
    <x v="1740"/>
    <s v="M0243"/>
    <x v="210"/>
    <s v="Toko B - Bandung"/>
    <x v="5"/>
    <n v="180852"/>
    <n v="18"/>
  </r>
  <r>
    <x v="1741"/>
    <s v="M0036"/>
    <x v="167"/>
    <s v="Toko A - Jakarta"/>
    <x v="3"/>
    <n v="223073"/>
    <n v="22"/>
  </r>
  <r>
    <x v="1742"/>
    <s v="M0271"/>
    <x v="45"/>
    <s v="Toko B - Bandung"/>
    <x v="2"/>
    <n v="146379"/>
    <n v="14"/>
  </r>
  <r>
    <x v="1743"/>
    <s v="M0083"/>
    <x v="188"/>
    <s v="Toko F - Makassar"/>
    <x v="5"/>
    <n v="444150"/>
    <n v="44"/>
  </r>
  <r>
    <x v="1744"/>
    <s v="M0114"/>
    <x v="144"/>
    <s v="Toko F - Makassar"/>
    <x v="0"/>
    <n v="362020"/>
    <n v="36"/>
  </r>
  <r>
    <x v="1745"/>
    <s v="M0040"/>
    <x v="12"/>
    <s v="Toko E - Semarang"/>
    <x v="0"/>
    <n v="314468"/>
    <n v="31"/>
  </r>
  <r>
    <x v="1746"/>
    <s v="M0092"/>
    <x v="236"/>
    <s v="Toko D - Medan"/>
    <x v="2"/>
    <n v="331313"/>
    <n v="33"/>
  </r>
  <r>
    <x v="1747"/>
    <s v="M0254"/>
    <x v="207"/>
    <s v="Toko G - Yogyakarta"/>
    <x v="3"/>
    <n v="251529"/>
    <n v="25"/>
  </r>
  <r>
    <x v="1748"/>
    <s v="M0198"/>
    <x v="5"/>
    <s v="Toko H - Denpasar"/>
    <x v="4"/>
    <n v="208130"/>
    <n v="20"/>
  </r>
  <r>
    <x v="1749"/>
    <s v="M0219"/>
    <x v="89"/>
    <s v="Toko D - Medan"/>
    <x v="5"/>
    <n v="46851"/>
    <n v="4"/>
  </r>
  <r>
    <x v="1750"/>
    <s v="M0147"/>
    <x v="61"/>
    <s v="Toko G - Yogyakarta"/>
    <x v="4"/>
    <n v="42599"/>
    <n v="4"/>
  </r>
  <r>
    <x v="1751"/>
    <s v="M0260"/>
    <x v="304"/>
    <s v="Toko D - Medan"/>
    <x v="1"/>
    <n v="447129"/>
    <n v="44"/>
  </r>
  <r>
    <x v="1752"/>
    <s v="M0194"/>
    <x v="284"/>
    <s v="Toko G - Yogyakarta"/>
    <x v="3"/>
    <n v="177754"/>
    <n v="17"/>
  </r>
  <r>
    <x v="1753"/>
    <s v="M0054"/>
    <x v="123"/>
    <s v="Toko H - Denpasar"/>
    <x v="5"/>
    <n v="361661"/>
    <n v="36"/>
  </r>
  <r>
    <x v="1754"/>
    <s v="M0281"/>
    <x v="304"/>
    <s v="Toko H - Denpasar"/>
    <x v="5"/>
    <n v="203572"/>
    <n v="20"/>
  </r>
  <r>
    <x v="1755"/>
    <s v="M0227"/>
    <x v="68"/>
    <s v="Toko H - Denpasar"/>
    <x v="5"/>
    <n v="189623"/>
    <n v="18"/>
  </r>
  <r>
    <x v="1756"/>
    <s v="M0040"/>
    <x v="134"/>
    <s v="Toko A - Jakarta"/>
    <x v="3"/>
    <n v="272778"/>
    <n v="27"/>
  </r>
  <r>
    <x v="1757"/>
    <s v="M0084"/>
    <x v="162"/>
    <s v="Toko C - Surabaya"/>
    <x v="1"/>
    <n v="261131"/>
    <n v="26"/>
  </r>
  <r>
    <x v="1758"/>
    <s v="M0194"/>
    <x v="243"/>
    <s v="Toko A - Jakarta"/>
    <x v="3"/>
    <n v="160001"/>
    <n v="16"/>
  </r>
  <r>
    <x v="1759"/>
    <s v="M0165"/>
    <x v="14"/>
    <s v="Toko F - Makassar"/>
    <x v="1"/>
    <n v="191174"/>
    <n v="19"/>
  </r>
  <r>
    <x v="1760"/>
    <s v="M0204"/>
    <x v="156"/>
    <s v="Toko E - Semarang"/>
    <x v="3"/>
    <n v="152751"/>
    <n v="15"/>
  </r>
  <r>
    <x v="1761"/>
    <s v="M0034"/>
    <x v="187"/>
    <s v="Toko H - Denpasar"/>
    <x v="2"/>
    <n v="89251"/>
    <n v="8"/>
  </r>
  <r>
    <x v="1762"/>
    <s v="M0256"/>
    <x v="243"/>
    <s v="Toko F - Makassar"/>
    <x v="5"/>
    <n v="50516"/>
    <n v="5"/>
  </r>
  <r>
    <x v="1763"/>
    <s v="M0050"/>
    <x v="59"/>
    <s v="Toko F - Makassar"/>
    <x v="1"/>
    <n v="145721"/>
    <n v="14"/>
  </r>
  <r>
    <x v="1764"/>
    <s v="M0109"/>
    <x v="99"/>
    <s v="Toko F - Makassar"/>
    <x v="0"/>
    <n v="230314"/>
    <n v="23"/>
  </r>
  <r>
    <x v="1765"/>
    <s v="M0216"/>
    <x v="213"/>
    <s v="Toko E - Semarang"/>
    <x v="3"/>
    <n v="71847"/>
    <n v="7"/>
  </r>
  <r>
    <x v="1766"/>
    <s v="M0019"/>
    <x v="184"/>
    <s v="Toko B - Bandung"/>
    <x v="0"/>
    <n v="462542"/>
    <n v="46"/>
  </r>
  <r>
    <x v="1767"/>
    <s v="M0128"/>
    <x v="47"/>
    <s v="Toko B - Bandung"/>
    <x v="4"/>
    <n v="157825"/>
    <n v="15"/>
  </r>
  <r>
    <x v="1768"/>
    <s v="M0259"/>
    <x v="126"/>
    <s v="Toko D - Medan"/>
    <x v="3"/>
    <n v="574418"/>
    <n v="57"/>
  </r>
  <r>
    <x v="1769"/>
    <s v="M0232"/>
    <x v="1"/>
    <s v="Toko D - Medan"/>
    <x v="5"/>
    <n v="209345"/>
    <n v="20"/>
  </r>
  <r>
    <x v="1770"/>
    <s v="M0056"/>
    <x v="286"/>
    <s v="Toko D - Medan"/>
    <x v="4"/>
    <n v="140560"/>
    <n v="14"/>
  </r>
  <r>
    <x v="1771"/>
    <s v="M0283"/>
    <x v="60"/>
    <s v="Toko A - Jakarta"/>
    <x v="0"/>
    <n v="411176"/>
    <n v="41"/>
  </r>
  <r>
    <x v="1772"/>
    <s v="M0161"/>
    <x v="86"/>
    <s v="Toko D - Medan"/>
    <x v="1"/>
    <n v="126866"/>
    <n v="12"/>
  </r>
  <r>
    <x v="1773"/>
    <s v="M0104"/>
    <x v="265"/>
    <s v="Toko F - Makassar"/>
    <x v="1"/>
    <n v="106904"/>
    <n v="10"/>
  </r>
  <r>
    <x v="1774"/>
    <s v="M0049"/>
    <x v="345"/>
    <s v="Toko H - Denpasar"/>
    <x v="1"/>
    <n v="283638"/>
    <n v="28"/>
  </r>
  <r>
    <x v="1775"/>
    <s v="M0122"/>
    <x v="184"/>
    <s v="Toko E - Semarang"/>
    <x v="5"/>
    <n v="330366"/>
    <n v="33"/>
  </r>
  <r>
    <x v="1776"/>
    <s v="M0098"/>
    <x v="274"/>
    <s v="Toko D - Medan"/>
    <x v="1"/>
    <n v="77278"/>
    <n v="7"/>
  </r>
  <r>
    <x v="1777"/>
    <s v="M0025"/>
    <x v="39"/>
    <s v="Toko D - Medan"/>
    <x v="3"/>
    <n v="499884"/>
    <n v="49"/>
  </r>
  <r>
    <x v="1778"/>
    <s v="M0242"/>
    <x v="302"/>
    <s v="Toko D - Medan"/>
    <x v="5"/>
    <n v="297842"/>
    <n v="29"/>
  </r>
  <r>
    <x v="1779"/>
    <s v="M0054"/>
    <x v="92"/>
    <s v="Toko E - Semarang"/>
    <x v="1"/>
    <n v="181304"/>
    <n v="18"/>
  </r>
  <r>
    <x v="1780"/>
    <s v="M0198"/>
    <x v="103"/>
    <s v="Toko C - Surabaya"/>
    <x v="3"/>
    <n v="496901"/>
    <n v="49"/>
  </r>
  <r>
    <x v="1781"/>
    <s v="M0097"/>
    <x v="7"/>
    <s v="Toko B - Bandung"/>
    <x v="2"/>
    <n v="664776"/>
    <n v="66"/>
  </r>
  <r>
    <x v="1782"/>
    <s v="M0177"/>
    <x v="68"/>
    <s v="Toko A - Jakarta"/>
    <x v="2"/>
    <n v="335246"/>
    <n v="33"/>
  </r>
  <r>
    <x v="1783"/>
    <s v="M0206"/>
    <x v="69"/>
    <s v="Toko A - Jakarta"/>
    <x v="4"/>
    <n v="561991"/>
    <n v="56"/>
  </r>
  <r>
    <x v="1784"/>
    <s v="M0245"/>
    <x v="349"/>
    <s v="Toko C - Surabaya"/>
    <x v="2"/>
    <n v="165588"/>
    <n v="16"/>
  </r>
  <r>
    <x v="1785"/>
    <s v="M0005"/>
    <x v="298"/>
    <s v="Toko G - Yogyakarta"/>
    <x v="3"/>
    <n v="436776"/>
    <n v="43"/>
  </r>
  <r>
    <x v="1786"/>
    <s v="M0002"/>
    <x v="79"/>
    <s v="Toko C - Surabaya"/>
    <x v="1"/>
    <n v="99470"/>
    <n v="9"/>
  </r>
  <r>
    <x v="1787"/>
    <s v="M0172"/>
    <x v="104"/>
    <s v="Toko B - Bandung"/>
    <x v="1"/>
    <n v="390232"/>
    <n v="39"/>
  </r>
  <r>
    <x v="1788"/>
    <s v="M0034"/>
    <x v="129"/>
    <s v="Toko A - Jakarta"/>
    <x v="1"/>
    <n v="103159"/>
    <n v="10"/>
  </r>
  <r>
    <x v="1789"/>
    <s v="M0242"/>
    <x v="133"/>
    <s v="Toko H - Denpasar"/>
    <x v="5"/>
    <n v="309787"/>
    <n v="30"/>
  </r>
  <r>
    <x v="1790"/>
    <s v="M0261"/>
    <x v="140"/>
    <s v="Toko C - Surabaya"/>
    <x v="2"/>
    <n v="594339"/>
    <n v="59"/>
  </r>
  <r>
    <x v="1791"/>
    <s v="M0295"/>
    <x v="116"/>
    <s v="Toko G - Yogyakarta"/>
    <x v="3"/>
    <n v="256328"/>
    <n v="25"/>
  </r>
  <r>
    <x v="1792"/>
    <s v="M0186"/>
    <x v="261"/>
    <s v="Toko E - Semarang"/>
    <x v="2"/>
    <n v="767311"/>
    <n v="76"/>
  </r>
  <r>
    <x v="1793"/>
    <s v="M0148"/>
    <x v="314"/>
    <s v="Toko F - Makassar"/>
    <x v="4"/>
    <n v="123872"/>
    <n v="12"/>
  </r>
  <r>
    <x v="1794"/>
    <s v="M0267"/>
    <x v="298"/>
    <s v="Toko E - Semarang"/>
    <x v="1"/>
    <n v="721287"/>
    <n v="72"/>
  </r>
  <r>
    <x v="1795"/>
    <s v="M0189"/>
    <x v="257"/>
    <s v="Toko B - Bandung"/>
    <x v="1"/>
    <n v="239988"/>
    <n v="23"/>
  </r>
  <r>
    <x v="1796"/>
    <s v="M0186"/>
    <x v="15"/>
    <s v="Toko H - Denpasar"/>
    <x v="3"/>
    <n v="258521"/>
    <n v="25"/>
  </r>
  <r>
    <x v="1797"/>
    <s v="M0012"/>
    <x v="124"/>
    <s v="Toko D - Medan"/>
    <x v="5"/>
    <n v="574473"/>
    <n v="57"/>
  </r>
  <r>
    <x v="1798"/>
    <s v="M0199"/>
    <x v="46"/>
    <s v="Toko F - Makassar"/>
    <x v="1"/>
    <n v="432784"/>
    <n v="43"/>
  </r>
  <r>
    <x v="1799"/>
    <s v="M0039"/>
    <x v="96"/>
    <s v="Toko F - Makassar"/>
    <x v="3"/>
    <n v="318622"/>
    <n v="31"/>
  </r>
  <r>
    <x v="1800"/>
    <s v="M0277"/>
    <x v="93"/>
    <s v="Toko E - Semarang"/>
    <x v="2"/>
    <n v="168477"/>
    <n v="16"/>
  </r>
  <r>
    <x v="1801"/>
    <s v="M0267"/>
    <x v="179"/>
    <s v="Toko C - Surabaya"/>
    <x v="4"/>
    <n v="146785"/>
    <n v="14"/>
  </r>
  <r>
    <x v="1802"/>
    <s v="M0248"/>
    <x v="15"/>
    <s v="Toko B - Bandung"/>
    <x v="5"/>
    <n v="450343"/>
    <n v="45"/>
  </r>
  <r>
    <x v="1803"/>
    <s v="M0026"/>
    <x v="225"/>
    <s v="Toko B - Bandung"/>
    <x v="2"/>
    <n v="328979"/>
    <n v="32"/>
  </r>
  <r>
    <x v="1804"/>
    <s v="M0144"/>
    <x v="111"/>
    <s v="Toko D - Medan"/>
    <x v="1"/>
    <n v="167020"/>
    <n v="16"/>
  </r>
  <r>
    <x v="1805"/>
    <s v="M0213"/>
    <x v="321"/>
    <s v="Toko D - Medan"/>
    <x v="4"/>
    <n v="201670"/>
    <n v="20"/>
  </r>
  <r>
    <x v="1806"/>
    <s v="M0095"/>
    <x v="1"/>
    <s v="Toko C - Surabaya"/>
    <x v="3"/>
    <n v="227157"/>
    <n v="22"/>
  </r>
  <r>
    <x v="1807"/>
    <s v="M0297"/>
    <x v="319"/>
    <s v="Toko E - Semarang"/>
    <x v="1"/>
    <n v="460947"/>
    <n v="46"/>
  </r>
  <r>
    <x v="1808"/>
    <s v="M0211"/>
    <x v="57"/>
    <s v="Toko F - Makassar"/>
    <x v="5"/>
    <n v="513033"/>
    <n v="51"/>
  </r>
  <r>
    <x v="1809"/>
    <s v="M0027"/>
    <x v="360"/>
    <s v="Toko H - Denpasar"/>
    <x v="1"/>
    <n v="178421"/>
    <n v="17"/>
  </r>
  <r>
    <x v="1810"/>
    <s v="M0067"/>
    <x v="264"/>
    <s v="Toko H - Denpasar"/>
    <x v="0"/>
    <n v="552803"/>
    <n v="55"/>
  </r>
  <r>
    <x v="1811"/>
    <s v="M0187"/>
    <x v="9"/>
    <s v="Toko E - Semarang"/>
    <x v="5"/>
    <n v="54040"/>
    <n v="5"/>
  </r>
  <r>
    <x v="1812"/>
    <s v="M0116"/>
    <x v="228"/>
    <s v="Toko D - Medan"/>
    <x v="2"/>
    <n v="442176"/>
    <n v="44"/>
  </r>
  <r>
    <x v="1813"/>
    <s v="M0268"/>
    <x v="242"/>
    <s v="Toko A - Jakarta"/>
    <x v="4"/>
    <n v="202989"/>
    <n v="20"/>
  </r>
  <r>
    <x v="1814"/>
    <s v="M0008"/>
    <x v="141"/>
    <s v="Toko E - Semarang"/>
    <x v="5"/>
    <n v="317846"/>
    <n v="31"/>
  </r>
  <r>
    <x v="1815"/>
    <s v="M0151"/>
    <x v="112"/>
    <s v="Toko G - Yogyakarta"/>
    <x v="3"/>
    <n v="168265"/>
    <n v="16"/>
  </r>
  <r>
    <x v="1816"/>
    <s v="M0250"/>
    <x v="132"/>
    <s v="Toko H - Denpasar"/>
    <x v="0"/>
    <n v="317609"/>
    <n v="31"/>
  </r>
  <r>
    <x v="1817"/>
    <s v="M0248"/>
    <x v="349"/>
    <s v="Toko B - Bandung"/>
    <x v="4"/>
    <n v="368161"/>
    <n v="36"/>
  </r>
  <r>
    <x v="1818"/>
    <s v="M0051"/>
    <x v="34"/>
    <s v="Toko H - Denpasar"/>
    <x v="0"/>
    <n v="145769"/>
    <n v="14"/>
  </r>
  <r>
    <x v="1819"/>
    <s v="M0242"/>
    <x v="345"/>
    <s v="Toko H - Denpasar"/>
    <x v="4"/>
    <n v="599847"/>
    <n v="59"/>
  </r>
  <r>
    <x v="1820"/>
    <s v="M0157"/>
    <x v="271"/>
    <s v="Toko G - Yogyakarta"/>
    <x v="4"/>
    <n v="372720"/>
    <n v="37"/>
  </r>
  <r>
    <x v="1821"/>
    <s v="M0002"/>
    <x v="126"/>
    <s v="Toko H - Denpasar"/>
    <x v="5"/>
    <n v="221743"/>
    <n v="22"/>
  </r>
  <r>
    <x v="1822"/>
    <s v="M0285"/>
    <x v="125"/>
    <s v="Toko A - Jakarta"/>
    <x v="0"/>
    <n v="114479"/>
    <n v="11"/>
  </r>
  <r>
    <x v="1823"/>
    <s v="M0105"/>
    <x v="210"/>
    <s v="Toko H - Denpasar"/>
    <x v="2"/>
    <n v="594660"/>
    <n v="59"/>
  </r>
  <r>
    <x v="1824"/>
    <s v="M0137"/>
    <x v="277"/>
    <s v="Toko G - Yogyakarta"/>
    <x v="3"/>
    <n v="359423"/>
    <n v="35"/>
  </r>
  <r>
    <x v="1825"/>
    <s v="M0201"/>
    <x v="168"/>
    <s v="Toko A - Jakarta"/>
    <x v="3"/>
    <n v="356426"/>
    <n v="35"/>
  </r>
  <r>
    <x v="1826"/>
    <s v="M0022"/>
    <x v="116"/>
    <s v="Toko E - Semarang"/>
    <x v="2"/>
    <n v="259514"/>
    <n v="25"/>
  </r>
  <r>
    <x v="1827"/>
    <s v="M0121"/>
    <x v="243"/>
    <s v="Toko B - Bandung"/>
    <x v="0"/>
    <n v="148016"/>
    <n v="14"/>
  </r>
  <r>
    <x v="1828"/>
    <s v="M0089"/>
    <x v="239"/>
    <s v="Toko F - Makassar"/>
    <x v="0"/>
    <n v="349081"/>
    <n v="34"/>
  </r>
  <r>
    <x v="1829"/>
    <s v="M0233"/>
    <x v="166"/>
    <s v="Toko B - Bandung"/>
    <x v="0"/>
    <n v="625381"/>
    <n v="62"/>
  </r>
  <r>
    <x v="1830"/>
    <s v="M0220"/>
    <x v="13"/>
    <s v="Toko G - Yogyakarta"/>
    <x v="4"/>
    <n v="385958"/>
    <n v="38"/>
  </r>
  <r>
    <x v="1831"/>
    <s v="M0286"/>
    <x v="11"/>
    <s v="Toko G - Yogyakarta"/>
    <x v="1"/>
    <n v="27299"/>
    <n v="2"/>
  </r>
  <r>
    <x v="1832"/>
    <s v="M0056"/>
    <x v="340"/>
    <s v="Toko H - Denpasar"/>
    <x v="5"/>
    <n v="61365"/>
    <n v="6"/>
  </r>
  <r>
    <x v="1833"/>
    <s v="M0140"/>
    <x v="114"/>
    <s v="Toko C - Surabaya"/>
    <x v="4"/>
    <n v="63209"/>
    <n v="6"/>
  </r>
  <r>
    <x v="1834"/>
    <s v="M0127"/>
    <x v="117"/>
    <s v="Toko C - Surabaya"/>
    <x v="5"/>
    <n v="616900"/>
    <n v="61"/>
  </r>
  <r>
    <x v="1835"/>
    <s v="M0064"/>
    <x v="314"/>
    <s v="Toko D - Medan"/>
    <x v="5"/>
    <n v="167619"/>
    <n v="16"/>
  </r>
  <r>
    <x v="1836"/>
    <s v="M0186"/>
    <x v="335"/>
    <s v="Toko F - Makassar"/>
    <x v="1"/>
    <n v="687886"/>
    <n v="68"/>
  </r>
  <r>
    <x v="1837"/>
    <s v="M0243"/>
    <x v="92"/>
    <s v="Toko E - Semarang"/>
    <x v="0"/>
    <n v="256647"/>
    <n v="25"/>
  </r>
  <r>
    <x v="1838"/>
    <s v="M0056"/>
    <x v="174"/>
    <s v="Toko E - Semarang"/>
    <x v="0"/>
    <n v="206134"/>
    <n v="20"/>
  </r>
  <r>
    <x v="1839"/>
    <s v="M0127"/>
    <x v="114"/>
    <s v="Toko D - Medan"/>
    <x v="3"/>
    <n v="72550"/>
    <n v="7"/>
  </r>
  <r>
    <x v="1840"/>
    <s v="M0192"/>
    <x v="196"/>
    <s v="Toko E - Semarang"/>
    <x v="3"/>
    <n v="295185"/>
    <n v="29"/>
  </r>
  <r>
    <x v="1841"/>
    <s v="M0194"/>
    <x v="212"/>
    <s v="Toko F - Makassar"/>
    <x v="1"/>
    <n v="88805"/>
    <n v="8"/>
  </r>
  <r>
    <x v="1842"/>
    <s v="M0092"/>
    <x v="32"/>
    <s v="Toko B - Bandung"/>
    <x v="3"/>
    <n v="335661"/>
    <n v="33"/>
  </r>
  <r>
    <x v="1843"/>
    <s v="M0172"/>
    <x v="192"/>
    <s v="Toko G - Yogyakarta"/>
    <x v="3"/>
    <n v="34242"/>
    <n v="3"/>
  </r>
  <r>
    <x v="1844"/>
    <s v="M0217"/>
    <x v="111"/>
    <s v="Toko C - Surabaya"/>
    <x v="0"/>
    <n v="432399"/>
    <n v="43"/>
  </r>
  <r>
    <x v="1845"/>
    <s v="M0165"/>
    <x v="171"/>
    <s v="Toko E - Semarang"/>
    <x v="5"/>
    <n v="436413"/>
    <n v="43"/>
  </r>
  <r>
    <x v="1846"/>
    <s v="M0185"/>
    <x v="153"/>
    <s v="Toko A - Jakarta"/>
    <x v="1"/>
    <n v="132021"/>
    <n v="13"/>
  </r>
  <r>
    <x v="1847"/>
    <s v="M0108"/>
    <x v="30"/>
    <s v="Toko E - Semarang"/>
    <x v="4"/>
    <n v="160002"/>
    <n v="16"/>
  </r>
  <r>
    <x v="1848"/>
    <s v="M0122"/>
    <x v="243"/>
    <s v="Toko B - Bandung"/>
    <x v="2"/>
    <n v="337400"/>
    <n v="33"/>
  </r>
  <r>
    <x v="1849"/>
    <s v="M0291"/>
    <x v="313"/>
    <s v="Toko G - Yogyakarta"/>
    <x v="2"/>
    <n v="406519"/>
    <n v="40"/>
  </r>
  <r>
    <x v="1850"/>
    <s v="M0109"/>
    <x v="204"/>
    <s v="Toko E - Semarang"/>
    <x v="0"/>
    <n v="94991"/>
    <n v="9"/>
  </r>
  <r>
    <x v="1851"/>
    <s v="M0131"/>
    <x v="339"/>
    <s v="Toko H - Denpasar"/>
    <x v="1"/>
    <n v="191610"/>
    <n v="19"/>
  </r>
  <r>
    <x v="1852"/>
    <s v="M0026"/>
    <x v="227"/>
    <s v="Toko B - Bandung"/>
    <x v="5"/>
    <n v="154099"/>
    <n v="15"/>
  </r>
  <r>
    <x v="1853"/>
    <s v="M0121"/>
    <x v="17"/>
    <s v="Toko C - Surabaya"/>
    <x v="0"/>
    <n v="170285"/>
    <n v="17"/>
  </r>
  <r>
    <x v="1854"/>
    <s v="M0136"/>
    <x v="317"/>
    <s v="Toko E - Semarang"/>
    <x v="1"/>
    <n v="121435"/>
    <n v="12"/>
  </r>
  <r>
    <x v="1855"/>
    <s v="M0140"/>
    <x v="18"/>
    <s v="Toko H - Denpasar"/>
    <x v="3"/>
    <n v="603088"/>
    <n v="60"/>
  </r>
  <r>
    <x v="1856"/>
    <s v="M0092"/>
    <x v="277"/>
    <s v="Toko E - Semarang"/>
    <x v="3"/>
    <n v="560696"/>
    <n v="56"/>
  </r>
  <r>
    <x v="1857"/>
    <s v="M0268"/>
    <x v="41"/>
    <s v="Toko C - Surabaya"/>
    <x v="1"/>
    <n v="290481"/>
    <n v="29"/>
  </r>
  <r>
    <x v="1858"/>
    <s v="M0260"/>
    <x v="163"/>
    <s v="Toko A - Jakarta"/>
    <x v="0"/>
    <n v="62500"/>
    <n v="6"/>
  </r>
  <r>
    <x v="1859"/>
    <s v="M0049"/>
    <x v="231"/>
    <s v="Toko E - Semarang"/>
    <x v="4"/>
    <n v="199306"/>
    <n v="19"/>
  </r>
  <r>
    <x v="1860"/>
    <s v="M0113"/>
    <x v="148"/>
    <s v="Toko H - Denpasar"/>
    <x v="0"/>
    <n v="56511"/>
    <n v="5"/>
  </r>
  <r>
    <x v="1861"/>
    <s v="M0105"/>
    <x v="164"/>
    <s v="Toko B - Bandung"/>
    <x v="0"/>
    <n v="245343"/>
    <n v="24"/>
  </r>
  <r>
    <x v="1862"/>
    <s v="M0281"/>
    <x v="11"/>
    <s v="Toko H - Denpasar"/>
    <x v="2"/>
    <n v="159611"/>
    <n v="15"/>
  </r>
  <r>
    <x v="1863"/>
    <s v="M0001"/>
    <x v="24"/>
    <s v="Toko C - Surabaya"/>
    <x v="0"/>
    <n v="457921"/>
    <n v="45"/>
  </r>
  <r>
    <x v="1864"/>
    <s v="M0074"/>
    <x v="295"/>
    <s v="Toko F - Makassar"/>
    <x v="3"/>
    <n v="145556"/>
    <n v="14"/>
  </r>
  <r>
    <x v="1865"/>
    <s v="M0029"/>
    <x v="46"/>
    <s v="Toko C - Surabaya"/>
    <x v="0"/>
    <n v="393648"/>
    <n v="39"/>
  </r>
  <r>
    <x v="1866"/>
    <s v="M0044"/>
    <x v="225"/>
    <s v="Toko H - Denpasar"/>
    <x v="3"/>
    <n v="274379"/>
    <n v="27"/>
  </r>
  <r>
    <x v="1867"/>
    <s v="M0188"/>
    <x v="181"/>
    <s v="Toko E - Semarang"/>
    <x v="1"/>
    <n v="119065"/>
    <n v="11"/>
  </r>
  <r>
    <x v="1868"/>
    <s v="M0250"/>
    <x v="65"/>
    <s v="Toko E - Semarang"/>
    <x v="1"/>
    <n v="25000"/>
    <n v="2"/>
  </r>
  <r>
    <x v="1869"/>
    <s v="M0034"/>
    <x v="283"/>
    <s v="Toko C - Surabaya"/>
    <x v="2"/>
    <n v="702833"/>
    <n v="70"/>
  </r>
  <r>
    <x v="1870"/>
    <s v="M0165"/>
    <x v="167"/>
    <s v="Toko E - Semarang"/>
    <x v="2"/>
    <n v="149195"/>
    <n v="14"/>
  </r>
  <r>
    <x v="1871"/>
    <s v="M0201"/>
    <x v="206"/>
    <s v="Toko A - Jakarta"/>
    <x v="5"/>
    <n v="232302"/>
    <n v="23"/>
  </r>
  <r>
    <x v="1872"/>
    <s v="M0239"/>
    <x v="346"/>
    <s v="Toko G - Yogyakarta"/>
    <x v="2"/>
    <n v="317904"/>
    <n v="31"/>
  </r>
  <r>
    <x v="1873"/>
    <s v="M0202"/>
    <x v="329"/>
    <s v="Toko G - Yogyakarta"/>
    <x v="2"/>
    <n v="56107"/>
    <n v="5"/>
  </r>
  <r>
    <x v="1874"/>
    <s v="M0232"/>
    <x v="54"/>
    <s v="Toko B - Bandung"/>
    <x v="1"/>
    <n v="231343"/>
    <n v="23"/>
  </r>
  <r>
    <x v="1875"/>
    <s v="M0015"/>
    <x v="257"/>
    <s v="Toko F - Makassar"/>
    <x v="1"/>
    <n v="238057"/>
    <n v="23"/>
  </r>
  <r>
    <x v="1876"/>
    <s v="M0227"/>
    <x v="297"/>
    <s v="Toko E - Semarang"/>
    <x v="1"/>
    <n v="198873"/>
    <n v="19"/>
  </r>
  <r>
    <x v="1877"/>
    <s v="M0054"/>
    <x v="271"/>
    <s v="Toko F - Makassar"/>
    <x v="3"/>
    <n v="288862"/>
    <n v="28"/>
  </r>
  <r>
    <x v="1878"/>
    <s v="M0137"/>
    <x v="166"/>
    <s v="Toko D - Medan"/>
    <x v="3"/>
    <n v="374293"/>
    <n v="37"/>
  </r>
  <r>
    <x v="1879"/>
    <s v="M0096"/>
    <x v="3"/>
    <s v="Toko B - Bandung"/>
    <x v="0"/>
    <n v="683744"/>
    <n v="68"/>
  </r>
  <r>
    <x v="1880"/>
    <s v="M0244"/>
    <x v="281"/>
    <s v="Toko H - Denpasar"/>
    <x v="2"/>
    <n v="146396"/>
    <n v="14"/>
  </r>
  <r>
    <x v="1881"/>
    <s v="M0262"/>
    <x v="308"/>
    <s v="Toko F - Makassar"/>
    <x v="2"/>
    <n v="482786"/>
    <n v="48"/>
  </r>
  <r>
    <x v="1882"/>
    <s v="M0024"/>
    <x v="98"/>
    <s v="Toko F - Makassar"/>
    <x v="0"/>
    <n v="426666"/>
    <n v="42"/>
  </r>
  <r>
    <x v="1883"/>
    <s v="M0154"/>
    <x v="333"/>
    <s v="Toko H - Denpasar"/>
    <x v="2"/>
    <n v="648486"/>
    <n v="64"/>
  </r>
  <r>
    <x v="1884"/>
    <s v="M0140"/>
    <x v="32"/>
    <s v="Toko G - Yogyakarta"/>
    <x v="1"/>
    <n v="249862"/>
    <n v="24"/>
  </r>
  <r>
    <x v="1885"/>
    <s v="M0015"/>
    <x v="225"/>
    <s v="Toko H - Denpasar"/>
    <x v="0"/>
    <n v="160733"/>
    <n v="16"/>
  </r>
  <r>
    <x v="1886"/>
    <s v="M0077"/>
    <x v="303"/>
    <s v="Toko A - Jakarta"/>
    <x v="0"/>
    <n v="937968"/>
    <n v="93"/>
  </r>
  <r>
    <x v="1887"/>
    <s v="M0001"/>
    <x v="48"/>
    <s v="Toko E - Semarang"/>
    <x v="1"/>
    <n v="125791"/>
    <n v="12"/>
  </r>
  <r>
    <x v="1888"/>
    <s v="M0207"/>
    <x v="359"/>
    <s v="Toko A - Jakarta"/>
    <x v="3"/>
    <n v="215710"/>
    <n v="21"/>
  </r>
  <r>
    <x v="1889"/>
    <s v="M0292"/>
    <x v="99"/>
    <s v="Toko B - Bandung"/>
    <x v="5"/>
    <n v="86530"/>
    <n v="8"/>
  </r>
  <r>
    <x v="1890"/>
    <s v="M0118"/>
    <x v="313"/>
    <s v="Toko D - Medan"/>
    <x v="0"/>
    <n v="123710"/>
    <n v="12"/>
  </r>
  <r>
    <x v="1891"/>
    <s v="M0204"/>
    <x v="147"/>
    <s v="Toko D - Medan"/>
    <x v="2"/>
    <n v="232348"/>
    <n v="23"/>
  </r>
  <r>
    <x v="1892"/>
    <s v="M0245"/>
    <x v="335"/>
    <s v="Toko F - Makassar"/>
    <x v="0"/>
    <n v="207032"/>
    <n v="20"/>
  </r>
  <r>
    <x v="1893"/>
    <s v="M0122"/>
    <x v="188"/>
    <s v="Toko F - Makassar"/>
    <x v="4"/>
    <n v="221835"/>
    <n v="22"/>
  </r>
  <r>
    <x v="1894"/>
    <s v="M0104"/>
    <x v="11"/>
    <s v="Toko F - Makassar"/>
    <x v="0"/>
    <n v="284061"/>
    <n v="28"/>
  </r>
  <r>
    <x v="1895"/>
    <s v="M0273"/>
    <x v="181"/>
    <s v="Toko E - Semarang"/>
    <x v="5"/>
    <n v="209028"/>
    <n v="20"/>
  </r>
  <r>
    <x v="1896"/>
    <s v="M0086"/>
    <x v="156"/>
    <s v="Toko A - Jakarta"/>
    <x v="4"/>
    <n v="210903"/>
    <n v="21"/>
  </r>
  <r>
    <x v="1897"/>
    <s v="M0235"/>
    <x v="238"/>
    <s v="Toko C - Surabaya"/>
    <x v="4"/>
    <n v="253662"/>
    <n v="25"/>
  </r>
  <r>
    <x v="1898"/>
    <s v="M0044"/>
    <x v="0"/>
    <s v="Toko F - Makassar"/>
    <x v="5"/>
    <n v="364239"/>
    <n v="36"/>
  </r>
  <r>
    <x v="1899"/>
    <s v="M0235"/>
    <x v="304"/>
    <s v="Toko D - Medan"/>
    <x v="2"/>
    <n v="84827"/>
    <n v="8"/>
  </r>
  <r>
    <x v="1900"/>
    <s v="M0192"/>
    <x v="9"/>
    <s v="Toko A - Jakarta"/>
    <x v="1"/>
    <n v="195004"/>
    <n v="19"/>
  </r>
  <r>
    <x v="1901"/>
    <s v="M0122"/>
    <x v="340"/>
    <s v="Toko E - Semarang"/>
    <x v="1"/>
    <n v="396916"/>
    <n v="39"/>
  </r>
  <r>
    <x v="1902"/>
    <s v="M0218"/>
    <x v="360"/>
    <s v="Toko B - Bandung"/>
    <x v="2"/>
    <n v="341768"/>
    <n v="34"/>
  </r>
  <r>
    <x v="1903"/>
    <s v="M0246"/>
    <x v="75"/>
    <s v="Toko E - Semarang"/>
    <x v="3"/>
    <n v="559404"/>
    <n v="55"/>
  </r>
  <r>
    <x v="1904"/>
    <s v="M0300"/>
    <x v="54"/>
    <s v="Toko F - Makassar"/>
    <x v="4"/>
    <n v="666272"/>
    <n v="66"/>
  </r>
  <r>
    <x v="1905"/>
    <s v="M0223"/>
    <x v="64"/>
    <s v="Toko H - Denpasar"/>
    <x v="0"/>
    <n v="297551"/>
    <n v="29"/>
  </r>
  <r>
    <x v="1906"/>
    <s v="M0254"/>
    <x v="200"/>
    <s v="Toko B - Bandung"/>
    <x v="2"/>
    <n v="381556"/>
    <n v="38"/>
  </r>
  <r>
    <x v="1907"/>
    <s v="M0259"/>
    <x v="274"/>
    <s v="Toko D - Medan"/>
    <x v="0"/>
    <n v="330988"/>
    <n v="33"/>
  </r>
  <r>
    <x v="1908"/>
    <s v="M0117"/>
    <x v="18"/>
    <s v="Toko B - Bandung"/>
    <x v="3"/>
    <n v="194967"/>
    <n v="19"/>
  </r>
  <r>
    <x v="1909"/>
    <s v="M0244"/>
    <x v="294"/>
    <s v="Toko A - Jakarta"/>
    <x v="4"/>
    <n v="324427"/>
    <n v="32"/>
  </r>
  <r>
    <x v="1910"/>
    <s v="M0073"/>
    <x v="117"/>
    <s v="Toko B - Bandung"/>
    <x v="1"/>
    <n v="319221"/>
    <n v="31"/>
  </r>
  <r>
    <x v="1911"/>
    <s v="M0052"/>
    <x v="285"/>
    <s v="Toko F - Makassar"/>
    <x v="0"/>
    <n v="309544"/>
    <n v="30"/>
  </r>
  <r>
    <x v="1912"/>
    <s v="M0188"/>
    <x v="157"/>
    <s v="Toko G - Yogyakarta"/>
    <x v="3"/>
    <n v="228063"/>
    <n v="22"/>
  </r>
  <r>
    <x v="1913"/>
    <s v="M0179"/>
    <x v="83"/>
    <s v="Toko A - Jakarta"/>
    <x v="3"/>
    <n v="107651"/>
    <n v="10"/>
  </r>
  <r>
    <x v="1914"/>
    <s v="M0285"/>
    <x v="196"/>
    <s v="Toko H - Denpasar"/>
    <x v="0"/>
    <n v="310668"/>
    <n v="31"/>
  </r>
  <r>
    <x v="1915"/>
    <s v="M0051"/>
    <x v="176"/>
    <s v="Toko H - Denpasar"/>
    <x v="5"/>
    <n v="685359"/>
    <n v="68"/>
  </r>
  <r>
    <x v="1916"/>
    <s v="M0111"/>
    <x v="174"/>
    <s v="Toko E - Semarang"/>
    <x v="1"/>
    <n v="490387"/>
    <n v="49"/>
  </r>
  <r>
    <x v="1917"/>
    <s v="M0151"/>
    <x v="326"/>
    <s v="Toko D - Medan"/>
    <x v="5"/>
    <n v="91742"/>
    <n v="9"/>
  </r>
  <r>
    <x v="1918"/>
    <s v="M0204"/>
    <x v="82"/>
    <s v="Toko H - Denpasar"/>
    <x v="1"/>
    <n v="295981"/>
    <n v="29"/>
  </r>
  <r>
    <x v="1919"/>
    <s v="M0228"/>
    <x v="231"/>
    <s v="Toko F - Makassar"/>
    <x v="3"/>
    <n v="38674"/>
    <n v="3"/>
  </r>
  <r>
    <x v="1920"/>
    <s v="M0267"/>
    <x v="16"/>
    <s v="Toko F - Makassar"/>
    <x v="3"/>
    <n v="253505"/>
    <n v="25"/>
  </r>
  <r>
    <x v="1921"/>
    <s v="M0109"/>
    <x v="298"/>
    <s v="Toko B - Bandung"/>
    <x v="2"/>
    <n v="482873"/>
    <n v="48"/>
  </r>
  <r>
    <x v="1922"/>
    <s v="M0122"/>
    <x v="330"/>
    <s v="Toko G - Yogyakarta"/>
    <x v="5"/>
    <n v="185038"/>
    <n v="18"/>
  </r>
  <r>
    <x v="1923"/>
    <s v="M0090"/>
    <x v="40"/>
    <s v="Toko A - Jakarta"/>
    <x v="3"/>
    <n v="209555"/>
    <n v="20"/>
  </r>
  <r>
    <x v="1924"/>
    <s v="M0115"/>
    <x v="105"/>
    <s v="Toko E - Semarang"/>
    <x v="2"/>
    <n v="231390"/>
    <n v="23"/>
  </r>
  <r>
    <x v="1925"/>
    <s v="M0170"/>
    <x v="165"/>
    <s v="Toko C - Surabaya"/>
    <x v="2"/>
    <n v="100573"/>
    <n v="10"/>
  </r>
  <r>
    <x v="1926"/>
    <s v="M0104"/>
    <x v="14"/>
    <s v="Toko C - Surabaya"/>
    <x v="0"/>
    <n v="341328"/>
    <n v="34"/>
  </r>
  <r>
    <x v="1927"/>
    <s v="M0049"/>
    <x v="0"/>
    <s v="Toko A - Jakarta"/>
    <x v="0"/>
    <n v="177139"/>
    <n v="17"/>
  </r>
  <r>
    <x v="1928"/>
    <s v="M0020"/>
    <x v="51"/>
    <s v="Toko F - Makassar"/>
    <x v="1"/>
    <n v="65196"/>
    <n v="6"/>
  </r>
  <r>
    <x v="1929"/>
    <s v="M0188"/>
    <x v="223"/>
    <s v="Toko C - Surabaya"/>
    <x v="3"/>
    <n v="101616"/>
    <n v="10"/>
  </r>
  <r>
    <x v="1930"/>
    <s v="M0104"/>
    <x v="59"/>
    <s v="Toko E - Semarang"/>
    <x v="0"/>
    <n v="95542"/>
    <n v="9"/>
  </r>
  <r>
    <x v="1931"/>
    <s v="M0071"/>
    <x v="322"/>
    <s v="Toko E - Semarang"/>
    <x v="4"/>
    <n v="531008"/>
    <n v="53"/>
  </r>
  <r>
    <x v="1932"/>
    <s v="M0242"/>
    <x v="343"/>
    <s v="Toko D - Medan"/>
    <x v="2"/>
    <n v="95151"/>
    <n v="9"/>
  </r>
  <r>
    <x v="1933"/>
    <s v="M0231"/>
    <x v="207"/>
    <s v="Toko F - Makassar"/>
    <x v="5"/>
    <n v="456728"/>
    <n v="45"/>
  </r>
  <r>
    <x v="1934"/>
    <s v="M0250"/>
    <x v="89"/>
    <s v="Toko F - Makassar"/>
    <x v="3"/>
    <n v="283977"/>
    <n v="28"/>
  </r>
  <r>
    <x v="1935"/>
    <s v="M0096"/>
    <x v="291"/>
    <s v="Toko G - Yogyakarta"/>
    <x v="4"/>
    <n v="821335"/>
    <n v="82"/>
  </r>
  <r>
    <x v="1936"/>
    <s v="M0054"/>
    <x v="177"/>
    <s v="Toko C - Surabaya"/>
    <x v="3"/>
    <n v="397838"/>
    <n v="39"/>
  </r>
  <r>
    <x v="1937"/>
    <s v="M0281"/>
    <x v="318"/>
    <s v="Toko B - Bandung"/>
    <x v="1"/>
    <n v="25000"/>
    <n v="2"/>
  </r>
  <r>
    <x v="1938"/>
    <s v="M0081"/>
    <x v="81"/>
    <s v="Toko C - Surabaya"/>
    <x v="4"/>
    <n v="1110195"/>
    <n v="111"/>
  </r>
  <r>
    <x v="1939"/>
    <s v="M0045"/>
    <x v="352"/>
    <s v="Toko D - Medan"/>
    <x v="0"/>
    <n v="292413"/>
    <n v="29"/>
  </r>
  <r>
    <x v="1940"/>
    <s v="M0243"/>
    <x v="324"/>
    <s v="Toko B - Bandung"/>
    <x v="5"/>
    <n v="1014042"/>
    <n v="101"/>
  </r>
  <r>
    <x v="1941"/>
    <s v="M0218"/>
    <x v="33"/>
    <s v="Toko F - Makassar"/>
    <x v="1"/>
    <n v="191258"/>
    <n v="19"/>
  </r>
  <r>
    <x v="1942"/>
    <s v="M0003"/>
    <x v="66"/>
    <s v="Toko C - Surabaya"/>
    <x v="2"/>
    <n v="212854"/>
    <n v="21"/>
  </r>
  <r>
    <x v="1943"/>
    <s v="M0264"/>
    <x v="275"/>
    <s v="Toko G - Yogyakarta"/>
    <x v="3"/>
    <n v="25000"/>
    <n v="2"/>
  </r>
  <r>
    <x v="1944"/>
    <s v="M0089"/>
    <x v="301"/>
    <s v="Toko D - Medan"/>
    <x v="1"/>
    <n v="140386"/>
    <n v="14"/>
  </r>
  <r>
    <x v="1945"/>
    <s v="M0245"/>
    <x v="54"/>
    <s v="Toko G - Yogyakarta"/>
    <x v="2"/>
    <n v="189911"/>
    <n v="18"/>
  </r>
  <r>
    <x v="1946"/>
    <s v="M0275"/>
    <x v="47"/>
    <s v="Toko C - Surabaya"/>
    <x v="0"/>
    <n v="149825"/>
    <n v="14"/>
  </r>
  <r>
    <x v="1947"/>
    <s v="M0123"/>
    <x v="359"/>
    <s v="Toko A - Jakarta"/>
    <x v="2"/>
    <n v="426362"/>
    <n v="42"/>
  </r>
  <r>
    <x v="1948"/>
    <s v="M0280"/>
    <x v="301"/>
    <s v="Toko B - Bandung"/>
    <x v="2"/>
    <n v="314282"/>
    <n v="31"/>
  </r>
  <r>
    <x v="1949"/>
    <s v="M0075"/>
    <x v="92"/>
    <s v="Toko D - Medan"/>
    <x v="4"/>
    <n v="192224"/>
    <n v="19"/>
  </r>
  <r>
    <x v="1950"/>
    <s v="M0057"/>
    <x v="69"/>
    <s v="Toko H - Denpasar"/>
    <x v="1"/>
    <n v="33578"/>
    <n v="3"/>
  </r>
  <r>
    <x v="1951"/>
    <s v="M0100"/>
    <x v="222"/>
    <s v="Toko F - Makassar"/>
    <x v="1"/>
    <n v="621941"/>
    <n v="62"/>
  </r>
  <r>
    <x v="1952"/>
    <s v="M0089"/>
    <x v="346"/>
    <s v="Toko B - Bandung"/>
    <x v="4"/>
    <n v="204504"/>
    <n v="20"/>
  </r>
  <r>
    <x v="1953"/>
    <s v="M0151"/>
    <x v="277"/>
    <s v="Toko F - Makassar"/>
    <x v="5"/>
    <n v="259763"/>
    <n v="25"/>
  </r>
  <r>
    <x v="1954"/>
    <s v="M0257"/>
    <x v="325"/>
    <s v="Toko B - Bandung"/>
    <x v="0"/>
    <n v="442173"/>
    <n v="44"/>
  </r>
  <r>
    <x v="1955"/>
    <s v="M0093"/>
    <x v="99"/>
    <s v="Toko H - Denpasar"/>
    <x v="4"/>
    <n v="1144657"/>
    <n v="114"/>
  </r>
  <r>
    <x v="1956"/>
    <s v="M0096"/>
    <x v="342"/>
    <s v="Toko C - Surabaya"/>
    <x v="0"/>
    <n v="429629"/>
    <n v="42"/>
  </r>
  <r>
    <x v="1957"/>
    <s v="M0281"/>
    <x v="166"/>
    <s v="Toko B - Bandung"/>
    <x v="0"/>
    <n v="167830"/>
    <n v="16"/>
  </r>
  <r>
    <x v="1958"/>
    <s v="M0271"/>
    <x v="62"/>
    <s v="Toko C - Surabaya"/>
    <x v="4"/>
    <n v="514686"/>
    <n v="51"/>
  </r>
  <r>
    <x v="1959"/>
    <s v="M0265"/>
    <x v="113"/>
    <s v="Toko B - Bandung"/>
    <x v="2"/>
    <n v="592472"/>
    <n v="59"/>
  </r>
  <r>
    <x v="1960"/>
    <s v="M0122"/>
    <x v="309"/>
    <s v="Toko E - Semarang"/>
    <x v="3"/>
    <n v="181568"/>
    <n v="18"/>
  </r>
  <r>
    <x v="1961"/>
    <s v="M0024"/>
    <x v="184"/>
    <s v="Toko C - Surabaya"/>
    <x v="5"/>
    <n v="259427"/>
    <n v="25"/>
  </r>
  <r>
    <x v="1962"/>
    <s v="M0279"/>
    <x v="317"/>
    <s v="Toko D - Medan"/>
    <x v="5"/>
    <n v="105686"/>
    <n v="10"/>
  </r>
  <r>
    <x v="1963"/>
    <s v="M0205"/>
    <x v="316"/>
    <s v="Toko G - Yogyakarta"/>
    <x v="0"/>
    <n v="373116"/>
    <n v="37"/>
  </r>
  <r>
    <x v="1964"/>
    <s v="M0052"/>
    <x v="256"/>
    <s v="Toko C - Surabaya"/>
    <x v="3"/>
    <n v="243639"/>
    <n v="24"/>
  </r>
  <r>
    <x v="1965"/>
    <s v="M0240"/>
    <x v="337"/>
    <s v="Toko H - Denpasar"/>
    <x v="3"/>
    <n v="25000"/>
    <n v="2"/>
  </r>
  <r>
    <x v="1966"/>
    <s v="M0128"/>
    <x v="23"/>
    <s v="Toko H - Denpasar"/>
    <x v="0"/>
    <n v="563106"/>
    <n v="56"/>
  </r>
  <r>
    <x v="1967"/>
    <s v="M0193"/>
    <x v="114"/>
    <s v="Toko D - Medan"/>
    <x v="0"/>
    <n v="155091"/>
    <n v="15"/>
  </r>
  <r>
    <x v="1968"/>
    <s v="M0117"/>
    <x v="254"/>
    <s v="Toko G - Yogyakarta"/>
    <x v="2"/>
    <n v="178586"/>
    <n v="17"/>
  </r>
  <r>
    <x v="1969"/>
    <s v="M0227"/>
    <x v="130"/>
    <s v="Toko D - Medan"/>
    <x v="0"/>
    <n v="249939"/>
    <n v="24"/>
  </r>
  <r>
    <x v="1970"/>
    <s v="M0098"/>
    <x v="229"/>
    <s v="Toko E - Semarang"/>
    <x v="4"/>
    <n v="363811"/>
    <n v="36"/>
  </r>
  <r>
    <x v="1971"/>
    <s v="M0040"/>
    <x v="234"/>
    <s v="Toko G - Yogyakarta"/>
    <x v="5"/>
    <n v="280249"/>
    <n v="28"/>
  </r>
  <r>
    <x v="1972"/>
    <s v="M0198"/>
    <x v="212"/>
    <s v="Toko B - Bandung"/>
    <x v="4"/>
    <n v="395669"/>
    <n v="39"/>
  </r>
  <r>
    <x v="1973"/>
    <s v="M0074"/>
    <x v="189"/>
    <s v="Toko H - Denpasar"/>
    <x v="0"/>
    <n v="721837"/>
    <n v="72"/>
  </r>
  <r>
    <x v="1974"/>
    <s v="M0106"/>
    <x v="82"/>
    <s v="Toko E - Semarang"/>
    <x v="2"/>
    <n v="363306"/>
    <n v="36"/>
  </r>
  <r>
    <x v="1975"/>
    <s v="M0107"/>
    <x v="162"/>
    <s v="Toko G - Yogyakarta"/>
    <x v="0"/>
    <n v="404170"/>
    <n v="40"/>
  </r>
  <r>
    <x v="1976"/>
    <s v="M0187"/>
    <x v="114"/>
    <s v="Toko C - Surabaya"/>
    <x v="1"/>
    <n v="212216"/>
    <n v="21"/>
  </r>
  <r>
    <x v="1977"/>
    <s v="M0097"/>
    <x v="295"/>
    <s v="Toko C - Surabaya"/>
    <x v="1"/>
    <n v="231102"/>
    <n v="23"/>
  </r>
  <r>
    <x v="1978"/>
    <s v="M0200"/>
    <x v="246"/>
    <s v="Toko B - Bandung"/>
    <x v="0"/>
    <n v="320457"/>
    <n v="32"/>
  </r>
  <r>
    <x v="1979"/>
    <s v="M0219"/>
    <x v="6"/>
    <s v="Toko E - Semarang"/>
    <x v="5"/>
    <n v="676195"/>
    <n v="67"/>
  </r>
  <r>
    <x v="1980"/>
    <s v="M0290"/>
    <x v="68"/>
    <s v="Toko E - Semarang"/>
    <x v="3"/>
    <n v="568580"/>
    <n v="56"/>
  </r>
  <r>
    <x v="1981"/>
    <s v="M0199"/>
    <x v="213"/>
    <s v="Toko C - Surabaya"/>
    <x v="1"/>
    <n v="236943"/>
    <n v="23"/>
  </r>
  <r>
    <x v="1982"/>
    <s v="M0280"/>
    <x v="169"/>
    <s v="Toko B - Bandung"/>
    <x v="0"/>
    <n v="163787"/>
    <n v="16"/>
  </r>
  <r>
    <x v="1983"/>
    <s v="M0265"/>
    <x v="322"/>
    <s v="Toko F - Makassar"/>
    <x v="3"/>
    <n v="534634"/>
    <n v="53"/>
  </r>
  <r>
    <x v="1984"/>
    <s v="M0117"/>
    <x v="243"/>
    <s v="Toko E - Semarang"/>
    <x v="4"/>
    <n v="151925"/>
    <n v="15"/>
  </r>
  <r>
    <x v="1985"/>
    <s v="M0227"/>
    <x v="141"/>
    <s v="Toko E - Semarang"/>
    <x v="5"/>
    <n v="530480"/>
    <n v="53"/>
  </r>
  <r>
    <x v="1986"/>
    <s v="M0296"/>
    <x v="323"/>
    <s v="Toko G - Yogyakarta"/>
    <x v="4"/>
    <n v="890592"/>
    <n v="89"/>
  </r>
  <r>
    <x v="1987"/>
    <s v="M0143"/>
    <x v="166"/>
    <s v="Toko F - Makassar"/>
    <x v="4"/>
    <n v="573787"/>
    <n v="57"/>
  </r>
  <r>
    <x v="1988"/>
    <s v="M0290"/>
    <x v="296"/>
    <s v="Toko E - Semarang"/>
    <x v="0"/>
    <n v="420218"/>
    <n v="42"/>
  </r>
  <r>
    <x v="1989"/>
    <s v="M0016"/>
    <x v="361"/>
    <s v="Toko F - Makassar"/>
    <x v="4"/>
    <n v="856111"/>
    <n v="85"/>
  </r>
  <r>
    <x v="1990"/>
    <s v="M0249"/>
    <x v="75"/>
    <s v="Toko G - Yogyakarta"/>
    <x v="2"/>
    <n v="1550689"/>
    <n v="155"/>
  </r>
  <r>
    <x v="1991"/>
    <s v="M0128"/>
    <x v="172"/>
    <s v="Toko H - Denpasar"/>
    <x v="0"/>
    <n v="178823"/>
    <n v="17"/>
  </r>
  <r>
    <x v="1992"/>
    <s v="M0092"/>
    <x v="152"/>
    <s v="Toko E - Semarang"/>
    <x v="5"/>
    <n v="732843"/>
    <n v="73"/>
  </r>
  <r>
    <x v="1993"/>
    <s v="M0246"/>
    <x v="316"/>
    <s v="Toko A - Jakarta"/>
    <x v="3"/>
    <n v="251392"/>
    <n v="25"/>
  </r>
  <r>
    <x v="1994"/>
    <s v="M0220"/>
    <x v="139"/>
    <s v="Toko C - Surabaya"/>
    <x v="2"/>
    <n v="578462"/>
    <n v="57"/>
  </r>
  <r>
    <x v="1995"/>
    <s v="M0077"/>
    <x v="197"/>
    <s v="Toko B - Bandung"/>
    <x v="5"/>
    <n v="137210"/>
    <n v="13"/>
  </r>
  <r>
    <x v="1996"/>
    <s v="M0055"/>
    <x v="275"/>
    <s v="Toko G - Yogyakarta"/>
    <x v="5"/>
    <n v="259100"/>
    <n v="25"/>
  </r>
  <r>
    <x v="1997"/>
    <s v="M0228"/>
    <x v="156"/>
    <s v="Toko F - Makassar"/>
    <x v="0"/>
    <n v="276249"/>
    <n v="27"/>
  </r>
  <r>
    <x v="1998"/>
    <s v="M0253"/>
    <x v="340"/>
    <s v="Toko A - Jakarta"/>
    <x v="3"/>
    <n v="351137"/>
    <n v="35"/>
  </r>
  <r>
    <x v="1999"/>
    <s v="M0031"/>
    <x v="315"/>
    <s v="Toko B - Bandung"/>
    <x v="5"/>
    <n v="509549"/>
    <n v="50"/>
  </r>
  <r>
    <x v="2000"/>
    <s v="M0050"/>
    <x v="187"/>
    <s v="Toko C - Surabaya"/>
    <x v="3"/>
    <n v="358002"/>
    <n v="35"/>
  </r>
  <r>
    <x v="2001"/>
    <s v="M0276"/>
    <x v="138"/>
    <s v="Toko C - Surabaya"/>
    <x v="5"/>
    <n v="727424"/>
    <n v="72"/>
  </r>
  <r>
    <x v="2002"/>
    <s v="M0224"/>
    <x v="156"/>
    <s v="Toko G - Yogyakarta"/>
    <x v="0"/>
    <n v="255860"/>
    <n v="25"/>
  </r>
  <r>
    <x v="2003"/>
    <s v="M0288"/>
    <x v="339"/>
    <s v="Toko F - Makassar"/>
    <x v="3"/>
    <n v="211764"/>
    <n v="21"/>
  </r>
  <r>
    <x v="2004"/>
    <s v="M0074"/>
    <x v="70"/>
    <s v="Toko F - Makassar"/>
    <x v="5"/>
    <n v="71345"/>
    <n v="7"/>
  </r>
  <r>
    <x v="2005"/>
    <s v="M0252"/>
    <x v="337"/>
    <s v="Toko D - Medan"/>
    <x v="1"/>
    <n v="445718"/>
    <n v="44"/>
  </r>
  <r>
    <x v="2006"/>
    <s v="M0240"/>
    <x v="281"/>
    <s v="Toko C - Surabaya"/>
    <x v="4"/>
    <n v="125419"/>
    <n v="12"/>
  </r>
  <r>
    <x v="2007"/>
    <s v="M0281"/>
    <x v="277"/>
    <s v="Toko E - Semarang"/>
    <x v="5"/>
    <n v="147270"/>
    <n v="14"/>
  </r>
  <r>
    <x v="2008"/>
    <s v="M0070"/>
    <x v="302"/>
    <s v="Toko E - Semarang"/>
    <x v="2"/>
    <n v="234692"/>
    <n v="23"/>
  </r>
  <r>
    <x v="2009"/>
    <s v="M0166"/>
    <x v="200"/>
    <s v="Toko H - Denpasar"/>
    <x v="2"/>
    <n v="208087"/>
    <n v="20"/>
  </r>
  <r>
    <x v="2010"/>
    <s v="M0128"/>
    <x v="100"/>
    <s v="Toko E - Semarang"/>
    <x v="2"/>
    <n v="191727"/>
    <n v="19"/>
  </r>
  <r>
    <x v="2011"/>
    <s v="M0208"/>
    <x v="320"/>
    <s v="Toko B - Bandung"/>
    <x v="2"/>
    <n v="232150"/>
    <n v="23"/>
  </r>
  <r>
    <x v="2012"/>
    <s v="M0188"/>
    <x v="36"/>
    <s v="Toko F - Makassar"/>
    <x v="4"/>
    <n v="146016"/>
    <n v="14"/>
  </r>
  <r>
    <x v="2013"/>
    <s v="M0249"/>
    <x v="299"/>
    <s v="Toko B - Bandung"/>
    <x v="5"/>
    <n v="359091"/>
    <n v="35"/>
  </r>
  <r>
    <x v="2014"/>
    <s v="M0212"/>
    <x v="274"/>
    <s v="Toko D - Medan"/>
    <x v="5"/>
    <n v="242794"/>
    <n v="24"/>
  </r>
  <r>
    <x v="2015"/>
    <s v="M0118"/>
    <x v="156"/>
    <s v="Toko H - Denpasar"/>
    <x v="2"/>
    <n v="371410"/>
    <n v="37"/>
  </r>
  <r>
    <x v="2016"/>
    <s v="M0035"/>
    <x v="124"/>
    <s v="Toko B - Bandung"/>
    <x v="4"/>
    <n v="57274"/>
    <n v="5"/>
  </r>
  <r>
    <x v="2017"/>
    <s v="M0105"/>
    <x v="134"/>
    <s v="Toko E - Semarang"/>
    <x v="5"/>
    <n v="601630"/>
    <n v="60"/>
  </r>
  <r>
    <x v="2018"/>
    <s v="M0227"/>
    <x v="265"/>
    <s v="Toko C - Surabaya"/>
    <x v="0"/>
    <n v="67818"/>
    <n v="6"/>
  </r>
  <r>
    <x v="2019"/>
    <s v="M0193"/>
    <x v="286"/>
    <s v="Toko A - Jakarta"/>
    <x v="2"/>
    <n v="754792"/>
    <n v="75"/>
  </r>
  <r>
    <x v="2020"/>
    <s v="M0290"/>
    <x v="243"/>
    <s v="Toko H - Denpasar"/>
    <x v="5"/>
    <n v="258688"/>
    <n v="25"/>
  </r>
  <r>
    <x v="2021"/>
    <s v="M0231"/>
    <x v="358"/>
    <s v="Toko G - Yogyakarta"/>
    <x v="2"/>
    <n v="998271"/>
    <n v="99"/>
  </r>
  <r>
    <x v="2022"/>
    <s v="M0242"/>
    <x v="114"/>
    <s v="Toko G - Yogyakarta"/>
    <x v="2"/>
    <n v="315672"/>
    <n v="31"/>
  </r>
  <r>
    <x v="2023"/>
    <s v="M0143"/>
    <x v="197"/>
    <s v="Toko A - Jakarta"/>
    <x v="2"/>
    <n v="94661"/>
    <n v="9"/>
  </r>
  <r>
    <x v="2024"/>
    <s v="M0074"/>
    <x v="243"/>
    <s v="Toko D - Medan"/>
    <x v="1"/>
    <n v="253029"/>
    <n v="25"/>
  </r>
  <r>
    <x v="2025"/>
    <s v="M0298"/>
    <x v="293"/>
    <s v="Toko E - Semarang"/>
    <x v="0"/>
    <n v="372824"/>
    <n v="37"/>
  </r>
  <r>
    <x v="2026"/>
    <s v="M0074"/>
    <x v="248"/>
    <s v="Toko F - Makassar"/>
    <x v="3"/>
    <n v="196690"/>
    <n v="19"/>
  </r>
  <r>
    <x v="2027"/>
    <s v="M0013"/>
    <x v="36"/>
    <s v="Toko B - Bandung"/>
    <x v="0"/>
    <n v="201374"/>
    <n v="20"/>
  </r>
  <r>
    <x v="2028"/>
    <s v="M0128"/>
    <x v="74"/>
    <s v="Toko E - Semarang"/>
    <x v="4"/>
    <n v="122164"/>
    <n v="12"/>
  </r>
  <r>
    <x v="2029"/>
    <s v="M0034"/>
    <x v="94"/>
    <s v="Toko A - Jakarta"/>
    <x v="4"/>
    <n v="126042"/>
    <n v="12"/>
  </r>
  <r>
    <x v="2030"/>
    <s v="M0186"/>
    <x v="30"/>
    <s v="Toko C - Surabaya"/>
    <x v="1"/>
    <n v="454515"/>
    <n v="45"/>
  </r>
  <r>
    <x v="2031"/>
    <s v="M0211"/>
    <x v="279"/>
    <s v="Toko D - Medan"/>
    <x v="2"/>
    <n v="378031"/>
    <n v="37"/>
  </r>
  <r>
    <x v="2032"/>
    <s v="M0071"/>
    <x v="14"/>
    <s v="Toko E - Semarang"/>
    <x v="1"/>
    <n v="1063983"/>
    <n v="106"/>
  </r>
  <r>
    <x v="2033"/>
    <s v="M0297"/>
    <x v="208"/>
    <s v="Toko G - Yogyakarta"/>
    <x v="1"/>
    <n v="25000"/>
    <n v="2"/>
  </r>
  <r>
    <x v="2034"/>
    <s v="M0121"/>
    <x v="54"/>
    <s v="Toko D - Medan"/>
    <x v="5"/>
    <n v="424601"/>
    <n v="42"/>
  </r>
  <r>
    <x v="2035"/>
    <s v="M0035"/>
    <x v="203"/>
    <s v="Toko E - Semarang"/>
    <x v="1"/>
    <n v="220633"/>
    <n v="22"/>
  </r>
  <r>
    <x v="2036"/>
    <s v="M0134"/>
    <x v="81"/>
    <s v="Toko F - Makassar"/>
    <x v="1"/>
    <n v="371620"/>
    <n v="37"/>
  </r>
  <r>
    <x v="2037"/>
    <s v="M0154"/>
    <x v="352"/>
    <s v="Toko H - Denpasar"/>
    <x v="1"/>
    <n v="110335"/>
    <n v="11"/>
  </r>
  <r>
    <x v="2038"/>
    <s v="M0097"/>
    <x v="339"/>
    <s v="Toko F - Makassar"/>
    <x v="2"/>
    <n v="25000"/>
    <n v="2"/>
  </r>
  <r>
    <x v="2039"/>
    <s v="M0173"/>
    <x v="118"/>
    <s v="Toko F - Makassar"/>
    <x v="1"/>
    <n v="384807"/>
    <n v="38"/>
  </r>
  <r>
    <x v="2040"/>
    <s v="M0288"/>
    <x v="147"/>
    <s v="Toko F - Makassar"/>
    <x v="4"/>
    <n v="361991"/>
    <n v="36"/>
  </r>
  <r>
    <x v="2041"/>
    <s v="M0192"/>
    <x v="107"/>
    <s v="Toko H - Denpasar"/>
    <x v="5"/>
    <n v="355896"/>
    <n v="35"/>
  </r>
  <r>
    <x v="2042"/>
    <s v="M0056"/>
    <x v="16"/>
    <s v="Toko D - Medan"/>
    <x v="2"/>
    <n v="74997"/>
    <n v="7"/>
  </r>
  <r>
    <x v="2043"/>
    <s v="M0234"/>
    <x v="150"/>
    <s v="Toko F - Makassar"/>
    <x v="2"/>
    <n v="311076"/>
    <n v="31"/>
  </r>
  <r>
    <x v="2044"/>
    <s v="M0222"/>
    <x v="46"/>
    <s v="Toko H - Denpasar"/>
    <x v="0"/>
    <n v="259014"/>
    <n v="25"/>
  </r>
  <r>
    <x v="2045"/>
    <s v="M0077"/>
    <x v="149"/>
    <s v="Toko G - Yogyakarta"/>
    <x v="0"/>
    <n v="295915"/>
    <n v="29"/>
  </r>
  <r>
    <x v="2046"/>
    <s v="M0048"/>
    <x v="173"/>
    <s v="Toko E - Semarang"/>
    <x v="2"/>
    <n v="518297"/>
    <n v="51"/>
  </r>
  <r>
    <x v="2047"/>
    <s v="M0105"/>
    <x v="267"/>
    <s v="Toko D - Medan"/>
    <x v="1"/>
    <n v="227826"/>
    <n v="22"/>
  </r>
  <r>
    <x v="2048"/>
    <s v="M0112"/>
    <x v="156"/>
    <s v="Toko H - Denpasar"/>
    <x v="0"/>
    <n v="362635"/>
    <n v="36"/>
  </r>
  <r>
    <x v="2049"/>
    <s v="M0087"/>
    <x v="222"/>
    <s v="Toko B - Bandung"/>
    <x v="0"/>
    <n v="208951"/>
    <n v="20"/>
  </r>
  <r>
    <x v="2050"/>
    <s v="M0034"/>
    <x v="234"/>
    <s v="Toko C - Surabaya"/>
    <x v="2"/>
    <n v="308229"/>
    <n v="30"/>
  </r>
  <r>
    <x v="2051"/>
    <s v="M0102"/>
    <x v="90"/>
    <s v="Toko C - Surabaya"/>
    <x v="1"/>
    <n v="235227"/>
    <n v="23"/>
  </r>
  <r>
    <x v="2052"/>
    <s v="M0049"/>
    <x v="130"/>
    <s v="Toko E - Semarang"/>
    <x v="4"/>
    <n v="243343"/>
    <n v="24"/>
  </r>
  <r>
    <x v="2053"/>
    <s v="M0105"/>
    <x v="213"/>
    <s v="Toko D - Medan"/>
    <x v="1"/>
    <n v="675473"/>
    <n v="67"/>
  </r>
  <r>
    <x v="2054"/>
    <s v="M0153"/>
    <x v="321"/>
    <s v="Toko F - Makassar"/>
    <x v="3"/>
    <n v="43707"/>
    <n v="4"/>
  </r>
  <r>
    <x v="2055"/>
    <s v="M0151"/>
    <x v="340"/>
    <s v="Toko B - Bandung"/>
    <x v="1"/>
    <n v="528333"/>
    <n v="52"/>
  </r>
  <r>
    <x v="2056"/>
    <s v="M0003"/>
    <x v="23"/>
    <s v="Toko F - Makassar"/>
    <x v="3"/>
    <n v="314354"/>
    <n v="31"/>
  </r>
  <r>
    <x v="2057"/>
    <s v="M0013"/>
    <x v="241"/>
    <s v="Toko H - Denpasar"/>
    <x v="1"/>
    <n v="273075"/>
    <n v="27"/>
  </r>
  <r>
    <x v="2058"/>
    <s v="M0052"/>
    <x v="231"/>
    <s v="Toko G - Yogyakarta"/>
    <x v="0"/>
    <n v="162564"/>
    <n v="16"/>
  </r>
  <r>
    <x v="2059"/>
    <s v="M0112"/>
    <x v="139"/>
    <s v="Toko G - Yogyakarta"/>
    <x v="2"/>
    <n v="710223"/>
    <n v="71"/>
  </r>
  <r>
    <x v="2060"/>
    <s v="M0231"/>
    <x v="182"/>
    <s v="Toko F - Makassar"/>
    <x v="1"/>
    <n v="361244"/>
    <n v="36"/>
  </r>
  <r>
    <x v="2061"/>
    <s v="M0113"/>
    <x v="238"/>
    <s v="Toko C - Surabaya"/>
    <x v="0"/>
    <n v="742863"/>
    <n v="74"/>
  </r>
  <r>
    <x v="2062"/>
    <s v="M0193"/>
    <x v="57"/>
    <s v="Toko A - Jakarta"/>
    <x v="2"/>
    <n v="2041534"/>
    <n v="204"/>
  </r>
  <r>
    <x v="2063"/>
    <s v="M0079"/>
    <x v="263"/>
    <s v="Toko F - Makassar"/>
    <x v="1"/>
    <n v="128573"/>
    <n v="12"/>
  </r>
  <r>
    <x v="2064"/>
    <s v="M0038"/>
    <x v="312"/>
    <s v="Toko D - Medan"/>
    <x v="1"/>
    <n v="478493"/>
    <n v="47"/>
  </r>
  <r>
    <x v="2065"/>
    <s v="M0195"/>
    <x v="52"/>
    <s v="Toko A - Jakarta"/>
    <x v="3"/>
    <n v="326036"/>
    <n v="32"/>
  </r>
  <r>
    <x v="2066"/>
    <s v="M0046"/>
    <x v="7"/>
    <s v="Toko B - Bandung"/>
    <x v="3"/>
    <n v="479271"/>
    <n v="47"/>
  </r>
  <r>
    <x v="2067"/>
    <s v="M0155"/>
    <x v="108"/>
    <s v="Toko C - Surabaya"/>
    <x v="0"/>
    <n v="200997"/>
    <n v="20"/>
  </r>
  <r>
    <x v="2068"/>
    <s v="M0141"/>
    <x v="212"/>
    <s v="Toko H - Denpasar"/>
    <x v="3"/>
    <n v="107034"/>
    <n v="10"/>
  </r>
  <r>
    <x v="2069"/>
    <s v="M0089"/>
    <x v="338"/>
    <s v="Toko F - Makassar"/>
    <x v="5"/>
    <n v="557078"/>
    <n v="55"/>
  </r>
  <r>
    <x v="2070"/>
    <s v="M0008"/>
    <x v="317"/>
    <s v="Toko H - Denpasar"/>
    <x v="3"/>
    <n v="198164"/>
    <n v="19"/>
  </r>
  <r>
    <x v="2071"/>
    <s v="M0222"/>
    <x v="247"/>
    <s v="Toko B - Bandung"/>
    <x v="2"/>
    <n v="402264"/>
    <n v="40"/>
  </r>
  <r>
    <x v="2072"/>
    <s v="M0151"/>
    <x v="64"/>
    <s v="Toko A - Jakarta"/>
    <x v="4"/>
    <n v="304080"/>
    <n v="30"/>
  </r>
  <r>
    <x v="2073"/>
    <s v="M0140"/>
    <x v="75"/>
    <s v="Toko G - Yogyakarta"/>
    <x v="3"/>
    <n v="106760"/>
    <n v="10"/>
  </r>
  <r>
    <x v="2074"/>
    <s v="M0297"/>
    <x v="3"/>
    <s v="Toko D - Medan"/>
    <x v="5"/>
    <n v="356737"/>
    <n v="35"/>
  </r>
  <r>
    <x v="2075"/>
    <s v="M0056"/>
    <x v="243"/>
    <s v="Toko E - Semarang"/>
    <x v="2"/>
    <n v="290019"/>
    <n v="29"/>
  </r>
  <r>
    <x v="2076"/>
    <s v="M0288"/>
    <x v="26"/>
    <s v="Toko F - Makassar"/>
    <x v="3"/>
    <n v="489751"/>
    <n v="48"/>
  </r>
  <r>
    <x v="2077"/>
    <s v="M0129"/>
    <x v="169"/>
    <s v="Toko H - Denpasar"/>
    <x v="2"/>
    <n v="390883"/>
    <n v="39"/>
  </r>
  <r>
    <x v="2078"/>
    <s v="M0077"/>
    <x v="325"/>
    <s v="Toko A - Jakarta"/>
    <x v="0"/>
    <n v="345366"/>
    <n v="34"/>
  </r>
  <r>
    <x v="2079"/>
    <s v="M0083"/>
    <x v="235"/>
    <s v="Toko F - Makassar"/>
    <x v="1"/>
    <n v="252010"/>
    <n v="25"/>
  </r>
  <r>
    <x v="2080"/>
    <s v="M0177"/>
    <x v="316"/>
    <s v="Toko B - Bandung"/>
    <x v="0"/>
    <n v="184896"/>
    <n v="18"/>
  </r>
  <r>
    <x v="2081"/>
    <s v="M0281"/>
    <x v="232"/>
    <s v="Toko F - Makassar"/>
    <x v="2"/>
    <n v="554706"/>
    <n v="55"/>
  </r>
  <r>
    <x v="2082"/>
    <s v="M0189"/>
    <x v="100"/>
    <s v="Toko G - Yogyakarta"/>
    <x v="3"/>
    <n v="691211"/>
    <n v="69"/>
  </r>
  <r>
    <x v="2083"/>
    <s v="M0274"/>
    <x v="191"/>
    <s v="Toko A - Jakarta"/>
    <x v="2"/>
    <n v="544074"/>
    <n v="54"/>
  </r>
  <r>
    <x v="2084"/>
    <s v="M0109"/>
    <x v="46"/>
    <s v="Toko H - Denpasar"/>
    <x v="2"/>
    <n v="749109"/>
    <n v="74"/>
  </r>
  <r>
    <x v="2085"/>
    <s v="M0272"/>
    <x v="259"/>
    <s v="Toko B - Bandung"/>
    <x v="5"/>
    <n v="182085"/>
    <n v="18"/>
  </r>
  <r>
    <x v="2086"/>
    <s v="M0218"/>
    <x v="276"/>
    <s v="Toko C - Surabaya"/>
    <x v="2"/>
    <n v="1003252"/>
    <n v="100"/>
  </r>
  <r>
    <x v="2087"/>
    <s v="M0105"/>
    <x v="329"/>
    <s v="Toko G - Yogyakarta"/>
    <x v="4"/>
    <n v="84133"/>
    <n v="8"/>
  </r>
  <r>
    <x v="2088"/>
    <s v="M0114"/>
    <x v="323"/>
    <s v="Toko H - Denpasar"/>
    <x v="4"/>
    <n v="225433"/>
    <n v="22"/>
  </r>
  <r>
    <x v="2089"/>
    <s v="M0197"/>
    <x v="192"/>
    <s v="Toko E - Semarang"/>
    <x v="2"/>
    <n v="171754"/>
    <n v="17"/>
  </r>
  <r>
    <x v="2090"/>
    <s v="M0088"/>
    <x v="360"/>
    <s v="Toko E - Semarang"/>
    <x v="0"/>
    <n v="510286"/>
    <n v="51"/>
  </r>
  <r>
    <x v="2091"/>
    <s v="M0059"/>
    <x v="310"/>
    <s v="Toko E - Semarang"/>
    <x v="0"/>
    <n v="240874"/>
    <n v="24"/>
  </r>
  <r>
    <x v="2092"/>
    <s v="M0096"/>
    <x v="170"/>
    <s v="Toko C - Surabaya"/>
    <x v="1"/>
    <n v="160380"/>
    <n v="16"/>
  </r>
  <r>
    <x v="2093"/>
    <s v="M0261"/>
    <x v="275"/>
    <s v="Toko F - Makassar"/>
    <x v="2"/>
    <n v="214039"/>
    <n v="21"/>
  </r>
  <r>
    <x v="2094"/>
    <s v="M0054"/>
    <x v="74"/>
    <s v="Toko H - Denpasar"/>
    <x v="4"/>
    <n v="328404"/>
    <n v="32"/>
  </r>
  <r>
    <x v="2095"/>
    <s v="M0075"/>
    <x v="124"/>
    <s v="Toko G - Yogyakarta"/>
    <x v="3"/>
    <n v="47566"/>
    <n v="4"/>
  </r>
  <r>
    <x v="2096"/>
    <s v="M0020"/>
    <x v="253"/>
    <s v="Toko G - Yogyakarta"/>
    <x v="1"/>
    <n v="98129"/>
    <n v="9"/>
  </r>
  <r>
    <x v="2097"/>
    <s v="M0210"/>
    <x v="98"/>
    <s v="Toko D - Medan"/>
    <x v="1"/>
    <n v="519913"/>
    <n v="51"/>
  </r>
  <r>
    <x v="2098"/>
    <s v="M0253"/>
    <x v="222"/>
    <s v="Toko C - Surabaya"/>
    <x v="4"/>
    <n v="39962"/>
    <n v="3"/>
  </r>
  <r>
    <x v="2099"/>
    <s v="M0236"/>
    <x v="125"/>
    <s v="Toko H - Denpasar"/>
    <x v="0"/>
    <n v="826783"/>
    <n v="82"/>
  </r>
  <r>
    <x v="2100"/>
    <s v="M0087"/>
    <x v="60"/>
    <s v="Toko E - Semarang"/>
    <x v="2"/>
    <n v="158437"/>
    <n v="15"/>
  </r>
  <r>
    <x v="2101"/>
    <s v="M0283"/>
    <x v="172"/>
    <s v="Toko B - Bandung"/>
    <x v="3"/>
    <n v="650234"/>
    <n v="65"/>
  </r>
  <r>
    <x v="2102"/>
    <s v="M0243"/>
    <x v="240"/>
    <s v="Toko H - Denpasar"/>
    <x v="4"/>
    <n v="575069"/>
    <n v="57"/>
  </r>
  <r>
    <x v="2103"/>
    <s v="M0018"/>
    <x v="146"/>
    <s v="Toko A - Jakarta"/>
    <x v="0"/>
    <n v="63341"/>
    <n v="6"/>
  </r>
  <r>
    <x v="2104"/>
    <s v="M0095"/>
    <x v="99"/>
    <s v="Toko F - Makassar"/>
    <x v="3"/>
    <n v="99491"/>
    <n v="9"/>
  </r>
  <r>
    <x v="2105"/>
    <s v="M0080"/>
    <x v="302"/>
    <s v="Toko B - Bandung"/>
    <x v="5"/>
    <n v="298060"/>
    <n v="29"/>
  </r>
  <r>
    <x v="2106"/>
    <s v="M0246"/>
    <x v="149"/>
    <s v="Toko D - Medan"/>
    <x v="1"/>
    <n v="175461"/>
    <n v="17"/>
  </r>
  <r>
    <x v="2107"/>
    <s v="M0151"/>
    <x v="335"/>
    <s v="Toko F - Makassar"/>
    <x v="1"/>
    <n v="345132"/>
    <n v="34"/>
  </r>
  <r>
    <x v="2108"/>
    <s v="M0189"/>
    <x v="314"/>
    <s v="Toko A - Jakarta"/>
    <x v="0"/>
    <n v="746493"/>
    <n v="74"/>
  </r>
  <r>
    <x v="2109"/>
    <s v="M0274"/>
    <x v="41"/>
    <s v="Toko A - Jakarta"/>
    <x v="3"/>
    <n v="615460"/>
    <n v="61"/>
  </r>
  <r>
    <x v="2110"/>
    <s v="M0114"/>
    <x v="289"/>
    <s v="Toko G - Yogyakarta"/>
    <x v="5"/>
    <n v="466992"/>
    <n v="46"/>
  </r>
  <r>
    <x v="2111"/>
    <s v="M0140"/>
    <x v="38"/>
    <s v="Toko B - Bandung"/>
    <x v="0"/>
    <n v="680035"/>
    <n v="68"/>
  </r>
  <r>
    <x v="2112"/>
    <s v="M0087"/>
    <x v="46"/>
    <s v="Toko G - Yogyakarta"/>
    <x v="3"/>
    <n v="154152"/>
    <n v="15"/>
  </r>
  <r>
    <x v="2113"/>
    <s v="M0294"/>
    <x v="2"/>
    <s v="Toko F - Makassar"/>
    <x v="0"/>
    <n v="161401"/>
    <n v="16"/>
  </r>
  <r>
    <x v="2114"/>
    <s v="M0298"/>
    <x v="203"/>
    <s v="Toko E - Semarang"/>
    <x v="5"/>
    <n v="25000"/>
    <n v="2"/>
  </r>
  <r>
    <x v="2115"/>
    <s v="M0183"/>
    <x v="99"/>
    <s v="Toko G - Yogyakarta"/>
    <x v="4"/>
    <n v="187936"/>
    <n v="18"/>
  </r>
  <r>
    <x v="2116"/>
    <s v="M0087"/>
    <x v="170"/>
    <s v="Toko G - Yogyakarta"/>
    <x v="0"/>
    <n v="250590"/>
    <n v="25"/>
  </r>
  <r>
    <x v="2117"/>
    <s v="M0175"/>
    <x v="105"/>
    <s v="Toko F - Makassar"/>
    <x v="4"/>
    <n v="311941"/>
    <n v="31"/>
  </r>
  <r>
    <x v="2118"/>
    <s v="M0259"/>
    <x v="261"/>
    <s v="Toko D - Medan"/>
    <x v="1"/>
    <n v="63285"/>
    <n v="6"/>
  </r>
  <r>
    <x v="2119"/>
    <s v="M0092"/>
    <x v="13"/>
    <s v="Toko C - Surabaya"/>
    <x v="3"/>
    <n v="334480"/>
    <n v="33"/>
  </r>
  <r>
    <x v="2120"/>
    <s v="M0280"/>
    <x v="73"/>
    <s v="Toko D - Medan"/>
    <x v="3"/>
    <n v="326273"/>
    <n v="32"/>
  </r>
  <r>
    <x v="2121"/>
    <s v="M0226"/>
    <x v="104"/>
    <s v="Toko H - Denpasar"/>
    <x v="1"/>
    <n v="108806"/>
    <n v="10"/>
  </r>
  <r>
    <x v="2122"/>
    <s v="M0182"/>
    <x v="163"/>
    <s v="Toko G - Yogyakarta"/>
    <x v="5"/>
    <n v="405925"/>
    <n v="40"/>
  </r>
  <r>
    <x v="2123"/>
    <s v="M0290"/>
    <x v="298"/>
    <s v="Toko F - Makassar"/>
    <x v="1"/>
    <n v="41426"/>
    <n v="4"/>
  </r>
  <r>
    <x v="2124"/>
    <s v="M0242"/>
    <x v="132"/>
    <s v="Toko F - Makassar"/>
    <x v="1"/>
    <n v="130222"/>
    <n v="13"/>
  </r>
  <r>
    <x v="2125"/>
    <s v="M0225"/>
    <x v="186"/>
    <s v="Toko A - Jakarta"/>
    <x v="1"/>
    <n v="735420"/>
    <n v="73"/>
  </r>
  <r>
    <x v="2126"/>
    <s v="M0227"/>
    <x v="314"/>
    <s v="Toko E - Semarang"/>
    <x v="5"/>
    <n v="769650"/>
    <n v="76"/>
  </r>
  <r>
    <x v="2127"/>
    <s v="M0066"/>
    <x v="231"/>
    <s v="Toko G - Yogyakarta"/>
    <x v="3"/>
    <n v="303953"/>
    <n v="30"/>
  </r>
  <r>
    <x v="2128"/>
    <s v="M0154"/>
    <x v="342"/>
    <s v="Toko D - Medan"/>
    <x v="0"/>
    <n v="178176"/>
    <n v="17"/>
  </r>
  <r>
    <x v="2129"/>
    <s v="M0154"/>
    <x v="324"/>
    <s v="Toko F - Makassar"/>
    <x v="5"/>
    <n v="207984"/>
    <n v="20"/>
  </r>
  <r>
    <x v="2130"/>
    <s v="M0018"/>
    <x v="106"/>
    <s v="Toko H - Denpasar"/>
    <x v="3"/>
    <n v="93602"/>
    <n v="9"/>
  </r>
  <r>
    <x v="2131"/>
    <s v="M0048"/>
    <x v="72"/>
    <s v="Toko C - Surabaya"/>
    <x v="3"/>
    <n v="290027"/>
    <n v="29"/>
  </r>
  <r>
    <x v="2132"/>
    <s v="M0234"/>
    <x v="88"/>
    <s v="Toko E - Semarang"/>
    <x v="4"/>
    <n v="74305"/>
    <n v="7"/>
  </r>
  <r>
    <x v="2133"/>
    <s v="M0093"/>
    <x v="143"/>
    <s v="Toko G - Yogyakarta"/>
    <x v="2"/>
    <n v="874440"/>
    <n v="87"/>
  </r>
  <r>
    <x v="2134"/>
    <s v="M0094"/>
    <x v="27"/>
    <s v="Toko A - Jakarta"/>
    <x v="1"/>
    <n v="214341"/>
    <n v="21"/>
  </r>
  <r>
    <x v="2135"/>
    <s v="M0242"/>
    <x v="325"/>
    <s v="Toko G - Yogyakarta"/>
    <x v="2"/>
    <n v="521084"/>
    <n v="52"/>
  </r>
  <r>
    <x v="2136"/>
    <s v="M0141"/>
    <x v="158"/>
    <s v="Toko A - Jakarta"/>
    <x v="0"/>
    <n v="52957"/>
    <n v="5"/>
  </r>
  <r>
    <x v="2137"/>
    <s v="M0274"/>
    <x v="360"/>
    <s v="Toko F - Makassar"/>
    <x v="5"/>
    <n v="127475"/>
    <n v="12"/>
  </r>
  <r>
    <x v="2138"/>
    <s v="M0116"/>
    <x v="54"/>
    <s v="Toko H - Denpasar"/>
    <x v="1"/>
    <n v="204637"/>
    <n v="20"/>
  </r>
  <r>
    <x v="2139"/>
    <s v="M0092"/>
    <x v="279"/>
    <s v="Toko C - Surabaya"/>
    <x v="2"/>
    <n v="211668"/>
    <n v="21"/>
  </r>
  <r>
    <x v="2140"/>
    <s v="M0218"/>
    <x v="234"/>
    <s v="Toko C - Surabaya"/>
    <x v="1"/>
    <n v="33904"/>
    <n v="3"/>
  </r>
  <r>
    <x v="2141"/>
    <s v="M0252"/>
    <x v="29"/>
    <s v="Toko H - Denpasar"/>
    <x v="4"/>
    <n v="307648"/>
    <n v="30"/>
  </r>
  <r>
    <x v="2142"/>
    <s v="M0242"/>
    <x v="209"/>
    <s v="Toko A - Jakarta"/>
    <x v="2"/>
    <n v="1119932"/>
    <n v="111"/>
  </r>
  <r>
    <x v="2143"/>
    <s v="M0012"/>
    <x v="253"/>
    <s v="Toko A - Jakarta"/>
    <x v="2"/>
    <n v="274026"/>
    <n v="27"/>
  </r>
  <r>
    <x v="2144"/>
    <s v="M0044"/>
    <x v="349"/>
    <s v="Toko G - Yogyakarta"/>
    <x v="3"/>
    <n v="64558"/>
    <n v="6"/>
  </r>
  <r>
    <x v="2145"/>
    <s v="M0114"/>
    <x v="148"/>
    <s v="Toko F - Makassar"/>
    <x v="0"/>
    <n v="710201"/>
    <n v="71"/>
  </r>
  <r>
    <x v="2146"/>
    <s v="M0192"/>
    <x v="154"/>
    <s v="Toko C - Surabaya"/>
    <x v="4"/>
    <n v="153018"/>
    <n v="15"/>
  </r>
  <r>
    <x v="2147"/>
    <s v="M0056"/>
    <x v="287"/>
    <s v="Toko C - Surabaya"/>
    <x v="5"/>
    <n v="330392"/>
    <n v="33"/>
  </r>
  <r>
    <x v="2148"/>
    <s v="M0010"/>
    <x v="136"/>
    <s v="Toko F - Makassar"/>
    <x v="2"/>
    <n v="817739"/>
    <n v="81"/>
  </r>
  <r>
    <x v="2149"/>
    <s v="M0168"/>
    <x v="4"/>
    <s v="Toko D - Medan"/>
    <x v="0"/>
    <n v="1075877"/>
    <n v="107"/>
  </r>
  <r>
    <x v="2150"/>
    <s v="M0201"/>
    <x v="342"/>
    <s v="Toko G - Yogyakarta"/>
    <x v="4"/>
    <n v="221123"/>
    <n v="22"/>
  </r>
  <r>
    <x v="2151"/>
    <s v="M0068"/>
    <x v="42"/>
    <s v="Toko D - Medan"/>
    <x v="0"/>
    <n v="265173"/>
    <n v="26"/>
  </r>
  <r>
    <x v="2152"/>
    <s v="M0227"/>
    <x v="221"/>
    <s v="Toko C - Surabaya"/>
    <x v="0"/>
    <n v="910604"/>
    <n v="91"/>
  </r>
  <r>
    <x v="2153"/>
    <s v="M0171"/>
    <x v="30"/>
    <s v="Toko F - Makassar"/>
    <x v="1"/>
    <n v="768598"/>
    <n v="76"/>
  </r>
  <r>
    <x v="2154"/>
    <s v="M0269"/>
    <x v="302"/>
    <s v="Toko B - Bandung"/>
    <x v="3"/>
    <n v="209510"/>
    <n v="20"/>
  </r>
  <r>
    <x v="2155"/>
    <s v="M0148"/>
    <x v="284"/>
    <s v="Toko E - Semarang"/>
    <x v="1"/>
    <n v="151225"/>
    <n v="15"/>
  </r>
  <r>
    <x v="2156"/>
    <s v="M0267"/>
    <x v="312"/>
    <s v="Toko C - Surabaya"/>
    <x v="3"/>
    <n v="353147"/>
    <n v="35"/>
  </r>
  <r>
    <x v="2157"/>
    <s v="M0162"/>
    <x v="315"/>
    <s v="Toko E - Semarang"/>
    <x v="4"/>
    <n v="520661"/>
    <n v="52"/>
  </r>
  <r>
    <x v="2158"/>
    <s v="M0108"/>
    <x v="135"/>
    <s v="Toko C - Surabaya"/>
    <x v="2"/>
    <n v="246258"/>
    <n v="24"/>
  </r>
  <r>
    <x v="2159"/>
    <s v="M0081"/>
    <x v="235"/>
    <s v="Toko C - Surabaya"/>
    <x v="2"/>
    <n v="266183"/>
    <n v="26"/>
  </r>
  <r>
    <x v="2160"/>
    <s v="M0298"/>
    <x v="128"/>
    <s v="Toko F - Makassar"/>
    <x v="4"/>
    <n v="410414"/>
    <n v="41"/>
  </r>
  <r>
    <x v="2161"/>
    <s v="M0218"/>
    <x v="294"/>
    <s v="Toko G - Yogyakarta"/>
    <x v="0"/>
    <n v="363734"/>
    <n v="36"/>
  </r>
  <r>
    <x v="2162"/>
    <s v="M0218"/>
    <x v="2"/>
    <s v="Toko E - Semarang"/>
    <x v="1"/>
    <n v="468038"/>
    <n v="46"/>
  </r>
  <r>
    <x v="2163"/>
    <s v="M0013"/>
    <x v="56"/>
    <s v="Toko A - Jakarta"/>
    <x v="0"/>
    <n v="619724"/>
    <n v="61"/>
  </r>
  <r>
    <x v="2164"/>
    <s v="M0151"/>
    <x v="96"/>
    <s v="Toko G - Yogyakarta"/>
    <x v="4"/>
    <n v="453111"/>
    <n v="45"/>
  </r>
  <r>
    <x v="2165"/>
    <s v="M0035"/>
    <x v="50"/>
    <s v="Toko D - Medan"/>
    <x v="1"/>
    <n v="226424"/>
    <n v="22"/>
  </r>
  <r>
    <x v="2166"/>
    <s v="M0135"/>
    <x v="353"/>
    <s v="Toko A - Jakarta"/>
    <x v="4"/>
    <n v="300279"/>
    <n v="30"/>
  </r>
  <r>
    <x v="2167"/>
    <s v="M0172"/>
    <x v="291"/>
    <s v="Toko B - Bandung"/>
    <x v="3"/>
    <n v="215942"/>
    <n v="21"/>
  </r>
  <r>
    <x v="2168"/>
    <s v="M0271"/>
    <x v="145"/>
    <s v="Toko F - Makassar"/>
    <x v="1"/>
    <n v="425149"/>
    <n v="42"/>
  </r>
  <r>
    <x v="2169"/>
    <s v="M0298"/>
    <x v="351"/>
    <s v="Toko D - Medan"/>
    <x v="1"/>
    <n v="189673"/>
    <n v="18"/>
  </r>
  <r>
    <x v="2170"/>
    <s v="M0039"/>
    <x v="177"/>
    <s v="Toko D - Medan"/>
    <x v="4"/>
    <n v="161562"/>
    <n v="16"/>
  </r>
  <r>
    <x v="2171"/>
    <s v="M0139"/>
    <x v="78"/>
    <s v="Toko A - Jakarta"/>
    <x v="0"/>
    <n v="214975"/>
    <n v="21"/>
  </r>
  <r>
    <x v="2172"/>
    <s v="M0217"/>
    <x v="247"/>
    <s v="Toko E - Semarang"/>
    <x v="0"/>
    <n v="490422"/>
    <n v="49"/>
  </r>
  <r>
    <x v="2173"/>
    <s v="M0198"/>
    <x v="327"/>
    <s v="Toko D - Medan"/>
    <x v="2"/>
    <n v="170107"/>
    <n v="17"/>
  </r>
  <r>
    <x v="2174"/>
    <s v="M0077"/>
    <x v="14"/>
    <s v="Toko D - Medan"/>
    <x v="2"/>
    <n v="142348"/>
    <n v="14"/>
  </r>
  <r>
    <x v="2175"/>
    <s v="M0122"/>
    <x v="76"/>
    <s v="Toko G - Yogyakarta"/>
    <x v="0"/>
    <n v="39850"/>
    <n v="3"/>
  </r>
  <r>
    <x v="2176"/>
    <s v="M0207"/>
    <x v="35"/>
    <s v="Toko D - Medan"/>
    <x v="2"/>
    <n v="30548"/>
    <n v="3"/>
  </r>
  <r>
    <x v="2177"/>
    <s v="M0111"/>
    <x v="343"/>
    <s v="Toko D - Medan"/>
    <x v="2"/>
    <n v="299059"/>
    <n v="29"/>
  </r>
  <r>
    <x v="2178"/>
    <s v="M0008"/>
    <x v="213"/>
    <s v="Toko E - Semarang"/>
    <x v="2"/>
    <n v="61359"/>
    <n v="6"/>
  </r>
  <r>
    <x v="2179"/>
    <s v="M0056"/>
    <x v="291"/>
    <s v="Toko A - Jakarta"/>
    <x v="0"/>
    <n v="786056"/>
    <n v="78"/>
  </r>
  <r>
    <x v="2180"/>
    <s v="M0115"/>
    <x v="218"/>
    <s v="Toko F - Makassar"/>
    <x v="2"/>
    <n v="284102"/>
    <n v="28"/>
  </r>
  <r>
    <x v="2181"/>
    <s v="M0064"/>
    <x v="175"/>
    <s v="Toko B - Bandung"/>
    <x v="5"/>
    <n v="273971"/>
    <n v="27"/>
  </r>
  <r>
    <x v="2182"/>
    <s v="M0166"/>
    <x v="302"/>
    <s v="Toko H - Denpasar"/>
    <x v="2"/>
    <n v="371657"/>
    <n v="37"/>
  </r>
  <r>
    <x v="2183"/>
    <s v="M0089"/>
    <x v="268"/>
    <s v="Toko E - Semarang"/>
    <x v="5"/>
    <n v="192574"/>
    <n v="19"/>
  </r>
  <r>
    <x v="2184"/>
    <s v="M0246"/>
    <x v="311"/>
    <s v="Toko E - Semarang"/>
    <x v="1"/>
    <n v="434312"/>
    <n v="43"/>
  </r>
  <r>
    <x v="2185"/>
    <s v="M0211"/>
    <x v="120"/>
    <s v="Toko D - Medan"/>
    <x v="5"/>
    <n v="73889"/>
    <n v="7"/>
  </r>
  <r>
    <x v="2186"/>
    <s v="M0198"/>
    <x v="281"/>
    <s v="Toko G - Yogyakarta"/>
    <x v="3"/>
    <n v="484374"/>
    <n v="48"/>
  </r>
  <r>
    <x v="2187"/>
    <s v="M0198"/>
    <x v="140"/>
    <s v="Toko D - Medan"/>
    <x v="0"/>
    <n v="114310"/>
    <n v="11"/>
  </r>
  <r>
    <x v="2188"/>
    <s v="M0177"/>
    <x v="224"/>
    <s v="Toko D - Medan"/>
    <x v="5"/>
    <n v="520208"/>
    <n v="52"/>
  </r>
  <r>
    <x v="2189"/>
    <s v="M0009"/>
    <x v="101"/>
    <s v="Toko B - Bandung"/>
    <x v="2"/>
    <n v="254776"/>
    <n v="25"/>
  </r>
  <r>
    <x v="2190"/>
    <s v="M0267"/>
    <x v="267"/>
    <s v="Toko C - Surabaya"/>
    <x v="3"/>
    <n v="722372"/>
    <n v="72"/>
  </r>
  <r>
    <x v="2191"/>
    <s v="M0113"/>
    <x v="205"/>
    <s v="Toko H - Denpasar"/>
    <x v="5"/>
    <n v="130824"/>
    <n v="13"/>
  </r>
  <r>
    <x v="2192"/>
    <s v="M0064"/>
    <x v="121"/>
    <s v="Toko D - Medan"/>
    <x v="2"/>
    <n v="257431"/>
    <n v="25"/>
  </r>
  <r>
    <x v="2193"/>
    <s v="M0128"/>
    <x v="292"/>
    <s v="Toko A - Jakarta"/>
    <x v="4"/>
    <n v="250102"/>
    <n v="25"/>
  </r>
  <r>
    <x v="2194"/>
    <s v="M0204"/>
    <x v="73"/>
    <s v="Toko B - Bandung"/>
    <x v="4"/>
    <n v="317590"/>
    <n v="31"/>
  </r>
  <r>
    <x v="2195"/>
    <s v="M0258"/>
    <x v="327"/>
    <s v="Toko E - Semarang"/>
    <x v="3"/>
    <n v="555820"/>
    <n v="55"/>
  </r>
  <r>
    <x v="2196"/>
    <s v="M0093"/>
    <x v="57"/>
    <s v="Toko D - Medan"/>
    <x v="4"/>
    <n v="174494"/>
    <n v="17"/>
  </r>
  <r>
    <x v="2197"/>
    <s v="M0231"/>
    <x v="126"/>
    <s v="Toko C - Surabaya"/>
    <x v="5"/>
    <n v="663448"/>
    <n v="66"/>
  </r>
  <r>
    <x v="2198"/>
    <s v="M0105"/>
    <x v="79"/>
    <s v="Toko C - Surabaya"/>
    <x v="2"/>
    <n v="69441"/>
    <n v="6"/>
  </r>
  <r>
    <x v="2199"/>
    <s v="M0297"/>
    <x v="210"/>
    <s v="Toko E - Semarang"/>
    <x v="0"/>
    <n v="324171"/>
    <n v="32"/>
  </r>
  <r>
    <x v="2200"/>
    <s v="M0117"/>
    <x v="182"/>
    <s v="Toko G - Yogyakarta"/>
    <x v="4"/>
    <n v="599266"/>
    <n v="59"/>
  </r>
  <r>
    <x v="2201"/>
    <s v="M0200"/>
    <x v="308"/>
    <s v="Toko B - Bandung"/>
    <x v="1"/>
    <n v="265306"/>
    <n v="26"/>
  </r>
  <r>
    <x v="2202"/>
    <s v="M0135"/>
    <x v="137"/>
    <s v="Toko E - Semarang"/>
    <x v="5"/>
    <n v="283282"/>
    <n v="28"/>
  </r>
  <r>
    <x v="2203"/>
    <s v="M0073"/>
    <x v="293"/>
    <s v="Toko D - Medan"/>
    <x v="3"/>
    <n v="237784"/>
    <n v="23"/>
  </r>
  <r>
    <x v="2204"/>
    <s v="M0056"/>
    <x v="0"/>
    <s v="Toko E - Semarang"/>
    <x v="4"/>
    <n v="646757"/>
    <n v="64"/>
  </r>
  <r>
    <x v="2205"/>
    <s v="M0027"/>
    <x v="255"/>
    <s v="Toko C - Surabaya"/>
    <x v="1"/>
    <n v="321240"/>
    <n v="32"/>
  </r>
  <r>
    <x v="2206"/>
    <s v="M0246"/>
    <x v="86"/>
    <s v="Toko A - Jakarta"/>
    <x v="4"/>
    <n v="216286"/>
    <n v="21"/>
  </r>
  <r>
    <x v="2207"/>
    <s v="M0228"/>
    <x v="133"/>
    <s v="Toko D - Medan"/>
    <x v="4"/>
    <n v="219277"/>
    <n v="21"/>
  </r>
  <r>
    <x v="2208"/>
    <s v="M0085"/>
    <x v="111"/>
    <s v="Toko F - Makassar"/>
    <x v="0"/>
    <n v="81293"/>
    <n v="8"/>
  </r>
  <r>
    <x v="2209"/>
    <s v="M0264"/>
    <x v="22"/>
    <s v="Toko A - Jakarta"/>
    <x v="4"/>
    <n v="403892"/>
    <n v="40"/>
  </r>
  <r>
    <x v="2210"/>
    <s v="M0256"/>
    <x v="5"/>
    <s v="Toko A - Jakarta"/>
    <x v="2"/>
    <n v="363234"/>
    <n v="36"/>
  </r>
  <r>
    <x v="2211"/>
    <s v="M0002"/>
    <x v="346"/>
    <s v="Toko F - Makassar"/>
    <x v="0"/>
    <n v="62732"/>
    <n v="6"/>
  </r>
  <r>
    <x v="2212"/>
    <s v="M0189"/>
    <x v="81"/>
    <s v="Toko H - Denpasar"/>
    <x v="1"/>
    <n v="799269"/>
    <n v="79"/>
  </r>
  <r>
    <x v="2213"/>
    <s v="M0212"/>
    <x v="52"/>
    <s v="Toko H - Denpasar"/>
    <x v="0"/>
    <n v="186879"/>
    <n v="18"/>
  </r>
  <r>
    <x v="2214"/>
    <s v="M0048"/>
    <x v="304"/>
    <s v="Toko B - Bandung"/>
    <x v="3"/>
    <n v="266275"/>
    <n v="26"/>
  </r>
  <r>
    <x v="2215"/>
    <s v="M0245"/>
    <x v="253"/>
    <s v="Toko H - Denpasar"/>
    <x v="4"/>
    <n v="328727"/>
    <n v="32"/>
  </r>
  <r>
    <x v="2216"/>
    <s v="M0297"/>
    <x v="79"/>
    <s v="Toko A - Jakarta"/>
    <x v="4"/>
    <n v="39389"/>
    <n v="3"/>
  </r>
  <r>
    <x v="2217"/>
    <s v="M0039"/>
    <x v="356"/>
    <s v="Toko F - Makassar"/>
    <x v="4"/>
    <n v="386673"/>
    <n v="38"/>
  </r>
  <r>
    <x v="2218"/>
    <s v="M0246"/>
    <x v="91"/>
    <s v="Toko D - Medan"/>
    <x v="4"/>
    <n v="321489"/>
    <n v="32"/>
  </r>
  <r>
    <x v="2219"/>
    <s v="M0233"/>
    <x v="280"/>
    <s v="Toko H - Denpasar"/>
    <x v="1"/>
    <n v="302168"/>
    <n v="30"/>
  </r>
  <r>
    <x v="2220"/>
    <s v="M0281"/>
    <x v="319"/>
    <s v="Toko D - Medan"/>
    <x v="1"/>
    <n v="377722"/>
    <n v="37"/>
  </r>
  <r>
    <x v="2221"/>
    <s v="M0113"/>
    <x v="337"/>
    <s v="Toko F - Makassar"/>
    <x v="4"/>
    <n v="194775"/>
    <n v="19"/>
  </r>
  <r>
    <x v="2222"/>
    <s v="M0296"/>
    <x v="270"/>
    <s v="Toko E - Semarang"/>
    <x v="4"/>
    <n v="149849"/>
    <n v="14"/>
  </r>
  <r>
    <x v="2223"/>
    <s v="M0288"/>
    <x v="346"/>
    <s v="Toko A - Jakarta"/>
    <x v="2"/>
    <n v="287710"/>
    <n v="28"/>
  </r>
  <r>
    <x v="2224"/>
    <s v="M0070"/>
    <x v="41"/>
    <s v="Toko F - Makassar"/>
    <x v="5"/>
    <n v="472739"/>
    <n v="47"/>
  </r>
  <r>
    <x v="2225"/>
    <s v="M0084"/>
    <x v="59"/>
    <s v="Toko E - Semarang"/>
    <x v="4"/>
    <n v="367242"/>
    <n v="36"/>
  </r>
  <r>
    <x v="2226"/>
    <s v="M0231"/>
    <x v="88"/>
    <s v="Toko F - Makassar"/>
    <x v="3"/>
    <n v="235947"/>
    <n v="23"/>
  </r>
  <r>
    <x v="2227"/>
    <s v="M0020"/>
    <x v="336"/>
    <s v="Toko D - Medan"/>
    <x v="5"/>
    <n v="475662"/>
    <n v="47"/>
  </r>
  <r>
    <x v="2228"/>
    <s v="M0115"/>
    <x v="335"/>
    <s v="Toko C - Surabaya"/>
    <x v="5"/>
    <n v="309825"/>
    <n v="30"/>
  </r>
  <r>
    <x v="2229"/>
    <s v="M0295"/>
    <x v="203"/>
    <s v="Toko B - Bandung"/>
    <x v="2"/>
    <n v="496252"/>
    <n v="49"/>
  </r>
  <r>
    <x v="2230"/>
    <s v="M0040"/>
    <x v="241"/>
    <s v="Toko H - Denpasar"/>
    <x v="0"/>
    <n v="158627"/>
    <n v="15"/>
  </r>
  <r>
    <x v="2231"/>
    <s v="M0012"/>
    <x v="285"/>
    <s v="Toko D - Medan"/>
    <x v="3"/>
    <n v="251016"/>
    <n v="25"/>
  </r>
  <r>
    <x v="2232"/>
    <s v="M0122"/>
    <x v="239"/>
    <s v="Toko E - Semarang"/>
    <x v="4"/>
    <n v="147216"/>
    <n v="14"/>
  </r>
  <r>
    <x v="2233"/>
    <s v="M0239"/>
    <x v="176"/>
    <s v="Toko H - Denpasar"/>
    <x v="1"/>
    <n v="568761"/>
    <n v="56"/>
  </r>
  <r>
    <x v="2234"/>
    <s v="M0113"/>
    <x v="240"/>
    <s v="Toko B - Bandung"/>
    <x v="0"/>
    <n v="254149"/>
    <n v="25"/>
  </r>
  <r>
    <x v="2235"/>
    <s v="M0208"/>
    <x v="141"/>
    <s v="Toko G - Yogyakarta"/>
    <x v="1"/>
    <n v="278849"/>
    <n v="27"/>
  </r>
  <r>
    <x v="2236"/>
    <s v="M0076"/>
    <x v="276"/>
    <s v="Toko A - Jakarta"/>
    <x v="5"/>
    <n v="91402"/>
    <n v="9"/>
  </r>
  <r>
    <x v="2237"/>
    <s v="M0137"/>
    <x v="25"/>
    <s v="Toko A - Jakarta"/>
    <x v="4"/>
    <n v="494079"/>
    <n v="49"/>
  </r>
  <r>
    <x v="2238"/>
    <s v="M0140"/>
    <x v="56"/>
    <s v="Toko C - Surabaya"/>
    <x v="5"/>
    <n v="216522"/>
    <n v="21"/>
  </r>
  <r>
    <x v="2239"/>
    <s v="M0274"/>
    <x v="151"/>
    <s v="Toko D - Medan"/>
    <x v="0"/>
    <n v="152282"/>
    <n v="15"/>
  </r>
  <r>
    <x v="2240"/>
    <s v="M0095"/>
    <x v="297"/>
    <s v="Toko C - Surabaya"/>
    <x v="4"/>
    <n v="234328"/>
    <n v="23"/>
  </r>
  <r>
    <x v="2241"/>
    <s v="M0281"/>
    <x v="320"/>
    <s v="Toko G - Yogyakarta"/>
    <x v="0"/>
    <n v="814605"/>
    <n v="81"/>
  </r>
  <r>
    <x v="2242"/>
    <s v="M0296"/>
    <x v="244"/>
    <s v="Toko B - Bandung"/>
    <x v="3"/>
    <n v="381334"/>
    <n v="38"/>
  </r>
  <r>
    <x v="2243"/>
    <s v="M0204"/>
    <x v="197"/>
    <s v="Toko F - Makassar"/>
    <x v="4"/>
    <n v="182058"/>
    <n v="18"/>
  </r>
  <r>
    <x v="2244"/>
    <s v="M0297"/>
    <x v="302"/>
    <s v="Toko D - Medan"/>
    <x v="0"/>
    <n v="105910"/>
    <n v="10"/>
  </r>
  <r>
    <x v="2245"/>
    <s v="M0068"/>
    <x v="342"/>
    <s v="Toko G - Yogyakarta"/>
    <x v="3"/>
    <n v="186176"/>
    <n v="18"/>
  </r>
  <r>
    <x v="2246"/>
    <s v="M0079"/>
    <x v="191"/>
    <s v="Toko D - Medan"/>
    <x v="5"/>
    <n v="256658"/>
    <n v="25"/>
  </r>
  <r>
    <x v="2247"/>
    <s v="M0239"/>
    <x v="305"/>
    <s v="Toko D - Medan"/>
    <x v="5"/>
    <n v="238371"/>
    <n v="23"/>
  </r>
  <r>
    <x v="2248"/>
    <s v="M0065"/>
    <x v="27"/>
    <s v="Toko A - Jakarta"/>
    <x v="5"/>
    <n v="52125"/>
    <n v="5"/>
  </r>
  <r>
    <x v="2249"/>
    <s v="M0169"/>
    <x v="14"/>
    <s v="Toko C - Surabaya"/>
    <x v="2"/>
    <n v="66866"/>
    <n v="6"/>
  </r>
  <r>
    <x v="2250"/>
    <s v="M0239"/>
    <x v="295"/>
    <s v="Toko B - Bandung"/>
    <x v="3"/>
    <n v="258859"/>
    <n v="25"/>
  </r>
  <r>
    <x v="2251"/>
    <s v="M0244"/>
    <x v="44"/>
    <s v="Toko E - Semarang"/>
    <x v="4"/>
    <n v="54446"/>
    <n v="5"/>
  </r>
  <r>
    <x v="2252"/>
    <s v="M0186"/>
    <x v="212"/>
    <s v="Toko G - Yogyakarta"/>
    <x v="2"/>
    <n v="88752"/>
    <n v="8"/>
  </r>
  <r>
    <x v="2253"/>
    <s v="M0181"/>
    <x v="134"/>
    <s v="Toko A - Jakarta"/>
    <x v="4"/>
    <n v="380495"/>
    <n v="38"/>
  </r>
  <r>
    <x v="2254"/>
    <s v="M0093"/>
    <x v="262"/>
    <s v="Toko D - Medan"/>
    <x v="2"/>
    <n v="114511"/>
    <n v="11"/>
  </r>
  <r>
    <x v="2255"/>
    <s v="M0151"/>
    <x v="279"/>
    <s v="Toko E - Semarang"/>
    <x v="1"/>
    <n v="185091"/>
    <n v="18"/>
  </r>
  <r>
    <x v="2256"/>
    <s v="M0232"/>
    <x v="225"/>
    <s v="Toko D - Medan"/>
    <x v="3"/>
    <n v="73933"/>
    <n v="7"/>
  </r>
  <r>
    <x v="2257"/>
    <s v="M0121"/>
    <x v="310"/>
    <s v="Toko H - Denpasar"/>
    <x v="0"/>
    <n v="278715"/>
    <n v="27"/>
  </r>
  <r>
    <x v="2258"/>
    <s v="M0158"/>
    <x v="181"/>
    <s v="Toko G - Yogyakarta"/>
    <x v="4"/>
    <n v="190726"/>
    <n v="19"/>
  </r>
  <r>
    <x v="2259"/>
    <s v="M0184"/>
    <x v="34"/>
    <s v="Toko E - Semarang"/>
    <x v="2"/>
    <n v="463591"/>
    <n v="46"/>
  </r>
  <r>
    <x v="2260"/>
    <s v="M0036"/>
    <x v="265"/>
    <s v="Toko C - Surabaya"/>
    <x v="4"/>
    <n v="203803"/>
    <n v="20"/>
  </r>
  <r>
    <x v="2261"/>
    <s v="M0224"/>
    <x v="254"/>
    <s v="Toko F - Makassar"/>
    <x v="5"/>
    <n v="53147"/>
    <n v="5"/>
  </r>
  <r>
    <x v="2262"/>
    <s v="M0172"/>
    <x v="198"/>
    <s v="Toko G - Yogyakarta"/>
    <x v="3"/>
    <n v="467059"/>
    <n v="46"/>
  </r>
  <r>
    <x v="2263"/>
    <s v="M0089"/>
    <x v="258"/>
    <s v="Toko B - Bandung"/>
    <x v="5"/>
    <n v="69347"/>
    <n v="6"/>
  </r>
  <r>
    <x v="2264"/>
    <s v="M0046"/>
    <x v="302"/>
    <s v="Toko D - Medan"/>
    <x v="1"/>
    <n v="93651"/>
    <n v="9"/>
  </r>
  <r>
    <x v="2265"/>
    <s v="M0021"/>
    <x v="211"/>
    <s v="Toko E - Semarang"/>
    <x v="0"/>
    <n v="143985"/>
    <n v="14"/>
  </r>
  <r>
    <x v="2266"/>
    <s v="M0171"/>
    <x v="192"/>
    <s v="Toko C - Surabaya"/>
    <x v="5"/>
    <n v="261405"/>
    <n v="26"/>
  </r>
  <r>
    <x v="2267"/>
    <s v="M0150"/>
    <x v="52"/>
    <s v="Toko A - Jakarta"/>
    <x v="4"/>
    <n v="783677"/>
    <n v="78"/>
  </r>
  <r>
    <x v="2268"/>
    <s v="M0239"/>
    <x v="218"/>
    <s v="Toko G - Yogyakarta"/>
    <x v="1"/>
    <n v="343997"/>
    <n v="34"/>
  </r>
  <r>
    <x v="2269"/>
    <s v="M0135"/>
    <x v="167"/>
    <s v="Toko C - Surabaya"/>
    <x v="2"/>
    <n v="383008"/>
    <n v="38"/>
  </r>
  <r>
    <x v="2270"/>
    <s v="M0219"/>
    <x v="329"/>
    <s v="Toko D - Medan"/>
    <x v="4"/>
    <n v="161572"/>
    <n v="16"/>
  </r>
  <r>
    <x v="2271"/>
    <s v="M0171"/>
    <x v="296"/>
    <s v="Toko F - Makassar"/>
    <x v="0"/>
    <n v="149956"/>
    <n v="14"/>
  </r>
  <r>
    <x v="2272"/>
    <s v="M0249"/>
    <x v="323"/>
    <s v="Toko G - Yogyakarta"/>
    <x v="4"/>
    <n v="135570"/>
    <n v="13"/>
  </r>
  <r>
    <x v="2273"/>
    <s v="M0198"/>
    <x v="131"/>
    <s v="Toko A - Jakarta"/>
    <x v="3"/>
    <n v="318150"/>
    <n v="31"/>
  </r>
  <r>
    <x v="2274"/>
    <s v="M0002"/>
    <x v="290"/>
    <s v="Toko F - Makassar"/>
    <x v="5"/>
    <n v="263762"/>
    <n v="26"/>
  </r>
  <r>
    <x v="2275"/>
    <s v="M0290"/>
    <x v="224"/>
    <s v="Toko D - Medan"/>
    <x v="3"/>
    <n v="281126"/>
    <n v="28"/>
  </r>
  <r>
    <x v="2276"/>
    <s v="M0002"/>
    <x v="203"/>
    <s v="Toko G - Yogyakarta"/>
    <x v="2"/>
    <n v="136475"/>
    <n v="13"/>
  </r>
  <r>
    <x v="2277"/>
    <s v="M0175"/>
    <x v="160"/>
    <s v="Toko D - Medan"/>
    <x v="1"/>
    <n v="634678"/>
    <n v="63"/>
  </r>
  <r>
    <x v="2278"/>
    <s v="M0114"/>
    <x v="19"/>
    <s v="Toko C - Surabaya"/>
    <x v="4"/>
    <n v="265179"/>
    <n v="26"/>
  </r>
  <r>
    <x v="2279"/>
    <s v="M0183"/>
    <x v="270"/>
    <s v="Toko B - Bandung"/>
    <x v="1"/>
    <n v="390847"/>
    <n v="39"/>
  </r>
  <r>
    <x v="2280"/>
    <s v="M0243"/>
    <x v="88"/>
    <s v="Toko F - Makassar"/>
    <x v="0"/>
    <n v="73857"/>
    <n v="7"/>
  </r>
  <r>
    <x v="2281"/>
    <s v="M0216"/>
    <x v="103"/>
    <s v="Toko B - Bandung"/>
    <x v="2"/>
    <n v="41069"/>
    <n v="4"/>
  </r>
  <r>
    <x v="2282"/>
    <s v="M0071"/>
    <x v="56"/>
    <s v="Toko G - Yogyakarta"/>
    <x v="5"/>
    <n v="459173"/>
    <n v="45"/>
  </r>
  <r>
    <x v="2283"/>
    <s v="M0074"/>
    <x v="203"/>
    <s v="Toko F - Makassar"/>
    <x v="3"/>
    <n v="703342"/>
    <n v="70"/>
  </r>
  <r>
    <x v="2284"/>
    <s v="M0297"/>
    <x v="289"/>
    <s v="Toko B - Bandung"/>
    <x v="3"/>
    <n v="188027"/>
    <n v="18"/>
  </r>
  <r>
    <x v="2285"/>
    <s v="M0196"/>
    <x v="154"/>
    <s v="Toko G - Yogyakarta"/>
    <x v="1"/>
    <n v="594273"/>
    <n v="59"/>
  </r>
  <r>
    <x v="2286"/>
    <s v="M0187"/>
    <x v="353"/>
    <s v="Toko G - Yogyakarta"/>
    <x v="0"/>
    <n v="128571"/>
    <n v="12"/>
  </r>
  <r>
    <x v="2287"/>
    <s v="M0140"/>
    <x v="39"/>
    <s v="Toko B - Bandung"/>
    <x v="1"/>
    <n v="305102"/>
    <n v="30"/>
  </r>
  <r>
    <x v="2288"/>
    <s v="M0077"/>
    <x v="107"/>
    <s v="Toko A - Jakarta"/>
    <x v="5"/>
    <n v="274438"/>
    <n v="27"/>
  </r>
  <r>
    <x v="2289"/>
    <s v="M0088"/>
    <x v="284"/>
    <s v="Toko H - Denpasar"/>
    <x v="2"/>
    <n v="114821"/>
    <n v="11"/>
  </r>
  <r>
    <x v="2290"/>
    <s v="M0062"/>
    <x v="246"/>
    <s v="Toko C - Surabaya"/>
    <x v="5"/>
    <n v="199420"/>
    <n v="19"/>
  </r>
  <r>
    <x v="2291"/>
    <s v="M0096"/>
    <x v="108"/>
    <s v="Toko D - Medan"/>
    <x v="1"/>
    <n v="244709"/>
    <n v="24"/>
  </r>
  <r>
    <x v="2292"/>
    <s v="M0170"/>
    <x v="63"/>
    <s v="Toko A - Jakarta"/>
    <x v="4"/>
    <n v="455807"/>
    <n v="45"/>
  </r>
  <r>
    <x v="2293"/>
    <s v="M0293"/>
    <x v="345"/>
    <s v="Toko G - Yogyakarta"/>
    <x v="3"/>
    <n v="505689"/>
    <n v="50"/>
  </r>
  <r>
    <x v="2294"/>
    <s v="M0046"/>
    <x v="171"/>
    <s v="Toko C - Surabaya"/>
    <x v="5"/>
    <n v="406556"/>
    <n v="40"/>
  </r>
  <r>
    <x v="2295"/>
    <s v="M0249"/>
    <x v="237"/>
    <s v="Toko H - Denpasar"/>
    <x v="0"/>
    <n v="519649"/>
    <n v="51"/>
  </r>
  <r>
    <x v="2296"/>
    <s v="M0178"/>
    <x v="103"/>
    <s v="Toko A - Jakarta"/>
    <x v="2"/>
    <n v="454673"/>
    <n v="45"/>
  </r>
  <r>
    <x v="2297"/>
    <s v="M0047"/>
    <x v="101"/>
    <s v="Toko B - Bandung"/>
    <x v="2"/>
    <n v="174946"/>
    <n v="17"/>
  </r>
  <r>
    <x v="2298"/>
    <s v="M0130"/>
    <x v="327"/>
    <s v="Toko C - Surabaya"/>
    <x v="5"/>
    <n v="83165"/>
    <n v="8"/>
  </r>
  <r>
    <x v="2299"/>
    <s v="M0263"/>
    <x v="138"/>
    <s v="Toko G - Yogyakarta"/>
    <x v="2"/>
    <n v="233447"/>
    <n v="23"/>
  </r>
  <r>
    <x v="2300"/>
    <s v="M0281"/>
    <x v="311"/>
    <s v="Toko F - Makassar"/>
    <x v="2"/>
    <n v="258913"/>
    <n v="25"/>
  </r>
  <r>
    <x v="2301"/>
    <s v="M0141"/>
    <x v="355"/>
    <s v="Toko G - Yogyakarta"/>
    <x v="0"/>
    <n v="861276"/>
    <n v="86"/>
  </r>
  <r>
    <x v="2302"/>
    <s v="M0246"/>
    <x v="238"/>
    <s v="Toko E - Semarang"/>
    <x v="0"/>
    <n v="76961"/>
    <n v="7"/>
  </r>
  <r>
    <x v="2303"/>
    <s v="M0201"/>
    <x v="100"/>
    <s v="Toko H - Denpasar"/>
    <x v="0"/>
    <n v="822663"/>
    <n v="82"/>
  </r>
  <r>
    <x v="2304"/>
    <s v="M0099"/>
    <x v="340"/>
    <s v="Toko H - Denpasar"/>
    <x v="0"/>
    <n v="262135"/>
    <n v="26"/>
  </r>
  <r>
    <x v="2305"/>
    <s v="M0079"/>
    <x v="204"/>
    <s v="Toko C - Surabaya"/>
    <x v="4"/>
    <n v="153428"/>
    <n v="15"/>
  </r>
  <r>
    <x v="2306"/>
    <s v="M0090"/>
    <x v="114"/>
    <s v="Toko H - Denpasar"/>
    <x v="2"/>
    <n v="200135"/>
    <n v="20"/>
  </r>
  <r>
    <x v="2307"/>
    <s v="M0039"/>
    <x v="222"/>
    <s v="Toko A - Jakarta"/>
    <x v="4"/>
    <n v="88904"/>
    <n v="8"/>
  </r>
  <r>
    <x v="2308"/>
    <s v="M0052"/>
    <x v="286"/>
    <s v="Toko E - Semarang"/>
    <x v="1"/>
    <n v="320521"/>
    <n v="32"/>
  </r>
  <r>
    <x v="2309"/>
    <s v="M0169"/>
    <x v="261"/>
    <s v="Toko B - Bandung"/>
    <x v="4"/>
    <n v="155805"/>
    <n v="15"/>
  </r>
  <r>
    <x v="2310"/>
    <s v="M0171"/>
    <x v="358"/>
    <s v="Toko B - Bandung"/>
    <x v="2"/>
    <n v="124872"/>
    <n v="12"/>
  </r>
  <r>
    <x v="2311"/>
    <s v="M0156"/>
    <x v="299"/>
    <s v="Toko A - Jakarta"/>
    <x v="2"/>
    <n v="447557"/>
    <n v="44"/>
  </r>
  <r>
    <x v="2312"/>
    <s v="M0016"/>
    <x v="351"/>
    <s v="Toko G - Yogyakarta"/>
    <x v="3"/>
    <n v="256891"/>
    <n v="25"/>
  </r>
  <r>
    <x v="2313"/>
    <s v="M0018"/>
    <x v="213"/>
    <s v="Toko D - Medan"/>
    <x v="1"/>
    <n v="144531"/>
    <n v="14"/>
  </r>
  <r>
    <x v="2314"/>
    <s v="M0122"/>
    <x v="311"/>
    <s v="Toko E - Semarang"/>
    <x v="3"/>
    <n v="246394"/>
    <n v="24"/>
  </r>
  <r>
    <x v="2315"/>
    <s v="M0116"/>
    <x v="23"/>
    <s v="Toko A - Jakarta"/>
    <x v="3"/>
    <n v="46480"/>
    <n v="4"/>
  </r>
  <r>
    <x v="2316"/>
    <s v="M0140"/>
    <x v="253"/>
    <s v="Toko D - Medan"/>
    <x v="1"/>
    <n v="916888"/>
    <n v="91"/>
  </r>
  <r>
    <x v="2317"/>
    <s v="M0035"/>
    <x v="40"/>
    <s v="Toko C - Surabaya"/>
    <x v="1"/>
    <n v="537768"/>
    <n v="53"/>
  </r>
  <r>
    <x v="2318"/>
    <s v="M0137"/>
    <x v="232"/>
    <s v="Toko D - Medan"/>
    <x v="3"/>
    <n v="589379"/>
    <n v="58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849">
  <r>
    <s v="M0296"/>
    <x v="0"/>
    <x v="0"/>
    <x v="0"/>
    <n v="279317"/>
  </r>
  <r>
    <s v="M0296"/>
    <x v="0"/>
    <x v="0"/>
    <x v="0"/>
    <n v="279317"/>
  </r>
  <r>
    <s v="M0296"/>
    <x v="0"/>
    <x v="0"/>
    <x v="0"/>
    <n v="279317"/>
  </r>
  <r>
    <s v="M0296"/>
    <x v="0"/>
    <x v="1"/>
    <x v="1"/>
    <n v="179586"/>
  </r>
  <r>
    <s v="M0296"/>
    <x v="0"/>
    <x v="1"/>
    <x v="1"/>
    <n v="179586"/>
  </r>
  <r>
    <s v="M0296"/>
    <x v="0"/>
    <x v="1"/>
    <x v="1"/>
    <n v="179586"/>
  </r>
  <r>
    <s v="M0296"/>
    <x v="0"/>
    <x v="2"/>
    <x v="2"/>
    <n v="318214"/>
  </r>
  <r>
    <s v="M0296"/>
    <x v="0"/>
    <x v="2"/>
    <x v="2"/>
    <n v="318214"/>
  </r>
  <r>
    <s v="M0296"/>
    <x v="0"/>
    <x v="2"/>
    <x v="2"/>
    <n v="318214"/>
  </r>
  <r>
    <s v="M0296"/>
    <x v="0"/>
    <x v="3"/>
    <x v="3"/>
    <n v="113002"/>
  </r>
  <r>
    <s v="M0296"/>
    <x v="0"/>
    <x v="3"/>
    <x v="3"/>
    <n v="113002"/>
  </r>
  <r>
    <s v="M0296"/>
    <x v="0"/>
    <x v="3"/>
    <x v="3"/>
    <n v="113002"/>
  </r>
  <r>
    <s v="M0296"/>
    <x v="0"/>
    <x v="4"/>
    <x v="4"/>
    <n v="281678"/>
  </r>
  <r>
    <s v="M0296"/>
    <x v="0"/>
    <x v="4"/>
    <x v="4"/>
    <n v="281678"/>
  </r>
  <r>
    <s v="M0296"/>
    <x v="0"/>
    <x v="4"/>
    <x v="4"/>
    <n v="281678"/>
  </r>
  <r>
    <s v="M0296"/>
    <x v="0"/>
    <x v="5"/>
    <x v="5"/>
    <n v="160377"/>
  </r>
  <r>
    <s v="M0296"/>
    <x v="0"/>
    <x v="5"/>
    <x v="5"/>
    <n v="160377"/>
  </r>
  <r>
    <s v="M0296"/>
    <x v="0"/>
    <x v="5"/>
    <x v="5"/>
    <n v="160377"/>
  </r>
  <r>
    <s v="M0296"/>
    <x v="0"/>
    <x v="6"/>
    <x v="6"/>
    <n v="285694"/>
  </r>
  <r>
    <s v="M0296"/>
    <x v="0"/>
    <x v="6"/>
    <x v="6"/>
    <n v="285694"/>
  </r>
  <r>
    <s v="M0296"/>
    <x v="0"/>
    <x v="6"/>
    <x v="6"/>
    <n v="285694"/>
  </r>
  <r>
    <s v="M0296"/>
    <x v="0"/>
    <x v="7"/>
    <x v="7"/>
    <n v="890592"/>
  </r>
  <r>
    <s v="M0296"/>
    <x v="0"/>
    <x v="7"/>
    <x v="7"/>
    <n v="890592"/>
  </r>
  <r>
    <s v="M0296"/>
    <x v="0"/>
    <x v="7"/>
    <x v="7"/>
    <n v="890592"/>
  </r>
  <r>
    <s v="M0296"/>
    <x v="0"/>
    <x v="8"/>
    <x v="8"/>
    <n v="149849"/>
  </r>
  <r>
    <s v="M0296"/>
    <x v="0"/>
    <x v="8"/>
    <x v="8"/>
    <n v="149849"/>
  </r>
  <r>
    <s v="M0296"/>
    <x v="0"/>
    <x v="8"/>
    <x v="8"/>
    <n v="149849"/>
  </r>
  <r>
    <s v="M0296"/>
    <x v="0"/>
    <x v="9"/>
    <x v="9"/>
    <n v="381334"/>
  </r>
  <r>
    <s v="M0296"/>
    <x v="0"/>
    <x v="9"/>
    <x v="9"/>
    <n v="381334"/>
  </r>
  <r>
    <s v="M0296"/>
    <x v="0"/>
    <x v="9"/>
    <x v="9"/>
    <n v="381334"/>
  </r>
  <r>
    <s v="M0003"/>
    <x v="0"/>
    <x v="10"/>
    <x v="10"/>
    <n v="318175"/>
  </r>
  <r>
    <s v="M0003"/>
    <x v="0"/>
    <x v="10"/>
    <x v="10"/>
    <n v="318175"/>
  </r>
  <r>
    <s v="M0003"/>
    <x v="0"/>
    <x v="10"/>
    <x v="10"/>
    <n v="318175"/>
  </r>
  <r>
    <s v="M0003"/>
    <x v="0"/>
    <x v="10"/>
    <x v="10"/>
    <n v="318175"/>
  </r>
  <r>
    <s v="M0003"/>
    <x v="0"/>
    <x v="10"/>
    <x v="10"/>
    <n v="318175"/>
  </r>
  <r>
    <s v="M0003"/>
    <x v="0"/>
    <x v="11"/>
    <x v="11"/>
    <n v="273415"/>
  </r>
  <r>
    <s v="M0003"/>
    <x v="0"/>
    <x v="11"/>
    <x v="11"/>
    <n v="273415"/>
  </r>
  <r>
    <s v="M0003"/>
    <x v="0"/>
    <x v="11"/>
    <x v="11"/>
    <n v="273415"/>
  </r>
  <r>
    <s v="M0003"/>
    <x v="0"/>
    <x v="11"/>
    <x v="11"/>
    <n v="273415"/>
  </r>
  <r>
    <s v="M0003"/>
    <x v="0"/>
    <x v="11"/>
    <x v="11"/>
    <n v="273415"/>
  </r>
  <r>
    <s v="M0003"/>
    <x v="0"/>
    <x v="12"/>
    <x v="12"/>
    <n v="225635"/>
  </r>
  <r>
    <s v="M0003"/>
    <x v="0"/>
    <x v="12"/>
    <x v="12"/>
    <n v="225635"/>
  </r>
  <r>
    <s v="M0003"/>
    <x v="0"/>
    <x v="12"/>
    <x v="12"/>
    <n v="225635"/>
  </r>
  <r>
    <s v="M0003"/>
    <x v="0"/>
    <x v="12"/>
    <x v="12"/>
    <n v="225635"/>
  </r>
  <r>
    <s v="M0003"/>
    <x v="0"/>
    <x v="12"/>
    <x v="12"/>
    <n v="225635"/>
  </r>
  <r>
    <s v="M0003"/>
    <x v="0"/>
    <x v="13"/>
    <x v="13"/>
    <n v="121375"/>
  </r>
  <r>
    <s v="M0003"/>
    <x v="0"/>
    <x v="13"/>
    <x v="13"/>
    <n v="121375"/>
  </r>
  <r>
    <s v="M0003"/>
    <x v="0"/>
    <x v="13"/>
    <x v="13"/>
    <n v="121375"/>
  </r>
  <r>
    <s v="M0003"/>
    <x v="0"/>
    <x v="13"/>
    <x v="13"/>
    <n v="121375"/>
  </r>
  <r>
    <s v="M0003"/>
    <x v="0"/>
    <x v="13"/>
    <x v="13"/>
    <n v="121375"/>
  </r>
  <r>
    <s v="M0003"/>
    <x v="0"/>
    <x v="14"/>
    <x v="14"/>
    <n v="122669"/>
  </r>
  <r>
    <s v="M0003"/>
    <x v="0"/>
    <x v="14"/>
    <x v="14"/>
    <n v="122669"/>
  </r>
  <r>
    <s v="M0003"/>
    <x v="0"/>
    <x v="14"/>
    <x v="14"/>
    <n v="122669"/>
  </r>
  <r>
    <s v="M0003"/>
    <x v="0"/>
    <x v="14"/>
    <x v="14"/>
    <n v="122669"/>
  </r>
  <r>
    <s v="M0003"/>
    <x v="0"/>
    <x v="14"/>
    <x v="14"/>
    <n v="122669"/>
  </r>
  <r>
    <s v="M0003"/>
    <x v="0"/>
    <x v="15"/>
    <x v="15"/>
    <n v="245974"/>
  </r>
  <r>
    <s v="M0003"/>
    <x v="0"/>
    <x v="15"/>
    <x v="15"/>
    <n v="245974"/>
  </r>
  <r>
    <s v="M0003"/>
    <x v="0"/>
    <x v="15"/>
    <x v="15"/>
    <n v="245974"/>
  </r>
  <r>
    <s v="M0003"/>
    <x v="0"/>
    <x v="15"/>
    <x v="15"/>
    <n v="245974"/>
  </r>
  <r>
    <s v="M0003"/>
    <x v="0"/>
    <x v="15"/>
    <x v="15"/>
    <n v="245974"/>
  </r>
  <r>
    <s v="M0003"/>
    <x v="0"/>
    <x v="16"/>
    <x v="16"/>
    <n v="453254"/>
  </r>
  <r>
    <s v="M0003"/>
    <x v="0"/>
    <x v="16"/>
    <x v="16"/>
    <n v="453254"/>
  </r>
  <r>
    <s v="M0003"/>
    <x v="0"/>
    <x v="16"/>
    <x v="16"/>
    <n v="453254"/>
  </r>
  <r>
    <s v="M0003"/>
    <x v="0"/>
    <x v="16"/>
    <x v="16"/>
    <n v="453254"/>
  </r>
  <r>
    <s v="M0003"/>
    <x v="0"/>
    <x v="16"/>
    <x v="16"/>
    <n v="453254"/>
  </r>
  <r>
    <s v="M0003"/>
    <x v="0"/>
    <x v="17"/>
    <x v="17"/>
    <n v="597593"/>
  </r>
  <r>
    <s v="M0003"/>
    <x v="0"/>
    <x v="17"/>
    <x v="17"/>
    <n v="597593"/>
  </r>
  <r>
    <s v="M0003"/>
    <x v="0"/>
    <x v="17"/>
    <x v="17"/>
    <n v="597593"/>
  </r>
  <r>
    <s v="M0003"/>
    <x v="0"/>
    <x v="17"/>
    <x v="17"/>
    <n v="597593"/>
  </r>
  <r>
    <s v="M0003"/>
    <x v="0"/>
    <x v="17"/>
    <x v="17"/>
    <n v="597593"/>
  </r>
  <r>
    <s v="M0003"/>
    <x v="0"/>
    <x v="18"/>
    <x v="18"/>
    <n v="442942"/>
  </r>
  <r>
    <s v="M0003"/>
    <x v="0"/>
    <x v="18"/>
    <x v="18"/>
    <n v="442942"/>
  </r>
  <r>
    <s v="M0003"/>
    <x v="0"/>
    <x v="18"/>
    <x v="18"/>
    <n v="442942"/>
  </r>
  <r>
    <s v="M0003"/>
    <x v="0"/>
    <x v="18"/>
    <x v="18"/>
    <n v="442942"/>
  </r>
  <r>
    <s v="M0003"/>
    <x v="0"/>
    <x v="18"/>
    <x v="18"/>
    <n v="442942"/>
  </r>
  <r>
    <s v="M0003"/>
    <x v="0"/>
    <x v="19"/>
    <x v="19"/>
    <n v="467803"/>
  </r>
  <r>
    <s v="M0003"/>
    <x v="0"/>
    <x v="19"/>
    <x v="19"/>
    <n v="467803"/>
  </r>
  <r>
    <s v="M0003"/>
    <x v="0"/>
    <x v="19"/>
    <x v="19"/>
    <n v="467803"/>
  </r>
  <r>
    <s v="M0003"/>
    <x v="0"/>
    <x v="19"/>
    <x v="19"/>
    <n v="467803"/>
  </r>
  <r>
    <s v="M0003"/>
    <x v="0"/>
    <x v="19"/>
    <x v="19"/>
    <n v="467803"/>
  </r>
  <r>
    <s v="M0003"/>
    <x v="0"/>
    <x v="20"/>
    <x v="20"/>
    <n v="371615"/>
  </r>
  <r>
    <s v="M0003"/>
    <x v="0"/>
    <x v="20"/>
    <x v="20"/>
    <n v="371615"/>
  </r>
  <r>
    <s v="M0003"/>
    <x v="0"/>
    <x v="20"/>
    <x v="20"/>
    <n v="371615"/>
  </r>
  <r>
    <s v="M0003"/>
    <x v="0"/>
    <x v="20"/>
    <x v="20"/>
    <n v="371615"/>
  </r>
  <r>
    <s v="M0003"/>
    <x v="0"/>
    <x v="20"/>
    <x v="20"/>
    <n v="371615"/>
  </r>
  <r>
    <s v="M0003"/>
    <x v="0"/>
    <x v="21"/>
    <x v="21"/>
    <n v="446326"/>
  </r>
  <r>
    <s v="M0003"/>
    <x v="0"/>
    <x v="21"/>
    <x v="21"/>
    <n v="446326"/>
  </r>
  <r>
    <s v="M0003"/>
    <x v="0"/>
    <x v="21"/>
    <x v="21"/>
    <n v="446326"/>
  </r>
  <r>
    <s v="M0003"/>
    <x v="0"/>
    <x v="21"/>
    <x v="21"/>
    <n v="446326"/>
  </r>
  <r>
    <s v="M0003"/>
    <x v="0"/>
    <x v="21"/>
    <x v="21"/>
    <n v="446326"/>
  </r>
  <r>
    <s v="M0003"/>
    <x v="0"/>
    <x v="22"/>
    <x v="22"/>
    <n v="147763"/>
  </r>
  <r>
    <s v="M0003"/>
    <x v="0"/>
    <x v="22"/>
    <x v="22"/>
    <n v="147763"/>
  </r>
  <r>
    <s v="M0003"/>
    <x v="0"/>
    <x v="22"/>
    <x v="22"/>
    <n v="147763"/>
  </r>
  <r>
    <s v="M0003"/>
    <x v="0"/>
    <x v="22"/>
    <x v="22"/>
    <n v="147763"/>
  </r>
  <r>
    <s v="M0003"/>
    <x v="0"/>
    <x v="22"/>
    <x v="22"/>
    <n v="147763"/>
  </r>
  <r>
    <s v="M0003"/>
    <x v="0"/>
    <x v="23"/>
    <x v="23"/>
    <n v="156455"/>
  </r>
  <r>
    <s v="M0003"/>
    <x v="0"/>
    <x v="23"/>
    <x v="23"/>
    <n v="156455"/>
  </r>
  <r>
    <s v="M0003"/>
    <x v="0"/>
    <x v="23"/>
    <x v="23"/>
    <n v="156455"/>
  </r>
  <r>
    <s v="M0003"/>
    <x v="0"/>
    <x v="23"/>
    <x v="23"/>
    <n v="156455"/>
  </r>
  <r>
    <s v="M0003"/>
    <x v="0"/>
    <x v="23"/>
    <x v="23"/>
    <n v="156455"/>
  </r>
  <r>
    <s v="M0003"/>
    <x v="0"/>
    <x v="24"/>
    <x v="24"/>
    <n v="152356"/>
  </r>
  <r>
    <s v="M0003"/>
    <x v="0"/>
    <x v="24"/>
    <x v="24"/>
    <n v="152356"/>
  </r>
  <r>
    <s v="M0003"/>
    <x v="0"/>
    <x v="24"/>
    <x v="24"/>
    <n v="152356"/>
  </r>
  <r>
    <s v="M0003"/>
    <x v="0"/>
    <x v="24"/>
    <x v="24"/>
    <n v="152356"/>
  </r>
  <r>
    <s v="M0003"/>
    <x v="0"/>
    <x v="24"/>
    <x v="24"/>
    <n v="152356"/>
  </r>
  <r>
    <s v="M0003"/>
    <x v="0"/>
    <x v="25"/>
    <x v="25"/>
    <n v="254089"/>
  </r>
  <r>
    <s v="M0003"/>
    <x v="0"/>
    <x v="25"/>
    <x v="25"/>
    <n v="254089"/>
  </r>
  <r>
    <s v="M0003"/>
    <x v="0"/>
    <x v="25"/>
    <x v="25"/>
    <n v="254089"/>
  </r>
  <r>
    <s v="M0003"/>
    <x v="0"/>
    <x v="25"/>
    <x v="25"/>
    <n v="254089"/>
  </r>
  <r>
    <s v="M0003"/>
    <x v="0"/>
    <x v="25"/>
    <x v="25"/>
    <n v="254089"/>
  </r>
  <r>
    <s v="M0003"/>
    <x v="0"/>
    <x v="26"/>
    <x v="26"/>
    <n v="212854"/>
  </r>
  <r>
    <s v="M0003"/>
    <x v="0"/>
    <x v="26"/>
    <x v="26"/>
    <n v="212854"/>
  </r>
  <r>
    <s v="M0003"/>
    <x v="0"/>
    <x v="26"/>
    <x v="26"/>
    <n v="212854"/>
  </r>
  <r>
    <s v="M0003"/>
    <x v="0"/>
    <x v="26"/>
    <x v="26"/>
    <n v="212854"/>
  </r>
  <r>
    <s v="M0003"/>
    <x v="0"/>
    <x v="26"/>
    <x v="26"/>
    <n v="212854"/>
  </r>
  <r>
    <s v="M0003"/>
    <x v="0"/>
    <x v="27"/>
    <x v="27"/>
    <n v="314354"/>
  </r>
  <r>
    <s v="M0003"/>
    <x v="0"/>
    <x v="27"/>
    <x v="27"/>
    <n v="314354"/>
  </r>
  <r>
    <s v="M0003"/>
    <x v="0"/>
    <x v="27"/>
    <x v="27"/>
    <n v="314354"/>
  </r>
  <r>
    <s v="M0003"/>
    <x v="0"/>
    <x v="27"/>
    <x v="27"/>
    <n v="314354"/>
  </r>
  <r>
    <s v="M0003"/>
    <x v="0"/>
    <x v="27"/>
    <x v="27"/>
    <n v="314354"/>
  </r>
  <r>
    <s v="M0019"/>
    <x v="1"/>
    <x v="28"/>
    <x v="28"/>
    <n v="117554"/>
  </r>
  <r>
    <s v="M0019"/>
    <x v="1"/>
    <x v="28"/>
    <x v="28"/>
    <n v="117554"/>
  </r>
  <r>
    <s v="M0019"/>
    <x v="1"/>
    <x v="29"/>
    <x v="29"/>
    <n v="739701"/>
  </r>
  <r>
    <s v="M0019"/>
    <x v="1"/>
    <x v="29"/>
    <x v="29"/>
    <n v="739701"/>
  </r>
  <r>
    <s v="M0019"/>
    <x v="1"/>
    <x v="30"/>
    <x v="30"/>
    <n v="265283"/>
  </r>
  <r>
    <s v="M0019"/>
    <x v="1"/>
    <x v="30"/>
    <x v="30"/>
    <n v="265283"/>
  </r>
  <r>
    <s v="M0019"/>
    <x v="1"/>
    <x v="31"/>
    <x v="31"/>
    <n v="462542"/>
  </r>
  <r>
    <s v="M0019"/>
    <x v="1"/>
    <x v="31"/>
    <x v="31"/>
    <n v="462542"/>
  </r>
  <r>
    <s v="M0082"/>
    <x v="1"/>
    <x v="32"/>
    <x v="32"/>
    <n v="231334"/>
  </r>
  <r>
    <s v="M0082"/>
    <x v="1"/>
    <x v="32"/>
    <x v="32"/>
    <n v="231334"/>
  </r>
  <r>
    <s v="M0082"/>
    <x v="1"/>
    <x v="33"/>
    <x v="33"/>
    <n v="130350"/>
  </r>
  <r>
    <s v="M0082"/>
    <x v="1"/>
    <x v="33"/>
    <x v="33"/>
    <n v="130350"/>
  </r>
  <r>
    <s v="M0082"/>
    <x v="1"/>
    <x v="34"/>
    <x v="10"/>
    <n v="217626"/>
  </r>
  <r>
    <s v="M0082"/>
    <x v="1"/>
    <x v="34"/>
    <x v="10"/>
    <n v="217626"/>
  </r>
  <r>
    <s v="M0082"/>
    <x v="1"/>
    <x v="35"/>
    <x v="34"/>
    <n v="305437"/>
  </r>
  <r>
    <s v="M0082"/>
    <x v="1"/>
    <x v="35"/>
    <x v="34"/>
    <n v="305437"/>
  </r>
  <r>
    <s v="M0082"/>
    <x v="1"/>
    <x v="36"/>
    <x v="35"/>
    <n v="317614"/>
  </r>
  <r>
    <s v="M0082"/>
    <x v="1"/>
    <x v="36"/>
    <x v="35"/>
    <n v="317614"/>
  </r>
  <r>
    <s v="M0082"/>
    <x v="1"/>
    <x v="37"/>
    <x v="36"/>
    <n v="255497"/>
  </r>
  <r>
    <s v="M0082"/>
    <x v="1"/>
    <x v="37"/>
    <x v="36"/>
    <n v="255497"/>
  </r>
  <r>
    <s v="M0080"/>
    <x v="2"/>
    <x v="38"/>
    <x v="37"/>
    <n v="329656"/>
  </r>
  <r>
    <s v="M0080"/>
    <x v="2"/>
    <x v="38"/>
    <x v="37"/>
    <n v="329656"/>
  </r>
  <r>
    <s v="M0080"/>
    <x v="2"/>
    <x v="38"/>
    <x v="37"/>
    <n v="329656"/>
  </r>
  <r>
    <s v="M0080"/>
    <x v="2"/>
    <x v="38"/>
    <x v="37"/>
    <n v="329656"/>
  </r>
  <r>
    <s v="M0080"/>
    <x v="2"/>
    <x v="38"/>
    <x v="37"/>
    <n v="329656"/>
  </r>
  <r>
    <s v="M0080"/>
    <x v="2"/>
    <x v="38"/>
    <x v="37"/>
    <n v="329656"/>
  </r>
  <r>
    <s v="M0080"/>
    <x v="2"/>
    <x v="39"/>
    <x v="38"/>
    <n v="340238"/>
  </r>
  <r>
    <s v="M0080"/>
    <x v="2"/>
    <x v="39"/>
    <x v="38"/>
    <n v="340238"/>
  </r>
  <r>
    <s v="M0080"/>
    <x v="2"/>
    <x v="39"/>
    <x v="38"/>
    <n v="340238"/>
  </r>
  <r>
    <s v="M0080"/>
    <x v="2"/>
    <x v="39"/>
    <x v="38"/>
    <n v="340238"/>
  </r>
  <r>
    <s v="M0080"/>
    <x v="2"/>
    <x v="39"/>
    <x v="38"/>
    <n v="340238"/>
  </r>
  <r>
    <s v="M0080"/>
    <x v="2"/>
    <x v="39"/>
    <x v="38"/>
    <n v="340238"/>
  </r>
  <r>
    <s v="M0080"/>
    <x v="2"/>
    <x v="40"/>
    <x v="39"/>
    <n v="733902"/>
  </r>
  <r>
    <s v="M0080"/>
    <x v="2"/>
    <x v="40"/>
    <x v="39"/>
    <n v="733902"/>
  </r>
  <r>
    <s v="M0080"/>
    <x v="2"/>
    <x v="40"/>
    <x v="39"/>
    <n v="733902"/>
  </r>
  <r>
    <s v="M0080"/>
    <x v="2"/>
    <x v="40"/>
    <x v="39"/>
    <n v="733902"/>
  </r>
  <r>
    <s v="M0080"/>
    <x v="2"/>
    <x v="40"/>
    <x v="39"/>
    <n v="733902"/>
  </r>
  <r>
    <s v="M0080"/>
    <x v="2"/>
    <x v="40"/>
    <x v="39"/>
    <n v="733902"/>
  </r>
  <r>
    <s v="M0080"/>
    <x v="2"/>
    <x v="41"/>
    <x v="7"/>
    <n v="28559"/>
  </r>
  <r>
    <s v="M0080"/>
    <x v="2"/>
    <x v="41"/>
    <x v="7"/>
    <n v="28559"/>
  </r>
  <r>
    <s v="M0080"/>
    <x v="2"/>
    <x v="41"/>
    <x v="7"/>
    <n v="28559"/>
  </r>
  <r>
    <s v="M0080"/>
    <x v="2"/>
    <x v="41"/>
    <x v="7"/>
    <n v="28559"/>
  </r>
  <r>
    <s v="M0080"/>
    <x v="2"/>
    <x v="41"/>
    <x v="7"/>
    <n v="28559"/>
  </r>
  <r>
    <s v="M0080"/>
    <x v="2"/>
    <x v="41"/>
    <x v="7"/>
    <n v="28559"/>
  </r>
  <r>
    <s v="M0080"/>
    <x v="2"/>
    <x v="42"/>
    <x v="40"/>
    <n v="53534"/>
  </r>
  <r>
    <s v="M0080"/>
    <x v="2"/>
    <x v="42"/>
    <x v="40"/>
    <n v="53534"/>
  </r>
  <r>
    <s v="M0080"/>
    <x v="2"/>
    <x v="42"/>
    <x v="40"/>
    <n v="53534"/>
  </r>
  <r>
    <s v="M0080"/>
    <x v="2"/>
    <x v="42"/>
    <x v="40"/>
    <n v="53534"/>
  </r>
  <r>
    <s v="M0080"/>
    <x v="2"/>
    <x v="42"/>
    <x v="40"/>
    <n v="53534"/>
  </r>
  <r>
    <s v="M0080"/>
    <x v="2"/>
    <x v="42"/>
    <x v="40"/>
    <n v="53534"/>
  </r>
  <r>
    <s v="M0080"/>
    <x v="2"/>
    <x v="43"/>
    <x v="41"/>
    <n v="298060"/>
  </r>
  <r>
    <s v="M0080"/>
    <x v="2"/>
    <x v="43"/>
    <x v="41"/>
    <n v="298060"/>
  </r>
  <r>
    <s v="M0080"/>
    <x v="2"/>
    <x v="43"/>
    <x v="41"/>
    <n v="298060"/>
  </r>
  <r>
    <s v="M0080"/>
    <x v="2"/>
    <x v="43"/>
    <x v="41"/>
    <n v="298060"/>
  </r>
  <r>
    <s v="M0080"/>
    <x v="2"/>
    <x v="43"/>
    <x v="41"/>
    <n v="298060"/>
  </r>
  <r>
    <s v="M0080"/>
    <x v="2"/>
    <x v="43"/>
    <x v="41"/>
    <n v="298060"/>
  </r>
  <r>
    <s v="M0276"/>
    <x v="1"/>
    <x v="44"/>
    <x v="42"/>
    <n v="586040"/>
  </r>
  <r>
    <s v="M0276"/>
    <x v="1"/>
    <x v="44"/>
    <x v="42"/>
    <n v="586040"/>
  </r>
  <r>
    <s v="M0276"/>
    <x v="1"/>
    <x v="44"/>
    <x v="42"/>
    <n v="586040"/>
  </r>
  <r>
    <s v="M0276"/>
    <x v="1"/>
    <x v="45"/>
    <x v="43"/>
    <n v="92203"/>
  </r>
  <r>
    <s v="M0276"/>
    <x v="1"/>
    <x v="45"/>
    <x v="43"/>
    <n v="92203"/>
  </r>
  <r>
    <s v="M0276"/>
    <x v="1"/>
    <x v="45"/>
    <x v="43"/>
    <n v="92203"/>
  </r>
  <r>
    <s v="M0276"/>
    <x v="1"/>
    <x v="46"/>
    <x v="16"/>
    <n v="224341"/>
  </r>
  <r>
    <s v="M0276"/>
    <x v="1"/>
    <x v="46"/>
    <x v="16"/>
    <n v="224341"/>
  </r>
  <r>
    <s v="M0276"/>
    <x v="1"/>
    <x v="46"/>
    <x v="16"/>
    <n v="224341"/>
  </r>
  <r>
    <s v="M0276"/>
    <x v="1"/>
    <x v="47"/>
    <x v="44"/>
    <n v="239326"/>
  </r>
  <r>
    <s v="M0276"/>
    <x v="1"/>
    <x v="47"/>
    <x v="44"/>
    <n v="239326"/>
  </r>
  <r>
    <s v="M0276"/>
    <x v="1"/>
    <x v="47"/>
    <x v="44"/>
    <n v="239326"/>
  </r>
  <r>
    <s v="M0276"/>
    <x v="1"/>
    <x v="48"/>
    <x v="43"/>
    <n v="314439"/>
  </r>
  <r>
    <s v="M0276"/>
    <x v="1"/>
    <x v="48"/>
    <x v="43"/>
    <n v="314439"/>
  </r>
  <r>
    <s v="M0276"/>
    <x v="1"/>
    <x v="48"/>
    <x v="43"/>
    <n v="314439"/>
  </r>
  <r>
    <s v="M0276"/>
    <x v="1"/>
    <x v="49"/>
    <x v="45"/>
    <n v="519836"/>
  </r>
  <r>
    <s v="M0276"/>
    <x v="1"/>
    <x v="49"/>
    <x v="45"/>
    <n v="519836"/>
  </r>
  <r>
    <s v="M0276"/>
    <x v="1"/>
    <x v="49"/>
    <x v="45"/>
    <n v="519836"/>
  </r>
  <r>
    <s v="M0276"/>
    <x v="1"/>
    <x v="50"/>
    <x v="46"/>
    <n v="390017"/>
  </r>
  <r>
    <s v="M0276"/>
    <x v="1"/>
    <x v="50"/>
    <x v="46"/>
    <n v="390017"/>
  </r>
  <r>
    <s v="M0276"/>
    <x v="1"/>
    <x v="50"/>
    <x v="46"/>
    <n v="390017"/>
  </r>
  <r>
    <s v="M0276"/>
    <x v="1"/>
    <x v="51"/>
    <x v="47"/>
    <n v="132944"/>
  </r>
  <r>
    <s v="M0276"/>
    <x v="1"/>
    <x v="51"/>
    <x v="47"/>
    <n v="132944"/>
  </r>
  <r>
    <s v="M0276"/>
    <x v="1"/>
    <x v="51"/>
    <x v="47"/>
    <n v="132944"/>
  </r>
  <r>
    <s v="M0276"/>
    <x v="1"/>
    <x v="52"/>
    <x v="48"/>
    <n v="321322"/>
  </r>
  <r>
    <s v="M0276"/>
    <x v="1"/>
    <x v="52"/>
    <x v="48"/>
    <n v="321322"/>
  </r>
  <r>
    <s v="M0276"/>
    <x v="1"/>
    <x v="52"/>
    <x v="48"/>
    <n v="321322"/>
  </r>
  <r>
    <s v="M0276"/>
    <x v="1"/>
    <x v="53"/>
    <x v="49"/>
    <n v="727424"/>
  </r>
  <r>
    <s v="M0276"/>
    <x v="1"/>
    <x v="53"/>
    <x v="49"/>
    <n v="727424"/>
  </r>
  <r>
    <s v="M0276"/>
    <x v="1"/>
    <x v="53"/>
    <x v="49"/>
    <n v="727424"/>
  </r>
  <r>
    <s v="M0028"/>
    <x v="0"/>
    <x v="54"/>
    <x v="50"/>
    <n v="25000"/>
  </r>
  <r>
    <s v="M0028"/>
    <x v="0"/>
    <x v="54"/>
    <x v="50"/>
    <n v="25000"/>
  </r>
  <r>
    <s v="M0028"/>
    <x v="0"/>
    <x v="54"/>
    <x v="50"/>
    <n v="25000"/>
  </r>
  <r>
    <s v="M0028"/>
    <x v="0"/>
    <x v="55"/>
    <x v="51"/>
    <n v="59073"/>
  </r>
  <r>
    <s v="M0028"/>
    <x v="0"/>
    <x v="55"/>
    <x v="51"/>
    <n v="59073"/>
  </r>
  <r>
    <s v="M0028"/>
    <x v="0"/>
    <x v="55"/>
    <x v="51"/>
    <n v="59073"/>
  </r>
  <r>
    <s v="M0028"/>
    <x v="0"/>
    <x v="56"/>
    <x v="52"/>
    <n v="735437"/>
  </r>
  <r>
    <s v="M0028"/>
    <x v="0"/>
    <x v="56"/>
    <x v="52"/>
    <n v="735437"/>
  </r>
  <r>
    <s v="M0028"/>
    <x v="0"/>
    <x v="56"/>
    <x v="52"/>
    <n v="735437"/>
  </r>
  <r>
    <s v="M0028"/>
    <x v="0"/>
    <x v="57"/>
    <x v="53"/>
    <n v="101188"/>
  </r>
  <r>
    <s v="M0028"/>
    <x v="0"/>
    <x v="57"/>
    <x v="53"/>
    <n v="101188"/>
  </r>
  <r>
    <s v="M0028"/>
    <x v="0"/>
    <x v="57"/>
    <x v="53"/>
    <n v="101188"/>
  </r>
  <r>
    <s v="M0028"/>
    <x v="0"/>
    <x v="58"/>
    <x v="9"/>
    <n v="177017"/>
  </r>
  <r>
    <s v="M0028"/>
    <x v="0"/>
    <x v="58"/>
    <x v="9"/>
    <n v="177017"/>
  </r>
  <r>
    <s v="M0028"/>
    <x v="0"/>
    <x v="58"/>
    <x v="9"/>
    <n v="177017"/>
  </r>
  <r>
    <s v="M0028"/>
    <x v="0"/>
    <x v="59"/>
    <x v="54"/>
    <n v="192031"/>
  </r>
  <r>
    <s v="M0028"/>
    <x v="0"/>
    <x v="59"/>
    <x v="54"/>
    <n v="192031"/>
  </r>
  <r>
    <s v="M0028"/>
    <x v="0"/>
    <x v="59"/>
    <x v="54"/>
    <n v="192031"/>
  </r>
  <r>
    <s v="M0028"/>
    <x v="0"/>
    <x v="60"/>
    <x v="55"/>
    <n v="26583"/>
  </r>
  <r>
    <s v="M0028"/>
    <x v="0"/>
    <x v="60"/>
    <x v="55"/>
    <n v="26583"/>
  </r>
  <r>
    <s v="M0028"/>
    <x v="0"/>
    <x v="60"/>
    <x v="55"/>
    <n v="26583"/>
  </r>
  <r>
    <s v="M0028"/>
    <x v="0"/>
    <x v="61"/>
    <x v="56"/>
    <n v="459480"/>
  </r>
  <r>
    <s v="M0028"/>
    <x v="0"/>
    <x v="61"/>
    <x v="56"/>
    <n v="459480"/>
  </r>
  <r>
    <s v="M0028"/>
    <x v="0"/>
    <x v="61"/>
    <x v="56"/>
    <n v="459480"/>
  </r>
  <r>
    <s v="M0028"/>
    <x v="0"/>
    <x v="62"/>
    <x v="57"/>
    <n v="253583"/>
  </r>
  <r>
    <s v="M0028"/>
    <x v="0"/>
    <x v="62"/>
    <x v="57"/>
    <n v="253583"/>
  </r>
  <r>
    <s v="M0028"/>
    <x v="0"/>
    <x v="62"/>
    <x v="57"/>
    <n v="253583"/>
  </r>
  <r>
    <s v="M0028"/>
    <x v="0"/>
    <x v="63"/>
    <x v="58"/>
    <n v="447464"/>
  </r>
  <r>
    <s v="M0028"/>
    <x v="0"/>
    <x v="63"/>
    <x v="58"/>
    <n v="447464"/>
  </r>
  <r>
    <s v="M0028"/>
    <x v="0"/>
    <x v="63"/>
    <x v="58"/>
    <n v="447464"/>
  </r>
  <r>
    <s v="M0035"/>
    <x v="1"/>
    <x v="64"/>
    <x v="22"/>
    <n v="201461"/>
  </r>
  <r>
    <s v="M0035"/>
    <x v="1"/>
    <x v="65"/>
    <x v="59"/>
    <n v="203024"/>
  </r>
  <r>
    <s v="M0035"/>
    <x v="1"/>
    <x v="66"/>
    <x v="60"/>
    <n v="176111"/>
  </r>
  <r>
    <s v="M0035"/>
    <x v="1"/>
    <x v="67"/>
    <x v="61"/>
    <n v="260947"/>
  </r>
  <r>
    <s v="M0035"/>
    <x v="1"/>
    <x v="68"/>
    <x v="62"/>
    <n v="74163"/>
  </r>
  <r>
    <s v="M0035"/>
    <x v="1"/>
    <x v="69"/>
    <x v="58"/>
    <n v="100763"/>
  </r>
  <r>
    <s v="M0035"/>
    <x v="1"/>
    <x v="70"/>
    <x v="63"/>
    <n v="73723"/>
  </r>
  <r>
    <s v="M0035"/>
    <x v="1"/>
    <x v="71"/>
    <x v="45"/>
    <n v="46963"/>
  </r>
  <r>
    <s v="M0035"/>
    <x v="1"/>
    <x v="72"/>
    <x v="64"/>
    <n v="239632"/>
  </r>
  <r>
    <s v="M0035"/>
    <x v="1"/>
    <x v="73"/>
    <x v="65"/>
    <n v="806181"/>
  </r>
  <r>
    <s v="M0035"/>
    <x v="1"/>
    <x v="74"/>
    <x v="66"/>
    <n v="527389"/>
  </r>
  <r>
    <s v="M0035"/>
    <x v="1"/>
    <x v="75"/>
    <x v="67"/>
    <n v="57274"/>
  </r>
  <r>
    <s v="M0035"/>
    <x v="1"/>
    <x v="76"/>
    <x v="68"/>
    <n v="220633"/>
  </r>
  <r>
    <s v="M0035"/>
    <x v="1"/>
    <x v="77"/>
    <x v="69"/>
    <n v="226424"/>
  </r>
  <r>
    <s v="M0035"/>
    <x v="1"/>
    <x v="78"/>
    <x v="70"/>
    <n v="537768"/>
  </r>
  <r>
    <s v="M0039"/>
    <x v="0"/>
    <x v="79"/>
    <x v="33"/>
    <n v="548410"/>
  </r>
  <r>
    <s v="M0039"/>
    <x v="0"/>
    <x v="79"/>
    <x v="33"/>
    <n v="548410"/>
  </r>
  <r>
    <s v="M0039"/>
    <x v="0"/>
    <x v="80"/>
    <x v="3"/>
    <n v="513128"/>
  </r>
  <r>
    <s v="M0039"/>
    <x v="0"/>
    <x v="80"/>
    <x v="3"/>
    <n v="513128"/>
  </r>
  <r>
    <s v="M0039"/>
    <x v="0"/>
    <x v="81"/>
    <x v="11"/>
    <n v="25000"/>
  </r>
  <r>
    <s v="M0039"/>
    <x v="0"/>
    <x v="81"/>
    <x v="11"/>
    <n v="25000"/>
  </r>
  <r>
    <s v="M0039"/>
    <x v="0"/>
    <x v="82"/>
    <x v="71"/>
    <n v="194719"/>
  </r>
  <r>
    <s v="M0039"/>
    <x v="0"/>
    <x v="82"/>
    <x v="71"/>
    <n v="194719"/>
  </r>
  <r>
    <s v="M0039"/>
    <x v="0"/>
    <x v="83"/>
    <x v="72"/>
    <n v="383339"/>
  </r>
  <r>
    <s v="M0039"/>
    <x v="0"/>
    <x v="83"/>
    <x v="72"/>
    <n v="383339"/>
  </r>
  <r>
    <s v="M0039"/>
    <x v="0"/>
    <x v="84"/>
    <x v="73"/>
    <n v="206289"/>
  </r>
  <r>
    <s v="M0039"/>
    <x v="0"/>
    <x v="84"/>
    <x v="73"/>
    <n v="206289"/>
  </r>
  <r>
    <s v="M0039"/>
    <x v="0"/>
    <x v="85"/>
    <x v="74"/>
    <n v="585925"/>
  </r>
  <r>
    <s v="M0039"/>
    <x v="0"/>
    <x v="85"/>
    <x v="74"/>
    <n v="585925"/>
  </r>
  <r>
    <s v="M0039"/>
    <x v="0"/>
    <x v="86"/>
    <x v="75"/>
    <n v="417409"/>
  </r>
  <r>
    <s v="M0039"/>
    <x v="0"/>
    <x v="86"/>
    <x v="75"/>
    <n v="417409"/>
  </r>
  <r>
    <s v="M0039"/>
    <x v="0"/>
    <x v="87"/>
    <x v="76"/>
    <n v="77559"/>
  </r>
  <r>
    <s v="M0039"/>
    <x v="0"/>
    <x v="87"/>
    <x v="76"/>
    <n v="77559"/>
  </r>
  <r>
    <s v="M0039"/>
    <x v="0"/>
    <x v="88"/>
    <x v="58"/>
    <n v="184214"/>
  </r>
  <r>
    <s v="M0039"/>
    <x v="0"/>
    <x v="88"/>
    <x v="58"/>
    <n v="184214"/>
  </r>
  <r>
    <s v="M0039"/>
    <x v="0"/>
    <x v="89"/>
    <x v="77"/>
    <n v="186411"/>
  </r>
  <r>
    <s v="M0039"/>
    <x v="0"/>
    <x v="89"/>
    <x v="77"/>
    <n v="186411"/>
  </r>
  <r>
    <s v="M0039"/>
    <x v="0"/>
    <x v="90"/>
    <x v="78"/>
    <n v="53483"/>
  </r>
  <r>
    <s v="M0039"/>
    <x v="0"/>
    <x v="90"/>
    <x v="78"/>
    <n v="53483"/>
  </r>
  <r>
    <s v="M0039"/>
    <x v="0"/>
    <x v="91"/>
    <x v="79"/>
    <n v="357245"/>
  </r>
  <r>
    <s v="M0039"/>
    <x v="0"/>
    <x v="91"/>
    <x v="79"/>
    <n v="357245"/>
  </r>
  <r>
    <s v="M0039"/>
    <x v="0"/>
    <x v="92"/>
    <x v="80"/>
    <n v="161822"/>
  </r>
  <r>
    <s v="M0039"/>
    <x v="0"/>
    <x v="92"/>
    <x v="80"/>
    <n v="161822"/>
  </r>
  <r>
    <s v="M0039"/>
    <x v="0"/>
    <x v="93"/>
    <x v="81"/>
    <n v="318622"/>
  </r>
  <r>
    <s v="M0039"/>
    <x v="0"/>
    <x v="93"/>
    <x v="81"/>
    <n v="318622"/>
  </r>
  <r>
    <s v="M0039"/>
    <x v="0"/>
    <x v="94"/>
    <x v="82"/>
    <n v="161562"/>
  </r>
  <r>
    <s v="M0039"/>
    <x v="0"/>
    <x v="94"/>
    <x v="82"/>
    <n v="161562"/>
  </r>
  <r>
    <s v="M0039"/>
    <x v="0"/>
    <x v="95"/>
    <x v="83"/>
    <n v="386673"/>
  </r>
  <r>
    <s v="M0039"/>
    <x v="0"/>
    <x v="95"/>
    <x v="83"/>
    <n v="386673"/>
  </r>
  <r>
    <s v="M0039"/>
    <x v="0"/>
    <x v="96"/>
    <x v="84"/>
    <n v="88904"/>
  </r>
  <r>
    <s v="M0039"/>
    <x v="0"/>
    <x v="96"/>
    <x v="84"/>
    <n v="88904"/>
  </r>
  <r>
    <s v="M0201"/>
    <x v="1"/>
    <x v="97"/>
    <x v="85"/>
    <n v="117659"/>
  </r>
  <r>
    <s v="M0201"/>
    <x v="1"/>
    <x v="97"/>
    <x v="85"/>
    <n v="117659"/>
  </r>
  <r>
    <s v="M0201"/>
    <x v="1"/>
    <x v="97"/>
    <x v="85"/>
    <n v="117659"/>
  </r>
  <r>
    <s v="M0201"/>
    <x v="1"/>
    <x v="97"/>
    <x v="85"/>
    <n v="117659"/>
  </r>
  <r>
    <s v="M0201"/>
    <x v="1"/>
    <x v="98"/>
    <x v="86"/>
    <n v="32659"/>
  </r>
  <r>
    <s v="M0201"/>
    <x v="1"/>
    <x v="98"/>
    <x v="86"/>
    <n v="32659"/>
  </r>
  <r>
    <s v="M0201"/>
    <x v="1"/>
    <x v="98"/>
    <x v="86"/>
    <n v="32659"/>
  </r>
  <r>
    <s v="M0201"/>
    <x v="1"/>
    <x v="98"/>
    <x v="86"/>
    <n v="32659"/>
  </r>
  <r>
    <s v="M0201"/>
    <x v="1"/>
    <x v="99"/>
    <x v="87"/>
    <n v="54131"/>
  </r>
  <r>
    <s v="M0201"/>
    <x v="1"/>
    <x v="99"/>
    <x v="87"/>
    <n v="54131"/>
  </r>
  <r>
    <s v="M0201"/>
    <x v="1"/>
    <x v="99"/>
    <x v="87"/>
    <n v="54131"/>
  </r>
  <r>
    <s v="M0201"/>
    <x v="1"/>
    <x v="99"/>
    <x v="87"/>
    <n v="54131"/>
  </r>
  <r>
    <s v="M0201"/>
    <x v="1"/>
    <x v="100"/>
    <x v="88"/>
    <n v="604654"/>
  </r>
  <r>
    <s v="M0201"/>
    <x v="1"/>
    <x v="100"/>
    <x v="88"/>
    <n v="604654"/>
  </r>
  <r>
    <s v="M0201"/>
    <x v="1"/>
    <x v="100"/>
    <x v="88"/>
    <n v="604654"/>
  </r>
  <r>
    <s v="M0201"/>
    <x v="1"/>
    <x v="100"/>
    <x v="88"/>
    <n v="604654"/>
  </r>
  <r>
    <s v="M0201"/>
    <x v="1"/>
    <x v="101"/>
    <x v="89"/>
    <n v="153160"/>
  </r>
  <r>
    <s v="M0201"/>
    <x v="1"/>
    <x v="101"/>
    <x v="89"/>
    <n v="153160"/>
  </r>
  <r>
    <s v="M0201"/>
    <x v="1"/>
    <x v="101"/>
    <x v="89"/>
    <n v="153160"/>
  </r>
  <r>
    <s v="M0201"/>
    <x v="1"/>
    <x v="101"/>
    <x v="89"/>
    <n v="153160"/>
  </r>
  <r>
    <s v="M0201"/>
    <x v="1"/>
    <x v="102"/>
    <x v="89"/>
    <n v="178154"/>
  </r>
  <r>
    <s v="M0201"/>
    <x v="1"/>
    <x v="102"/>
    <x v="89"/>
    <n v="178154"/>
  </r>
  <r>
    <s v="M0201"/>
    <x v="1"/>
    <x v="102"/>
    <x v="89"/>
    <n v="178154"/>
  </r>
  <r>
    <s v="M0201"/>
    <x v="1"/>
    <x v="102"/>
    <x v="89"/>
    <n v="178154"/>
  </r>
  <r>
    <s v="M0201"/>
    <x v="1"/>
    <x v="103"/>
    <x v="90"/>
    <n v="356426"/>
  </r>
  <r>
    <s v="M0201"/>
    <x v="1"/>
    <x v="103"/>
    <x v="90"/>
    <n v="356426"/>
  </r>
  <r>
    <s v="M0201"/>
    <x v="1"/>
    <x v="103"/>
    <x v="90"/>
    <n v="356426"/>
  </r>
  <r>
    <s v="M0201"/>
    <x v="1"/>
    <x v="103"/>
    <x v="90"/>
    <n v="356426"/>
  </r>
  <r>
    <s v="M0201"/>
    <x v="1"/>
    <x v="104"/>
    <x v="91"/>
    <n v="232302"/>
  </r>
  <r>
    <s v="M0201"/>
    <x v="1"/>
    <x v="104"/>
    <x v="91"/>
    <n v="232302"/>
  </r>
  <r>
    <s v="M0201"/>
    <x v="1"/>
    <x v="104"/>
    <x v="91"/>
    <n v="232302"/>
  </r>
  <r>
    <s v="M0201"/>
    <x v="1"/>
    <x v="104"/>
    <x v="91"/>
    <n v="232302"/>
  </r>
  <r>
    <s v="M0201"/>
    <x v="1"/>
    <x v="105"/>
    <x v="92"/>
    <n v="221123"/>
  </r>
  <r>
    <s v="M0201"/>
    <x v="1"/>
    <x v="105"/>
    <x v="92"/>
    <n v="221123"/>
  </r>
  <r>
    <s v="M0201"/>
    <x v="1"/>
    <x v="105"/>
    <x v="92"/>
    <n v="221123"/>
  </r>
  <r>
    <s v="M0201"/>
    <x v="1"/>
    <x v="105"/>
    <x v="92"/>
    <n v="221123"/>
  </r>
  <r>
    <s v="M0201"/>
    <x v="1"/>
    <x v="106"/>
    <x v="93"/>
    <n v="822663"/>
  </r>
  <r>
    <s v="M0201"/>
    <x v="1"/>
    <x v="106"/>
    <x v="93"/>
    <n v="822663"/>
  </r>
  <r>
    <s v="M0201"/>
    <x v="1"/>
    <x v="106"/>
    <x v="93"/>
    <n v="822663"/>
  </r>
  <r>
    <s v="M0201"/>
    <x v="1"/>
    <x v="106"/>
    <x v="93"/>
    <n v="822663"/>
  </r>
  <r>
    <s v="M0048"/>
    <x v="2"/>
    <x v="107"/>
    <x v="36"/>
    <n v="162611"/>
  </r>
  <r>
    <s v="M0048"/>
    <x v="2"/>
    <x v="107"/>
    <x v="36"/>
    <n v="162611"/>
  </r>
  <r>
    <s v="M0048"/>
    <x v="2"/>
    <x v="107"/>
    <x v="36"/>
    <n v="162611"/>
  </r>
  <r>
    <s v="M0048"/>
    <x v="2"/>
    <x v="107"/>
    <x v="36"/>
    <n v="162611"/>
  </r>
  <r>
    <s v="M0048"/>
    <x v="2"/>
    <x v="108"/>
    <x v="94"/>
    <n v="305361"/>
  </r>
  <r>
    <s v="M0048"/>
    <x v="2"/>
    <x v="108"/>
    <x v="94"/>
    <n v="305361"/>
  </r>
  <r>
    <s v="M0048"/>
    <x v="2"/>
    <x v="108"/>
    <x v="94"/>
    <n v="305361"/>
  </r>
  <r>
    <s v="M0048"/>
    <x v="2"/>
    <x v="108"/>
    <x v="94"/>
    <n v="305361"/>
  </r>
  <r>
    <s v="M0048"/>
    <x v="2"/>
    <x v="109"/>
    <x v="47"/>
    <n v="634278"/>
  </r>
  <r>
    <s v="M0048"/>
    <x v="2"/>
    <x v="109"/>
    <x v="47"/>
    <n v="634278"/>
  </r>
  <r>
    <s v="M0048"/>
    <x v="2"/>
    <x v="109"/>
    <x v="47"/>
    <n v="634278"/>
  </r>
  <r>
    <s v="M0048"/>
    <x v="2"/>
    <x v="109"/>
    <x v="47"/>
    <n v="634278"/>
  </r>
  <r>
    <s v="M0048"/>
    <x v="2"/>
    <x v="110"/>
    <x v="48"/>
    <n v="647930"/>
  </r>
  <r>
    <s v="M0048"/>
    <x v="2"/>
    <x v="110"/>
    <x v="48"/>
    <n v="647930"/>
  </r>
  <r>
    <s v="M0048"/>
    <x v="2"/>
    <x v="110"/>
    <x v="48"/>
    <n v="647930"/>
  </r>
  <r>
    <s v="M0048"/>
    <x v="2"/>
    <x v="110"/>
    <x v="48"/>
    <n v="647930"/>
  </r>
  <r>
    <s v="M0048"/>
    <x v="2"/>
    <x v="111"/>
    <x v="95"/>
    <n v="464878"/>
  </r>
  <r>
    <s v="M0048"/>
    <x v="2"/>
    <x v="111"/>
    <x v="95"/>
    <n v="464878"/>
  </r>
  <r>
    <s v="M0048"/>
    <x v="2"/>
    <x v="111"/>
    <x v="95"/>
    <n v="464878"/>
  </r>
  <r>
    <s v="M0048"/>
    <x v="2"/>
    <x v="111"/>
    <x v="95"/>
    <n v="464878"/>
  </r>
  <r>
    <s v="M0048"/>
    <x v="2"/>
    <x v="112"/>
    <x v="96"/>
    <n v="518297"/>
  </r>
  <r>
    <s v="M0048"/>
    <x v="2"/>
    <x v="112"/>
    <x v="96"/>
    <n v="518297"/>
  </r>
  <r>
    <s v="M0048"/>
    <x v="2"/>
    <x v="112"/>
    <x v="96"/>
    <n v="518297"/>
  </r>
  <r>
    <s v="M0048"/>
    <x v="2"/>
    <x v="112"/>
    <x v="96"/>
    <n v="518297"/>
  </r>
  <r>
    <s v="M0048"/>
    <x v="2"/>
    <x v="113"/>
    <x v="97"/>
    <n v="290027"/>
  </r>
  <r>
    <s v="M0048"/>
    <x v="2"/>
    <x v="113"/>
    <x v="97"/>
    <n v="290027"/>
  </r>
  <r>
    <s v="M0048"/>
    <x v="2"/>
    <x v="113"/>
    <x v="97"/>
    <n v="290027"/>
  </r>
  <r>
    <s v="M0048"/>
    <x v="2"/>
    <x v="113"/>
    <x v="97"/>
    <n v="290027"/>
  </r>
  <r>
    <s v="M0048"/>
    <x v="2"/>
    <x v="114"/>
    <x v="98"/>
    <n v="266275"/>
  </r>
  <r>
    <s v="M0048"/>
    <x v="2"/>
    <x v="114"/>
    <x v="98"/>
    <n v="266275"/>
  </r>
  <r>
    <s v="M0048"/>
    <x v="2"/>
    <x v="114"/>
    <x v="98"/>
    <n v="266275"/>
  </r>
  <r>
    <s v="M0048"/>
    <x v="2"/>
    <x v="114"/>
    <x v="98"/>
    <n v="266275"/>
  </r>
  <r>
    <s v="M0049"/>
    <x v="1"/>
    <x v="115"/>
    <x v="99"/>
    <n v="173271"/>
  </r>
  <r>
    <s v="M0049"/>
    <x v="1"/>
    <x v="115"/>
    <x v="99"/>
    <n v="173271"/>
  </r>
  <r>
    <s v="M0049"/>
    <x v="1"/>
    <x v="115"/>
    <x v="99"/>
    <n v="173271"/>
  </r>
  <r>
    <s v="M0049"/>
    <x v="1"/>
    <x v="115"/>
    <x v="99"/>
    <n v="173271"/>
  </r>
  <r>
    <s v="M0049"/>
    <x v="1"/>
    <x v="115"/>
    <x v="99"/>
    <n v="173271"/>
  </r>
  <r>
    <s v="M0049"/>
    <x v="1"/>
    <x v="115"/>
    <x v="99"/>
    <n v="173271"/>
  </r>
  <r>
    <s v="M0049"/>
    <x v="1"/>
    <x v="115"/>
    <x v="99"/>
    <n v="173271"/>
  </r>
  <r>
    <s v="M0049"/>
    <x v="1"/>
    <x v="116"/>
    <x v="100"/>
    <n v="101606"/>
  </r>
  <r>
    <s v="M0049"/>
    <x v="1"/>
    <x v="116"/>
    <x v="100"/>
    <n v="101606"/>
  </r>
  <r>
    <s v="M0049"/>
    <x v="1"/>
    <x v="116"/>
    <x v="100"/>
    <n v="101606"/>
  </r>
  <r>
    <s v="M0049"/>
    <x v="1"/>
    <x v="116"/>
    <x v="100"/>
    <n v="101606"/>
  </r>
  <r>
    <s v="M0049"/>
    <x v="1"/>
    <x v="116"/>
    <x v="100"/>
    <n v="101606"/>
  </r>
  <r>
    <s v="M0049"/>
    <x v="1"/>
    <x v="116"/>
    <x v="100"/>
    <n v="101606"/>
  </r>
  <r>
    <s v="M0049"/>
    <x v="1"/>
    <x v="116"/>
    <x v="100"/>
    <n v="101606"/>
  </r>
  <r>
    <s v="M0049"/>
    <x v="1"/>
    <x v="117"/>
    <x v="101"/>
    <n v="331605"/>
  </r>
  <r>
    <s v="M0049"/>
    <x v="1"/>
    <x v="117"/>
    <x v="101"/>
    <n v="331605"/>
  </r>
  <r>
    <s v="M0049"/>
    <x v="1"/>
    <x v="117"/>
    <x v="101"/>
    <n v="331605"/>
  </r>
  <r>
    <s v="M0049"/>
    <x v="1"/>
    <x v="117"/>
    <x v="101"/>
    <n v="331605"/>
  </r>
  <r>
    <s v="M0049"/>
    <x v="1"/>
    <x v="117"/>
    <x v="101"/>
    <n v="331605"/>
  </r>
  <r>
    <s v="M0049"/>
    <x v="1"/>
    <x v="117"/>
    <x v="101"/>
    <n v="331605"/>
  </r>
  <r>
    <s v="M0049"/>
    <x v="1"/>
    <x v="117"/>
    <x v="101"/>
    <n v="331605"/>
  </r>
  <r>
    <s v="M0049"/>
    <x v="1"/>
    <x v="118"/>
    <x v="32"/>
    <n v="298153"/>
  </r>
  <r>
    <s v="M0049"/>
    <x v="1"/>
    <x v="118"/>
    <x v="32"/>
    <n v="298153"/>
  </r>
  <r>
    <s v="M0049"/>
    <x v="1"/>
    <x v="118"/>
    <x v="32"/>
    <n v="298153"/>
  </r>
  <r>
    <s v="M0049"/>
    <x v="1"/>
    <x v="118"/>
    <x v="32"/>
    <n v="298153"/>
  </r>
  <r>
    <s v="M0049"/>
    <x v="1"/>
    <x v="118"/>
    <x v="32"/>
    <n v="298153"/>
  </r>
  <r>
    <s v="M0049"/>
    <x v="1"/>
    <x v="118"/>
    <x v="32"/>
    <n v="298153"/>
  </r>
  <r>
    <s v="M0049"/>
    <x v="1"/>
    <x v="118"/>
    <x v="32"/>
    <n v="298153"/>
  </r>
  <r>
    <s v="M0049"/>
    <x v="1"/>
    <x v="119"/>
    <x v="102"/>
    <n v="128844"/>
  </r>
  <r>
    <s v="M0049"/>
    <x v="1"/>
    <x v="119"/>
    <x v="102"/>
    <n v="128844"/>
  </r>
  <r>
    <s v="M0049"/>
    <x v="1"/>
    <x v="119"/>
    <x v="102"/>
    <n v="128844"/>
  </r>
  <r>
    <s v="M0049"/>
    <x v="1"/>
    <x v="119"/>
    <x v="102"/>
    <n v="128844"/>
  </r>
  <r>
    <s v="M0049"/>
    <x v="1"/>
    <x v="119"/>
    <x v="102"/>
    <n v="128844"/>
  </r>
  <r>
    <s v="M0049"/>
    <x v="1"/>
    <x v="119"/>
    <x v="102"/>
    <n v="128844"/>
  </r>
  <r>
    <s v="M0049"/>
    <x v="1"/>
    <x v="119"/>
    <x v="102"/>
    <n v="128844"/>
  </r>
  <r>
    <s v="M0049"/>
    <x v="1"/>
    <x v="120"/>
    <x v="103"/>
    <n v="210808"/>
  </r>
  <r>
    <s v="M0049"/>
    <x v="1"/>
    <x v="120"/>
    <x v="103"/>
    <n v="210808"/>
  </r>
  <r>
    <s v="M0049"/>
    <x v="1"/>
    <x v="120"/>
    <x v="103"/>
    <n v="210808"/>
  </r>
  <r>
    <s v="M0049"/>
    <x v="1"/>
    <x v="120"/>
    <x v="103"/>
    <n v="210808"/>
  </r>
  <r>
    <s v="M0049"/>
    <x v="1"/>
    <x v="120"/>
    <x v="103"/>
    <n v="210808"/>
  </r>
  <r>
    <s v="M0049"/>
    <x v="1"/>
    <x v="120"/>
    <x v="103"/>
    <n v="210808"/>
  </r>
  <r>
    <s v="M0049"/>
    <x v="1"/>
    <x v="120"/>
    <x v="103"/>
    <n v="210808"/>
  </r>
  <r>
    <s v="M0049"/>
    <x v="1"/>
    <x v="121"/>
    <x v="104"/>
    <n v="650274"/>
  </r>
  <r>
    <s v="M0049"/>
    <x v="1"/>
    <x v="121"/>
    <x v="104"/>
    <n v="650274"/>
  </r>
  <r>
    <s v="M0049"/>
    <x v="1"/>
    <x v="121"/>
    <x v="104"/>
    <n v="650274"/>
  </r>
  <r>
    <s v="M0049"/>
    <x v="1"/>
    <x v="121"/>
    <x v="104"/>
    <n v="650274"/>
  </r>
  <r>
    <s v="M0049"/>
    <x v="1"/>
    <x v="121"/>
    <x v="104"/>
    <n v="650274"/>
  </r>
  <r>
    <s v="M0049"/>
    <x v="1"/>
    <x v="121"/>
    <x v="104"/>
    <n v="650274"/>
  </r>
  <r>
    <s v="M0049"/>
    <x v="1"/>
    <x v="121"/>
    <x v="104"/>
    <n v="650274"/>
  </r>
  <r>
    <s v="M0049"/>
    <x v="1"/>
    <x v="122"/>
    <x v="43"/>
    <n v="493161"/>
  </r>
  <r>
    <s v="M0049"/>
    <x v="1"/>
    <x v="122"/>
    <x v="43"/>
    <n v="493161"/>
  </r>
  <r>
    <s v="M0049"/>
    <x v="1"/>
    <x v="122"/>
    <x v="43"/>
    <n v="493161"/>
  </r>
  <r>
    <s v="M0049"/>
    <x v="1"/>
    <x v="122"/>
    <x v="43"/>
    <n v="493161"/>
  </r>
  <r>
    <s v="M0049"/>
    <x v="1"/>
    <x v="122"/>
    <x v="43"/>
    <n v="493161"/>
  </r>
  <r>
    <s v="M0049"/>
    <x v="1"/>
    <x v="122"/>
    <x v="43"/>
    <n v="493161"/>
  </r>
  <r>
    <s v="M0049"/>
    <x v="1"/>
    <x v="122"/>
    <x v="43"/>
    <n v="493161"/>
  </r>
  <r>
    <s v="M0049"/>
    <x v="1"/>
    <x v="123"/>
    <x v="105"/>
    <n v="283638"/>
  </r>
  <r>
    <s v="M0049"/>
    <x v="1"/>
    <x v="123"/>
    <x v="105"/>
    <n v="283638"/>
  </r>
  <r>
    <s v="M0049"/>
    <x v="1"/>
    <x v="123"/>
    <x v="105"/>
    <n v="283638"/>
  </r>
  <r>
    <s v="M0049"/>
    <x v="1"/>
    <x v="123"/>
    <x v="105"/>
    <n v="283638"/>
  </r>
  <r>
    <s v="M0049"/>
    <x v="1"/>
    <x v="123"/>
    <x v="105"/>
    <n v="283638"/>
  </r>
  <r>
    <s v="M0049"/>
    <x v="1"/>
    <x v="123"/>
    <x v="105"/>
    <n v="283638"/>
  </r>
  <r>
    <s v="M0049"/>
    <x v="1"/>
    <x v="123"/>
    <x v="105"/>
    <n v="283638"/>
  </r>
  <r>
    <s v="M0049"/>
    <x v="1"/>
    <x v="124"/>
    <x v="19"/>
    <n v="199306"/>
  </r>
  <r>
    <s v="M0049"/>
    <x v="1"/>
    <x v="124"/>
    <x v="19"/>
    <n v="199306"/>
  </r>
  <r>
    <s v="M0049"/>
    <x v="1"/>
    <x v="124"/>
    <x v="19"/>
    <n v="199306"/>
  </r>
  <r>
    <s v="M0049"/>
    <x v="1"/>
    <x v="124"/>
    <x v="19"/>
    <n v="199306"/>
  </r>
  <r>
    <s v="M0049"/>
    <x v="1"/>
    <x v="124"/>
    <x v="19"/>
    <n v="199306"/>
  </r>
  <r>
    <s v="M0049"/>
    <x v="1"/>
    <x v="124"/>
    <x v="19"/>
    <n v="199306"/>
  </r>
  <r>
    <s v="M0049"/>
    <x v="1"/>
    <x v="124"/>
    <x v="19"/>
    <n v="199306"/>
  </r>
  <r>
    <s v="M0049"/>
    <x v="1"/>
    <x v="125"/>
    <x v="0"/>
    <n v="177139"/>
  </r>
  <r>
    <s v="M0049"/>
    <x v="1"/>
    <x v="125"/>
    <x v="0"/>
    <n v="177139"/>
  </r>
  <r>
    <s v="M0049"/>
    <x v="1"/>
    <x v="125"/>
    <x v="0"/>
    <n v="177139"/>
  </r>
  <r>
    <s v="M0049"/>
    <x v="1"/>
    <x v="125"/>
    <x v="0"/>
    <n v="177139"/>
  </r>
  <r>
    <s v="M0049"/>
    <x v="1"/>
    <x v="125"/>
    <x v="0"/>
    <n v="177139"/>
  </r>
  <r>
    <s v="M0049"/>
    <x v="1"/>
    <x v="125"/>
    <x v="0"/>
    <n v="177139"/>
  </r>
  <r>
    <s v="M0049"/>
    <x v="1"/>
    <x v="125"/>
    <x v="0"/>
    <n v="177139"/>
  </r>
  <r>
    <s v="M0049"/>
    <x v="1"/>
    <x v="126"/>
    <x v="106"/>
    <n v="243343"/>
  </r>
  <r>
    <s v="M0049"/>
    <x v="1"/>
    <x v="126"/>
    <x v="106"/>
    <n v="243343"/>
  </r>
  <r>
    <s v="M0049"/>
    <x v="1"/>
    <x v="126"/>
    <x v="106"/>
    <n v="243343"/>
  </r>
  <r>
    <s v="M0049"/>
    <x v="1"/>
    <x v="126"/>
    <x v="106"/>
    <n v="243343"/>
  </r>
  <r>
    <s v="M0049"/>
    <x v="1"/>
    <x v="126"/>
    <x v="106"/>
    <n v="243343"/>
  </r>
  <r>
    <s v="M0049"/>
    <x v="1"/>
    <x v="126"/>
    <x v="106"/>
    <n v="243343"/>
  </r>
  <r>
    <s v="M0049"/>
    <x v="1"/>
    <x v="126"/>
    <x v="106"/>
    <n v="243343"/>
  </r>
  <r>
    <s v="M0057"/>
    <x v="1"/>
    <x v="127"/>
    <x v="107"/>
    <n v="139947"/>
  </r>
  <r>
    <s v="M0057"/>
    <x v="1"/>
    <x v="127"/>
    <x v="107"/>
    <n v="139947"/>
  </r>
  <r>
    <s v="M0057"/>
    <x v="1"/>
    <x v="128"/>
    <x v="108"/>
    <n v="172242"/>
  </r>
  <r>
    <s v="M0057"/>
    <x v="1"/>
    <x v="128"/>
    <x v="108"/>
    <n v="172242"/>
  </r>
  <r>
    <s v="M0057"/>
    <x v="1"/>
    <x v="129"/>
    <x v="1"/>
    <n v="173168"/>
  </r>
  <r>
    <s v="M0057"/>
    <x v="1"/>
    <x v="129"/>
    <x v="1"/>
    <n v="173168"/>
  </r>
  <r>
    <s v="M0057"/>
    <x v="1"/>
    <x v="130"/>
    <x v="109"/>
    <n v="33578"/>
  </r>
  <r>
    <s v="M0057"/>
    <x v="1"/>
    <x v="130"/>
    <x v="109"/>
    <n v="33578"/>
  </r>
  <r>
    <s v="M0134"/>
    <x v="1"/>
    <x v="131"/>
    <x v="94"/>
    <n v="404247"/>
  </r>
  <r>
    <s v="M0134"/>
    <x v="1"/>
    <x v="131"/>
    <x v="94"/>
    <n v="404247"/>
  </r>
  <r>
    <s v="M0134"/>
    <x v="1"/>
    <x v="132"/>
    <x v="110"/>
    <n v="415697"/>
  </r>
  <r>
    <s v="M0134"/>
    <x v="1"/>
    <x v="132"/>
    <x v="110"/>
    <n v="415697"/>
  </r>
  <r>
    <s v="M0134"/>
    <x v="1"/>
    <x v="133"/>
    <x v="86"/>
    <n v="416459"/>
  </r>
  <r>
    <s v="M0134"/>
    <x v="1"/>
    <x v="133"/>
    <x v="86"/>
    <n v="416459"/>
  </r>
  <r>
    <s v="M0134"/>
    <x v="1"/>
    <x v="134"/>
    <x v="111"/>
    <n v="371620"/>
  </r>
  <r>
    <s v="M0134"/>
    <x v="1"/>
    <x v="134"/>
    <x v="111"/>
    <n v="371620"/>
  </r>
  <r>
    <s v="M0208"/>
    <x v="2"/>
    <x v="135"/>
    <x v="112"/>
    <n v="340378"/>
  </r>
  <r>
    <s v="M0208"/>
    <x v="2"/>
    <x v="135"/>
    <x v="112"/>
    <n v="340378"/>
  </r>
  <r>
    <s v="M0208"/>
    <x v="2"/>
    <x v="136"/>
    <x v="57"/>
    <n v="232150"/>
  </r>
  <r>
    <s v="M0208"/>
    <x v="2"/>
    <x v="136"/>
    <x v="57"/>
    <n v="232150"/>
  </r>
  <r>
    <s v="M0208"/>
    <x v="2"/>
    <x v="137"/>
    <x v="113"/>
    <n v="278849"/>
  </r>
  <r>
    <s v="M0208"/>
    <x v="2"/>
    <x v="137"/>
    <x v="113"/>
    <n v="278849"/>
  </r>
  <r>
    <s v="M0161"/>
    <x v="1"/>
    <x v="138"/>
    <x v="52"/>
    <n v="355497"/>
  </r>
  <r>
    <s v="M0161"/>
    <x v="1"/>
    <x v="139"/>
    <x v="114"/>
    <n v="304574"/>
  </r>
  <r>
    <s v="M0161"/>
    <x v="1"/>
    <x v="140"/>
    <x v="115"/>
    <n v="135431"/>
  </r>
  <r>
    <s v="M0161"/>
    <x v="1"/>
    <x v="141"/>
    <x v="116"/>
    <n v="237215"/>
  </r>
  <r>
    <s v="M0161"/>
    <x v="1"/>
    <x v="142"/>
    <x v="117"/>
    <n v="352994"/>
  </r>
  <r>
    <s v="M0161"/>
    <x v="1"/>
    <x v="143"/>
    <x v="118"/>
    <n v="153656"/>
  </r>
  <r>
    <s v="M0161"/>
    <x v="1"/>
    <x v="144"/>
    <x v="119"/>
    <n v="359784"/>
  </r>
  <r>
    <s v="M0161"/>
    <x v="1"/>
    <x v="145"/>
    <x v="21"/>
    <n v="299285"/>
  </r>
  <r>
    <s v="M0161"/>
    <x v="1"/>
    <x v="146"/>
    <x v="53"/>
    <n v="138702"/>
  </r>
  <r>
    <s v="M0161"/>
    <x v="1"/>
    <x v="147"/>
    <x v="80"/>
    <n v="126866"/>
  </r>
  <r>
    <s v="M0267"/>
    <x v="1"/>
    <x v="148"/>
    <x v="53"/>
    <n v="255551"/>
  </r>
  <r>
    <s v="M0267"/>
    <x v="1"/>
    <x v="148"/>
    <x v="53"/>
    <n v="255551"/>
  </r>
  <r>
    <s v="M0267"/>
    <x v="1"/>
    <x v="148"/>
    <x v="53"/>
    <n v="255551"/>
  </r>
  <r>
    <s v="M0267"/>
    <x v="1"/>
    <x v="148"/>
    <x v="53"/>
    <n v="255551"/>
  </r>
  <r>
    <s v="M0267"/>
    <x v="1"/>
    <x v="148"/>
    <x v="53"/>
    <n v="255551"/>
  </r>
  <r>
    <s v="M0267"/>
    <x v="1"/>
    <x v="148"/>
    <x v="53"/>
    <n v="255551"/>
  </r>
  <r>
    <s v="M0267"/>
    <x v="1"/>
    <x v="149"/>
    <x v="120"/>
    <n v="326544"/>
  </r>
  <r>
    <s v="M0267"/>
    <x v="1"/>
    <x v="149"/>
    <x v="120"/>
    <n v="326544"/>
  </r>
  <r>
    <s v="M0267"/>
    <x v="1"/>
    <x v="149"/>
    <x v="120"/>
    <n v="326544"/>
  </r>
  <r>
    <s v="M0267"/>
    <x v="1"/>
    <x v="149"/>
    <x v="120"/>
    <n v="326544"/>
  </r>
  <r>
    <s v="M0267"/>
    <x v="1"/>
    <x v="149"/>
    <x v="120"/>
    <n v="326544"/>
  </r>
  <r>
    <s v="M0267"/>
    <x v="1"/>
    <x v="149"/>
    <x v="120"/>
    <n v="326544"/>
  </r>
  <r>
    <s v="M0267"/>
    <x v="1"/>
    <x v="150"/>
    <x v="84"/>
    <n v="166865"/>
  </r>
  <r>
    <s v="M0267"/>
    <x v="1"/>
    <x v="150"/>
    <x v="84"/>
    <n v="166865"/>
  </r>
  <r>
    <s v="M0267"/>
    <x v="1"/>
    <x v="150"/>
    <x v="84"/>
    <n v="166865"/>
  </r>
  <r>
    <s v="M0267"/>
    <x v="1"/>
    <x v="150"/>
    <x v="84"/>
    <n v="166865"/>
  </r>
  <r>
    <s v="M0267"/>
    <x v="1"/>
    <x v="150"/>
    <x v="84"/>
    <n v="166865"/>
  </r>
  <r>
    <s v="M0267"/>
    <x v="1"/>
    <x v="150"/>
    <x v="84"/>
    <n v="166865"/>
  </r>
  <r>
    <s v="M0267"/>
    <x v="1"/>
    <x v="151"/>
    <x v="121"/>
    <n v="25428"/>
  </r>
  <r>
    <s v="M0267"/>
    <x v="1"/>
    <x v="151"/>
    <x v="121"/>
    <n v="25428"/>
  </r>
  <r>
    <s v="M0267"/>
    <x v="1"/>
    <x v="151"/>
    <x v="121"/>
    <n v="25428"/>
  </r>
  <r>
    <s v="M0267"/>
    <x v="1"/>
    <x v="151"/>
    <x v="121"/>
    <n v="25428"/>
  </r>
  <r>
    <s v="M0267"/>
    <x v="1"/>
    <x v="151"/>
    <x v="121"/>
    <n v="25428"/>
  </r>
  <r>
    <s v="M0267"/>
    <x v="1"/>
    <x v="151"/>
    <x v="121"/>
    <n v="25428"/>
  </r>
  <r>
    <s v="M0267"/>
    <x v="1"/>
    <x v="152"/>
    <x v="11"/>
    <n v="393791"/>
  </r>
  <r>
    <s v="M0267"/>
    <x v="1"/>
    <x v="152"/>
    <x v="11"/>
    <n v="393791"/>
  </r>
  <r>
    <s v="M0267"/>
    <x v="1"/>
    <x v="152"/>
    <x v="11"/>
    <n v="393791"/>
  </r>
  <r>
    <s v="M0267"/>
    <x v="1"/>
    <x v="152"/>
    <x v="11"/>
    <n v="393791"/>
  </r>
  <r>
    <s v="M0267"/>
    <x v="1"/>
    <x v="152"/>
    <x v="11"/>
    <n v="393791"/>
  </r>
  <r>
    <s v="M0267"/>
    <x v="1"/>
    <x v="152"/>
    <x v="11"/>
    <n v="393791"/>
  </r>
  <r>
    <s v="M0267"/>
    <x v="1"/>
    <x v="153"/>
    <x v="122"/>
    <n v="425480"/>
  </r>
  <r>
    <s v="M0267"/>
    <x v="1"/>
    <x v="153"/>
    <x v="122"/>
    <n v="425480"/>
  </r>
  <r>
    <s v="M0267"/>
    <x v="1"/>
    <x v="153"/>
    <x v="122"/>
    <n v="425480"/>
  </r>
  <r>
    <s v="M0267"/>
    <x v="1"/>
    <x v="153"/>
    <x v="122"/>
    <n v="425480"/>
  </r>
  <r>
    <s v="M0267"/>
    <x v="1"/>
    <x v="153"/>
    <x v="122"/>
    <n v="425480"/>
  </r>
  <r>
    <s v="M0267"/>
    <x v="1"/>
    <x v="153"/>
    <x v="122"/>
    <n v="425480"/>
  </r>
  <r>
    <s v="M0267"/>
    <x v="1"/>
    <x v="154"/>
    <x v="123"/>
    <n v="192962"/>
  </r>
  <r>
    <s v="M0267"/>
    <x v="1"/>
    <x v="154"/>
    <x v="123"/>
    <n v="192962"/>
  </r>
  <r>
    <s v="M0267"/>
    <x v="1"/>
    <x v="154"/>
    <x v="123"/>
    <n v="192962"/>
  </r>
  <r>
    <s v="M0267"/>
    <x v="1"/>
    <x v="154"/>
    <x v="123"/>
    <n v="192962"/>
  </r>
  <r>
    <s v="M0267"/>
    <x v="1"/>
    <x v="154"/>
    <x v="123"/>
    <n v="192962"/>
  </r>
  <r>
    <s v="M0267"/>
    <x v="1"/>
    <x v="154"/>
    <x v="123"/>
    <n v="192962"/>
  </r>
  <r>
    <s v="M0267"/>
    <x v="1"/>
    <x v="155"/>
    <x v="15"/>
    <n v="300045"/>
  </r>
  <r>
    <s v="M0267"/>
    <x v="1"/>
    <x v="155"/>
    <x v="15"/>
    <n v="300045"/>
  </r>
  <r>
    <s v="M0267"/>
    <x v="1"/>
    <x v="155"/>
    <x v="15"/>
    <n v="300045"/>
  </r>
  <r>
    <s v="M0267"/>
    <x v="1"/>
    <x v="155"/>
    <x v="15"/>
    <n v="300045"/>
  </r>
  <r>
    <s v="M0267"/>
    <x v="1"/>
    <x v="155"/>
    <x v="15"/>
    <n v="300045"/>
  </r>
  <r>
    <s v="M0267"/>
    <x v="1"/>
    <x v="155"/>
    <x v="15"/>
    <n v="300045"/>
  </r>
  <r>
    <s v="M0267"/>
    <x v="1"/>
    <x v="156"/>
    <x v="40"/>
    <n v="25000"/>
  </r>
  <r>
    <s v="M0267"/>
    <x v="1"/>
    <x v="156"/>
    <x v="40"/>
    <n v="25000"/>
  </r>
  <r>
    <s v="M0267"/>
    <x v="1"/>
    <x v="156"/>
    <x v="40"/>
    <n v="25000"/>
  </r>
  <r>
    <s v="M0267"/>
    <x v="1"/>
    <x v="156"/>
    <x v="40"/>
    <n v="25000"/>
  </r>
  <r>
    <s v="M0267"/>
    <x v="1"/>
    <x v="156"/>
    <x v="40"/>
    <n v="25000"/>
  </r>
  <r>
    <s v="M0267"/>
    <x v="1"/>
    <x v="156"/>
    <x v="40"/>
    <n v="25000"/>
  </r>
  <r>
    <s v="M0267"/>
    <x v="1"/>
    <x v="157"/>
    <x v="53"/>
    <n v="838078"/>
  </r>
  <r>
    <s v="M0267"/>
    <x v="1"/>
    <x v="157"/>
    <x v="53"/>
    <n v="838078"/>
  </r>
  <r>
    <s v="M0267"/>
    <x v="1"/>
    <x v="157"/>
    <x v="53"/>
    <n v="838078"/>
  </r>
  <r>
    <s v="M0267"/>
    <x v="1"/>
    <x v="157"/>
    <x v="53"/>
    <n v="838078"/>
  </r>
  <r>
    <s v="M0267"/>
    <x v="1"/>
    <x v="157"/>
    <x v="53"/>
    <n v="838078"/>
  </r>
  <r>
    <s v="M0267"/>
    <x v="1"/>
    <x v="157"/>
    <x v="53"/>
    <n v="838078"/>
  </r>
  <r>
    <s v="M0267"/>
    <x v="1"/>
    <x v="158"/>
    <x v="98"/>
    <n v="25000"/>
  </r>
  <r>
    <s v="M0267"/>
    <x v="1"/>
    <x v="158"/>
    <x v="98"/>
    <n v="25000"/>
  </r>
  <r>
    <s v="M0267"/>
    <x v="1"/>
    <x v="158"/>
    <x v="98"/>
    <n v="25000"/>
  </r>
  <r>
    <s v="M0267"/>
    <x v="1"/>
    <x v="158"/>
    <x v="98"/>
    <n v="25000"/>
  </r>
  <r>
    <s v="M0267"/>
    <x v="1"/>
    <x v="158"/>
    <x v="98"/>
    <n v="25000"/>
  </r>
  <r>
    <s v="M0267"/>
    <x v="1"/>
    <x v="158"/>
    <x v="98"/>
    <n v="25000"/>
  </r>
  <r>
    <s v="M0267"/>
    <x v="1"/>
    <x v="159"/>
    <x v="124"/>
    <n v="127997"/>
  </r>
  <r>
    <s v="M0267"/>
    <x v="1"/>
    <x v="159"/>
    <x v="124"/>
    <n v="127997"/>
  </r>
  <r>
    <s v="M0267"/>
    <x v="1"/>
    <x v="159"/>
    <x v="124"/>
    <n v="127997"/>
  </r>
  <r>
    <s v="M0267"/>
    <x v="1"/>
    <x v="159"/>
    <x v="124"/>
    <n v="127997"/>
  </r>
  <r>
    <s v="M0267"/>
    <x v="1"/>
    <x v="159"/>
    <x v="124"/>
    <n v="127997"/>
  </r>
  <r>
    <s v="M0267"/>
    <x v="1"/>
    <x v="159"/>
    <x v="124"/>
    <n v="127997"/>
  </r>
  <r>
    <s v="M0267"/>
    <x v="1"/>
    <x v="160"/>
    <x v="125"/>
    <n v="103655"/>
  </r>
  <r>
    <s v="M0267"/>
    <x v="1"/>
    <x v="160"/>
    <x v="125"/>
    <n v="103655"/>
  </r>
  <r>
    <s v="M0267"/>
    <x v="1"/>
    <x v="160"/>
    <x v="125"/>
    <n v="103655"/>
  </r>
  <r>
    <s v="M0267"/>
    <x v="1"/>
    <x v="160"/>
    <x v="125"/>
    <n v="103655"/>
  </r>
  <r>
    <s v="M0267"/>
    <x v="1"/>
    <x v="160"/>
    <x v="125"/>
    <n v="103655"/>
  </r>
  <r>
    <s v="M0267"/>
    <x v="1"/>
    <x v="160"/>
    <x v="125"/>
    <n v="103655"/>
  </r>
  <r>
    <s v="M0267"/>
    <x v="1"/>
    <x v="161"/>
    <x v="126"/>
    <n v="721287"/>
  </r>
  <r>
    <s v="M0267"/>
    <x v="1"/>
    <x v="161"/>
    <x v="126"/>
    <n v="721287"/>
  </r>
  <r>
    <s v="M0267"/>
    <x v="1"/>
    <x v="161"/>
    <x v="126"/>
    <n v="721287"/>
  </r>
  <r>
    <s v="M0267"/>
    <x v="1"/>
    <x v="161"/>
    <x v="126"/>
    <n v="721287"/>
  </r>
  <r>
    <s v="M0267"/>
    <x v="1"/>
    <x v="161"/>
    <x v="126"/>
    <n v="721287"/>
  </r>
  <r>
    <s v="M0267"/>
    <x v="1"/>
    <x v="161"/>
    <x v="126"/>
    <n v="721287"/>
  </r>
  <r>
    <s v="M0267"/>
    <x v="1"/>
    <x v="162"/>
    <x v="127"/>
    <n v="146785"/>
  </r>
  <r>
    <s v="M0267"/>
    <x v="1"/>
    <x v="162"/>
    <x v="127"/>
    <n v="146785"/>
  </r>
  <r>
    <s v="M0267"/>
    <x v="1"/>
    <x v="162"/>
    <x v="127"/>
    <n v="146785"/>
  </r>
  <r>
    <s v="M0267"/>
    <x v="1"/>
    <x v="162"/>
    <x v="127"/>
    <n v="146785"/>
  </r>
  <r>
    <s v="M0267"/>
    <x v="1"/>
    <x v="162"/>
    <x v="127"/>
    <n v="146785"/>
  </r>
  <r>
    <s v="M0267"/>
    <x v="1"/>
    <x v="162"/>
    <x v="127"/>
    <n v="146785"/>
  </r>
  <r>
    <s v="M0267"/>
    <x v="1"/>
    <x v="163"/>
    <x v="128"/>
    <n v="253505"/>
  </r>
  <r>
    <s v="M0267"/>
    <x v="1"/>
    <x v="163"/>
    <x v="128"/>
    <n v="253505"/>
  </r>
  <r>
    <s v="M0267"/>
    <x v="1"/>
    <x v="163"/>
    <x v="128"/>
    <n v="253505"/>
  </r>
  <r>
    <s v="M0267"/>
    <x v="1"/>
    <x v="163"/>
    <x v="128"/>
    <n v="253505"/>
  </r>
  <r>
    <s v="M0267"/>
    <x v="1"/>
    <x v="163"/>
    <x v="128"/>
    <n v="253505"/>
  </r>
  <r>
    <s v="M0267"/>
    <x v="1"/>
    <x v="163"/>
    <x v="128"/>
    <n v="253505"/>
  </r>
  <r>
    <s v="M0267"/>
    <x v="1"/>
    <x v="164"/>
    <x v="129"/>
    <n v="353147"/>
  </r>
  <r>
    <s v="M0267"/>
    <x v="1"/>
    <x v="164"/>
    <x v="129"/>
    <n v="353147"/>
  </r>
  <r>
    <s v="M0267"/>
    <x v="1"/>
    <x v="164"/>
    <x v="129"/>
    <n v="353147"/>
  </r>
  <r>
    <s v="M0267"/>
    <x v="1"/>
    <x v="164"/>
    <x v="129"/>
    <n v="353147"/>
  </r>
  <r>
    <s v="M0267"/>
    <x v="1"/>
    <x v="164"/>
    <x v="129"/>
    <n v="353147"/>
  </r>
  <r>
    <s v="M0267"/>
    <x v="1"/>
    <x v="164"/>
    <x v="129"/>
    <n v="353147"/>
  </r>
  <r>
    <s v="M0267"/>
    <x v="1"/>
    <x v="165"/>
    <x v="130"/>
    <n v="722372"/>
  </r>
  <r>
    <s v="M0267"/>
    <x v="1"/>
    <x v="165"/>
    <x v="130"/>
    <n v="722372"/>
  </r>
  <r>
    <s v="M0267"/>
    <x v="1"/>
    <x v="165"/>
    <x v="130"/>
    <n v="722372"/>
  </r>
  <r>
    <s v="M0267"/>
    <x v="1"/>
    <x v="165"/>
    <x v="130"/>
    <n v="722372"/>
  </r>
  <r>
    <s v="M0267"/>
    <x v="1"/>
    <x v="165"/>
    <x v="130"/>
    <n v="722372"/>
  </r>
  <r>
    <s v="M0267"/>
    <x v="1"/>
    <x v="165"/>
    <x v="130"/>
    <n v="722372"/>
  </r>
  <r>
    <s v="M0128"/>
    <x v="1"/>
    <x v="166"/>
    <x v="131"/>
    <n v="69450"/>
  </r>
  <r>
    <s v="M0128"/>
    <x v="1"/>
    <x v="166"/>
    <x v="131"/>
    <n v="69450"/>
  </r>
  <r>
    <s v="M0128"/>
    <x v="1"/>
    <x v="166"/>
    <x v="131"/>
    <n v="69450"/>
  </r>
  <r>
    <s v="M0128"/>
    <x v="1"/>
    <x v="166"/>
    <x v="131"/>
    <n v="69450"/>
  </r>
  <r>
    <s v="M0128"/>
    <x v="1"/>
    <x v="166"/>
    <x v="131"/>
    <n v="69450"/>
  </r>
  <r>
    <s v="M0128"/>
    <x v="1"/>
    <x v="166"/>
    <x v="131"/>
    <n v="69450"/>
  </r>
  <r>
    <s v="M0128"/>
    <x v="1"/>
    <x v="167"/>
    <x v="132"/>
    <n v="389207"/>
  </r>
  <r>
    <s v="M0128"/>
    <x v="1"/>
    <x v="167"/>
    <x v="132"/>
    <n v="389207"/>
  </r>
  <r>
    <s v="M0128"/>
    <x v="1"/>
    <x v="167"/>
    <x v="132"/>
    <n v="389207"/>
  </r>
  <r>
    <s v="M0128"/>
    <x v="1"/>
    <x v="167"/>
    <x v="132"/>
    <n v="389207"/>
  </r>
  <r>
    <s v="M0128"/>
    <x v="1"/>
    <x v="167"/>
    <x v="132"/>
    <n v="389207"/>
  </r>
  <r>
    <s v="M0128"/>
    <x v="1"/>
    <x v="167"/>
    <x v="132"/>
    <n v="389207"/>
  </r>
  <r>
    <s v="M0128"/>
    <x v="1"/>
    <x v="168"/>
    <x v="133"/>
    <n v="116870"/>
  </r>
  <r>
    <s v="M0128"/>
    <x v="1"/>
    <x v="168"/>
    <x v="133"/>
    <n v="116870"/>
  </r>
  <r>
    <s v="M0128"/>
    <x v="1"/>
    <x v="168"/>
    <x v="133"/>
    <n v="116870"/>
  </r>
  <r>
    <s v="M0128"/>
    <x v="1"/>
    <x v="168"/>
    <x v="133"/>
    <n v="116870"/>
  </r>
  <r>
    <s v="M0128"/>
    <x v="1"/>
    <x v="168"/>
    <x v="133"/>
    <n v="116870"/>
  </r>
  <r>
    <s v="M0128"/>
    <x v="1"/>
    <x v="168"/>
    <x v="133"/>
    <n v="116870"/>
  </r>
  <r>
    <s v="M0128"/>
    <x v="1"/>
    <x v="169"/>
    <x v="26"/>
    <n v="385430"/>
  </r>
  <r>
    <s v="M0128"/>
    <x v="1"/>
    <x v="169"/>
    <x v="26"/>
    <n v="385430"/>
  </r>
  <r>
    <s v="M0128"/>
    <x v="1"/>
    <x v="169"/>
    <x v="26"/>
    <n v="385430"/>
  </r>
  <r>
    <s v="M0128"/>
    <x v="1"/>
    <x v="169"/>
    <x v="26"/>
    <n v="385430"/>
  </r>
  <r>
    <s v="M0128"/>
    <x v="1"/>
    <x v="169"/>
    <x v="26"/>
    <n v="385430"/>
  </r>
  <r>
    <s v="M0128"/>
    <x v="1"/>
    <x v="169"/>
    <x v="26"/>
    <n v="385430"/>
  </r>
  <r>
    <s v="M0128"/>
    <x v="1"/>
    <x v="170"/>
    <x v="31"/>
    <n v="535984"/>
  </r>
  <r>
    <s v="M0128"/>
    <x v="1"/>
    <x v="170"/>
    <x v="31"/>
    <n v="535984"/>
  </r>
  <r>
    <s v="M0128"/>
    <x v="1"/>
    <x v="170"/>
    <x v="31"/>
    <n v="535984"/>
  </r>
  <r>
    <s v="M0128"/>
    <x v="1"/>
    <x v="170"/>
    <x v="31"/>
    <n v="535984"/>
  </r>
  <r>
    <s v="M0128"/>
    <x v="1"/>
    <x v="170"/>
    <x v="31"/>
    <n v="535984"/>
  </r>
  <r>
    <s v="M0128"/>
    <x v="1"/>
    <x v="170"/>
    <x v="31"/>
    <n v="535984"/>
  </r>
  <r>
    <s v="M0128"/>
    <x v="1"/>
    <x v="171"/>
    <x v="3"/>
    <n v="25000"/>
  </r>
  <r>
    <s v="M0128"/>
    <x v="1"/>
    <x v="171"/>
    <x v="3"/>
    <n v="25000"/>
  </r>
  <r>
    <s v="M0128"/>
    <x v="1"/>
    <x v="171"/>
    <x v="3"/>
    <n v="25000"/>
  </r>
  <r>
    <s v="M0128"/>
    <x v="1"/>
    <x v="171"/>
    <x v="3"/>
    <n v="25000"/>
  </r>
  <r>
    <s v="M0128"/>
    <x v="1"/>
    <x v="171"/>
    <x v="3"/>
    <n v="25000"/>
  </r>
  <r>
    <s v="M0128"/>
    <x v="1"/>
    <x v="171"/>
    <x v="3"/>
    <n v="25000"/>
  </r>
  <r>
    <s v="M0128"/>
    <x v="1"/>
    <x v="172"/>
    <x v="134"/>
    <n v="333492"/>
  </r>
  <r>
    <s v="M0128"/>
    <x v="1"/>
    <x v="172"/>
    <x v="134"/>
    <n v="333492"/>
  </r>
  <r>
    <s v="M0128"/>
    <x v="1"/>
    <x v="172"/>
    <x v="134"/>
    <n v="333492"/>
  </r>
  <r>
    <s v="M0128"/>
    <x v="1"/>
    <x v="172"/>
    <x v="134"/>
    <n v="333492"/>
  </r>
  <r>
    <s v="M0128"/>
    <x v="1"/>
    <x v="172"/>
    <x v="134"/>
    <n v="333492"/>
  </r>
  <r>
    <s v="M0128"/>
    <x v="1"/>
    <x v="172"/>
    <x v="134"/>
    <n v="333492"/>
  </r>
  <r>
    <s v="M0128"/>
    <x v="1"/>
    <x v="173"/>
    <x v="135"/>
    <n v="224888"/>
  </r>
  <r>
    <s v="M0128"/>
    <x v="1"/>
    <x v="173"/>
    <x v="135"/>
    <n v="224888"/>
  </r>
  <r>
    <s v="M0128"/>
    <x v="1"/>
    <x v="173"/>
    <x v="135"/>
    <n v="224888"/>
  </r>
  <r>
    <s v="M0128"/>
    <x v="1"/>
    <x v="173"/>
    <x v="135"/>
    <n v="224888"/>
  </r>
  <r>
    <s v="M0128"/>
    <x v="1"/>
    <x v="173"/>
    <x v="135"/>
    <n v="224888"/>
  </r>
  <r>
    <s v="M0128"/>
    <x v="1"/>
    <x v="173"/>
    <x v="135"/>
    <n v="224888"/>
  </r>
  <r>
    <s v="M0128"/>
    <x v="1"/>
    <x v="174"/>
    <x v="136"/>
    <n v="281272"/>
  </r>
  <r>
    <s v="M0128"/>
    <x v="1"/>
    <x v="174"/>
    <x v="136"/>
    <n v="281272"/>
  </r>
  <r>
    <s v="M0128"/>
    <x v="1"/>
    <x v="174"/>
    <x v="136"/>
    <n v="281272"/>
  </r>
  <r>
    <s v="M0128"/>
    <x v="1"/>
    <x v="174"/>
    <x v="136"/>
    <n v="281272"/>
  </r>
  <r>
    <s v="M0128"/>
    <x v="1"/>
    <x v="174"/>
    <x v="136"/>
    <n v="281272"/>
  </r>
  <r>
    <s v="M0128"/>
    <x v="1"/>
    <x v="174"/>
    <x v="136"/>
    <n v="281272"/>
  </r>
  <r>
    <s v="M0128"/>
    <x v="1"/>
    <x v="175"/>
    <x v="8"/>
    <n v="122544"/>
  </r>
  <r>
    <s v="M0128"/>
    <x v="1"/>
    <x v="175"/>
    <x v="8"/>
    <n v="122544"/>
  </r>
  <r>
    <s v="M0128"/>
    <x v="1"/>
    <x v="175"/>
    <x v="8"/>
    <n v="122544"/>
  </r>
  <r>
    <s v="M0128"/>
    <x v="1"/>
    <x v="175"/>
    <x v="8"/>
    <n v="122544"/>
  </r>
  <r>
    <s v="M0128"/>
    <x v="1"/>
    <x v="175"/>
    <x v="8"/>
    <n v="122544"/>
  </r>
  <r>
    <s v="M0128"/>
    <x v="1"/>
    <x v="175"/>
    <x v="8"/>
    <n v="122544"/>
  </r>
  <r>
    <s v="M0128"/>
    <x v="1"/>
    <x v="176"/>
    <x v="91"/>
    <n v="289393"/>
  </r>
  <r>
    <s v="M0128"/>
    <x v="1"/>
    <x v="176"/>
    <x v="91"/>
    <n v="289393"/>
  </r>
  <r>
    <s v="M0128"/>
    <x v="1"/>
    <x v="176"/>
    <x v="91"/>
    <n v="289393"/>
  </r>
  <r>
    <s v="M0128"/>
    <x v="1"/>
    <x v="176"/>
    <x v="91"/>
    <n v="289393"/>
  </r>
  <r>
    <s v="M0128"/>
    <x v="1"/>
    <x v="176"/>
    <x v="91"/>
    <n v="289393"/>
  </r>
  <r>
    <s v="M0128"/>
    <x v="1"/>
    <x v="176"/>
    <x v="91"/>
    <n v="289393"/>
  </r>
  <r>
    <s v="M0128"/>
    <x v="1"/>
    <x v="177"/>
    <x v="137"/>
    <n v="230539"/>
  </r>
  <r>
    <s v="M0128"/>
    <x v="1"/>
    <x v="177"/>
    <x v="137"/>
    <n v="230539"/>
  </r>
  <r>
    <s v="M0128"/>
    <x v="1"/>
    <x v="177"/>
    <x v="137"/>
    <n v="230539"/>
  </r>
  <r>
    <s v="M0128"/>
    <x v="1"/>
    <x v="177"/>
    <x v="137"/>
    <n v="230539"/>
  </r>
  <r>
    <s v="M0128"/>
    <x v="1"/>
    <x v="177"/>
    <x v="137"/>
    <n v="230539"/>
  </r>
  <r>
    <s v="M0128"/>
    <x v="1"/>
    <x v="177"/>
    <x v="137"/>
    <n v="230539"/>
  </r>
  <r>
    <s v="M0128"/>
    <x v="1"/>
    <x v="178"/>
    <x v="138"/>
    <n v="267564"/>
  </r>
  <r>
    <s v="M0128"/>
    <x v="1"/>
    <x v="178"/>
    <x v="138"/>
    <n v="267564"/>
  </r>
  <r>
    <s v="M0128"/>
    <x v="1"/>
    <x v="178"/>
    <x v="138"/>
    <n v="267564"/>
  </r>
  <r>
    <s v="M0128"/>
    <x v="1"/>
    <x v="178"/>
    <x v="138"/>
    <n v="267564"/>
  </r>
  <r>
    <s v="M0128"/>
    <x v="1"/>
    <x v="178"/>
    <x v="138"/>
    <n v="267564"/>
  </r>
  <r>
    <s v="M0128"/>
    <x v="1"/>
    <x v="178"/>
    <x v="138"/>
    <n v="267564"/>
  </r>
  <r>
    <s v="M0128"/>
    <x v="1"/>
    <x v="179"/>
    <x v="139"/>
    <n v="573904"/>
  </r>
  <r>
    <s v="M0128"/>
    <x v="1"/>
    <x v="179"/>
    <x v="139"/>
    <n v="573904"/>
  </r>
  <r>
    <s v="M0128"/>
    <x v="1"/>
    <x v="179"/>
    <x v="139"/>
    <n v="573904"/>
  </r>
  <r>
    <s v="M0128"/>
    <x v="1"/>
    <x v="179"/>
    <x v="139"/>
    <n v="573904"/>
  </r>
  <r>
    <s v="M0128"/>
    <x v="1"/>
    <x v="179"/>
    <x v="139"/>
    <n v="573904"/>
  </r>
  <r>
    <s v="M0128"/>
    <x v="1"/>
    <x v="179"/>
    <x v="139"/>
    <n v="573904"/>
  </r>
  <r>
    <s v="M0128"/>
    <x v="1"/>
    <x v="180"/>
    <x v="140"/>
    <n v="446236"/>
  </r>
  <r>
    <s v="M0128"/>
    <x v="1"/>
    <x v="180"/>
    <x v="140"/>
    <n v="446236"/>
  </r>
  <r>
    <s v="M0128"/>
    <x v="1"/>
    <x v="180"/>
    <x v="140"/>
    <n v="446236"/>
  </r>
  <r>
    <s v="M0128"/>
    <x v="1"/>
    <x v="180"/>
    <x v="140"/>
    <n v="446236"/>
  </r>
  <r>
    <s v="M0128"/>
    <x v="1"/>
    <x v="180"/>
    <x v="140"/>
    <n v="446236"/>
  </r>
  <r>
    <s v="M0128"/>
    <x v="1"/>
    <x v="180"/>
    <x v="140"/>
    <n v="446236"/>
  </r>
  <r>
    <s v="M0128"/>
    <x v="1"/>
    <x v="181"/>
    <x v="8"/>
    <n v="487419"/>
  </r>
  <r>
    <s v="M0128"/>
    <x v="1"/>
    <x v="181"/>
    <x v="8"/>
    <n v="487419"/>
  </r>
  <r>
    <s v="M0128"/>
    <x v="1"/>
    <x v="181"/>
    <x v="8"/>
    <n v="487419"/>
  </r>
  <r>
    <s v="M0128"/>
    <x v="1"/>
    <x v="181"/>
    <x v="8"/>
    <n v="487419"/>
  </r>
  <r>
    <s v="M0128"/>
    <x v="1"/>
    <x v="181"/>
    <x v="8"/>
    <n v="487419"/>
  </r>
  <r>
    <s v="M0128"/>
    <x v="1"/>
    <x v="181"/>
    <x v="8"/>
    <n v="487419"/>
  </r>
  <r>
    <s v="M0128"/>
    <x v="1"/>
    <x v="182"/>
    <x v="81"/>
    <n v="304369"/>
  </r>
  <r>
    <s v="M0128"/>
    <x v="1"/>
    <x v="182"/>
    <x v="81"/>
    <n v="304369"/>
  </r>
  <r>
    <s v="M0128"/>
    <x v="1"/>
    <x v="182"/>
    <x v="81"/>
    <n v="304369"/>
  </r>
  <r>
    <s v="M0128"/>
    <x v="1"/>
    <x v="182"/>
    <x v="81"/>
    <n v="304369"/>
  </r>
  <r>
    <s v="M0128"/>
    <x v="1"/>
    <x v="182"/>
    <x v="81"/>
    <n v="304369"/>
  </r>
  <r>
    <s v="M0128"/>
    <x v="1"/>
    <x v="182"/>
    <x v="81"/>
    <n v="304369"/>
  </r>
  <r>
    <s v="M0128"/>
    <x v="1"/>
    <x v="183"/>
    <x v="141"/>
    <n v="290189"/>
  </r>
  <r>
    <s v="M0128"/>
    <x v="1"/>
    <x v="183"/>
    <x v="141"/>
    <n v="290189"/>
  </r>
  <r>
    <s v="M0128"/>
    <x v="1"/>
    <x v="183"/>
    <x v="141"/>
    <n v="290189"/>
  </r>
  <r>
    <s v="M0128"/>
    <x v="1"/>
    <x v="183"/>
    <x v="141"/>
    <n v="290189"/>
  </r>
  <r>
    <s v="M0128"/>
    <x v="1"/>
    <x v="183"/>
    <x v="141"/>
    <n v="290189"/>
  </r>
  <r>
    <s v="M0128"/>
    <x v="1"/>
    <x v="183"/>
    <x v="141"/>
    <n v="290189"/>
  </r>
  <r>
    <s v="M0128"/>
    <x v="1"/>
    <x v="184"/>
    <x v="60"/>
    <n v="157825"/>
  </r>
  <r>
    <s v="M0128"/>
    <x v="1"/>
    <x v="184"/>
    <x v="60"/>
    <n v="157825"/>
  </r>
  <r>
    <s v="M0128"/>
    <x v="1"/>
    <x v="184"/>
    <x v="60"/>
    <n v="157825"/>
  </r>
  <r>
    <s v="M0128"/>
    <x v="1"/>
    <x v="184"/>
    <x v="60"/>
    <n v="157825"/>
  </r>
  <r>
    <s v="M0128"/>
    <x v="1"/>
    <x v="184"/>
    <x v="60"/>
    <n v="157825"/>
  </r>
  <r>
    <s v="M0128"/>
    <x v="1"/>
    <x v="184"/>
    <x v="60"/>
    <n v="157825"/>
  </r>
  <r>
    <s v="M0128"/>
    <x v="1"/>
    <x v="185"/>
    <x v="27"/>
    <n v="563106"/>
  </r>
  <r>
    <s v="M0128"/>
    <x v="1"/>
    <x v="185"/>
    <x v="27"/>
    <n v="563106"/>
  </r>
  <r>
    <s v="M0128"/>
    <x v="1"/>
    <x v="185"/>
    <x v="27"/>
    <n v="563106"/>
  </r>
  <r>
    <s v="M0128"/>
    <x v="1"/>
    <x v="185"/>
    <x v="27"/>
    <n v="563106"/>
  </r>
  <r>
    <s v="M0128"/>
    <x v="1"/>
    <x v="185"/>
    <x v="27"/>
    <n v="563106"/>
  </r>
  <r>
    <s v="M0128"/>
    <x v="1"/>
    <x v="185"/>
    <x v="27"/>
    <n v="563106"/>
  </r>
  <r>
    <s v="M0128"/>
    <x v="1"/>
    <x v="186"/>
    <x v="142"/>
    <n v="178823"/>
  </r>
  <r>
    <s v="M0128"/>
    <x v="1"/>
    <x v="186"/>
    <x v="142"/>
    <n v="178823"/>
  </r>
  <r>
    <s v="M0128"/>
    <x v="1"/>
    <x v="186"/>
    <x v="142"/>
    <n v="178823"/>
  </r>
  <r>
    <s v="M0128"/>
    <x v="1"/>
    <x v="186"/>
    <x v="142"/>
    <n v="178823"/>
  </r>
  <r>
    <s v="M0128"/>
    <x v="1"/>
    <x v="186"/>
    <x v="142"/>
    <n v="178823"/>
  </r>
  <r>
    <s v="M0128"/>
    <x v="1"/>
    <x v="186"/>
    <x v="142"/>
    <n v="178823"/>
  </r>
  <r>
    <s v="M0128"/>
    <x v="1"/>
    <x v="187"/>
    <x v="93"/>
    <n v="191727"/>
  </r>
  <r>
    <s v="M0128"/>
    <x v="1"/>
    <x v="187"/>
    <x v="93"/>
    <n v="191727"/>
  </r>
  <r>
    <s v="M0128"/>
    <x v="1"/>
    <x v="187"/>
    <x v="93"/>
    <n v="191727"/>
  </r>
  <r>
    <s v="M0128"/>
    <x v="1"/>
    <x v="187"/>
    <x v="93"/>
    <n v="191727"/>
  </r>
  <r>
    <s v="M0128"/>
    <x v="1"/>
    <x v="187"/>
    <x v="93"/>
    <n v="191727"/>
  </r>
  <r>
    <s v="M0128"/>
    <x v="1"/>
    <x v="187"/>
    <x v="93"/>
    <n v="191727"/>
  </r>
  <r>
    <s v="M0128"/>
    <x v="1"/>
    <x v="188"/>
    <x v="143"/>
    <n v="122164"/>
  </r>
  <r>
    <s v="M0128"/>
    <x v="1"/>
    <x v="188"/>
    <x v="143"/>
    <n v="122164"/>
  </r>
  <r>
    <s v="M0128"/>
    <x v="1"/>
    <x v="188"/>
    <x v="143"/>
    <n v="122164"/>
  </r>
  <r>
    <s v="M0128"/>
    <x v="1"/>
    <x v="188"/>
    <x v="143"/>
    <n v="122164"/>
  </r>
  <r>
    <s v="M0128"/>
    <x v="1"/>
    <x v="188"/>
    <x v="143"/>
    <n v="122164"/>
  </r>
  <r>
    <s v="M0128"/>
    <x v="1"/>
    <x v="188"/>
    <x v="143"/>
    <n v="122164"/>
  </r>
  <r>
    <s v="M0128"/>
    <x v="1"/>
    <x v="189"/>
    <x v="71"/>
    <n v="250102"/>
  </r>
  <r>
    <s v="M0128"/>
    <x v="1"/>
    <x v="189"/>
    <x v="71"/>
    <n v="250102"/>
  </r>
  <r>
    <s v="M0128"/>
    <x v="1"/>
    <x v="189"/>
    <x v="71"/>
    <n v="250102"/>
  </r>
  <r>
    <s v="M0128"/>
    <x v="1"/>
    <x v="189"/>
    <x v="71"/>
    <n v="250102"/>
  </r>
  <r>
    <s v="M0128"/>
    <x v="1"/>
    <x v="189"/>
    <x v="71"/>
    <n v="250102"/>
  </r>
  <r>
    <s v="M0128"/>
    <x v="1"/>
    <x v="189"/>
    <x v="71"/>
    <n v="250102"/>
  </r>
  <r>
    <s v="M0119"/>
    <x v="1"/>
    <x v="190"/>
    <x v="144"/>
    <n v="233276"/>
  </r>
  <r>
    <s v="M0119"/>
    <x v="1"/>
    <x v="191"/>
    <x v="36"/>
    <n v="184975"/>
  </r>
  <r>
    <s v="M0119"/>
    <x v="1"/>
    <x v="192"/>
    <x v="135"/>
    <n v="203158"/>
  </r>
  <r>
    <s v="M0119"/>
    <x v="1"/>
    <x v="193"/>
    <x v="33"/>
    <n v="251245"/>
  </r>
  <r>
    <s v="M0166"/>
    <x v="0"/>
    <x v="194"/>
    <x v="145"/>
    <n v="1366322"/>
  </r>
  <r>
    <s v="M0166"/>
    <x v="0"/>
    <x v="194"/>
    <x v="145"/>
    <n v="1366322"/>
  </r>
  <r>
    <s v="M0166"/>
    <x v="0"/>
    <x v="195"/>
    <x v="146"/>
    <n v="194067"/>
  </r>
  <r>
    <s v="M0166"/>
    <x v="0"/>
    <x v="195"/>
    <x v="146"/>
    <n v="194067"/>
  </r>
  <r>
    <s v="M0166"/>
    <x v="0"/>
    <x v="196"/>
    <x v="147"/>
    <n v="386891"/>
  </r>
  <r>
    <s v="M0166"/>
    <x v="0"/>
    <x v="196"/>
    <x v="147"/>
    <n v="386891"/>
  </r>
  <r>
    <s v="M0166"/>
    <x v="0"/>
    <x v="197"/>
    <x v="148"/>
    <n v="118714"/>
  </r>
  <r>
    <s v="M0166"/>
    <x v="0"/>
    <x v="197"/>
    <x v="148"/>
    <n v="118714"/>
  </r>
  <r>
    <s v="M0166"/>
    <x v="0"/>
    <x v="198"/>
    <x v="149"/>
    <n v="328128"/>
  </r>
  <r>
    <s v="M0166"/>
    <x v="0"/>
    <x v="198"/>
    <x v="149"/>
    <n v="328128"/>
  </r>
  <r>
    <s v="M0166"/>
    <x v="0"/>
    <x v="199"/>
    <x v="128"/>
    <n v="319020"/>
  </r>
  <r>
    <s v="M0166"/>
    <x v="0"/>
    <x v="199"/>
    <x v="128"/>
    <n v="319020"/>
  </r>
  <r>
    <s v="M0166"/>
    <x v="0"/>
    <x v="200"/>
    <x v="71"/>
    <n v="340493"/>
  </r>
  <r>
    <s v="M0166"/>
    <x v="0"/>
    <x v="200"/>
    <x v="71"/>
    <n v="340493"/>
  </r>
  <r>
    <s v="M0166"/>
    <x v="0"/>
    <x v="201"/>
    <x v="150"/>
    <n v="576790"/>
  </r>
  <r>
    <s v="M0166"/>
    <x v="0"/>
    <x v="201"/>
    <x v="150"/>
    <n v="576790"/>
  </r>
  <r>
    <s v="M0166"/>
    <x v="0"/>
    <x v="202"/>
    <x v="151"/>
    <n v="226484"/>
  </r>
  <r>
    <s v="M0166"/>
    <x v="0"/>
    <x v="202"/>
    <x v="151"/>
    <n v="226484"/>
  </r>
  <r>
    <s v="M0166"/>
    <x v="0"/>
    <x v="203"/>
    <x v="68"/>
    <n v="355404"/>
  </r>
  <r>
    <s v="M0166"/>
    <x v="0"/>
    <x v="203"/>
    <x v="68"/>
    <n v="355404"/>
  </r>
  <r>
    <s v="M0166"/>
    <x v="0"/>
    <x v="204"/>
    <x v="152"/>
    <n v="208087"/>
  </r>
  <r>
    <s v="M0166"/>
    <x v="0"/>
    <x v="204"/>
    <x v="152"/>
    <n v="208087"/>
  </r>
  <r>
    <s v="M0166"/>
    <x v="0"/>
    <x v="205"/>
    <x v="41"/>
    <n v="371657"/>
  </r>
  <r>
    <s v="M0166"/>
    <x v="0"/>
    <x v="205"/>
    <x v="41"/>
    <n v="371657"/>
  </r>
  <r>
    <s v="M0233"/>
    <x v="0"/>
    <x v="206"/>
    <x v="153"/>
    <n v="351666"/>
  </r>
  <r>
    <s v="M0233"/>
    <x v="0"/>
    <x v="206"/>
    <x v="153"/>
    <n v="351666"/>
  </r>
  <r>
    <s v="M0233"/>
    <x v="0"/>
    <x v="206"/>
    <x v="153"/>
    <n v="351666"/>
  </r>
  <r>
    <s v="M0233"/>
    <x v="0"/>
    <x v="206"/>
    <x v="153"/>
    <n v="351666"/>
  </r>
  <r>
    <s v="M0233"/>
    <x v="0"/>
    <x v="207"/>
    <x v="79"/>
    <n v="341863"/>
  </r>
  <r>
    <s v="M0233"/>
    <x v="0"/>
    <x v="207"/>
    <x v="79"/>
    <n v="341863"/>
  </r>
  <r>
    <s v="M0233"/>
    <x v="0"/>
    <x v="207"/>
    <x v="79"/>
    <n v="341863"/>
  </r>
  <r>
    <s v="M0233"/>
    <x v="0"/>
    <x v="207"/>
    <x v="79"/>
    <n v="341863"/>
  </r>
  <r>
    <s v="M0233"/>
    <x v="0"/>
    <x v="208"/>
    <x v="57"/>
    <n v="611810"/>
  </r>
  <r>
    <s v="M0233"/>
    <x v="0"/>
    <x v="208"/>
    <x v="57"/>
    <n v="611810"/>
  </r>
  <r>
    <s v="M0233"/>
    <x v="0"/>
    <x v="208"/>
    <x v="57"/>
    <n v="611810"/>
  </r>
  <r>
    <s v="M0233"/>
    <x v="0"/>
    <x v="208"/>
    <x v="57"/>
    <n v="611810"/>
  </r>
  <r>
    <s v="M0233"/>
    <x v="0"/>
    <x v="209"/>
    <x v="90"/>
    <n v="998751"/>
  </r>
  <r>
    <s v="M0233"/>
    <x v="0"/>
    <x v="209"/>
    <x v="90"/>
    <n v="998751"/>
  </r>
  <r>
    <s v="M0233"/>
    <x v="0"/>
    <x v="209"/>
    <x v="90"/>
    <n v="998751"/>
  </r>
  <r>
    <s v="M0233"/>
    <x v="0"/>
    <x v="209"/>
    <x v="90"/>
    <n v="998751"/>
  </r>
  <r>
    <s v="M0233"/>
    <x v="0"/>
    <x v="210"/>
    <x v="69"/>
    <n v="340044"/>
  </r>
  <r>
    <s v="M0233"/>
    <x v="0"/>
    <x v="210"/>
    <x v="69"/>
    <n v="340044"/>
  </r>
  <r>
    <s v="M0233"/>
    <x v="0"/>
    <x v="210"/>
    <x v="69"/>
    <n v="340044"/>
  </r>
  <r>
    <s v="M0233"/>
    <x v="0"/>
    <x v="210"/>
    <x v="69"/>
    <n v="340044"/>
  </r>
  <r>
    <s v="M0233"/>
    <x v="0"/>
    <x v="211"/>
    <x v="154"/>
    <n v="160457"/>
  </r>
  <r>
    <s v="M0233"/>
    <x v="0"/>
    <x v="211"/>
    <x v="154"/>
    <n v="160457"/>
  </r>
  <r>
    <s v="M0233"/>
    <x v="0"/>
    <x v="211"/>
    <x v="154"/>
    <n v="160457"/>
  </r>
  <r>
    <s v="M0233"/>
    <x v="0"/>
    <x v="211"/>
    <x v="154"/>
    <n v="160457"/>
  </r>
  <r>
    <s v="M0233"/>
    <x v="0"/>
    <x v="212"/>
    <x v="155"/>
    <n v="625381"/>
  </r>
  <r>
    <s v="M0233"/>
    <x v="0"/>
    <x v="212"/>
    <x v="155"/>
    <n v="625381"/>
  </r>
  <r>
    <s v="M0233"/>
    <x v="0"/>
    <x v="212"/>
    <x v="155"/>
    <n v="625381"/>
  </r>
  <r>
    <s v="M0233"/>
    <x v="0"/>
    <x v="212"/>
    <x v="155"/>
    <n v="625381"/>
  </r>
  <r>
    <s v="M0233"/>
    <x v="0"/>
    <x v="213"/>
    <x v="4"/>
    <n v="302168"/>
  </r>
  <r>
    <s v="M0233"/>
    <x v="0"/>
    <x v="213"/>
    <x v="4"/>
    <n v="302168"/>
  </r>
  <r>
    <s v="M0233"/>
    <x v="0"/>
    <x v="213"/>
    <x v="4"/>
    <n v="302168"/>
  </r>
  <r>
    <s v="M0233"/>
    <x v="0"/>
    <x v="213"/>
    <x v="4"/>
    <n v="302168"/>
  </r>
  <r>
    <s v="M0177"/>
    <x v="1"/>
    <x v="214"/>
    <x v="156"/>
    <n v="98620"/>
  </r>
  <r>
    <s v="M0177"/>
    <x v="1"/>
    <x v="214"/>
    <x v="156"/>
    <n v="98620"/>
  </r>
  <r>
    <s v="M0177"/>
    <x v="1"/>
    <x v="214"/>
    <x v="156"/>
    <n v="98620"/>
  </r>
  <r>
    <s v="M0177"/>
    <x v="1"/>
    <x v="214"/>
    <x v="156"/>
    <n v="98620"/>
  </r>
  <r>
    <s v="M0177"/>
    <x v="1"/>
    <x v="215"/>
    <x v="157"/>
    <n v="119159"/>
  </r>
  <r>
    <s v="M0177"/>
    <x v="1"/>
    <x v="215"/>
    <x v="157"/>
    <n v="119159"/>
  </r>
  <r>
    <s v="M0177"/>
    <x v="1"/>
    <x v="215"/>
    <x v="157"/>
    <n v="119159"/>
  </r>
  <r>
    <s v="M0177"/>
    <x v="1"/>
    <x v="215"/>
    <x v="157"/>
    <n v="119159"/>
  </r>
  <r>
    <s v="M0177"/>
    <x v="1"/>
    <x v="216"/>
    <x v="34"/>
    <n v="143791"/>
  </r>
  <r>
    <s v="M0177"/>
    <x v="1"/>
    <x v="216"/>
    <x v="34"/>
    <n v="143791"/>
  </r>
  <r>
    <s v="M0177"/>
    <x v="1"/>
    <x v="216"/>
    <x v="34"/>
    <n v="143791"/>
  </r>
  <r>
    <s v="M0177"/>
    <x v="1"/>
    <x v="216"/>
    <x v="34"/>
    <n v="143791"/>
  </r>
  <r>
    <s v="M0177"/>
    <x v="1"/>
    <x v="217"/>
    <x v="158"/>
    <n v="335246"/>
  </r>
  <r>
    <s v="M0177"/>
    <x v="1"/>
    <x v="217"/>
    <x v="158"/>
    <n v="335246"/>
  </r>
  <r>
    <s v="M0177"/>
    <x v="1"/>
    <x v="217"/>
    <x v="158"/>
    <n v="335246"/>
  </r>
  <r>
    <s v="M0177"/>
    <x v="1"/>
    <x v="217"/>
    <x v="158"/>
    <n v="335246"/>
  </r>
  <r>
    <s v="M0177"/>
    <x v="1"/>
    <x v="218"/>
    <x v="35"/>
    <n v="184896"/>
  </r>
  <r>
    <s v="M0177"/>
    <x v="1"/>
    <x v="218"/>
    <x v="35"/>
    <n v="184896"/>
  </r>
  <r>
    <s v="M0177"/>
    <x v="1"/>
    <x v="218"/>
    <x v="35"/>
    <n v="184896"/>
  </r>
  <r>
    <s v="M0177"/>
    <x v="1"/>
    <x v="218"/>
    <x v="35"/>
    <n v="184896"/>
  </r>
  <r>
    <s v="M0177"/>
    <x v="1"/>
    <x v="219"/>
    <x v="107"/>
    <n v="520208"/>
  </r>
  <r>
    <s v="M0177"/>
    <x v="1"/>
    <x v="219"/>
    <x v="107"/>
    <n v="520208"/>
  </r>
  <r>
    <s v="M0177"/>
    <x v="1"/>
    <x v="219"/>
    <x v="107"/>
    <n v="520208"/>
  </r>
  <r>
    <s v="M0177"/>
    <x v="1"/>
    <x v="219"/>
    <x v="107"/>
    <n v="520208"/>
  </r>
  <r>
    <s v="M0164"/>
    <x v="1"/>
    <x v="220"/>
    <x v="159"/>
    <n v="32071"/>
  </r>
  <r>
    <s v="M0164"/>
    <x v="1"/>
    <x v="221"/>
    <x v="160"/>
    <n v="646708"/>
  </r>
  <r>
    <s v="M0164"/>
    <x v="1"/>
    <x v="222"/>
    <x v="36"/>
    <n v="166149"/>
  </r>
  <r>
    <s v="M0164"/>
    <x v="1"/>
    <x v="223"/>
    <x v="161"/>
    <n v="199776"/>
  </r>
  <r>
    <s v="M0259"/>
    <x v="1"/>
    <x v="224"/>
    <x v="136"/>
    <n v="148908"/>
  </r>
  <r>
    <s v="M0259"/>
    <x v="1"/>
    <x v="224"/>
    <x v="136"/>
    <n v="148908"/>
  </r>
  <r>
    <s v="M0259"/>
    <x v="1"/>
    <x v="225"/>
    <x v="162"/>
    <n v="136201"/>
  </r>
  <r>
    <s v="M0259"/>
    <x v="1"/>
    <x v="225"/>
    <x v="162"/>
    <n v="136201"/>
  </r>
  <r>
    <s v="M0259"/>
    <x v="1"/>
    <x v="226"/>
    <x v="163"/>
    <n v="509097"/>
  </r>
  <r>
    <s v="M0259"/>
    <x v="1"/>
    <x v="226"/>
    <x v="163"/>
    <n v="509097"/>
  </r>
  <r>
    <s v="M0259"/>
    <x v="1"/>
    <x v="227"/>
    <x v="164"/>
    <n v="708866"/>
  </r>
  <r>
    <s v="M0259"/>
    <x v="1"/>
    <x v="227"/>
    <x v="164"/>
    <n v="708866"/>
  </r>
  <r>
    <s v="M0259"/>
    <x v="1"/>
    <x v="228"/>
    <x v="165"/>
    <n v="355169"/>
  </r>
  <r>
    <s v="M0259"/>
    <x v="1"/>
    <x v="228"/>
    <x v="165"/>
    <n v="355169"/>
  </r>
  <r>
    <s v="M0259"/>
    <x v="1"/>
    <x v="229"/>
    <x v="36"/>
    <n v="574418"/>
  </r>
  <r>
    <s v="M0259"/>
    <x v="1"/>
    <x v="229"/>
    <x v="36"/>
    <n v="574418"/>
  </r>
  <r>
    <s v="M0259"/>
    <x v="1"/>
    <x v="230"/>
    <x v="166"/>
    <n v="330988"/>
  </r>
  <r>
    <s v="M0259"/>
    <x v="1"/>
    <x v="230"/>
    <x v="166"/>
    <n v="330988"/>
  </r>
  <r>
    <s v="M0259"/>
    <x v="1"/>
    <x v="231"/>
    <x v="167"/>
    <n v="63285"/>
  </r>
  <r>
    <s v="M0259"/>
    <x v="1"/>
    <x v="231"/>
    <x v="167"/>
    <n v="63285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2"/>
    <x v="168"/>
    <n v="431192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3"/>
    <x v="126"/>
    <n v="74764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4"/>
    <x v="20"/>
    <n v="89819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5"/>
    <x v="169"/>
    <n v="73757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6"/>
    <x v="170"/>
    <n v="241023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7"/>
    <x v="159"/>
    <n v="354224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8"/>
    <x v="171"/>
    <n v="548900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39"/>
    <x v="172"/>
    <n v="265173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068"/>
    <x v="0"/>
    <x v="240"/>
    <x v="92"/>
    <n v="186176"/>
  </r>
  <r>
    <s v="M0274"/>
    <x v="0"/>
    <x v="241"/>
    <x v="173"/>
    <n v="197239"/>
  </r>
  <r>
    <s v="M0274"/>
    <x v="0"/>
    <x v="241"/>
    <x v="173"/>
    <n v="197239"/>
  </r>
  <r>
    <s v="M0274"/>
    <x v="0"/>
    <x v="241"/>
    <x v="173"/>
    <n v="197239"/>
  </r>
  <r>
    <s v="M0274"/>
    <x v="0"/>
    <x v="241"/>
    <x v="173"/>
    <n v="197239"/>
  </r>
  <r>
    <s v="M0274"/>
    <x v="0"/>
    <x v="241"/>
    <x v="173"/>
    <n v="197239"/>
  </r>
  <r>
    <s v="M0274"/>
    <x v="0"/>
    <x v="241"/>
    <x v="173"/>
    <n v="197239"/>
  </r>
  <r>
    <s v="M0274"/>
    <x v="0"/>
    <x v="242"/>
    <x v="106"/>
    <n v="463871"/>
  </r>
  <r>
    <s v="M0274"/>
    <x v="0"/>
    <x v="242"/>
    <x v="106"/>
    <n v="463871"/>
  </r>
  <r>
    <s v="M0274"/>
    <x v="0"/>
    <x v="242"/>
    <x v="106"/>
    <n v="463871"/>
  </r>
  <r>
    <s v="M0274"/>
    <x v="0"/>
    <x v="242"/>
    <x v="106"/>
    <n v="463871"/>
  </r>
  <r>
    <s v="M0274"/>
    <x v="0"/>
    <x v="242"/>
    <x v="106"/>
    <n v="463871"/>
  </r>
  <r>
    <s v="M0274"/>
    <x v="0"/>
    <x v="242"/>
    <x v="106"/>
    <n v="463871"/>
  </r>
  <r>
    <s v="M0274"/>
    <x v="0"/>
    <x v="243"/>
    <x v="174"/>
    <n v="613517"/>
  </r>
  <r>
    <s v="M0274"/>
    <x v="0"/>
    <x v="243"/>
    <x v="174"/>
    <n v="613517"/>
  </r>
  <r>
    <s v="M0274"/>
    <x v="0"/>
    <x v="243"/>
    <x v="174"/>
    <n v="613517"/>
  </r>
  <r>
    <s v="M0274"/>
    <x v="0"/>
    <x v="243"/>
    <x v="174"/>
    <n v="613517"/>
  </r>
  <r>
    <s v="M0274"/>
    <x v="0"/>
    <x v="243"/>
    <x v="174"/>
    <n v="613517"/>
  </r>
  <r>
    <s v="M0274"/>
    <x v="0"/>
    <x v="243"/>
    <x v="174"/>
    <n v="613517"/>
  </r>
  <r>
    <s v="M0274"/>
    <x v="0"/>
    <x v="244"/>
    <x v="173"/>
    <n v="57486"/>
  </r>
  <r>
    <s v="M0274"/>
    <x v="0"/>
    <x v="244"/>
    <x v="173"/>
    <n v="57486"/>
  </r>
  <r>
    <s v="M0274"/>
    <x v="0"/>
    <x v="244"/>
    <x v="173"/>
    <n v="57486"/>
  </r>
  <r>
    <s v="M0274"/>
    <x v="0"/>
    <x v="244"/>
    <x v="173"/>
    <n v="57486"/>
  </r>
  <r>
    <s v="M0274"/>
    <x v="0"/>
    <x v="244"/>
    <x v="173"/>
    <n v="57486"/>
  </r>
  <r>
    <s v="M0274"/>
    <x v="0"/>
    <x v="244"/>
    <x v="173"/>
    <n v="57486"/>
  </r>
  <r>
    <s v="M0274"/>
    <x v="0"/>
    <x v="245"/>
    <x v="175"/>
    <n v="544074"/>
  </r>
  <r>
    <s v="M0274"/>
    <x v="0"/>
    <x v="245"/>
    <x v="175"/>
    <n v="544074"/>
  </r>
  <r>
    <s v="M0274"/>
    <x v="0"/>
    <x v="245"/>
    <x v="175"/>
    <n v="544074"/>
  </r>
  <r>
    <s v="M0274"/>
    <x v="0"/>
    <x v="245"/>
    <x v="175"/>
    <n v="544074"/>
  </r>
  <r>
    <s v="M0274"/>
    <x v="0"/>
    <x v="245"/>
    <x v="175"/>
    <n v="544074"/>
  </r>
  <r>
    <s v="M0274"/>
    <x v="0"/>
    <x v="245"/>
    <x v="175"/>
    <n v="544074"/>
  </r>
  <r>
    <s v="M0274"/>
    <x v="0"/>
    <x v="246"/>
    <x v="176"/>
    <n v="615460"/>
  </r>
  <r>
    <s v="M0274"/>
    <x v="0"/>
    <x v="246"/>
    <x v="176"/>
    <n v="615460"/>
  </r>
  <r>
    <s v="M0274"/>
    <x v="0"/>
    <x v="246"/>
    <x v="176"/>
    <n v="615460"/>
  </r>
  <r>
    <s v="M0274"/>
    <x v="0"/>
    <x v="246"/>
    <x v="176"/>
    <n v="615460"/>
  </r>
  <r>
    <s v="M0274"/>
    <x v="0"/>
    <x v="246"/>
    <x v="176"/>
    <n v="615460"/>
  </r>
  <r>
    <s v="M0274"/>
    <x v="0"/>
    <x v="246"/>
    <x v="176"/>
    <n v="615460"/>
  </r>
  <r>
    <s v="M0274"/>
    <x v="0"/>
    <x v="247"/>
    <x v="177"/>
    <n v="127475"/>
  </r>
  <r>
    <s v="M0274"/>
    <x v="0"/>
    <x v="247"/>
    <x v="177"/>
    <n v="127475"/>
  </r>
  <r>
    <s v="M0274"/>
    <x v="0"/>
    <x v="247"/>
    <x v="177"/>
    <n v="127475"/>
  </r>
  <r>
    <s v="M0274"/>
    <x v="0"/>
    <x v="247"/>
    <x v="177"/>
    <n v="127475"/>
  </r>
  <r>
    <s v="M0274"/>
    <x v="0"/>
    <x v="247"/>
    <x v="177"/>
    <n v="127475"/>
  </r>
  <r>
    <s v="M0274"/>
    <x v="0"/>
    <x v="247"/>
    <x v="177"/>
    <n v="127475"/>
  </r>
  <r>
    <s v="M0274"/>
    <x v="0"/>
    <x v="248"/>
    <x v="38"/>
    <n v="152282"/>
  </r>
  <r>
    <s v="M0274"/>
    <x v="0"/>
    <x v="248"/>
    <x v="38"/>
    <n v="152282"/>
  </r>
  <r>
    <s v="M0274"/>
    <x v="0"/>
    <x v="248"/>
    <x v="38"/>
    <n v="152282"/>
  </r>
  <r>
    <s v="M0274"/>
    <x v="0"/>
    <x v="248"/>
    <x v="38"/>
    <n v="152282"/>
  </r>
  <r>
    <s v="M0274"/>
    <x v="0"/>
    <x v="248"/>
    <x v="38"/>
    <n v="152282"/>
  </r>
  <r>
    <s v="M0274"/>
    <x v="0"/>
    <x v="248"/>
    <x v="38"/>
    <n v="152282"/>
  </r>
  <r>
    <s v="M0205"/>
    <x v="0"/>
    <x v="249"/>
    <x v="128"/>
    <n v="296208"/>
  </r>
  <r>
    <s v="M0205"/>
    <x v="0"/>
    <x v="249"/>
    <x v="128"/>
    <n v="296208"/>
  </r>
  <r>
    <s v="M0205"/>
    <x v="0"/>
    <x v="249"/>
    <x v="128"/>
    <n v="296208"/>
  </r>
  <r>
    <s v="M0205"/>
    <x v="0"/>
    <x v="250"/>
    <x v="178"/>
    <n v="717855"/>
  </r>
  <r>
    <s v="M0205"/>
    <x v="0"/>
    <x v="250"/>
    <x v="178"/>
    <n v="717855"/>
  </r>
  <r>
    <s v="M0205"/>
    <x v="0"/>
    <x v="250"/>
    <x v="178"/>
    <n v="717855"/>
  </r>
  <r>
    <s v="M0205"/>
    <x v="0"/>
    <x v="251"/>
    <x v="9"/>
    <n v="432155"/>
  </r>
  <r>
    <s v="M0205"/>
    <x v="0"/>
    <x v="251"/>
    <x v="9"/>
    <n v="432155"/>
  </r>
  <r>
    <s v="M0205"/>
    <x v="0"/>
    <x v="251"/>
    <x v="9"/>
    <n v="432155"/>
  </r>
  <r>
    <s v="M0205"/>
    <x v="0"/>
    <x v="252"/>
    <x v="179"/>
    <n v="409568"/>
  </r>
  <r>
    <s v="M0205"/>
    <x v="0"/>
    <x v="252"/>
    <x v="179"/>
    <n v="409568"/>
  </r>
  <r>
    <s v="M0205"/>
    <x v="0"/>
    <x v="252"/>
    <x v="179"/>
    <n v="409568"/>
  </r>
  <r>
    <s v="M0205"/>
    <x v="0"/>
    <x v="253"/>
    <x v="92"/>
    <n v="291263"/>
  </r>
  <r>
    <s v="M0205"/>
    <x v="0"/>
    <x v="253"/>
    <x v="92"/>
    <n v="291263"/>
  </r>
  <r>
    <s v="M0205"/>
    <x v="0"/>
    <x v="253"/>
    <x v="92"/>
    <n v="291263"/>
  </r>
  <r>
    <s v="M0205"/>
    <x v="0"/>
    <x v="254"/>
    <x v="35"/>
    <n v="373116"/>
  </r>
  <r>
    <s v="M0205"/>
    <x v="0"/>
    <x v="254"/>
    <x v="35"/>
    <n v="373116"/>
  </r>
  <r>
    <s v="M0205"/>
    <x v="0"/>
    <x v="254"/>
    <x v="35"/>
    <n v="373116"/>
  </r>
  <r>
    <s v="M0248"/>
    <x v="1"/>
    <x v="255"/>
    <x v="180"/>
    <n v="571577"/>
  </r>
  <r>
    <s v="M0248"/>
    <x v="1"/>
    <x v="255"/>
    <x v="180"/>
    <n v="571577"/>
  </r>
  <r>
    <s v="M0248"/>
    <x v="1"/>
    <x v="256"/>
    <x v="181"/>
    <n v="567881"/>
  </r>
  <r>
    <s v="M0248"/>
    <x v="1"/>
    <x v="256"/>
    <x v="181"/>
    <n v="567881"/>
  </r>
  <r>
    <s v="M0248"/>
    <x v="1"/>
    <x v="257"/>
    <x v="27"/>
    <n v="320098"/>
  </r>
  <r>
    <s v="M0248"/>
    <x v="1"/>
    <x v="257"/>
    <x v="27"/>
    <n v="320098"/>
  </r>
  <r>
    <s v="M0248"/>
    <x v="1"/>
    <x v="258"/>
    <x v="182"/>
    <n v="1106114"/>
  </r>
  <r>
    <s v="M0248"/>
    <x v="1"/>
    <x v="258"/>
    <x v="182"/>
    <n v="1106114"/>
  </r>
  <r>
    <s v="M0248"/>
    <x v="1"/>
    <x v="259"/>
    <x v="160"/>
    <n v="518199"/>
  </r>
  <r>
    <s v="M0248"/>
    <x v="1"/>
    <x v="259"/>
    <x v="160"/>
    <n v="518199"/>
  </r>
  <r>
    <s v="M0248"/>
    <x v="1"/>
    <x v="260"/>
    <x v="183"/>
    <n v="154822"/>
  </r>
  <r>
    <s v="M0248"/>
    <x v="1"/>
    <x v="260"/>
    <x v="183"/>
    <n v="154822"/>
  </r>
  <r>
    <s v="M0248"/>
    <x v="1"/>
    <x v="261"/>
    <x v="184"/>
    <n v="515747"/>
  </r>
  <r>
    <s v="M0248"/>
    <x v="1"/>
    <x v="261"/>
    <x v="184"/>
    <n v="515747"/>
  </r>
  <r>
    <s v="M0248"/>
    <x v="1"/>
    <x v="262"/>
    <x v="3"/>
    <n v="304858"/>
  </r>
  <r>
    <s v="M0248"/>
    <x v="1"/>
    <x v="262"/>
    <x v="3"/>
    <n v="304858"/>
  </r>
  <r>
    <s v="M0248"/>
    <x v="1"/>
    <x v="263"/>
    <x v="173"/>
    <n v="450343"/>
  </r>
  <r>
    <s v="M0248"/>
    <x v="1"/>
    <x v="263"/>
    <x v="173"/>
    <n v="450343"/>
  </r>
  <r>
    <s v="M0248"/>
    <x v="1"/>
    <x v="264"/>
    <x v="185"/>
    <n v="368161"/>
  </r>
  <r>
    <s v="M0248"/>
    <x v="1"/>
    <x v="264"/>
    <x v="185"/>
    <n v="368161"/>
  </r>
  <r>
    <s v="M0070"/>
    <x v="0"/>
    <x v="265"/>
    <x v="180"/>
    <n v="299150"/>
  </r>
  <r>
    <s v="M0070"/>
    <x v="0"/>
    <x v="265"/>
    <x v="180"/>
    <n v="299150"/>
  </r>
  <r>
    <s v="M0070"/>
    <x v="0"/>
    <x v="265"/>
    <x v="180"/>
    <n v="299150"/>
  </r>
  <r>
    <s v="M0070"/>
    <x v="0"/>
    <x v="266"/>
    <x v="113"/>
    <n v="236389"/>
  </r>
  <r>
    <s v="M0070"/>
    <x v="0"/>
    <x v="266"/>
    <x v="113"/>
    <n v="236389"/>
  </r>
  <r>
    <s v="M0070"/>
    <x v="0"/>
    <x v="266"/>
    <x v="113"/>
    <n v="236389"/>
  </r>
  <r>
    <s v="M0070"/>
    <x v="0"/>
    <x v="267"/>
    <x v="164"/>
    <n v="242860"/>
  </r>
  <r>
    <s v="M0070"/>
    <x v="0"/>
    <x v="267"/>
    <x v="164"/>
    <n v="242860"/>
  </r>
  <r>
    <s v="M0070"/>
    <x v="0"/>
    <x v="267"/>
    <x v="164"/>
    <n v="242860"/>
  </r>
  <r>
    <s v="M0070"/>
    <x v="0"/>
    <x v="268"/>
    <x v="186"/>
    <n v="323278"/>
  </r>
  <r>
    <s v="M0070"/>
    <x v="0"/>
    <x v="268"/>
    <x v="186"/>
    <n v="323278"/>
  </r>
  <r>
    <s v="M0070"/>
    <x v="0"/>
    <x v="268"/>
    <x v="186"/>
    <n v="323278"/>
  </r>
  <r>
    <s v="M0070"/>
    <x v="0"/>
    <x v="269"/>
    <x v="149"/>
    <n v="420405"/>
  </r>
  <r>
    <s v="M0070"/>
    <x v="0"/>
    <x v="269"/>
    <x v="149"/>
    <n v="420405"/>
  </r>
  <r>
    <s v="M0070"/>
    <x v="0"/>
    <x v="269"/>
    <x v="149"/>
    <n v="420405"/>
  </r>
  <r>
    <s v="M0070"/>
    <x v="0"/>
    <x v="270"/>
    <x v="32"/>
    <n v="911672"/>
  </r>
  <r>
    <s v="M0070"/>
    <x v="0"/>
    <x v="270"/>
    <x v="32"/>
    <n v="911672"/>
  </r>
  <r>
    <s v="M0070"/>
    <x v="0"/>
    <x v="270"/>
    <x v="32"/>
    <n v="911672"/>
  </r>
  <r>
    <s v="M0070"/>
    <x v="0"/>
    <x v="271"/>
    <x v="111"/>
    <n v="223931"/>
  </r>
  <r>
    <s v="M0070"/>
    <x v="0"/>
    <x v="271"/>
    <x v="111"/>
    <n v="223931"/>
  </r>
  <r>
    <s v="M0070"/>
    <x v="0"/>
    <x v="271"/>
    <x v="111"/>
    <n v="223931"/>
  </r>
  <r>
    <s v="M0070"/>
    <x v="0"/>
    <x v="272"/>
    <x v="177"/>
    <n v="507293"/>
  </r>
  <r>
    <s v="M0070"/>
    <x v="0"/>
    <x v="272"/>
    <x v="177"/>
    <n v="507293"/>
  </r>
  <r>
    <s v="M0070"/>
    <x v="0"/>
    <x v="272"/>
    <x v="177"/>
    <n v="507293"/>
  </r>
  <r>
    <s v="M0070"/>
    <x v="0"/>
    <x v="273"/>
    <x v="41"/>
    <n v="234692"/>
  </r>
  <r>
    <s v="M0070"/>
    <x v="0"/>
    <x v="273"/>
    <x v="41"/>
    <n v="234692"/>
  </r>
  <r>
    <s v="M0070"/>
    <x v="0"/>
    <x v="273"/>
    <x v="41"/>
    <n v="234692"/>
  </r>
  <r>
    <s v="M0070"/>
    <x v="0"/>
    <x v="274"/>
    <x v="176"/>
    <n v="472739"/>
  </r>
  <r>
    <s v="M0070"/>
    <x v="0"/>
    <x v="274"/>
    <x v="176"/>
    <n v="472739"/>
  </r>
  <r>
    <s v="M0070"/>
    <x v="0"/>
    <x v="274"/>
    <x v="176"/>
    <n v="472739"/>
  </r>
  <r>
    <s v="M0033"/>
    <x v="1"/>
    <x v="275"/>
    <x v="57"/>
    <n v="110568"/>
  </r>
  <r>
    <s v="M0033"/>
    <x v="1"/>
    <x v="275"/>
    <x v="57"/>
    <n v="110568"/>
  </r>
  <r>
    <s v="M0033"/>
    <x v="1"/>
    <x v="275"/>
    <x v="57"/>
    <n v="110568"/>
  </r>
  <r>
    <s v="M0033"/>
    <x v="1"/>
    <x v="275"/>
    <x v="57"/>
    <n v="110568"/>
  </r>
  <r>
    <s v="M0033"/>
    <x v="1"/>
    <x v="276"/>
    <x v="46"/>
    <n v="338911"/>
  </r>
  <r>
    <s v="M0033"/>
    <x v="1"/>
    <x v="276"/>
    <x v="46"/>
    <n v="338911"/>
  </r>
  <r>
    <s v="M0033"/>
    <x v="1"/>
    <x v="276"/>
    <x v="46"/>
    <n v="338911"/>
  </r>
  <r>
    <s v="M0033"/>
    <x v="1"/>
    <x v="276"/>
    <x v="46"/>
    <n v="338911"/>
  </r>
  <r>
    <s v="M0033"/>
    <x v="1"/>
    <x v="277"/>
    <x v="93"/>
    <n v="427108"/>
  </r>
  <r>
    <s v="M0033"/>
    <x v="1"/>
    <x v="277"/>
    <x v="93"/>
    <n v="427108"/>
  </r>
  <r>
    <s v="M0033"/>
    <x v="1"/>
    <x v="277"/>
    <x v="93"/>
    <n v="427108"/>
  </r>
  <r>
    <s v="M0033"/>
    <x v="1"/>
    <x v="277"/>
    <x v="93"/>
    <n v="427108"/>
  </r>
  <r>
    <s v="M0218"/>
    <x v="1"/>
    <x v="278"/>
    <x v="187"/>
    <n v="107213"/>
  </r>
  <r>
    <s v="M0218"/>
    <x v="1"/>
    <x v="278"/>
    <x v="187"/>
    <n v="107213"/>
  </r>
  <r>
    <s v="M0218"/>
    <x v="1"/>
    <x v="279"/>
    <x v="188"/>
    <n v="465852"/>
  </r>
  <r>
    <s v="M0218"/>
    <x v="1"/>
    <x v="279"/>
    <x v="188"/>
    <n v="465852"/>
  </r>
  <r>
    <s v="M0218"/>
    <x v="1"/>
    <x v="280"/>
    <x v="20"/>
    <n v="466070"/>
  </r>
  <r>
    <s v="M0218"/>
    <x v="1"/>
    <x v="280"/>
    <x v="20"/>
    <n v="466070"/>
  </r>
  <r>
    <s v="M0218"/>
    <x v="1"/>
    <x v="281"/>
    <x v="34"/>
    <n v="287600"/>
  </r>
  <r>
    <s v="M0218"/>
    <x v="1"/>
    <x v="281"/>
    <x v="34"/>
    <n v="287600"/>
  </r>
  <r>
    <s v="M0218"/>
    <x v="1"/>
    <x v="282"/>
    <x v="153"/>
    <n v="798036"/>
  </r>
  <r>
    <s v="M0218"/>
    <x v="1"/>
    <x v="282"/>
    <x v="153"/>
    <n v="798036"/>
  </r>
  <r>
    <s v="M0218"/>
    <x v="1"/>
    <x v="283"/>
    <x v="189"/>
    <n v="414971"/>
  </r>
  <r>
    <s v="M0218"/>
    <x v="1"/>
    <x v="283"/>
    <x v="189"/>
    <n v="414971"/>
  </r>
  <r>
    <s v="M0218"/>
    <x v="1"/>
    <x v="284"/>
    <x v="39"/>
    <n v="140481"/>
  </r>
  <r>
    <s v="M0218"/>
    <x v="1"/>
    <x v="284"/>
    <x v="39"/>
    <n v="140481"/>
  </r>
  <r>
    <s v="M0218"/>
    <x v="1"/>
    <x v="285"/>
    <x v="124"/>
    <n v="731781"/>
  </r>
  <r>
    <s v="M0218"/>
    <x v="1"/>
    <x v="285"/>
    <x v="124"/>
    <n v="731781"/>
  </r>
  <r>
    <s v="M0218"/>
    <x v="1"/>
    <x v="286"/>
    <x v="185"/>
    <n v="347954"/>
  </r>
  <r>
    <s v="M0218"/>
    <x v="1"/>
    <x v="286"/>
    <x v="185"/>
    <n v="347954"/>
  </r>
  <r>
    <s v="M0218"/>
    <x v="1"/>
    <x v="287"/>
    <x v="109"/>
    <n v="148454"/>
  </r>
  <r>
    <s v="M0218"/>
    <x v="1"/>
    <x v="287"/>
    <x v="109"/>
    <n v="148454"/>
  </r>
  <r>
    <s v="M0218"/>
    <x v="1"/>
    <x v="288"/>
    <x v="190"/>
    <n v="91394"/>
  </r>
  <r>
    <s v="M0218"/>
    <x v="1"/>
    <x v="288"/>
    <x v="190"/>
    <n v="91394"/>
  </r>
  <r>
    <s v="M0218"/>
    <x v="1"/>
    <x v="289"/>
    <x v="3"/>
    <n v="82481"/>
  </r>
  <r>
    <s v="M0218"/>
    <x v="1"/>
    <x v="289"/>
    <x v="3"/>
    <n v="82481"/>
  </r>
  <r>
    <s v="M0218"/>
    <x v="1"/>
    <x v="290"/>
    <x v="177"/>
    <n v="341768"/>
  </r>
  <r>
    <s v="M0218"/>
    <x v="1"/>
    <x v="290"/>
    <x v="177"/>
    <n v="341768"/>
  </r>
  <r>
    <s v="M0218"/>
    <x v="1"/>
    <x v="291"/>
    <x v="51"/>
    <n v="191258"/>
  </r>
  <r>
    <s v="M0218"/>
    <x v="1"/>
    <x v="291"/>
    <x v="51"/>
    <n v="191258"/>
  </r>
  <r>
    <s v="M0218"/>
    <x v="1"/>
    <x v="292"/>
    <x v="189"/>
    <n v="1003252"/>
  </r>
  <r>
    <s v="M0218"/>
    <x v="1"/>
    <x v="292"/>
    <x v="189"/>
    <n v="1003252"/>
  </r>
  <r>
    <s v="M0218"/>
    <x v="1"/>
    <x v="293"/>
    <x v="191"/>
    <n v="33904"/>
  </r>
  <r>
    <s v="M0218"/>
    <x v="1"/>
    <x v="293"/>
    <x v="191"/>
    <n v="33904"/>
  </r>
  <r>
    <s v="M0218"/>
    <x v="1"/>
    <x v="294"/>
    <x v="192"/>
    <n v="363734"/>
  </r>
  <r>
    <s v="M0218"/>
    <x v="1"/>
    <x v="294"/>
    <x v="192"/>
    <n v="363734"/>
  </r>
  <r>
    <s v="M0218"/>
    <x v="1"/>
    <x v="295"/>
    <x v="42"/>
    <n v="468038"/>
  </r>
  <r>
    <s v="M0218"/>
    <x v="1"/>
    <x v="295"/>
    <x v="42"/>
    <n v="468038"/>
  </r>
  <r>
    <s v="M0181"/>
    <x v="1"/>
    <x v="296"/>
    <x v="193"/>
    <n v="137889"/>
  </r>
  <r>
    <s v="M0181"/>
    <x v="1"/>
    <x v="296"/>
    <x v="193"/>
    <n v="137889"/>
  </r>
  <r>
    <s v="M0181"/>
    <x v="1"/>
    <x v="296"/>
    <x v="193"/>
    <n v="137889"/>
  </r>
  <r>
    <s v="M0181"/>
    <x v="1"/>
    <x v="297"/>
    <x v="46"/>
    <n v="324006"/>
  </r>
  <r>
    <s v="M0181"/>
    <x v="1"/>
    <x v="297"/>
    <x v="46"/>
    <n v="324006"/>
  </r>
  <r>
    <s v="M0181"/>
    <x v="1"/>
    <x v="297"/>
    <x v="46"/>
    <n v="324006"/>
  </r>
  <r>
    <s v="M0181"/>
    <x v="1"/>
    <x v="298"/>
    <x v="1"/>
    <n v="30001"/>
  </r>
  <r>
    <s v="M0181"/>
    <x v="1"/>
    <x v="298"/>
    <x v="1"/>
    <n v="30001"/>
  </r>
  <r>
    <s v="M0181"/>
    <x v="1"/>
    <x v="298"/>
    <x v="1"/>
    <n v="30001"/>
  </r>
  <r>
    <s v="M0181"/>
    <x v="1"/>
    <x v="299"/>
    <x v="194"/>
    <n v="52919"/>
  </r>
  <r>
    <s v="M0181"/>
    <x v="1"/>
    <x v="299"/>
    <x v="194"/>
    <n v="52919"/>
  </r>
  <r>
    <s v="M0181"/>
    <x v="1"/>
    <x v="299"/>
    <x v="194"/>
    <n v="52919"/>
  </r>
  <r>
    <s v="M0181"/>
    <x v="1"/>
    <x v="300"/>
    <x v="195"/>
    <n v="101138"/>
  </r>
  <r>
    <s v="M0181"/>
    <x v="1"/>
    <x v="300"/>
    <x v="195"/>
    <n v="101138"/>
  </r>
  <r>
    <s v="M0181"/>
    <x v="1"/>
    <x v="300"/>
    <x v="195"/>
    <n v="101138"/>
  </r>
  <r>
    <s v="M0181"/>
    <x v="1"/>
    <x v="301"/>
    <x v="63"/>
    <n v="380495"/>
  </r>
  <r>
    <s v="M0181"/>
    <x v="1"/>
    <x v="301"/>
    <x v="63"/>
    <n v="380495"/>
  </r>
  <r>
    <s v="M0181"/>
    <x v="1"/>
    <x v="301"/>
    <x v="63"/>
    <n v="380495"/>
  </r>
  <r>
    <s v="M0013"/>
    <x v="1"/>
    <x v="302"/>
    <x v="164"/>
    <n v="396958"/>
  </r>
  <r>
    <s v="M0013"/>
    <x v="1"/>
    <x v="302"/>
    <x v="164"/>
    <n v="396958"/>
  </r>
  <r>
    <s v="M0013"/>
    <x v="1"/>
    <x v="302"/>
    <x v="164"/>
    <n v="396958"/>
  </r>
  <r>
    <s v="M0013"/>
    <x v="1"/>
    <x v="302"/>
    <x v="164"/>
    <n v="396958"/>
  </r>
  <r>
    <s v="M0013"/>
    <x v="1"/>
    <x v="302"/>
    <x v="164"/>
    <n v="396958"/>
  </r>
  <r>
    <s v="M0013"/>
    <x v="1"/>
    <x v="302"/>
    <x v="164"/>
    <n v="396958"/>
  </r>
  <r>
    <s v="M0013"/>
    <x v="1"/>
    <x v="303"/>
    <x v="110"/>
    <n v="40669"/>
  </r>
  <r>
    <s v="M0013"/>
    <x v="1"/>
    <x v="303"/>
    <x v="110"/>
    <n v="40669"/>
  </r>
  <r>
    <s v="M0013"/>
    <x v="1"/>
    <x v="303"/>
    <x v="110"/>
    <n v="40669"/>
  </r>
  <r>
    <s v="M0013"/>
    <x v="1"/>
    <x v="303"/>
    <x v="110"/>
    <n v="40669"/>
  </r>
  <r>
    <s v="M0013"/>
    <x v="1"/>
    <x v="303"/>
    <x v="110"/>
    <n v="40669"/>
  </r>
  <r>
    <s v="M0013"/>
    <x v="1"/>
    <x v="303"/>
    <x v="110"/>
    <n v="40669"/>
  </r>
  <r>
    <s v="M0013"/>
    <x v="1"/>
    <x v="304"/>
    <x v="48"/>
    <n v="767256"/>
  </r>
  <r>
    <s v="M0013"/>
    <x v="1"/>
    <x v="304"/>
    <x v="48"/>
    <n v="767256"/>
  </r>
  <r>
    <s v="M0013"/>
    <x v="1"/>
    <x v="304"/>
    <x v="48"/>
    <n v="767256"/>
  </r>
  <r>
    <s v="M0013"/>
    <x v="1"/>
    <x v="304"/>
    <x v="48"/>
    <n v="767256"/>
  </r>
  <r>
    <s v="M0013"/>
    <x v="1"/>
    <x v="304"/>
    <x v="48"/>
    <n v="767256"/>
  </r>
  <r>
    <s v="M0013"/>
    <x v="1"/>
    <x v="304"/>
    <x v="48"/>
    <n v="767256"/>
  </r>
  <r>
    <s v="M0013"/>
    <x v="1"/>
    <x v="305"/>
    <x v="196"/>
    <n v="55058"/>
  </r>
  <r>
    <s v="M0013"/>
    <x v="1"/>
    <x v="305"/>
    <x v="196"/>
    <n v="55058"/>
  </r>
  <r>
    <s v="M0013"/>
    <x v="1"/>
    <x v="305"/>
    <x v="196"/>
    <n v="55058"/>
  </r>
  <r>
    <s v="M0013"/>
    <x v="1"/>
    <x v="305"/>
    <x v="196"/>
    <n v="55058"/>
  </r>
  <r>
    <s v="M0013"/>
    <x v="1"/>
    <x v="305"/>
    <x v="196"/>
    <n v="55058"/>
  </r>
  <r>
    <s v="M0013"/>
    <x v="1"/>
    <x v="305"/>
    <x v="196"/>
    <n v="55058"/>
  </r>
  <r>
    <s v="M0013"/>
    <x v="1"/>
    <x v="306"/>
    <x v="197"/>
    <n v="686743"/>
  </r>
  <r>
    <s v="M0013"/>
    <x v="1"/>
    <x v="306"/>
    <x v="197"/>
    <n v="686743"/>
  </r>
  <r>
    <s v="M0013"/>
    <x v="1"/>
    <x v="306"/>
    <x v="197"/>
    <n v="686743"/>
  </r>
  <r>
    <s v="M0013"/>
    <x v="1"/>
    <x v="306"/>
    <x v="197"/>
    <n v="686743"/>
  </r>
  <r>
    <s v="M0013"/>
    <x v="1"/>
    <x v="306"/>
    <x v="197"/>
    <n v="686743"/>
  </r>
  <r>
    <s v="M0013"/>
    <x v="1"/>
    <x v="306"/>
    <x v="197"/>
    <n v="686743"/>
  </r>
  <r>
    <s v="M0013"/>
    <x v="1"/>
    <x v="307"/>
    <x v="24"/>
    <n v="66666"/>
  </r>
  <r>
    <s v="M0013"/>
    <x v="1"/>
    <x v="307"/>
    <x v="24"/>
    <n v="66666"/>
  </r>
  <r>
    <s v="M0013"/>
    <x v="1"/>
    <x v="307"/>
    <x v="24"/>
    <n v="66666"/>
  </r>
  <r>
    <s v="M0013"/>
    <x v="1"/>
    <x v="307"/>
    <x v="24"/>
    <n v="66666"/>
  </r>
  <r>
    <s v="M0013"/>
    <x v="1"/>
    <x v="307"/>
    <x v="24"/>
    <n v="66666"/>
  </r>
  <r>
    <s v="M0013"/>
    <x v="1"/>
    <x v="307"/>
    <x v="24"/>
    <n v="66666"/>
  </r>
  <r>
    <s v="M0013"/>
    <x v="1"/>
    <x v="308"/>
    <x v="198"/>
    <n v="588019"/>
  </r>
  <r>
    <s v="M0013"/>
    <x v="1"/>
    <x v="308"/>
    <x v="198"/>
    <n v="588019"/>
  </r>
  <r>
    <s v="M0013"/>
    <x v="1"/>
    <x v="308"/>
    <x v="198"/>
    <n v="588019"/>
  </r>
  <r>
    <s v="M0013"/>
    <x v="1"/>
    <x v="308"/>
    <x v="198"/>
    <n v="588019"/>
  </r>
  <r>
    <s v="M0013"/>
    <x v="1"/>
    <x v="308"/>
    <x v="198"/>
    <n v="588019"/>
  </r>
  <r>
    <s v="M0013"/>
    <x v="1"/>
    <x v="308"/>
    <x v="198"/>
    <n v="588019"/>
  </r>
  <r>
    <s v="M0013"/>
    <x v="1"/>
    <x v="309"/>
    <x v="199"/>
    <n v="516078"/>
  </r>
  <r>
    <s v="M0013"/>
    <x v="1"/>
    <x v="309"/>
    <x v="199"/>
    <n v="516078"/>
  </r>
  <r>
    <s v="M0013"/>
    <x v="1"/>
    <x v="309"/>
    <x v="199"/>
    <n v="516078"/>
  </r>
  <r>
    <s v="M0013"/>
    <x v="1"/>
    <x v="309"/>
    <x v="199"/>
    <n v="516078"/>
  </r>
  <r>
    <s v="M0013"/>
    <x v="1"/>
    <x v="309"/>
    <x v="199"/>
    <n v="516078"/>
  </r>
  <r>
    <s v="M0013"/>
    <x v="1"/>
    <x v="309"/>
    <x v="199"/>
    <n v="516078"/>
  </r>
  <r>
    <s v="M0013"/>
    <x v="1"/>
    <x v="310"/>
    <x v="167"/>
    <n v="899055"/>
  </r>
  <r>
    <s v="M0013"/>
    <x v="1"/>
    <x v="310"/>
    <x v="167"/>
    <n v="899055"/>
  </r>
  <r>
    <s v="M0013"/>
    <x v="1"/>
    <x v="310"/>
    <x v="167"/>
    <n v="899055"/>
  </r>
  <r>
    <s v="M0013"/>
    <x v="1"/>
    <x v="310"/>
    <x v="167"/>
    <n v="899055"/>
  </r>
  <r>
    <s v="M0013"/>
    <x v="1"/>
    <x v="310"/>
    <x v="167"/>
    <n v="899055"/>
  </r>
  <r>
    <s v="M0013"/>
    <x v="1"/>
    <x v="310"/>
    <x v="167"/>
    <n v="899055"/>
  </r>
  <r>
    <s v="M0013"/>
    <x v="1"/>
    <x v="311"/>
    <x v="200"/>
    <n v="416284"/>
  </r>
  <r>
    <s v="M0013"/>
    <x v="1"/>
    <x v="311"/>
    <x v="200"/>
    <n v="416284"/>
  </r>
  <r>
    <s v="M0013"/>
    <x v="1"/>
    <x v="311"/>
    <x v="200"/>
    <n v="416284"/>
  </r>
  <r>
    <s v="M0013"/>
    <x v="1"/>
    <x v="311"/>
    <x v="200"/>
    <n v="416284"/>
  </r>
  <r>
    <s v="M0013"/>
    <x v="1"/>
    <x v="311"/>
    <x v="200"/>
    <n v="416284"/>
  </r>
  <r>
    <s v="M0013"/>
    <x v="1"/>
    <x v="311"/>
    <x v="200"/>
    <n v="416284"/>
  </r>
  <r>
    <s v="M0013"/>
    <x v="1"/>
    <x v="312"/>
    <x v="201"/>
    <n v="43948"/>
  </r>
  <r>
    <s v="M0013"/>
    <x v="1"/>
    <x v="312"/>
    <x v="201"/>
    <n v="43948"/>
  </r>
  <r>
    <s v="M0013"/>
    <x v="1"/>
    <x v="312"/>
    <x v="201"/>
    <n v="43948"/>
  </r>
  <r>
    <s v="M0013"/>
    <x v="1"/>
    <x v="312"/>
    <x v="201"/>
    <n v="43948"/>
  </r>
  <r>
    <s v="M0013"/>
    <x v="1"/>
    <x v="312"/>
    <x v="201"/>
    <n v="43948"/>
  </r>
  <r>
    <s v="M0013"/>
    <x v="1"/>
    <x v="312"/>
    <x v="201"/>
    <n v="43948"/>
  </r>
  <r>
    <s v="M0013"/>
    <x v="1"/>
    <x v="313"/>
    <x v="202"/>
    <n v="716588"/>
  </r>
  <r>
    <s v="M0013"/>
    <x v="1"/>
    <x v="313"/>
    <x v="202"/>
    <n v="716588"/>
  </r>
  <r>
    <s v="M0013"/>
    <x v="1"/>
    <x v="313"/>
    <x v="202"/>
    <n v="716588"/>
  </r>
  <r>
    <s v="M0013"/>
    <x v="1"/>
    <x v="313"/>
    <x v="202"/>
    <n v="716588"/>
  </r>
  <r>
    <s v="M0013"/>
    <x v="1"/>
    <x v="313"/>
    <x v="202"/>
    <n v="716588"/>
  </r>
  <r>
    <s v="M0013"/>
    <x v="1"/>
    <x v="313"/>
    <x v="202"/>
    <n v="716588"/>
  </r>
  <r>
    <s v="M0013"/>
    <x v="1"/>
    <x v="314"/>
    <x v="203"/>
    <n v="201374"/>
  </r>
  <r>
    <s v="M0013"/>
    <x v="1"/>
    <x v="314"/>
    <x v="203"/>
    <n v="201374"/>
  </r>
  <r>
    <s v="M0013"/>
    <x v="1"/>
    <x v="314"/>
    <x v="203"/>
    <n v="201374"/>
  </r>
  <r>
    <s v="M0013"/>
    <x v="1"/>
    <x v="314"/>
    <x v="203"/>
    <n v="201374"/>
  </r>
  <r>
    <s v="M0013"/>
    <x v="1"/>
    <x v="314"/>
    <x v="203"/>
    <n v="201374"/>
  </r>
  <r>
    <s v="M0013"/>
    <x v="1"/>
    <x v="314"/>
    <x v="203"/>
    <n v="201374"/>
  </r>
  <r>
    <s v="M0013"/>
    <x v="1"/>
    <x v="315"/>
    <x v="148"/>
    <n v="273075"/>
  </r>
  <r>
    <s v="M0013"/>
    <x v="1"/>
    <x v="315"/>
    <x v="148"/>
    <n v="273075"/>
  </r>
  <r>
    <s v="M0013"/>
    <x v="1"/>
    <x v="315"/>
    <x v="148"/>
    <n v="273075"/>
  </r>
  <r>
    <s v="M0013"/>
    <x v="1"/>
    <x v="315"/>
    <x v="148"/>
    <n v="273075"/>
  </r>
  <r>
    <s v="M0013"/>
    <x v="1"/>
    <x v="315"/>
    <x v="148"/>
    <n v="273075"/>
  </r>
  <r>
    <s v="M0013"/>
    <x v="1"/>
    <x v="315"/>
    <x v="148"/>
    <n v="273075"/>
  </r>
  <r>
    <s v="M0013"/>
    <x v="1"/>
    <x v="316"/>
    <x v="204"/>
    <n v="619724"/>
  </r>
  <r>
    <s v="M0013"/>
    <x v="1"/>
    <x v="316"/>
    <x v="204"/>
    <n v="619724"/>
  </r>
  <r>
    <s v="M0013"/>
    <x v="1"/>
    <x v="316"/>
    <x v="204"/>
    <n v="619724"/>
  </r>
  <r>
    <s v="M0013"/>
    <x v="1"/>
    <x v="316"/>
    <x v="204"/>
    <n v="619724"/>
  </r>
  <r>
    <s v="M0013"/>
    <x v="1"/>
    <x v="316"/>
    <x v="204"/>
    <n v="619724"/>
  </r>
  <r>
    <s v="M0013"/>
    <x v="1"/>
    <x v="316"/>
    <x v="204"/>
    <n v="619724"/>
  </r>
  <r>
    <s v="M0146"/>
    <x v="0"/>
    <x v="317"/>
    <x v="104"/>
    <n v="93030"/>
  </r>
  <r>
    <s v="M0146"/>
    <x v="0"/>
    <x v="317"/>
    <x v="104"/>
    <n v="93030"/>
  </r>
  <r>
    <s v="M0146"/>
    <x v="0"/>
    <x v="318"/>
    <x v="165"/>
    <n v="93172"/>
  </r>
  <r>
    <s v="M0146"/>
    <x v="0"/>
    <x v="318"/>
    <x v="165"/>
    <n v="93172"/>
  </r>
  <r>
    <s v="M0146"/>
    <x v="0"/>
    <x v="319"/>
    <x v="112"/>
    <n v="405986"/>
  </r>
  <r>
    <s v="M0146"/>
    <x v="0"/>
    <x v="319"/>
    <x v="112"/>
    <n v="405986"/>
  </r>
  <r>
    <s v="M0146"/>
    <x v="0"/>
    <x v="320"/>
    <x v="162"/>
    <n v="86999"/>
  </r>
  <r>
    <s v="M0146"/>
    <x v="0"/>
    <x v="320"/>
    <x v="162"/>
    <n v="86999"/>
  </r>
  <r>
    <s v="M0093"/>
    <x v="1"/>
    <x v="321"/>
    <x v="88"/>
    <n v="149532"/>
  </r>
  <r>
    <s v="M0093"/>
    <x v="1"/>
    <x v="321"/>
    <x v="88"/>
    <n v="149532"/>
  </r>
  <r>
    <s v="M0093"/>
    <x v="1"/>
    <x v="321"/>
    <x v="88"/>
    <n v="149532"/>
  </r>
  <r>
    <s v="M0093"/>
    <x v="1"/>
    <x v="321"/>
    <x v="88"/>
    <n v="149532"/>
  </r>
  <r>
    <s v="M0093"/>
    <x v="1"/>
    <x v="321"/>
    <x v="88"/>
    <n v="149532"/>
  </r>
  <r>
    <s v="M0093"/>
    <x v="1"/>
    <x v="322"/>
    <x v="82"/>
    <n v="55657"/>
  </r>
  <r>
    <s v="M0093"/>
    <x v="1"/>
    <x v="322"/>
    <x v="82"/>
    <n v="55657"/>
  </r>
  <r>
    <s v="M0093"/>
    <x v="1"/>
    <x v="322"/>
    <x v="82"/>
    <n v="55657"/>
  </r>
  <r>
    <s v="M0093"/>
    <x v="1"/>
    <x v="322"/>
    <x v="82"/>
    <n v="55657"/>
  </r>
  <r>
    <s v="M0093"/>
    <x v="1"/>
    <x v="322"/>
    <x v="82"/>
    <n v="55657"/>
  </r>
  <r>
    <s v="M0093"/>
    <x v="1"/>
    <x v="323"/>
    <x v="55"/>
    <n v="582865"/>
  </r>
  <r>
    <s v="M0093"/>
    <x v="1"/>
    <x v="323"/>
    <x v="55"/>
    <n v="582865"/>
  </r>
  <r>
    <s v="M0093"/>
    <x v="1"/>
    <x v="323"/>
    <x v="55"/>
    <n v="582865"/>
  </r>
  <r>
    <s v="M0093"/>
    <x v="1"/>
    <x v="323"/>
    <x v="55"/>
    <n v="582865"/>
  </r>
  <r>
    <s v="M0093"/>
    <x v="1"/>
    <x v="323"/>
    <x v="55"/>
    <n v="582865"/>
  </r>
  <r>
    <s v="M0093"/>
    <x v="1"/>
    <x v="324"/>
    <x v="160"/>
    <n v="40550"/>
  </r>
  <r>
    <s v="M0093"/>
    <x v="1"/>
    <x v="324"/>
    <x v="160"/>
    <n v="40550"/>
  </r>
  <r>
    <s v="M0093"/>
    <x v="1"/>
    <x v="324"/>
    <x v="160"/>
    <n v="40550"/>
  </r>
  <r>
    <s v="M0093"/>
    <x v="1"/>
    <x v="324"/>
    <x v="160"/>
    <n v="40550"/>
  </r>
  <r>
    <s v="M0093"/>
    <x v="1"/>
    <x v="324"/>
    <x v="160"/>
    <n v="40550"/>
  </r>
  <r>
    <s v="M0093"/>
    <x v="1"/>
    <x v="325"/>
    <x v="205"/>
    <n v="755709"/>
  </r>
  <r>
    <s v="M0093"/>
    <x v="1"/>
    <x v="325"/>
    <x v="205"/>
    <n v="755709"/>
  </r>
  <r>
    <s v="M0093"/>
    <x v="1"/>
    <x v="325"/>
    <x v="205"/>
    <n v="755709"/>
  </r>
  <r>
    <s v="M0093"/>
    <x v="1"/>
    <x v="325"/>
    <x v="205"/>
    <n v="755709"/>
  </r>
  <r>
    <s v="M0093"/>
    <x v="1"/>
    <x v="325"/>
    <x v="205"/>
    <n v="755709"/>
  </r>
  <r>
    <s v="M0093"/>
    <x v="1"/>
    <x v="326"/>
    <x v="77"/>
    <n v="683314"/>
  </r>
  <r>
    <s v="M0093"/>
    <x v="1"/>
    <x v="326"/>
    <x v="77"/>
    <n v="683314"/>
  </r>
  <r>
    <s v="M0093"/>
    <x v="1"/>
    <x v="326"/>
    <x v="77"/>
    <n v="683314"/>
  </r>
  <r>
    <s v="M0093"/>
    <x v="1"/>
    <x v="326"/>
    <x v="77"/>
    <n v="683314"/>
  </r>
  <r>
    <s v="M0093"/>
    <x v="1"/>
    <x v="326"/>
    <x v="77"/>
    <n v="683314"/>
  </r>
  <r>
    <s v="M0093"/>
    <x v="1"/>
    <x v="327"/>
    <x v="42"/>
    <n v="126727"/>
  </r>
  <r>
    <s v="M0093"/>
    <x v="1"/>
    <x v="327"/>
    <x v="42"/>
    <n v="126727"/>
  </r>
  <r>
    <s v="M0093"/>
    <x v="1"/>
    <x v="327"/>
    <x v="42"/>
    <n v="126727"/>
  </r>
  <r>
    <s v="M0093"/>
    <x v="1"/>
    <x v="327"/>
    <x v="42"/>
    <n v="126727"/>
  </r>
  <r>
    <s v="M0093"/>
    <x v="1"/>
    <x v="327"/>
    <x v="42"/>
    <n v="126727"/>
  </r>
  <r>
    <s v="M0093"/>
    <x v="1"/>
    <x v="328"/>
    <x v="206"/>
    <n v="157637"/>
  </r>
  <r>
    <s v="M0093"/>
    <x v="1"/>
    <x v="328"/>
    <x v="206"/>
    <n v="157637"/>
  </r>
  <r>
    <s v="M0093"/>
    <x v="1"/>
    <x v="328"/>
    <x v="206"/>
    <n v="157637"/>
  </r>
  <r>
    <s v="M0093"/>
    <x v="1"/>
    <x v="328"/>
    <x v="206"/>
    <n v="157637"/>
  </r>
  <r>
    <s v="M0093"/>
    <x v="1"/>
    <x v="328"/>
    <x v="206"/>
    <n v="157637"/>
  </r>
  <r>
    <s v="M0093"/>
    <x v="1"/>
    <x v="329"/>
    <x v="178"/>
    <n v="180321"/>
  </r>
  <r>
    <s v="M0093"/>
    <x v="1"/>
    <x v="329"/>
    <x v="178"/>
    <n v="180321"/>
  </r>
  <r>
    <s v="M0093"/>
    <x v="1"/>
    <x v="329"/>
    <x v="178"/>
    <n v="180321"/>
  </r>
  <r>
    <s v="M0093"/>
    <x v="1"/>
    <x v="329"/>
    <x v="178"/>
    <n v="180321"/>
  </r>
  <r>
    <s v="M0093"/>
    <x v="1"/>
    <x v="329"/>
    <x v="178"/>
    <n v="180321"/>
  </r>
  <r>
    <s v="M0093"/>
    <x v="1"/>
    <x v="330"/>
    <x v="93"/>
    <n v="397724"/>
  </r>
  <r>
    <s v="M0093"/>
    <x v="1"/>
    <x v="330"/>
    <x v="93"/>
    <n v="397724"/>
  </r>
  <r>
    <s v="M0093"/>
    <x v="1"/>
    <x v="330"/>
    <x v="93"/>
    <n v="397724"/>
  </r>
  <r>
    <s v="M0093"/>
    <x v="1"/>
    <x v="330"/>
    <x v="93"/>
    <n v="397724"/>
  </r>
  <r>
    <s v="M0093"/>
    <x v="1"/>
    <x v="330"/>
    <x v="93"/>
    <n v="397724"/>
  </r>
  <r>
    <s v="M0093"/>
    <x v="1"/>
    <x v="331"/>
    <x v="105"/>
    <n v="63643"/>
  </r>
  <r>
    <s v="M0093"/>
    <x v="1"/>
    <x v="331"/>
    <x v="105"/>
    <n v="63643"/>
  </r>
  <r>
    <s v="M0093"/>
    <x v="1"/>
    <x v="331"/>
    <x v="105"/>
    <n v="63643"/>
  </r>
  <r>
    <s v="M0093"/>
    <x v="1"/>
    <x v="331"/>
    <x v="105"/>
    <n v="63643"/>
  </r>
  <r>
    <s v="M0093"/>
    <x v="1"/>
    <x v="331"/>
    <x v="105"/>
    <n v="63643"/>
  </r>
  <r>
    <s v="M0093"/>
    <x v="1"/>
    <x v="332"/>
    <x v="182"/>
    <n v="1144657"/>
  </r>
  <r>
    <s v="M0093"/>
    <x v="1"/>
    <x v="332"/>
    <x v="182"/>
    <n v="1144657"/>
  </r>
  <r>
    <s v="M0093"/>
    <x v="1"/>
    <x v="332"/>
    <x v="182"/>
    <n v="1144657"/>
  </r>
  <r>
    <s v="M0093"/>
    <x v="1"/>
    <x v="332"/>
    <x v="182"/>
    <n v="1144657"/>
  </r>
  <r>
    <s v="M0093"/>
    <x v="1"/>
    <x v="332"/>
    <x v="182"/>
    <n v="1144657"/>
  </r>
  <r>
    <s v="M0093"/>
    <x v="1"/>
    <x v="333"/>
    <x v="47"/>
    <n v="874440"/>
  </r>
  <r>
    <s v="M0093"/>
    <x v="1"/>
    <x v="333"/>
    <x v="47"/>
    <n v="874440"/>
  </r>
  <r>
    <s v="M0093"/>
    <x v="1"/>
    <x v="333"/>
    <x v="47"/>
    <n v="874440"/>
  </r>
  <r>
    <s v="M0093"/>
    <x v="1"/>
    <x v="333"/>
    <x v="47"/>
    <n v="874440"/>
  </r>
  <r>
    <s v="M0093"/>
    <x v="1"/>
    <x v="333"/>
    <x v="47"/>
    <n v="874440"/>
  </r>
  <r>
    <s v="M0093"/>
    <x v="1"/>
    <x v="334"/>
    <x v="200"/>
    <n v="174494"/>
  </r>
  <r>
    <s v="M0093"/>
    <x v="1"/>
    <x v="334"/>
    <x v="200"/>
    <n v="174494"/>
  </r>
  <r>
    <s v="M0093"/>
    <x v="1"/>
    <x v="334"/>
    <x v="200"/>
    <n v="174494"/>
  </r>
  <r>
    <s v="M0093"/>
    <x v="1"/>
    <x v="334"/>
    <x v="200"/>
    <n v="174494"/>
  </r>
  <r>
    <s v="M0093"/>
    <x v="1"/>
    <x v="334"/>
    <x v="200"/>
    <n v="174494"/>
  </r>
  <r>
    <s v="M0093"/>
    <x v="1"/>
    <x v="335"/>
    <x v="207"/>
    <n v="114511"/>
  </r>
  <r>
    <s v="M0093"/>
    <x v="1"/>
    <x v="335"/>
    <x v="207"/>
    <n v="114511"/>
  </r>
  <r>
    <s v="M0093"/>
    <x v="1"/>
    <x v="335"/>
    <x v="207"/>
    <n v="114511"/>
  </r>
  <r>
    <s v="M0093"/>
    <x v="1"/>
    <x v="335"/>
    <x v="207"/>
    <n v="114511"/>
  </r>
  <r>
    <s v="M0093"/>
    <x v="1"/>
    <x v="335"/>
    <x v="207"/>
    <n v="114511"/>
  </r>
  <r>
    <s v="M0131"/>
    <x v="2"/>
    <x v="336"/>
    <x v="24"/>
    <n v="722095"/>
  </r>
  <r>
    <s v="M0131"/>
    <x v="2"/>
    <x v="336"/>
    <x v="24"/>
    <n v="722095"/>
  </r>
  <r>
    <s v="M0131"/>
    <x v="2"/>
    <x v="336"/>
    <x v="24"/>
    <n v="722095"/>
  </r>
  <r>
    <s v="M0131"/>
    <x v="2"/>
    <x v="337"/>
    <x v="80"/>
    <n v="1068668"/>
  </r>
  <r>
    <s v="M0131"/>
    <x v="2"/>
    <x v="337"/>
    <x v="80"/>
    <n v="1068668"/>
  </r>
  <r>
    <s v="M0131"/>
    <x v="2"/>
    <x v="337"/>
    <x v="80"/>
    <n v="1068668"/>
  </r>
  <r>
    <s v="M0131"/>
    <x v="2"/>
    <x v="338"/>
    <x v="165"/>
    <n v="385942"/>
  </r>
  <r>
    <s v="M0131"/>
    <x v="2"/>
    <x v="338"/>
    <x v="165"/>
    <n v="385942"/>
  </r>
  <r>
    <s v="M0131"/>
    <x v="2"/>
    <x v="338"/>
    <x v="165"/>
    <n v="385942"/>
  </r>
  <r>
    <s v="M0131"/>
    <x v="2"/>
    <x v="339"/>
    <x v="69"/>
    <n v="208293"/>
  </r>
  <r>
    <s v="M0131"/>
    <x v="2"/>
    <x v="339"/>
    <x v="69"/>
    <n v="208293"/>
  </r>
  <r>
    <s v="M0131"/>
    <x v="2"/>
    <x v="339"/>
    <x v="69"/>
    <n v="208293"/>
  </r>
  <r>
    <s v="M0131"/>
    <x v="2"/>
    <x v="340"/>
    <x v="200"/>
    <n v="101814"/>
  </r>
  <r>
    <s v="M0131"/>
    <x v="2"/>
    <x v="340"/>
    <x v="200"/>
    <n v="101814"/>
  </r>
  <r>
    <s v="M0131"/>
    <x v="2"/>
    <x v="340"/>
    <x v="200"/>
    <n v="101814"/>
  </r>
  <r>
    <s v="M0131"/>
    <x v="2"/>
    <x v="341"/>
    <x v="208"/>
    <n v="102650"/>
  </r>
  <r>
    <s v="M0131"/>
    <x v="2"/>
    <x v="341"/>
    <x v="208"/>
    <n v="102650"/>
  </r>
  <r>
    <s v="M0131"/>
    <x v="2"/>
    <x v="341"/>
    <x v="208"/>
    <n v="102650"/>
  </r>
  <r>
    <s v="M0131"/>
    <x v="2"/>
    <x v="342"/>
    <x v="63"/>
    <n v="258007"/>
  </r>
  <r>
    <s v="M0131"/>
    <x v="2"/>
    <x v="342"/>
    <x v="63"/>
    <n v="258007"/>
  </r>
  <r>
    <s v="M0131"/>
    <x v="2"/>
    <x v="342"/>
    <x v="63"/>
    <n v="258007"/>
  </r>
  <r>
    <s v="M0131"/>
    <x v="2"/>
    <x v="343"/>
    <x v="209"/>
    <n v="191610"/>
  </r>
  <r>
    <s v="M0131"/>
    <x v="2"/>
    <x v="343"/>
    <x v="209"/>
    <n v="191610"/>
  </r>
  <r>
    <s v="M0131"/>
    <x v="2"/>
    <x v="343"/>
    <x v="209"/>
    <n v="191610"/>
  </r>
  <r>
    <s v="M0135"/>
    <x v="0"/>
    <x v="344"/>
    <x v="210"/>
    <n v="50474"/>
  </r>
  <r>
    <s v="M0135"/>
    <x v="0"/>
    <x v="344"/>
    <x v="210"/>
    <n v="50474"/>
  </r>
  <r>
    <s v="M0135"/>
    <x v="0"/>
    <x v="344"/>
    <x v="210"/>
    <n v="50474"/>
  </r>
  <r>
    <s v="M0135"/>
    <x v="0"/>
    <x v="344"/>
    <x v="210"/>
    <n v="50474"/>
  </r>
  <r>
    <s v="M0135"/>
    <x v="0"/>
    <x v="344"/>
    <x v="210"/>
    <n v="50474"/>
  </r>
  <r>
    <s v="M0135"/>
    <x v="0"/>
    <x v="344"/>
    <x v="210"/>
    <n v="50474"/>
  </r>
  <r>
    <s v="M0135"/>
    <x v="0"/>
    <x v="344"/>
    <x v="210"/>
    <n v="50474"/>
  </r>
  <r>
    <s v="M0135"/>
    <x v="0"/>
    <x v="345"/>
    <x v="126"/>
    <n v="270247"/>
  </r>
  <r>
    <s v="M0135"/>
    <x v="0"/>
    <x v="345"/>
    <x v="126"/>
    <n v="270247"/>
  </r>
  <r>
    <s v="M0135"/>
    <x v="0"/>
    <x v="345"/>
    <x v="126"/>
    <n v="270247"/>
  </r>
  <r>
    <s v="M0135"/>
    <x v="0"/>
    <x v="345"/>
    <x v="126"/>
    <n v="270247"/>
  </r>
  <r>
    <s v="M0135"/>
    <x v="0"/>
    <x v="345"/>
    <x v="126"/>
    <n v="270247"/>
  </r>
  <r>
    <s v="M0135"/>
    <x v="0"/>
    <x v="345"/>
    <x v="126"/>
    <n v="270247"/>
  </r>
  <r>
    <s v="M0135"/>
    <x v="0"/>
    <x v="345"/>
    <x v="126"/>
    <n v="270247"/>
  </r>
  <r>
    <s v="M0135"/>
    <x v="0"/>
    <x v="346"/>
    <x v="129"/>
    <n v="285092"/>
  </r>
  <r>
    <s v="M0135"/>
    <x v="0"/>
    <x v="346"/>
    <x v="129"/>
    <n v="285092"/>
  </r>
  <r>
    <s v="M0135"/>
    <x v="0"/>
    <x v="346"/>
    <x v="129"/>
    <n v="285092"/>
  </r>
  <r>
    <s v="M0135"/>
    <x v="0"/>
    <x v="346"/>
    <x v="129"/>
    <n v="285092"/>
  </r>
  <r>
    <s v="M0135"/>
    <x v="0"/>
    <x v="346"/>
    <x v="129"/>
    <n v="285092"/>
  </r>
  <r>
    <s v="M0135"/>
    <x v="0"/>
    <x v="346"/>
    <x v="129"/>
    <n v="285092"/>
  </r>
  <r>
    <s v="M0135"/>
    <x v="0"/>
    <x v="346"/>
    <x v="129"/>
    <n v="285092"/>
  </r>
  <r>
    <s v="M0135"/>
    <x v="0"/>
    <x v="347"/>
    <x v="85"/>
    <n v="685934"/>
  </r>
  <r>
    <s v="M0135"/>
    <x v="0"/>
    <x v="347"/>
    <x v="85"/>
    <n v="685934"/>
  </r>
  <r>
    <s v="M0135"/>
    <x v="0"/>
    <x v="347"/>
    <x v="85"/>
    <n v="685934"/>
  </r>
  <r>
    <s v="M0135"/>
    <x v="0"/>
    <x v="347"/>
    <x v="85"/>
    <n v="685934"/>
  </r>
  <r>
    <s v="M0135"/>
    <x v="0"/>
    <x v="347"/>
    <x v="85"/>
    <n v="685934"/>
  </r>
  <r>
    <s v="M0135"/>
    <x v="0"/>
    <x v="347"/>
    <x v="85"/>
    <n v="685934"/>
  </r>
  <r>
    <s v="M0135"/>
    <x v="0"/>
    <x v="347"/>
    <x v="85"/>
    <n v="685934"/>
  </r>
  <r>
    <s v="M0135"/>
    <x v="0"/>
    <x v="348"/>
    <x v="211"/>
    <n v="259984"/>
  </r>
  <r>
    <s v="M0135"/>
    <x v="0"/>
    <x v="348"/>
    <x v="211"/>
    <n v="259984"/>
  </r>
  <r>
    <s v="M0135"/>
    <x v="0"/>
    <x v="348"/>
    <x v="211"/>
    <n v="259984"/>
  </r>
  <r>
    <s v="M0135"/>
    <x v="0"/>
    <x v="348"/>
    <x v="211"/>
    <n v="259984"/>
  </r>
  <r>
    <s v="M0135"/>
    <x v="0"/>
    <x v="348"/>
    <x v="211"/>
    <n v="259984"/>
  </r>
  <r>
    <s v="M0135"/>
    <x v="0"/>
    <x v="348"/>
    <x v="211"/>
    <n v="259984"/>
  </r>
  <r>
    <s v="M0135"/>
    <x v="0"/>
    <x v="348"/>
    <x v="211"/>
    <n v="259984"/>
  </r>
  <r>
    <s v="M0135"/>
    <x v="0"/>
    <x v="349"/>
    <x v="212"/>
    <n v="300279"/>
  </r>
  <r>
    <s v="M0135"/>
    <x v="0"/>
    <x v="349"/>
    <x v="212"/>
    <n v="300279"/>
  </r>
  <r>
    <s v="M0135"/>
    <x v="0"/>
    <x v="349"/>
    <x v="212"/>
    <n v="300279"/>
  </r>
  <r>
    <s v="M0135"/>
    <x v="0"/>
    <x v="349"/>
    <x v="212"/>
    <n v="300279"/>
  </r>
  <r>
    <s v="M0135"/>
    <x v="0"/>
    <x v="349"/>
    <x v="212"/>
    <n v="300279"/>
  </r>
  <r>
    <s v="M0135"/>
    <x v="0"/>
    <x v="349"/>
    <x v="212"/>
    <n v="300279"/>
  </r>
  <r>
    <s v="M0135"/>
    <x v="0"/>
    <x v="349"/>
    <x v="212"/>
    <n v="300279"/>
  </r>
  <r>
    <s v="M0135"/>
    <x v="0"/>
    <x v="350"/>
    <x v="102"/>
    <n v="283282"/>
  </r>
  <r>
    <s v="M0135"/>
    <x v="0"/>
    <x v="350"/>
    <x v="102"/>
    <n v="283282"/>
  </r>
  <r>
    <s v="M0135"/>
    <x v="0"/>
    <x v="350"/>
    <x v="102"/>
    <n v="283282"/>
  </r>
  <r>
    <s v="M0135"/>
    <x v="0"/>
    <x v="350"/>
    <x v="102"/>
    <n v="283282"/>
  </r>
  <r>
    <s v="M0135"/>
    <x v="0"/>
    <x v="350"/>
    <x v="102"/>
    <n v="283282"/>
  </r>
  <r>
    <s v="M0135"/>
    <x v="0"/>
    <x v="350"/>
    <x v="102"/>
    <n v="283282"/>
  </r>
  <r>
    <s v="M0135"/>
    <x v="0"/>
    <x v="350"/>
    <x v="102"/>
    <n v="283282"/>
  </r>
  <r>
    <s v="M0135"/>
    <x v="0"/>
    <x v="351"/>
    <x v="213"/>
    <n v="383008"/>
  </r>
  <r>
    <s v="M0135"/>
    <x v="0"/>
    <x v="351"/>
    <x v="213"/>
    <n v="383008"/>
  </r>
  <r>
    <s v="M0135"/>
    <x v="0"/>
    <x v="351"/>
    <x v="213"/>
    <n v="383008"/>
  </r>
  <r>
    <s v="M0135"/>
    <x v="0"/>
    <x v="351"/>
    <x v="213"/>
    <n v="383008"/>
  </r>
  <r>
    <s v="M0135"/>
    <x v="0"/>
    <x v="351"/>
    <x v="213"/>
    <n v="383008"/>
  </r>
  <r>
    <s v="M0135"/>
    <x v="0"/>
    <x v="351"/>
    <x v="213"/>
    <n v="383008"/>
  </r>
  <r>
    <s v="M0135"/>
    <x v="0"/>
    <x v="351"/>
    <x v="213"/>
    <n v="383008"/>
  </r>
  <r>
    <s v="M0243"/>
    <x v="0"/>
    <x v="352"/>
    <x v="27"/>
    <n v="127349"/>
  </r>
  <r>
    <s v="M0243"/>
    <x v="0"/>
    <x v="353"/>
    <x v="99"/>
    <n v="409604"/>
  </r>
  <r>
    <s v="M0243"/>
    <x v="0"/>
    <x v="354"/>
    <x v="214"/>
    <n v="208486"/>
  </r>
  <r>
    <s v="M0243"/>
    <x v="0"/>
    <x v="355"/>
    <x v="215"/>
    <n v="104910"/>
  </r>
  <r>
    <s v="M0243"/>
    <x v="0"/>
    <x v="356"/>
    <x v="216"/>
    <n v="264053"/>
  </r>
  <r>
    <s v="M0243"/>
    <x v="0"/>
    <x v="357"/>
    <x v="174"/>
    <n v="519210"/>
  </r>
  <r>
    <s v="M0243"/>
    <x v="0"/>
    <x v="358"/>
    <x v="217"/>
    <n v="250132"/>
  </r>
  <r>
    <s v="M0243"/>
    <x v="0"/>
    <x v="359"/>
    <x v="218"/>
    <n v="272193"/>
  </r>
  <r>
    <s v="M0243"/>
    <x v="0"/>
    <x v="360"/>
    <x v="24"/>
    <n v="500142"/>
  </r>
  <r>
    <s v="M0243"/>
    <x v="0"/>
    <x v="361"/>
    <x v="61"/>
    <n v="59009"/>
  </r>
  <r>
    <s v="M0243"/>
    <x v="0"/>
    <x v="362"/>
    <x v="219"/>
    <n v="420952"/>
  </r>
  <r>
    <s v="M0243"/>
    <x v="0"/>
    <x v="363"/>
    <x v="4"/>
    <n v="523510"/>
  </r>
  <r>
    <s v="M0243"/>
    <x v="0"/>
    <x v="364"/>
    <x v="166"/>
    <n v="320907"/>
  </r>
  <r>
    <s v="M0243"/>
    <x v="0"/>
    <x v="365"/>
    <x v="220"/>
    <n v="894094"/>
  </r>
  <r>
    <s v="M0243"/>
    <x v="0"/>
    <x v="366"/>
    <x v="221"/>
    <n v="386184"/>
  </r>
  <r>
    <s v="M0243"/>
    <x v="0"/>
    <x v="367"/>
    <x v="55"/>
    <n v="180852"/>
  </r>
  <r>
    <s v="M0243"/>
    <x v="0"/>
    <x v="368"/>
    <x v="222"/>
    <n v="256647"/>
  </r>
  <r>
    <s v="M0243"/>
    <x v="0"/>
    <x v="369"/>
    <x v="64"/>
    <n v="1014042"/>
  </r>
  <r>
    <s v="M0243"/>
    <x v="0"/>
    <x v="370"/>
    <x v="223"/>
    <n v="575069"/>
  </r>
  <r>
    <s v="M0243"/>
    <x v="0"/>
    <x v="371"/>
    <x v="178"/>
    <n v="73857"/>
  </r>
  <r>
    <s v="M0250"/>
    <x v="0"/>
    <x v="372"/>
    <x v="224"/>
    <n v="365141"/>
  </r>
  <r>
    <s v="M0250"/>
    <x v="0"/>
    <x v="372"/>
    <x v="224"/>
    <n v="365141"/>
  </r>
  <r>
    <s v="M0250"/>
    <x v="0"/>
    <x v="372"/>
    <x v="224"/>
    <n v="365141"/>
  </r>
  <r>
    <s v="M0250"/>
    <x v="0"/>
    <x v="372"/>
    <x v="224"/>
    <n v="365141"/>
  </r>
  <r>
    <s v="M0250"/>
    <x v="0"/>
    <x v="372"/>
    <x v="224"/>
    <n v="365141"/>
  </r>
  <r>
    <s v="M0250"/>
    <x v="0"/>
    <x v="373"/>
    <x v="225"/>
    <n v="317609"/>
  </r>
  <r>
    <s v="M0250"/>
    <x v="0"/>
    <x v="373"/>
    <x v="225"/>
    <n v="317609"/>
  </r>
  <r>
    <s v="M0250"/>
    <x v="0"/>
    <x v="373"/>
    <x v="225"/>
    <n v="317609"/>
  </r>
  <r>
    <s v="M0250"/>
    <x v="0"/>
    <x v="373"/>
    <x v="225"/>
    <n v="317609"/>
  </r>
  <r>
    <s v="M0250"/>
    <x v="0"/>
    <x v="373"/>
    <x v="225"/>
    <n v="317609"/>
  </r>
  <r>
    <s v="M0250"/>
    <x v="0"/>
    <x v="374"/>
    <x v="15"/>
    <n v="25000"/>
  </r>
  <r>
    <s v="M0250"/>
    <x v="0"/>
    <x v="374"/>
    <x v="15"/>
    <n v="25000"/>
  </r>
  <r>
    <s v="M0250"/>
    <x v="0"/>
    <x v="374"/>
    <x v="15"/>
    <n v="25000"/>
  </r>
  <r>
    <s v="M0250"/>
    <x v="0"/>
    <x v="374"/>
    <x v="15"/>
    <n v="25000"/>
  </r>
  <r>
    <s v="M0250"/>
    <x v="0"/>
    <x v="374"/>
    <x v="15"/>
    <n v="25000"/>
  </r>
  <r>
    <s v="M0250"/>
    <x v="0"/>
    <x v="375"/>
    <x v="226"/>
    <n v="283977"/>
  </r>
  <r>
    <s v="M0250"/>
    <x v="0"/>
    <x v="375"/>
    <x v="226"/>
    <n v="283977"/>
  </r>
  <r>
    <s v="M0250"/>
    <x v="0"/>
    <x v="375"/>
    <x v="226"/>
    <n v="283977"/>
  </r>
  <r>
    <s v="M0250"/>
    <x v="0"/>
    <x v="375"/>
    <x v="226"/>
    <n v="283977"/>
  </r>
  <r>
    <s v="M0250"/>
    <x v="0"/>
    <x v="375"/>
    <x v="226"/>
    <n v="283977"/>
  </r>
  <r>
    <s v="M0006"/>
    <x v="1"/>
    <x v="376"/>
    <x v="227"/>
    <n v="222590"/>
  </r>
  <r>
    <s v="M0006"/>
    <x v="1"/>
    <x v="376"/>
    <x v="227"/>
    <n v="222590"/>
  </r>
  <r>
    <s v="M0006"/>
    <x v="1"/>
    <x v="377"/>
    <x v="228"/>
    <n v="300501"/>
  </r>
  <r>
    <s v="M0006"/>
    <x v="1"/>
    <x v="377"/>
    <x v="228"/>
    <n v="300501"/>
  </r>
  <r>
    <s v="M0006"/>
    <x v="1"/>
    <x v="378"/>
    <x v="135"/>
    <n v="155953"/>
  </r>
  <r>
    <s v="M0006"/>
    <x v="1"/>
    <x v="378"/>
    <x v="135"/>
    <n v="155953"/>
  </r>
  <r>
    <s v="M0006"/>
    <x v="1"/>
    <x v="379"/>
    <x v="83"/>
    <n v="490364"/>
  </r>
  <r>
    <s v="M0006"/>
    <x v="1"/>
    <x v="379"/>
    <x v="83"/>
    <n v="490364"/>
  </r>
  <r>
    <s v="M0006"/>
    <x v="1"/>
    <x v="380"/>
    <x v="104"/>
    <n v="338792"/>
  </r>
  <r>
    <s v="M0006"/>
    <x v="1"/>
    <x v="380"/>
    <x v="104"/>
    <n v="338792"/>
  </r>
  <r>
    <s v="M0001"/>
    <x v="1"/>
    <x v="381"/>
    <x v="229"/>
    <n v="361095"/>
  </r>
  <r>
    <s v="M0001"/>
    <x v="1"/>
    <x v="381"/>
    <x v="229"/>
    <n v="361095"/>
  </r>
  <r>
    <s v="M0001"/>
    <x v="1"/>
    <x v="382"/>
    <x v="230"/>
    <n v="143856"/>
  </r>
  <r>
    <s v="M0001"/>
    <x v="1"/>
    <x v="382"/>
    <x v="230"/>
    <n v="143856"/>
  </r>
  <r>
    <s v="M0001"/>
    <x v="1"/>
    <x v="383"/>
    <x v="163"/>
    <n v="287872"/>
  </r>
  <r>
    <s v="M0001"/>
    <x v="1"/>
    <x v="383"/>
    <x v="163"/>
    <n v="287872"/>
  </r>
  <r>
    <s v="M0001"/>
    <x v="1"/>
    <x v="384"/>
    <x v="194"/>
    <n v="168844"/>
  </r>
  <r>
    <s v="M0001"/>
    <x v="1"/>
    <x v="384"/>
    <x v="194"/>
    <n v="168844"/>
  </r>
  <r>
    <s v="M0001"/>
    <x v="1"/>
    <x v="385"/>
    <x v="121"/>
    <n v="473194"/>
  </r>
  <r>
    <s v="M0001"/>
    <x v="1"/>
    <x v="385"/>
    <x v="121"/>
    <n v="473194"/>
  </r>
  <r>
    <s v="M0001"/>
    <x v="1"/>
    <x v="386"/>
    <x v="231"/>
    <n v="258929"/>
  </r>
  <r>
    <s v="M0001"/>
    <x v="1"/>
    <x v="386"/>
    <x v="231"/>
    <n v="258929"/>
  </r>
  <r>
    <s v="M0001"/>
    <x v="1"/>
    <x v="387"/>
    <x v="232"/>
    <n v="143625"/>
  </r>
  <r>
    <s v="M0001"/>
    <x v="1"/>
    <x v="387"/>
    <x v="232"/>
    <n v="143625"/>
  </r>
  <r>
    <s v="M0001"/>
    <x v="1"/>
    <x v="388"/>
    <x v="45"/>
    <n v="76695"/>
  </r>
  <r>
    <s v="M0001"/>
    <x v="1"/>
    <x v="388"/>
    <x v="45"/>
    <n v="76695"/>
  </r>
  <r>
    <s v="M0001"/>
    <x v="1"/>
    <x v="389"/>
    <x v="128"/>
    <n v="228433"/>
  </r>
  <r>
    <s v="M0001"/>
    <x v="1"/>
    <x v="389"/>
    <x v="128"/>
    <n v="228433"/>
  </r>
  <r>
    <s v="M0001"/>
    <x v="1"/>
    <x v="390"/>
    <x v="95"/>
    <n v="27151"/>
  </r>
  <r>
    <s v="M0001"/>
    <x v="1"/>
    <x v="390"/>
    <x v="95"/>
    <n v="27151"/>
  </r>
  <r>
    <s v="M0001"/>
    <x v="1"/>
    <x v="391"/>
    <x v="227"/>
    <n v="457921"/>
  </r>
  <r>
    <s v="M0001"/>
    <x v="1"/>
    <x v="391"/>
    <x v="227"/>
    <n v="457921"/>
  </r>
  <r>
    <s v="M0001"/>
    <x v="1"/>
    <x v="392"/>
    <x v="219"/>
    <n v="125791"/>
  </r>
  <r>
    <s v="M0001"/>
    <x v="1"/>
    <x v="392"/>
    <x v="219"/>
    <n v="125791"/>
  </r>
  <r>
    <s v="M0065"/>
    <x v="0"/>
    <x v="393"/>
    <x v="233"/>
    <n v="358390"/>
  </r>
  <r>
    <s v="M0065"/>
    <x v="0"/>
    <x v="393"/>
    <x v="233"/>
    <n v="358390"/>
  </r>
  <r>
    <s v="M0065"/>
    <x v="0"/>
    <x v="394"/>
    <x v="21"/>
    <n v="658792"/>
  </r>
  <r>
    <s v="M0065"/>
    <x v="0"/>
    <x v="394"/>
    <x v="21"/>
    <n v="658792"/>
  </r>
  <r>
    <s v="M0065"/>
    <x v="0"/>
    <x v="395"/>
    <x v="126"/>
    <n v="623797"/>
  </r>
  <r>
    <s v="M0065"/>
    <x v="0"/>
    <x v="395"/>
    <x v="126"/>
    <n v="623797"/>
  </r>
  <r>
    <s v="M0065"/>
    <x v="0"/>
    <x v="396"/>
    <x v="229"/>
    <n v="52125"/>
  </r>
  <r>
    <s v="M0065"/>
    <x v="0"/>
    <x v="396"/>
    <x v="229"/>
    <n v="52125"/>
  </r>
  <r>
    <s v="M0199"/>
    <x v="1"/>
    <x v="397"/>
    <x v="234"/>
    <n v="763998"/>
  </r>
  <r>
    <s v="M0199"/>
    <x v="1"/>
    <x v="397"/>
    <x v="234"/>
    <n v="763998"/>
  </r>
  <r>
    <s v="M0199"/>
    <x v="1"/>
    <x v="397"/>
    <x v="234"/>
    <n v="763998"/>
  </r>
  <r>
    <s v="M0199"/>
    <x v="1"/>
    <x v="398"/>
    <x v="235"/>
    <n v="91134"/>
  </r>
  <r>
    <s v="M0199"/>
    <x v="1"/>
    <x v="398"/>
    <x v="235"/>
    <n v="91134"/>
  </r>
  <r>
    <s v="M0199"/>
    <x v="1"/>
    <x v="398"/>
    <x v="235"/>
    <n v="91134"/>
  </r>
  <r>
    <s v="M0199"/>
    <x v="1"/>
    <x v="399"/>
    <x v="226"/>
    <n v="96138"/>
  </r>
  <r>
    <s v="M0199"/>
    <x v="1"/>
    <x v="399"/>
    <x v="226"/>
    <n v="96138"/>
  </r>
  <r>
    <s v="M0199"/>
    <x v="1"/>
    <x v="399"/>
    <x v="226"/>
    <n v="96138"/>
  </r>
  <r>
    <s v="M0199"/>
    <x v="1"/>
    <x v="400"/>
    <x v="150"/>
    <n v="420364"/>
  </r>
  <r>
    <s v="M0199"/>
    <x v="1"/>
    <x v="400"/>
    <x v="150"/>
    <n v="420364"/>
  </r>
  <r>
    <s v="M0199"/>
    <x v="1"/>
    <x v="400"/>
    <x v="150"/>
    <n v="420364"/>
  </r>
  <r>
    <s v="M0199"/>
    <x v="1"/>
    <x v="401"/>
    <x v="85"/>
    <n v="271043"/>
  </r>
  <r>
    <s v="M0199"/>
    <x v="1"/>
    <x v="401"/>
    <x v="85"/>
    <n v="271043"/>
  </r>
  <r>
    <s v="M0199"/>
    <x v="1"/>
    <x v="401"/>
    <x v="85"/>
    <n v="271043"/>
  </r>
  <r>
    <s v="M0199"/>
    <x v="1"/>
    <x v="402"/>
    <x v="90"/>
    <n v="155018"/>
  </r>
  <r>
    <s v="M0199"/>
    <x v="1"/>
    <x v="402"/>
    <x v="90"/>
    <n v="155018"/>
  </r>
  <r>
    <s v="M0199"/>
    <x v="1"/>
    <x v="402"/>
    <x v="90"/>
    <n v="155018"/>
  </r>
  <r>
    <s v="M0199"/>
    <x v="1"/>
    <x v="403"/>
    <x v="67"/>
    <n v="32438"/>
  </r>
  <r>
    <s v="M0199"/>
    <x v="1"/>
    <x v="403"/>
    <x v="67"/>
    <n v="32438"/>
  </r>
  <r>
    <s v="M0199"/>
    <x v="1"/>
    <x v="403"/>
    <x v="67"/>
    <n v="32438"/>
  </r>
  <r>
    <s v="M0199"/>
    <x v="1"/>
    <x v="404"/>
    <x v="148"/>
    <n v="310182"/>
  </r>
  <r>
    <s v="M0199"/>
    <x v="1"/>
    <x v="404"/>
    <x v="148"/>
    <n v="310182"/>
  </r>
  <r>
    <s v="M0199"/>
    <x v="1"/>
    <x v="404"/>
    <x v="148"/>
    <n v="310182"/>
  </r>
  <r>
    <s v="M0199"/>
    <x v="1"/>
    <x v="405"/>
    <x v="170"/>
    <n v="324663"/>
  </r>
  <r>
    <s v="M0199"/>
    <x v="1"/>
    <x v="405"/>
    <x v="170"/>
    <n v="324663"/>
  </r>
  <r>
    <s v="M0199"/>
    <x v="1"/>
    <x v="405"/>
    <x v="170"/>
    <n v="324663"/>
  </r>
  <r>
    <s v="M0199"/>
    <x v="1"/>
    <x v="406"/>
    <x v="236"/>
    <n v="266866"/>
  </r>
  <r>
    <s v="M0199"/>
    <x v="1"/>
    <x v="406"/>
    <x v="236"/>
    <n v="266866"/>
  </r>
  <r>
    <s v="M0199"/>
    <x v="1"/>
    <x v="406"/>
    <x v="236"/>
    <n v="266866"/>
  </r>
  <r>
    <s v="M0199"/>
    <x v="1"/>
    <x v="407"/>
    <x v="27"/>
    <n v="160917"/>
  </r>
  <r>
    <s v="M0199"/>
    <x v="1"/>
    <x v="407"/>
    <x v="27"/>
    <n v="160917"/>
  </r>
  <r>
    <s v="M0199"/>
    <x v="1"/>
    <x v="407"/>
    <x v="27"/>
    <n v="160917"/>
  </r>
  <r>
    <s v="M0199"/>
    <x v="1"/>
    <x v="408"/>
    <x v="237"/>
    <n v="471271"/>
  </r>
  <r>
    <s v="M0199"/>
    <x v="1"/>
    <x v="408"/>
    <x v="237"/>
    <n v="471271"/>
  </r>
  <r>
    <s v="M0199"/>
    <x v="1"/>
    <x v="408"/>
    <x v="237"/>
    <n v="471271"/>
  </r>
  <r>
    <s v="M0199"/>
    <x v="1"/>
    <x v="409"/>
    <x v="238"/>
    <n v="540695"/>
  </r>
  <r>
    <s v="M0199"/>
    <x v="1"/>
    <x v="409"/>
    <x v="238"/>
    <n v="540695"/>
  </r>
  <r>
    <s v="M0199"/>
    <x v="1"/>
    <x v="409"/>
    <x v="238"/>
    <n v="540695"/>
  </r>
  <r>
    <s v="M0199"/>
    <x v="1"/>
    <x v="410"/>
    <x v="185"/>
    <n v="370703"/>
  </r>
  <r>
    <s v="M0199"/>
    <x v="1"/>
    <x v="410"/>
    <x v="185"/>
    <n v="370703"/>
  </r>
  <r>
    <s v="M0199"/>
    <x v="1"/>
    <x v="410"/>
    <x v="185"/>
    <n v="370703"/>
  </r>
  <r>
    <s v="M0199"/>
    <x v="1"/>
    <x v="411"/>
    <x v="149"/>
    <n v="563809"/>
  </r>
  <r>
    <s v="M0199"/>
    <x v="1"/>
    <x v="411"/>
    <x v="149"/>
    <n v="563809"/>
  </r>
  <r>
    <s v="M0199"/>
    <x v="1"/>
    <x v="411"/>
    <x v="149"/>
    <n v="563809"/>
  </r>
  <r>
    <s v="M0199"/>
    <x v="1"/>
    <x v="412"/>
    <x v="239"/>
    <n v="107588"/>
  </r>
  <r>
    <s v="M0199"/>
    <x v="1"/>
    <x v="412"/>
    <x v="239"/>
    <n v="107588"/>
  </r>
  <r>
    <s v="M0199"/>
    <x v="1"/>
    <x v="412"/>
    <x v="239"/>
    <n v="107588"/>
  </r>
  <r>
    <s v="M0199"/>
    <x v="1"/>
    <x v="413"/>
    <x v="154"/>
    <n v="226982"/>
  </r>
  <r>
    <s v="M0199"/>
    <x v="1"/>
    <x v="413"/>
    <x v="154"/>
    <n v="226982"/>
  </r>
  <r>
    <s v="M0199"/>
    <x v="1"/>
    <x v="413"/>
    <x v="154"/>
    <n v="226982"/>
  </r>
  <r>
    <s v="M0199"/>
    <x v="1"/>
    <x v="414"/>
    <x v="116"/>
    <n v="290723"/>
  </r>
  <r>
    <s v="M0199"/>
    <x v="1"/>
    <x v="414"/>
    <x v="116"/>
    <n v="290723"/>
  </r>
  <r>
    <s v="M0199"/>
    <x v="1"/>
    <x v="414"/>
    <x v="116"/>
    <n v="290723"/>
  </r>
  <r>
    <s v="M0199"/>
    <x v="1"/>
    <x v="415"/>
    <x v="53"/>
    <n v="432784"/>
  </r>
  <r>
    <s v="M0199"/>
    <x v="1"/>
    <x v="415"/>
    <x v="53"/>
    <n v="432784"/>
  </r>
  <r>
    <s v="M0199"/>
    <x v="1"/>
    <x v="415"/>
    <x v="53"/>
    <n v="432784"/>
  </r>
  <r>
    <s v="M0199"/>
    <x v="1"/>
    <x v="416"/>
    <x v="23"/>
    <n v="236943"/>
  </r>
  <r>
    <s v="M0199"/>
    <x v="1"/>
    <x v="416"/>
    <x v="23"/>
    <n v="236943"/>
  </r>
  <r>
    <s v="M0199"/>
    <x v="1"/>
    <x v="416"/>
    <x v="23"/>
    <n v="236943"/>
  </r>
  <r>
    <s v="M0207"/>
    <x v="0"/>
    <x v="417"/>
    <x v="224"/>
    <n v="314964"/>
  </r>
  <r>
    <s v="M0207"/>
    <x v="0"/>
    <x v="417"/>
    <x v="224"/>
    <n v="314964"/>
  </r>
  <r>
    <s v="M0207"/>
    <x v="0"/>
    <x v="417"/>
    <x v="224"/>
    <n v="314964"/>
  </r>
  <r>
    <s v="M0207"/>
    <x v="0"/>
    <x v="417"/>
    <x v="224"/>
    <n v="314964"/>
  </r>
  <r>
    <s v="M0207"/>
    <x v="0"/>
    <x v="418"/>
    <x v="154"/>
    <n v="215710"/>
  </r>
  <r>
    <s v="M0207"/>
    <x v="0"/>
    <x v="418"/>
    <x v="154"/>
    <n v="215710"/>
  </r>
  <r>
    <s v="M0207"/>
    <x v="0"/>
    <x v="418"/>
    <x v="154"/>
    <n v="215710"/>
  </r>
  <r>
    <s v="M0207"/>
    <x v="0"/>
    <x v="418"/>
    <x v="154"/>
    <n v="215710"/>
  </r>
  <r>
    <s v="M0207"/>
    <x v="0"/>
    <x v="419"/>
    <x v="48"/>
    <n v="30548"/>
  </r>
  <r>
    <s v="M0207"/>
    <x v="0"/>
    <x v="419"/>
    <x v="48"/>
    <n v="30548"/>
  </r>
  <r>
    <s v="M0207"/>
    <x v="0"/>
    <x v="419"/>
    <x v="48"/>
    <n v="30548"/>
  </r>
  <r>
    <s v="M0207"/>
    <x v="0"/>
    <x v="419"/>
    <x v="48"/>
    <n v="30548"/>
  </r>
  <r>
    <s v="M0101"/>
    <x v="2"/>
    <x v="420"/>
    <x v="35"/>
    <n v="715051"/>
  </r>
  <r>
    <s v="M0101"/>
    <x v="2"/>
    <x v="420"/>
    <x v="35"/>
    <n v="715051"/>
  </r>
  <r>
    <s v="M0101"/>
    <x v="2"/>
    <x v="420"/>
    <x v="35"/>
    <n v="715051"/>
  </r>
  <r>
    <s v="M0101"/>
    <x v="2"/>
    <x v="420"/>
    <x v="35"/>
    <n v="715051"/>
  </r>
  <r>
    <s v="M0101"/>
    <x v="2"/>
    <x v="420"/>
    <x v="35"/>
    <n v="715051"/>
  </r>
  <r>
    <s v="M0101"/>
    <x v="2"/>
    <x v="421"/>
    <x v="240"/>
    <n v="274515"/>
  </r>
  <r>
    <s v="M0101"/>
    <x v="2"/>
    <x v="421"/>
    <x v="240"/>
    <n v="274515"/>
  </r>
  <r>
    <s v="M0101"/>
    <x v="2"/>
    <x v="421"/>
    <x v="240"/>
    <n v="274515"/>
  </r>
  <r>
    <s v="M0101"/>
    <x v="2"/>
    <x v="421"/>
    <x v="240"/>
    <n v="274515"/>
  </r>
  <r>
    <s v="M0101"/>
    <x v="2"/>
    <x v="421"/>
    <x v="240"/>
    <n v="274515"/>
  </r>
  <r>
    <s v="M0100"/>
    <x v="1"/>
    <x v="422"/>
    <x v="65"/>
    <n v="897578"/>
  </r>
  <r>
    <s v="M0100"/>
    <x v="1"/>
    <x v="422"/>
    <x v="65"/>
    <n v="897578"/>
  </r>
  <r>
    <s v="M0100"/>
    <x v="1"/>
    <x v="422"/>
    <x v="65"/>
    <n v="897578"/>
  </r>
  <r>
    <s v="M0100"/>
    <x v="1"/>
    <x v="422"/>
    <x v="65"/>
    <n v="897578"/>
  </r>
  <r>
    <s v="M0100"/>
    <x v="1"/>
    <x v="423"/>
    <x v="241"/>
    <n v="124975"/>
  </r>
  <r>
    <s v="M0100"/>
    <x v="1"/>
    <x v="423"/>
    <x v="241"/>
    <n v="124975"/>
  </r>
  <r>
    <s v="M0100"/>
    <x v="1"/>
    <x v="423"/>
    <x v="241"/>
    <n v="124975"/>
  </r>
  <r>
    <s v="M0100"/>
    <x v="1"/>
    <x v="423"/>
    <x v="241"/>
    <n v="124975"/>
  </r>
  <r>
    <s v="M0100"/>
    <x v="1"/>
    <x v="424"/>
    <x v="242"/>
    <n v="144613"/>
  </r>
  <r>
    <s v="M0100"/>
    <x v="1"/>
    <x v="424"/>
    <x v="242"/>
    <n v="144613"/>
  </r>
  <r>
    <s v="M0100"/>
    <x v="1"/>
    <x v="424"/>
    <x v="242"/>
    <n v="144613"/>
  </r>
  <r>
    <s v="M0100"/>
    <x v="1"/>
    <x v="424"/>
    <x v="242"/>
    <n v="144613"/>
  </r>
  <r>
    <s v="M0100"/>
    <x v="1"/>
    <x v="425"/>
    <x v="243"/>
    <n v="216228"/>
  </r>
  <r>
    <s v="M0100"/>
    <x v="1"/>
    <x v="425"/>
    <x v="243"/>
    <n v="216228"/>
  </r>
  <r>
    <s v="M0100"/>
    <x v="1"/>
    <x v="425"/>
    <x v="243"/>
    <n v="216228"/>
  </r>
  <r>
    <s v="M0100"/>
    <x v="1"/>
    <x v="425"/>
    <x v="243"/>
    <n v="216228"/>
  </r>
  <r>
    <s v="M0100"/>
    <x v="1"/>
    <x v="426"/>
    <x v="84"/>
    <n v="390087"/>
  </r>
  <r>
    <s v="M0100"/>
    <x v="1"/>
    <x v="426"/>
    <x v="84"/>
    <n v="390087"/>
  </r>
  <r>
    <s v="M0100"/>
    <x v="1"/>
    <x v="426"/>
    <x v="84"/>
    <n v="390087"/>
  </r>
  <r>
    <s v="M0100"/>
    <x v="1"/>
    <x v="426"/>
    <x v="84"/>
    <n v="390087"/>
  </r>
  <r>
    <s v="M0100"/>
    <x v="1"/>
    <x v="427"/>
    <x v="84"/>
    <n v="621941"/>
  </r>
  <r>
    <s v="M0100"/>
    <x v="1"/>
    <x v="427"/>
    <x v="84"/>
    <n v="621941"/>
  </r>
  <r>
    <s v="M0100"/>
    <x v="1"/>
    <x v="427"/>
    <x v="84"/>
    <n v="621941"/>
  </r>
  <r>
    <s v="M0100"/>
    <x v="1"/>
    <x v="427"/>
    <x v="84"/>
    <n v="621941"/>
  </r>
  <r>
    <s v="M0178"/>
    <x v="0"/>
    <x v="428"/>
    <x v="225"/>
    <n v="674710"/>
  </r>
  <r>
    <s v="M0178"/>
    <x v="0"/>
    <x v="428"/>
    <x v="225"/>
    <n v="674710"/>
  </r>
  <r>
    <s v="M0178"/>
    <x v="0"/>
    <x v="428"/>
    <x v="225"/>
    <n v="674710"/>
  </r>
  <r>
    <s v="M0178"/>
    <x v="0"/>
    <x v="429"/>
    <x v="93"/>
    <n v="143023"/>
  </r>
  <r>
    <s v="M0178"/>
    <x v="0"/>
    <x v="429"/>
    <x v="93"/>
    <n v="143023"/>
  </r>
  <r>
    <s v="M0178"/>
    <x v="0"/>
    <x v="429"/>
    <x v="93"/>
    <n v="143023"/>
  </r>
  <r>
    <s v="M0178"/>
    <x v="0"/>
    <x v="430"/>
    <x v="102"/>
    <n v="284774"/>
  </r>
  <r>
    <s v="M0178"/>
    <x v="0"/>
    <x v="430"/>
    <x v="102"/>
    <n v="284774"/>
  </r>
  <r>
    <s v="M0178"/>
    <x v="0"/>
    <x v="430"/>
    <x v="102"/>
    <n v="284774"/>
  </r>
  <r>
    <s v="M0178"/>
    <x v="0"/>
    <x v="431"/>
    <x v="134"/>
    <n v="64644"/>
  </r>
  <r>
    <s v="M0178"/>
    <x v="0"/>
    <x v="431"/>
    <x v="134"/>
    <n v="64644"/>
  </r>
  <r>
    <s v="M0178"/>
    <x v="0"/>
    <x v="431"/>
    <x v="134"/>
    <n v="64644"/>
  </r>
  <r>
    <s v="M0178"/>
    <x v="0"/>
    <x v="432"/>
    <x v="244"/>
    <n v="112195"/>
  </r>
  <r>
    <s v="M0178"/>
    <x v="0"/>
    <x v="432"/>
    <x v="244"/>
    <n v="112195"/>
  </r>
  <r>
    <s v="M0178"/>
    <x v="0"/>
    <x v="432"/>
    <x v="244"/>
    <n v="112195"/>
  </r>
  <r>
    <s v="M0178"/>
    <x v="0"/>
    <x v="433"/>
    <x v="201"/>
    <n v="454673"/>
  </r>
  <r>
    <s v="M0178"/>
    <x v="0"/>
    <x v="433"/>
    <x v="201"/>
    <n v="454673"/>
  </r>
  <r>
    <s v="M0178"/>
    <x v="0"/>
    <x v="433"/>
    <x v="201"/>
    <n v="454673"/>
  </r>
  <r>
    <s v="M0105"/>
    <x v="1"/>
    <x v="434"/>
    <x v="114"/>
    <n v="308968"/>
  </r>
  <r>
    <s v="M0105"/>
    <x v="1"/>
    <x v="434"/>
    <x v="114"/>
    <n v="308968"/>
  </r>
  <r>
    <s v="M0105"/>
    <x v="1"/>
    <x v="434"/>
    <x v="114"/>
    <n v="308968"/>
  </r>
  <r>
    <s v="M0105"/>
    <x v="1"/>
    <x v="434"/>
    <x v="114"/>
    <n v="308968"/>
  </r>
  <r>
    <s v="M0105"/>
    <x v="1"/>
    <x v="435"/>
    <x v="229"/>
    <n v="601798"/>
  </r>
  <r>
    <s v="M0105"/>
    <x v="1"/>
    <x v="435"/>
    <x v="229"/>
    <n v="601798"/>
  </r>
  <r>
    <s v="M0105"/>
    <x v="1"/>
    <x v="435"/>
    <x v="229"/>
    <n v="601798"/>
  </r>
  <r>
    <s v="M0105"/>
    <x v="1"/>
    <x v="435"/>
    <x v="229"/>
    <n v="601798"/>
  </r>
  <r>
    <s v="M0105"/>
    <x v="1"/>
    <x v="436"/>
    <x v="219"/>
    <n v="102012"/>
  </r>
  <r>
    <s v="M0105"/>
    <x v="1"/>
    <x v="436"/>
    <x v="219"/>
    <n v="102012"/>
  </r>
  <r>
    <s v="M0105"/>
    <x v="1"/>
    <x v="436"/>
    <x v="219"/>
    <n v="102012"/>
  </r>
  <r>
    <s v="M0105"/>
    <x v="1"/>
    <x v="436"/>
    <x v="219"/>
    <n v="102012"/>
  </r>
  <r>
    <s v="M0105"/>
    <x v="1"/>
    <x v="437"/>
    <x v="38"/>
    <n v="336615"/>
  </r>
  <r>
    <s v="M0105"/>
    <x v="1"/>
    <x v="437"/>
    <x v="38"/>
    <n v="336615"/>
  </r>
  <r>
    <s v="M0105"/>
    <x v="1"/>
    <x v="437"/>
    <x v="38"/>
    <n v="336615"/>
  </r>
  <r>
    <s v="M0105"/>
    <x v="1"/>
    <x v="437"/>
    <x v="38"/>
    <n v="336615"/>
  </r>
  <r>
    <s v="M0105"/>
    <x v="1"/>
    <x v="438"/>
    <x v="141"/>
    <n v="567535"/>
  </r>
  <r>
    <s v="M0105"/>
    <x v="1"/>
    <x v="438"/>
    <x v="141"/>
    <n v="567535"/>
  </r>
  <r>
    <s v="M0105"/>
    <x v="1"/>
    <x v="438"/>
    <x v="141"/>
    <n v="567535"/>
  </r>
  <r>
    <s v="M0105"/>
    <x v="1"/>
    <x v="438"/>
    <x v="141"/>
    <n v="567535"/>
  </r>
  <r>
    <s v="M0105"/>
    <x v="1"/>
    <x v="439"/>
    <x v="73"/>
    <n v="110540"/>
  </r>
  <r>
    <s v="M0105"/>
    <x v="1"/>
    <x v="439"/>
    <x v="73"/>
    <n v="110540"/>
  </r>
  <r>
    <s v="M0105"/>
    <x v="1"/>
    <x v="439"/>
    <x v="73"/>
    <n v="110540"/>
  </r>
  <r>
    <s v="M0105"/>
    <x v="1"/>
    <x v="439"/>
    <x v="73"/>
    <n v="110540"/>
  </r>
  <r>
    <s v="M0105"/>
    <x v="1"/>
    <x v="440"/>
    <x v="132"/>
    <n v="557731"/>
  </r>
  <r>
    <s v="M0105"/>
    <x v="1"/>
    <x v="440"/>
    <x v="132"/>
    <n v="557731"/>
  </r>
  <r>
    <s v="M0105"/>
    <x v="1"/>
    <x v="440"/>
    <x v="132"/>
    <n v="557731"/>
  </r>
  <r>
    <s v="M0105"/>
    <x v="1"/>
    <x v="440"/>
    <x v="132"/>
    <n v="557731"/>
  </r>
  <r>
    <s v="M0105"/>
    <x v="1"/>
    <x v="441"/>
    <x v="149"/>
    <n v="371523"/>
  </r>
  <r>
    <s v="M0105"/>
    <x v="1"/>
    <x v="441"/>
    <x v="149"/>
    <n v="371523"/>
  </r>
  <r>
    <s v="M0105"/>
    <x v="1"/>
    <x v="441"/>
    <x v="149"/>
    <n v="371523"/>
  </r>
  <r>
    <s v="M0105"/>
    <x v="1"/>
    <x v="441"/>
    <x v="149"/>
    <n v="371523"/>
  </r>
  <r>
    <s v="M0105"/>
    <x v="1"/>
    <x v="442"/>
    <x v="123"/>
    <n v="459530"/>
  </r>
  <r>
    <s v="M0105"/>
    <x v="1"/>
    <x v="442"/>
    <x v="123"/>
    <n v="459530"/>
  </r>
  <r>
    <s v="M0105"/>
    <x v="1"/>
    <x v="442"/>
    <x v="123"/>
    <n v="459530"/>
  </r>
  <r>
    <s v="M0105"/>
    <x v="1"/>
    <x v="442"/>
    <x v="123"/>
    <n v="459530"/>
  </r>
  <r>
    <s v="M0105"/>
    <x v="1"/>
    <x v="443"/>
    <x v="238"/>
    <n v="203140"/>
  </r>
  <r>
    <s v="M0105"/>
    <x v="1"/>
    <x v="443"/>
    <x v="238"/>
    <n v="203140"/>
  </r>
  <r>
    <s v="M0105"/>
    <x v="1"/>
    <x v="443"/>
    <x v="238"/>
    <n v="203140"/>
  </r>
  <r>
    <s v="M0105"/>
    <x v="1"/>
    <x v="443"/>
    <x v="238"/>
    <n v="203140"/>
  </r>
  <r>
    <s v="M0105"/>
    <x v="1"/>
    <x v="444"/>
    <x v="245"/>
    <n v="450673"/>
  </r>
  <r>
    <s v="M0105"/>
    <x v="1"/>
    <x v="444"/>
    <x v="245"/>
    <n v="450673"/>
  </r>
  <r>
    <s v="M0105"/>
    <x v="1"/>
    <x v="444"/>
    <x v="245"/>
    <n v="450673"/>
  </r>
  <r>
    <s v="M0105"/>
    <x v="1"/>
    <x v="444"/>
    <x v="245"/>
    <n v="450673"/>
  </r>
  <r>
    <s v="M0105"/>
    <x v="1"/>
    <x v="445"/>
    <x v="246"/>
    <n v="245597"/>
  </r>
  <r>
    <s v="M0105"/>
    <x v="1"/>
    <x v="445"/>
    <x v="246"/>
    <n v="245597"/>
  </r>
  <r>
    <s v="M0105"/>
    <x v="1"/>
    <x v="445"/>
    <x v="246"/>
    <n v="245597"/>
  </r>
  <r>
    <s v="M0105"/>
    <x v="1"/>
    <x v="445"/>
    <x v="246"/>
    <n v="245597"/>
  </r>
  <r>
    <s v="M0105"/>
    <x v="1"/>
    <x v="446"/>
    <x v="247"/>
    <n v="181551"/>
  </r>
  <r>
    <s v="M0105"/>
    <x v="1"/>
    <x v="446"/>
    <x v="247"/>
    <n v="181551"/>
  </r>
  <r>
    <s v="M0105"/>
    <x v="1"/>
    <x v="446"/>
    <x v="247"/>
    <n v="181551"/>
  </r>
  <r>
    <s v="M0105"/>
    <x v="1"/>
    <x v="446"/>
    <x v="247"/>
    <n v="181551"/>
  </r>
  <r>
    <s v="M0105"/>
    <x v="1"/>
    <x v="447"/>
    <x v="55"/>
    <n v="594660"/>
  </r>
  <r>
    <s v="M0105"/>
    <x v="1"/>
    <x v="447"/>
    <x v="55"/>
    <n v="594660"/>
  </r>
  <r>
    <s v="M0105"/>
    <x v="1"/>
    <x v="447"/>
    <x v="55"/>
    <n v="594660"/>
  </r>
  <r>
    <s v="M0105"/>
    <x v="1"/>
    <x v="447"/>
    <x v="55"/>
    <n v="594660"/>
  </r>
  <r>
    <s v="M0105"/>
    <x v="1"/>
    <x v="448"/>
    <x v="248"/>
    <n v="245343"/>
  </r>
  <r>
    <s v="M0105"/>
    <x v="1"/>
    <x v="448"/>
    <x v="248"/>
    <n v="245343"/>
  </r>
  <r>
    <s v="M0105"/>
    <x v="1"/>
    <x v="448"/>
    <x v="248"/>
    <n v="245343"/>
  </r>
  <r>
    <s v="M0105"/>
    <x v="1"/>
    <x v="448"/>
    <x v="248"/>
    <n v="245343"/>
  </r>
  <r>
    <s v="M0105"/>
    <x v="1"/>
    <x v="449"/>
    <x v="63"/>
    <n v="601630"/>
  </r>
  <r>
    <s v="M0105"/>
    <x v="1"/>
    <x v="449"/>
    <x v="63"/>
    <n v="601630"/>
  </r>
  <r>
    <s v="M0105"/>
    <x v="1"/>
    <x v="449"/>
    <x v="63"/>
    <n v="601630"/>
  </r>
  <r>
    <s v="M0105"/>
    <x v="1"/>
    <x v="449"/>
    <x v="63"/>
    <n v="601630"/>
  </r>
  <r>
    <s v="M0105"/>
    <x v="1"/>
    <x v="450"/>
    <x v="130"/>
    <n v="227826"/>
  </r>
  <r>
    <s v="M0105"/>
    <x v="1"/>
    <x v="450"/>
    <x v="130"/>
    <n v="227826"/>
  </r>
  <r>
    <s v="M0105"/>
    <x v="1"/>
    <x v="450"/>
    <x v="130"/>
    <n v="227826"/>
  </r>
  <r>
    <s v="M0105"/>
    <x v="1"/>
    <x v="450"/>
    <x v="130"/>
    <n v="227826"/>
  </r>
  <r>
    <s v="M0105"/>
    <x v="1"/>
    <x v="451"/>
    <x v="23"/>
    <n v="675473"/>
  </r>
  <r>
    <s v="M0105"/>
    <x v="1"/>
    <x v="451"/>
    <x v="23"/>
    <n v="675473"/>
  </r>
  <r>
    <s v="M0105"/>
    <x v="1"/>
    <x v="451"/>
    <x v="23"/>
    <n v="675473"/>
  </r>
  <r>
    <s v="M0105"/>
    <x v="1"/>
    <x v="451"/>
    <x v="23"/>
    <n v="675473"/>
  </r>
  <r>
    <s v="M0105"/>
    <x v="1"/>
    <x v="452"/>
    <x v="122"/>
    <n v="84133"/>
  </r>
  <r>
    <s v="M0105"/>
    <x v="1"/>
    <x v="452"/>
    <x v="122"/>
    <n v="84133"/>
  </r>
  <r>
    <s v="M0105"/>
    <x v="1"/>
    <x v="452"/>
    <x v="122"/>
    <n v="84133"/>
  </r>
  <r>
    <s v="M0105"/>
    <x v="1"/>
    <x v="452"/>
    <x v="122"/>
    <n v="84133"/>
  </r>
  <r>
    <s v="M0105"/>
    <x v="1"/>
    <x v="453"/>
    <x v="249"/>
    <n v="69441"/>
  </r>
  <r>
    <s v="M0105"/>
    <x v="1"/>
    <x v="453"/>
    <x v="249"/>
    <n v="69441"/>
  </r>
  <r>
    <s v="M0105"/>
    <x v="1"/>
    <x v="453"/>
    <x v="249"/>
    <n v="69441"/>
  </r>
  <r>
    <s v="M0105"/>
    <x v="1"/>
    <x v="453"/>
    <x v="249"/>
    <n v="69441"/>
  </r>
  <r>
    <s v="M0102"/>
    <x v="0"/>
    <x v="454"/>
    <x v="250"/>
    <n v="53030"/>
  </r>
  <r>
    <s v="M0102"/>
    <x v="0"/>
    <x v="454"/>
    <x v="250"/>
    <n v="53030"/>
  </r>
  <r>
    <s v="M0102"/>
    <x v="0"/>
    <x v="454"/>
    <x v="250"/>
    <n v="53030"/>
  </r>
  <r>
    <s v="M0102"/>
    <x v="0"/>
    <x v="455"/>
    <x v="244"/>
    <n v="197641"/>
  </r>
  <r>
    <s v="M0102"/>
    <x v="0"/>
    <x v="455"/>
    <x v="244"/>
    <n v="197641"/>
  </r>
  <r>
    <s v="M0102"/>
    <x v="0"/>
    <x v="455"/>
    <x v="244"/>
    <n v="197641"/>
  </r>
  <r>
    <s v="M0102"/>
    <x v="0"/>
    <x v="456"/>
    <x v="132"/>
    <n v="130847"/>
  </r>
  <r>
    <s v="M0102"/>
    <x v="0"/>
    <x v="456"/>
    <x v="132"/>
    <n v="130847"/>
  </r>
  <r>
    <s v="M0102"/>
    <x v="0"/>
    <x v="456"/>
    <x v="132"/>
    <n v="130847"/>
  </r>
  <r>
    <s v="M0102"/>
    <x v="0"/>
    <x v="457"/>
    <x v="139"/>
    <n v="62107"/>
  </r>
  <r>
    <s v="M0102"/>
    <x v="0"/>
    <x v="457"/>
    <x v="139"/>
    <n v="62107"/>
  </r>
  <r>
    <s v="M0102"/>
    <x v="0"/>
    <x v="457"/>
    <x v="139"/>
    <n v="62107"/>
  </r>
  <r>
    <s v="M0102"/>
    <x v="0"/>
    <x v="458"/>
    <x v="40"/>
    <n v="312430"/>
  </r>
  <r>
    <s v="M0102"/>
    <x v="0"/>
    <x v="458"/>
    <x v="40"/>
    <n v="312430"/>
  </r>
  <r>
    <s v="M0102"/>
    <x v="0"/>
    <x v="458"/>
    <x v="40"/>
    <n v="312430"/>
  </r>
  <r>
    <s v="M0102"/>
    <x v="0"/>
    <x v="459"/>
    <x v="49"/>
    <n v="462971"/>
  </r>
  <r>
    <s v="M0102"/>
    <x v="0"/>
    <x v="459"/>
    <x v="49"/>
    <n v="462971"/>
  </r>
  <r>
    <s v="M0102"/>
    <x v="0"/>
    <x v="459"/>
    <x v="49"/>
    <n v="462971"/>
  </r>
  <r>
    <s v="M0102"/>
    <x v="0"/>
    <x v="460"/>
    <x v="178"/>
    <n v="522897"/>
  </r>
  <r>
    <s v="M0102"/>
    <x v="0"/>
    <x v="460"/>
    <x v="178"/>
    <n v="522897"/>
  </r>
  <r>
    <s v="M0102"/>
    <x v="0"/>
    <x v="460"/>
    <x v="178"/>
    <n v="522897"/>
  </r>
  <r>
    <s v="M0102"/>
    <x v="0"/>
    <x v="461"/>
    <x v="216"/>
    <n v="272582"/>
  </r>
  <r>
    <s v="M0102"/>
    <x v="0"/>
    <x v="461"/>
    <x v="216"/>
    <n v="272582"/>
  </r>
  <r>
    <s v="M0102"/>
    <x v="0"/>
    <x v="461"/>
    <x v="216"/>
    <n v="272582"/>
  </r>
  <r>
    <s v="M0102"/>
    <x v="0"/>
    <x v="462"/>
    <x v="154"/>
    <n v="816514"/>
  </r>
  <r>
    <s v="M0102"/>
    <x v="0"/>
    <x v="462"/>
    <x v="154"/>
    <n v="816514"/>
  </r>
  <r>
    <s v="M0102"/>
    <x v="0"/>
    <x v="462"/>
    <x v="154"/>
    <n v="816514"/>
  </r>
  <r>
    <s v="M0102"/>
    <x v="0"/>
    <x v="463"/>
    <x v="214"/>
    <n v="235227"/>
  </r>
  <r>
    <s v="M0102"/>
    <x v="0"/>
    <x v="463"/>
    <x v="214"/>
    <n v="235227"/>
  </r>
  <r>
    <s v="M0102"/>
    <x v="0"/>
    <x v="463"/>
    <x v="214"/>
    <n v="235227"/>
  </r>
  <r>
    <s v="M0294"/>
    <x v="0"/>
    <x v="464"/>
    <x v="43"/>
    <n v="560314"/>
  </r>
  <r>
    <s v="M0294"/>
    <x v="0"/>
    <x v="464"/>
    <x v="43"/>
    <n v="560314"/>
  </r>
  <r>
    <s v="M0294"/>
    <x v="0"/>
    <x v="464"/>
    <x v="43"/>
    <n v="560314"/>
  </r>
  <r>
    <s v="M0294"/>
    <x v="0"/>
    <x v="464"/>
    <x v="43"/>
    <n v="560314"/>
  </r>
  <r>
    <s v="M0294"/>
    <x v="0"/>
    <x v="464"/>
    <x v="43"/>
    <n v="560314"/>
  </r>
  <r>
    <s v="M0294"/>
    <x v="0"/>
    <x v="464"/>
    <x v="43"/>
    <n v="560314"/>
  </r>
  <r>
    <s v="M0294"/>
    <x v="0"/>
    <x v="465"/>
    <x v="188"/>
    <n v="307479"/>
  </r>
  <r>
    <s v="M0294"/>
    <x v="0"/>
    <x v="465"/>
    <x v="188"/>
    <n v="307479"/>
  </r>
  <r>
    <s v="M0294"/>
    <x v="0"/>
    <x v="465"/>
    <x v="188"/>
    <n v="307479"/>
  </r>
  <r>
    <s v="M0294"/>
    <x v="0"/>
    <x v="465"/>
    <x v="188"/>
    <n v="307479"/>
  </r>
  <r>
    <s v="M0294"/>
    <x v="0"/>
    <x v="465"/>
    <x v="188"/>
    <n v="307479"/>
  </r>
  <r>
    <s v="M0294"/>
    <x v="0"/>
    <x v="465"/>
    <x v="188"/>
    <n v="307479"/>
  </r>
  <r>
    <s v="M0294"/>
    <x v="0"/>
    <x v="466"/>
    <x v="150"/>
    <n v="406213"/>
  </r>
  <r>
    <s v="M0294"/>
    <x v="0"/>
    <x v="466"/>
    <x v="150"/>
    <n v="406213"/>
  </r>
  <r>
    <s v="M0294"/>
    <x v="0"/>
    <x v="466"/>
    <x v="150"/>
    <n v="406213"/>
  </r>
  <r>
    <s v="M0294"/>
    <x v="0"/>
    <x v="466"/>
    <x v="150"/>
    <n v="406213"/>
  </r>
  <r>
    <s v="M0294"/>
    <x v="0"/>
    <x v="466"/>
    <x v="150"/>
    <n v="406213"/>
  </r>
  <r>
    <s v="M0294"/>
    <x v="0"/>
    <x v="466"/>
    <x v="150"/>
    <n v="406213"/>
  </r>
  <r>
    <s v="M0294"/>
    <x v="0"/>
    <x v="467"/>
    <x v="42"/>
    <n v="161401"/>
  </r>
  <r>
    <s v="M0294"/>
    <x v="0"/>
    <x v="467"/>
    <x v="42"/>
    <n v="161401"/>
  </r>
  <r>
    <s v="M0294"/>
    <x v="0"/>
    <x v="467"/>
    <x v="42"/>
    <n v="161401"/>
  </r>
  <r>
    <s v="M0294"/>
    <x v="0"/>
    <x v="467"/>
    <x v="42"/>
    <n v="161401"/>
  </r>
  <r>
    <s v="M0294"/>
    <x v="0"/>
    <x v="467"/>
    <x v="42"/>
    <n v="161401"/>
  </r>
  <r>
    <s v="M0294"/>
    <x v="0"/>
    <x v="467"/>
    <x v="42"/>
    <n v="161401"/>
  </r>
  <r>
    <s v="M0023"/>
    <x v="1"/>
    <x v="468"/>
    <x v="18"/>
    <n v="121142"/>
  </r>
  <r>
    <s v="M0023"/>
    <x v="1"/>
    <x v="468"/>
    <x v="18"/>
    <n v="121142"/>
  </r>
  <r>
    <s v="M0023"/>
    <x v="1"/>
    <x v="468"/>
    <x v="18"/>
    <n v="121142"/>
  </r>
  <r>
    <s v="M0023"/>
    <x v="1"/>
    <x v="468"/>
    <x v="18"/>
    <n v="121142"/>
  </r>
  <r>
    <s v="M0023"/>
    <x v="1"/>
    <x v="468"/>
    <x v="18"/>
    <n v="121142"/>
  </r>
  <r>
    <s v="M0023"/>
    <x v="1"/>
    <x v="468"/>
    <x v="18"/>
    <n v="121142"/>
  </r>
  <r>
    <s v="M0023"/>
    <x v="1"/>
    <x v="469"/>
    <x v="173"/>
    <n v="206524"/>
  </r>
  <r>
    <s v="M0023"/>
    <x v="1"/>
    <x v="469"/>
    <x v="173"/>
    <n v="206524"/>
  </r>
  <r>
    <s v="M0023"/>
    <x v="1"/>
    <x v="469"/>
    <x v="173"/>
    <n v="206524"/>
  </r>
  <r>
    <s v="M0023"/>
    <x v="1"/>
    <x v="469"/>
    <x v="173"/>
    <n v="206524"/>
  </r>
  <r>
    <s v="M0023"/>
    <x v="1"/>
    <x v="469"/>
    <x v="173"/>
    <n v="206524"/>
  </r>
  <r>
    <s v="M0023"/>
    <x v="1"/>
    <x v="469"/>
    <x v="173"/>
    <n v="206524"/>
  </r>
  <r>
    <s v="M0266"/>
    <x v="1"/>
    <x v="470"/>
    <x v="251"/>
    <n v="648050"/>
  </r>
  <r>
    <s v="M0266"/>
    <x v="1"/>
    <x v="471"/>
    <x v="142"/>
    <n v="361405"/>
  </r>
  <r>
    <s v="M0266"/>
    <x v="1"/>
    <x v="472"/>
    <x v="51"/>
    <n v="617574"/>
  </r>
  <r>
    <s v="M0153"/>
    <x v="0"/>
    <x v="473"/>
    <x v="134"/>
    <n v="159934"/>
  </r>
  <r>
    <s v="M0153"/>
    <x v="0"/>
    <x v="473"/>
    <x v="134"/>
    <n v="159934"/>
  </r>
  <r>
    <s v="M0153"/>
    <x v="0"/>
    <x v="473"/>
    <x v="134"/>
    <n v="159934"/>
  </r>
  <r>
    <s v="M0153"/>
    <x v="0"/>
    <x v="473"/>
    <x v="134"/>
    <n v="159934"/>
  </r>
  <r>
    <s v="M0153"/>
    <x v="0"/>
    <x v="474"/>
    <x v="27"/>
    <n v="221009"/>
  </r>
  <r>
    <s v="M0153"/>
    <x v="0"/>
    <x v="474"/>
    <x v="27"/>
    <n v="221009"/>
  </r>
  <r>
    <s v="M0153"/>
    <x v="0"/>
    <x v="474"/>
    <x v="27"/>
    <n v="221009"/>
  </r>
  <r>
    <s v="M0153"/>
    <x v="0"/>
    <x v="474"/>
    <x v="27"/>
    <n v="221009"/>
  </r>
  <r>
    <s v="M0153"/>
    <x v="0"/>
    <x v="475"/>
    <x v="252"/>
    <n v="680146"/>
  </r>
  <r>
    <s v="M0153"/>
    <x v="0"/>
    <x v="475"/>
    <x v="252"/>
    <n v="680146"/>
  </r>
  <r>
    <s v="M0153"/>
    <x v="0"/>
    <x v="475"/>
    <x v="252"/>
    <n v="680146"/>
  </r>
  <r>
    <s v="M0153"/>
    <x v="0"/>
    <x v="475"/>
    <x v="252"/>
    <n v="680146"/>
  </r>
  <r>
    <s v="M0153"/>
    <x v="0"/>
    <x v="476"/>
    <x v="23"/>
    <n v="158146"/>
  </r>
  <r>
    <s v="M0153"/>
    <x v="0"/>
    <x v="476"/>
    <x v="23"/>
    <n v="158146"/>
  </r>
  <r>
    <s v="M0153"/>
    <x v="0"/>
    <x v="476"/>
    <x v="23"/>
    <n v="158146"/>
  </r>
  <r>
    <s v="M0153"/>
    <x v="0"/>
    <x v="476"/>
    <x v="23"/>
    <n v="158146"/>
  </r>
  <r>
    <s v="M0153"/>
    <x v="0"/>
    <x v="477"/>
    <x v="217"/>
    <n v="43707"/>
  </r>
  <r>
    <s v="M0153"/>
    <x v="0"/>
    <x v="477"/>
    <x v="217"/>
    <n v="43707"/>
  </r>
  <r>
    <s v="M0153"/>
    <x v="0"/>
    <x v="477"/>
    <x v="217"/>
    <n v="43707"/>
  </r>
  <r>
    <s v="M0153"/>
    <x v="0"/>
    <x v="477"/>
    <x v="217"/>
    <n v="43707"/>
  </r>
  <r>
    <s v="M0073"/>
    <x v="1"/>
    <x v="478"/>
    <x v="227"/>
    <n v="348512"/>
  </r>
  <r>
    <s v="M0073"/>
    <x v="1"/>
    <x v="479"/>
    <x v="29"/>
    <n v="710780"/>
  </r>
  <r>
    <s v="M0073"/>
    <x v="1"/>
    <x v="480"/>
    <x v="238"/>
    <n v="87233"/>
  </r>
  <r>
    <s v="M0073"/>
    <x v="1"/>
    <x v="481"/>
    <x v="184"/>
    <n v="319221"/>
  </r>
  <r>
    <s v="M0073"/>
    <x v="1"/>
    <x v="482"/>
    <x v="18"/>
    <n v="237784"/>
  </r>
  <r>
    <s v="M0297"/>
    <x v="1"/>
    <x v="483"/>
    <x v="53"/>
    <n v="119551"/>
  </r>
  <r>
    <s v="M0297"/>
    <x v="1"/>
    <x v="483"/>
    <x v="53"/>
    <n v="119551"/>
  </r>
  <r>
    <s v="M0297"/>
    <x v="1"/>
    <x v="483"/>
    <x v="53"/>
    <n v="119551"/>
  </r>
  <r>
    <s v="M0297"/>
    <x v="1"/>
    <x v="483"/>
    <x v="53"/>
    <n v="119551"/>
  </r>
  <r>
    <s v="M0297"/>
    <x v="1"/>
    <x v="483"/>
    <x v="53"/>
    <n v="119551"/>
  </r>
  <r>
    <s v="M0297"/>
    <x v="1"/>
    <x v="484"/>
    <x v="77"/>
    <n v="480618"/>
  </r>
  <r>
    <s v="M0297"/>
    <x v="1"/>
    <x v="484"/>
    <x v="77"/>
    <n v="480618"/>
  </r>
  <r>
    <s v="M0297"/>
    <x v="1"/>
    <x v="484"/>
    <x v="77"/>
    <n v="480618"/>
  </r>
  <r>
    <s v="M0297"/>
    <x v="1"/>
    <x v="484"/>
    <x v="77"/>
    <n v="480618"/>
  </r>
  <r>
    <s v="M0297"/>
    <x v="1"/>
    <x v="484"/>
    <x v="77"/>
    <n v="480618"/>
  </r>
  <r>
    <s v="M0297"/>
    <x v="1"/>
    <x v="485"/>
    <x v="9"/>
    <n v="304260"/>
  </r>
  <r>
    <s v="M0297"/>
    <x v="1"/>
    <x v="485"/>
    <x v="9"/>
    <n v="304260"/>
  </r>
  <r>
    <s v="M0297"/>
    <x v="1"/>
    <x v="485"/>
    <x v="9"/>
    <n v="304260"/>
  </r>
  <r>
    <s v="M0297"/>
    <x v="1"/>
    <x v="485"/>
    <x v="9"/>
    <n v="304260"/>
  </r>
  <r>
    <s v="M0297"/>
    <x v="1"/>
    <x v="485"/>
    <x v="9"/>
    <n v="304260"/>
  </r>
  <r>
    <s v="M0297"/>
    <x v="1"/>
    <x v="486"/>
    <x v="253"/>
    <n v="226535"/>
  </r>
  <r>
    <s v="M0297"/>
    <x v="1"/>
    <x v="486"/>
    <x v="253"/>
    <n v="226535"/>
  </r>
  <r>
    <s v="M0297"/>
    <x v="1"/>
    <x v="486"/>
    <x v="253"/>
    <n v="226535"/>
  </r>
  <r>
    <s v="M0297"/>
    <x v="1"/>
    <x v="486"/>
    <x v="253"/>
    <n v="226535"/>
  </r>
  <r>
    <s v="M0297"/>
    <x v="1"/>
    <x v="486"/>
    <x v="253"/>
    <n v="226535"/>
  </r>
  <r>
    <s v="M0297"/>
    <x v="1"/>
    <x v="487"/>
    <x v="254"/>
    <n v="452472"/>
  </r>
  <r>
    <s v="M0297"/>
    <x v="1"/>
    <x v="487"/>
    <x v="254"/>
    <n v="452472"/>
  </r>
  <r>
    <s v="M0297"/>
    <x v="1"/>
    <x v="487"/>
    <x v="254"/>
    <n v="452472"/>
  </r>
  <r>
    <s v="M0297"/>
    <x v="1"/>
    <x v="487"/>
    <x v="254"/>
    <n v="452472"/>
  </r>
  <r>
    <s v="M0297"/>
    <x v="1"/>
    <x v="487"/>
    <x v="254"/>
    <n v="452472"/>
  </r>
  <r>
    <s v="M0297"/>
    <x v="1"/>
    <x v="488"/>
    <x v="79"/>
    <n v="370056"/>
  </r>
  <r>
    <s v="M0297"/>
    <x v="1"/>
    <x v="488"/>
    <x v="79"/>
    <n v="370056"/>
  </r>
  <r>
    <s v="M0297"/>
    <x v="1"/>
    <x v="488"/>
    <x v="79"/>
    <n v="370056"/>
  </r>
  <r>
    <s v="M0297"/>
    <x v="1"/>
    <x v="488"/>
    <x v="79"/>
    <n v="370056"/>
  </r>
  <r>
    <s v="M0297"/>
    <x v="1"/>
    <x v="488"/>
    <x v="79"/>
    <n v="370056"/>
  </r>
  <r>
    <s v="M0297"/>
    <x v="1"/>
    <x v="489"/>
    <x v="255"/>
    <n v="520330"/>
  </r>
  <r>
    <s v="M0297"/>
    <x v="1"/>
    <x v="489"/>
    <x v="255"/>
    <n v="520330"/>
  </r>
  <r>
    <s v="M0297"/>
    <x v="1"/>
    <x v="489"/>
    <x v="255"/>
    <n v="520330"/>
  </r>
  <r>
    <s v="M0297"/>
    <x v="1"/>
    <x v="489"/>
    <x v="255"/>
    <n v="520330"/>
  </r>
  <r>
    <s v="M0297"/>
    <x v="1"/>
    <x v="489"/>
    <x v="255"/>
    <n v="520330"/>
  </r>
  <r>
    <s v="M0297"/>
    <x v="1"/>
    <x v="490"/>
    <x v="34"/>
    <n v="481541"/>
  </r>
  <r>
    <s v="M0297"/>
    <x v="1"/>
    <x v="490"/>
    <x v="34"/>
    <n v="481541"/>
  </r>
  <r>
    <s v="M0297"/>
    <x v="1"/>
    <x v="490"/>
    <x v="34"/>
    <n v="481541"/>
  </r>
  <r>
    <s v="M0297"/>
    <x v="1"/>
    <x v="490"/>
    <x v="34"/>
    <n v="481541"/>
  </r>
  <r>
    <s v="M0297"/>
    <x v="1"/>
    <x v="490"/>
    <x v="34"/>
    <n v="481541"/>
  </r>
  <r>
    <s v="M0297"/>
    <x v="1"/>
    <x v="491"/>
    <x v="168"/>
    <n v="95945"/>
  </r>
  <r>
    <s v="M0297"/>
    <x v="1"/>
    <x v="491"/>
    <x v="168"/>
    <n v="95945"/>
  </r>
  <r>
    <s v="M0297"/>
    <x v="1"/>
    <x v="491"/>
    <x v="168"/>
    <n v="95945"/>
  </r>
  <r>
    <s v="M0297"/>
    <x v="1"/>
    <x v="491"/>
    <x v="168"/>
    <n v="95945"/>
  </r>
  <r>
    <s v="M0297"/>
    <x v="1"/>
    <x v="491"/>
    <x v="168"/>
    <n v="95945"/>
  </r>
  <r>
    <s v="M0297"/>
    <x v="1"/>
    <x v="492"/>
    <x v="15"/>
    <n v="580424"/>
  </r>
  <r>
    <s v="M0297"/>
    <x v="1"/>
    <x v="492"/>
    <x v="15"/>
    <n v="580424"/>
  </r>
  <r>
    <s v="M0297"/>
    <x v="1"/>
    <x v="492"/>
    <x v="15"/>
    <n v="580424"/>
  </r>
  <r>
    <s v="M0297"/>
    <x v="1"/>
    <x v="492"/>
    <x v="15"/>
    <n v="580424"/>
  </r>
  <r>
    <s v="M0297"/>
    <x v="1"/>
    <x v="492"/>
    <x v="15"/>
    <n v="580424"/>
  </r>
  <r>
    <s v="M0297"/>
    <x v="1"/>
    <x v="493"/>
    <x v="58"/>
    <n v="522899"/>
  </r>
  <r>
    <s v="M0297"/>
    <x v="1"/>
    <x v="493"/>
    <x v="58"/>
    <n v="522899"/>
  </r>
  <r>
    <s v="M0297"/>
    <x v="1"/>
    <x v="493"/>
    <x v="58"/>
    <n v="522899"/>
  </r>
  <r>
    <s v="M0297"/>
    <x v="1"/>
    <x v="493"/>
    <x v="58"/>
    <n v="522899"/>
  </r>
  <r>
    <s v="M0297"/>
    <x v="1"/>
    <x v="493"/>
    <x v="58"/>
    <n v="522899"/>
  </r>
  <r>
    <s v="M0297"/>
    <x v="1"/>
    <x v="494"/>
    <x v="256"/>
    <n v="460947"/>
  </r>
  <r>
    <s v="M0297"/>
    <x v="1"/>
    <x v="494"/>
    <x v="256"/>
    <n v="460947"/>
  </r>
  <r>
    <s v="M0297"/>
    <x v="1"/>
    <x v="494"/>
    <x v="256"/>
    <n v="460947"/>
  </r>
  <r>
    <s v="M0297"/>
    <x v="1"/>
    <x v="494"/>
    <x v="256"/>
    <n v="460947"/>
  </r>
  <r>
    <s v="M0297"/>
    <x v="1"/>
    <x v="494"/>
    <x v="256"/>
    <n v="460947"/>
  </r>
  <r>
    <s v="M0297"/>
    <x v="1"/>
    <x v="495"/>
    <x v="246"/>
    <n v="25000"/>
  </r>
  <r>
    <s v="M0297"/>
    <x v="1"/>
    <x v="495"/>
    <x v="246"/>
    <n v="25000"/>
  </r>
  <r>
    <s v="M0297"/>
    <x v="1"/>
    <x v="495"/>
    <x v="246"/>
    <n v="25000"/>
  </r>
  <r>
    <s v="M0297"/>
    <x v="1"/>
    <x v="495"/>
    <x v="246"/>
    <n v="25000"/>
  </r>
  <r>
    <s v="M0297"/>
    <x v="1"/>
    <x v="495"/>
    <x v="246"/>
    <n v="25000"/>
  </r>
  <r>
    <s v="M0297"/>
    <x v="1"/>
    <x v="496"/>
    <x v="22"/>
    <n v="356737"/>
  </r>
  <r>
    <s v="M0297"/>
    <x v="1"/>
    <x v="496"/>
    <x v="22"/>
    <n v="356737"/>
  </r>
  <r>
    <s v="M0297"/>
    <x v="1"/>
    <x v="496"/>
    <x v="22"/>
    <n v="356737"/>
  </r>
  <r>
    <s v="M0297"/>
    <x v="1"/>
    <x v="496"/>
    <x v="22"/>
    <n v="356737"/>
  </r>
  <r>
    <s v="M0297"/>
    <x v="1"/>
    <x v="496"/>
    <x v="22"/>
    <n v="356737"/>
  </r>
  <r>
    <s v="M0297"/>
    <x v="1"/>
    <x v="497"/>
    <x v="55"/>
    <n v="324171"/>
  </r>
  <r>
    <s v="M0297"/>
    <x v="1"/>
    <x v="497"/>
    <x v="55"/>
    <n v="324171"/>
  </r>
  <r>
    <s v="M0297"/>
    <x v="1"/>
    <x v="497"/>
    <x v="55"/>
    <n v="324171"/>
  </r>
  <r>
    <s v="M0297"/>
    <x v="1"/>
    <x v="497"/>
    <x v="55"/>
    <n v="324171"/>
  </r>
  <r>
    <s v="M0297"/>
    <x v="1"/>
    <x v="497"/>
    <x v="55"/>
    <n v="324171"/>
  </r>
  <r>
    <s v="M0297"/>
    <x v="1"/>
    <x v="498"/>
    <x v="249"/>
    <n v="39389"/>
  </r>
  <r>
    <s v="M0297"/>
    <x v="1"/>
    <x v="498"/>
    <x v="249"/>
    <n v="39389"/>
  </r>
  <r>
    <s v="M0297"/>
    <x v="1"/>
    <x v="498"/>
    <x v="249"/>
    <n v="39389"/>
  </r>
  <r>
    <s v="M0297"/>
    <x v="1"/>
    <x v="498"/>
    <x v="249"/>
    <n v="39389"/>
  </r>
  <r>
    <s v="M0297"/>
    <x v="1"/>
    <x v="498"/>
    <x v="249"/>
    <n v="39389"/>
  </r>
  <r>
    <s v="M0297"/>
    <x v="1"/>
    <x v="499"/>
    <x v="41"/>
    <n v="105910"/>
  </r>
  <r>
    <s v="M0297"/>
    <x v="1"/>
    <x v="499"/>
    <x v="41"/>
    <n v="105910"/>
  </r>
  <r>
    <s v="M0297"/>
    <x v="1"/>
    <x v="499"/>
    <x v="41"/>
    <n v="105910"/>
  </r>
  <r>
    <s v="M0297"/>
    <x v="1"/>
    <x v="499"/>
    <x v="41"/>
    <n v="105910"/>
  </r>
  <r>
    <s v="M0297"/>
    <x v="1"/>
    <x v="499"/>
    <x v="41"/>
    <n v="105910"/>
  </r>
  <r>
    <s v="M0297"/>
    <x v="1"/>
    <x v="500"/>
    <x v="257"/>
    <n v="188027"/>
  </r>
  <r>
    <s v="M0297"/>
    <x v="1"/>
    <x v="500"/>
    <x v="257"/>
    <n v="188027"/>
  </r>
  <r>
    <s v="M0297"/>
    <x v="1"/>
    <x v="500"/>
    <x v="257"/>
    <n v="188027"/>
  </r>
  <r>
    <s v="M0297"/>
    <x v="1"/>
    <x v="500"/>
    <x v="257"/>
    <n v="188027"/>
  </r>
  <r>
    <s v="M0297"/>
    <x v="1"/>
    <x v="500"/>
    <x v="257"/>
    <n v="188027"/>
  </r>
  <r>
    <s v="M0271"/>
    <x v="1"/>
    <x v="501"/>
    <x v="203"/>
    <n v="83182"/>
  </r>
  <r>
    <s v="M0271"/>
    <x v="1"/>
    <x v="501"/>
    <x v="203"/>
    <n v="83182"/>
  </r>
  <r>
    <s v="M0271"/>
    <x v="1"/>
    <x v="501"/>
    <x v="203"/>
    <n v="83182"/>
  </r>
  <r>
    <s v="M0271"/>
    <x v="1"/>
    <x v="501"/>
    <x v="203"/>
    <n v="83182"/>
  </r>
  <r>
    <s v="M0271"/>
    <x v="1"/>
    <x v="501"/>
    <x v="203"/>
    <n v="83182"/>
  </r>
  <r>
    <s v="M0271"/>
    <x v="1"/>
    <x v="502"/>
    <x v="258"/>
    <n v="347330"/>
  </r>
  <r>
    <s v="M0271"/>
    <x v="1"/>
    <x v="502"/>
    <x v="258"/>
    <n v="347330"/>
  </r>
  <r>
    <s v="M0271"/>
    <x v="1"/>
    <x v="502"/>
    <x v="258"/>
    <n v="347330"/>
  </r>
  <r>
    <s v="M0271"/>
    <x v="1"/>
    <x v="502"/>
    <x v="258"/>
    <n v="347330"/>
  </r>
  <r>
    <s v="M0271"/>
    <x v="1"/>
    <x v="502"/>
    <x v="258"/>
    <n v="347330"/>
  </r>
  <r>
    <s v="M0271"/>
    <x v="1"/>
    <x v="503"/>
    <x v="80"/>
    <n v="102934"/>
  </r>
  <r>
    <s v="M0271"/>
    <x v="1"/>
    <x v="503"/>
    <x v="80"/>
    <n v="102934"/>
  </r>
  <r>
    <s v="M0271"/>
    <x v="1"/>
    <x v="503"/>
    <x v="80"/>
    <n v="102934"/>
  </r>
  <r>
    <s v="M0271"/>
    <x v="1"/>
    <x v="503"/>
    <x v="80"/>
    <n v="102934"/>
  </r>
  <r>
    <s v="M0271"/>
    <x v="1"/>
    <x v="503"/>
    <x v="80"/>
    <n v="102934"/>
  </r>
  <r>
    <s v="M0271"/>
    <x v="1"/>
    <x v="504"/>
    <x v="259"/>
    <n v="54813"/>
  </r>
  <r>
    <s v="M0271"/>
    <x v="1"/>
    <x v="504"/>
    <x v="259"/>
    <n v="54813"/>
  </r>
  <r>
    <s v="M0271"/>
    <x v="1"/>
    <x v="504"/>
    <x v="259"/>
    <n v="54813"/>
  </r>
  <r>
    <s v="M0271"/>
    <x v="1"/>
    <x v="504"/>
    <x v="259"/>
    <n v="54813"/>
  </r>
  <r>
    <s v="M0271"/>
    <x v="1"/>
    <x v="504"/>
    <x v="259"/>
    <n v="54813"/>
  </r>
  <r>
    <s v="M0271"/>
    <x v="1"/>
    <x v="505"/>
    <x v="132"/>
    <n v="308073"/>
  </r>
  <r>
    <s v="M0271"/>
    <x v="1"/>
    <x v="505"/>
    <x v="132"/>
    <n v="308073"/>
  </r>
  <r>
    <s v="M0271"/>
    <x v="1"/>
    <x v="505"/>
    <x v="132"/>
    <n v="308073"/>
  </r>
  <r>
    <s v="M0271"/>
    <x v="1"/>
    <x v="505"/>
    <x v="132"/>
    <n v="308073"/>
  </r>
  <r>
    <s v="M0271"/>
    <x v="1"/>
    <x v="505"/>
    <x v="132"/>
    <n v="308073"/>
  </r>
  <r>
    <s v="M0271"/>
    <x v="1"/>
    <x v="506"/>
    <x v="242"/>
    <n v="222976"/>
  </r>
  <r>
    <s v="M0271"/>
    <x v="1"/>
    <x v="506"/>
    <x v="242"/>
    <n v="222976"/>
  </r>
  <r>
    <s v="M0271"/>
    <x v="1"/>
    <x v="506"/>
    <x v="242"/>
    <n v="222976"/>
  </r>
  <r>
    <s v="M0271"/>
    <x v="1"/>
    <x v="506"/>
    <x v="242"/>
    <n v="222976"/>
  </r>
  <r>
    <s v="M0271"/>
    <x v="1"/>
    <x v="506"/>
    <x v="242"/>
    <n v="222976"/>
  </r>
  <r>
    <s v="M0271"/>
    <x v="1"/>
    <x v="507"/>
    <x v="260"/>
    <n v="146379"/>
  </r>
  <r>
    <s v="M0271"/>
    <x v="1"/>
    <x v="507"/>
    <x v="260"/>
    <n v="146379"/>
  </r>
  <r>
    <s v="M0271"/>
    <x v="1"/>
    <x v="507"/>
    <x v="260"/>
    <n v="146379"/>
  </r>
  <r>
    <s v="M0271"/>
    <x v="1"/>
    <x v="507"/>
    <x v="260"/>
    <n v="146379"/>
  </r>
  <r>
    <s v="M0271"/>
    <x v="1"/>
    <x v="507"/>
    <x v="260"/>
    <n v="146379"/>
  </r>
  <r>
    <s v="M0271"/>
    <x v="1"/>
    <x v="508"/>
    <x v="17"/>
    <n v="514686"/>
  </r>
  <r>
    <s v="M0271"/>
    <x v="1"/>
    <x v="508"/>
    <x v="17"/>
    <n v="514686"/>
  </r>
  <r>
    <s v="M0271"/>
    <x v="1"/>
    <x v="508"/>
    <x v="17"/>
    <n v="514686"/>
  </r>
  <r>
    <s v="M0271"/>
    <x v="1"/>
    <x v="508"/>
    <x v="17"/>
    <n v="514686"/>
  </r>
  <r>
    <s v="M0271"/>
    <x v="1"/>
    <x v="508"/>
    <x v="17"/>
    <n v="514686"/>
  </r>
  <r>
    <s v="M0271"/>
    <x v="1"/>
    <x v="509"/>
    <x v="261"/>
    <n v="425149"/>
  </r>
  <r>
    <s v="M0271"/>
    <x v="1"/>
    <x v="509"/>
    <x v="261"/>
    <n v="425149"/>
  </r>
  <r>
    <s v="M0271"/>
    <x v="1"/>
    <x v="509"/>
    <x v="261"/>
    <n v="425149"/>
  </r>
  <r>
    <s v="M0271"/>
    <x v="1"/>
    <x v="509"/>
    <x v="261"/>
    <n v="425149"/>
  </r>
  <r>
    <s v="M0271"/>
    <x v="1"/>
    <x v="509"/>
    <x v="261"/>
    <n v="425149"/>
  </r>
  <r>
    <s v="M0154"/>
    <x v="1"/>
    <x v="510"/>
    <x v="65"/>
    <n v="234187"/>
  </r>
  <r>
    <s v="M0154"/>
    <x v="1"/>
    <x v="510"/>
    <x v="65"/>
    <n v="234187"/>
  </r>
  <r>
    <s v="M0154"/>
    <x v="1"/>
    <x v="510"/>
    <x v="65"/>
    <n v="234187"/>
  </r>
  <r>
    <s v="M0154"/>
    <x v="1"/>
    <x v="511"/>
    <x v="239"/>
    <n v="109744"/>
  </r>
  <r>
    <s v="M0154"/>
    <x v="1"/>
    <x v="511"/>
    <x v="239"/>
    <n v="109744"/>
  </r>
  <r>
    <s v="M0154"/>
    <x v="1"/>
    <x v="511"/>
    <x v="239"/>
    <n v="109744"/>
  </r>
  <r>
    <s v="M0154"/>
    <x v="1"/>
    <x v="512"/>
    <x v="159"/>
    <n v="61241"/>
  </r>
  <r>
    <s v="M0154"/>
    <x v="1"/>
    <x v="512"/>
    <x v="159"/>
    <n v="61241"/>
  </r>
  <r>
    <s v="M0154"/>
    <x v="1"/>
    <x v="512"/>
    <x v="159"/>
    <n v="61241"/>
  </r>
  <r>
    <s v="M0154"/>
    <x v="1"/>
    <x v="513"/>
    <x v="164"/>
    <n v="35828"/>
  </r>
  <r>
    <s v="M0154"/>
    <x v="1"/>
    <x v="513"/>
    <x v="164"/>
    <n v="35828"/>
  </r>
  <r>
    <s v="M0154"/>
    <x v="1"/>
    <x v="513"/>
    <x v="164"/>
    <n v="35828"/>
  </r>
  <r>
    <s v="M0154"/>
    <x v="1"/>
    <x v="514"/>
    <x v="15"/>
    <n v="303866"/>
  </r>
  <r>
    <s v="M0154"/>
    <x v="1"/>
    <x v="514"/>
    <x v="15"/>
    <n v="303866"/>
  </r>
  <r>
    <s v="M0154"/>
    <x v="1"/>
    <x v="514"/>
    <x v="15"/>
    <n v="303866"/>
  </r>
  <r>
    <s v="M0154"/>
    <x v="1"/>
    <x v="515"/>
    <x v="262"/>
    <n v="322658"/>
  </r>
  <r>
    <s v="M0154"/>
    <x v="1"/>
    <x v="515"/>
    <x v="262"/>
    <n v="322658"/>
  </r>
  <r>
    <s v="M0154"/>
    <x v="1"/>
    <x v="515"/>
    <x v="262"/>
    <n v="322658"/>
  </r>
  <r>
    <s v="M0154"/>
    <x v="1"/>
    <x v="516"/>
    <x v="224"/>
    <n v="240696"/>
  </r>
  <r>
    <s v="M0154"/>
    <x v="1"/>
    <x v="516"/>
    <x v="224"/>
    <n v="240696"/>
  </r>
  <r>
    <s v="M0154"/>
    <x v="1"/>
    <x v="516"/>
    <x v="224"/>
    <n v="240696"/>
  </r>
  <r>
    <s v="M0154"/>
    <x v="1"/>
    <x v="517"/>
    <x v="263"/>
    <n v="534816"/>
  </r>
  <r>
    <s v="M0154"/>
    <x v="1"/>
    <x v="517"/>
    <x v="263"/>
    <n v="534816"/>
  </r>
  <r>
    <s v="M0154"/>
    <x v="1"/>
    <x v="517"/>
    <x v="263"/>
    <n v="534816"/>
  </r>
  <r>
    <s v="M0154"/>
    <x v="1"/>
    <x v="518"/>
    <x v="40"/>
    <n v="648486"/>
  </r>
  <r>
    <s v="M0154"/>
    <x v="1"/>
    <x v="518"/>
    <x v="40"/>
    <n v="648486"/>
  </r>
  <r>
    <s v="M0154"/>
    <x v="1"/>
    <x v="518"/>
    <x v="40"/>
    <n v="648486"/>
  </r>
  <r>
    <s v="M0154"/>
    <x v="1"/>
    <x v="519"/>
    <x v="264"/>
    <n v="110335"/>
  </r>
  <r>
    <s v="M0154"/>
    <x v="1"/>
    <x v="519"/>
    <x v="264"/>
    <n v="110335"/>
  </r>
  <r>
    <s v="M0154"/>
    <x v="1"/>
    <x v="519"/>
    <x v="264"/>
    <n v="110335"/>
  </r>
  <r>
    <s v="M0154"/>
    <x v="1"/>
    <x v="520"/>
    <x v="92"/>
    <n v="178176"/>
  </r>
  <r>
    <s v="M0154"/>
    <x v="1"/>
    <x v="520"/>
    <x v="92"/>
    <n v="178176"/>
  </r>
  <r>
    <s v="M0154"/>
    <x v="1"/>
    <x v="520"/>
    <x v="92"/>
    <n v="178176"/>
  </r>
  <r>
    <s v="M0154"/>
    <x v="1"/>
    <x v="521"/>
    <x v="64"/>
    <n v="207984"/>
  </r>
  <r>
    <s v="M0154"/>
    <x v="1"/>
    <x v="521"/>
    <x v="64"/>
    <n v="207984"/>
  </r>
  <r>
    <s v="M0154"/>
    <x v="1"/>
    <x v="521"/>
    <x v="64"/>
    <n v="207984"/>
  </r>
  <r>
    <s v="M0298"/>
    <x v="1"/>
    <x v="522"/>
    <x v="81"/>
    <n v="359897"/>
  </r>
  <r>
    <s v="M0298"/>
    <x v="1"/>
    <x v="523"/>
    <x v="225"/>
    <n v="157461"/>
  </r>
  <r>
    <s v="M0298"/>
    <x v="1"/>
    <x v="524"/>
    <x v="18"/>
    <n v="372824"/>
  </r>
  <r>
    <s v="M0298"/>
    <x v="1"/>
    <x v="525"/>
    <x v="68"/>
    <n v="25000"/>
  </r>
  <r>
    <s v="M0298"/>
    <x v="1"/>
    <x v="526"/>
    <x v="265"/>
    <n v="410414"/>
  </r>
  <r>
    <s v="M0298"/>
    <x v="1"/>
    <x v="527"/>
    <x v="255"/>
    <n v="189673"/>
  </r>
  <r>
    <s v="M0127"/>
    <x v="1"/>
    <x v="528"/>
    <x v="32"/>
    <n v="361214"/>
  </r>
  <r>
    <s v="M0127"/>
    <x v="1"/>
    <x v="529"/>
    <x v="263"/>
    <n v="78616"/>
  </r>
  <r>
    <s v="M0127"/>
    <x v="1"/>
    <x v="530"/>
    <x v="44"/>
    <n v="333950"/>
  </r>
  <r>
    <s v="M0127"/>
    <x v="1"/>
    <x v="531"/>
    <x v="169"/>
    <n v="166368"/>
  </r>
  <r>
    <s v="M0127"/>
    <x v="1"/>
    <x v="532"/>
    <x v="115"/>
    <n v="354057"/>
  </r>
  <r>
    <s v="M0127"/>
    <x v="1"/>
    <x v="533"/>
    <x v="249"/>
    <n v="163824"/>
  </r>
  <r>
    <s v="M0127"/>
    <x v="1"/>
    <x v="534"/>
    <x v="220"/>
    <n v="394340"/>
  </r>
  <r>
    <s v="M0127"/>
    <x v="1"/>
    <x v="535"/>
    <x v="244"/>
    <n v="287319"/>
  </r>
  <r>
    <s v="M0127"/>
    <x v="1"/>
    <x v="536"/>
    <x v="184"/>
    <n v="138157"/>
  </r>
  <r>
    <s v="M0127"/>
    <x v="1"/>
    <x v="537"/>
    <x v="204"/>
    <n v="292837"/>
  </r>
  <r>
    <s v="M0127"/>
    <x v="1"/>
    <x v="538"/>
    <x v="184"/>
    <n v="616900"/>
  </r>
  <r>
    <s v="M0127"/>
    <x v="1"/>
    <x v="539"/>
    <x v="263"/>
    <n v="72550"/>
  </r>
  <r>
    <s v="M0163"/>
    <x v="1"/>
    <x v="540"/>
    <x v="33"/>
    <n v="868396"/>
  </r>
  <r>
    <s v="M0163"/>
    <x v="1"/>
    <x v="540"/>
    <x v="33"/>
    <n v="868396"/>
  </r>
  <r>
    <s v="M0163"/>
    <x v="1"/>
    <x v="540"/>
    <x v="33"/>
    <n v="868396"/>
  </r>
  <r>
    <s v="M0163"/>
    <x v="1"/>
    <x v="540"/>
    <x v="33"/>
    <n v="868396"/>
  </r>
  <r>
    <s v="M0163"/>
    <x v="1"/>
    <x v="540"/>
    <x v="33"/>
    <n v="868396"/>
  </r>
  <r>
    <s v="M0163"/>
    <x v="1"/>
    <x v="540"/>
    <x v="33"/>
    <n v="868396"/>
  </r>
  <r>
    <s v="M0163"/>
    <x v="1"/>
    <x v="541"/>
    <x v="260"/>
    <n v="157965"/>
  </r>
  <r>
    <s v="M0163"/>
    <x v="1"/>
    <x v="541"/>
    <x v="260"/>
    <n v="157965"/>
  </r>
  <r>
    <s v="M0163"/>
    <x v="1"/>
    <x v="541"/>
    <x v="260"/>
    <n v="157965"/>
  </r>
  <r>
    <s v="M0163"/>
    <x v="1"/>
    <x v="541"/>
    <x v="260"/>
    <n v="157965"/>
  </r>
  <r>
    <s v="M0163"/>
    <x v="1"/>
    <x v="541"/>
    <x v="260"/>
    <n v="157965"/>
  </r>
  <r>
    <s v="M0163"/>
    <x v="1"/>
    <x v="541"/>
    <x v="260"/>
    <n v="157965"/>
  </r>
  <r>
    <s v="M0163"/>
    <x v="1"/>
    <x v="542"/>
    <x v="53"/>
    <n v="254948"/>
  </r>
  <r>
    <s v="M0163"/>
    <x v="1"/>
    <x v="542"/>
    <x v="53"/>
    <n v="254948"/>
  </r>
  <r>
    <s v="M0163"/>
    <x v="1"/>
    <x v="542"/>
    <x v="53"/>
    <n v="254948"/>
  </r>
  <r>
    <s v="M0163"/>
    <x v="1"/>
    <x v="542"/>
    <x v="53"/>
    <n v="254948"/>
  </r>
  <r>
    <s v="M0163"/>
    <x v="1"/>
    <x v="542"/>
    <x v="53"/>
    <n v="254948"/>
  </r>
  <r>
    <s v="M0163"/>
    <x v="1"/>
    <x v="542"/>
    <x v="53"/>
    <n v="254948"/>
  </r>
  <r>
    <s v="M0163"/>
    <x v="1"/>
    <x v="543"/>
    <x v="92"/>
    <n v="409621"/>
  </r>
  <r>
    <s v="M0163"/>
    <x v="1"/>
    <x v="543"/>
    <x v="92"/>
    <n v="409621"/>
  </r>
  <r>
    <s v="M0163"/>
    <x v="1"/>
    <x v="543"/>
    <x v="92"/>
    <n v="409621"/>
  </r>
  <r>
    <s v="M0163"/>
    <x v="1"/>
    <x v="543"/>
    <x v="92"/>
    <n v="409621"/>
  </r>
  <r>
    <s v="M0163"/>
    <x v="1"/>
    <x v="543"/>
    <x v="92"/>
    <n v="409621"/>
  </r>
  <r>
    <s v="M0163"/>
    <x v="1"/>
    <x v="543"/>
    <x v="92"/>
    <n v="409621"/>
  </r>
  <r>
    <s v="M0163"/>
    <x v="1"/>
    <x v="544"/>
    <x v="266"/>
    <n v="70051"/>
  </r>
  <r>
    <s v="M0163"/>
    <x v="1"/>
    <x v="544"/>
    <x v="266"/>
    <n v="70051"/>
  </r>
  <r>
    <s v="M0163"/>
    <x v="1"/>
    <x v="544"/>
    <x v="266"/>
    <n v="70051"/>
  </r>
  <r>
    <s v="M0163"/>
    <x v="1"/>
    <x v="544"/>
    <x v="266"/>
    <n v="70051"/>
  </r>
  <r>
    <s v="M0163"/>
    <x v="1"/>
    <x v="544"/>
    <x v="266"/>
    <n v="70051"/>
  </r>
  <r>
    <s v="M0163"/>
    <x v="1"/>
    <x v="544"/>
    <x v="266"/>
    <n v="70051"/>
  </r>
  <r>
    <s v="M0163"/>
    <x v="1"/>
    <x v="545"/>
    <x v="267"/>
    <n v="456136"/>
  </r>
  <r>
    <s v="M0163"/>
    <x v="1"/>
    <x v="545"/>
    <x v="267"/>
    <n v="456136"/>
  </r>
  <r>
    <s v="M0163"/>
    <x v="1"/>
    <x v="545"/>
    <x v="267"/>
    <n v="456136"/>
  </r>
  <r>
    <s v="M0163"/>
    <x v="1"/>
    <x v="545"/>
    <x v="267"/>
    <n v="456136"/>
  </r>
  <r>
    <s v="M0163"/>
    <x v="1"/>
    <x v="545"/>
    <x v="267"/>
    <n v="456136"/>
  </r>
  <r>
    <s v="M0163"/>
    <x v="1"/>
    <x v="545"/>
    <x v="267"/>
    <n v="456136"/>
  </r>
  <r>
    <s v="M0163"/>
    <x v="1"/>
    <x v="546"/>
    <x v="99"/>
    <n v="417379"/>
  </r>
  <r>
    <s v="M0163"/>
    <x v="1"/>
    <x v="546"/>
    <x v="99"/>
    <n v="417379"/>
  </r>
  <r>
    <s v="M0163"/>
    <x v="1"/>
    <x v="546"/>
    <x v="99"/>
    <n v="417379"/>
  </r>
  <r>
    <s v="M0163"/>
    <x v="1"/>
    <x v="546"/>
    <x v="99"/>
    <n v="417379"/>
  </r>
  <r>
    <s v="M0163"/>
    <x v="1"/>
    <x v="546"/>
    <x v="99"/>
    <n v="417379"/>
  </r>
  <r>
    <s v="M0163"/>
    <x v="1"/>
    <x v="546"/>
    <x v="99"/>
    <n v="417379"/>
  </r>
  <r>
    <s v="M0163"/>
    <x v="1"/>
    <x v="547"/>
    <x v="217"/>
    <n v="128986"/>
  </r>
  <r>
    <s v="M0163"/>
    <x v="1"/>
    <x v="547"/>
    <x v="217"/>
    <n v="128986"/>
  </r>
  <r>
    <s v="M0163"/>
    <x v="1"/>
    <x v="547"/>
    <x v="217"/>
    <n v="128986"/>
  </r>
  <r>
    <s v="M0163"/>
    <x v="1"/>
    <x v="547"/>
    <x v="217"/>
    <n v="128986"/>
  </r>
  <r>
    <s v="M0163"/>
    <x v="1"/>
    <x v="547"/>
    <x v="217"/>
    <n v="128986"/>
  </r>
  <r>
    <s v="M0163"/>
    <x v="1"/>
    <x v="547"/>
    <x v="217"/>
    <n v="128986"/>
  </r>
  <r>
    <s v="M0175"/>
    <x v="1"/>
    <x v="548"/>
    <x v="29"/>
    <n v="410964"/>
  </r>
  <r>
    <s v="M0175"/>
    <x v="1"/>
    <x v="548"/>
    <x v="29"/>
    <n v="410964"/>
  </r>
  <r>
    <s v="M0175"/>
    <x v="1"/>
    <x v="548"/>
    <x v="29"/>
    <n v="410964"/>
  </r>
  <r>
    <s v="M0175"/>
    <x v="1"/>
    <x v="549"/>
    <x v="258"/>
    <n v="350849"/>
  </r>
  <r>
    <s v="M0175"/>
    <x v="1"/>
    <x v="549"/>
    <x v="258"/>
    <n v="350849"/>
  </r>
  <r>
    <s v="M0175"/>
    <x v="1"/>
    <x v="549"/>
    <x v="258"/>
    <n v="350849"/>
  </r>
  <r>
    <s v="M0175"/>
    <x v="1"/>
    <x v="550"/>
    <x v="268"/>
    <n v="632127"/>
  </r>
  <r>
    <s v="M0175"/>
    <x v="1"/>
    <x v="550"/>
    <x v="268"/>
    <n v="632127"/>
  </r>
  <r>
    <s v="M0175"/>
    <x v="1"/>
    <x v="550"/>
    <x v="268"/>
    <n v="632127"/>
  </r>
  <r>
    <s v="M0175"/>
    <x v="1"/>
    <x v="551"/>
    <x v="269"/>
    <n v="266586"/>
  </r>
  <r>
    <s v="M0175"/>
    <x v="1"/>
    <x v="551"/>
    <x v="269"/>
    <n v="266586"/>
  </r>
  <r>
    <s v="M0175"/>
    <x v="1"/>
    <x v="551"/>
    <x v="269"/>
    <n v="266586"/>
  </r>
  <r>
    <s v="M0175"/>
    <x v="1"/>
    <x v="552"/>
    <x v="141"/>
    <n v="311941"/>
  </r>
  <r>
    <s v="M0175"/>
    <x v="1"/>
    <x v="552"/>
    <x v="141"/>
    <n v="311941"/>
  </r>
  <r>
    <s v="M0175"/>
    <x v="1"/>
    <x v="552"/>
    <x v="141"/>
    <n v="311941"/>
  </r>
  <r>
    <s v="M0175"/>
    <x v="1"/>
    <x v="553"/>
    <x v="258"/>
    <n v="634678"/>
  </r>
  <r>
    <s v="M0175"/>
    <x v="1"/>
    <x v="553"/>
    <x v="258"/>
    <n v="634678"/>
  </r>
  <r>
    <s v="M0175"/>
    <x v="1"/>
    <x v="553"/>
    <x v="258"/>
    <n v="634678"/>
  </r>
  <r>
    <s v="M0008"/>
    <x v="0"/>
    <x v="554"/>
    <x v="270"/>
    <n v="135086"/>
  </r>
  <r>
    <s v="M0008"/>
    <x v="0"/>
    <x v="554"/>
    <x v="270"/>
    <n v="135086"/>
  </r>
  <r>
    <s v="M0008"/>
    <x v="0"/>
    <x v="555"/>
    <x v="69"/>
    <n v="455578"/>
  </r>
  <r>
    <s v="M0008"/>
    <x v="0"/>
    <x v="555"/>
    <x v="69"/>
    <n v="455578"/>
  </r>
  <r>
    <s v="M0008"/>
    <x v="0"/>
    <x v="556"/>
    <x v="271"/>
    <n v="229524"/>
  </r>
  <r>
    <s v="M0008"/>
    <x v="0"/>
    <x v="556"/>
    <x v="271"/>
    <n v="229524"/>
  </r>
  <r>
    <s v="M0008"/>
    <x v="0"/>
    <x v="557"/>
    <x v="192"/>
    <n v="64495"/>
  </r>
  <r>
    <s v="M0008"/>
    <x v="0"/>
    <x v="557"/>
    <x v="192"/>
    <n v="64495"/>
  </r>
  <r>
    <s v="M0008"/>
    <x v="0"/>
    <x v="558"/>
    <x v="272"/>
    <n v="336138"/>
  </r>
  <r>
    <s v="M0008"/>
    <x v="0"/>
    <x v="558"/>
    <x v="272"/>
    <n v="336138"/>
  </r>
  <r>
    <s v="M0008"/>
    <x v="0"/>
    <x v="559"/>
    <x v="20"/>
    <n v="121586"/>
  </r>
  <r>
    <s v="M0008"/>
    <x v="0"/>
    <x v="559"/>
    <x v="20"/>
    <n v="121586"/>
  </r>
  <r>
    <s v="M0008"/>
    <x v="0"/>
    <x v="560"/>
    <x v="230"/>
    <n v="246432"/>
  </r>
  <r>
    <s v="M0008"/>
    <x v="0"/>
    <x v="560"/>
    <x v="230"/>
    <n v="246432"/>
  </r>
  <r>
    <s v="M0008"/>
    <x v="0"/>
    <x v="561"/>
    <x v="85"/>
    <n v="220289"/>
  </r>
  <r>
    <s v="M0008"/>
    <x v="0"/>
    <x v="561"/>
    <x v="85"/>
    <n v="220289"/>
  </r>
  <r>
    <s v="M0008"/>
    <x v="0"/>
    <x v="562"/>
    <x v="160"/>
    <n v="210902"/>
  </r>
  <r>
    <s v="M0008"/>
    <x v="0"/>
    <x v="562"/>
    <x v="160"/>
    <n v="210902"/>
  </r>
  <r>
    <s v="M0008"/>
    <x v="0"/>
    <x v="563"/>
    <x v="113"/>
    <n v="317846"/>
  </r>
  <r>
    <s v="M0008"/>
    <x v="0"/>
    <x v="563"/>
    <x v="113"/>
    <n v="317846"/>
  </r>
  <r>
    <s v="M0008"/>
    <x v="0"/>
    <x v="564"/>
    <x v="273"/>
    <n v="198164"/>
  </r>
  <r>
    <s v="M0008"/>
    <x v="0"/>
    <x v="564"/>
    <x v="273"/>
    <n v="198164"/>
  </r>
  <r>
    <s v="M0008"/>
    <x v="0"/>
    <x v="565"/>
    <x v="23"/>
    <n v="61359"/>
  </r>
  <r>
    <s v="M0008"/>
    <x v="0"/>
    <x v="565"/>
    <x v="23"/>
    <n v="61359"/>
  </r>
  <r>
    <s v="M0213"/>
    <x v="1"/>
    <x v="566"/>
    <x v="70"/>
    <n v="353352"/>
  </r>
  <r>
    <s v="M0213"/>
    <x v="1"/>
    <x v="566"/>
    <x v="70"/>
    <n v="353352"/>
  </r>
  <r>
    <s v="M0213"/>
    <x v="1"/>
    <x v="566"/>
    <x v="70"/>
    <n v="353352"/>
  </r>
  <r>
    <s v="M0213"/>
    <x v="1"/>
    <x v="566"/>
    <x v="70"/>
    <n v="353352"/>
  </r>
  <r>
    <s v="M0213"/>
    <x v="1"/>
    <x v="567"/>
    <x v="17"/>
    <n v="258088"/>
  </r>
  <r>
    <s v="M0213"/>
    <x v="1"/>
    <x v="567"/>
    <x v="17"/>
    <n v="258088"/>
  </r>
  <r>
    <s v="M0213"/>
    <x v="1"/>
    <x v="567"/>
    <x v="17"/>
    <n v="258088"/>
  </r>
  <r>
    <s v="M0213"/>
    <x v="1"/>
    <x v="567"/>
    <x v="17"/>
    <n v="258088"/>
  </r>
  <r>
    <s v="M0213"/>
    <x v="1"/>
    <x v="568"/>
    <x v="246"/>
    <n v="150491"/>
  </r>
  <r>
    <s v="M0213"/>
    <x v="1"/>
    <x v="568"/>
    <x v="246"/>
    <n v="150491"/>
  </r>
  <r>
    <s v="M0213"/>
    <x v="1"/>
    <x v="568"/>
    <x v="246"/>
    <n v="150491"/>
  </r>
  <r>
    <s v="M0213"/>
    <x v="1"/>
    <x v="568"/>
    <x v="246"/>
    <n v="150491"/>
  </r>
  <r>
    <s v="M0213"/>
    <x v="1"/>
    <x v="569"/>
    <x v="247"/>
    <n v="345973"/>
  </r>
  <r>
    <s v="M0213"/>
    <x v="1"/>
    <x v="569"/>
    <x v="247"/>
    <n v="345973"/>
  </r>
  <r>
    <s v="M0213"/>
    <x v="1"/>
    <x v="569"/>
    <x v="247"/>
    <n v="345973"/>
  </r>
  <r>
    <s v="M0213"/>
    <x v="1"/>
    <x v="569"/>
    <x v="247"/>
    <n v="345973"/>
  </r>
  <r>
    <s v="M0213"/>
    <x v="1"/>
    <x v="570"/>
    <x v="159"/>
    <n v="231297"/>
  </r>
  <r>
    <s v="M0213"/>
    <x v="1"/>
    <x v="570"/>
    <x v="159"/>
    <n v="231297"/>
  </r>
  <r>
    <s v="M0213"/>
    <x v="1"/>
    <x v="570"/>
    <x v="159"/>
    <n v="231297"/>
  </r>
  <r>
    <s v="M0213"/>
    <x v="1"/>
    <x v="570"/>
    <x v="159"/>
    <n v="231297"/>
  </r>
  <r>
    <s v="M0213"/>
    <x v="1"/>
    <x v="571"/>
    <x v="217"/>
    <n v="201670"/>
  </r>
  <r>
    <s v="M0213"/>
    <x v="1"/>
    <x v="571"/>
    <x v="217"/>
    <n v="201670"/>
  </r>
  <r>
    <s v="M0213"/>
    <x v="1"/>
    <x v="571"/>
    <x v="217"/>
    <n v="201670"/>
  </r>
  <r>
    <s v="M0213"/>
    <x v="1"/>
    <x v="571"/>
    <x v="217"/>
    <n v="201670"/>
  </r>
  <r>
    <s v="M0241"/>
    <x v="1"/>
    <x v="572"/>
    <x v="201"/>
    <n v="84617"/>
  </r>
  <r>
    <s v="M0241"/>
    <x v="1"/>
    <x v="572"/>
    <x v="201"/>
    <n v="84617"/>
  </r>
  <r>
    <s v="M0241"/>
    <x v="1"/>
    <x v="573"/>
    <x v="274"/>
    <n v="36603"/>
  </r>
  <r>
    <s v="M0241"/>
    <x v="1"/>
    <x v="573"/>
    <x v="274"/>
    <n v="36603"/>
  </r>
  <r>
    <s v="M0241"/>
    <x v="1"/>
    <x v="574"/>
    <x v="275"/>
    <n v="96677"/>
  </r>
  <r>
    <s v="M0241"/>
    <x v="1"/>
    <x v="574"/>
    <x v="275"/>
    <n v="96677"/>
  </r>
  <r>
    <s v="M0241"/>
    <x v="1"/>
    <x v="575"/>
    <x v="186"/>
    <n v="153414"/>
  </r>
  <r>
    <s v="M0241"/>
    <x v="1"/>
    <x v="575"/>
    <x v="186"/>
    <n v="153414"/>
  </r>
  <r>
    <s v="M0183"/>
    <x v="0"/>
    <x v="576"/>
    <x v="176"/>
    <n v="388348"/>
  </r>
  <r>
    <s v="M0183"/>
    <x v="0"/>
    <x v="576"/>
    <x v="176"/>
    <n v="388348"/>
  </r>
  <r>
    <s v="M0183"/>
    <x v="0"/>
    <x v="576"/>
    <x v="176"/>
    <n v="388348"/>
  </r>
  <r>
    <s v="M0183"/>
    <x v="0"/>
    <x v="577"/>
    <x v="232"/>
    <n v="320658"/>
  </r>
  <r>
    <s v="M0183"/>
    <x v="0"/>
    <x v="577"/>
    <x v="232"/>
    <n v="320658"/>
  </r>
  <r>
    <s v="M0183"/>
    <x v="0"/>
    <x v="577"/>
    <x v="232"/>
    <n v="320658"/>
  </r>
  <r>
    <s v="M0183"/>
    <x v="0"/>
    <x v="578"/>
    <x v="276"/>
    <n v="511903"/>
  </r>
  <r>
    <s v="M0183"/>
    <x v="0"/>
    <x v="578"/>
    <x v="276"/>
    <n v="511903"/>
  </r>
  <r>
    <s v="M0183"/>
    <x v="0"/>
    <x v="578"/>
    <x v="276"/>
    <n v="511903"/>
  </r>
  <r>
    <s v="M0183"/>
    <x v="0"/>
    <x v="579"/>
    <x v="277"/>
    <n v="691411"/>
  </r>
  <r>
    <s v="M0183"/>
    <x v="0"/>
    <x v="579"/>
    <x v="277"/>
    <n v="691411"/>
  </r>
  <r>
    <s v="M0183"/>
    <x v="0"/>
    <x v="579"/>
    <x v="277"/>
    <n v="691411"/>
  </r>
  <r>
    <s v="M0183"/>
    <x v="0"/>
    <x v="580"/>
    <x v="128"/>
    <n v="205650"/>
  </r>
  <r>
    <s v="M0183"/>
    <x v="0"/>
    <x v="580"/>
    <x v="128"/>
    <n v="205650"/>
  </r>
  <r>
    <s v="M0183"/>
    <x v="0"/>
    <x v="580"/>
    <x v="128"/>
    <n v="205650"/>
  </r>
  <r>
    <s v="M0183"/>
    <x v="0"/>
    <x v="581"/>
    <x v="278"/>
    <n v="320384"/>
  </r>
  <r>
    <s v="M0183"/>
    <x v="0"/>
    <x v="581"/>
    <x v="278"/>
    <n v="320384"/>
  </r>
  <r>
    <s v="M0183"/>
    <x v="0"/>
    <x v="581"/>
    <x v="278"/>
    <n v="320384"/>
  </r>
  <r>
    <s v="M0183"/>
    <x v="0"/>
    <x v="582"/>
    <x v="210"/>
    <n v="427053"/>
  </r>
  <r>
    <s v="M0183"/>
    <x v="0"/>
    <x v="582"/>
    <x v="210"/>
    <n v="427053"/>
  </r>
  <r>
    <s v="M0183"/>
    <x v="0"/>
    <x v="582"/>
    <x v="210"/>
    <n v="427053"/>
  </r>
  <r>
    <s v="M0183"/>
    <x v="0"/>
    <x v="583"/>
    <x v="56"/>
    <n v="316357"/>
  </r>
  <r>
    <s v="M0183"/>
    <x v="0"/>
    <x v="583"/>
    <x v="56"/>
    <n v="316357"/>
  </r>
  <r>
    <s v="M0183"/>
    <x v="0"/>
    <x v="583"/>
    <x v="56"/>
    <n v="316357"/>
  </r>
  <r>
    <s v="M0183"/>
    <x v="0"/>
    <x v="584"/>
    <x v="279"/>
    <n v="332635"/>
  </r>
  <r>
    <s v="M0183"/>
    <x v="0"/>
    <x v="584"/>
    <x v="279"/>
    <n v="332635"/>
  </r>
  <r>
    <s v="M0183"/>
    <x v="0"/>
    <x v="584"/>
    <x v="279"/>
    <n v="332635"/>
  </r>
  <r>
    <s v="M0183"/>
    <x v="0"/>
    <x v="585"/>
    <x v="280"/>
    <n v="526367"/>
  </r>
  <r>
    <s v="M0183"/>
    <x v="0"/>
    <x v="585"/>
    <x v="280"/>
    <n v="526367"/>
  </r>
  <r>
    <s v="M0183"/>
    <x v="0"/>
    <x v="585"/>
    <x v="280"/>
    <n v="526367"/>
  </r>
  <r>
    <s v="M0183"/>
    <x v="0"/>
    <x v="586"/>
    <x v="281"/>
    <n v="642243"/>
  </r>
  <r>
    <s v="M0183"/>
    <x v="0"/>
    <x v="586"/>
    <x v="281"/>
    <n v="642243"/>
  </r>
  <r>
    <s v="M0183"/>
    <x v="0"/>
    <x v="586"/>
    <x v="281"/>
    <n v="642243"/>
  </r>
  <r>
    <s v="M0183"/>
    <x v="0"/>
    <x v="587"/>
    <x v="84"/>
    <n v="301452"/>
  </r>
  <r>
    <s v="M0183"/>
    <x v="0"/>
    <x v="587"/>
    <x v="84"/>
    <n v="301452"/>
  </r>
  <r>
    <s v="M0183"/>
    <x v="0"/>
    <x v="587"/>
    <x v="84"/>
    <n v="301452"/>
  </r>
  <r>
    <s v="M0183"/>
    <x v="0"/>
    <x v="588"/>
    <x v="25"/>
    <n v="100280"/>
  </r>
  <r>
    <s v="M0183"/>
    <x v="0"/>
    <x v="588"/>
    <x v="25"/>
    <n v="100280"/>
  </r>
  <r>
    <s v="M0183"/>
    <x v="0"/>
    <x v="588"/>
    <x v="25"/>
    <n v="100280"/>
  </r>
  <r>
    <s v="M0183"/>
    <x v="0"/>
    <x v="589"/>
    <x v="24"/>
    <n v="605749"/>
  </r>
  <r>
    <s v="M0183"/>
    <x v="0"/>
    <x v="589"/>
    <x v="24"/>
    <n v="605749"/>
  </r>
  <r>
    <s v="M0183"/>
    <x v="0"/>
    <x v="589"/>
    <x v="24"/>
    <n v="605749"/>
  </r>
  <r>
    <s v="M0183"/>
    <x v="0"/>
    <x v="590"/>
    <x v="182"/>
    <n v="187936"/>
  </r>
  <r>
    <s v="M0183"/>
    <x v="0"/>
    <x v="590"/>
    <x v="182"/>
    <n v="187936"/>
  </r>
  <r>
    <s v="M0183"/>
    <x v="0"/>
    <x v="590"/>
    <x v="182"/>
    <n v="187936"/>
  </r>
  <r>
    <s v="M0183"/>
    <x v="0"/>
    <x v="591"/>
    <x v="8"/>
    <n v="390847"/>
  </r>
  <r>
    <s v="M0183"/>
    <x v="0"/>
    <x v="591"/>
    <x v="8"/>
    <n v="390847"/>
  </r>
  <r>
    <s v="M0183"/>
    <x v="0"/>
    <x v="591"/>
    <x v="8"/>
    <n v="390847"/>
  </r>
  <r>
    <s v="M0056"/>
    <x v="0"/>
    <x v="592"/>
    <x v="280"/>
    <n v="275636"/>
  </r>
  <r>
    <s v="M0056"/>
    <x v="0"/>
    <x v="592"/>
    <x v="280"/>
    <n v="275636"/>
  </r>
  <r>
    <s v="M0056"/>
    <x v="0"/>
    <x v="592"/>
    <x v="280"/>
    <n v="275636"/>
  </r>
  <r>
    <s v="M0056"/>
    <x v="0"/>
    <x v="593"/>
    <x v="282"/>
    <n v="324560"/>
  </r>
  <r>
    <s v="M0056"/>
    <x v="0"/>
    <x v="593"/>
    <x v="282"/>
    <n v="324560"/>
  </r>
  <r>
    <s v="M0056"/>
    <x v="0"/>
    <x v="593"/>
    <x v="282"/>
    <n v="324560"/>
  </r>
  <r>
    <s v="M0056"/>
    <x v="0"/>
    <x v="594"/>
    <x v="283"/>
    <n v="322414"/>
  </r>
  <r>
    <s v="M0056"/>
    <x v="0"/>
    <x v="594"/>
    <x v="283"/>
    <n v="322414"/>
  </r>
  <r>
    <s v="M0056"/>
    <x v="0"/>
    <x v="594"/>
    <x v="283"/>
    <n v="322414"/>
  </r>
  <r>
    <s v="M0056"/>
    <x v="0"/>
    <x v="595"/>
    <x v="284"/>
    <n v="231282"/>
  </r>
  <r>
    <s v="M0056"/>
    <x v="0"/>
    <x v="595"/>
    <x v="284"/>
    <n v="231282"/>
  </r>
  <r>
    <s v="M0056"/>
    <x v="0"/>
    <x v="595"/>
    <x v="284"/>
    <n v="231282"/>
  </r>
  <r>
    <s v="M0056"/>
    <x v="0"/>
    <x v="596"/>
    <x v="285"/>
    <n v="413790"/>
  </r>
  <r>
    <s v="M0056"/>
    <x v="0"/>
    <x v="596"/>
    <x v="285"/>
    <n v="413790"/>
  </r>
  <r>
    <s v="M0056"/>
    <x v="0"/>
    <x v="596"/>
    <x v="285"/>
    <n v="413790"/>
  </r>
  <r>
    <s v="M0056"/>
    <x v="0"/>
    <x v="597"/>
    <x v="286"/>
    <n v="459867"/>
  </r>
  <r>
    <s v="M0056"/>
    <x v="0"/>
    <x v="597"/>
    <x v="286"/>
    <n v="459867"/>
  </r>
  <r>
    <s v="M0056"/>
    <x v="0"/>
    <x v="597"/>
    <x v="286"/>
    <n v="459867"/>
  </r>
  <r>
    <s v="M0056"/>
    <x v="0"/>
    <x v="598"/>
    <x v="93"/>
    <n v="349291"/>
  </r>
  <r>
    <s v="M0056"/>
    <x v="0"/>
    <x v="598"/>
    <x v="93"/>
    <n v="349291"/>
  </r>
  <r>
    <s v="M0056"/>
    <x v="0"/>
    <x v="598"/>
    <x v="93"/>
    <n v="349291"/>
  </r>
  <r>
    <s v="M0056"/>
    <x v="0"/>
    <x v="599"/>
    <x v="199"/>
    <n v="396259"/>
  </r>
  <r>
    <s v="M0056"/>
    <x v="0"/>
    <x v="599"/>
    <x v="199"/>
    <n v="396259"/>
  </r>
  <r>
    <s v="M0056"/>
    <x v="0"/>
    <x v="599"/>
    <x v="199"/>
    <n v="396259"/>
  </r>
  <r>
    <s v="M0056"/>
    <x v="0"/>
    <x v="600"/>
    <x v="287"/>
    <n v="398231"/>
  </r>
  <r>
    <s v="M0056"/>
    <x v="0"/>
    <x v="600"/>
    <x v="287"/>
    <n v="398231"/>
  </r>
  <r>
    <s v="M0056"/>
    <x v="0"/>
    <x v="600"/>
    <x v="287"/>
    <n v="398231"/>
  </r>
  <r>
    <s v="M0056"/>
    <x v="0"/>
    <x v="601"/>
    <x v="199"/>
    <n v="138523"/>
  </r>
  <r>
    <s v="M0056"/>
    <x v="0"/>
    <x v="601"/>
    <x v="199"/>
    <n v="138523"/>
  </r>
  <r>
    <s v="M0056"/>
    <x v="0"/>
    <x v="601"/>
    <x v="199"/>
    <n v="138523"/>
  </r>
  <r>
    <s v="M0056"/>
    <x v="0"/>
    <x v="602"/>
    <x v="159"/>
    <n v="605826"/>
  </r>
  <r>
    <s v="M0056"/>
    <x v="0"/>
    <x v="602"/>
    <x v="159"/>
    <n v="605826"/>
  </r>
  <r>
    <s v="M0056"/>
    <x v="0"/>
    <x v="602"/>
    <x v="159"/>
    <n v="605826"/>
  </r>
  <r>
    <s v="M0056"/>
    <x v="0"/>
    <x v="603"/>
    <x v="80"/>
    <n v="77521"/>
  </r>
  <r>
    <s v="M0056"/>
    <x v="0"/>
    <x v="603"/>
    <x v="80"/>
    <n v="77521"/>
  </r>
  <r>
    <s v="M0056"/>
    <x v="0"/>
    <x v="603"/>
    <x v="80"/>
    <n v="77521"/>
  </r>
  <r>
    <s v="M0056"/>
    <x v="0"/>
    <x v="604"/>
    <x v="277"/>
    <n v="99801"/>
  </r>
  <r>
    <s v="M0056"/>
    <x v="0"/>
    <x v="604"/>
    <x v="277"/>
    <n v="99801"/>
  </r>
  <r>
    <s v="M0056"/>
    <x v="0"/>
    <x v="604"/>
    <x v="277"/>
    <n v="99801"/>
  </r>
  <r>
    <s v="M0056"/>
    <x v="0"/>
    <x v="605"/>
    <x v="284"/>
    <n v="692217"/>
  </r>
  <r>
    <s v="M0056"/>
    <x v="0"/>
    <x v="605"/>
    <x v="284"/>
    <n v="692217"/>
  </r>
  <r>
    <s v="M0056"/>
    <x v="0"/>
    <x v="605"/>
    <x v="284"/>
    <n v="692217"/>
  </r>
  <r>
    <s v="M0056"/>
    <x v="0"/>
    <x v="606"/>
    <x v="288"/>
    <n v="237482"/>
  </r>
  <r>
    <s v="M0056"/>
    <x v="0"/>
    <x v="606"/>
    <x v="288"/>
    <n v="237482"/>
  </r>
  <r>
    <s v="M0056"/>
    <x v="0"/>
    <x v="606"/>
    <x v="288"/>
    <n v="237482"/>
  </r>
  <r>
    <s v="M0056"/>
    <x v="0"/>
    <x v="607"/>
    <x v="142"/>
    <n v="413966"/>
  </r>
  <r>
    <s v="M0056"/>
    <x v="0"/>
    <x v="607"/>
    <x v="142"/>
    <n v="413966"/>
  </r>
  <r>
    <s v="M0056"/>
    <x v="0"/>
    <x v="607"/>
    <x v="142"/>
    <n v="413966"/>
  </r>
  <r>
    <s v="M0056"/>
    <x v="0"/>
    <x v="608"/>
    <x v="28"/>
    <n v="140560"/>
  </r>
  <r>
    <s v="M0056"/>
    <x v="0"/>
    <x v="608"/>
    <x v="28"/>
    <n v="140560"/>
  </r>
  <r>
    <s v="M0056"/>
    <x v="0"/>
    <x v="608"/>
    <x v="28"/>
    <n v="140560"/>
  </r>
  <r>
    <s v="M0056"/>
    <x v="0"/>
    <x v="609"/>
    <x v="289"/>
    <n v="61365"/>
  </r>
  <r>
    <s v="M0056"/>
    <x v="0"/>
    <x v="609"/>
    <x v="289"/>
    <n v="61365"/>
  </r>
  <r>
    <s v="M0056"/>
    <x v="0"/>
    <x v="609"/>
    <x v="289"/>
    <n v="61365"/>
  </r>
  <r>
    <s v="M0056"/>
    <x v="0"/>
    <x v="610"/>
    <x v="290"/>
    <n v="206134"/>
  </r>
  <r>
    <s v="M0056"/>
    <x v="0"/>
    <x v="610"/>
    <x v="290"/>
    <n v="206134"/>
  </r>
  <r>
    <s v="M0056"/>
    <x v="0"/>
    <x v="610"/>
    <x v="290"/>
    <n v="206134"/>
  </r>
  <r>
    <s v="M0056"/>
    <x v="0"/>
    <x v="611"/>
    <x v="128"/>
    <n v="74997"/>
  </r>
  <r>
    <s v="M0056"/>
    <x v="0"/>
    <x v="611"/>
    <x v="128"/>
    <n v="74997"/>
  </r>
  <r>
    <s v="M0056"/>
    <x v="0"/>
    <x v="611"/>
    <x v="128"/>
    <n v="74997"/>
  </r>
  <r>
    <s v="M0056"/>
    <x v="0"/>
    <x v="612"/>
    <x v="183"/>
    <n v="290019"/>
  </r>
  <r>
    <s v="M0056"/>
    <x v="0"/>
    <x v="612"/>
    <x v="183"/>
    <n v="290019"/>
  </r>
  <r>
    <s v="M0056"/>
    <x v="0"/>
    <x v="612"/>
    <x v="183"/>
    <n v="290019"/>
  </r>
  <r>
    <s v="M0056"/>
    <x v="0"/>
    <x v="613"/>
    <x v="291"/>
    <n v="330392"/>
  </r>
  <r>
    <s v="M0056"/>
    <x v="0"/>
    <x v="613"/>
    <x v="291"/>
    <n v="330392"/>
  </r>
  <r>
    <s v="M0056"/>
    <x v="0"/>
    <x v="613"/>
    <x v="291"/>
    <n v="330392"/>
  </r>
  <r>
    <s v="M0056"/>
    <x v="0"/>
    <x v="614"/>
    <x v="149"/>
    <n v="786056"/>
  </r>
  <r>
    <s v="M0056"/>
    <x v="0"/>
    <x v="614"/>
    <x v="149"/>
    <n v="786056"/>
  </r>
  <r>
    <s v="M0056"/>
    <x v="0"/>
    <x v="614"/>
    <x v="149"/>
    <n v="786056"/>
  </r>
  <r>
    <s v="M0056"/>
    <x v="0"/>
    <x v="615"/>
    <x v="0"/>
    <n v="646757"/>
  </r>
  <r>
    <s v="M0056"/>
    <x v="0"/>
    <x v="615"/>
    <x v="0"/>
    <n v="646757"/>
  </r>
  <r>
    <s v="M0056"/>
    <x v="0"/>
    <x v="615"/>
    <x v="0"/>
    <n v="646757"/>
  </r>
  <r>
    <s v="M0198"/>
    <x v="2"/>
    <x v="616"/>
    <x v="127"/>
    <n v="214894"/>
  </r>
  <r>
    <s v="M0198"/>
    <x v="2"/>
    <x v="617"/>
    <x v="53"/>
    <n v="87104"/>
  </r>
  <r>
    <s v="M0198"/>
    <x v="2"/>
    <x v="618"/>
    <x v="230"/>
    <n v="460911"/>
  </r>
  <r>
    <s v="M0198"/>
    <x v="2"/>
    <x v="619"/>
    <x v="253"/>
    <n v="657363"/>
  </r>
  <r>
    <s v="M0198"/>
    <x v="2"/>
    <x v="620"/>
    <x v="292"/>
    <n v="150331"/>
  </r>
  <r>
    <s v="M0198"/>
    <x v="2"/>
    <x v="621"/>
    <x v="52"/>
    <n v="208130"/>
  </r>
  <r>
    <s v="M0198"/>
    <x v="2"/>
    <x v="622"/>
    <x v="201"/>
    <n v="496901"/>
  </r>
  <r>
    <s v="M0198"/>
    <x v="2"/>
    <x v="623"/>
    <x v="293"/>
    <n v="395669"/>
  </r>
  <r>
    <s v="M0198"/>
    <x v="2"/>
    <x v="624"/>
    <x v="294"/>
    <n v="170107"/>
  </r>
  <r>
    <s v="M0198"/>
    <x v="2"/>
    <x v="625"/>
    <x v="254"/>
    <n v="484374"/>
  </r>
  <r>
    <s v="M0198"/>
    <x v="2"/>
    <x v="626"/>
    <x v="59"/>
    <n v="114310"/>
  </r>
  <r>
    <s v="M0198"/>
    <x v="2"/>
    <x v="627"/>
    <x v="101"/>
    <n v="318150"/>
  </r>
  <r>
    <s v="M0162"/>
    <x v="2"/>
    <x v="628"/>
    <x v="172"/>
    <n v="78759"/>
  </r>
  <r>
    <s v="M0162"/>
    <x v="2"/>
    <x v="628"/>
    <x v="172"/>
    <n v="78759"/>
  </r>
  <r>
    <s v="M0162"/>
    <x v="2"/>
    <x v="629"/>
    <x v="253"/>
    <n v="1043999"/>
  </r>
  <r>
    <s v="M0162"/>
    <x v="2"/>
    <x v="629"/>
    <x v="253"/>
    <n v="1043999"/>
  </r>
  <r>
    <s v="M0162"/>
    <x v="2"/>
    <x v="630"/>
    <x v="226"/>
    <n v="313570"/>
  </r>
  <r>
    <s v="M0162"/>
    <x v="2"/>
    <x v="630"/>
    <x v="226"/>
    <n v="313570"/>
  </r>
  <r>
    <s v="M0162"/>
    <x v="2"/>
    <x v="631"/>
    <x v="98"/>
    <n v="129406"/>
  </r>
  <r>
    <s v="M0162"/>
    <x v="2"/>
    <x v="631"/>
    <x v="98"/>
    <n v="129406"/>
  </r>
  <r>
    <s v="M0162"/>
    <x v="2"/>
    <x v="632"/>
    <x v="187"/>
    <n v="257418"/>
  </r>
  <r>
    <s v="M0162"/>
    <x v="2"/>
    <x v="632"/>
    <x v="187"/>
    <n v="257418"/>
  </r>
  <r>
    <s v="M0162"/>
    <x v="2"/>
    <x v="633"/>
    <x v="295"/>
    <n v="520661"/>
  </r>
  <r>
    <s v="M0162"/>
    <x v="2"/>
    <x v="633"/>
    <x v="295"/>
    <n v="520661"/>
  </r>
  <r>
    <s v="M0075"/>
    <x v="0"/>
    <x v="634"/>
    <x v="296"/>
    <n v="492383"/>
  </r>
  <r>
    <s v="M0075"/>
    <x v="0"/>
    <x v="635"/>
    <x v="297"/>
    <n v="427645"/>
  </r>
  <r>
    <s v="M0075"/>
    <x v="0"/>
    <x v="636"/>
    <x v="298"/>
    <n v="625288"/>
  </r>
  <r>
    <s v="M0075"/>
    <x v="0"/>
    <x v="637"/>
    <x v="86"/>
    <n v="130574"/>
  </r>
  <r>
    <s v="M0075"/>
    <x v="0"/>
    <x v="638"/>
    <x v="93"/>
    <n v="308501"/>
  </r>
  <r>
    <s v="M0075"/>
    <x v="0"/>
    <x v="639"/>
    <x v="299"/>
    <n v="375871"/>
  </r>
  <r>
    <s v="M0075"/>
    <x v="0"/>
    <x v="640"/>
    <x v="34"/>
    <n v="65909"/>
  </r>
  <r>
    <s v="M0075"/>
    <x v="0"/>
    <x v="641"/>
    <x v="222"/>
    <n v="192224"/>
  </r>
  <r>
    <s v="M0075"/>
    <x v="0"/>
    <x v="642"/>
    <x v="67"/>
    <n v="47566"/>
  </r>
  <r>
    <s v="M0043"/>
    <x v="0"/>
    <x v="643"/>
    <x v="260"/>
    <n v="36111"/>
  </r>
  <r>
    <s v="M0043"/>
    <x v="0"/>
    <x v="643"/>
    <x v="260"/>
    <n v="36111"/>
  </r>
  <r>
    <s v="M0043"/>
    <x v="0"/>
    <x v="644"/>
    <x v="200"/>
    <n v="302929"/>
  </r>
  <r>
    <s v="M0043"/>
    <x v="0"/>
    <x v="644"/>
    <x v="200"/>
    <n v="302929"/>
  </r>
  <r>
    <s v="M0043"/>
    <x v="0"/>
    <x v="645"/>
    <x v="206"/>
    <n v="492665"/>
  </r>
  <r>
    <s v="M0043"/>
    <x v="0"/>
    <x v="645"/>
    <x v="206"/>
    <n v="492665"/>
  </r>
  <r>
    <s v="M0090"/>
    <x v="1"/>
    <x v="646"/>
    <x v="60"/>
    <n v="456392"/>
  </r>
  <r>
    <s v="M0090"/>
    <x v="1"/>
    <x v="646"/>
    <x v="60"/>
    <n v="456392"/>
  </r>
  <r>
    <s v="M0090"/>
    <x v="1"/>
    <x v="646"/>
    <x v="60"/>
    <n v="456392"/>
  </r>
  <r>
    <s v="M0090"/>
    <x v="1"/>
    <x v="646"/>
    <x v="60"/>
    <n v="456392"/>
  </r>
  <r>
    <s v="M0090"/>
    <x v="1"/>
    <x v="646"/>
    <x v="60"/>
    <n v="456392"/>
  </r>
  <r>
    <s v="M0090"/>
    <x v="1"/>
    <x v="646"/>
    <x v="60"/>
    <n v="456392"/>
  </r>
  <r>
    <s v="M0090"/>
    <x v="1"/>
    <x v="646"/>
    <x v="60"/>
    <n v="456392"/>
  </r>
  <r>
    <s v="M0090"/>
    <x v="1"/>
    <x v="646"/>
    <x v="60"/>
    <n v="456392"/>
  </r>
  <r>
    <s v="M0090"/>
    <x v="1"/>
    <x v="647"/>
    <x v="300"/>
    <n v="120157"/>
  </r>
  <r>
    <s v="M0090"/>
    <x v="1"/>
    <x v="647"/>
    <x v="300"/>
    <n v="120157"/>
  </r>
  <r>
    <s v="M0090"/>
    <x v="1"/>
    <x v="647"/>
    <x v="300"/>
    <n v="120157"/>
  </r>
  <r>
    <s v="M0090"/>
    <x v="1"/>
    <x v="647"/>
    <x v="300"/>
    <n v="120157"/>
  </r>
  <r>
    <s v="M0090"/>
    <x v="1"/>
    <x v="647"/>
    <x v="300"/>
    <n v="120157"/>
  </r>
  <r>
    <s v="M0090"/>
    <x v="1"/>
    <x v="647"/>
    <x v="300"/>
    <n v="120157"/>
  </r>
  <r>
    <s v="M0090"/>
    <x v="1"/>
    <x v="647"/>
    <x v="300"/>
    <n v="120157"/>
  </r>
  <r>
    <s v="M0090"/>
    <x v="1"/>
    <x v="647"/>
    <x v="300"/>
    <n v="120157"/>
  </r>
  <r>
    <s v="M0090"/>
    <x v="1"/>
    <x v="648"/>
    <x v="301"/>
    <n v="185777"/>
  </r>
  <r>
    <s v="M0090"/>
    <x v="1"/>
    <x v="648"/>
    <x v="301"/>
    <n v="185777"/>
  </r>
  <r>
    <s v="M0090"/>
    <x v="1"/>
    <x v="648"/>
    <x v="301"/>
    <n v="185777"/>
  </r>
  <r>
    <s v="M0090"/>
    <x v="1"/>
    <x v="648"/>
    <x v="301"/>
    <n v="185777"/>
  </r>
  <r>
    <s v="M0090"/>
    <x v="1"/>
    <x v="648"/>
    <x v="301"/>
    <n v="185777"/>
  </r>
  <r>
    <s v="M0090"/>
    <x v="1"/>
    <x v="648"/>
    <x v="301"/>
    <n v="185777"/>
  </r>
  <r>
    <s v="M0090"/>
    <x v="1"/>
    <x v="648"/>
    <x v="301"/>
    <n v="185777"/>
  </r>
  <r>
    <s v="M0090"/>
    <x v="1"/>
    <x v="648"/>
    <x v="301"/>
    <n v="185777"/>
  </r>
  <r>
    <s v="M0090"/>
    <x v="1"/>
    <x v="649"/>
    <x v="41"/>
    <n v="29826"/>
  </r>
  <r>
    <s v="M0090"/>
    <x v="1"/>
    <x v="649"/>
    <x v="41"/>
    <n v="29826"/>
  </r>
  <r>
    <s v="M0090"/>
    <x v="1"/>
    <x v="649"/>
    <x v="41"/>
    <n v="29826"/>
  </r>
  <r>
    <s v="M0090"/>
    <x v="1"/>
    <x v="649"/>
    <x v="41"/>
    <n v="29826"/>
  </r>
  <r>
    <s v="M0090"/>
    <x v="1"/>
    <x v="649"/>
    <x v="41"/>
    <n v="29826"/>
  </r>
  <r>
    <s v="M0090"/>
    <x v="1"/>
    <x v="649"/>
    <x v="41"/>
    <n v="29826"/>
  </r>
  <r>
    <s v="M0090"/>
    <x v="1"/>
    <x v="649"/>
    <x v="41"/>
    <n v="29826"/>
  </r>
  <r>
    <s v="M0090"/>
    <x v="1"/>
    <x v="649"/>
    <x v="41"/>
    <n v="29826"/>
  </r>
  <r>
    <s v="M0090"/>
    <x v="1"/>
    <x v="650"/>
    <x v="302"/>
    <n v="153233"/>
  </r>
  <r>
    <s v="M0090"/>
    <x v="1"/>
    <x v="650"/>
    <x v="302"/>
    <n v="153233"/>
  </r>
  <r>
    <s v="M0090"/>
    <x v="1"/>
    <x v="650"/>
    <x v="302"/>
    <n v="153233"/>
  </r>
  <r>
    <s v="M0090"/>
    <x v="1"/>
    <x v="650"/>
    <x v="302"/>
    <n v="153233"/>
  </r>
  <r>
    <s v="M0090"/>
    <x v="1"/>
    <x v="650"/>
    <x v="302"/>
    <n v="153233"/>
  </r>
  <r>
    <s v="M0090"/>
    <x v="1"/>
    <x v="650"/>
    <x v="302"/>
    <n v="153233"/>
  </r>
  <r>
    <s v="M0090"/>
    <x v="1"/>
    <x v="650"/>
    <x v="302"/>
    <n v="153233"/>
  </r>
  <r>
    <s v="M0090"/>
    <x v="1"/>
    <x v="650"/>
    <x v="302"/>
    <n v="153233"/>
  </r>
  <r>
    <s v="M0090"/>
    <x v="1"/>
    <x v="651"/>
    <x v="16"/>
    <n v="97346"/>
  </r>
  <r>
    <s v="M0090"/>
    <x v="1"/>
    <x v="651"/>
    <x v="16"/>
    <n v="97346"/>
  </r>
  <r>
    <s v="M0090"/>
    <x v="1"/>
    <x v="651"/>
    <x v="16"/>
    <n v="97346"/>
  </r>
  <r>
    <s v="M0090"/>
    <x v="1"/>
    <x v="651"/>
    <x v="16"/>
    <n v="97346"/>
  </r>
  <r>
    <s v="M0090"/>
    <x v="1"/>
    <x v="651"/>
    <x v="16"/>
    <n v="97346"/>
  </r>
  <r>
    <s v="M0090"/>
    <x v="1"/>
    <x v="651"/>
    <x v="16"/>
    <n v="97346"/>
  </r>
  <r>
    <s v="M0090"/>
    <x v="1"/>
    <x v="651"/>
    <x v="16"/>
    <n v="97346"/>
  </r>
  <r>
    <s v="M0090"/>
    <x v="1"/>
    <x v="651"/>
    <x v="16"/>
    <n v="97346"/>
  </r>
  <r>
    <s v="M0090"/>
    <x v="1"/>
    <x v="652"/>
    <x v="70"/>
    <n v="209555"/>
  </r>
  <r>
    <s v="M0090"/>
    <x v="1"/>
    <x v="652"/>
    <x v="70"/>
    <n v="209555"/>
  </r>
  <r>
    <s v="M0090"/>
    <x v="1"/>
    <x v="652"/>
    <x v="70"/>
    <n v="209555"/>
  </r>
  <r>
    <s v="M0090"/>
    <x v="1"/>
    <x v="652"/>
    <x v="70"/>
    <n v="209555"/>
  </r>
  <r>
    <s v="M0090"/>
    <x v="1"/>
    <x v="652"/>
    <x v="70"/>
    <n v="209555"/>
  </r>
  <r>
    <s v="M0090"/>
    <x v="1"/>
    <x v="652"/>
    <x v="70"/>
    <n v="209555"/>
  </r>
  <r>
    <s v="M0090"/>
    <x v="1"/>
    <x v="652"/>
    <x v="70"/>
    <n v="209555"/>
  </r>
  <r>
    <s v="M0090"/>
    <x v="1"/>
    <x v="652"/>
    <x v="70"/>
    <n v="209555"/>
  </r>
  <r>
    <s v="M0090"/>
    <x v="1"/>
    <x v="653"/>
    <x v="263"/>
    <n v="200135"/>
  </r>
  <r>
    <s v="M0090"/>
    <x v="1"/>
    <x v="653"/>
    <x v="263"/>
    <n v="200135"/>
  </r>
  <r>
    <s v="M0090"/>
    <x v="1"/>
    <x v="653"/>
    <x v="263"/>
    <n v="200135"/>
  </r>
  <r>
    <s v="M0090"/>
    <x v="1"/>
    <x v="653"/>
    <x v="263"/>
    <n v="200135"/>
  </r>
  <r>
    <s v="M0090"/>
    <x v="1"/>
    <x v="653"/>
    <x v="263"/>
    <n v="200135"/>
  </r>
  <r>
    <s v="M0090"/>
    <x v="1"/>
    <x v="653"/>
    <x v="263"/>
    <n v="200135"/>
  </r>
  <r>
    <s v="M0090"/>
    <x v="1"/>
    <x v="653"/>
    <x v="263"/>
    <n v="200135"/>
  </r>
  <r>
    <s v="M0090"/>
    <x v="1"/>
    <x v="653"/>
    <x v="263"/>
    <n v="200135"/>
  </r>
  <r>
    <s v="M0229"/>
    <x v="1"/>
    <x v="654"/>
    <x v="60"/>
    <n v="199635"/>
  </r>
  <r>
    <s v="M0229"/>
    <x v="1"/>
    <x v="655"/>
    <x v="193"/>
    <n v="788659"/>
  </r>
  <r>
    <s v="M0229"/>
    <x v="1"/>
    <x v="656"/>
    <x v="110"/>
    <n v="649374"/>
  </r>
  <r>
    <s v="M0229"/>
    <x v="1"/>
    <x v="657"/>
    <x v="113"/>
    <n v="105873"/>
  </r>
  <r>
    <s v="M0192"/>
    <x v="1"/>
    <x v="658"/>
    <x v="219"/>
    <n v="368526"/>
  </r>
  <r>
    <s v="M0192"/>
    <x v="1"/>
    <x v="659"/>
    <x v="229"/>
    <n v="149794"/>
  </r>
  <r>
    <s v="M0192"/>
    <x v="1"/>
    <x v="660"/>
    <x v="124"/>
    <n v="161312"/>
  </r>
  <r>
    <s v="M0192"/>
    <x v="1"/>
    <x v="661"/>
    <x v="269"/>
    <n v="25000"/>
  </r>
  <r>
    <s v="M0192"/>
    <x v="1"/>
    <x v="662"/>
    <x v="263"/>
    <n v="337768"/>
  </r>
  <r>
    <s v="M0192"/>
    <x v="1"/>
    <x v="663"/>
    <x v="280"/>
    <n v="135153"/>
  </r>
  <r>
    <s v="M0192"/>
    <x v="1"/>
    <x v="664"/>
    <x v="303"/>
    <n v="571498"/>
  </r>
  <r>
    <s v="M0192"/>
    <x v="1"/>
    <x v="665"/>
    <x v="53"/>
    <n v="108963"/>
  </r>
  <r>
    <s v="M0192"/>
    <x v="1"/>
    <x v="666"/>
    <x v="42"/>
    <n v="25000"/>
  </r>
  <r>
    <s v="M0192"/>
    <x v="1"/>
    <x v="667"/>
    <x v="152"/>
    <n v="141700"/>
  </r>
  <r>
    <s v="M0192"/>
    <x v="1"/>
    <x v="668"/>
    <x v="102"/>
    <n v="159457"/>
  </r>
  <r>
    <s v="M0192"/>
    <x v="1"/>
    <x v="669"/>
    <x v="155"/>
    <n v="160595"/>
  </r>
  <r>
    <s v="M0192"/>
    <x v="1"/>
    <x v="670"/>
    <x v="130"/>
    <n v="207963"/>
  </r>
  <r>
    <s v="M0192"/>
    <x v="1"/>
    <x v="671"/>
    <x v="174"/>
    <n v="91276"/>
  </r>
  <r>
    <s v="M0192"/>
    <x v="1"/>
    <x v="672"/>
    <x v="301"/>
    <n v="25000"/>
  </r>
  <r>
    <s v="M0192"/>
    <x v="1"/>
    <x v="673"/>
    <x v="304"/>
    <n v="165177"/>
  </r>
  <r>
    <s v="M0192"/>
    <x v="1"/>
    <x v="674"/>
    <x v="25"/>
    <n v="295185"/>
  </r>
  <r>
    <s v="M0192"/>
    <x v="1"/>
    <x v="675"/>
    <x v="10"/>
    <n v="195004"/>
  </r>
  <r>
    <s v="M0192"/>
    <x v="1"/>
    <x v="676"/>
    <x v="305"/>
    <n v="355896"/>
  </r>
  <r>
    <s v="M0192"/>
    <x v="1"/>
    <x v="677"/>
    <x v="208"/>
    <n v="153018"/>
  </r>
  <r>
    <s v="M0179"/>
    <x v="1"/>
    <x v="678"/>
    <x v="306"/>
    <n v="373169"/>
  </r>
  <r>
    <s v="M0179"/>
    <x v="1"/>
    <x v="678"/>
    <x v="306"/>
    <n v="373169"/>
  </r>
  <r>
    <s v="M0179"/>
    <x v="1"/>
    <x v="678"/>
    <x v="306"/>
    <n v="373169"/>
  </r>
  <r>
    <s v="M0179"/>
    <x v="1"/>
    <x v="678"/>
    <x v="306"/>
    <n v="373169"/>
  </r>
  <r>
    <s v="M0179"/>
    <x v="1"/>
    <x v="678"/>
    <x v="306"/>
    <n v="373169"/>
  </r>
  <r>
    <s v="M0179"/>
    <x v="1"/>
    <x v="679"/>
    <x v="180"/>
    <n v="384403"/>
  </r>
  <r>
    <s v="M0179"/>
    <x v="1"/>
    <x v="679"/>
    <x v="180"/>
    <n v="384403"/>
  </r>
  <r>
    <s v="M0179"/>
    <x v="1"/>
    <x v="679"/>
    <x v="180"/>
    <n v="384403"/>
  </r>
  <r>
    <s v="M0179"/>
    <x v="1"/>
    <x v="679"/>
    <x v="180"/>
    <n v="384403"/>
  </r>
  <r>
    <s v="M0179"/>
    <x v="1"/>
    <x v="679"/>
    <x v="180"/>
    <n v="384403"/>
  </r>
  <r>
    <s v="M0179"/>
    <x v="1"/>
    <x v="680"/>
    <x v="68"/>
    <n v="452843"/>
  </r>
  <r>
    <s v="M0179"/>
    <x v="1"/>
    <x v="680"/>
    <x v="68"/>
    <n v="452843"/>
  </r>
  <r>
    <s v="M0179"/>
    <x v="1"/>
    <x v="680"/>
    <x v="68"/>
    <n v="452843"/>
  </r>
  <r>
    <s v="M0179"/>
    <x v="1"/>
    <x v="680"/>
    <x v="68"/>
    <n v="452843"/>
  </r>
  <r>
    <s v="M0179"/>
    <x v="1"/>
    <x v="680"/>
    <x v="68"/>
    <n v="452843"/>
  </r>
  <r>
    <s v="M0179"/>
    <x v="1"/>
    <x v="681"/>
    <x v="99"/>
    <n v="107651"/>
  </r>
  <r>
    <s v="M0179"/>
    <x v="1"/>
    <x v="681"/>
    <x v="99"/>
    <n v="107651"/>
  </r>
  <r>
    <s v="M0179"/>
    <x v="1"/>
    <x v="681"/>
    <x v="99"/>
    <n v="107651"/>
  </r>
  <r>
    <s v="M0179"/>
    <x v="1"/>
    <x v="681"/>
    <x v="99"/>
    <n v="107651"/>
  </r>
  <r>
    <s v="M0179"/>
    <x v="1"/>
    <x v="681"/>
    <x v="99"/>
    <n v="107651"/>
  </r>
  <r>
    <s v="M0160"/>
    <x v="0"/>
    <x v="682"/>
    <x v="69"/>
    <n v="446506"/>
  </r>
  <r>
    <s v="M0160"/>
    <x v="0"/>
    <x v="682"/>
    <x v="69"/>
    <n v="446506"/>
  </r>
  <r>
    <s v="M0160"/>
    <x v="0"/>
    <x v="682"/>
    <x v="69"/>
    <n v="446506"/>
  </r>
  <r>
    <s v="M0160"/>
    <x v="0"/>
    <x v="682"/>
    <x v="69"/>
    <n v="446506"/>
  </r>
  <r>
    <s v="M0160"/>
    <x v="0"/>
    <x v="683"/>
    <x v="67"/>
    <n v="764904"/>
  </r>
  <r>
    <s v="M0160"/>
    <x v="0"/>
    <x v="683"/>
    <x v="67"/>
    <n v="764904"/>
  </r>
  <r>
    <s v="M0160"/>
    <x v="0"/>
    <x v="683"/>
    <x v="67"/>
    <n v="764904"/>
  </r>
  <r>
    <s v="M0160"/>
    <x v="0"/>
    <x v="683"/>
    <x v="67"/>
    <n v="764904"/>
  </r>
  <r>
    <s v="M0160"/>
    <x v="0"/>
    <x v="684"/>
    <x v="201"/>
    <n v="164700"/>
  </r>
  <r>
    <s v="M0160"/>
    <x v="0"/>
    <x v="684"/>
    <x v="201"/>
    <n v="164700"/>
  </r>
  <r>
    <s v="M0160"/>
    <x v="0"/>
    <x v="684"/>
    <x v="201"/>
    <n v="164700"/>
  </r>
  <r>
    <s v="M0160"/>
    <x v="0"/>
    <x v="684"/>
    <x v="201"/>
    <n v="164700"/>
  </r>
  <r>
    <s v="M0160"/>
    <x v="0"/>
    <x v="685"/>
    <x v="0"/>
    <n v="624283"/>
  </r>
  <r>
    <s v="M0160"/>
    <x v="0"/>
    <x v="685"/>
    <x v="0"/>
    <n v="624283"/>
  </r>
  <r>
    <s v="M0160"/>
    <x v="0"/>
    <x v="685"/>
    <x v="0"/>
    <n v="624283"/>
  </r>
  <r>
    <s v="M0160"/>
    <x v="0"/>
    <x v="685"/>
    <x v="0"/>
    <n v="624283"/>
  </r>
  <r>
    <s v="M0160"/>
    <x v="0"/>
    <x v="686"/>
    <x v="237"/>
    <n v="225394"/>
  </r>
  <r>
    <s v="M0160"/>
    <x v="0"/>
    <x v="686"/>
    <x v="237"/>
    <n v="225394"/>
  </r>
  <r>
    <s v="M0160"/>
    <x v="0"/>
    <x v="686"/>
    <x v="237"/>
    <n v="225394"/>
  </r>
  <r>
    <s v="M0160"/>
    <x v="0"/>
    <x v="686"/>
    <x v="237"/>
    <n v="225394"/>
  </r>
  <r>
    <s v="M0160"/>
    <x v="0"/>
    <x v="687"/>
    <x v="307"/>
    <n v="217733"/>
  </r>
  <r>
    <s v="M0160"/>
    <x v="0"/>
    <x v="687"/>
    <x v="307"/>
    <n v="217733"/>
  </r>
  <r>
    <s v="M0160"/>
    <x v="0"/>
    <x v="687"/>
    <x v="307"/>
    <n v="217733"/>
  </r>
  <r>
    <s v="M0160"/>
    <x v="0"/>
    <x v="687"/>
    <x v="307"/>
    <n v="217733"/>
  </r>
  <r>
    <s v="M0051"/>
    <x v="1"/>
    <x v="688"/>
    <x v="308"/>
    <n v="638305"/>
  </r>
  <r>
    <s v="M0051"/>
    <x v="1"/>
    <x v="688"/>
    <x v="308"/>
    <n v="638305"/>
  </r>
  <r>
    <s v="M0051"/>
    <x v="1"/>
    <x v="688"/>
    <x v="308"/>
    <n v="638305"/>
  </r>
  <r>
    <s v="M0051"/>
    <x v="1"/>
    <x v="688"/>
    <x v="308"/>
    <n v="638305"/>
  </r>
  <r>
    <s v="M0051"/>
    <x v="1"/>
    <x v="689"/>
    <x v="90"/>
    <n v="783953"/>
  </r>
  <r>
    <s v="M0051"/>
    <x v="1"/>
    <x v="689"/>
    <x v="90"/>
    <n v="783953"/>
  </r>
  <r>
    <s v="M0051"/>
    <x v="1"/>
    <x v="689"/>
    <x v="90"/>
    <n v="783953"/>
  </r>
  <r>
    <s v="M0051"/>
    <x v="1"/>
    <x v="689"/>
    <x v="90"/>
    <n v="783953"/>
  </r>
  <r>
    <s v="M0051"/>
    <x v="1"/>
    <x v="690"/>
    <x v="206"/>
    <n v="393687"/>
  </r>
  <r>
    <s v="M0051"/>
    <x v="1"/>
    <x v="690"/>
    <x v="206"/>
    <n v="393687"/>
  </r>
  <r>
    <s v="M0051"/>
    <x v="1"/>
    <x v="690"/>
    <x v="206"/>
    <n v="393687"/>
  </r>
  <r>
    <s v="M0051"/>
    <x v="1"/>
    <x v="690"/>
    <x v="206"/>
    <n v="393687"/>
  </r>
  <r>
    <s v="M0051"/>
    <x v="1"/>
    <x v="691"/>
    <x v="88"/>
    <n v="558173"/>
  </r>
  <r>
    <s v="M0051"/>
    <x v="1"/>
    <x v="691"/>
    <x v="88"/>
    <n v="558173"/>
  </r>
  <r>
    <s v="M0051"/>
    <x v="1"/>
    <x v="691"/>
    <x v="88"/>
    <n v="558173"/>
  </r>
  <r>
    <s v="M0051"/>
    <x v="1"/>
    <x v="691"/>
    <x v="88"/>
    <n v="558173"/>
  </r>
  <r>
    <s v="M0051"/>
    <x v="1"/>
    <x v="692"/>
    <x v="309"/>
    <n v="157585"/>
  </r>
  <r>
    <s v="M0051"/>
    <x v="1"/>
    <x v="692"/>
    <x v="309"/>
    <n v="157585"/>
  </r>
  <r>
    <s v="M0051"/>
    <x v="1"/>
    <x v="692"/>
    <x v="309"/>
    <n v="157585"/>
  </r>
  <r>
    <s v="M0051"/>
    <x v="1"/>
    <x v="692"/>
    <x v="309"/>
    <n v="157585"/>
  </r>
  <r>
    <s v="M0051"/>
    <x v="1"/>
    <x v="693"/>
    <x v="310"/>
    <n v="154962"/>
  </r>
  <r>
    <s v="M0051"/>
    <x v="1"/>
    <x v="693"/>
    <x v="310"/>
    <n v="154962"/>
  </r>
  <r>
    <s v="M0051"/>
    <x v="1"/>
    <x v="693"/>
    <x v="310"/>
    <n v="154962"/>
  </r>
  <r>
    <s v="M0051"/>
    <x v="1"/>
    <x v="693"/>
    <x v="310"/>
    <n v="154962"/>
  </r>
  <r>
    <s v="M0051"/>
    <x v="1"/>
    <x v="694"/>
    <x v="29"/>
    <n v="160626"/>
  </r>
  <r>
    <s v="M0051"/>
    <x v="1"/>
    <x v="694"/>
    <x v="29"/>
    <n v="160626"/>
  </r>
  <r>
    <s v="M0051"/>
    <x v="1"/>
    <x v="694"/>
    <x v="29"/>
    <n v="160626"/>
  </r>
  <r>
    <s v="M0051"/>
    <x v="1"/>
    <x v="694"/>
    <x v="29"/>
    <n v="160626"/>
  </r>
  <r>
    <s v="M0051"/>
    <x v="1"/>
    <x v="695"/>
    <x v="311"/>
    <n v="149119"/>
  </r>
  <r>
    <s v="M0051"/>
    <x v="1"/>
    <x v="695"/>
    <x v="311"/>
    <n v="149119"/>
  </r>
  <r>
    <s v="M0051"/>
    <x v="1"/>
    <x v="695"/>
    <x v="311"/>
    <n v="149119"/>
  </r>
  <r>
    <s v="M0051"/>
    <x v="1"/>
    <x v="695"/>
    <x v="311"/>
    <n v="149119"/>
  </r>
  <r>
    <s v="M0051"/>
    <x v="1"/>
    <x v="696"/>
    <x v="188"/>
    <n v="145769"/>
  </r>
  <r>
    <s v="M0051"/>
    <x v="1"/>
    <x v="696"/>
    <x v="188"/>
    <n v="145769"/>
  </r>
  <r>
    <s v="M0051"/>
    <x v="1"/>
    <x v="696"/>
    <x v="188"/>
    <n v="145769"/>
  </r>
  <r>
    <s v="M0051"/>
    <x v="1"/>
    <x v="696"/>
    <x v="188"/>
    <n v="145769"/>
  </r>
  <r>
    <s v="M0051"/>
    <x v="1"/>
    <x v="697"/>
    <x v="231"/>
    <n v="685359"/>
  </r>
  <r>
    <s v="M0051"/>
    <x v="1"/>
    <x v="697"/>
    <x v="231"/>
    <n v="685359"/>
  </r>
  <r>
    <s v="M0051"/>
    <x v="1"/>
    <x v="697"/>
    <x v="231"/>
    <n v="685359"/>
  </r>
  <r>
    <s v="M0051"/>
    <x v="1"/>
    <x v="697"/>
    <x v="231"/>
    <n v="685359"/>
  </r>
  <r>
    <s v="M0137"/>
    <x v="0"/>
    <x v="698"/>
    <x v="262"/>
    <n v="148629"/>
  </r>
  <r>
    <s v="M0137"/>
    <x v="0"/>
    <x v="698"/>
    <x v="262"/>
    <n v="148629"/>
  </r>
  <r>
    <s v="M0137"/>
    <x v="0"/>
    <x v="698"/>
    <x v="262"/>
    <n v="148629"/>
  </r>
  <r>
    <s v="M0137"/>
    <x v="0"/>
    <x v="699"/>
    <x v="311"/>
    <n v="123558"/>
  </r>
  <r>
    <s v="M0137"/>
    <x v="0"/>
    <x v="699"/>
    <x v="311"/>
    <n v="123558"/>
  </r>
  <r>
    <s v="M0137"/>
    <x v="0"/>
    <x v="699"/>
    <x v="311"/>
    <n v="123558"/>
  </r>
  <r>
    <s v="M0137"/>
    <x v="0"/>
    <x v="700"/>
    <x v="312"/>
    <n v="76759"/>
  </r>
  <r>
    <s v="M0137"/>
    <x v="0"/>
    <x v="700"/>
    <x v="312"/>
    <n v="76759"/>
  </r>
  <r>
    <s v="M0137"/>
    <x v="0"/>
    <x v="700"/>
    <x v="312"/>
    <n v="76759"/>
  </r>
  <r>
    <s v="M0137"/>
    <x v="0"/>
    <x v="701"/>
    <x v="313"/>
    <n v="297389"/>
  </r>
  <r>
    <s v="M0137"/>
    <x v="0"/>
    <x v="701"/>
    <x v="313"/>
    <n v="297389"/>
  </r>
  <r>
    <s v="M0137"/>
    <x v="0"/>
    <x v="701"/>
    <x v="313"/>
    <n v="297389"/>
  </r>
  <r>
    <s v="M0137"/>
    <x v="0"/>
    <x v="702"/>
    <x v="174"/>
    <n v="76987"/>
  </r>
  <r>
    <s v="M0137"/>
    <x v="0"/>
    <x v="702"/>
    <x v="174"/>
    <n v="76987"/>
  </r>
  <r>
    <s v="M0137"/>
    <x v="0"/>
    <x v="702"/>
    <x v="174"/>
    <n v="76987"/>
  </r>
  <r>
    <s v="M0137"/>
    <x v="0"/>
    <x v="703"/>
    <x v="314"/>
    <n v="542163"/>
  </r>
  <r>
    <s v="M0137"/>
    <x v="0"/>
    <x v="703"/>
    <x v="314"/>
    <n v="542163"/>
  </r>
  <r>
    <s v="M0137"/>
    <x v="0"/>
    <x v="703"/>
    <x v="314"/>
    <n v="542163"/>
  </r>
  <r>
    <s v="M0137"/>
    <x v="0"/>
    <x v="704"/>
    <x v="195"/>
    <n v="359423"/>
  </r>
  <r>
    <s v="M0137"/>
    <x v="0"/>
    <x v="704"/>
    <x v="195"/>
    <n v="359423"/>
  </r>
  <r>
    <s v="M0137"/>
    <x v="0"/>
    <x v="704"/>
    <x v="195"/>
    <n v="359423"/>
  </r>
  <r>
    <s v="M0137"/>
    <x v="0"/>
    <x v="705"/>
    <x v="155"/>
    <n v="374293"/>
  </r>
  <r>
    <s v="M0137"/>
    <x v="0"/>
    <x v="705"/>
    <x v="155"/>
    <n v="374293"/>
  </r>
  <r>
    <s v="M0137"/>
    <x v="0"/>
    <x v="705"/>
    <x v="155"/>
    <n v="374293"/>
  </r>
  <r>
    <s v="M0137"/>
    <x v="0"/>
    <x v="706"/>
    <x v="233"/>
    <n v="494079"/>
  </r>
  <r>
    <s v="M0137"/>
    <x v="0"/>
    <x v="706"/>
    <x v="233"/>
    <n v="494079"/>
  </r>
  <r>
    <s v="M0137"/>
    <x v="0"/>
    <x v="706"/>
    <x v="233"/>
    <n v="494079"/>
  </r>
  <r>
    <s v="M0137"/>
    <x v="0"/>
    <x v="707"/>
    <x v="14"/>
    <n v="589379"/>
  </r>
  <r>
    <s v="M0137"/>
    <x v="0"/>
    <x v="707"/>
    <x v="14"/>
    <n v="589379"/>
  </r>
  <r>
    <s v="M0137"/>
    <x v="0"/>
    <x v="707"/>
    <x v="14"/>
    <n v="589379"/>
  </r>
  <r>
    <s v="M0014"/>
    <x v="1"/>
    <x v="708"/>
    <x v="54"/>
    <n v="327923"/>
  </r>
  <r>
    <s v="M0014"/>
    <x v="1"/>
    <x v="708"/>
    <x v="54"/>
    <n v="327923"/>
  </r>
  <r>
    <s v="M0014"/>
    <x v="1"/>
    <x v="708"/>
    <x v="54"/>
    <n v="327923"/>
  </r>
  <r>
    <s v="M0014"/>
    <x v="1"/>
    <x v="708"/>
    <x v="54"/>
    <n v="327923"/>
  </r>
  <r>
    <s v="M0014"/>
    <x v="1"/>
    <x v="709"/>
    <x v="108"/>
    <n v="233136"/>
  </r>
  <r>
    <s v="M0014"/>
    <x v="1"/>
    <x v="709"/>
    <x v="108"/>
    <n v="233136"/>
  </r>
  <r>
    <s v="M0014"/>
    <x v="1"/>
    <x v="709"/>
    <x v="108"/>
    <n v="233136"/>
  </r>
  <r>
    <s v="M0014"/>
    <x v="1"/>
    <x v="709"/>
    <x v="108"/>
    <n v="233136"/>
  </r>
  <r>
    <s v="M0014"/>
    <x v="1"/>
    <x v="710"/>
    <x v="50"/>
    <n v="239396"/>
  </r>
  <r>
    <s v="M0014"/>
    <x v="1"/>
    <x v="710"/>
    <x v="50"/>
    <n v="239396"/>
  </r>
  <r>
    <s v="M0014"/>
    <x v="1"/>
    <x v="710"/>
    <x v="50"/>
    <n v="239396"/>
  </r>
  <r>
    <s v="M0014"/>
    <x v="1"/>
    <x v="710"/>
    <x v="50"/>
    <n v="239396"/>
  </r>
  <r>
    <s v="M0014"/>
    <x v="1"/>
    <x v="711"/>
    <x v="270"/>
    <n v="108588"/>
  </r>
  <r>
    <s v="M0014"/>
    <x v="1"/>
    <x v="711"/>
    <x v="270"/>
    <n v="108588"/>
  </r>
  <r>
    <s v="M0014"/>
    <x v="1"/>
    <x v="711"/>
    <x v="270"/>
    <n v="108588"/>
  </r>
  <r>
    <s v="M0014"/>
    <x v="1"/>
    <x v="711"/>
    <x v="270"/>
    <n v="108588"/>
  </r>
  <r>
    <s v="M0014"/>
    <x v="1"/>
    <x v="712"/>
    <x v="279"/>
    <n v="25329"/>
  </r>
  <r>
    <s v="M0014"/>
    <x v="1"/>
    <x v="712"/>
    <x v="279"/>
    <n v="25329"/>
  </r>
  <r>
    <s v="M0014"/>
    <x v="1"/>
    <x v="712"/>
    <x v="279"/>
    <n v="25329"/>
  </r>
  <r>
    <s v="M0014"/>
    <x v="1"/>
    <x v="712"/>
    <x v="279"/>
    <n v="25329"/>
  </r>
  <r>
    <s v="M0187"/>
    <x v="1"/>
    <x v="713"/>
    <x v="34"/>
    <n v="213851"/>
  </r>
  <r>
    <s v="M0187"/>
    <x v="1"/>
    <x v="713"/>
    <x v="34"/>
    <n v="213851"/>
  </r>
  <r>
    <s v="M0187"/>
    <x v="1"/>
    <x v="714"/>
    <x v="117"/>
    <n v="206089"/>
  </r>
  <r>
    <s v="M0187"/>
    <x v="1"/>
    <x v="714"/>
    <x v="117"/>
    <n v="206089"/>
  </r>
  <r>
    <s v="M0187"/>
    <x v="1"/>
    <x v="715"/>
    <x v="315"/>
    <n v="73634"/>
  </r>
  <r>
    <s v="M0187"/>
    <x v="1"/>
    <x v="715"/>
    <x v="315"/>
    <n v="73634"/>
  </r>
  <r>
    <s v="M0187"/>
    <x v="1"/>
    <x v="716"/>
    <x v="293"/>
    <n v="131503"/>
  </r>
  <r>
    <s v="M0187"/>
    <x v="1"/>
    <x v="716"/>
    <x v="293"/>
    <n v="131503"/>
  </r>
  <r>
    <s v="M0187"/>
    <x v="1"/>
    <x v="717"/>
    <x v="313"/>
    <n v="444882"/>
  </r>
  <r>
    <s v="M0187"/>
    <x v="1"/>
    <x v="717"/>
    <x v="313"/>
    <n v="444882"/>
  </r>
  <r>
    <s v="M0187"/>
    <x v="1"/>
    <x v="718"/>
    <x v="299"/>
    <n v="302299"/>
  </r>
  <r>
    <s v="M0187"/>
    <x v="1"/>
    <x v="718"/>
    <x v="299"/>
    <n v="302299"/>
  </r>
  <r>
    <s v="M0187"/>
    <x v="1"/>
    <x v="719"/>
    <x v="218"/>
    <n v="354810"/>
  </r>
  <r>
    <s v="M0187"/>
    <x v="1"/>
    <x v="719"/>
    <x v="218"/>
    <n v="354810"/>
  </r>
  <r>
    <s v="M0187"/>
    <x v="1"/>
    <x v="720"/>
    <x v="112"/>
    <n v="162736"/>
  </r>
  <r>
    <s v="M0187"/>
    <x v="1"/>
    <x v="720"/>
    <x v="112"/>
    <n v="162736"/>
  </r>
  <r>
    <s v="M0187"/>
    <x v="1"/>
    <x v="721"/>
    <x v="33"/>
    <n v="97632"/>
  </r>
  <r>
    <s v="M0187"/>
    <x v="1"/>
    <x v="721"/>
    <x v="33"/>
    <n v="97632"/>
  </r>
  <r>
    <s v="M0187"/>
    <x v="1"/>
    <x v="722"/>
    <x v="64"/>
    <n v="217306"/>
  </r>
  <r>
    <s v="M0187"/>
    <x v="1"/>
    <x v="722"/>
    <x v="64"/>
    <n v="217306"/>
  </r>
  <r>
    <s v="M0187"/>
    <x v="1"/>
    <x v="723"/>
    <x v="138"/>
    <n v="156846"/>
  </r>
  <r>
    <s v="M0187"/>
    <x v="1"/>
    <x v="723"/>
    <x v="138"/>
    <n v="156846"/>
  </r>
  <r>
    <s v="M0187"/>
    <x v="1"/>
    <x v="724"/>
    <x v="316"/>
    <n v="238229"/>
  </r>
  <r>
    <s v="M0187"/>
    <x v="1"/>
    <x v="724"/>
    <x v="316"/>
    <n v="238229"/>
  </r>
  <r>
    <s v="M0187"/>
    <x v="1"/>
    <x v="725"/>
    <x v="139"/>
    <n v="81889"/>
  </r>
  <r>
    <s v="M0187"/>
    <x v="1"/>
    <x v="725"/>
    <x v="139"/>
    <n v="81889"/>
  </r>
  <r>
    <s v="M0187"/>
    <x v="1"/>
    <x v="726"/>
    <x v="226"/>
    <n v="203600"/>
  </r>
  <r>
    <s v="M0187"/>
    <x v="1"/>
    <x v="726"/>
    <x v="226"/>
    <n v="203600"/>
  </r>
  <r>
    <s v="M0187"/>
    <x v="1"/>
    <x v="727"/>
    <x v="176"/>
    <n v="383836"/>
  </r>
  <r>
    <s v="M0187"/>
    <x v="1"/>
    <x v="727"/>
    <x v="176"/>
    <n v="383836"/>
  </r>
  <r>
    <s v="M0187"/>
    <x v="1"/>
    <x v="728"/>
    <x v="10"/>
    <n v="54040"/>
  </r>
  <r>
    <s v="M0187"/>
    <x v="1"/>
    <x v="728"/>
    <x v="10"/>
    <n v="54040"/>
  </r>
  <r>
    <s v="M0187"/>
    <x v="1"/>
    <x v="729"/>
    <x v="263"/>
    <n v="212216"/>
  </r>
  <r>
    <s v="M0187"/>
    <x v="1"/>
    <x v="729"/>
    <x v="263"/>
    <n v="212216"/>
  </r>
  <r>
    <s v="M0187"/>
    <x v="1"/>
    <x v="730"/>
    <x v="212"/>
    <n v="128571"/>
  </r>
  <r>
    <s v="M0187"/>
    <x v="1"/>
    <x v="730"/>
    <x v="212"/>
    <n v="128571"/>
  </r>
  <r>
    <s v="M0211"/>
    <x v="0"/>
    <x v="731"/>
    <x v="93"/>
    <n v="727108"/>
  </r>
  <r>
    <s v="M0211"/>
    <x v="0"/>
    <x v="731"/>
    <x v="93"/>
    <n v="727108"/>
  </r>
  <r>
    <s v="M0211"/>
    <x v="0"/>
    <x v="731"/>
    <x v="93"/>
    <n v="727108"/>
  </r>
  <r>
    <s v="M0211"/>
    <x v="0"/>
    <x v="732"/>
    <x v="89"/>
    <n v="85760"/>
  </r>
  <r>
    <s v="M0211"/>
    <x v="0"/>
    <x v="732"/>
    <x v="89"/>
    <n v="85760"/>
  </r>
  <r>
    <s v="M0211"/>
    <x v="0"/>
    <x v="732"/>
    <x v="89"/>
    <n v="85760"/>
  </r>
  <r>
    <s v="M0211"/>
    <x v="0"/>
    <x v="733"/>
    <x v="196"/>
    <n v="199081"/>
  </r>
  <r>
    <s v="M0211"/>
    <x v="0"/>
    <x v="733"/>
    <x v="196"/>
    <n v="199081"/>
  </r>
  <r>
    <s v="M0211"/>
    <x v="0"/>
    <x v="733"/>
    <x v="196"/>
    <n v="199081"/>
  </r>
  <r>
    <s v="M0211"/>
    <x v="0"/>
    <x v="734"/>
    <x v="85"/>
    <n v="301928"/>
  </r>
  <r>
    <s v="M0211"/>
    <x v="0"/>
    <x v="734"/>
    <x v="85"/>
    <n v="301928"/>
  </r>
  <r>
    <s v="M0211"/>
    <x v="0"/>
    <x v="734"/>
    <x v="85"/>
    <n v="301928"/>
  </r>
  <r>
    <s v="M0211"/>
    <x v="0"/>
    <x v="735"/>
    <x v="119"/>
    <n v="333143"/>
  </r>
  <r>
    <s v="M0211"/>
    <x v="0"/>
    <x v="735"/>
    <x v="119"/>
    <n v="333143"/>
  </r>
  <r>
    <s v="M0211"/>
    <x v="0"/>
    <x v="735"/>
    <x v="119"/>
    <n v="333143"/>
  </r>
  <r>
    <s v="M0211"/>
    <x v="0"/>
    <x v="736"/>
    <x v="200"/>
    <n v="513033"/>
  </r>
  <r>
    <s v="M0211"/>
    <x v="0"/>
    <x v="736"/>
    <x v="200"/>
    <n v="513033"/>
  </r>
  <r>
    <s v="M0211"/>
    <x v="0"/>
    <x v="736"/>
    <x v="200"/>
    <n v="513033"/>
  </r>
  <r>
    <s v="M0211"/>
    <x v="0"/>
    <x v="737"/>
    <x v="317"/>
    <n v="378031"/>
  </r>
  <r>
    <s v="M0211"/>
    <x v="0"/>
    <x v="737"/>
    <x v="317"/>
    <n v="378031"/>
  </r>
  <r>
    <s v="M0211"/>
    <x v="0"/>
    <x v="737"/>
    <x v="317"/>
    <n v="378031"/>
  </r>
  <r>
    <s v="M0211"/>
    <x v="0"/>
    <x v="738"/>
    <x v="108"/>
    <n v="73889"/>
  </r>
  <r>
    <s v="M0211"/>
    <x v="0"/>
    <x v="738"/>
    <x v="108"/>
    <n v="73889"/>
  </r>
  <r>
    <s v="M0211"/>
    <x v="0"/>
    <x v="738"/>
    <x v="108"/>
    <n v="73889"/>
  </r>
  <r>
    <s v="M0289"/>
    <x v="0"/>
    <x v="739"/>
    <x v="318"/>
    <n v="146766"/>
  </r>
  <r>
    <s v="M0289"/>
    <x v="0"/>
    <x v="740"/>
    <x v="262"/>
    <n v="104829"/>
  </r>
  <r>
    <s v="M0289"/>
    <x v="0"/>
    <x v="741"/>
    <x v="114"/>
    <n v="125791"/>
  </r>
  <r>
    <s v="M0289"/>
    <x v="0"/>
    <x v="742"/>
    <x v="297"/>
    <n v="55550"/>
  </r>
  <r>
    <s v="M0289"/>
    <x v="0"/>
    <x v="743"/>
    <x v="212"/>
    <n v="412456"/>
  </r>
  <r>
    <s v="M0289"/>
    <x v="0"/>
    <x v="744"/>
    <x v="184"/>
    <n v="103691"/>
  </r>
  <r>
    <s v="M0253"/>
    <x v="1"/>
    <x v="745"/>
    <x v="47"/>
    <n v="596910"/>
  </r>
  <r>
    <s v="M0253"/>
    <x v="1"/>
    <x v="745"/>
    <x v="47"/>
    <n v="596910"/>
  </r>
  <r>
    <s v="M0253"/>
    <x v="1"/>
    <x v="745"/>
    <x v="47"/>
    <n v="596910"/>
  </r>
  <r>
    <s v="M0253"/>
    <x v="1"/>
    <x v="745"/>
    <x v="47"/>
    <n v="596910"/>
  </r>
  <r>
    <s v="M0253"/>
    <x v="1"/>
    <x v="745"/>
    <x v="47"/>
    <n v="596910"/>
  </r>
  <r>
    <s v="M0253"/>
    <x v="1"/>
    <x v="745"/>
    <x v="47"/>
    <n v="596910"/>
  </r>
  <r>
    <s v="M0253"/>
    <x v="1"/>
    <x v="746"/>
    <x v="143"/>
    <n v="157485"/>
  </r>
  <r>
    <s v="M0253"/>
    <x v="1"/>
    <x v="746"/>
    <x v="143"/>
    <n v="157485"/>
  </r>
  <r>
    <s v="M0253"/>
    <x v="1"/>
    <x v="746"/>
    <x v="143"/>
    <n v="157485"/>
  </r>
  <r>
    <s v="M0253"/>
    <x v="1"/>
    <x v="746"/>
    <x v="143"/>
    <n v="157485"/>
  </r>
  <r>
    <s v="M0253"/>
    <x v="1"/>
    <x v="746"/>
    <x v="143"/>
    <n v="157485"/>
  </r>
  <r>
    <s v="M0253"/>
    <x v="1"/>
    <x v="746"/>
    <x v="143"/>
    <n v="157485"/>
  </r>
  <r>
    <s v="M0253"/>
    <x v="1"/>
    <x v="747"/>
    <x v="148"/>
    <n v="104695"/>
  </r>
  <r>
    <s v="M0253"/>
    <x v="1"/>
    <x v="747"/>
    <x v="148"/>
    <n v="104695"/>
  </r>
  <r>
    <s v="M0253"/>
    <x v="1"/>
    <x v="747"/>
    <x v="148"/>
    <n v="104695"/>
  </r>
  <r>
    <s v="M0253"/>
    <x v="1"/>
    <x v="747"/>
    <x v="148"/>
    <n v="104695"/>
  </r>
  <r>
    <s v="M0253"/>
    <x v="1"/>
    <x v="747"/>
    <x v="148"/>
    <n v="104695"/>
  </r>
  <r>
    <s v="M0253"/>
    <x v="1"/>
    <x v="747"/>
    <x v="148"/>
    <n v="104695"/>
  </r>
  <r>
    <s v="M0253"/>
    <x v="1"/>
    <x v="748"/>
    <x v="279"/>
    <n v="191922"/>
  </r>
  <r>
    <s v="M0253"/>
    <x v="1"/>
    <x v="748"/>
    <x v="279"/>
    <n v="191922"/>
  </r>
  <r>
    <s v="M0253"/>
    <x v="1"/>
    <x v="748"/>
    <x v="279"/>
    <n v="191922"/>
  </r>
  <r>
    <s v="M0253"/>
    <x v="1"/>
    <x v="748"/>
    <x v="279"/>
    <n v="191922"/>
  </r>
  <r>
    <s v="M0253"/>
    <x v="1"/>
    <x v="748"/>
    <x v="279"/>
    <n v="191922"/>
  </r>
  <r>
    <s v="M0253"/>
    <x v="1"/>
    <x v="748"/>
    <x v="279"/>
    <n v="191922"/>
  </r>
  <r>
    <s v="M0253"/>
    <x v="1"/>
    <x v="749"/>
    <x v="120"/>
    <n v="286727"/>
  </r>
  <r>
    <s v="M0253"/>
    <x v="1"/>
    <x v="749"/>
    <x v="120"/>
    <n v="286727"/>
  </r>
  <r>
    <s v="M0253"/>
    <x v="1"/>
    <x v="749"/>
    <x v="120"/>
    <n v="286727"/>
  </r>
  <r>
    <s v="M0253"/>
    <x v="1"/>
    <x v="749"/>
    <x v="120"/>
    <n v="286727"/>
  </r>
  <r>
    <s v="M0253"/>
    <x v="1"/>
    <x v="749"/>
    <x v="120"/>
    <n v="286727"/>
  </r>
  <r>
    <s v="M0253"/>
    <x v="1"/>
    <x v="749"/>
    <x v="120"/>
    <n v="286727"/>
  </r>
  <r>
    <s v="M0253"/>
    <x v="1"/>
    <x v="750"/>
    <x v="262"/>
    <n v="596831"/>
  </r>
  <r>
    <s v="M0253"/>
    <x v="1"/>
    <x v="750"/>
    <x v="262"/>
    <n v="596831"/>
  </r>
  <r>
    <s v="M0253"/>
    <x v="1"/>
    <x v="750"/>
    <x v="262"/>
    <n v="596831"/>
  </r>
  <r>
    <s v="M0253"/>
    <x v="1"/>
    <x v="750"/>
    <x v="262"/>
    <n v="596831"/>
  </r>
  <r>
    <s v="M0253"/>
    <x v="1"/>
    <x v="750"/>
    <x v="262"/>
    <n v="596831"/>
  </r>
  <r>
    <s v="M0253"/>
    <x v="1"/>
    <x v="750"/>
    <x v="262"/>
    <n v="596831"/>
  </r>
  <r>
    <s v="M0253"/>
    <x v="1"/>
    <x v="751"/>
    <x v="109"/>
    <n v="233700"/>
  </r>
  <r>
    <s v="M0253"/>
    <x v="1"/>
    <x v="751"/>
    <x v="109"/>
    <n v="233700"/>
  </r>
  <r>
    <s v="M0253"/>
    <x v="1"/>
    <x v="751"/>
    <x v="109"/>
    <n v="233700"/>
  </r>
  <r>
    <s v="M0253"/>
    <x v="1"/>
    <x v="751"/>
    <x v="109"/>
    <n v="233700"/>
  </r>
  <r>
    <s v="M0253"/>
    <x v="1"/>
    <x v="751"/>
    <x v="109"/>
    <n v="233700"/>
  </r>
  <r>
    <s v="M0253"/>
    <x v="1"/>
    <x v="751"/>
    <x v="109"/>
    <n v="233700"/>
  </r>
  <r>
    <s v="M0253"/>
    <x v="1"/>
    <x v="752"/>
    <x v="127"/>
    <n v="222005"/>
  </r>
  <r>
    <s v="M0253"/>
    <x v="1"/>
    <x v="752"/>
    <x v="127"/>
    <n v="222005"/>
  </r>
  <r>
    <s v="M0253"/>
    <x v="1"/>
    <x v="752"/>
    <x v="127"/>
    <n v="222005"/>
  </r>
  <r>
    <s v="M0253"/>
    <x v="1"/>
    <x v="752"/>
    <x v="127"/>
    <n v="222005"/>
  </r>
  <r>
    <s v="M0253"/>
    <x v="1"/>
    <x v="752"/>
    <x v="127"/>
    <n v="222005"/>
  </r>
  <r>
    <s v="M0253"/>
    <x v="1"/>
    <x v="752"/>
    <x v="127"/>
    <n v="222005"/>
  </r>
  <r>
    <s v="M0253"/>
    <x v="1"/>
    <x v="753"/>
    <x v="163"/>
    <n v="127084"/>
  </r>
  <r>
    <s v="M0253"/>
    <x v="1"/>
    <x v="753"/>
    <x v="163"/>
    <n v="127084"/>
  </r>
  <r>
    <s v="M0253"/>
    <x v="1"/>
    <x v="753"/>
    <x v="163"/>
    <n v="127084"/>
  </r>
  <r>
    <s v="M0253"/>
    <x v="1"/>
    <x v="753"/>
    <x v="163"/>
    <n v="127084"/>
  </r>
  <r>
    <s v="M0253"/>
    <x v="1"/>
    <x v="753"/>
    <x v="163"/>
    <n v="127084"/>
  </r>
  <r>
    <s v="M0253"/>
    <x v="1"/>
    <x v="753"/>
    <x v="163"/>
    <n v="127084"/>
  </r>
  <r>
    <s v="M0253"/>
    <x v="1"/>
    <x v="754"/>
    <x v="250"/>
    <n v="129854"/>
  </r>
  <r>
    <s v="M0253"/>
    <x v="1"/>
    <x v="754"/>
    <x v="250"/>
    <n v="129854"/>
  </r>
  <r>
    <s v="M0253"/>
    <x v="1"/>
    <x v="754"/>
    <x v="250"/>
    <n v="129854"/>
  </r>
  <r>
    <s v="M0253"/>
    <x v="1"/>
    <x v="754"/>
    <x v="250"/>
    <n v="129854"/>
  </r>
  <r>
    <s v="M0253"/>
    <x v="1"/>
    <x v="754"/>
    <x v="250"/>
    <n v="129854"/>
  </r>
  <r>
    <s v="M0253"/>
    <x v="1"/>
    <x v="754"/>
    <x v="250"/>
    <n v="129854"/>
  </r>
  <r>
    <s v="M0253"/>
    <x v="1"/>
    <x v="755"/>
    <x v="4"/>
    <n v="25000"/>
  </r>
  <r>
    <s v="M0253"/>
    <x v="1"/>
    <x v="755"/>
    <x v="4"/>
    <n v="25000"/>
  </r>
  <r>
    <s v="M0253"/>
    <x v="1"/>
    <x v="755"/>
    <x v="4"/>
    <n v="25000"/>
  </r>
  <r>
    <s v="M0253"/>
    <x v="1"/>
    <x v="755"/>
    <x v="4"/>
    <n v="25000"/>
  </r>
  <r>
    <s v="M0253"/>
    <x v="1"/>
    <x v="755"/>
    <x v="4"/>
    <n v="25000"/>
  </r>
  <r>
    <s v="M0253"/>
    <x v="1"/>
    <x v="755"/>
    <x v="4"/>
    <n v="25000"/>
  </r>
  <r>
    <s v="M0253"/>
    <x v="1"/>
    <x v="756"/>
    <x v="121"/>
    <n v="352882"/>
  </r>
  <r>
    <s v="M0253"/>
    <x v="1"/>
    <x v="756"/>
    <x v="121"/>
    <n v="352882"/>
  </r>
  <r>
    <s v="M0253"/>
    <x v="1"/>
    <x v="756"/>
    <x v="121"/>
    <n v="352882"/>
  </r>
  <r>
    <s v="M0253"/>
    <x v="1"/>
    <x v="756"/>
    <x v="121"/>
    <n v="352882"/>
  </r>
  <r>
    <s v="M0253"/>
    <x v="1"/>
    <x v="756"/>
    <x v="121"/>
    <n v="352882"/>
  </r>
  <r>
    <s v="M0253"/>
    <x v="1"/>
    <x v="756"/>
    <x v="121"/>
    <n v="352882"/>
  </r>
  <r>
    <s v="M0253"/>
    <x v="1"/>
    <x v="757"/>
    <x v="4"/>
    <n v="402074"/>
  </r>
  <r>
    <s v="M0253"/>
    <x v="1"/>
    <x v="757"/>
    <x v="4"/>
    <n v="402074"/>
  </r>
  <r>
    <s v="M0253"/>
    <x v="1"/>
    <x v="757"/>
    <x v="4"/>
    <n v="402074"/>
  </r>
  <r>
    <s v="M0253"/>
    <x v="1"/>
    <x v="757"/>
    <x v="4"/>
    <n v="402074"/>
  </r>
  <r>
    <s v="M0253"/>
    <x v="1"/>
    <x v="757"/>
    <x v="4"/>
    <n v="402074"/>
  </r>
  <r>
    <s v="M0253"/>
    <x v="1"/>
    <x v="757"/>
    <x v="4"/>
    <n v="402074"/>
  </r>
  <r>
    <s v="M0253"/>
    <x v="1"/>
    <x v="758"/>
    <x v="135"/>
    <n v="157823"/>
  </r>
  <r>
    <s v="M0253"/>
    <x v="1"/>
    <x v="758"/>
    <x v="135"/>
    <n v="157823"/>
  </r>
  <r>
    <s v="M0253"/>
    <x v="1"/>
    <x v="758"/>
    <x v="135"/>
    <n v="157823"/>
  </r>
  <r>
    <s v="M0253"/>
    <x v="1"/>
    <x v="758"/>
    <x v="135"/>
    <n v="157823"/>
  </r>
  <r>
    <s v="M0253"/>
    <x v="1"/>
    <x v="758"/>
    <x v="135"/>
    <n v="157823"/>
  </r>
  <r>
    <s v="M0253"/>
    <x v="1"/>
    <x v="758"/>
    <x v="135"/>
    <n v="157823"/>
  </r>
  <r>
    <s v="M0253"/>
    <x v="1"/>
    <x v="759"/>
    <x v="289"/>
    <n v="351137"/>
  </r>
  <r>
    <s v="M0253"/>
    <x v="1"/>
    <x v="759"/>
    <x v="289"/>
    <n v="351137"/>
  </r>
  <r>
    <s v="M0253"/>
    <x v="1"/>
    <x v="759"/>
    <x v="289"/>
    <n v="351137"/>
  </r>
  <r>
    <s v="M0253"/>
    <x v="1"/>
    <x v="759"/>
    <x v="289"/>
    <n v="351137"/>
  </r>
  <r>
    <s v="M0253"/>
    <x v="1"/>
    <x v="759"/>
    <x v="289"/>
    <n v="351137"/>
  </r>
  <r>
    <s v="M0253"/>
    <x v="1"/>
    <x v="759"/>
    <x v="289"/>
    <n v="351137"/>
  </r>
  <r>
    <s v="M0253"/>
    <x v="1"/>
    <x v="760"/>
    <x v="84"/>
    <n v="39962"/>
  </r>
  <r>
    <s v="M0253"/>
    <x v="1"/>
    <x v="760"/>
    <x v="84"/>
    <n v="39962"/>
  </r>
  <r>
    <s v="M0253"/>
    <x v="1"/>
    <x v="760"/>
    <x v="84"/>
    <n v="39962"/>
  </r>
  <r>
    <s v="M0253"/>
    <x v="1"/>
    <x v="760"/>
    <x v="84"/>
    <n v="39962"/>
  </r>
  <r>
    <s v="M0253"/>
    <x v="1"/>
    <x v="760"/>
    <x v="84"/>
    <n v="39962"/>
  </r>
  <r>
    <s v="M0253"/>
    <x v="1"/>
    <x v="760"/>
    <x v="84"/>
    <n v="39962"/>
  </r>
  <r>
    <s v="M0148"/>
    <x v="0"/>
    <x v="761"/>
    <x v="80"/>
    <n v="398297"/>
  </r>
  <r>
    <s v="M0148"/>
    <x v="0"/>
    <x v="761"/>
    <x v="80"/>
    <n v="398297"/>
  </r>
  <r>
    <s v="M0148"/>
    <x v="0"/>
    <x v="761"/>
    <x v="80"/>
    <n v="398297"/>
  </r>
  <r>
    <s v="M0148"/>
    <x v="0"/>
    <x v="761"/>
    <x v="80"/>
    <n v="398297"/>
  </r>
  <r>
    <s v="M0148"/>
    <x v="0"/>
    <x v="761"/>
    <x v="80"/>
    <n v="398297"/>
  </r>
  <r>
    <s v="M0148"/>
    <x v="0"/>
    <x v="761"/>
    <x v="80"/>
    <n v="398297"/>
  </r>
  <r>
    <s v="M0148"/>
    <x v="0"/>
    <x v="762"/>
    <x v="67"/>
    <n v="340090"/>
  </r>
  <r>
    <s v="M0148"/>
    <x v="0"/>
    <x v="762"/>
    <x v="67"/>
    <n v="340090"/>
  </r>
  <r>
    <s v="M0148"/>
    <x v="0"/>
    <x v="762"/>
    <x v="67"/>
    <n v="340090"/>
  </r>
  <r>
    <s v="M0148"/>
    <x v="0"/>
    <x v="762"/>
    <x v="67"/>
    <n v="340090"/>
  </r>
  <r>
    <s v="M0148"/>
    <x v="0"/>
    <x v="762"/>
    <x v="67"/>
    <n v="340090"/>
  </r>
  <r>
    <s v="M0148"/>
    <x v="0"/>
    <x v="762"/>
    <x v="67"/>
    <n v="340090"/>
  </r>
  <r>
    <s v="M0148"/>
    <x v="0"/>
    <x v="763"/>
    <x v="304"/>
    <n v="57278"/>
  </r>
  <r>
    <s v="M0148"/>
    <x v="0"/>
    <x v="763"/>
    <x v="304"/>
    <n v="57278"/>
  </r>
  <r>
    <s v="M0148"/>
    <x v="0"/>
    <x v="763"/>
    <x v="304"/>
    <n v="57278"/>
  </r>
  <r>
    <s v="M0148"/>
    <x v="0"/>
    <x v="763"/>
    <x v="304"/>
    <n v="57278"/>
  </r>
  <r>
    <s v="M0148"/>
    <x v="0"/>
    <x v="763"/>
    <x v="304"/>
    <n v="57278"/>
  </r>
  <r>
    <s v="M0148"/>
    <x v="0"/>
    <x v="763"/>
    <x v="304"/>
    <n v="57278"/>
  </r>
  <r>
    <s v="M0148"/>
    <x v="0"/>
    <x v="764"/>
    <x v="2"/>
    <n v="266888"/>
  </r>
  <r>
    <s v="M0148"/>
    <x v="0"/>
    <x v="764"/>
    <x v="2"/>
    <n v="266888"/>
  </r>
  <r>
    <s v="M0148"/>
    <x v="0"/>
    <x v="764"/>
    <x v="2"/>
    <n v="266888"/>
  </r>
  <r>
    <s v="M0148"/>
    <x v="0"/>
    <x v="764"/>
    <x v="2"/>
    <n v="266888"/>
  </r>
  <r>
    <s v="M0148"/>
    <x v="0"/>
    <x v="764"/>
    <x v="2"/>
    <n v="266888"/>
  </r>
  <r>
    <s v="M0148"/>
    <x v="0"/>
    <x v="764"/>
    <x v="2"/>
    <n v="266888"/>
  </r>
  <r>
    <s v="M0148"/>
    <x v="0"/>
    <x v="765"/>
    <x v="238"/>
    <n v="638980"/>
  </r>
  <r>
    <s v="M0148"/>
    <x v="0"/>
    <x v="765"/>
    <x v="238"/>
    <n v="638980"/>
  </r>
  <r>
    <s v="M0148"/>
    <x v="0"/>
    <x v="765"/>
    <x v="238"/>
    <n v="638980"/>
  </r>
  <r>
    <s v="M0148"/>
    <x v="0"/>
    <x v="765"/>
    <x v="238"/>
    <n v="638980"/>
  </r>
  <r>
    <s v="M0148"/>
    <x v="0"/>
    <x v="765"/>
    <x v="238"/>
    <n v="638980"/>
  </r>
  <r>
    <s v="M0148"/>
    <x v="0"/>
    <x v="765"/>
    <x v="238"/>
    <n v="638980"/>
  </r>
  <r>
    <s v="M0148"/>
    <x v="0"/>
    <x v="766"/>
    <x v="100"/>
    <n v="631491"/>
  </r>
  <r>
    <s v="M0148"/>
    <x v="0"/>
    <x v="766"/>
    <x v="100"/>
    <n v="631491"/>
  </r>
  <r>
    <s v="M0148"/>
    <x v="0"/>
    <x v="766"/>
    <x v="100"/>
    <n v="631491"/>
  </r>
  <r>
    <s v="M0148"/>
    <x v="0"/>
    <x v="766"/>
    <x v="100"/>
    <n v="631491"/>
  </r>
  <r>
    <s v="M0148"/>
    <x v="0"/>
    <x v="766"/>
    <x v="100"/>
    <n v="631491"/>
  </r>
  <r>
    <s v="M0148"/>
    <x v="0"/>
    <x v="766"/>
    <x v="100"/>
    <n v="631491"/>
  </r>
  <r>
    <s v="M0148"/>
    <x v="0"/>
    <x v="767"/>
    <x v="303"/>
    <n v="123872"/>
  </r>
  <r>
    <s v="M0148"/>
    <x v="0"/>
    <x v="767"/>
    <x v="303"/>
    <n v="123872"/>
  </r>
  <r>
    <s v="M0148"/>
    <x v="0"/>
    <x v="767"/>
    <x v="303"/>
    <n v="123872"/>
  </r>
  <r>
    <s v="M0148"/>
    <x v="0"/>
    <x v="767"/>
    <x v="303"/>
    <n v="123872"/>
  </r>
  <r>
    <s v="M0148"/>
    <x v="0"/>
    <x v="767"/>
    <x v="303"/>
    <n v="123872"/>
  </r>
  <r>
    <s v="M0148"/>
    <x v="0"/>
    <x v="767"/>
    <x v="303"/>
    <n v="123872"/>
  </r>
  <r>
    <s v="M0148"/>
    <x v="0"/>
    <x v="768"/>
    <x v="277"/>
    <n v="151225"/>
  </r>
  <r>
    <s v="M0148"/>
    <x v="0"/>
    <x v="768"/>
    <x v="277"/>
    <n v="151225"/>
  </r>
  <r>
    <s v="M0148"/>
    <x v="0"/>
    <x v="768"/>
    <x v="277"/>
    <n v="151225"/>
  </r>
  <r>
    <s v="M0148"/>
    <x v="0"/>
    <x v="768"/>
    <x v="277"/>
    <n v="151225"/>
  </r>
  <r>
    <s v="M0148"/>
    <x v="0"/>
    <x v="768"/>
    <x v="277"/>
    <n v="151225"/>
  </r>
  <r>
    <s v="M0148"/>
    <x v="0"/>
    <x v="768"/>
    <x v="277"/>
    <n v="151225"/>
  </r>
  <r>
    <s v="M0220"/>
    <x v="0"/>
    <x v="769"/>
    <x v="58"/>
    <n v="516174"/>
  </r>
  <r>
    <s v="M0220"/>
    <x v="0"/>
    <x v="769"/>
    <x v="58"/>
    <n v="516174"/>
  </r>
  <r>
    <s v="M0220"/>
    <x v="0"/>
    <x v="770"/>
    <x v="134"/>
    <n v="94682"/>
  </r>
  <r>
    <s v="M0220"/>
    <x v="0"/>
    <x v="770"/>
    <x v="134"/>
    <n v="94682"/>
  </r>
  <r>
    <s v="M0220"/>
    <x v="0"/>
    <x v="771"/>
    <x v="296"/>
    <n v="46096"/>
  </r>
  <r>
    <s v="M0220"/>
    <x v="0"/>
    <x v="771"/>
    <x v="296"/>
    <n v="46096"/>
  </r>
  <r>
    <s v="M0220"/>
    <x v="0"/>
    <x v="772"/>
    <x v="50"/>
    <n v="309072"/>
  </r>
  <r>
    <s v="M0220"/>
    <x v="0"/>
    <x v="772"/>
    <x v="50"/>
    <n v="309072"/>
  </r>
  <r>
    <s v="M0220"/>
    <x v="0"/>
    <x v="773"/>
    <x v="31"/>
    <n v="77222"/>
  </r>
  <r>
    <s v="M0220"/>
    <x v="0"/>
    <x v="773"/>
    <x v="31"/>
    <n v="77222"/>
  </r>
  <r>
    <s v="M0220"/>
    <x v="0"/>
    <x v="774"/>
    <x v="0"/>
    <n v="133204"/>
  </r>
  <r>
    <s v="M0220"/>
    <x v="0"/>
    <x v="774"/>
    <x v="0"/>
    <n v="133204"/>
  </r>
  <r>
    <s v="M0220"/>
    <x v="0"/>
    <x v="775"/>
    <x v="81"/>
    <n v="119252"/>
  </r>
  <r>
    <s v="M0220"/>
    <x v="0"/>
    <x v="775"/>
    <x v="81"/>
    <n v="119252"/>
  </r>
  <r>
    <s v="M0220"/>
    <x v="0"/>
    <x v="776"/>
    <x v="95"/>
    <n v="177490"/>
  </r>
  <r>
    <s v="M0220"/>
    <x v="0"/>
    <x v="776"/>
    <x v="95"/>
    <n v="177490"/>
  </r>
  <r>
    <s v="M0220"/>
    <x v="0"/>
    <x v="777"/>
    <x v="142"/>
    <n v="345566"/>
  </r>
  <r>
    <s v="M0220"/>
    <x v="0"/>
    <x v="777"/>
    <x v="142"/>
    <n v="345566"/>
  </r>
  <r>
    <s v="M0220"/>
    <x v="0"/>
    <x v="778"/>
    <x v="261"/>
    <n v="287502"/>
  </r>
  <r>
    <s v="M0220"/>
    <x v="0"/>
    <x v="778"/>
    <x v="261"/>
    <n v="287502"/>
  </r>
  <r>
    <s v="M0220"/>
    <x v="0"/>
    <x v="779"/>
    <x v="244"/>
    <n v="479161"/>
  </r>
  <r>
    <s v="M0220"/>
    <x v="0"/>
    <x v="779"/>
    <x v="244"/>
    <n v="479161"/>
  </r>
  <r>
    <s v="M0220"/>
    <x v="0"/>
    <x v="780"/>
    <x v="288"/>
    <n v="427248"/>
  </r>
  <r>
    <s v="M0220"/>
    <x v="0"/>
    <x v="780"/>
    <x v="288"/>
    <n v="427248"/>
  </r>
  <r>
    <s v="M0220"/>
    <x v="0"/>
    <x v="781"/>
    <x v="317"/>
    <n v="500237"/>
  </r>
  <r>
    <s v="M0220"/>
    <x v="0"/>
    <x v="781"/>
    <x v="317"/>
    <n v="500237"/>
  </r>
  <r>
    <s v="M0220"/>
    <x v="0"/>
    <x v="782"/>
    <x v="304"/>
    <n v="103345"/>
  </r>
  <r>
    <s v="M0220"/>
    <x v="0"/>
    <x v="782"/>
    <x v="304"/>
    <n v="103345"/>
  </r>
  <r>
    <s v="M0220"/>
    <x v="0"/>
    <x v="783"/>
    <x v="230"/>
    <n v="27122"/>
  </r>
  <r>
    <s v="M0220"/>
    <x v="0"/>
    <x v="783"/>
    <x v="230"/>
    <n v="27122"/>
  </r>
  <r>
    <s v="M0220"/>
    <x v="0"/>
    <x v="784"/>
    <x v="319"/>
    <n v="832872"/>
  </r>
  <r>
    <s v="M0220"/>
    <x v="0"/>
    <x v="784"/>
    <x v="319"/>
    <n v="832872"/>
  </r>
  <r>
    <s v="M0220"/>
    <x v="0"/>
    <x v="785"/>
    <x v="159"/>
    <n v="385958"/>
  </r>
  <r>
    <s v="M0220"/>
    <x v="0"/>
    <x v="785"/>
    <x v="159"/>
    <n v="385958"/>
  </r>
  <r>
    <s v="M0220"/>
    <x v="0"/>
    <x v="786"/>
    <x v="320"/>
    <n v="578462"/>
  </r>
  <r>
    <s v="M0220"/>
    <x v="0"/>
    <x v="786"/>
    <x v="320"/>
    <n v="578462"/>
  </r>
  <r>
    <s v="M0216"/>
    <x v="1"/>
    <x v="787"/>
    <x v="14"/>
    <n v="231751"/>
  </r>
  <r>
    <s v="M0216"/>
    <x v="1"/>
    <x v="787"/>
    <x v="14"/>
    <n v="231751"/>
  </r>
  <r>
    <s v="M0216"/>
    <x v="1"/>
    <x v="787"/>
    <x v="14"/>
    <n v="231751"/>
  </r>
  <r>
    <s v="M0216"/>
    <x v="1"/>
    <x v="788"/>
    <x v="126"/>
    <n v="177790"/>
  </r>
  <r>
    <s v="M0216"/>
    <x v="1"/>
    <x v="788"/>
    <x v="126"/>
    <n v="177790"/>
  </r>
  <r>
    <s v="M0216"/>
    <x v="1"/>
    <x v="788"/>
    <x v="126"/>
    <n v="177790"/>
  </r>
  <r>
    <s v="M0216"/>
    <x v="1"/>
    <x v="789"/>
    <x v="117"/>
    <n v="86466"/>
  </r>
  <r>
    <s v="M0216"/>
    <x v="1"/>
    <x v="789"/>
    <x v="117"/>
    <n v="86466"/>
  </r>
  <r>
    <s v="M0216"/>
    <x v="1"/>
    <x v="789"/>
    <x v="117"/>
    <n v="86466"/>
  </r>
  <r>
    <s v="M0216"/>
    <x v="1"/>
    <x v="790"/>
    <x v="23"/>
    <n v="71847"/>
  </r>
  <r>
    <s v="M0216"/>
    <x v="1"/>
    <x v="790"/>
    <x v="23"/>
    <n v="71847"/>
  </r>
  <r>
    <s v="M0216"/>
    <x v="1"/>
    <x v="790"/>
    <x v="23"/>
    <n v="71847"/>
  </r>
  <r>
    <s v="M0216"/>
    <x v="1"/>
    <x v="791"/>
    <x v="201"/>
    <n v="41069"/>
  </r>
  <r>
    <s v="M0216"/>
    <x v="1"/>
    <x v="791"/>
    <x v="201"/>
    <n v="41069"/>
  </r>
  <r>
    <s v="M0216"/>
    <x v="1"/>
    <x v="791"/>
    <x v="201"/>
    <n v="41069"/>
  </r>
  <r>
    <s v="M0288"/>
    <x v="1"/>
    <x v="792"/>
    <x v="200"/>
    <n v="171438"/>
  </r>
  <r>
    <s v="M0288"/>
    <x v="1"/>
    <x v="793"/>
    <x v="276"/>
    <n v="548427"/>
  </r>
  <r>
    <s v="M0288"/>
    <x v="1"/>
    <x v="794"/>
    <x v="26"/>
    <n v="175586"/>
  </r>
  <r>
    <s v="M0288"/>
    <x v="1"/>
    <x v="795"/>
    <x v="42"/>
    <n v="564013"/>
  </r>
  <r>
    <s v="M0288"/>
    <x v="1"/>
    <x v="796"/>
    <x v="321"/>
    <n v="327313"/>
  </r>
  <r>
    <s v="M0288"/>
    <x v="1"/>
    <x v="797"/>
    <x v="37"/>
    <n v="58669"/>
  </r>
  <r>
    <s v="M0288"/>
    <x v="1"/>
    <x v="798"/>
    <x v="209"/>
    <n v="211764"/>
  </r>
  <r>
    <s v="M0288"/>
    <x v="1"/>
    <x v="799"/>
    <x v="85"/>
    <n v="361991"/>
  </r>
  <r>
    <s v="M0288"/>
    <x v="1"/>
    <x v="800"/>
    <x v="234"/>
    <n v="489751"/>
  </r>
  <r>
    <s v="M0288"/>
    <x v="1"/>
    <x v="801"/>
    <x v="322"/>
    <n v="287710"/>
  </r>
  <r>
    <s v="M0113"/>
    <x v="1"/>
    <x v="802"/>
    <x v="241"/>
    <n v="130801"/>
  </r>
  <r>
    <s v="M0113"/>
    <x v="1"/>
    <x v="802"/>
    <x v="241"/>
    <n v="130801"/>
  </r>
  <r>
    <s v="M0113"/>
    <x v="1"/>
    <x v="803"/>
    <x v="248"/>
    <n v="71603"/>
  </r>
  <r>
    <s v="M0113"/>
    <x v="1"/>
    <x v="803"/>
    <x v="248"/>
    <n v="71603"/>
  </r>
  <r>
    <s v="M0113"/>
    <x v="1"/>
    <x v="804"/>
    <x v="235"/>
    <n v="217463"/>
  </r>
  <r>
    <s v="M0113"/>
    <x v="1"/>
    <x v="804"/>
    <x v="235"/>
    <n v="217463"/>
  </r>
  <r>
    <s v="M0113"/>
    <x v="1"/>
    <x v="805"/>
    <x v="23"/>
    <n v="175740"/>
  </r>
  <r>
    <s v="M0113"/>
    <x v="1"/>
    <x v="805"/>
    <x v="23"/>
    <n v="175740"/>
  </r>
  <r>
    <s v="M0113"/>
    <x v="1"/>
    <x v="806"/>
    <x v="149"/>
    <n v="136379"/>
  </r>
  <r>
    <s v="M0113"/>
    <x v="1"/>
    <x v="806"/>
    <x v="149"/>
    <n v="136379"/>
  </r>
  <r>
    <s v="M0113"/>
    <x v="1"/>
    <x v="807"/>
    <x v="133"/>
    <n v="132022"/>
  </r>
  <r>
    <s v="M0113"/>
    <x v="1"/>
    <x v="807"/>
    <x v="133"/>
    <n v="132022"/>
  </r>
  <r>
    <s v="M0113"/>
    <x v="1"/>
    <x v="808"/>
    <x v="72"/>
    <n v="264894"/>
  </r>
  <r>
    <s v="M0113"/>
    <x v="1"/>
    <x v="808"/>
    <x v="72"/>
    <n v="264894"/>
  </r>
  <r>
    <s v="M0113"/>
    <x v="1"/>
    <x v="809"/>
    <x v="266"/>
    <n v="64585"/>
  </r>
  <r>
    <s v="M0113"/>
    <x v="1"/>
    <x v="809"/>
    <x v="266"/>
    <n v="64585"/>
  </r>
  <r>
    <s v="M0113"/>
    <x v="1"/>
    <x v="810"/>
    <x v="221"/>
    <n v="600865"/>
  </r>
  <r>
    <s v="M0113"/>
    <x v="1"/>
    <x v="810"/>
    <x v="221"/>
    <n v="600865"/>
  </r>
  <r>
    <s v="M0113"/>
    <x v="1"/>
    <x v="811"/>
    <x v="191"/>
    <n v="521618"/>
  </r>
  <r>
    <s v="M0113"/>
    <x v="1"/>
    <x v="811"/>
    <x v="191"/>
    <n v="521618"/>
  </r>
  <r>
    <s v="M0113"/>
    <x v="1"/>
    <x v="812"/>
    <x v="217"/>
    <n v="305378"/>
  </r>
  <r>
    <s v="M0113"/>
    <x v="1"/>
    <x v="812"/>
    <x v="217"/>
    <n v="305378"/>
  </r>
  <r>
    <s v="M0113"/>
    <x v="1"/>
    <x v="813"/>
    <x v="222"/>
    <n v="293599"/>
  </r>
  <r>
    <s v="M0113"/>
    <x v="1"/>
    <x v="813"/>
    <x v="222"/>
    <n v="293599"/>
  </r>
  <r>
    <s v="M0113"/>
    <x v="1"/>
    <x v="814"/>
    <x v="149"/>
    <n v="138456"/>
  </r>
  <r>
    <s v="M0113"/>
    <x v="1"/>
    <x v="814"/>
    <x v="149"/>
    <n v="138456"/>
  </r>
  <r>
    <s v="M0113"/>
    <x v="1"/>
    <x v="815"/>
    <x v="176"/>
    <n v="266306"/>
  </r>
  <r>
    <s v="M0113"/>
    <x v="1"/>
    <x v="815"/>
    <x v="176"/>
    <n v="266306"/>
  </r>
  <r>
    <s v="M0113"/>
    <x v="1"/>
    <x v="816"/>
    <x v="137"/>
    <n v="50403"/>
  </r>
  <r>
    <s v="M0113"/>
    <x v="1"/>
    <x v="816"/>
    <x v="137"/>
    <n v="50403"/>
  </r>
  <r>
    <s v="M0113"/>
    <x v="1"/>
    <x v="817"/>
    <x v="48"/>
    <n v="258538"/>
  </r>
  <r>
    <s v="M0113"/>
    <x v="1"/>
    <x v="817"/>
    <x v="48"/>
    <n v="258538"/>
  </r>
  <r>
    <s v="M0113"/>
    <x v="1"/>
    <x v="818"/>
    <x v="289"/>
    <n v="60643"/>
  </r>
  <r>
    <s v="M0113"/>
    <x v="1"/>
    <x v="818"/>
    <x v="289"/>
    <n v="60643"/>
  </r>
  <r>
    <s v="M0113"/>
    <x v="1"/>
    <x v="819"/>
    <x v="281"/>
    <n v="272942"/>
  </r>
  <r>
    <s v="M0113"/>
    <x v="1"/>
    <x v="819"/>
    <x v="281"/>
    <n v="272942"/>
  </r>
  <r>
    <s v="M0113"/>
    <x v="1"/>
    <x v="820"/>
    <x v="47"/>
    <n v="234249"/>
  </r>
  <r>
    <s v="M0113"/>
    <x v="1"/>
    <x v="820"/>
    <x v="47"/>
    <n v="234249"/>
  </r>
  <r>
    <s v="M0113"/>
    <x v="1"/>
    <x v="821"/>
    <x v="221"/>
    <n v="56511"/>
  </r>
  <r>
    <s v="M0113"/>
    <x v="1"/>
    <x v="821"/>
    <x v="221"/>
    <n v="56511"/>
  </r>
  <r>
    <s v="M0113"/>
    <x v="1"/>
    <x v="822"/>
    <x v="313"/>
    <n v="742863"/>
  </r>
  <r>
    <s v="M0113"/>
    <x v="1"/>
    <x v="822"/>
    <x v="313"/>
    <n v="742863"/>
  </r>
  <r>
    <s v="M0113"/>
    <x v="1"/>
    <x v="823"/>
    <x v="124"/>
    <n v="130824"/>
  </r>
  <r>
    <s v="M0113"/>
    <x v="1"/>
    <x v="823"/>
    <x v="124"/>
    <n v="130824"/>
  </r>
  <r>
    <s v="M0113"/>
    <x v="1"/>
    <x v="824"/>
    <x v="123"/>
    <n v="194775"/>
  </r>
  <r>
    <s v="M0113"/>
    <x v="1"/>
    <x v="824"/>
    <x v="123"/>
    <n v="194775"/>
  </r>
  <r>
    <s v="M0113"/>
    <x v="1"/>
    <x v="825"/>
    <x v="223"/>
    <n v="254149"/>
  </r>
  <r>
    <s v="M0113"/>
    <x v="1"/>
    <x v="825"/>
    <x v="223"/>
    <n v="254149"/>
  </r>
  <r>
    <s v="M0138"/>
    <x v="1"/>
    <x v="826"/>
    <x v="107"/>
    <n v="50025"/>
  </r>
  <r>
    <s v="M0138"/>
    <x v="1"/>
    <x v="826"/>
    <x v="107"/>
    <n v="50025"/>
  </r>
  <r>
    <s v="M0138"/>
    <x v="1"/>
    <x v="827"/>
    <x v="75"/>
    <n v="235578"/>
  </r>
  <r>
    <s v="M0138"/>
    <x v="1"/>
    <x v="827"/>
    <x v="75"/>
    <n v="235578"/>
  </r>
  <r>
    <s v="M0138"/>
    <x v="1"/>
    <x v="828"/>
    <x v="22"/>
    <n v="120641"/>
  </r>
  <r>
    <s v="M0138"/>
    <x v="1"/>
    <x v="828"/>
    <x v="22"/>
    <n v="120641"/>
  </r>
  <r>
    <s v="M0103"/>
    <x v="1"/>
    <x v="829"/>
    <x v="321"/>
    <n v="144937"/>
  </r>
  <r>
    <s v="M0103"/>
    <x v="1"/>
    <x v="829"/>
    <x v="321"/>
    <n v="144937"/>
  </r>
  <r>
    <s v="M0103"/>
    <x v="1"/>
    <x v="829"/>
    <x v="321"/>
    <n v="144937"/>
  </r>
  <r>
    <s v="M0103"/>
    <x v="1"/>
    <x v="829"/>
    <x v="321"/>
    <n v="144937"/>
  </r>
  <r>
    <s v="M0103"/>
    <x v="1"/>
    <x v="830"/>
    <x v="293"/>
    <n v="454168"/>
  </r>
  <r>
    <s v="M0103"/>
    <x v="1"/>
    <x v="830"/>
    <x v="293"/>
    <n v="454168"/>
  </r>
  <r>
    <s v="M0103"/>
    <x v="1"/>
    <x v="830"/>
    <x v="293"/>
    <n v="454168"/>
  </r>
  <r>
    <s v="M0103"/>
    <x v="1"/>
    <x v="830"/>
    <x v="293"/>
    <n v="454168"/>
  </r>
  <r>
    <s v="M0103"/>
    <x v="1"/>
    <x v="831"/>
    <x v="243"/>
    <n v="263371"/>
  </r>
  <r>
    <s v="M0103"/>
    <x v="1"/>
    <x v="831"/>
    <x v="243"/>
    <n v="263371"/>
  </r>
  <r>
    <s v="M0103"/>
    <x v="1"/>
    <x v="831"/>
    <x v="243"/>
    <n v="263371"/>
  </r>
  <r>
    <s v="M0103"/>
    <x v="1"/>
    <x v="831"/>
    <x v="243"/>
    <n v="263371"/>
  </r>
  <r>
    <s v="M0103"/>
    <x v="1"/>
    <x v="832"/>
    <x v="282"/>
    <n v="507193"/>
  </r>
  <r>
    <s v="M0103"/>
    <x v="1"/>
    <x v="832"/>
    <x v="282"/>
    <n v="507193"/>
  </r>
  <r>
    <s v="M0103"/>
    <x v="1"/>
    <x v="832"/>
    <x v="282"/>
    <n v="507193"/>
  </r>
  <r>
    <s v="M0103"/>
    <x v="1"/>
    <x v="832"/>
    <x v="282"/>
    <n v="507193"/>
  </r>
  <r>
    <s v="M0034"/>
    <x v="1"/>
    <x v="833"/>
    <x v="167"/>
    <n v="666024"/>
  </r>
  <r>
    <s v="M0034"/>
    <x v="1"/>
    <x v="833"/>
    <x v="167"/>
    <n v="666024"/>
  </r>
  <r>
    <s v="M0034"/>
    <x v="1"/>
    <x v="833"/>
    <x v="167"/>
    <n v="666024"/>
  </r>
  <r>
    <s v="M0034"/>
    <x v="1"/>
    <x v="833"/>
    <x v="167"/>
    <n v="666024"/>
  </r>
  <r>
    <s v="M0034"/>
    <x v="1"/>
    <x v="833"/>
    <x v="167"/>
    <n v="666024"/>
  </r>
  <r>
    <s v="M0034"/>
    <x v="1"/>
    <x v="834"/>
    <x v="118"/>
    <n v="163495"/>
  </r>
  <r>
    <s v="M0034"/>
    <x v="1"/>
    <x v="834"/>
    <x v="118"/>
    <n v="163495"/>
  </r>
  <r>
    <s v="M0034"/>
    <x v="1"/>
    <x v="834"/>
    <x v="118"/>
    <n v="163495"/>
  </r>
  <r>
    <s v="M0034"/>
    <x v="1"/>
    <x v="834"/>
    <x v="118"/>
    <n v="163495"/>
  </r>
  <r>
    <s v="M0034"/>
    <x v="1"/>
    <x v="834"/>
    <x v="118"/>
    <n v="163495"/>
  </r>
  <r>
    <s v="M0034"/>
    <x v="1"/>
    <x v="835"/>
    <x v="172"/>
    <n v="818006"/>
  </r>
  <r>
    <s v="M0034"/>
    <x v="1"/>
    <x v="835"/>
    <x v="172"/>
    <n v="818006"/>
  </r>
  <r>
    <s v="M0034"/>
    <x v="1"/>
    <x v="835"/>
    <x v="172"/>
    <n v="818006"/>
  </r>
  <r>
    <s v="M0034"/>
    <x v="1"/>
    <x v="835"/>
    <x v="172"/>
    <n v="818006"/>
  </r>
  <r>
    <s v="M0034"/>
    <x v="1"/>
    <x v="835"/>
    <x v="172"/>
    <n v="818006"/>
  </r>
  <r>
    <s v="M0034"/>
    <x v="1"/>
    <x v="836"/>
    <x v="119"/>
    <n v="39527"/>
  </r>
  <r>
    <s v="M0034"/>
    <x v="1"/>
    <x v="836"/>
    <x v="119"/>
    <n v="39527"/>
  </r>
  <r>
    <s v="M0034"/>
    <x v="1"/>
    <x v="836"/>
    <x v="119"/>
    <n v="39527"/>
  </r>
  <r>
    <s v="M0034"/>
    <x v="1"/>
    <x v="836"/>
    <x v="119"/>
    <n v="39527"/>
  </r>
  <r>
    <s v="M0034"/>
    <x v="1"/>
    <x v="836"/>
    <x v="119"/>
    <n v="39527"/>
  </r>
  <r>
    <s v="M0034"/>
    <x v="1"/>
    <x v="837"/>
    <x v="323"/>
    <n v="418526"/>
  </r>
  <r>
    <s v="M0034"/>
    <x v="1"/>
    <x v="837"/>
    <x v="323"/>
    <n v="418526"/>
  </r>
  <r>
    <s v="M0034"/>
    <x v="1"/>
    <x v="837"/>
    <x v="323"/>
    <n v="418526"/>
  </r>
  <r>
    <s v="M0034"/>
    <x v="1"/>
    <x v="837"/>
    <x v="323"/>
    <n v="418526"/>
  </r>
  <r>
    <s v="M0034"/>
    <x v="1"/>
    <x v="837"/>
    <x v="323"/>
    <n v="418526"/>
  </r>
  <r>
    <s v="M0034"/>
    <x v="1"/>
    <x v="838"/>
    <x v="95"/>
    <n v="271788"/>
  </r>
  <r>
    <s v="M0034"/>
    <x v="1"/>
    <x v="838"/>
    <x v="95"/>
    <n v="271788"/>
  </r>
  <r>
    <s v="M0034"/>
    <x v="1"/>
    <x v="838"/>
    <x v="95"/>
    <n v="271788"/>
  </r>
  <r>
    <s v="M0034"/>
    <x v="1"/>
    <x v="838"/>
    <x v="95"/>
    <n v="271788"/>
  </r>
  <r>
    <s v="M0034"/>
    <x v="1"/>
    <x v="838"/>
    <x v="95"/>
    <n v="271788"/>
  </r>
  <r>
    <s v="M0034"/>
    <x v="1"/>
    <x v="839"/>
    <x v="143"/>
    <n v="352864"/>
  </r>
  <r>
    <s v="M0034"/>
    <x v="1"/>
    <x v="839"/>
    <x v="143"/>
    <n v="352864"/>
  </r>
  <r>
    <s v="M0034"/>
    <x v="1"/>
    <x v="839"/>
    <x v="143"/>
    <n v="352864"/>
  </r>
  <r>
    <s v="M0034"/>
    <x v="1"/>
    <x v="839"/>
    <x v="143"/>
    <n v="352864"/>
  </r>
  <r>
    <s v="M0034"/>
    <x v="1"/>
    <x v="839"/>
    <x v="143"/>
    <n v="352864"/>
  </r>
  <r>
    <s v="M0034"/>
    <x v="1"/>
    <x v="840"/>
    <x v="37"/>
    <n v="89251"/>
  </r>
  <r>
    <s v="M0034"/>
    <x v="1"/>
    <x v="840"/>
    <x v="37"/>
    <n v="89251"/>
  </r>
  <r>
    <s v="M0034"/>
    <x v="1"/>
    <x v="840"/>
    <x v="37"/>
    <n v="89251"/>
  </r>
  <r>
    <s v="M0034"/>
    <x v="1"/>
    <x v="840"/>
    <x v="37"/>
    <n v="89251"/>
  </r>
  <r>
    <s v="M0034"/>
    <x v="1"/>
    <x v="840"/>
    <x v="37"/>
    <n v="89251"/>
  </r>
  <r>
    <s v="M0034"/>
    <x v="1"/>
    <x v="841"/>
    <x v="324"/>
    <n v="103159"/>
  </r>
  <r>
    <s v="M0034"/>
    <x v="1"/>
    <x v="841"/>
    <x v="324"/>
    <n v="103159"/>
  </r>
  <r>
    <s v="M0034"/>
    <x v="1"/>
    <x v="841"/>
    <x v="324"/>
    <n v="103159"/>
  </r>
  <r>
    <s v="M0034"/>
    <x v="1"/>
    <x v="841"/>
    <x v="324"/>
    <n v="103159"/>
  </r>
  <r>
    <s v="M0034"/>
    <x v="1"/>
    <x v="841"/>
    <x v="324"/>
    <n v="103159"/>
  </r>
  <r>
    <s v="M0034"/>
    <x v="1"/>
    <x v="842"/>
    <x v="169"/>
    <n v="702833"/>
  </r>
  <r>
    <s v="M0034"/>
    <x v="1"/>
    <x v="842"/>
    <x v="169"/>
    <n v="702833"/>
  </r>
  <r>
    <s v="M0034"/>
    <x v="1"/>
    <x v="842"/>
    <x v="169"/>
    <n v="702833"/>
  </r>
  <r>
    <s v="M0034"/>
    <x v="1"/>
    <x v="842"/>
    <x v="169"/>
    <n v="702833"/>
  </r>
  <r>
    <s v="M0034"/>
    <x v="1"/>
    <x v="842"/>
    <x v="169"/>
    <n v="702833"/>
  </r>
  <r>
    <s v="M0034"/>
    <x v="1"/>
    <x v="843"/>
    <x v="232"/>
    <n v="126042"/>
  </r>
  <r>
    <s v="M0034"/>
    <x v="1"/>
    <x v="843"/>
    <x v="232"/>
    <n v="126042"/>
  </r>
  <r>
    <s v="M0034"/>
    <x v="1"/>
    <x v="843"/>
    <x v="232"/>
    <n v="126042"/>
  </r>
  <r>
    <s v="M0034"/>
    <x v="1"/>
    <x v="843"/>
    <x v="232"/>
    <n v="126042"/>
  </r>
  <r>
    <s v="M0034"/>
    <x v="1"/>
    <x v="843"/>
    <x v="232"/>
    <n v="126042"/>
  </r>
  <r>
    <s v="M0034"/>
    <x v="1"/>
    <x v="844"/>
    <x v="191"/>
    <n v="308229"/>
  </r>
  <r>
    <s v="M0034"/>
    <x v="1"/>
    <x v="844"/>
    <x v="191"/>
    <n v="308229"/>
  </r>
  <r>
    <s v="M0034"/>
    <x v="1"/>
    <x v="844"/>
    <x v="191"/>
    <n v="308229"/>
  </r>
  <r>
    <s v="M0034"/>
    <x v="1"/>
    <x v="844"/>
    <x v="191"/>
    <n v="308229"/>
  </r>
  <r>
    <s v="M0034"/>
    <x v="1"/>
    <x v="844"/>
    <x v="191"/>
    <n v="308229"/>
  </r>
  <r>
    <s v="M0017"/>
    <x v="0"/>
    <x v="845"/>
    <x v="142"/>
    <n v="160697"/>
  </r>
  <r>
    <s v="M0017"/>
    <x v="0"/>
    <x v="845"/>
    <x v="142"/>
    <n v="160697"/>
  </r>
  <r>
    <s v="M0017"/>
    <x v="0"/>
    <x v="845"/>
    <x v="142"/>
    <n v="160697"/>
  </r>
  <r>
    <s v="M0017"/>
    <x v="0"/>
    <x v="845"/>
    <x v="142"/>
    <n v="160697"/>
  </r>
  <r>
    <s v="M0017"/>
    <x v="0"/>
    <x v="845"/>
    <x v="142"/>
    <n v="160697"/>
  </r>
  <r>
    <s v="M0017"/>
    <x v="0"/>
    <x v="845"/>
    <x v="142"/>
    <n v="160697"/>
  </r>
  <r>
    <s v="M0017"/>
    <x v="0"/>
    <x v="846"/>
    <x v="3"/>
    <n v="209604"/>
  </r>
  <r>
    <s v="M0017"/>
    <x v="0"/>
    <x v="846"/>
    <x v="3"/>
    <n v="209604"/>
  </r>
  <r>
    <s v="M0017"/>
    <x v="0"/>
    <x v="846"/>
    <x v="3"/>
    <n v="209604"/>
  </r>
  <r>
    <s v="M0017"/>
    <x v="0"/>
    <x v="846"/>
    <x v="3"/>
    <n v="209604"/>
  </r>
  <r>
    <s v="M0017"/>
    <x v="0"/>
    <x v="846"/>
    <x v="3"/>
    <n v="209604"/>
  </r>
  <r>
    <s v="M0017"/>
    <x v="0"/>
    <x v="846"/>
    <x v="3"/>
    <n v="209604"/>
  </r>
  <r>
    <s v="M0017"/>
    <x v="0"/>
    <x v="847"/>
    <x v="301"/>
    <n v="137505"/>
  </r>
  <r>
    <s v="M0017"/>
    <x v="0"/>
    <x v="847"/>
    <x v="301"/>
    <n v="137505"/>
  </r>
  <r>
    <s v="M0017"/>
    <x v="0"/>
    <x v="847"/>
    <x v="301"/>
    <n v="137505"/>
  </r>
  <r>
    <s v="M0017"/>
    <x v="0"/>
    <x v="847"/>
    <x v="301"/>
    <n v="137505"/>
  </r>
  <r>
    <s v="M0017"/>
    <x v="0"/>
    <x v="847"/>
    <x v="301"/>
    <n v="137505"/>
  </r>
  <r>
    <s v="M0017"/>
    <x v="0"/>
    <x v="847"/>
    <x v="301"/>
    <n v="137505"/>
  </r>
  <r>
    <s v="M0017"/>
    <x v="0"/>
    <x v="848"/>
    <x v="55"/>
    <n v="154250"/>
  </r>
  <r>
    <s v="M0017"/>
    <x v="0"/>
    <x v="848"/>
    <x v="55"/>
    <n v="154250"/>
  </r>
  <r>
    <s v="M0017"/>
    <x v="0"/>
    <x v="848"/>
    <x v="55"/>
    <n v="154250"/>
  </r>
  <r>
    <s v="M0017"/>
    <x v="0"/>
    <x v="848"/>
    <x v="55"/>
    <n v="154250"/>
  </r>
  <r>
    <s v="M0017"/>
    <x v="0"/>
    <x v="848"/>
    <x v="55"/>
    <n v="154250"/>
  </r>
  <r>
    <s v="M0017"/>
    <x v="0"/>
    <x v="848"/>
    <x v="55"/>
    <n v="154250"/>
  </r>
  <r>
    <s v="M0017"/>
    <x v="0"/>
    <x v="849"/>
    <x v="140"/>
    <n v="293768"/>
  </r>
  <r>
    <s v="M0017"/>
    <x v="0"/>
    <x v="849"/>
    <x v="140"/>
    <n v="293768"/>
  </r>
  <r>
    <s v="M0017"/>
    <x v="0"/>
    <x v="849"/>
    <x v="140"/>
    <n v="293768"/>
  </r>
  <r>
    <s v="M0017"/>
    <x v="0"/>
    <x v="849"/>
    <x v="140"/>
    <n v="293768"/>
  </r>
  <r>
    <s v="M0017"/>
    <x v="0"/>
    <x v="849"/>
    <x v="140"/>
    <n v="293768"/>
  </r>
  <r>
    <s v="M0017"/>
    <x v="0"/>
    <x v="849"/>
    <x v="140"/>
    <n v="293768"/>
  </r>
  <r>
    <s v="M0017"/>
    <x v="0"/>
    <x v="850"/>
    <x v="312"/>
    <n v="228872"/>
  </r>
  <r>
    <s v="M0017"/>
    <x v="0"/>
    <x v="850"/>
    <x v="312"/>
    <n v="228872"/>
  </r>
  <r>
    <s v="M0017"/>
    <x v="0"/>
    <x v="850"/>
    <x v="312"/>
    <n v="228872"/>
  </r>
  <r>
    <s v="M0017"/>
    <x v="0"/>
    <x v="850"/>
    <x v="312"/>
    <n v="228872"/>
  </r>
  <r>
    <s v="M0017"/>
    <x v="0"/>
    <x v="850"/>
    <x v="312"/>
    <n v="228872"/>
  </r>
  <r>
    <s v="M0017"/>
    <x v="0"/>
    <x v="850"/>
    <x v="312"/>
    <n v="228872"/>
  </r>
  <r>
    <s v="M0272"/>
    <x v="1"/>
    <x v="851"/>
    <x v="168"/>
    <n v="736327"/>
  </r>
  <r>
    <s v="M0272"/>
    <x v="1"/>
    <x v="852"/>
    <x v="130"/>
    <n v="186069"/>
  </r>
  <r>
    <s v="M0272"/>
    <x v="1"/>
    <x v="853"/>
    <x v="226"/>
    <n v="599564"/>
  </r>
  <r>
    <s v="M0272"/>
    <x v="1"/>
    <x v="854"/>
    <x v="11"/>
    <n v="32468"/>
  </r>
  <r>
    <s v="M0272"/>
    <x v="1"/>
    <x v="855"/>
    <x v="169"/>
    <n v="195364"/>
  </r>
  <r>
    <s v="M0272"/>
    <x v="1"/>
    <x v="856"/>
    <x v="139"/>
    <n v="182085"/>
  </r>
  <r>
    <s v="M0264"/>
    <x v="1"/>
    <x v="857"/>
    <x v="325"/>
    <n v="485882"/>
  </r>
  <r>
    <s v="M0264"/>
    <x v="1"/>
    <x v="857"/>
    <x v="325"/>
    <n v="485882"/>
  </r>
  <r>
    <s v="M0264"/>
    <x v="1"/>
    <x v="857"/>
    <x v="325"/>
    <n v="485882"/>
  </r>
  <r>
    <s v="M0264"/>
    <x v="1"/>
    <x v="857"/>
    <x v="325"/>
    <n v="485882"/>
  </r>
  <r>
    <s v="M0264"/>
    <x v="1"/>
    <x v="857"/>
    <x v="325"/>
    <n v="485882"/>
  </r>
  <r>
    <s v="M0264"/>
    <x v="1"/>
    <x v="857"/>
    <x v="325"/>
    <n v="485882"/>
  </r>
  <r>
    <s v="M0264"/>
    <x v="1"/>
    <x v="857"/>
    <x v="325"/>
    <n v="485882"/>
  </r>
  <r>
    <s v="M0264"/>
    <x v="1"/>
    <x v="858"/>
    <x v="326"/>
    <n v="190352"/>
  </r>
  <r>
    <s v="M0264"/>
    <x v="1"/>
    <x v="858"/>
    <x v="326"/>
    <n v="190352"/>
  </r>
  <r>
    <s v="M0264"/>
    <x v="1"/>
    <x v="858"/>
    <x v="326"/>
    <n v="190352"/>
  </r>
  <r>
    <s v="M0264"/>
    <x v="1"/>
    <x v="858"/>
    <x v="326"/>
    <n v="190352"/>
  </r>
  <r>
    <s v="M0264"/>
    <x v="1"/>
    <x v="858"/>
    <x v="326"/>
    <n v="190352"/>
  </r>
  <r>
    <s v="M0264"/>
    <x v="1"/>
    <x v="858"/>
    <x v="326"/>
    <n v="190352"/>
  </r>
  <r>
    <s v="M0264"/>
    <x v="1"/>
    <x v="858"/>
    <x v="326"/>
    <n v="190352"/>
  </r>
  <r>
    <s v="M0264"/>
    <x v="1"/>
    <x v="859"/>
    <x v="89"/>
    <n v="677999"/>
  </r>
  <r>
    <s v="M0264"/>
    <x v="1"/>
    <x v="859"/>
    <x v="89"/>
    <n v="677999"/>
  </r>
  <r>
    <s v="M0264"/>
    <x v="1"/>
    <x v="859"/>
    <x v="89"/>
    <n v="677999"/>
  </r>
  <r>
    <s v="M0264"/>
    <x v="1"/>
    <x v="859"/>
    <x v="89"/>
    <n v="677999"/>
  </r>
  <r>
    <s v="M0264"/>
    <x v="1"/>
    <x v="859"/>
    <x v="89"/>
    <n v="677999"/>
  </r>
  <r>
    <s v="M0264"/>
    <x v="1"/>
    <x v="859"/>
    <x v="89"/>
    <n v="677999"/>
  </r>
  <r>
    <s v="M0264"/>
    <x v="1"/>
    <x v="859"/>
    <x v="89"/>
    <n v="677999"/>
  </r>
  <r>
    <s v="M0264"/>
    <x v="1"/>
    <x v="860"/>
    <x v="269"/>
    <n v="188253"/>
  </r>
  <r>
    <s v="M0264"/>
    <x v="1"/>
    <x v="860"/>
    <x v="269"/>
    <n v="188253"/>
  </r>
  <r>
    <s v="M0264"/>
    <x v="1"/>
    <x v="860"/>
    <x v="269"/>
    <n v="188253"/>
  </r>
  <r>
    <s v="M0264"/>
    <x v="1"/>
    <x v="860"/>
    <x v="269"/>
    <n v="188253"/>
  </r>
  <r>
    <s v="M0264"/>
    <x v="1"/>
    <x v="860"/>
    <x v="269"/>
    <n v="188253"/>
  </r>
  <r>
    <s v="M0264"/>
    <x v="1"/>
    <x v="860"/>
    <x v="269"/>
    <n v="188253"/>
  </r>
  <r>
    <s v="M0264"/>
    <x v="1"/>
    <x v="860"/>
    <x v="269"/>
    <n v="188253"/>
  </r>
  <r>
    <s v="M0264"/>
    <x v="1"/>
    <x v="861"/>
    <x v="261"/>
    <n v="332987"/>
  </r>
  <r>
    <s v="M0264"/>
    <x v="1"/>
    <x v="861"/>
    <x v="261"/>
    <n v="332987"/>
  </r>
  <r>
    <s v="M0264"/>
    <x v="1"/>
    <x v="861"/>
    <x v="261"/>
    <n v="332987"/>
  </r>
  <r>
    <s v="M0264"/>
    <x v="1"/>
    <x v="861"/>
    <x v="261"/>
    <n v="332987"/>
  </r>
  <r>
    <s v="M0264"/>
    <x v="1"/>
    <x v="861"/>
    <x v="261"/>
    <n v="332987"/>
  </r>
  <r>
    <s v="M0264"/>
    <x v="1"/>
    <x v="861"/>
    <x v="261"/>
    <n v="332987"/>
  </r>
  <r>
    <s v="M0264"/>
    <x v="1"/>
    <x v="861"/>
    <x v="261"/>
    <n v="332987"/>
  </r>
  <r>
    <s v="M0264"/>
    <x v="1"/>
    <x v="862"/>
    <x v="78"/>
    <n v="261817"/>
  </r>
  <r>
    <s v="M0264"/>
    <x v="1"/>
    <x v="862"/>
    <x v="78"/>
    <n v="261817"/>
  </r>
  <r>
    <s v="M0264"/>
    <x v="1"/>
    <x v="862"/>
    <x v="78"/>
    <n v="261817"/>
  </r>
  <r>
    <s v="M0264"/>
    <x v="1"/>
    <x v="862"/>
    <x v="78"/>
    <n v="261817"/>
  </r>
  <r>
    <s v="M0264"/>
    <x v="1"/>
    <x v="862"/>
    <x v="78"/>
    <n v="261817"/>
  </r>
  <r>
    <s v="M0264"/>
    <x v="1"/>
    <x v="862"/>
    <x v="78"/>
    <n v="261817"/>
  </r>
  <r>
    <s v="M0264"/>
    <x v="1"/>
    <x v="862"/>
    <x v="78"/>
    <n v="261817"/>
  </r>
  <r>
    <s v="M0264"/>
    <x v="1"/>
    <x v="863"/>
    <x v="36"/>
    <n v="350679"/>
  </r>
  <r>
    <s v="M0264"/>
    <x v="1"/>
    <x v="863"/>
    <x v="36"/>
    <n v="350679"/>
  </r>
  <r>
    <s v="M0264"/>
    <x v="1"/>
    <x v="863"/>
    <x v="36"/>
    <n v="350679"/>
  </r>
  <r>
    <s v="M0264"/>
    <x v="1"/>
    <x v="863"/>
    <x v="36"/>
    <n v="350679"/>
  </r>
  <r>
    <s v="M0264"/>
    <x v="1"/>
    <x v="863"/>
    <x v="36"/>
    <n v="350679"/>
  </r>
  <r>
    <s v="M0264"/>
    <x v="1"/>
    <x v="863"/>
    <x v="36"/>
    <n v="350679"/>
  </r>
  <r>
    <s v="M0264"/>
    <x v="1"/>
    <x v="863"/>
    <x v="36"/>
    <n v="350679"/>
  </r>
  <r>
    <s v="M0264"/>
    <x v="1"/>
    <x v="864"/>
    <x v="9"/>
    <n v="151299"/>
  </r>
  <r>
    <s v="M0264"/>
    <x v="1"/>
    <x v="864"/>
    <x v="9"/>
    <n v="151299"/>
  </r>
  <r>
    <s v="M0264"/>
    <x v="1"/>
    <x v="864"/>
    <x v="9"/>
    <n v="151299"/>
  </r>
  <r>
    <s v="M0264"/>
    <x v="1"/>
    <x v="864"/>
    <x v="9"/>
    <n v="151299"/>
  </r>
  <r>
    <s v="M0264"/>
    <x v="1"/>
    <x v="864"/>
    <x v="9"/>
    <n v="151299"/>
  </r>
  <r>
    <s v="M0264"/>
    <x v="1"/>
    <x v="864"/>
    <x v="9"/>
    <n v="151299"/>
  </r>
  <r>
    <s v="M0264"/>
    <x v="1"/>
    <x v="864"/>
    <x v="9"/>
    <n v="151299"/>
  </r>
  <r>
    <s v="M0264"/>
    <x v="1"/>
    <x v="865"/>
    <x v="327"/>
    <n v="128251"/>
  </r>
  <r>
    <s v="M0264"/>
    <x v="1"/>
    <x v="865"/>
    <x v="327"/>
    <n v="128251"/>
  </r>
  <r>
    <s v="M0264"/>
    <x v="1"/>
    <x v="865"/>
    <x v="327"/>
    <n v="128251"/>
  </r>
  <r>
    <s v="M0264"/>
    <x v="1"/>
    <x v="865"/>
    <x v="327"/>
    <n v="128251"/>
  </r>
  <r>
    <s v="M0264"/>
    <x v="1"/>
    <x v="865"/>
    <x v="327"/>
    <n v="128251"/>
  </r>
  <r>
    <s v="M0264"/>
    <x v="1"/>
    <x v="865"/>
    <x v="327"/>
    <n v="128251"/>
  </r>
  <r>
    <s v="M0264"/>
    <x v="1"/>
    <x v="865"/>
    <x v="327"/>
    <n v="128251"/>
  </r>
  <r>
    <s v="M0264"/>
    <x v="1"/>
    <x v="866"/>
    <x v="318"/>
    <n v="202507"/>
  </r>
  <r>
    <s v="M0264"/>
    <x v="1"/>
    <x v="866"/>
    <x v="318"/>
    <n v="202507"/>
  </r>
  <r>
    <s v="M0264"/>
    <x v="1"/>
    <x v="866"/>
    <x v="318"/>
    <n v="202507"/>
  </r>
  <r>
    <s v="M0264"/>
    <x v="1"/>
    <x v="866"/>
    <x v="318"/>
    <n v="202507"/>
  </r>
  <r>
    <s v="M0264"/>
    <x v="1"/>
    <x v="866"/>
    <x v="318"/>
    <n v="202507"/>
  </r>
  <r>
    <s v="M0264"/>
    <x v="1"/>
    <x v="866"/>
    <x v="318"/>
    <n v="202507"/>
  </r>
  <r>
    <s v="M0264"/>
    <x v="1"/>
    <x v="866"/>
    <x v="318"/>
    <n v="202507"/>
  </r>
  <r>
    <s v="M0264"/>
    <x v="1"/>
    <x v="867"/>
    <x v="75"/>
    <n v="25000"/>
  </r>
  <r>
    <s v="M0264"/>
    <x v="1"/>
    <x v="867"/>
    <x v="75"/>
    <n v="25000"/>
  </r>
  <r>
    <s v="M0264"/>
    <x v="1"/>
    <x v="867"/>
    <x v="75"/>
    <n v="25000"/>
  </r>
  <r>
    <s v="M0264"/>
    <x v="1"/>
    <x v="867"/>
    <x v="75"/>
    <n v="25000"/>
  </r>
  <r>
    <s v="M0264"/>
    <x v="1"/>
    <x v="867"/>
    <x v="75"/>
    <n v="25000"/>
  </r>
  <r>
    <s v="M0264"/>
    <x v="1"/>
    <x v="867"/>
    <x v="75"/>
    <n v="25000"/>
  </r>
  <r>
    <s v="M0264"/>
    <x v="1"/>
    <x v="867"/>
    <x v="75"/>
    <n v="25000"/>
  </r>
  <r>
    <s v="M0264"/>
    <x v="1"/>
    <x v="868"/>
    <x v="24"/>
    <n v="403892"/>
  </r>
  <r>
    <s v="M0264"/>
    <x v="1"/>
    <x v="868"/>
    <x v="24"/>
    <n v="403892"/>
  </r>
  <r>
    <s v="M0264"/>
    <x v="1"/>
    <x v="868"/>
    <x v="24"/>
    <n v="403892"/>
  </r>
  <r>
    <s v="M0264"/>
    <x v="1"/>
    <x v="868"/>
    <x v="24"/>
    <n v="403892"/>
  </r>
  <r>
    <s v="M0264"/>
    <x v="1"/>
    <x v="868"/>
    <x v="24"/>
    <n v="403892"/>
  </r>
  <r>
    <s v="M0264"/>
    <x v="1"/>
    <x v="868"/>
    <x v="24"/>
    <n v="403892"/>
  </r>
  <r>
    <s v="M0264"/>
    <x v="1"/>
    <x v="868"/>
    <x v="24"/>
    <n v="403892"/>
  </r>
  <r>
    <s v="M0094"/>
    <x v="0"/>
    <x v="869"/>
    <x v="196"/>
    <n v="383191"/>
  </r>
  <r>
    <s v="M0094"/>
    <x v="0"/>
    <x v="869"/>
    <x v="196"/>
    <n v="383191"/>
  </r>
  <r>
    <s v="M0094"/>
    <x v="0"/>
    <x v="869"/>
    <x v="196"/>
    <n v="383191"/>
  </r>
  <r>
    <s v="M0094"/>
    <x v="0"/>
    <x v="869"/>
    <x v="196"/>
    <n v="383191"/>
  </r>
  <r>
    <s v="M0094"/>
    <x v="0"/>
    <x v="870"/>
    <x v="36"/>
    <n v="484376"/>
  </r>
  <r>
    <s v="M0094"/>
    <x v="0"/>
    <x v="870"/>
    <x v="36"/>
    <n v="484376"/>
  </r>
  <r>
    <s v="M0094"/>
    <x v="0"/>
    <x v="870"/>
    <x v="36"/>
    <n v="484376"/>
  </r>
  <r>
    <s v="M0094"/>
    <x v="0"/>
    <x v="870"/>
    <x v="36"/>
    <n v="484376"/>
  </r>
  <r>
    <s v="M0094"/>
    <x v="0"/>
    <x v="871"/>
    <x v="273"/>
    <n v="87681"/>
  </r>
  <r>
    <s v="M0094"/>
    <x v="0"/>
    <x v="871"/>
    <x v="273"/>
    <n v="87681"/>
  </r>
  <r>
    <s v="M0094"/>
    <x v="0"/>
    <x v="871"/>
    <x v="273"/>
    <n v="87681"/>
  </r>
  <r>
    <s v="M0094"/>
    <x v="0"/>
    <x v="871"/>
    <x v="273"/>
    <n v="87681"/>
  </r>
  <r>
    <s v="M0094"/>
    <x v="0"/>
    <x v="872"/>
    <x v="328"/>
    <n v="505365"/>
  </r>
  <r>
    <s v="M0094"/>
    <x v="0"/>
    <x v="872"/>
    <x v="328"/>
    <n v="505365"/>
  </r>
  <r>
    <s v="M0094"/>
    <x v="0"/>
    <x v="872"/>
    <x v="328"/>
    <n v="505365"/>
  </r>
  <r>
    <s v="M0094"/>
    <x v="0"/>
    <x v="872"/>
    <x v="328"/>
    <n v="505365"/>
  </r>
  <r>
    <s v="M0094"/>
    <x v="0"/>
    <x v="873"/>
    <x v="129"/>
    <n v="410555"/>
  </r>
  <r>
    <s v="M0094"/>
    <x v="0"/>
    <x v="873"/>
    <x v="129"/>
    <n v="410555"/>
  </r>
  <r>
    <s v="M0094"/>
    <x v="0"/>
    <x v="873"/>
    <x v="129"/>
    <n v="410555"/>
  </r>
  <r>
    <s v="M0094"/>
    <x v="0"/>
    <x v="873"/>
    <x v="129"/>
    <n v="410555"/>
  </r>
  <r>
    <s v="M0094"/>
    <x v="0"/>
    <x v="874"/>
    <x v="303"/>
    <n v="122671"/>
  </r>
  <r>
    <s v="M0094"/>
    <x v="0"/>
    <x v="874"/>
    <x v="303"/>
    <n v="122671"/>
  </r>
  <r>
    <s v="M0094"/>
    <x v="0"/>
    <x v="874"/>
    <x v="303"/>
    <n v="122671"/>
  </r>
  <r>
    <s v="M0094"/>
    <x v="0"/>
    <x v="874"/>
    <x v="303"/>
    <n v="122671"/>
  </r>
  <r>
    <s v="M0094"/>
    <x v="0"/>
    <x v="875"/>
    <x v="235"/>
    <n v="249347"/>
  </r>
  <r>
    <s v="M0094"/>
    <x v="0"/>
    <x v="875"/>
    <x v="235"/>
    <n v="249347"/>
  </r>
  <r>
    <s v="M0094"/>
    <x v="0"/>
    <x v="875"/>
    <x v="235"/>
    <n v="249347"/>
  </r>
  <r>
    <s v="M0094"/>
    <x v="0"/>
    <x v="875"/>
    <x v="235"/>
    <n v="249347"/>
  </r>
  <r>
    <s v="M0094"/>
    <x v="0"/>
    <x v="876"/>
    <x v="229"/>
    <n v="214341"/>
  </r>
  <r>
    <s v="M0094"/>
    <x v="0"/>
    <x v="876"/>
    <x v="229"/>
    <n v="214341"/>
  </r>
  <r>
    <s v="M0094"/>
    <x v="0"/>
    <x v="876"/>
    <x v="229"/>
    <n v="214341"/>
  </r>
  <r>
    <s v="M0094"/>
    <x v="0"/>
    <x v="876"/>
    <x v="229"/>
    <n v="214341"/>
  </r>
  <r>
    <s v="M0121"/>
    <x v="1"/>
    <x v="877"/>
    <x v="15"/>
    <n v="314524"/>
  </r>
  <r>
    <s v="M0121"/>
    <x v="1"/>
    <x v="878"/>
    <x v="309"/>
    <n v="110881"/>
  </r>
  <r>
    <s v="M0121"/>
    <x v="1"/>
    <x v="879"/>
    <x v="29"/>
    <n v="82746"/>
  </r>
  <r>
    <s v="M0121"/>
    <x v="1"/>
    <x v="880"/>
    <x v="291"/>
    <n v="905130"/>
  </r>
  <r>
    <s v="M0121"/>
    <x v="1"/>
    <x v="881"/>
    <x v="222"/>
    <n v="126372"/>
  </r>
  <r>
    <s v="M0121"/>
    <x v="1"/>
    <x v="882"/>
    <x v="72"/>
    <n v="347108"/>
  </r>
  <r>
    <s v="M0121"/>
    <x v="1"/>
    <x v="883"/>
    <x v="328"/>
    <n v="302425"/>
  </r>
  <r>
    <s v="M0121"/>
    <x v="1"/>
    <x v="884"/>
    <x v="66"/>
    <n v="230039"/>
  </r>
  <r>
    <s v="M0121"/>
    <x v="1"/>
    <x v="885"/>
    <x v="0"/>
    <n v="351945"/>
  </r>
  <r>
    <s v="M0121"/>
    <x v="1"/>
    <x v="886"/>
    <x v="276"/>
    <n v="395031"/>
  </r>
  <r>
    <s v="M0121"/>
    <x v="1"/>
    <x v="887"/>
    <x v="254"/>
    <n v="529548"/>
  </r>
  <r>
    <s v="M0121"/>
    <x v="1"/>
    <x v="888"/>
    <x v="276"/>
    <n v="360071"/>
  </r>
  <r>
    <s v="M0121"/>
    <x v="1"/>
    <x v="889"/>
    <x v="283"/>
    <n v="853308"/>
  </r>
  <r>
    <s v="M0121"/>
    <x v="1"/>
    <x v="890"/>
    <x v="329"/>
    <n v="29223"/>
  </r>
  <r>
    <s v="M0121"/>
    <x v="1"/>
    <x v="891"/>
    <x v="183"/>
    <n v="148016"/>
  </r>
  <r>
    <s v="M0121"/>
    <x v="1"/>
    <x v="892"/>
    <x v="180"/>
    <n v="170285"/>
  </r>
  <r>
    <s v="M0121"/>
    <x v="1"/>
    <x v="893"/>
    <x v="280"/>
    <n v="424601"/>
  </r>
  <r>
    <s v="M0121"/>
    <x v="1"/>
    <x v="894"/>
    <x v="330"/>
    <n v="278715"/>
  </r>
  <r>
    <s v="M0123"/>
    <x v="2"/>
    <x v="895"/>
    <x v="235"/>
    <n v="418342"/>
  </r>
  <r>
    <s v="M0123"/>
    <x v="2"/>
    <x v="895"/>
    <x v="235"/>
    <n v="418342"/>
  </r>
  <r>
    <s v="M0123"/>
    <x v="2"/>
    <x v="895"/>
    <x v="235"/>
    <n v="418342"/>
  </r>
  <r>
    <s v="M0123"/>
    <x v="2"/>
    <x v="895"/>
    <x v="235"/>
    <n v="418342"/>
  </r>
  <r>
    <s v="M0123"/>
    <x v="2"/>
    <x v="896"/>
    <x v="153"/>
    <n v="439238"/>
  </r>
  <r>
    <s v="M0123"/>
    <x v="2"/>
    <x v="896"/>
    <x v="153"/>
    <n v="439238"/>
  </r>
  <r>
    <s v="M0123"/>
    <x v="2"/>
    <x v="896"/>
    <x v="153"/>
    <n v="439238"/>
  </r>
  <r>
    <s v="M0123"/>
    <x v="2"/>
    <x v="896"/>
    <x v="153"/>
    <n v="439238"/>
  </r>
  <r>
    <s v="M0123"/>
    <x v="2"/>
    <x v="897"/>
    <x v="239"/>
    <n v="324420"/>
  </r>
  <r>
    <s v="M0123"/>
    <x v="2"/>
    <x v="897"/>
    <x v="239"/>
    <n v="324420"/>
  </r>
  <r>
    <s v="M0123"/>
    <x v="2"/>
    <x v="897"/>
    <x v="239"/>
    <n v="324420"/>
  </r>
  <r>
    <s v="M0123"/>
    <x v="2"/>
    <x v="897"/>
    <x v="239"/>
    <n v="324420"/>
  </r>
  <r>
    <s v="M0123"/>
    <x v="2"/>
    <x v="898"/>
    <x v="82"/>
    <n v="363871"/>
  </r>
  <r>
    <s v="M0123"/>
    <x v="2"/>
    <x v="898"/>
    <x v="82"/>
    <n v="363871"/>
  </r>
  <r>
    <s v="M0123"/>
    <x v="2"/>
    <x v="898"/>
    <x v="82"/>
    <n v="363871"/>
  </r>
  <r>
    <s v="M0123"/>
    <x v="2"/>
    <x v="898"/>
    <x v="82"/>
    <n v="363871"/>
  </r>
  <r>
    <s v="M0123"/>
    <x v="2"/>
    <x v="899"/>
    <x v="208"/>
    <n v="519768"/>
  </r>
  <r>
    <s v="M0123"/>
    <x v="2"/>
    <x v="899"/>
    <x v="208"/>
    <n v="519768"/>
  </r>
  <r>
    <s v="M0123"/>
    <x v="2"/>
    <x v="899"/>
    <x v="208"/>
    <n v="519768"/>
  </r>
  <r>
    <s v="M0123"/>
    <x v="2"/>
    <x v="899"/>
    <x v="208"/>
    <n v="519768"/>
  </r>
  <r>
    <s v="M0123"/>
    <x v="2"/>
    <x v="900"/>
    <x v="154"/>
    <n v="426362"/>
  </r>
  <r>
    <s v="M0123"/>
    <x v="2"/>
    <x v="900"/>
    <x v="154"/>
    <n v="426362"/>
  </r>
  <r>
    <s v="M0123"/>
    <x v="2"/>
    <x v="900"/>
    <x v="154"/>
    <n v="426362"/>
  </r>
  <r>
    <s v="M0123"/>
    <x v="2"/>
    <x v="900"/>
    <x v="154"/>
    <n v="426362"/>
  </r>
  <r>
    <s v="M0016"/>
    <x v="1"/>
    <x v="901"/>
    <x v="135"/>
    <n v="229841"/>
  </r>
  <r>
    <s v="M0016"/>
    <x v="1"/>
    <x v="901"/>
    <x v="135"/>
    <n v="229841"/>
  </r>
  <r>
    <s v="M0016"/>
    <x v="1"/>
    <x v="902"/>
    <x v="190"/>
    <n v="98338"/>
  </r>
  <r>
    <s v="M0016"/>
    <x v="1"/>
    <x v="902"/>
    <x v="190"/>
    <n v="98338"/>
  </r>
  <r>
    <s v="M0016"/>
    <x v="1"/>
    <x v="903"/>
    <x v="331"/>
    <n v="856111"/>
  </r>
  <r>
    <s v="M0016"/>
    <x v="1"/>
    <x v="903"/>
    <x v="331"/>
    <n v="856111"/>
  </r>
  <r>
    <s v="M0016"/>
    <x v="1"/>
    <x v="904"/>
    <x v="255"/>
    <n v="256891"/>
  </r>
  <r>
    <s v="M0016"/>
    <x v="1"/>
    <x v="904"/>
    <x v="255"/>
    <n v="256891"/>
  </r>
  <r>
    <s v="M0224"/>
    <x v="1"/>
    <x v="905"/>
    <x v="262"/>
    <n v="615057"/>
  </r>
  <r>
    <s v="M0224"/>
    <x v="1"/>
    <x v="905"/>
    <x v="262"/>
    <n v="615057"/>
  </r>
  <r>
    <s v="M0224"/>
    <x v="1"/>
    <x v="905"/>
    <x v="262"/>
    <n v="615057"/>
  </r>
  <r>
    <s v="M0224"/>
    <x v="1"/>
    <x v="905"/>
    <x v="262"/>
    <n v="615057"/>
  </r>
  <r>
    <s v="M0224"/>
    <x v="1"/>
    <x v="905"/>
    <x v="262"/>
    <n v="615057"/>
  </r>
  <r>
    <s v="M0224"/>
    <x v="1"/>
    <x v="905"/>
    <x v="262"/>
    <n v="615057"/>
  </r>
  <r>
    <s v="M0224"/>
    <x v="1"/>
    <x v="905"/>
    <x v="262"/>
    <n v="615057"/>
  </r>
  <r>
    <s v="M0224"/>
    <x v="1"/>
    <x v="906"/>
    <x v="36"/>
    <n v="587775"/>
  </r>
  <r>
    <s v="M0224"/>
    <x v="1"/>
    <x v="906"/>
    <x v="36"/>
    <n v="587775"/>
  </r>
  <r>
    <s v="M0224"/>
    <x v="1"/>
    <x v="906"/>
    <x v="36"/>
    <n v="587775"/>
  </r>
  <r>
    <s v="M0224"/>
    <x v="1"/>
    <x v="906"/>
    <x v="36"/>
    <n v="587775"/>
  </r>
  <r>
    <s v="M0224"/>
    <x v="1"/>
    <x v="906"/>
    <x v="36"/>
    <n v="587775"/>
  </r>
  <r>
    <s v="M0224"/>
    <x v="1"/>
    <x v="906"/>
    <x v="36"/>
    <n v="587775"/>
  </r>
  <r>
    <s v="M0224"/>
    <x v="1"/>
    <x v="906"/>
    <x v="36"/>
    <n v="587775"/>
  </r>
  <r>
    <s v="M0224"/>
    <x v="1"/>
    <x v="907"/>
    <x v="243"/>
    <n v="117505"/>
  </r>
  <r>
    <s v="M0224"/>
    <x v="1"/>
    <x v="907"/>
    <x v="243"/>
    <n v="117505"/>
  </r>
  <r>
    <s v="M0224"/>
    <x v="1"/>
    <x v="907"/>
    <x v="243"/>
    <n v="117505"/>
  </r>
  <r>
    <s v="M0224"/>
    <x v="1"/>
    <x v="907"/>
    <x v="243"/>
    <n v="117505"/>
  </r>
  <r>
    <s v="M0224"/>
    <x v="1"/>
    <x v="907"/>
    <x v="243"/>
    <n v="117505"/>
  </r>
  <r>
    <s v="M0224"/>
    <x v="1"/>
    <x v="907"/>
    <x v="243"/>
    <n v="117505"/>
  </r>
  <r>
    <s v="M0224"/>
    <x v="1"/>
    <x v="907"/>
    <x v="243"/>
    <n v="117505"/>
  </r>
  <r>
    <s v="M0224"/>
    <x v="1"/>
    <x v="908"/>
    <x v="191"/>
    <n v="637592"/>
  </r>
  <r>
    <s v="M0224"/>
    <x v="1"/>
    <x v="908"/>
    <x v="191"/>
    <n v="637592"/>
  </r>
  <r>
    <s v="M0224"/>
    <x v="1"/>
    <x v="908"/>
    <x v="191"/>
    <n v="637592"/>
  </r>
  <r>
    <s v="M0224"/>
    <x v="1"/>
    <x v="908"/>
    <x v="191"/>
    <n v="637592"/>
  </r>
  <r>
    <s v="M0224"/>
    <x v="1"/>
    <x v="908"/>
    <x v="191"/>
    <n v="637592"/>
  </r>
  <r>
    <s v="M0224"/>
    <x v="1"/>
    <x v="908"/>
    <x v="191"/>
    <n v="637592"/>
  </r>
  <r>
    <s v="M0224"/>
    <x v="1"/>
    <x v="908"/>
    <x v="191"/>
    <n v="637592"/>
  </r>
  <r>
    <s v="M0224"/>
    <x v="1"/>
    <x v="909"/>
    <x v="34"/>
    <n v="147077"/>
  </r>
  <r>
    <s v="M0224"/>
    <x v="1"/>
    <x v="909"/>
    <x v="34"/>
    <n v="147077"/>
  </r>
  <r>
    <s v="M0224"/>
    <x v="1"/>
    <x v="909"/>
    <x v="34"/>
    <n v="147077"/>
  </r>
  <r>
    <s v="M0224"/>
    <x v="1"/>
    <x v="909"/>
    <x v="34"/>
    <n v="147077"/>
  </r>
  <r>
    <s v="M0224"/>
    <x v="1"/>
    <x v="909"/>
    <x v="34"/>
    <n v="147077"/>
  </r>
  <r>
    <s v="M0224"/>
    <x v="1"/>
    <x v="909"/>
    <x v="34"/>
    <n v="147077"/>
  </r>
  <r>
    <s v="M0224"/>
    <x v="1"/>
    <x v="909"/>
    <x v="34"/>
    <n v="147077"/>
  </r>
  <r>
    <s v="M0224"/>
    <x v="1"/>
    <x v="910"/>
    <x v="104"/>
    <n v="668772"/>
  </r>
  <r>
    <s v="M0224"/>
    <x v="1"/>
    <x v="910"/>
    <x v="104"/>
    <n v="668772"/>
  </r>
  <r>
    <s v="M0224"/>
    <x v="1"/>
    <x v="910"/>
    <x v="104"/>
    <n v="668772"/>
  </r>
  <r>
    <s v="M0224"/>
    <x v="1"/>
    <x v="910"/>
    <x v="104"/>
    <n v="668772"/>
  </r>
  <r>
    <s v="M0224"/>
    <x v="1"/>
    <x v="910"/>
    <x v="104"/>
    <n v="668772"/>
  </r>
  <r>
    <s v="M0224"/>
    <x v="1"/>
    <x v="910"/>
    <x v="104"/>
    <n v="668772"/>
  </r>
  <r>
    <s v="M0224"/>
    <x v="1"/>
    <x v="910"/>
    <x v="104"/>
    <n v="668772"/>
  </r>
  <r>
    <s v="M0224"/>
    <x v="1"/>
    <x v="911"/>
    <x v="91"/>
    <n v="276918"/>
  </r>
  <r>
    <s v="M0224"/>
    <x v="1"/>
    <x v="911"/>
    <x v="91"/>
    <n v="276918"/>
  </r>
  <r>
    <s v="M0224"/>
    <x v="1"/>
    <x v="911"/>
    <x v="91"/>
    <n v="276918"/>
  </r>
  <r>
    <s v="M0224"/>
    <x v="1"/>
    <x v="911"/>
    <x v="91"/>
    <n v="276918"/>
  </r>
  <r>
    <s v="M0224"/>
    <x v="1"/>
    <x v="911"/>
    <x v="91"/>
    <n v="276918"/>
  </r>
  <r>
    <s v="M0224"/>
    <x v="1"/>
    <x v="911"/>
    <x v="91"/>
    <n v="276918"/>
  </r>
  <r>
    <s v="M0224"/>
    <x v="1"/>
    <x v="911"/>
    <x v="91"/>
    <n v="276918"/>
  </r>
  <r>
    <s v="M0224"/>
    <x v="1"/>
    <x v="912"/>
    <x v="59"/>
    <n v="198266"/>
  </r>
  <r>
    <s v="M0224"/>
    <x v="1"/>
    <x v="912"/>
    <x v="59"/>
    <n v="198266"/>
  </r>
  <r>
    <s v="M0224"/>
    <x v="1"/>
    <x v="912"/>
    <x v="59"/>
    <n v="198266"/>
  </r>
  <r>
    <s v="M0224"/>
    <x v="1"/>
    <x v="912"/>
    <x v="59"/>
    <n v="198266"/>
  </r>
  <r>
    <s v="M0224"/>
    <x v="1"/>
    <x v="912"/>
    <x v="59"/>
    <n v="198266"/>
  </r>
  <r>
    <s v="M0224"/>
    <x v="1"/>
    <x v="912"/>
    <x v="59"/>
    <n v="198266"/>
  </r>
  <r>
    <s v="M0224"/>
    <x v="1"/>
    <x v="912"/>
    <x v="59"/>
    <n v="198266"/>
  </r>
  <r>
    <s v="M0224"/>
    <x v="1"/>
    <x v="913"/>
    <x v="175"/>
    <n v="111231"/>
  </r>
  <r>
    <s v="M0224"/>
    <x v="1"/>
    <x v="913"/>
    <x v="175"/>
    <n v="111231"/>
  </r>
  <r>
    <s v="M0224"/>
    <x v="1"/>
    <x v="913"/>
    <x v="175"/>
    <n v="111231"/>
  </r>
  <r>
    <s v="M0224"/>
    <x v="1"/>
    <x v="913"/>
    <x v="175"/>
    <n v="111231"/>
  </r>
  <r>
    <s v="M0224"/>
    <x v="1"/>
    <x v="913"/>
    <x v="175"/>
    <n v="111231"/>
  </r>
  <r>
    <s v="M0224"/>
    <x v="1"/>
    <x v="913"/>
    <x v="175"/>
    <n v="111231"/>
  </r>
  <r>
    <s v="M0224"/>
    <x v="1"/>
    <x v="913"/>
    <x v="175"/>
    <n v="111231"/>
  </r>
  <r>
    <s v="M0224"/>
    <x v="1"/>
    <x v="914"/>
    <x v="167"/>
    <n v="551972"/>
  </r>
  <r>
    <s v="M0224"/>
    <x v="1"/>
    <x v="914"/>
    <x v="167"/>
    <n v="551972"/>
  </r>
  <r>
    <s v="M0224"/>
    <x v="1"/>
    <x v="914"/>
    <x v="167"/>
    <n v="551972"/>
  </r>
  <r>
    <s v="M0224"/>
    <x v="1"/>
    <x v="914"/>
    <x v="167"/>
    <n v="551972"/>
  </r>
  <r>
    <s v="M0224"/>
    <x v="1"/>
    <x v="914"/>
    <x v="167"/>
    <n v="551972"/>
  </r>
  <r>
    <s v="M0224"/>
    <x v="1"/>
    <x v="914"/>
    <x v="167"/>
    <n v="551972"/>
  </r>
  <r>
    <s v="M0224"/>
    <x v="1"/>
    <x v="914"/>
    <x v="167"/>
    <n v="551972"/>
  </r>
  <r>
    <s v="M0224"/>
    <x v="1"/>
    <x v="915"/>
    <x v="1"/>
    <n v="255860"/>
  </r>
  <r>
    <s v="M0224"/>
    <x v="1"/>
    <x v="915"/>
    <x v="1"/>
    <n v="255860"/>
  </r>
  <r>
    <s v="M0224"/>
    <x v="1"/>
    <x v="915"/>
    <x v="1"/>
    <n v="255860"/>
  </r>
  <r>
    <s v="M0224"/>
    <x v="1"/>
    <x v="915"/>
    <x v="1"/>
    <n v="255860"/>
  </r>
  <r>
    <s v="M0224"/>
    <x v="1"/>
    <x v="915"/>
    <x v="1"/>
    <n v="255860"/>
  </r>
  <r>
    <s v="M0224"/>
    <x v="1"/>
    <x v="915"/>
    <x v="1"/>
    <n v="255860"/>
  </r>
  <r>
    <s v="M0224"/>
    <x v="1"/>
    <x v="915"/>
    <x v="1"/>
    <n v="255860"/>
  </r>
  <r>
    <s v="M0224"/>
    <x v="1"/>
    <x v="916"/>
    <x v="120"/>
    <n v="53147"/>
  </r>
  <r>
    <s v="M0224"/>
    <x v="1"/>
    <x v="916"/>
    <x v="120"/>
    <n v="53147"/>
  </r>
  <r>
    <s v="M0224"/>
    <x v="1"/>
    <x v="916"/>
    <x v="120"/>
    <n v="53147"/>
  </r>
  <r>
    <s v="M0224"/>
    <x v="1"/>
    <x v="916"/>
    <x v="120"/>
    <n v="53147"/>
  </r>
  <r>
    <s v="M0224"/>
    <x v="1"/>
    <x v="916"/>
    <x v="120"/>
    <n v="53147"/>
  </r>
  <r>
    <s v="M0224"/>
    <x v="1"/>
    <x v="916"/>
    <x v="120"/>
    <n v="53147"/>
  </r>
  <r>
    <s v="M0224"/>
    <x v="1"/>
    <x v="916"/>
    <x v="120"/>
    <n v="53147"/>
  </r>
  <r>
    <s v="M0249"/>
    <x v="0"/>
    <x v="917"/>
    <x v="158"/>
    <n v="48040"/>
  </r>
  <r>
    <s v="M0249"/>
    <x v="0"/>
    <x v="918"/>
    <x v="102"/>
    <n v="121471"/>
  </r>
  <r>
    <s v="M0249"/>
    <x v="0"/>
    <x v="919"/>
    <x v="91"/>
    <n v="69271"/>
  </r>
  <r>
    <s v="M0249"/>
    <x v="0"/>
    <x v="920"/>
    <x v="311"/>
    <n v="455681"/>
  </r>
  <r>
    <s v="M0249"/>
    <x v="0"/>
    <x v="921"/>
    <x v="77"/>
    <n v="437201"/>
  </r>
  <r>
    <s v="M0249"/>
    <x v="0"/>
    <x v="922"/>
    <x v="8"/>
    <n v="39095"/>
  </r>
  <r>
    <s v="M0249"/>
    <x v="0"/>
    <x v="923"/>
    <x v="78"/>
    <n v="341440"/>
  </r>
  <r>
    <s v="M0249"/>
    <x v="0"/>
    <x v="924"/>
    <x v="291"/>
    <n v="314425"/>
  </r>
  <r>
    <s v="M0249"/>
    <x v="0"/>
    <x v="925"/>
    <x v="314"/>
    <n v="223789"/>
  </r>
  <r>
    <s v="M0249"/>
    <x v="0"/>
    <x v="926"/>
    <x v="198"/>
    <n v="257716"/>
  </r>
  <r>
    <s v="M0249"/>
    <x v="0"/>
    <x v="927"/>
    <x v="51"/>
    <n v="227100"/>
  </r>
  <r>
    <s v="M0249"/>
    <x v="0"/>
    <x v="928"/>
    <x v="53"/>
    <n v="216483"/>
  </r>
  <r>
    <s v="M0249"/>
    <x v="0"/>
    <x v="929"/>
    <x v="176"/>
    <n v="184884"/>
  </r>
  <r>
    <s v="M0249"/>
    <x v="0"/>
    <x v="930"/>
    <x v="332"/>
    <n v="308461"/>
  </r>
  <r>
    <s v="M0249"/>
    <x v="0"/>
    <x v="931"/>
    <x v="333"/>
    <n v="649993"/>
  </r>
  <r>
    <s v="M0249"/>
    <x v="0"/>
    <x v="932"/>
    <x v="79"/>
    <n v="229968"/>
  </r>
  <r>
    <s v="M0249"/>
    <x v="0"/>
    <x v="933"/>
    <x v="61"/>
    <n v="1550689"/>
  </r>
  <r>
    <s v="M0249"/>
    <x v="0"/>
    <x v="934"/>
    <x v="56"/>
    <n v="359091"/>
  </r>
  <r>
    <s v="M0249"/>
    <x v="0"/>
    <x v="935"/>
    <x v="7"/>
    <n v="135570"/>
  </r>
  <r>
    <s v="M0249"/>
    <x v="0"/>
    <x v="936"/>
    <x v="12"/>
    <n v="519649"/>
  </r>
  <r>
    <s v="M0063"/>
    <x v="1"/>
    <x v="937"/>
    <x v="109"/>
    <n v="601727"/>
  </r>
  <r>
    <s v="M0063"/>
    <x v="1"/>
    <x v="937"/>
    <x v="109"/>
    <n v="601727"/>
  </r>
  <r>
    <s v="M0063"/>
    <x v="1"/>
    <x v="937"/>
    <x v="109"/>
    <n v="601727"/>
  </r>
  <r>
    <s v="M0063"/>
    <x v="1"/>
    <x v="937"/>
    <x v="109"/>
    <n v="601727"/>
  </r>
  <r>
    <s v="M0063"/>
    <x v="1"/>
    <x v="937"/>
    <x v="109"/>
    <n v="601727"/>
  </r>
  <r>
    <s v="M0063"/>
    <x v="1"/>
    <x v="938"/>
    <x v="231"/>
    <n v="290317"/>
  </r>
  <r>
    <s v="M0063"/>
    <x v="1"/>
    <x v="938"/>
    <x v="231"/>
    <n v="290317"/>
  </r>
  <r>
    <s v="M0063"/>
    <x v="1"/>
    <x v="938"/>
    <x v="231"/>
    <n v="290317"/>
  </r>
  <r>
    <s v="M0063"/>
    <x v="1"/>
    <x v="938"/>
    <x v="231"/>
    <n v="290317"/>
  </r>
  <r>
    <s v="M0063"/>
    <x v="1"/>
    <x v="938"/>
    <x v="231"/>
    <n v="290317"/>
  </r>
  <r>
    <s v="M0063"/>
    <x v="1"/>
    <x v="939"/>
    <x v="282"/>
    <n v="394275"/>
  </r>
  <r>
    <s v="M0063"/>
    <x v="1"/>
    <x v="939"/>
    <x v="282"/>
    <n v="394275"/>
  </r>
  <r>
    <s v="M0063"/>
    <x v="1"/>
    <x v="939"/>
    <x v="282"/>
    <n v="394275"/>
  </r>
  <r>
    <s v="M0063"/>
    <x v="1"/>
    <x v="939"/>
    <x v="282"/>
    <n v="394275"/>
  </r>
  <r>
    <s v="M0063"/>
    <x v="1"/>
    <x v="939"/>
    <x v="282"/>
    <n v="394275"/>
  </r>
  <r>
    <s v="M0063"/>
    <x v="1"/>
    <x v="940"/>
    <x v="163"/>
    <n v="759359"/>
  </r>
  <r>
    <s v="M0063"/>
    <x v="1"/>
    <x v="940"/>
    <x v="163"/>
    <n v="759359"/>
  </r>
  <r>
    <s v="M0063"/>
    <x v="1"/>
    <x v="940"/>
    <x v="163"/>
    <n v="759359"/>
  </r>
  <r>
    <s v="M0063"/>
    <x v="1"/>
    <x v="940"/>
    <x v="163"/>
    <n v="759359"/>
  </r>
  <r>
    <s v="M0063"/>
    <x v="1"/>
    <x v="940"/>
    <x v="163"/>
    <n v="759359"/>
  </r>
  <r>
    <s v="M0063"/>
    <x v="1"/>
    <x v="941"/>
    <x v="238"/>
    <n v="154547"/>
  </r>
  <r>
    <s v="M0063"/>
    <x v="1"/>
    <x v="941"/>
    <x v="238"/>
    <n v="154547"/>
  </r>
  <r>
    <s v="M0063"/>
    <x v="1"/>
    <x v="941"/>
    <x v="238"/>
    <n v="154547"/>
  </r>
  <r>
    <s v="M0063"/>
    <x v="1"/>
    <x v="941"/>
    <x v="238"/>
    <n v="154547"/>
  </r>
  <r>
    <s v="M0063"/>
    <x v="1"/>
    <x v="941"/>
    <x v="238"/>
    <n v="154547"/>
  </r>
  <r>
    <s v="M0063"/>
    <x v="1"/>
    <x v="942"/>
    <x v="48"/>
    <n v="143881"/>
  </r>
  <r>
    <s v="M0063"/>
    <x v="1"/>
    <x v="942"/>
    <x v="48"/>
    <n v="143881"/>
  </r>
  <r>
    <s v="M0063"/>
    <x v="1"/>
    <x v="942"/>
    <x v="48"/>
    <n v="143881"/>
  </r>
  <r>
    <s v="M0063"/>
    <x v="1"/>
    <x v="942"/>
    <x v="48"/>
    <n v="143881"/>
  </r>
  <r>
    <s v="M0063"/>
    <x v="1"/>
    <x v="942"/>
    <x v="48"/>
    <n v="143881"/>
  </r>
  <r>
    <s v="M0063"/>
    <x v="1"/>
    <x v="943"/>
    <x v="254"/>
    <n v="290250"/>
  </r>
  <r>
    <s v="M0063"/>
    <x v="1"/>
    <x v="943"/>
    <x v="254"/>
    <n v="290250"/>
  </r>
  <r>
    <s v="M0063"/>
    <x v="1"/>
    <x v="943"/>
    <x v="254"/>
    <n v="290250"/>
  </r>
  <r>
    <s v="M0063"/>
    <x v="1"/>
    <x v="943"/>
    <x v="254"/>
    <n v="290250"/>
  </r>
  <r>
    <s v="M0063"/>
    <x v="1"/>
    <x v="943"/>
    <x v="254"/>
    <n v="290250"/>
  </r>
  <r>
    <s v="M0063"/>
    <x v="1"/>
    <x v="944"/>
    <x v="295"/>
    <n v="466509"/>
  </r>
  <r>
    <s v="M0063"/>
    <x v="1"/>
    <x v="944"/>
    <x v="295"/>
    <n v="466509"/>
  </r>
  <r>
    <s v="M0063"/>
    <x v="1"/>
    <x v="944"/>
    <x v="295"/>
    <n v="466509"/>
  </r>
  <r>
    <s v="M0063"/>
    <x v="1"/>
    <x v="944"/>
    <x v="295"/>
    <n v="466509"/>
  </r>
  <r>
    <s v="M0063"/>
    <x v="1"/>
    <x v="944"/>
    <x v="295"/>
    <n v="466509"/>
  </r>
  <r>
    <s v="M0063"/>
    <x v="1"/>
    <x v="945"/>
    <x v="158"/>
    <n v="365529"/>
  </r>
  <r>
    <s v="M0063"/>
    <x v="1"/>
    <x v="945"/>
    <x v="158"/>
    <n v="365529"/>
  </r>
  <r>
    <s v="M0063"/>
    <x v="1"/>
    <x v="945"/>
    <x v="158"/>
    <n v="365529"/>
  </r>
  <r>
    <s v="M0063"/>
    <x v="1"/>
    <x v="945"/>
    <x v="158"/>
    <n v="365529"/>
  </r>
  <r>
    <s v="M0063"/>
    <x v="1"/>
    <x v="945"/>
    <x v="158"/>
    <n v="365529"/>
  </r>
  <r>
    <s v="M0063"/>
    <x v="1"/>
    <x v="946"/>
    <x v="103"/>
    <n v="755944"/>
  </r>
  <r>
    <s v="M0063"/>
    <x v="1"/>
    <x v="946"/>
    <x v="103"/>
    <n v="755944"/>
  </r>
  <r>
    <s v="M0063"/>
    <x v="1"/>
    <x v="946"/>
    <x v="103"/>
    <n v="755944"/>
  </r>
  <r>
    <s v="M0063"/>
    <x v="1"/>
    <x v="946"/>
    <x v="103"/>
    <n v="755944"/>
  </r>
  <r>
    <s v="M0063"/>
    <x v="1"/>
    <x v="946"/>
    <x v="103"/>
    <n v="755944"/>
  </r>
  <r>
    <s v="M0063"/>
    <x v="1"/>
    <x v="947"/>
    <x v="163"/>
    <n v="167515"/>
  </r>
  <r>
    <s v="M0063"/>
    <x v="1"/>
    <x v="947"/>
    <x v="163"/>
    <n v="167515"/>
  </r>
  <r>
    <s v="M0063"/>
    <x v="1"/>
    <x v="947"/>
    <x v="163"/>
    <n v="167515"/>
  </r>
  <r>
    <s v="M0063"/>
    <x v="1"/>
    <x v="947"/>
    <x v="163"/>
    <n v="167515"/>
  </r>
  <r>
    <s v="M0063"/>
    <x v="1"/>
    <x v="947"/>
    <x v="163"/>
    <n v="167515"/>
  </r>
  <r>
    <s v="M0063"/>
    <x v="1"/>
    <x v="948"/>
    <x v="254"/>
    <n v="144482"/>
  </r>
  <r>
    <s v="M0063"/>
    <x v="1"/>
    <x v="948"/>
    <x v="254"/>
    <n v="144482"/>
  </r>
  <r>
    <s v="M0063"/>
    <x v="1"/>
    <x v="948"/>
    <x v="254"/>
    <n v="144482"/>
  </r>
  <r>
    <s v="M0063"/>
    <x v="1"/>
    <x v="948"/>
    <x v="254"/>
    <n v="144482"/>
  </r>
  <r>
    <s v="M0063"/>
    <x v="1"/>
    <x v="948"/>
    <x v="254"/>
    <n v="144482"/>
  </r>
  <r>
    <s v="M0044"/>
    <x v="0"/>
    <x v="949"/>
    <x v="334"/>
    <n v="52547"/>
  </r>
  <r>
    <s v="M0044"/>
    <x v="0"/>
    <x v="950"/>
    <x v="79"/>
    <n v="514578"/>
  </r>
  <r>
    <s v="M0044"/>
    <x v="0"/>
    <x v="951"/>
    <x v="38"/>
    <n v="390483"/>
  </r>
  <r>
    <s v="M0044"/>
    <x v="0"/>
    <x v="952"/>
    <x v="81"/>
    <n v="390779"/>
  </r>
  <r>
    <s v="M0044"/>
    <x v="0"/>
    <x v="953"/>
    <x v="132"/>
    <n v="545129"/>
  </r>
  <r>
    <s v="M0044"/>
    <x v="0"/>
    <x v="954"/>
    <x v="262"/>
    <n v="413626"/>
  </r>
  <r>
    <s v="M0044"/>
    <x v="0"/>
    <x v="955"/>
    <x v="15"/>
    <n v="448755"/>
  </r>
  <r>
    <s v="M0044"/>
    <x v="0"/>
    <x v="956"/>
    <x v="85"/>
    <n v="243285"/>
  </r>
  <r>
    <s v="M0044"/>
    <x v="0"/>
    <x v="957"/>
    <x v="330"/>
    <n v="156131"/>
  </r>
  <r>
    <s v="M0044"/>
    <x v="0"/>
    <x v="958"/>
    <x v="202"/>
    <n v="358215"/>
  </r>
  <r>
    <s v="M0044"/>
    <x v="0"/>
    <x v="959"/>
    <x v="269"/>
    <n v="235861"/>
  </r>
  <r>
    <s v="M0044"/>
    <x v="0"/>
    <x v="960"/>
    <x v="35"/>
    <n v="134150"/>
  </r>
  <r>
    <s v="M0044"/>
    <x v="0"/>
    <x v="961"/>
    <x v="203"/>
    <n v="75061"/>
  </r>
  <r>
    <s v="M0044"/>
    <x v="0"/>
    <x v="962"/>
    <x v="282"/>
    <n v="137057"/>
  </r>
  <r>
    <s v="M0044"/>
    <x v="0"/>
    <x v="963"/>
    <x v="289"/>
    <n v="387859"/>
  </r>
  <r>
    <s v="M0044"/>
    <x v="0"/>
    <x v="964"/>
    <x v="240"/>
    <n v="149293"/>
  </r>
  <r>
    <s v="M0044"/>
    <x v="0"/>
    <x v="965"/>
    <x v="225"/>
    <n v="154275"/>
  </r>
  <r>
    <s v="M0044"/>
    <x v="0"/>
    <x v="966"/>
    <x v="304"/>
    <n v="773596"/>
  </r>
  <r>
    <s v="M0044"/>
    <x v="0"/>
    <x v="967"/>
    <x v="307"/>
    <n v="331089"/>
  </r>
  <r>
    <s v="M0044"/>
    <x v="0"/>
    <x v="968"/>
    <x v="220"/>
    <n v="104640"/>
  </r>
  <r>
    <s v="M0044"/>
    <x v="0"/>
    <x v="969"/>
    <x v="53"/>
    <n v="287528"/>
  </r>
  <r>
    <s v="M0044"/>
    <x v="0"/>
    <x v="970"/>
    <x v="298"/>
    <n v="274379"/>
  </r>
  <r>
    <s v="M0044"/>
    <x v="0"/>
    <x v="971"/>
    <x v="0"/>
    <n v="364239"/>
  </r>
  <r>
    <s v="M0044"/>
    <x v="0"/>
    <x v="972"/>
    <x v="185"/>
    <n v="64558"/>
  </r>
  <r>
    <s v="M0275"/>
    <x v="1"/>
    <x v="973"/>
    <x v="335"/>
    <n v="205885"/>
  </r>
  <r>
    <s v="M0275"/>
    <x v="1"/>
    <x v="973"/>
    <x v="335"/>
    <n v="205885"/>
  </r>
  <r>
    <s v="M0275"/>
    <x v="1"/>
    <x v="973"/>
    <x v="335"/>
    <n v="205885"/>
  </r>
  <r>
    <s v="M0275"/>
    <x v="1"/>
    <x v="973"/>
    <x v="335"/>
    <n v="205885"/>
  </r>
  <r>
    <s v="M0275"/>
    <x v="1"/>
    <x v="973"/>
    <x v="335"/>
    <n v="205885"/>
  </r>
  <r>
    <s v="M0275"/>
    <x v="1"/>
    <x v="974"/>
    <x v="21"/>
    <n v="127656"/>
  </r>
  <r>
    <s v="M0275"/>
    <x v="1"/>
    <x v="974"/>
    <x v="21"/>
    <n v="127656"/>
  </r>
  <r>
    <s v="M0275"/>
    <x v="1"/>
    <x v="974"/>
    <x v="21"/>
    <n v="127656"/>
  </r>
  <r>
    <s v="M0275"/>
    <x v="1"/>
    <x v="974"/>
    <x v="21"/>
    <n v="127656"/>
  </r>
  <r>
    <s v="M0275"/>
    <x v="1"/>
    <x v="974"/>
    <x v="21"/>
    <n v="127656"/>
  </r>
  <r>
    <s v="M0275"/>
    <x v="1"/>
    <x v="975"/>
    <x v="219"/>
    <n v="33554"/>
  </r>
  <r>
    <s v="M0275"/>
    <x v="1"/>
    <x v="975"/>
    <x v="219"/>
    <n v="33554"/>
  </r>
  <r>
    <s v="M0275"/>
    <x v="1"/>
    <x v="975"/>
    <x v="219"/>
    <n v="33554"/>
  </r>
  <r>
    <s v="M0275"/>
    <x v="1"/>
    <x v="975"/>
    <x v="219"/>
    <n v="33554"/>
  </r>
  <r>
    <s v="M0275"/>
    <x v="1"/>
    <x v="975"/>
    <x v="219"/>
    <n v="33554"/>
  </r>
  <r>
    <s v="M0275"/>
    <x v="1"/>
    <x v="976"/>
    <x v="33"/>
    <n v="184553"/>
  </r>
  <r>
    <s v="M0275"/>
    <x v="1"/>
    <x v="976"/>
    <x v="33"/>
    <n v="184553"/>
  </r>
  <r>
    <s v="M0275"/>
    <x v="1"/>
    <x v="976"/>
    <x v="33"/>
    <n v="184553"/>
  </r>
  <r>
    <s v="M0275"/>
    <x v="1"/>
    <x v="976"/>
    <x v="33"/>
    <n v="184553"/>
  </r>
  <r>
    <s v="M0275"/>
    <x v="1"/>
    <x v="976"/>
    <x v="33"/>
    <n v="184553"/>
  </r>
  <r>
    <s v="M0275"/>
    <x v="1"/>
    <x v="977"/>
    <x v="175"/>
    <n v="716989"/>
  </r>
  <r>
    <s v="M0275"/>
    <x v="1"/>
    <x v="977"/>
    <x v="175"/>
    <n v="716989"/>
  </r>
  <r>
    <s v="M0275"/>
    <x v="1"/>
    <x v="977"/>
    <x v="175"/>
    <n v="716989"/>
  </r>
  <r>
    <s v="M0275"/>
    <x v="1"/>
    <x v="977"/>
    <x v="175"/>
    <n v="716989"/>
  </r>
  <r>
    <s v="M0275"/>
    <x v="1"/>
    <x v="977"/>
    <x v="175"/>
    <n v="716989"/>
  </r>
  <r>
    <s v="M0275"/>
    <x v="1"/>
    <x v="978"/>
    <x v="60"/>
    <n v="149825"/>
  </r>
  <r>
    <s v="M0275"/>
    <x v="1"/>
    <x v="978"/>
    <x v="60"/>
    <n v="149825"/>
  </r>
  <r>
    <s v="M0275"/>
    <x v="1"/>
    <x v="978"/>
    <x v="60"/>
    <n v="149825"/>
  </r>
  <r>
    <s v="M0275"/>
    <x v="1"/>
    <x v="978"/>
    <x v="60"/>
    <n v="149825"/>
  </r>
  <r>
    <s v="M0275"/>
    <x v="1"/>
    <x v="978"/>
    <x v="60"/>
    <n v="149825"/>
  </r>
  <r>
    <s v="M0184"/>
    <x v="1"/>
    <x v="979"/>
    <x v="299"/>
    <n v="851470"/>
  </r>
  <r>
    <s v="M0184"/>
    <x v="1"/>
    <x v="979"/>
    <x v="299"/>
    <n v="851470"/>
  </r>
  <r>
    <s v="M0184"/>
    <x v="1"/>
    <x v="979"/>
    <x v="299"/>
    <n v="851470"/>
  </r>
  <r>
    <s v="M0184"/>
    <x v="1"/>
    <x v="979"/>
    <x v="299"/>
    <n v="851470"/>
  </r>
  <r>
    <s v="M0184"/>
    <x v="1"/>
    <x v="979"/>
    <x v="299"/>
    <n v="851470"/>
  </r>
  <r>
    <s v="M0184"/>
    <x v="1"/>
    <x v="980"/>
    <x v="275"/>
    <n v="65137"/>
  </r>
  <r>
    <s v="M0184"/>
    <x v="1"/>
    <x v="980"/>
    <x v="275"/>
    <n v="65137"/>
  </r>
  <r>
    <s v="M0184"/>
    <x v="1"/>
    <x v="980"/>
    <x v="275"/>
    <n v="65137"/>
  </r>
  <r>
    <s v="M0184"/>
    <x v="1"/>
    <x v="980"/>
    <x v="275"/>
    <n v="65137"/>
  </r>
  <r>
    <s v="M0184"/>
    <x v="1"/>
    <x v="980"/>
    <x v="275"/>
    <n v="65137"/>
  </r>
  <r>
    <s v="M0184"/>
    <x v="1"/>
    <x v="981"/>
    <x v="236"/>
    <n v="855171"/>
  </r>
  <r>
    <s v="M0184"/>
    <x v="1"/>
    <x v="981"/>
    <x v="236"/>
    <n v="855171"/>
  </r>
  <r>
    <s v="M0184"/>
    <x v="1"/>
    <x v="981"/>
    <x v="236"/>
    <n v="855171"/>
  </r>
  <r>
    <s v="M0184"/>
    <x v="1"/>
    <x v="981"/>
    <x v="236"/>
    <n v="855171"/>
  </r>
  <r>
    <s v="M0184"/>
    <x v="1"/>
    <x v="981"/>
    <x v="236"/>
    <n v="855171"/>
  </r>
  <r>
    <s v="M0184"/>
    <x v="1"/>
    <x v="982"/>
    <x v="127"/>
    <n v="164294"/>
  </r>
  <r>
    <s v="M0184"/>
    <x v="1"/>
    <x v="982"/>
    <x v="127"/>
    <n v="164294"/>
  </r>
  <r>
    <s v="M0184"/>
    <x v="1"/>
    <x v="982"/>
    <x v="127"/>
    <n v="164294"/>
  </r>
  <r>
    <s v="M0184"/>
    <x v="1"/>
    <x v="982"/>
    <x v="127"/>
    <n v="164294"/>
  </r>
  <r>
    <s v="M0184"/>
    <x v="1"/>
    <x v="982"/>
    <x v="127"/>
    <n v="164294"/>
  </r>
  <r>
    <s v="M0184"/>
    <x v="1"/>
    <x v="983"/>
    <x v="15"/>
    <n v="328167"/>
  </r>
  <r>
    <s v="M0184"/>
    <x v="1"/>
    <x v="983"/>
    <x v="15"/>
    <n v="328167"/>
  </r>
  <r>
    <s v="M0184"/>
    <x v="1"/>
    <x v="983"/>
    <x v="15"/>
    <n v="328167"/>
  </r>
  <r>
    <s v="M0184"/>
    <x v="1"/>
    <x v="983"/>
    <x v="15"/>
    <n v="328167"/>
  </r>
  <r>
    <s v="M0184"/>
    <x v="1"/>
    <x v="983"/>
    <x v="15"/>
    <n v="328167"/>
  </r>
  <r>
    <s v="M0184"/>
    <x v="1"/>
    <x v="984"/>
    <x v="63"/>
    <n v="391745"/>
  </r>
  <r>
    <s v="M0184"/>
    <x v="1"/>
    <x v="984"/>
    <x v="63"/>
    <n v="391745"/>
  </r>
  <r>
    <s v="M0184"/>
    <x v="1"/>
    <x v="984"/>
    <x v="63"/>
    <n v="391745"/>
  </r>
  <r>
    <s v="M0184"/>
    <x v="1"/>
    <x v="984"/>
    <x v="63"/>
    <n v="391745"/>
  </r>
  <r>
    <s v="M0184"/>
    <x v="1"/>
    <x v="984"/>
    <x v="63"/>
    <n v="391745"/>
  </r>
  <r>
    <s v="M0184"/>
    <x v="1"/>
    <x v="985"/>
    <x v="336"/>
    <n v="359828"/>
  </r>
  <r>
    <s v="M0184"/>
    <x v="1"/>
    <x v="985"/>
    <x v="336"/>
    <n v="359828"/>
  </r>
  <r>
    <s v="M0184"/>
    <x v="1"/>
    <x v="985"/>
    <x v="336"/>
    <n v="359828"/>
  </r>
  <r>
    <s v="M0184"/>
    <x v="1"/>
    <x v="985"/>
    <x v="336"/>
    <n v="359828"/>
  </r>
  <r>
    <s v="M0184"/>
    <x v="1"/>
    <x v="985"/>
    <x v="336"/>
    <n v="359828"/>
  </r>
  <r>
    <s v="M0184"/>
    <x v="1"/>
    <x v="986"/>
    <x v="188"/>
    <n v="463591"/>
  </r>
  <r>
    <s v="M0184"/>
    <x v="1"/>
    <x v="986"/>
    <x v="188"/>
    <n v="463591"/>
  </r>
  <r>
    <s v="M0184"/>
    <x v="1"/>
    <x v="986"/>
    <x v="188"/>
    <n v="463591"/>
  </r>
  <r>
    <s v="M0184"/>
    <x v="1"/>
    <x v="986"/>
    <x v="188"/>
    <n v="463591"/>
  </r>
  <r>
    <s v="M0184"/>
    <x v="1"/>
    <x v="986"/>
    <x v="188"/>
    <n v="463591"/>
  </r>
  <r>
    <s v="M0004"/>
    <x v="1"/>
    <x v="987"/>
    <x v="125"/>
    <n v="913514"/>
  </r>
  <r>
    <s v="M0004"/>
    <x v="1"/>
    <x v="987"/>
    <x v="125"/>
    <n v="913514"/>
  </r>
  <r>
    <s v="M0004"/>
    <x v="1"/>
    <x v="987"/>
    <x v="125"/>
    <n v="913514"/>
  </r>
  <r>
    <s v="M0004"/>
    <x v="1"/>
    <x v="987"/>
    <x v="125"/>
    <n v="913514"/>
  </r>
  <r>
    <s v="M0004"/>
    <x v="1"/>
    <x v="988"/>
    <x v="137"/>
    <n v="548012"/>
  </r>
  <r>
    <s v="M0004"/>
    <x v="1"/>
    <x v="988"/>
    <x v="137"/>
    <n v="548012"/>
  </r>
  <r>
    <s v="M0004"/>
    <x v="1"/>
    <x v="988"/>
    <x v="137"/>
    <n v="548012"/>
  </r>
  <r>
    <s v="M0004"/>
    <x v="1"/>
    <x v="988"/>
    <x v="137"/>
    <n v="548012"/>
  </r>
  <r>
    <s v="M0098"/>
    <x v="2"/>
    <x v="989"/>
    <x v="97"/>
    <n v="160906"/>
  </r>
  <r>
    <s v="M0098"/>
    <x v="2"/>
    <x v="989"/>
    <x v="97"/>
    <n v="160906"/>
  </r>
  <r>
    <s v="M0098"/>
    <x v="2"/>
    <x v="990"/>
    <x v="293"/>
    <n v="243161"/>
  </r>
  <r>
    <s v="M0098"/>
    <x v="2"/>
    <x v="990"/>
    <x v="293"/>
    <n v="243161"/>
  </r>
  <r>
    <s v="M0098"/>
    <x v="2"/>
    <x v="991"/>
    <x v="337"/>
    <n v="351638"/>
  </r>
  <r>
    <s v="M0098"/>
    <x v="2"/>
    <x v="991"/>
    <x v="337"/>
    <n v="351638"/>
  </r>
  <r>
    <s v="M0098"/>
    <x v="2"/>
    <x v="992"/>
    <x v="49"/>
    <n v="133022"/>
  </r>
  <r>
    <s v="M0098"/>
    <x v="2"/>
    <x v="992"/>
    <x v="49"/>
    <n v="133022"/>
  </r>
  <r>
    <s v="M0098"/>
    <x v="2"/>
    <x v="993"/>
    <x v="338"/>
    <n v="437507"/>
  </r>
  <r>
    <s v="M0098"/>
    <x v="2"/>
    <x v="993"/>
    <x v="338"/>
    <n v="437507"/>
  </r>
  <r>
    <s v="M0098"/>
    <x v="2"/>
    <x v="994"/>
    <x v="197"/>
    <n v="100370"/>
  </r>
  <r>
    <s v="M0098"/>
    <x v="2"/>
    <x v="994"/>
    <x v="197"/>
    <n v="100370"/>
  </r>
  <r>
    <s v="M0098"/>
    <x v="2"/>
    <x v="995"/>
    <x v="131"/>
    <n v="53074"/>
  </r>
  <r>
    <s v="M0098"/>
    <x v="2"/>
    <x v="995"/>
    <x v="131"/>
    <n v="53074"/>
  </r>
  <r>
    <s v="M0098"/>
    <x v="2"/>
    <x v="996"/>
    <x v="207"/>
    <n v="123631"/>
  </r>
  <r>
    <s v="M0098"/>
    <x v="2"/>
    <x v="996"/>
    <x v="207"/>
    <n v="123631"/>
  </r>
  <r>
    <s v="M0098"/>
    <x v="2"/>
    <x v="997"/>
    <x v="166"/>
    <n v="77278"/>
  </r>
  <r>
    <s v="M0098"/>
    <x v="2"/>
    <x v="997"/>
    <x v="166"/>
    <n v="77278"/>
  </r>
  <r>
    <s v="M0098"/>
    <x v="2"/>
    <x v="998"/>
    <x v="140"/>
    <n v="363811"/>
  </r>
  <r>
    <s v="M0098"/>
    <x v="2"/>
    <x v="998"/>
    <x v="140"/>
    <n v="363811"/>
  </r>
  <r>
    <s v="M0092"/>
    <x v="1"/>
    <x v="999"/>
    <x v="275"/>
    <n v="254141"/>
  </r>
  <r>
    <s v="M0092"/>
    <x v="1"/>
    <x v="999"/>
    <x v="275"/>
    <n v="254141"/>
  </r>
  <r>
    <s v="M0092"/>
    <x v="1"/>
    <x v="1000"/>
    <x v="339"/>
    <n v="224135"/>
  </r>
  <r>
    <s v="M0092"/>
    <x v="1"/>
    <x v="1000"/>
    <x v="339"/>
    <n v="224135"/>
  </r>
  <r>
    <s v="M0092"/>
    <x v="1"/>
    <x v="1001"/>
    <x v="0"/>
    <n v="574630"/>
  </r>
  <r>
    <s v="M0092"/>
    <x v="1"/>
    <x v="1001"/>
    <x v="0"/>
    <n v="574630"/>
  </r>
  <r>
    <s v="M0092"/>
    <x v="1"/>
    <x v="1002"/>
    <x v="170"/>
    <n v="426099"/>
  </r>
  <r>
    <s v="M0092"/>
    <x v="1"/>
    <x v="1002"/>
    <x v="170"/>
    <n v="426099"/>
  </r>
  <r>
    <s v="M0092"/>
    <x v="1"/>
    <x v="1003"/>
    <x v="72"/>
    <n v="143889"/>
  </r>
  <r>
    <s v="M0092"/>
    <x v="1"/>
    <x v="1003"/>
    <x v="72"/>
    <n v="143889"/>
  </r>
  <r>
    <s v="M0092"/>
    <x v="1"/>
    <x v="1004"/>
    <x v="340"/>
    <n v="1168033"/>
  </r>
  <r>
    <s v="M0092"/>
    <x v="1"/>
    <x v="1004"/>
    <x v="340"/>
    <n v="1168033"/>
  </r>
  <r>
    <s v="M0092"/>
    <x v="1"/>
    <x v="1005"/>
    <x v="146"/>
    <n v="118819"/>
  </r>
  <r>
    <s v="M0092"/>
    <x v="1"/>
    <x v="1005"/>
    <x v="146"/>
    <n v="118819"/>
  </r>
  <r>
    <s v="M0092"/>
    <x v="1"/>
    <x v="1006"/>
    <x v="109"/>
    <n v="299579"/>
  </r>
  <r>
    <s v="M0092"/>
    <x v="1"/>
    <x v="1006"/>
    <x v="109"/>
    <n v="299579"/>
  </r>
  <r>
    <s v="M0092"/>
    <x v="1"/>
    <x v="1007"/>
    <x v="61"/>
    <n v="79963"/>
  </r>
  <r>
    <s v="M0092"/>
    <x v="1"/>
    <x v="1007"/>
    <x v="61"/>
    <n v="79963"/>
  </r>
  <r>
    <s v="M0092"/>
    <x v="1"/>
    <x v="1008"/>
    <x v="163"/>
    <n v="331313"/>
  </r>
  <r>
    <s v="M0092"/>
    <x v="1"/>
    <x v="1008"/>
    <x v="163"/>
    <n v="331313"/>
  </r>
  <r>
    <s v="M0092"/>
    <x v="1"/>
    <x v="1009"/>
    <x v="251"/>
    <n v="335661"/>
  </r>
  <r>
    <s v="M0092"/>
    <x v="1"/>
    <x v="1009"/>
    <x v="251"/>
    <n v="335661"/>
  </r>
  <r>
    <s v="M0092"/>
    <x v="1"/>
    <x v="1010"/>
    <x v="195"/>
    <n v="560696"/>
  </r>
  <r>
    <s v="M0092"/>
    <x v="1"/>
    <x v="1010"/>
    <x v="195"/>
    <n v="560696"/>
  </r>
  <r>
    <s v="M0092"/>
    <x v="1"/>
    <x v="1011"/>
    <x v="315"/>
    <n v="732843"/>
  </r>
  <r>
    <s v="M0092"/>
    <x v="1"/>
    <x v="1011"/>
    <x v="315"/>
    <n v="732843"/>
  </r>
  <r>
    <s v="M0092"/>
    <x v="1"/>
    <x v="1012"/>
    <x v="159"/>
    <n v="334480"/>
  </r>
  <r>
    <s v="M0092"/>
    <x v="1"/>
    <x v="1012"/>
    <x v="159"/>
    <n v="334480"/>
  </r>
  <r>
    <s v="M0092"/>
    <x v="1"/>
    <x v="1013"/>
    <x v="317"/>
    <n v="211668"/>
  </r>
  <r>
    <s v="M0092"/>
    <x v="1"/>
    <x v="1013"/>
    <x v="317"/>
    <n v="211668"/>
  </r>
  <r>
    <s v="M0292"/>
    <x v="1"/>
    <x v="1014"/>
    <x v="143"/>
    <n v="353247"/>
  </r>
  <r>
    <s v="M0292"/>
    <x v="1"/>
    <x v="1014"/>
    <x v="143"/>
    <n v="353247"/>
  </r>
  <r>
    <s v="M0292"/>
    <x v="1"/>
    <x v="1014"/>
    <x v="143"/>
    <n v="353247"/>
  </r>
  <r>
    <s v="M0292"/>
    <x v="1"/>
    <x v="1015"/>
    <x v="100"/>
    <n v="25499"/>
  </r>
  <r>
    <s v="M0292"/>
    <x v="1"/>
    <x v="1015"/>
    <x v="100"/>
    <n v="25499"/>
  </r>
  <r>
    <s v="M0292"/>
    <x v="1"/>
    <x v="1015"/>
    <x v="100"/>
    <n v="25499"/>
  </r>
  <r>
    <s v="M0292"/>
    <x v="1"/>
    <x v="1016"/>
    <x v="226"/>
    <n v="144665"/>
  </r>
  <r>
    <s v="M0292"/>
    <x v="1"/>
    <x v="1016"/>
    <x v="226"/>
    <n v="144665"/>
  </r>
  <r>
    <s v="M0292"/>
    <x v="1"/>
    <x v="1016"/>
    <x v="226"/>
    <n v="144665"/>
  </r>
  <r>
    <s v="M0292"/>
    <x v="1"/>
    <x v="1017"/>
    <x v="108"/>
    <n v="193443"/>
  </r>
  <r>
    <s v="M0292"/>
    <x v="1"/>
    <x v="1017"/>
    <x v="108"/>
    <n v="193443"/>
  </r>
  <r>
    <s v="M0292"/>
    <x v="1"/>
    <x v="1017"/>
    <x v="108"/>
    <n v="193443"/>
  </r>
  <r>
    <s v="M0292"/>
    <x v="1"/>
    <x v="1018"/>
    <x v="182"/>
    <n v="86530"/>
  </r>
  <r>
    <s v="M0292"/>
    <x v="1"/>
    <x v="1018"/>
    <x v="182"/>
    <n v="86530"/>
  </r>
  <r>
    <s v="M0292"/>
    <x v="1"/>
    <x v="1018"/>
    <x v="182"/>
    <n v="86530"/>
  </r>
  <r>
    <s v="M0270"/>
    <x v="0"/>
    <x v="1019"/>
    <x v="205"/>
    <n v="289661"/>
  </r>
  <r>
    <s v="M0270"/>
    <x v="0"/>
    <x v="1019"/>
    <x v="205"/>
    <n v="289661"/>
  </r>
  <r>
    <s v="M0270"/>
    <x v="0"/>
    <x v="1020"/>
    <x v="260"/>
    <n v="350143"/>
  </r>
  <r>
    <s v="M0270"/>
    <x v="0"/>
    <x v="1020"/>
    <x v="260"/>
    <n v="350143"/>
  </r>
  <r>
    <s v="M0270"/>
    <x v="0"/>
    <x v="1021"/>
    <x v="187"/>
    <n v="653506"/>
  </r>
  <r>
    <s v="M0270"/>
    <x v="0"/>
    <x v="1021"/>
    <x v="187"/>
    <n v="653506"/>
  </r>
  <r>
    <s v="M0270"/>
    <x v="0"/>
    <x v="1022"/>
    <x v="134"/>
    <n v="230333"/>
  </r>
  <r>
    <s v="M0270"/>
    <x v="0"/>
    <x v="1022"/>
    <x v="134"/>
    <n v="230333"/>
  </r>
  <r>
    <s v="M0270"/>
    <x v="0"/>
    <x v="1023"/>
    <x v="126"/>
    <n v="334159"/>
  </r>
  <r>
    <s v="M0270"/>
    <x v="0"/>
    <x v="1023"/>
    <x v="126"/>
    <n v="334159"/>
  </r>
  <r>
    <s v="M0143"/>
    <x v="1"/>
    <x v="1024"/>
    <x v="61"/>
    <n v="323552"/>
  </r>
  <r>
    <s v="M0143"/>
    <x v="1"/>
    <x v="1024"/>
    <x v="61"/>
    <n v="323552"/>
  </r>
  <r>
    <s v="M0143"/>
    <x v="1"/>
    <x v="1025"/>
    <x v="168"/>
    <n v="317149"/>
  </r>
  <r>
    <s v="M0143"/>
    <x v="1"/>
    <x v="1025"/>
    <x v="168"/>
    <n v="317149"/>
  </r>
  <r>
    <s v="M0143"/>
    <x v="1"/>
    <x v="1026"/>
    <x v="262"/>
    <n v="464075"/>
  </r>
  <r>
    <s v="M0143"/>
    <x v="1"/>
    <x v="1026"/>
    <x v="262"/>
    <n v="464075"/>
  </r>
  <r>
    <s v="M0143"/>
    <x v="1"/>
    <x v="1027"/>
    <x v="341"/>
    <n v="39534"/>
  </r>
  <r>
    <s v="M0143"/>
    <x v="1"/>
    <x v="1027"/>
    <x v="341"/>
    <n v="39534"/>
  </r>
  <r>
    <s v="M0143"/>
    <x v="1"/>
    <x v="1028"/>
    <x v="134"/>
    <n v="177051"/>
  </r>
  <r>
    <s v="M0143"/>
    <x v="1"/>
    <x v="1028"/>
    <x v="134"/>
    <n v="177051"/>
  </r>
  <r>
    <s v="M0143"/>
    <x v="1"/>
    <x v="1029"/>
    <x v="138"/>
    <n v="290539"/>
  </r>
  <r>
    <s v="M0143"/>
    <x v="1"/>
    <x v="1029"/>
    <x v="138"/>
    <n v="290539"/>
  </r>
  <r>
    <s v="M0143"/>
    <x v="1"/>
    <x v="1030"/>
    <x v="155"/>
    <n v="573787"/>
  </r>
  <r>
    <s v="M0143"/>
    <x v="1"/>
    <x v="1030"/>
    <x v="155"/>
    <n v="573787"/>
  </r>
  <r>
    <s v="M0143"/>
    <x v="1"/>
    <x v="1031"/>
    <x v="236"/>
    <n v="94661"/>
  </r>
  <r>
    <s v="M0143"/>
    <x v="1"/>
    <x v="1031"/>
    <x v="236"/>
    <n v="94661"/>
  </r>
  <r>
    <s v="M0007"/>
    <x v="1"/>
    <x v="1032"/>
    <x v="207"/>
    <n v="164119"/>
  </r>
  <r>
    <s v="M0007"/>
    <x v="1"/>
    <x v="1032"/>
    <x v="207"/>
    <n v="164119"/>
  </r>
  <r>
    <s v="M0007"/>
    <x v="1"/>
    <x v="1033"/>
    <x v="63"/>
    <n v="297682"/>
  </r>
  <r>
    <s v="M0007"/>
    <x v="1"/>
    <x v="1033"/>
    <x v="63"/>
    <n v="297682"/>
  </r>
  <r>
    <s v="M0007"/>
    <x v="1"/>
    <x v="1034"/>
    <x v="206"/>
    <n v="169427"/>
  </r>
  <r>
    <s v="M0007"/>
    <x v="1"/>
    <x v="1034"/>
    <x v="206"/>
    <n v="169427"/>
  </r>
  <r>
    <s v="M0293"/>
    <x v="1"/>
    <x v="1035"/>
    <x v="211"/>
    <n v="240938"/>
  </r>
  <r>
    <s v="M0293"/>
    <x v="1"/>
    <x v="1035"/>
    <x v="211"/>
    <n v="240938"/>
  </r>
  <r>
    <s v="M0293"/>
    <x v="1"/>
    <x v="1036"/>
    <x v="342"/>
    <n v="415830"/>
  </r>
  <r>
    <s v="M0293"/>
    <x v="1"/>
    <x v="1036"/>
    <x v="342"/>
    <n v="415830"/>
  </r>
  <r>
    <s v="M0293"/>
    <x v="1"/>
    <x v="1037"/>
    <x v="36"/>
    <n v="382912"/>
  </r>
  <r>
    <s v="M0293"/>
    <x v="1"/>
    <x v="1037"/>
    <x v="36"/>
    <n v="382912"/>
  </r>
  <r>
    <s v="M0293"/>
    <x v="1"/>
    <x v="1038"/>
    <x v="90"/>
    <n v="336729"/>
  </r>
  <r>
    <s v="M0293"/>
    <x v="1"/>
    <x v="1038"/>
    <x v="90"/>
    <n v="336729"/>
  </r>
  <r>
    <s v="M0293"/>
    <x v="1"/>
    <x v="1039"/>
    <x v="293"/>
    <n v="259310"/>
  </r>
  <r>
    <s v="M0293"/>
    <x v="1"/>
    <x v="1039"/>
    <x v="293"/>
    <n v="259310"/>
  </r>
  <r>
    <s v="M0293"/>
    <x v="1"/>
    <x v="1040"/>
    <x v="303"/>
    <n v="51733"/>
  </r>
  <r>
    <s v="M0293"/>
    <x v="1"/>
    <x v="1040"/>
    <x v="303"/>
    <n v="51733"/>
  </r>
  <r>
    <s v="M0293"/>
    <x v="1"/>
    <x v="1041"/>
    <x v="106"/>
    <n v="26666"/>
  </r>
  <r>
    <s v="M0293"/>
    <x v="1"/>
    <x v="1041"/>
    <x v="106"/>
    <n v="26666"/>
  </r>
  <r>
    <s v="M0293"/>
    <x v="1"/>
    <x v="1042"/>
    <x v="112"/>
    <n v="848924"/>
  </r>
  <r>
    <s v="M0293"/>
    <x v="1"/>
    <x v="1042"/>
    <x v="112"/>
    <n v="848924"/>
  </r>
  <r>
    <s v="M0293"/>
    <x v="1"/>
    <x v="1043"/>
    <x v="105"/>
    <n v="505689"/>
  </r>
  <r>
    <s v="M0293"/>
    <x v="1"/>
    <x v="1043"/>
    <x v="105"/>
    <n v="505689"/>
  </r>
  <r>
    <s v="M0277"/>
    <x v="1"/>
    <x v="1044"/>
    <x v="343"/>
    <n v="175209"/>
  </r>
  <r>
    <s v="M0277"/>
    <x v="1"/>
    <x v="1044"/>
    <x v="343"/>
    <n v="175209"/>
  </r>
  <r>
    <s v="M0277"/>
    <x v="1"/>
    <x v="1045"/>
    <x v="259"/>
    <n v="354905"/>
  </r>
  <r>
    <s v="M0277"/>
    <x v="1"/>
    <x v="1045"/>
    <x v="259"/>
    <n v="354905"/>
  </r>
  <r>
    <s v="M0277"/>
    <x v="1"/>
    <x v="1046"/>
    <x v="76"/>
    <n v="56138"/>
  </r>
  <r>
    <s v="M0277"/>
    <x v="1"/>
    <x v="1046"/>
    <x v="76"/>
    <n v="56138"/>
  </r>
  <r>
    <s v="M0277"/>
    <x v="1"/>
    <x v="1047"/>
    <x v="0"/>
    <n v="437382"/>
  </r>
  <r>
    <s v="M0277"/>
    <x v="1"/>
    <x v="1047"/>
    <x v="0"/>
    <n v="437382"/>
  </r>
  <r>
    <s v="M0277"/>
    <x v="1"/>
    <x v="1048"/>
    <x v="153"/>
    <n v="162975"/>
  </r>
  <r>
    <s v="M0277"/>
    <x v="1"/>
    <x v="1048"/>
    <x v="153"/>
    <n v="162975"/>
  </r>
  <r>
    <s v="M0277"/>
    <x v="1"/>
    <x v="1049"/>
    <x v="247"/>
    <n v="366453"/>
  </r>
  <r>
    <s v="M0277"/>
    <x v="1"/>
    <x v="1049"/>
    <x v="247"/>
    <n v="366453"/>
  </r>
  <r>
    <s v="M0277"/>
    <x v="1"/>
    <x v="1050"/>
    <x v="163"/>
    <n v="131460"/>
  </r>
  <r>
    <s v="M0277"/>
    <x v="1"/>
    <x v="1050"/>
    <x v="163"/>
    <n v="131460"/>
  </r>
  <r>
    <s v="M0277"/>
    <x v="1"/>
    <x v="1051"/>
    <x v="130"/>
    <n v="267048"/>
  </r>
  <r>
    <s v="M0277"/>
    <x v="1"/>
    <x v="1051"/>
    <x v="130"/>
    <n v="267048"/>
  </r>
  <r>
    <s v="M0277"/>
    <x v="1"/>
    <x v="1052"/>
    <x v="100"/>
    <n v="252492"/>
  </r>
  <r>
    <s v="M0277"/>
    <x v="1"/>
    <x v="1052"/>
    <x v="100"/>
    <n v="252492"/>
  </r>
  <r>
    <s v="M0277"/>
    <x v="1"/>
    <x v="1053"/>
    <x v="25"/>
    <n v="300186"/>
  </r>
  <r>
    <s v="M0277"/>
    <x v="1"/>
    <x v="1053"/>
    <x v="25"/>
    <n v="300186"/>
  </r>
  <r>
    <s v="M0277"/>
    <x v="1"/>
    <x v="1054"/>
    <x v="323"/>
    <n v="720402"/>
  </r>
  <r>
    <s v="M0277"/>
    <x v="1"/>
    <x v="1054"/>
    <x v="323"/>
    <n v="720402"/>
  </r>
  <r>
    <s v="M0277"/>
    <x v="1"/>
    <x v="1055"/>
    <x v="344"/>
    <n v="168477"/>
  </r>
  <r>
    <s v="M0277"/>
    <x v="1"/>
    <x v="1055"/>
    <x v="344"/>
    <n v="168477"/>
  </r>
  <r>
    <s v="M0083"/>
    <x v="1"/>
    <x v="1056"/>
    <x v="96"/>
    <n v="248238"/>
  </r>
  <r>
    <s v="M0083"/>
    <x v="1"/>
    <x v="1056"/>
    <x v="96"/>
    <n v="248238"/>
  </r>
  <r>
    <s v="M0083"/>
    <x v="1"/>
    <x v="1056"/>
    <x v="96"/>
    <n v="248238"/>
  </r>
  <r>
    <s v="M0083"/>
    <x v="1"/>
    <x v="1056"/>
    <x v="96"/>
    <n v="248238"/>
  </r>
  <r>
    <s v="M0083"/>
    <x v="1"/>
    <x v="1056"/>
    <x v="96"/>
    <n v="248238"/>
  </r>
  <r>
    <s v="M0083"/>
    <x v="1"/>
    <x v="1056"/>
    <x v="96"/>
    <n v="248238"/>
  </r>
  <r>
    <s v="M0083"/>
    <x v="1"/>
    <x v="1057"/>
    <x v="139"/>
    <n v="72294"/>
  </r>
  <r>
    <s v="M0083"/>
    <x v="1"/>
    <x v="1057"/>
    <x v="139"/>
    <n v="72294"/>
  </r>
  <r>
    <s v="M0083"/>
    <x v="1"/>
    <x v="1057"/>
    <x v="139"/>
    <n v="72294"/>
  </r>
  <r>
    <s v="M0083"/>
    <x v="1"/>
    <x v="1057"/>
    <x v="139"/>
    <n v="72294"/>
  </r>
  <r>
    <s v="M0083"/>
    <x v="1"/>
    <x v="1057"/>
    <x v="139"/>
    <n v="72294"/>
  </r>
  <r>
    <s v="M0083"/>
    <x v="1"/>
    <x v="1057"/>
    <x v="139"/>
    <n v="72294"/>
  </r>
  <r>
    <s v="M0083"/>
    <x v="1"/>
    <x v="1058"/>
    <x v="307"/>
    <n v="245184"/>
  </r>
  <r>
    <s v="M0083"/>
    <x v="1"/>
    <x v="1058"/>
    <x v="307"/>
    <n v="245184"/>
  </r>
  <r>
    <s v="M0083"/>
    <x v="1"/>
    <x v="1058"/>
    <x v="307"/>
    <n v="245184"/>
  </r>
  <r>
    <s v="M0083"/>
    <x v="1"/>
    <x v="1058"/>
    <x v="307"/>
    <n v="245184"/>
  </r>
  <r>
    <s v="M0083"/>
    <x v="1"/>
    <x v="1058"/>
    <x v="307"/>
    <n v="245184"/>
  </r>
  <r>
    <s v="M0083"/>
    <x v="1"/>
    <x v="1058"/>
    <x v="307"/>
    <n v="245184"/>
  </r>
  <r>
    <s v="M0083"/>
    <x v="1"/>
    <x v="1059"/>
    <x v="193"/>
    <n v="444150"/>
  </r>
  <r>
    <s v="M0083"/>
    <x v="1"/>
    <x v="1059"/>
    <x v="193"/>
    <n v="444150"/>
  </r>
  <r>
    <s v="M0083"/>
    <x v="1"/>
    <x v="1059"/>
    <x v="193"/>
    <n v="444150"/>
  </r>
  <r>
    <s v="M0083"/>
    <x v="1"/>
    <x v="1059"/>
    <x v="193"/>
    <n v="444150"/>
  </r>
  <r>
    <s v="M0083"/>
    <x v="1"/>
    <x v="1059"/>
    <x v="193"/>
    <n v="444150"/>
  </r>
  <r>
    <s v="M0083"/>
    <x v="1"/>
    <x v="1059"/>
    <x v="193"/>
    <n v="444150"/>
  </r>
  <r>
    <s v="M0083"/>
    <x v="1"/>
    <x v="1060"/>
    <x v="345"/>
    <n v="252010"/>
  </r>
  <r>
    <s v="M0083"/>
    <x v="1"/>
    <x v="1060"/>
    <x v="345"/>
    <n v="252010"/>
  </r>
  <r>
    <s v="M0083"/>
    <x v="1"/>
    <x v="1060"/>
    <x v="345"/>
    <n v="252010"/>
  </r>
  <r>
    <s v="M0083"/>
    <x v="1"/>
    <x v="1060"/>
    <x v="345"/>
    <n v="252010"/>
  </r>
  <r>
    <s v="M0083"/>
    <x v="1"/>
    <x v="1060"/>
    <x v="345"/>
    <n v="252010"/>
  </r>
  <r>
    <s v="M0083"/>
    <x v="1"/>
    <x v="1060"/>
    <x v="345"/>
    <n v="252010"/>
  </r>
  <r>
    <s v="M0112"/>
    <x v="1"/>
    <x v="1061"/>
    <x v="144"/>
    <n v="621508"/>
  </r>
  <r>
    <s v="M0112"/>
    <x v="1"/>
    <x v="1061"/>
    <x v="144"/>
    <n v="621508"/>
  </r>
  <r>
    <s v="M0112"/>
    <x v="1"/>
    <x v="1062"/>
    <x v="317"/>
    <n v="25000"/>
  </r>
  <r>
    <s v="M0112"/>
    <x v="1"/>
    <x v="1062"/>
    <x v="317"/>
    <n v="25000"/>
  </r>
  <r>
    <s v="M0112"/>
    <x v="1"/>
    <x v="1063"/>
    <x v="237"/>
    <n v="405586"/>
  </r>
  <r>
    <s v="M0112"/>
    <x v="1"/>
    <x v="1063"/>
    <x v="237"/>
    <n v="405586"/>
  </r>
  <r>
    <s v="M0112"/>
    <x v="1"/>
    <x v="1064"/>
    <x v="1"/>
    <n v="362635"/>
  </r>
  <r>
    <s v="M0112"/>
    <x v="1"/>
    <x v="1064"/>
    <x v="1"/>
    <n v="362635"/>
  </r>
  <r>
    <s v="M0112"/>
    <x v="1"/>
    <x v="1065"/>
    <x v="320"/>
    <n v="710223"/>
  </r>
  <r>
    <s v="M0112"/>
    <x v="1"/>
    <x v="1065"/>
    <x v="320"/>
    <n v="710223"/>
  </r>
  <r>
    <s v="M0191"/>
    <x v="1"/>
    <x v="1066"/>
    <x v="249"/>
    <n v="311728"/>
  </r>
  <r>
    <s v="M0191"/>
    <x v="1"/>
    <x v="1066"/>
    <x v="249"/>
    <n v="311728"/>
  </r>
  <r>
    <s v="M0191"/>
    <x v="1"/>
    <x v="1066"/>
    <x v="249"/>
    <n v="311728"/>
  </r>
  <r>
    <s v="M0191"/>
    <x v="1"/>
    <x v="1066"/>
    <x v="249"/>
    <n v="311728"/>
  </r>
  <r>
    <s v="M0191"/>
    <x v="1"/>
    <x v="1067"/>
    <x v="241"/>
    <n v="92026"/>
  </r>
  <r>
    <s v="M0191"/>
    <x v="1"/>
    <x v="1067"/>
    <x v="241"/>
    <n v="92026"/>
  </r>
  <r>
    <s v="M0191"/>
    <x v="1"/>
    <x v="1067"/>
    <x v="241"/>
    <n v="92026"/>
  </r>
  <r>
    <s v="M0191"/>
    <x v="1"/>
    <x v="1067"/>
    <x v="241"/>
    <n v="92026"/>
  </r>
  <r>
    <s v="M0191"/>
    <x v="1"/>
    <x v="1068"/>
    <x v="120"/>
    <n v="715551"/>
  </r>
  <r>
    <s v="M0191"/>
    <x v="1"/>
    <x v="1068"/>
    <x v="120"/>
    <n v="715551"/>
  </r>
  <r>
    <s v="M0191"/>
    <x v="1"/>
    <x v="1068"/>
    <x v="120"/>
    <n v="715551"/>
  </r>
  <r>
    <s v="M0191"/>
    <x v="1"/>
    <x v="1068"/>
    <x v="120"/>
    <n v="715551"/>
  </r>
  <r>
    <s v="M0191"/>
    <x v="1"/>
    <x v="1069"/>
    <x v="6"/>
    <n v="294371"/>
  </r>
  <r>
    <s v="M0191"/>
    <x v="1"/>
    <x v="1069"/>
    <x v="6"/>
    <n v="294371"/>
  </r>
  <r>
    <s v="M0191"/>
    <x v="1"/>
    <x v="1069"/>
    <x v="6"/>
    <n v="294371"/>
  </r>
  <r>
    <s v="M0191"/>
    <x v="1"/>
    <x v="1069"/>
    <x v="6"/>
    <n v="294371"/>
  </r>
  <r>
    <s v="M0191"/>
    <x v="1"/>
    <x v="1070"/>
    <x v="336"/>
    <n v="56301"/>
  </r>
  <r>
    <s v="M0191"/>
    <x v="1"/>
    <x v="1070"/>
    <x v="336"/>
    <n v="56301"/>
  </r>
  <r>
    <s v="M0191"/>
    <x v="1"/>
    <x v="1070"/>
    <x v="336"/>
    <n v="56301"/>
  </r>
  <r>
    <s v="M0191"/>
    <x v="1"/>
    <x v="1070"/>
    <x v="336"/>
    <n v="56301"/>
  </r>
  <r>
    <s v="M0300"/>
    <x v="1"/>
    <x v="1071"/>
    <x v="2"/>
    <n v="310183"/>
  </r>
  <r>
    <s v="M0300"/>
    <x v="1"/>
    <x v="1071"/>
    <x v="2"/>
    <n v="310183"/>
  </r>
  <r>
    <s v="M0300"/>
    <x v="1"/>
    <x v="1072"/>
    <x v="247"/>
    <n v="53838"/>
  </r>
  <r>
    <s v="M0300"/>
    <x v="1"/>
    <x v="1072"/>
    <x v="247"/>
    <n v="53838"/>
  </r>
  <r>
    <s v="M0300"/>
    <x v="1"/>
    <x v="1073"/>
    <x v="319"/>
    <n v="584592"/>
  </r>
  <r>
    <s v="M0300"/>
    <x v="1"/>
    <x v="1073"/>
    <x v="319"/>
    <n v="584592"/>
  </r>
  <r>
    <s v="M0300"/>
    <x v="1"/>
    <x v="1074"/>
    <x v="241"/>
    <n v="311942"/>
  </r>
  <r>
    <s v="M0300"/>
    <x v="1"/>
    <x v="1074"/>
    <x v="241"/>
    <n v="311942"/>
  </r>
  <r>
    <s v="M0300"/>
    <x v="1"/>
    <x v="1075"/>
    <x v="301"/>
    <n v="545259"/>
  </r>
  <r>
    <s v="M0300"/>
    <x v="1"/>
    <x v="1075"/>
    <x v="301"/>
    <n v="545259"/>
  </r>
  <r>
    <s v="M0300"/>
    <x v="1"/>
    <x v="1076"/>
    <x v="280"/>
    <n v="666272"/>
  </r>
  <r>
    <s v="M0300"/>
    <x v="1"/>
    <x v="1076"/>
    <x v="280"/>
    <n v="666272"/>
  </r>
  <r>
    <s v="M0088"/>
    <x v="0"/>
    <x v="1077"/>
    <x v="111"/>
    <n v="67326"/>
  </r>
  <r>
    <s v="M0088"/>
    <x v="0"/>
    <x v="1077"/>
    <x v="111"/>
    <n v="67326"/>
  </r>
  <r>
    <s v="M0088"/>
    <x v="0"/>
    <x v="1077"/>
    <x v="111"/>
    <n v="67326"/>
  </r>
  <r>
    <s v="M0088"/>
    <x v="0"/>
    <x v="1078"/>
    <x v="262"/>
    <n v="405599"/>
  </r>
  <r>
    <s v="M0088"/>
    <x v="0"/>
    <x v="1078"/>
    <x v="262"/>
    <n v="405599"/>
  </r>
  <r>
    <s v="M0088"/>
    <x v="0"/>
    <x v="1078"/>
    <x v="262"/>
    <n v="405599"/>
  </r>
  <r>
    <s v="M0088"/>
    <x v="0"/>
    <x v="1079"/>
    <x v="183"/>
    <n v="141528"/>
  </r>
  <r>
    <s v="M0088"/>
    <x v="0"/>
    <x v="1079"/>
    <x v="183"/>
    <n v="141528"/>
  </r>
  <r>
    <s v="M0088"/>
    <x v="0"/>
    <x v="1079"/>
    <x v="183"/>
    <n v="141528"/>
  </r>
  <r>
    <s v="M0088"/>
    <x v="0"/>
    <x v="1080"/>
    <x v="336"/>
    <n v="49635"/>
  </r>
  <r>
    <s v="M0088"/>
    <x v="0"/>
    <x v="1080"/>
    <x v="336"/>
    <n v="49635"/>
  </r>
  <r>
    <s v="M0088"/>
    <x v="0"/>
    <x v="1080"/>
    <x v="336"/>
    <n v="49635"/>
  </r>
  <r>
    <s v="M0088"/>
    <x v="0"/>
    <x v="1081"/>
    <x v="177"/>
    <n v="510286"/>
  </r>
  <r>
    <s v="M0088"/>
    <x v="0"/>
    <x v="1081"/>
    <x v="177"/>
    <n v="510286"/>
  </r>
  <r>
    <s v="M0088"/>
    <x v="0"/>
    <x v="1081"/>
    <x v="177"/>
    <n v="510286"/>
  </r>
  <r>
    <s v="M0088"/>
    <x v="0"/>
    <x v="1082"/>
    <x v="277"/>
    <n v="114821"/>
  </r>
  <r>
    <s v="M0088"/>
    <x v="0"/>
    <x v="1082"/>
    <x v="277"/>
    <n v="114821"/>
  </r>
  <r>
    <s v="M0088"/>
    <x v="0"/>
    <x v="1082"/>
    <x v="277"/>
    <n v="114821"/>
  </r>
  <r>
    <s v="M0149"/>
    <x v="1"/>
    <x v="1083"/>
    <x v="210"/>
    <n v="301648"/>
  </r>
  <r>
    <s v="M0149"/>
    <x v="1"/>
    <x v="1083"/>
    <x v="210"/>
    <n v="301648"/>
  </r>
  <r>
    <s v="M0149"/>
    <x v="1"/>
    <x v="1083"/>
    <x v="210"/>
    <n v="301648"/>
  </r>
  <r>
    <s v="M0149"/>
    <x v="1"/>
    <x v="1083"/>
    <x v="210"/>
    <n v="301648"/>
  </r>
  <r>
    <s v="M0149"/>
    <x v="1"/>
    <x v="1083"/>
    <x v="210"/>
    <n v="301648"/>
  </r>
  <r>
    <s v="M0149"/>
    <x v="1"/>
    <x v="1084"/>
    <x v="247"/>
    <n v="182772"/>
  </r>
  <r>
    <s v="M0149"/>
    <x v="1"/>
    <x v="1084"/>
    <x v="247"/>
    <n v="182772"/>
  </r>
  <r>
    <s v="M0149"/>
    <x v="1"/>
    <x v="1084"/>
    <x v="247"/>
    <n v="182772"/>
  </r>
  <r>
    <s v="M0149"/>
    <x v="1"/>
    <x v="1084"/>
    <x v="247"/>
    <n v="182772"/>
  </r>
  <r>
    <s v="M0149"/>
    <x v="1"/>
    <x v="1084"/>
    <x v="247"/>
    <n v="182772"/>
  </r>
  <r>
    <s v="M0149"/>
    <x v="1"/>
    <x v="1085"/>
    <x v="199"/>
    <n v="386858"/>
  </r>
  <r>
    <s v="M0149"/>
    <x v="1"/>
    <x v="1085"/>
    <x v="199"/>
    <n v="386858"/>
  </r>
  <r>
    <s v="M0149"/>
    <x v="1"/>
    <x v="1085"/>
    <x v="199"/>
    <n v="386858"/>
  </r>
  <r>
    <s v="M0149"/>
    <x v="1"/>
    <x v="1085"/>
    <x v="199"/>
    <n v="386858"/>
  </r>
  <r>
    <s v="M0149"/>
    <x v="1"/>
    <x v="1085"/>
    <x v="199"/>
    <n v="386858"/>
  </r>
  <r>
    <s v="M0149"/>
    <x v="1"/>
    <x v="1086"/>
    <x v="49"/>
    <n v="192902"/>
  </r>
  <r>
    <s v="M0149"/>
    <x v="1"/>
    <x v="1086"/>
    <x v="49"/>
    <n v="192902"/>
  </r>
  <r>
    <s v="M0149"/>
    <x v="1"/>
    <x v="1086"/>
    <x v="49"/>
    <n v="192902"/>
  </r>
  <r>
    <s v="M0149"/>
    <x v="1"/>
    <x v="1086"/>
    <x v="49"/>
    <n v="192902"/>
  </r>
  <r>
    <s v="M0149"/>
    <x v="1"/>
    <x v="1086"/>
    <x v="49"/>
    <n v="192902"/>
  </r>
  <r>
    <s v="M0149"/>
    <x v="1"/>
    <x v="1087"/>
    <x v="47"/>
    <n v="216175"/>
  </r>
  <r>
    <s v="M0149"/>
    <x v="1"/>
    <x v="1087"/>
    <x v="47"/>
    <n v="216175"/>
  </r>
  <r>
    <s v="M0149"/>
    <x v="1"/>
    <x v="1087"/>
    <x v="47"/>
    <n v="216175"/>
  </r>
  <r>
    <s v="M0149"/>
    <x v="1"/>
    <x v="1087"/>
    <x v="47"/>
    <n v="216175"/>
  </r>
  <r>
    <s v="M0149"/>
    <x v="1"/>
    <x v="1087"/>
    <x v="47"/>
    <n v="216175"/>
  </r>
  <r>
    <s v="M0046"/>
    <x v="2"/>
    <x v="1088"/>
    <x v="131"/>
    <n v="514425"/>
  </r>
  <r>
    <s v="M0046"/>
    <x v="2"/>
    <x v="1088"/>
    <x v="131"/>
    <n v="514425"/>
  </r>
  <r>
    <s v="M0046"/>
    <x v="2"/>
    <x v="1088"/>
    <x v="131"/>
    <n v="514425"/>
  </r>
  <r>
    <s v="M0046"/>
    <x v="2"/>
    <x v="1089"/>
    <x v="282"/>
    <n v="242418"/>
  </r>
  <r>
    <s v="M0046"/>
    <x v="2"/>
    <x v="1089"/>
    <x v="282"/>
    <n v="242418"/>
  </r>
  <r>
    <s v="M0046"/>
    <x v="2"/>
    <x v="1089"/>
    <x v="282"/>
    <n v="242418"/>
  </r>
  <r>
    <s v="M0046"/>
    <x v="2"/>
    <x v="1090"/>
    <x v="258"/>
    <n v="162792"/>
  </r>
  <r>
    <s v="M0046"/>
    <x v="2"/>
    <x v="1090"/>
    <x v="258"/>
    <n v="162792"/>
  </r>
  <r>
    <s v="M0046"/>
    <x v="2"/>
    <x v="1090"/>
    <x v="258"/>
    <n v="162792"/>
  </r>
  <r>
    <s v="M0046"/>
    <x v="2"/>
    <x v="1091"/>
    <x v="144"/>
    <n v="479271"/>
  </r>
  <r>
    <s v="M0046"/>
    <x v="2"/>
    <x v="1091"/>
    <x v="144"/>
    <n v="479271"/>
  </r>
  <r>
    <s v="M0046"/>
    <x v="2"/>
    <x v="1091"/>
    <x v="144"/>
    <n v="479271"/>
  </r>
  <r>
    <s v="M0046"/>
    <x v="2"/>
    <x v="1092"/>
    <x v="41"/>
    <n v="93651"/>
  </r>
  <r>
    <s v="M0046"/>
    <x v="2"/>
    <x v="1092"/>
    <x v="41"/>
    <n v="93651"/>
  </r>
  <r>
    <s v="M0046"/>
    <x v="2"/>
    <x v="1092"/>
    <x v="41"/>
    <n v="93651"/>
  </r>
  <r>
    <s v="M0046"/>
    <x v="2"/>
    <x v="1093"/>
    <x v="268"/>
    <n v="406556"/>
  </r>
  <r>
    <s v="M0046"/>
    <x v="2"/>
    <x v="1093"/>
    <x v="268"/>
    <n v="406556"/>
  </r>
  <r>
    <s v="M0046"/>
    <x v="2"/>
    <x v="1093"/>
    <x v="268"/>
    <n v="406556"/>
  </r>
  <r>
    <s v="M0262"/>
    <x v="1"/>
    <x v="1094"/>
    <x v="206"/>
    <n v="157031"/>
  </r>
  <r>
    <s v="M0262"/>
    <x v="1"/>
    <x v="1094"/>
    <x v="206"/>
    <n v="157031"/>
  </r>
  <r>
    <s v="M0262"/>
    <x v="1"/>
    <x v="1094"/>
    <x v="206"/>
    <n v="157031"/>
  </r>
  <r>
    <s v="M0262"/>
    <x v="1"/>
    <x v="1094"/>
    <x v="206"/>
    <n v="157031"/>
  </r>
  <r>
    <s v="M0262"/>
    <x v="1"/>
    <x v="1094"/>
    <x v="206"/>
    <n v="157031"/>
  </r>
  <r>
    <s v="M0262"/>
    <x v="1"/>
    <x v="1095"/>
    <x v="42"/>
    <n v="181348"/>
  </r>
  <r>
    <s v="M0262"/>
    <x v="1"/>
    <x v="1095"/>
    <x v="42"/>
    <n v="181348"/>
  </r>
  <r>
    <s v="M0262"/>
    <x v="1"/>
    <x v="1095"/>
    <x v="42"/>
    <n v="181348"/>
  </r>
  <r>
    <s v="M0262"/>
    <x v="1"/>
    <x v="1095"/>
    <x v="42"/>
    <n v="181348"/>
  </r>
  <r>
    <s v="M0262"/>
    <x v="1"/>
    <x v="1095"/>
    <x v="42"/>
    <n v="181348"/>
  </r>
  <r>
    <s v="M0262"/>
    <x v="1"/>
    <x v="1096"/>
    <x v="286"/>
    <n v="628570"/>
  </r>
  <r>
    <s v="M0262"/>
    <x v="1"/>
    <x v="1096"/>
    <x v="286"/>
    <n v="628570"/>
  </r>
  <r>
    <s v="M0262"/>
    <x v="1"/>
    <x v="1096"/>
    <x v="286"/>
    <n v="628570"/>
  </r>
  <r>
    <s v="M0262"/>
    <x v="1"/>
    <x v="1096"/>
    <x v="286"/>
    <n v="628570"/>
  </r>
  <r>
    <s v="M0262"/>
    <x v="1"/>
    <x v="1096"/>
    <x v="286"/>
    <n v="628570"/>
  </r>
  <r>
    <s v="M0262"/>
    <x v="1"/>
    <x v="1097"/>
    <x v="269"/>
    <n v="409605"/>
  </r>
  <r>
    <s v="M0262"/>
    <x v="1"/>
    <x v="1097"/>
    <x v="269"/>
    <n v="409605"/>
  </r>
  <r>
    <s v="M0262"/>
    <x v="1"/>
    <x v="1097"/>
    <x v="269"/>
    <n v="409605"/>
  </r>
  <r>
    <s v="M0262"/>
    <x v="1"/>
    <x v="1097"/>
    <x v="269"/>
    <n v="409605"/>
  </r>
  <r>
    <s v="M0262"/>
    <x v="1"/>
    <x v="1097"/>
    <x v="269"/>
    <n v="409605"/>
  </r>
  <r>
    <s v="M0262"/>
    <x v="1"/>
    <x v="1098"/>
    <x v="60"/>
    <n v="59196"/>
  </r>
  <r>
    <s v="M0262"/>
    <x v="1"/>
    <x v="1098"/>
    <x v="60"/>
    <n v="59196"/>
  </r>
  <r>
    <s v="M0262"/>
    <x v="1"/>
    <x v="1098"/>
    <x v="60"/>
    <n v="59196"/>
  </r>
  <r>
    <s v="M0262"/>
    <x v="1"/>
    <x v="1098"/>
    <x v="60"/>
    <n v="59196"/>
  </r>
  <r>
    <s v="M0262"/>
    <x v="1"/>
    <x v="1098"/>
    <x v="60"/>
    <n v="59196"/>
  </r>
  <r>
    <s v="M0262"/>
    <x v="1"/>
    <x v="1099"/>
    <x v="278"/>
    <n v="213884"/>
  </r>
  <r>
    <s v="M0262"/>
    <x v="1"/>
    <x v="1099"/>
    <x v="278"/>
    <n v="213884"/>
  </r>
  <r>
    <s v="M0262"/>
    <x v="1"/>
    <x v="1099"/>
    <x v="278"/>
    <n v="213884"/>
  </r>
  <r>
    <s v="M0262"/>
    <x v="1"/>
    <x v="1099"/>
    <x v="278"/>
    <n v="213884"/>
  </r>
  <r>
    <s v="M0262"/>
    <x v="1"/>
    <x v="1099"/>
    <x v="278"/>
    <n v="213884"/>
  </r>
  <r>
    <s v="M0262"/>
    <x v="1"/>
    <x v="1100"/>
    <x v="23"/>
    <n v="132745"/>
  </r>
  <r>
    <s v="M0262"/>
    <x v="1"/>
    <x v="1100"/>
    <x v="23"/>
    <n v="132745"/>
  </r>
  <r>
    <s v="M0262"/>
    <x v="1"/>
    <x v="1100"/>
    <x v="23"/>
    <n v="132745"/>
  </r>
  <r>
    <s v="M0262"/>
    <x v="1"/>
    <x v="1100"/>
    <x v="23"/>
    <n v="132745"/>
  </r>
  <r>
    <s v="M0262"/>
    <x v="1"/>
    <x v="1100"/>
    <x v="23"/>
    <n v="132745"/>
  </r>
  <r>
    <s v="M0262"/>
    <x v="1"/>
    <x v="1101"/>
    <x v="147"/>
    <n v="192680"/>
  </r>
  <r>
    <s v="M0262"/>
    <x v="1"/>
    <x v="1101"/>
    <x v="147"/>
    <n v="192680"/>
  </r>
  <r>
    <s v="M0262"/>
    <x v="1"/>
    <x v="1101"/>
    <x v="147"/>
    <n v="192680"/>
  </r>
  <r>
    <s v="M0262"/>
    <x v="1"/>
    <x v="1101"/>
    <x v="147"/>
    <n v="192680"/>
  </r>
  <r>
    <s v="M0262"/>
    <x v="1"/>
    <x v="1101"/>
    <x v="147"/>
    <n v="192680"/>
  </r>
  <r>
    <s v="M0262"/>
    <x v="1"/>
    <x v="1102"/>
    <x v="50"/>
    <n v="219900"/>
  </r>
  <r>
    <s v="M0262"/>
    <x v="1"/>
    <x v="1102"/>
    <x v="50"/>
    <n v="219900"/>
  </r>
  <r>
    <s v="M0262"/>
    <x v="1"/>
    <x v="1102"/>
    <x v="50"/>
    <n v="219900"/>
  </r>
  <r>
    <s v="M0262"/>
    <x v="1"/>
    <x v="1102"/>
    <x v="50"/>
    <n v="219900"/>
  </r>
  <r>
    <s v="M0262"/>
    <x v="1"/>
    <x v="1102"/>
    <x v="50"/>
    <n v="219900"/>
  </r>
  <r>
    <s v="M0262"/>
    <x v="1"/>
    <x v="1103"/>
    <x v="302"/>
    <n v="381489"/>
  </r>
  <r>
    <s v="M0262"/>
    <x v="1"/>
    <x v="1103"/>
    <x v="302"/>
    <n v="381489"/>
  </r>
  <r>
    <s v="M0262"/>
    <x v="1"/>
    <x v="1103"/>
    <x v="302"/>
    <n v="381489"/>
  </r>
  <r>
    <s v="M0262"/>
    <x v="1"/>
    <x v="1103"/>
    <x v="302"/>
    <n v="381489"/>
  </r>
  <r>
    <s v="M0262"/>
    <x v="1"/>
    <x v="1103"/>
    <x v="302"/>
    <n v="381489"/>
  </r>
  <r>
    <s v="M0262"/>
    <x v="1"/>
    <x v="1104"/>
    <x v="67"/>
    <n v="380634"/>
  </r>
  <r>
    <s v="M0262"/>
    <x v="1"/>
    <x v="1104"/>
    <x v="67"/>
    <n v="380634"/>
  </r>
  <r>
    <s v="M0262"/>
    <x v="1"/>
    <x v="1104"/>
    <x v="67"/>
    <n v="380634"/>
  </r>
  <r>
    <s v="M0262"/>
    <x v="1"/>
    <x v="1104"/>
    <x v="67"/>
    <n v="380634"/>
  </r>
  <r>
    <s v="M0262"/>
    <x v="1"/>
    <x v="1104"/>
    <x v="67"/>
    <n v="380634"/>
  </r>
  <r>
    <s v="M0262"/>
    <x v="1"/>
    <x v="1105"/>
    <x v="277"/>
    <n v="114187"/>
  </r>
  <r>
    <s v="M0262"/>
    <x v="1"/>
    <x v="1105"/>
    <x v="277"/>
    <n v="114187"/>
  </r>
  <r>
    <s v="M0262"/>
    <x v="1"/>
    <x v="1105"/>
    <x v="277"/>
    <n v="114187"/>
  </r>
  <r>
    <s v="M0262"/>
    <x v="1"/>
    <x v="1105"/>
    <x v="277"/>
    <n v="114187"/>
  </r>
  <r>
    <s v="M0262"/>
    <x v="1"/>
    <x v="1105"/>
    <x v="277"/>
    <n v="114187"/>
  </r>
  <r>
    <s v="M0262"/>
    <x v="1"/>
    <x v="1106"/>
    <x v="165"/>
    <n v="711195"/>
  </r>
  <r>
    <s v="M0262"/>
    <x v="1"/>
    <x v="1106"/>
    <x v="165"/>
    <n v="711195"/>
  </r>
  <r>
    <s v="M0262"/>
    <x v="1"/>
    <x v="1106"/>
    <x v="165"/>
    <n v="711195"/>
  </r>
  <r>
    <s v="M0262"/>
    <x v="1"/>
    <x v="1106"/>
    <x v="165"/>
    <n v="711195"/>
  </r>
  <r>
    <s v="M0262"/>
    <x v="1"/>
    <x v="1106"/>
    <x v="165"/>
    <n v="711195"/>
  </r>
  <r>
    <s v="M0262"/>
    <x v="1"/>
    <x v="1107"/>
    <x v="307"/>
    <n v="55157"/>
  </r>
  <r>
    <s v="M0262"/>
    <x v="1"/>
    <x v="1107"/>
    <x v="307"/>
    <n v="55157"/>
  </r>
  <r>
    <s v="M0262"/>
    <x v="1"/>
    <x v="1107"/>
    <x v="307"/>
    <n v="55157"/>
  </r>
  <r>
    <s v="M0262"/>
    <x v="1"/>
    <x v="1107"/>
    <x v="307"/>
    <n v="55157"/>
  </r>
  <r>
    <s v="M0262"/>
    <x v="1"/>
    <x v="1107"/>
    <x v="307"/>
    <n v="55157"/>
  </r>
  <r>
    <s v="M0262"/>
    <x v="1"/>
    <x v="1108"/>
    <x v="209"/>
    <n v="414385"/>
  </r>
  <r>
    <s v="M0262"/>
    <x v="1"/>
    <x v="1108"/>
    <x v="209"/>
    <n v="414385"/>
  </r>
  <r>
    <s v="M0262"/>
    <x v="1"/>
    <x v="1108"/>
    <x v="209"/>
    <n v="414385"/>
  </r>
  <r>
    <s v="M0262"/>
    <x v="1"/>
    <x v="1108"/>
    <x v="209"/>
    <n v="414385"/>
  </r>
  <r>
    <s v="M0262"/>
    <x v="1"/>
    <x v="1108"/>
    <x v="209"/>
    <n v="414385"/>
  </r>
  <r>
    <s v="M0262"/>
    <x v="1"/>
    <x v="1109"/>
    <x v="340"/>
    <n v="300071"/>
  </r>
  <r>
    <s v="M0262"/>
    <x v="1"/>
    <x v="1109"/>
    <x v="340"/>
    <n v="300071"/>
  </r>
  <r>
    <s v="M0262"/>
    <x v="1"/>
    <x v="1109"/>
    <x v="340"/>
    <n v="300071"/>
  </r>
  <r>
    <s v="M0262"/>
    <x v="1"/>
    <x v="1109"/>
    <x v="340"/>
    <n v="300071"/>
  </r>
  <r>
    <s v="M0262"/>
    <x v="1"/>
    <x v="1109"/>
    <x v="340"/>
    <n v="300071"/>
  </r>
  <r>
    <s v="M0262"/>
    <x v="1"/>
    <x v="1110"/>
    <x v="257"/>
    <n v="92019"/>
  </r>
  <r>
    <s v="M0262"/>
    <x v="1"/>
    <x v="1110"/>
    <x v="257"/>
    <n v="92019"/>
  </r>
  <r>
    <s v="M0262"/>
    <x v="1"/>
    <x v="1110"/>
    <x v="257"/>
    <n v="92019"/>
  </r>
  <r>
    <s v="M0262"/>
    <x v="1"/>
    <x v="1110"/>
    <x v="257"/>
    <n v="92019"/>
  </r>
  <r>
    <s v="M0262"/>
    <x v="1"/>
    <x v="1110"/>
    <x v="257"/>
    <n v="92019"/>
  </r>
  <r>
    <s v="M0262"/>
    <x v="1"/>
    <x v="1111"/>
    <x v="134"/>
    <n v="225650"/>
  </r>
  <r>
    <s v="M0262"/>
    <x v="1"/>
    <x v="1111"/>
    <x v="134"/>
    <n v="225650"/>
  </r>
  <r>
    <s v="M0262"/>
    <x v="1"/>
    <x v="1111"/>
    <x v="134"/>
    <n v="225650"/>
  </r>
  <r>
    <s v="M0262"/>
    <x v="1"/>
    <x v="1111"/>
    <x v="134"/>
    <n v="225650"/>
  </r>
  <r>
    <s v="M0262"/>
    <x v="1"/>
    <x v="1111"/>
    <x v="134"/>
    <n v="225650"/>
  </r>
  <r>
    <s v="M0262"/>
    <x v="1"/>
    <x v="1112"/>
    <x v="322"/>
    <n v="498452"/>
  </r>
  <r>
    <s v="M0262"/>
    <x v="1"/>
    <x v="1112"/>
    <x v="322"/>
    <n v="498452"/>
  </r>
  <r>
    <s v="M0262"/>
    <x v="1"/>
    <x v="1112"/>
    <x v="322"/>
    <n v="498452"/>
  </r>
  <r>
    <s v="M0262"/>
    <x v="1"/>
    <x v="1112"/>
    <x v="322"/>
    <n v="498452"/>
  </r>
  <r>
    <s v="M0262"/>
    <x v="1"/>
    <x v="1112"/>
    <x v="322"/>
    <n v="498452"/>
  </r>
  <r>
    <s v="M0262"/>
    <x v="1"/>
    <x v="1113"/>
    <x v="306"/>
    <n v="482786"/>
  </r>
  <r>
    <s v="M0262"/>
    <x v="1"/>
    <x v="1113"/>
    <x v="306"/>
    <n v="482786"/>
  </r>
  <r>
    <s v="M0262"/>
    <x v="1"/>
    <x v="1113"/>
    <x v="306"/>
    <n v="482786"/>
  </r>
  <r>
    <s v="M0262"/>
    <x v="1"/>
    <x v="1113"/>
    <x v="306"/>
    <n v="482786"/>
  </r>
  <r>
    <s v="M0262"/>
    <x v="1"/>
    <x v="1113"/>
    <x v="306"/>
    <n v="482786"/>
  </r>
  <r>
    <s v="M0047"/>
    <x v="1"/>
    <x v="1114"/>
    <x v="346"/>
    <n v="580543"/>
  </r>
  <r>
    <s v="M0047"/>
    <x v="1"/>
    <x v="1114"/>
    <x v="346"/>
    <n v="580543"/>
  </r>
  <r>
    <s v="M0047"/>
    <x v="1"/>
    <x v="1115"/>
    <x v="187"/>
    <n v="194781"/>
  </r>
  <r>
    <s v="M0047"/>
    <x v="1"/>
    <x v="1115"/>
    <x v="187"/>
    <n v="194781"/>
  </r>
  <r>
    <s v="M0047"/>
    <x v="1"/>
    <x v="1116"/>
    <x v="268"/>
    <n v="113695"/>
  </r>
  <r>
    <s v="M0047"/>
    <x v="1"/>
    <x v="1116"/>
    <x v="268"/>
    <n v="113695"/>
  </r>
  <r>
    <s v="M0047"/>
    <x v="1"/>
    <x v="1117"/>
    <x v="168"/>
    <n v="174946"/>
  </r>
  <r>
    <s v="M0047"/>
    <x v="1"/>
    <x v="1117"/>
    <x v="168"/>
    <n v="174946"/>
  </r>
  <r>
    <s v="M0176"/>
    <x v="1"/>
    <x v="1118"/>
    <x v="299"/>
    <n v="744828"/>
  </r>
  <r>
    <s v="M0176"/>
    <x v="1"/>
    <x v="1118"/>
    <x v="299"/>
    <n v="744828"/>
  </r>
  <r>
    <s v="M0176"/>
    <x v="1"/>
    <x v="1118"/>
    <x v="299"/>
    <n v="744828"/>
  </r>
  <r>
    <s v="M0197"/>
    <x v="1"/>
    <x v="1119"/>
    <x v="347"/>
    <n v="237774"/>
  </r>
  <r>
    <s v="M0197"/>
    <x v="1"/>
    <x v="1119"/>
    <x v="347"/>
    <n v="237774"/>
  </r>
  <r>
    <s v="M0197"/>
    <x v="1"/>
    <x v="1119"/>
    <x v="347"/>
    <n v="237774"/>
  </r>
  <r>
    <s v="M0197"/>
    <x v="1"/>
    <x v="1119"/>
    <x v="347"/>
    <n v="237774"/>
  </r>
  <r>
    <s v="M0197"/>
    <x v="1"/>
    <x v="1119"/>
    <x v="347"/>
    <n v="237774"/>
  </r>
  <r>
    <s v="M0197"/>
    <x v="1"/>
    <x v="1120"/>
    <x v="157"/>
    <n v="228161"/>
  </r>
  <r>
    <s v="M0197"/>
    <x v="1"/>
    <x v="1120"/>
    <x v="157"/>
    <n v="228161"/>
  </r>
  <r>
    <s v="M0197"/>
    <x v="1"/>
    <x v="1120"/>
    <x v="157"/>
    <n v="228161"/>
  </r>
  <r>
    <s v="M0197"/>
    <x v="1"/>
    <x v="1120"/>
    <x v="157"/>
    <n v="228161"/>
  </r>
  <r>
    <s v="M0197"/>
    <x v="1"/>
    <x v="1120"/>
    <x v="157"/>
    <n v="228161"/>
  </r>
  <r>
    <s v="M0197"/>
    <x v="1"/>
    <x v="1121"/>
    <x v="231"/>
    <n v="293926"/>
  </r>
  <r>
    <s v="M0197"/>
    <x v="1"/>
    <x v="1121"/>
    <x v="231"/>
    <n v="293926"/>
  </r>
  <r>
    <s v="M0197"/>
    <x v="1"/>
    <x v="1121"/>
    <x v="231"/>
    <n v="293926"/>
  </r>
  <r>
    <s v="M0197"/>
    <x v="1"/>
    <x v="1121"/>
    <x v="231"/>
    <n v="293926"/>
  </r>
  <r>
    <s v="M0197"/>
    <x v="1"/>
    <x v="1121"/>
    <x v="231"/>
    <n v="293926"/>
  </r>
  <r>
    <s v="M0197"/>
    <x v="1"/>
    <x v="1122"/>
    <x v="180"/>
    <n v="214160"/>
  </r>
  <r>
    <s v="M0197"/>
    <x v="1"/>
    <x v="1122"/>
    <x v="180"/>
    <n v="214160"/>
  </r>
  <r>
    <s v="M0197"/>
    <x v="1"/>
    <x v="1122"/>
    <x v="180"/>
    <n v="214160"/>
  </r>
  <r>
    <s v="M0197"/>
    <x v="1"/>
    <x v="1122"/>
    <x v="180"/>
    <n v="214160"/>
  </r>
  <r>
    <s v="M0197"/>
    <x v="1"/>
    <x v="1122"/>
    <x v="180"/>
    <n v="214160"/>
  </r>
  <r>
    <s v="M0197"/>
    <x v="1"/>
    <x v="1123"/>
    <x v="1"/>
    <n v="458908"/>
  </r>
  <r>
    <s v="M0197"/>
    <x v="1"/>
    <x v="1123"/>
    <x v="1"/>
    <n v="458908"/>
  </r>
  <r>
    <s v="M0197"/>
    <x v="1"/>
    <x v="1123"/>
    <x v="1"/>
    <n v="458908"/>
  </r>
  <r>
    <s v="M0197"/>
    <x v="1"/>
    <x v="1123"/>
    <x v="1"/>
    <n v="458908"/>
  </r>
  <r>
    <s v="M0197"/>
    <x v="1"/>
    <x v="1123"/>
    <x v="1"/>
    <n v="458908"/>
  </r>
  <r>
    <s v="M0197"/>
    <x v="1"/>
    <x v="1124"/>
    <x v="174"/>
    <n v="171754"/>
  </r>
  <r>
    <s v="M0197"/>
    <x v="1"/>
    <x v="1124"/>
    <x v="174"/>
    <n v="171754"/>
  </r>
  <r>
    <s v="M0197"/>
    <x v="1"/>
    <x v="1124"/>
    <x v="174"/>
    <n v="171754"/>
  </r>
  <r>
    <s v="M0197"/>
    <x v="1"/>
    <x v="1124"/>
    <x v="174"/>
    <n v="171754"/>
  </r>
  <r>
    <s v="M0197"/>
    <x v="1"/>
    <x v="1124"/>
    <x v="174"/>
    <n v="171754"/>
  </r>
  <r>
    <s v="M0265"/>
    <x v="1"/>
    <x v="1125"/>
    <x v="278"/>
    <n v="323525"/>
  </r>
  <r>
    <s v="M0265"/>
    <x v="1"/>
    <x v="1125"/>
    <x v="278"/>
    <n v="323525"/>
  </r>
  <r>
    <s v="M0265"/>
    <x v="1"/>
    <x v="1125"/>
    <x v="278"/>
    <n v="323525"/>
  </r>
  <r>
    <s v="M0265"/>
    <x v="1"/>
    <x v="1126"/>
    <x v="348"/>
    <n v="120744"/>
  </r>
  <r>
    <s v="M0265"/>
    <x v="1"/>
    <x v="1126"/>
    <x v="348"/>
    <n v="120744"/>
  </r>
  <r>
    <s v="M0265"/>
    <x v="1"/>
    <x v="1126"/>
    <x v="348"/>
    <n v="120744"/>
  </r>
  <r>
    <s v="M0265"/>
    <x v="1"/>
    <x v="1127"/>
    <x v="85"/>
    <n v="342422"/>
  </r>
  <r>
    <s v="M0265"/>
    <x v="1"/>
    <x v="1127"/>
    <x v="85"/>
    <n v="342422"/>
  </r>
  <r>
    <s v="M0265"/>
    <x v="1"/>
    <x v="1127"/>
    <x v="85"/>
    <n v="342422"/>
  </r>
  <r>
    <s v="M0265"/>
    <x v="1"/>
    <x v="1128"/>
    <x v="342"/>
    <n v="327115"/>
  </r>
  <r>
    <s v="M0265"/>
    <x v="1"/>
    <x v="1128"/>
    <x v="342"/>
    <n v="327115"/>
  </r>
  <r>
    <s v="M0265"/>
    <x v="1"/>
    <x v="1128"/>
    <x v="342"/>
    <n v="327115"/>
  </r>
  <r>
    <s v="M0265"/>
    <x v="1"/>
    <x v="1129"/>
    <x v="338"/>
    <n v="267167"/>
  </r>
  <r>
    <s v="M0265"/>
    <x v="1"/>
    <x v="1129"/>
    <x v="338"/>
    <n v="267167"/>
  </r>
  <r>
    <s v="M0265"/>
    <x v="1"/>
    <x v="1129"/>
    <x v="338"/>
    <n v="267167"/>
  </r>
  <r>
    <s v="M0265"/>
    <x v="1"/>
    <x v="1130"/>
    <x v="68"/>
    <n v="153573"/>
  </r>
  <r>
    <s v="M0265"/>
    <x v="1"/>
    <x v="1130"/>
    <x v="68"/>
    <n v="153573"/>
  </r>
  <r>
    <s v="M0265"/>
    <x v="1"/>
    <x v="1130"/>
    <x v="68"/>
    <n v="153573"/>
  </r>
  <r>
    <s v="M0265"/>
    <x v="1"/>
    <x v="1131"/>
    <x v="46"/>
    <n v="363651"/>
  </r>
  <r>
    <s v="M0265"/>
    <x v="1"/>
    <x v="1131"/>
    <x v="46"/>
    <n v="363651"/>
  </r>
  <r>
    <s v="M0265"/>
    <x v="1"/>
    <x v="1131"/>
    <x v="46"/>
    <n v="363651"/>
  </r>
  <r>
    <s v="M0265"/>
    <x v="1"/>
    <x v="1132"/>
    <x v="166"/>
    <n v="259670"/>
  </r>
  <r>
    <s v="M0265"/>
    <x v="1"/>
    <x v="1132"/>
    <x v="166"/>
    <n v="259670"/>
  </r>
  <r>
    <s v="M0265"/>
    <x v="1"/>
    <x v="1132"/>
    <x v="166"/>
    <n v="259670"/>
  </r>
  <r>
    <s v="M0265"/>
    <x v="1"/>
    <x v="1133"/>
    <x v="145"/>
    <n v="149746"/>
  </r>
  <r>
    <s v="M0265"/>
    <x v="1"/>
    <x v="1133"/>
    <x v="145"/>
    <n v="149746"/>
  </r>
  <r>
    <s v="M0265"/>
    <x v="1"/>
    <x v="1133"/>
    <x v="145"/>
    <n v="149746"/>
  </r>
  <r>
    <s v="M0265"/>
    <x v="1"/>
    <x v="1134"/>
    <x v="349"/>
    <n v="878544"/>
  </r>
  <r>
    <s v="M0265"/>
    <x v="1"/>
    <x v="1134"/>
    <x v="349"/>
    <n v="878544"/>
  </r>
  <r>
    <s v="M0265"/>
    <x v="1"/>
    <x v="1134"/>
    <x v="349"/>
    <n v="878544"/>
  </r>
  <r>
    <s v="M0265"/>
    <x v="1"/>
    <x v="1135"/>
    <x v="88"/>
    <n v="287864"/>
  </r>
  <r>
    <s v="M0265"/>
    <x v="1"/>
    <x v="1135"/>
    <x v="88"/>
    <n v="287864"/>
  </r>
  <r>
    <s v="M0265"/>
    <x v="1"/>
    <x v="1135"/>
    <x v="88"/>
    <n v="287864"/>
  </r>
  <r>
    <s v="M0265"/>
    <x v="1"/>
    <x v="1136"/>
    <x v="288"/>
    <n v="149311"/>
  </r>
  <r>
    <s v="M0265"/>
    <x v="1"/>
    <x v="1136"/>
    <x v="288"/>
    <n v="149311"/>
  </r>
  <r>
    <s v="M0265"/>
    <x v="1"/>
    <x v="1136"/>
    <x v="288"/>
    <n v="149311"/>
  </r>
  <r>
    <s v="M0265"/>
    <x v="1"/>
    <x v="1137"/>
    <x v="127"/>
    <n v="369232"/>
  </r>
  <r>
    <s v="M0265"/>
    <x v="1"/>
    <x v="1137"/>
    <x v="127"/>
    <n v="369232"/>
  </r>
  <r>
    <s v="M0265"/>
    <x v="1"/>
    <x v="1137"/>
    <x v="127"/>
    <n v="369232"/>
  </r>
  <r>
    <s v="M0265"/>
    <x v="1"/>
    <x v="1138"/>
    <x v="80"/>
    <n v="430396"/>
  </r>
  <r>
    <s v="M0265"/>
    <x v="1"/>
    <x v="1138"/>
    <x v="80"/>
    <n v="430396"/>
  </r>
  <r>
    <s v="M0265"/>
    <x v="1"/>
    <x v="1138"/>
    <x v="80"/>
    <n v="430396"/>
  </r>
  <r>
    <s v="M0265"/>
    <x v="1"/>
    <x v="1139"/>
    <x v="333"/>
    <n v="592472"/>
  </r>
  <r>
    <s v="M0265"/>
    <x v="1"/>
    <x v="1139"/>
    <x v="333"/>
    <n v="592472"/>
  </r>
  <r>
    <s v="M0265"/>
    <x v="1"/>
    <x v="1139"/>
    <x v="333"/>
    <n v="592472"/>
  </r>
  <r>
    <s v="M0265"/>
    <x v="1"/>
    <x v="1140"/>
    <x v="95"/>
    <n v="534634"/>
  </r>
  <r>
    <s v="M0265"/>
    <x v="1"/>
    <x v="1140"/>
    <x v="95"/>
    <n v="534634"/>
  </r>
  <r>
    <s v="M0265"/>
    <x v="1"/>
    <x v="1140"/>
    <x v="95"/>
    <n v="534634"/>
  </r>
  <r>
    <s v="M0256"/>
    <x v="2"/>
    <x v="1141"/>
    <x v="94"/>
    <n v="113903"/>
  </r>
  <r>
    <s v="M0256"/>
    <x v="2"/>
    <x v="1141"/>
    <x v="94"/>
    <n v="113903"/>
  </r>
  <r>
    <s v="M0256"/>
    <x v="2"/>
    <x v="1141"/>
    <x v="94"/>
    <n v="113903"/>
  </r>
  <r>
    <s v="M0256"/>
    <x v="2"/>
    <x v="1142"/>
    <x v="107"/>
    <n v="399494"/>
  </r>
  <r>
    <s v="M0256"/>
    <x v="2"/>
    <x v="1142"/>
    <x v="107"/>
    <n v="399494"/>
  </r>
  <r>
    <s v="M0256"/>
    <x v="2"/>
    <x v="1142"/>
    <x v="107"/>
    <n v="399494"/>
  </r>
  <r>
    <s v="M0256"/>
    <x v="2"/>
    <x v="1143"/>
    <x v="183"/>
    <n v="50516"/>
  </r>
  <r>
    <s v="M0256"/>
    <x v="2"/>
    <x v="1143"/>
    <x v="183"/>
    <n v="50516"/>
  </r>
  <r>
    <s v="M0256"/>
    <x v="2"/>
    <x v="1143"/>
    <x v="183"/>
    <n v="50516"/>
  </r>
  <r>
    <s v="M0256"/>
    <x v="2"/>
    <x v="1144"/>
    <x v="52"/>
    <n v="363234"/>
  </r>
  <r>
    <s v="M0256"/>
    <x v="2"/>
    <x v="1144"/>
    <x v="52"/>
    <n v="363234"/>
  </r>
  <r>
    <s v="M0256"/>
    <x v="2"/>
    <x v="1144"/>
    <x v="52"/>
    <n v="363234"/>
  </r>
  <r>
    <s v="M0261"/>
    <x v="2"/>
    <x v="1145"/>
    <x v="203"/>
    <n v="221830"/>
  </r>
  <r>
    <s v="M0261"/>
    <x v="2"/>
    <x v="1145"/>
    <x v="203"/>
    <n v="221830"/>
  </r>
  <r>
    <s v="M0261"/>
    <x v="2"/>
    <x v="1145"/>
    <x v="203"/>
    <n v="221830"/>
  </r>
  <r>
    <s v="M0261"/>
    <x v="2"/>
    <x v="1145"/>
    <x v="203"/>
    <n v="221830"/>
  </r>
  <r>
    <s v="M0261"/>
    <x v="2"/>
    <x v="1145"/>
    <x v="203"/>
    <n v="221830"/>
  </r>
  <r>
    <s v="M0261"/>
    <x v="2"/>
    <x v="1145"/>
    <x v="203"/>
    <n v="221830"/>
  </r>
  <r>
    <s v="M0261"/>
    <x v="2"/>
    <x v="1146"/>
    <x v="210"/>
    <n v="185689"/>
  </r>
  <r>
    <s v="M0261"/>
    <x v="2"/>
    <x v="1146"/>
    <x v="210"/>
    <n v="185689"/>
  </r>
  <r>
    <s v="M0261"/>
    <x v="2"/>
    <x v="1146"/>
    <x v="210"/>
    <n v="185689"/>
  </r>
  <r>
    <s v="M0261"/>
    <x v="2"/>
    <x v="1146"/>
    <x v="210"/>
    <n v="185689"/>
  </r>
  <r>
    <s v="M0261"/>
    <x v="2"/>
    <x v="1146"/>
    <x v="210"/>
    <n v="185689"/>
  </r>
  <r>
    <s v="M0261"/>
    <x v="2"/>
    <x v="1146"/>
    <x v="210"/>
    <n v="185689"/>
  </r>
  <r>
    <s v="M0261"/>
    <x v="2"/>
    <x v="1147"/>
    <x v="152"/>
    <n v="317120"/>
  </r>
  <r>
    <s v="M0261"/>
    <x v="2"/>
    <x v="1147"/>
    <x v="152"/>
    <n v="317120"/>
  </r>
  <r>
    <s v="M0261"/>
    <x v="2"/>
    <x v="1147"/>
    <x v="152"/>
    <n v="317120"/>
  </r>
  <r>
    <s v="M0261"/>
    <x v="2"/>
    <x v="1147"/>
    <x v="152"/>
    <n v="317120"/>
  </r>
  <r>
    <s v="M0261"/>
    <x v="2"/>
    <x v="1147"/>
    <x v="152"/>
    <n v="317120"/>
  </r>
  <r>
    <s v="M0261"/>
    <x v="2"/>
    <x v="1147"/>
    <x v="152"/>
    <n v="317120"/>
  </r>
  <r>
    <s v="M0261"/>
    <x v="2"/>
    <x v="1148"/>
    <x v="61"/>
    <n v="281811"/>
  </r>
  <r>
    <s v="M0261"/>
    <x v="2"/>
    <x v="1148"/>
    <x v="61"/>
    <n v="281811"/>
  </r>
  <r>
    <s v="M0261"/>
    <x v="2"/>
    <x v="1148"/>
    <x v="61"/>
    <n v="281811"/>
  </r>
  <r>
    <s v="M0261"/>
    <x v="2"/>
    <x v="1148"/>
    <x v="61"/>
    <n v="281811"/>
  </r>
  <r>
    <s v="M0261"/>
    <x v="2"/>
    <x v="1148"/>
    <x v="61"/>
    <n v="281811"/>
  </r>
  <r>
    <s v="M0261"/>
    <x v="2"/>
    <x v="1148"/>
    <x v="61"/>
    <n v="281811"/>
  </r>
  <r>
    <s v="M0261"/>
    <x v="2"/>
    <x v="1149"/>
    <x v="14"/>
    <n v="134374"/>
  </r>
  <r>
    <s v="M0261"/>
    <x v="2"/>
    <x v="1149"/>
    <x v="14"/>
    <n v="134374"/>
  </r>
  <r>
    <s v="M0261"/>
    <x v="2"/>
    <x v="1149"/>
    <x v="14"/>
    <n v="134374"/>
  </r>
  <r>
    <s v="M0261"/>
    <x v="2"/>
    <x v="1149"/>
    <x v="14"/>
    <n v="134374"/>
  </r>
  <r>
    <s v="M0261"/>
    <x v="2"/>
    <x v="1149"/>
    <x v="14"/>
    <n v="134374"/>
  </r>
  <r>
    <s v="M0261"/>
    <x v="2"/>
    <x v="1149"/>
    <x v="14"/>
    <n v="134374"/>
  </r>
  <r>
    <s v="M0261"/>
    <x v="2"/>
    <x v="1150"/>
    <x v="7"/>
    <n v="65857"/>
  </r>
  <r>
    <s v="M0261"/>
    <x v="2"/>
    <x v="1150"/>
    <x v="7"/>
    <n v="65857"/>
  </r>
  <r>
    <s v="M0261"/>
    <x v="2"/>
    <x v="1150"/>
    <x v="7"/>
    <n v="65857"/>
  </r>
  <r>
    <s v="M0261"/>
    <x v="2"/>
    <x v="1150"/>
    <x v="7"/>
    <n v="65857"/>
  </r>
  <r>
    <s v="M0261"/>
    <x v="2"/>
    <x v="1150"/>
    <x v="7"/>
    <n v="65857"/>
  </r>
  <r>
    <s v="M0261"/>
    <x v="2"/>
    <x v="1150"/>
    <x v="7"/>
    <n v="65857"/>
  </r>
  <r>
    <s v="M0261"/>
    <x v="2"/>
    <x v="1151"/>
    <x v="117"/>
    <n v="248638"/>
  </r>
  <r>
    <s v="M0261"/>
    <x v="2"/>
    <x v="1151"/>
    <x v="117"/>
    <n v="248638"/>
  </r>
  <r>
    <s v="M0261"/>
    <x v="2"/>
    <x v="1151"/>
    <x v="117"/>
    <n v="248638"/>
  </r>
  <r>
    <s v="M0261"/>
    <x v="2"/>
    <x v="1151"/>
    <x v="117"/>
    <n v="248638"/>
  </r>
  <r>
    <s v="M0261"/>
    <x v="2"/>
    <x v="1151"/>
    <x v="117"/>
    <n v="248638"/>
  </r>
  <r>
    <s v="M0261"/>
    <x v="2"/>
    <x v="1151"/>
    <x v="117"/>
    <n v="248638"/>
  </r>
  <r>
    <s v="M0261"/>
    <x v="2"/>
    <x v="1152"/>
    <x v="280"/>
    <n v="210528"/>
  </r>
  <r>
    <s v="M0261"/>
    <x v="2"/>
    <x v="1152"/>
    <x v="280"/>
    <n v="210528"/>
  </r>
  <r>
    <s v="M0261"/>
    <x v="2"/>
    <x v="1152"/>
    <x v="280"/>
    <n v="210528"/>
  </r>
  <r>
    <s v="M0261"/>
    <x v="2"/>
    <x v="1152"/>
    <x v="280"/>
    <n v="210528"/>
  </r>
  <r>
    <s v="M0261"/>
    <x v="2"/>
    <x v="1152"/>
    <x v="280"/>
    <n v="210528"/>
  </r>
  <r>
    <s v="M0261"/>
    <x v="2"/>
    <x v="1152"/>
    <x v="280"/>
    <n v="210528"/>
  </r>
  <r>
    <s v="M0261"/>
    <x v="2"/>
    <x v="1153"/>
    <x v="253"/>
    <n v="726402"/>
  </r>
  <r>
    <s v="M0261"/>
    <x v="2"/>
    <x v="1153"/>
    <x v="253"/>
    <n v="726402"/>
  </r>
  <r>
    <s v="M0261"/>
    <x v="2"/>
    <x v="1153"/>
    <x v="253"/>
    <n v="726402"/>
  </r>
  <r>
    <s v="M0261"/>
    <x v="2"/>
    <x v="1153"/>
    <x v="253"/>
    <n v="726402"/>
  </r>
  <r>
    <s v="M0261"/>
    <x v="2"/>
    <x v="1153"/>
    <x v="253"/>
    <n v="726402"/>
  </r>
  <r>
    <s v="M0261"/>
    <x v="2"/>
    <x v="1153"/>
    <x v="253"/>
    <n v="726402"/>
  </r>
  <r>
    <s v="M0261"/>
    <x v="2"/>
    <x v="1154"/>
    <x v="281"/>
    <n v="91049"/>
  </r>
  <r>
    <s v="M0261"/>
    <x v="2"/>
    <x v="1154"/>
    <x v="281"/>
    <n v="91049"/>
  </r>
  <r>
    <s v="M0261"/>
    <x v="2"/>
    <x v="1154"/>
    <x v="281"/>
    <n v="91049"/>
  </r>
  <r>
    <s v="M0261"/>
    <x v="2"/>
    <x v="1154"/>
    <x v="281"/>
    <n v="91049"/>
  </r>
  <r>
    <s v="M0261"/>
    <x v="2"/>
    <x v="1154"/>
    <x v="281"/>
    <n v="91049"/>
  </r>
  <r>
    <s v="M0261"/>
    <x v="2"/>
    <x v="1154"/>
    <x v="281"/>
    <n v="91049"/>
  </r>
  <r>
    <s v="M0261"/>
    <x v="2"/>
    <x v="1155"/>
    <x v="59"/>
    <n v="594339"/>
  </r>
  <r>
    <s v="M0261"/>
    <x v="2"/>
    <x v="1155"/>
    <x v="59"/>
    <n v="594339"/>
  </r>
  <r>
    <s v="M0261"/>
    <x v="2"/>
    <x v="1155"/>
    <x v="59"/>
    <n v="594339"/>
  </r>
  <r>
    <s v="M0261"/>
    <x v="2"/>
    <x v="1155"/>
    <x v="59"/>
    <n v="594339"/>
  </r>
  <r>
    <s v="M0261"/>
    <x v="2"/>
    <x v="1155"/>
    <x v="59"/>
    <n v="594339"/>
  </r>
  <r>
    <s v="M0261"/>
    <x v="2"/>
    <x v="1155"/>
    <x v="59"/>
    <n v="594339"/>
  </r>
  <r>
    <s v="M0261"/>
    <x v="2"/>
    <x v="1156"/>
    <x v="75"/>
    <n v="214039"/>
  </r>
  <r>
    <s v="M0261"/>
    <x v="2"/>
    <x v="1156"/>
    <x v="75"/>
    <n v="214039"/>
  </r>
  <r>
    <s v="M0261"/>
    <x v="2"/>
    <x v="1156"/>
    <x v="75"/>
    <n v="214039"/>
  </r>
  <r>
    <s v="M0261"/>
    <x v="2"/>
    <x v="1156"/>
    <x v="75"/>
    <n v="214039"/>
  </r>
  <r>
    <s v="M0261"/>
    <x v="2"/>
    <x v="1156"/>
    <x v="75"/>
    <n v="214039"/>
  </r>
  <r>
    <s v="M0261"/>
    <x v="2"/>
    <x v="1156"/>
    <x v="75"/>
    <n v="214039"/>
  </r>
  <r>
    <s v="M0242"/>
    <x v="1"/>
    <x v="1157"/>
    <x v="80"/>
    <n v="622518"/>
  </r>
  <r>
    <s v="M0242"/>
    <x v="1"/>
    <x v="1157"/>
    <x v="80"/>
    <n v="622518"/>
  </r>
  <r>
    <s v="M0242"/>
    <x v="1"/>
    <x v="1157"/>
    <x v="80"/>
    <n v="622518"/>
  </r>
  <r>
    <s v="M0242"/>
    <x v="1"/>
    <x v="1158"/>
    <x v="350"/>
    <n v="649401"/>
  </r>
  <r>
    <s v="M0242"/>
    <x v="1"/>
    <x v="1158"/>
    <x v="350"/>
    <n v="649401"/>
  </r>
  <r>
    <s v="M0242"/>
    <x v="1"/>
    <x v="1158"/>
    <x v="350"/>
    <n v="649401"/>
  </r>
  <r>
    <s v="M0242"/>
    <x v="1"/>
    <x v="1159"/>
    <x v="1"/>
    <n v="243126"/>
  </r>
  <r>
    <s v="M0242"/>
    <x v="1"/>
    <x v="1159"/>
    <x v="1"/>
    <n v="243126"/>
  </r>
  <r>
    <s v="M0242"/>
    <x v="1"/>
    <x v="1159"/>
    <x v="1"/>
    <n v="243126"/>
  </r>
  <r>
    <s v="M0242"/>
    <x v="1"/>
    <x v="1160"/>
    <x v="112"/>
    <n v="36153"/>
  </r>
  <r>
    <s v="M0242"/>
    <x v="1"/>
    <x v="1160"/>
    <x v="112"/>
    <n v="36153"/>
  </r>
  <r>
    <s v="M0242"/>
    <x v="1"/>
    <x v="1160"/>
    <x v="112"/>
    <n v="36153"/>
  </r>
  <r>
    <s v="M0242"/>
    <x v="1"/>
    <x v="1161"/>
    <x v="298"/>
    <n v="485303"/>
  </r>
  <r>
    <s v="M0242"/>
    <x v="1"/>
    <x v="1161"/>
    <x v="298"/>
    <n v="485303"/>
  </r>
  <r>
    <s v="M0242"/>
    <x v="1"/>
    <x v="1161"/>
    <x v="298"/>
    <n v="485303"/>
  </r>
  <r>
    <s v="M0242"/>
    <x v="1"/>
    <x v="1162"/>
    <x v="114"/>
    <n v="196704"/>
  </r>
  <r>
    <s v="M0242"/>
    <x v="1"/>
    <x v="1162"/>
    <x v="114"/>
    <n v="196704"/>
  </r>
  <r>
    <s v="M0242"/>
    <x v="1"/>
    <x v="1162"/>
    <x v="114"/>
    <n v="196704"/>
  </r>
  <r>
    <s v="M0242"/>
    <x v="1"/>
    <x v="1163"/>
    <x v="20"/>
    <n v="395686"/>
  </r>
  <r>
    <s v="M0242"/>
    <x v="1"/>
    <x v="1163"/>
    <x v="20"/>
    <n v="395686"/>
  </r>
  <r>
    <s v="M0242"/>
    <x v="1"/>
    <x v="1163"/>
    <x v="20"/>
    <n v="395686"/>
  </r>
  <r>
    <s v="M0242"/>
    <x v="1"/>
    <x v="1164"/>
    <x v="136"/>
    <n v="78635"/>
  </r>
  <r>
    <s v="M0242"/>
    <x v="1"/>
    <x v="1164"/>
    <x v="136"/>
    <n v="78635"/>
  </r>
  <r>
    <s v="M0242"/>
    <x v="1"/>
    <x v="1164"/>
    <x v="136"/>
    <n v="78635"/>
  </r>
  <r>
    <s v="M0242"/>
    <x v="1"/>
    <x v="1165"/>
    <x v="293"/>
    <n v="80091"/>
  </r>
  <r>
    <s v="M0242"/>
    <x v="1"/>
    <x v="1165"/>
    <x v="293"/>
    <n v="80091"/>
  </r>
  <r>
    <s v="M0242"/>
    <x v="1"/>
    <x v="1165"/>
    <x v="293"/>
    <n v="80091"/>
  </r>
  <r>
    <s v="M0242"/>
    <x v="1"/>
    <x v="1166"/>
    <x v="187"/>
    <n v="243800"/>
  </r>
  <r>
    <s v="M0242"/>
    <x v="1"/>
    <x v="1166"/>
    <x v="187"/>
    <n v="243800"/>
  </r>
  <r>
    <s v="M0242"/>
    <x v="1"/>
    <x v="1166"/>
    <x v="187"/>
    <n v="243800"/>
  </r>
  <r>
    <s v="M0242"/>
    <x v="1"/>
    <x v="1167"/>
    <x v="50"/>
    <n v="75890"/>
  </r>
  <r>
    <s v="M0242"/>
    <x v="1"/>
    <x v="1167"/>
    <x v="50"/>
    <n v="75890"/>
  </r>
  <r>
    <s v="M0242"/>
    <x v="1"/>
    <x v="1167"/>
    <x v="50"/>
    <n v="75890"/>
  </r>
  <r>
    <s v="M0242"/>
    <x v="1"/>
    <x v="1168"/>
    <x v="146"/>
    <n v="319698"/>
  </r>
  <r>
    <s v="M0242"/>
    <x v="1"/>
    <x v="1168"/>
    <x v="146"/>
    <n v="319698"/>
  </r>
  <r>
    <s v="M0242"/>
    <x v="1"/>
    <x v="1168"/>
    <x v="146"/>
    <n v="319698"/>
  </r>
  <r>
    <s v="M0242"/>
    <x v="1"/>
    <x v="1169"/>
    <x v="259"/>
    <n v="123012"/>
  </r>
  <r>
    <s v="M0242"/>
    <x v="1"/>
    <x v="1169"/>
    <x v="259"/>
    <n v="123012"/>
  </r>
  <r>
    <s v="M0242"/>
    <x v="1"/>
    <x v="1169"/>
    <x v="259"/>
    <n v="123012"/>
  </r>
  <r>
    <s v="M0242"/>
    <x v="1"/>
    <x v="1170"/>
    <x v="27"/>
    <n v="90613"/>
  </r>
  <r>
    <s v="M0242"/>
    <x v="1"/>
    <x v="1170"/>
    <x v="27"/>
    <n v="90613"/>
  </r>
  <r>
    <s v="M0242"/>
    <x v="1"/>
    <x v="1170"/>
    <x v="27"/>
    <n v="90613"/>
  </r>
  <r>
    <s v="M0242"/>
    <x v="1"/>
    <x v="1171"/>
    <x v="178"/>
    <n v="123371"/>
  </r>
  <r>
    <s v="M0242"/>
    <x v="1"/>
    <x v="1171"/>
    <x v="178"/>
    <n v="123371"/>
  </r>
  <r>
    <s v="M0242"/>
    <x v="1"/>
    <x v="1171"/>
    <x v="178"/>
    <n v="123371"/>
  </r>
  <r>
    <s v="M0242"/>
    <x v="1"/>
    <x v="1172"/>
    <x v="195"/>
    <n v="323329"/>
  </r>
  <r>
    <s v="M0242"/>
    <x v="1"/>
    <x v="1172"/>
    <x v="195"/>
    <n v="323329"/>
  </r>
  <r>
    <s v="M0242"/>
    <x v="1"/>
    <x v="1172"/>
    <x v="195"/>
    <n v="323329"/>
  </r>
  <r>
    <s v="M0242"/>
    <x v="1"/>
    <x v="1173"/>
    <x v="219"/>
    <n v="405872"/>
  </r>
  <r>
    <s v="M0242"/>
    <x v="1"/>
    <x v="1173"/>
    <x v="219"/>
    <n v="405872"/>
  </r>
  <r>
    <s v="M0242"/>
    <x v="1"/>
    <x v="1173"/>
    <x v="219"/>
    <n v="405872"/>
  </r>
  <r>
    <s v="M0242"/>
    <x v="1"/>
    <x v="1174"/>
    <x v="202"/>
    <n v="260138"/>
  </r>
  <r>
    <s v="M0242"/>
    <x v="1"/>
    <x v="1174"/>
    <x v="202"/>
    <n v="260138"/>
  </r>
  <r>
    <s v="M0242"/>
    <x v="1"/>
    <x v="1174"/>
    <x v="202"/>
    <n v="260138"/>
  </r>
  <r>
    <s v="M0242"/>
    <x v="1"/>
    <x v="1175"/>
    <x v="89"/>
    <n v="297035"/>
  </r>
  <r>
    <s v="M0242"/>
    <x v="1"/>
    <x v="1175"/>
    <x v="89"/>
    <n v="297035"/>
  </r>
  <r>
    <s v="M0242"/>
    <x v="1"/>
    <x v="1175"/>
    <x v="89"/>
    <n v="297035"/>
  </r>
  <r>
    <s v="M0242"/>
    <x v="1"/>
    <x v="1176"/>
    <x v="328"/>
    <n v="274599"/>
  </r>
  <r>
    <s v="M0242"/>
    <x v="1"/>
    <x v="1176"/>
    <x v="328"/>
    <n v="274599"/>
  </r>
  <r>
    <s v="M0242"/>
    <x v="1"/>
    <x v="1176"/>
    <x v="328"/>
    <n v="274599"/>
  </r>
  <r>
    <s v="M0242"/>
    <x v="1"/>
    <x v="1177"/>
    <x v="73"/>
    <n v="230500"/>
  </r>
  <r>
    <s v="M0242"/>
    <x v="1"/>
    <x v="1177"/>
    <x v="73"/>
    <n v="230500"/>
  </r>
  <r>
    <s v="M0242"/>
    <x v="1"/>
    <x v="1177"/>
    <x v="73"/>
    <n v="230500"/>
  </r>
  <r>
    <s v="M0242"/>
    <x v="1"/>
    <x v="1178"/>
    <x v="259"/>
    <n v="836744"/>
  </r>
  <r>
    <s v="M0242"/>
    <x v="1"/>
    <x v="1178"/>
    <x v="259"/>
    <n v="836744"/>
  </r>
  <r>
    <s v="M0242"/>
    <x v="1"/>
    <x v="1178"/>
    <x v="259"/>
    <n v="836744"/>
  </r>
  <r>
    <s v="M0242"/>
    <x v="1"/>
    <x v="1179"/>
    <x v="41"/>
    <n v="297842"/>
  </r>
  <r>
    <s v="M0242"/>
    <x v="1"/>
    <x v="1179"/>
    <x v="41"/>
    <n v="297842"/>
  </r>
  <r>
    <s v="M0242"/>
    <x v="1"/>
    <x v="1179"/>
    <x v="41"/>
    <n v="297842"/>
  </r>
  <r>
    <s v="M0242"/>
    <x v="1"/>
    <x v="1180"/>
    <x v="118"/>
    <n v="309787"/>
  </r>
  <r>
    <s v="M0242"/>
    <x v="1"/>
    <x v="1180"/>
    <x v="118"/>
    <n v="309787"/>
  </r>
  <r>
    <s v="M0242"/>
    <x v="1"/>
    <x v="1180"/>
    <x v="118"/>
    <n v="309787"/>
  </r>
  <r>
    <s v="M0242"/>
    <x v="1"/>
    <x v="1181"/>
    <x v="105"/>
    <n v="599847"/>
  </r>
  <r>
    <s v="M0242"/>
    <x v="1"/>
    <x v="1181"/>
    <x v="105"/>
    <n v="599847"/>
  </r>
  <r>
    <s v="M0242"/>
    <x v="1"/>
    <x v="1181"/>
    <x v="105"/>
    <n v="599847"/>
  </r>
  <r>
    <s v="M0242"/>
    <x v="1"/>
    <x v="1182"/>
    <x v="138"/>
    <n v="95151"/>
  </r>
  <r>
    <s v="M0242"/>
    <x v="1"/>
    <x v="1182"/>
    <x v="138"/>
    <n v="95151"/>
  </r>
  <r>
    <s v="M0242"/>
    <x v="1"/>
    <x v="1182"/>
    <x v="138"/>
    <n v="95151"/>
  </r>
  <r>
    <s v="M0242"/>
    <x v="1"/>
    <x v="1183"/>
    <x v="263"/>
    <n v="315672"/>
  </r>
  <r>
    <s v="M0242"/>
    <x v="1"/>
    <x v="1183"/>
    <x v="263"/>
    <n v="315672"/>
  </r>
  <r>
    <s v="M0242"/>
    <x v="1"/>
    <x v="1183"/>
    <x v="263"/>
    <n v="315672"/>
  </r>
  <r>
    <s v="M0242"/>
    <x v="1"/>
    <x v="1184"/>
    <x v="225"/>
    <n v="130222"/>
  </r>
  <r>
    <s v="M0242"/>
    <x v="1"/>
    <x v="1184"/>
    <x v="225"/>
    <n v="130222"/>
  </r>
  <r>
    <s v="M0242"/>
    <x v="1"/>
    <x v="1184"/>
    <x v="225"/>
    <n v="130222"/>
  </r>
  <r>
    <s v="M0242"/>
    <x v="1"/>
    <x v="1185"/>
    <x v="267"/>
    <n v="521084"/>
  </r>
  <r>
    <s v="M0242"/>
    <x v="1"/>
    <x v="1185"/>
    <x v="267"/>
    <n v="521084"/>
  </r>
  <r>
    <s v="M0242"/>
    <x v="1"/>
    <x v="1185"/>
    <x v="267"/>
    <n v="521084"/>
  </r>
  <r>
    <s v="M0242"/>
    <x v="1"/>
    <x v="1186"/>
    <x v="45"/>
    <n v="1119932"/>
  </r>
  <r>
    <s v="M0242"/>
    <x v="1"/>
    <x v="1186"/>
    <x v="45"/>
    <n v="1119932"/>
  </r>
  <r>
    <s v="M0242"/>
    <x v="1"/>
    <x v="1186"/>
    <x v="45"/>
    <n v="1119932"/>
  </r>
  <r>
    <s v="M0210"/>
    <x v="0"/>
    <x v="1187"/>
    <x v="276"/>
    <n v="136575"/>
  </r>
  <r>
    <s v="M0210"/>
    <x v="0"/>
    <x v="1187"/>
    <x v="276"/>
    <n v="136575"/>
  </r>
  <r>
    <s v="M0210"/>
    <x v="0"/>
    <x v="1187"/>
    <x v="276"/>
    <n v="136575"/>
  </r>
  <r>
    <s v="M0210"/>
    <x v="0"/>
    <x v="1187"/>
    <x v="276"/>
    <n v="136575"/>
  </r>
  <r>
    <s v="M0210"/>
    <x v="0"/>
    <x v="1188"/>
    <x v="145"/>
    <n v="454971"/>
  </r>
  <r>
    <s v="M0210"/>
    <x v="0"/>
    <x v="1188"/>
    <x v="145"/>
    <n v="454971"/>
  </r>
  <r>
    <s v="M0210"/>
    <x v="0"/>
    <x v="1188"/>
    <x v="145"/>
    <n v="454971"/>
  </r>
  <r>
    <s v="M0210"/>
    <x v="0"/>
    <x v="1188"/>
    <x v="145"/>
    <n v="454971"/>
  </r>
  <r>
    <s v="M0210"/>
    <x v="0"/>
    <x v="1189"/>
    <x v="181"/>
    <n v="724772"/>
  </r>
  <r>
    <s v="M0210"/>
    <x v="0"/>
    <x v="1189"/>
    <x v="181"/>
    <n v="724772"/>
  </r>
  <r>
    <s v="M0210"/>
    <x v="0"/>
    <x v="1189"/>
    <x v="181"/>
    <n v="724772"/>
  </r>
  <r>
    <s v="M0210"/>
    <x v="0"/>
    <x v="1189"/>
    <x v="181"/>
    <n v="724772"/>
  </r>
  <r>
    <s v="M0210"/>
    <x v="0"/>
    <x v="1190"/>
    <x v="46"/>
    <n v="519913"/>
  </r>
  <r>
    <s v="M0210"/>
    <x v="0"/>
    <x v="1190"/>
    <x v="46"/>
    <n v="519913"/>
  </r>
  <r>
    <s v="M0210"/>
    <x v="0"/>
    <x v="1190"/>
    <x v="46"/>
    <n v="519913"/>
  </r>
  <r>
    <s v="M0210"/>
    <x v="0"/>
    <x v="1190"/>
    <x v="46"/>
    <n v="519913"/>
  </r>
  <r>
    <s v="M0227"/>
    <x v="1"/>
    <x v="1191"/>
    <x v="178"/>
    <n v="103944"/>
  </r>
  <r>
    <s v="M0227"/>
    <x v="1"/>
    <x v="1191"/>
    <x v="178"/>
    <n v="103944"/>
  </r>
  <r>
    <s v="M0227"/>
    <x v="1"/>
    <x v="1191"/>
    <x v="178"/>
    <n v="103944"/>
  </r>
  <r>
    <s v="M0227"/>
    <x v="1"/>
    <x v="1192"/>
    <x v="351"/>
    <n v="112615"/>
  </r>
  <r>
    <s v="M0227"/>
    <x v="1"/>
    <x v="1192"/>
    <x v="351"/>
    <n v="112615"/>
  </r>
  <r>
    <s v="M0227"/>
    <x v="1"/>
    <x v="1192"/>
    <x v="351"/>
    <n v="112615"/>
  </r>
  <r>
    <s v="M0227"/>
    <x v="1"/>
    <x v="1193"/>
    <x v="221"/>
    <n v="413173"/>
  </r>
  <r>
    <s v="M0227"/>
    <x v="1"/>
    <x v="1193"/>
    <x v="221"/>
    <n v="413173"/>
  </r>
  <r>
    <s v="M0227"/>
    <x v="1"/>
    <x v="1193"/>
    <x v="221"/>
    <n v="413173"/>
  </r>
  <r>
    <s v="M0227"/>
    <x v="1"/>
    <x v="1194"/>
    <x v="221"/>
    <n v="162304"/>
  </r>
  <r>
    <s v="M0227"/>
    <x v="1"/>
    <x v="1194"/>
    <x v="221"/>
    <n v="162304"/>
  </r>
  <r>
    <s v="M0227"/>
    <x v="1"/>
    <x v="1194"/>
    <x v="221"/>
    <n v="162304"/>
  </r>
  <r>
    <s v="M0227"/>
    <x v="1"/>
    <x v="1195"/>
    <x v="109"/>
    <n v="100482"/>
  </r>
  <r>
    <s v="M0227"/>
    <x v="1"/>
    <x v="1195"/>
    <x v="109"/>
    <n v="100482"/>
  </r>
  <r>
    <s v="M0227"/>
    <x v="1"/>
    <x v="1195"/>
    <x v="109"/>
    <n v="100482"/>
  </r>
  <r>
    <s v="M0227"/>
    <x v="1"/>
    <x v="1196"/>
    <x v="247"/>
    <n v="222247"/>
  </r>
  <r>
    <s v="M0227"/>
    <x v="1"/>
    <x v="1196"/>
    <x v="247"/>
    <n v="222247"/>
  </r>
  <r>
    <s v="M0227"/>
    <x v="1"/>
    <x v="1196"/>
    <x v="247"/>
    <n v="222247"/>
  </r>
  <r>
    <s v="M0227"/>
    <x v="1"/>
    <x v="1197"/>
    <x v="140"/>
    <n v="517004"/>
  </r>
  <r>
    <s v="M0227"/>
    <x v="1"/>
    <x v="1197"/>
    <x v="140"/>
    <n v="517004"/>
  </r>
  <r>
    <s v="M0227"/>
    <x v="1"/>
    <x v="1197"/>
    <x v="140"/>
    <n v="517004"/>
  </r>
  <r>
    <s v="M0227"/>
    <x v="1"/>
    <x v="1198"/>
    <x v="244"/>
    <n v="701829"/>
  </r>
  <r>
    <s v="M0227"/>
    <x v="1"/>
    <x v="1198"/>
    <x v="244"/>
    <n v="701829"/>
  </r>
  <r>
    <s v="M0227"/>
    <x v="1"/>
    <x v="1198"/>
    <x v="244"/>
    <n v="701829"/>
  </r>
  <r>
    <s v="M0227"/>
    <x v="1"/>
    <x v="1199"/>
    <x v="171"/>
    <n v="353766"/>
  </r>
  <r>
    <s v="M0227"/>
    <x v="1"/>
    <x v="1199"/>
    <x v="171"/>
    <n v="353766"/>
  </r>
  <r>
    <s v="M0227"/>
    <x v="1"/>
    <x v="1199"/>
    <x v="171"/>
    <n v="353766"/>
  </r>
  <r>
    <s v="M0227"/>
    <x v="1"/>
    <x v="1200"/>
    <x v="261"/>
    <n v="378460"/>
  </r>
  <r>
    <s v="M0227"/>
    <x v="1"/>
    <x v="1200"/>
    <x v="261"/>
    <n v="378460"/>
  </r>
  <r>
    <s v="M0227"/>
    <x v="1"/>
    <x v="1200"/>
    <x v="261"/>
    <n v="378460"/>
  </r>
  <r>
    <s v="M0227"/>
    <x v="1"/>
    <x v="1201"/>
    <x v="55"/>
    <n v="701543"/>
  </r>
  <r>
    <s v="M0227"/>
    <x v="1"/>
    <x v="1201"/>
    <x v="55"/>
    <n v="701543"/>
  </r>
  <r>
    <s v="M0227"/>
    <x v="1"/>
    <x v="1201"/>
    <x v="55"/>
    <n v="701543"/>
  </r>
  <r>
    <s v="M0227"/>
    <x v="1"/>
    <x v="1202"/>
    <x v="121"/>
    <n v="92538"/>
  </r>
  <r>
    <s v="M0227"/>
    <x v="1"/>
    <x v="1202"/>
    <x v="121"/>
    <n v="92538"/>
  </r>
  <r>
    <s v="M0227"/>
    <x v="1"/>
    <x v="1202"/>
    <x v="121"/>
    <n v="92538"/>
  </r>
  <r>
    <s v="M0227"/>
    <x v="1"/>
    <x v="1203"/>
    <x v="144"/>
    <n v="289936"/>
  </r>
  <r>
    <s v="M0227"/>
    <x v="1"/>
    <x v="1203"/>
    <x v="144"/>
    <n v="289936"/>
  </r>
  <r>
    <s v="M0227"/>
    <x v="1"/>
    <x v="1203"/>
    <x v="144"/>
    <n v="289936"/>
  </r>
  <r>
    <s v="M0227"/>
    <x v="1"/>
    <x v="1204"/>
    <x v="218"/>
    <n v="571841"/>
  </r>
  <r>
    <s v="M0227"/>
    <x v="1"/>
    <x v="1204"/>
    <x v="218"/>
    <n v="571841"/>
  </r>
  <r>
    <s v="M0227"/>
    <x v="1"/>
    <x v="1204"/>
    <x v="218"/>
    <n v="571841"/>
  </r>
  <r>
    <s v="M0227"/>
    <x v="1"/>
    <x v="1205"/>
    <x v="100"/>
    <n v="205888"/>
  </r>
  <r>
    <s v="M0227"/>
    <x v="1"/>
    <x v="1205"/>
    <x v="100"/>
    <n v="205888"/>
  </r>
  <r>
    <s v="M0227"/>
    <x v="1"/>
    <x v="1205"/>
    <x v="100"/>
    <n v="205888"/>
  </r>
  <r>
    <s v="M0227"/>
    <x v="1"/>
    <x v="1206"/>
    <x v="34"/>
    <n v="239705"/>
  </r>
  <r>
    <s v="M0227"/>
    <x v="1"/>
    <x v="1206"/>
    <x v="34"/>
    <n v="239705"/>
  </r>
  <r>
    <s v="M0227"/>
    <x v="1"/>
    <x v="1206"/>
    <x v="34"/>
    <n v="239705"/>
  </r>
  <r>
    <s v="M0227"/>
    <x v="1"/>
    <x v="1207"/>
    <x v="182"/>
    <n v="448992"/>
  </r>
  <r>
    <s v="M0227"/>
    <x v="1"/>
    <x v="1207"/>
    <x v="182"/>
    <n v="448992"/>
  </r>
  <r>
    <s v="M0227"/>
    <x v="1"/>
    <x v="1207"/>
    <x v="182"/>
    <n v="448992"/>
  </r>
  <r>
    <s v="M0227"/>
    <x v="1"/>
    <x v="1208"/>
    <x v="240"/>
    <n v="99263"/>
  </r>
  <r>
    <s v="M0227"/>
    <x v="1"/>
    <x v="1208"/>
    <x v="240"/>
    <n v="99263"/>
  </r>
  <r>
    <s v="M0227"/>
    <x v="1"/>
    <x v="1208"/>
    <x v="240"/>
    <n v="99263"/>
  </r>
  <r>
    <s v="M0227"/>
    <x v="1"/>
    <x v="1209"/>
    <x v="158"/>
    <n v="189623"/>
  </r>
  <r>
    <s v="M0227"/>
    <x v="1"/>
    <x v="1209"/>
    <x v="158"/>
    <n v="189623"/>
  </r>
  <r>
    <s v="M0227"/>
    <x v="1"/>
    <x v="1209"/>
    <x v="158"/>
    <n v="189623"/>
  </r>
  <r>
    <s v="M0227"/>
    <x v="1"/>
    <x v="1210"/>
    <x v="352"/>
    <n v="198873"/>
  </r>
  <r>
    <s v="M0227"/>
    <x v="1"/>
    <x v="1210"/>
    <x v="352"/>
    <n v="198873"/>
  </r>
  <r>
    <s v="M0227"/>
    <x v="1"/>
    <x v="1210"/>
    <x v="352"/>
    <n v="198873"/>
  </r>
  <r>
    <s v="M0227"/>
    <x v="1"/>
    <x v="1211"/>
    <x v="106"/>
    <n v="249939"/>
  </r>
  <r>
    <s v="M0227"/>
    <x v="1"/>
    <x v="1211"/>
    <x v="106"/>
    <n v="249939"/>
  </r>
  <r>
    <s v="M0227"/>
    <x v="1"/>
    <x v="1211"/>
    <x v="106"/>
    <n v="249939"/>
  </r>
  <r>
    <s v="M0227"/>
    <x v="1"/>
    <x v="1212"/>
    <x v="113"/>
    <n v="530480"/>
  </r>
  <r>
    <s v="M0227"/>
    <x v="1"/>
    <x v="1212"/>
    <x v="113"/>
    <n v="530480"/>
  </r>
  <r>
    <s v="M0227"/>
    <x v="1"/>
    <x v="1212"/>
    <x v="113"/>
    <n v="530480"/>
  </r>
  <r>
    <s v="M0227"/>
    <x v="1"/>
    <x v="1213"/>
    <x v="215"/>
    <n v="67818"/>
  </r>
  <r>
    <s v="M0227"/>
    <x v="1"/>
    <x v="1213"/>
    <x v="215"/>
    <n v="67818"/>
  </r>
  <r>
    <s v="M0227"/>
    <x v="1"/>
    <x v="1213"/>
    <x v="215"/>
    <n v="67818"/>
  </r>
  <r>
    <s v="M0227"/>
    <x v="1"/>
    <x v="1214"/>
    <x v="303"/>
    <n v="769650"/>
  </r>
  <r>
    <s v="M0227"/>
    <x v="1"/>
    <x v="1214"/>
    <x v="303"/>
    <n v="769650"/>
  </r>
  <r>
    <s v="M0227"/>
    <x v="1"/>
    <x v="1214"/>
    <x v="303"/>
    <n v="769650"/>
  </r>
  <r>
    <s v="M0227"/>
    <x v="1"/>
    <x v="1215"/>
    <x v="116"/>
    <n v="910604"/>
  </r>
  <r>
    <s v="M0227"/>
    <x v="1"/>
    <x v="1215"/>
    <x v="116"/>
    <n v="910604"/>
  </r>
  <r>
    <s v="M0227"/>
    <x v="1"/>
    <x v="1215"/>
    <x v="116"/>
    <n v="910604"/>
  </r>
  <r>
    <s v="M0231"/>
    <x v="1"/>
    <x v="1216"/>
    <x v="319"/>
    <n v="235631"/>
  </r>
  <r>
    <s v="M0231"/>
    <x v="1"/>
    <x v="1216"/>
    <x v="319"/>
    <n v="235631"/>
  </r>
  <r>
    <s v="M0231"/>
    <x v="1"/>
    <x v="1217"/>
    <x v="84"/>
    <n v="277907"/>
  </r>
  <r>
    <s v="M0231"/>
    <x v="1"/>
    <x v="1217"/>
    <x v="84"/>
    <n v="277907"/>
  </r>
  <r>
    <s v="M0231"/>
    <x v="1"/>
    <x v="1218"/>
    <x v="9"/>
    <n v="155922"/>
  </r>
  <r>
    <s v="M0231"/>
    <x v="1"/>
    <x v="1218"/>
    <x v="9"/>
    <n v="155922"/>
  </r>
  <r>
    <s v="M0231"/>
    <x v="1"/>
    <x v="1219"/>
    <x v="21"/>
    <n v="531127"/>
  </r>
  <r>
    <s v="M0231"/>
    <x v="1"/>
    <x v="1219"/>
    <x v="21"/>
    <n v="531127"/>
  </r>
  <r>
    <s v="M0231"/>
    <x v="1"/>
    <x v="1220"/>
    <x v="353"/>
    <n v="456728"/>
  </r>
  <r>
    <s v="M0231"/>
    <x v="1"/>
    <x v="1220"/>
    <x v="353"/>
    <n v="456728"/>
  </r>
  <r>
    <s v="M0231"/>
    <x v="1"/>
    <x v="1221"/>
    <x v="354"/>
    <n v="998271"/>
  </r>
  <r>
    <s v="M0231"/>
    <x v="1"/>
    <x v="1221"/>
    <x v="354"/>
    <n v="998271"/>
  </r>
  <r>
    <s v="M0231"/>
    <x v="1"/>
    <x v="1222"/>
    <x v="39"/>
    <n v="361244"/>
  </r>
  <r>
    <s v="M0231"/>
    <x v="1"/>
    <x v="1222"/>
    <x v="39"/>
    <n v="361244"/>
  </r>
  <r>
    <s v="M0231"/>
    <x v="1"/>
    <x v="1223"/>
    <x v="36"/>
    <n v="663448"/>
  </r>
  <r>
    <s v="M0231"/>
    <x v="1"/>
    <x v="1223"/>
    <x v="36"/>
    <n v="663448"/>
  </r>
  <r>
    <s v="M0231"/>
    <x v="1"/>
    <x v="1224"/>
    <x v="178"/>
    <n v="235947"/>
  </r>
  <r>
    <s v="M0231"/>
    <x v="1"/>
    <x v="1224"/>
    <x v="178"/>
    <n v="235947"/>
  </r>
  <r>
    <s v="M0060"/>
    <x v="0"/>
    <x v="1225"/>
    <x v="287"/>
    <n v="249303"/>
  </r>
  <r>
    <s v="M0060"/>
    <x v="0"/>
    <x v="1225"/>
    <x v="287"/>
    <n v="249303"/>
  </r>
  <r>
    <s v="M0060"/>
    <x v="0"/>
    <x v="1225"/>
    <x v="287"/>
    <n v="249303"/>
  </r>
  <r>
    <s v="M0060"/>
    <x v="0"/>
    <x v="1225"/>
    <x v="287"/>
    <n v="249303"/>
  </r>
  <r>
    <s v="M0060"/>
    <x v="0"/>
    <x v="1225"/>
    <x v="287"/>
    <n v="249303"/>
  </r>
  <r>
    <s v="M0060"/>
    <x v="0"/>
    <x v="1225"/>
    <x v="287"/>
    <n v="249303"/>
  </r>
  <r>
    <s v="M0236"/>
    <x v="1"/>
    <x v="1226"/>
    <x v="271"/>
    <n v="70207"/>
  </r>
  <r>
    <s v="M0236"/>
    <x v="1"/>
    <x v="1226"/>
    <x v="271"/>
    <n v="70207"/>
  </r>
  <r>
    <s v="M0236"/>
    <x v="1"/>
    <x v="1226"/>
    <x v="271"/>
    <n v="70207"/>
  </r>
  <r>
    <s v="M0236"/>
    <x v="1"/>
    <x v="1227"/>
    <x v="14"/>
    <n v="491182"/>
  </r>
  <r>
    <s v="M0236"/>
    <x v="1"/>
    <x v="1227"/>
    <x v="14"/>
    <n v="491182"/>
  </r>
  <r>
    <s v="M0236"/>
    <x v="1"/>
    <x v="1227"/>
    <x v="14"/>
    <n v="491182"/>
  </r>
  <r>
    <s v="M0236"/>
    <x v="1"/>
    <x v="1228"/>
    <x v="261"/>
    <n v="210003"/>
  </r>
  <r>
    <s v="M0236"/>
    <x v="1"/>
    <x v="1228"/>
    <x v="261"/>
    <n v="210003"/>
  </r>
  <r>
    <s v="M0236"/>
    <x v="1"/>
    <x v="1228"/>
    <x v="261"/>
    <n v="210003"/>
  </r>
  <r>
    <s v="M0236"/>
    <x v="1"/>
    <x v="1229"/>
    <x v="181"/>
    <n v="285503"/>
  </r>
  <r>
    <s v="M0236"/>
    <x v="1"/>
    <x v="1229"/>
    <x v="181"/>
    <n v="285503"/>
  </r>
  <r>
    <s v="M0236"/>
    <x v="1"/>
    <x v="1229"/>
    <x v="181"/>
    <n v="285503"/>
  </r>
  <r>
    <s v="M0236"/>
    <x v="1"/>
    <x v="1230"/>
    <x v="226"/>
    <n v="25000"/>
  </r>
  <r>
    <s v="M0236"/>
    <x v="1"/>
    <x v="1230"/>
    <x v="226"/>
    <n v="25000"/>
  </r>
  <r>
    <s v="M0236"/>
    <x v="1"/>
    <x v="1230"/>
    <x v="226"/>
    <n v="25000"/>
  </r>
  <r>
    <s v="M0236"/>
    <x v="1"/>
    <x v="1231"/>
    <x v="335"/>
    <n v="95724"/>
  </r>
  <r>
    <s v="M0236"/>
    <x v="1"/>
    <x v="1231"/>
    <x v="335"/>
    <n v="95724"/>
  </r>
  <r>
    <s v="M0236"/>
    <x v="1"/>
    <x v="1231"/>
    <x v="335"/>
    <n v="95724"/>
  </r>
  <r>
    <s v="M0236"/>
    <x v="1"/>
    <x v="1232"/>
    <x v="225"/>
    <n v="171903"/>
  </r>
  <r>
    <s v="M0236"/>
    <x v="1"/>
    <x v="1232"/>
    <x v="225"/>
    <n v="171903"/>
  </r>
  <r>
    <s v="M0236"/>
    <x v="1"/>
    <x v="1232"/>
    <x v="225"/>
    <n v="171903"/>
  </r>
  <r>
    <s v="M0236"/>
    <x v="1"/>
    <x v="1233"/>
    <x v="195"/>
    <n v="260256"/>
  </r>
  <r>
    <s v="M0236"/>
    <x v="1"/>
    <x v="1233"/>
    <x v="195"/>
    <n v="260256"/>
  </r>
  <r>
    <s v="M0236"/>
    <x v="1"/>
    <x v="1233"/>
    <x v="195"/>
    <n v="260256"/>
  </r>
  <r>
    <s v="M0236"/>
    <x v="1"/>
    <x v="1234"/>
    <x v="224"/>
    <n v="826783"/>
  </r>
  <r>
    <s v="M0236"/>
    <x v="1"/>
    <x v="1234"/>
    <x v="224"/>
    <n v="826783"/>
  </r>
  <r>
    <s v="M0236"/>
    <x v="1"/>
    <x v="1234"/>
    <x v="224"/>
    <n v="826783"/>
  </r>
  <r>
    <s v="M0024"/>
    <x v="0"/>
    <x v="1235"/>
    <x v="318"/>
    <n v="395173"/>
  </r>
  <r>
    <s v="M0024"/>
    <x v="0"/>
    <x v="1235"/>
    <x v="318"/>
    <n v="395173"/>
  </r>
  <r>
    <s v="M0024"/>
    <x v="0"/>
    <x v="1235"/>
    <x v="318"/>
    <n v="395173"/>
  </r>
  <r>
    <s v="M0024"/>
    <x v="0"/>
    <x v="1235"/>
    <x v="318"/>
    <n v="395173"/>
  </r>
  <r>
    <s v="M0024"/>
    <x v="0"/>
    <x v="1236"/>
    <x v="296"/>
    <n v="142384"/>
  </r>
  <r>
    <s v="M0024"/>
    <x v="0"/>
    <x v="1236"/>
    <x v="296"/>
    <n v="142384"/>
  </r>
  <r>
    <s v="M0024"/>
    <x v="0"/>
    <x v="1236"/>
    <x v="296"/>
    <n v="142384"/>
  </r>
  <r>
    <s v="M0024"/>
    <x v="0"/>
    <x v="1236"/>
    <x v="296"/>
    <n v="142384"/>
  </r>
  <r>
    <s v="M0024"/>
    <x v="0"/>
    <x v="1237"/>
    <x v="345"/>
    <n v="154116"/>
  </r>
  <r>
    <s v="M0024"/>
    <x v="0"/>
    <x v="1237"/>
    <x v="345"/>
    <n v="154116"/>
  </r>
  <r>
    <s v="M0024"/>
    <x v="0"/>
    <x v="1237"/>
    <x v="345"/>
    <n v="154116"/>
  </r>
  <r>
    <s v="M0024"/>
    <x v="0"/>
    <x v="1237"/>
    <x v="345"/>
    <n v="154116"/>
  </r>
  <r>
    <s v="M0024"/>
    <x v="0"/>
    <x v="1238"/>
    <x v="262"/>
    <n v="48720"/>
  </r>
  <r>
    <s v="M0024"/>
    <x v="0"/>
    <x v="1238"/>
    <x v="262"/>
    <n v="48720"/>
  </r>
  <r>
    <s v="M0024"/>
    <x v="0"/>
    <x v="1238"/>
    <x v="262"/>
    <n v="48720"/>
  </r>
  <r>
    <s v="M0024"/>
    <x v="0"/>
    <x v="1238"/>
    <x v="262"/>
    <n v="48720"/>
  </r>
  <r>
    <s v="M0024"/>
    <x v="0"/>
    <x v="1239"/>
    <x v="258"/>
    <n v="269733"/>
  </r>
  <r>
    <s v="M0024"/>
    <x v="0"/>
    <x v="1239"/>
    <x v="258"/>
    <n v="269733"/>
  </r>
  <r>
    <s v="M0024"/>
    <x v="0"/>
    <x v="1239"/>
    <x v="258"/>
    <n v="269733"/>
  </r>
  <r>
    <s v="M0024"/>
    <x v="0"/>
    <x v="1239"/>
    <x v="258"/>
    <n v="269733"/>
  </r>
  <r>
    <s v="M0024"/>
    <x v="0"/>
    <x v="1240"/>
    <x v="7"/>
    <n v="143825"/>
  </r>
  <r>
    <s v="M0024"/>
    <x v="0"/>
    <x v="1240"/>
    <x v="7"/>
    <n v="143825"/>
  </r>
  <r>
    <s v="M0024"/>
    <x v="0"/>
    <x v="1240"/>
    <x v="7"/>
    <n v="143825"/>
  </r>
  <r>
    <s v="M0024"/>
    <x v="0"/>
    <x v="1240"/>
    <x v="7"/>
    <n v="143825"/>
  </r>
  <r>
    <s v="M0024"/>
    <x v="0"/>
    <x v="1241"/>
    <x v="13"/>
    <n v="112217"/>
  </r>
  <r>
    <s v="M0024"/>
    <x v="0"/>
    <x v="1241"/>
    <x v="13"/>
    <n v="112217"/>
  </r>
  <r>
    <s v="M0024"/>
    <x v="0"/>
    <x v="1241"/>
    <x v="13"/>
    <n v="112217"/>
  </r>
  <r>
    <s v="M0024"/>
    <x v="0"/>
    <x v="1241"/>
    <x v="13"/>
    <n v="112217"/>
  </r>
  <r>
    <s v="M0024"/>
    <x v="0"/>
    <x v="1242"/>
    <x v="325"/>
    <n v="377574"/>
  </r>
  <r>
    <s v="M0024"/>
    <x v="0"/>
    <x v="1242"/>
    <x v="325"/>
    <n v="377574"/>
  </r>
  <r>
    <s v="M0024"/>
    <x v="0"/>
    <x v="1242"/>
    <x v="325"/>
    <n v="377574"/>
  </r>
  <r>
    <s v="M0024"/>
    <x v="0"/>
    <x v="1242"/>
    <x v="325"/>
    <n v="377574"/>
  </r>
  <r>
    <s v="M0024"/>
    <x v="0"/>
    <x v="1243"/>
    <x v="7"/>
    <n v="46541"/>
  </r>
  <r>
    <s v="M0024"/>
    <x v="0"/>
    <x v="1243"/>
    <x v="7"/>
    <n v="46541"/>
  </r>
  <r>
    <s v="M0024"/>
    <x v="0"/>
    <x v="1243"/>
    <x v="7"/>
    <n v="46541"/>
  </r>
  <r>
    <s v="M0024"/>
    <x v="0"/>
    <x v="1243"/>
    <x v="7"/>
    <n v="46541"/>
  </r>
  <r>
    <s v="M0024"/>
    <x v="0"/>
    <x v="1244"/>
    <x v="343"/>
    <n v="425560"/>
  </r>
  <r>
    <s v="M0024"/>
    <x v="0"/>
    <x v="1244"/>
    <x v="343"/>
    <n v="425560"/>
  </r>
  <r>
    <s v="M0024"/>
    <x v="0"/>
    <x v="1244"/>
    <x v="343"/>
    <n v="425560"/>
  </r>
  <r>
    <s v="M0024"/>
    <x v="0"/>
    <x v="1244"/>
    <x v="343"/>
    <n v="425560"/>
  </r>
  <r>
    <s v="M0024"/>
    <x v="0"/>
    <x v="1245"/>
    <x v="46"/>
    <n v="426666"/>
  </r>
  <r>
    <s v="M0024"/>
    <x v="0"/>
    <x v="1245"/>
    <x v="46"/>
    <n v="426666"/>
  </r>
  <r>
    <s v="M0024"/>
    <x v="0"/>
    <x v="1245"/>
    <x v="46"/>
    <n v="426666"/>
  </r>
  <r>
    <s v="M0024"/>
    <x v="0"/>
    <x v="1245"/>
    <x v="46"/>
    <n v="426666"/>
  </r>
  <r>
    <s v="M0024"/>
    <x v="0"/>
    <x v="1246"/>
    <x v="31"/>
    <n v="259427"/>
  </r>
  <r>
    <s v="M0024"/>
    <x v="0"/>
    <x v="1246"/>
    <x v="31"/>
    <n v="259427"/>
  </r>
  <r>
    <s v="M0024"/>
    <x v="0"/>
    <x v="1246"/>
    <x v="31"/>
    <n v="259427"/>
  </r>
  <r>
    <s v="M0024"/>
    <x v="0"/>
    <x v="1246"/>
    <x v="31"/>
    <n v="259427"/>
  </r>
  <r>
    <s v="M0064"/>
    <x v="2"/>
    <x v="1247"/>
    <x v="222"/>
    <n v="46097"/>
  </r>
  <r>
    <s v="M0064"/>
    <x v="2"/>
    <x v="1247"/>
    <x v="222"/>
    <n v="46097"/>
  </r>
  <r>
    <s v="M0064"/>
    <x v="2"/>
    <x v="1247"/>
    <x v="222"/>
    <n v="46097"/>
  </r>
  <r>
    <s v="M0064"/>
    <x v="2"/>
    <x v="1248"/>
    <x v="260"/>
    <n v="203398"/>
  </r>
  <r>
    <s v="M0064"/>
    <x v="2"/>
    <x v="1248"/>
    <x v="260"/>
    <n v="203398"/>
  </r>
  <r>
    <s v="M0064"/>
    <x v="2"/>
    <x v="1248"/>
    <x v="260"/>
    <n v="203398"/>
  </r>
  <r>
    <s v="M0064"/>
    <x v="2"/>
    <x v="1249"/>
    <x v="206"/>
    <n v="296032"/>
  </r>
  <r>
    <s v="M0064"/>
    <x v="2"/>
    <x v="1249"/>
    <x v="206"/>
    <n v="296032"/>
  </r>
  <r>
    <s v="M0064"/>
    <x v="2"/>
    <x v="1249"/>
    <x v="206"/>
    <n v="296032"/>
  </r>
  <r>
    <s v="M0064"/>
    <x v="2"/>
    <x v="1250"/>
    <x v="103"/>
    <n v="398792"/>
  </r>
  <r>
    <s v="M0064"/>
    <x v="2"/>
    <x v="1250"/>
    <x v="103"/>
    <n v="398792"/>
  </r>
  <r>
    <s v="M0064"/>
    <x v="2"/>
    <x v="1250"/>
    <x v="103"/>
    <n v="398792"/>
  </r>
  <r>
    <s v="M0064"/>
    <x v="2"/>
    <x v="1251"/>
    <x v="285"/>
    <n v="512530"/>
  </r>
  <r>
    <s v="M0064"/>
    <x v="2"/>
    <x v="1251"/>
    <x v="285"/>
    <n v="512530"/>
  </r>
  <r>
    <s v="M0064"/>
    <x v="2"/>
    <x v="1251"/>
    <x v="285"/>
    <n v="512530"/>
  </r>
  <r>
    <s v="M0064"/>
    <x v="2"/>
    <x v="1252"/>
    <x v="243"/>
    <n v="242616"/>
  </r>
  <r>
    <s v="M0064"/>
    <x v="2"/>
    <x v="1252"/>
    <x v="243"/>
    <n v="242616"/>
  </r>
  <r>
    <s v="M0064"/>
    <x v="2"/>
    <x v="1252"/>
    <x v="243"/>
    <n v="242616"/>
  </r>
  <r>
    <s v="M0064"/>
    <x v="2"/>
    <x v="1253"/>
    <x v="84"/>
    <n v="695453"/>
  </r>
  <r>
    <s v="M0064"/>
    <x v="2"/>
    <x v="1253"/>
    <x v="84"/>
    <n v="695453"/>
  </r>
  <r>
    <s v="M0064"/>
    <x v="2"/>
    <x v="1253"/>
    <x v="84"/>
    <n v="695453"/>
  </r>
  <r>
    <s v="M0064"/>
    <x v="2"/>
    <x v="1254"/>
    <x v="1"/>
    <n v="344370"/>
  </r>
  <r>
    <s v="M0064"/>
    <x v="2"/>
    <x v="1254"/>
    <x v="1"/>
    <n v="344370"/>
  </r>
  <r>
    <s v="M0064"/>
    <x v="2"/>
    <x v="1254"/>
    <x v="1"/>
    <n v="344370"/>
  </r>
  <r>
    <s v="M0064"/>
    <x v="2"/>
    <x v="1255"/>
    <x v="26"/>
    <n v="522464"/>
  </r>
  <r>
    <s v="M0064"/>
    <x v="2"/>
    <x v="1255"/>
    <x v="26"/>
    <n v="522464"/>
  </r>
  <r>
    <s v="M0064"/>
    <x v="2"/>
    <x v="1255"/>
    <x v="26"/>
    <n v="522464"/>
  </r>
  <r>
    <s v="M0064"/>
    <x v="2"/>
    <x v="1256"/>
    <x v="303"/>
    <n v="167619"/>
  </r>
  <r>
    <s v="M0064"/>
    <x v="2"/>
    <x v="1256"/>
    <x v="303"/>
    <n v="167619"/>
  </r>
  <r>
    <s v="M0064"/>
    <x v="2"/>
    <x v="1256"/>
    <x v="303"/>
    <n v="167619"/>
  </r>
  <r>
    <s v="M0064"/>
    <x v="2"/>
    <x v="1257"/>
    <x v="285"/>
    <n v="273971"/>
  </r>
  <r>
    <s v="M0064"/>
    <x v="2"/>
    <x v="1257"/>
    <x v="285"/>
    <n v="273971"/>
  </r>
  <r>
    <s v="M0064"/>
    <x v="2"/>
    <x v="1257"/>
    <x v="285"/>
    <n v="273971"/>
  </r>
  <r>
    <s v="M0064"/>
    <x v="2"/>
    <x v="1258"/>
    <x v="77"/>
    <n v="257431"/>
  </r>
  <r>
    <s v="M0064"/>
    <x v="2"/>
    <x v="1258"/>
    <x v="77"/>
    <n v="257431"/>
  </r>
  <r>
    <s v="M0064"/>
    <x v="2"/>
    <x v="1258"/>
    <x v="77"/>
    <n v="257431"/>
  </r>
  <r>
    <s v="M0188"/>
    <x v="2"/>
    <x v="1259"/>
    <x v="344"/>
    <n v="234714"/>
  </r>
  <r>
    <s v="M0188"/>
    <x v="2"/>
    <x v="1259"/>
    <x v="344"/>
    <n v="234714"/>
  </r>
  <r>
    <s v="M0188"/>
    <x v="2"/>
    <x v="1259"/>
    <x v="344"/>
    <n v="234714"/>
  </r>
  <r>
    <s v="M0188"/>
    <x v="2"/>
    <x v="1260"/>
    <x v="161"/>
    <n v="186624"/>
  </r>
  <r>
    <s v="M0188"/>
    <x v="2"/>
    <x v="1260"/>
    <x v="161"/>
    <n v="186624"/>
  </r>
  <r>
    <s v="M0188"/>
    <x v="2"/>
    <x v="1260"/>
    <x v="161"/>
    <n v="186624"/>
  </r>
  <r>
    <s v="M0188"/>
    <x v="2"/>
    <x v="1261"/>
    <x v="109"/>
    <n v="120890"/>
  </r>
  <r>
    <s v="M0188"/>
    <x v="2"/>
    <x v="1261"/>
    <x v="109"/>
    <n v="120890"/>
  </r>
  <r>
    <s v="M0188"/>
    <x v="2"/>
    <x v="1261"/>
    <x v="109"/>
    <n v="120890"/>
  </r>
  <r>
    <s v="M0188"/>
    <x v="2"/>
    <x v="1262"/>
    <x v="161"/>
    <n v="324040"/>
  </r>
  <r>
    <s v="M0188"/>
    <x v="2"/>
    <x v="1262"/>
    <x v="161"/>
    <n v="324040"/>
  </r>
  <r>
    <s v="M0188"/>
    <x v="2"/>
    <x v="1262"/>
    <x v="161"/>
    <n v="324040"/>
  </r>
  <r>
    <s v="M0188"/>
    <x v="2"/>
    <x v="1263"/>
    <x v="102"/>
    <n v="312959"/>
  </r>
  <r>
    <s v="M0188"/>
    <x v="2"/>
    <x v="1263"/>
    <x v="102"/>
    <n v="312959"/>
  </r>
  <r>
    <s v="M0188"/>
    <x v="2"/>
    <x v="1263"/>
    <x v="102"/>
    <n v="312959"/>
  </r>
  <r>
    <s v="M0188"/>
    <x v="2"/>
    <x v="1264"/>
    <x v="267"/>
    <n v="243961"/>
  </r>
  <r>
    <s v="M0188"/>
    <x v="2"/>
    <x v="1264"/>
    <x v="267"/>
    <n v="243961"/>
  </r>
  <r>
    <s v="M0188"/>
    <x v="2"/>
    <x v="1264"/>
    <x v="267"/>
    <n v="243961"/>
  </r>
  <r>
    <s v="M0188"/>
    <x v="2"/>
    <x v="1265"/>
    <x v="20"/>
    <n v="119065"/>
  </r>
  <r>
    <s v="M0188"/>
    <x v="2"/>
    <x v="1265"/>
    <x v="20"/>
    <n v="119065"/>
  </r>
  <r>
    <s v="M0188"/>
    <x v="2"/>
    <x v="1265"/>
    <x v="20"/>
    <n v="119065"/>
  </r>
  <r>
    <s v="M0188"/>
    <x v="2"/>
    <x v="1266"/>
    <x v="88"/>
    <n v="228063"/>
  </r>
  <r>
    <s v="M0188"/>
    <x v="2"/>
    <x v="1266"/>
    <x v="88"/>
    <n v="228063"/>
  </r>
  <r>
    <s v="M0188"/>
    <x v="2"/>
    <x v="1266"/>
    <x v="88"/>
    <n v="228063"/>
  </r>
  <r>
    <s v="M0188"/>
    <x v="2"/>
    <x v="1267"/>
    <x v="283"/>
    <n v="101616"/>
  </r>
  <r>
    <s v="M0188"/>
    <x v="2"/>
    <x v="1267"/>
    <x v="283"/>
    <n v="101616"/>
  </r>
  <r>
    <s v="M0188"/>
    <x v="2"/>
    <x v="1267"/>
    <x v="283"/>
    <n v="101616"/>
  </r>
  <r>
    <s v="M0188"/>
    <x v="2"/>
    <x v="1268"/>
    <x v="203"/>
    <n v="146016"/>
  </r>
  <r>
    <s v="M0188"/>
    <x v="2"/>
    <x v="1268"/>
    <x v="203"/>
    <n v="146016"/>
  </r>
  <r>
    <s v="M0188"/>
    <x v="2"/>
    <x v="1268"/>
    <x v="203"/>
    <n v="146016"/>
  </r>
  <r>
    <s v="M0244"/>
    <x v="0"/>
    <x v="1269"/>
    <x v="207"/>
    <n v="67249"/>
  </r>
  <r>
    <s v="M0244"/>
    <x v="0"/>
    <x v="1269"/>
    <x v="207"/>
    <n v="67249"/>
  </r>
  <r>
    <s v="M0244"/>
    <x v="0"/>
    <x v="1269"/>
    <x v="207"/>
    <n v="67249"/>
  </r>
  <r>
    <s v="M0244"/>
    <x v="0"/>
    <x v="1269"/>
    <x v="207"/>
    <n v="67249"/>
  </r>
  <r>
    <s v="M0244"/>
    <x v="0"/>
    <x v="1270"/>
    <x v="251"/>
    <n v="826989"/>
  </r>
  <r>
    <s v="M0244"/>
    <x v="0"/>
    <x v="1270"/>
    <x v="251"/>
    <n v="826989"/>
  </r>
  <r>
    <s v="M0244"/>
    <x v="0"/>
    <x v="1270"/>
    <x v="251"/>
    <n v="826989"/>
  </r>
  <r>
    <s v="M0244"/>
    <x v="0"/>
    <x v="1270"/>
    <x v="251"/>
    <n v="826989"/>
  </r>
  <r>
    <s v="M0244"/>
    <x v="0"/>
    <x v="1271"/>
    <x v="323"/>
    <n v="198912"/>
  </r>
  <r>
    <s v="M0244"/>
    <x v="0"/>
    <x v="1271"/>
    <x v="323"/>
    <n v="198912"/>
  </r>
  <r>
    <s v="M0244"/>
    <x v="0"/>
    <x v="1271"/>
    <x v="323"/>
    <n v="198912"/>
  </r>
  <r>
    <s v="M0244"/>
    <x v="0"/>
    <x v="1271"/>
    <x v="323"/>
    <n v="198912"/>
  </r>
  <r>
    <s v="M0244"/>
    <x v="0"/>
    <x v="1272"/>
    <x v="65"/>
    <n v="103567"/>
  </r>
  <r>
    <s v="M0244"/>
    <x v="0"/>
    <x v="1272"/>
    <x v="65"/>
    <n v="103567"/>
  </r>
  <r>
    <s v="M0244"/>
    <x v="0"/>
    <x v="1272"/>
    <x v="65"/>
    <n v="103567"/>
  </r>
  <r>
    <s v="M0244"/>
    <x v="0"/>
    <x v="1272"/>
    <x v="65"/>
    <n v="103567"/>
  </r>
  <r>
    <s v="M0244"/>
    <x v="0"/>
    <x v="1273"/>
    <x v="51"/>
    <n v="107701"/>
  </r>
  <r>
    <s v="M0244"/>
    <x v="0"/>
    <x v="1273"/>
    <x v="51"/>
    <n v="107701"/>
  </r>
  <r>
    <s v="M0244"/>
    <x v="0"/>
    <x v="1273"/>
    <x v="51"/>
    <n v="107701"/>
  </r>
  <r>
    <s v="M0244"/>
    <x v="0"/>
    <x v="1273"/>
    <x v="51"/>
    <n v="107701"/>
  </r>
  <r>
    <s v="M0244"/>
    <x v="0"/>
    <x v="1274"/>
    <x v="254"/>
    <n v="146396"/>
  </r>
  <r>
    <s v="M0244"/>
    <x v="0"/>
    <x v="1274"/>
    <x v="254"/>
    <n v="146396"/>
  </r>
  <r>
    <s v="M0244"/>
    <x v="0"/>
    <x v="1274"/>
    <x v="254"/>
    <n v="146396"/>
  </r>
  <r>
    <s v="M0244"/>
    <x v="0"/>
    <x v="1274"/>
    <x v="254"/>
    <n v="146396"/>
  </r>
  <r>
    <s v="M0244"/>
    <x v="0"/>
    <x v="1275"/>
    <x v="192"/>
    <n v="324427"/>
  </r>
  <r>
    <s v="M0244"/>
    <x v="0"/>
    <x v="1275"/>
    <x v="192"/>
    <n v="324427"/>
  </r>
  <r>
    <s v="M0244"/>
    <x v="0"/>
    <x v="1275"/>
    <x v="192"/>
    <n v="324427"/>
  </r>
  <r>
    <s v="M0244"/>
    <x v="0"/>
    <x v="1275"/>
    <x v="192"/>
    <n v="324427"/>
  </r>
  <r>
    <s v="M0244"/>
    <x v="0"/>
    <x v="1276"/>
    <x v="11"/>
    <n v="54446"/>
  </r>
  <r>
    <s v="M0244"/>
    <x v="0"/>
    <x v="1276"/>
    <x v="11"/>
    <n v="54446"/>
  </r>
  <r>
    <s v="M0244"/>
    <x v="0"/>
    <x v="1276"/>
    <x v="11"/>
    <n v="54446"/>
  </r>
  <r>
    <s v="M0244"/>
    <x v="0"/>
    <x v="1276"/>
    <x v="11"/>
    <n v="54446"/>
  </r>
  <r>
    <s v="M0114"/>
    <x v="2"/>
    <x v="1277"/>
    <x v="196"/>
    <n v="134995"/>
  </r>
  <r>
    <s v="M0114"/>
    <x v="2"/>
    <x v="1277"/>
    <x v="196"/>
    <n v="134995"/>
  </r>
  <r>
    <s v="M0114"/>
    <x v="2"/>
    <x v="1278"/>
    <x v="107"/>
    <n v="25000"/>
  </r>
  <r>
    <s v="M0114"/>
    <x v="2"/>
    <x v="1278"/>
    <x v="107"/>
    <n v="25000"/>
  </r>
  <r>
    <s v="M0114"/>
    <x v="2"/>
    <x v="1279"/>
    <x v="195"/>
    <n v="279517"/>
  </r>
  <r>
    <s v="M0114"/>
    <x v="2"/>
    <x v="1279"/>
    <x v="195"/>
    <n v="279517"/>
  </r>
  <r>
    <s v="M0114"/>
    <x v="2"/>
    <x v="1280"/>
    <x v="126"/>
    <n v="167637"/>
  </r>
  <r>
    <s v="M0114"/>
    <x v="2"/>
    <x v="1280"/>
    <x v="126"/>
    <n v="167637"/>
  </r>
  <r>
    <s v="M0114"/>
    <x v="2"/>
    <x v="1281"/>
    <x v="162"/>
    <n v="362020"/>
  </r>
  <r>
    <s v="M0114"/>
    <x v="2"/>
    <x v="1281"/>
    <x v="162"/>
    <n v="362020"/>
  </r>
  <r>
    <s v="M0114"/>
    <x v="2"/>
    <x v="1282"/>
    <x v="7"/>
    <n v="225433"/>
  </r>
  <r>
    <s v="M0114"/>
    <x v="2"/>
    <x v="1282"/>
    <x v="7"/>
    <n v="225433"/>
  </r>
  <r>
    <s v="M0114"/>
    <x v="2"/>
    <x v="1283"/>
    <x v="257"/>
    <n v="466992"/>
  </r>
  <r>
    <s v="M0114"/>
    <x v="2"/>
    <x v="1283"/>
    <x v="257"/>
    <n v="466992"/>
  </r>
  <r>
    <s v="M0114"/>
    <x v="2"/>
    <x v="1284"/>
    <x v="221"/>
    <n v="710201"/>
  </r>
  <r>
    <s v="M0114"/>
    <x v="2"/>
    <x v="1284"/>
    <x v="221"/>
    <n v="710201"/>
  </r>
  <r>
    <s v="M0114"/>
    <x v="2"/>
    <x v="1285"/>
    <x v="187"/>
    <n v="265179"/>
  </r>
  <r>
    <s v="M0114"/>
    <x v="2"/>
    <x v="1285"/>
    <x v="187"/>
    <n v="265179"/>
  </r>
  <r>
    <s v="M0111"/>
    <x v="2"/>
    <x v="1286"/>
    <x v="136"/>
    <n v="360132"/>
  </r>
  <r>
    <s v="M0111"/>
    <x v="2"/>
    <x v="1286"/>
    <x v="136"/>
    <n v="360132"/>
  </r>
  <r>
    <s v="M0111"/>
    <x v="2"/>
    <x v="1286"/>
    <x v="136"/>
    <n v="360132"/>
  </r>
  <r>
    <s v="M0111"/>
    <x v="2"/>
    <x v="1287"/>
    <x v="15"/>
    <n v="109986"/>
  </r>
  <r>
    <s v="M0111"/>
    <x v="2"/>
    <x v="1287"/>
    <x v="15"/>
    <n v="109986"/>
  </r>
  <r>
    <s v="M0111"/>
    <x v="2"/>
    <x v="1287"/>
    <x v="15"/>
    <n v="109986"/>
  </r>
  <r>
    <s v="M0111"/>
    <x v="2"/>
    <x v="1288"/>
    <x v="290"/>
    <n v="490387"/>
  </r>
  <r>
    <s v="M0111"/>
    <x v="2"/>
    <x v="1288"/>
    <x v="290"/>
    <n v="490387"/>
  </r>
  <r>
    <s v="M0111"/>
    <x v="2"/>
    <x v="1288"/>
    <x v="290"/>
    <n v="490387"/>
  </r>
  <r>
    <s v="M0111"/>
    <x v="2"/>
    <x v="1289"/>
    <x v="138"/>
    <n v="299059"/>
  </r>
  <r>
    <s v="M0111"/>
    <x v="2"/>
    <x v="1289"/>
    <x v="138"/>
    <n v="299059"/>
  </r>
  <r>
    <s v="M0111"/>
    <x v="2"/>
    <x v="1289"/>
    <x v="138"/>
    <n v="299059"/>
  </r>
  <r>
    <s v="M0185"/>
    <x v="1"/>
    <x v="1290"/>
    <x v="355"/>
    <n v="115397"/>
  </r>
  <r>
    <s v="M0185"/>
    <x v="1"/>
    <x v="1291"/>
    <x v="132"/>
    <n v="167305"/>
  </r>
  <r>
    <s v="M0185"/>
    <x v="1"/>
    <x v="1292"/>
    <x v="134"/>
    <n v="190554"/>
  </r>
  <r>
    <s v="M0185"/>
    <x v="1"/>
    <x v="1293"/>
    <x v="176"/>
    <n v="375610"/>
  </r>
  <r>
    <s v="M0185"/>
    <x v="1"/>
    <x v="1294"/>
    <x v="249"/>
    <n v="250716"/>
  </r>
  <r>
    <s v="M0185"/>
    <x v="1"/>
    <x v="1295"/>
    <x v="245"/>
    <n v="132021"/>
  </r>
  <r>
    <s v="M0139"/>
    <x v="1"/>
    <x v="1296"/>
    <x v="11"/>
    <n v="186972"/>
  </r>
  <r>
    <s v="M0139"/>
    <x v="1"/>
    <x v="1296"/>
    <x v="11"/>
    <n v="186972"/>
  </r>
  <r>
    <s v="M0139"/>
    <x v="1"/>
    <x v="1297"/>
    <x v="229"/>
    <n v="287508"/>
  </r>
  <r>
    <s v="M0139"/>
    <x v="1"/>
    <x v="1297"/>
    <x v="229"/>
    <n v="287508"/>
  </r>
  <r>
    <s v="M0139"/>
    <x v="1"/>
    <x v="1298"/>
    <x v="33"/>
    <n v="25000"/>
  </r>
  <r>
    <s v="M0139"/>
    <x v="1"/>
    <x v="1298"/>
    <x v="33"/>
    <n v="25000"/>
  </r>
  <r>
    <s v="M0139"/>
    <x v="1"/>
    <x v="1299"/>
    <x v="326"/>
    <n v="214975"/>
  </r>
  <r>
    <s v="M0139"/>
    <x v="1"/>
    <x v="1299"/>
    <x v="326"/>
    <n v="214975"/>
  </r>
  <r>
    <s v="M0239"/>
    <x v="1"/>
    <x v="1300"/>
    <x v="172"/>
    <n v="216183"/>
  </r>
  <r>
    <s v="M0239"/>
    <x v="1"/>
    <x v="1300"/>
    <x v="172"/>
    <n v="216183"/>
  </r>
  <r>
    <s v="M0239"/>
    <x v="1"/>
    <x v="1300"/>
    <x v="172"/>
    <n v="216183"/>
  </r>
  <r>
    <s v="M0239"/>
    <x v="1"/>
    <x v="1301"/>
    <x v="319"/>
    <n v="115749"/>
  </r>
  <r>
    <s v="M0239"/>
    <x v="1"/>
    <x v="1301"/>
    <x v="319"/>
    <n v="115749"/>
  </r>
  <r>
    <s v="M0239"/>
    <x v="1"/>
    <x v="1301"/>
    <x v="319"/>
    <n v="115749"/>
  </r>
  <r>
    <s v="M0239"/>
    <x v="1"/>
    <x v="1302"/>
    <x v="226"/>
    <n v="353830"/>
  </r>
  <r>
    <s v="M0239"/>
    <x v="1"/>
    <x v="1302"/>
    <x v="226"/>
    <n v="353830"/>
  </r>
  <r>
    <s v="M0239"/>
    <x v="1"/>
    <x v="1302"/>
    <x v="226"/>
    <n v="353830"/>
  </r>
  <r>
    <s v="M0239"/>
    <x v="1"/>
    <x v="1303"/>
    <x v="342"/>
    <n v="260046"/>
  </r>
  <r>
    <s v="M0239"/>
    <x v="1"/>
    <x v="1303"/>
    <x v="342"/>
    <n v="260046"/>
  </r>
  <r>
    <s v="M0239"/>
    <x v="1"/>
    <x v="1303"/>
    <x v="342"/>
    <n v="260046"/>
  </r>
  <r>
    <s v="M0239"/>
    <x v="1"/>
    <x v="1304"/>
    <x v="236"/>
    <n v="187096"/>
  </r>
  <r>
    <s v="M0239"/>
    <x v="1"/>
    <x v="1304"/>
    <x v="236"/>
    <n v="187096"/>
  </r>
  <r>
    <s v="M0239"/>
    <x v="1"/>
    <x v="1304"/>
    <x v="236"/>
    <n v="187096"/>
  </r>
  <r>
    <s v="M0239"/>
    <x v="1"/>
    <x v="1305"/>
    <x v="322"/>
    <n v="317904"/>
  </r>
  <r>
    <s v="M0239"/>
    <x v="1"/>
    <x v="1305"/>
    <x v="322"/>
    <n v="317904"/>
  </r>
  <r>
    <s v="M0239"/>
    <x v="1"/>
    <x v="1305"/>
    <x v="322"/>
    <n v="317904"/>
  </r>
  <r>
    <s v="M0239"/>
    <x v="1"/>
    <x v="1306"/>
    <x v="231"/>
    <n v="568761"/>
  </r>
  <r>
    <s v="M0239"/>
    <x v="1"/>
    <x v="1306"/>
    <x v="231"/>
    <n v="568761"/>
  </r>
  <r>
    <s v="M0239"/>
    <x v="1"/>
    <x v="1306"/>
    <x v="231"/>
    <n v="568761"/>
  </r>
  <r>
    <s v="M0239"/>
    <x v="1"/>
    <x v="1307"/>
    <x v="349"/>
    <n v="238371"/>
  </r>
  <r>
    <s v="M0239"/>
    <x v="1"/>
    <x v="1307"/>
    <x v="349"/>
    <n v="238371"/>
  </r>
  <r>
    <s v="M0239"/>
    <x v="1"/>
    <x v="1307"/>
    <x v="349"/>
    <n v="238371"/>
  </r>
  <r>
    <s v="M0239"/>
    <x v="1"/>
    <x v="1308"/>
    <x v="304"/>
    <n v="258859"/>
  </r>
  <r>
    <s v="M0239"/>
    <x v="1"/>
    <x v="1308"/>
    <x v="304"/>
    <n v="258859"/>
  </r>
  <r>
    <s v="M0239"/>
    <x v="1"/>
    <x v="1308"/>
    <x v="304"/>
    <n v="258859"/>
  </r>
  <r>
    <s v="M0239"/>
    <x v="1"/>
    <x v="1309"/>
    <x v="247"/>
    <n v="343997"/>
  </r>
  <r>
    <s v="M0239"/>
    <x v="1"/>
    <x v="1309"/>
    <x v="247"/>
    <n v="343997"/>
  </r>
  <r>
    <s v="M0239"/>
    <x v="1"/>
    <x v="1309"/>
    <x v="247"/>
    <n v="343997"/>
  </r>
  <r>
    <s v="M0126"/>
    <x v="1"/>
    <x v="1310"/>
    <x v="146"/>
    <n v="214312"/>
  </r>
  <r>
    <s v="M0126"/>
    <x v="1"/>
    <x v="1310"/>
    <x v="146"/>
    <n v="214312"/>
  </r>
  <r>
    <s v="M0126"/>
    <x v="1"/>
    <x v="1310"/>
    <x v="146"/>
    <n v="214312"/>
  </r>
  <r>
    <s v="M0126"/>
    <x v="1"/>
    <x v="1311"/>
    <x v="175"/>
    <n v="129476"/>
  </r>
  <r>
    <s v="M0126"/>
    <x v="1"/>
    <x v="1311"/>
    <x v="175"/>
    <n v="129476"/>
  </r>
  <r>
    <s v="M0126"/>
    <x v="1"/>
    <x v="1311"/>
    <x v="175"/>
    <n v="129476"/>
  </r>
  <r>
    <s v="M0126"/>
    <x v="1"/>
    <x v="1312"/>
    <x v="268"/>
    <n v="293620"/>
  </r>
  <r>
    <s v="M0126"/>
    <x v="1"/>
    <x v="1312"/>
    <x v="268"/>
    <n v="293620"/>
  </r>
  <r>
    <s v="M0126"/>
    <x v="1"/>
    <x v="1312"/>
    <x v="268"/>
    <n v="293620"/>
  </r>
  <r>
    <s v="M0126"/>
    <x v="1"/>
    <x v="1313"/>
    <x v="281"/>
    <n v="50032"/>
  </r>
  <r>
    <s v="M0126"/>
    <x v="1"/>
    <x v="1313"/>
    <x v="281"/>
    <n v="50032"/>
  </r>
  <r>
    <s v="M0126"/>
    <x v="1"/>
    <x v="1313"/>
    <x v="281"/>
    <n v="50032"/>
  </r>
  <r>
    <s v="M0126"/>
    <x v="1"/>
    <x v="1314"/>
    <x v="184"/>
    <n v="447484"/>
  </r>
  <r>
    <s v="M0126"/>
    <x v="1"/>
    <x v="1314"/>
    <x v="184"/>
    <n v="447484"/>
  </r>
  <r>
    <s v="M0126"/>
    <x v="1"/>
    <x v="1314"/>
    <x v="184"/>
    <n v="447484"/>
  </r>
  <r>
    <s v="M0126"/>
    <x v="1"/>
    <x v="1315"/>
    <x v="352"/>
    <n v="479058"/>
  </r>
  <r>
    <s v="M0126"/>
    <x v="1"/>
    <x v="1315"/>
    <x v="352"/>
    <n v="479058"/>
  </r>
  <r>
    <s v="M0126"/>
    <x v="1"/>
    <x v="1315"/>
    <x v="352"/>
    <n v="479058"/>
  </r>
  <r>
    <s v="M0126"/>
    <x v="1"/>
    <x v="1316"/>
    <x v="162"/>
    <n v="33372"/>
  </r>
  <r>
    <s v="M0126"/>
    <x v="1"/>
    <x v="1316"/>
    <x v="162"/>
    <n v="33372"/>
  </r>
  <r>
    <s v="M0126"/>
    <x v="1"/>
    <x v="1316"/>
    <x v="162"/>
    <n v="33372"/>
  </r>
  <r>
    <s v="M0126"/>
    <x v="1"/>
    <x v="1317"/>
    <x v="175"/>
    <n v="400625"/>
  </r>
  <r>
    <s v="M0126"/>
    <x v="1"/>
    <x v="1317"/>
    <x v="175"/>
    <n v="400625"/>
  </r>
  <r>
    <s v="M0126"/>
    <x v="1"/>
    <x v="1317"/>
    <x v="175"/>
    <n v="400625"/>
  </r>
  <r>
    <s v="M0169"/>
    <x v="1"/>
    <x v="1318"/>
    <x v="299"/>
    <n v="504536"/>
  </r>
  <r>
    <s v="M0169"/>
    <x v="1"/>
    <x v="1319"/>
    <x v="204"/>
    <n v="343564"/>
  </r>
  <r>
    <s v="M0169"/>
    <x v="1"/>
    <x v="1320"/>
    <x v="262"/>
    <n v="911703"/>
  </r>
  <r>
    <s v="M0169"/>
    <x v="1"/>
    <x v="1321"/>
    <x v="136"/>
    <n v="66866"/>
  </r>
  <r>
    <s v="M0169"/>
    <x v="1"/>
    <x v="1322"/>
    <x v="167"/>
    <n v="155805"/>
  </r>
  <r>
    <s v="M0031"/>
    <x v="1"/>
    <x v="1323"/>
    <x v="270"/>
    <n v="264116"/>
  </r>
  <r>
    <s v="M0031"/>
    <x v="1"/>
    <x v="1323"/>
    <x v="270"/>
    <n v="264116"/>
  </r>
  <r>
    <s v="M0031"/>
    <x v="1"/>
    <x v="1323"/>
    <x v="270"/>
    <n v="264116"/>
  </r>
  <r>
    <s v="M0031"/>
    <x v="1"/>
    <x v="1323"/>
    <x v="270"/>
    <n v="264116"/>
  </r>
  <r>
    <s v="M0031"/>
    <x v="1"/>
    <x v="1323"/>
    <x v="270"/>
    <n v="264116"/>
  </r>
  <r>
    <s v="M0031"/>
    <x v="1"/>
    <x v="1323"/>
    <x v="270"/>
    <n v="264116"/>
  </r>
  <r>
    <s v="M0031"/>
    <x v="1"/>
    <x v="1324"/>
    <x v="115"/>
    <n v="201295"/>
  </r>
  <r>
    <s v="M0031"/>
    <x v="1"/>
    <x v="1324"/>
    <x v="115"/>
    <n v="201295"/>
  </r>
  <r>
    <s v="M0031"/>
    <x v="1"/>
    <x v="1324"/>
    <x v="115"/>
    <n v="201295"/>
  </r>
  <r>
    <s v="M0031"/>
    <x v="1"/>
    <x v="1324"/>
    <x v="115"/>
    <n v="201295"/>
  </r>
  <r>
    <s v="M0031"/>
    <x v="1"/>
    <x v="1324"/>
    <x v="115"/>
    <n v="201295"/>
  </r>
  <r>
    <s v="M0031"/>
    <x v="1"/>
    <x v="1324"/>
    <x v="115"/>
    <n v="201295"/>
  </r>
  <r>
    <s v="M0031"/>
    <x v="1"/>
    <x v="1325"/>
    <x v="45"/>
    <n v="118898"/>
  </r>
  <r>
    <s v="M0031"/>
    <x v="1"/>
    <x v="1325"/>
    <x v="45"/>
    <n v="118898"/>
  </r>
  <r>
    <s v="M0031"/>
    <x v="1"/>
    <x v="1325"/>
    <x v="45"/>
    <n v="118898"/>
  </r>
  <r>
    <s v="M0031"/>
    <x v="1"/>
    <x v="1325"/>
    <x v="45"/>
    <n v="118898"/>
  </r>
  <r>
    <s v="M0031"/>
    <x v="1"/>
    <x v="1325"/>
    <x v="45"/>
    <n v="118898"/>
  </r>
  <r>
    <s v="M0031"/>
    <x v="1"/>
    <x v="1325"/>
    <x v="45"/>
    <n v="118898"/>
  </r>
  <r>
    <s v="M0031"/>
    <x v="1"/>
    <x v="1326"/>
    <x v="184"/>
    <n v="168440"/>
  </r>
  <r>
    <s v="M0031"/>
    <x v="1"/>
    <x v="1326"/>
    <x v="184"/>
    <n v="168440"/>
  </r>
  <r>
    <s v="M0031"/>
    <x v="1"/>
    <x v="1326"/>
    <x v="184"/>
    <n v="168440"/>
  </r>
  <r>
    <s v="M0031"/>
    <x v="1"/>
    <x v="1326"/>
    <x v="184"/>
    <n v="168440"/>
  </r>
  <r>
    <s v="M0031"/>
    <x v="1"/>
    <x v="1326"/>
    <x v="184"/>
    <n v="168440"/>
  </r>
  <r>
    <s v="M0031"/>
    <x v="1"/>
    <x v="1326"/>
    <x v="184"/>
    <n v="168440"/>
  </r>
  <r>
    <s v="M0031"/>
    <x v="1"/>
    <x v="1327"/>
    <x v="353"/>
    <n v="163670"/>
  </r>
  <r>
    <s v="M0031"/>
    <x v="1"/>
    <x v="1327"/>
    <x v="353"/>
    <n v="163670"/>
  </r>
  <r>
    <s v="M0031"/>
    <x v="1"/>
    <x v="1327"/>
    <x v="353"/>
    <n v="163670"/>
  </r>
  <r>
    <s v="M0031"/>
    <x v="1"/>
    <x v="1327"/>
    <x v="353"/>
    <n v="163670"/>
  </r>
  <r>
    <s v="M0031"/>
    <x v="1"/>
    <x v="1327"/>
    <x v="353"/>
    <n v="163670"/>
  </r>
  <r>
    <s v="M0031"/>
    <x v="1"/>
    <x v="1327"/>
    <x v="353"/>
    <n v="163670"/>
  </r>
  <r>
    <s v="M0031"/>
    <x v="1"/>
    <x v="1328"/>
    <x v="295"/>
    <n v="509549"/>
  </r>
  <r>
    <s v="M0031"/>
    <x v="1"/>
    <x v="1328"/>
    <x v="295"/>
    <n v="509549"/>
  </r>
  <r>
    <s v="M0031"/>
    <x v="1"/>
    <x v="1328"/>
    <x v="295"/>
    <n v="509549"/>
  </r>
  <r>
    <s v="M0031"/>
    <x v="1"/>
    <x v="1328"/>
    <x v="295"/>
    <n v="509549"/>
  </r>
  <r>
    <s v="M0031"/>
    <x v="1"/>
    <x v="1328"/>
    <x v="295"/>
    <n v="509549"/>
  </r>
  <r>
    <s v="M0031"/>
    <x v="1"/>
    <x v="1328"/>
    <x v="295"/>
    <n v="509549"/>
  </r>
  <r>
    <s v="M0089"/>
    <x v="2"/>
    <x v="1329"/>
    <x v="81"/>
    <n v="416668"/>
  </r>
  <r>
    <s v="M0089"/>
    <x v="2"/>
    <x v="1329"/>
    <x v="81"/>
    <n v="416668"/>
  </r>
  <r>
    <s v="M0089"/>
    <x v="2"/>
    <x v="1329"/>
    <x v="81"/>
    <n v="416668"/>
  </r>
  <r>
    <s v="M0089"/>
    <x v="2"/>
    <x v="1329"/>
    <x v="81"/>
    <n v="416668"/>
  </r>
  <r>
    <s v="M0089"/>
    <x v="2"/>
    <x v="1329"/>
    <x v="81"/>
    <n v="416668"/>
  </r>
  <r>
    <s v="M0089"/>
    <x v="2"/>
    <x v="1330"/>
    <x v="355"/>
    <n v="476157"/>
  </r>
  <r>
    <s v="M0089"/>
    <x v="2"/>
    <x v="1330"/>
    <x v="355"/>
    <n v="476157"/>
  </r>
  <r>
    <s v="M0089"/>
    <x v="2"/>
    <x v="1330"/>
    <x v="355"/>
    <n v="476157"/>
  </r>
  <r>
    <s v="M0089"/>
    <x v="2"/>
    <x v="1330"/>
    <x v="355"/>
    <n v="476157"/>
  </r>
  <r>
    <s v="M0089"/>
    <x v="2"/>
    <x v="1330"/>
    <x v="355"/>
    <n v="476157"/>
  </r>
  <r>
    <s v="M0089"/>
    <x v="2"/>
    <x v="1331"/>
    <x v="262"/>
    <n v="496741"/>
  </r>
  <r>
    <s v="M0089"/>
    <x v="2"/>
    <x v="1331"/>
    <x v="262"/>
    <n v="496741"/>
  </r>
  <r>
    <s v="M0089"/>
    <x v="2"/>
    <x v="1331"/>
    <x v="262"/>
    <n v="496741"/>
  </r>
  <r>
    <s v="M0089"/>
    <x v="2"/>
    <x v="1331"/>
    <x v="262"/>
    <n v="496741"/>
  </r>
  <r>
    <s v="M0089"/>
    <x v="2"/>
    <x v="1331"/>
    <x v="262"/>
    <n v="496741"/>
  </r>
  <r>
    <s v="M0089"/>
    <x v="2"/>
    <x v="1332"/>
    <x v="31"/>
    <n v="97129"/>
  </r>
  <r>
    <s v="M0089"/>
    <x v="2"/>
    <x v="1332"/>
    <x v="31"/>
    <n v="97129"/>
  </r>
  <r>
    <s v="M0089"/>
    <x v="2"/>
    <x v="1332"/>
    <x v="31"/>
    <n v="97129"/>
  </r>
  <r>
    <s v="M0089"/>
    <x v="2"/>
    <x v="1332"/>
    <x v="31"/>
    <n v="97129"/>
  </r>
  <r>
    <s v="M0089"/>
    <x v="2"/>
    <x v="1332"/>
    <x v="31"/>
    <n v="97129"/>
  </r>
  <r>
    <s v="M0089"/>
    <x v="2"/>
    <x v="1333"/>
    <x v="102"/>
    <n v="350070"/>
  </r>
  <r>
    <s v="M0089"/>
    <x v="2"/>
    <x v="1333"/>
    <x v="102"/>
    <n v="350070"/>
  </r>
  <r>
    <s v="M0089"/>
    <x v="2"/>
    <x v="1333"/>
    <x v="102"/>
    <n v="350070"/>
  </r>
  <r>
    <s v="M0089"/>
    <x v="2"/>
    <x v="1333"/>
    <x v="102"/>
    <n v="350070"/>
  </r>
  <r>
    <s v="M0089"/>
    <x v="2"/>
    <x v="1333"/>
    <x v="102"/>
    <n v="350070"/>
  </r>
  <r>
    <s v="M0089"/>
    <x v="2"/>
    <x v="1334"/>
    <x v="142"/>
    <n v="166919"/>
  </r>
  <r>
    <s v="M0089"/>
    <x v="2"/>
    <x v="1334"/>
    <x v="142"/>
    <n v="166919"/>
  </r>
  <r>
    <s v="M0089"/>
    <x v="2"/>
    <x v="1334"/>
    <x v="142"/>
    <n v="166919"/>
  </r>
  <r>
    <s v="M0089"/>
    <x v="2"/>
    <x v="1334"/>
    <x v="142"/>
    <n v="166919"/>
  </r>
  <r>
    <s v="M0089"/>
    <x v="2"/>
    <x v="1334"/>
    <x v="142"/>
    <n v="166919"/>
  </r>
  <r>
    <s v="M0089"/>
    <x v="2"/>
    <x v="1335"/>
    <x v="308"/>
    <n v="678163"/>
  </r>
  <r>
    <s v="M0089"/>
    <x v="2"/>
    <x v="1335"/>
    <x v="308"/>
    <n v="678163"/>
  </r>
  <r>
    <s v="M0089"/>
    <x v="2"/>
    <x v="1335"/>
    <x v="308"/>
    <n v="678163"/>
  </r>
  <r>
    <s v="M0089"/>
    <x v="2"/>
    <x v="1335"/>
    <x v="308"/>
    <n v="678163"/>
  </r>
  <r>
    <s v="M0089"/>
    <x v="2"/>
    <x v="1335"/>
    <x v="308"/>
    <n v="678163"/>
  </r>
  <r>
    <s v="M0089"/>
    <x v="2"/>
    <x v="1336"/>
    <x v="201"/>
    <n v="361800"/>
  </r>
  <r>
    <s v="M0089"/>
    <x v="2"/>
    <x v="1336"/>
    <x v="201"/>
    <n v="361800"/>
  </r>
  <r>
    <s v="M0089"/>
    <x v="2"/>
    <x v="1336"/>
    <x v="201"/>
    <n v="361800"/>
  </r>
  <r>
    <s v="M0089"/>
    <x v="2"/>
    <x v="1336"/>
    <x v="201"/>
    <n v="361800"/>
  </r>
  <r>
    <s v="M0089"/>
    <x v="2"/>
    <x v="1336"/>
    <x v="201"/>
    <n v="361800"/>
  </r>
  <r>
    <s v="M0089"/>
    <x v="2"/>
    <x v="1337"/>
    <x v="261"/>
    <n v="596300"/>
  </r>
  <r>
    <s v="M0089"/>
    <x v="2"/>
    <x v="1337"/>
    <x v="261"/>
    <n v="596300"/>
  </r>
  <r>
    <s v="M0089"/>
    <x v="2"/>
    <x v="1337"/>
    <x v="261"/>
    <n v="596300"/>
  </r>
  <r>
    <s v="M0089"/>
    <x v="2"/>
    <x v="1337"/>
    <x v="261"/>
    <n v="596300"/>
  </r>
  <r>
    <s v="M0089"/>
    <x v="2"/>
    <x v="1337"/>
    <x v="261"/>
    <n v="596300"/>
  </r>
  <r>
    <s v="M0089"/>
    <x v="2"/>
    <x v="1338"/>
    <x v="325"/>
    <n v="690685"/>
  </r>
  <r>
    <s v="M0089"/>
    <x v="2"/>
    <x v="1338"/>
    <x v="325"/>
    <n v="690685"/>
  </r>
  <r>
    <s v="M0089"/>
    <x v="2"/>
    <x v="1338"/>
    <x v="325"/>
    <n v="690685"/>
  </r>
  <r>
    <s v="M0089"/>
    <x v="2"/>
    <x v="1338"/>
    <x v="325"/>
    <n v="690685"/>
  </r>
  <r>
    <s v="M0089"/>
    <x v="2"/>
    <x v="1338"/>
    <x v="325"/>
    <n v="690685"/>
  </r>
  <r>
    <s v="M0089"/>
    <x v="2"/>
    <x v="1339"/>
    <x v="278"/>
    <n v="130218"/>
  </r>
  <r>
    <s v="M0089"/>
    <x v="2"/>
    <x v="1339"/>
    <x v="278"/>
    <n v="130218"/>
  </r>
  <r>
    <s v="M0089"/>
    <x v="2"/>
    <x v="1339"/>
    <x v="278"/>
    <n v="130218"/>
  </r>
  <r>
    <s v="M0089"/>
    <x v="2"/>
    <x v="1339"/>
    <x v="278"/>
    <n v="130218"/>
  </r>
  <r>
    <s v="M0089"/>
    <x v="2"/>
    <x v="1339"/>
    <x v="278"/>
    <n v="130218"/>
  </r>
  <r>
    <s v="M0089"/>
    <x v="2"/>
    <x v="1340"/>
    <x v="231"/>
    <n v="150092"/>
  </r>
  <r>
    <s v="M0089"/>
    <x v="2"/>
    <x v="1340"/>
    <x v="231"/>
    <n v="150092"/>
  </r>
  <r>
    <s v="M0089"/>
    <x v="2"/>
    <x v="1340"/>
    <x v="231"/>
    <n v="150092"/>
  </r>
  <r>
    <s v="M0089"/>
    <x v="2"/>
    <x v="1340"/>
    <x v="231"/>
    <n v="150092"/>
  </r>
  <r>
    <s v="M0089"/>
    <x v="2"/>
    <x v="1340"/>
    <x v="231"/>
    <n v="150092"/>
  </r>
  <r>
    <s v="M0089"/>
    <x v="2"/>
    <x v="1341"/>
    <x v="292"/>
    <n v="943665"/>
  </r>
  <r>
    <s v="M0089"/>
    <x v="2"/>
    <x v="1341"/>
    <x v="292"/>
    <n v="943665"/>
  </r>
  <r>
    <s v="M0089"/>
    <x v="2"/>
    <x v="1341"/>
    <x v="292"/>
    <n v="943665"/>
  </r>
  <r>
    <s v="M0089"/>
    <x v="2"/>
    <x v="1341"/>
    <x v="292"/>
    <n v="943665"/>
  </r>
  <r>
    <s v="M0089"/>
    <x v="2"/>
    <x v="1341"/>
    <x v="292"/>
    <n v="943665"/>
  </r>
  <r>
    <s v="M0089"/>
    <x v="2"/>
    <x v="1342"/>
    <x v="165"/>
    <n v="287495"/>
  </r>
  <r>
    <s v="M0089"/>
    <x v="2"/>
    <x v="1342"/>
    <x v="165"/>
    <n v="287495"/>
  </r>
  <r>
    <s v="M0089"/>
    <x v="2"/>
    <x v="1342"/>
    <x v="165"/>
    <n v="287495"/>
  </r>
  <r>
    <s v="M0089"/>
    <x v="2"/>
    <x v="1342"/>
    <x v="165"/>
    <n v="287495"/>
  </r>
  <r>
    <s v="M0089"/>
    <x v="2"/>
    <x v="1342"/>
    <x v="165"/>
    <n v="287495"/>
  </r>
  <r>
    <s v="M0089"/>
    <x v="2"/>
    <x v="1343"/>
    <x v="68"/>
    <n v="144942"/>
  </r>
  <r>
    <s v="M0089"/>
    <x v="2"/>
    <x v="1343"/>
    <x v="68"/>
    <n v="144942"/>
  </r>
  <r>
    <s v="M0089"/>
    <x v="2"/>
    <x v="1343"/>
    <x v="68"/>
    <n v="144942"/>
  </r>
  <r>
    <s v="M0089"/>
    <x v="2"/>
    <x v="1343"/>
    <x v="68"/>
    <n v="144942"/>
  </r>
  <r>
    <s v="M0089"/>
    <x v="2"/>
    <x v="1343"/>
    <x v="68"/>
    <n v="144942"/>
  </r>
  <r>
    <s v="M0089"/>
    <x v="2"/>
    <x v="1344"/>
    <x v="44"/>
    <n v="105102"/>
  </r>
  <r>
    <s v="M0089"/>
    <x v="2"/>
    <x v="1344"/>
    <x v="44"/>
    <n v="105102"/>
  </r>
  <r>
    <s v="M0089"/>
    <x v="2"/>
    <x v="1344"/>
    <x v="44"/>
    <n v="105102"/>
  </r>
  <r>
    <s v="M0089"/>
    <x v="2"/>
    <x v="1344"/>
    <x v="44"/>
    <n v="105102"/>
  </r>
  <r>
    <s v="M0089"/>
    <x v="2"/>
    <x v="1344"/>
    <x v="44"/>
    <n v="105102"/>
  </r>
  <r>
    <s v="M0089"/>
    <x v="2"/>
    <x v="1345"/>
    <x v="123"/>
    <n v="185718"/>
  </r>
  <r>
    <s v="M0089"/>
    <x v="2"/>
    <x v="1345"/>
    <x v="123"/>
    <n v="185718"/>
  </r>
  <r>
    <s v="M0089"/>
    <x v="2"/>
    <x v="1345"/>
    <x v="123"/>
    <n v="185718"/>
  </r>
  <r>
    <s v="M0089"/>
    <x v="2"/>
    <x v="1345"/>
    <x v="123"/>
    <n v="185718"/>
  </r>
  <r>
    <s v="M0089"/>
    <x v="2"/>
    <x v="1345"/>
    <x v="123"/>
    <n v="185718"/>
  </r>
  <r>
    <s v="M0089"/>
    <x v="2"/>
    <x v="1346"/>
    <x v="262"/>
    <n v="368987"/>
  </r>
  <r>
    <s v="M0089"/>
    <x v="2"/>
    <x v="1346"/>
    <x v="262"/>
    <n v="368987"/>
  </r>
  <r>
    <s v="M0089"/>
    <x v="2"/>
    <x v="1346"/>
    <x v="262"/>
    <n v="368987"/>
  </r>
  <r>
    <s v="M0089"/>
    <x v="2"/>
    <x v="1346"/>
    <x v="262"/>
    <n v="368987"/>
  </r>
  <r>
    <s v="M0089"/>
    <x v="2"/>
    <x v="1346"/>
    <x v="262"/>
    <n v="368987"/>
  </r>
  <r>
    <s v="M0089"/>
    <x v="2"/>
    <x v="1347"/>
    <x v="238"/>
    <n v="349081"/>
  </r>
  <r>
    <s v="M0089"/>
    <x v="2"/>
    <x v="1347"/>
    <x v="238"/>
    <n v="349081"/>
  </r>
  <r>
    <s v="M0089"/>
    <x v="2"/>
    <x v="1347"/>
    <x v="238"/>
    <n v="349081"/>
  </r>
  <r>
    <s v="M0089"/>
    <x v="2"/>
    <x v="1347"/>
    <x v="238"/>
    <n v="349081"/>
  </r>
  <r>
    <s v="M0089"/>
    <x v="2"/>
    <x v="1347"/>
    <x v="238"/>
    <n v="349081"/>
  </r>
  <r>
    <s v="M0089"/>
    <x v="2"/>
    <x v="1348"/>
    <x v="281"/>
    <n v="140386"/>
  </r>
  <r>
    <s v="M0089"/>
    <x v="2"/>
    <x v="1348"/>
    <x v="281"/>
    <n v="140386"/>
  </r>
  <r>
    <s v="M0089"/>
    <x v="2"/>
    <x v="1348"/>
    <x v="281"/>
    <n v="140386"/>
  </r>
  <r>
    <s v="M0089"/>
    <x v="2"/>
    <x v="1348"/>
    <x v="281"/>
    <n v="140386"/>
  </r>
  <r>
    <s v="M0089"/>
    <x v="2"/>
    <x v="1348"/>
    <x v="281"/>
    <n v="140386"/>
  </r>
  <r>
    <s v="M0089"/>
    <x v="2"/>
    <x v="1349"/>
    <x v="322"/>
    <n v="204504"/>
  </r>
  <r>
    <s v="M0089"/>
    <x v="2"/>
    <x v="1349"/>
    <x v="322"/>
    <n v="204504"/>
  </r>
  <r>
    <s v="M0089"/>
    <x v="2"/>
    <x v="1349"/>
    <x v="322"/>
    <n v="204504"/>
  </r>
  <r>
    <s v="M0089"/>
    <x v="2"/>
    <x v="1349"/>
    <x v="322"/>
    <n v="204504"/>
  </r>
  <r>
    <s v="M0089"/>
    <x v="2"/>
    <x v="1349"/>
    <x v="322"/>
    <n v="204504"/>
  </r>
  <r>
    <s v="M0089"/>
    <x v="2"/>
    <x v="1350"/>
    <x v="86"/>
    <n v="557078"/>
  </r>
  <r>
    <s v="M0089"/>
    <x v="2"/>
    <x v="1350"/>
    <x v="86"/>
    <n v="557078"/>
  </r>
  <r>
    <s v="M0089"/>
    <x v="2"/>
    <x v="1350"/>
    <x v="86"/>
    <n v="557078"/>
  </r>
  <r>
    <s v="M0089"/>
    <x v="2"/>
    <x v="1350"/>
    <x v="86"/>
    <n v="557078"/>
  </r>
  <r>
    <s v="M0089"/>
    <x v="2"/>
    <x v="1350"/>
    <x v="86"/>
    <n v="557078"/>
  </r>
  <r>
    <s v="M0089"/>
    <x v="2"/>
    <x v="1351"/>
    <x v="356"/>
    <n v="192574"/>
  </r>
  <r>
    <s v="M0089"/>
    <x v="2"/>
    <x v="1351"/>
    <x v="356"/>
    <n v="192574"/>
  </r>
  <r>
    <s v="M0089"/>
    <x v="2"/>
    <x v="1351"/>
    <x v="356"/>
    <n v="192574"/>
  </r>
  <r>
    <s v="M0089"/>
    <x v="2"/>
    <x v="1351"/>
    <x v="356"/>
    <n v="192574"/>
  </r>
  <r>
    <s v="M0089"/>
    <x v="2"/>
    <x v="1351"/>
    <x v="356"/>
    <n v="192574"/>
  </r>
  <r>
    <s v="M0089"/>
    <x v="2"/>
    <x v="1352"/>
    <x v="286"/>
    <n v="69347"/>
  </r>
  <r>
    <s v="M0089"/>
    <x v="2"/>
    <x v="1352"/>
    <x v="286"/>
    <n v="69347"/>
  </r>
  <r>
    <s v="M0089"/>
    <x v="2"/>
    <x v="1352"/>
    <x v="286"/>
    <n v="69347"/>
  </r>
  <r>
    <s v="M0089"/>
    <x v="2"/>
    <x v="1352"/>
    <x v="286"/>
    <n v="69347"/>
  </r>
  <r>
    <s v="M0089"/>
    <x v="2"/>
    <x v="1352"/>
    <x v="286"/>
    <n v="69347"/>
  </r>
  <r>
    <s v="M0255"/>
    <x v="1"/>
    <x v="1353"/>
    <x v="290"/>
    <n v="65991"/>
  </r>
  <r>
    <s v="M0255"/>
    <x v="1"/>
    <x v="1353"/>
    <x v="290"/>
    <n v="65991"/>
  </r>
  <r>
    <s v="M0255"/>
    <x v="1"/>
    <x v="1353"/>
    <x v="290"/>
    <n v="65991"/>
  </r>
  <r>
    <s v="M0255"/>
    <x v="1"/>
    <x v="1353"/>
    <x v="290"/>
    <n v="65991"/>
  </r>
  <r>
    <s v="M0255"/>
    <x v="1"/>
    <x v="1354"/>
    <x v="139"/>
    <n v="293361"/>
  </r>
  <r>
    <s v="M0255"/>
    <x v="1"/>
    <x v="1354"/>
    <x v="139"/>
    <n v="293361"/>
  </r>
  <r>
    <s v="M0255"/>
    <x v="1"/>
    <x v="1354"/>
    <x v="139"/>
    <n v="293361"/>
  </r>
  <r>
    <s v="M0255"/>
    <x v="1"/>
    <x v="1354"/>
    <x v="139"/>
    <n v="293361"/>
  </r>
  <r>
    <s v="M0081"/>
    <x v="1"/>
    <x v="1355"/>
    <x v="46"/>
    <n v="333050"/>
  </r>
  <r>
    <s v="M0081"/>
    <x v="1"/>
    <x v="1356"/>
    <x v="49"/>
    <n v="36360"/>
  </r>
  <r>
    <s v="M0081"/>
    <x v="1"/>
    <x v="1357"/>
    <x v="285"/>
    <n v="265009"/>
  </r>
  <r>
    <s v="M0081"/>
    <x v="1"/>
    <x v="1358"/>
    <x v="66"/>
    <n v="413723"/>
  </r>
  <r>
    <s v="M0081"/>
    <x v="1"/>
    <x v="1359"/>
    <x v="67"/>
    <n v="126593"/>
  </r>
  <r>
    <s v="M0081"/>
    <x v="1"/>
    <x v="1360"/>
    <x v="236"/>
    <n v="566177"/>
  </r>
  <r>
    <s v="M0081"/>
    <x v="1"/>
    <x v="1361"/>
    <x v="186"/>
    <n v="70664"/>
  </r>
  <r>
    <s v="M0081"/>
    <x v="1"/>
    <x v="1362"/>
    <x v="144"/>
    <n v="194790"/>
  </r>
  <r>
    <s v="M0081"/>
    <x v="1"/>
    <x v="1363"/>
    <x v="169"/>
    <n v="374454"/>
  </r>
  <r>
    <s v="M0081"/>
    <x v="1"/>
    <x v="1364"/>
    <x v="298"/>
    <n v="132903"/>
  </r>
  <r>
    <s v="M0081"/>
    <x v="1"/>
    <x v="1365"/>
    <x v="56"/>
    <n v="64006"/>
  </r>
  <r>
    <s v="M0081"/>
    <x v="1"/>
    <x v="1366"/>
    <x v="24"/>
    <n v="573892"/>
  </r>
  <r>
    <s v="M0081"/>
    <x v="1"/>
    <x v="1367"/>
    <x v="313"/>
    <n v="289064"/>
  </r>
  <r>
    <s v="M0081"/>
    <x v="1"/>
    <x v="1368"/>
    <x v="131"/>
    <n v="484796"/>
  </r>
  <r>
    <s v="M0081"/>
    <x v="1"/>
    <x v="1369"/>
    <x v="127"/>
    <n v="284251"/>
  </r>
  <r>
    <s v="M0081"/>
    <x v="1"/>
    <x v="1370"/>
    <x v="157"/>
    <n v="193597"/>
  </r>
  <r>
    <s v="M0081"/>
    <x v="1"/>
    <x v="1371"/>
    <x v="81"/>
    <n v="361838"/>
  </r>
  <r>
    <s v="M0081"/>
    <x v="1"/>
    <x v="1372"/>
    <x v="141"/>
    <n v="278459"/>
  </r>
  <r>
    <s v="M0081"/>
    <x v="1"/>
    <x v="1373"/>
    <x v="111"/>
    <n v="1110195"/>
  </r>
  <r>
    <s v="M0081"/>
    <x v="1"/>
    <x v="1374"/>
    <x v="345"/>
    <n v="266183"/>
  </r>
  <r>
    <s v="M0232"/>
    <x v="1"/>
    <x v="1375"/>
    <x v="182"/>
    <n v="157885"/>
  </r>
  <r>
    <s v="M0232"/>
    <x v="1"/>
    <x v="1375"/>
    <x v="182"/>
    <n v="157885"/>
  </r>
  <r>
    <s v="M0232"/>
    <x v="1"/>
    <x v="1375"/>
    <x v="182"/>
    <n v="157885"/>
  </r>
  <r>
    <s v="M0232"/>
    <x v="1"/>
    <x v="1375"/>
    <x v="182"/>
    <n v="157885"/>
  </r>
  <r>
    <s v="M0232"/>
    <x v="1"/>
    <x v="1376"/>
    <x v="210"/>
    <n v="179581"/>
  </r>
  <r>
    <s v="M0232"/>
    <x v="1"/>
    <x v="1376"/>
    <x v="210"/>
    <n v="179581"/>
  </r>
  <r>
    <s v="M0232"/>
    <x v="1"/>
    <x v="1376"/>
    <x v="210"/>
    <n v="179581"/>
  </r>
  <r>
    <s v="M0232"/>
    <x v="1"/>
    <x v="1376"/>
    <x v="210"/>
    <n v="179581"/>
  </r>
  <r>
    <s v="M0232"/>
    <x v="1"/>
    <x v="1377"/>
    <x v="125"/>
    <n v="344286"/>
  </r>
  <r>
    <s v="M0232"/>
    <x v="1"/>
    <x v="1377"/>
    <x v="125"/>
    <n v="344286"/>
  </r>
  <r>
    <s v="M0232"/>
    <x v="1"/>
    <x v="1377"/>
    <x v="125"/>
    <n v="344286"/>
  </r>
  <r>
    <s v="M0232"/>
    <x v="1"/>
    <x v="1377"/>
    <x v="125"/>
    <n v="344286"/>
  </r>
  <r>
    <s v="M0232"/>
    <x v="1"/>
    <x v="1378"/>
    <x v="257"/>
    <n v="179786"/>
  </r>
  <r>
    <s v="M0232"/>
    <x v="1"/>
    <x v="1378"/>
    <x v="257"/>
    <n v="179786"/>
  </r>
  <r>
    <s v="M0232"/>
    <x v="1"/>
    <x v="1378"/>
    <x v="257"/>
    <n v="179786"/>
  </r>
  <r>
    <s v="M0232"/>
    <x v="1"/>
    <x v="1378"/>
    <x v="257"/>
    <n v="179786"/>
  </r>
  <r>
    <s v="M0232"/>
    <x v="1"/>
    <x v="1379"/>
    <x v="272"/>
    <n v="222595"/>
  </r>
  <r>
    <s v="M0232"/>
    <x v="1"/>
    <x v="1379"/>
    <x v="272"/>
    <n v="222595"/>
  </r>
  <r>
    <s v="M0232"/>
    <x v="1"/>
    <x v="1379"/>
    <x v="272"/>
    <n v="222595"/>
  </r>
  <r>
    <s v="M0232"/>
    <x v="1"/>
    <x v="1379"/>
    <x v="272"/>
    <n v="222595"/>
  </r>
  <r>
    <s v="M0232"/>
    <x v="1"/>
    <x v="1380"/>
    <x v="32"/>
    <n v="140753"/>
  </r>
  <r>
    <s v="M0232"/>
    <x v="1"/>
    <x v="1380"/>
    <x v="32"/>
    <n v="140753"/>
  </r>
  <r>
    <s v="M0232"/>
    <x v="1"/>
    <x v="1380"/>
    <x v="32"/>
    <n v="140753"/>
  </r>
  <r>
    <s v="M0232"/>
    <x v="1"/>
    <x v="1380"/>
    <x v="32"/>
    <n v="140753"/>
  </r>
  <r>
    <s v="M0232"/>
    <x v="1"/>
    <x v="1381"/>
    <x v="357"/>
    <n v="289797"/>
  </r>
  <r>
    <s v="M0232"/>
    <x v="1"/>
    <x v="1381"/>
    <x v="357"/>
    <n v="289797"/>
  </r>
  <r>
    <s v="M0232"/>
    <x v="1"/>
    <x v="1381"/>
    <x v="357"/>
    <n v="289797"/>
  </r>
  <r>
    <s v="M0232"/>
    <x v="1"/>
    <x v="1381"/>
    <x v="357"/>
    <n v="289797"/>
  </r>
  <r>
    <s v="M0232"/>
    <x v="1"/>
    <x v="1382"/>
    <x v="32"/>
    <n v="209345"/>
  </r>
  <r>
    <s v="M0232"/>
    <x v="1"/>
    <x v="1382"/>
    <x v="32"/>
    <n v="209345"/>
  </r>
  <r>
    <s v="M0232"/>
    <x v="1"/>
    <x v="1382"/>
    <x v="32"/>
    <n v="209345"/>
  </r>
  <r>
    <s v="M0232"/>
    <x v="1"/>
    <x v="1382"/>
    <x v="32"/>
    <n v="209345"/>
  </r>
  <r>
    <s v="M0232"/>
    <x v="1"/>
    <x v="1383"/>
    <x v="280"/>
    <n v="231343"/>
  </r>
  <r>
    <s v="M0232"/>
    <x v="1"/>
    <x v="1383"/>
    <x v="280"/>
    <n v="231343"/>
  </r>
  <r>
    <s v="M0232"/>
    <x v="1"/>
    <x v="1383"/>
    <x v="280"/>
    <n v="231343"/>
  </r>
  <r>
    <s v="M0232"/>
    <x v="1"/>
    <x v="1383"/>
    <x v="280"/>
    <n v="231343"/>
  </r>
  <r>
    <s v="M0232"/>
    <x v="1"/>
    <x v="1384"/>
    <x v="298"/>
    <n v="73933"/>
  </r>
  <r>
    <s v="M0232"/>
    <x v="1"/>
    <x v="1384"/>
    <x v="298"/>
    <n v="73933"/>
  </r>
  <r>
    <s v="M0232"/>
    <x v="1"/>
    <x v="1384"/>
    <x v="298"/>
    <n v="73933"/>
  </r>
  <r>
    <s v="M0232"/>
    <x v="1"/>
    <x v="1384"/>
    <x v="298"/>
    <n v="73933"/>
  </r>
  <r>
    <s v="M0190"/>
    <x v="0"/>
    <x v="1385"/>
    <x v="266"/>
    <n v="200606"/>
  </r>
  <r>
    <s v="M0190"/>
    <x v="0"/>
    <x v="1385"/>
    <x v="266"/>
    <n v="200606"/>
  </r>
  <r>
    <s v="M0190"/>
    <x v="0"/>
    <x v="1385"/>
    <x v="266"/>
    <n v="200606"/>
  </r>
  <r>
    <s v="M0190"/>
    <x v="0"/>
    <x v="1386"/>
    <x v="36"/>
    <n v="829730"/>
  </r>
  <r>
    <s v="M0190"/>
    <x v="0"/>
    <x v="1386"/>
    <x v="36"/>
    <n v="829730"/>
  </r>
  <r>
    <s v="M0190"/>
    <x v="0"/>
    <x v="1386"/>
    <x v="36"/>
    <n v="829730"/>
  </r>
  <r>
    <s v="M0226"/>
    <x v="1"/>
    <x v="1387"/>
    <x v="168"/>
    <n v="529504"/>
  </r>
  <r>
    <s v="M0226"/>
    <x v="1"/>
    <x v="1388"/>
    <x v="341"/>
    <n v="321458"/>
  </r>
  <r>
    <s v="M0226"/>
    <x v="1"/>
    <x v="1389"/>
    <x v="293"/>
    <n v="107965"/>
  </r>
  <r>
    <s v="M0226"/>
    <x v="1"/>
    <x v="1390"/>
    <x v="339"/>
    <n v="108806"/>
  </r>
  <r>
    <s v="M0204"/>
    <x v="0"/>
    <x v="1391"/>
    <x v="201"/>
    <n v="190374"/>
  </r>
  <r>
    <s v="M0204"/>
    <x v="0"/>
    <x v="1391"/>
    <x v="201"/>
    <n v="190374"/>
  </r>
  <r>
    <s v="M0204"/>
    <x v="0"/>
    <x v="1392"/>
    <x v="58"/>
    <n v="56457"/>
  </r>
  <r>
    <s v="M0204"/>
    <x v="0"/>
    <x v="1392"/>
    <x v="58"/>
    <n v="56457"/>
  </r>
  <r>
    <s v="M0204"/>
    <x v="0"/>
    <x v="1393"/>
    <x v="307"/>
    <n v="67345"/>
  </r>
  <r>
    <s v="M0204"/>
    <x v="0"/>
    <x v="1393"/>
    <x v="307"/>
    <n v="67345"/>
  </r>
  <r>
    <s v="M0204"/>
    <x v="0"/>
    <x v="1394"/>
    <x v="194"/>
    <n v="118083"/>
  </r>
  <r>
    <s v="M0204"/>
    <x v="0"/>
    <x v="1394"/>
    <x v="194"/>
    <n v="118083"/>
  </r>
  <r>
    <s v="M0204"/>
    <x v="0"/>
    <x v="1395"/>
    <x v="280"/>
    <n v="346905"/>
  </r>
  <r>
    <s v="M0204"/>
    <x v="0"/>
    <x v="1395"/>
    <x v="280"/>
    <n v="346905"/>
  </r>
  <r>
    <s v="M0204"/>
    <x v="0"/>
    <x v="1396"/>
    <x v="357"/>
    <n v="758941"/>
  </r>
  <r>
    <s v="M0204"/>
    <x v="0"/>
    <x v="1396"/>
    <x v="357"/>
    <n v="758941"/>
  </r>
  <r>
    <s v="M0204"/>
    <x v="0"/>
    <x v="1397"/>
    <x v="10"/>
    <n v="136246"/>
  </r>
  <r>
    <s v="M0204"/>
    <x v="0"/>
    <x v="1397"/>
    <x v="10"/>
    <n v="136246"/>
  </r>
  <r>
    <s v="M0204"/>
    <x v="0"/>
    <x v="1398"/>
    <x v="73"/>
    <n v="548327"/>
  </r>
  <r>
    <s v="M0204"/>
    <x v="0"/>
    <x v="1398"/>
    <x v="73"/>
    <n v="548327"/>
  </r>
  <r>
    <s v="M0204"/>
    <x v="0"/>
    <x v="1399"/>
    <x v="357"/>
    <n v="261597"/>
  </r>
  <r>
    <s v="M0204"/>
    <x v="0"/>
    <x v="1399"/>
    <x v="357"/>
    <n v="261597"/>
  </r>
  <r>
    <s v="M0204"/>
    <x v="0"/>
    <x v="1400"/>
    <x v="196"/>
    <n v="106070"/>
  </r>
  <r>
    <s v="M0204"/>
    <x v="0"/>
    <x v="1400"/>
    <x v="196"/>
    <n v="106070"/>
  </r>
  <r>
    <s v="M0204"/>
    <x v="0"/>
    <x v="1401"/>
    <x v="192"/>
    <n v="160866"/>
  </r>
  <r>
    <s v="M0204"/>
    <x v="0"/>
    <x v="1401"/>
    <x v="192"/>
    <n v="160866"/>
  </r>
  <r>
    <s v="M0204"/>
    <x v="0"/>
    <x v="1402"/>
    <x v="278"/>
    <n v="288718"/>
  </r>
  <r>
    <s v="M0204"/>
    <x v="0"/>
    <x v="1402"/>
    <x v="278"/>
    <n v="288718"/>
  </r>
  <r>
    <s v="M0204"/>
    <x v="0"/>
    <x v="1403"/>
    <x v="321"/>
    <n v="142967"/>
  </r>
  <r>
    <s v="M0204"/>
    <x v="0"/>
    <x v="1403"/>
    <x v="321"/>
    <n v="142967"/>
  </r>
  <r>
    <s v="M0204"/>
    <x v="0"/>
    <x v="1404"/>
    <x v="156"/>
    <n v="25000"/>
  </r>
  <r>
    <s v="M0204"/>
    <x v="0"/>
    <x v="1404"/>
    <x v="156"/>
    <n v="25000"/>
  </r>
  <r>
    <s v="M0204"/>
    <x v="0"/>
    <x v="1405"/>
    <x v="87"/>
    <n v="170607"/>
  </r>
  <r>
    <s v="M0204"/>
    <x v="0"/>
    <x v="1405"/>
    <x v="87"/>
    <n v="170607"/>
  </r>
  <r>
    <s v="M0204"/>
    <x v="0"/>
    <x v="1406"/>
    <x v="223"/>
    <n v="81986"/>
  </r>
  <r>
    <s v="M0204"/>
    <x v="0"/>
    <x v="1406"/>
    <x v="223"/>
    <n v="81986"/>
  </r>
  <r>
    <s v="M0204"/>
    <x v="0"/>
    <x v="1407"/>
    <x v="16"/>
    <n v="347470"/>
  </r>
  <r>
    <s v="M0204"/>
    <x v="0"/>
    <x v="1407"/>
    <x v="16"/>
    <n v="347470"/>
  </r>
  <r>
    <s v="M0204"/>
    <x v="0"/>
    <x v="1408"/>
    <x v="246"/>
    <n v="212086"/>
  </r>
  <r>
    <s v="M0204"/>
    <x v="0"/>
    <x v="1408"/>
    <x v="246"/>
    <n v="212086"/>
  </r>
  <r>
    <s v="M0204"/>
    <x v="0"/>
    <x v="1409"/>
    <x v="30"/>
    <n v="180938"/>
  </r>
  <r>
    <s v="M0204"/>
    <x v="0"/>
    <x v="1409"/>
    <x v="30"/>
    <n v="180938"/>
  </r>
  <r>
    <s v="M0204"/>
    <x v="0"/>
    <x v="1410"/>
    <x v="1"/>
    <n v="152751"/>
  </r>
  <r>
    <s v="M0204"/>
    <x v="0"/>
    <x v="1410"/>
    <x v="1"/>
    <n v="152751"/>
  </r>
  <r>
    <s v="M0204"/>
    <x v="0"/>
    <x v="1411"/>
    <x v="85"/>
    <n v="232348"/>
  </r>
  <r>
    <s v="M0204"/>
    <x v="0"/>
    <x v="1411"/>
    <x v="85"/>
    <n v="232348"/>
  </r>
  <r>
    <s v="M0204"/>
    <x v="0"/>
    <x v="1412"/>
    <x v="54"/>
    <n v="295981"/>
  </r>
  <r>
    <s v="M0204"/>
    <x v="0"/>
    <x v="1412"/>
    <x v="54"/>
    <n v="295981"/>
  </r>
  <r>
    <s v="M0204"/>
    <x v="0"/>
    <x v="1413"/>
    <x v="275"/>
    <n v="317590"/>
  </r>
  <r>
    <s v="M0204"/>
    <x v="0"/>
    <x v="1413"/>
    <x v="275"/>
    <n v="317590"/>
  </r>
  <r>
    <s v="M0204"/>
    <x v="0"/>
    <x v="1414"/>
    <x v="236"/>
    <n v="182058"/>
  </r>
  <r>
    <s v="M0204"/>
    <x v="0"/>
    <x v="1414"/>
    <x v="236"/>
    <n v="182058"/>
  </r>
  <r>
    <s v="M0052"/>
    <x v="0"/>
    <x v="1415"/>
    <x v="248"/>
    <n v="406660"/>
  </r>
  <r>
    <s v="M0052"/>
    <x v="0"/>
    <x v="1415"/>
    <x v="248"/>
    <n v="406660"/>
  </r>
  <r>
    <s v="M0052"/>
    <x v="0"/>
    <x v="1415"/>
    <x v="248"/>
    <n v="406660"/>
  </r>
  <r>
    <s v="M0052"/>
    <x v="0"/>
    <x v="1415"/>
    <x v="248"/>
    <n v="406660"/>
  </r>
  <r>
    <s v="M0052"/>
    <x v="0"/>
    <x v="1415"/>
    <x v="248"/>
    <n v="406660"/>
  </r>
  <r>
    <s v="M0052"/>
    <x v="0"/>
    <x v="1416"/>
    <x v="350"/>
    <n v="295888"/>
  </r>
  <r>
    <s v="M0052"/>
    <x v="0"/>
    <x v="1416"/>
    <x v="350"/>
    <n v="295888"/>
  </r>
  <r>
    <s v="M0052"/>
    <x v="0"/>
    <x v="1416"/>
    <x v="350"/>
    <n v="295888"/>
  </r>
  <r>
    <s v="M0052"/>
    <x v="0"/>
    <x v="1416"/>
    <x v="350"/>
    <n v="295888"/>
  </r>
  <r>
    <s v="M0052"/>
    <x v="0"/>
    <x v="1416"/>
    <x v="350"/>
    <n v="295888"/>
  </r>
  <r>
    <s v="M0052"/>
    <x v="0"/>
    <x v="1417"/>
    <x v="85"/>
    <n v="783406"/>
  </r>
  <r>
    <s v="M0052"/>
    <x v="0"/>
    <x v="1417"/>
    <x v="85"/>
    <n v="783406"/>
  </r>
  <r>
    <s v="M0052"/>
    <x v="0"/>
    <x v="1417"/>
    <x v="85"/>
    <n v="783406"/>
  </r>
  <r>
    <s v="M0052"/>
    <x v="0"/>
    <x v="1417"/>
    <x v="85"/>
    <n v="783406"/>
  </r>
  <r>
    <s v="M0052"/>
    <x v="0"/>
    <x v="1417"/>
    <x v="85"/>
    <n v="783406"/>
  </r>
  <r>
    <s v="M0052"/>
    <x v="0"/>
    <x v="1418"/>
    <x v="337"/>
    <n v="160644"/>
  </r>
  <r>
    <s v="M0052"/>
    <x v="0"/>
    <x v="1418"/>
    <x v="337"/>
    <n v="160644"/>
  </r>
  <r>
    <s v="M0052"/>
    <x v="0"/>
    <x v="1418"/>
    <x v="337"/>
    <n v="160644"/>
  </r>
  <r>
    <s v="M0052"/>
    <x v="0"/>
    <x v="1418"/>
    <x v="337"/>
    <n v="160644"/>
  </r>
  <r>
    <s v="M0052"/>
    <x v="0"/>
    <x v="1418"/>
    <x v="337"/>
    <n v="160644"/>
  </r>
  <r>
    <s v="M0052"/>
    <x v="0"/>
    <x v="1419"/>
    <x v="84"/>
    <n v="125085"/>
  </r>
  <r>
    <s v="M0052"/>
    <x v="0"/>
    <x v="1419"/>
    <x v="84"/>
    <n v="125085"/>
  </r>
  <r>
    <s v="M0052"/>
    <x v="0"/>
    <x v="1419"/>
    <x v="84"/>
    <n v="125085"/>
  </r>
  <r>
    <s v="M0052"/>
    <x v="0"/>
    <x v="1419"/>
    <x v="84"/>
    <n v="125085"/>
  </r>
  <r>
    <s v="M0052"/>
    <x v="0"/>
    <x v="1419"/>
    <x v="84"/>
    <n v="125085"/>
  </r>
  <r>
    <s v="M0052"/>
    <x v="0"/>
    <x v="1420"/>
    <x v="302"/>
    <n v="182186"/>
  </r>
  <r>
    <s v="M0052"/>
    <x v="0"/>
    <x v="1420"/>
    <x v="302"/>
    <n v="182186"/>
  </r>
  <r>
    <s v="M0052"/>
    <x v="0"/>
    <x v="1420"/>
    <x v="302"/>
    <n v="182186"/>
  </r>
  <r>
    <s v="M0052"/>
    <x v="0"/>
    <x v="1420"/>
    <x v="302"/>
    <n v="182186"/>
  </r>
  <r>
    <s v="M0052"/>
    <x v="0"/>
    <x v="1420"/>
    <x v="302"/>
    <n v="182186"/>
  </r>
  <r>
    <s v="M0052"/>
    <x v="0"/>
    <x v="1421"/>
    <x v="201"/>
    <n v="217275"/>
  </r>
  <r>
    <s v="M0052"/>
    <x v="0"/>
    <x v="1421"/>
    <x v="201"/>
    <n v="217275"/>
  </r>
  <r>
    <s v="M0052"/>
    <x v="0"/>
    <x v="1421"/>
    <x v="201"/>
    <n v="217275"/>
  </r>
  <r>
    <s v="M0052"/>
    <x v="0"/>
    <x v="1421"/>
    <x v="201"/>
    <n v="217275"/>
  </r>
  <r>
    <s v="M0052"/>
    <x v="0"/>
    <x v="1421"/>
    <x v="201"/>
    <n v="217275"/>
  </r>
  <r>
    <s v="M0052"/>
    <x v="0"/>
    <x v="1422"/>
    <x v="67"/>
    <n v="1128043"/>
  </r>
  <r>
    <s v="M0052"/>
    <x v="0"/>
    <x v="1422"/>
    <x v="67"/>
    <n v="1128043"/>
  </r>
  <r>
    <s v="M0052"/>
    <x v="0"/>
    <x v="1422"/>
    <x v="67"/>
    <n v="1128043"/>
  </r>
  <r>
    <s v="M0052"/>
    <x v="0"/>
    <x v="1422"/>
    <x v="67"/>
    <n v="1128043"/>
  </r>
  <r>
    <s v="M0052"/>
    <x v="0"/>
    <x v="1422"/>
    <x v="67"/>
    <n v="1128043"/>
  </r>
  <r>
    <s v="M0052"/>
    <x v="0"/>
    <x v="1423"/>
    <x v="316"/>
    <n v="309544"/>
  </r>
  <r>
    <s v="M0052"/>
    <x v="0"/>
    <x v="1423"/>
    <x v="316"/>
    <n v="309544"/>
  </r>
  <r>
    <s v="M0052"/>
    <x v="0"/>
    <x v="1423"/>
    <x v="316"/>
    <n v="309544"/>
  </r>
  <r>
    <s v="M0052"/>
    <x v="0"/>
    <x v="1423"/>
    <x v="316"/>
    <n v="309544"/>
  </r>
  <r>
    <s v="M0052"/>
    <x v="0"/>
    <x v="1423"/>
    <x v="316"/>
    <n v="309544"/>
  </r>
  <r>
    <s v="M0052"/>
    <x v="0"/>
    <x v="1424"/>
    <x v="13"/>
    <n v="243639"/>
  </r>
  <r>
    <s v="M0052"/>
    <x v="0"/>
    <x v="1424"/>
    <x v="13"/>
    <n v="243639"/>
  </r>
  <r>
    <s v="M0052"/>
    <x v="0"/>
    <x v="1424"/>
    <x v="13"/>
    <n v="243639"/>
  </r>
  <r>
    <s v="M0052"/>
    <x v="0"/>
    <x v="1424"/>
    <x v="13"/>
    <n v="243639"/>
  </r>
  <r>
    <s v="M0052"/>
    <x v="0"/>
    <x v="1424"/>
    <x v="13"/>
    <n v="243639"/>
  </r>
  <r>
    <s v="M0052"/>
    <x v="0"/>
    <x v="1425"/>
    <x v="19"/>
    <n v="162564"/>
  </r>
  <r>
    <s v="M0052"/>
    <x v="0"/>
    <x v="1425"/>
    <x v="19"/>
    <n v="162564"/>
  </r>
  <r>
    <s v="M0052"/>
    <x v="0"/>
    <x v="1425"/>
    <x v="19"/>
    <n v="162564"/>
  </r>
  <r>
    <s v="M0052"/>
    <x v="0"/>
    <x v="1425"/>
    <x v="19"/>
    <n v="162564"/>
  </r>
  <r>
    <s v="M0052"/>
    <x v="0"/>
    <x v="1425"/>
    <x v="19"/>
    <n v="162564"/>
  </r>
  <r>
    <s v="M0052"/>
    <x v="0"/>
    <x v="1426"/>
    <x v="28"/>
    <n v="320521"/>
  </r>
  <r>
    <s v="M0052"/>
    <x v="0"/>
    <x v="1426"/>
    <x v="28"/>
    <n v="320521"/>
  </r>
  <r>
    <s v="M0052"/>
    <x v="0"/>
    <x v="1426"/>
    <x v="28"/>
    <n v="320521"/>
  </r>
  <r>
    <s v="M0052"/>
    <x v="0"/>
    <x v="1426"/>
    <x v="28"/>
    <n v="320521"/>
  </r>
  <r>
    <s v="M0052"/>
    <x v="0"/>
    <x v="1426"/>
    <x v="28"/>
    <n v="320521"/>
  </r>
  <r>
    <s v="M0246"/>
    <x v="0"/>
    <x v="1427"/>
    <x v="42"/>
    <n v="559064"/>
  </r>
  <r>
    <s v="M0246"/>
    <x v="0"/>
    <x v="1427"/>
    <x v="42"/>
    <n v="559064"/>
  </r>
  <r>
    <s v="M0246"/>
    <x v="0"/>
    <x v="1427"/>
    <x v="42"/>
    <n v="559064"/>
  </r>
  <r>
    <s v="M0246"/>
    <x v="0"/>
    <x v="1427"/>
    <x v="42"/>
    <n v="559064"/>
  </r>
  <r>
    <s v="M0246"/>
    <x v="0"/>
    <x v="1428"/>
    <x v="198"/>
    <n v="123541"/>
  </r>
  <r>
    <s v="M0246"/>
    <x v="0"/>
    <x v="1428"/>
    <x v="198"/>
    <n v="123541"/>
  </r>
  <r>
    <s v="M0246"/>
    <x v="0"/>
    <x v="1428"/>
    <x v="198"/>
    <n v="123541"/>
  </r>
  <r>
    <s v="M0246"/>
    <x v="0"/>
    <x v="1428"/>
    <x v="198"/>
    <n v="123541"/>
  </r>
  <r>
    <s v="M0246"/>
    <x v="0"/>
    <x v="1429"/>
    <x v="18"/>
    <n v="223471"/>
  </r>
  <r>
    <s v="M0246"/>
    <x v="0"/>
    <x v="1429"/>
    <x v="18"/>
    <n v="223471"/>
  </r>
  <r>
    <s v="M0246"/>
    <x v="0"/>
    <x v="1429"/>
    <x v="18"/>
    <n v="223471"/>
  </r>
  <r>
    <s v="M0246"/>
    <x v="0"/>
    <x v="1429"/>
    <x v="18"/>
    <n v="223471"/>
  </r>
  <r>
    <s v="M0246"/>
    <x v="0"/>
    <x v="1430"/>
    <x v="357"/>
    <n v="186559"/>
  </r>
  <r>
    <s v="M0246"/>
    <x v="0"/>
    <x v="1430"/>
    <x v="357"/>
    <n v="186559"/>
  </r>
  <r>
    <s v="M0246"/>
    <x v="0"/>
    <x v="1430"/>
    <x v="357"/>
    <n v="186559"/>
  </r>
  <r>
    <s v="M0246"/>
    <x v="0"/>
    <x v="1430"/>
    <x v="357"/>
    <n v="186559"/>
  </r>
  <r>
    <s v="M0246"/>
    <x v="0"/>
    <x v="1431"/>
    <x v="113"/>
    <n v="507037"/>
  </r>
  <r>
    <s v="M0246"/>
    <x v="0"/>
    <x v="1431"/>
    <x v="113"/>
    <n v="507037"/>
  </r>
  <r>
    <s v="M0246"/>
    <x v="0"/>
    <x v="1431"/>
    <x v="113"/>
    <n v="507037"/>
  </r>
  <r>
    <s v="M0246"/>
    <x v="0"/>
    <x v="1431"/>
    <x v="113"/>
    <n v="507037"/>
  </r>
  <r>
    <s v="M0246"/>
    <x v="0"/>
    <x v="1432"/>
    <x v="263"/>
    <n v="264379"/>
  </r>
  <r>
    <s v="M0246"/>
    <x v="0"/>
    <x v="1432"/>
    <x v="263"/>
    <n v="264379"/>
  </r>
  <r>
    <s v="M0246"/>
    <x v="0"/>
    <x v="1432"/>
    <x v="263"/>
    <n v="264379"/>
  </r>
  <r>
    <s v="M0246"/>
    <x v="0"/>
    <x v="1432"/>
    <x v="263"/>
    <n v="264379"/>
  </r>
  <r>
    <s v="M0246"/>
    <x v="0"/>
    <x v="1433"/>
    <x v="15"/>
    <n v="346399"/>
  </r>
  <r>
    <s v="M0246"/>
    <x v="0"/>
    <x v="1433"/>
    <x v="15"/>
    <n v="346399"/>
  </r>
  <r>
    <s v="M0246"/>
    <x v="0"/>
    <x v="1433"/>
    <x v="15"/>
    <n v="346399"/>
  </r>
  <r>
    <s v="M0246"/>
    <x v="0"/>
    <x v="1433"/>
    <x v="15"/>
    <n v="346399"/>
  </r>
  <r>
    <s v="M0246"/>
    <x v="0"/>
    <x v="1434"/>
    <x v="66"/>
    <n v="25000"/>
  </r>
  <r>
    <s v="M0246"/>
    <x v="0"/>
    <x v="1434"/>
    <x v="66"/>
    <n v="25000"/>
  </r>
  <r>
    <s v="M0246"/>
    <x v="0"/>
    <x v="1434"/>
    <x v="66"/>
    <n v="25000"/>
  </r>
  <r>
    <s v="M0246"/>
    <x v="0"/>
    <x v="1434"/>
    <x v="66"/>
    <n v="25000"/>
  </r>
  <r>
    <s v="M0246"/>
    <x v="0"/>
    <x v="1435"/>
    <x v="303"/>
    <n v="237681"/>
  </r>
  <r>
    <s v="M0246"/>
    <x v="0"/>
    <x v="1435"/>
    <x v="303"/>
    <n v="237681"/>
  </r>
  <r>
    <s v="M0246"/>
    <x v="0"/>
    <x v="1435"/>
    <x v="303"/>
    <n v="237681"/>
  </r>
  <r>
    <s v="M0246"/>
    <x v="0"/>
    <x v="1435"/>
    <x v="303"/>
    <n v="237681"/>
  </r>
  <r>
    <s v="M0246"/>
    <x v="0"/>
    <x v="1436"/>
    <x v="342"/>
    <n v="133852"/>
  </r>
  <r>
    <s v="M0246"/>
    <x v="0"/>
    <x v="1436"/>
    <x v="342"/>
    <n v="133852"/>
  </r>
  <r>
    <s v="M0246"/>
    <x v="0"/>
    <x v="1436"/>
    <x v="342"/>
    <n v="133852"/>
  </r>
  <r>
    <s v="M0246"/>
    <x v="0"/>
    <x v="1436"/>
    <x v="342"/>
    <n v="133852"/>
  </r>
  <r>
    <s v="M0246"/>
    <x v="0"/>
    <x v="1437"/>
    <x v="143"/>
    <n v="459826"/>
  </r>
  <r>
    <s v="M0246"/>
    <x v="0"/>
    <x v="1437"/>
    <x v="143"/>
    <n v="459826"/>
  </r>
  <r>
    <s v="M0246"/>
    <x v="0"/>
    <x v="1437"/>
    <x v="143"/>
    <n v="459826"/>
  </r>
  <r>
    <s v="M0246"/>
    <x v="0"/>
    <x v="1437"/>
    <x v="143"/>
    <n v="459826"/>
  </r>
  <r>
    <s v="M0246"/>
    <x v="0"/>
    <x v="1438"/>
    <x v="16"/>
    <n v="90370"/>
  </r>
  <r>
    <s v="M0246"/>
    <x v="0"/>
    <x v="1438"/>
    <x v="16"/>
    <n v="90370"/>
  </r>
  <r>
    <s v="M0246"/>
    <x v="0"/>
    <x v="1438"/>
    <x v="16"/>
    <n v="90370"/>
  </r>
  <r>
    <s v="M0246"/>
    <x v="0"/>
    <x v="1438"/>
    <x v="16"/>
    <n v="90370"/>
  </r>
  <r>
    <s v="M0246"/>
    <x v="0"/>
    <x v="1439"/>
    <x v="276"/>
    <n v="121775"/>
  </r>
  <r>
    <s v="M0246"/>
    <x v="0"/>
    <x v="1439"/>
    <x v="276"/>
    <n v="121775"/>
  </r>
  <r>
    <s v="M0246"/>
    <x v="0"/>
    <x v="1439"/>
    <x v="276"/>
    <n v="121775"/>
  </r>
  <r>
    <s v="M0246"/>
    <x v="0"/>
    <x v="1439"/>
    <x v="276"/>
    <n v="121775"/>
  </r>
  <r>
    <s v="M0246"/>
    <x v="0"/>
    <x v="1440"/>
    <x v="61"/>
    <n v="559404"/>
  </r>
  <r>
    <s v="M0246"/>
    <x v="0"/>
    <x v="1440"/>
    <x v="61"/>
    <n v="559404"/>
  </r>
  <r>
    <s v="M0246"/>
    <x v="0"/>
    <x v="1440"/>
    <x v="61"/>
    <n v="559404"/>
  </r>
  <r>
    <s v="M0246"/>
    <x v="0"/>
    <x v="1440"/>
    <x v="61"/>
    <n v="559404"/>
  </r>
  <r>
    <s v="M0246"/>
    <x v="0"/>
    <x v="1441"/>
    <x v="35"/>
    <n v="251392"/>
  </r>
  <r>
    <s v="M0246"/>
    <x v="0"/>
    <x v="1441"/>
    <x v="35"/>
    <n v="251392"/>
  </r>
  <r>
    <s v="M0246"/>
    <x v="0"/>
    <x v="1441"/>
    <x v="35"/>
    <n v="251392"/>
  </r>
  <r>
    <s v="M0246"/>
    <x v="0"/>
    <x v="1441"/>
    <x v="35"/>
    <n v="251392"/>
  </r>
  <r>
    <s v="M0246"/>
    <x v="0"/>
    <x v="1442"/>
    <x v="342"/>
    <n v="175461"/>
  </r>
  <r>
    <s v="M0246"/>
    <x v="0"/>
    <x v="1442"/>
    <x v="342"/>
    <n v="175461"/>
  </r>
  <r>
    <s v="M0246"/>
    <x v="0"/>
    <x v="1442"/>
    <x v="342"/>
    <n v="175461"/>
  </r>
  <r>
    <s v="M0246"/>
    <x v="0"/>
    <x v="1442"/>
    <x v="342"/>
    <n v="175461"/>
  </r>
  <r>
    <s v="M0246"/>
    <x v="0"/>
    <x v="1443"/>
    <x v="336"/>
    <n v="434312"/>
  </r>
  <r>
    <s v="M0246"/>
    <x v="0"/>
    <x v="1443"/>
    <x v="336"/>
    <n v="434312"/>
  </r>
  <r>
    <s v="M0246"/>
    <x v="0"/>
    <x v="1443"/>
    <x v="336"/>
    <n v="434312"/>
  </r>
  <r>
    <s v="M0246"/>
    <x v="0"/>
    <x v="1443"/>
    <x v="336"/>
    <n v="434312"/>
  </r>
  <r>
    <s v="M0246"/>
    <x v="0"/>
    <x v="1444"/>
    <x v="80"/>
    <n v="216286"/>
  </r>
  <r>
    <s v="M0246"/>
    <x v="0"/>
    <x v="1444"/>
    <x v="80"/>
    <n v="216286"/>
  </r>
  <r>
    <s v="M0246"/>
    <x v="0"/>
    <x v="1444"/>
    <x v="80"/>
    <n v="216286"/>
  </r>
  <r>
    <s v="M0246"/>
    <x v="0"/>
    <x v="1444"/>
    <x v="80"/>
    <n v="216286"/>
  </r>
  <r>
    <s v="M0246"/>
    <x v="0"/>
    <x v="1445"/>
    <x v="271"/>
    <n v="321489"/>
  </r>
  <r>
    <s v="M0246"/>
    <x v="0"/>
    <x v="1445"/>
    <x v="271"/>
    <n v="321489"/>
  </r>
  <r>
    <s v="M0246"/>
    <x v="0"/>
    <x v="1445"/>
    <x v="271"/>
    <n v="321489"/>
  </r>
  <r>
    <s v="M0246"/>
    <x v="0"/>
    <x v="1445"/>
    <x v="271"/>
    <n v="321489"/>
  </r>
  <r>
    <s v="M0246"/>
    <x v="0"/>
    <x v="1446"/>
    <x v="313"/>
    <n v="76961"/>
  </r>
  <r>
    <s v="M0246"/>
    <x v="0"/>
    <x v="1446"/>
    <x v="313"/>
    <n v="76961"/>
  </r>
  <r>
    <s v="M0246"/>
    <x v="0"/>
    <x v="1446"/>
    <x v="313"/>
    <n v="76961"/>
  </r>
  <r>
    <s v="M0246"/>
    <x v="0"/>
    <x v="1446"/>
    <x v="313"/>
    <n v="76961"/>
  </r>
  <r>
    <s v="M0078"/>
    <x v="0"/>
    <x v="1447"/>
    <x v="0"/>
    <n v="67496"/>
  </r>
  <r>
    <s v="M0078"/>
    <x v="0"/>
    <x v="1447"/>
    <x v="0"/>
    <n v="67496"/>
  </r>
  <r>
    <s v="M0078"/>
    <x v="0"/>
    <x v="1448"/>
    <x v="19"/>
    <n v="720699"/>
  </r>
  <r>
    <s v="M0078"/>
    <x v="0"/>
    <x v="1448"/>
    <x v="19"/>
    <n v="720699"/>
  </r>
  <r>
    <s v="M0078"/>
    <x v="0"/>
    <x v="1449"/>
    <x v="293"/>
    <n v="222599"/>
  </r>
  <r>
    <s v="M0078"/>
    <x v="0"/>
    <x v="1449"/>
    <x v="293"/>
    <n v="222599"/>
  </r>
  <r>
    <s v="M0078"/>
    <x v="0"/>
    <x v="1450"/>
    <x v="333"/>
    <n v="124429"/>
  </r>
  <r>
    <s v="M0078"/>
    <x v="0"/>
    <x v="1450"/>
    <x v="333"/>
    <n v="124429"/>
  </r>
  <r>
    <s v="M0078"/>
    <x v="0"/>
    <x v="1451"/>
    <x v="217"/>
    <n v="156836"/>
  </r>
  <r>
    <s v="M0078"/>
    <x v="0"/>
    <x v="1451"/>
    <x v="217"/>
    <n v="156836"/>
  </r>
  <r>
    <s v="M0078"/>
    <x v="0"/>
    <x v="1452"/>
    <x v="263"/>
    <n v="258580"/>
  </r>
  <r>
    <s v="M0078"/>
    <x v="0"/>
    <x v="1452"/>
    <x v="263"/>
    <n v="258580"/>
  </r>
  <r>
    <s v="M0165"/>
    <x v="1"/>
    <x v="1453"/>
    <x v="224"/>
    <n v="321801"/>
  </r>
  <r>
    <s v="M0165"/>
    <x v="1"/>
    <x v="1453"/>
    <x v="224"/>
    <n v="321801"/>
  </r>
  <r>
    <s v="M0165"/>
    <x v="1"/>
    <x v="1453"/>
    <x v="224"/>
    <n v="321801"/>
  </r>
  <r>
    <s v="M0165"/>
    <x v="1"/>
    <x v="1453"/>
    <x v="224"/>
    <n v="321801"/>
  </r>
  <r>
    <s v="M0165"/>
    <x v="1"/>
    <x v="1453"/>
    <x v="224"/>
    <n v="321801"/>
  </r>
  <r>
    <s v="M0165"/>
    <x v="1"/>
    <x v="1453"/>
    <x v="224"/>
    <n v="321801"/>
  </r>
  <r>
    <s v="M0165"/>
    <x v="1"/>
    <x v="1454"/>
    <x v="325"/>
    <n v="199643"/>
  </r>
  <r>
    <s v="M0165"/>
    <x v="1"/>
    <x v="1454"/>
    <x v="325"/>
    <n v="199643"/>
  </r>
  <r>
    <s v="M0165"/>
    <x v="1"/>
    <x v="1454"/>
    <x v="325"/>
    <n v="199643"/>
  </r>
  <r>
    <s v="M0165"/>
    <x v="1"/>
    <x v="1454"/>
    <x v="325"/>
    <n v="199643"/>
  </r>
  <r>
    <s v="M0165"/>
    <x v="1"/>
    <x v="1454"/>
    <x v="325"/>
    <n v="199643"/>
  </r>
  <r>
    <s v="M0165"/>
    <x v="1"/>
    <x v="1454"/>
    <x v="325"/>
    <n v="199643"/>
  </r>
  <r>
    <s v="M0165"/>
    <x v="1"/>
    <x v="1455"/>
    <x v="136"/>
    <n v="191174"/>
  </r>
  <r>
    <s v="M0165"/>
    <x v="1"/>
    <x v="1455"/>
    <x v="136"/>
    <n v="191174"/>
  </r>
  <r>
    <s v="M0165"/>
    <x v="1"/>
    <x v="1455"/>
    <x v="136"/>
    <n v="191174"/>
  </r>
  <r>
    <s v="M0165"/>
    <x v="1"/>
    <x v="1455"/>
    <x v="136"/>
    <n v="191174"/>
  </r>
  <r>
    <s v="M0165"/>
    <x v="1"/>
    <x v="1455"/>
    <x v="136"/>
    <n v="191174"/>
  </r>
  <r>
    <s v="M0165"/>
    <x v="1"/>
    <x v="1455"/>
    <x v="136"/>
    <n v="191174"/>
  </r>
  <r>
    <s v="M0165"/>
    <x v="1"/>
    <x v="1456"/>
    <x v="268"/>
    <n v="436413"/>
  </r>
  <r>
    <s v="M0165"/>
    <x v="1"/>
    <x v="1456"/>
    <x v="268"/>
    <n v="436413"/>
  </r>
  <r>
    <s v="M0165"/>
    <x v="1"/>
    <x v="1456"/>
    <x v="268"/>
    <n v="436413"/>
  </r>
  <r>
    <s v="M0165"/>
    <x v="1"/>
    <x v="1456"/>
    <x v="268"/>
    <n v="436413"/>
  </r>
  <r>
    <s v="M0165"/>
    <x v="1"/>
    <x v="1456"/>
    <x v="268"/>
    <n v="436413"/>
  </r>
  <r>
    <s v="M0165"/>
    <x v="1"/>
    <x v="1456"/>
    <x v="268"/>
    <n v="436413"/>
  </r>
  <r>
    <s v="M0165"/>
    <x v="1"/>
    <x v="1457"/>
    <x v="213"/>
    <n v="149195"/>
  </r>
  <r>
    <s v="M0165"/>
    <x v="1"/>
    <x v="1457"/>
    <x v="213"/>
    <n v="149195"/>
  </r>
  <r>
    <s v="M0165"/>
    <x v="1"/>
    <x v="1457"/>
    <x v="213"/>
    <n v="149195"/>
  </r>
  <r>
    <s v="M0165"/>
    <x v="1"/>
    <x v="1457"/>
    <x v="213"/>
    <n v="149195"/>
  </r>
  <r>
    <s v="M0165"/>
    <x v="1"/>
    <x v="1457"/>
    <x v="213"/>
    <n v="149195"/>
  </r>
  <r>
    <s v="M0165"/>
    <x v="1"/>
    <x v="1457"/>
    <x v="213"/>
    <n v="149195"/>
  </r>
  <r>
    <s v="M0037"/>
    <x v="1"/>
    <x v="1458"/>
    <x v="17"/>
    <n v="127601"/>
  </r>
  <r>
    <s v="M0037"/>
    <x v="1"/>
    <x v="1458"/>
    <x v="17"/>
    <n v="127601"/>
  </r>
  <r>
    <s v="M0037"/>
    <x v="1"/>
    <x v="1458"/>
    <x v="17"/>
    <n v="127601"/>
  </r>
  <r>
    <s v="M0037"/>
    <x v="1"/>
    <x v="1458"/>
    <x v="17"/>
    <n v="127601"/>
  </r>
  <r>
    <s v="M0037"/>
    <x v="1"/>
    <x v="1459"/>
    <x v="244"/>
    <n v="64491"/>
  </r>
  <r>
    <s v="M0037"/>
    <x v="1"/>
    <x v="1459"/>
    <x v="244"/>
    <n v="64491"/>
  </r>
  <r>
    <s v="M0037"/>
    <x v="1"/>
    <x v="1459"/>
    <x v="244"/>
    <n v="64491"/>
  </r>
  <r>
    <s v="M0037"/>
    <x v="1"/>
    <x v="1459"/>
    <x v="244"/>
    <n v="64491"/>
  </r>
  <r>
    <s v="M0037"/>
    <x v="1"/>
    <x v="1460"/>
    <x v="316"/>
    <n v="25079"/>
  </r>
  <r>
    <s v="M0037"/>
    <x v="1"/>
    <x v="1460"/>
    <x v="316"/>
    <n v="25079"/>
  </r>
  <r>
    <s v="M0037"/>
    <x v="1"/>
    <x v="1460"/>
    <x v="316"/>
    <n v="25079"/>
  </r>
  <r>
    <s v="M0037"/>
    <x v="1"/>
    <x v="1460"/>
    <x v="316"/>
    <n v="25079"/>
  </r>
  <r>
    <s v="M0212"/>
    <x v="2"/>
    <x v="1461"/>
    <x v="315"/>
    <n v="357696"/>
  </r>
  <r>
    <s v="M0212"/>
    <x v="2"/>
    <x v="1462"/>
    <x v="114"/>
    <n v="233114"/>
  </r>
  <r>
    <s v="M0212"/>
    <x v="2"/>
    <x v="1463"/>
    <x v="257"/>
    <n v="602043"/>
  </r>
  <r>
    <s v="M0212"/>
    <x v="2"/>
    <x v="1464"/>
    <x v="149"/>
    <n v="32582"/>
  </r>
  <r>
    <s v="M0212"/>
    <x v="2"/>
    <x v="1465"/>
    <x v="166"/>
    <n v="242794"/>
  </r>
  <r>
    <s v="M0212"/>
    <x v="2"/>
    <x v="1466"/>
    <x v="34"/>
    <n v="186879"/>
  </r>
  <r>
    <s v="M0193"/>
    <x v="1"/>
    <x v="1467"/>
    <x v="229"/>
    <n v="278364"/>
  </r>
  <r>
    <s v="M0193"/>
    <x v="1"/>
    <x v="1467"/>
    <x v="229"/>
    <n v="278364"/>
  </r>
  <r>
    <s v="M0193"/>
    <x v="1"/>
    <x v="1467"/>
    <x v="229"/>
    <n v="278364"/>
  </r>
  <r>
    <s v="M0193"/>
    <x v="1"/>
    <x v="1468"/>
    <x v="265"/>
    <n v="361907"/>
  </r>
  <r>
    <s v="M0193"/>
    <x v="1"/>
    <x v="1468"/>
    <x v="265"/>
    <n v="361907"/>
  </r>
  <r>
    <s v="M0193"/>
    <x v="1"/>
    <x v="1468"/>
    <x v="265"/>
    <n v="361907"/>
  </r>
  <r>
    <s v="M0193"/>
    <x v="1"/>
    <x v="1469"/>
    <x v="310"/>
    <n v="626740"/>
  </r>
  <r>
    <s v="M0193"/>
    <x v="1"/>
    <x v="1469"/>
    <x v="310"/>
    <n v="626740"/>
  </r>
  <r>
    <s v="M0193"/>
    <x v="1"/>
    <x v="1469"/>
    <x v="310"/>
    <n v="626740"/>
  </r>
  <r>
    <s v="M0193"/>
    <x v="1"/>
    <x v="1470"/>
    <x v="44"/>
    <n v="241289"/>
  </r>
  <r>
    <s v="M0193"/>
    <x v="1"/>
    <x v="1470"/>
    <x v="44"/>
    <n v="241289"/>
  </r>
  <r>
    <s v="M0193"/>
    <x v="1"/>
    <x v="1470"/>
    <x v="44"/>
    <n v="241289"/>
  </r>
  <r>
    <s v="M0193"/>
    <x v="1"/>
    <x v="1471"/>
    <x v="202"/>
    <n v="176517"/>
  </r>
  <r>
    <s v="M0193"/>
    <x v="1"/>
    <x v="1471"/>
    <x v="202"/>
    <n v="176517"/>
  </r>
  <r>
    <s v="M0193"/>
    <x v="1"/>
    <x v="1471"/>
    <x v="202"/>
    <n v="176517"/>
  </r>
  <r>
    <s v="M0193"/>
    <x v="1"/>
    <x v="1472"/>
    <x v="263"/>
    <n v="155091"/>
  </r>
  <r>
    <s v="M0193"/>
    <x v="1"/>
    <x v="1472"/>
    <x v="263"/>
    <n v="155091"/>
  </r>
  <r>
    <s v="M0193"/>
    <x v="1"/>
    <x v="1472"/>
    <x v="263"/>
    <n v="155091"/>
  </r>
  <r>
    <s v="M0193"/>
    <x v="1"/>
    <x v="1473"/>
    <x v="28"/>
    <n v="754792"/>
  </r>
  <r>
    <s v="M0193"/>
    <x v="1"/>
    <x v="1473"/>
    <x v="28"/>
    <n v="754792"/>
  </r>
  <r>
    <s v="M0193"/>
    <x v="1"/>
    <x v="1473"/>
    <x v="28"/>
    <n v="754792"/>
  </r>
  <r>
    <s v="M0193"/>
    <x v="1"/>
    <x v="1474"/>
    <x v="200"/>
    <n v="2041534"/>
  </r>
  <r>
    <s v="M0193"/>
    <x v="1"/>
    <x v="1474"/>
    <x v="200"/>
    <n v="2041534"/>
  </r>
  <r>
    <s v="M0193"/>
    <x v="1"/>
    <x v="1474"/>
    <x v="200"/>
    <n v="2041534"/>
  </r>
  <r>
    <s v="M0109"/>
    <x v="0"/>
    <x v="1475"/>
    <x v="0"/>
    <n v="218712"/>
  </r>
  <r>
    <s v="M0109"/>
    <x v="0"/>
    <x v="1475"/>
    <x v="0"/>
    <n v="218712"/>
  </r>
  <r>
    <s v="M0109"/>
    <x v="0"/>
    <x v="1476"/>
    <x v="53"/>
    <n v="96433"/>
  </r>
  <r>
    <s v="M0109"/>
    <x v="0"/>
    <x v="1476"/>
    <x v="53"/>
    <n v="96433"/>
  </r>
  <r>
    <s v="M0109"/>
    <x v="0"/>
    <x v="1477"/>
    <x v="182"/>
    <n v="230314"/>
  </r>
  <r>
    <s v="M0109"/>
    <x v="0"/>
    <x v="1477"/>
    <x v="182"/>
    <n v="230314"/>
  </r>
  <r>
    <s v="M0109"/>
    <x v="0"/>
    <x v="1478"/>
    <x v="242"/>
    <n v="94991"/>
  </r>
  <r>
    <s v="M0109"/>
    <x v="0"/>
    <x v="1478"/>
    <x v="242"/>
    <n v="94991"/>
  </r>
  <r>
    <s v="M0109"/>
    <x v="0"/>
    <x v="1479"/>
    <x v="126"/>
    <n v="482873"/>
  </r>
  <r>
    <s v="M0109"/>
    <x v="0"/>
    <x v="1479"/>
    <x v="126"/>
    <n v="482873"/>
  </r>
  <r>
    <s v="M0109"/>
    <x v="0"/>
    <x v="1480"/>
    <x v="53"/>
    <n v="749109"/>
  </r>
  <r>
    <s v="M0109"/>
    <x v="0"/>
    <x v="1480"/>
    <x v="53"/>
    <n v="749109"/>
  </r>
  <r>
    <s v="M0290"/>
    <x v="0"/>
    <x v="1481"/>
    <x v="58"/>
    <n v="178819"/>
  </r>
  <r>
    <s v="M0290"/>
    <x v="0"/>
    <x v="1482"/>
    <x v="311"/>
    <n v="190326"/>
  </r>
  <r>
    <s v="M0290"/>
    <x v="0"/>
    <x v="1483"/>
    <x v="300"/>
    <n v="151499"/>
  </r>
  <r>
    <s v="M0290"/>
    <x v="0"/>
    <x v="1484"/>
    <x v="7"/>
    <n v="94092"/>
  </r>
  <r>
    <s v="M0290"/>
    <x v="0"/>
    <x v="1485"/>
    <x v="282"/>
    <n v="499770"/>
  </r>
  <r>
    <s v="M0290"/>
    <x v="0"/>
    <x v="1486"/>
    <x v="158"/>
    <n v="568580"/>
  </r>
  <r>
    <s v="M0290"/>
    <x v="0"/>
    <x v="1487"/>
    <x v="197"/>
    <n v="420218"/>
  </r>
  <r>
    <s v="M0290"/>
    <x v="0"/>
    <x v="1488"/>
    <x v="183"/>
    <n v="258688"/>
  </r>
  <r>
    <s v="M0290"/>
    <x v="0"/>
    <x v="1489"/>
    <x v="126"/>
    <n v="41426"/>
  </r>
  <r>
    <s v="M0290"/>
    <x v="0"/>
    <x v="1490"/>
    <x v="107"/>
    <n v="281126"/>
  </r>
  <r>
    <s v="M0099"/>
    <x v="1"/>
    <x v="1491"/>
    <x v="305"/>
    <n v="344426"/>
  </r>
  <r>
    <s v="M0099"/>
    <x v="1"/>
    <x v="1491"/>
    <x v="305"/>
    <n v="344426"/>
  </r>
  <r>
    <s v="M0099"/>
    <x v="1"/>
    <x v="1491"/>
    <x v="305"/>
    <n v="344426"/>
  </r>
  <r>
    <s v="M0099"/>
    <x v="1"/>
    <x v="1492"/>
    <x v="101"/>
    <n v="94551"/>
  </r>
  <r>
    <s v="M0099"/>
    <x v="1"/>
    <x v="1492"/>
    <x v="101"/>
    <n v="94551"/>
  </r>
  <r>
    <s v="M0099"/>
    <x v="1"/>
    <x v="1492"/>
    <x v="101"/>
    <n v="94551"/>
  </r>
  <r>
    <s v="M0099"/>
    <x v="1"/>
    <x v="1493"/>
    <x v="279"/>
    <n v="469079"/>
  </r>
  <r>
    <s v="M0099"/>
    <x v="1"/>
    <x v="1493"/>
    <x v="279"/>
    <n v="469079"/>
  </r>
  <r>
    <s v="M0099"/>
    <x v="1"/>
    <x v="1493"/>
    <x v="279"/>
    <n v="469079"/>
  </r>
  <r>
    <s v="M0099"/>
    <x v="1"/>
    <x v="1494"/>
    <x v="76"/>
    <n v="285747"/>
  </r>
  <r>
    <s v="M0099"/>
    <x v="1"/>
    <x v="1494"/>
    <x v="76"/>
    <n v="285747"/>
  </r>
  <r>
    <s v="M0099"/>
    <x v="1"/>
    <x v="1494"/>
    <x v="76"/>
    <n v="285747"/>
  </r>
  <r>
    <s v="M0099"/>
    <x v="1"/>
    <x v="1495"/>
    <x v="276"/>
    <n v="185448"/>
  </r>
  <r>
    <s v="M0099"/>
    <x v="1"/>
    <x v="1495"/>
    <x v="276"/>
    <n v="185448"/>
  </r>
  <r>
    <s v="M0099"/>
    <x v="1"/>
    <x v="1495"/>
    <x v="276"/>
    <n v="185448"/>
  </r>
  <r>
    <s v="M0099"/>
    <x v="1"/>
    <x v="1496"/>
    <x v="289"/>
    <n v="262135"/>
  </r>
  <r>
    <s v="M0099"/>
    <x v="1"/>
    <x v="1496"/>
    <x v="289"/>
    <n v="262135"/>
  </r>
  <r>
    <s v="M0099"/>
    <x v="1"/>
    <x v="1496"/>
    <x v="289"/>
    <n v="262135"/>
  </r>
  <r>
    <s v="M0194"/>
    <x v="0"/>
    <x v="1497"/>
    <x v="230"/>
    <n v="319391"/>
  </r>
  <r>
    <s v="M0194"/>
    <x v="0"/>
    <x v="1497"/>
    <x v="230"/>
    <n v="319391"/>
  </r>
  <r>
    <s v="M0194"/>
    <x v="0"/>
    <x v="1497"/>
    <x v="230"/>
    <n v="319391"/>
  </r>
  <r>
    <s v="M0194"/>
    <x v="0"/>
    <x v="1497"/>
    <x v="230"/>
    <n v="319391"/>
  </r>
  <r>
    <s v="M0194"/>
    <x v="0"/>
    <x v="1497"/>
    <x v="230"/>
    <n v="319391"/>
  </r>
  <r>
    <s v="M0194"/>
    <x v="0"/>
    <x v="1498"/>
    <x v="277"/>
    <n v="177754"/>
  </r>
  <r>
    <s v="M0194"/>
    <x v="0"/>
    <x v="1498"/>
    <x v="277"/>
    <n v="177754"/>
  </r>
  <r>
    <s v="M0194"/>
    <x v="0"/>
    <x v="1498"/>
    <x v="277"/>
    <n v="177754"/>
  </r>
  <r>
    <s v="M0194"/>
    <x v="0"/>
    <x v="1498"/>
    <x v="277"/>
    <n v="177754"/>
  </r>
  <r>
    <s v="M0194"/>
    <x v="0"/>
    <x v="1498"/>
    <x v="277"/>
    <n v="177754"/>
  </r>
  <r>
    <s v="M0194"/>
    <x v="0"/>
    <x v="1499"/>
    <x v="183"/>
    <n v="160001"/>
  </r>
  <r>
    <s v="M0194"/>
    <x v="0"/>
    <x v="1499"/>
    <x v="183"/>
    <n v="160001"/>
  </r>
  <r>
    <s v="M0194"/>
    <x v="0"/>
    <x v="1499"/>
    <x v="183"/>
    <n v="160001"/>
  </r>
  <r>
    <s v="M0194"/>
    <x v="0"/>
    <x v="1499"/>
    <x v="183"/>
    <n v="160001"/>
  </r>
  <r>
    <s v="M0194"/>
    <x v="0"/>
    <x v="1499"/>
    <x v="183"/>
    <n v="160001"/>
  </r>
  <r>
    <s v="M0194"/>
    <x v="0"/>
    <x v="1500"/>
    <x v="293"/>
    <n v="88805"/>
  </r>
  <r>
    <s v="M0194"/>
    <x v="0"/>
    <x v="1500"/>
    <x v="293"/>
    <n v="88805"/>
  </r>
  <r>
    <s v="M0194"/>
    <x v="0"/>
    <x v="1500"/>
    <x v="293"/>
    <n v="88805"/>
  </r>
  <r>
    <s v="M0194"/>
    <x v="0"/>
    <x v="1500"/>
    <x v="293"/>
    <n v="88805"/>
  </r>
  <r>
    <s v="M0194"/>
    <x v="0"/>
    <x v="1500"/>
    <x v="293"/>
    <n v="88805"/>
  </r>
  <r>
    <s v="M0273"/>
    <x v="1"/>
    <x v="1501"/>
    <x v="253"/>
    <n v="265774"/>
  </r>
  <r>
    <s v="M0273"/>
    <x v="1"/>
    <x v="1501"/>
    <x v="253"/>
    <n v="265774"/>
  </r>
  <r>
    <s v="M0273"/>
    <x v="1"/>
    <x v="1501"/>
    <x v="253"/>
    <n v="265774"/>
  </r>
  <r>
    <s v="M0273"/>
    <x v="1"/>
    <x v="1501"/>
    <x v="253"/>
    <n v="265774"/>
  </r>
  <r>
    <s v="M0273"/>
    <x v="1"/>
    <x v="1502"/>
    <x v="276"/>
    <n v="573440"/>
  </r>
  <r>
    <s v="M0273"/>
    <x v="1"/>
    <x v="1502"/>
    <x v="276"/>
    <n v="573440"/>
  </r>
  <r>
    <s v="M0273"/>
    <x v="1"/>
    <x v="1502"/>
    <x v="276"/>
    <n v="573440"/>
  </r>
  <r>
    <s v="M0273"/>
    <x v="1"/>
    <x v="1502"/>
    <x v="276"/>
    <n v="573440"/>
  </r>
  <r>
    <s v="M0273"/>
    <x v="1"/>
    <x v="1503"/>
    <x v="300"/>
    <n v="98680"/>
  </r>
  <r>
    <s v="M0273"/>
    <x v="1"/>
    <x v="1503"/>
    <x v="300"/>
    <n v="98680"/>
  </r>
  <r>
    <s v="M0273"/>
    <x v="1"/>
    <x v="1503"/>
    <x v="300"/>
    <n v="98680"/>
  </r>
  <r>
    <s v="M0273"/>
    <x v="1"/>
    <x v="1503"/>
    <x v="300"/>
    <n v="98680"/>
  </r>
  <r>
    <s v="M0273"/>
    <x v="1"/>
    <x v="1504"/>
    <x v="38"/>
    <n v="456135"/>
  </r>
  <r>
    <s v="M0273"/>
    <x v="1"/>
    <x v="1504"/>
    <x v="38"/>
    <n v="456135"/>
  </r>
  <r>
    <s v="M0273"/>
    <x v="1"/>
    <x v="1504"/>
    <x v="38"/>
    <n v="456135"/>
  </r>
  <r>
    <s v="M0273"/>
    <x v="1"/>
    <x v="1504"/>
    <x v="38"/>
    <n v="456135"/>
  </r>
  <r>
    <s v="M0273"/>
    <x v="1"/>
    <x v="1505"/>
    <x v="46"/>
    <n v="91895"/>
  </r>
  <r>
    <s v="M0273"/>
    <x v="1"/>
    <x v="1505"/>
    <x v="46"/>
    <n v="91895"/>
  </r>
  <r>
    <s v="M0273"/>
    <x v="1"/>
    <x v="1505"/>
    <x v="46"/>
    <n v="91895"/>
  </r>
  <r>
    <s v="M0273"/>
    <x v="1"/>
    <x v="1505"/>
    <x v="46"/>
    <n v="91895"/>
  </r>
  <r>
    <s v="M0273"/>
    <x v="1"/>
    <x v="1506"/>
    <x v="109"/>
    <n v="383955"/>
  </r>
  <r>
    <s v="M0273"/>
    <x v="1"/>
    <x v="1506"/>
    <x v="109"/>
    <n v="383955"/>
  </r>
  <r>
    <s v="M0273"/>
    <x v="1"/>
    <x v="1506"/>
    <x v="109"/>
    <n v="383955"/>
  </r>
  <r>
    <s v="M0273"/>
    <x v="1"/>
    <x v="1506"/>
    <x v="109"/>
    <n v="383955"/>
  </r>
  <r>
    <s v="M0273"/>
    <x v="1"/>
    <x v="1507"/>
    <x v="131"/>
    <n v="638305"/>
  </r>
  <r>
    <s v="M0273"/>
    <x v="1"/>
    <x v="1507"/>
    <x v="131"/>
    <n v="638305"/>
  </r>
  <r>
    <s v="M0273"/>
    <x v="1"/>
    <x v="1507"/>
    <x v="131"/>
    <n v="638305"/>
  </r>
  <r>
    <s v="M0273"/>
    <x v="1"/>
    <x v="1507"/>
    <x v="131"/>
    <n v="638305"/>
  </r>
  <r>
    <s v="M0273"/>
    <x v="1"/>
    <x v="1508"/>
    <x v="20"/>
    <n v="209028"/>
  </r>
  <r>
    <s v="M0273"/>
    <x v="1"/>
    <x v="1508"/>
    <x v="20"/>
    <n v="209028"/>
  </r>
  <r>
    <s v="M0273"/>
    <x v="1"/>
    <x v="1508"/>
    <x v="20"/>
    <n v="209028"/>
  </r>
  <r>
    <s v="M0273"/>
    <x v="1"/>
    <x v="1508"/>
    <x v="20"/>
    <n v="209028"/>
  </r>
  <r>
    <s v="M0054"/>
    <x v="2"/>
    <x v="1509"/>
    <x v="205"/>
    <n v="279500"/>
  </r>
  <r>
    <s v="M0054"/>
    <x v="2"/>
    <x v="1510"/>
    <x v="229"/>
    <n v="624534"/>
  </r>
  <r>
    <s v="M0054"/>
    <x v="2"/>
    <x v="1511"/>
    <x v="269"/>
    <n v="219014"/>
  </r>
  <r>
    <s v="M0054"/>
    <x v="2"/>
    <x v="1512"/>
    <x v="78"/>
    <n v="361661"/>
  </r>
  <r>
    <s v="M0054"/>
    <x v="2"/>
    <x v="1513"/>
    <x v="222"/>
    <n v="181304"/>
  </r>
  <r>
    <s v="M0054"/>
    <x v="2"/>
    <x v="1514"/>
    <x v="76"/>
    <n v="288862"/>
  </r>
  <r>
    <s v="M0054"/>
    <x v="2"/>
    <x v="1515"/>
    <x v="82"/>
    <n v="397838"/>
  </r>
  <r>
    <s v="M0054"/>
    <x v="2"/>
    <x v="1516"/>
    <x v="143"/>
    <n v="328404"/>
  </r>
  <r>
    <s v="M0086"/>
    <x v="2"/>
    <x v="1517"/>
    <x v="63"/>
    <n v="385100"/>
  </r>
  <r>
    <s v="M0086"/>
    <x v="2"/>
    <x v="1518"/>
    <x v="113"/>
    <n v="149035"/>
  </r>
  <r>
    <s v="M0086"/>
    <x v="2"/>
    <x v="1519"/>
    <x v="21"/>
    <n v="279908"/>
  </r>
  <r>
    <s v="M0086"/>
    <x v="2"/>
    <x v="1520"/>
    <x v="219"/>
    <n v="190240"/>
  </r>
  <r>
    <s v="M0086"/>
    <x v="2"/>
    <x v="1521"/>
    <x v="1"/>
    <n v="210903"/>
  </r>
  <r>
    <s v="M0053"/>
    <x v="1"/>
    <x v="1522"/>
    <x v="147"/>
    <n v="444922"/>
  </r>
  <r>
    <s v="M0053"/>
    <x v="1"/>
    <x v="1522"/>
    <x v="147"/>
    <n v="444922"/>
  </r>
  <r>
    <s v="M0053"/>
    <x v="1"/>
    <x v="1522"/>
    <x v="147"/>
    <n v="444922"/>
  </r>
  <r>
    <s v="M0053"/>
    <x v="1"/>
    <x v="1522"/>
    <x v="147"/>
    <n v="444922"/>
  </r>
  <r>
    <s v="M0053"/>
    <x v="1"/>
    <x v="1523"/>
    <x v="87"/>
    <n v="382710"/>
  </r>
  <r>
    <s v="M0053"/>
    <x v="1"/>
    <x v="1523"/>
    <x v="87"/>
    <n v="382710"/>
  </r>
  <r>
    <s v="M0053"/>
    <x v="1"/>
    <x v="1523"/>
    <x v="87"/>
    <n v="382710"/>
  </r>
  <r>
    <s v="M0053"/>
    <x v="1"/>
    <x v="1523"/>
    <x v="87"/>
    <n v="382710"/>
  </r>
  <r>
    <s v="M0053"/>
    <x v="1"/>
    <x v="1524"/>
    <x v="205"/>
    <n v="805231"/>
  </r>
  <r>
    <s v="M0053"/>
    <x v="1"/>
    <x v="1524"/>
    <x v="205"/>
    <n v="805231"/>
  </r>
  <r>
    <s v="M0053"/>
    <x v="1"/>
    <x v="1524"/>
    <x v="205"/>
    <n v="805231"/>
  </r>
  <r>
    <s v="M0053"/>
    <x v="1"/>
    <x v="1524"/>
    <x v="205"/>
    <n v="805231"/>
  </r>
  <r>
    <s v="M0053"/>
    <x v="1"/>
    <x v="1525"/>
    <x v="14"/>
    <n v="532025"/>
  </r>
  <r>
    <s v="M0053"/>
    <x v="1"/>
    <x v="1525"/>
    <x v="14"/>
    <n v="532025"/>
  </r>
  <r>
    <s v="M0053"/>
    <x v="1"/>
    <x v="1525"/>
    <x v="14"/>
    <n v="532025"/>
  </r>
  <r>
    <s v="M0053"/>
    <x v="1"/>
    <x v="1525"/>
    <x v="14"/>
    <n v="532025"/>
  </r>
  <r>
    <s v="M0258"/>
    <x v="1"/>
    <x v="1526"/>
    <x v="333"/>
    <n v="141390"/>
  </r>
  <r>
    <s v="M0258"/>
    <x v="1"/>
    <x v="1526"/>
    <x v="333"/>
    <n v="141390"/>
  </r>
  <r>
    <s v="M0258"/>
    <x v="1"/>
    <x v="1527"/>
    <x v="118"/>
    <n v="552470"/>
  </r>
  <r>
    <s v="M0258"/>
    <x v="1"/>
    <x v="1527"/>
    <x v="118"/>
    <n v="552470"/>
  </r>
  <r>
    <s v="M0258"/>
    <x v="1"/>
    <x v="1528"/>
    <x v="313"/>
    <n v="180280"/>
  </r>
  <r>
    <s v="M0258"/>
    <x v="1"/>
    <x v="1528"/>
    <x v="313"/>
    <n v="180280"/>
  </r>
  <r>
    <s v="M0258"/>
    <x v="1"/>
    <x v="1529"/>
    <x v="68"/>
    <n v="305858"/>
  </r>
  <r>
    <s v="M0258"/>
    <x v="1"/>
    <x v="1529"/>
    <x v="68"/>
    <n v="305858"/>
  </r>
  <r>
    <s v="M0258"/>
    <x v="1"/>
    <x v="1530"/>
    <x v="146"/>
    <n v="226797"/>
  </r>
  <r>
    <s v="M0258"/>
    <x v="1"/>
    <x v="1530"/>
    <x v="146"/>
    <n v="226797"/>
  </r>
  <r>
    <s v="M0258"/>
    <x v="1"/>
    <x v="1531"/>
    <x v="294"/>
    <n v="555820"/>
  </r>
  <r>
    <s v="M0258"/>
    <x v="1"/>
    <x v="1531"/>
    <x v="294"/>
    <n v="555820"/>
  </r>
  <r>
    <s v="M0030"/>
    <x v="1"/>
    <x v="1532"/>
    <x v="91"/>
    <n v="997902"/>
  </r>
  <r>
    <s v="M0030"/>
    <x v="1"/>
    <x v="1532"/>
    <x v="91"/>
    <n v="997902"/>
  </r>
  <r>
    <s v="M0030"/>
    <x v="1"/>
    <x v="1532"/>
    <x v="91"/>
    <n v="997902"/>
  </r>
  <r>
    <s v="M0030"/>
    <x v="1"/>
    <x v="1533"/>
    <x v="154"/>
    <n v="171178"/>
  </r>
  <r>
    <s v="M0030"/>
    <x v="1"/>
    <x v="1533"/>
    <x v="154"/>
    <n v="171178"/>
  </r>
  <r>
    <s v="M0030"/>
    <x v="1"/>
    <x v="1533"/>
    <x v="154"/>
    <n v="171178"/>
  </r>
  <r>
    <s v="M0263"/>
    <x v="0"/>
    <x v="1534"/>
    <x v="117"/>
    <n v="500861"/>
  </r>
  <r>
    <s v="M0263"/>
    <x v="0"/>
    <x v="1534"/>
    <x v="117"/>
    <n v="500861"/>
  </r>
  <r>
    <s v="M0263"/>
    <x v="0"/>
    <x v="1534"/>
    <x v="117"/>
    <n v="500861"/>
  </r>
  <r>
    <s v="M0263"/>
    <x v="0"/>
    <x v="1535"/>
    <x v="188"/>
    <n v="119478"/>
  </r>
  <r>
    <s v="M0263"/>
    <x v="0"/>
    <x v="1535"/>
    <x v="188"/>
    <n v="119478"/>
  </r>
  <r>
    <s v="M0263"/>
    <x v="0"/>
    <x v="1535"/>
    <x v="188"/>
    <n v="119478"/>
  </r>
  <r>
    <s v="M0263"/>
    <x v="0"/>
    <x v="1536"/>
    <x v="68"/>
    <n v="808952"/>
  </r>
  <r>
    <s v="M0263"/>
    <x v="0"/>
    <x v="1536"/>
    <x v="68"/>
    <n v="808952"/>
  </r>
  <r>
    <s v="M0263"/>
    <x v="0"/>
    <x v="1536"/>
    <x v="68"/>
    <n v="808952"/>
  </r>
  <r>
    <s v="M0263"/>
    <x v="0"/>
    <x v="1537"/>
    <x v="199"/>
    <n v="295985"/>
  </r>
  <r>
    <s v="M0263"/>
    <x v="0"/>
    <x v="1537"/>
    <x v="199"/>
    <n v="295985"/>
  </r>
  <r>
    <s v="M0263"/>
    <x v="0"/>
    <x v="1537"/>
    <x v="199"/>
    <n v="295985"/>
  </r>
  <r>
    <s v="M0263"/>
    <x v="0"/>
    <x v="1538"/>
    <x v="207"/>
    <n v="371923"/>
  </r>
  <r>
    <s v="M0263"/>
    <x v="0"/>
    <x v="1538"/>
    <x v="207"/>
    <n v="371923"/>
  </r>
  <r>
    <s v="M0263"/>
    <x v="0"/>
    <x v="1538"/>
    <x v="207"/>
    <n v="371923"/>
  </r>
  <r>
    <s v="M0263"/>
    <x v="0"/>
    <x v="1539"/>
    <x v="49"/>
    <n v="233447"/>
  </r>
  <r>
    <s v="M0263"/>
    <x v="0"/>
    <x v="1539"/>
    <x v="49"/>
    <n v="233447"/>
  </r>
  <r>
    <s v="M0263"/>
    <x v="0"/>
    <x v="1539"/>
    <x v="49"/>
    <n v="233447"/>
  </r>
  <r>
    <s v="M0120"/>
    <x v="0"/>
    <x v="1540"/>
    <x v="171"/>
    <n v="229791"/>
  </r>
  <r>
    <s v="M0120"/>
    <x v="0"/>
    <x v="1540"/>
    <x v="171"/>
    <n v="229791"/>
  </r>
  <r>
    <s v="M0120"/>
    <x v="0"/>
    <x v="1541"/>
    <x v="258"/>
    <n v="190767"/>
  </r>
  <r>
    <s v="M0120"/>
    <x v="0"/>
    <x v="1541"/>
    <x v="258"/>
    <n v="190767"/>
  </r>
  <r>
    <s v="M0120"/>
    <x v="0"/>
    <x v="1542"/>
    <x v="185"/>
    <n v="704942"/>
  </r>
  <r>
    <s v="M0120"/>
    <x v="0"/>
    <x v="1542"/>
    <x v="185"/>
    <n v="704942"/>
  </r>
  <r>
    <s v="M0120"/>
    <x v="0"/>
    <x v="1543"/>
    <x v="358"/>
    <n v="410708"/>
  </r>
  <r>
    <s v="M0120"/>
    <x v="0"/>
    <x v="1543"/>
    <x v="358"/>
    <n v="410708"/>
  </r>
  <r>
    <s v="M0009"/>
    <x v="1"/>
    <x v="1544"/>
    <x v="184"/>
    <n v="295954"/>
  </r>
  <r>
    <s v="M0009"/>
    <x v="1"/>
    <x v="1544"/>
    <x v="184"/>
    <n v="295954"/>
  </r>
  <r>
    <s v="M0009"/>
    <x v="1"/>
    <x v="1545"/>
    <x v="326"/>
    <n v="252446"/>
  </r>
  <r>
    <s v="M0009"/>
    <x v="1"/>
    <x v="1545"/>
    <x v="326"/>
    <n v="252446"/>
  </r>
  <r>
    <s v="M0009"/>
    <x v="1"/>
    <x v="1546"/>
    <x v="19"/>
    <n v="359368"/>
  </r>
  <r>
    <s v="M0009"/>
    <x v="1"/>
    <x v="1546"/>
    <x v="19"/>
    <n v="359368"/>
  </r>
  <r>
    <s v="M0009"/>
    <x v="1"/>
    <x v="1547"/>
    <x v="168"/>
    <n v="254776"/>
  </r>
  <r>
    <s v="M0009"/>
    <x v="1"/>
    <x v="1547"/>
    <x v="168"/>
    <n v="254776"/>
  </r>
  <r>
    <s v="M0174"/>
    <x v="1"/>
    <x v="1548"/>
    <x v="108"/>
    <n v="349418"/>
  </r>
  <r>
    <s v="M0174"/>
    <x v="1"/>
    <x v="1548"/>
    <x v="108"/>
    <n v="349418"/>
  </r>
  <r>
    <s v="M0174"/>
    <x v="1"/>
    <x v="1549"/>
    <x v="84"/>
    <n v="651167"/>
  </r>
  <r>
    <s v="M0174"/>
    <x v="1"/>
    <x v="1549"/>
    <x v="84"/>
    <n v="651167"/>
  </r>
  <r>
    <s v="M0174"/>
    <x v="1"/>
    <x v="1550"/>
    <x v="236"/>
    <n v="403042"/>
  </r>
  <r>
    <s v="M0174"/>
    <x v="1"/>
    <x v="1550"/>
    <x v="236"/>
    <n v="403042"/>
  </r>
  <r>
    <s v="M0215"/>
    <x v="0"/>
    <x v="1551"/>
    <x v="183"/>
    <n v="25000"/>
  </r>
  <r>
    <s v="M0215"/>
    <x v="0"/>
    <x v="1551"/>
    <x v="183"/>
    <n v="25000"/>
  </r>
  <r>
    <s v="M0215"/>
    <x v="0"/>
    <x v="1551"/>
    <x v="183"/>
    <n v="25000"/>
  </r>
  <r>
    <s v="M0215"/>
    <x v="0"/>
    <x v="1551"/>
    <x v="183"/>
    <n v="25000"/>
  </r>
  <r>
    <s v="M0215"/>
    <x v="0"/>
    <x v="1552"/>
    <x v="343"/>
    <n v="149983"/>
  </r>
  <r>
    <s v="M0215"/>
    <x v="0"/>
    <x v="1552"/>
    <x v="343"/>
    <n v="149983"/>
  </r>
  <r>
    <s v="M0215"/>
    <x v="0"/>
    <x v="1552"/>
    <x v="343"/>
    <n v="149983"/>
  </r>
  <r>
    <s v="M0215"/>
    <x v="0"/>
    <x v="1552"/>
    <x v="343"/>
    <n v="149983"/>
  </r>
  <r>
    <s v="M0215"/>
    <x v="0"/>
    <x v="1553"/>
    <x v="104"/>
    <n v="271791"/>
  </r>
  <r>
    <s v="M0215"/>
    <x v="0"/>
    <x v="1553"/>
    <x v="104"/>
    <n v="271791"/>
  </r>
  <r>
    <s v="M0215"/>
    <x v="0"/>
    <x v="1553"/>
    <x v="104"/>
    <n v="271791"/>
  </r>
  <r>
    <s v="M0215"/>
    <x v="0"/>
    <x v="1553"/>
    <x v="104"/>
    <n v="271791"/>
  </r>
  <r>
    <s v="M0215"/>
    <x v="0"/>
    <x v="1554"/>
    <x v="346"/>
    <n v="184213"/>
  </r>
  <r>
    <s v="M0215"/>
    <x v="0"/>
    <x v="1554"/>
    <x v="346"/>
    <n v="184213"/>
  </r>
  <r>
    <s v="M0215"/>
    <x v="0"/>
    <x v="1554"/>
    <x v="346"/>
    <n v="184213"/>
  </r>
  <r>
    <s v="M0215"/>
    <x v="0"/>
    <x v="1554"/>
    <x v="346"/>
    <n v="184213"/>
  </r>
  <r>
    <s v="M0215"/>
    <x v="0"/>
    <x v="1555"/>
    <x v="337"/>
    <n v="349085"/>
  </r>
  <r>
    <s v="M0215"/>
    <x v="0"/>
    <x v="1555"/>
    <x v="337"/>
    <n v="349085"/>
  </r>
  <r>
    <s v="M0215"/>
    <x v="0"/>
    <x v="1555"/>
    <x v="337"/>
    <n v="349085"/>
  </r>
  <r>
    <s v="M0215"/>
    <x v="0"/>
    <x v="1555"/>
    <x v="337"/>
    <n v="349085"/>
  </r>
  <r>
    <s v="M0215"/>
    <x v="0"/>
    <x v="1556"/>
    <x v="81"/>
    <n v="78780"/>
  </r>
  <r>
    <s v="M0215"/>
    <x v="0"/>
    <x v="1556"/>
    <x v="81"/>
    <n v="78780"/>
  </r>
  <r>
    <s v="M0215"/>
    <x v="0"/>
    <x v="1556"/>
    <x v="81"/>
    <n v="78780"/>
  </r>
  <r>
    <s v="M0215"/>
    <x v="0"/>
    <x v="1556"/>
    <x v="81"/>
    <n v="78780"/>
  </r>
  <r>
    <s v="M0012"/>
    <x v="0"/>
    <x v="1557"/>
    <x v="78"/>
    <n v="614503"/>
  </r>
  <r>
    <s v="M0012"/>
    <x v="0"/>
    <x v="1557"/>
    <x v="78"/>
    <n v="614503"/>
  </r>
  <r>
    <s v="M0012"/>
    <x v="0"/>
    <x v="1557"/>
    <x v="78"/>
    <n v="614503"/>
  </r>
  <r>
    <s v="M0012"/>
    <x v="0"/>
    <x v="1558"/>
    <x v="34"/>
    <n v="172580"/>
  </r>
  <r>
    <s v="M0012"/>
    <x v="0"/>
    <x v="1558"/>
    <x v="34"/>
    <n v="172580"/>
  </r>
  <r>
    <s v="M0012"/>
    <x v="0"/>
    <x v="1558"/>
    <x v="34"/>
    <n v="172580"/>
  </r>
  <r>
    <s v="M0012"/>
    <x v="0"/>
    <x v="1559"/>
    <x v="230"/>
    <n v="363438"/>
  </r>
  <r>
    <s v="M0012"/>
    <x v="0"/>
    <x v="1559"/>
    <x v="230"/>
    <n v="363438"/>
  </r>
  <r>
    <s v="M0012"/>
    <x v="0"/>
    <x v="1559"/>
    <x v="230"/>
    <n v="363438"/>
  </r>
  <r>
    <s v="M0012"/>
    <x v="0"/>
    <x v="1560"/>
    <x v="359"/>
    <n v="228468"/>
  </r>
  <r>
    <s v="M0012"/>
    <x v="0"/>
    <x v="1560"/>
    <x v="359"/>
    <n v="228468"/>
  </r>
  <r>
    <s v="M0012"/>
    <x v="0"/>
    <x v="1560"/>
    <x v="359"/>
    <n v="228468"/>
  </r>
  <r>
    <s v="M0012"/>
    <x v="0"/>
    <x v="1561"/>
    <x v="12"/>
    <n v="391051"/>
  </r>
  <r>
    <s v="M0012"/>
    <x v="0"/>
    <x v="1561"/>
    <x v="12"/>
    <n v="391051"/>
  </r>
  <r>
    <s v="M0012"/>
    <x v="0"/>
    <x v="1561"/>
    <x v="12"/>
    <n v="391051"/>
  </r>
  <r>
    <s v="M0012"/>
    <x v="0"/>
    <x v="1562"/>
    <x v="360"/>
    <n v="259208"/>
  </r>
  <r>
    <s v="M0012"/>
    <x v="0"/>
    <x v="1562"/>
    <x v="360"/>
    <n v="259208"/>
  </r>
  <r>
    <s v="M0012"/>
    <x v="0"/>
    <x v="1562"/>
    <x v="360"/>
    <n v="259208"/>
  </r>
  <r>
    <s v="M0012"/>
    <x v="0"/>
    <x v="1563"/>
    <x v="92"/>
    <n v="169706"/>
  </r>
  <r>
    <s v="M0012"/>
    <x v="0"/>
    <x v="1563"/>
    <x v="92"/>
    <n v="169706"/>
  </r>
  <r>
    <s v="M0012"/>
    <x v="0"/>
    <x v="1563"/>
    <x v="92"/>
    <n v="169706"/>
  </r>
  <r>
    <s v="M0012"/>
    <x v="0"/>
    <x v="1564"/>
    <x v="67"/>
    <n v="574473"/>
  </r>
  <r>
    <s v="M0012"/>
    <x v="0"/>
    <x v="1564"/>
    <x v="67"/>
    <n v="574473"/>
  </r>
  <r>
    <s v="M0012"/>
    <x v="0"/>
    <x v="1564"/>
    <x v="67"/>
    <n v="574473"/>
  </r>
  <r>
    <s v="M0012"/>
    <x v="0"/>
    <x v="1565"/>
    <x v="171"/>
    <n v="274026"/>
  </r>
  <r>
    <s v="M0012"/>
    <x v="0"/>
    <x v="1565"/>
    <x v="171"/>
    <n v="274026"/>
  </r>
  <r>
    <s v="M0012"/>
    <x v="0"/>
    <x v="1565"/>
    <x v="171"/>
    <n v="274026"/>
  </r>
  <r>
    <s v="M0012"/>
    <x v="0"/>
    <x v="1566"/>
    <x v="316"/>
    <n v="251016"/>
  </r>
  <r>
    <s v="M0012"/>
    <x v="0"/>
    <x v="1566"/>
    <x v="316"/>
    <n v="251016"/>
  </r>
  <r>
    <s v="M0012"/>
    <x v="0"/>
    <x v="1566"/>
    <x v="316"/>
    <n v="251016"/>
  </r>
  <r>
    <s v="M0027"/>
    <x v="1"/>
    <x v="1567"/>
    <x v="121"/>
    <n v="267145"/>
  </r>
  <r>
    <s v="M0027"/>
    <x v="1"/>
    <x v="1567"/>
    <x v="121"/>
    <n v="267145"/>
  </r>
  <r>
    <s v="M0027"/>
    <x v="1"/>
    <x v="1568"/>
    <x v="359"/>
    <n v="221048"/>
  </r>
  <r>
    <s v="M0027"/>
    <x v="1"/>
    <x v="1568"/>
    <x v="359"/>
    <n v="221048"/>
  </r>
  <r>
    <s v="M0027"/>
    <x v="1"/>
    <x v="1569"/>
    <x v="341"/>
    <n v="150330"/>
  </r>
  <r>
    <s v="M0027"/>
    <x v="1"/>
    <x v="1569"/>
    <x v="341"/>
    <n v="150330"/>
  </r>
  <r>
    <s v="M0027"/>
    <x v="1"/>
    <x v="1570"/>
    <x v="161"/>
    <n v="334429"/>
  </r>
  <r>
    <s v="M0027"/>
    <x v="1"/>
    <x v="1570"/>
    <x v="161"/>
    <n v="334429"/>
  </r>
  <r>
    <s v="M0027"/>
    <x v="1"/>
    <x v="1571"/>
    <x v="177"/>
    <n v="178421"/>
  </r>
  <r>
    <s v="M0027"/>
    <x v="1"/>
    <x v="1571"/>
    <x v="177"/>
    <n v="178421"/>
  </r>
  <r>
    <s v="M0027"/>
    <x v="1"/>
    <x v="1572"/>
    <x v="357"/>
    <n v="321240"/>
  </r>
  <r>
    <s v="M0027"/>
    <x v="1"/>
    <x v="1572"/>
    <x v="357"/>
    <n v="321240"/>
  </r>
  <r>
    <s v="M0116"/>
    <x v="1"/>
    <x v="1573"/>
    <x v="324"/>
    <n v="628216"/>
  </r>
  <r>
    <s v="M0116"/>
    <x v="1"/>
    <x v="1574"/>
    <x v="16"/>
    <n v="282251"/>
  </r>
  <r>
    <s v="M0116"/>
    <x v="1"/>
    <x v="1575"/>
    <x v="315"/>
    <n v="224882"/>
  </r>
  <r>
    <s v="M0116"/>
    <x v="1"/>
    <x v="1576"/>
    <x v="192"/>
    <n v="82773"/>
  </r>
  <r>
    <s v="M0116"/>
    <x v="1"/>
    <x v="1577"/>
    <x v="119"/>
    <n v="99126"/>
  </r>
  <r>
    <s v="M0116"/>
    <x v="1"/>
    <x v="1578"/>
    <x v="73"/>
    <n v="473577"/>
  </r>
  <r>
    <s v="M0116"/>
    <x v="1"/>
    <x v="1579"/>
    <x v="54"/>
    <n v="597198"/>
  </r>
  <r>
    <s v="M0116"/>
    <x v="1"/>
    <x v="1580"/>
    <x v="214"/>
    <n v="488647"/>
  </r>
  <r>
    <s v="M0116"/>
    <x v="1"/>
    <x v="1581"/>
    <x v="208"/>
    <n v="342186"/>
  </r>
  <r>
    <s v="M0116"/>
    <x v="1"/>
    <x v="1582"/>
    <x v="199"/>
    <n v="442176"/>
  </r>
  <r>
    <s v="M0116"/>
    <x v="1"/>
    <x v="1583"/>
    <x v="280"/>
    <n v="204637"/>
  </r>
  <r>
    <s v="M0116"/>
    <x v="1"/>
    <x v="1584"/>
    <x v="27"/>
    <n v="46480"/>
  </r>
  <r>
    <s v="M0147"/>
    <x v="1"/>
    <x v="1585"/>
    <x v="225"/>
    <n v="170421"/>
  </r>
  <r>
    <s v="M0147"/>
    <x v="1"/>
    <x v="1585"/>
    <x v="225"/>
    <n v="170421"/>
  </r>
  <r>
    <s v="M0147"/>
    <x v="1"/>
    <x v="1585"/>
    <x v="225"/>
    <n v="170421"/>
  </r>
  <r>
    <s v="M0147"/>
    <x v="1"/>
    <x v="1586"/>
    <x v="333"/>
    <n v="350577"/>
  </r>
  <r>
    <s v="M0147"/>
    <x v="1"/>
    <x v="1586"/>
    <x v="333"/>
    <n v="350577"/>
  </r>
  <r>
    <s v="M0147"/>
    <x v="1"/>
    <x v="1586"/>
    <x v="333"/>
    <n v="350577"/>
  </r>
  <r>
    <s v="M0147"/>
    <x v="1"/>
    <x v="1587"/>
    <x v="140"/>
    <n v="140406"/>
  </r>
  <r>
    <s v="M0147"/>
    <x v="1"/>
    <x v="1587"/>
    <x v="140"/>
    <n v="140406"/>
  </r>
  <r>
    <s v="M0147"/>
    <x v="1"/>
    <x v="1587"/>
    <x v="140"/>
    <n v="140406"/>
  </r>
  <r>
    <s v="M0147"/>
    <x v="1"/>
    <x v="1588"/>
    <x v="312"/>
    <n v="42599"/>
  </r>
  <r>
    <s v="M0147"/>
    <x v="1"/>
    <x v="1588"/>
    <x v="312"/>
    <n v="42599"/>
  </r>
  <r>
    <s v="M0147"/>
    <x v="1"/>
    <x v="1588"/>
    <x v="312"/>
    <n v="42599"/>
  </r>
  <r>
    <s v="M0061"/>
    <x v="2"/>
    <x v="1589"/>
    <x v="103"/>
    <n v="86085"/>
  </r>
  <r>
    <s v="M0061"/>
    <x v="2"/>
    <x v="1589"/>
    <x v="103"/>
    <n v="86085"/>
  </r>
  <r>
    <s v="M0061"/>
    <x v="2"/>
    <x v="1589"/>
    <x v="103"/>
    <n v="86085"/>
  </r>
  <r>
    <s v="M0061"/>
    <x v="2"/>
    <x v="1589"/>
    <x v="103"/>
    <n v="86085"/>
  </r>
  <r>
    <s v="M0061"/>
    <x v="2"/>
    <x v="1590"/>
    <x v="175"/>
    <n v="205124"/>
  </r>
  <r>
    <s v="M0061"/>
    <x v="2"/>
    <x v="1590"/>
    <x v="175"/>
    <n v="205124"/>
  </r>
  <r>
    <s v="M0061"/>
    <x v="2"/>
    <x v="1590"/>
    <x v="175"/>
    <n v="205124"/>
  </r>
  <r>
    <s v="M0061"/>
    <x v="2"/>
    <x v="1590"/>
    <x v="175"/>
    <n v="205124"/>
  </r>
  <r>
    <s v="M0061"/>
    <x v="2"/>
    <x v="1591"/>
    <x v="239"/>
    <n v="255242"/>
  </r>
  <r>
    <s v="M0061"/>
    <x v="2"/>
    <x v="1591"/>
    <x v="239"/>
    <n v="255242"/>
  </r>
  <r>
    <s v="M0061"/>
    <x v="2"/>
    <x v="1591"/>
    <x v="239"/>
    <n v="255242"/>
  </r>
  <r>
    <s v="M0061"/>
    <x v="2"/>
    <x v="1591"/>
    <x v="239"/>
    <n v="255242"/>
  </r>
  <r>
    <s v="M0061"/>
    <x v="2"/>
    <x v="1592"/>
    <x v="302"/>
    <n v="209605"/>
  </r>
  <r>
    <s v="M0061"/>
    <x v="2"/>
    <x v="1592"/>
    <x v="302"/>
    <n v="209605"/>
  </r>
  <r>
    <s v="M0061"/>
    <x v="2"/>
    <x v="1592"/>
    <x v="302"/>
    <n v="209605"/>
  </r>
  <r>
    <s v="M0061"/>
    <x v="2"/>
    <x v="1592"/>
    <x v="302"/>
    <n v="209605"/>
  </r>
  <r>
    <s v="M0061"/>
    <x v="2"/>
    <x v="1593"/>
    <x v="143"/>
    <n v="101874"/>
  </r>
  <r>
    <s v="M0061"/>
    <x v="2"/>
    <x v="1593"/>
    <x v="143"/>
    <n v="101874"/>
  </r>
  <r>
    <s v="M0061"/>
    <x v="2"/>
    <x v="1593"/>
    <x v="143"/>
    <n v="101874"/>
  </r>
  <r>
    <s v="M0061"/>
    <x v="2"/>
    <x v="1593"/>
    <x v="143"/>
    <n v="101874"/>
  </r>
  <r>
    <s v="M0061"/>
    <x v="2"/>
    <x v="1594"/>
    <x v="192"/>
    <n v="139824"/>
  </r>
  <r>
    <s v="M0061"/>
    <x v="2"/>
    <x v="1594"/>
    <x v="192"/>
    <n v="139824"/>
  </r>
  <r>
    <s v="M0061"/>
    <x v="2"/>
    <x v="1594"/>
    <x v="192"/>
    <n v="139824"/>
  </r>
  <r>
    <s v="M0061"/>
    <x v="2"/>
    <x v="1594"/>
    <x v="192"/>
    <n v="139824"/>
  </r>
  <r>
    <s v="M0091"/>
    <x v="0"/>
    <x v="1595"/>
    <x v="38"/>
    <n v="219013"/>
  </r>
  <r>
    <s v="M0091"/>
    <x v="0"/>
    <x v="1595"/>
    <x v="38"/>
    <n v="219013"/>
  </r>
  <r>
    <s v="M0091"/>
    <x v="0"/>
    <x v="1595"/>
    <x v="38"/>
    <n v="219013"/>
  </r>
  <r>
    <s v="M0091"/>
    <x v="0"/>
    <x v="1595"/>
    <x v="38"/>
    <n v="219013"/>
  </r>
  <r>
    <s v="M0091"/>
    <x v="0"/>
    <x v="1596"/>
    <x v="219"/>
    <n v="421018"/>
  </r>
  <r>
    <s v="M0091"/>
    <x v="0"/>
    <x v="1596"/>
    <x v="219"/>
    <n v="421018"/>
  </r>
  <r>
    <s v="M0091"/>
    <x v="0"/>
    <x v="1596"/>
    <x v="219"/>
    <n v="421018"/>
  </r>
  <r>
    <s v="M0091"/>
    <x v="0"/>
    <x v="1596"/>
    <x v="219"/>
    <n v="421018"/>
  </r>
  <r>
    <s v="M0091"/>
    <x v="0"/>
    <x v="1597"/>
    <x v="203"/>
    <n v="308811"/>
  </r>
  <r>
    <s v="M0091"/>
    <x v="0"/>
    <x v="1597"/>
    <x v="203"/>
    <n v="308811"/>
  </r>
  <r>
    <s v="M0091"/>
    <x v="0"/>
    <x v="1597"/>
    <x v="203"/>
    <n v="308811"/>
  </r>
  <r>
    <s v="M0091"/>
    <x v="0"/>
    <x v="1597"/>
    <x v="203"/>
    <n v="308811"/>
  </r>
  <r>
    <s v="M0091"/>
    <x v="0"/>
    <x v="1598"/>
    <x v="95"/>
    <n v="286718"/>
  </r>
  <r>
    <s v="M0091"/>
    <x v="0"/>
    <x v="1598"/>
    <x v="95"/>
    <n v="286718"/>
  </r>
  <r>
    <s v="M0091"/>
    <x v="0"/>
    <x v="1598"/>
    <x v="95"/>
    <n v="286718"/>
  </r>
  <r>
    <s v="M0091"/>
    <x v="0"/>
    <x v="1598"/>
    <x v="95"/>
    <n v="286718"/>
  </r>
  <r>
    <s v="M0091"/>
    <x v="0"/>
    <x v="1599"/>
    <x v="65"/>
    <n v="357639"/>
  </r>
  <r>
    <s v="M0091"/>
    <x v="0"/>
    <x v="1599"/>
    <x v="65"/>
    <n v="357639"/>
  </r>
  <r>
    <s v="M0091"/>
    <x v="0"/>
    <x v="1599"/>
    <x v="65"/>
    <n v="357639"/>
  </r>
  <r>
    <s v="M0091"/>
    <x v="0"/>
    <x v="1599"/>
    <x v="65"/>
    <n v="357639"/>
  </r>
  <r>
    <s v="M0091"/>
    <x v="0"/>
    <x v="1600"/>
    <x v="278"/>
    <n v="73572"/>
  </r>
  <r>
    <s v="M0091"/>
    <x v="0"/>
    <x v="1600"/>
    <x v="278"/>
    <n v="73572"/>
  </r>
  <r>
    <s v="M0091"/>
    <x v="0"/>
    <x v="1600"/>
    <x v="278"/>
    <n v="73572"/>
  </r>
  <r>
    <s v="M0091"/>
    <x v="0"/>
    <x v="1600"/>
    <x v="278"/>
    <n v="73572"/>
  </r>
  <r>
    <s v="M0096"/>
    <x v="1"/>
    <x v="1601"/>
    <x v="263"/>
    <n v="363230"/>
  </r>
  <r>
    <s v="M0096"/>
    <x v="1"/>
    <x v="1601"/>
    <x v="263"/>
    <n v="363230"/>
  </r>
  <r>
    <s v="M0096"/>
    <x v="1"/>
    <x v="1602"/>
    <x v="285"/>
    <n v="50889"/>
  </r>
  <r>
    <s v="M0096"/>
    <x v="1"/>
    <x v="1602"/>
    <x v="285"/>
    <n v="50889"/>
  </r>
  <r>
    <s v="M0096"/>
    <x v="1"/>
    <x v="1603"/>
    <x v="207"/>
    <n v="170176"/>
  </r>
  <r>
    <s v="M0096"/>
    <x v="1"/>
    <x v="1603"/>
    <x v="207"/>
    <n v="170176"/>
  </r>
  <r>
    <s v="M0096"/>
    <x v="1"/>
    <x v="1604"/>
    <x v="296"/>
    <n v="150575"/>
  </r>
  <r>
    <s v="M0096"/>
    <x v="1"/>
    <x v="1604"/>
    <x v="296"/>
    <n v="150575"/>
  </r>
  <r>
    <s v="M0096"/>
    <x v="1"/>
    <x v="1605"/>
    <x v="294"/>
    <n v="774192"/>
  </r>
  <r>
    <s v="M0096"/>
    <x v="1"/>
    <x v="1605"/>
    <x v="294"/>
    <n v="774192"/>
  </r>
  <r>
    <s v="M0096"/>
    <x v="1"/>
    <x v="1606"/>
    <x v="256"/>
    <n v="278286"/>
  </r>
  <r>
    <s v="M0096"/>
    <x v="1"/>
    <x v="1606"/>
    <x v="256"/>
    <n v="278286"/>
  </r>
  <r>
    <s v="M0096"/>
    <x v="1"/>
    <x v="1607"/>
    <x v="320"/>
    <n v="352208"/>
  </r>
  <r>
    <s v="M0096"/>
    <x v="1"/>
    <x v="1607"/>
    <x v="320"/>
    <n v="352208"/>
  </r>
  <r>
    <s v="M0096"/>
    <x v="1"/>
    <x v="1608"/>
    <x v="22"/>
    <n v="683744"/>
  </r>
  <r>
    <s v="M0096"/>
    <x v="1"/>
    <x v="1608"/>
    <x v="22"/>
    <n v="683744"/>
  </r>
  <r>
    <s v="M0096"/>
    <x v="1"/>
    <x v="1609"/>
    <x v="149"/>
    <n v="821335"/>
  </r>
  <r>
    <s v="M0096"/>
    <x v="1"/>
    <x v="1609"/>
    <x v="149"/>
    <n v="821335"/>
  </r>
  <r>
    <s v="M0096"/>
    <x v="1"/>
    <x v="1610"/>
    <x v="92"/>
    <n v="429629"/>
  </r>
  <r>
    <s v="M0096"/>
    <x v="1"/>
    <x v="1610"/>
    <x v="92"/>
    <n v="429629"/>
  </r>
  <r>
    <s v="M0096"/>
    <x v="1"/>
    <x v="1611"/>
    <x v="301"/>
    <n v="160380"/>
  </r>
  <r>
    <s v="M0096"/>
    <x v="1"/>
    <x v="1611"/>
    <x v="301"/>
    <n v="160380"/>
  </r>
  <r>
    <s v="M0096"/>
    <x v="1"/>
    <x v="1612"/>
    <x v="89"/>
    <n v="244709"/>
  </r>
  <r>
    <s v="M0096"/>
    <x v="1"/>
    <x v="1612"/>
    <x v="89"/>
    <n v="244709"/>
  </r>
  <r>
    <s v="M0055"/>
    <x v="1"/>
    <x v="1613"/>
    <x v="179"/>
    <n v="137453"/>
  </r>
  <r>
    <s v="M0055"/>
    <x v="1"/>
    <x v="1613"/>
    <x v="179"/>
    <n v="137453"/>
  </r>
  <r>
    <s v="M0055"/>
    <x v="1"/>
    <x v="1613"/>
    <x v="179"/>
    <n v="137453"/>
  </r>
  <r>
    <s v="M0055"/>
    <x v="1"/>
    <x v="1614"/>
    <x v="121"/>
    <n v="301469"/>
  </r>
  <r>
    <s v="M0055"/>
    <x v="1"/>
    <x v="1614"/>
    <x v="121"/>
    <n v="301469"/>
  </r>
  <r>
    <s v="M0055"/>
    <x v="1"/>
    <x v="1614"/>
    <x v="121"/>
    <n v="301469"/>
  </r>
  <r>
    <s v="M0055"/>
    <x v="1"/>
    <x v="1615"/>
    <x v="282"/>
    <n v="173130"/>
  </r>
  <r>
    <s v="M0055"/>
    <x v="1"/>
    <x v="1615"/>
    <x v="282"/>
    <n v="173130"/>
  </r>
  <r>
    <s v="M0055"/>
    <x v="1"/>
    <x v="1615"/>
    <x v="282"/>
    <n v="173130"/>
  </r>
  <r>
    <s v="M0055"/>
    <x v="1"/>
    <x v="1616"/>
    <x v="285"/>
    <n v="287905"/>
  </r>
  <r>
    <s v="M0055"/>
    <x v="1"/>
    <x v="1616"/>
    <x v="285"/>
    <n v="287905"/>
  </r>
  <r>
    <s v="M0055"/>
    <x v="1"/>
    <x v="1616"/>
    <x v="285"/>
    <n v="287905"/>
  </r>
  <r>
    <s v="M0055"/>
    <x v="1"/>
    <x v="1617"/>
    <x v="145"/>
    <n v="156633"/>
  </r>
  <r>
    <s v="M0055"/>
    <x v="1"/>
    <x v="1617"/>
    <x v="145"/>
    <n v="156633"/>
  </r>
  <r>
    <s v="M0055"/>
    <x v="1"/>
    <x v="1617"/>
    <x v="145"/>
    <n v="156633"/>
  </r>
  <r>
    <s v="M0055"/>
    <x v="1"/>
    <x v="1618"/>
    <x v="59"/>
    <n v="696782"/>
  </r>
  <r>
    <s v="M0055"/>
    <x v="1"/>
    <x v="1618"/>
    <x v="59"/>
    <n v="696782"/>
  </r>
  <r>
    <s v="M0055"/>
    <x v="1"/>
    <x v="1618"/>
    <x v="59"/>
    <n v="696782"/>
  </r>
  <r>
    <s v="M0055"/>
    <x v="1"/>
    <x v="1619"/>
    <x v="141"/>
    <n v="396987"/>
  </r>
  <r>
    <s v="M0055"/>
    <x v="1"/>
    <x v="1619"/>
    <x v="141"/>
    <n v="396987"/>
  </r>
  <r>
    <s v="M0055"/>
    <x v="1"/>
    <x v="1619"/>
    <x v="141"/>
    <n v="396987"/>
  </r>
  <r>
    <s v="M0055"/>
    <x v="1"/>
    <x v="1620"/>
    <x v="343"/>
    <n v="289500"/>
  </r>
  <r>
    <s v="M0055"/>
    <x v="1"/>
    <x v="1620"/>
    <x v="343"/>
    <n v="289500"/>
  </r>
  <r>
    <s v="M0055"/>
    <x v="1"/>
    <x v="1620"/>
    <x v="343"/>
    <n v="289500"/>
  </r>
  <r>
    <s v="M0055"/>
    <x v="1"/>
    <x v="1621"/>
    <x v="309"/>
    <n v="276643"/>
  </r>
  <r>
    <s v="M0055"/>
    <x v="1"/>
    <x v="1621"/>
    <x v="309"/>
    <n v="276643"/>
  </r>
  <r>
    <s v="M0055"/>
    <x v="1"/>
    <x v="1621"/>
    <x v="309"/>
    <n v="276643"/>
  </r>
  <r>
    <s v="M0055"/>
    <x v="1"/>
    <x v="1622"/>
    <x v="154"/>
    <n v="387162"/>
  </r>
  <r>
    <s v="M0055"/>
    <x v="1"/>
    <x v="1622"/>
    <x v="154"/>
    <n v="387162"/>
  </r>
  <r>
    <s v="M0055"/>
    <x v="1"/>
    <x v="1622"/>
    <x v="154"/>
    <n v="387162"/>
  </r>
  <r>
    <s v="M0055"/>
    <x v="1"/>
    <x v="1623"/>
    <x v="358"/>
    <n v="946459"/>
  </r>
  <r>
    <s v="M0055"/>
    <x v="1"/>
    <x v="1623"/>
    <x v="358"/>
    <n v="946459"/>
  </r>
  <r>
    <s v="M0055"/>
    <x v="1"/>
    <x v="1623"/>
    <x v="358"/>
    <n v="946459"/>
  </r>
  <r>
    <s v="M0055"/>
    <x v="1"/>
    <x v="1624"/>
    <x v="75"/>
    <n v="259100"/>
  </r>
  <r>
    <s v="M0055"/>
    <x v="1"/>
    <x v="1624"/>
    <x v="75"/>
    <n v="259100"/>
  </r>
  <r>
    <s v="M0055"/>
    <x v="1"/>
    <x v="1624"/>
    <x v="75"/>
    <n v="259100"/>
  </r>
  <r>
    <s v="M0196"/>
    <x v="0"/>
    <x v="1625"/>
    <x v="89"/>
    <n v="407630"/>
  </r>
  <r>
    <s v="M0196"/>
    <x v="0"/>
    <x v="1625"/>
    <x v="89"/>
    <n v="407630"/>
  </r>
  <r>
    <s v="M0196"/>
    <x v="0"/>
    <x v="1625"/>
    <x v="89"/>
    <n v="407630"/>
  </r>
  <r>
    <s v="M0196"/>
    <x v="0"/>
    <x v="1625"/>
    <x v="89"/>
    <n v="407630"/>
  </r>
  <r>
    <s v="M0196"/>
    <x v="0"/>
    <x v="1625"/>
    <x v="89"/>
    <n v="407630"/>
  </r>
  <r>
    <s v="M0196"/>
    <x v="0"/>
    <x v="1626"/>
    <x v="239"/>
    <n v="806034"/>
  </r>
  <r>
    <s v="M0196"/>
    <x v="0"/>
    <x v="1626"/>
    <x v="239"/>
    <n v="806034"/>
  </r>
  <r>
    <s v="M0196"/>
    <x v="0"/>
    <x v="1626"/>
    <x v="239"/>
    <n v="806034"/>
  </r>
  <r>
    <s v="M0196"/>
    <x v="0"/>
    <x v="1626"/>
    <x v="239"/>
    <n v="806034"/>
  </r>
  <r>
    <s v="M0196"/>
    <x v="0"/>
    <x v="1626"/>
    <x v="239"/>
    <n v="806034"/>
  </r>
  <r>
    <s v="M0196"/>
    <x v="0"/>
    <x v="1627"/>
    <x v="49"/>
    <n v="269475"/>
  </r>
  <r>
    <s v="M0196"/>
    <x v="0"/>
    <x v="1627"/>
    <x v="49"/>
    <n v="269475"/>
  </r>
  <r>
    <s v="M0196"/>
    <x v="0"/>
    <x v="1627"/>
    <x v="49"/>
    <n v="269475"/>
  </r>
  <r>
    <s v="M0196"/>
    <x v="0"/>
    <x v="1627"/>
    <x v="49"/>
    <n v="269475"/>
  </r>
  <r>
    <s v="M0196"/>
    <x v="0"/>
    <x v="1627"/>
    <x v="49"/>
    <n v="269475"/>
  </r>
  <r>
    <s v="M0196"/>
    <x v="0"/>
    <x v="1628"/>
    <x v="208"/>
    <n v="594273"/>
  </r>
  <r>
    <s v="M0196"/>
    <x v="0"/>
    <x v="1628"/>
    <x v="208"/>
    <n v="594273"/>
  </r>
  <r>
    <s v="M0196"/>
    <x v="0"/>
    <x v="1628"/>
    <x v="208"/>
    <n v="594273"/>
  </r>
  <r>
    <s v="M0196"/>
    <x v="0"/>
    <x v="1628"/>
    <x v="208"/>
    <n v="594273"/>
  </r>
  <r>
    <s v="M0196"/>
    <x v="0"/>
    <x v="1628"/>
    <x v="208"/>
    <n v="594273"/>
  </r>
  <r>
    <s v="M0036"/>
    <x v="0"/>
    <x v="1629"/>
    <x v="320"/>
    <n v="158841"/>
  </r>
  <r>
    <s v="M0036"/>
    <x v="0"/>
    <x v="1629"/>
    <x v="320"/>
    <n v="158841"/>
  </r>
  <r>
    <s v="M0036"/>
    <x v="0"/>
    <x v="1629"/>
    <x v="320"/>
    <n v="158841"/>
  </r>
  <r>
    <s v="M0036"/>
    <x v="0"/>
    <x v="1630"/>
    <x v="117"/>
    <n v="243710"/>
  </r>
  <r>
    <s v="M0036"/>
    <x v="0"/>
    <x v="1630"/>
    <x v="117"/>
    <n v="243710"/>
  </r>
  <r>
    <s v="M0036"/>
    <x v="0"/>
    <x v="1630"/>
    <x v="117"/>
    <n v="243710"/>
  </r>
  <r>
    <s v="M0036"/>
    <x v="0"/>
    <x v="1631"/>
    <x v="337"/>
    <n v="290354"/>
  </r>
  <r>
    <s v="M0036"/>
    <x v="0"/>
    <x v="1631"/>
    <x v="337"/>
    <n v="290354"/>
  </r>
  <r>
    <s v="M0036"/>
    <x v="0"/>
    <x v="1631"/>
    <x v="337"/>
    <n v="290354"/>
  </r>
  <r>
    <s v="M0036"/>
    <x v="0"/>
    <x v="1632"/>
    <x v="71"/>
    <n v="668986"/>
  </r>
  <r>
    <s v="M0036"/>
    <x v="0"/>
    <x v="1632"/>
    <x v="71"/>
    <n v="668986"/>
  </r>
  <r>
    <s v="M0036"/>
    <x v="0"/>
    <x v="1632"/>
    <x v="71"/>
    <n v="668986"/>
  </r>
  <r>
    <s v="M0036"/>
    <x v="0"/>
    <x v="1633"/>
    <x v="131"/>
    <n v="1152771"/>
  </r>
  <r>
    <s v="M0036"/>
    <x v="0"/>
    <x v="1633"/>
    <x v="131"/>
    <n v="1152771"/>
  </r>
  <r>
    <s v="M0036"/>
    <x v="0"/>
    <x v="1633"/>
    <x v="131"/>
    <n v="1152771"/>
  </r>
  <r>
    <s v="M0036"/>
    <x v="0"/>
    <x v="1634"/>
    <x v="193"/>
    <n v="261643"/>
  </r>
  <r>
    <s v="M0036"/>
    <x v="0"/>
    <x v="1634"/>
    <x v="193"/>
    <n v="261643"/>
  </r>
  <r>
    <s v="M0036"/>
    <x v="0"/>
    <x v="1634"/>
    <x v="193"/>
    <n v="261643"/>
  </r>
  <r>
    <s v="M0036"/>
    <x v="0"/>
    <x v="1635"/>
    <x v="165"/>
    <n v="577265"/>
  </r>
  <r>
    <s v="M0036"/>
    <x v="0"/>
    <x v="1635"/>
    <x v="165"/>
    <n v="577265"/>
  </r>
  <r>
    <s v="M0036"/>
    <x v="0"/>
    <x v="1635"/>
    <x v="165"/>
    <n v="577265"/>
  </r>
  <r>
    <s v="M0036"/>
    <x v="0"/>
    <x v="1636"/>
    <x v="213"/>
    <n v="223073"/>
  </r>
  <r>
    <s v="M0036"/>
    <x v="0"/>
    <x v="1636"/>
    <x v="213"/>
    <n v="223073"/>
  </r>
  <r>
    <s v="M0036"/>
    <x v="0"/>
    <x v="1636"/>
    <x v="213"/>
    <n v="223073"/>
  </r>
  <r>
    <s v="M0036"/>
    <x v="0"/>
    <x v="1637"/>
    <x v="215"/>
    <n v="203803"/>
  </r>
  <r>
    <s v="M0036"/>
    <x v="0"/>
    <x v="1637"/>
    <x v="215"/>
    <n v="203803"/>
  </r>
  <r>
    <s v="M0036"/>
    <x v="0"/>
    <x v="1637"/>
    <x v="215"/>
    <n v="203803"/>
  </r>
  <r>
    <s v="M0230"/>
    <x v="1"/>
    <x v="1638"/>
    <x v="53"/>
    <n v="947307"/>
  </r>
  <r>
    <s v="M0230"/>
    <x v="1"/>
    <x v="1638"/>
    <x v="53"/>
    <n v="947307"/>
  </r>
  <r>
    <s v="M0230"/>
    <x v="1"/>
    <x v="1639"/>
    <x v="30"/>
    <n v="558680"/>
  </r>
  <r>
    <s v="M0230"/>
    <x v="1"/>
    <x v="1639"/>
    <x v="30"/>
    <n v="558680"/>
  </r>
  <r>
    <s v="M0042"/>
    <x v="2"/>
    <x v="1640"/>
    <x v="2"/>
    <n v="353139"/>
  </r>
  <r>
    <s v="M0042"/>
    <x v="2"/>
    <x v="1640"/>
    <x v="2"/>
    <n v="353139"/>
  </r>
  <r>
    <s v="M0042"/>
    <x v="2"/>
    <x v="1640"/>
    <x v="2"/>
    <n v="353139"/>
  </r>
  <r>
    <s v="M0042"/>
    <x v="2"/>
    <x v="1641"/>
    <x v="97"/>
    <n v="104369"/>
  </r>
  <r>
    <s v="M0042"/>
    <x v="2"/>
    <x v="1641"/>
    <x v="97"/>
    <n v="104369"/>
  </r>
  <r>
    <s v="M0042"/>
    <x v="2"/>
    <x v="1641"/>
    <x v="97"/>
    <n v="104369"/>
  </r>
  <r>
    <s v="M0042"/>
    <x v="2"/>
    <x v="1642"/>
    <x v="259"/>
    <n v="506943"/>
  </r>
  <r>
    <s v="M0042"/>
    <x v="2"/>
    <x v="1642"/>
    <x v="259"/>
    <n v="506943"/>
  </r>
  <r>
    <s v="M0042"/>
    <x v="2"/>
    <x v="1642"/>
    <x v="259"/>
    <n v="506943"/>
  </r>
  <r>
    <s v="M0042"/>
    <x v="2"/>
    <x v="1643"/>
    <x v="311"/>
    <n v="289875"/>
  </r>
  <r>
    <s v="M0042"/>
    <x v="2"/>
    <x v="1643"/>
    <x v="311"/>
    <n v="289875"/>
  </r>
  <r>
    <s v="M0042"/>
    <x v="2"/>
    <x v="1643"/>
    <x v="311"/>
    <n v="289875"/>
  </r>
  <r>
    <s v="M0087"/>
    <x v="1"/>
    <x v="1644"/>
    <x v="184"/>
    <n v="427708"/>
  </r>
  <r>
    <s v="M0087"/>
    <x v="1"/>
    <x v="1644"/>
    <x v="184"/>
    <n v="427708"/>
  </r>
  <r>
    <s v="M0087"/>
    <x v="1"/>
    <x v="1644"/>
    <x v="184"/>
    <n v="427708"/>
  </r>
  <r>
    <s v="M0087"/>
    <x v="1"/>
    <x v="1645"/>
    <x v="243"/>
    <n v="333806"/>
  </r>
  <r>
    <s v="M0087"/>
    <x v="1"/>
    <x v="1645"/>
    <x v="243"/>
    <n v="333806"/>
  </r>
  <r>
    <s v="M0087"/>
    <x v="1"/>
    <x v="1645"/>
    <x v="243"/>
    <n v="333806"/>
  </r>
  <r>
    <s v="M0087"/>
    <x v="1"/>
    <x v="1646"/>
    <x v="210"/>
    <n v="173608"/>
  </r>
  <r>
    <s v="M0087"/>
    <x v="1"/>
    <x v="1646"/>
    <x v="210"/>
    <n v="173608"/>
  </r>
  <r>
    <s v="M0087"/>
    <x v="1"/>
    <x v="1646"/>
    <x v="210"/>
    <n v="173608"/>
  </r>
  <r>
    <s v="M0087"/>
    <x v="1"/>
    <x v="1647"/>
    <x v="4"/>
    <n v="67733"/>
  </r>
  <r>
    <s v="M0087"/>
    <x v="1"/>
    <x v="1647"/>
    <x v="4"/>
    <n v="67733"/>
  </r>
  <r>
    <s v="M0087"/>
    <x v="1"/>
    <x v="1647"/>
    <x v="4"/>
    <n v="67733"/>
  </r>
  <r>
    <s v="M0087"/>
    <x v="1"/>
    <x v="1648"/>
    <x v="130"/>
    <n v="195882"/>
  </r>
  <r>
    <s v="M0087"/>
    <x v="1"/>
    <x v="1648"/>
    <x v="130"/>
    <n v="195882"/>
  </r>
  <r>
    <s v="M0087"/>
    <x v="1"/>
    <x v="1648"/>
    <x v="130"/>
    <n v="195882"/>
  </r>
  <r>
    <s v="M0087"/>
    <x v="1"/>
    <x v="1649"/>
    <x v="156"/>
    <n v="58607"/>
  </r>
  <r>
    <s v="M0087"/>
    <x v="1"/>
    <x v="1649"/>
    <x v="156"/>
    <n v="58607"/>
  </r>
  <r>
    <s v="M0087"/>
    <x v="1"/>
    <x v="1649"/>
    <x v="156"/>
    <n v="58607"/>
  </r>
  <r>
    <s v="M0087"/>
    <x v="1"/>
    <x v="1650"/>
    <x v="257"/>
    <n v="247046"/>
  </r>
  <r>
    <s v="M0087"/>
    <x v="1"/>
    <x v="1650"/>
    <x v="257"/>
    <n v="247046"/>
  </r>
  <r>
    <s v="M0087"/>
    <x v="1"/>
    <x v="1650"/>
    <x v="257"/>
    <n v="247046"/>
  </r>
  <r>
    <s v="M0087"/>
    <x v="1"/>
    <x v="1651"/>
    <x v="272"/>
    <n v="560676"/>
  </r>
  <r>
    <s v="M0087"/>
    <x v="1"/>
    <x v="1651"/>
    <x v="272"/>
    <n v="560676"/>
  </r>
  <r>
    <s v="M0087"/>
    <x v="1"/>
    <x v="1651"/>
    <x v="272"/>
    <n v="560676"/>
  </r>
  <r>
    <s v="M0087"/>
    <x v="1"/>
    <x v="1652"/>
    <x v="13"/>
    <n v="25000"/>
  </r>
  <r>
    <s v="M0087"/>
    <x v="1"/>
    <x v="1652"/>
    <x v="13"/>
    <n v="25000"/>
  </r>
  <r>
    <s v="M0087"/>
    <x v="1"/>
    <x v="1652"/>
    <x v="13"/>
    <n v="25000"/>
  </r>
  <r>
    <s v="M0087"/>
    <x v="1"/>
    <x v="1653"/>
    <x v="237"/>
    <n v="220540"/>
  </r>
  <r>
    <s v="M0087"/>
    <x v="1"/>
    <x v="1653"/>
    <x v="237"/>
    <n v="220540"/>
  </r>
  <r>
    <s v="M0087"/>
    <x v="1"/>
    <x v="1653"/>
    <x v="237"/>
    <n v="220540"/>
  </r>
  <r>
    <s v="M0087"/>
    <x v="1"/>
    <x v="1654"/>
    <x v="208"/>
    <n v="370196"/>
  </r>
  <r>
    <s v="M0087"/>
    <x v="1"/>
    <x v="1654"/>
    <x v="208"/>
    <n v="370196"/>
  </r>
  <r>
    <s v="M0087"/>
    <x v="1"/>
    <x v="1654"/>
    <x v="208"/>
    <n v="370196"/>
  </r>
  <r>
    <s v="M0087"/>
    <x v="1"/>
    <x v="1655"/>
    <x v="353"/>
    <n v="379794"/>
  </r>
  <r>
    <s v="M0087"/>
    <x v="1"/>
    <x v="1655"/>
    <x v="353"/>
    <n v="379794"/>
  </r>
  <r>
    <s v="M0087"/>
    <x v="1"/>
    <x v="1655"/>
    <x v="353"/>
    <n v="379794"/>
  </r>
  <r>
    <s v="M0087"/>
    <x v="1"/>
    <x v="1656"/>
    <x v="66"/>
    <n v="482647"/>
  </r>
  <r>
    <s v="M0087"/>
    <x v="1"/>
    <x v="1656"/>
    <x v="66"/>
    <n v="482647"/>
  </r>
  <r>
    <s v="M0087"/>
    <x v="1"/>
    <x v="1656"/>
    <x v="66"/>
    <n v="482647"/>
  </r>
  <r>
    <s v="M0087"/>
    <x v="1"/>
    <x v="1657"/>
    <x v="104"/>
    <n v="282402"/>
  </r>
  <r>
    <s v="M0087"/>
    <x v="1"/>
    <x v="1657"/>
    <x v="104"/>
    <n v="282402"/>
  </r>
  <r>
    <s v="M0087"/>
    <x v="1"/>
    <x v="1657"/>
    <x v="104"/>
    <n v="282402"/>
  </r>
  <r>
    <s v="M0087"/>
    <x v="1"/>
    <x v="1658"/>
    <x v="84"/>
    <n v="208951"/>
  </r>
  <r>
    <s v="M0087"/>
    <x v="1"/>
    <x v="1658"/>
    <x v="84"/>
    <n v="208951"/>
  </r>
  <r>
    <s v="M0087"/>
    <x v="1"/>
    <x v="1658"/>
    <x v="84"/>
    <n v="208951"/>
  </r>
  <r>
    <s v="M0087"/>
    <x v="1"/>
    <x v="1659"/>
    <x v="117"/>
    <n v="158437"/>
  </r>
  <r>
    <s v="M0087"/>
    <x v="1"/>
    <x v="1659"/>
    <x v="117"/>
    <n v="158437"/>
  </r>
  <r>
    <s v="M0087"/>
    <x v="1"/>
    <x v="1659"/>
    <x v="117"/>
    <n v="158437"/>
  </r>
  <r>
    <s v="M0087"/>
    <x v="1"/>
    <x v="1660"/>
    <x v="53"/>
    <n v="154152"/>
  </r>
  <r>
    <s v="M0087"/>
    <x v="1"/>
    <x v="1660"/>
    <x v="53"/>
    <n v="154152"/>
  </r>
  <r>
    <s v="M0087"/>
    <x v="1"/>
    <x v="1660"/>
    <x v="53"/>
    <n v="154152"/>
  </r>
  <r>
    <s v="M0087"/>
    <x v="1"/>
    <x v="1661"/>
    <x v="301"/>
    <n v="250590"/>
  </r>
  <r>
    <s v="M0087"/>
    <x v="1"/>
    <x v="1661"/>
    <x v="301"/>
    <n v="250590"/>
  </r>
  <r>
    <s v="M0087"/>
    <x v="1"/>
    <x v="1661"/>
    <x v="301"/>
    <n v="250590"/>
  </r>
  <r>
    <s v="M0240"/>
    <x v="1"/>
    <x v="1662"/>
    <x v="162"/>
    <n v="716803"/>
  </r>
  <r>
    <s v="M0240"/>
    <x v="1"/>
    <x v="1662"/>
    <x v="162"/>
    <n v="716803"/>
  </r>
  <r>
    <s v="M0240"/>
    <x v="1"/>
    <x v="1662"/>
    <x v="162"/>
    <n v="716803"/>
  </r>
  <r>
    <s v="M0240"/>
    <x v="1"/>
    <x v="1662"/>
    <x v="162"/>
    <n v="716803"/>
  </r>
  <r>
    <s v="M0240"/>
    <x v="1"/>
    <x v="1663"/>
    <x v="329"/>
    <n v="341517"/>
  </r>
  <r>
    <s v="M0240"/>
    <x v="1"/>
    <x v="1663"/>
    <x v="329"/>
    <n v="341517"/>
  </r>
  <r>
    <s v="M0240"/>
    <x v="1"/>
    <x v="1663"/>
    <x v="329"/>
    <n v="341517"/>
  </r>
  <r>
    <s v="M0240"/>
    <x v="1"/>
    <x v="1663"/>
    <x v="329"/>
    <n v="341517"/>
  </r>
  <r>
    <s v="M0240"/>
    <x v="1"/>
    <x v="1664"/>
    <x v="282"/>
    <n v="360540"/>
  </r>
  <r>
    <s v="M0240"/>
    <x v="1"/>
    <x v="1664"/>
    <x v="282"/>
    <n v="360540"/>
  </r>
  <r>
    <s v="M0240"/>
    <x v="1"/>
    <x v="1664"/>
    <x v="282"/>
    <n v="360540"/>
  </r>
  <r>
    <s v="M0240"/>
    <x v="1"/>
    <x v="1664"/>
    <x v="282"/>
    <n v="360540"/>
  </r>
  <r>
    <s v="M0240"/>
    <x v="1"/>
    <x v="1665"/>
    <x v="190"/>
    <n v="105750"/>
  </r>
  <r>
    <s v="M0240"/>
    <x v="1"/>
    <x v="1665"/>
    <x v="190"/>
    <n v="105750"/>
  </r>
  <r>
    <s v="M0240"/>
    <x v="1"/>
    <x v="1665"/>
    <x v="190"/>
    <n v="105750"/>
  </r>
  <r>
    <s v="M0240"/>
    <x v="1"/>
    <x v="1665"/>
    <x v="190"/>
    <n v="105750"/>
  </r>
  <r>
    <s v="M0240"/>
    <x v="1"/>
    <x v="1666"/>
    <x v="123"/>
    <n v="25000"/>
  </r>
  <r>
    <s v="M0240"/>
    <x v="1"/>
    <x v="1666"/>
    <x v="123"/>
    <n v="25000"/>
  </r>
  <r>
    <s v="M0240"/>
    <x v="1"/>
    <x v="1666"/>
    <x v="123"/>
    <n v="25000"/>
  </r>
  <r>
    <s v="M0240"/>
    <x v="1"/>
    <x v="1666"/>
    <x v="123"/>
    <n v="25000"/>
  </r>
  <r>
    <s v="M0240"/>
    <x v="1"/>
    <x v="1667"/>
    <x v="254"/>
    <n v="125419"/>
  </r>
  <r>
    <s v="M0240"/>
    <x v="1"/>
    <x v="1667"/>
    <x v="254"/>
    <n v="125419"/>
  </r>
  <r>
    <s v="M0240"/>
    <x v="1"/>
    <x v="1667"/>
    <x v="254"/>
    <n v="125419"/>
  </r>
  <r>
    <s v="M0240"/>
    <x v="1"/>
    <x v="1667"/>
    <x v="254"/>
    <n v="125419"/>
  </r>
  <r>
    <s v="M0254"/>
    <x v="1"/>
    <x v="1668"/>
    <x v="261"/>
    <n v="178338"/>
  </r>
  <r>
    <s v="M0254"/>
    <x v="1"/>
    <x v="1668"/>
    <x v="261"/>
    <n v="178338"/>
  </r>
  <r>
    <s v="M0254"/>
    <x v="1"/>
    <x v="1668"/>
    <x v="261"/>
    <n v="178338"/>
  </r>
  <r>
    <s v="M0254"/>
    <x v="1"/>
    <x v="1668"/>
    <x v="261"/>
    <n v="178338"/>
  </r>
  <r>
    <s v="M0254"/>
    <x v="1"/>
    <x v="1669"/>
    <x v="256"/>
    <n v="219507"/>
  </r>
  <r>
    <s v="M0254"/>
    <x v="1"/>
    <x v="1669"/>
    <x v="256"/>
    <n v="219507"/>
  </r>
  <r>
    <s v="M0254"/>
    <x v="1"/>
    <x v="1669"/>
    <x v="256"/>
    <n v="219507"/>
  </r>
  <r>
    <s v="M0254"/>
    <x v="1"/>
    <x v="1669"/>
    <x v="256"/>
    <n v="219507"/>
  </r>
  <r>
    <s v="M0254"/>
    <x v="1"/>
    <x v="1670"/>
    <x v="173"/>
    <n v="192098"/>
  </r>
  <r>
    <s v="M0254"/>
    <x v="1"/>
    <x v="1670"/>
    <x v="173"/>
    <n v="192098"/>
  </r>
  <r>
    <s v="M0254"/>
    <x v="1"/>
    <x v="1670"/>
    <x v="173"/>
    <n v="192098"/>
  </r>
  <r>
    <s v="M0254"/>
    <x v="1"/>
    <x v="1670"/>
    <x v="173"/>
    <n v="192098"/>
  </r>
  <r>
    <s v="M0254"/>
    <x v="1"/>
    <x v="1671"/>
    <x v="353"/>
    <n v="251529"/>
  </r>
  <r>
    <s v="M0254"/>
    <x v="1"/>
    <x v="1671"/>
    <x v="353"/>
    <n v="251529"/>
  </r>
  <r>
    <s v="M0254"/>
    <x v="1"/>
    <x v="1671"/>
    <x v="353"/>
    <n v="251529"/>
  </r>
  <r>
    <s v="M0254"/>
    <x v="1"/>
    <x v="1671"/>
    <x v="353"/>
    <n v="251529"/>
  </r>
  <r>
    <s v="M0254"/>
    <x v="1"/>
    <x v="1672"/>
    <x v="152"/>
    <n v="381556"/>
  </r>
  <r>
    <s v="M0254"/>
    <x v="1"/>
    <x v="1672"/>
    <x v="152"/>
    <n v="381556"/>
  </r>
  <r>
    <s v="M0254"/>
    <x v="1"/>
    <x v="1672"/>
    <x v="152"/>
    <n v="381556"/>
  </r>
  <r>
    <s v="M0254"/>
    <x v="1"/>
    <x v="1672"/>
    <x v="152"/>
    <n v="381556"/>
  </r>
  <r>
    <s v="M0040"/>
    <x v="0"/>
    <x v="1673"/>
    <x v="27"/>
    <n v="335531"/>
  </r>
  <r>
    <s v="M0040"/>
    <x v="0"/>
    <x v="1673"/>
    <x v="27"/>
    <n v="335531"/>
  </r>
  <r>
    <s v="M0040"/>
    <x v="0"/>
    <x v="1673"/>
    <x v="27"/>
    <n v="335531"/>
  </r>
  <r>
    <s v="M0040"/>
    <x v="0"/>
    <x v="1674"/>
    <x v="161"/>
    <n v="743425"/>
  </r>
  <r>
    <s v="M0040"/>
    <x v="0"/>
    <x v="1674"/>
    <x v="161"/>
    <n v="743425"/>
  </r>
  <r>
    <s v="M0040"/>
    <x v="0"/>
    <x v="1674"/>
    <x v="161"/>
    <n v="743425"/>
  </r>
  <r>
    <s v="M0040"/>
    <x v="0"/>
    <x v="1675"/>
    <x v="335"/>
    <n v="284569"/>
  </r>
  <r>
    <s v="M0040"/>
    <x v="0"/>
    <x v="1675"/>
    <x v="335"/>
    <n v="284569"/>
  </r>
  <r>
    <s v="M0040"/>
    <x v="0"/>
    <x v="1675"/>
    <x v="335"/>
    <n v="284569"/>
  </r>
  <r>
    <s v="M0040"/>
    <x v="0"/>
    <x v="1676"/>
    <x v="184"/>
    <n v="43537"/>
  </r>
  <r>
    <s v="M0040"/>
    <x v="0"/>
    <x v="1676"/>
    <x v="184"/>
    <n v="43537"/>
  </r>
  <r>
    <s v="M0040"/>
    <x v="0"/>
    <x v="1676"/>
    <x v="184"/>
    <n v="43537"/>
  </r>
  <r>
    <s v="M0040"/>
    <x v="0"/>
    <x v="1677"/>
    <x v="358"/>
    <n v="314468"/>
  </r>
  <r>
    <s v="M0040"/>
    <x v="0"/>
    <x v="1677"/>
    <x v="358"/>
    <n v="314468"/>
  </r>
  <r>
    <s v="M0040"/>
    <x v="0"/>
    <x v="1677"/>
    <x v="358"/>
    <n v="314468"/>
  </r>
  <r>
    <s v="M0040"/>
    <x v="0"/>
    <x v="1678"/>
    <x v="63"/>
    <n v="272778"/>
  </r>
  <r>
    <s v="M0040"/>
    <x v="0"/>
    <x v="1678"/>
    <x v="63"/>
    <n v="272778"/>
  </r>
  <r>
    <s v="M0040"/>
    <x v="0"/>
    <x v="1678"/>
    <x v="63"/>
    <n v="272778"/>
  </r>
  <r>
    <s v="M0040"/>
    <x v="0"/>
    <x v="1679"/>
    <x v="191"/>
    <n v="280249"/>
  </r>
  <r>
    <s v="M0040"/>
    <x v="0"/>
    <x v="1679"/>
    <x v="191"/>
    <n v="280249"/>
  </r>
  <r>
    <s v="M0040"/>
    <x v="0"/>
    <x v="1679"/>
    <x v="191"/>
    <n v="280249"/>
  </r>
  <r>
    <s v="M0040"/>
    <x v="0"/>
    <x v="1680"/>
    <x v="148"/>
    <n v="158627"/>
  </r>
  <r>
    <s v="M0040"/>
    <x v="0"/>
    <x v="1680"/>
    <x v="148"/>
    <n v="158627"/>
  </r>
  <r>
    <s v="M0040"/>
    <x v="0"/>
    <x v="1680"/>
    <x v="148"/>
    <n v="158627"/>
  </r>
  <r>
    <s v="M0222"/>
    <x v="0"/>
    <x v="1681"/>
    <x v="301"/>
    <n v="135887"/>
  </r>
  <r>
    <s v="M0222"/>
    <x v="0"/>
    <x v="1681"/>
    <x v="301"/>
    <n v="135887"/>
  </r>
  <r>
    <s v="M0222"/>
    <x v="0"/>
    <x v="1681"/>
    <x v="301"/>
    <n v="135887"/>
  </r>
  <r>
    <s v="M0222"/>
    <x v="0"/>
    <x v="1682"/>
    <x v="305"/>
    <n v="115252"/>
  </r>
  <r>
    <s v="M0222"/>
    <x v="0"/>
    <x v="1682"/>
    <x v="305"/>
    <n v="115252"/>
  </r>
  <r>
    <s v="M0222"/>
    <x v="0"/>
    <x v="1682"/>
    <x v="305"/>
    <n v="115252"/>
  </r>
  <r>
    <s v="M0222"/>
    <x v="0"/>
    <x v="1683"/>
    <x v="253"/>
    <n v="845810"/>
  </r>
  <r>
    <s v="M0222"/>
    <x v="0"/>
    <x v="1683"/>
    <x v="253"/>
    <n v="845810"/>
  </r>
  <r>
    <s v="M0222"/>
    <x v="0"/>
    <x v="1683"/>
    <x v="253"/>
    <n v="845810"/>
  </r>
  <r>
    <s v="M0222"/>
    <x v="0"/>
    <x v="1684"/>
    <x v="166"/>
    <n v="206666"/>
  </r>
  <r>
    <s v="M0222"/>
    <x v="0"/>
    <x v="1684"/>
    <x v="166"/>
    <n v="206666"/>
  </r>
  <r>
    <s v="M0222"/>
    <x v="0"/>
    <x v="1684"/>
    <x v="166"/>
    <n v="206666"/>
  </r>
  <r>
    <s v="M0222"/>
    <x v="0"/>
    <x v="1685"/>
    <x v="53"/>
    <n v="259014"/>
  </r>
  <r>
    <s v="M0222"/>
    <x v="0"/>
    <x v="1685"/>
    <x v="53"/>
    <n v="259014"/>
  </r>
  <r>
    <s v="M0222"/>
    <x v="0"/>
    <x v="1685"/>
    <x v="53"/>
    <n v="259014"/>
  </r>
  <r>
    <s v="M0222"/>
    <x v="0"/>
    <x v="1686"/>
    <x v="145"/>
    <n v="402264"/>
  </r>
  <r>
    <s v="M0222"/>
    <x v="0"/>
    <x v="1686"/>
    <x v="145"/>
    <n v="402264"/>
  </r>
  <r>
    <s v="M0222"/>
    <x v="0"/>
    <x v="1686"/>
    <x v="145"/>
    <n v="402264"/>
  </r>
  <r>
    <s v="M0151"/>
    <x v="1"/>
    <x v="1687"/>
    <x v="162"/>
    <n v="25000"/>
  </r>
  <r>
    <s v="M0151"/>
    <x v="1"/>
    <x v="1687"/>
    <x v="162"/>
    <n v="25000"/>
  </r>
  <r>
    <s v="M0151"/>
    <x v="1"/>
    <x v="1687"/>
    <x v="162"/>
    <n v="25000"/>
  </r>
  <r>
    <s v="M0151"/>
    <x v="1"/>
    <x v="1687"/>
    <x v="162"/>
    <n v="25000"/>
  </r>
  <r>
    <s v="M0151"/>
    <x v="1"/>
    <x v="1688"/>
    <x v="314"/>
    <n v="516553"/>
  </r>
  <r>
    <s v="M0151"/>
    <x v="1"/>
    <x v="1688"/>
    <x v="314"/>
    <n v="516553"/>
  </r>
  <r>
    <s v="M0151"/>
    <x v="1"/>
    <x v="1688"/>
    <x v="314"/>
    <n v="516553"/>
  </r>
  <r>
    <s v="M0151"/>
    <x v="1"/>
    <x v="1688"/>
    <x v="314"/>
    <n v="516553"/>
  </r>
  <r>
    <s v="M0151"/>
    <x v="1"/>
    <x v="1689"/>
    <x v="25"/>
    <n v="360026"/>
  </r>
  <r>
    <s v="M0151"/>
    <x v="1"/>
    <x v="1689"/>
    <x v="25"/>
    <n v="360026"/>
  </r>
  <r>
    <s v="M0151"/>
    <x v="1"/>
    <x v="1689"/>
    <x v="25"/>
    <n v="360026"/>
  </r>
  <r>
    <s v="M0151"/>
    <x v="1"/>
    <x v="1689"/>
    <x v="25"/>
    <n v="360026"/>
  </r>
  <r>
    <s v="M0151"/>
    <x v="1"/>
    <x v="1690"/>
    <x v="246"/>
    <n v="411214"/>
  </r>
  <r>
    <s v="M0151"/>
    <x v="1"/>
    <x v="1690"/>
    <x v="246"/>
    <n v="411214"/>
  </r>
  <r>
    <s v="M0151"/>
    <x v="1"/>
    <x v="1690"/>
    <x v="246"/>
    <n v="411214"/>
  </r>
  <r>
    <s v="M0151"/>
    <x v="1"/>
    <x v="1690"/>
    <x v="246"/>
    <n v="411214"/>
  </r>
  <r>
    <s v="M0151"/>
    <x v="1"/>
    <x v="1691"/>
    <x v="60"/>
    <n v="340703"/>
  </r>
  <r>
    <s v="M0151"/>
    <x v="1"/>
    <x v="1691"/>
    <x v="60"/>
    <n v="340703"/>
  </r>
  <r>
    <s v="M0151"/>
    <x v="1"/>
    <x v="1691"/>
    <x v="60"/>
    <n v="340703"/>
  </r>
  <r>
    <s v="M0151"/>
    <x v="1"/>
    <x v="1691"/>
    <x v="60"/>
    <n v="340703"/>
  </r>
  <r>
    <s v="M0151"/>
    <x v="1"/>
    <x v="1692"/>
    <x v="282"/>
    <n v="278807"/>
  </r>
  <r>
    <s v="M0151"/>
    <x v="1"/>
    <x v="1692"/>
    <x v="282"/>
    <n v="278807"/>
  </r>
  <r>
    <s v="M0151"/>
    <x v="1"/>
    <x v="1692"/>
    <x v="282"/>
    <n v="278807"/>
  </r>
  <r>
    <s v="M0151"/>
    <x v="1"/>
    <x v="1692"/>
    <x v="282"/>
    <n v="278807"/>
  </r>
  <r>
    <s v="M0151"/>
    <x v="1"/>
    <x v="1693"/>
    <x v="12"/>
    <n v="187039"/>
  </r>
  <r>
    <s v="M0151"/>
    <x v="1"/>
    <x v="1693"/>
    <x v="12"/>
    <n v="187039"/>
  </r>
  <r>
    <s v="M0151"/>
    <x v="1"/>
    <x v="1693"/>
    <x v="12"/>
    <n v="187039"/>
  </r>
  <r>
    <s v="M0151"/>
    <x v="1"/>
    <x v="1693"/>
    <x v="12"/>
    <n v="187039"/>
  </r>
  <r>
    <s v="M0151"/>
    <x v="1"/>
    <x v="1694"/>
    <x v="44"/>
    <n v="433211"/>
  </r>
  <r>
    <s v="M0151"/>
    <x v="1"/>
    <x v="1694"/>
    <x v="44"/>
    <n v="433211"/>
  </r>
  <r>
    <s v="M0151"/>
    <x v="1"/>
    <x v="1694"/>
    <x v="44"/>
    <n v="433211"/>
  </r>
  <r>
    <s v="M0151"/>
    <x v="1"/>
    <x v="1694"/>
    <x v="44"/>
    <n v="433211"/>
  </r>
  <r>
    <s v="M0151"/>
    <x v="1"/>
    <x v="1695"/>
    <x v="217"/>
    <n v="389528"/>
  </r>
  <r>
    <s v="M0151"/>
    <x v="1"/>
    <x v="1695"/>
    <x v="217"/>
    <n v="389528"/>
  </r>
  <r>
    <s v="M0151"/>
    <x v="1"/>
    <x v="1695"/>
    <x v="217"/>
    <n v="389528"/>
  </r>
  <r>
    <s v="M0151"/>
    <x v="1"/>
    <x v="1695"/>
    <x v="217"/>
    <n v="389528"/>
  </r>
  <r>
    <s v="M0151"/>
    <x v="1"/>
    <x v="1696"/>
    <x v="91"/>
    <n v="98949"/>
  </r>
  <r>
    <s v="M0151"/>
    <x v="1"/>
    <x v="1696"/>
    <x v="91"/>
    <n v="98949"/>
  </r>
  <r>
    <s v="M0151"/>
    <x v="1"/>
    <x v="1696"/>
    <x v="91"/>
    <n v="98949"/>
  </r>
  <r>
    <s v="M0151"/>
    <x v="1"/>
    <x v="1696"/>
    <x v="91"/>
    <n v="98949"/>
  </r>
  <r>
    <s v="M0151"/>
    <x v="1"/>
    <x v="1697"/>
    <x v="184"/>
    <n v="248917"/>
  </r>
  <r>
    <s v="M0151"/>
    <x v="1"/>
    <x v="1697"/>
    <x v="184"/>
    <n v="248917"/>
  </r>
  <r>
    <s v="M0151"/>
    <x v="1"/>
    <x v="1697"/>
    <x v="184"/>
    <n v="248917"/>
  </r>
  <r>
    <s v="M0151"/>
    <x v="1"/>
    <x v="1697"/>
    <x v="184"/>
    <n v="248917"/>
  </r>
  <r>
    <s v="M0151"/>
    <x v="1"/>
    <x v="1698"/>
    <x v="77"/>
    <n v="410326"/>
  </r>
  <r>
    <s v="M0151"/>
    <x v="1"/>
    <x v="1698"/>
    <x v="77"/>
    <n v="410326"/>
  </r>
  <r>
    <s v="M0151"/>
    <x v="1"/>
    <x v="1698"/>
    <x v="77"/>
    <n v="410326"/>
  </r>
  <r>
    <s v="M0151"/>
    <x v="1"/>
    <x v="1698"/>
    <x v="77"/>
    <n v="410326"/>
  </r>
  <r>
    <s v="M0151"/>
    <x v="1"/>
    <x v="1699"/>
    <x v="243"/>
    <n v="403149"/>
  </r>
  <r>
    <s v="M0151"/>
    <x v="1"/>
    <x v="1699"/>
    <x v="243"/>
    <n v="403149"/>
  </r>
  <r>
    <s v="M0151"/>
    <x v="1"/>
    <x v="1699"/>
    <x v="243"/>
    <n v="403149"/>
  </r>
  <r>
    <s v="M0151"/>
    <x v="1"/>
    <x v="1699"/>
    <x v="243"/>
    <n v="403149"/>
  </r>
  <r>
    <s v="M0151"/>
    <x v="1"/>
    <x v="1700"/>
    <x v="296"/>
    <n v="56212"/>
  </r>
  <r>
    <s v="M0151"/>
    <x v="1"/>
    <x v="1700"/>
    <x v="296"/>
    <n v="56212"/>
  </r>
  <r>
    <s v="M0151"/>
    <x v="1"/>
    <x v="1700"/>
    <x v="296"/>
    <n v="56212"/>
  </r>
  <r>
    <s v="M0151"/>
    <x v="1"/>
    <x v="1700"/>
    <x v="296"/>
    <n v="56212"/>
  </r>
  <r>
    <s v="M0151"/>
    <x v="1"/>
    <x v="1701"/>
    <x v="30"/>
    <n v="565792"/>
  </r>
  <r>
    <s v="M0151"/>
    <x v="1"/>
    <x v="1701"/>
    <x v="30"/>
    <n v="565792"/>
  </r>
  <r>
    <s v="M0151"/>
    <x v="1"/>
    <x v="1701"/>
    <x v="30"/>
    <n v="565792"/>
  </r>
  <r>
    <s v="M0151"/>
    <x v="1"/>
    <x v="1701"/>
    <x v="30"/>
    <n v="565792"/>
  </r>
  <r>
    <s v="M0151"/>
    <x v="1"/>
    <x v="1702"/>
    <x v="190"/>
    <n v="117379"/>
  </r>
  <r>
    <s v="M0151"/>
    <x v="1"/>
    <x v="1702"/>
    <x v="190"/>
    <n v="117379"/>
  </r>
  <r>
    <s v="M0151"/>
    <x v="1"/>
    <x v="1702"/>
    <x v="190"/>
    <n v="117379"/>
  </r>
  <r>
    <s v="M0151"/>
    <x v="1"/>
    <x v="1702"/>
    <x v="190"/>
    <n v="117379"/>
  </r>
  <r>
    <s v="M0151"/>
    <x v="1"/>
    <x v="1703"/>
    <x v="147"/>
    <n v="168265"/>
  </r>
  <r>
    <s v="M0151"/>
    <x v="1"/>
    <x v="1703"/>
    <x v="147"/>
    <n v="168265"/>
  </r>
  <r>
    <s v="M0151"/>
    <x v="1"/>
    <x v="1703"/>
    <x v="147"/>
    <n v="168265"/>
  </r>
  <r>
    <s v="M0151"/>
    <x v="1"/>
    <x v="1703"/>
    <x v="147"/>
    <n v="168265"/>
  </r>
  <r>
    <s v="M0151"/>
    <x v="1"/>
    <x v="1704"/>
    <x v="237"/>
    <n v="91742"/>
  </r>
  <r>
    <s v="M0151"/>
    <x v="1"/>
    <x v="1704"/>
    <x v="237"/>
    <n v="91742"/>
  </r>
  <r>
    <s v="M0151"/>
    <x v="1"/>
    <x v="1704"/>
    <x v="237"/>
    <n v="91742"/>
  </r>
  <r>
    <s v="M0151"/>
    <x v="1"/>
    <x v="1704"/>
    <x v="237"/>
    <n v="91742"/>
  </r>
  <r>
    <s v="M0151"/>
    <x v="1"/>
    <x v="1705"/>
    <x v="195"/>
    <n v="259763"/>
  </r>
  <r>
    <s v="M0151"/>
    <x v="1"/>
    <x v="1705"/>
    <x v="195"/>
    <n v="259763"/>
  </r>
  <r>
    <s v="M0151"/>
    <x v="1"/>
    <x v="1705"/>
    <x v="195"/>
    <n v="259763"/>
  </r>
  <r>
    <s v="M0151"/>
    <x v="1"/>
    <x v="1705"/>
    <x v="195"/>
    <n v="259763"/>
  </r>
  <r>
    <s v="M0151"/>
    <x v="1"/>
    <x v="1706"/>
    <x v="289"/>
    <n v="528333"/>
  </r>
  <r>
    <s v="M0151"/>
    <x v="1"/>
    <x v="1706"/>
    <x v="289"/>
    <n v="528333"/>
  </r>
  <r>
    <s v="M0151"/>
    <x v="1"/>
    <x v="1706"/>
    <x v="289"/>
    <n v="528333"/>
  </r>
  <r>
    <s v="M0151"/>
    <x v="1"/>
    <x v="1706"/>
    <x v="289"/>
    <n v="528333"/>
  </r>
  <r>
    <s v="M0151"/>
    <x v="1"/>
    <x v="1707"/>
    <x v="196"/>
    <n v="304080"/>
  </r>
  <r>
    <s v="M0151"/>
    <x v="1"/>
    <x v="1707"/>
    <x v="196"/>
    <n v="304080"/>
  </r>
  <r>
    <s v="M0151"/>
    <x v="1"/>
    <x v="1707"/>
    <x v="196"/>
    <n v="304080"/>
  </r>
  <r>
    <s v="M0151"/>
    <x v="1"/>
    <x v="1707"/>
    <x v="196"/>
    <n v="304080"/>
  </r>
  <r>
    <s v="M0151"/>
    <x v="1"/>
    <x v="1708"/>
    <x v="340"/>
    <n v="345132"/>
  </r>
  <r>
    <s v="M0151"/>
    <x v="1"/>
    <x v="1708"/>
    <x v="340"/>
    <n v="345132"/>
  </r>
  <r>
    <s v="M0151"/>
    <x v="1"/>
    <x v="1708"/>
    <x v="340"/>
    <n v="345132"/>
  </r>
  <r>
    <s v="M0151"/>
    <x v="1"/>
    <x v="1708"/>
    <x v="340"/>
    <n v="345132"/>
  </r>
  <r>
    <s v="M0151"/>
    <x v="1"/>
    <x v="1709"/>
    <x v="81"/>
    <n v="453111"/>
  </r>
  <r>
    <s v="M0151"/>
    <x v="1"/>
    <x v="1709"/>
    <x v="81"/>
    <n v="453111"/>
  </r>
  <r>
    <s v="M0151"/>
    <x v="1"/>
    <x v="1709"/>
    <x v="81"/>
    <n v="453111"/>
  </r>
  <r>
    <s v="M0151"/>
    <x v="1"/>
    <x v="1709"/>
    <x v="81"/>
    <n v="453111"/>
  </r>
  <r>
    <s v="M0151"/>
    <x v="1"/>
    <x v="1710"/>
    <x v="317"/>
    <n v="185091"/>
  </r>
  <r>
    <s v="M0151"/>
    <x v="1"/>
    <x v="1710"/>
    <x v="317"/>
    <n v="185091"/>
  </r>
  <r>
    <s v="M0151"/>
    <x v="1"/>
    <x v="1710"/>
    <x v="317"/>
    <n v="185091"/>
  </r>
  <r>
    <s v="M0151"/>
    <x v="1"/>
    <x v="1710"/>
    <x v="317"/>
    <n v="185091"/>
  </r>
  <r>
    <s v="M0283"/>
    <x v="1"/>
    <x v="1711"/>
    <x v="106"/>
    <n v="152283"/>
  </r>
  <r>
    <s v="M0283"/>
    <x v="1"/>
    <x v="1712"/>
    <x v="293"/>
    <n v="283184"/>
  </r>
  <r>
    <s v="M0283"/>
    <x v="1"/>
    <x v="1713"/>
    <x v="130"/>
    <n v="293055"/>
  </r>
  <r>
    <s v="M0283"/>
    <x v="1"/>
    <x v="1714"/>
    <x v="20"/>
    <n v="521408"/>
  </r>
  <r>
    <s v="M0283"/>
    <x v="1"/>
    <x v="1715"/>
    <x v="171"/>
    <n v="298073"/>
  </r>
  <r>
    <s v="M0283"/>
    <x v="1"/>
    <x v="1716"/>
    <x v="86"/>
    <n v="235154"/>
  </r>
  <r>
    <s v="M0283"/>
    <x v="1"/>
    <x v="1717"/>
    <x v="117"/>
    <n v="411176"/>
  </r>
  <r>
    <s v="M0283"/>
    <x v="1"/>
    <x v="1718"/>
    <x v="142"/>
    <n v="650234"/>
  </r>
  <r>
    <s v="M0059"/>
    <x v="1"/>
    <x v="1719"/>
    <x v="4"/>
    <n v="105607"/>
  </r>
  <r>
    <s v="M0059"/>
    <x v="1"/>
    <x v="1719"/>
    <x v="4"/>
    <n v="105607"/>
  </r>
  <r>
    <s v="M0059"/>
    <x v="1"/>
    <x v="1719"/>
    <x v="4"/>
    <n v="105607"/>
  </r>
  <r>
    <s v="M0059"/>
    <x v="1"/>
    <x v="1719"/>
    <x v="4"/>
    <n v="105607"/>
  </r>
  <r>
    <s v="M0059"/>
    <x v="1"/>
    <x v="1719"/>
    <x v="4"/>
    <n v="105607"/>
  </r>
  <r>
    <s v="M0059"/>
    <x v="1"/>
    <x v="1720"/>
    <x v="330"/>
    <n v="240874"/>
  </r>
  <r>
    <s v="M0059"/>
    <x v="1"/>
    <x v="1720"/>
    <x v="330"/>
    <n v="240874"/>
  </r>
  <r>
    <s v="M0059"/>
    <x v="1"/>
    <x v="1720"/>
    <x v="330"/>
    <n v="240874"/>
  </r>
  <r>
    <s v="M0059"/>
    <x v="1"/>
    <x v="1720"/>
    <x v="330"/>
    <n v="240874"/>
  </r>
  <r>
    <s v="M0059"/>
    <x v="1"/>
    <x v="1720"/>
    <x v="330"/>
    <n v="240874"/>
  </r>
  <r>
    <s v="M0141"/>
    <x v="1"/>
    <x v="1721"/>
    <x v="109"/>
    <n v="407847"/>
  </r>
  <r>
    <s v="M0141"/>
    <x v="1"/>
    <x v="1721"/>
    <x v="109"/>
    <n v="407847"/>
  </r>
  <r>
    <s v="M0141"/>
    <x v="1"/>
    <x v="1721"/>
    <x v="109"/>
    <n v="407847"/>
  </r>
  <r>
    <s v="M0141"/>
    <x v="1"/>
    <x v="1721"/>
    <x v="109"/>
    <n v="407847"/>
  </r>
  <r>
    <s v="M0141"/>
    <x v="1"/>
    <x v="1721"/>
    <x v="109"/>
    <n v="407847"/>
  </r>
  <r>
    <s v="M0141"/>
    <x v="1"/>
    <x v="1721"/>
    <x v="109"/>
    <n v="407847"/>
  </r>
  <r>
    <s v="M0141"/>
    <x v="1"/>
    <x v="1721"/>
    <x v="109"/>
    <n v="407847"/>
  </r>
  <r>
    <s v="M0141"/>
    <x v="1"/>
    <x v="1722"/>
    <x v="50"/>
    <n v="113217"/>
  </r>
  <r>
    <s v="M0141"/>
    <x v="1"/>
    <x v="1722"/>
    <x v="50"/>
    <n v="113217"/>
  </r>
  <r>
    <s v="M0141"/>
    <x v="1"/>
    <x v="1722"/>
    <x v="50"/>
    <n v="113217"/>
  </r>
  <r>
    <s v="M0141"/>
    <x v="1"/>
    <x v="1722"/>
    <x v="50"/>
    <n v="113217"/>
  </r>
  <r>
    <s v="M0141"/>
    <x v="1"/>
    <x v="1722"/>
    <x v="50"/>
    <n v="113217"/>
  </r>
  <r>
    <s v="M0141"/>
    <x v="1"/>
    <x v="1722"/>
    <x v="50"/>
    <n v="113217"/>
  </r>
  <r>
    <s v="M0141"/>
    <x v="1"/>
    <x v="1722"/>
    <x v="50"/>
    <n v="113217"/>
  </r>
  <r>
    <s v="M0141"/>
    <x v="1"/>
    <x v="1723"/>
    <x v="119"/>
    <n v="215136"/>
  </r>
  <r>
    <s v="M0141"/>
    <x v="1"/>
    <x v="1723"/>
    <x v="119"/>
    <n v="215136"/>
  </r>
  <r>
    <s v="M0141"/>
    <x v="1"/>
    <x v="1723"/>
    <x v="119"/>
    <n v="215136"/>
  </r>
  <r>
    <s v="M0141"/>
    <x v="1"/>
    <x v="1723"/>
    <x v="119"/>
    <n v="215136"/>
  </r>
  <r>
    <s v="M0141"/>
    <x v="1"/>
    <x v="1723"/>
    <x v="119"/>
    <n v="215136"/>
  </r>
  <r>
    <s v="M0141"/>
    <x v="1"/>
    <x v="1723"/>
    <x v="119"/>
    <n v="215136"/>
  </r>
  <r>
    <s v="M0141"/>
    <x v="1"/>
    <x v="1723"/>
    <x v="119"/>
    <n v="215136"/>
  </r>
  <r>
    <s v="M0141"/>
    <x v="1"/>
    <x v="1724"/>
    <x v="283"/>
    <n v="465747"/>
  </r>
  <r>
    <s v="M0141"/>
    <x v="1"/>
    <x v="1724"/>
    <x v="283"/>
    <n v="465747"/>
  </r>
  <r>
    <s v="M0141"/>
    <x v="1"/>
    <x v="1724"/>
    <x v="283"/>
    <n v="465747"/>
  </r>
  <r>
    <s v="M0141"/>
    <x v="1"/>
    <x v="1724"/>
    <x v="283"/>
    <n v="465747"/>
  </r>
  <r>
    <s v="M0141"/>
    <x v="1"/>
    <x v="1724"/>
    <x v="283"/>
    <n v="465747"/>
  </r>
  <r>
    <s v="M0141"/>
    <x v="1"/>
    <x v="1724"/>
    <x v="283"/>
    <n v="465747"/>
  </r>
  <r>
    <s v="M0141"/>
    <x v="1"/>
    <x v="1724"/>
    <x v="283"/>
    <n v="465747"/>
  </r>
  <r>
    <s v="M0141"/>
    <x v="1"/>
    <x v="1725"/>
    <x v="163"/>
    <n v="179171"/>
  </r>
  <r>
    <s v="M0141"/>
    <x v="1"/>
    <x v="1725"/>
    <x v="163"/>
    <n v="179171"/>
  </r>
  <r>
    <s v="M0141"/>
    <x v="1"/>
    <x v="1725"/>
    <x v="163"/>
    <n v="179171"/>
  </r>
  <r>
    <s v="M0141"/>
    <x v="1"/>
    <x v="1725"/>
    <x v="163"/>
    <n v="179171"/>
  </r>
  <r>
    <s v="M0141"/>
    <x v="1"/>
    <x v="1725"/>
    <x v="163"/>
    <n v="179171"/>
  </r>
  <r>
    <s v="M0141"/>
    <x v="1"/>
    <x v="1725"/>
    <x v="163"/>
    <n v="179171"/>
  </r>
  <r>
    <s v="M0141"/>
    <x v="1"/>
    <x v="1725"/>
    <x v="163"/>
    <n v="179171"/>
  </r>
  <r>
    <s v="M0141"/>
    <x v="1"/>
    <x v="1726"/>
    <x v="331"/>
    <n v="70741"/>
  </r>
  <r>
    <s v="M0141"/>
    <x v="1"/>
    <x v="1726"/>
    <x v="331"/>
    <n v="70741"/>
  </r>
  <r>
    <s v="M0141"/>
    <x v="1"/>
    <x v="1726"/>
    <x v="331"/>
    <n v="70741"/>
  </r>
  <r>
    <s v="M0141"/>
    <x v="1"/>
    <x v="1726"/>
    <x v="331"/>
    <n v="70741"/>
  </r>
  <r>
    <s v="M0141"/>
    <x v="1"/>
    <x v="1726"/>
    <x v="331"/>
    <n v="70741"/>
  </r>
  <r>
    <s v="M0141"/>
    <x v="1"/>
    <x v="1726"/>
    <x v="331"/>
    <n v="70741"/>
  </r>
  <r>
    <s v="M0141"/>
    <x v="1"/>
    <x v="1726"/>
    <x v="331"/>
    <n v="70741"/>
  </r>
  <r>
    <s v="M0141"/>
    <x v="1"/>
    <x v="1727"/>
    <x v="282"/>
    <n v="252774"/>
  </r>
  <r>
    <s v="M0141"/>
    <x v="1"/>
    <x v="1727"/>
    <x v="282"/>
    <n v="252774"/>
  </r>
  <r>
    <s v="M0141"/>
    <x v="1"/>
    <x v="1727"/>
    <x v="282"/>
    <n v="252774"/>
  </r>
  <r>
    <s v="M0141"/>
    <x v="1"/>
    <x v="1727"/>
    <x v="282"/>
    <n v="252774"/>
  </r>
  <r>
    <s v="M0141"/>
    <x v="1"/>
    <x v="1727"/>
    <x v="282"/>
    <n v="252774"/>
  </r>
  <r>
    <s v="M0141"/>
    <x v="1"/>
    <x v="1727"/>
    <x v="282"/>
    <n v="252774"/>
  </r>
  <r>
    <s v="M0141"/>
    <x v="1"/>
    <x v="1727"/>
    <x v="282"/>
    <n v="252774"/>
  </r>
  <r>
    <s v="M0141"/>
    <x v="1"/>
    <x v="1728"/>
    <x v="293"/>
    <n v="107034"/>
  </r>
  <r>
    <s v="M0141"/>
    <x v="1"/>
    <x v="1728"/>
    <x v="293"/>
    <n v="107034"/>
  </r>
  <r>
    <s v="M0141"/>
    <x v="1"/>
    <x v="1728"/>
    <x v="293"/>
    <n v="107034"/>
  </r>
  <r>
    <s v="M0141"/>
    <x v="1"/>
    <x v="1728"/>
    <x v="293"/>
    <n v="107034"/>
  </r>
  <r>
    <s v="M0141"/>
    <x v="1"/>
    <x v="1728"/>
    <x v="293"/>
    <n v="107034"/>
  </r>
  <r>
    <s v="M0141"/>
    <x v="1"/>
    <x v="1728"/>
    <x v="293"/>
    <n v="107034"/>
  </r>
  <r>
    <s v="M0141"/>
    <x v="1"/>
    <x v="1728"/>
    <x v="293"/>
    <n v="107034"/>
  </r>
  <r>
    <s v="M0141"/>
    <x v="1"/>
    <x v="1729"/>
    <x v="87"/>
    <n v="52957"/>
  </r>
  <r>
    <s v="M0141"/>
    <x v="1"/>
    <x v="1729"/>
    <x v="87"/>
    <n v="52957"/>
  </r>
  <r>
    <s v="M0141"/>
    <x v="1"/>
    <x v="1729"/>
    <x v="87"/>
    <n v="52957"/>
  </r>
  <r>
    <s v="M0141"/>
    <x v="1"/>
    <x v="1729"/>
    <x v="87"/>
    <n v="52957"/>
  </r>
  <r>
    <s v="M0141"/>
    <x v="1"/>
    <x v="1729"/>
    <x v="87"/>
    <n v="52957"/>
  </r>
  <r>
    <s v="M0141"/>
    <x v="1"/>
    <x v="1729"/>
    <x v="87"/>
    <n v="52957"/>
  </r>
  <r>
    <s v="M0141"/>
    <x v="1"/>
    <x v="1729"/>
    <x v="87"/>
    <n v="52957"/>
  </r>
  <r>
    <s v="M0141"/>
    <x v="1"/>
    <x v="1730"/>
    <x v="252"/>
    <n v="861276"/>
  </r>
  <r>
    <s v="M0141"/>
    <x v="1"/>
    <x v="1730"/>
    <x v="252"/>
    <n v="861276"/>
  </r>
  <r>
    <s v="M0141"/>
    <x v="1"/>
    <x v="1730"/>
    <x v="252"/>
    <n v="861276"/>
  </r>
  <r>
    <s v="M0141"/>
    <x v="1"/>
    <x v="1730"/>
    <x v="252"/>
    <n v="861276"/>
  </r>
  <r>
    <s v="M0141"/>
    <x v="1"/>
    <x v="1730"/>
    <x v="252"/>
    <n v="861276"/>
  </r>
  <r>
    <s v="M0141"/>
    <x v="1"/>
    <x v="1730"/>
    <x v="252"/>
    <n v="861276"/>
  </r>
  <r>
    <s v="M0141"/>
    <x v="1"/>
    <x v="1730"/>
    <x v="252"/>
    <n v="861276"/>
  </r>
  <r>
    <s v="M0221"/>
    <x v="1"/>
    <x v="1731"/>
    <x v="219"/>
    <n v="279787"/>
  </r>
  <r>
    <s v="M0221"/>
    <x v="1"/>
    <x v="1731"/>
    <x v="219"/>
    <n v="279787"/>
  </r>
  <r>
    <s v="M0221"/>
    <x v="1"/>
    <x v="1731"/>
    <x v="219"/>
    <n v="279787"/>
  </r>
  <r>
    <s v="M0221"/>
    <x v="1"/>
    <x v="1731"/>
    <x v="219"/>
    <n v="279787"/>
  </r>
  <r>
    <s v="M0221"/>
    <x v="1"/>
    <x v="1731"/>
    <x v="219"/>
    <n v="279787"/>
  </r>
  <r>
    <s v="M0221"/>
    <x v="1"/>
    <x v="1731"/>
    <x v="219"/>
    <n v="279787"/>
  </r>
  <r>
    <s v="M0221"/>
    <x v="1"/>
    <x v="1732"/>
    <x v="218"/>
    <n v="328160"/>
  </r>
  <r>
    <s v="M0221"/>
    <x v="1"/>
    <x v="1732"/>
    <x v="218"/>
    <n v="328160"/>
  </r>
  <r>
    <s v="M0221"/>
    <x v="1"/>
    <x v="1732"/>
    <x v="218"/>
    <n v="328160"/>
  </r>
  <r>
    <s v="M0221"/>
    <x v="1"/>
    <x v="1732"/>
    <x v="218"/>
    <n v="328160"/>
  </r>
  <r>
    <s v="M0221"/>
    <x v="1"/>
    <x v="1732"/>
    <x v="218"/>
    <n v="328160"/>
  </r>
  <r>
    <s v="M0221"/>
    <x v="1"/>
    <x v="1732"/>
    <x v="218"/>
    <n v="328160"/>
  </r>
  <r>
    <s v="M0221"/>
    <x v="1"/>
    <x v="1733"/>
    <x v="87"/>
    <n v="312297"/>
  </r>
  <r>
    <s v="M0221"/>
    <x v="1"/>
    <x v="1733"/>
    <x v="87"/>
    <n v="312297"/>
  </r>
  <r>
    <s v="M0221"/>
    <x v="1"/>
    <x v="1733"/>
    <x v="87"/>
    <n v="312297"/>
  </r>
  <r>
    <s v="M0221"/>
    <x v="1"/>
    <x v="1733"/>
    <x v="87"/>
    <n v="312297"/>
  </r>
  <r>
    <s v="M0221"/>
    <x v="1"/>
    <x v="1733"/>
    <x v="87"/>
    <n v="312297"/>
  </r>
  <r>
    <s v="M0221"/>
    <x v="1"/>
    <x v="1733"/>
    <x v="87"/>
    <n v="312297"/>
  </r>
  <r>
    <s v="M0223"/>
    <x v="0"/>
    <x v="1734"/>
    <x v="306"/>
    <n v="462474"/>
  </r>
  <r>
    <s v="M0223"/>
    <x v="0"/>
    <x v="1734"/>
    <x v="306"/>
    <n v="462474"/>
  </r>
  <r>
    <s v="M0223"/>
    <x v="0"/>
    <x v="1735"/>
    <x v="12"/>
    <n v="417262"/>
  </r>
  <r>
    <s v="M0223"/>
    <x v="0"/>
    <x v="1735"/>
    <x v="12"/>
    <n v="417262"/>
  </r>
  <r>
    <s v="M0223"/>
    <x v="0"/>
    <x v="1736"/>
    <x v="151"/>
    <n v="397252"/>
  </r>
  <r>
    <s v="M0223"/>
    <x v="0"/>
    <x v="1736"/>
    <x v="151"/>
    <n v="397252"/>
  </r>
  <r>
    <s v="M0223"/>
    <x v="0"/>
    <x v="1737"/>
    <x v="196"/>
    <n v="297551"/>
  </r>
  <r>
    <s v="M0223"/>
    <x v="0"/>
    <x v="1737"/>
    <x v="196"/>
    <n v="297551"/>
  </r>
  <r>
    <s v="M0257"/>
    <x v="0"/>
    <x v="1738"/>
    <x v="245"/>
    <n v="118115"/>
  </r>
  <r>
    <s v="M0257"/>
    <x v="0"/>
    <x v="1738"/>
    <x v="245"/>
    <n v="118115"/>
  </r>
  <r>
    <s v="M0257"/>
    <x v="0"/>
    <x v="1739"/>
    <x v="356"/>
    <n v="269394"/>
  </r>
  <r>
    <s v="M0257"/>
    <x v="0"/>
    <x v="1739"/>
    <x v="356"/>
    <n v="269394"/>
  </r>
  <r>
    <s v="M0257"/>
    <x v="0"/>
    <x v="1740"/>
    <x v="247"/>
    <n v="182953"/>
  </r>
  <r>
    <s v="M0257"/>
    <x v="0"/>
    <x v="1740"/>
    <x v="247"/>
    <n v="182953"/>
  </r>
  <r>
    <s v="M0257"/>
    <x v="0"/>
    <x v="1741"/>
    <x v="267"/>
    <n v="442173"/>
  </r>
  <r>
    <s v="M0257"/>
    <x v="0"/>
    <x v="1741"/>
    <x v="267"/>
    <n v="442173"/>
  </r>
  <r>
    <s v="M0173"/>
    <x v="1"/>
    <x v="1742"/>
    <x v="155"/>
    <n v="398580"/>
  </r>
  <r>
    <s v="M0173"/>
    <x v="1"/>
    <x v="1743"/>
    <x v="245"/>
    <n v="88067"/>
  </r>
  <r>
    <s v="M0173"/>
    <x v="1"/>
    <x v="1744"/>
    <x v="165"/>
    <n v="587060"/>
  </r>
  <r>
    <s v="M0173"/>
    <x v="1"/>
    <x v="1745"/>
    <x v="146"/>
    <n v="384807"/>
  </r>
  <r>
    <s v="M0104"/>
    <x v="1"/>
    <x v="1746"/>
    <x v="213"/>
    <n v="289563"/>
  </r>
  <r>
    <s v="M0104"/>
    <x v="1"/>
    <x v="1746"/>
    <x v="213"/>
    <n v="289563"/>
  </r>
  <r>
    <s v="M0104"/>
    <x v="1"/>
    <x v="1747"/>
    <x v="332"/>
    <n v="187656"/>
  </r>
  <r>
    <s v="M0104"/>
    <x v="1"/>
    <x v="1747"/>
    <x v="332"/>
    <n v="187656"/>
  </r>
  <r>
    <s v="M0104"/>
    <x v="1"/>
    <x v="1748"/>
    <x v="58"/>
    <n v="342451"/>
  </r>
  <r>
    <s v="M0104"/>
    <x v="1"/>
    <x v="1748"/>
    <x v="58"/>
    <n v="342451"/>
  </r>
  <r>
    <s v="M0104"/>
    <x v="1"/>
    <x v="1749"/>
    <x v="67"/>
    <n v="254719"/>
  </r>
  <r>
    <s v="M0104"/>
    <x v="1"/>
    <x v="1749"/>
    <x v="67"/>
    <n v="254719"/>
  </r>
  <r>
    <s v="M0104"/>
    <x v="1"/>
    <x v="1750"/>
    <x v="48"/>
    <n v="557634"/>
  </r>
  <r>
    <s v="M0104"/>
    <x v="1"/>
    <x v="1750"/>
    <x v="48"/>
    <n v="557634"/>
  </r>
  <r>
    <s v="M0104"/>
    <x v="1"/>
    <x v="1751"/>
    <x v="264"/>
    <n v="190613"/>
  </r>
  <r>
    <s v="M0104"/>
    <x v="1"/>
    <x v="1751"/>
    <x v="264"/>
    <n v="190613"/>
  </r>
  <r>
    <s v="M0104"/>
    <x v="1"/>
    <x v="1752"/>
    <x v="200"/>
    <n v="635313"/>
  </r>
  <r>
    <s v="M0104"/>
    <x v="1"/>
    <x v="1752"/>
    <x v="200"/>
    <n v="635313"/>
  </r>
  <r>
    <s v="M0104"/>
    <x v="1"/>
    <x v="1753"/>
    <x v="49"/>
    <n v="179697"/>
  </r>
  <r>
    <s v="M0104"/>
    <x v="1"/>
    <x v="1753"/>
    <x v="49"/>
    <n v="179697"/>
  </r>
  <r>
    <s v="M0104"/>
    <x v="1"/>
    <x v="1754"/>
    <x v="215"/>
    <n v="106904"/>
  </r>
  <r>
    <s v="M0104"/>
    <x v="1"/>
    <x v="1754"/>
    <x v="215"/>
    <n v="106904"/>
  </r>
  <r>
    <s v="M0104"/>
    <x v="1"/>
    <x v="1755"/>
    <x v="153"/>
    <n v="284061"/>
  </r>
  <r>
    <s v="M0104"/>
    <x v="1"/>
    <x v="1755"/>
    <x v="153"/>
    <n v="284061"/>
  </r>
  <r>
    <s v="M0104"/>
    <x v="1"/>
    <x v="1756"/>
    <x v="136"/>
    <n v="341328"/>
  </r>
  <r>
    <s v="M0104"/>
    <x v="1"/>
    <x v="1756"/>
    <x v="136"/>
    <n v="341328"/>
  </r>
  <r>
    <s v="M0104"/>
    <x v="1"/>
    <x v="1757"/>
    <x v="133"/>
    <n v="95542"/>
  </r>
  <r>
    <s v="M0104"/>
    <x v="1"/>
    <x v="1757"/>
    <x v="133"/>
    <n v="95542"/>
  </r>
  <r>
    <s v="M0130"/>
    <x v="1"/>
    <x v="1758"/>
    <x v="118"/>
    <n v="87956"/>
  </r>
  <r>
    <s v="M0130"/>
    <x v="1"/>
    <x v="1758"/>
    <x v="118"/>
    <n v="87956"/>
  </r>
  <r>
    <s v="M0130"/>
    <x v="1"/>
    <x v="1758"/>
    <x v="118"/>
    <n v="87956"/>
  </r>
  <r>
    <s v="M0130"/>
    <x v="1"/>
    <x v="1758"/>
    <x v="118"/>
    <n v="87956"/>
  </r>
  <r>
    <s v="M0130"/>
    <x v="1"/>
    <x v="1758"/>
    <x v="118"/>
    <n v="87956"/>
  </r>
  <r>
    <s v="M0130"/>
    <x v="1"/>
    <x v="1759"/>
    <x v="78"/>
    <n v="403612"/>
  </r>
  <r>
    <s v="M0130"/>
    <x v="1"/>
    <x v="1759"/>
    <x v="78"/>
    <n v="403612"/>
  </r>
  <r>
    <s v="M0130"/>
    <x v="1"/>
    <x v="1759"/>
    <x v="78"/>
    <n v="403612"/>
  </r>
  <r>
    <s v="M0130"/>
    <x v="1"/>
    <x v="1759"/>
    <x v="78"/>
    <n v="403612"/>
  </r>
  <r>
    <s v="M0130"/>
    <x v="1"/>
    <x v="1759"/>
    <x v="78"/>
    <n v="403612"/>
  </r>
  <r>
    <s v="M0130"/>
    <x v="1"/>
    <x v="1760"/>
    <x v="24"/>
    <n v="94580"/>
  </r>
  <r>
    <s v="M0130"/>
    <x v="1"/>
    <x v="1760"/>
    <x v="24"/>
    <n v="94580"/>
  </r>
  <r>
    <s v="M0130"/>
    <x v="1"/>
    <x v="1760"/>
    <x v="24"/>
    <n v="94580"/>
  </r>
  <r>
    <s v="M0130"/>
    <x v="1"/>
    <x v="1760"/>
    <x v="24"/>
    <n v="94580"/>
  </r>
  <r>
    <s v="M0130"/>
    <x v="1"/>
    <x v="1760"/>
    <x v="24"/>
    <n v="94580"/>
  </r>
  <r>
    <s v="M0130"/>
    <x v="1"/>
    <x v="1761"/>
    <x v="99"/>
    <n v="112844"/>
  </r>
  <r>
    <s v="M0130"/>
    <x v="1"/>
    <x v="1761"/>
    <x v="99"/>
    <n v="112844"/>
  </r>
  <r>
    <s v="M0130"/>
    <x v="1"/>
    <x v="1761"/>
    <x v="99"/>
    <n v="112844"/>
  </r>
  <r>
    <s v="M0130"/>
    <x v="1"/>
    <x v="1761"/>
    <x v="99"/>
    <n v="112844"/>
  </r>
  <r>
    <s v="M0130"/>
    <x v="1"/>
    <x v="1761"/>
    <x v="99"/>
    <n v="112844"/>
  </r>
  <r>
    <s v="M0130"/>
    <x v="1"/>
    <x v="1762"/>
    <x v="54"/>
    <n v="330205"/>
  </r>
  <r>
    <s v="M0130"/>
    <x v="1"/>
    <x v="1762"/>
    <x v="54"/>
    <n v="330205"/>
  </r>
  <r>
    <s v="M0130"/>
    <x v="1"/>
    <x v="1762"/>
    <x v="54"/>
    <n v="330205"/>
  </r>
  <r>
    <s v="M0130"/>
    <x v="1"/>
    <x v="1762"/>
    <x v="54"/>
    <n v="330205"/>
  </r>
  <r>
    <s v="M0130"/>
    <x v="1"/>
    <x v="1762"/>
    <x v="54"/>
    <n v="330205"/>
  </r>
  <r>
    <s v="M0130"/>
    <x v="1"/>
    <x v="1763"/>
    <x v="294"/>
    <n v="83165"/>
  </r>
  <r>
    <s v="M0130"/>
    <x v="1"/>
    <x v="1763"/>
    <x v="294"/>
    <n v="83165"/>
  </r>
  <r>
    <s v="M0130"/>
    <x v="1"/>
    <x v="1763"/>
    <x v="294"/>
    <n v="83165"/>
  </r>
  <r>
    <s v="M0130"/>
    <x v="1"/>
    <x v="1763"/>
    <x v="294"/>
    <n v="83165"/>
  </r>
  <r>
    <s v="M0130"/>
    <x v="1"/>
    <x v="1763"/>
    <x v="294"/>
    <n v="83165"/>
  </r>
  <r>
    <s v="M0115"/>
    <x v="1"/>
    <x v="1764"/>
    <x v="323"/>
    <n v="33970"/>
  </r>
  <r>
    <s v="M0115"/>
    <x v="1"/>
    <x v="1764"/>
    <x v="323"/>
    <n v="33970"/>
  </r>
  <r>
    <s v="M0115"/>
    <x v="1"/>
    <x v="1764"/>
    <x v="323"/>
    <n v="33970"/>
  </r>
  <r>
    <s v="M0115"/>
    <x v="1"/>
    <x v="1765"/>
    <x v="77"/>
    <n v="345718"/>
  </r>
  <r>
    <s v="M0115"/>
    <x v="1"/>
    <x v="1765"/>
    <x v="77"/>
    <n v="345718"/>
  </r>
  <r>
    <s v="M0115"/>
    <x v="1"/>
    <x v="1765"/>
    <x v="77"/>
    <n v="345718"/>
  </r>
  <r>
    <s v="M0115"/>
    <x v="1"/>
    <x v="1766"/>
    <x v="359"/>
    <n v="271617"/>
  </r>
  <r>
    <s v="M0115"/>
    <x v="1"/>
    <x v="1766"/>
    <x v="359"/>
    <n v="271617"/>
  </r>
  <r>
    <s v="M0115"/>
    <x v="1"/>
    <x v="1766"/>
    <x v="359"/>
    <n v="271617"/>
  </r>
  <r>
    <s v="M0115"/>
    <x v="1"/>
    <x v="1767"/>
    <x v="282"/>
    <n v="483723"/>
  </r>
  <r>
    <s v="M0115"/>
    <x v="1"/>
    <x v="1767"/>
    <x v="282"/>
    <n v="483723"/>
  </r>
  <r>
    <s v="M0115"/>
    <x v="1"/>
    <x v="1767"/>
    <x v="282"/>
    <n v="483723"/>
  </r>
  <r>
    <s v="M0115"/>
    <x v="1"/>
    <x v="1768"/>
    <x v="162"/>
    <n v="253668"/>
  </r>
  <r>
    <s v="M0115"/>
    <x v="1"/>
    <x v="1768"/>
    <x v="162"/>
    <n v="253668"/>
  </r>
  <r>
    <s v="M0115"/>
    <x v="1"/>
    <x v="1768"/>
    <x v="162"/>
    <n v="253668"/>
  </r>
  <r>
    <s v="M0115"/>
    <x v="1"/>
    <x v="1769"/>
    <x v="187"/>
    <n v="87485"/>
  </r>
  <r>
    <s v="M0115"/>
    <x v="1"/>
    <x v="1769"/>
    <x v="187"/>
    <n v="87485"/>
  </r>
  <r>
    <s v="M0115"/>
    <x v="1"/>
    <x v="1769"/>
    <x v="187"/>
    <n v="87485"/>
  </r>
  <r>
    <s v="M0115"/>
    <x v="1"/>
    <x v="1770"/>
    <x v="308"/>
    <n v="225925"/>
  </r>
  <r>
    <s v="M0115"/>
    <x v="1"/>
    <x v="1770"/>
    <x v="308"/>
    <n v="225925"/>
  </r>
  <r>
    <s v="M0115"/>
    <x v="1"/>
    <x v="1770"/>
    <x v="308"/>
    <n v="225925"/>
  </r>
  <r>
    <s v="M0115"/>
    <x v="1"/>
    <x v="1771"/>
    <x v="141"/>
    <n v="231390"/>
  </r>
  <r>
    <s v="M0115"/>
    <x v="1"/>
    <x v="1771"/>
    <x v="141"/>
    <n v="231390"/>
  </r>
  <r>
    <s v="M0115"/>
    <x v="1"/>
    <x v="1771"/>
    <x v="141"/>
    <n v="231390"/>
  </r>
  <r>
    <s v="M0115"/>
    <x v="1"/>
    <x v="1772"/>
    <x v="247"/>
    <n v="284102"/>
  </r>
  <r>
    <s v="M0115"/>
    <x v="1"/>
    <x v="1772"/>
    <x v="247"/>
    <n v="284102"/>
  </r>
  <r>
    <s v="M0115"/>
    <x v="1"/>
    <x v="1772"/>
    <x v="247"/>
    <n v="284102"/>
  </r>
  <r>
    <s v="M0115"/>
    <x v="1"/>
    <x v="1773"/>
    <x v="340"/>
    <n v="309825"/>
  </r>
  <r>
    <s v="M0115"/>
    <x v="1"/>
    <x v="1773"/>
    <x v="340"/>
    <n v="309825"/>
  </r>
  <r>
    <s v="M0115"/>
    <x v="1"/>
    <x v="1773"/>
    <x v="340"/>
    <n v="309825"/>
  </r>
  <r>
    <s v="M0077"/>
    <x v="1"/>
    <x v="1774"/>
    <x v="268"/>
    <n v="338998"/>
  </r>
  <r>
    <s v="M0077"/>
    <x v="1"/>
    <x v="1775"/>
    <x v="88"/>
    <n v="138393"/>
  </r>
  <r>
    <s v="M0077"/>
    <x v="1"/>
    <x v="1776"/>
    <x v="302"/>
    <n v="270966"/>
  </r>
  <r>
    <s v="M0077"/>
    <x v="1"/>
    <x v="1777"/>
    <x v="359"/>
    <n v="577826"/>
  </r>
  <r>
    <s v="M0077"/>
    <x v="1"/>
    <x v="1778"/>
    <x v="349"/>
    <n v="78204"/>
  </r>
  <r>
    <s v="M0077"/>
    <x v="1"/>
    <x v="1779"/>
    <x v="51"/>
    <n v="208974"/>
  </r>
  <r>
    <s v="M0077"/>
    <x v="1"/>
    <x v="1780"/>
    <x v="76"/>
    <n v="618132"/>
  </r>
  <r>
    <s v="M0077"/>
    <x v="1"/>
    <x v="1781"/>
    <x v="101"/>
    <n v="70431"/>
  </r>
  <r>
    <s v="M0077"/>
    <x v="1"/>
    <x v="1782"/>
    <x v="241"/>
    <n v="370657"/>
  </r>
  <r>
    <s v="M0077"/>
    <x v="1"/>
    <x v="1783"/>
    <x v="95"/>
    <n v="120617"/>
  </r>
  <r>
    <s v="M0077"/>
    <x v="1"/>
    <x v="1784"/>
    <x v="257"/>
    <n v="197122"/>
  </r>
  <r>
    <s v="M0077"/>
    <x v="1"/>
    <x v="1785"/>
    <x v="325"/>
    <n v="393909"/>
  </r>
  <r>
    <s v="M0077"/>
    <x v="1"/>
    <x v="1786"/>
    <x v="327"/>
    <n v="937968"/>
  </r>
  <r>
    <s v="M0077"/>
    <x v="1"/>
    <x v="1787"/>
    <x v="236"/>
    <n v="137210"/>
  </r>
  <r>
    <s v="M0077"/>
    <x v="1"/>
    <x v="1788"/>
    <x v="342"/>
    <n v="295915"/>
  </r>
  <r>
    <s v="M0077"/>
    <x v="1"/>
    <x v="1789"/>
    <x v="267"/>
    <n v="345366"/>
  </r>
  <r>
    <s v="M0077"/>
    <x v="1"/>
    <x v="1790"/>
    <x v="136"/>
    <n v="142348"/>
  </r>
  <r>
    <s v="M0077"/>
    <x v="1"/>
    <x v="1791"/>
    <x v="305"/>
    <n v="274438"/>
  </r>
  <r>
    <s v="M0152"/>
    <x v="1"/>
    <x v="1792"/>
    <x v="116"/>
    <n v="68891"/>
  </r>
  <r>
    <s v="M0152"/>
    <x v="1"/>
    <x v="1792"/>
    <x v="116"/>
    <n v="68891"/>
  </r>
  <r>
    <s v="M0152"/>
    <x v="1"/>
    <x v="1792"/>
    <x v="116"/>
    <n v="68891"/>
  </r>
  <r>
    <s v="M0152"/>
    <x v="1"/>
    <x v="1793"/>
    <x v="231"/>
    <n v="146870"/>
  </r>
  <r>
    <s v="M0152"/>
    <x v="1"/>
    <x v="1793"/>
    <x v="231"/>
    <n v="146870"/>
  </r>
  <r>
    <s v="M0152"/>
    <x v="1"/>
    <x v="1793"/>
    <x v="231"/>
    <n v="146870"/>
  </r>
  <r>
    <s v="M0252"/>
    <x v="2"/>
    <x v="1794"/>
    <x v="37"/>
    <n v="152835"/>
  </r>
  <r>
    <s v="M0252"/>
    <x v="2"/>
    <x v="1795"/>
    <x v="171"/>
    <n v="172859"/>
  </r>
  <r>
    <s v="M0252"/>
    <x v="2"/>
    <x v="1796"/>
    <x v="239"/>
    <n v="123297"/>
  </r>
  <r>
    <s v="M0252"/>
    <x v="2"/>
    <x v="1797"/>
    <x v="218"/>
    <n v="890595"/>
  </r>
  <r>
    <s v="M0252"/>
    <x v="2"/>
    <x v="1798"/>
    <x v="183"/>
    <n v="270570"/>
  </r>
  <r>
    <s v="M0252"/>
    <x v="2"/>
    <x v="1799"/>
    <x v="227"/>
    <n v="245710"/>
  </r>
  <r>
    <s v="M0252"/>
    <x v="2"/>
    <x v="1800"/>
    <x v="67"/>
    <n v="579555"/>
  </r>
  <r>
    <s v="M0252"/>
    <x v="2"/>
    <x v="1801"/>
    <x v="310"/>
    <n v="319300"/>
  </r>
  <r>
    <s v="M0252"/>
    <x v="2"/>
    <x v="1802"/>
    <x v="123"/>
    <n v="445718"/>
  </r>
  <r>
    <s v="M0252"/>
    <x v="2"/>
    <x v="1803"/>
    <x v="114"/>
    <n v="307648"/>
  </r>
  <r>
    <s v="M0228"/>
    <x v="0"/>
    <x v="1804"/>
    <x v="310"/>
    <n v="349633"/>
  </r>
  <r>
    <s v="M0228"/>
    <x v="0"/>
    <x v="1804"/>
    <x v="310"/>
    <n v="349633"/>
  </r>
  <r>
    <s v="M0228"/>
    <x v="0"/>
    <x v="1804"/>
    <x v="310"/>
    <n v="349633"/>
  </r>
  <r>
    <s v="M0228"/>
    <x v="0"/>
    <x v="1804"/>
    <x v="310"/>
    <n v="349633"/>
  </r>
  <r>
    <s v="M0228"/>
    <x v="0"/>
    <x v="1805"/>
    <x v="141"/>
    <n v="335848"/>
  </r>
  <r>
    <s v="M0228"/>
    <x v="0"/>
    <x v="1805"/>
    <x v="141"/>
    <n v="335848"/>
  </r>
  <r>
    <s v="M0228"/>
    <x v="0"/>
    <x v="1805"/>
    <x v="141"/>
    <n v="335848"/>
  </r>
  <r>
    <s v="M0228"/>
    <x v="0"/>
    <x v="1805"/>
    <x v="141"/>
    <n v="335848"/>
  </r>
  <r>
    <s v="M0228"/>
    <x v="0"/>
    <x v="1806"/>
    <x v="36"/>
    <n v="86565"/>
  </r>
  <r>
    <s v="M0228"/>
    <x v="0"/>
    <x v="1806"/>
    <x v="36"/>
    <n v="86565"/>
  </r>
  <r>
    <s v="M0228"/>
    <x v="0"/>
    <x v="1806"/>
    <x v="36"/>
    <n v="86565"/>
  </r>
  <r>
    <s v="M0228"/>
    <x v="0"/>
    <x v="1806"/>
    <x v="36"/>
    <n v="86565"/>
  </r>
  <r>
    <s v="M0228"/>
    <x v="0"/>
    <x v="1807"/>
    <x v="163"/>
    <n v="104223"/>
  </r>
  <r>
    <s v="M0228"/>
    <x v="0"/>
    <x v="1807"/>
    <x v="163"/>
    <n v="104223"/>
  </r>
  <r>
    <s v="M0228"/>
    <x v="0"/>
    <x v="1807"/>
    <x v="163"/>
    <n v="104223"/>
  </r>
  <r>
    <s v="M0228"/>
    <x v="0"/>
    <x v="1807"/>
    <x v="163"/>
    <n v="104223"/>
  </r>
  <r>
    <s v="M0228"/>
    <x v="0"/>
    <x v="1808"/>
    <x v="284"/>
    <n v="44930"/>
  </r>
  <r>
    <s v="M0228"/>
    <x v="0"/>
    <x v="1808"/>
    <x v="284"/>
    <n v="44930"/>
  </r>
  <r>
    <s v="M0228"/>
    <x v="0"/>
    <x v="1808"/>
    <x v="284"/>
    <n v="44930"/>
  </r>
  <r>
    <s v="M0228"/>
    <x v="0"/>
    <x v="1808"/>
    <x v="284"/>
    <n v="44930"/>
  </r>
  <r>
    <s v="M0228"/>
    <x v="0"/>
    <x v="1809"/>
    <x v="46"/>
    <n v="68664"/>
  </r>
  <r>
    <s v="M0228"/>
    <x v="0"/>
    <x v="1809"/>
    <x v="46"/>
    <n v="68664"/>
  </r>
  <r>
    <s v="M0228"/>
    <x v="0"/>
    <x v="1809"/>
    <x v="46"/>
    <n v="68664"/>
  </r>
  <r>
    <s v="M0228"/>
    <x v="0"/>
    <x v="1809"/>
    <x v="46"/>
    <n v="68664"/>
  </r>
  <r>
    <s v="M0228"/>
    <x v="0"/>
    <x v="1810"/>
    <x v="161"/>
    <n v="151738"/>
  </r>
  <r>
    <s v="M0228"/>
    <x v="0"/>
    <x v="1810"/>
    <x v="161"/>
    <n v="151738"/>
  </r>
  <r>
    <s v="M0228"/>
    <x v="0"/>
    <x v="1810"/>
    <x v="161"/>
    <n v="151738"/>
  </r>
  <r>
    <s v="M0228"/>
    <x v="0"/>
    <x v="1810"/>
    <x v="161"/>
    <n v="151738"/>
  </r>
  <r>
    <s v="M0228"/>
    <x v="0"/>
    <x v="1811"/>
    <x v="45"/>
    <n v="286025"/>
  </r>
  <r>
    <s v="M0228"/>
    <x v="0"/>
    <x v="1811"/>
    <x v="45"/>
    <n v="286025"/>
  </r>
  <r>
    <s v="M0228"/>
    <x v="0"/>
    <x v="1811"/>
    <x v="45"/>
    <n v="286025"/>
  </r>
  <r>
    <s v="M0228"/>
    <x v="0"/>
    <x v="1811"/>
    <x v="45"/>
    <n v="286025"/>
  </r>
  <r>
    <s v="M0228"/>
    <x v="0"/>
    <x v="1812"/>
    <x v="102"/>
    <n v="161365"/>
  </r>
  <r>
    <s v="M0228"/>
    <x v="0"/>
    <x v="1812"/>
    <x v="102"/>
    <n v="161365"/>
  </r>
  <r>
    <s v="M0228"/>
    <x v="0"/>
    <x v="1812"/>
    <x v="102"/>
    <n v="161365"/>
  </r>
  <r>
    <s v="M0228"/>
    <x v="0"/>
    <x v="1812"/>
    <x v="102"/>
    <n v="161365"/>
  </r>
  <r>
    <s v="M0228"/>
    <x v="0"/>
    <x v="1813"/>
    <x v="19"/>
    <n v="38674"/>
  </r>
  <r>
    <s v="M0228"/>
    <x v="0"/>
    <x v="1813"/>
    <x v="19"/>
    <n v="38674"/>
  </r>
  <r>
    <s v="M0228"/>
    <x v="0"/>
    <x v="1813"/>
    <x v="19"/>
    <n v="38674"/>
  </r>
  <r>
    <s v="M0228"/>
    <x v="0"/>
    <x v="1813"/>
    <x v="19"/>
    <n v="38674"/>
  </r>
  <r>
    <s v="M0228"/>
    <x v="0"/>
    <x v="1814"/>
    <x v="1"/>
    <n v="276249"/>
  </r>
  <r>
    <s v="M0228"/>
    <x v="0"/>
    <x v="1814"/>
    <x v="1"/>
    <n v="276249"/>
  </r>
  <r>
    <s v="M0228"/>
    <x v="0"/>
    <x v="1814"/>
    <x v="1"/>
    <n v="276249"/>
  </r>
  <r>
    <s v="M0228"/>
    <x v="0"/>
    <x v="1814"/>
    <x v="1"/>
    <n v="276249"/>
  </r>
  <r>
    <s v="M0228"/>
    <x v="0"/>
    <x v="1815"/>
    <x v="118"/>
    <n v="219277"/>
  </r>
  <r>
    <s v="M0228"/>
    <x v="0"/>
    <x v="1815"/>
    <x v="118"/>
    <n v="219277"/>
  </r>
  <r>
    <s v="M0228"/>
    <x v="0"/>
    <x v="1815"/>
    <x v="118"/>
    <n v="219277"/>
  </r>
  <r>
    <s v="M0228"/>
    <x v="0"/>
    <x v="1815"/>
    <x v="118"/>
    <n v="219277"/>
  </r>
  <r>
    <s v="M0122"/>
    <x v="1"/>
    <x v="1816"/>
    <x v="235"/>
    <n v="365102"/>
  </r>
  <r>
    <s v="M0122"/>
    <x v="1"/>
    <x v="1816"/>
    <x v="235"/>
    <n v="365102"/>
  </r>
  <r>
    <s v="M0122"/>
    <x v="1"/>
    <x v="1816"/>
    <x v="235"/>
    <n v="365102"/>
  </r>
  <r>
    <s v="M0122"/>
    <x v="1"/>
    <x v="1816"/>
    <x v="235"/>
    <n v="365102"/>
  </r>
  <r>
    <s v="M0122"/>
    <x v="1"/>
    <x v="1817"/>
    <x v="84"/>
    <n v="515335"/>
  </r>
  <r>
    <s v="M0122"/>
    <x v="1"/>
    <x v="1817"/>
    <x v="84"/>
    <n v="515335"/>
  </r>
  <r>
    <s v="M0122"/>
    <x v="1"/>
    <x v="1817"/>
    <x v="84"/>
    <n v="515335"/>
  </r>
  <r>
    <s v="M0122"/>
    <x v="1"/>
    <x v="1817"/>
    <x v="84"/>
    <n v="515335"/>
  </r>
  <r>
    <s v="M0122"/>
    <x v="1"/>
    <x v="1818"/>
    <x v="222"/>
    <n v="621786"/>
  </r>
  <r>
    <s v="M0122"/>
    <x v="1"/>
    <x v="1818"/>
    <x v="222"/>
    <n v="621786"/>
  </r>
  <r>
    <s v="M0122"/>
    <x v="1"/>
    <x v="1818"/>
    <x v="222"/>
    <n v="621786"/>
  </r>
  <r>
    <s v="M0122"/>
    <x v="1"/>
    <x v="1818"/>
    <x v="222"/>
    <n v="621786"/>
  </r>
  <r>
    <s v="M0122"/>
    <x v="1"/>
    <x v="1819"/>
    <x v="25"/>
    <n v="456947"/>
  </r>
  <r>
    <s v="M0122"/>
    <x v="1"/>
    <x v="1819"/>
    <x v="25"/>
    <n v="456947"/>
  </r>
  <r>
    <s v="M0122"/>
    <x v="1"/>
    <x v="1819"/>
    <x v="25"/>
    <n v="456947"/>
  </r>
  <r>
    <s v="M0122"/>
    <x v="1"/>
    <x v="1819"/>
    <x v="25"/>
    <n v="456947"/>
  </r>
  <r>
    <s v="M0122"/>
    <x v="1"/>
    <x v="1820"/>
    <x v="198"/>
    <n v="295769"/>
  </r>
  <r>
    <s v="M0122"/>
    <x v="1"/>
    <x v="1820"/>
    <x v="198"/>
    <n v="295769"/>
  </r>
  <r>
    <s v="M0122"/>
    <x v="1"/>
    <x v="1820"/>
    <x v="198"/>
    <n v="295769"/>
  </r>
  <r>
    <s v="M0122"/>
    <x v="1"/>
    <x v="1820"/>
    <x v="198"/>
    <n v="295769"/>
  </r>
  <r>
    <s v="M0122"/>
    <x v="1"/>
    <x v="1821"/>
    <x v="79"/>
    <n v="213699"/>
  </r>
  <r>
    <s v="M0122"/>
    <x v="1"/>
    <x v="1821"/>
    <x v="79"/>
    <n v="213699"/>
  </r>
  <r>
    <s v="M0122"/>
    <x v="1"/>
    <x v="1821"/>
    <x v="79"/>
    <n v="213699"/>
  </r>
  <r>
    <s v="M0122"/>
    <x v="1"/>
    <x v="1821"/>
    <x v="79"/>
    <n v="213699"/>
  </r>
  <r>
    <s v="M0122"/>
    <x v="1"/>
    <x v="1822"/>
    <x v="125"/>
    <n v="383457"/>
  </r>
  <r>
    <s v="M0122"/>
    <x v="1"/>
    <x v="1822"/>
    <x v="125"/>
    <n v="383457"/>
  </r>
  <r>
    <s v="M0122"/>
    <x v="1"/>
    <x v="1822"/>
    <x v="125"/>
    <n v="383457"/>
  </r>
  <r>
    <s v="M0122"/>
    <x v="1"/>
    <x v="1822"/>
    <x v="125"/>
    <n v="383457"/>
  </r>
  <r>
    <s v="M0122"/>
    <x v="1"/>
    <x v="1823"/>
    <x v="278"/>
    <n v="244375"/>
  </r>
  <r>
    <s v="M0122"/>
    <x v="1"/>
    <x v="1823"/>
    <x v="278"/>
    <n v="244375"/>
  </r>
  <r>
    <s v="M0122"/>
    <x v="1"/>
    <x v="1823"/>
    <x v="278"/>
    <n v="244375"/>
  </r>
  <r>
    <s v="M0122"/>
    <x v="1"/>
    <x v="1823"/>
    <x v="278"/>
    <n v="244375"/>
  </r>
  <r>
    <s v="M0122"/>
    <x v="1"/>
    <x v="1824"/>
    <x v="105"/>
    <n v="582640"/>
  </r>
  <r>
    <s v="M0122"/>
    <x v="1"/>
    <x v="1824"/>
    <x v="105"/>
    <n v="582640"/>
  </r>
  <r>
    <s v="M0122"/>
    <x v="1"/>
    <x v="1824"/>
    <x v="105"/>
    <n v="582640"/>
  </r>
  <r>
    <s v="M0122"/>
    <x v="1"/>
    <x v="1824"/>
    <x v="105"/>
    <n v="582640"/>
  </r>
  <r>
    <s v="M0122"/>
    <x v="1"/>
    <x v="1825"/>
    <x v="226"/>
    <n v="151481"/>
  </r>
  <r>
    <s v="M0122"/>
    <x v="1"/>
    <x v="1825"/>
    <x v="226"/>
    <n v="151481"/>
  </r>
  <r>
    <s v="M0122"/>
    <x v="1"/>
    <x v="1825"/>
    <x v="226"/>
    <n v="151481"/>
  </r>
  <r>
    <s v="M0122"/>
    <x v="1"/>
    <x v="1825"/>
    <x v="226"/>
    <n v="151481"/>
  </r>
  <r>
    <s v="M0122"/>
    <x v="1"/>
    <x v="1826"/>
    <x v="212"/>
    <n v="182058"/>
  </r>
  <r>
    <s v="M0122"/>
    <x v="1"/>
    <x v="1826"/>
    <x v="212"/>
    <n v="182058"/>
  </r>
  <r>
    <s v="M0122"/>
    <x v="1"/>
    <x v="1826"/>
    <x v="212"/>
    <n v="182058"/>
  </r>
  <r>
    <s v="M0122"/>
    <x v="1"/>
    <x v="1826"/>
    <x v="212"/>
    <n v="182058"/>
  </r>
  <r>
    <s v="M0122"/>
    <x v="1"/>
    <x v="1827"/>
    <x v="351"/>
    <n v="483720"/>
  </r>
  <r>
    <s v="M0122"/>
    <x v="1"/>
    <x v="1827"/>
    <x v="351"/>
    <n v="483720"/>
  </r>
  <r>
    <s v="M0122"/>
    <x v="1"/>
    <x v="1827"/>
    <x v="351"/>
    <n v="483720"/>
  </r>
  <r>
    <s v="M0122"/>
    <x v="1"/>
    <x v="1827"/>
    <x v="351"/>
    <n v="483720"/>
  </r>
  <r>
    <s v="M0122"/>
    <x v="1"/>
    <x v="1828"/>
    <x v="153"/>
    <n v="128213"/>
  </r>
  <r>
    <s v="M0122"/>
    <x v="1"/>
    <x v="1828"/>
    <x v="153"/>
    <n v="128213"/>
  </r>
  <r>
    <s v="M0122"/>
    <x v="1"/>
    <x v="1828"/>
    <x v="153"/>
    <n v="128213"/>
  </r>
  <r>
    <s v="M0122"/>
    <x v="1"/>
    <x v="1828"/>
    <x v="153"/>
    <n v="128213"/>
  </r>
  <r>
    <s v="M0122"/>
    <x v="1"/>
    <x v="1829"/>
    <x v="177"/>
    <n v="390717"/>
  </r>
  <r>
    <s v="M0122"/>
    <x v="1"/>
    <x v="1829"/>
    <x v="177"/>
    <n v="390717"/>
  </r>
  <r>
    <s v="M0122"/>
    <x v="1"/>
    <x v="1829"/>
    <x v="177"/>
    <n v="390717"/>
  </r>
  <r>
    <s v="M0122"/>
    <x v="1"/>
    <x v="1829"/>
    <x v="177"/>
    <n v="390717"/>
  </r>
  <r>
    <s v="M0122"/>
    <x v="1"/>
    <x v="1830"/>
    <x v="25"/>
    <n v="363102"/>
  </r>
  <r>
    <s v="M0122"/>
    <x v="1"/>
    <x v="1830"/>
    <x v="25"/>
    <n v="363102"/>
  </r>
  <r>
    <s v="M0122"/>
    <x v="1"/>
    <x v="1830"/>
    <x v="25"/>
    <n v="363102"/>
  </r>
  <r>
    <s v="M0122"/>
    <x v="1"/>
    <x v="1830"/>
    <x v="25"/>
    <n v="363102"/>
  </r>
  <r>
    <s v="M0122"/>
    <x v="1"/>
    <x v="1831"/>
    <x v="31"/>
    <n v="330366"/>
  </r>
  <r>
    <s v="M0122"/>
    <x v="1"/>
    <x v="1831"/>
    <x v="31"/>
    <n v="330366"/>
  </r>
  <r>
    <s v="M0122"/>
    <x v="1"/>
    <x v="1831"/>
    <x v="31"/>
    <n v="330366"/>
  </r>
  <r>
    <s v="M0122"/>
    <x v="1"/>
    <x v="1831"/>
    <x v="31"/>
    <n v="330366"/>
  </r>
  <r>
    <s v="M0122"/>
    <x v="1"/>
    <x v="1832"/>
    <x v="183"/>
    <n v="337400"/>
  </r>
  <r>
    <s v="M0122"/>
    <x v="1"/>
    <x v="1832"/>
    <x v="183"/>
    <n v="337400"/>
  </r>
  <r>
    <s v="M0122"/>
    <x v="1"/>
    <x v="1832"/>
    <x v="183"/>
    <n v="337400"/>
  </r>
  <r>
    <s v="M0122"/>
    <x v="1"/>
    <x v="1832"/>
    <x v="183"/>
    <n v="337400"/>
  </r>
  <r>
    <s v="M0122"/>
    <x v="1"/>
    <x v="1833"/>
    <x v="193"/>
    <n v="221835"/>
  </r>
  <r>
    <s v="M0122"/>
    <x v="1"/>
    <x v="1833"/>
    <x v="193"/>
    <n v="221835"/>
  </r>
  <r>
    <s v="M0122"/>
    <x v="1"/>
    <x v="1833"/>
    <x v="193"/>
    <n v="221835"/>
  </r>
  <r>
    <s v="M0122"/>
    <x v="1"/>
    <x v="1833"/>
    <x v="193"/>
    <n v="221835"/>
  </r>
  <r>
    <s v="M0122"/>
    <x v="1"/>
    <x v="1834"/>
    <x v="289"/>
    <n v="396916"/>
  </r>
  <r>
    <s v="M0122"/>
    <x v="1"/>
    <x v="1834"/>
    <x v="289"/>
    <n v="396916"/>
  </r>
  <r>
    <s v="M0122"/>
    <x v="1"/>
    <x v="1834"/>
    <x v="289"/>
    <n v="396916"/>
  </r>
  <r>
    <s v="M0122"/>
    <x v="1"/>
    <x v="1834"/>
    <x v="289"/>
    <n v="396916"/>
  </r>
  <r>
    <s v="M0122"/>
    <x v="1"/>
    <x v="1835"/>
    <x v="190"/>
    <n v="185038"/>
  </r>
  <r>
    <s v="M0122"/>
    <x v="1"/>
    <x v="1835"/>
    <x v="190"/>
    <n v="185038"/>
  </r>
  <r>
    <s v="M0122"/>
    <x v="1"/>
    <x v="1835"/>
    <x v="190"/>
    <n v="185038"/>
  </r>
  <r>
    <s v="M0122"/>
    <x v="1"/>
    <x v="1835"/>
    <x v="190"/>
    <n v="185038"/>
  </r>
  <r>
    <s v="M0122"/>
    <x v="1"/>
    <x v="1836"/>
    <x v="360"/>
    <n v="181568"/>
  </r>
  <r>
    <s v="M0122"/>
    <x v="1"/>
    <x v="1836"/>
    <x v="360"/>
    <n v="181568"/>
  </r>
  <r>
    <s v="M0122"/>
    <x v="1"/>
    <x v="1836"/>
    <x v="360"/>
    <n v="181568"/>
  </r>
  <r>
    <s v="M0122"/>
    <x v="1"/>
    <x v="1836"/>
    <x v="360"/>
    <n v="181568"/>
  </r>
  <r>
    <s v="M0122"/>
    <x v="1"/>
    <x v="1837"/>
    <x v="211"/>
    <n v="39850"/>
  </r>
  <r>
    <s v="M0122"/>
    <x v="1"/>
    <x v="1837"/>
    <x v="211"/>
    <n v="39850"/>
  </r>
  <r>
    <s v="M0122"/>
    <x v="1"/>
    <x v="1837"/>
    <x v="211"/>
    <n v="39850"/>
  </r>
  <r>
    <s v="M0122"/>
    <x v="1"/>
    <x v="1837"/>
    <x v="211"/>
    <n v="39850"/>
  </r>
  <r>
    <s v="M0122"/>
    <x v="1"/>
    <x v="1838"/>
    <x v="238"/>
    <n v="147216"/>
  </r>
  <r>
    <s v="M0122"/>
    <x v="1"/>
    <x v="1838"/>
    <x v="238"/>
    <n v="147216"/>
  </r>
  <r>
    <s v="M0122"/>
    <x v="1"/>
    <x v="1838"/>
    <x v="238"/>
    <n v="147216"/>
  </r>
  <r>
    <s v="M0122"/>
    <x v="1"/>
    <x v="1838"/>
    <x v="238"/>
    <n v="147216"/>
  </r>
  <r>
    <s v="M0122"/>
    <x v="1"/>
    <x v="1839"/>
    <x v="336"/>
    <n v="246394"/>
  </r>
  <r>
    <s v="M0122"/>
    <x v="1"/>
    <x v="1839"/>
    <x v="336"/>
    <n v="246394"/>
  </r>
  <r>
    <s v="M0122"/>
    <x v="1"/>
    <x v="1839"/>
    <x v="336"/>
    <n v="246394"/>
  </r>
  <r>
    <s v="M0122"/>
    <x v="1"/>
    <x v="1839"/>
    <x v="336"/>
    <n v="246394"/>
  </r>
  <r>
    <s v="M0157"/>
    <x v="1"/>
    <x v="1840"/>
    <x v="325"/>
    <n v="111093"/>
  </r>
  <r>
    <s v="M0157"/>
    <x v="1"/>
    <x v="1840"/>
    <x v="325"/>
    <n v="111093"/>
  </r>
  <r>
    <s v="M0157"/>
    <x v="1"/>
    <x v="1841"/>
    <x v="81"/>
    <n v="89538"/>
  </r>
  <r>
    <s v="M0157"/>
    <x v="1"/>
    <x v="1841"/>
    <x v="81"/>
    <n v="89538"/>
  </r>
  <r>
    <s v="M0157"/>
    <x v="1"/>
    <x v="1842"/>
    <x v="253"/>
    <n v="551772"/>
  </r>
  <r>
    <s v="M0157"/>
    <x v="1"/>
    <x v="1842"/>
    <x v="253"/>
    <n v="551772"/>
  </r>
  <r>
    <s v="M0157"/>
    <x v="1"/>
    <x v="1843"/>
    <x v="127"/>
    <n v="512599"/>
  </r>
  <r>
    <s v="M0157"/>
    <x v="1"/>
    <x v="1843"/>
    <x v="127"/>
    <n v="512599"/>
  </r>
  <r>
    <s v="M0157"/>
    <x v="1"/>
    <x v="1844"/>
    <x v="163"/>
    <n v="321924"/>
  </r>
  <r>
    <s v="M0157"/>
    <x v="1"/>
    <x v="1844"/>
    <x v="163"/>
    <n v="321924"/>
  </r>
  <r>
    <s v="M0157"/>
    <x v="1"/>
    <x v="1845"/>
    <x v="344"/>
    <n v="87050"/>
  </r>
  <r>
    <s v="M0157"/>
    <x v="1"/>
    <x v="1845"/>
    <x v="344"/>
    <n v="87050"/>
  </r>
  <r>
    <s v="M0157"/>
    <x v="1"/>
    <x v="1846"/>
    <x v="56"/>
    <n v="55270"/>
  </r>
  <r>
    <s v="M0157"/>
    <x v="1"/>
    <x v="1846"/>
    <x v="56"/>
    <n v="55270"/>
  </r>
  <r>
    <s v="M0157"/>
    <x v="1"/>
    <x v="1847"/>
    <x v="87"/>
    <n v="442343"/>
  </r>
  <r>
    <s v="M0157"/>
    <x v="1"/>
    <x v="1847"/>
    <x v="87"/>
    <n v="442343"/>
  </r>
  <r>
    <s v="M0157"/>
    <x v="1"/>
    <x v="1848"/>
    <x v="76"/>
    <n v="372720"/>
  </r>
  <r>
    <s v="M0157"/>
    <x v="1"/>
    <x v="1848"/>
    <x v="76"/>
    <n v="372720"/>
  </r>
  <r>
    <s v="M0106"/>
    <x v="0"/>
    <x v="1849"/>
    <x v="253"/>
    <n v="394157"/>
  </r>
  <r>
    <s v="M0106"/>
    <x v="0"/>
    <x v="1850"/>
    <x v="265"/>
    <n v="140382"/>
  </r>
  <r>
    <s v="M0106"/>
    <x v="0"/>
    <x v="1851"/>
    <x v="160"/>
    <n v="286413"/>
  </r>
  <r>
    <s v="M0106"/>
    <x v="0"/>
    <x v="1852"/>
    <x v="54"/>
    <n v="363306"/>
  </r>
  <r>
    <s v="M0285"/>
    <x v="0"/>
    <x v="1853"/>
    <x v="70"/>
    <n v="197650"/>
  </r>
  <r>
    <s v="M0285"/>
    <x v="0"/>
    <x v="1853"/>
    <x v="70"/>
    <n v="197650"/>
  </r>
  <r>
    <s v="M0285"/>
    <x v="0"/>
    <x v="1854"/>
    <x v="13"/>
    <n v="427808"/>
  </r>
  <r>
    <s v="M0285"/>
    <x v="0"/>
    <x v="1854"/>
    <x v="13"/>
    <n v="427808"/>
  </r>
  <r>
    <s v="M0285"/>
    <x v="0"/>
    <x v="1855"/>
    <x v="104"/>
    <n v="225274"/>
  </r>
  <r>
    <s v="M0285"/>
    <x v="0"/>
    <x v="1855"/>
    <x v="104"/>
    <n v="225274"/>
  </r>
  <r>
    <s v="M0285"/>
    <x v="0"/>
    <x v="1856"/>
    <x v="340"/>
    <n v="28477"/>
  </r>
  <r>
    <s v="M0285"/>
    <x v="0"/>
    <x v="1856"/>
    <x v="340"/>
    <n v="28477"/>
  </r>
  <r>
    <s v="M0285"/>
    <x v="0"/>
    <x v="1857"/>
    <x v="224"/>
    <n v="114479"/>
  </r>
  <r>
    <s v="M0285"/>
    <x v="0"/>
    <x v="1857"/>
    <x v="224"/>
    <n v="114479"/>
  </r>
  <r>
    <s v="M0285"/>
    <x v="0"/>
    <x v="1858"/>
    <x v="25"/>
    <n v="310668"/>
  </r>
  <r>
    <s v="M0285"/>
    <x v="0"/>
    <x v="1858"/>
    <x v="25"/>
    <n v="310668"/>
  </r>
  <r>
    <s v="M0015"/>
    <x v="1"/>
    <x v="1859"/>
    <x v="296"/>
    <n v="484327"/>
  </r>
  <r>
    <s v="M0015"/>
    <x v="1"/>
    <x v="1859"/>
    <x v="296"/>
    <n v="484327"/>
  </r>
  <r>
    <s v="M0015"/>
    <x v="1"/>
    <x v="1859"/>
    <x v="296"/>
    <n v="484327"/>
  </r>
  <r>
    <s v="M0015"/>
    <x v="1"/>
    <x v="1860"/>
    <x v="22"/>
    <n v="125748"/>
  </r>
  <r>
    <s v="M0015"/>
    <x v="1"/>
    <x v="1860"/>
    <x v="22"/>
    <n v="125748"/>
  </r>
  <r>
    <s v="M0015"/>
    <x v="1"/>
    <x v="1860"/>
    <x v="22"/>
    <n v="125748"/>
  </r>
  <r>
    <s v="M0015"/>
    <x v="1"/>
    <x v="1861"/>
    <x v="347"/>
    <n v="238057"/>
  </r>
  <r>
    <s v="M0015"/>
    <x v="1"/>
    <x v="1861"/>
    <x v="347"/>
    <n v="238057"/>
  </r>
  <r>
    <s v="M0015"/>
    <x v="1"/>
    <x v="1861"/>
    <x v="347"/>
    <n v="238057"/>
  </r>
  <r>
    <s v="M0015"/>
    <x v="1"/>
    <x v="1862"/>
    <x v="298"/>
    <n v="160733"/>
  </r>
  <r>
    <s v="M0015"/>
    <x v="1"/>
    <x v="1862"/>
    <x v="298"/>
    <n v="160733"/>
  </r>
  <r>
    <s v="M0015"/>
    <x v="1"/>
    <x v="1862"/>
    <x v="298"/>
    <n v="160733"/>
  </r>
  <r>
    <s v="M0171"/>
    <x v="1"/>
    <x v="1863"/>
    <x v="234"/>
    <n v="569682"/>
  </r>
  <r>
    <s v="M0171"/>
    <x v="1"/>
    <x v="1863"/>
    <x v="234"/>
    <n v="569682"/>
  </r>
  <r>
    <s v="M0171"/>
    <x v="1"/>
    <x v="1863"/>
    <x v="234"/>
    <n v="569682"/>
  </r>
  <r>
    <s v="M0171"/>
    <x v="1"/>
    <x v="1863"/>
    <x v="234"/>
    <n v="569682"/>
  </r>
  <r>
    <s v="M0171"/>
    <x v="1"/>
    <x v="1863"/>
    <x v="234"/>
    <n v="569682"/>
  </r>
  <r>
    <s v="M0171"/>
    <x v="1"/>
    <x v="1864"/>
    <x v="201"/>
    <n v="239853"/>
  </r>
  <r>
    <s v="M0171"/>
    <x v="1"/>
    <x v="1864"/>
    <x v="201"/>
    <n v="239853"/>
  </r>
  <r>
    <s v="M0171"/>
    <x v="1"/>
    <x v="1864"/>
    <x v="201"/>
    <n v="239853"/>
  </r>
  <r>
    <s v="M0171"/>
    <x v="1"/>
    <x v="1864"/>
    <x v="201"/>
    <n v="239853"/>
  </r>
  <r>
    <s v="M0171"/>
    <x v="1"/>
    <x v="1864"/>
    <x v="201"/>
    <n v="239853"/>
  </r>
  <r>
    <s v="M0171"/>
    <x v="1"/>
    <x v="1865"/>
    <x v="104"/>
    <n v="308377"/>
  </r>
  <r>
    <s v="M0171"/>
    <x v="1"/>
    <x v="1865"/>
    <x v="104"/>
    <n v="308377"/>
  </r>
  <r>
    <s v="M0171"/>
    <x v="1"/>
    <x v="1865"/>
    <x v="104"/>
    <n v="308377"/>
  </r>
  <r>
    <s v="M0171"/>
    <x v="1"/>
    <x v="1865"/>
    <x v="104"/>
    <n v="308377"/>
  </r>
  <r>
    <s v="M0171"/>
    <x v="1"/>
    <x v="1865"/>
    <x v="104"/>
    <n v="308377"/>
  </r>
  <r>
    <s v="M0171"/>
    <x v="1"/>
    <x v="1866"/>
    <x v="171"/>
    <n v="207262"/>
  </r>
  <r>
    <s v="M0171"/>
    <x v="1"/>
    <x v="1866"/>
    <x v="171"/>
    <n v="207262"/>
  </r>
  <r>
    <s v="M0171"/>
    <x v="1"/>
    <x v="1866"/>
    <x v="171"/>
    <n v="207262"/>
  </r>
  <r>
    <s v="M0171"/>
    <x v="1"/>
    <x v="1866"/>
    <x v="171"/>
    <n v="207262"/>
  </r>
  <r>
    <s v="M0171"/>
    <x v="1"/>
    <x v="1866"/>
    <x v="171"/>
    <n v="207262"/>
  </r>
  <r>
    <s v="M0171"/>
    <x v="1"/>
    <x v="1867"/>
    <x v="224"/>
    <n v="452917"/>
  </r>
  <r>
    <s v="M0171"/>
    <x v="1"/>
    <x v="1867"/>
    <x v="224"/>
    <n v="452917"/>
  </r>
  <r>
    <s v="M0171"/>
    <x v="1"/>
    <x v="1867"/>
    <x v="224"/>
    <n v="452917"/>
  </r>
  <r>
    <s v="M0171"/>
    <x v="1"/>
    <x v="1867"/>
    <x v="224"/>
    <n v="452917"/>
  </r>
  <r>
    <s v="M0171"/>
    <x v="1"/>
    <x v="1867"/>
    <x v="224"/>
    <n v="452917"/>
  </r>
  <r>
    <s v="M0171"/>
    <x v="1"/>
    <x v="1868"/>
    <x v="316"/>
    <n v="196342"/>
  </r>
  <r>
    <s v="M0171"/>
    <x v="1"/>
    <x v="1868"/>
    <x v="316"/>
    <n v="196342"/>
  </r>
  <r>
    <s v="M0171"/>
    <x v="1"/>
    <x v="1868"/>
    <x v="316"/>
    <n v="196342"/>
  </r>
  <r>
    <s v="M0171"/>
    <x v="1"/>
    <x v="1868"/>
    <x v="316"/>
    <n v="196342"/>
  </r>
  <r>
    <s v="M0171"/>
    <x v="1"/>
    <x v="1868"/>
    <x v="316"/>
    <n v="196342"/>
  </r>
  <r>
    <s v="M0171"/>
    <x v="1"/>
    <x v="1869"/>
    <x v="215"/>
    <n v="240403"/>
  </r>
  <r>
    <s v="M0171"/>
    <x v="1"/>
    <x v="1869"/>
    <x v="215"/>
    <n v="240403"/>
  </r>
  <r>
    <s v="M0171"/>
    <x v="1"/>
    <x v="1869"/>
    <x v="215"/>
    <n v="240403"/>
  </r>
  <r>
    <s v="M0171"/>
    <x v="1"/>
    <x v="1869"/>
    <x v="215"/>
    <n v="240403"/>
  </r>
  <r>
    <s v="M0171"/>
    <x v="1"/>
    <x v="1869"/>
    <x v="215"/>
    <n v="240403"/>
  </r>
  <r>
    <s v="M0171"/>
    <x v="1"/>
    <x v="1870"/>
    <x v="142"/>
    <n v="71668"/>
  </r>
  <r>
    <s v="M0171"/>
    <x v="1"/>
    <x v="1870"/>
    <x v="142"/>
    <n v="71668"/>
  </r>
  <r>
    <s v="M0171"/>
    <x v="1"/>
    <x v="1870"/>
    <x v="142"/>
    <n v="71668"/>
  </r>
  <r>
    <s v="M0171"/>
    <x v="1"/>
    <x v="1870"/>
    <x v="142"/>
    <n v="71668"/>
  </r>
  <r>
    <s v="M0171"/>
    <x v="1"/>
    <x v="1870"/>
    <x v="142"/>
    <n v="71668"/>
  </r>
  <r>
    <s v="M0171"/>
    <x v="1"/>
    <x v="1871"/>
    <x v="336"/>
    <n v="237899"/>
  </r>
  <r>
    <s v="M0171"/>
    <x v="1"/>
    <x v="1871"/>
    <x v="336"/>
    <n v="237899"/>
  </r>
  <r>
    <s v="M0171"/>
    <x v="1"/>
    <x v="1871"/>
    <x v="336"/>
    <n v="237899"/>
  </r>
  <r>
    <s v="M0171"/>
    <x v="1"/>
    <x v="1871"/>
    <x v="336"/>
    <n v="237899"/>
  </r>
  <r>
    <s v="M0171"/>
    <x v="1"/>
    <x v="1871"/>
    <x v="336"/>
    <n v="237899"/>
  </r>
  <r>
    <s v="M0171"/>
    <x v="1"/>
    <x v="1872"/>
    <x v="155"/>
    <n v="212717"/>
  </r>
  <r>
    <s v="M0171"/>
    <x v="1"/>
    <x v="1872"/>
    <x v="155"/>
    <n v="212717"/>
  </r>
  <r>
    <s v="M0171"/>
    <x v="1"/>
    <x v="1872"/>
    <x v="155"/>
    <n v="212717"/>
  </r>
  <r>
    <s v="M0171"/>
    <x v="1"/>
    <x v="1872"/>
    <x v="155"/>
    <n v="212717"/>
  </r>
  <r>
    <s v="M0171"/>
    <x v="1"/>
    <x v="1872"/>
    <x v="155"/>
    <n v="212717"/>
  </r>
  <r>
    <s v="M0171"/>
    <x v="1"/>
    <x v="1873"/>
    <x v="152"/>
    <n v="1178406"/>
  </r>
  <r>
    <s v="M0171"/>
    <x v="1"/>
    <x v="1873"/>
    <x v="152"/>
    <n v="1178406"/>
  </r>
  <r>
    <s v="M0171"/>
    <x v="1"/>
    <x v="1873"/>
    <x v="152"/>
    <n v="1178406"/>
  </r>
  <r>
    <s v="M0171"/>
    <x v="1"/>
    <x v="1873"/>
    <x v="152"/>
    <n v="1178406"/>
  </r>
  <r>
    <s v="M0171"/>
    <x v="1"/>
    <x v="1873"/>
    <x v="152"/>
    <n v="1178406"/>
  </r>
  <r>
    <s v="M0171"/>
    <x v="1"/>
    <x v="1874"/>
    <x v="79"/>
    <n v="90575"/>
  </r>
  <r>
    <s v="M0171"/>
    <x v="1"/>
    <x v="1874"/>
    <x v="79"/>
    <n v="90575"/>
  </r>
  <r>
    <s v="M0171"/>
    <x v="1"/>
    <x v="1874"/>
    <x v="79"/>
    <n v="90575"/>
  </r>
  <r>
    <s v="M0171"/>
    <x v="1"/>
    <x v="1874"/>
    <x v="79"/>
    <n v="90575"/>
  </r>
  <r>
    <s v="M0171"/>
    <x v="1"/>
    <x v="1874"/>
    <x v="79"/>
    <n v="90575"/>
  </r>
  <r>
    <s v="M0171"/>
    <x v="1"/>
    <x v="1875"/>
    <x v="48"/>
    <n v="241798"/>
  </r>
  <r>
    <s v="M0171"/>
    <x v="1"/>
    <x v="1875"/>
    <x v="48"/>
    <n v="241798"/>
  </r>
  <r>
    <s v="M0171"/>
    <x v="1"/>
    <x v="1875"/>
    <x v="48"/>
    <n v="241798"/>
  </r>
  <r>
    <s v="M0171"/>
    <x v="1"/>
    <x v="1875"/>
    <x v="48"/>
    <n v="241798"/>
  </r>
  <r>
    <s v="M0171"/>
    <x v="1"/>
    <x v="1875"/>
    <x v="48"/>
    <n v="241798"/>
  </r>
  <r>
    <s v="M0171"/>
    <x v="1"/>
    <x v="1876"/>
    <x v="304"/>
    <n v="25000"/>
  </r>
  <r>
    <s v="M0171"/>
    <x v="1"/>
    <x v="1876"/>
    <x v="304"/>
    <n v="25000"/>
  </r>
  <r>
    <s v="M0171"/>
    <x v="1"/>
    <x v="1876"/>
    <x v="304"/>
    <n v="25000"/>
  </r>
  <r>
    <s v="M0171"/>
    <x v="1"/>
    <x v="1876"/>
    <x v="304"/>
    <n v="25000"/>
  </r>
  <r>
    <s v="M0171"/>
    <x v="1"/>
    <x v="1876"/>
    <x v="304"/>
    <n v="25000"/>
  </r>
  <r>
    <s v="M0171"/>
    <x v="1"/>
    <x v="1877"/>
    <x v="110"/>
    <n v="768598"/>
  </r>
  <r>
    <s v="M0171"/>
    <x v="1"/>
    <x v="1877"/>
    <x v="110"/>
    <n v="768598"/>
  </r>
  <r>
    <s v="M0171"/>
    <x v="1"/>
    <x v="1877"/>
    <x v="110"/>
    <n v="768598"/>
  </r>
  <r>
    <s v="M0171"/>
    <x v="1"/>
    <x v="1877"/>
    <x v="110"/>
    <n v="768598"/>
  </r>
  <r>
    <s v="M0171"/>
    <x v="1"/>
    <x v="1877"/>
    <x v="110"/>
    <n v="768598"/>
  </r>
  <r>
    <s v="M0171"/>
    <x v="1"/>
    <x v="1878"/>
    <x v="174"/>
    <n v="261405"/>
  </r>
  <r>
    <s v="M0171"/>
    <x v="1"/>
    <x v="1878"/>
    <x v="174"/>
    <n v="261405"/>
  </r>
  <r>
    <s v="M0171"/>
    <x v="1"/>
    <x v="1878"/>
    <x v="174"/>
    <n v="261405"/>
  </r>
  <r>
    <s v="M0171"/>
    <x v="1"/>
    <x v="1878"/>
    <x v="174"/>
    <n v="261405"/>
  </r>
  <r>
    <s v="M0171"/>
    <x v="1"/>
    <x v="1878"/>
    <x v="174"/>
    <n v="261405"/>
  </r>
  <r>
    <s v="M0171"/>
    <x v="1"/>
    <x v="1879"/>
    <x v="197"/>
    <n v="149956"/>
  </r>
  <r>
    <s v="M0171"/>
    <x v="1"/>
    <x v="1879"/>
    <x v="197"/>
    <n v="149956"/>
  </r>
  <r>
    <s v="M0171"/>
    <x v="1"/>
    <x v="1879"/>
    <x v="197"/>
    <n v="149956"/>
  </r>
  <r>
    <s v="M0171"/>
    <x v="1"/>
    <x v="1879"/>
    <x v="197"/>
    <n v="149956"/>
  </r>
  <r>
    <s v="M0171"/>
    <x v="1"/>
    <x v="1879"/>
    <x v="197"/>
    <n v="149956"/>
  </r>
  <r>
    <s v="M0171"/>
    <x v="1"/>
    <x v="1880"/>
    <x v="354"/>
    <n v="124872"/>
  </r>
  <r>
    <s v="M0171"/>
    <x v="1"/>
    <x v="1880"/>
    <x v="354"/>
    <n v="124872"/>
  </r>
  <r>
    <s v="M0171"/>
    <x v="1"/>
    <x v="1880"/>
    <x v="354"/>
    <n v="124872"/>
  </r>
  <r>
    <s v="M0171"/>
    <x v="1"/>
    <x v="1880"/>
    <x v="354"/>
    <n v="124872"/>
  </r>
  <r>
    <s v="M0171"/>
    <x v="1"/>
    <x v="1880"/>
    <x v="354"/>
    <n v="124872"/>
  </r>
  <r>
    <s v="M0269"/>
    <x v="1"/>
    <x v="1881"/>
    <x v="182"/>
    <n v="477525"/>
  </r>
  <r>
    <s v="M0269"/>
    <x v="1"/>
    <x v="1881"/>
    <x v="182"/>
    <n v="477525"/>
  </r>
  <r>
    <s v="M0269"/>
    <x v="1"/>
    <x v="1882"/>
    <x v="272"/>
    <n v="291784"/>
  </r>
  <r>
    <s v="M0269"/>
    <x v="1"/>
    <x v="1882"/>
    <x v="272"/>
    <n v="291784"/>
  </r>
  <r>
    <s v="M0269"/>
    <x v="1"/>
    <x v="1883"/>
    <x v="310"/>
    <n v="86773"/>
  </r>
  <r>
    <s v="M0269"/>
    <x v="1"/>
    <x v="1883"/>
    <x v="310"/>
    <n v="86773"/>
  </r>
  <r>
    <s v="M0269"/>
    <x v="1"/>
    <x v="1884"/>
    <x v="251"/>
    <n v="364062"/>
  </r>
  <r>
    <s v="M0269"/>
    <x v="1"/>
    <x v="1884"/>
    <x v="251"/>
    <n v="364062"/>
  </r>
  <r>
    <s v="M0269"/>
    <x v="1"/>
    <x v="1885"/>
    <x v="232"/>
    <n v="704899"/>
  </r>
  <r>
    <s v="M0269"/>
    <x v="1"/>
    <x v="1885"/>
    <x v="232"/>
    <n v="704899"/>
  </r>
  <r>
    <s v="M0269"/>
    <x v="1"/>
    <x v="1886"/>
    <x v="356"/>
    <n v="439722"/>
  </r>
  <r>
    <s v="M0269"/>
    <x v="1"/>
    <x v="1886"/>
    <x v="356"/>
    <n v="439722"/>
  </r>
  <r>
    <s v="M0269"/>
    <x v="1"/>
    <x v="1887"/>
    <x v="152"/>
    <n v="429573"/>
  </r>
  <r>
    <s v="M0269"/>
    <x v="1"/>
    <x v="1887"/>
    <x v="152"/>
    <n v="429573"/>
  </r>
  <r>
    <s v="M0269"/>
    <x v="1"/>
    <x v="1888"/>
    <x v="244"/>
    <n v="177923"/>
  </r>
  <r>
    <s v="M0269"/>
    <x v="1"/>
    <x v="1888"/>
    <x v="244"/>
    <n v="177923"/>
  </r>
  <r>
    <s v="M0269"/>
    <x v="1"/>
    <x v="1889"/>
    <x v="25"/>
    <n v="25000"/>
  </r>
  <r>
    <s v="M0269"/>
    <x v="1"/>
    <x v="1889"/>
    <x v="25"/>
    <n v="25000"/>
  </r>
  <r>
    <s v="M0269"/>
    <x v="1"/>
    <x v="1890"/>
    <x v="41"/>
    <n v="209510"/>
  </r>
  <r>
    <s v="M0269"/>
    <x v="1"/>
    <x v="1890"/>
    <x v="41"/>
    <n v="209510"/>
  </r>
  <r>
    <s v="M0279"/>
    <x v="1"/>
    <x v="1891"/>
    <x v="63"/>
    <n v="248205"/>
  </r>
  <r>
    <s v="M0279"/>
    <x v="1"/>
    <x v="1891"/>
    <x v="63"/>
    <n v="248205"/>
  </r>
  <r>
    <s v="M0279"/>
    <x v="1"/>
    <x v="1892"/>
    <x v="32"/>
    <n v="167472"/>
  </r>
  <r>
    <s v="M0279"/>
    <x v="1"/>
    <x v="1892"/>
    <x v="32"/>
    <n v="167472"/>
  </r>
  <r>
    <s v="M0279"/>
    <x v="1"/>
    <x v="1893"/>
    <x v="273"/>
    <n v="105686"/>
  </r>
  <r>
    <s v="M0279"/>
    <x v="1"/>
    <x v="1893"/>
    <x v="273"/>
    <n v="105686"/>
  </r>
  <r>
    <s v="M0159"/>
    <x v="1"/>
    <x v="1894"/>
    <x v="358"/>
    <n v="245466"/>
  </r>
  <r>
    <s v="M0159"/>
    <x v="1"/>
    <x v="1894"/>
    <x v="358"/>
    <n v="245466"/>
  </r>
  <r>
    <s v="M0159"/>
    <x v="1"/>
    <x v="1894"/>
    <x v="358"/>
    <n v="245466"/>
  </r>
  <r>
    <s v="M0159"/>
    <x v="1"/>
    <x v="1894"/>
    <x v="358"/>
    <n v="245466"/>
  </r>
  <r>
    <s v="M0251"/>
    <x v="1"/>
    <x v="1895"/>
    <x v="161"/>
    <n v="286179"/>
  </r>
  <r>
    <s v="M0251"/>
    <x v="1"/>
    <x v="1895"/>
    <x v="161"/>
    <n v="286179"/>
  </r>
  <r>
    <s v="M0251"/>
    <x v="1"/>
    <x v="1895"/>
    <x v="161"/>
    <n v="286179"/>
  </r>
  <r>
    <s v="M0062"/>
    <x v="1"/>
    <x v="1896"/>
    <x v="102"/>
    <n v="154902"/>
  </r>
  <r>
    <s v="M0062"/>
    <x v="1"/>
    <x v="1896"/>
    <x v="102"/>
    <n v="154902"/>
  </r>
  <r>
    <s v="M0062"/>
    <x v="1"/>
    <x v="1896"/>
    <x v="102"/>
    <n v="154902"/>
  </r>
  <r>
    <s v="M0062"/>
    <x v="1"/>
    <x v="1897"/>
    <x v="41"/>
    <n v="475203"/>
  </r>
  <r>
    <s v="M0062"/>
    <x v="1"/>
    <x v="1897"/>
    <x v="41"/>
    <n v="475203"/>
  </r>
  <r>
    <s v="M0062"/>
    <x v="1"/>
    <x v="1897"/>
    <x v="41"/>
    <n v="475203"/>
  </r>
  <r>
    <s v="M0062"/>
    <x v="1"/>
    <x v="1898"/>
    <x v="156"/>
    <n v="630685"/>
  </r>
  <r>
    <s v="M0062"/>
    <x v="1"/>
    <x v="1898"/>
    <x v="156"/>
    <n v="630685"/>
  </r>
  <r>
    <s v="M0062"/>
    <x v="1"/>
    <x v="1898"/>
    <x v="156"/>
    <n v="630685"/>
  </r>
  <r>
    <s v="M0062"/>
    <x v="1"/>
    <x v="1899"/>
    <x v="208"/>
    <n v="261726"/>
  </r>
  <r>
    <s v="M0062"/>
    <x v="1"/>
    <x v="1899"/>
    <x v="208"/>
    <n v="261726"/>
  </r>
  <r>
    <s v="M0062"/>
    <x v="1"/>
    <x v="1899"/>
    <x v="208"/>
    <n v="261726"/>
  </r>
  <r>
    <s v="M0062"/>
    <x v="1"/>
    <x v="1900"/>
    <x v="82"/>
    <n v="378080"/>
  </r>
  <r>
    <s v="M0062"/>
    <x v="1"/>
    <x v="1900"/>
    <x v="82"/>
    <n v="378080"/>
  </r>
  <r>
    <s v="M0062"/>
    <x v="1"/>
    <x v="1900"/>
    <x v="82"/>
    <n v="378080"/>
  </r>
  <r>
    <s v="M0062"/>
    <x v="1"/>
    <x v="1901"/>
    <x v="239"/>
    <n v="199420"/>
  </r>
  <r>
    <s v="M0062"/>
    <x v="1"/>
    <x v="1901"/>
    <x v="239"/>
    <n v="199420"/>
  </r>
  <r>
    <s v="M0062"/>
    <x v="1"/>
    <x v="1901"/>
    <x v="239"/>
    <n v="199420"/>
  </r>
  <r>
    <s v="M0117"/>
    <x v="0"/>
    <x v="1902"/>
    <x v="312"/>
    <n v="92657"/>
  </r>
  <r>
    <s v="M0117"/>
    <x v="0"/>
    <x v="1903"/>
    <x v="94"/>
    <n v="629369"/>
  </r>
  <r>
    <s v="M0117"/>
    <x v="0"/>
    <x v="1904"/>
    <x v="146"/>
    <n v="124163"/>
  </r>
  <r>
    <s v="M0117"/>
    <x v="0"/>
    <x v="1905"/>
    <x v="166"/>
    <n v="45171"/>
  </r>
  <r>
    <s v="M0117"/>
    <x v="0"/>
    <x v="1906"/>
    <x v="57"/>
    <n v="433413"/>
  </r>
  <r>
    <s v="M0117"/>
    <x v="0"/>
    <x v="1907"/>
    <x v="160"/>
    <n v="194967"/>
  </r>
  <r>
    <s v="M0117"/>
    <x v="0"/>
    <x v="1908"/>
    <x v="120"/>
    <n v="178586"/>
  </r>
  <r>
    <s v="M0117"/>
    <x v="0"/>
    <x v="1909"/>
    <x v="183"/>
    <n v="151925"/>
  </r>
  <r>
    <s v="M0117"/>
    <x v="0"/>
    <x v="1910"/>
    <x v="39"/>
    <n v="599266"/>
  </r>
  <r>
    <s v="M0200"/>
    <x v="0"/>
    <x v="1911"/>
    <x v="181"/>
    <n v="107257"/>
  </r>
  <r>
    <s v="M0200"/>
    <x v="0"/>
    <x v="1911"/>
    <x v="181"/>
    <n v="107257"/>
  </r>
  <r>
    <s v="M0200"/>
    <x v="0"/>
    <x v="1912"/>
    <x v="269"/>
    <n v="268520"/>
  </r>
  <r>
    <s v="M0200"/>
    <x v="0"/>
    <x v="1912"/>
    <x v="269"/>
    <n v="268520"/>
  </r>
  <r>
    <s v="M0200"/>
    <x v="0"/>
    <x v="1913"/>
    <x v="135"/>
    <n v="385666"/>
  </r>
  <r>
    <s v="M0200"/>
    <x v="0"/>
    <x v="1913"/>
    <x v="135"/>
    <n v="385666"/>
  </r>
  <r>
    <s v="M0200"/>
    <x v="0"/>
    <x v="1914"/>
    <x v="168"/>
    <n v="673626"/>
  </r>
  <r>
    <s v="M0200"/>
    <x v="0"/>
    <x v="1914"/>
    <x v="168"/>
    <n v="673626"/>
  </r>
  <r>
    <s v="M0200"/>
    <x v="0"/>
    <x v="1915"/>
    <x v="239"/>
    <n v="320457"/>
  </r>
  <r>
    <s v="M0200"/>
    <x v="0"/>
    <x v="1915"/>
    <x v="239"/>
    <n v="320457"/>
  </r>
  <r>
    <s v="M0200"/>
    <x v="0"/>
    <x v="1916"/>
    <x v="306"/>
    <n v="265306"/>
  </r>
  <r>
    <s v="M0200"/>
    <x v="0"/>
    <x v="1916"/>
    <x v="306"/>
    <n v="265306"/>
  </r>
  <r>
    <s v="M0170"/>
    <x v="0"/>
    <x v="1917"/>
    <x v="292"/>
    <n v="250654"/>
  </r>
  <r>
    <s v="M0170"/>
    <x v="0"/>
    <x v="1918"/>
    <x v="199"/>
    <n v="815520"/>
  </r>
  <r>
    <s v="M0170"/>
    <x v="0"/>
    <x v="1919"/>
    <x v="314"/>
    <n v="333292"/>
  </r>
  <r>
    <s v="M0170"/>
    <x v="0"/>
    <x v="1920"/>
    <x v="360"/>
    <n v="113610"/>
  </r>
  <r>
    <s v="M0170"/>
    <x v="0"/>
    <x v="1921"/>
    <x v="8"/>
    <n v="179006"/>
  </r>
  <r>
    <s v="M0170"/>
    <x v="0"/>
    <x v="1922"/>
    <x v="218"/>
    <n v="266963"/>
  </r>
  <r>
    <s v="M0170"/>
    <x v="0"/>
    <x v="1923"/>
    <x v="282"/>
    <n v="100573"/>
  </r>
  <r>
    <s v="M0170"/>
    <x v="0"/>
    <x v="1924"/>
    <x v="325"/>
    <n v="455807"/>
  </r>
  <r>
    <s v="M0071"/>
    <x v="1"/>
    <x v="1925"/>
    <x v="353"/>
    <n v="147617"/>
  </r>
  <r>
    <s v="M0071"/>
    <x v="1"/>
    <x v="1925"/>
    <x v="353"/>
    <n v="147617"/>
  </r>
  <r>
    <s v="M0071"/>
    <x v="1"/>
    <x v="1925"/>
    <x v="353"/>
    <n v="147617"/>
  </r>
  <r>
    <s v="M0071"/>
    <x v="1"/>
    <x v="1925"/>
    <x v="353"/>
    <n v="147617"/>
  </r>
  <r>
    <s v="M0071"/>
    <x v="1"/>
    <x v="1926"/>
    <x v="322"/>
    <n v="97853"/>
  </r>
  <r>
    <s v="M0071"/>
    <x v="1"/>
    <x v="1926"/>
    <x v="322"/>
    <n v="97853"/>
  </r>
  <r>
    <s v="M0071"/>
    <x v="1"/>
    <x v="1926"/>
    <x v="322"/>
    <n v="97853"/>
  </r>
  <r>
    <s v="M0071"/>
    <x v="1"/>
    <x v="1926"/>
    <x v="322"/>
    <n v="97853"/>
  </r>
  <r>
    <s v="M0071"/>
    <x v="1"/>
    <x v="1927"/>
    <x v="274"/>
    <n v="834001"/>
  </r>
  <r>
    <s v="M0071"/>
    <x v="1"/>
    <x v="1927"/>
    <x v="274"/>
    <n v="834001"/>
  </r>
  <r>
    <s v="M0071"/>
    <x v="1"/>
    <x v="1927"/>
    <x v="274"/>
    <n v="834001"/>
  </r>
  <r>
    <s v="M0071"/>
    <x v="1"/>
    <x v="1927"/>
    <x v="274"/>
    <n v="834001"/>
  </r>
  <r>
    <s v="M0071"/>
    <x v="1"/>
    <x v="1928"/>
    <x v="133"/>
    <n v="358797"/>
  </r>
  <r>
    <s v="M0071"/>
    <x v="1"/>
    <x v="1928"/>
    <x v="133"/>
    <n v="358797"/>
  </r>
  <r>
    <s v="M0071"/>
    <x v="1"/>
    <x v="1928"/>
    <x v="133"/>
    <n v="358797"/>
  </r>
  <r>
    <s v="M0071"/>
    <x v="1"/>
    <x v="1928"/>
    <x v="133"/>
    <n v="358797"/>
  </r>
  <r>
    <s v="M0071"/>
    <x v="1"/>
    <x v="1929"/>
    <x v="290"/>
    <n v="531858"/>
  </r>
  <r>
    <s v="M0071"/>
    <x v="1"/>
    <x v="1929"/>
    <x v="290"/>
    <n v="531858"/>
  </r>
  <r>
    <s v="M0071"/>
    <x v="1"/>
    <x v="1929"/>
    <x v="290"/>
    <n v="531858"/>
  </r>
  <r>
    <s v="M0071"/>
    <x v="1"/>
    <x v="1929"/>
    <x v="290"/>
    <n v="531858"/>
  </r>
  <r>
    <s v="M0071"/>
    <x v="1"/>
    <x v="1930"/>
    <x v="116"/>
    <n v="239007"/>
  </r>
  <r>
    <s v="M0071"/>
    <x v="1"/>
    <x v="1930"/>
    <x v="116"/>
    <n v="239007"/>
  </r>
  <r>
    <s v="M0071"/>
    <x v="1"/>
    <x v="1930"/>
    <x v="116"/>
    <n v="239007"/>
  </r>
  <r>
    <s v="M0071"/>
    <x v="1"/>
    <x v="1930"/>
    <x v="116"/>
    <n v="239007"/>
  </r>
  <r>
    <s v="M0071"/>
    <x v="1"/>
    <x v="1931"/>
    <x v="95"/>
    <n v="531008"/>
  </r>
  <r>
    <s v="M0071"/>
    <x v="1"/>
    <x v="1931"/>
    <x v="95"/>
    <n v="531008"/>
  </r>
  <r>
    <s v="M0071"/>
    <x v="1"/>
    <x v="1931"/>
    <x v="95"/>
    <n v="531008"/>
  </r>
  <r>
    <s v="M0071"/>
    <x v="1"/>
    <x v="1931"/>
    <x v="95"/>
    <n v="531008"/>
  </r>
  <r>
    <s v="M0071"/>
    <x v="1"/>
    <x v="1932"/>
    <x v="136"/>
    <n v="1063983"/>
  </r>
  <r>
    <s v="M0071"/>
    <x v="1"/>
    <x v="1932"/>
    <x v="136"/>
    <n v="1063983"/>
  </r>
  <r>
    <s v="M0071"/>
    <x v="1"/>
    <x v="1932"/>
    <x v="136"/>
    <n v="1063983"/>
  </r>
  <r>
    <s v="M0071"/>
    <x v="1"/>
    <x v="1932"/>
    <x v="136"/>
    <n v="1063983"/>
  </r>
  <r>
    <s v="M0071"/>
    <x v="1"/>
    <x v="1933"/>
    <x v="204"/>
    <n v="459173"/>
  </r>
  <r>
    <s v="M0071"/>
    <x v="1"/>
    <x v="1933"/>
    <x v="204"/>
    <n v="459173"/>
  </r>
  <r>
    <s v="M0071"/>
    <x v="1"/>
    <x v="1933"/>
    <x v="204"/>
    <n v="459173"/>
  </r>
  <r>
    <s v="M0071"/>
    <x v="1"/>
    <x v="1933"/>
    <x v="204"/>
    <n v="459173"/>
  </r>
  <r>
    <s v="M0180"/>
    <x v="0"/>
    <x v="1934"/>
    <x v="194"/>
    <n v="79221"/>
  </r>
  <r>
    <s v="M0180"/>
    <x v="0"/>
    <x v="1934"/>
    <x v="194"/>
    <n v="79221"/>
  </r>
  <r>
    <s v="M0180"/>
    <x v="0"/>
    <x v="1934"/>
    <x v="194"/>
    <n v="79221"/>
  </r>
  <r>
    <s v="M0180"/>
    <x v="0"/>
    <x v="1934"/>
    <x v="194"/>
    <n v="79221"/>
  </r>
  <r>
    <s v="M0180"/>
    <x v="0"/>
    <x v="1934"/>
    <x v="194"/>
    <n v="79221"/>
  </r>
  <r>
    <s v="M0032"/>
    <x v="1"/>
    <x v="1935"/>
    <x v="26"/>
    <n v="104327"/>
  </r>
  <r>
    <s v="M0032"/>
    <x v="1"/>
    <x v="1935"/>
    <x v="26"/>
    <n v="104327"/>
  </r>
  <r>
    <s v="M0032"/>
    <x v="1"/>
    <x v="1935"/>
    <x v="26"/>
    <n v="104327"/>
  </r>
  <r>
    <s v="M0097"/>
    <x v="1"/>
    <x v="1936"/>
    <x v="51"/>
    <n v="208657"/>
  </r>
  <r>
    <s v="M0097"/>
    <x v="1"/>
    <x v="1936"/>
    <x v="51"/>
    <n v="208657"/>
  </r>
  <r>
    <s v="M0097"/>
    <x v="1"/>
    <x v="1936"/>
    <x v="51"/>
    <n v="208657"/>
  </r>
  <r>
    <s v="M0097"/>
    <x v="1"/>
    <x v="1937"/>
    <x v="222"/>
    <n v="570811"/>
  </r>
  <r>
    <s v="M0097"/>
    <x v="1"/>
    <x v="1937"/>
    <x v="222"/>
    <n v="570811"/>
  </r>
  <r>
    <s v="M0097"/>
    <x v="1"/>
    <x v="1937"/>
    <x v="222"/>
    <n v="570811"/>
  </r>
  <r>
    <s v="M0097"/>
    <x v="1"/>
    <x v="1938"/>
    <x v="110"/>
    <n v="328101"/>
  </r>
  <r>
    <s v="M0097"/>
    <x v="1"/>
    <x v="1938"/>
    <x v="110"/>
    <n v="328101"/>
  </r>
  <r>
    <s v="M0097"/>
    <x v="1"/>
    <x v="1938"/>
    <x v="110"/>
    <n v="328101"/>
  </r>
  <r>
    <s v="M0097"/>
    <x v="1"/>
    <x v="1939"/>
    <x v="273"/>
    <n v="201086"/>
  </r>
  <r>
    <s v="M0097"/>
    <x v="1"/>
    <x v="1939"/>
    <x v="273"/>
    <n v="201086"/>
  </r>
  <r>
    <s v="M0097"/>
    <x v="1"/>
    <x v="1939"/>
    <x v="273"/>
    <n v="201086"/>
  </r>
  <r>
    <s v="M0097"/>
    <x v="1"/>
    <x v="1940"/>
    <x v="114"/>
    <n v="263198"/>
  </r>
  <r>
    <s v="M0097"/>
    <x v="1"/>
    <x v="1940"/>
    <x v="114"/>
    <n v="263198"/>
  </r>
  <r>
    <s v="M0097"/>
    <x v="1"/>
    <x v="1940"/>
    <x v="114"/>
    <n v="263198"/>
  </r>
  <r>
    <s v="M0097"/>
    <x v="1"/>
    <x v="1941"/>
    <x v="315"/>
    <n v="212596"/>
  </r>
  <r>
    <s v="M0097"/>
    <x v="1"/>
    <x v="1941"/>
    <x v="315"/>
    <n v="212596"/>
  </r>
  <r>
    <s v="M0097"/>
    <x v="1"/>
    <x v="1941"/>
    <x v="315"/>
    <n v="212596"/>
  </r>
  <r>
    <s v="M0097"/>
    <x v="1"/>
    <x v="1942"/>
    <x v="266"/>
    <n v="463244"/>
  </r>
  <r>
    <s v="M0097"/>
    <x v="1"/>
    <x v="1942"/>
    <x v="266"/>
    <n v="463244"/>
  </r>
  <r>
    <s v="M0097"/>
    <x v="1"/>
    <x v="1942"/>
    <x v="266"/>
    <n v="463244"/>
  </r>
  <r>
    <s v="M0097"/>
    <x v="1"/>
    <x v="1943"/>
    <x v="144"/>
    <n v="664776"/>
  </r>
  <r>
    <s v="M0097"/>
    <x v="1"/>
    <x v="1943"/>
    <x v="144"/>
    <n v="664776"/>
  </r>
  <r>
    <s v="M0097"/>
    <x v="1"/>
    <x v="1943"/>
    <x v="144"/>
    <n v="664776"/>
  </r>
  <r>
    <s v="M0097"/>
    <x v="1"/>
    <x v="1944"/>
    <x v="304"/>
    <n v="231102"/>
  </r>
  <r>
    <s v="M0097"/>
    <x v="1"/>
    <x v="1944"/>
    <x v="304"/>
    <n v="231102"/>
  </r>
  <r>
    <s v="M0097"/>
    <x v="1"/>
    <x v="1944"/>
    <x v="304"/>
    <n v="231102"/>
  </r>
  <r>
    <s v="M0097"/>
    <x v="1"/>
    <x v="1945"/>
    <x v="209"/>
    <n v="25000"/>
  </r>
  <r>
    <s v="M0097"/>
    <x v="1"/>
    <x v="1945"/>
    <x v="209"/>
    <n v="25000"/>
  </r>
  <r>
    <s v="M0097"/>
    <x v="1"/>
    <x v="1945"/>
    <x v="209"/>
    <n v="25000"/>
  </r>
  <r>
    <s v="M0186"/>
    <x v="0"/>
    <x v="1946"/>
    <x v="52"/>
    <n v="86786"/>
  </r>
  <r>
    <s v="M0186"/>
    <x v="0"/>
    <x v="1946"/>
    <x v="52"/>
    <n v="86786"/>
  </r>
  <r>
    <s v="M0186"/>
    <x v="0"/>
    <x v="1946"/>
    <x v="52"/>
    <n v="86786"/>
  </r>
  <r>
    <s v="M0186"/>
    <x v="0"/>
    <x v="1946"/>
    <x v="52"/>
    <n v="86786"/>
  </r>
  <r>
    <s v="M0186"/>
    <x v="0"/>
    <x v="1947"/>
    <x v="118"/>
    <n v="124351"/>
  </r>
  <r>
    <s v="M0186"/>
    <x v="0"/>
    <x v="1947"/>
    <x v="118"/>
    <n v="124351"/>
  </r>
  <r>
    <s v="M0186"/>
    <x v="0"/>
    <x v="1947"/>
    <x v="118"/>
    <n v="124351"/>
  </r>
  <r>
    <s v="M0186"/>
    <x v="0"/>
    <x v="1947"/>
    <x v="118"/>
    <n v="124351"/>
  </r>
  <r>
    <s v="M0186"/>
    <x v="0"/>
    <x v="1948"/>
    <x v="352"/>
    <n v="374407"/>
  </r>
  <r>
    <s v="M0186"/>
    <x v="0"/>
    <x v="1948"/>
    <x v="352"/>
    <n v="374407"/>
  </r>
  <r>
    <s v="M0186"/>
    <x v="0"/>
    <x v="1948"/>
    <x v="352"/>
    <n v="374407"/>
  </r>
  <r>
    <s v="M0186"/>
    <x v="0"/>
    <x v="1948"/>
    <x v="352"/>
    <n v="374407"/>
  </r>
  <r>
    <s v="M0186"/>
    <x v="0"/>
    <x v="1949"/>
    <x v="271"/>
    <n v="299704"/>
  </r>
  <r>
    <s v="M0186"/>
    <x v="0"/>
    <x v="1949"/>
    <x v="271"/>
    <n v="299704"/>
  </r>
  <r>
    <s v="M0186"/>
    <x v="0"/>
    <x v="1949"/>
    <x v="271"/>
    <n v="299704"/>
  </r>
  <r>
    <s v="M0186"/>
    <x v="0"/>
    <x v="1949"/>
    <x v="271"/>
    <n v="299704"/>
  </r>
  <r>
    <s v="M0186"/>
    <x v="0"/>
    <x v="1950"/>
    <x v="309"/>
    <n v="391015"/>
  </r>
  <r>
    <s v="M0186"/>
    <x v="0"/>
    <x v="1950"/>
    <x v="309"/>
    <n v="391015"/>
  </r>
  <r>
    <s v="M0186"/>
    <x v="0"/>
    <x v="1950"/>
    <x v="309"/>
    <n v="391015"/>
  </r>
  <r>
    <s v="M0186"/>
    <x v="0"/>
    <x v="1950"/>
    <x v="309"/>
    <n v="391015"/>
  </r>
  <r>
    <s v="M0186"/>
    <x v="0"/>
    <x v="1951"/>
    <x v="277"/>
    <n v="172339"/>
  </r>
  <r>
    <s v="M0186"/>
    <x v="0"/>
    <x v="1951"/>
    <x v="277"/>
    <n v="172339"/>
  </r>
  <r>
    <s v="M0186"/>
    <x v="0"/>
    <x v="1951"/>
    <x v="277"/>
    <n v="172339"/>
  </r>
  <r>
    <s v="M0186"/>
    <x v="0"/>
    <x v="1951"/>
    <x v="277"/>
    <n v="172339"/>
  </r>
  <r>
    <s v="M0186"/>
    <x v="0"/>
    <x v="1952"/>
    <x v="156"/>
    <n v="392796"/>
  </r>
  <r>
    <s v="M0186"/>
    <x v="0"/>
    <x v="1952"/>
    <x v="156"/>
    <n v="392796"/>
  </r>
  <r>
    <s v="M0186"/>
    <x v="0"/>
    <x v="1952"/>
    <x v="156"/>
    <n v="392796"/>
  </r>
  <r>
    <s v="M0186"/>
    <x v="0"/>
    <x v="1952"/>
    <x v="156"/>
    <n v="392796"/>
  </r>
  <r>
    <s v="M0186"/>
    <x v="0"/>
    <x v="1953"/>
    <x v="301"/>
    <n v="322325"/>
  </r>
  <r>
    <s v="M0186"/>
    <x v="0"/>
    <x v="1953"/>
    <x v="301"/>
    <n v="322325"/>
  </r>
  <r>
    <s v="M0186"/>
    <x v="0"/>
    <x v="1953"/>
    <x v="301"/>
    <n v="322325"/>
  </r>
  <r>
    <s v="M0186"/>
    <x v="0"/>
    <x v="1953"/>
    <x v="301"/>
    <n v="322325"/>
  </r>
  <r>
    <s v="M0186"/>
    <x v="0"/>
    <x v="1954"/>
    <x v="216"/>
    <n v="235951"/>
  </r>
  <r>
    <s v="M0186"/>
    <x v="0"/>
    <x v="1954"/>
    <x v="216"/>
    <n v="235951"/>
  </r>
  <r>
    <s v="M0186"/>
    <x v="0"/>
    <x v="1954"/>
    <x v="216"/>
    <n v="235951"/>
  </r>
  <r>
    <s v="M0186"/>
    <x v="0"/>
    <x v="1954"/>
    <x v="216"/>
    <n v="235951"/>
  </r>
  <r>
    <s v="M0186"/>
    <x v="0"/>
    <x v="1955"/>
    <x v="303"/>
    <n v="695083"/>
  </r>
  <r>
    <s v="M0186"/>
    <x v="0"/>
    <x v="1955"/>
    <x v="303"/>
    <n v="695083"/>
  </r>
  <r>
    <s v="M0186"/>
    <x v="0"/>
    <x v="1955"/>
    <x v="303"/>
    <n v="695083"/>
  </r>
  <r>
    <s v="M0186"/>
    <x v="0"/>
    <x v="1955"/>
    <x v="303"/>
    <n v="695083"/>
  </r>
  <r>
    <s v="M0186"/>
    <x v="0"/>
    <x v="1956"/>
    <x v="167"/>
    <n v="767311"/>
  </r>
  <r>
    <s v="M0186"/>
    <x v="0"/>
    <x v="1956"/>
    <x v="167"/>
    <n v="767311"/>
  </r>
  <r>
    <s v="M0186"/>
    <x v="0"/>
    <x v="1956"/>
    <x v="167"/>
    <n v="767311"/>
  </r>
  <r>
    <s v="M0186"/>
    <x v="0"/>
    <x v="1956"/>
    <x v="167"/>
    <n v="767311"/>
  </r>
  <r>
    <s v="M0186"/>
    <x v="0"/>
    <x v="1957"/>
    <x v="173"/>
    <n v="258521"/>
  </r>
  <r>
    <s v="M0186"/>
    <x v="0"/>
    <x v="1957"/>
    <x v="173"/>
    <n v="258521"/>
  </r>
  <r>
    <s v="M0186"/>
    <x v="0"/>
    <x v="1957"/>
    <x v="173"/>
    <n v="258521"/>
  </r>
  <r>
    <s v="M0186"/>
    <x v="0"/>
    <x v="1957"/>
    <x v="173"/>
    <n v="258521"/>
  </r>
  <r>
    <s v="M0186"/>
    <x v="0"/>
    <x v="1958"/>
    <x v="340"/>
    <n v="687886"/>
  </r>
  <r>
    <s v="M0186"/>
    <x v="0"/>
    <x v="1958"/>
    <x v="340"/>
    <n v="687886"/>
  </r>
  <r>
    <s v="M0186"/>
    <x v="0"/>
    <x v="1958"/>
    <x v="340"/>
    <n v="687886"/>
  </r>
  <r>
    <s v="M0186"/>
    <x v="0"/>
    <x v="1958"/>
    <x v="340"/>
    <n v="687886"/>
  </r>
  <r>
    <s v="M0186"/>
    <x v="0"/>
    <x v="1959"/>
    <x v="110"/>
    <n v="454515"/>
  </r>
  <r>
    <s v="M0186"/>
    <x v="0"/>
    <x v="1959"/>
    <x v="110"/>
    <n v="454515"/>
  </r>
  <r>
    <s v="M0186"/>
    <x v="0"/>
    <x v="1959"/>
    <x v="110"/>
    <n v="454515"/>
  </r>
  <r>
    <s v="M0186"/>
    <x v="0"/>
    <x v="1959"/>
    <x v="110"/>
    <n v="454515"/>
  </r>
  <r>
    <s v="M0186"/>
    <x v="0"/>
    <x v="1960"/>
    <x v="293"/>
    <n v="88752"/>
  </r>
  <r>
    <s v="M0186"/>
    <x v="0"/>
    <x v="1960"/>
    <x v="293"/>
    <n v="88752"/>
  </r>
  <r>
    <s v="M0186"/>
    <x v="0"/>
    <x v="1960"/>
    <x v="293"/>
    <n v="88752"/>
  </r>
  <r>
    <s v="M0186"/>
    <x v="0"/>
    <x v="1960"/>
    <x v="293"/>
    <n v="88752"/>
  </r>
  <r>
    <s v="M0058"/>
    <x v="1"/>
    <x v="1961"/>
    <x v="223"/>
    <n v="341771"/>
  </r>
  <r>
    <s v="M0058"/>
    <x v="1"/>
    <x v="1961"/>
    <x v="223"/>
    <n v="341771"/>
  </r>
  <r>
    <s v="M0058"/>
    <x v="1"/>
    <x v="1961"/>
    <x v="223"/>
    <n v="341771"/>
  </r>
  <r>
    <s v="M0058"/>
    <x v="1"/>
    <x v="1962"/>
    <x v="108"/>
    <n v="435131"/>
  </r>
  <r>
    <s v="M0058"/>
    <x v="1"/>
    <x v="1962"/>
    <x v="108"/>
    <n v="435131"/>
  </r>
  <r>
    <s v="M0058"/>
    <x v="1"/>
    <x v="1962"/>
    <x v="108"/>
    <n v="435131"/>
  </r>
  <r>
    <s v="M0058"/>
    <x v="1"/>
    <x v="1963"/>
    <x v="305"/>
    <n v="25000"/>
  </r>
  <r>
    <s v="M0058"/>
    <x v="1"/>
    <x v="1963"/>
    <x v="305"/>
    <n v="25000"/>
  </r>
  <r>
    <s v="M0058"/>
    <x v="1"/>
    <x v="1963"/>
    <x v="305"/>
    <n v="25000"/>
  </r>
  <r>
    <s v="M0142"/>
    <x v="2"/>
    <x v="1964"/>
    <x v="3"/>
    <n v="247666"/>
  </r>
  <r>
    <s v="M0142"/>
    <x v="2"/>
    <x v="1964"/>
    <x v="3"/>
    <n v="247666"/>
  </r>
  <r>
    <s v="M0142"/>
    <x v="2"/>
    <x v="1964"/>
    <x v="3"/>
    <n v="247666"/>
  </r>
  <r>
    <s v="M0142"/>
    <x v="2"/>
    <x v="1964"/>
    <x v="3"/>
    <n v="247666"/>
  </r>
  <r>
    <s v="M0142"/>
    <x v="2"/>
    <x v="1965"/>
    <x v="166"/>
    <n v="474317"/>
  </r>
  <r>
    <s v="M0142"/>
    <x v="2"/>
    <x v="1965"/>
    <x v="166"/>
    <n v="474317"/>
  </r>
  <r>
    <s v="M0142"/>
    <x v="2"/>
    <x v="1965"/>
    <x v="166"/>
    <n v="474317"/>
  </r>
  <r>
    <s v="M0142"/>
    <x v="2"/>
    <x v="1965"/>
    <x v="166"/>
    <n v="474317"/>
  </r>
  <r>
    <s v="M0142"/>
    <x v="2"/>
    <x v="1966"/>
    <x v="217"/>
    <n v="61125"/>
  </r>
  <r>
    <s v="M0142"/>
    <x v="2"/>
    <x v="1966"/>
    <x v="217"/>
    <n v="61125"/>
  </r>
  <r>
    <s v="M0142"/>
    <x v="2"/>
    <x v="1966"/>
    <x v="217"/>
    <n v="61125"/>
  </r>
  <r>
    <s v="M0142"/>
    <x v="2"/>
    <x v="1966"/>
    <x v="217"/>
    <n v="61125"/>
  </r>
  <r>
    <s v="M0011"/>
    <x v="1"/>
    <x v="1967"/>
    <x v="103"/>
    <n v="555011"/>
  </r>
  <r>
    <s v="M0011"/>
    <x v="1"/>
    <x v="1967"/>
    <x v="103"/>
    <n v="555011"/>
  </r>
  <r>
    <s v="M0011"/>
    <x v="1"/>
    <x v="1967"/>
    <x v="103"/>
    <n v="555011"/>
  </r>
  <r>
    <s v="M0237"/>
    <x v="2"/>
    <x v="1968"/>
    <x v="191"/>
    <n v="626029"/>
  </r>
  <r>
    <s v="M0237"/>
    <x v="2"/>
    <x v="1968"/>
    <x v="191"/>
    <n v="626029"/>
  </r>
  <r>
    <s v="M0237"/>
    <x v="2"/>
    <x v="1968"/>
    <x v="191"/>
    <n v="626029"/>
  </r>
  <r>
    <s v="M0237"/>
    <x v="2"/>
    <x v="1968"/>
    <x v="191"/>
    <n v="626029"/>
  </r>
  <r>
    <s v="M0237"/>
    <x v="2"/>
    <x v="1969"/>
    <x v="338"/>
    <n v="678814"/>
  </r>
  <r>
    <s v="M0237"/>
    <x v="2"/>
    <x v="1969"/>
    <x v="338"/>
    <n v="678814"/>
  </r>
  <r>
    <s v="M0237"/>
    <x v="2"/>
    <x v="1969"/>
    <x v="338"/>
    <n v="678814"/>
  </r>
  <r>
    <s v="M0237"/>
    <x v="2"/>
    <x v="1969"/>
    <x v="338"/>
    <n v="678814"/>
  </r>
  <r>
    <s v="M0237"/>
    <x v="2"/>
    <x v="1970"/>
    <x v="77"/>
    <n v="402134"/>
  </r>
  <r>
    <s v="M0237"/>
    <x v="2"/>
    <x v="1970"/>
    <x v="77"/>
    <n v="402134"/>
  </r>
  <r>
    <s v="M0237"/>
    <x v="2"/>
    <x v="1970"/>
    <x v="77"/>
    <n v="402134"/>
  </r>
  <r>
    <s v="M0237"/>
    <x v="2"/>
    <x v="1970"/>
    <x v="77"/>
    <n v="402134"/>
  </r>
  <r>
    <s v="M0237"/>
    <x v="2"/>
    <x v="1971"/>
    <x v="122"/>
    <n v="186356"/>
  </r>
  <r>
    <s v="M0237"/>
    <x v="2"/>
    <x v="1971"/>
    <x v="122"/>
    <n v="186356"/>
  </r>
  <r>
    <s v="M0237"/>
    <x v="2"/>
    <x v="1971"/>
    <x v="122"/>
    <n v="186356"/>
  </r>
  <r>
    <s v="M0237"/>
    <x v="2"/>
    <x v="1971"/>
    <x v="122"/>
    <n v="186356"/>
  </r>
  <r>
    <s v="M0237"/>
    <x v="2"/>
    <x v="1972"/>
    <x v="317"/>
    <n v="237775"/>
  </r>
  <r>
    <s v="M0237"/>
    <x v="2"/>
    <x v="1972"/>
    <x v="317"/>
    <n v="237775"/>
  </r>
  <r>
    <s v="M0237"/>
    <x v="2"/>
    <x v="1972"/>
    <x v="317"/>
    <n v="237775"/>
  </r>
  <r>
    <s v="M0237"/>
    <x v="2"/>
    <x v="1972"/>
    <x v="317"/>
    <n v="237775"/>
  </r>
  <r>
    <s v="M0237"/>
    <x v="2"/>
    <x v="1973"/>
    <x v="90"/>
    <n v="546536"/>
  </r>
  <r>
    <s v="M0237"/>
    <x v="2"/>
    <x v="1973"/>
    <x v="90"/>
    <n v="546536"/>
  </r>
  <r>
    <s v="M0237"/>
    <x v="2"/>
    <x v="1973"/>
    <x v="90"/>
    <n v="546536"/>
  </r>
  <r>
    <s v="M0237"/>
    <x v="2"/>
    <x v="1973"/>
    <x v="90"/>
    <n v="546536"/>
  </r>
  <r>
    <s v="M0234"/>
    <x v="1"/>
    <x v="1974"/>
    <x v="262"/>
    <n v="168442"/>
  </r>
  <r>
    <s v="M0234"/>
    <x v="1"/>
    <x v="1975"/>
    <x v="239"/>
    <n v="278307"/>
  </r>
  <r>
    <s v="M0234"/>
    <x v="1"/>
    <x v="1976"/>
    <x v="46"/>
    <n v="77203"/>
  </r>
  <r>
    <s v="M0234"/>
    <x v="1"/>
    <x v="1977"/>
    <x v="119"/>
    <n v="229022"/>
  </r>
  <r>
    <s v="M0234"/>
    <x v="1"/>
    <x v="1978"/>
    <x v="136"/>
    <n v="124272"/>
  </r>
  <r>
    <s v="M0234"/>
    <x v="1"/>
    <x v="1979"/>
    <x v="104"/>
    <n v="464704"/>
  </r>
  <r>
    <s v="M0234"/>
    <x v="1"/>
    <x v="1980"/>
    <x v="342"/>
    <n v="701076"/>
  </r>
  <r>
    <s v="M0234"/>
    <x v="1"/>
    <x v="1981"/>
    <x v="189"/>
    <n v="895526"/>
  </r>
  <r>
    <s v="M0234"/>
    <x v="1"/>
    <x v="1982"/>
    <x v="100"/>
    <n v="311076"/>
  </r>
  <r>
    <s v="M0234"/>
    <x v="1"/>
    <x v="1983"/>
    <x v="178"/>
    <n v="74305"/>
  </r>
  <r>
    <s v="M0005"/>
    <x v="1"/>
    <x v="1984"/>
    <x v="311"/>
    <n v="113392"/>
  </r>
  <r>
    <s v="M0005"/>
    <x v="1"/>
    <x v="1984"/>
    <x v="311"/>
    <n v="113392"/>
  </r>
  <r>
    <s v="M0005"/>
    <x v="1"/>
    <x v="1984"/>
    <x v="311"/>
    <n v="113392"/>
  </r>
  <r>
    <s v="M0005"/>
    <x v="1"/>
    <x v="1985"/>
    <x v="263"/>
    <n v="247635"/>
  </r>
  <r>
    <s v="M0005"/>
    <x v="1"/>
    <x v="1985"/>
    <x v="263"/>
    <n v="247635"/>
  </r>
  <r>
    <s v="M0005"/>
    <x v="1"/>
    <x v="1985"/>
    <x v="263"/>
    <n v="247635"/>
  </r>
  <r>
    <s v="M0005"/>
    <x v="1"/>
    <x v="1986"/>
    <x v="126"/>
    <n v="436776"/>
  </r>
  <r>
    <s v="M0005"/>
    <x v="1"/>
    <x v="1986"/>
    <x v="126"/>
    <n v="436776"/>
  </r>
  <r>
    <s v="M0005"/>
    <x v="1"/>
    <x v="1986"/>
    <x v="126"/>
    <n v="436776"/>
  </r>
  <r>
    <s v="M0084"/>
    <x v="1"/>
    <x v="1987"/>
    <x v="247"/>
    <n v="262694"/>
  </r>
  <r>
    <s v="M0084"/>
    <x v="1"/>
    <x v="1987"/>
    <x v="247"/>
    <n v="262694"/>
  </r>
  <r>
    <s v="M0084"/>
    <x v="1"/>
    <x v="1987"/>
    <x v="247"/>
    <n v="262694"/>
  </r>
  <r>
    <s v="M0084"/>
    <x v="1"/>
    <x v="1988"/>
    <x v="307"/>
    <n v="149569"/>
  </r>
  <r>
    <s v="M0084"/>
    <x v="1"/>
    <x v="1988"/>
    <x v="307"/>
    <n v="149569"/>
  </r>
  <r>
    <s v="M0084"/>
    <x v="1"/>
    <x v="1988"/>
    <x v="307"/>
    <n v="149569"/>
  </r>
  <r>
    <s v="M0084"/>
    <x v="1"/>
    <x v="1989"/>
    <x v="2"/>
    <n v="215512"/>
  </r>
  <r>
    <s v="M0084"/>
    <x v="1"/>
    <x v="1989"/>
    <x v="2"/>
    <n v="215512"/>
  </r>
  <r>
    <s v="M0084"/>
    <x v="1"/>
    <x v="1989"/>
    <x v="2"/>
    <n v="215512"/>
  </r>
  <r>
    <s v="M0084"/>
    <x v="1"/>
    <x v="1990"/>
    <x v="296"/>
    <n v="261131"/>
  </r>
  <r>
    <s v="M0084"/>
    <x v="1"/>
    <x v="1990"/>
    <x v="296"/>
    <n v="261131"/>
  </r>
  <r>
    <s v="M0084"/>
    <x v="1"/>
    <x v="1990"/>
    <x v="296"/>
    <n v="261131"/>
  </r>
  <r>
    <s v="M0084"/>
    <x v="1"/>
    <x v="1991"/>
    <x v="133"/>
    <n v="367242"/>
  </r>
  <r>
    <s v="M0084"/>
    <x v="1"/>
    <x v="1991"/>
    <x v="133"/>
    <n v="367242"/>
  </r>
  <r>
    <s v="M0084"/>
    <x v="1"/>
    <x v="1991"/>
    <x v="133"/>
    <n v="367242"/>
  </r>
  <r>
    <s v="M0238"/>
    <x v="0"/>
    <x v="1992"/>
    <x v="45"/>
    <n v="843167"/>
  </r>
  <r>
    <s v="M0238"/>
    <x v="0"/>
    <x v="1992"/>
    <x v="45"/>
    <n v="843167"/>
  </r>
  <r>
    <s v="M0238"/>
    <x v="0"/>
    <x v="1993"/>
    <x v="336"/>
    <n v="210900"/>
  </r>
  <r>
    <s v="M0238"/>
    <x v="0"/>
    <x v="1993"/>
    <x v="336"/>
    <n v="210900"/>
  </r>
  <r>
    <s v="M0238"/>
    <x v="0"/>
    <x v="1994"/>
    <x v="267"/>
    <n v="191869"/>
  </r>
  <r>
    <s v="M0238"/>
    <x v="0"/>
    <x v="1994"/>
    <x v="267"/>
    <n v="191869"/>
  </r>
  <r>
    <s v="M0238"/>
    <x v="0"/>
    <x v="1995"/>
    <x v="199"/>
    <n v="362708"/>
  </r>
  <r>
    <s v="M0238"/>
    <x v="0"/>
    <x v="1995"/>
    <x v="199"/>
    <n v="362708"/>
  </r>
  <r>
    <s v="M0167"/>
    <x v="2"/>
    <x v="1996"/>
    <x v="12"/>
    <n v="490575"/>
  </r>
  <r>
    <s v="M0167"/>
    <x v="2"/>
    <x v="1997"/>
    <x v="276"/>
    <n v="110095"/>
  </r>
  <r>
    <s v="M0167"/>
    <x v="2"/>
    <x v="1998"/>
    <x v="64"/>
    <n v="473369"/>
  </r>
  <r>
    <s v="M0167"/>
    <x v="2"/>
    <x v="1999"/>
    <x v="109"/>
    <n v="177574"/>
  </r>
  <r>
    <s v="M0167"/>
    <x v="2"/>
    <x v="2000"/>
    <x v="111"/>
    <n v="353392"/>
  </r>
  <r>
    <s v="M0167"/>
    <x v="2"/>
    <x v="2001"/>
    <x v="242"/>
    <n v="197099"/>
  </r>
  <r>
    <s v="M0110"/>
    <x v="1"/>
    <x v="2002"/>
    <x v="282"/>
    <n v="263812"/>
  </r>
  <r>
    <s v="M0110"/>
    <x v="1"/>
    <x v="2002"/>
    <x v="282"/>
    <n v="263812"/>
  </r>
  <r>
    <s v="M0110"/>
    <x v="1"/>
    <x v="2002"/>
    <x v="282"/>
    <n v="263812"/>
  </r>
  <r>
    <s v="M0110"/>
    <x v="1"/>
    <x v="2003"/>
    <x v="193"/>
    <n v="549244"/>
  </r>
  <r>
    <s v="M0110"/>
    <x v="1"/>
    <x v="2003"/>
    <x v="193"/>
    <n v="549244"/>
  </r>
  <r>
    <s v="M0110"/>
    <x v="1"/>
    <x v="2003"/>
    <x v="193"/>
    <n v="549244"/>
  </r>
  <r>
    <s v="M0150"/>
    <x v="1"/>
    <x v="2004"/>
    <x v="314"/>
    <n v="340849"/>
  </r>
  <r>
    <s v="M0150"/>
    <x v="1"/>
    <x v="2005"/>
    <x v="12"/>
    <n v="156721"/>
  </r>
  <r>
    <s v="M0150"/>
    <x v="1"/>
    <x v="2006"/>
    <x v="9"/>
    <n v="402399"/>
  </r>
  <r>
    <s v="M0150"/>
    <x v="1"/>
    <x v="2007"/>
    <x v="34"/>
    <n v="783677"/>
  </r>
  <r>
    <s v="M0189"/>
    <x v="1"/>
    <x v="2008"/>
    <x v="16"/>
    <n v="451976"/>
  </r>
  <r>
    <s v="M0189"/>
    <x v="1"/>
    <x v="2008"/>
    <x v="16"/>
    <n v="451976"/>
  </r>
  <r>
    <s v="M0189"/>
    <x v="1"/>
    <x v="2009"/>
    <x v="202"/>
    <n v="334275"/>
  </r>
  <r>
    <s v="M0189"/>
    <x v="1"/>
    <x v="2009"/>
    <x v="202"/>
    <n v="334275"/>
  </r>
  <r>
    <s v="M0189"/>
    <x v="1"/>
    <x v="2010"/>
    <x v="16"/>
    <n v="443124"/>
  </r>
  <r>
    <s v="M0189"/>
    <x v="1"/>
    <x v="2010"/>
    <x v="16"/>
    <n v="443124"/>
  </r>
  <r>
    <s v="M0189"/>
    <x v="1"/>
    <x v="2011"/>
    <x v="258"/>
    <n v="483216"/>
  </r>
  <r>
    <s v="M0189"/>
    <x v="1"/>
    <x v="2011"/>
    <x v="258"/>
    <n v="483216"/>
  </r>
  <r>
    <s v="M0189"/>
    <x v="1"/>
    <x v="2012"/>
    <x v="12"/>
    <n v="199789"/>
  </r>
  <r>
    <s v="M0189"/>
    <x v="1"/>
    <x v="2012"/>
    <x v="12"/>
    <n v="199789"/>
  </r>
  <r>
    <s v="M0189"/>
    <x v="1"/>
    <x v="2013"/>
    <x v="276"/>
    <n v="185530"/>
  </r>
  <r>
    <s v="M0189"/>
    <x v="1"/>
    <x v="2013"/>
    <x v="276"/>
    <n v="185530"/>
  </r>
  <r>
    <s v="M0189"/>
    <x v="1"/>
    <x v="2014"/>
    <x v="347"/>
    <n v="239988"/>
  </r>
  <r>
    <s v="M0189"/>
    <x v="1"/>
    <x v="2014"/>
    <x v="347"/>
    <n v="239988"/>
  </r>
  <r>
    <s v="M0189"/>
    <x v="1"/>
    <x v="2015"/>
    <x v="93"/>
    <n v="691211"/>
  </r>
  <r>
    <s v="M0189"/>
    <x v="1"/>
    <x v="2015"/>
    <x v="93"/>
    <n v="691211"/>
  </r>
  <r>
    <s v="M0189"/>
    <x v="1"/>
    <x v="2016"/>
    <x v="303"/>
    <n v="746493"/>
  </r>
  <r>
    <s v="M0189"/>
    <x v="1"/>
    <x v="2016"/>
    <x v="303"/>
    <n v="746493"/>
  </r>
  <r>
    <s v="M0189"/>
    <x v="1"/>
    <x v="2017"/>
    <x v="111"/>
    <n v="799269"/>
  </r>
  <r>
    <s v="M0189"/>
    <x v="1"/>
    <x v="2017"/>
    <x v="111"/>
    <n v="799269"/>
  </r>
  <r>
    <s v="M0069"/>
    <x v="1"/>
    <x v="2018"/>
    <x v="194"/>
    <n v="188282"/>
  </r>
  <r>
    <s v="M0069"/>
    <x v="1"/>
    <x v="2019"/>
    <x v="72"/>
    <n v="53486"/>
  </r>
  <r>
    <s v="M0069"/>
    <x v="1"/>
    <x v="2020"/>
    <x v="345"/>
    <n v="175922"/>
  </r>
  <r>
    <s v="M0069"/>
    <x v="1"/>
    <x v="2021"/>
    <x v="251"/>
    <n v="192744"/>
  </r>
  <r>
    <s v="M0069"/>
    <x v="1"/>
    <x v="2022"/>
    <x v="309"/>
    <n v="906348"/>
  </r>
  <r>
    <s v="M0069"/>
    <x v="1"/>
    <x v="2023"/>
    <x v="318"/>
    <n v="188379"/>
  </r>
  <r>
    <s v="M0281"/>
    <x v="0"/>
    <x v="2024"/>
    <x v="247"/>
    <n v="38120"/>
  </r>
  <r>
    <s v="M0281"/>
    <x v="0"/>
    <x v="2024"/>
    <x v="247"/>
    <n v="38120"/>
  </r>
  <r>
    <s v="M0281"/>
    <x v="0"/>
    <x v="2025"/>
    <x v="346"/>
    <n v="92733"/>
  </r>
  <r>
    <s v="M0281"/>
    <x v="0"/>
    <x v="2025"/>
    <x v="346"/>
    <n v="92733"/>
  </r>
  <r>
    <s v="M0281"/>
    <x v="0"/>
    <x v="2026"/>
    <x v="251"/>
    <n v="300214"/>
  </r>
  <r>
    <s v="M0281"/>
    <x v="0"/>
    <x v="2026"/>
    <x v="251"/>
    <n v="300214"/>
  </r>
  <r>
    <s v="M0281"/>
    <x v="0"/>
    <x v="2027"/>
    <x v="312"/>
    <n v="809436"/>
  </r>
  <r>
    <s v="M0281"/>
    <x v="0"/>
    <x v="2027"/>
    <x v="312"/>
    <n v="809436"/>
  </r>
  <r>
    <s v="M0281"/>
    <x v="0"/>
    <x v="2028"/>
    <x v="307"/>
    <n v="272021"/>
  </r>
  <r>
    <s v="M0281"/>
    <x v="0"/>
    <x v="2028"/>
    <x v="307"/>
    <n v="272021"/>
  </r>
  <r>
    <s v="M0281"/>
    <x v="0"/>
    <x v="2029"/>
    <x v="49"/>
    <n v="374457"/>
  </r>
  <r>
    <s v="M0281"/>
    <x v="0"/>
    <x v="2029"/>
    <x v="49"/>
    <n v="374457"/>
  </r>
  <r>
    <s v="M0281"/>
    <x v="0"/>
    <x v="2030"/>
    <x v="99"/>
    <n v="248924"/>
  </r>
  <r>
    <s v="M0281"/>
    <x v="0"/>
    <x v="2030"/>
    <x v="99"/>
    <n v="248924"/>
  </r>
  <r>
    <s v="M0281"/>
    <x v="0"/>
    <x v="2031"/>
    <x v="113"/>
    <n v="165743"/>
  </r>
  <r>
    <s v="M0281"/>
    <x v="0"/>
    <x v="2031"/>
    <x v="113"/>
    <n v="165743"/>
  </r>
  <r>
    <s v="M0281"/>
    <x v="0"/>
    <x v="2032"/>
    <x v="79"/>
    <n v="318241"/>
  </r>
  <r>
    <s v="M0281"/>
    <x v="0"/>
    <x v="2032"/>
    <x v="79"/>
    <n v="318241"/>
  </r>
  <r>
    <s v="M0281"/>
    <x v="0"/>
    <x v="2033"/>
    <x v="209"/>
    <n v="35136"/>
  </r>
  <r>
    <s v="M0281"/>
    <x v="0"/>
    <x v="2033"/>
    <x v="209"/>
    <n v="35136"/>
  </r>
  <r>
    <s v="M0281"/>
    <x v="0"/>
    <x v="2034"/>
    <x v="67"/>
    <n v="438515"/>
  </r>
  <r>
    <s v="M0281"/>
    <x v="0"/>
    <x v="2034"/>
    <x v="67"/>
    <n v="438515"/>
  </r>
  <r>
    <s v="M0281"/>
    <x v="0"/>
    <x v="2035"/>
    <x v="138"/>
    <n v="528380"/>
  </r>
  <r>
    <s v="M0281"/>
    <x v="0"/>
    <x v="2035"/>
    <x v="138"/>
    <n v="528380"/>
  </r>
  <r>
    <s v="M0281"/>
    <x v="0"/>
    <x v="2036"/>
    <x v="339"/>
    <n v="304588"/>
  </r>
  <r>
    <s v="M0281"/>
    <x v="0"/>
    <x v="2036"/>
    <x v="339"/>
    <n v="304588"/>
  </r>
  <r>
    <s v="M0281"/>
    <x v="0"/>
    <x v="2037"/>
    <x v="147"/>
    <n v="358399"/>
  </r>
  <r>
    <s v="M0281"/>
    <x v="0"/>
    <x v="2037"/>
    <x v="147"/>
    <n v="358399"/>
  </r>
  <r>
    <s v="M0281"/>
    <x v="0"/>
    <x v="2038"/>
    <x v="149"/>
    <n v="340401"/>
  </r>
  <r>
    <s v="M0281"/>
    <x v="0"/>
    <x v="2038"/>
    <x v="149"/>
    <n v="340401"/>
  </r>
  <r>
    <s v="M0281"/>
    <x v="0"/>
    <x v="2039"/>
    <x v="98"/>
    <n v="203572"/>
  </r>
  <r>
    <s v="M0281"/>
    <x v="0"/>
    <x v="2039"/>
    <x v="98"/>
    <n v="203572"/>
  </r>
  <r>
    <s v="M0281"/>
    <x v="0"/>
    <x v="2040"/>
    <x v="153"/>
    <n v="159611"/>
  </r>
  <r>
    <s v="M0281"/>
    <x v="0"/>
    <x v="2040"/>
    <x v="153"/>
    <n v="159611"/>
  </r>
  <r>
    <s v="M0281"/>
    <x v="0"/>
    <x v="2041"/>
    <x v="341"/>
    <n v="25000"/>
  </r>
  <r>
    <s v="M0281"/>
    <x v="0"/>
    <x v="2041"/>
    <x v="341"/>
    <n v="25000"/>
  </r>
  <r>
    <s v="M0281"/>
    <x v="0"/>
    <x v="2042"/>
    <x v="155"/>
    <n v="167830"/>
  </r>
  <r>
    <s v="M0281"/>
    <x v="0"/>
    <x v="2042"/>
    <x v="155"/>
    <n v="167830"/>
  </r>
  <r>
    <s v="M0281"/>
    <x v="0"/>
    <x v="2043"/>
    <x v="195"/>
    <n v="147270"/>
  </r>
  <r>
    <s v="M0281"/>
    <x v="0"/>
    <x v="2043"/>
    <x v="195"/>
    <n v="147270"/>
  </r>
  <r>
    <s v="M0281"/>
    <x v="0"/>
    <x v="2044"/>
    <x v="14"/>
    <n v="554706"/>
  </r>
  <r>
    <s v="M0281"/>
    <x v="0"/>
    <x v="2044"/>
    <x v="14"/>
    <n v="554706"/>
  </r>
  <r>
    <s v="M0281"/>
    <x v="0"/>
    <x v="2045"/>
    <x v="256"/>
    <n v="377722"/>
  </r>
  <r>
    <s v="M0281"/>
    <x v="0"/>
    <x v="2045"/>
    <x v="256"/>
    <n v="377722"/>
  </r>
  <r>
    <s v="M0281"/>
    <x v="0"/>
    <x v="2046"/>
    <x v="57"/>
    <n v="814605"/>
  </r>
  <r>
    <s v="M0281"/>
    <x v="0"/>
    <x v="2046"/>
    <x v="57"/>
    <n v="814605"/>
  </r>
  <r>
    <s v="M0281"/>
    <x v="0"/>
    <x v="2047"/>
    <x v="336"/>
    <n v="258913"/>
  </r>
  <r>
    <s v="M0281"/>
    <x v="0"/>
    <x v="2047"/>
    <x v="336"/>
    <n v="258913"/>
  </r>
  <r>
    <s v="M0214"/>
    <x v="1"/>
    <x v="2048"/>
    <x v="26"/>
    <n v="229176"/>
  </r>
  <r>
    <s v="M0214"/>
    <x v="1"/>
    <x v="2048"/>
    <x v="26"/>
    <n v="229176"/>
  </r>
  <r>
    <s v="M0214"/>
    <x v="1"/>
    <x v="2048"/>
    <x v="26"/>
    <n v="229176"/>
  </r>
  <r>
    <s v="M0214"/>
    <x v="1"/>
    <x v="2049"/>
    <x v="74"/>
    <n v="136480"/>
  </r>
  <r>
    <s v="M0214"/>
    <x v="1"/>
    <x v="2049"/>
    <x v="74"/>
    <n v="136480"/>
  </r>
  <r>
    <s v="M0214"/>
    <x v="1"/>
    <x v="2049"/>
    <x v="74"/>
    <n v="136480"/>
  </r>
  <r>
    <s v="M0214"/>
    <x v="1"/>
    <x v="2050"/>
    <x v="120"/>
    <n v="113462"/>
  </r>
  <r>
    <s v="M0214"/>
    <x v="1"/>
    <x v="2050"/>
    <x v="120"/>
    <n v="113462"/>
  </r>
  <r>
    <s v="M0214"/>
    <x v="1"/>
    <x v="2050"/>
    <x v="120"/>
    <n v="113462"/>
  </r>
  <r>
    <s v="M0214"/>
    <x v="1"/>
    <x v="2051"/>
    <x v="241"/>
    <n v="135893"/>
  </r>
  <r>
    <s v="M0214"/>
    <x v="1"/>
    <x v="2051"/>
    <x v="241"/>
    <n v="135893"/>
  </r>
  <r>
    <s v="M0214"/>
    <x v="1"/>
    <x v="2051"/>
    <x v="241"/>
    <n v="135893"/>
  </r>
  <r>
    <s v="M0079"/>
    <x v="1"/>
    <x v="2052"/>
    <x v="72"/>
    <n v="377162"/>
  </r>
  <r>
    <s v="M0079"/>
    <x v="1"/>
    <x v="2052"/>
    <x v="72"/>
    <n v="377162"/>
  </r>
  <r>
    <s v="M0079"/>
    <x v="1"/>
    <x v="2053"/>
    <x v="258"/>
    <n v="100483"/>
  </r>
  <r>
    <s v="M0079"/>
    <x v="1"/>
    <x v="2053"/>
    <x v="258"/>
    <n v="100483"/>
  </r>
  <r>
    <s v="M0079"/>
    <x v="1"/>
    <x v="2054"/>
    <x v="357"/>
    <n v="716503"/>
  </r>
  <r>
    <s v="M0079"/>
    <x v="1"/>
    <x v="2054"/>
    <x v="357"/>
    <n v="716503"/>
  </r>
  <r>
    <s v="M0079"/>
    <x v="1"/>
    <x v="2055"/>
    <x v="157"/>
    <n v="128573"/>
  </r>
  <r>
    <s v="M0079"/>
    <x v="1"/>
    <x v="2055"/>
    <x v="157"/>
    <n v="128573"/>
  </r>
  <r>
    <s v="M0079"/>
    <x v="1"/>
    <x v="2056"/>
    <x v="175"/>
    <n v="256658"/>
  </r>
  <r>
    <s v="M0079"/>
    <x v="1"/>
    <x v="2056"/>
    <x v="175"/>
    <n v="256658"/>
  </r>
  <r>
    <s v="M0079"/>
    <x v="1"/>
    <x v="2057"/>
    <x v="242"/>
    <n v="153428"/>
  </r>
  <r>
    <s v="M0079"/>
    <x v="1"/>
    <x v="2057"/>
    <x v="242"/>
    <n v="153428"/>
  </r>
  <r>
    <s v="M0155"/>
    <x v="1"/>
    <x v="2058"/>
    <x v="100"/>
    <n v="292323"/>
  </r>
  <r>
    <s v="M0155"/>
    <x v="1"/>
    <x v="2059"/>
    <x v="318"/>
    <n v="73337"/>
  </r>
  <r>
    <s v="M0155"/>
    <x v="1"/>
    <x v="2060"/>
    <x v="159"/>
    <n v="158375"/>
  </r>
  <r>
    <s v="M0155"/>
    <x v="1"/>
    <x v="2061"/>
    <x v="259"/>
    <n v="263670"/>
  </r>
  <r>
    <s v="M0155"/>
    <x v="1"/>
    <x v="2062"/>
    <x v="89"/>
    <n v="200997"/>
  </r>
  <r>
    <s v="M0074"/>
    <x v="0"/>
    <x v="2063"/>
    <x v="124"/>
    <n v="79664"/>
  </r>
  <r>
    <s v="M0074"/>
    <x v="0"/>
    <x v="2064"/>
    <x v="163"/>
    <n v="217960"/>
  </r>
  <r>
    <s v="M0074"/>
    <x v="0"/>
    <x v="2065"/>
    <x v="230"/>
    <n v="622237"/>
  </r>
  <r>
    <s v="M0074"/>
    <x v="0"/>
    <x v="2066"/>
    <x v="71"/>
    <n v="500968"/>
  </r>
  <r>
    <s v="M0074"/>
    <x v="0"/>
    <x v="2067"/>
    <x v="345"/>
    <n v="119239"/>
  </r>
  <r>
    <s v="M0074"/>
    <x v="0"/>
    <x v="2068"/>
    <x v="113"/>
    <n v="558324"/>
  </r>
  <r>
    <s v="M0074"/>
    <x v="0"/>
    <x v="2069"/>
    <x v="304"/>
    <n v="145556"/>
  </r>
  <r>
    <s v="M0074"/>
    <x v="0"/>
    <x v="2070"/>
    <x v="311"/>
    <n v="721837"/>
  </r>
  <r>
    <s v="M0074"/>
    <x v="0"/>
    <x v="2071"/>
    <x v="334"/>
    <n v="71345"/>
  </r>
  <r>
    <s v="M0074"/>
    <x v="0"/>
    <x v="2072"/>
    <x v="183"/>
    <n v="253029"/>
  </r>
  <r>
    <s v="M0074"/>
    <x v="0"/>
    <x v="2073"/>
    <x v="284"/>
    <n v="196690"/>
  </r>
  <r>
    <s v="M0074"/>
    <x v="0"/>
    <x v="2074"/>
    <x v="68"/>
    <n v="703342"/>
  </r>
  <r>
    <s v="M0299"/>
    <x v="0"/>
    <x v="2075"/>
    <x v="327"/>
    <n v="355129"/>
  </r>
  <r>
    <s v="M0299"/>
    <x v="0"/>
    <x v="2075"/>
    <x v="327"/>
    <n v="355129"/>
  </r>
  <r>
    <s v="M0299"/>
    <x v="0"/>
    <x v="2076"/>
    <x v="324"/>
    <n v="31237"/>
  </r>
  <r>
    <s v="M0299"/>
    <x v="0"/>
    <x v="2076"/>
    <x v="324"/>
    <n v="31237"/>
  </r>
  <r>
    <s v="M0299"/>
    <x v="0"/>
    <x v="2077"/>
    <x v="287"/>
    <n v="406216"/>
  </r>
  <r>
    <s v="M0299"/>
    <x v="0"/>
    <x v="2077"/>
    <x v="287"/>
    <n v="406216"/>
  </r>
  <r>
    <s v="M0299"/>
    <x v="0"/>
    <x v="2078"/>
    <x v="5"/>
    <n v="129648"/>
  </r>
  <r>
    <s v="M0299"/>
    <x v="0"/>
    <x v="2078"/>
    <x v="5"/>
    <n v="129648"/>
  </r>
  <r>
    <s v="M0076"/>
    <x v="2"/>
    <x v="2079"/>
    <x v="320"/>
    <n v="103925"/>
  </r>
  <r>
    <s v="M0076"/>
    <x v="2"/>
    <x v="2079"/>
    <x v="320"/>
    <n v="103925"/>
  </r>
  <r>
    <s v="M0076"/>
    <x v="2"/>
    <x v="2080"/>
    <x v="129"/>
    <n v="52528"/>
  </r>
  <r>
    <s v="M0076"/>
    <x v="2"/>
    <x v="2080"/>
    <x v="129"/>
    <n v="52528"/>
  </r>
  <r>
    <s v="M0076"/>
    <x v="2"/>
    <x v="2081"/>
    <x v="246"/>
    <n v="103268"/>
  </r>
  <r>
    <s v="M0076"/>
    <x v="2"/>
    <x v="2081"/>
    <x v="246"/>
    <n v="103268"/>
  </r>
  <r>
    <s v="M0076"/>
    <x v="2"/>
    <x v="2082"/>
    <x v="83"/>
    <n v="199491"/>
  </r>
  <r>
    <s v="M0076"/>
    <x v="2"/>
    <x v="2082"/>
    <x v="83"/>
    <n v="199491"/>
  </r>
  <r>
    <s v="M0076"/>
    <x v="2"/>
    <x v="2083"/>
    <x v="180"/>
    <n v="473329"/>
  </r>
  <r>
    <s v="M0076"/>
    <x v="2"/>
    <x v="2083"/>
    <x v="180"/>
    <n v="473329"/>
  </r>
  <r>
    <s v="M0076"/>
    <x v="2"/>
    <x v="2084"/>
    <x v="189"/>
    <n v="91402"/>
  </r>
  <r>
    <s v="M0076"/>
    <x v="2"/>
    <x v="2084"/>
    <x v="189"/>
    <n v="91402"/>
  </r>
  <r>
    <s v="M0247"/>
    <x v="1"/>
    <x v="2085"/>
    <x v="43"/>
    <n v="234135"/>
  </r>
  <r>
    <s v="M0247"/>
    <x v="1"/>
    <x v="2085"/>
    <x v="43"/>
    <n v="234135"/>
  </r>
  <r>
    <s v="M0247"/>
    <x v="1"/>
    <x v="2086"/>
    <x v="152"/>
    <n v="286225"/>
  </r>
  <r>
    <s v="M0247"/>
    <x v="1"/>
    <x v="2086"/>
    <x v="152"/>
    <n v="286225"/>
  </r>
  <r>
    <s v="M0168"/>
    <x v="0"/>
    <x v="2087"/>
    <x v="267"/>
    <n v="136228"/>
  </r>
  <r>
    <s v="M0168"/>
    <x v="0"/>
    <x v="2088"/>
    <x v="245"/>
    <n v="76905"/>
  </r>
  <r>
    <s v="M0168"/>
    <x v="0"/>
    <x v="2089"/>
    <x v="94"/>
    <n v="1075877"/>
  </r>
  <r>
    <s v="M0118"/>
    <x v="1"/>
    <x v="2090"/>
    <x v="28"/>
    <n v="341438"/>
  </r>
  <r>
    <s v="M0118"/>
    <x v="1"/>
    <x v="2090"/>
    <x v="28"/>
    <n v="341438"/>
  </r>
  <r>
    <s v="M0118"/>
    <x v="1"/>
    <x v="2091"/>
    <x v="287"/>
    <n v="123710"/>
  </r>
  <r>
    <s v="M0118"/>
    <x v="1"/>
    <x v="2091"/>
    <x v="287"/>
    <n v="123710"/>
  </r>
  <r>
    <s v="M0118"/>
    <x v="1"/>
    <x v="2092"/>
    <x v="1"/>
    <n v="371410"/>
  </r>
  <r>
    <s v="M0118"/>
    <x v="1"/>
    <x v="2092"/>
    <x v="1"/>
    <n v="371410"/>
  </r>
  <r>
    <s v="M0145"/>
    <x v="1"/>
    <x v="2093"/>
    <x v="19"/>
    <n v="256672"/>
  </r>
  <r>
    <s v="M0145"/>
    <x v="1"/>
    <x v="2093"/>
    <x v="19"/>
    <n v="256672"/>
  </r>
  <r>
    <s v="M0145"/>
    <x v="1"/>
    <x v="2094"/>
    <x v="270"/>
    <n v="140651"/>
  </r>
  <r>
    <s v="M0145"/>
    <x v="1"/>
    <x v="2094"/>
    <x v="270"/>
    <n v="140651"/>
  </r>
  <r>
    <s v="M0095"/>
    <x v="2"/>
    <x v="2095"/>
    <x v="304"/>
    <n v="208656"/>
  </r>
  <r>
    <s v="M0095"/>
    <x v="2"/>
    <x v="2095"/>
    <x v="304"/>
    <n v="208656"/>
  </r>
  <r>
    <s v="M0095"/>
    <x v="2"/>
    <x v="2095"/>
    <x v="304"/>
    <n v="208656"/>
  </r>
  <r>
    <s v="M0095"/>
    <x v="2"/>
    <x v="2095"/>
    <x v="304"/>
    <n v="208656"/>
  </r>
  <r>
    <s v="M0095"/>
    <x v="2"/>
    <x v="2096"/>
    <x v="65"/>
    <n v="808354"/>
  </r>
  <r>
    <s v="M0095"/>
    <x v="2"/>
    <x v="2096"/>
    <x v="65"/>
    <n v="808354"/>
  </r>
  <r>
    <s v="M0095"/>
    <x v="2"/>
    <x v="2096"/>
    <x v="65"/>
    <n v="808354"/>
  </r>
  <r>
    <s v="M0095"/>
    <x v="2"/>
    <x v="2096"/>
    <x v="65"/>
    <n v="808354"/>
  </r>
  <r>
    <s v="M0095"/>
    <x v="2"/>
    <x v="2097"/>
    <x v="193"/>
    <n v="106430"/>
  </r>
  <r>
    <s v="M0095"/>
    <x v="2"/>
    <x v="2097"/>
    <x v="193"/>
    <n v="106430"/>
  </r>
  <r>
    <s v="M0095"/>
    <x v="2"/>
    <x v="2097"/>
    <x v="193"/>
    <n v="106430"/>
  </r>
  <r>
    <s v="M0095"/>
    <x v="2"/>
    <x v="2097"/>
    <x v="193"/>
    <n v="106430"/>
  </r>
  <r>
    <s v="M0095"/>
    <x v="2"/>
    <x v="2098"/>
    <x v="32"/>
    <n v="227157"/>
  </r>
  <r>
    <s v="M0095"/>
    <x v="2"/>
    <x v="2098"/>
    <x v="32"/>
    <n v="227157"/>
  </r>
  <r>
    <s v="M0095"/>
    <x v="2"/>
    <x v="2098"/>
    <x v="32"/>
    <n v="227157"/>
  </r>
  <r>
    <s v="M0095"/>
    <x v="2"/>
    <x v="2098"/>
    <x v="32"/>
    <n v="227157"/>
  </r>
  <r>
    <s v="M0095"/>
    <x v="2"/>
    <x v="2099"/>
    <x v="182"/>
    <n v="99491"/>
  </r>
  <r>
    <s v="M0095"/>
    <x v="2"/>
    <x v="2099"/>
    <x v="182"/>
    <n v="99491"/>
  </r>
  <r>
    <s v="M0095"/>
    <x v="2"/>
    <x v="2099"/>
    <x v="182"/>
    <n v="99491"/>
  </r>
  <r>
    <s v="M0095"/>
    <x v="2"/>
    <x v="2099"/>
    <x v="182"/>
    <n v="99491"/>
  </r>
  <r>
    <s v="M0095"/>
    <x v="2"/>
    <x v="2100"/>
    <x v="352"/>
    <n v="234328"/>
  </r>
  <r>
    <s v="M0095"/>
    <x v="2"/>
    <x v="2100"/>
    <x v="352"/>
    <n v="234328"/>
  </r>
  <r>
    <s v="M0095"/>
    <x v="2"/>
    <x v="2100"/>
    <x v="352"/>
    <n v="234328"/>
  </r>
  <r>
    <s v="M0095"/>
    <x v="2"/>
    <x v="2100"/>
    <x v="352"/>
    <n v="234328"/>
  </r>
  <r>
    <s v="M0085"/>
    <x v="1"/>
    <x v="2101"/>
    <x v="31"/>
    <n v="29400"/>
  </r>
  <r>
    <s v="M0085"/>
    <x v="1"/>
    <x v="2101"/>
    <x v="31"/>
    <n v="29400"/>
  </r>
  <r>
    <s v="M0085"/>
    <x v="1"/>
    <x v="2102"/>
    <x v="205"/>
    <n v="81293"/>
  </r>
  <r>
    <s v="M0085"/>
    <x v="1"/>
    <x v="2102"/>
    <x v="205"/>
    <n v="81293"/>
  </r>
  <r>
    <s v="M0260"/>
    <x v="1"/>
    <x v="2103"/>
    <x v="12"/>
    <n v="222073"/>
  </r>
  <r>
    <s v="M0260"/>
    <x v="1"/>
    <x v="2103"/>
    <x v="12"/>
    <n v="222073"/>
  </r>
  <r>
    <s v="M0260"/>
    <x v="1"/>
    <x v="2103"/>
    <x v="12"/>
    <n v="222073"/>
  </r>
  <r>
    <s v="M0260"/>
    <x v="1"/>
    <x v="2104"/>
    <x v="98"/>
    <n v="447129"/>
  </r>
  <r>
    <s v="M0260"/>
    <x v="1"/>
    <x v="2104"/>
    <x v="98"/>
    <n v="447129"/>
  </r>
  <r>
    <s v="M0260"/>
    <x v="1"/>
    <x v="2104"/>
    <x v="98"/>
    <n v="447129"/>
  </r>
  <r>
    <s v="M0260"/>
    <x v="1"/>
    <x v="2105"/>
    <x v="103"/>
    <n v="62500"/>
  </r>
  <r>
    <s v="M0260"/>
    <x v="1"/>
    <x v="2105"/>
    <x v="103"/>
    <n v="62500"/>
  </r>
  <r>
    <s v="M0260"/>
    <x v="1"/>
    <x v="2105"/>
    <x v="103"/>
    <n v="62500"/>
  </r>
  <r>
    <s v="M0280"/>
    <x v="1"/>
    <x v="2106"/>
    <x v="314"/>
    <n v="307868"/>
  </r>
  <r>
    <s v="M0280"/>
    <x v="1"/>
    <x v="2106"/>
    <x v="314"/>
    <n v="307868"/>
  </r>
  <r>
    <s v="M0280"/>
    <x v="1"/>
    <x v="2106"/>
    <x v="314"/>
    <n v="307868"/>
  </r>
  <r>
    <s v="M0280"/>
    <x v="1"/>
    <x v="2106"/>
    <x v="314"/>
    <n v="307868"/>
  </r>
  <r>
    <s v="M0280"/>
    <x v="1"/>
    <x v="2106"/>
    <x v="314"/>
    <n v="307868"/>
  </r>
  <r>
    <s v="M0280"/>
    <x v="1"/>
    <x v="2106"/>
    <x v="314"/>
    <n v="307868"/>
  </r>
  <r>
    <s v="M0280"/>
    <x v="1"/>
    <x v="2107"/>
    <x v="120"/>
    <n v="177688"/>
  </r>
  <r>
    <s v="M0280"/>
    <x v="1"/>
    <x v="2107"/>
    <x v="120"/>
    <n v="177688"/>
  </r>
  <r>
    <s v="M0280"/>
    <x v="1"/>
    <x v="2107"/>
    <x v="120"/>
    <n v="177688"/>
  </r>
  <r>
    <s v="M0280"/>
    <x v="1"/>
    <x v="2107"/>
    <x v="120"/>
    <n v="177688"/>
  </r>
  <r>
    <s v="M0280"/>
    <x v="1"/>
    <x v="2107"/>
    <x v="120"/>
    <n v="177688"/>
  </r>
  <r>
    <s v="M0280"/>
    <x v="1"/>
    <x v="2107"/>
    <x v="120"/>
    <n v="177688"/>
  </r>
  <r>
    <s v="M0280"/>
    <x v="1"/>
    <x v="2108"/>
    <x v="121"/>
    <n v="168277"/>
  </r>
  <r>
    <s v="M0280"/>
    <x v="1"/>
    <x v="2108"/>
    <x v="121"/>
    <n v="168277"/>
  </r>
  <r>
    <s v="M0280"/>
    <x v="1"/>
    <x v="2108"/>
    <x v="121"/>
    <n v="168277"/>
  </r>
  <r>
    <s v="M0280"/>
    <x v="1"/>
    <x v="2108"/>
    <x v="121"/>
    <n v="168277"/>
  </r>
  <r>
    <s v="M0280"/>
    <x v="1"/>
    <x v="2108"/>
    <x v="121"/>
    <n v="168277"/>
  </r>
  <r>
    <s v="M0280"/>
    <x v="1"/>
    <x v="2108"/>
    <x v="121"/>
    <n v="168277"/>
  </r>
  <r>
    <s v="M0280"/>
    <x v="1"/>
    <x v="2109"/>
    <x v="286"/>
    <n v="189306"/>
  </r>
  <r>
    <s v="M0280"/>
    <x v="1"/>
    <x v="2109"/>
    <x v="286"/>
    <n v="189306"/>
  </r>
  <r>
    <s v="M0280"/>
    <x v="1"/>
    <x v="2109"/>
    <x v="286"/>
    <n v="189306"/>
  </r>
  <r>
    <s v="M0280"/>
    <x v="1"/>
    <x v="2109"/>
    <x v="286"/>
    <n v="189306"/>
  </r>
  <r>
    <s v="M0280"/>
    <x v="1"/>
    <x v="2109"/>
    <x v="286"/>
    <n v="189306"/>
  </r>
  <r>
    <s v="M0280"/>
    <x v="1"/>
    <x v="2109"/>
    <x v="286"/>
    <n v="189306"/>
  </r>
  <r>
    <s v="M0280"/>
    <x v="1"/>
    <x v="2110"/>
    <x v="117"/>
    <n v="237974"/>
  </r>
  <r>
    <s v="M0280"/>
    <x v="1"/>
    <x v="2110"/>
    <x v="117"/>
    <n v="237974"/>
  </r>
  <r>
    <s v="M0280"/>
    <x v="1"/>
    <x v="2110"/>
    <x v="117"/>
    <n v="237974"/>
  </r>
  <r>
    <s v="M0280"/>
    <x v="1"/>
    <x v="2110"/>
    <x v="117"/>
    <n v="237974"/>
  </r>
  <r>
    <s v="M0280"/>
    <x v="1"/>
    <x v="2110"/>
    <x v="117"/>
    <n v="237974"/>
  </r>
  <r>
    <s v="M0280"/>
    <x v="1"/>
    <x v="2110"/>
    <x v="117"/>
    <n v="237974"/>
  </r>
  <r>
    <s v="M0280"/>
    <x v="1"/>
    <x v="2111"/>
    <x v="91"/>
    <n v="334745"/>
  </r>
  <r>
    <s v="M0280"/>
    <x v="1"/>
    <x v="2111"/>
    <x v="91"/>
    <n v="334745"/>
  </r>
  <r>
    <s v="M0280"/>
    <x v="1"/>
    <x v="2111"/>
    <x v="91"/>
    <n v="334745"/>
  </r>
  <r>
    <s v="M0280"/>
    <x v="1"/>
    <x v="2111"/>
    <x v="91"/>
    <n v="334745"/>
  </r>
  <r>
    <s v="M0280"/>
    <x v="1"/>
    <x v="2111"/>
    <x v="91"/>
    <n v="334745"/>
  </r>
  <r>
    <s v="M0280"/>
    <x v="1"/>
    <x v="2111"/>
    <x v="91"/>
    <n v="334745"/>
  </r>
  <r>
    <s v="M0280"/>
    <x v="1"/>
    <x v="2112"/>
    <x v="281"/>
    <n v="314282"/>
  </r>
  <r>
    <s v="M0280"/>
    <x v="1"/>
    <x v="2112"/>
    <x v="281"/>
    <n v="314282"/>
  </r>
  <r>
    <s v="M0280"/>
    <x v="1"/>
    <x v="2112"/>
    <x v="281"/>
    <n v="314282"/>
  </r>
  <r>
    <s v="M0280"/>
    <x v="1"/>
    <x v="2112"/>
    <x v="281"/>
    <n v="314282"/>
  </r>
  <r>
    <s v="M0280"/>
    <x v="1"/>
    <x v="2112"/>
    <x v="281"/>
    <n v="314282"/>
  </r>
  <r>
    <s v="M0280"/>
    <x v="1"/>
    <x v="2112"/>
    <x v="281"/>
    <n v="314282"/>
  </r>
  <r>
    <s v="M0280"/>
    <x v="1"/>
    <x v="2113"/>
    <x v="350"/>
    <n v="163787"/>
  </r>
  <r>
    <s v="M0280"/>
    <x v="1"/>
    <x v="2113"/>
    <x v="350"/>
    <n v="163787"/>
  </r>
  <r>
    <s v="M0280"/>
    <x v="1"/>
    <x v="2113"/>
    <x v="350"/>
    <n v="163787"/>
  </r>
  <r>
    <s v="M0280"/>
    <x v="1"/>
    <x v="2113"/>
    <x v="350"/>
    <n v="163787"/>
  </r>
  <r>
    <s v="M0280"/>
    <x v="1"/>
    <x v="2113"/>
    <x v="350"/>
    <n v="163787"/>
  </r>
  <r>
    <s v="M0280"/>
    <x v="1"/>
    <x v="2113"/>
    <x v="350"/>
    <n v="163787"/>
  </r>
  <r>
    <s v="M0280"/>
    <x v="1"/>
    <x v="2114"/>
    <x v="275"/>
    <n v="326273"/>
  </r>
  <r>
    <s v="M0280"/>
    <x v="1"/>
    <x v="2114"/>
    <x v="275"/>
    <n v="326273"/>
  </r>
  <r>
    <s v="M0280"/>
    <x v="1"/>
    <x v="2114"/>
    <x v="275"/>
    <n v="326273"/>
  </r>
  <r>
    <s v="M0280"/>
    <x v="1"/>
    <x v="2114"/>
    <x v="275"/>
    <n v="326273"/>
  </r>
  <r>
    <s v="M0280"/>
    <x v="1"/>
    <x v="2114"/>
    <x v="275"/>
    <n v="326273"/>
  </r>
  <r>
    <s v="M0280"/>
    <x v="1"/>
    <x v="2114"/>
    <x v="275"/>
    <n v="326273"/>
  </r>
  <r>
    <s v="M0282"/>
    <x v="1"/>
    <x v="2115"/>
    <x v="250"/>
    <n v="53040"/>
  </r>
  <r>
    <s v="M0282"/>
    <x v="1"/>
    <x v="2116"/>
    <x v="243"/>
    <n v="84094"/>
  </r>
  <r>
    <s v="M0282"/>
    <x v="1"/>
    <x v="2117"/>
    <x v="361"/>
    <n v="615103"/>
  </r>
  <r>
    <s v="M0282"/>
    <x v="1"/>
    <x v="2118"/>
    <x v="286"/>
    <n v="52502"/>
  </r>
  <r>
    <s v="M0284"/>
    <x v="1"/>
    <x v="2119"/>
    <x v="302"/>
    <n v="232658"/>
  </r>
  <r>
    <s v="M0284"/>
    <x v="1"/>
    <x v="2119"/>
    <x v="302"/>
    <n v="232658"/>
  </r>
  <r>
    <s v="M0284"/>
    <x v="1"/>
    <x v="2119"/>
    <x v="302"/>
    <n v="232658"/>
  </r>
  <r>
    <s v="M0284"/>
    <x v="1"/>
    <x v="2119"/>
    <x v="302"/>
    <n v="232658"/>
  </r>
  <r>
    <s v="M0284"/>
    <x v="1"/>
    <x v="2120"/>
    <x v="27"/>
    <n v="508897"/>
  </r>
  <r>
    <s v="M0284"/>
    <x v="1"/>
    <x v="2120"/>
    <x v="27"/>
    <n v="508897"/>
  </r>
  <r>
    <s v="M0284"/>
    <x v="1"/>
    <x v="2120"/>
    <x v="27"/>
    <n v="508897"/>
  </r>
  <r>
    <s v="M0284"/>
    <x v="1"/>
    <x v="2120"/>
    <x v="27"/>
    <n v="508897"/>
  </r>
  <r>
    <s v="M0219"/>
    <x v="1"/>
    <x v="2121"/>
    <x v="131"/>
    <n v="96797"/>
  </r>
  <r>
    <s v="M0219"/>
    <x v="1"/>
    <x v="2121"/>
    <x v="131"/>
    <n v="96797"/>
  </r>
  <r>
    <s v="M0219"/>
    <x v="1"/>
    <x v="2121"/>
    <x v="131"/>
    <n v="96797"/>
  </r>
  <r>
    <s v="M0219"/>
    <x v="1"/>
    <x v="2121"/>
    <x v="131"/>
    <n v="96797"/>
  </r>
  <r>
    <s v="M0219"/>
    <x v="1"/>
    <x v="2121"/>
    <x v="131"/>
    <n v="96797"/>
  </r>
  <r>
    <s v="M0219"/>
    <x v="1"/>
    <x v="2122"/>
    <x v="226"/>
    <n v="46851"/>
  </r>
  <r>
    <s v="M0219"/>
    <x v="1"/>
    <x v="2122"/>
    <x v="226"/>
    <n v="46851"/>
  </r>
  <r>
    <s v="M0219"/>
    <x v="1"/>
    <x v="2122"/>
    <x v="226"/>
    <n v="46851"/>
  </r>
  <r>
    <s v="M0219"/>
    <x v="1"/>
    <x v="2122"/>
    <x v="226"/>
    <n v="46851"/>
  </r>
  <r>
    <s v="M0219"/>
    <x v="1"/>
    <x v="2122"/>
    <x v="226"/>
    <n v="46851"/>
  </r>
  <r>
    <s v="M0219"/>
    <x v="1"/>
    <x v="2123"/>
    <x v="131"/>
    <n v="676195"/>
  </r>
  <r>
    <s v="M0219"/>
    <x v="1"/>
    <x v="2123"/>
    <x v="131"/>
    <n v="676195"/>
  </r>
  <r>
    <s v="M0219"/>
    <x v="1"/>
    <x v="2123"/>
    <x v="131"/>
    <n v="676195"/>
  </r>
  <r>
    <s v="M0219"/>
    <x v="1"/>
    <x v="2123"/>
    <x v="131"/>
    <n v="676195"/>
  </r>
  <r>
    <s v="M0219"/>
    <x v="1"/>
    <x v="2123"/>
    <x v="131"/>
    <n v="676195"/>
  </r>
  <r>
    <s v="M0219"/>
    <x v="1"/>
    <x v="2124"/>
    <x v="122"/>
    <n v="161572"/>
  </r>
  <r>
    <s v="M0219"/>
    <x v="1"/>
    <x v="2124"/>
    <x v="122"/>
    <n v="161572"/>
  </r>
  <r>
    <s v="M0219"/>
    <x v="1"/>
    <x v="2124"/>
    <x v="122"/>
    <n v="161572"/>
  </r>
  <r>
    <s v="M0219"/>
    <x v="1"/>
    <x v="2124"/>
    <x v="122"/>
    <n v="161572"/>
  </r>
  <r>
    <s v="M0219"/>
    <x v="1"/>
    <x v="2124"/>
    <x v="122"/>
    <n v="161572"/>
  </r>
  <r>
    <s v="M0021"/>
    <x v="1"/>
    <x v="2125"/>
    <x v="98"/>
    <n v="375633"/>
  </r>
  <r>
    <s v="M0021"/>
    <x v="1"/>
    <x v="2125"/>
    <x v="98"/>
    <n v="375633"/>
  </r>
  <r>
    <s v="M0021"/>
    <x v="1"/>
    <x v="2126"/>
    <x v="250"/>
    <n v="143985"/>
  </r>
  <r>
    <s v="M0021"/>
    <x v="1"/>
    <x v="2126"/>
    <x v="250"/>
    <n v="143985"/>
  </r>
  <r>
    <s v="M0124"/>
    <x v="1"/>
    <x v="2127"/>
    <x v="33"/>
    <n v="219733"/>
  </r>
  <r>
    <s v="M0124"/>
    <x v="1"/>
    <x v="2127"/>
    <x v="33"/>
    <n v="219733"/>
  </r>
  <r>
    <s v="M0291"/>
    <x v="1"/>
    <x v="2128"/>
    <x v="17"/>
    <n v="468078"/>
  </r>
  <r>
    <s v="M0291"/>
    <x v="1"/>
    <x v="2128"/>
    <x v="17"/>
    <n v="468078"/>
  </r>
  <r>
    <s v="M0291"/>
    <x v="1"/>
    <x v="2128"/>
    <x v="17"/>
    <n v="468078"/>
  </r>
  <r>
    <s v="M0291"/>
    <x v="1"/>
    <x v="2128"/>
    <x v="17"/>
    <n v="468078"/>
  </r>
  <r>
    <s v="M0291"/>
    <x v="1"/>
    <x v="2128"/>
    <x v="17"/>
    <n v="468078"/>
  </r>
  <r>
    <s v="M0291"/>
    <x v="1"/>
    <x v="2129"/>
    <x v="287"/>
    <n v="406519"/>
  </r>
  <r>
    <s v="M0291"/>
    <x v="1"/>
    <x v="2129"/>
    <x v="287"/>
    <n v="406519"/>
  </r>
  <r>
    <s v="M0291"/>
    <x v="1"/>
    <x v="2129"/>
    <x v="287"/>
    <n v="406519"/>
  </r>
  <r>
    <s v="M0291"/>
    <x v="1"/>
    <x v="2129"/>
    <x v="287"/>
    <n v="406519"/>
  </r>
  <r>
    <s v="M0291"/>
    <x v="1"/>
    <x v="2129"/>
    <x v="287"/>
    <n v="406519"/>
  </r>
  <r>
    <s v="M0045"/>
    <x v="1"/>
    <x v="2130"/>
    <x v="321"/>
    <n v="342765"/>
  </r>
  <r>
    <s v="M0045"/>
    <x v="1"/>
    <x v="2130"/>
    <x v="321"/>
    <n v="342765"/>
  </r>
  <r>
    <s v="M0045"/>
    <x v="1"/>
    <x v="2130"/>
    <x v="321"/>
    <n v="342765"/>
  </r>
  <r>
    <s v="M0045"/>
    <x v="1"/>
    <x v="2131"/>
    <x v="319"/>
    <n v="349878"/>
  </r>
  <r>
    <s v="M0045"/>
    <x v="1"/>
    <x v="2131"/>
    <x v="319"/>
    <n v="349878"/>
  </r>
  <r>
    <s v="M0045"/>
    <x v="1"/>
    <x v="2131"/>
    <x v="319"/>
    <n v="349878"/>
  </r>
  <r>
    <s v="M0045"/>
    <x v="1"/>
    <x v="2132"/>
    <x v="264"/>
    <n v="292413"/>
  </r>
  <r>
    <s v="M0045"/>
    <x v="1"/>
    <x v="2132"/>
    <x v="264"/>
    <n v="292413"/>
  </r>
  <r>
    <s v="M0045"/>
    <x v="1"/>
    <x v="2132"/>
    <x v="264"/>
    <n v="292413"/>
  </r>
  <r>
    <s v="M0041"/>
    <x v="1"/>
    <x v="2133"/>
    <x v="228"/>
    <n v="127540"/>
  </r>
  <r>
    <s v="M0041"/>
    <x v="1"/>
    <x v="2133"/>
    <x v="228"/>
    <n v="127540"/>
  </r>
  <r>
    <s v="M0041"/>
    <x v="1"/>
    <x v="2133"/>
    <x v="228"/>
    <n v="127540"/>
  </r>
  <r>
    <s v="M0041"/>
    <x v="1"/>
    <x v="2134"/>
    <x v="6"/>
    <n v="216037"/>
  </r>
  <r>
    <s v="M0041"/>
    <x v="1"/>
    <x v="2134"/>
    <x v="6"/>
    <n v="216037"/>
  </r>
  <r>
    <s v="M0041"/>
    <x v="1"/>
    <x v="2134"/>
    <x v="6"/>
    <n v="216037"/>
  </r>
  <r>
    <s v="M0041"/>
    <x v="1"/>
    <x v="2135"/>
    <x v="7"/>
    <n v="159366"/>
  </r>
  <r>
    <s v="M0041"/>
    <x v="1"/>
    <x v="2135"/>
    <x v="7"/>
    <n v="159366"/>
  </r>
  <r>
    <s v="M0041"/>
    <x v="1"/>
    <x v="2135"/>
    <x v="7"/>
    <n v="159366"/>
  </r>
  <r>
    <s v="M0203"/>
    <x v="1"/>
    <x v="2136"/>
    <x v="221"/>
    <n v="25000"/>
  </r>
  <r>
    <s v="M0203"/>
    <x v="1"/>
    <x v="2136"/>
    <x v="221"/>
    <n v="25000"/>
  </r>
  <r>
    <s v="M0203"/>
    <x v="1"/>
    <x v="2136"/>
    <x v="221"/>
    <n v="25000"/>
  </r>
  <r>
    <s v="M0203"/>
    <x v="1"/>
    <x v="2136"/>
    <x v="221"/>
    <n v="25000"/>
  </r>
  <r>
    <s v="M0203"/>
    <x v="1"/>
    <x v="2136"/>
    <x v="221"/>
    <n v="25000"/>
  </r>
  <r>
    <s v="M0203"/>
    <x v="1"/>
    <x v="2137"/>
    <x v="36"/>
    <n v="561902"/>
  </r>
  <r>
    <s v="M0203"/>
    <x v="1"/>
    <x v="2137"/>
    <x v="36"/>
    <n v="561902"/>
  </r>
  <r>
    <s v="M0203"/>
    <x v="1"/>
    <x v="2137"/>
    <x v="36"/>
    <n v="561902"/>
  </r>
  <r>
    <s v="M0203"/>
    <x v="1"/>
    <x v="2137"/>
    <x v="36"/>
    <n v="561902"/>
  </r>
  <r>
    <s v="M0203"/>
    <x v="1"/>
    <x v="2137"/>
    <x v="36"/>
    <n v="561902"/>
  </r>
  <r>
    <s v="M0136"/>
    <x v="0"/>
    <x v="2138"/>
    <x v="197"/>
    <n v="254066"/>
  </r>
  <r>
    <s v="M0136"/>
    <x v="0"/>
    <x v="2139"/>
    <x v="247"/>
    <n v="47708"/>
  </r>
  <r>
    <s v="M0136"/>
    <x v="0"/>
    <x v="2140"/>
    <x v="279"/>
    <n v="230533"/>
  </r>
  <r>
    <s v="M0136"/>
    <x v="0"/>
    <x v="2141"/>
    <x v="273"/>
    <n v="121435"/>
  </r>
  <r>
    <s v="M0072"/>
    <x v="1"/>
    <x v="2142"/>
    <x v="280"/>
    <n v="718472"/>
  </r>
  <r>
    <s v="M0072"/>
    <x v="1"/>
    <x v="2142"/>
    <x v="280"/>
    <n v="718472"/>
  </r>
  <r>
    <s v="M0072"/>
    <x v="1"/>
    <x v="2142"/>
    <x v="280"/>
    <n v="718472"/>
  </r>
  <r>
    <s v="M0072"/>
    <x v="1"/>
    <x v="2143"/>
    <x v="326"/>
    <n v="557517"/>
  </r>
  <r>
    <s v="M0072"/>
    <x v="1"/>
    <x v="2143"/>
    <x v="326"/>
    <n v="557517"/>
  </r>
  <r>
    <s v="M0072"/>
    <x v="1"/>
    <x v="2143"/>
    <x v="326"/>
    <n v="557517"/>
  </r>
  <r>
    <s v="M0158"/>
    <x v="0"/>
    <x v="2144"/>
    <x v="310"/>
    <n v="363393"/>
  </r>
  <r>
    <s v="M0158"/>
    <x v="0"/>
    <x v="2144"/>
    <x v="310"/>
    <n v="363393"/>
  </r>
  <r>
    <s v="M0158"/>
    <x v="0"/>
    <x v="2144"/>
    <x v="310"/>
    <n v="363393"/>
  </r>
  <r>
    <s v="M0158"/>
    <x v="0"/>
    <x v="2144"/>
    <x v="310"/>
    <n v="363393"/>
  </r>
  <r>
    <s v="M0158"/>
    <x v="0"/>
    <x v="2144"/>
    <x v="310"/>
    <n v="363393"/>
  </r>
  <r>
    <s v="M0158"/>
    <x v="0"/>
    <x v="2145"/>
    <x v="144"/>
    <n v="537055"/>
  </r>
  <r>
    <s v="M0158"/>
    <x v="0"/>
    <x v="2145"/>
    <x v="144"/>
    <n v="537055"/>
  </r>
  <r>
    <s v="M0158"/>
    <x v="0"/>
    <x v="2145"/>
    <x v="144"/>
    <n v="537055"/>
  </r>
  <r>
    <s v="M0158"/>
    <x v="0"/>
    <x v="2145"/>
    <x v="144"/>
    <n v="537055"/>
  </r>
  <r>
    <s v="M0158"/>
    <x v="0"/>
    <x v="2145"/>
    <x v="144"/>
    <n v="537055"/>
  </r>
  <r>
    <s v="M0158"/>
    <x v="0"/>
    <x v="2146"/>
    <x v="20"/>
    <n v="190726"/>
  </r>
  <r>
    <s v="M0158"/>
    <x v="0"/>
    <x v="2146"/>
    <x v="20"/>
    <n v="190726"/>
  </r>
  <r>
    <s v="M0158"/>
    <x v="0"/>
    <x v="2146"/>
    <x v="20"/>
    <n v="190726"/>
  </r>
  <r>
    <s v="M0158"/>
    <x v="0"/>
    <x v="2146"/>
    <x v="20"/>
    <n v="190726"/>
  </r>
  <r>
    <s v="M0158"/>
    <x v="0"/>
    <x v="2146"/>
    <x v="20"/>
    <n v="190726"/>
  </r>
  <r>
    <s v="M0209"/>
    <x v="1"/>
    <x v="2147"/>
    <x v="336"/>
    <n v="380884"/>
  </r>
  <r>
    <s v="M0209"/>
    <x v="1"/>
    <x v="2147"/>
    <x v="336"/>
    <n v="380884"/>
  </r>
  <r>
    <s v="M0209"/>
    <x v="1"/>
    <x v="2147"/>
    <x v="336"/>
    <n v="380884"/>
  </r>
  <r>
    <s v="M0209"/>
    <x v="1"/>
    <x v="2147"/>
    <x v="336"/>
    <n v="380884"/>
  </r>
  <r>
    <s v="M0209"/>
    <x v="1"/>
    <x v="2147"/>
    <x v="336"/>
    <n v="380884"/>
  </r>
  <r>
    <s v="M0209"/>
    <x v="1"/>
    <x v="2147"/>
    <x v="336"/>
    <n v="380884"/>
  </r>
  <r>
    <s v="M0209"/>
    <x v="1"/>
    <x v="2147"/>
    <x v="336"/>
    <n v="380884"/>
  </r>
  <r>
    <s v="M0209"/>
    <x v="1"/>
    <x v="2148"/>
    <x v="207"/>
    <n v="510853"/>
  </r>
  <r>
    <s v="M0209"/>
    <x v="1"/>
    <x v="2148"/>
    <x v="207"/>
    <n v="510853"/>
  </r>
  <r>
    <s v="M0209"/>
    <x v="1"/>
    <x v="2148"/>
    <x v="207"/>
    <n v="510853"/>
  </r>
  <r>
    <s v="M0209"/>
    <x v="1"/>
    <x v="2148"/>
    <x v="207"/>
    <n v="510853"/>
  </r>
  <r>
    <s v="M0209"/>
    <x v="1"/>
    <x v="2148"/>
    <x v="207"/>
    <n v="510853"/>
  </r>
  <r>
    <s v="M0209"/>
    <x v="1"/>
    <x v="2148"/>
    <x v="207"/>
    <n v="510853"/>
  </r>
  <r>
    <s v="M0209"/>
    <x v="1"/>
    <x v="2148"/>
    <x v="207"/>
    <n v="510853"/>
  </r>
  <r>
    <s v="M0022"/>
    <x v="0"/>
    <x v="2149"/>
    <x v="193"/>
    <n v="167035"/>
  </r>
  <r>
    <s v="M0022"/>
    <x v="0"/>
    <x v="2149"/>
    <x v="193"/>
    <n v="167035"/>
  </r>
  <r>
    <s v="M0022"/>
    <x v="0"/>
    <x v="2149"/>
    <x v="193"/>
    <n v="167035"/>
  </r>
  <r>
    <s v="M0022"/>
    <x v="0"/>
    <x v="2150"/>
    <x v="348"/>
    <n v="259514"/>
  </r>
  <r>
    <s v="M0022"/>
    <x v="0"/>
    <x v="2150"/>
    <x v="348"/>
    <n v="259514"/>
  </r>
  <r>
    <s v="M0022"/>
    <x v="0"/>
    <x v="2150"/>
    <x v="348"/>
    <n v="259514"/>
  </r>
  <r>
    <s v="M0217"/>
    <x v="0"/>
    <x v="2151"/>
    <x v="36"/>
    <n v="130766"/>
  </r>
  <r>
    <s v="M0217"/>
    <x v="0"/>
    <x v="2151"/>
    <x v="36"/>
    <n v="130766"/>
  </r>
  <r>
    <s v="M0217"/>
    <x v="0"/>
    <x v="2151"/>
    <x v="36"/>
    <n v="130766"/>
  </r>
  <r>
    <s v="M0217"/>
    <x v="0"/>
    <x v="2151"/>
    <x v="36"/>
    <n v="130766"/>
  </r>
  <r>
    <s v="M0217"/>
    <x v="0"/>
    <x v="2151"/>
    <x v="36"/>
    <n v="130766"/>
  </r>
  <r>
    <s v="M0217"/>
    <x v="0"/>
    <x v="2152"/>
    <x v="40"/>
    <n v="101811"/>
  </r>
  <r>
    <s v="M0217"/>
    <x v="0"/>
    <x v="2152"/>
    <x v="40"/>
    <n v="101811"/>
  </r>
  <r>
    <s v="M0217"/>
    <x v="0"/>
    <x v="2152"/>
    <x v="40"/>
    <n v="101811"/>
  </r>
  <r>
    <s v="M0217"/>
    <x v="0"/>
    <x v="2152"/>
    <x v="40"/>
    <n v="101811"/>
  </r>
  <r>
    <s v="M0217"/>
    <x v="0"/>
    <x v="2152"/>
    <x v="40"/>
    <n v="101811"/>
  </r>
  <r>
    <s v="M0217"/>
    <x v="0"/>
    <x v="2153"/>
    <x v="205"/>
    <n v="432399"/>
  </r>
  <r>
    <s v="M0217"/>
    <x v="0"/>
    <x v="2153"/>
    <x v="205"/>
    <n v="432399"/>
  </r>
  <r>
    <s v="M0217"/>
    <x v="0"/>
    <x v="2153"/>
    <x v="205"/>
    <n v="432399"/>
  </r>
  <r>
    <s v="M0217"/>
    <x v="0"/>
    <x v="2153"/>
    <x v="205"/>
    <n v="432399"/>
  </r>
  <r>
    <s v="M0217"/>
    <x v="0"/>
    <x v="2153"/>
    <x v="205"/>
    <n v="432399"/>
  </r>
  <r>
    <s v="M0217"/>
    <x v="0"/>
    <x v="2154"/>
    <x v="145"/>
    <n v="490422"/>
  </r>
  <r>
    <s v="M0217"/>
    <x v="0"/>
    <x v="2154"/>
    <x v="145"/>
    <n v="490422"/>
  </r>
  <r>
    <s v="M0217"/>
    <x v="0"/>
    <x v="2154"/>
    <x v="145"/>
    <n v="490422"/>
  </r>
  <r>
    <s v="M0217"/>
    <x v="0"/>
    <x v="2154"/>
    <x v="145"/>
    <n v="490422"/>
  </r>
  <r>
    <s v="M0217"/>
    <x v="0"/>
    <x v="2154"/>
    <x v="145"/>
    <n v="490422"/>
  </r>
  <r>
    <s v="M0287"/>
    <x v="0"/>
    <x v="2155"/>
    <x v="67"/>
    <n v="237038"/>
  </r>
  <r>
    <s v="M0287"/>
    <x v="0"/>
    <x v="2155"/>
    <x v="67"/>
    <n v="237038"/>
  </r>
  <r>
    <s v="M0287"/>
    <x v="0"/>
    <x v="2155"/>
    <x v="67"/>
    <n v="237038"/>
  </r>
  <r>
    <s v="M0287"/>
    <x v="0"/>
    <x v="2155"/>
    <x v="67"/>
    <n v="237038"/>
  </r>
  <r>
    <s v="M0287"/>
    <x v="0"/>
    <x v="2156"/>
    <x v="350"/>
    <n v="230895"/>
  </r>
  <r>
    <s v="M0287"/>
    <x v="0"/>
    <x v="2156"/>
    <x v="350"/>
    <n v="230895"/>
  </r>
  <r>
    <s v="M0287"/>
    <x v="0"/>
    <x v="2156"/>
    <x v="350"/>
    <n v="230895"/>
  </r>
  <r>
    <s v="M0287"/>
    <x v="0"/>
    <x v="2156"/>
    <x v="350"/>
    <n v="230895"/>
  </r>
  <r>
    <s v="M0133"/>
    <x v="1"/>
    <x v="2157"/>
    <x v="19"/>
    <n v="254375"/>
  </r>
  <r>
    <s v="M0133"/>
    <x v="1"/>
    <x v="2157"/>
    <x v="19"/>
    <n v="254375"/>
  </r>
  <r>
    <s v="M0133"/>
    <x v="1"/>
    <x v="2157"/>
    <x v="19"/>
    <n v="254375"/>
  </r>
  <r>
    <s v="M0133"/>
    <x v="1"/>
    <x v="2157"/>
    <x v="19"/>
    <n v="254375"/>
  </r>
  <r>
    <s v="M0133"/>
    <x v="1"/>
    <x v="2157"/>
    <x v="19"/>
    <n v="254375"/>
  </r>
  <r>
    <s v="M0133"/>
    <x v="1"/>
    <x v="2157"/>
    <x v="19"/>
    <n v="254375"/>
  </r>
  <r>
    <s v="M0066"/>
    <x v="1"/>
    <x v="2158"/>
    <x v="265"/>
    <n v="245084"/>
  </r>
  <r>
    <s v="M0066"/>
    <x v="1"/>
    <x v="2159"/>
    <x v="19"/>
    <n v="303953"/>
  </r>
  <r>
    <s v="M0202"/>
    <x v="2"/>
    <x v="2160"/>
    <x v="97"/>
    <n v="509810"/>
  </r>
  <r>
    <s v="M0202"/>
    <x v="2"/>
    <x v="2160"/>
    <x v="97"/>
    <n v="509810"/>
  </r>
  <r>
    <s v="M0202"/>
    <x v="2"/>
    <x v="2160"/>
    <x v="97"/>
    <n v="509810"/>
  </r>
  <r>
    <s v="M0202"/>
    <x v="2"/>
    <x v="2161"/>
    <x v="122"/>
    <n v="56107"/>
  </r>
  <r>
    <s v="M0202"/>
    <x v="2"/>
    <x v="2161"/>
    <x v="122"/>
    <n v="56107"/>
  </r>
  <r>
    <s v="M0202"/>
    <x v="2"/>
    <x v="2161"/>
    <x v="122"/>
    <n v="56107"/>
  </r>
  <r>
    <s v="M0020"/>
    <x v="1"/>
    <x v="2162"/>
    <x v="354"/>
    <n v="214922"/>
  </r>
  <r>
    <s v="M0020"/>
    <x v="1"/>
    <x v="2162"/>
    <x v="354"/>
    <n v="214922"/>
  </r>
  <r>
    <s v="M0020"/>
    <x v="1"/>
    <x v="2163"/>
    <x v="262"/>
    <n v="65196"/>
  </r>
  <r>
    <s v="M0020"/>
    <x v="1"/>
    <x v="2163"/>
    <x v="262"/>
    <n v="65196"/>
  </r>
  <r>
    <s v="M0020"/>
    <x v="1"/>
    <x v="2164"/>
    <x v="171"/>
    <n v="98129"/>
  </r>
  <r>
    <s v="M0020"/>
    <x v="1"/>
    <x v="2164"/>
    <x v="171"/>
    <n v="98129"/>
  </r>
  <r>
    <s v="M0020"/>
    <x v="1"/>
    <x v="2165"/>
    <x v="6"/>
    <n v="475662"/>
  </r>
  <r>
    <s v="M0020"/>
    <x v="1"/>
    <x v="2165"/>
    <x v="6"/>
    <n v="475662"/>
  </r>
  <r>
    <s v="M0025"/>
    <x v="1"/>
    <x v="2166"/>
    <x v="193"/>
    <n v="259291"/>
  </r>
  <r>
    <s v="M0025"/>
    <x v="1"/>
    <x v="2166"/>
    <x v="193"/>
    <n v="259291"/>
  </r>
  <r>
    <s v="M0025"/>
    <x v="1"/>
    <x v="2166"/>
    <x v="193"/>
    <n v="259291"/>
  </r>
  <r>
    <s v="M0025"/>
    <x v="1"/>
    <x v="2166"/>
    <x v="193"/>
    <n v="259291"/>
  </r>
  <r>
    <s v="M0025"/>
    <x v="1"/>
    <x v="2167"/>
    <x v="270"/>
    <n v="499884"/>
  </r>
  <r>
    <s v="M0025"/>
    <x v="1"/>
    <x v="2167"/>
    <x v="270"/>
    <n v="499884"/>
  </r>
  <r>
    <s v="M0025"/>
    <x v="1"/>
    <x v="2167"/>
    <x v="270"/>
    <n v="499884"/>
  </r>
  <r>
    <s v="M0025"/>
    <x v="1"/>
    <x v="2167"/>
    <x v="270"/>
    <n v="499884"/>
  </r>
  <r>
    <s v="M0278"/>
    <x v="1"/>
    <x v="2168"/>
    <x v="104"/>
    <n v="493787"/>
  </r>
  <r>
    <s v="M0278"/>
    <x v="1"/>
    <x v="2168"/>
    <x v="104"/>
    <n v="493787"/>
  </r>
  <r>
    <s v="M0278"/>
    <x v="1"/>
    <x v="2168"/>
    <x v="104"/>
    <n v="493787"/>
  </r>
  <r>
    <s v="M0278"/>
    <x v="1"/>
    <x v="2169"/>
    <x v="163"/>
    <n v="135919"/>
  </r>
  <r>
    <s v="M0278"/>
    <x v="1"/>
    <x v="2169"/>
    <x v="163"/>
    <n v="135919"/>
  </r>
  <r>
    <s v="M0278"/>
    <x v="1"/>
    <x v="2169"/>
    <x v="163"/>
    <n v="135919"/>
  </r>
  <r>
    <s v="M0286"/>
    <x v="1"/>
    <x v="2170"/>
    <x v="38"/>
    <n v="161676"/>
  </r>
  <r>
    <s v="M0286"/>
    <x v="1"/>
    <x v="2170"/>
    <x v="38"/>
    <n v="161676"/>
  </r>
  <r>
    <s v="M0286"/>
    <x v="1"/>
    <x v="2170"/>
    <x v="38"/>
    <n v="161676"/>
  </r>
  <r>
    <s v="M0286"/>
    <x v="1"/>
    <x v="2170"/>
    <x v="38"/>
    <n v="161676"/>
  </r>
  <r>
    <s v="M0286"/>
    <x v="1"/>
    <x v="2171"/>
    <x v="153"/>
    <n v="27299"/>
  </r>
  <r>
    <s v="M0286"/>
    <x v="1"/>
    <x v="2171"/>
    <x v="153"/>
    <n v="27299"/>
  </r>
  <r>
    <s v="M0286"/>
    <x v="1"/>
    <x v="2171"/>
    <x v="153"/>
    <n v="27299"/>
  </r>
  <r>
    <s v="M0286"/>
    <x v="1"/>
    <x v="2171"/>
    <x v="153"/>
    <n v="27299"/>
  </r>
  <r>
    <s v="M0225"/>
    <x v="1"/>
    <x v="2172"/>
    <x v="306"/>
    <n v="321337"/>
  </r>
  <r>
    <s v="M0225"/>
    <x v="1"/>
    <x v="2172"/>
    <x v="306"/>
    <n v="321337"/>
  </r>
  <r>
    <s v="M0225"/>
    <x v="1"/>
    <x v="2173"/>
    <x v="115"/>
    <n v="735420"/>
  </r>
  <r>
    <s v="M0225"/>
    <x v="1"/>
    <x v="2173"/>
    <x v="115"/>
    <n v="735420"/>
  </r>
  <r>
    <s v="M0129"/>
    <x v="1"/>
    <x v="2174"/>
    <x v="166"/>
    <n v="172099"/>
  </r>
  <r>
    <s v="M0129"/>
    <x v="1"/>
    <x v="2175"/>
    <x v="63"/>
    <n v="649938"/>
  </r>
  <r>
    <s v="M0129"/>
    <x v="1"/>
    <x v="2176"/>
    <x v="23"/>
    <n v="80289"/>
  </r>
  <r>
    <s v="M0129"/>
    <x v="1"/>
    <x v="2177"/>
    <x v="350"/>
    <n v="390883"/>
  </r>
  <r>
    <s v="M0107"/>
    <x v="0"/>
    <x v="2178"/>
    <x v="94"/>
    <n v="532344"/>
  </r>
  <r>
    <s v="M0107"/>
    <x v="0"/>
    <x v="2179"/>
    <x v="296"/>
    <n v="404170"/>
  </r>
  <r>
    <s v="M0132"/>
    <x v="1"/>
    <x v="2180"/>
    <x v="225"/>
    <n v="434796"/>
  </r>
  <r>
    <s v="M0132"/>
    <x v="1"/>
    <x v="2180"/>
    <x v="225"/>
    <n v="434796"/>
  </r>
  <r>
    <s v="M0206"/>
    <x v="1"/>
    <x v="2181"/>
    <x v="161"/>
    <n v="278177"/>
  </r>
  <r>
    <s v="M0206"/>
    <x v="1"/>
    <x v="2182"/>
    <x v="109"/>
    <n v="561991"/>
  </r>
  <r>
    <s v="M0182"/>
    <x v="0"/>
    <x v="2183"/>
    <x v="165"/>
    <n v="195952"/>
  </r>
  <r>
    <s v="M0182"/>
    <x v="0"/>
    <x v="2183"/>
    <x v="165"/>
    <n v="195952"/>
  </r>
  <r>
    <s v="M0182"/>
    <x v="0"/>
    <x v="2184"/>
    <x v="103"/>
    <n v="405925"/>
  </r>
  <r>
    <s v="M0182"/>
    <x v="0"/>
    <x v="2184"/>
    <x v="103"/>
    <n v="405925"/>
  </r>
  <r>
    <s v="M0029"/>
    <x v="0"/>
    <x v="2185"/>
    <x v="277"/>
    <n v="543334"/>
  </r>
  <r>
    <s v="M0029"/>
    <x v="0"/>
    <x v="2185"/>
    <x v="277"/>
    <n v="543334"/>
  </r>
  <r>
    <s v="M0029"/>
    <x v="0"/>
    <x v="2186"/>
    <x v="53"/>
    <n v="393648"/>
  </r>
  <r>
    <s v="M0029"/>
    <x v="0"/>
    <x v="2186"/>
    <x v="53"/>
    <n v="393648"/>
  </r>
  <r>
    <s v="M0050"/>
    <x v="0"/>
    <x v="2187"/>
    <x v="133"/>
    <n v="145721"/>
  </r>
  <r>
    <s v="M0050"/>
    <x v="0"/>
    <x v="2187"/>
    <x v="133"/>
    <n v="145721"/>
  </r>
  <r>
    <s v="M0050"/>
    <x v="0"/>
    <x v="2187"/>
    <x v="133"/>
    <n v="145721"/>
  </r>
  <r>
    <s v="M0050"/>
    <x v="0"/>
    <x v="2187"/>
    <x v="133"/>
    <n v="145721"/>
  </r>
  <r>
    <s v="M0050"/>
    <x v="0"/>
    <x v="2187"/>
    <x v="133"/>
    <n v="145721"/>
  </r>
  <r>
    <s v="M0050"/>
    <x v="0"/>
    <x v="2187"/>
    <x v="133"/>
    <n v="145721"/>
  </r>
  <r>
    <s v="M0050"/>
    <x v="0"/>
    <x v="2187"/>
    <x v="133"/>
    <n v="145721"/>
  </r>
  <r>
    <s v="M0050"/>
    <x v="0"/>
    <x v="2188"/>
    <x v="37"/>
    <n v="358002"/>
  </r>
  <r>
    <s v="M0050"/>
    <x v="0"/>
    <x v="2188"/>
    <x v="37"/>
    <n v="358002"/>
  </r>
  <r>
    <s v="M0050"/>
    <x v="0"/>
    <x v="2188"/>
    <x v="37"/>
    <n v="358002"/>
  </r>
  <r>
    <s v="M0050"/>
    <x v="0"/>
    <x v="2188"/>
    <x v="37"/>
    <n v="358002"/>
  </r>
  <r>
    <s v="M0050"/>
    <x v="0"/>
    <x v="2188"/>
    <x v="37"/>
    <n v="358002"/>
  </r>
  <r>
    <s v="M0050"/>
    <x v="0"/>
    <x v="2188"/>
    <x v="37"/>
    <n v="358002"/>
  </r>
  <r>
    <s v="M0050"/>
    <x v="0"/>
    <x v="2188"/>
    <x v="37"/>
    <n v="358002"/>
  </r>
  <r>
    <s v="M0144"/>
    <x v="1"/>
    <x v="2189"/>
    <x v="205"/>
    <n v="167020"/>
  </r>
  <r>
    <s v="M0144"/>
    <x v="1"/>
    <x v="2189"/>
    <x v="205"/>
    <n v="167020"/>
  </r>
  <r>
    <s v="M0144"/>
    <x v="1"/>
    <x v="2189"/>
    <x v="205"/>
    <n v="167020"/>
  </r>
  <r>
    <s v="M0144"/>
    <x v="1"/>
    <x v="2189"/>
    <x v="205"/>
    <n v="167020"/>
  </r>
  <r>
    <s v="M0144"/>
    <x v="1"/>
    <x v="2189"/>
    <x v="205"/>
    <n v="167020"/>
  </r>
  <r>
    <s v="M0067"/>
    <x v="1"/>
    <x v="2190"/>
    <x v="332"/>
    <n v="552803"/>
  </r>
  <r>
    <s v="M0067"/>
    <x v="1"/>
    <x v="2190"/>
    <x v="332"/>
    <n v="552803"/>
  </r>
  <r>
    <s v="M0067"/>
    <x v="1"/>
    <x v="2190"/>
    <x v="332"/>
    <n v="552803"/>
  </r>
  <r>
    <s v="M0067"/>
    <x v="1"/>
    <x v="2190"/>
    <x v="332"/>
    <n v="552803"/>
  </r>
  <r>
    <s v="M0067"/>
    <x v="1"/>
    <x v="2190"/>
    <x v="332"/>
    <n v="552803"/>
  </r>
  <r>
    <s v="M0067"/>
    <x v="1"/>
    <x v="2190"/>
    <x v="332"/>
    <n v="552803"/>
  </r>
  <r>
    <s v="M0038"/>
    <x v="1"/>
    <x v="2191"/>
    <x v="129"/>
    <n v="478493"/>
  </r>
  <r>
    <s v="M0038"/>
    <x v="1"/>
    <x v="2191"/>
    <x v="129"/>
    <n v="478493"/>
  </r>
  <r>
    <s v="M0038"/>
    <x v="1"/>
    <x v="2191"/>
    <x v="129"/>
    <n v="478493"/>
  </r>
  <r>
    <s v="M0038"/>
    <x v="1"/>
    <x v="2191"/>
    <x v="129"/>
    <n v="478493"/>
  </r>
  <r>
    <s v="M0038"/>
    <x v="1"/>
    <x v="2191"/>
    <x v="129"/>
    <n v="478493"/>
  </r>
  <r>
    <s v="M0038"/>
    <x v="1"/>
    <x v="2191"/>
    <x v="129"/>
    <n v="478493"/>
  </r>
  <r>
    <s v="M0195"/>
    <x v="0"/>
    <x v="2192"/>
    <x v="34"/>
    <n v="326036"/>
  </r>
  <r>
    <s v="M0195"/>
    <x v="0"/>
    <x v="2192"/>
    <x v="34"/>
    <n v="326036"/>
  </r>
  <r>
    <s v="M0195"/>
    <x v="0"/>
    <x v="2192"/>
    <x v="34"/>
    <n v="326036"/>
  </r>
  <r>
    <s v="M0156"/>
    <x v="0"/>
    <x v="2193"/>
    <x v="56"/>
    <n v="447557"/>
  </r>
  <r>
    <s v="M0156"/>
    <x v="0"/>
    <x v="2193"/>
    <x v="56"/>
    <n v="44755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20">
  <r>
    <x v="0"/>
    <s v="M0296"/>
    <x v="0"/>
    <s v="Toko H - Denpasar"/>
    <s v="Groceries"/>
    <x v="0"/>
    <x v="0"/>
    <n v="27"/>
  </r>
  <r>
    <x v="1"/>
    <s v="M0082"/>
    <x v="1"/>
    <s v="Toko E - Semarang"/>
    <s v="F&amp;B"/>
    <x v="1"/>
    <x v="1"/>
    <n v="23"/>
  </r>
  <r>
    <x v="2"/>
    <s v="M0276"/>
    <x v="2"/>
    <s v="Toko F - Makassar"/>
    <s v="Fashion"/>
    <x v="2"/>
    <x v="1"/>
    <n v="58"/>
  </r>
  <r>
    <x v="3"/>
    <s v="M0035"/>
    <x v="3"/>
    <s v="Toko D - Medan"/>
    <s v="F&amp;B"/>
    <x v="3"/>
    <x v="1"/>
    <n v="20"/>
  </r>
  <r>
    <x v="4"/>
    <s v="M0134"/>
    <x v="4"/>
    <s v="Toko G - Yogyakarta"/>
    <s v="Groceries"/>
    <x v="4"/>
    <x v="1"/>
    <n v="40"/>
  </r>
  <r>
    <x v="5"/>
    <s v="M0161"/>
    <x v="5"/>
    <s v="Toko H - Denpasar"/>
    <s v="Electronics"/>
    <x v="5"/>
    <x v="1"/>
    <n v="35"/>
  </r>
  <r>
    <x v="6"/>
    <s v="M0128"/>
    <x v="6"/>
    <s v="Toko H - Denpasar"/>
    <s v="Electronics"/>
    <x v="6"/>
    <x v="1"/>
    <n v="6"/>
  </r>
  <r>
    <x v="7"/>
    <s v="M0119"/>
    <x v="7"/>
    <s v="Toko E - Semarang"/>
    <s v="Home &amp; Living"/>
    <x v="7"/>
    <x v="1"/>
    <n v="23"/>
  </r>
  <r>
    <x v="8"/>
    <s v="M0028"/>
    <x v="8"/>
    <s v="Toko H - Denpasar"/>
    <s v="Health &amp; Beauty"/>
    <x v="8"/>
    <x v="0"/>
    <n v="2"/>
  </r>
  <r>
    <x v="9"/>
    <s v="M0003"/>
    <x v="9"/>
    <s v="Toko G - Yogyakarta"/>
    <s v="Home &amp; Living"/>
    <x v="9"/>
    <x v="0"/>
    <n v="31"/>
  </r>
  <r>
    <x v="10"/>
    <s v="M0039"/>
    <x v="10"/>
    <s v="Toko B - Bandung"/>
    <s v="Health &amp; Beauty"/>
    <x v="10"/>
    <x v="0"/>
    <n v="54"/>
  </r>
  <r>
    <x v="11"/>
    <s v="M0233"/>
    <x v="11"/>
    <s v="Toko A - Jakarta"/>
    <s v="Home &amp; Living"/>
    <x v="11"/>
    <x v="0"/>
    <n v="35"/>
  </r>
  <r>
    <x v="12"/>
    <s v="M0002"/>
    <x v="12"/>
    <s v="Toko G - Yogyakarta"/>
    <s v="F&amp;B"/>
    <x v="12"/>
    <x v="1"/>
    <n v="43"/>
  </r>
  <r>
    <x v="13"/>
    <s v="M0164"/>
    <x v="13"/>
    <s v="Toko D - Medan"/>
    <s v="Electronics"/>
    <x v="13"/>
    <x v="1"/>
    <n v="3"/>
  </r>
  <r>
    <x v="14"/>
    <s v="M0259"/>
    <x v="14"/>
    <s v="Toko H - Denpasar"/>
    <s v="F&amp;B"/>
    <x v="14"/>
    <x v="1"/>
    <n v="14"/>
  </r>
  <r>
    <x v="15"/>
    <s v="M0274"/>
    <x v="15"/>
    <s v="Toko F - Makassar"/>
    <s v="Health &amp; Beauty"/>
    <x v="15"/>
    <x v="0"/>
    <n v="19"/>
  </r>
  <r>
    <x v="16"/>
    <s v="M0205"/>
    <x v="16"/>
    <s v="Toko C - Surabaya"/>
    <s v="F&amp;B"/>
    <x v="16"/>
    <x v="0"/>
    <n v="29"/>
  </r>
  <r>
    <x v="17"/>
    <s v="M0248"/>
    <x v="17"/>
    <s v="Toko A - Jakarta"/>
    <s v="Health &amp; Beauty"/>
    <x v="17"/>
    <x v="1"/>
    <n v="57"/>
  </r>
  <r>
    <x v="18"/>
    <s v="M0164"/>
    <x v="18"/>
    <s v="Toko A - Jakarta"/>
    <s v="Health &amp; Beauty"/>
    <x v="18"/>
    <x v="1"/>
    <n v="64"/>
  </r>
  <r>
    <x v="19"/>
    <s v="M0218"/>
    <x v="19"/>
    <s v="Toko C - Surabaya"/>
    <s v="Home &amp; Living"/>
    <x v="19"/>
    <x v="1"/>
    <n v="10"/>
  </r>
  <r>
    <x v="20"/>
    <s v="M0013"/>
    <x v="20"/>
    <s v="Toko E - Semarang"/>
    <s v="F&amp;B"/>
    <x v="20"/>
    <x v="1"/>
    <n v="39"/>
  </r>
  <r>
    <x v="21"/>
    <s v="M0146"/>
    <x v="21"/>
    <s v="Toko C - Surabaya"/>
    <s v="F&amp;B"/>
    <x v="21"/>
    <x v="0"/>
    <n v="9"/>
  </r>
  <r>
    <x v="22"/>
    <s v="M0131"/>
    <x v="22"/>
    <s v="Toko G - Yogyakarta"/>
    <s v="F&amp;B"/>
    <x v="22"/>
    <x v="2"/>
    <n v="72"/>
  </r>
  <r>
    <x v="23"/>
    <s v="M0243"/>
    <x v="23"/>
    <s v="Toko E - Semarang"/>
    <s v="Fashion"/>
    <x v="23"/>
    <x v="0"/>
    <n v="12"/>
  </r>
  <r>
    <x v="24"/>
    <s v="M0006"/>
    <x v="24"/>
    <s v="Toko E - Semarang"/>
    <s v="Home &amp; Living"/>
    <x v="24"/>
    <x v="1"/>
    <n v="22"/>
  </r>
  <r>
    <x v="25"/>
    <s v="M0065"/>
    <x v="25"/>
    <s v="Toko D - Medan"/>
    <s v="Health &amp; Beauty"/>
    <x v="25"/>
    <x v="0"/>
    <n v="35"/>
  </r>
  <r>
    <x v="26"/>
    <s v="M0199"/>
    <x v="26"/>
    <s v="Toko F - Makassar"/>
    <s v="Home &amp; Living"/>
    <x v="26"/>
    <x v="1"/>
    <n v="76"/>
  </r>
  <r>
    <x v="27"/>
    <s v="M0001"/>
    <x v="27"/>
    <s v="Toko C - Surabaya"/>
    <s v="F&amp;B"/>
    <x v="27"/>
    <x v="1"/>
    <n v="36"/>
  </r>
  <r>
    <x v="28"/>
    <s v="M0100"/>
    <x v="28"/>
    <s v="Toko E - Semarang"/>
    <s v="Groceries"/>
    <x v="28"/>
    <x v="1"/>
    <n v="89"/>
  </r>
  <r>
    <x v="29"/>
    <s v="M0105"/>
    <x v="29"/>
    <s v="Toko B - Bandung"/>
    <s v="Health &amp; Beauty"/>
    <x v="29"/>
    <x v="1"/>
    <n v="30"/>
  </r>
  <r>
    <x v="30"/>
    <s v="M0013"/>
    <x v="30"/>
    <s v="Toko B - Bandung"/>
    <s v="F&amp;B"/>
    <x v="30"/>
    <x v="1"/>
    <n v="4"/>
  </r>
  <r>
    <x v="31"/>
    <s v="M0294"/>
    <x v="31"/>
    <s v="Toko E - Semarang"/>
    <s v="F&amp;B"/>
    <x v="31"/>
    <x v="0"/>
    <n v="56"/>
  </r>
  <r>
    <x v="32"/>
    <s v="M0266"/>
    <x v="32"/>
    <s v="Toko C - Surabaya"/>
    <s v="F&amp;B"/>
    <x v="32"/>
    <x v="1"/>
    <n v="64"/>
  </r>
  <r>
    <x v="33"/>
    <s v="M0073"/>
    <x v="24"/>
    <s v="Toko A - Jakarta"/>
    <s v="Electronics"/>
    <x v="33"/>
    <x v="1"/>
    <n v="34"/>
  </r>
  <r>
    <x v="34"/>
    <s v="M0028"/>
    <x v="33"/>
    <s v="Toko A - Jakarta"/>
    <s v="F&amp;B"/>
    <x v="34"/>
    <x v="0"/>
    <n v="5"/>
  </r>
  <r>
    <x v="35"/>
    <s v="M0140"/>
    <x v="34"/>
    <s v="Toko F - Makassar"/>
    <s v="Electronics"/>
    <x v="35"/>
    <x v="1"/>
    <n v="3"/>
  </r>
  <r>
    <x v="36"/>
    <s v="M0013"/>
    <x v="35"/>
    <s v="Toko D - Medan"/>
    <s v="Health &amp; Beauty"/>
    <x v="36"/>
    <x v="1"/>
    <n v="76"/>
  </r>
  <r>
    <x v="37"/>
    <s v="M0271"/>
    <x v="36"/>
    <s v="Toko G - Yogyakarta"/>
    <s v="F&amp;B"/>
    <x v="37"/>
    <x v="1"/>
    <n v="8"/>
  </r>
  <r>
    <x v="38"/>
    <s v="M0127"/>
    <x v="1"/>
    <s v="Toko G - Yogyakarta"/>
    <s v="Health &amp; Beauty"/>
    <x v="38"/>
    <x v="1"/>
    <n v="36"/>
  </r>
  <r>
    <x v="39"/>
    <s v="M0248"/>
    <x v="37"/>
    <s v="Toko G - Yogyakarta"/>
    <s v="Home &amp; Living"/>
    <x v="39"/>
    <x v="1"/>
    <n v="56"/>
  </r>
  <r>
    <x v="40"/>
    <s v="M0105"/>
    <x v="27"/>
    <s v="Toko A - Jakarta"/>
    <s v="Electronics"/>
    <x v="40"/>
    <x v="1"/>
    <n v="60"/>
  </r>
  <r>
    <x v="41"/>
    <s v="M0135"/>
    <x v="38"/>
    <s v="Toko G - Yogyakarta"/>
    <s v="F&amp;B"/>
    <x v="41"/>
    <x v="0"/>
    <n v="5"/>
  </r>
  <r>
    <x v="42"/>
    <s v="M0008"/>
    <x v="39"/>
    <s v="Toko B - Bandung"/>
    <s v="F&amp;B"/>
    <x v="42"/>
    <x v="0"/>
    <n v="13"/>
  </r>
  <r>
    <x v="43"/>
    <s v="M0213"/>
    <x v="40"/>
    <s v="Toko H - Denpasar"/>
    <s v="Groceries"/>
    <x v="43"/>
    <x v="1"/>
    <n v="35"/>
  </r>
  <r>
    <x v="44"/>
    <s v="M0183"/>
    <x v="41"/>
    <s v="Toko E - Semarang"/>
    <s v="Home &amp; Living"/>
    <x v="44"/>
    <x v="0"/>
    <n v="38"/>
  </r>
  <r>
    <x v="45"/>
    <s v="M0070"/>
    <x v="17"/>
    <s v="Toko H - Denpasar"/>
    <s v="Health &amp; Beauty"/>
    <x v="45"/>
    <x v="0"/>
    <n v="29"/>
  </r>
  <r>
    <x v="46"/>
    <s v="M0162"/>
    <x v="42"/>
    <s v="Toko D - Medan"/>
    <s v="Groceries"/>
    <x v="46"/>
    <x v="2"/>
    <n v="7"/>
  </r>
  <r>
    <x v="47"/>
    <s v="M0128"/>
    <x v="43"/>
    <s v="Toko E - Semarang"/>
    <s v="Health &amp; Beauty"/>
    <x v="47"/>
    <x v="1"/>
    <n v="38"/>
  </r>
  <r>
    <x v="48"/>
    <s v="M0003"/>
    <x v="44"/>
    <s v="Toko B - Bandung"/>
    <s v="Health &amp; Beauty"/>
    <x v="48"/>
    <x v="0"/>
    <n v="27"/>
  </r>
  <r>
    <x v="49"/>
    <s v="M0043"/>
    <x v="45"/>
    <s v="Toko G - Yogyakarta"/>
    <s v="Fashion"/>
    <x v="49"/>
    <x v="0"/>
    <n v="3"/>
  </r>
  <r>
    <x v="50"/>
    <s v="M0297"/>
    <x v="46"/>
    <s v="Toko A - Jakarta"/>
    <s v="Home &amp; Living"/>
    <x v="50"/>
    <x v="1"/>
    <n v="11"/>
  </r>
  <r>
    <x v="51"/>
    <s v="M0229"/>
    <x v="47"/>
    <s v="Toko F - Makassar"/>
    <s v="Electronics"/>
    <x v="51"/>
    <x v="1"/>
    <n v="19"/>
  </r>
  <r>
    <x v="52"/>
    <s v="M0192"/>
    <x v="48"/>
    <s v="Toko D - Medan"/>
    <s v="Groceries"/>
    <x v="52"/>
    <x v="1"/>
    <n v="36"/>
  </r>
  <r>
    <x v="53"/>
    <s v="M0199"/>
    <x v="49"/>
    <s v="Toko H - Denpasar"/>
    <s v="Health &amp; Beauty"/>
    <x v="53"/>
    <x v="1"/>
    <n v="9"/>
  </r>
  <r>
    <x v="54"/>
    <s v="M0160"/>
    <x v="50"/>
    <s v="Toko F - Makassar"/>
    <s v="Groceries"/>
    <x v="54"/>
    <x v="0"/>
    <n v="44"/>
  </r>
  <r>
    <x v="55"/>
    <s v="M0137"/>
    <x v="51"/>
    <s v="Toko B - Bandung"/>
    <s v="F&amp;B"/>
    <x v="55"/>
    <x v="0"/>
    <n v="14"/>
  </r>
  <r>
    <x v="56"/>
    <s v="M0187"/>
    <x v="52"/>
    <s v="Toko C - Surabaya"/>
    <s v="F&amp;B"/>
    <x v="56"/>
    <x v="1"/>
    <n v="21"/>
  </r>
  <r>
    <x v="57"/>
    <s v="M0289"/>
    <x v="53"/>
    <s v="Toko G - Yogyakarta"/>
    <s v="Health &amp; Beauty"/>
    <x v="57"/>
    <x v="0"/>
    <n v="14"/>
  </r>
  <r>
    <x v="58"/>
    <s v="M0056"/>
    <x v="54"/>
    <s v="Toko F - Makassar"/>
    <s v="Home &amp; Living"/>
    <x v="58"/>
    <x v="0"/>
    <n v="27"/>
  </r>
  <r>
    <x v="59"/>
    <s v="M0220"/>
    <x v="55"/>
    <s v="Toko A - Jakarta"/>
    <s v="Health &amp; Beauty"/>
    <x v="59"/>
    <x v="0"/>
    <n v="51"/>
  </r>
  <r>
    <x v="60"/>
    <s v="M0140"/>
    <x v="56"/>
    <s v="Toko G - Yogyakarta"/>
    <s v="F&amp;B"/>
    <x v="60"/>
    <x v="1"/>
    <n v="2"/>
  </r>
  <r>
    <x v="61"/>
    <s v="M0288"/>
    <x v="57"/>
    <s v="Toko A - Jakarta"/>
    <s v="Groceries"/>
    <x v="61"/>
    <x v="1"/>
    <n v="17"/>
  </r>
  <r>
    <x v="62"/>
    <s v="M0113"/>
    <x v="58"/>
    <s v="Toko F - Makassar"/>
    <s v="Health &amp; Beauty"/>
    <x v="62"/>
    <x v="1"/>
    <n v="13"/>
  </r>
  <r>
    <x v="63"/>
    <s v="M0128"/>
    <x v="59"/>
    <s v="Toko C - Surabaya"/>
    <s v="Home &amp; Living"/>
    <x v="63"/>
    <x v="1"/>
    <n v="11"/>
  </r>
  <r>
    <x v="64"/>
    <s v="M0187"/>
    <x v="60"/>
    <s v="Toko C - Surabaya"/>
    <s v="Groceries"/>
    <x v="64"/>
    <x v="1"/>
    <n v="20"/>
  </r>
  <r>
    <x v="65"/>
    <s v="M0140"/>
    <x v="61"/>
    <s v="Toko G - Yogyakarta"/>
    <s v="Health &amp; Beauty"/>
    <x v="65"/>
    <x v="1"/>
    <n v="78"/>
  </r>
  <r>
    <x v="66"/>
    <s v="M0213"/>
    <x v="62"/>
    <s v="Toko A - Jakarta"/>
    <s v="Electronics"/>
    <x v="66"/>
    <x v="1"/>
    <n v="25"/>
  </r>
  <r>
    <x v="67"/>
    <s v="M0264"/>
    <x v="63"/>
    <s v="Toko C - Surabaya"/>
    <s v="Electronics"/>
    <x v="67"/>
    <x v="1"/>
    <n v="48"/>
  </r>
  <r>
    <x v="68"/>
    <s v="M0094"/>
    <x v="64"/>
    <s v="Toko E - Semarang"/>
    <s v="Electronics"/>
    <x v="68"/>
    <x v="0"/>
    <n v="38"/>
  </r>
  <r>
    <x v="69"/>
    <s v="M0121"/>
    <x v="65"/>
    <s v="Toko G - Yogyakarta"/>
    <s v="Fashion"/>
    <x v="69"/>
    <x v="1"/>
    <n v="31"/>
  </r>
  <r>
    <x v="70"/>
    <s v="M0128"/>
    <x v="66"/>
    <s v="Toko B - Bandung"/>
    <s v="F&amp;B"/>
    <x v="70"/>
    <x v="1"/>
    <n v="38"/>
  </r>
  <r>
    <x v="71"/>
    <s v="M0016"/>
    <x v="67"/>
    <s v="Toko F - Makassar"/>
    <s v="Fashion"/>
    <x v="71"/>
    <x v="1"/>
    <n v="22"/>
  </r>
  <r>
    <x v="72"/>
    <s v="M0249"/>
    <x v="68"/>
    <s v="Toko B - Bandung"/>
    <s v="F&amp;B"/>
    <x v="72"/>
    <x v="0"/>
    <n v="4"/>
  </r>
  <r>
    <x v="73"/>
    <s v="M0063"/>
    <x v="69"/>
    <s v="Toko F - Makassar"/>
    <s v="Home &amp; Living"/>
    <x v="73"/>
    <x v="1"/>
    <n v="60"/>
  </r>
  <r>
    <x v="74"/>
    <s v="M0044"/>
    <x v="70"/>
    <s v="Toko H - Denpasar"/>
    <s v="Fashion"/>
    <x v="74"/>
    <x v="0"/>
    <n v="5"/>
  </r>
  <r>
    <x v="75"/>
    <s v="M0184"/>
    <x v="71"/>
    <s v="Toko D - Medan"/>
    <s v="Fashion"/>
    <x v="75"/>
    <x v="1"/>
    <n v="85"/>
  </r>
  <r>
    <x v="76"/>
    <s v="M0098"/>
    <x v="72"/>
    <s v="Toko D - Medan"/>
    <s v="Home &amp; Living"/>
    <x v="76"/>
    <x v="2"/>
    <n v="16"/>
  </r>
  <r>
    <x v="77"/>
    <s v="M0163"/>
    <x v="10"/>
    <s v="Toko C - Surabaya"/>
    <s v="Home &amp; Living"/>
    <x v="77"/>
    <x v="1"/>
    <n v="86"/>
  </r>
  <r>
    <x v="78"/>
    <s v="M0092"/>
    <x v="73"/>
    <s v="Toko G - Yogyakarta"/>
    <s v="Groceries"/>
    <x v="78"/>
    <x v="1"/>
    <n v="25"/>
  </r>
  <r>
    <x v="79"/>
    <s v="M0292"/>
    <x v="74"/>
    <s v="Toko E - Semarang"/>
    <s v="Groceries"/>
    <x v="79"/>
    <x v="1"/>
    <n v="35"/>
  </r>
  <r>
    <x v="80"/>
    <s v="M0143"/>
    <x v="75"/>
    <s v="Toko D - Medan"/>
    <s v="Fashion"/>
    <x v="80"/>
    <x v="1"/>
    <n v="32"/>
  </r>
  <r>
    <x v="81"/>
    <s v="M0293"/>
    <x v="76"/>
    <s v="Toko H - Denpasar"/>
    <s v="Home &amp; Living"/>
    <x v="81"/>
    <x v="1"/>
    <n v="24"/>
  </r>
  <r>
    <x v="82"/>
    <s v="M0277"/>
    <x v="77"/>
    <s v="Toko H - Denpasar"/>
    <s v="F&amp;B"/>
    <x v="82"/>
    <x v="1"/>
    <n v="17"/>
  </r>
  <r>
    <x v="83"/>
    <s v="M0264"/>
    <x v="78"/>
    <s v="Toko C - Surabaya"/>
    <s v="Home &amp; Living"/>
    <x v="83"/>
    <x v="1"/>
    <n v="19"/>
  </r>
  <r>
    <x v="84"/>
    <s v="M0112"/>
    <x v="7"/>
    <s v="Toko E - Semarang"/>
    <s v="F&amp;B"/>
    <x v="84"/>
    <x v="1"/>
    <n v="62"/>
  </r>
  <r>
    <x v="85"/>
    <s v="M0191"/>
    <x v="79"/>
    <s v="Toko F - Makassar"/>
    <s v="Electronics"/>
    <x v="85"/>
    <x v="1"/>
    <n v="31"/>
  </r>
  <r>
    <x v="86"/>
    <s v="M0004"/>
    <x v="80"/>
    <s v="Toko G - Yogyakarta"/>
    <s v="Health &amp; Beauty"/>
    <x v="86"/>
    <x v="1"/>
    <n v="91"/>
  </r>
  <r>
    <x v="87"/>
    <s v="M0088"/>
    <x v="81"/>
    <s v="Toko H - Denpasar"/>
    <s v="Electronics"/>
    <x v="87"/>
    <x v="0"/>
    <n v="6"/>
  </r>
  <r>
    <x v="88"/>
    <s v="M0149"/>
    <x v="38"/>
    <s v="Toko F - Makassar"/>
    <s v="Health &amp; Beauty"/>
    <x v="88"/>
    <x v="1"/>
    <n v="30"/>
  </r>
  <r>
    <x v="89"/>
    <s v="M0014"/>
    <x v="82"/>
    <s v="Toko D - Medan"/>
    <s v="F&amp;B"/>
    <x v="89"/>
    <x v="1"/>
    <n v="32"/>
  </r>
  <r>
    <x v="90"/>
    <s v="M0046"/>
    <x v="6"/>
    <s v="Toko F - Makassar"/>
    <s v="Health &amp; Beauty"/>
    <x v="90"/>
    <x v="2"/>
    <n v="51"/>
  </r>
  <r>
    <x v="91"/>
    <s v="M0191"/>
    <x v="58"/>
    <s v="Toko C - Surabaya"/>
    <s v="Health &amp; Beauty"/>
    <x v="91"/>
    <x v="1"/>
    <n v="9"/>
  </r>
  <r>
    <x v="92"/>
    <s v="M0176"/>
    <x v="71"/>
    <s v="Toko H - Denpasar"/>
    <s v="Home &amp; Living"/>
    <x v="92"/>
    <x v="1"/>
    <n v="74"/>
  </r>
  <r>
    <x v="93"/>
    <s v="M0243"/>
    <x v="83"/>
    <s v="Toko A - Jakarta"/>
    <s v="Home &amp; Living"/>
    <x v="93"/>
    <x v="0"/>
    <n v="40"/>
  </r>
  <r>
    <x v="94"/>
    <s v="M0265"/>
    <x v="84"/>
    <s v="Toko B - Bandung"/>
    <s v="Groceries"/>
    <x v="94"/>
    <x v="1"/>
    <n v="32"/>
  </r>
  <r>
    <x v="95"/>
    <s v="M0177"/>
    <x v="85"/>
    <s v="Toko F - Makassar"/>
    <s v="Health &amp; Beauty"/>
    <x v="95"/>
    <x v="1"/>
    <n v="9"/>
  </r>
  <r>
    <x v="96"/>
    <s v="M0242"/>
    <x v="86"/>
    <s v="Toko B - Bandung"/>
    <s v="Health &amp; Beauty"/>
    <x v="96"/>
    <x v="1"/>
    <n v="62"/>
  </r>
  <r>
    <x v="97"/>
    <s v="M0210"/>
    <x v="87"/>
    <s v="Toko B - Bandung"/>
    <s v="F&amp;B"/>
    <x v="97"/>
    <x v="0"/>
    <n v="13"/>
  </r>
  <r>
    <x v="98"/>
    <s v="M0227"/>
    <x v="88"/>
    <s v="Toko E - Semarang"/>
    <s v="Electronics"/>
    <x v="98"/>
    <x v="1"/>
    <n v="10"/>
  </r>
  <r>
    <x v="99"/>
    <s v="M0199"/>
    <x v="89"/>
    <s v="Toko C - Surabaya"/>
    <s v="Health &amp; Beauty"/>
    <x v="99"/>
    <x v="1"/>
    <n v="9"/>
  </r>
  <r>
    <x v="100"/>
    <s v="M0243"/>
    <x v="90"/>
    <s v="Toko H - Denpasar"/>
    <s v="F&amp;B"/>
    <x v="100"/>
    <x v="0"/>
    <n v="20"/>
  </r>
  <r>
    <x v="101"/>
    <s v="M0236"/>
    <x v="91"/>
    <s v="Toko A - Jakarta"/>
    <s v="Groceries"/>
    <x v="101"/>
    <x v="1"/>
    <n v="7"/>
  </r>
  <r>
    <x v="102"/>
    <s v="M0064"/>
    <x v="92"/>
    <s v="Toko B - Bandung"/>
    <s v="Groceries"/>
    <x v="102"/>
    <x v="2"/>
    <n v="4"/>
  </r>
  <r>
    <x v="103"/>
    <s v="M0188"/>
    <x v="93"/>
    <s v="Toko F - Makassar"/>
    <s v="Electronics"/>
    <x v="103"/>
    <x v="2"/>
    <n v="23"/>
  </r>
  <r>
    <x v="104"/>
    <s v="M0114"/>
    <x v="64"/>
    <s v="Toko C - Surabaya"/>
    <s v="Fashion"/>
    <x v="104"/>
    <x v="2"/>
    <n v="13"/>
  </r>
  <r>
    <x v="105"/>
    <s v="M0108"/>
    <x v="15"/>
    <s v="Toko B - Bandung"/>
    <s v="Fashion"/>
    <x v="105"/>
    <x v="1"/>
    <n v="22"/>
  </r>
  <r>
    <x v="106"/>
    <s v="M0183"/>
    <x v="94"/>
    <s v="Toko B - Bandung"/>
    <s v="Health &amp; Beauty"/>
    <x v="106"/>
    <x v="0"/>
    <n v="32"/>
  </r>
  <r>
    <x v="107"/>
    <s v="M0185"/>
    <x v="95"/>
    <s v="Toko E - Semarang"/>
    <s v="F&amp;B"/>
    <x v="107"/>
    <x v="1"/>
    <n v="11"/>
  </r>
  <r>
    <x v="108"/>
    <s v="M0139"/>
    <x v="44"/>
    <s v="Toko A - Jakarta"/>
    <s v="Electronics"/>
    <x v="108"/>
    <x v="1"/>
    <n v="18"/>
  </r>
  <r>
    <x v="109"/>
    <s v="M0239"/>
    <x v="42"/>
    <s v="Toko B - Bandung"/>
    <s v="F&amp;B"/>
    <x v="109"/>
    <x v="1"/>
    <n v="21"/>
  </r>
  <r>
    <x v="110"/>
    <s v="M0028"/>
    <x v="5"/>
    <s v="Toko A - Jakarta"/>
    <s v="F&amp;B"/>
    <x v="110"/>
    <x v="0"/>
    <n v="73"/>
  </r>
  <r>
    <x v="111"/>
    <s v="M0169"/>
    <x v="71"/>
    <s v="Toko G - Yogyakarta"/>
    <s v="Electronics"/>
    <x v="111"/>
    <x v="1"/>
    <n v="50"/>
  </r>
  <r>
    <x v="112"/>
    <s v="M0089"/>
    <x v="96"/>
    <s v="Toko G - Yogyakarta"/>
    <s v="Health &amp; Beauty"/>
    <x v="112"/>
    <x v="2"/>
    <n v="41"/>
  </r>
  <r>
    <x v="113"/>
    <s v="M0047"/>
    <x v="97"/>
    <s v="Toko F - Makassar"/>
    <s v="Fashion"/>
    <x v="113"/>
    <x v="1"/>
    <n v="58"/>
  </r>
  <r>
    <x v="114"/>
    <s v="M0081"/>
    <x v="98"/>
    <s v="Toko D - Medan"/>
    <s v="Health &amp; Beauty"/>
    <x v="114"/>
    <x v="1"/>
    <n v="33"/>
  </r>
  <r>
    <x v="115"/>
    <s v="M0232"/>
    <x v="99"/>
    <s v="Toko H - Denpasar"/>
    <s v="Health &amp; Beauty"/>
    <x v="115"/>
    <x v="1"/>
    <n v="15"/>
  </r>
  <r>
    <x v="116"/>
    <s v="M0100"/>
    <x v="58"/>
    <s v="Toko G - Yogyakarta"/>
    <s v="Home &amp; Living"/>
    <x v="116"/>
    <x v="1"/>
    <n v="12"/>
  </r>
  <r>
    <x v="117"/>
    <s v="M0169"/>
    <x v="56"/>
    <s v="Toko E - Semarang"/>
    <s v="Fashion"/>
    <x v="117"/>
    <x v="1"/>
    <n v="34"/>
  </r>
  <r>
    <x v="118"/>
    <s v="M0211"/>
    <x v="100"/>
    <s v="Toko A - Jakarta"/>
    <s v="Electronics"/>
    <x v="118"/>
    <x v="0"/>
    <n v="72"/>
  </r>
  <r>
    <x v="119"/>
    <s v="M0272"/>
    <x v="101"/>
    <s v="Toko E - Semarang"/>
    <s v="F&amp;B"/>
    <x v="119"/>
    <x v="1"/>
    <n v="73"/>
  </r>
  <r>
    <x v="120"/>
    <s v="M0190"/>
    <x v="102"/>
    <s v="Toko E - Semarang"/>
    <s v="F&amp;B"/>
    <x v="120"/>
    <x v="0"/>
    <n v="20"/>
  </r>
  <r>
    <x v="121"/>
    <s v="M0226"/>
    <x v="101"/>
    <s v="Toko H - Denpasar"/>
    <s v="Groceries"/>
    <x v="121"/>
    <x v="1"/>
    <n v="52"/>
  </r>
  <r>
    <x v="122"/>
    <s v="M0204"/>
    <x v="103"/>
    <s v="Toko A - Jakarta"/>
    <s v="Health &amp; Beauty"/>
    <x v="122"/>
    <x v="0"/>
    <n v="19"/>
  </r>
  <r>
    <x v="123"/>
    <s v="M0092"/>
    <x v="104"/>
    <s v="Toko F - Makassar"/>
    <s v="Home &amp; Living"/>
    <x v="123"/>
    <x v="1"/>
    <n v="22"/>
  </r>
  <r>
    <x v="124"/>
    <s v="M0078"/>
    <x v="0"/>
    <s v="Toko D - Medan"/>
    <s v="Fashion"/>
    <x v="124"/>
    <x v="0"/>
    <n v="6"/>
  </r>
  <r>
    <x v="125"/>
    <s v="M0111"/>
    <x v="14"/>
    <s v="Toko A - Jakarta"/>
    <s v="Health &amp; Beauty"/>
    <x v="125"/>
    <x v="2"/>
    <n v="36"/>
  </r>
  <r>
    <x v="126"/>
    <s v="M0148"/>
    <x v="86"/>
    <s v="Toko C - Surabaya"/>
    <s v="Home &amp; Living"/>
    <x v="126"/>
    <x v="0"/>
    <n v="39"/>
  </r>
  <r>
    <x v="127"/>
    <s v="M0204"/>
    <x v="55"/>
    <s v="Toko G - Yogyakarta"/>
    <s v="Health &amp; Beauty"/>
    <x v="127"/>
    <x v="0"/>
    <n v="5"/>
  </r>
  <r>
    <x v="128"/>
    <s v="M0193"/>
    <x v="27"/>
    <s v="Toko H - Denpasar"/>
    <s v="Electronics"/>
    <x v="128"/>
    <x v="1"/>
    <n v="27"/>
  </r>
  <r>
    <x v="129"/>
    <s v="M0109"/>
    <x v="0"/>
    <s v="Toko H - Denpasar"/>
    <s v="Groceries"/>
    <x v="129"/>
    <x v="0"/>
    <n v="21"/>
  </r>
  <r>
    <x v="130"/>
    <s v="M0108"/>
    <x v="105"/>
    <s v="Toko H - Denpasar"/>
    <s v="Electronics"/>
    <x v="130"/>
    <x v="1"/>
    <n v="53"/>
  </r>
  <r>
    <x v="131"/>
    <s v="M0121"/>
    <x v="106"/>
    <s v="Toko H - Denpasar"/>
    <s v="Health &amp; Beauty"/>
    <x v="131"/>
    <x v="1"/>
    <n v="11"/>
  </r>
  <r>
    <x v="132"/>
    <s v="M0099"/>
    <x v="107"/>
    <s v="Toko G - Yogyakarta"/>
    <s v="F&amp;B"/>
    <x v="132"/>
    <x v="1"/>
    <n v="34"/>
  </r>
  <r>
    <x v="133"/>
    <s v="M0264"/>
    <x v="108"/>
    <s v="Toko G - Yogyakarta"/>
    <s v="Home &amp; Living"/>
    <x v="133"/>
    <x v="1"/>
    <n v="67"/>
  </r>
  <r>
    <x v="134"/>
    <s v="M0204"/>
    <x v="109"/>
    <s v="Toko E - Semarang"/>
    <s v="Groceries"/>
    <x v="134"/>
    <x v="0"/>
    <n v="6"/>
  </r>
  <r>
    <x v="135"/>
    <s v="M0123"/>
    <x v="49"/>
    <s v="Toko F - Makassar"/>
    <s v="Groceries"/>
    <x v="135"/>
    <x v="2"/>
    <n v="41"/>
  </r>
  <r>
    <x v="136"/>
    <s v="M0199"/>
    <x v="110"/>
    <s v="Toko D - Medan"/>
    <s v="Electronics"/>
    <x v="136"/>
    <x v="1"/>
    <n v="42"/>
  </r>
  <r>
    <x v="137"/>
    <s v="M0054"/>
    <x v="111"/>
    <s v="Toko E - Semarang"/>
    <s v="Health &amp; Beauty"/>
    <x v="137"/>
    <x v="2"/>
    <n v="27"/>
  </r>
  <r>
    <x v="138"/>
    <s v="M0053"/>
    <x v="112"/>
    <s v="Toko A - Jakarta"/>
    <s v="Groceries"/>
    <x v="138"/>
    <x v="1"/>
    <n v="44"/>
  </r>
  <r>
    <x v="139"/>
    <s v="M0258"/>
    <x v="113"/>
    <s v="Toko A - Jakarta"/>
    <s v="Health &amp; Beauty"/>
    <x v="139"/>
    <x v="1"/>
    <n v="14"/>
  </r>
  <r>
    <x v="140"/>
    <s v="M0105"/>
    <x v="48"/>
    <s v="Toko E - Semarang"/>
    <s v="Electronics"/>
    <x v="140"/>
    <x v="1"/>
    <n v="10"/>
  </r>
  <r>
    <x v="141"/>
    <s v="M0127"/>
    <x v="114"/>
    <s v="Toko H - Denpasar"/>
    <s v="Fashion"/>
    <x v="141"/>
    <x v="1"/>
    <n v="7"/>
  </r>
  <r>
    <x v="142"/>
    <s v="M0089"/>
    <x v="95"/>
    <s v="Toko F - Makassar"/>
    <s v="Home &amp; Living"/>
    <x v="142"/>
    <x v="2"/>
    <n v="47"/>
  </r>
  <r>
    <x v="143"/>
    <s v="M0090"/>
    <x v="47"/>
    <s v="Toko G - Yogyakarta"/>
    <s v="Health &amp; Beauty"/>
    <x v="143"/>
    <x v="1"/>
    <n v="45"/>
  </r>
  <r>
    <x v="144"/>
    <s v="M0146"/>
    <x v="115"/>
    <s v="Toko A - Jakarta"/>
    <s v="Health &amp; Beauty"/>
    <x v="144"/>
    <x v="0"/>
    <n v="9"/>
  </r>
  <r>
    <x v="145"/>
    <s v="M0263"/>
    <x v="60"/>
    <s v="Toko H - Denpasar"/>
    <s v="F&amp;B"/>
    <x v="145"/>
    <x v="0"/>
    <n v="50"/>
  </r>
  <r>
    <x v="146"/>
    <s v="M0265"/>
    <x v="116"/>
    <s v="Toko C - Surabaya"/>
    <s v="Electronics"/>
    <x v="146"/>
    <x v="1"/>
    <n v="12"/>
  </r>
  <r>
    <x v="147"/>
    <s v="M0009"/>
    <x v="117"/>
    <s v="Toko B - Bandung"/>
    <s v="Home &amp; Living"/>
    <x v="147"/>
    <x v="1"/>
    <n v="29"/>
  </r>
  <r>
    <x v="148"/>
    <s v="M0126"/>
    <x v="118"/>
    <s v="Toko E - Semarang"/>
    <s v="Home &amp; Living"/>
    <x v="148"/>
    <x v="1"/>
    <n v="21"/>
  </r>
  <r>
    <x v="149"/>
    <s v="M0134"/>
    <x v="30"/>
    <s v="Toko C - Surabaya"/>
    <s v="Electronics"/>
    <x v="149"/>
    <x v="1"/>
    <n v="41"/>
  </r>
  <r>
    <x v="150"/>
    <s v="M0273"/>
    <x v="119"/>
    <s v="Toko E - Semarang"/>
    <s v="F&amp;B"/>
    <x v="150"/>
    <x v="1"/>
    <n v="26"/>
  </r>
  <r>
    <x v="151"/>
    <s v="M0192"/>
    <x v="27"/>
    <s v="Toko G - Yogyakarta"/>
    <s v="Health &amp; Beauty"/>
    <x v="151"/>
    <x v="1"/>
    <n v="14"/>
  </r>
  <r>
    <x v="152"/>
    <s v="M0174"/>
    <x v="120"/>
    <s v="Toko E - Semarang"/>
    <s v="Electronics"/>
    <x v="152"/>
    <x v="1"/>
    <n v="34"/>
  </r>
  <r>
    <x v="153"/>
    <s v="M0297"/>
    <x v="121"/>
    <s v="Toko E - Semarang"/>
    <s v="F&amp;B"/>
    <x v="153"/>
    <x v="1"/>
    <n v="48"/>
  </r>
  <r>
    <x v="154"/>
    <s v="M0227"/>
    <x v="122"/>
    <s v="Toko C - Surabaya"/>
    <s v="Fashion"/>
    <x v="154"/>
    <x v="1"/>
    <n v="11"/>
  </r>
  <r>
    <x v="155"/>
    <s v="M0012"/>
    <x v="123"/>
    <s v="Toko D - Medan"/>
    <s v="Fashion"/>
    <x v="155"/>
    <x v="0"/>
    <n v="61"/>
  </r>
  <r>
    <x v="156"/>
    <s v="M0148"/>
    <x v="124"/>
    <s v="Toko D - Medan"/>
    <s v="Fashion"/>
    <x v="156"/>
    <x v="0"/>
    <n v="34"/>
  </r>
  <r>
    <x v="157"/>
    <s v="M0250"/>
    <x v="125"/>
    <s v="Toko D - Medan"/>
    <s v="Groceries"/>
    <x v="157"/>
    <x v="0"/>
    <n v="36"/>
  </r>
  <r>
    <x v="158"/>
    <s v="M0048"/>
    <x v="126"/>
    <s v="Toko E - Semarang"/>
    <s v="Health &amp; Beauty"/>
    <x v="158"/>
    <x v="2"/>
    <n v="16"/>
  </r>
  <r>
    <x v="159"/>
    <s v="M0262"/>
    <x v="127"/>
    <s v="Toko G - Yogyakarta"/>
    <s v="Health &amp; Beauty"/>
    <x v="159"/>
    <x v="1"/>
    <n v="15"/>
  </r>
  <r>
    <x v="160"/>
    <s v="M0193"/>
    <x v="128"/>
    <s v="Toko H - Denpasar"/>
    <s v="Fashion"/>
    <x v="160"/>
    <x v="1"/>
    <n v="36"/>
  </r>
  <r>
    <x v="161"/>
    <s v="M0116"/>
    <x v="129"/>
    <s v="Toko G - Yogyakarta"/>
    <s v="Fashion"/>
    <x v="161"/>
    <x v="1"/>
    <n v="62"/>
  </r>
  <r>
    <x v="162"/>
    <s v="M0274"/>
    <x v="130"/>
    <s v="Toko H - Denpasar"/>
    <s v="Home &amp; Living"/>
    <x v="162"/>
    <x v="0"/>
    <n v="46"/>
  </r>
  <r>
    <x v="163"/>
    <s v="M0049"/>
    <x v="83"/>
    <s v="Toko C - Surabaya"/>
    <s v="Fashion"/>
    <x v="163"/>
    <x v="1"/>
    <n v="17"/>
  </r>
  <r>
    <x v="164"/>
    <s v="M0099"/>
    <x v="131"/>
    <s v="Toko G - Yogyakarta"/>
    <s v="Health &amp; Beauty"/>
    <x v="164"/>
    <x v="1"/>
    <n v="9"/>
  </r>
  <r>
    <x v="165"/>
    <s v="M0147"/>
    <x v="132"/>
    <s v="Toko G - Yogyakarta"/>
    <s v="Health &amp; Beauty"/>
    <x v="165"/>
    <x v="1"/>
    <n v="17"/>
  </r>
  <r>
    <x v="166"/>
    <s v="M0261"/>
    <x v="36"/>
    <s v="Toko F - Makassar"/>
    <s v="F&amp;B"/>
    <x v="166"/>
    <x v="2"/>
    <n v="22"/>
  </r>
  <r>
    <x v="167"/>
    <s v="M0258"/>
    <x v="133"/>
    <s v="Toko H - Denpasar"/>
    <s v="Health &amp; Beauty"/>
    <x v="167"/>
    <x v="1"/>
    <n v="55"/>
  </r>
  <r>
    <x v="168"/>
    <s v="M0086"/>
    <x v="134"/>
    <s v="Toko C - Surabaya"/>
    <s v="Home &amp; Living"/>
    <x v="168"/>
    <x v="2"/>
    <n v="38"/>
  </r>
  <r>
    <x v="169"/>
    <s v="M0220"/>
    <x v="135"/>
    <s v="Toko D - Medan"/>
    <s v="Fashion"/>
    <x v="169"/>
    <x v="0"/>
    <n v="9"/>
  </r>
  <r>
    <x v="170"/>
    <s v="M0055"/>
    <x v="136"/>
    <s v="Toko D - Medan"/>
    <s v="F&amp;B"/>
    <x v="170"/>
    <x v="1"/>
    <n v="13"/>
  </r>
  <r>
    <x v="171"/>
    <s v="M0249"/>
    <x v="137"/>
    <s v="Toko A - Jakarta"/>
    <s v="Groceries"/>
    <x v="171"/>
    <x v="0"/>
    <n v="12"/>
  </r>
  <r>
    <x v="172"/>
    <s v="M0196"/>
    <x v="108"/>
    <s v="Toko H - Denpasar"/>
    <s v="Fashion"/>
    <x v="172"/>
    <x v="0"/>
    <n v="40"/>
  </r>
  <r>
    <x v="173"/>
    <s v="M0081"/>
    <x v="138"/>
    <s v="Toko E - Semarang"/>
    <s v="F&amp;B"/>
    <x v="173"/>
    <x v="1"/>
    <n v="3"/>
  </r>
  <r>
    <x v="174"/>
    <s v="M0036"/>
    <x v="139"/>
    <s v="Toko A - Jakarta"/>
    <s v="Electronics"/>
    <x v="174"/>
    <x v="0"/>
    <n v="15"/>
  </r>
  <r>
    <x v="175"/>
    <s v="M0035"/>
    <x v="140"/>
    <s v="Toko H - Denpasar"/>
    <s v="Electronics"/>
    <x v="175"/>
    <x v="1"/>
    <n v="20"/>
  </r>
  <r>
    <x v="176"/>
    <s v="M0086"/>
    <x v="141"/>
    <s v="Toko H - Denpasar"/>
    <s v="Fashion"/>
    <x v="176"/>
    <x v="2"/>
    <n v="14"/>
  </r>
  <r>
    <x v="177"/>
    <s v="M0276"/>
    <x v="31"/>
    <s v="Toko F - Makassar"/>
    <s v="Groceries"/>
    <x v="177"/>
    <x v="1"/>
    <n v="9"/>
  </r>
  <r>
    <x v="178"/>
    <s v="M0042"/>
    <x v="142"/>
    <s v="Toko C - Surabaya"/>
    <s v="Health &amp; Beauty"/>
    <x v="178"/>
    <x v="2"/>
    <n v="35"/>
  </r>
  <r>
    <x v="179"/>
    <s v="M0253"/>
    <x v="143"/>
    <s v="Toko H - Denpasar"/>
    <s v="Groceries"/>
    <x v="179"/>
    <x v="1"/>
    <n v="59"/>
  </r>
  <r>
    <x v="180"/>
    <s v="M0087"/>
    <x v="117"/>
    <s v="Toko A - Jakarta"/>
    <s v="Health &amp; Beauty"/>
    <x v="180"/>
    <x v="1"/>
    <n v="42"/>
  </r>
  <r>
    <x v="181"/>
    <s v="M0240"/>
    <x v="144"/>
    <s v="Toko E - Semarang"/>
    <s v="F&amp;B"/>
    <x v="181"/>
    <x v="1"/>
    <n v="71"/>
  </r>
  <r>
    <x v="182"/>
    <s v="M0254"/>
    <x v="145"/>
    <s v="Toko F - Makassar"/>
    <s v="Home &amp; Living"/>
    <x v="182"/>
    <x v="1"/>
    <n v="17"/>
  </r>
  <r>
    <x v="183"/>
    <s v="M0051"/>
    <x v="146"/>
    <s v="Toko B - Bandung"/>
    <s v="Groceries"/>
    <x v="183"/>
    <x v="1"/>
    <n v="63"/>
  </r>
  <r>
    <x v="184"/>
    <s v="M0199"/>
    <x v="147"/>
    <s v="Toko H - Denpasar"/>
    <s v="Groceries"/>
    <x v="184"/>
    <x v="1"/>
    <n v="27"/>
  </r>
  <r>
    <x v="185"/>
    <s v="M0227"/>
    <x v="148"/>
    <s v="Toko G - Yogyakarta"/>
    <s v="Health &amp; Beauty"/>
    <x v="185"/>
    <x v="1"/>
    <n v="41"/>
  </r>
  <r>
    <x v="186"/>
    <s v="M0293"/>
    <x v="149"/>
    <s v="Toko G - Yogyakarta"/>
    <s v="Health &amp; Beauty"/>
    <x v="186"/>
    <x v="1"/>
    <n v="41"/>
  </r>
  <r>
    <x v="187"/>
    <s v="M0151"/>
    <x v="144"/>
    <s v="Toko B - Bandung"/>
    <s v="Fashion"/>
    <x v="8"/>
    <x v="1"/>
    <n v="2"/>
  </r>
  <r>
    <x v="188"/>
    <s v="M0165"/>
    <x v="125"/>
    <s v="Toko H - Denpasar"/>
    <s v="Home &amp; Living"/>
    <x v="187"/>
    <x v="1"/>
    <n v="32"/>
  </r>
  <r>
    <x v="189"/>
    <s v="M0089"/>
    <x v="51"/>
    <s v="Toko F - Makassar"/>
    <s v="Electronics"/>
    <x v="188"/>
    <x v="2"/>
    <n v="49"/>
  </r>
  <r>
    <x v="190"/>
    <s v="M0096"/>
    <x v="114"/>
    <s v="Toko F - Makassar"/>
    <s v="Groceries"/>
    <x v="189"/>
    <x v="1"/>
    <n v="36"/>
  </r>
  <r>
    <x v="191"/>
    <s v="M0292"/>
    <x v="150"/>
    <s v="Toko F - Makassar"/>
    <s v="Groceries"/>
    <x v="190"/>
    <x v="1"/>
    <n v="2"/>
  </r>
  <r>
    <x v="192"/>
    <s v="M0091"/>
    <x v="151"/>
    <s v="Toko G - Yogyakarta"/>
    <s v="Home &amp; Living"/>
    <x v="191"/>
    <x v="0"/>
    <n v="21"/>
  </r>
  <r>
    <x v="193"/>
    <s v="M0140"/>
    <x v="100"/>
    <s v="Toko F - Makassar"/>
    <s v="Groceries"/>
    <x v="192"/>
    <x v="1"/>
    <n v="38"/>
  </r>
  <r>
    <x v="194"/>
    <s v="M0221"/>
    <x v="48"/>
    <s v="Toko H - Denpasar"/>
    <s v="F&amp;B"/>
    <x v="193"/>
    <x v="1"/>
    <n v="27"/>
  </r>
  <r>
    <x v="195"/>
    <s v="M0187"/>
    <x v="152"/>
    <s v="Toko D - Medan"/>
    <s v="Health &amp; Beauty"/>
    <x v="194"/>
    <x v="1"/>
    <n v="7"/>
  </r>
  <r>
    <x v="196"/>
    <s v="M0257"/>
    <x v="153"/>
    <s v="Toko C - Surabaya"/>
    <s v="Groceries"/>
    <x v="195"/>
    <x v="0"/>
    <n v="11"/>
  </r>
  <r>
    <x v="197"/>
    <s v="M0108"/>
    <x v="154"/>
    <s v="Toko F - Makassar"/>
    <s v="F&amp;B"/>
    <x v="196"/>
    <x v="1"/>
    <n v="17"/>
  </r>
  <r>
    <x v="198"/>
    <s v="M0091"/>
    <x v="48"/>
    <s v="Toko A - Jakarta"/>
    <s v="Electronics"/>
    <x v="197"/>
    <x v="0"/>
    <n v="42"/>
  </r>
  <r>
    <x v="199"/>
    <s v="M0265"/>
    <x v="147"/>
    <s v="Toko C - Surabaya"/>
    <s v="Home &amp; Living"/>
    <x v="198"/>
    <x v="1"/>
    <n v="34"/>
  </r>
  <r>
    <x v="200"/>
    <s v="M0188"/>
    <x v="155"/>
    <s v="Toko C - Surabaya"/>
    <s v="Fashion"/>
    <x v="199"/>
    <x v="2"/>
    <n v="18"/>
  </r>
  <r>
    <x v="201"/>
    <s v="M0296"/>
    <x v="156"/>
    <s v="Toko C - Surabaya"/>
    <s v="Home &amp; Living"/>
    <x v="200"/>
    <x v="0"/>
    <n v="17"/>
  </r>
  <r>
    <x v="202"/>
    <s v="M0093"/>
    <x v="157"/>
    <s v="Toko B - Bandung"/>
    <s v="Fashion"/>
    <x v="201"/>
    <x v="1"/>
    <n v="14"/>
  </r>
  <r>
    <x v="203"/>
    <s v="M0053"/>
    <x v="158"/>
    <s v="Toko F - Makassar"/>
    <s v="Fashion"/>
    <x v="202"/>
    <x v="1"/>
    <n v="38"/>
  </r>
  <r>
    <x v="204"/>
    <s v="M0140"/>
    <x v="159"/>
    <s v="Toko A - Jakarta"/>
    <s v="Home &amp; Living"/>
    <x v="203"/>
    <x v="1"/>
    <n v="35"/>
  </r>
  <r>
    <x v="205"/>
    <s v="M0271"/>
    <x v="160"/>
    <s v="Toko C - Surabaya"/>
    <s v="Home &amp; Living"/>
    <x v="204"/>
    <x v="1"/>
    <n v="34"/>
  </r>
  <r>
    <x v="206"/>
    <s v="M0275"/>
    <x v="161"/>
    <s v="Toko A - Jakarta"/>
    <s v="Electronics"/>
    <x v="205"/>
    <x v="1"/>
    <n v="20"/>
  </r>
  <r>
    <x v="207"/>
    <s v="M0220"/>
    <x v="162"/>
    <s v="Toko G - Yogyakarta"/>
    <s v="Health &amp; Beauty"/>
    <x v="206"/>
    <x v="0"/>
    <n v="4"/>
  </r>
  <r>
    <x v="208"/>
    <s v="M0061"/>
    <x v="163"/>
    <s v="Toko H - Denpasar"/>
    <s v="Fashion"/>
    <x v="207"/>
    <x v="2"/>
    <n v="8"/>
  </r>
  <r>
    <x v="209"/>
    <s v="M0113"/>
    <x v="164"/>
    <s v="Toko A - Jakarta"/>
    <s v="F&amp;B"/>
    <x v="208"/>
    <x v="1"/>
    <n v="7"/>
  </r>
  <r>
    <x v="210"/>
    <s v="M0056"/>
    <x v="165"/>
    <s v="Toko G - Yogyakarta"/>
    <s v="F&amp;B"/>
    <x v="209"/>
    <x v="0"/>
    <n v="32"/>
  </r>
  <r>
    <x v="211"/>
    <s v="M0141"/>
    <x v="69"/>
    <s v="Toko A - Jakarta"/>
    <s v="Groceries"/>
    <x v="210"/>
    <x v="1"/>
    <n v="40"/>
  </r>
  <r>
    <x v="212"/>
    <s v="M0160"/>
    <x v="124"/>
    <s v="Toko C - Surabaya"/>
    <s v="Groceries"/>
    <x v="211"/>
    <x v="0"/>
    <n v="76"/>
  </r>
  <r>
    <x v="213"/>
    <s v="M0173"/>
    <x v="166"/>
    <s v="Toko B - Bandung"/>
    <s v="Health &amp; Beauty"/>
    <x v="212"/>
    <x v="1"/>
    <n v="39"/>
  </r>
  <r>
    <x v="214"/>
    <s v="M0104"/>
    <x v="167"/>
    <s v="Toko A - Jakarta"/>
    <s v="F&amp;B"/>
    <x v="213"/>
    <x v="1"/>
    <n v="28"/>
  </r>
  <r>
    <x v="215"/>
    <s v="M0199"/>
    <x v="168"/>
    <s v="Toko E - Semarang"/>
    <s v="Health &amp; Beauty"/>
    <x v="214"/>
    <x v="1"/>
    <n v="15"/>
  </r>
  <r>
    <x v="216"/>
    <s v="M0199"/>
    <x v="124"/>
    <s v="Toko C - Surabaya"/>
    <s v="Groceries"/>
    <x v="215"/>
    <x v="1"/>
    <n v="3"/>
  </r>
  <r>
    <x v="217"/>
    <s v="M0130"/>
    <x v="133"/>
    <s v="Toko B - Bandung"/>
    <s v="F&amp;B"/>
    <x v="216"/>
    <x v="1"/>
    <n v="8"/>
  </r>
  <r>
    <x v="218"/>
    <s v="M0242"/>
    <x v="169"/>
    <s v="Toko E - Semarang"/>
    <s v="F&amp;B"/>
    <x v="217"/>
    <x v="1"/>
    <n v="64"/>
  </r>
  <r>
    <x v="219"/>
    <s v="M0068"/>
    <x v="101"/>
    <s v="Toko C - Surabaya"/>
    <s v="Fashion"/>
    <x v="218"/>
    <x v="0"/>
    <n v="43"/>
  </r>
  <r>
    <x v="220"/>
    <s v="M0178"/>
    <x v="132"/>
    <s v="Toko G - Yogyakarta"/>
    <s v="Health &amp; Beauty"/>
    <x v="219"/>
    <x v="0"/>
    <n v="67"/>
  </r>
  <r>
    <x v="221"/>
    <s v="M0092"/>
    <x v="0"/>
    <s v="Toko H - Denpasar"/>
    <s v="Health &amp; Beauty"/>
    <x v="220"/>
    <x v="1"/>
    <n v="57"/>
  </r>
  <r>
    <x v="222"/>
    <s v="M0222"/>
    <x v="170"/>
    <s v="Toko E - Semarang"/>
    <s v="Health &amp; Beauty"/>
    <x v="221"/>
    <x v="0"/>
    <n v="13"/>
  </r>
  <r>
    <x v="223"/>
    <s v="M0077"/>
    <x v="171"/>
    <s v="Toko H - Denpasar"/>
    <s v="Groceries"/>
    <x v="222"/>
    <x v="1"/>
    <n v="33"/>
  </r>
  <r>
    <x v="224"/>
    <s v="M0017"/>
    <x v="172"/>
    <s v="Toko F - Makassar"/>
    <s v="Health &amp; Beauty"/>
    <x v="223"/>
    <x v="0"/>
    <n v="16"/>
  </r>
  <r>
    <x v="225"/>
    <s v="M0083"/>
    <x v="173"/>
    <s v="Toko H - Denpasar"/>
    <s v="Groceries"/>
    <x v="224"/>
    <x v="1"/>
    <n v="24"/>
  </r>
  <r>
    <x v="226"/>
    <s v="M0273"/>
    <x v="87"/>
    <s v="Toko E - Semarang"/>
    <s v="Home &amp; Living"/>
    <x v="225"/>
    <x v="1"/>
    <n v="57"/>
  </r>
  <r>
    <x v="227"/>
    <s v="M0036"/>
    <x v="60"/>
    <s v="Toko F - Makassar"/>
    <s v="Fashion"/>
    <x v="226"/>
    <x v="0"/>
    <n v="24"/>
  </r>
  <r>
    <x v="228"/>
    <s v="M0255"/>
    <x v="174"/>
    <s v="Toko C - Surabaya"/>
    <s v="F&amp;B"/>
    <x v="227"/>
    <x v="1"/>
    <n v="6"/>
  </r>
  <r>
    <x v="229"/>
    <s v="M0227"/>
    <x v="148"/>
    <s v="Toko F - Makassar"/>
    <s v="Fashion"/>
    <x v="228"/>
    <x v="1"/>
    <n v="16"/>
  </r>
  <r>
    <x v="230"/>
    <s v="M0300"/>
    <x v="142"/>
    <s v="Toko F - Makassar"/>
    <s v="F&amp;B"/>
    <x v="229"/>
    <x v="1"/>
    <n v="31"/>
  </r>
  <r>
    <x v="231"/>
    <s v="M0081"/>
    <x v="175"/>
    <s v="Toko G - Yogyakarta"/>
    <s v="Groceries"/>
    <x v="230"/>
    <x v="1"/>
    <n v="26"/>
  </r>
  <r>
    <x v="232"/>
    <s v="M0293"/>
    <x v="126"/>
    <s v="Toko A - Jakarta"/>
    <s v="Health &amp; Beauty"/>
    <x v="231"/>
    <x v="1"/>
    <n v="38"/>
  </r>
  <r>
    <x v="233"/>
    <s v="M0024"/>
    <x v="53"/>
    <s v="Toko F - Makassar"/>
    <s v="Groceries"/>
    <x v="232"/>
    <x v="0"/>
    <n v="39"/>
  </r>
  <r>
    <x v="234"/>
    <s v="M0063"/>
    <x v="176"/>
    <s v="Toko G - Yogyakarta"/>
    <s v="Home &amp; Living"/>
    <x v="233"/>
    <x v="1"/>
    <n v="29"/>
  </r>
  <r>
    <x v="235"/>
    <s v="M0093"/>
    <x v="177"/>
    <s v="Toko E - Semarang"/>
    <s v="Home &amp; Living"/>
    <x v="234"/>
    <x v="1"/>
    <n v="5"/>
  </r>
  <r>
    <x v="236"/>
    <s v="M0044"/>
    <x v="178"/>
    <s v="Toko H - Denpasar"/>
    <s v="Groceries"/>
    <x v="235"/>
    <x v="0"/>
    <n v="51"/>
  </r>
  <r>
    <x v="237"/>
    <s v="M0154"/>
    <x v="28"/>
    <s v="Toko B - Bandung"/>
    <s v="Fashion"/>
    <x v="236"/>
    <x v="1"/>
    <n v="23"/>
  </r>
  <r>
    <x v="238"/>
    <s v="M0261"/>
    <x v="38"/>
    <s v="Toko B - Bandung"/>
    <s v="Fashion"/>
    <x v="237"/>
    <x v="2"/>
    <n v="18"/>
  </r>
  <r>
    <x v="239"/>
    <s v="M0198"/>
    <x v="179"/>
    <s v="Toko F - Makassar"/>
    <s v="Home &amp; Living"/>
    <x v="238"/>
    <x v="2"/>
    <n v="21"/>
  </r>
  <r>
    <x v="240"/>
    <s v="M0270"/>
    <x v="111"/>
    <s v="Toko D - Medan"/>
    <s v="F&amp;B"/>
    <x v="239"/>
    <x v="0"/>
    <n v="28"/>
  </r>
  <r>
    <x v="241"/>
    <s v="M0218"/>
    <x v="34"/>
    <s v="Toko C - Surabaya"/>
    <s v="F&amp;B"/>
    <x v="240"/>
    <x v="1"/>
    <n v="46"/>
  </r>
  <r>
    <x v="242"/>
    <s v="M0204"/>
    <x v="180"/>
    <s v="Toko C - Surabaya"/>
    <s v="Groceries"/>
    <x v="241"/>
    <x v="0"/>
    <n v="11"/>
  </r>
  <r>
    <x v="243"/>
    <s v="M0113"/>
    <x v="49"/>
    <s v="Toko F - Makassar"/>
    <s v="Health &amp; Beauty"/>
    <x v="242"/>
    <x v="1"/>
    <n v="21"/>
  </r>
  <r>
    <x v="244"/>
    <s v="M0157"/>
    <x v="63"/>
    <s v="Toko G - Yogyakarta"/>
    <s v="Electronics"/>
    <x v="243"/>
    <x v="1"/>
    <n v="11"/>
  </r>
  <r>
    <x v="245"/>
    <s v="M0218"/>
    <x v="181"/>
    <s v="Toko D - Medan"/>
    <s v="F&amp;B"/>
    <x v="244"/>
    <x v="1"/>
    <n v="46"/>
  </r>
  <r>
    <x v="246"/>
    <s v="M0242"/>
    <x v="156"/>
    <s v="Toko A - Jakarta"/>
    <s v="Groceries"/>
    <x v="245"/>
    <x v="1"/>
    <n v="24"/>
  </r>
  <r>
    <x v="247"/>
    <s v="M0106"/>
    <x v="119"/>
    <s v="Toko B - Bandung"/>
    <s v="Fashion"/>
    <x v="246"/>
    <x v="0"/>
    <n v="39"/>
  </r>
  <r>
    <x v="248"/>
    <s v="M0131"/>
    <x v="86"/>
    <s v="Toko E - Semarang"/>
    <s v="Fashion"/>
    <x v="247"/>
    <x v="2"/>
    <n v="106"/>
  </r>
  <r>
    <x v="249"/>
    <s v="M0108"/>
    <x v="182"/>
    <s v="Toko G - Yogyakarta"/>
    <s v="F&amp;B"/>
    <x v="248"/>
    <x v="1"/>
    <n v="10"/>
  </r>
  <r>
    <x v="250"/>
    <s v="M0146"/>
    <x v="183"/>
    <s v="Toko H - Denpasar"/>
    <s v="Health &amp; Beauty"/>
    <x v="249"/>
    <x v="0"/>
    <n v="40"/>
  </r>
  <r>
    <x v="251"/>
    <s v="M0253"/>
    <x v="74"/>
    <s v="Toko A - Jakarta"/>
    <s v="F&amp;B"/>
    <x v="250"/>
    <x v="1"/>
    <n v="15"/>
  </r>
  <r>
    <x v="252"/>
    <s v="M0271"/>
    <x v="86"/>
    <s v="Toko F - Makassar"/>
    <s v="Electronics"/>
    <x v="251"/>
    <x v="1"/>
    <n v="10"/>
  </r>
  <r>
    <x v="253"/>
    <s v="M0015"/>
    <x v="162"/>
    <s v="Toko E - Semarang"/>
    <s v="Electronics"/>
    <x v="252"/>
    <x v="1"/>
    <n v="48"/>
  </r>
  <r>
    <x v="254"/>
    <s v="M0141"/>
    <x v="8"/>
    <s v="Toko E - Semarang"/>
    <s v="Health &amp; Beauty"/>
    <x v="253"/>
    <x v="1"/>
    <n v="11"/>
  </r>
  <r>
    <x v="255"/>
    <s v="M0171"/>
    <x v="26"/>
    <s v="Toko G - Yogyakarta"/>
    <s v="Fashion"/>
    <x v="254"/>
    <x v="1"/>
    <n v="56"/>
  </r>
  <r>
    <x v="256"/>
    <s v="M0089"/>
    <x v="184"/>
    <s v="Toko D - Medan"/>
    <s v="F&amp;B"/>
    <x v="255"/>
    <x v="2"/>
    <n v="9"/>
  </r>
  <r>
    <x v="257"/>
    <s v="M0269"/>
    <x v="99"/>
    <s v="Toko F - Makassar"/>
    <s v="Groceries"/>
    <x v="256"/>
    <x v="1"/>
    <n v="47"/>
  </r>
  <r>
    <x v="258"/>
    <s v="M0279"/>
    <x v="134"/>
    <s v="Toko C - Surabaya"/>
    <s v="Home &amp; Living"/>
    <x v="257"/>
    <x v="1"/>
    <n v="24"/>
  </r>
  <r>
    <x v="259"/>
    <s v="M0270"/>
    <x v="45"/>
    <s v="Toko B - Bandung"/>
    <s v="Health &amp; Beauty"/>
    <x v="258"/>
    <x v="0"/>
    <n v="35"/>
  </r>
  <r>
    <x v="260"/>
    <s v="M0031"/>
    <x v="39"/>
    <s v="Toko A - Jakarta"/>
    <s v="Home &amp; Living"/>
    <x v="259"/>
    <x v="1"/>
    <n v="26"/>
  </r>
  <r>
    <x v="261"/>
    <s v="M0119"/>
    <x v="126"/>
    <s v="Toko H - Denpasar"/>
    <s v="Fashion"/>
    <x v="260"/>
    <x v="1"/>
    <n v="18"/>
  </r>
  <r>
    <x v="262"/>
    <s v="M0277"/>
    <x v="185"/>
    <s v="Toko B - Bandung"/>
    <s v="Groceries"/>
    <x v="261"/>
    <x v="1"/>
    <n v="35"/>
  </r>
  <r>
    <x v="263"/>
    <s v="M0265"/>
    <x v="149"/>
    <s v="Toko E - Semarang"/>
    <s v="F&amp;B"/>
    <x v="262"/>
    <x v="1"/>
    <n v="32"/>
  </r>
  <r>
    <x v="264"/>
    <s v="M0264"/>
    <x v="159"/>
    <s v="Toko D - Medan"/>
    <s v="Home &amp; Living"/>
    <x v="263"/>
    <x v="1"/>
    <n v="18"/>
  </r>
  <r>
    <x v="265"/>
    <s v="M0031"/>
    <x v="186"/>
    <s v="Toko C - Surabaya"/>
    <s v="Electronics"/>
    <x v="264"/>
    <x v="1"/>
    <n v="20"/>
  </r>
  <r>
    <x v="266"/>
    <s v="M0122"/>
    <x v="49"/>
    <s v="Toko H - Denpasar"/>
    <s v="Groceries"/>
    <x v="265"/>
    <x v="1"/>
    <n v="36"/>
  </r>
  <r>
    <x v="267"/>
    <s v="M0160"/>
    <x v="103"/>
    <s v="Toko G - Yogyakarta"/>
    <s v="Health &amp; Beauty"/>
    <x v="266"/>
    <x v="0"/>
    <n v="16"/>
  </r>
  <r>
    <x v="268"/>
    <s v="M0117"/>
    <x v="61"/>
    <s v="Toko B - Bandung"/>
    <s v="Electronics"/>
    <x v="267"/>
    <x v="0"/>
    <n v="9"/>
  </r>
  <r>
    <x v="269"/>
    <s v="M0128"/>
    <x v="184"/>
    <s v="Toko E - Semarang"/>
    <s v="Electronics"/>
    <x v="268"/>
    <x v="1"/>
    <n v="53"/>
  </r>
  <r>
    <x v="270"/>
    <s v="M0130"/>
    <x v="123"/>
    <s v="Toko C - Surabaya"/>
    <s v="Electronics"/>
    <x v="269"/>
    <x v="1"/>
    <n v="40"/>
  </r>
  <r>
    <x v="271"/>
    <s v="M0252"/>
    <x v="187"/>
    <s v="Toko B - Bandung"/>
    <s v="F&amp;B"/>
    <x v="270"/>
    <x v="2"/>
    <n v="15"/>
  </r>
  <r>
    <x v="272"/>
    <s v="M0117"/>
    <x v="4"/>
    <s v="Toko G - Yogyakarta"/>
    <s v="Fashion"/>
    <x v="271"/>
    <x v="0"/>
    <n v="62"/>
  </r>
  <r>
    <x v="273"/>
    <s v="M0229"/>
    <x v="188"/>
    <s v="Toko A - Jakarta"/>
    <s v="Fashion"/>
    <x v="272"/>
    <x v="1"/>
    <n v="78"/>
  </r>
  <r>
    <x v="274"/>
    <s v="M0053"/>
    <x v="111"/>
    <s v="Toko F - Makassar"/>
    <s v="Electronics"/>
    <x v="273"/>
    <x v="1"/>
    <n v="80"/>
  </r>
  <r>
    <x v="275"/>
    <s v="M0285"/>
    <x v="40"/>
    <s v="Toko F - Makassar"/>
    <s v="F&amp;B"/>
    <x v="274"/>
    <x v="0"/>
    <n v="19"/>
  </r>
  <r>
    <x v="276"/>
    <s v="M0024"/>
    <x v="162"/>
    <s v="Toko G - Yogyakarta"/>
    <s v="Health &amp; Beauty"/>
    <x v="275"/>
    <x v="0"/>
    <n v="14"/>
  </r>
  <r>
    <x v="277"/>
    <s v="M0137"/>
    <x v="189"/>
    <s v="Toko D - Medan"/>
    <s v="Home &amp; Living"/>
    <x v="276"/>
    <x v="0"/>
    <n v="12"/>
  </r>
  <r>
    <x v="278"/>
    <s v="M0151"/>
    <x v="190"/>
    <s v="Toko E - Semarang"/>
    <s v="Groceries"/>
    <x v="277"/>
    <x v="1"/>
    <n v="51"/>
  </r>
  <r>
    <x v="279"/>
    <s v="M0126"/>
    <x v="191"/>
    <s v="Toko D - Medan"/>
    <s v="Fashion"/>
    <x v="278"/>
    <x v="1"/>
    <n v="12"/>
  </r>
  <r>
    <x v="280"/>
    <s v="M0242"/>
    <x v="183"/>
    <s v="Toko G - Yogyakarta"/>
    <s v="Home &amp; Living"/>
    <x v="279"/>
    <x v="1"/>
    <n v="3"/>
  </r>
  <r>
    <x v="281"/>
    <s v="M0263"/>
    <x v="34"/>
    <s v="Toko B - Bandung"/>
    <s v="Health &amp; Beauty"/>
    <x v="280"/>
    <x v="0"/>
    <n v="11"/>
  </r>
  <r>
    <x v="282"/>
    <s v="M0274"/>
    <x v="192"/>
    <s v="Toko G - Yogyakarta"/>
    <s v="Electronics"/>
    <x v="281"/>
    <x v="0"/>
    <n v="61"/>
  </r>
  <r>
    <x v="283"/>
    <s v="M0141"/>
    <x v="193"/>
    <s v="Toko H - Denpasar"/>
    <s v="Electronics"/>
    <x v="282"/>
    <x v="1"/>
    <n v="21"/>
  </r>
  <r>
    <x v="284"/>
    <s v="M0080"/>
    <x v="187"/>
    <s v="Toko G - Yogyakarta"/>
    <s v="Electronics"/>
    <x v="283"/>
    <x v="2"/>
    <n v="32"/>
  </r>
  <r>
    <x v="285"/>
    <s v="M0159"/>
    <x v="12"/>
    <s v="Toko C - Surabaya"/>
    <s v="Health &amp; Beauty"/>
    <x v="284"/>
    <x v="1"/>
    <n v="24"/>
  </r>
  <r>
    <x v="286"/>
    <s v="M0157"/>
    <x v="96"/>
    <s v="Toko H - Denpasar"/>
    <s v="Home &amp; Living"/>
    <x v="285"/>
    <x v="1"/>
    <n v="8"/>
  </r>
  <r>
    <x v="287"/>
    <s v="M0081"/>
    <x v="194"/>
    <s v="Toko G - Yogyakarta"/>
    <s v="Groceries"/>
    <x v="286"/>
    <x v="1"/>
    <n v="41"/>
  </r>
  <r>
    <x v="288"/>
    <s v="M0276"/>
    <x v="195"/>
    <s v="Toko F - Makassar"/>
    <s v="Electronics"/>
    <x v="287"/>
    <x v="1"/>
    <n v="22"/>
  </r>
  <r>
    <x v="289"/>
    <s v="M0081"/>
    <x v="124"/>
    <s v="Toko B - Bandung"/>
    <s v="Health &amp; Beauty"/>
    <x v="288"/>
    <x v="1"/>
    <n v="12"/>
  </r>
  <r>
    <x v="290"/>
    <s v="M0013"/>
    <x v="64"/>
    <s v="Toko A - Jakarta"/>
    <s v="Fashion"/>
    <x v="289"/>
    <x v="1"/>
    <n v="5"/>
  </r>
  <r>
    <x v="291"/>
    <s v="M0140"/>
    <x v="37"/>
    <s v="Toko H - Denpasar"/>
    <s v="F&amp;B"/>
    <x v="290"/>
    <x v="1"/>
    <n v="19"/>
  </r>
  <r>
    <x v="292"/>
    <s v="M0044"/>
    <x v="151"/>
    <s v="Toko D - Medan"/>
    <s v="Groceries"/>
    <x v="291"/>
    <x v="0"/>
    <n v="39"/>
  </r>
  <r>
    <x v="293"/>
    <s v="M0267"/>
    <x v="46"/>
    <s v="Toko F - Makassar"/>
    <s v="F&amp;B"/>
    <x v="292"/>
    <x v="1"/>
    <n v="25"/>
  </r>
  <r>
    <x v="294"/>
    <s v="M0151"/>
    <x v="196"/>
    <s v="Toko D - Medan"/>
    <s v="Home &amp; Living"/>
    <x v="293"/>
    <x v="1"/>
    <n v="36"/>
  </r>
  <r>
    <x v="295"/>
    <s v="M0256"/>
    <x v="4"/>
    <s v="Toko H - Denpasar"/>
    <s v="Fashion"/>
    <x v="294"/>
    <x v="2"/>
    <n v="11"/>
  </r>
  <r>
    <x v="296"/>
    <s v="M0081"/>
    <x v="197"/>
    <s v="Toko B - Bandung"/>
    <s v="Groceries"/>
    <x v="295"/>
    <x v="1"/>
    <n v="56"/>
  </r>
  <r>
    <x v="297"/>
    <s v="M0081"/>
    <x v="198"/>
    <s v="Toko F - Makassar"/>
    <s v="F&amp;B"/>
    <x v="296"/>
    <x v="1"/>
    <n v="7"/>
  </r>
  <r>
    <x v="298"/>
    <s v="M0264"/>
    <x v="145"/>
    <s v="Toko E - Semarang"/>
    <s v="Home &amp; Living"/>
    <x v="297"/>
    <x v="1"/>
    <n v="33"/>
  </r>
  <r>
    <x v="299"/>
    <s v="M0265"/>
    <x v="199"/>
    <s v="Toko C - Surabaya"/>
    <s v="Electronics"/>
    <x v="298"/>
    <x v="1"/>
    <n v="26"/>
  </r>
  <r>
    <x v="300"/>
    <s v="M0184"/>
    <x v="73"/>
    <s v="Toko E - Semarang"/>
    <s v="Fashion"/>
    <x v="299"/>
    <x v="1"/>
    <n v="6"/>
  </r>
  <r>
    <x v="301"/>
    <s v="M0009"/>
    <x v="78"/>
    <s v="Toko E - Semarang"/>
    <s v="Home &amp; Living"/>
    <x v="300"/>
    <x v="1"/>
    <n v="25"/>
  </r>
  <r>
    <x v="302"/>
    <s v="M0028"/>
    <x v="46"/>
    <s v="Toko B - Bandung"/>
    <s v="Health &amp; Beauty"/>
    <x v="301"/>
    <x v="0"/>
    <n v="10"/>
  </r>
  <r>
    <x v="303"/>
    <s v="M0032"/>
    <x v="66"/>
    <s v="Toko C - Surabaya"/>
    <s v="Electronics"/>
    <x v="302"/>
    <x v="1"/>
    <n v="10"/>
  </r>
  <r>
    <x v="304"/>
    <s v="M0261"/>
    <x v="200"/>
    <s v="Toko B - Bandung"/>
    <s v="F&amp;B"/>
    <x v="303"/>
    <x v="2"/>
    <n v="31"/>
  </r>
  <r>
    <x v="305"/>
    <s v="M0224"/>
    <x v="51"/>
    <s v="Toko H - Denpasar"/>
    <s v="Home &amp; Living"/>
    <x v="304"/>
    <x v="1"/>
    <n v="61"/>
  </r>
  <r>
    <x v="306"/>
    <s v="M0075"/>
    <x v="162"/>
    <s v="Toko G - Yogyakarta"/>
    <s v="Groceries"/>
    <x v="305"/>
    <x v="0"/>
    <n v="49"/>
  </r>
  <r>
    <x v="307"/>
    <s v="M0001"/>
    <x v="201"/>
    <s v="Toko G - Yogyakarta"/>
    <s v="Groceries"/>
    <x v="306"/>
    <x v="1"/>
    <n v="14"/>
  </r>
  <r>
    <x v="308"/>
    <s v="M0097"/>
    <x v="33"/>
    <s v="Toko G - Yogyakarta"/>
    <s v="Health &amp; Beauty"/>
    <x v="307"/>
    <x v="1"/>
    <n v="20"/>
  </r>
  <r>
    <x v="309"/>
    <s v="M0198"/>
    <x v="46"/>
    <s v="Toko C - Surabaya"/>
    <s v="Home &amp; Living"/>
    <x v="308"/>
    <x v="2"/>
    <n v="8"/>
  </r>
  <r>
    <x v="310"/>
    <s v="M0087"/>
    <x v="202"/>
    <s v="Toko D - Medan"/>
    <s v="F&amp;B"/>
    <x v="309"/>
    <x v="1"/>
    <n v="33"/>
  </r>
  <r>
    <x v="311"/>
    <s v="M0265"/>
    <x v="203"/>
    <s v="Toko B - Bandung"/>
    <s v="Home &amp; Living"/>
    <x v="310"/>
    <x v="1"/>
    <n v="15"/>
  </r>
  <r>
    <x v="312"/>
    <s v="M0212"/>
    <x v="152"/>
    <s v="Toko H - Denpasar"/>
    <s v="Health &amp; Beauty"/>
    <x v="311"/>
    <x v="2"/>
    <n v="35"/>
  </r>
  <r>
    <x v="313"/>
    <s v="M0049"/>
    <x v="150"/>
    <s v="Toko G - Yogyakarta"/>
    <s v="Health &amp; Beauty"/>
    <x v="312"/>
    <x v="1"/>
    <n v="10"/>
  </r>
  <r>
    <x v="314"/>
    <s v="M0100"/>
    <x v="204"/>
    <s v="Toko B - Bandung"/>
    <s v="Electronics"/>
    <x v="313"/>
    <x v="1"/>
    <n v="14"/>
  </r>
  <r>
    <x v="315"/>
    <s v="M0094"/>
    <x v="126"/>
    <s v="Toko H - Denpasar"/>
    <s v="Groceries"/>
    <x v="314"/>
    <x v="0"/>
    <n v="48"/>
  </r>
  <r>
    <x v="316"/>
    <s v="M0097"/>
    <x v="92"/>
    <s v="Toko A - Jakarta"/>
    <s v="Health &amp; Beauty"/>
    <x v="315"/>
    <x v="1"/>
    <n v="57"/>
  </r>
  <r>
    <x v="317"/>
    <s v="M0125"/>
    <x v="43"/>
    <s v="Toko H - Denpasar"/>
    <s v="Health &amp; Beauty"/>
    <x v="316"/>
    <x v="0"/>
    <n v="19"/>
  </r>
  <r>
    <x v="318"/>
    <s v="M0192"/>
    <x v="205"/>
    <s v="Toko B - Bandung"/>
    <s v="Fashion"/>
    <x v="317"/>
    <x v="1"/>
    <n v="16"/>
  </r>
  <r>
    <x v="319"/>
    <s v="M0010"/>
    <x v="36"/>
    <s v="Toko H - Denpasar"/>
    <s v="Fashion"/>
    <x v="318"/>
    <x v="1"/>
    <n v="11"/>
  </r>
  <r>
    <x v="320"/>
    <s v="M0249"/>
    <x v="206"/>
    <s v="Toko H - Denpasar"/>
    <s v="F&amp;B"/>
    <x v="319"/>
    <x v="0"/>
    <n v="6"/>
  </r>
  <r>
    <x v="321"/>
    <s v="M0117"/>
    <x v="118"/>
    <s v="Toko D - Medan"/>
    <s v="F&amp;B"/>
    <x v="320"/>
    <x v="0"/>
    <n v="12"/>
  </r>
  <r>
    <x v="322"/>
    <s v="M0071"/>
    <x v="207"/>
    <s v="Toko G - Yogyakarta"/>
    <s v="Health &amp; Beauty"/>
    <x v="321"/>
    <x v="1"/>
    <n v="14"/>
  </r>
  <r>
    <x v="323"/>
    <s v="M0151"/>
    <x v="208"/>
    <s v="Toko D - Medan"/>
    <s v="Home &amp; Living"/>
    <x v="322"/>
    <x v="1"/>
    <n v="41"/>
  </r>
  <r>
    <x v="324"/>
    <s v="M0031"/>
    <x v="209"/>
    <s v="Toko G - Yogyakarta"/>
    <s v="F&amp;B"/>
    <x v="323"/>
    <x v="1"/>
    <n v="11"/>
  </r>
  <r>
    <x v="325"/>
    <s v="M0093"/>
    <x v="210"/>
    <s v="Toko H - Denpasar"/>
    <s v="F&amp;B"/>
    <x v="324"/>
    <x v="1"/>
    <n v="58"/>
  </r>
  <r>
    <x v="326"/>
    <s v="M0161"/>
    <x v="29"/>
    <s v="Toko E - Semarang"/>
    <s v="Fashion"/>
    <x v="325"/>
    <x v="1"/>
    <n v="30"/>
  </r>
  <r>
    <x v="327"/>
    <s v="M0102"/>
    <x v="211"/>
    <s v="Toko C - Surabaya"/>
    <s v="Groceries"/>
    <x v="326"/>
    <x v="0"/>
    <n v="5"/>
  </r>
  <r>
    <x v="328"/>
    <s v="M0261"/>
    <x v="75"/>
    <s v="Toko H - Denpasar"/>
    <s v="Fashion"/>
    <x v="327"/>
    <x v="2"/>
    <n v="28"/>
  </r>
  <r>
    <x v="329"/>
    <s v="M0146"/>
    <x v="144"/>
    <s v="Toko C - Surabaya"/>
    <s v="Home &amp; Living"/>
    <x v="328"/>
    <x v="0"/>
    <n v="8"/>
  </r>
  <r>
    <x v="330"/>
    <s v="M0227"/>
    <x v="69"/>
    <s v="Toko F - Makassar"/>
    <s v="Groceries"/>
    <x v="329"/>
    <x v="1"/>
    <n v="10"/>
  </r>
  <r>
    <x v="331"/>
    <s v="M0151"/>
    <x v="47"/>
    <s v="Toko E - Semarang"/>
    <s v="F&amp;B"/>
    <x v="330"/>
    <x v="1"/>
    <n v="34"/>
  </r>
  <r>
    <x v="332"/>
    <s v="M0098"/>
    <x v="212"/>
    <s v="Toko B - Bandung"/>
    <s v="Health &amp; Beauty"/>
    <x v="331"/>
    <x v="2"/>
    <n v="24"/>
  </r>
  <r>
    <x v="333"/>
    <s v="M0063"/>
    <x v="165"/>
    <s v="Toko A - Jakarta"/>
    <s v="Electronics"/>
    <x v="332"/>
    <x v="1"/>
    <n v="39"/>
  </r>
  <r>
    <x v="334"/>
    <s v="M0113"/>
    <x v="213"/>
    <s v="Toko F - Makassar"/>
    <s v="Health &amp; Beauty"/>
    <x v="333"/>
    <x v="1"/>
    <n v="17"/>
  </r>
  <r>
    <x v="335"/>
    <s v="M0044"/>
    <x v="96"/>
    <s v="Toko B - Bandung"/>
    <s v="Electronics"/>
    <x v="334"/>
    <x v="0"/>
    <n v="39"/>
  </r>
  <r>
    <x v="336"/>
    <s v="M0249"/>
    <x v="189"/>
    <s v="Toko C - Surabaya"/>
    <s v="Home &amp; Living"/>
    <x v="335"/>
    <x v="0"/>
    <n v="45"/>
  </r>
  <r>
    <x v="337"/>
    <s v="M0200"/>
    <x v="37"/>
    <s v="Toko C - Surabaya"/>
    <s v="Groceries"/>
    <x v="336"/>
    <x v="0"/>
    <n v="10"/>
  </r>
  <r>
    <x v="338"/>
    <s v="M0035"/>
    <x v="47"/>
    <s v="Toko F - Makassar"/>
    <s v="Home &amp; Living"/>
    <x v="337"/>
    <x v="1"/>
    <n v="17"/>
  </r>
  <r>
    <x v="339"/>
    <s v="M0273"/>
    <x v="214"/>
    <s v="Toko H - Denpasar"/>
    <s v="Groceries"/>
    <x v="338"/>
    <x v="1"/>
    <n v="9"/>
  </r>
  <r>
    <x v="340"/>
    <s v="M0170"/>
    <x v="215"/>
    <s v="Toko A - Jakarta"/>
    <s v="Fashion"/>
    <x v="339"/>
    <x v="0"/>
    <n v="25"/>
  </r>
  <r>
    <x v="341"/>
    <s v="M0192"/>
    <x v="159"/>
    <s v="Toko E - Semarang"/>
    <s v="Electronics"/>
    <x v="8"/>
    <x v="1"/>
    <n v="2"/>
  </r>
  <r>
    <x v="342"/>
    <s v="M0081"/>
    <x v="7"/>
    <s v="Toko C - Surabaya"/>
    <s v="F&amp;B"/>
    <x v="340"/>
    <x v="1"/>
    <n v="19"/>
  </r>
  <r>
    <x v="343"/>
    <s v="M0075"/>
    <x v="216"/>
    <s v="Toko H - Denpasar"/>
    <s v="Health &amp; Beauty"/>
    <x v="341"/>
    <x v="0"/>
    <n v="42"/>
  </r>
  <r>
    <x v="344"/>
    <s v="M0275"/>
    <x v="217"/>
    <s v="Toko C - Surabaya"/>
    <s v="Electronics"/>
    <x v="342"/>
    <x v="1"/>
    <n v="12"/>
  </r>
  <r>
    <x v="345"/>
    <s v="M0087"/>
    <x v="38"/>
    <s v="Toko C - Surabaya"/>
    <s v="Electronics"/>
    <x v="343"/>
    <x v="1"/>
    <n v="17"/>
  </r>
  <r>
    <x v="346"/>
    <s v="M0300"/>
    <x v="218"/>
    <s v="Toko A - Jakarta"/>
    <s v="Groceries"/>
    <x v="344"/>
    <x v="1"/>
    <n v="5"/>
  </r>
  <r>
    <x v="347"/>
    <s v="M0027"/>
    <x v="219"/>
    <s v="Toko H - Denpasar"/>
    <s v="Home &amp; Living"/>
    <x v="345"/>
    <x v="1"/>
    <n v="26"/>
  </r>
  <r>
    <x v="348"/>
    <s v="M0044"/>
    <x v="43"/>
    <s v="Toko H - Denpasar"/>
    <s v="Groceries"/>
    <x v="346"/>
    <x v="0"/>
    <n v="54"/>
  </r>
  <r>
    <x v="349"/>
    <s v="M0204"/>
    <x v="54"/>
    <s v="Toko G - Yogyakarta"/>
    <s v="Home &amp; Living"/>
    <x v="347"/>
    <x v="0"/>
    <n v="34"/>
  </r>
  <r>
    <x v="350"/>
    <s v="M0042"/>
    <x v="72"/>
    <s v="Toko E - Semarang"/>
    <s v="Groceries"/>
    <x v="348"/>
    <x v="2"/>
    <n v="10"/>
  </r>
  <r>
    <x v="351"/>
    <s v="M0269"/>
    <x v="220"/>
    <s v="Toko G - Yogyakarta"/>
    <s v="Health &amp; Beauty"/>
    <x v="349"/>
    <x v="1"/>
    <n v="29"/>
  </r>
  <r>
    <x v="352"/>
    <s v="M0152"/>
    <x v="221"/>
    <s v="Toko B - Bandung"/>
    <s v="Health &amp; Beauty"/>
    <x v="350"/>
    <x v="1"/>
    <n v="6"/>
  </r>
  <r>
    <x v="353"/>
    <s v="M0122"/>
    <x v="222"/>
    <s v="Toko F - Makassar"/>
    <s v="F&amp;B"/>
    <x v="351"/>
    <x v="1"/>
    <n v="51"/>
  </r>
  <r>
    <x v="354"/>
    <s v="M0040"/>
    <x v="23"/>
    <s v="Toko D - Medan"/>
    <s v="Groceries"/>
    <x v="352"/>
    <x v="0"/>
    <n v="33"/>
  </r>
  <r>
    <x v="355"/>
    <s v="M0265"/>
    <x v="98"/>
    <s v="Toko B - Bandung"/>
    <s v="Health &amp; Beauty"/>
    <x v="353"/>
    <x v="1"/>
    <n v="36"/>
  </r>
  <r>
    <x v="356"/>
    <s v="M0056"/>
    <x v="223"/>
    <s v="Toko F - Makassar"/>
    <s v="F&amp;B"/>
    <x v="354"/>
    <x v="0"/>
    <n v="32"/>
  </r>
  <r>
    <x v="357"/>
    <s v="M0048"/>
    <x v="4"/>
    <s v="Toko C - Surabaya"/>
    <s v="Electronics"/>
    <x v="355"/>
    <x v="2"/>
    <n v="30"/>
  </r>
  <r>
    <x v="358"/>
    <s v="M0248"/>
    <x v="23"/>
    <s v="Toko H - Denpasar"/>
    <s v="Home &amp; Living"/>
    <x v="356"/>
    <x v="1"/>
    <n v="32"/>
  </r>
  <r>
    <x v="359"/>
    <s v="M0227"/>
    <x v="218"/>
    <s v="Toko E - Semarang"/>
    <s v="Electronics"/>
    <x v="357"/>
    <x v="1"/>
    <n v="22"/>
  </r>
  <r>
    <x v="360"/>
    <s v="M0262"/>
    <x v="2"/>
    <s v="Toko H - Denpasar"/>
    <s v="Fashion"/>
    <x v="358"/>
    <x v="1"/>
    <n v="18"/>
  </r>
  <r>
    <x v="361"/>
    <s v="M0187"/>
    <x v="212"/>
    <s v="Toko C - Surabaya"/>
    <s v="Home &amp; Living"/>
    <x v="359"/>
    <x v="1"/>
    <n v="13"/>
  </r>
  <r>
    <x v="362"/>
    <s v="M0057"/>
    <x v="224"/>
    <s v="Toko C - Surabaya"/>
    <s v="Groceries"/>
    <x v="360"/>
    <x v="1"/>
    <n v="13"/>
  </r>
  <r>
    <x v="363"/>
    <s v="M0220"/>
    <x v="8"/>
    <s v="Toko H - Denpasar"/>
    <s v="Home &amp; Living"/>
    <x v="361"/>
    <x v="0"/>
    <n v="30"/>
  </r>
  <r>
    <x v="364"/>
    <s v="M0242"/>
    <x v="225"/>
    <s v="Toko E - Semarang"/>
    <s v="Home &amp; Living"/>
    <x v="362"/>
    <x v="1"/>
    <n v="48"/>
  </r>
  <r>
    <x v="365"/>
    <s v="M0128"/>
    <x v="226"/>
    <s v="Toko C - Surabaya"/>
    <s v="Electronics"/>
    <x v="8"/>
    <x v="1"/>
    <n v="2"/>
  </r>
  <r>
    <x v="366"/>
    <s v="M0234"/>
    <x v="51"/>
    <s v="Toko A - Jakarta"/>
    <s v="Health &amp; Beauty"/>
    <x v="363"/>
    <x v="1"/>
    <n v="16"/>
  </r>
  <r>
    <x v="367"/>
    <s v="M0115"/>
    <x v="227"/>
    <s v="Toko D - Medan"/>
    <s v="Electronics"/>
    <x v="364"/>
    <x v="1"/>
    <n v="3"/>
  </r>
  <r>
    <x v="368"/>
    <s v="M0138"/>
    <x v="224"/>
    <s v="Toko E - Semarang"/>
    <s v="Home &amp; Living"/>
    <x v="365"/>
    <x v="1"/>
    <n v="5"/>
  </r>
  <r>
    <x v="369"/>
    <s v="M0151"/>
    <x v="165"/>
    <s v="Toko F - Makassar"/>
    <s v="Groceries"/>
    <x v="366"/>
    <x v="1"/>
    <n v="27"/>
  </r>
  <r>
    <x v="370"/>
    <s v="M0170"/>
    <x v="228"/>
    <s v="Toko D - Medan"/>
    <s v="Health &amp; Beauty"/>
    <x v="367"/>
    <x v="0"/>
    <n v="81"/>
  </r>
  <r>
    <x v="371"/>
    <s v="M0162"/>
    <x v="119"/>
    <s v="Toko C - Surabaya"/>
    <s v="Health &amp; Beauty"/>
    <x v="368"/>
    <x v="2"/>
    <n v="104"/>
  </r>
  <r>
    <x v="372"/>
    <s v="M0049"/>
    <x v="131"/>
    <s v="Toko C - Surabaya"/>
    <s v="F&amp;B"/>
    <x v="369"/>
    <x v="1"/>
    <n v="33"/>
  </r>
  <r>
    <x v="373"/>
    <s v="M0040"/>
    <x v="155"/>
    <s v="Toko C - Surabaya"/>
    <s v="Fashion"/>
    <x v="370"/>
    <x v="0"/>
    <n v="74"/>
  </r>
  <r>
    <x v="374"/>
    <s v="M0227"/>
    <x v="229"/>
    <s v="Toko A - Jakarta"/>
    <s v="Fashion"/>
    <x v="371"/>
    <x v="1"/>
    <n v="51"/>
  </r>
  <r>
    <x v="375"/>
    <s v="M0005"/>
    <x v="189"/>
    <s v="Toko E - Semarang"/>
    <s v="Fashion"/>
    <x v="372"/>
    <x v="1"/>
    <n v="11"/>
  </r>
  <r>
    <x v="376"/>
    <s v="M0276"/>
    <x v="230"/>
    <s v="Toko D - Medan"/>
    <s v="Fashion"/>
    <x v="373"/>
    <x v="1"/>
    <n v="23"/>
  </r>
  <r>
    <x v="377"/>
    <s v="M0128"/>
    <x v="135"/>
    <s v="Toko H - Denpasar"/>
    <s v="Home &amp; Living"/>
    <x v="374"/>
    <x v="1"/>
    <n v="33"/>
  </r>
  <r>
    <x v="378"/>
    <s v="M0290"/>
    <x v="55"/>
    <s v="Toko G - Yogyakarta"/>
    <s v="Electronics"/>
    <x v="375"/>
    <x v="0"/>
    <n v="17"/>
  </r>
  <r>
    <x v="379"/>
    <s v="M0078"/>
    <x v="231"/>
    <s v="Toko B - Bandung"/>
    <s v="Home &amp; Living"/>
    <x v="376"/>
    <x v="0"/>
    <n v="72"/>
  </r>
  <r>
    <x v="380"/>
    <s v="M0216"/>
    <x v="232"/>
    <s v="Toko H - Denpasar"/>
    <s v="Health &amp; Beauty"/>
    <x v="377"/>
    <x v="1"/>
    <n v="23"/>
  </r>
  <r>
    <x v="381"/>
    <s v="M0242"/>
    <x v="29"/>
    <s v="Toko C - Surabaya"/>
    <s v="Home &amp; Living"/>
    <x v="378"/>
    <x v="1"/>
    <n v="19"/>
  </r>
  <r>
    <x v="382"/>
    <s v="M0102"/>
    <x v="233"/>
    <s v="Toko A - Jakarta"/>
    <s v="Electronics"/>
    <x v="379"/>
    <x v="0"/>
    <n v="19"/>
  </r>
  <r>
    <x v="383"/>
    <s v="M0018"/>
    <x v="234"/>
    <s v="Toko F - Makassar"/>
    <s v="Electronics"/>
    <x v="380"/>
    <x v="0"/>
    <n v="22"/>
  </r>
  <r>
    <x v="384"/>
    <s v="M0091"/>
    <x v="36"/>
    <s v="Toko H - Denpasar"/>
    <s v="Fashion"/>
    <x v="381"/>
    <x v="0"/>
    <n v="30"/>
  </r>
  <r>
    <x v="385"/>
    <s v="M0024"/>
    <x v="235"/>
    <s v="Toko D - Medan"/>
    <s v="Health &amp; Beauty"/>
    <x v="382"/>
    <x v="0"/>
    <n v="15"/>
  </r>
  <r>
    <x v="386"/>
    <s v="M0063"/>
    <x v="236"/>
    <s v="Toko H - Denpasar"/>
    <s v="Electronics"/>
    <x v="383"/>
    <x v="1"/>
    <n v="75"/>
  </r>
  <r>
    <x v="387"/>
    <s v="M0167"/>
    <x v="237"/>
    <s v="Toko G - Yogyakarta"/>
    <s v="Fashion"/>
    <x v="384"/>
    <x v="2"/>
    <n v="49"/>
  </r>
  <r>
    <x v="388"/>
    <s v="M0187"/>
    <x v="238"/>
    <s v="Toko D - Medan"/>
    <s v="Health &amp; Beauty"/>
    <x v="385"/>
    <x v="1"/>
    <n v="44"/>
  </r>
  <r>
    <x v="389"/>
    <s v="M0227"/>
    <x v="233"/>
    <s v="Toko F - Makassar"/>
    <s v="Electronics"/>
    <x v="386"/>
    <x v="1"/>
    <n v="70"/>
  </r>
  <r>
    <x v="390"/>
    <s v="M0246"/>
    <x v="2"/>
    <s v="Toko B - Bandung"/>
    <s v="Health &amp; Beauty"/>
    <x v="387"/>
    <x v="0"/>
    <n v="55"/>
  </r>
  <r>
    <x v="391"/>
    <s v="M0061"/>
    <x v="191"/>
    <s v="Toko H - Denpasar"/>
    <s v="Home &amp; Living"/>
    <x v="388"/>
    <x v="2"/>
    <n v="20"/>
  </r>
  <r>
    <x v="392"/>
    <s v="M0063"/>
    <x v="239"/>
    <s v="Toko H - Denpasar"/>
    <s v="Fashion"/>
    <x v="389"/>
    <x v="1"/>
    <n v="15"/>
  </r>
  <r>
    <x v="393"/>
    <s v="M0110"/>
    <x v="165"/>
    <s v="Toko G - Yogyakarta"/>
    <s v="Home &amp; Living"/>
    <x v="390"/>
    <x v="1"/>
    <n v="26"/>
  </r>
  <r>
    <x v="394"/>
    <s v="M0171"/>
    <x v="103"/>
    <s v="Toko B - Bandung"/>
    <s v="Fashion"/>
    <x v="391"/>
    <x v="1"/>
    <n v="23"/>
  </r>
  <r>
    <x v="395"/>
    <s v="M0075"/>
    <x v="225"/>
    <s v="Toko D - Medan"/>
    <s v="Electronics"/>
    <x v="392"/>
    <x v="0"/>
    <n v="62"/>
  </r>
  <r>
    <x v="396"/>
    <s v="M0161"/>
    <x v="186"/>
    <s v="Toko D - Medan"/>
    <s v="Groceries"/>
    <x v="393"/>
    <x v="1"/>
    <n v="13"/>
  </r>
  <r>
    <x v="397"/>
    <s v="M0161"/>
    <x v="221"/>
    <s v="Toko D - Medan"/>
    <s v="Health &amp; Beauty"/>
    <x v="394"/>
    <x v="1"/>
    <n v="23"/>
  </r>
  <r>
    <x v="398"/>
    <s v="M0058"/>
    <x v="240"/>
    <s v="Toko C - Surabaya"/>
    <s v="F&amp;B"/>
    <x v="395"/>
    <x v="1"/>
    <n v="34"/>
  </r>
  <r>
    <x v="399"/>
    <s v="M0261"/>
    <x v="232"/>
    <s v="Toko F - Makassar"/>
    <s v="Fashion"/>
    <x v="396"/>
    <x v="2"/>
    <n v="13"/>
  </r>
  <r>
    <x v="400"/>
    <s v="M0253"/>
    <x v="241"/>
    <s v="Toko E - Semarang"/>
    <s v="F&amp;B"/>
    <x v="397"/>
    <x v="1"/>
    <n v="10"/>
  </r>
  <r>
    <x v="401"/>
    <s v="M0294"/>
    <x v="34"/>
    <s v="Toko C - Surabaya"/>
    <s v="Home &amp; Living"/>
    <x v="398"/>
    <x v="0"/>
    <n v="30"/>
  </r>
  <r>
    <x v="402"/>
    <s v="M0218"/>
    <x v="52"/>
    <s v="Toko C - Surabaya"/>
    <s v="Electronics"/>
    <x v="399"/>
    <x v="1"/>
    <n v="28"/>
  </r>
  <r>
    <x v="403"/>
    <s v="M0002"/>
    <x v="242"/>
    <s v="Toko B - Bandung"/>
    <s v="F&amp;B"/>
    <x v="400"/>
    <x v="1"/>
    <n v="35"/>
  </r>
  <r>
    <x v="404"/>
    <s v="M0218"/>
    <x v="11"/>
    <s v="Toko F - Makassar"/>
    <s v="F&amp;B"/>
    <x v="401"/>
    <x v="1"/>
    <n v="79"/>
  </r>
  <r>
    <x v="405"/>
    <s v="M0105"/>
    <x v="151"/>
    <s v="Toko A - Jakarta"/>
    <s v="Fashion"/>
    <x v="402"/>
    <x v="1"/>
    <n v="33"/>
  </r>
  <r>
    <x v="406"/>
    <s v="M0215"/>
    <x v="243"/>
    <s v="Toko E - Semarang"/>
    <s v="Groceries"/>
    <x v="8"/>
    <x v="0"/>
    <n v="2"/>
  </r>
  <r>
    <x v="407"/>
    <s v="M0116"/>
    <x v="195"/>
    <s v="Toko B - Bandung"/>
    <s v="Home &amp; Living"/>
    <x v="403"/>
    <x v="1"/>
    <n v="28"/>
  </r>
  <r>
    <x v="408"/>
    <s v="M0238"/>
    <x v="209"/>
    <s v="Toko F - Makassar"/>
    <s v="Health &amp; Beauty"/>
    <x v="404"/>
    <x v="0"/>
    <n v="84"/>
  </r>
  <r>
    <x v="409"/>
    <s v="M0189"/>
    <x v="195"/>
    <s v="Toko G - Yogyakarta"/>
    <s v="Groceries"/>
    <x v="405"/>
    <x v="1"/>
    <n v="45"/>
  </r>
  <r>
    <x v="410"/>
    <s v="M0297"/>
    <x v="244"/>
    <s v="Toko H - Denpasar"/>
    <s v="Health &amp; Beauty"/>
    <x v="406"/>
    <x v="1"/>
    <n v="30"/>
  </r>
  <r>
    <x v="411"/>
    <s v="M0269"/>
    <x v="245"/>
    <s v="Toko C - Surabaya"/>
    <s v="Health &amp; Beauty"/>
    <x v="407"/>
    <x v="1"/>
    <n v="8"/>
  </r>
  <r>
    <x v="412"/>
    <s v="M0154"/>
    <x v="246"/>
    <s v="Toko F - Makassar"/>
    <s v="Health &amp; Beauty"/>
    <x v="408"/>
    <x v="1"/>
    <n v="10"/>
  </r>
  <r>
    <x v="413"/>
    <s v="M0089"/>
    <x v="137"/>
    <s v="Toko G - Yogyakarta"/>
    <s v="F&amp;B"/>
    <x v="409"/>
    <x v="2"/>
    <n v="35"/>
  </r>
  <r>
    <x v="414"/>
    <s v="M0166"/>
    <x v="247"/>
    <s v="Toko B - Bandung"/>
    <s v="F&amp;B"/>
    <x v="410"/>
    <x v="0"/>
    <n v="136"/>
  </r>
  <r>
    <x v="415"/>
    <s v="M0062"/>
    <x v="137"/>
    <s v="Toko G - Yogyakarta"/>
    <s v="F&amp;B"/>
    <x v="411"/>
    <x v="1"/>
    <n v="15"/>
  </r>
  <r>
    <x v="416"/>
    <s v="M0171"/>
    <x v="21"/>
    <s v="Toko E - Semarang"/>
    <s v="Fashion"/>
    <x v="412"/>
    <x v="1"/>
    <n v="30"/>
  </r>
  <r>
    <x v="417"/>
    <s v="M0069"/>
    <x v="180"/>
    <s v="Toko D - Medan"/>
    <s v="Home &amp; Living"/>
    <x v="413"/>
    <x v="1"/>
    <n v="18"/>
  </r>
  <r>
    <x v="418"/>
    <s v="M0070"/>
    <x v="141"/>
    <s v="Toko A - Jakarta"/>
    <s v="Fashion"/>
    <x v="414"/>
    <x v="0"/>
    <n v="23"/>
  </r>
  <r>
    <x v="419"/>
    <s v="M0228"/>
    <x v="245"/>
    <s v="Toko D - Medan"/>
    <s v="Groceries"/>
    <x v="415"/>
    <x v="0"/>
    <n v="34"/>
  </r>
  <r>
    <x v="420"/>
    <s v="M0026"/>
    <x v="230"/>
    <s v="Toko C - Surabaya"/>
    <s v="Electronics"/>
    <x v="416"/>
    <x v="0"/>
    <n v="37"/>
  </r>
  <r>
    <x v="421"/>
    <s v="M0056"/>
    <x v="248"/>
    <s v="Toko H - Denpasar"/>
    <s v="Electronics"/>
    <x v="417"/>
    <x v="0"/>
    <n v="23"/>
  </r>
  <r>
    <x v="422"/>
    <s v="M0121"/>
    <x v="249"/>
    <s v="Toko G - Yogyakarta"/>
    <s v="Electronics"/>
    <x v="418"/>
    <x v="1"/>
    <n v="8"/>
  </r>
  <r>
    <x v="423"/>
    <s v="M0092"/>
    <x v="250"/>
    <s v="Toko B - Bandung"/>
    <s v="F&amp;B"/>
    <x v="419"/>
    <x v="1"/>
    <n v="42"/>
  </r>
  <r>
    <x v="424"/>
    <s v="M0001"/>
    <x v="236"/>
    <s v="Toko C - Surabaya"/>
    <s v="F&amp;B"/>
    <x v="420"/>
    <x v="1"/>
    <n v="28"/>
  </r>
  <r>
    <x v="425"/>
    <s v="M0212"/>
    <x v="29"/>
    <s v="Toko B - Bandung"/>
    <s v="Home &amp; Living"/>
    <x v="421"/>
    <x v="2"/>
    <n v="23"/>
  </r>
  <r>
    <x v="426"/>
    <s v="M0253"/>
    <x v="251"/>
    <s v="Toko C - Surabaya"/>
    <s v="Groceries"/>
    <x v="422"/>
    <x v="1"/>
    <n v="19"/>
  </r>
  <r>
    <x v="427"/>
    <s v="M0151"/>
    <x v="237"/>
    <s v="Toko D - Medan"/>
    <s v="Health &amp; Beauty"/>
    <x v="423"/>
    <x v="1"/>
    <n v="18"/>
  </r>
  <r>
    <x v="428"/>
    <s v="M0208"/>
    <x v="183"/>
    <s v="Toko E - Semarang"/>
    <s v="F&amp;B"/>
    <x v="424"/>
    <x v="2"/>
    <n v="34"/>
  </r>
  <r>
    <x v="429"/>
    <s v="M0170"/>
    <x v="190"/>
    <s v="Toko G - Yogyakarta"/>
    <s v="Groceries"/>
    <x v="425"/>
    <x v="0"/>
    <n v="33"/>
  </r>
  <r>
    <x v="430"/>
    <s v="M0069"/>
    <x v="252"/>
    <s v="Toko G - Yogyakarta"/>
    <s v="Health &amp; Beauty"/>
    <x v="426"/>
    <x v="1"/>
    <n v="5"/>
  </r>
  <r>
    <x v="431"/>
    <s v="M0120"/>
    <x v="253"/>
    <s v="Toko E - Semarang"/>
    <s v="Groceries"/>
    <x v="427"/>
    <x v="0"/>
    <n v="22"/>
  </r>
  <r>
    <x v="432"/>
    <s v="M0267"/>
    <x v="254"/>
    <s v="Toko E - Semarang"/>
    <s v="Fashion"/>
    <x v="428"/>
    <x v="1"/>
    <n v="32"/>
  </r>
  <r>
    <x v="433"/>
    <s v="M0131"/>
    <x v="115"/>
    <s v="Toko A - Jakarta"/>
    <s v="Health &amp; Beauty"/>
    <x v="429"/>
    <x v="2"/>
    <n v="38"/>
  </r>
  <r>
    <x v="434"/>
    <s v="M0204"/>
    <x v="255"/>
    <s v="Toko A - Jakarta"/>
    <s v="Home &amp; Living"/>
    <x v="430"/>
    <x v="0"/>
    <n v="75"/>
  </r>
  <r>
    <x v="435"/>
    <s v="M0102"/>
    <x v="43"/>
    <s v="Toko C - Surabaya"/>
    <s v="Home &amp; Living"/>
    <x v="431"/>
    <x v="0"/>
    <n v="13"/>
  </r>
  <r>
    <x v="436"/>
    <s v="M0267"/>
    <x v="222"/>
    <s v="Toko E - Semarang"/>
    <s v="Fashion"/>
    <x v="432"/>
    <x v="1"/>
    <n v="16"/>
  </r>
  <r>
    <x v="437"/>
    <s v="M0181"/>
    <x v="188"/>
    <s v="Toko G - Yogyakarta"/>
    <s v="Health &amp; Beauty"/>
    <x v="433"/>
    <x v="1"/>
    <n v="13"/>
  </r>
  <r>
    <x v="438"/>
    <s v="M0122"/>
    <x v="92"/>
    <s v="Toko B - Bandung"/>
    <s v="Electronics"/>
    <x v="434"/>
    <x v="1"/>
    <n v="62"/>
  </r>
  <r>
    <x v="439"/>
    <s v="M0285"/>
    <x v="256"/>
    <s v="Toko B - Bandung"/>
    <s v="F&amp;B"/>
    <x v="435"/>
    <x v="0"/>
    <n v="42"/>
  </r>
  <r>
    <x v="440"/>
    <s v="M0281"/>
    <x v="218"/>
    <s v="Toko B - Bandung"/>
    <s v="Home &amp; Living"/>
    <x v="436"/>
    <x v="0"/>
    <n v="3"/>
  </r>
  <r>
    <x v="441"/>
    <s v="M0040"/>
    <x v="161"/>
    <s v="Toko A - Jakarta"/>
    <s v="Home &amp; Living"/>
    <x v="437"/>
    <x v="0"/>
    <n v="28"/>
  </r>
  <r>
    <x v="442"/>
    <s v="M0197"/>
    <x v="257"/>
    <s v="Toko D - Medan"/>
    <s v="F&amp;B"/>
    <x v="438"/>
    <x v="1"/>
    <n v="23"/>
  </r>
  <r>
    <x v="443"/>
    <s v="M0166"/>
    <x v="118"/>
    <s v="Toko F - Makassar"/>
    <s v="F&amp;B"/>
    <x v="439"/>
    <x v="0"/>
    <n v="19"/>
  </r>
  <r>
    <x v="444"/>
    <s v="M0214"/>
    <x v="66"/>
    <s v="Toko A - Jakarta"/>
    <s v="Electronics"/>
    <x v="440"/>
    <x v="1"/>
    <n v="22"/>
  </r>
  <r>
    <x v="445"/>
    <s v="M0079"/>
    <x v="252"/>
    <s v="Toko A - Jakarta"/>
    <s v="Fashion"/>
    <x v="441"/>
    <x v="1"/>
    <n v="37"/>
  </r>
  <r>
    <x v="446"/>
    <s v="M0001"/>
    <x v="180"/>
    <s v="Toko G - Yogyakarta"/>
    <s v="Electronics"/>
    <x v="442"/>
    <x v="1"/>
    <n v="16"/>
  </r>
  <r>
    <x v="447"/>
    <s v="M0127"/>
    <x v="230"/>
    <s v="Toko A - Jakarta"/>
    <s v="Health &amp; Beauty"/>
    <x v="443"/>
    <x v="1"/>
    <n v="33"/>
  </r>
  <r>
    <x v="448"/>
    <s v="M0126"/>
    <x v="171"/>
    <s v="Toko F - Makassar"/>
    <s v="Electronics"/>
    <x v="444"/>
    <x v="1"/>
    <n v="29"/>
  </r>
  <r>
    <x v="449"/>
    <s v="M0003"/>
    <x v="237"/>
    <s v="Toko H - Denpasar"/>
    <s v="Electronics"/>
    <x v="445"/>
    <x v="0"/>
    <n v="22"/>
  </r>
  <r>
    <x v="450"/>
    <s v="M0199"/>
    <x v="241"/>
    <s v="Toko G - Yogyakarta"/>
    <s v="Fashion"/>
    <x v="446"/>
    <x v="1"/>
    <n v="31"/>
  </r>
  <r>
    <x v="451"/>
    <s v="M0096"/>
    <x v="175"/>
    <s v="Toko H - Denpasar"/>
    <s v="Groceries"/>
    <x v="447"/>
    <x v="1"/>
    <n v="5"/>
  </r>
  <r>
    <x v="452"/>
    <s v="M0249"/>
    <x v="121"/>
    <s v="Toko G - Yogyakarta"/>
    <s v="Electronics"/>
    <x v="448"/>
    <x v="0"/>
    <n v="43"/>
  </r>
  <r>
    <x v="453"/>
    <s v="M0188"/>
    <x v="69"/>
    <s v="Toko E - Semarang"/>
    <s v="Home &amp; Living"/>
    <x v="449"/>
    <x v="2"/>
    <n v="12"/>
  </r>
  <r>
    <x v="454"/>
    <s v="M0227"/>
    <x v="253"/>
    <s v="Toko C - Surabaya"/>
    <s v="F&amp;B"/>
    <x v="450"/>
    <x v="1"/>
    <n v="35"/>
  </r>
  <r>
    <x v="455"/>
    <s v="M0028"/>
    <x v="244"/>
    <s v="Toko F - Makassar"/>
    <s v="Health &amp; Beauty"/>
    <x v="451"/>
    <x v="0"/>
    <n v="17"/>
  </r>
  <r>
    <x v="456"/>
    <s v="M0181"/>
    <x v="98"/>
    <s v="Toko F - Makassar"/>
    <s v="Electronics"/>
    <x v="452"/>
    <x v="1"/>
    <n v="32"/>
  </r>
  <r>
    <x v="457"/>
    <s v="M0262"/>
    <x v="258"/>
    <s v="Toko A - Jakarta"/>
    <s v="Home &amp; Living"/>
    <x v="453"/>
    <x v="1"/>
    <n v="62"/>
  </r>
  <r>
    <x v="458"/>
    <s v="M0102"/>
    <x v="259"/>
    <s v="Toko G - Yogyakarta"/>
    <s v="Electronics"/>
    <x v="454"/>
    <x v="0"/>
    <n v="6"/>
  </r>
  <r>
    <x v="459"/>
    <s v="M0269"/>
    <x v="32"/>
    <s v="Toko H - Denpasar"/>
    <s v="Groceries"/>
    <x v="455"/>
    <x v="1"/>
    <n v="36"/>
  </r>
  <r>
    <x v="460"/>
    <s v="M0084"/>
    <x v="218"/>
    <s v="Toko H - Denpasar"/>
    <s v="Health &amp; Beauty"/>
    <x v="456"/>
    <x v="1"/>
    <n v="26"/>
  </r>
  <r>
    <x v="461"/>
    <s v="M0293"/>
    <x v="168"/>
    <s v="Toko E - Semarang"/>
    <s v="Home &amp; Living"/>
    <x v="457"/>
    <x v="1"/>
    <n v="33"/>
  </r>
  <r>
    <x v="462"/>
    <s v="M0044"/>
    <x v="51"/>
    <s v="Toko A - Jakarta"/>
    <s v="Home &amp; Living"/>
    <x v="458"/>
    <x v="0"/>
    <n v="41"/>
  </r>
  <r>
    <x v="463"/>
    <s v="M0166"/>
    <x v="112"/>
    <s v="Toko F - Makassar"/>
    <s v="Groceries"/>
    <x v="459"/>
    <x v="0"/>
    <n v="38"/>
  </r>
  <r>
    <x v="464"/>
    <s v="M0187"/>
    <x v="71"/>
    <s v="Toko B - Bandung"/>
    <s v="Home &amp; Living"/>
    <x v="460"/>
    <x v="1"/>
    <n v="30"/>
  </r>
  <r>
    <x v="465"/>
    <s v="M0189"/>
    <x v="260"/>
    <s v="Toko D - Medan"/>
    <s v="Home &amp; Living"/>
    <x v="461"/>
    <x v="1"/>
    <n v="33"/>
  </r>
  <r>
    <x v="466"/>
    <s v="M0236"/>
    <x v="232"/>
    <s v="Toko B - Bandung"/>
    <s v="F&amp;B"/>
    <x v="462"/>
    <x v="1"/>
    <n v="49"/>
  </r>
  <r>
    <x v="467"/>
    <s v="M0014"/>
    <x v="120"/>
    <s v="Toko D - Medan"/>
    <s v="F&amp;B"/>
    <x v="463"/>
    <x v="1"/>
    <n v="23"/>
  </r>
  <r>
    <x v="468"/>
    <s v="M0297"/>
    <x v="119"/>
    <s v="Toko G - Yogyakarta"/>
    <s v="Home &amp; Living"/>
    <x v="464"/>
    <x v="1"/>
    <n v="22"/>
  </r>
  <r>
    <x v="469"/>
    <s v="M0051"/>
    <x v="168"/>
    <s v="Toko H - Denpasar"/>
    <s v="Electronics"/>
    <x v="465"/>
    <x v="1"/>
    <n v="78"/>
  </r>
  <r>
    <x v="470"/>
    <s v="M0034"/>
    <x v="261"/>
    <s v="Toko A - Jakarta"/>
    <s v="Electronics"/>
    <x v="466"/>
    <x v="1"/>
    <n v="66"/>
  </r>
  <r>
    <x v="471"/>
    <s v="M0093"/>
    <x v="18"/>
    <s v="Toko B - Bandung"/>
    <s v="F&amp;B"/>
    <x v="467"/>
    <x v="1"/>
    <n v="4"/>
  </r>
  <r>
    <x v="472"/>
    <s v="M0096"/>
    <x v="262"/>
    <s v="Toko D - Medan"/>
    <s v="Health &amp; Beauty"/>
    <x v="468"/>
    <x v="1"/>
    <n v="17"/>
  </r>
  <r>
    <x v="473"/>
    <s v="M0197"/>
    <x v="263"/>
    <s v="Toko E - Semarang"/>
    <s v="Electronics"/>
    <x v="469"/>
    <x v="1"/>
    <n v="22"/>
  </r>
  <r>
    <x v="474"/>
    <s v="M0104"/>
    <x v="264"/>
    <s v="Toko H - Denpasar"/>
    <s v="Electronics"/>
    <x v="470"/>
    <x v="1"/>
    <n v="18"/>
  </r>
  <r>
    <x v="475"/>
    <s v="M0063"/>
    <x v="35"/>
    <s v="Toko E - Semarang"/>
    <s v="Home &amp; Living"/>
    <x v="471"/>
    <x v="1"/>
    <n v="14"/>
  </r>
  <r>
    <x v="476"/>
    <s v="M0192"/>
    <x v="114"/>
    <s v="Toko H - Denpasar"/>
    <s v="F&amp;B"/>
    <x v="472"/>
    <x v="1"/>
    <n v="33"/>
  </r>
  <r>
    <x v="477"/>
    <s v="M0074"/>
    <x v="205"/>
    <s v="Toko D - Medan"/>
    <s v="F&amp;B"/>
    <x v="473"/>
    <x v="0"/>
    <n v="7"/>
  </r>
  <r>
    <x v="478"/>
    <s v="M0167"/>
    <x v="87"/>
    <s v="Toko C - Surabaya"/>
    <s v="F&amp;B"/>
    <x v="474"/>
    <x v="2"/>
    <n v="11"/>
  </r>
  <r>
    <x v="479"/>
    <s v="M0137"/>
    <x v="61"/>
    <s v="Toko B - Bandung"/>
    <s v="Electronics"/>
    <x v="475"/>
    <x v="0"/>
    <n v="7"/>
  </r>
  <r>
    <x v="480"/>
    <s v="M0052"/>
    <x v="164"/>
    <s v="Toko B - Bandung"/>
    <s v="Fashion"/>
    <x v="476"/>
    <x v="0"/>
    <n v="40"/>
  </r>
  <r>
    <x v="481"/>
    <s v="M0093"/>
    <x v="111"/>
    <s v="Toko H - Denpasar"/>
    <s v="Fashion"/>
    <x v="477"/>
    <x v="1"/>
    <n v="75"/>
  </r>
  <r>
    <x v="482"/>
    <s v="M0189"/>
    <x v="195"/>
    <s v="Toko C - Surabaya"/>
    <s v="Groceries"/>
    <x v="478"/>
    <x v="1"/>
    <n v="44"/>
  </r>
  <r>
    <x v="483"/>
    <s v="M0114"/>
    <x v="224"/>
    <s v="Toko F - Makassar"/>
    <s v="Electronics"/>
    <x v="8"/>
    <x v="2"/>
    <n v="2"/>
  </r>
  <r>
    <x v="484"/>
    <s v="M0116"/>
    <x v="152"/>
    <s v="Toko G - Yogyakarta"/>
    <s v="Groceries"/>
    <x v="479"/>
    <x v="1"/>
    <n v="22"/>
  </r>
  <r>
    <x v="485"/>
    <s v="M0052"/>
    <x v="169"/>
    <s v="Toko D - Medan"/>
    <s v="Electronics"/>
    <x v="480"/>
    <x v="0"/>
    <n v="29"/>
  </r>
  <r>
    <x v="486"/>
    <s v="M0243"/>
    <x v="265"/>
    <s v="Toko B - Bandung"/>
    <s v="Home &amp; Living"/>
    <x v="481"/>
    <x v="0"/>
    <n v="10"/>
  </r>
  <r>
    <x v="487"/>
    <s v="M0086"/>
    <x v="217"/>
    <s v="Toko D - Medan"/>
    <s v="F&amp;B"/>
    <x v="482"/>
    <x v="2"/>
    <n v="27"/>
  </r>
  <r>
    <x v="488"/>
    <s v="M0244"/>
    <x v="262"/>
    <s v="Toko E - Semarang"/>
    <s v="Electronics"/>
    <x v="483"/>
    <x v="0"/>
    <n v="6"/>
  </r>
  <r>
    <x v="489"/>
    <s v="M0243"/>
    <x v="266"/>
    <s v="Toko G - Yogyakarta"/>
    <s v="Health &amp; Beauty"/>
    <x v="484"/>
    <x v="0"/>
    <n v="26"/>
  </r>
  <r>
    <x v="490"/>
    <s v="M0100"/>
    <x v="202"/>
    <s v="Toko D - Medan"/>
    <s v="Fashion"/>
    <x v="485"/>
    <x v="1"/>
    <n v="21"/>
  </r>
  <r>
    <x v="491"/>
    <s v="M0057"/>
    <x v="120"/>
    <s v="Toko D - Medan"/>
    <s v="Electronics"/>
    <x v="486"/>
    <x v="1"/>
    <n v="17"/>
  </r>
  <r>
    <x v="492"/>
    <s v="M0128"/>
    <x v="67"/>
    <s v="Toko H - Denpasar"/>
    <s v="Fashion"/>
    <x v="487"/>
    <x v="1"/>
    <n v="22"/>
  </r>
  <r>
    <x v="493"/>
    <s v="M0035"/>
    <x v="75"/>
    <s v="Toko E - Semarang"/>
    <s v="Home &amp; Living"/>
    <x v="488"/>
    <x v="1"/>
    <n v="26"/>
  </r>
  <r>
    <x v="494"/>
    <s v="M0272"/>
    <x v="267"/>
    <s v="Toko H - Denpasar"/>
    <s v="Health &amp; Beauty"/>
    <x v="489"/>
    <x v="1"/>
    <n v="18"/>
  </r>
  <r>
    <x v="495"/>
    <s v="M0257"/>
    <x v="268"/>
    <s v="Toko E - Semarang"/>
    <s v="F&amp;B"/>
    <x v="490"/>
    <x v="0"/>
    <n v="26"/>
  </r>
  <r>
    <x v="496"/>
    <s v="M0035"/>
    <x v="269"/>
    <s v="Toko G - Yogyakarta"/>
    <s v="Fashion"/>
    <x v="491"/>
    <x v="1"/>
    <n v="7"/>
  </r>
  <r>
    <x v="497"/>
    <s v="M0056"/>
    <x v="175"/>
    <s v="Toko E - Semarang"/>
    <s v="Health &amp; Beauty"/>
    <x v="492"/>
    <x v="0"/>
    <n v="41"/>
  </r>
  <r>
    <x v="498"/>
    <s v="M0194"/>
    <x v="201"/>
    <s v="Toko H - Denpasar"/>
    <s v="Fashion"/>
    <x v="493"/>
    <x v="0"/>
    <n v="31"/>
  </r>
  <r>
    <x v="499"/>
    <s v="M0204"/>
    <x v="9"/>
    <s v="Toko D - Medan"/>
    <s v="Fashion"/>
    <x v="494"/>
    <x v="0"/>
    <n v="13"/>
  </r>
  <r>
    <x v="500"/>
    <s v="M0076"/>
    <x v="139"/>
    <s v="Toko D - Medan"/>
    <s v="Groceries"/>
    <x v="495"/>
    <x v="2"/>
    <n v="10"/>
  </r>
  <r>
    <x v="501"/>
    <s v="M0249"/>
    <x v="270"/>
    <s v="Toko B - Bandung"/>
    <s v="Groceries"/>
    <x v="496"/>
    <x v="0"/>
    <n v="3"/>
  </r>
  <r>
    <x v="502"/>
    <s v="M0259"/>
    <x v="144"/>
    <s v="Toko C - Surabaya"/>
    <s v="Home &amp; Living"/>
    <x v="497"/>
    <x v="1"/>
    <n v="13"/>
  </r>
  <r>
    <x v="503"/>
    <s v="M0186"/>
    <x v="5"/>
    <s v="Toko B - Bandung"/>
    <s v="Electronics"/>
    <x v="498"/>
    <x v="0"/>
    <n v="8"/>
  </r>
  <r>
    <x v="504"/>
    <s v="M0277"/>
    <x v="271"/>
    <s v="Toko H - Denpasar"/>
    <s v="Electronics"/>
    <x v="499"/>
    <x v="1"/>
    <n v="5"/>
  </r>
  <r>
    <x v="505"/>
    <s v="M0070"/>
    <x v="20"/>
    <s v="Toko G - Yogyakarta"/>
    <s v="F&amp;B"/>
    <x v="500"/>
    <x v="0"/>
    <n v="24"/>
  </r>
  <r>
    <x v="506"/>
    <s v="M0166"/>
    <x v="241"/>
    <s v="Toko E - Semarang"/>
    <s v="Electronics"/>
    <x v="501"/>
    <x v="0"/>
    <n v="11"/>
  </r>
  <r>
    <x v="507"/>
    <s v="M0123"/>
    <x v="11"/>
    <s v="Toko G - Yogyakarta"/>
    <s v="Fashion"/>
    <x v="502"/>
    <x v="2"/>
    <n v="43"/>
  </r>
  <r>
    <x v="508"/>
    <s v="M0253"/>
    <x v="254"/>
    <s v="Toko B - Bandung"/>
    <s v="Groceries"/>
    <x v="503"/>
    <x v="1"/>
    <n v="28"/>
  </r>
  <r>
    <x v="509"/>
    <s v="M0204"/>
    <x v="272"/>
    <s v="Toko A - Jakarta"/>
    <s v="Electronics"/>
    <x v="504"/>
    <x v="0"/>
    <n v="54"/>
  </r>
  <r>
    <x v="510"/>
    <s v="M0227"/>
    <x v="145"/>
    <s v="Toko B - Bandung"/>
    <s v="Electronics"/>
    <x v="505"/>
    <x v="1"/>
    <n v="37"/>
  </r>
  <r>
    <x v="511"/>
    <s v="M0187"/>
    <x v="273"/>
    <s v="Toko B - Bandung"/>
    <s v="F&amp;B"/>
    <x v="506"/>
    <x v="1"/>
    <n v="35"/>
  </r>
  <r>
    <x v="512"/>
    <s v="M0189"/>
    <x v="160"/>
    <s v="Toko B - Bandung"/>
    <s v="Groceries"/>
    <x v="507"/>
    <x v="1"/>
    <n v="48"/>
  </r>
  <r>
    <x v="513"/>
    <s v="M0051"/>
    <x v="127"/>
    <s v="Toko F - Makassar"/>
    <s v="Fashion"/>
    <x v="508"/>
    <x v="1"/>
    <n v="39"/>
  </r>
  <r>
    <x v="514"/>
    <s v="M0162"/>
    <x v="89"/>
    <s v="Toko F - Makassar"/>
    <s v="Electronics"/>
    <x v="509"/>
    <x v="2"/>
    <n v="31"/>
  </r>
  <r>
    <x v="515"/>
    <s v="M0093"/>
    <x v="121"/>
    <s v="Toko F - Makassar"/>
    <s v="Groceries"/>
    <x v="510"/>
    <x v="1"/>
    <n v="68"/>
  </r>
  <r>
    <x v="516"/>
    <s v="M0265"/>
    <x v="274"/>
    <s v="Toko B - Bandung"/>
    <s v="Electronics"/>
    <x v="511"/>
    <x v="1"/>
    <n v="25"/>
  </r>
  <r>
    <x v="517"/>
    <s v="M0248"/>
    <x v="99"/>
    <s v="Toko A - Jakarta"/>
    <s v="Health &amp; Beauty"/>
    <x v="512"/>
    <x v="1"/>
    <n v="110"/>
  </r>
  <r>
    <x v="518"/>
    <s v="M0204"/>
    <x v="255"/>
    <s v="Toko F - Makassar"/>
    <s v="Electronics"/>
    <x v="513"/>
    <x v="0"/>
    <n v="26"/>
  </r>
  <r>
    <x v="519"/>
    <s v="M0079"/>
    <x v="160"/>
    <s v="Toko B - Bandung"/>
    <s v="Electronics"/>
    <x v="514"/>
    <x v="1"/>
    <n v="10"/>
  </r>
  <r>
    <x v="520"/>
    <s v="M0264"/>
    <x v="123"/>
    <s v="Toko A - Jakarta"/>
    <s v="Electronics"/>
    <x v="515"/>
    <x v="1"/>
    <n v="26"/>
  </r>
  <r>
    <x v="521"/>
    <s v="M0244"/>
    <x v="32"/>
    <s v="Toko C - Surabaya"/>
    <s v="Health &amp; Beauty"/>
    <x v="516"/>
    <x v="0"/>
    <n v="82"/>
  </r>
  <r>
    <x v="522"/>
    <s v="M0138"/>
    <x v="275"/>
    <s v="Toko H - Denpasar"/>
    <s v="Fashion"/>
    <x v="517"/>
    <x v="1"/>
    <n v="23"/>
  </r>
  <r>
    <x v="523"/>
    <s v="M0218"/>
    <x v="276"/>
    <s v="Toko D - Medan"/>
    <s v="Fashion"/>
    <x v="518"/>
    <x v="1"/>
    <n v="41"/>
  </r>
  <r>
    <x v="524"/>
    <s v="M0276"/>
    <x v="31"/>
    <s v="Toko E - Semarang"/>
    <s v="Electronics"/>
    <x v="519"/>
    <x v="1"/>
    <n v="31"/>
  </r>
  <r>
    <x v="525"/>
    <s v="M0265"/>
    <x v="247"/>
    <s v="Toko B - Bandung"/>
    <s v="F&amp;B"/>
    <x v="520"/>
    <x v="1"/>
    <n v="14"/>
  </r>
  <r>
    <x v="526"/>
    <s v="M0003"/>
    <x v="256"/>
    <s v="Toko C - Surabaya"/>
    <s v="Fashion"/>
    <x v="521"/>
    <x v="0"/>
    <n v="12"/>
  </r>
  <r>
    <x v="527"/>
    <s v="M0114"/>
    <x v="277"/>
    <s v="Toko C - Surabaya"/>
    <s v="Groceries"/>
    <x v="522"/>
    <x v="2"/>
    <n v="27"/>
  </r>
  <r>
    <x v="528"/>
    <s v="M0093"/>
    <x v="2"/>
    <s v="Toko A - Jakarta"/>
    <s v="Electronics"/>
    <x v="523"/>
    <x v="1"/>
    <n v="12"/>
  </r>
  <r>
    <x v="529"/>
    <s v="M0077"/>
    <x v="157"/>
    <s v="Toko G - Yogyakarta"/>
    <s v="Groceries"/>
    <x v="524"/>
    <x v="1"/>
    <n v="13"/>
  </r>
  <r>
    <x v="530"/>
    <s v="M0281"/>
    <x v="97"/>
    <s v="Toko B - Bandung"/>
    <s v="Health &amp; Beauty"/>
    <x v="525"/>
    <x v="0"/>
    <n v="9"/>
  </r>
  <r>
    <x v="531"/>
    <s v="M0122"/>
    <x v="196"/>
    <s v="Toko F - Makassar"/>
    <s v="Electronics"/>
    <x v="526"/>
    <x v="1"/>
    <n v="45"/>
  </r>
  <r>
    <x v="532"/>
    <s v="M0230"/>
    <x v="46"/>
    <s v="Toko C - Surabaya"/>
    <s v="F&amp;B"/>
    <x v="527"/>
    <x v="1"/>
    <n v="94"/>
  </r>
  <r>
    <x v="533"/>
    <s v="M0054"/>
    <x v="27"/>
    <s v="Toko C - Surabaya"/>
    <s v="Health &amp; Beauty"/>
    <x v="528"/>
    <x v="2"/>
    <n v="62"/>
  </r>
  <r>
    <x v="534"/>
    <s v="M0018"/>
    <x v="278"/>
    <s v="Toko A - Jakarta"/>
    <s v="Health &amp; Beauty"/>
    <x v="529"/>
    <x v="0"/>
    <n v="61"/>
  </r>
  <r>
    <x v="535"/>
    <s v="M0152"/>
    <x v="176"/>
    <s v="Toko G - Yogyakarta"/>
    <s v="Health &amp; Beauty"/>
    <x v="530"/>
    <x v="1"/>
    <n v="14"/>
  </r>
  <r>
    <x v="536"/>
    <s v="M0160"/>
    <x v="0"/>
    <s v="Toko A - Jakarta"/>
    <s v="Health &amp; Beauty"/>
    <x v="531"/>
    <x v="0"/>
    <n v="62"/>
  </r>
  <r>
    <x v="537"/>
    <s v="M0220"/>
    <x v="184"/>
    <s v="Toko H - Denpasar"/>
    <s v="Fashion"/>
    <x v="532"/>
    <x v="0"/>
    <n v="7"/>
  </r>
  <r>
    <x v="538"/>
    <s v="M0171"/>
    <x v="253"/>
    <s v="Toko E - Semarang"/>
    <s v="Groceries"/>
    <x v="533"/>
    <x v="1"/>
    <n v="20"/>
  </r>
  <r>
    <x v="539"/>
    <s v="M0078"/>
    <x v="212"/>
    <s v="Toko G - Yogyakarta"/>
    <s v="Home &amp; Living"/>
    <x v="534"/>
    <x v="0"/>
    <n v="22"/>
  </r>
  <r>
    <x v="540"/>
    <s v="M0237"/>
    <x v="234"/>
    <s v="Toko H - Denpasar"/>
    <s v="F&amp;B"/>
    <x v="535"/>
    <x v="2"/>
    <n v="62"/>
  </r>
  <r>
    <x v="541"/>
    <s v="M0214"/>
    <x v="278"/>
    <s v="Toko C - Surabaya"/>
    <s v="Home &amp; Living"/>
    <x v="536"/>
    <x v="1"/>
    <n v="13"/>
  </r>
  <r>
    <x v="542"/>
    <s v="M0112"/>
    <x v="279"/>
    <s v="Toko D - Medan"/>
    <s v="Home &amp; Living"/>
    <x v="8"/>
    <x v="1"/>
    <n v="2"/>
  </r>
  <r>
    <x v="543"/>
    <s v="M0087"/>
    <x v="280"/>
    <s v="Toko F - Makassar"/>
    <s v="Home &amp; Living"/>
    <x v="537"/>
    <x v="1"/>
    <n v="6"/>
  </r>
  <r>
    <x v="544"/>
    <s v="M0171"/>
    <x v="125"/>
    <s v="Toko A - Jakarta"/>
    <s v="Home &amp; Living"/>
    <x v="538"/>
    <x v="1"/>
    <n v="45"/>
  </r>
  <r>
    <x v="545"/>
    <s v="M0220"/>
    <x v="0"/>
    <s v="Toko D - Medan"/>
    <s v="Health &amp; Beauty"/>
    <x v="539"/>
    <x v="0"/>
    <n v="13"/>
  </r>
  <r>
    <x v="546"/>
    <s v="M0189"/>
    <x v="237"/>
    <s v="Toko B - Bandung"/>
    <s v="Fashion"/>
    <x v="540"/>
    <x v="1"/>
    <n v="19"/>
  </r>
  <r>
    <x v="547"/>
    <s v="M0175"/>
    <x v="249"/>
    <s v="Toko H - Denpasar"/>
    <s v="Electronics"/>
    <x v="541"/>
    <x v="1"/>
    <n v="41"/>
  </r>
  <r>
    <x v="548"/>
    <s v="M0297"/>
    <x v="281"/>
    <s v="Toko G - Yogyakarta"/>
    <s v="Fashion"/>
    <x v="542"/>
    <x v="1"/>
    <n v="45"/>
  </r>
  <r>
    <x v="549"/>
    <s v="M0178"/>
    <x v="100"/>
    <s v="Toko E - Semarang"/>
    <s v="Home &amp; Living"/>
    <x v="543"/>
    <x v="0"/>
    <n v="14"/>
  </r>
  <r>
    <x v="550"/>
    <s v="M0281"/>
    <x v="32"/>
    <s v="Toko F - Makassar"/>
    <s v="Groceries"/>
    <x v="544"/>
    <x v="0"/>
    <n v="30"/>
  </r>
  <r>
    <x v="551"/>
    <s v="M0183"/>
    <x v="87"/>
    <s v="Toko D - Medan"/>
    <s v="Electronics"/>
    <x v="545"/>
    <x v="0"/>
    <n v="51"/>
  </r>
  <r>
    <x v="552"/>
    <s v="M0130"/>
    <x v="22"/>
    <s v="Toko A - Jakarta"/>
    <s v="Groceries"/>
    <x v="546"/>
    <x v="1"/>
    <n v="9"/>
  </r>
  <r>
    <x v="553"/>
    <s v="M0181"/>
    <x v="156"/>
    <s v="Toko E - Semarang"/>
    <s v="Home &amp; Living"/>
    <x v="547"/>
    <x v="1"/>
    <n v="3"/>
  </r>
  <r>
    <x v="554"/>
    <s v="M0074"/>
    <x v="236"/>
    <s v="Toko H - Denpasar"/>
    <s v="Fashion"/>
    <x v="548"/>
    <x v="0"/>
    <n v="21"/>
  </r>
  <r>
    <x v="555"/>
    <s v="M0008"/>
    <x v="50"/>
    <s v="Toko G - Yogyakarta"/>
    <s v="Health &amp; Beauty"/>
    <x v="549"/>
    <x v="0"/>
    <n v="45"/>
  </r>
  <r>
    <x v="556"/>
    <s v="M0077"/>
    <x v="282"/>
    <s v="Toko H - Denpasar"/>
    <s v="Electronics"/>
    <x v="550"/>
    <x v="1"/>
    <n v="27"/>
  </r>
  <r>
    <x v="557"/>
    <s v="M0081"/>
    <x v="283"/>
    <s v="Toko G - Yogyakarta"/>
    <s v="Fashion"/>
    <x v="551"/>
    <x v="1"/>
    <n v="37"/>
  </r>
  <r>
    <x v="558"/>
    <s v="M0140"/>
    <x v="195"/>
    <s v="Toko B - Bandung"/>
    <s v="Fashion"/>
    <x v="552"/>
    <x v="1"/>
    <n v="34"/>
  </r>
  <r>
    <x v="559"/>
    <s v="M0140"/>
    <x v="85"/>
    <s v="Toko G - Yogyakarta"/>
    <s v="F&amp;B"/>
    <x v="553"/>
    <x v="1"/>
    <n v="35"/>
  </r>
  <r>
    <x v="560"/>
    <s v="M0276"/>
    <x v="209"/>
    <s v="Toko F - Makassar"/>
    <s v="F&amp;B"/>
    <x v="554"/>
    <x v="1"/>
    <n v="51"/>
  </r>
  <r>
    <x v="561"/>
    <s v="M0044"/>
    <x v="65"/>
    <s v="Toko F - Makassar"/>
    <s v="Home &amp; Living"/>
    <x v="555"/>
    <x v="0"/>
    <n v="44"/>
  </r>
  <r>
    <x v="562"/>
    <s v="M0184"/>
    <x v="197"/>
    <s v="Toko B - Bandung"/>
    <s v="Groceries"/>
    <x v="556"/>
    <x v="1"/>
    <n v="85"/>
  </r>
  <r>
    <x v="563"/>
    <s v="M0183"/>
    <x v="284"/>
    <s v="Toko B - Bandung"/>
    <s v="Health &amp; Beauty"/>
    <x v="557"/>
    <x v="0"/>
    <n v="69"/>
  </r>
  <r>
    <x v="564"/>
    <s v="M0171"/>
    <x v="285"/>
    <s v="Toko H - Denpasar"/>
    <s v="Health &amp; Beauty"/>
    <x v="558"/>
    <x v="1"/>
    <n v="19"/>
  </r>
  <r>
    <x v="565"/>
    <s v="M0081"/>
    <x v="225"/>
    <s v="Toko G - Yogyakarta"/>
    <s v="Home &amp; Living"/>
    <x v="559"/>
    <x v="1"/>
    <n v="13"/>
  </r>
  <r>
    <x v="566"/>
    <s v="M0097"/>
    <x v="30"/>
    <s v="Toko H - Denpasar"/>
    <s v="Fashion"/>
    <x v="560"/>
    <x v="1"/>
    <n v="32"/>
  </r>
  <r>
    <x v="567"/>
    <s v="M0234"/>
    <x v="246"/>
    <s v="Toko E - Semarang"/>
    <s v="Electronics"/>
    <x v="561"/>
    <x v="1"/>
    <n v="27"/>
  </r>
  <r>
    <x v="568"/>
    <s v="M0015"/>
    <x v="3"/>
    <s v="Toko B - Bandung"/>
    <s v="Groceries"/>
    <x v="562"/>
    <x v="1"/>
    <n v="12"/>
  </r>
  <r>
    <x v="569"/>
    <s v="M0269"/>
    <x v="94"/>
    <s v="Toko F - Makassar"/>
    <s v="Home &amp; Living"/>
    <x v="563"/>
    <x v="1"/>
    <n v="70"/>
  </r>
  <r>
    <x v="570"/>
    <s v="M0092"/>
    <x v="252"/>
    <s v="Toko F - Makassar"/>
    <s v="Health &amp; Beauty"/>
    <x v="564"/>
    <x v="1"/>
    <n v="14"/>
  </r>
  <r>
    <x v="571"/>
    <s v="M0252"/>
    <x v="253"/>
    <s v="Toko D - Medan"/>
    <s v="Electronics"/>
    <x v="565"/>
    <x v="2"/>
    <n v="17"/>
  </r>
  <r>
    <x v="572"/>
    <s v="M0034"/>
    <x v="133"/>
    <s v="Toko C - Surabaya"/>
    <s v="Home &amp; Living"/>
    <x v="566"/>
    <x v="1"/>
    <n v="16"/>
  </r>
  <r>
    <x v="573"/>
    <s v="M0064"/>
    <x v="45"/>
    <s v="Toko F - Makassar"/>
    <s v="Groceries"/>
    <x v="567"/>
    <x v="2"/>
    <n v="20"/>
  </r>
  <r>
    <x v="574"/>
    <s v="M0019"/>
    <x v="286"/>
    <s v="Toko B - Bandung"/>
    <s v="Electronics"/>
    <x v="568"/>
    <x v="1"/>
    <n v="11"/>
  </r>
  <r>
    <x v="575"/>
    <s v="M0157"/>
    <x v="119"/>
    <s v="Toko A - Jakarta"/>
    <s v="Home &amp; Living"/>
    <x v="569"/>
    <x v="1"/>
    <n v="55"/>
  </r>
  <r>
    <x v="576"/>
    <s v="M0121"/>
    <x v="287"/>
    <s v="Toko G - Yogyakarta"/>
    <s v="Health &amp; Beauty"/>
    <x v="570"/>
    <x v="1"/>
    <n v="90"/>
  </r>
  <r>
    <x v="577"/>
    <s v="M0181"/>
    <x v="180"/>
    <s v="Toko D - Medan"/>
    <s v="Health &amp; Beauty"/>
    <x v="571"/>
    <x v="1"/>
    <n v="5"/>
  </r>
  <r>
    <x v="578"/>
    <s v="M0086"/>
    <x v="48"/>
    <s v="Toko B - Bandung"/>
    <s v="F&amp;B"/>
    <x v="572"/>
    <x v="2"/>
    <n v="19"/>
  </r>
  <r>
    <x v="579"/>
    <s v="M0077"/>
    <x v="288"/>
    <s v="Toko D - Medan"/>
    <s v="Home &amp; Living"/>
    <x v="573"/>
    <x v="1"/>
    <n v="57"/>
  </r>
  <r>
    <x v="580"/>
    <s v="M0088"/>
    <x v="51"/>
    <s v="Toko A - Jakarta"/>
    <s v="Electronics"/>
    <x v="574"/>
    <x v="0"/>
    <n v="40"/>
  </r>
  <r>
    <x v="581"/>
    <s v="M0285"/>
    <x v="21"/>
    <s v="Toko E - Semarang"/>
    <s v="Home &amp; Living"/>
    <x v="575"/>
    <x v="0"/>
    <n v="22"/>
  </r>
  <r>
    <x v="582"/>
    <s v="M0088"/>
    <x v="243"/>
    <s v="Toko H - Denpasar"/>
    <s v="Electronics"/>
    <x v="576"/>
    <x v="0"/>
    <n v="14"/>
  </r>
  <r>
    <x v="583"/>
    <s v="M0277"/>
    <x v="0"/>
    <s v="Toko D - Medan"/>
    <s v="Groceries"/>
    <x v="577"/>
    <x v="1"/>
    <n v="43"/>
  </r>
  <r>
    <x v="584"/>
    <s v="M0253"/>
    <x v="51"/>
    <s v="Toko H - Denpasar"/>
    <s v="Health &amp; Beauty"/>
    <x v="578"/>
    <x v="1"/>
    <n v="59"/>
  </r>
  <r>
    <x v="585"/>
    <s v="M0268"/>
    <x v="43"/>
    <s v="Toko H - Denpasar"/>
    <s v="Health &amp; Beauty"/>
    <x v="579"/>
    <x v="0"/>
    <n v="23"/>
  </r>
  <r>
    <x v="586"/>
    <s v="M0232"/>
    <x v="38"/>
    <s v="Toko E - Semarang"/>
    <s v="Home &amp; Living"/>
    <x v="580"/>
    <x v="1"/>
    <n v="17"/>
  </r>
  <r>
    <x v="587"/>
    <s v="M0189"/>
    <x v="87"/>
    <s v="Toko C - Surabaya"/>
    <s v="Groceries"/>
    <x v="581"/>
    <x v="1"/>
    <n v="18"/>
  </r>
  <r>
    <x v="588"/>
    <s v="M0283"/>
    <x v="130"/>
    <s v="Toko C - Surabaya"/>
    <s v="Groceries"/>
    <x v="582"/>
    <x v="1"/>
    <n v="15"/>
  </r>
  <r>
    <x v="589"/>
    <s v="M0039"/>
    <x v="226"/>
    <s v="Toko B - Bandung"/>
    <s v="Health &amp; Beauty"/>
    <x v="583"/>
    <x v="0"/>
    <n v="51"/>
  </r>
  <r>
    <x v="590"/>
    <s v="M0035"/>
    <x v="55"/>
    <s v="Toko H - Denpasar"/>
    <s v="F&amp;B"/>
    <x v="584"/>
    <x v="1"/>
    <n v="10"/>
  </r>
  <r>
    <x v="591"/>
    <s v="M0044"/>
    <x v="147"/>
    <s v="Toko G - Yogyakarta"/>
    <s v="Electronics"/>
    <x v="585"/>
    <x v="0"/>
    <n v="24"/>
  </r>
  <r>
    <x v="592"/>
    <s v="M0204"/>
    <x v="64"/>
    <s v="Toko D - Medan"/>
    <s v="Health &amp; Beauty"/>
    <x v="586"/>
    <x v="0"/>
    <n v="10"/>
  </r>
  <r>
    <x v="593"/>
    <s v="M0125"/>
    <x v="78"/>
    <s v="Toko G - Yogyakarta"/>
    <s v="Home &amp; Living"/>
    <x v="587"/>
    <x v="0"/>
    <n v="13"/>
  </r>
  <r>
    <x v="594"/>
    <s v="M0273"/>
    <x v="151"/>
    <s v="Toko A - Jakarta"/>
    <s v="Electronics"/>
    <x v="588"/>
    <x v="1"/>
    <n v="45"/>
  </r>
  <r>
    <x v="595"/>
    <s v="M0056"/>
    <x v="258"/>
    <s v="Toko E - Semarang"/>
    <s v="Fashion"/>
    <x v="589"/>
    <x v="0"/>
    <n v="45"/>
  </r>
  <r>
    <x v="596"/>
    <s v="M0212"/>
    <x v="289"/>
    <s v="Toko C - Surabaya"/>
    <s v="Home &amp; Living"/>
    <x v="590"/>
    <x v="2"/>
    <n v="60"/>
  </r>
  <r>
    <x v="597"/>
    <s v="M0183"/>
    <x v="16"/>
    <s v="Toko D - Medan"/>
    <s v="Electronics"/>
    <x v="591"/>
    <x v="0"/>
    <n v="20"/>
  </r>
  <r>
    <x v="598"/>
    <s v="M0031"/>
    <x v="117"/>
    <s v="Toko F - Makassar"/>
    <s v="Groceries"/>
    <x v="592"/>
    <x v="1"/>
    <n v="16"/>
  </r>
  <r>
    <x v="599"/>
    <s v="M0051"/>
    <x v="157"/>
    <s v="Toko H - Denpasar"/>
    <s v="Fashion"/>
    <x v="593"/>
    <x v="1"/>
    <n v="55"/>
  </r>
  <r>
    <x v="600"/>
    <s v="M0122"/>
    <x v="290"/>
    <s v="Toko G - Yogyakarta"/>
    <s v="Home &amp; Living"/>
    <x v="594"/>
    <x v="1"/>
    <n v="29"/>
  </r>
  <r>
    <x v="601"/>
    <s v="M0089"/>
    <x v="172"/>
    <s v="Toko C - Surabaya"/>
    <s v="Home &amp; Living"/>
    <x v="595"/>
    <x v="2"/>
    <n v="16"/>
  </r>
  <r>
    <x v="602"/>
    <s v="M0096"/>
    <x v="162"/>
    <s v="Toko F - Makassar"/>
    <s v="Electronics"/>
    <x v="596"/>
    <x v="1"/>
    <n v="15"/>
  </r>
  <r>
    <x v="603"/>
    <s v="M0007"/>
    <x v="262"/>
    <s v="Toko B - Bandung"/>
    <s v="Electronics"/>
    <x v="597"/>
    <x v="1"/>
    <n v="16"/>
  </r>
  <r>
    <x v="604"/>
    <s v="M0140"/>
    <x v="277"/>
    <s v="Toko D - Medan"/>
    <s v="Home &amp; Living"/>
    <x v="598"/>
    <x v="1"/>
    <n v="16"/>
  </r>
  <r>
    <x v="605"/>
    <s v="M0171"/>
    <x v="265"/>
    <s v="Toko H - Denpasar"/>
    <s v="Fashion"/>
    <x v="599"/>
    <x v="1"/>
    <n v="24"/>
  </r>
  <r>
    <x v="606"/>
    <s v="M0277"/>
    <x v="11"/>
    <s v="Toko F - Makassar"/>
    <s v="Fashion"/>
    <x v="600"/>
    <x v="1"/>
    <n v="16"/>
  </r>
  <r>
    <x v="607"/>
    <s v="M0055"/>
    <x v="219"/>
    <s v="Toko D - Medan"/>
    <s v="Home &amp; Living"/>
    <x v="601"/>
    <x v="1"/>
    <n v="30"/>
  </r>
  <r>
    <x v="608"/>
    <s v="M0166"/>
    <x v="291"/>
    <s v="Toko A - Jakarta"/>
    <s v="Home &amp; Living"/>
    <x v="602"/>
    <x v="0"/>
    <n v="32"/>
  </r>
  <r>
    <x v="609"/>
    <s v="M0251"/>
    <x v="155"/>
    <s v="Toko B - Bandung"/>
    <s v="Electronics"/>
    <x v="603"/>
    <x v="1"/>
    <n v="28"/>
  </r>
  <r>
    <x v="610"/>
    <s v="M0128"/>
    <x v="14"/>
    <s v="Toko D - Medan"/>
    <s v="Groceries"/>
    <x v="604"/>
    <x v="1"/>
    <n v="28"/>
  </r>
  <r>
    <x v="611"/>
    <s v="M0039"/>
    <x v="44"/>
    <s v="Toko H - Denpasar"/>
    <s v="Home &amp; Living"/>
    <x v="8"/>
    <x v="0"/>
    <n v="2"/>
  </r>
  <r>
    <x v="612"/>
    <s v="M0113"/>
    <x v="291"/>
    <s v="Toko D - Medan"/>
    <s v="Groceries"/>
    <x v="605"/>
    <x v="1"/>
    <n v="13"/>
  </r>
  <r>
    <x v="613"/>
    <s v="M0262"/>
    <x v="159"/>
    <s v="Toko C - Surabaya"/>
    <s v="Health &amp; Beauty"/>
    <x v="606"/>
    <x v="1"/>
    <n v="40"/>
  </r>
  <r>
    <x v="614"/>
    <s v="M0175"/>
    <x v="160"/>
    <s v="Toko C - Surabaya"/>
    <s v="Home &amp; Living"/>
    <x v="607"/>
    <x v="1"/>
    <n v="35"/>
  </r>
  <r>
    <x v="615"/>
    <s v="M0113"/>
    <x v="59"/>
    <s v="Toko D - Medan"/>
    <s v="Groceries"/>
    <x v="608"/>
    <x v="1"/>
    <n v="13"/>
  </r>
  <r>
    <x v="616"/>
    <s v="M0012"/>
    <x v="52"/>
    <s v="Toko C - Surabaya"/>
    <s v="Health &amp; Beauty"/>
    <x v="609"/>
    <x v="0"/>
    <n v="17"/>
  </r>
  <r>
    <x v="617"/>
    <s v="M0027"/>
    <x v="288"/>
    <s v="Toko F - Makassar"/>
    <s v="Home &amp; Living"/>
    <x v="610"/>
    <x v="1"/>
    <n v="22"/>
  </r>
  <r>
    <x v="618"/>
    <s v="M0039"/>
    <x v="292"/>
    <s v="Toko A - Jakarta"/>
    <s v="Home &amp; Living"/>
    <x v="611"/>
    <x v="0"/>
    <n v="19"/>
  </r>
  <r>
    <x v="619"/>
    <s v="M0213"/>
    <x v="208"/>
    <s v="Toko E - Semarang"/>
    <s v="Health &amp; Beauty"/>
    <x v="612"/>
    <x v="1"/>
    <n v="15"/>
  </r>
  <r>
    <x v="620"/>
    <s v="M0023"/>
    <x v="293"/>
    <s v="Toko E - Semarang"/>
    <s v="Electronics"/>
    <x v="613"/>
    <x v="1"/>
    <n v="12"/>
  </r>
  <r>
    <x v="621"/>
    <s v="M0116"/>
    <x v="294"/>
    <s v="Toko B - Bandung"/>
    <s v="Home &amp; Living"/>
    <x v="614"/>
    <x v="1"/>
    <n v="8"/>
  </r>
  <r>
    <x v="622"/>
    <s v="M0140"/>
    <x v="117"/>
    <s v="Toko C - Surabaya"/>
    <s v="Electronics"/>
    <x v="615"/>
    <x v="1"/>
    <n v="20"/>
  </r>
  <r>
    <x v="623"/>
    <s v="M0235"/>
    <x v="108"/>
    <s v="Toko E - Semarang"/>
    <s v="Health &amp; Beauty"/>
    <x v="616"/>
    <x v="0"/>
    <n v="74"/>
  </r>
  <r>
    <x v="624"/>
    <s v="M0268"/>
    <x v="52"/>
    <s v="Toko H - Denpasar"/>
    <s v="Electronics"/>
    <x v="617"/>
    <x v="0"/>
    <n v="12"/>
  </r>
  <r>
    <x v="625"/>
    <s v="M0116"/>
    <x v="193"/>
    <s v="Toko F - Makassar"/>
    <s v="F&amp;B"/>
    <x v="618"/>
    <x v="1"/>
    <n v="9"/>
  </r>
  <r>
    <x v="626"/>
    <s v="M0148"/>
    <x v="295"/>
    <s v="Toko C - Surabaya"/>
    <s v="Health &amp; Beauty"/>
    <x v="619"/>
    <x v="0"/>
    <n v="5"/>
  </r>
  <r>
    <x v="627"/>
    <s v="M0105"/>
    <x v="105"/>
    <s v="Toko B - Bandung"/>
    <s v="Fashion"/>
    <x v="620"/>
    <x v="1"/>
    <n v="56"/>
  </r>
  <r>
    <x v="628"/>
    <s v="M0149"/>
    <x v="218"/>
    <s v="Toko F - Makassar"/>
    <s v="Home &amp; Living"/>
    <x v="621"/>
    <x v="1"/>
    <n v="18"/>
  </r>
  <r>
    <x v="629"/>
    <s v="M0186"/>
    <x v="133"/>
    <s v="Toko C - Surabaya"/>
    <s v="Health &amp; Beauty"/>
    <x v="622"/>
    <x v="0"/>
    <n v="12"/>
  </r>
  <r>
    <x v="630"/>
    <s v="M0078"/>
    <x v="113"/>
    <s v="Toko H - Denpasar"/>
    <s v="Electronics"/>
    <x v="623"/>
    <x v="0"/>
    <n v="12"/>
  </r>
  <r>
    <x v="631"/>
    <s v="M0281"/>
    <x v="61"/>
    <s v="Toko G - Yogyakarta"/>
    <s v="F&amp;B"/>
    <x v="624"/>
    <x v="0"/>
    <n v="80"/>
  </r>
  <r>
    <x v="632"/>
    <s v="M0010"/>
    <x v="243"/>
    <s v="Toko G - Yogyakarta"/>
    <s v="Health &amp; Beauty"/>
    <x v="625"/>
    <x v="1"/>
    <n v="12"/>
  </r>
  <r>
    <x v="633"/>
    <s v="M0228"/>
    <x v="105"/>
    <s v="Toko E - Semarang"/>
    <s v="Health &amp; Beauty"/>
    <x v="626"/>
    <x v="0"/>
    <n v="33"/>
  </r>
  <r>
    <x v="634"/>
    <s v="M0204"/>
    <x v="294"/>
    <s v="Toko E - Semarang"/>
    <s v="Groceries"/>
    <x v="627"/>
    <x v="0"/>
    <n v="16"/>
  </r>
  <r>
    <x v="635"/>
    <s v="M0049"/>
    <x v="1"/>
    <s v="Toko H - Denpasar"/>
    <s v="Fashion"/>
    <x v="628"/>
    <x v="1"/>
    <n v="29"/>
  </r>
  <r>
    <x v="636"/>
    <s v="M0070"/>
    <x v="198"/>
    <s v="Toko F - Makassar"/>
    <s v="Fashion"/>
    <x v="629"/>
    <x v="0"/>
    <n v="32"/>
  </r>
  <r>
    <x v="637"/>
    <s v="M0013"/>
    <x v="296"/>
    <s v="Toko B - Bandung"/>
    <s v="Home &amp; Living"/>
    <x v="630"/>
    <x v="1"/>
    <n v="68"/>
  </r>
  <r>
    <x v="638"/>
    <s v="M0186"/>
    <x v="297"/>
    <s v="Toko A - Jakarta"/>
    <s v="Groceries"/>
    <x v="631"/>
    <x v="0"/>
    <n v="37"/>
  </r>
  <r>
    <x v="639"/>
    <s v="M0068"/>
    <x v="298"/>
    <s v="Toko E - Semarang"/>
    <s v="F&amp;B"/>
    <x v="632"/>
    <x v="0"/>
    <n v="7"/>
  </r>
  <r>
    <x v="640"/>
    <s v="M0242"/>
    <x v="181"/>
    <s v="Toko G - Yogyakarta"/>
    <s v="Health &amp; Beauty"/>
    <x v="633"/>
    <x v="1"/>
    <n v="39"/>
  </r>
  <r>
    <x v="641"/>
    <s v="M0222"/>
    <x v="107"/>
    <s v="Toko H - Denpasar"/>
    <s v="Fashion"/>
    <x v="634"/>
    <x v="0"/>
    <n v="11"/>
  </r>
  <r>
    <x v="642"/>
    <s v="M0234"/>
    <x v="98"/>
    <s v="Toko B - Bandung"/>
    <s v="Fashion"/>
    <x v="635"/>
    <x v="1"/>
    <n v="7"/>
  </r>
  <r>
    <x v="643"/>
    <s v="M0104"/>
    <x v="55"/>
    <s v="Toko F - Makassar"/>
    <s v="Groceries"/>
    <x v="636"/>
    <x v="1"/>
    <n v="34"/>
  </r>
  <r>
    <x v="644"/>
    <s v="M0154"/>
    <x v="13"/>
    <s v="Toko A - Jakarta"/>
    <s v="Home &amp; Living"/>
    <x v="637"/>
    <x v="1"/>
    <n v="6"/>
  </r>
  <r>
    <x v="645"/>
    <s v="M0218"/>
    <x v="182"/>
    <s v="Toko F - Makassar"/>
    <s v="F&amp;B"/>
    <x v="638"/>
    <x v="1"/>
    <n v="14"/>
  </r>
  <r>
    <x v="646"/>
    <s v="M0081"/>
    <x v="299"/>
    <s v="Toko B - Bandung"/>
    <s v="Electronics"/>
    <x v="639"/>
    <x v="1"/>
    <n v="6"/>
  </r>
  <r>
    <x v="647"/>
    <s v="M0115"/>
    <x v="121"/>
    <s v="Toko C - Surabaya"/>
    <s v="F&amp;B"/>
    <x v="640"/>
    <x v="1"/>
    <n v="34"/>
  </r>
  <r>
    <x v="648"/>
    <s v="M0192"/>
    <x v="54"/>
    <s v="Toko E - Semarang"/>
    <s v="Fashion"/>
    <x v="641"/>
    <x v="1"/>
    <n v="13"/>
  </r>
  <r>
    <x v="649"/>
    <s v="M0171"/>
    <x v="172"/>
    <s v="Toko A - Jakarta"/>
    <s v="Fashion"/>
    <x v="642"/>
    <x v="1"/>
    <n v="7"/>
  </r>
  <r>
    <x v="650"/>
    <s v="M0059"/>
    <x v="280"/>
    <s v="Toko G - Yogyakarta"/>
    <s v="F&amp;B"/>
    <x v="643"/>
    <x v="1"/>
    <n v="10"/>
  </r>
  <r>
    <x v="651"/>
    <s v="M0113"/>
    <x v="252"/>
    <s v="Toko A - Jakarta"/>
    <s v="F&amp;B"/>
    <x v="644"/>
    <x v="1"/>
    <n v="26"/>
  </r>
  <r>
    <x v="652"/>
    <s v="M0131"/>
    <x v="50"/>
    <s v="Toko A - Jakarta"/>
    <s v="Home &amp; Living"/>
    <x v="645"/>
    <x v="2"/>
    <n v="20"/>
  </r>
  <r>
    <x v="653"/>
    <s v="M0048"/>
    <x v="143"/>
    <s v="Toko B - Bandung"/>
    <s v="Health &amp; Beauty"/>
    <x v="646"/>
    <x v="2"/>
    <n v="63"/>
  </r>
  <r>
    <x v="654"/>
    <s v="M0151"/>
    <x v="230"/>
    <s v="Toko D - Medan"/>
    <s v="Home &amp; Living"/>
    <x v="647"/>
    <x v="1"/>
    <n v="43"/>
  </r>
  <r>
    <x v="655"/>
    <s v="M0233"/>
    <x v="178"/>
    <s v="Toko B - Bandung"/>
    <s v="Health &amp; Beauty"/>
    <x v="648"/>
    <x v="0"/>
    <n v="34"/>
  </r>
  <r>
    <x v="656"/>
    <s v="M0300"/>
    <x v="300"/>
    <s v="Toko F - Makassar"/>
    <s v="F&amp;B"/>
    <x v="649"/>
    <x v="1"/>
    <n v="58"/>
  </r>
  <r>
    <x v="657"/>
    <s v="M0017"/>
    <x v="226"/>
    <s v="Toko H - Denpasar"/>
    <s v="Fashion"/>
    <x v="650"/>
    <x v="0"/>
    <n v="20"/>
  </r>
  <r>
    <x v="658"/>
    <s v="M0246"/>
    <x v="290"/>
    <s v="Toko B - Bandung"/>
    <s v="Groceries"/>
    <x v="651"/>
    <x v="0"/>
    <n v="12"/>
  </r>
  <r>
    <x v="659"/>
    <s v="M0275"/>
    <x v="48"/>
    <s v="Toko B - Bandung"/>
    <s v="Health &amp; Beauty"/>
    <x v="652"/>
    <x v="1"/>
    <n v="3"/>
  </r>
  <r>
    <x v="660"/>
    <s v="M0178"/>
    <x v="137"/>
    <s v="Toko H - Denpasar"/>
    <s v="F&amp;B"/>
    <x v="653"/>
    <x v="0"/>
    <n v="28"/>
  </r>
  <r>
    <x v="661"/>
    <s v="M0068"/>
    <x v="181"/>
    <s v="Toko H - Denpasar"/>
    <s v="F&amp;B"/>
    <x v="654"/>
    <x v="0"/>
    <n v="8"/>
  </r>
  <r>
    <x v="662"/>
    <s v="M0180"/>
    <x v="180"/>
    <s v="Toko G - Yogyakarta"/>
    <s v="Electronics"/>
    <x v="655"/>
    <x v="0"/>
    <n v="7"/>
  </r>
  <r>
    <x v="663"/>
    <s v="M0126"/>
    <x v="301"/>
    <s v="Toko G - Yogyakarta"/>
    <s v="Groceries"/>
    <x v="656"/>
    <x v="1"/>
    <n v="5"/>
  </r>
  <r>
    <x v="664"/>
    <s v="M0011"/>
    <x v="163"/>
    <s v="Toko B - Bandung"/>
    <s v="Home &amp; Living"/>
    <x v="657"/>
    <x v="1"/>
    <n v="55"/>
  </r>
  <r>
    <x v="665"/>
    <s v="M0062"/>
    <x v="302"/>
    <s v="Toko H - Denpasar"/>
    <s v="Electronics"/>
    <x v="658"/>
    <x v="1"/>
    <n v="47"/>
  </r>
  <r>
    <x v="666"/>
    <s v="M0178"/>
    <x v="135"/>
    <s v="Toko F - Makassar"/>
    <s v="Groceries"/>
    <x v="659"/>
    <x v="0"/>
    <n v="6"/>
  </r>
  <r>
    <x v="667"/>
    <s v="M0215"/>
    <x v="77"/>
    <s v="Toko E - Semarang"/>
    <s v="Home &amp; Living"/>
    <x v="660"/>
    <x v="0"/>
    <n v="14"/>
  </r>
  <r>
    <x v="668"/>
    <s v="M0187"/>
    <x v="183"/>
    <s v="Toko G - Yogyakarta"/>
    <s v="Fashion"/>
    <x v="661"/>
    <x v="1"/>
    <n v="16"/>
  </r>
  <r>
    <x v="669"/>
    <s v="M0241"/>
    <x v="103"/>
    <s v="Toko G - Yogyakarta"/>
    <s v="Electronics"/>
    <x v="662"/>
    <x v="1"/>
    <n v="8"/>
  </r>
  <r>
    <x v="670"/>
    <s v="M0001"/>
    <x v="219"/>
    <s v="Toko H - Denpasar"/>
    <s v="Fashion"/>
    <x v="663"/>
    <x v="1"/>
    <n v="47"/>
  </r>
  <r>
    <x v="671"/>
    <s v="M0034"/>
    <x v="42"/>
    <s v="Toko B - Bandung"/>
    <s v="Home &amp; Living"/>
    <x v="664"/>
    <x v="1"/>
    <n v="81"/>
  </r>
  <r>
    <x v="672"/>
    <s v="M0005"/>
    <x v="114"/>
    <s v="Toko A - Jakarta"/>
    <s v="Health &amp; Beauty"/>
    <x v="665"/>
    <x v="1"/>
    <n v="24"/>
  </r>
  <r>
    <x v="673"/>
    <s v="M0290"/>
    <x v="189"/>
    <s v="Toko F - Makassar"/>
    <s v="Fashion"/>
    <x v="666"/>
    <x v="0"/>
    <n v="19"/>
  </r>
  <r>
    <x v="674"/>
    <s v="M0253"/>
    <x v="69"/>
    <s v="Toko A - Jakarta"/>
    <s v="F&amp;B"/>
    <x v="667"/>
    <x v="1"/>
    <n v="23"/>
  </r>
  <r>
    <x v="675"/>
    <s v="M0055"/>
    <x v="165"/>
    <s v="Toko B - Bandung"/>
    <s v="Fashion"/>
    <x v="668"/>
    <x v="1"/>
    <n v="17"/>
  </r>
  <r>
    <x v="676"/>
    <s v="M0227"/>
    <x v="210"/>
    <s v="Toko G - Yogyakarta"/>
    <s v="Groceries"/>
    <x v="669"/>
    <x v="1"/>
    <n v="70"/>
  </r>
  <r>
    <x v="677"/>
    <s v="M0299"/>
    <x v="303"/>
    <s v="Toko H - Denpasar"/>
    <s v="F&amp;B"/>
    <x v="670"/>
    <x v="0"/>
    <n v="35"/>
  </r>
  <r>
    <x v="678"/>
    <s v="M0104"/>
    <x v="124"/>
    <s v="Toko G - Yogyakarta"/>
    <s v="Fashion"/>
    <x v="671"/>
    <x v="1"/>
    <n v="25"/>
  </r>
  <r>
    <x v="679"/>
    <s v="M0162"/>
    <x v="304"/>
    <s v="Toko B - Bandung"/>
    <s v="Fashion"/>
    <x v="672"/>
    <x v="2"/>
    <n v="12"/>
  </r>
  <r>
    <x v="680"/>
    <s v="M0087"/>
    <x v="267"/>
    <s v="Toko D - Medan"/>
    <s v="Electronics"/>
    <x v="673"/>
    <x v="1"/>
    <n v="19"/>
  </r>
  <r>
    <x v="681"/>
    <s v="M0087"/>
    <x v="85"/>
    <s v="Toko G - Yogyakarta"/>
    <s v="Health &amp; Beauty"/>
    <x v="674"/>
    <x v="1"/>
    <n v="5"/>
  </r>
  <r>
    <x v="682"/>
    <s v="M0087"/>
    <x v="289"/>
    <s v="Toko G - Yogyakarta"/>
    <s v="F&amp;B"/>
    <x v="675"/>
    <x v="1"/>
    <n v="24"/>
  </r>
  <r>
    <x v="683"/>
    <s v="M0099"/>
    <x v="251"/>
    <s v="Toko G - Yogyakarta"/>
    <s v="Groceries"/>
    <x v="676"/>
    <x v="1"/>
    <n v="46"/>
  </r>
  <r>
    <x v="684"/>
    <s v="M0081"/>
    <x v="22"/>
    <s v="Toko C - Surabaya"/>
    <s v="Home &amp; Living"/>
    <x v="677"/>
    <x v="1"/>
    <n v="57"/>
  </r>
  <r>
    <x v="685"/>
    <s v="M0214"/>
    <x v="254"/>
    <s v="Toko A - Jakarta"/>
    <s v="Electronics"/>
    <x v="678"/>
    <x v="1"/>
    <n v="11"/>
  </r>
  <r>
    <x v="686"/>
    <s v="M0087"/>
    <x v="220"/>
    <s v="Toko H - Denpasar"/>
    <s v="Groceries"/>
    <x v="679"/>
    <x v="1"/>
    <n v="56"/>
  </r>
  <r>
    <x v="687"/>
    <s v="M0115"/>
    <x v="288"/>
    <s v="Toko B - Bandung"/>
    <s v="F&amp;B"/>
    <x v="680"/>
    <x v="1"/>
    <n v="27"/>
  </r>
  <r>
    <x v="688"/>
    <s v="M0024"/>
    <x v="51"/>
    <s v="Toko G - Yogyakarta"/>
    <s v="Groceries"/>
    <x v="681"/>
    <x v="0"/>
    <n v="4"/>
  </r>
  <r>
    <x v="689"/>
    <s v="M0265"/>
    <x v="305"/>
    <s v="Toko F - Makassar"/>
    <s v="Home &amp; Living"/>
    <x v="682"/>
    <x v="1"/>
    <n v="87"/>
  </r>
  <r>
    <x v="690"/>
    <s v="M0082"/>
    <x v="10"/>
    <s v="Toko E - Semarang"/>
    <s v="Fashion"/>
    <x v="683"/>
    <x v="1"/>
    <n v="13"/>
  </r>
  <r>
    <x v="691"/>
    <s v="M0239"/>
    <x v="300"/>
    <s v="Toko F - Makassar"/>
    <s v="Fashion"/>
    <x v="684"/>
    <x v="1"/>
    <n v="11"/>
  </r>
  <r>
    <x v="692"/>
    <s v="M0127"/>
    <x v="283"/>
    <s v="Toko F - Makassar"/>
    <s v="F&amp;B"/>
    <x v="685"/>
    <x v="1"/>
    <n v="16"/>
  </r>
  <r>
    <x v="693"/>
    <s v="M0093"/>
    <x v="127"/>
    <s v="Toko A - Jakarta"/>
    <s v="Home &amp; Living"/>
    <x v="686"/>
    <x v="1"/>
    <n v="15"/>
  </r>
  <r>
    <x v="694"/>
    <s v="M0103"/>
    <x v="306"/>
    <s v="Toko E - Semarang"/>
    <s v="Groceries"/>
    <x v="687"/>
    <x v="1"/>
    <n v="14"/>
  </r>
  <r>
    <x v="695"/>
    <s v="M0288"/>
    <x v="87"/>
    <s v="Toko H - Denpasar"/>
    <s v="Health &amp; Beauty"/>
    <x v="688"/>
    <x v="1"/>
    <n v="54"/>
  </r>
  <r>
    <x v="696"/>
    <s v="M0257"/>
    <x v="218"/>
    <s v="Toko H - Denpasar"/>
    <s v="Home &amp; Living"/>
    <x v="689"/>
    <x v="0"/>
    <n v="18"/>
  </r>
  <r>
    <x v="697"/>
    <s v="M0157"/>
    <x v="179"/>
    <s v="Toko B - Bandung"/>
    <s v="Home &amp; Living"/>
    <x v="690"/>
    <x v="1"/>
    <n v="51"/>
  </r>
  <r>
    <x v="698"/>
    <s v="M0227"/>
    <x v="219"/>
    <s v="Toko F - Makassar"/>
    <s v="Groceries"/>
    <x v="691"/>
    <x v="1"/>
    <n v="9"/>
  </r>
  <r>
    <x v="699"/>
    <s v="M0242"/>
    <x v="14"/>
    <s v="Toko H - Denpasar"/>
    <s v="Health &amp; Beauty"/>
    <x v="692"/>
    <x v="1"/>
    <n v="7"/>
  </r>
  <r>
    <x v="700"/>
    <s v="M0089"/>
    <x v="146"/>
    <s v="Toko G - Yogyakarta"/>
    <s v="F&amp;B"/>
    <x v="693"/>
    <x v="2"/>
    <n v="67"/>
  </r>
  <r>
    <x v="701"/>
    <s v="M0249"/>
    <x v="123"/>
    <s v="Toko A - Jakarta"/>
    <s v="Electronics"/>
    <x v="694"/>
    <x v="0"/>
    <n v="34"/>
  </r>
  <r>
    <x v="702"/>
    <s v="M0292"/>
    <x v="89"/>
    <s v="Toko H - Denpasar"/>
    <s v="F&amp;B"/>
    <x v="695"/>
    <x v="1"/>
    <n v="14"/>
  </r>
  <r>
    <x v="703"/>
    <s v="M0197"/>
    <x v="176"/>
    <s v="Toko A - Jakarta"/>
    <s v="Home &amp; Living"/>
    <x v="696"/>
    <x v="1"/>
    <n v="29"/>
  </r>
  <r>
    <x v="704"/>
    <s v="M0224"/>
    <x v="126"/>
    <s v="Toko C - Surabaya"/>
    <s v="Groceries"/>
    <x v="697"/>
    <x v="1"/>
    <n v="58"/>
  </r>
  <r>
    <x v="705"/>
    <s v="M0089"/>
    <x v="103"/>
    <s v="Toko C - Surabaya"/>
    <s v="Health &amp; Beauty"/>
    <x v="698"/>
    <x v="2"/>
    <n v="36"/>
  </r>
  <r>
    <x v="706"/>
    <s v="M0113"/>
    <x v="102"/>
    <s v="Toko D - Medan"/>
    <s v="Electronics"/>
    <x v="699"/>
    <x v="1"/>
    <n v="6"/>
  </r>
  <r>
    <x v="707"/>
    <s v="M0164"/>
    <x v="126"/>
    <s v="Toko B - Bandung"/>
    <s v="Home &amp; Living"/>
    <x v="700"/>
    <x v="1"/>
    <n v="16"/>
  </r>
  <r>
    <x v="708"/>
    <s v="M0037"/>
    <x v="62"/>
    <s v="Toko D - Medan"/>
    <s v="Electronics"/>
    <x v="701"/>
    <x v="1"/>
    <n v="12"/>
  </r>
  <r>
    <x v="709"/>
    <s v="M0103"/>
    <x v="212"/>
    <s v="Toko C - Surabaya"/>
    <s v="Electronics"/>
    <x v="702"/>
    <x v="1"/>
    <n v="45"/>
  </r>
  <r>
    <x v="710"/>
    <s v="M0006"/>
    <x v="307"/>
    <s v="Toko A - Jakarta"/>
    <s v="Health &amp; Beauty"/>
    <x v="703"/>
    <x v="1"/>
    <n v="30"/>
  </r>
  <r>
    <x v="711"/>
    <s v="M0220"/>
    <x v="96"/>
    <s v="Toko H - Denpasar"/>
    <s v="F&amp;B"/>
    <x v="704"/>
    <x v="0"/>
    <n v="11"/>
  </r>
  <r>
    <x v="712"/>
    <s v="M0164"/>
    <x v="155"/>
    <s v="Toko A - Jakarta"/>
    <s v="Health &amp; Beauty"/>
    <x v="705"/>
    <x v="1"/>
    <n v="19"/>
  </r>
  <r>
    <x v="713"/>
    <s v="M0042"/>
    <x v="185"/>
    <s v="Toko B - Bandung"/>
    <s v="F&amp;B"/>
    <x v="706"/>
    <x v="2"/>
    <n v="50"/>
  </r>
  <r>
    <x v="714"/>
    <s v="M0204"/>
    <x v="84"/>
    <s v="Toko G - Yogyakarta"/>
    <s v="Groceries"/>
    <x v="707"/>
    <x v="0"/>
    <n v="28"/>
  </r>
  <r>
    <x v="715"/>
    <s v="M0293"/>
    <x v="212"/>
    <s v="Toko D - Medan"/>
    <s v="Home &amp; Living"/>
    <x v="708"/>
    <x v="1"/>
    <n v="25"/>
  </r>
  <r>
    <x v="716"/>
    <s v="M0236"/>
    <x v="145"/>
    <s v="Toko G - Yogyakarta"/>
    <s v="Fashion"/>
    <x v="709"/>
    <x v="1"/>
    <n v="21"/>
  </r>
  <r>
    <x v="717"/>
    <s v="M0283"/>
    <x v="212"/>
    <s v="Toko A - Jakarta"/>
    <s v="Fashion"/>
    <x v="710"/>
    <x v="1"/>
    <n v="28"/>
  </r>
  <r>
    <x v="718"/>
    <s v="M0063"/>
    <x v="281"/>
    <s v="Toko A - Jakarta"/>
    <s v="Home &amp; Living"/>
    <x v="711"/>
    <x v="1"/>
    <n v="29"/>
  </r>
  <r>
    <x v="719"/>
    <s v="M0119"/>
    <x v="67"/>
    <s v="Toko A - Jakarta"/>
    <s v="Fashion"/>
    <x v="712"/>
    <x v="1"/>
    <n v="20"/>
  </r>
  <r>
    <x v="720"/>
    <s v="M0223"/>
    <x v="308"/>
    <s v="Toko H - Denpasar"/>
    <s v="Groceries"/>
    <x v="713"/>
    <x v="0"/>
    <n v="46"/>
  </r>
  <r>
    <x v="721"/>
    <s v="M0170"/>
    <x v="309"/>
    <s v="Toko A - Jakarta"/>
    <s v="Fashion"/>
    <x v="714"/>
    <x v="0"/>
    <n v="11"/>
  </r>
  <r>
    <x v="722"/>
    <s v="M0281"/>
    <x v="109"/>
    <s v="Toko H - Denpasar"/>
    <s v="Electronics"/>
    <x v="715"/>
    <x v="0"/>
    <n v="27"/>
  </r>
  <r>
    <x v="723"/>
    <s v="M0155"/>
    <x v="150"/>
    <s v="Toko D - Medan"/>
    <s v="Home &amp; Living"/>
    <x v="716"/>
    <x v="1"/>
    <n v="29"/>
  </r>
  <r>
    <x v="724"/>
    <s v="M0044"/>
    <x v="310"/>
    <s v="Toko H - Denpasar"/>
    <s v="Health &amp; Beauty"/>
    <x v="717"/>
    <x v="0"/>
    <n v="15"/>
  </r>
  <r>
    <x v="725"/>
    <s v="M0300"/>
    <x v="58"/>
    <s v="Toko E - Semarang"/>
    <s v="Health &amp; Beauty"/>
    <x v="718"/>
    <x v="1"/>
    <n v="31"/>
  </r>
  <r>
    <x v="726"/>
    <s v="M0232"/>
    <x v="80"/>
    <s v="Toko F - Makassar"/>
    <s v="F&amp;B"/>
    <x v="719"/>
    <x v="1"/>
    <n v="34"/>
  </r>
  <r>
    <x v="727"/>
    <s v="M0269"/>
    <x v="268"/>
    <s v="Toko E - Semarang"/>
    <s v="F&amp;B"/>
    <x v="720"/>
    <x v="1"/>
    <n v="43"/>
  </r>
  <r>
    <x v="728"/>
    <s v="M0298"/>
    <x v="96"/>
    <s v="Toko A - Jakarta"/>
    <s v="F&amp;B"/>
    <x v="721"/>
    <x v="1"/>
    <n v="35"/>
  </r>
  <r>
    <x v="729"/>
    <s v="M0039"/>
    <x v="252"/>
    <s v="Toko A - Jakarta"/>
    <s v="F&amp;B"/>
    <x v="722"/>
    <x v="0"/>
    <n v="38"/>
  </r>
  <r>
    <x v="730"/>
    <s v="M0126"/>
    <x v="117"/>
    <s v="Toko D - Medan"/>
    <s v="Home &amp; Living"/>
    <x v="723"/>
    <x v="1"/>
    <n v="44"/>
  </r>
  <r>
    <x v="731"/>
    <s v="M0262"/>
    <x v="47"/>
    <s v="Toko F - Makassar"/>
    <s v="Electronics"/>
    <x v="724"/>
    <x v="1"/>
    <n v="5"/>
  </r>
  <r>
    <x v="732"/>
    <s v="M0197"/>
    <x v="17"/>
    <s v="Toko D - Medan"/>
    <s v="F&amp;B"/>
    <x v="725"/>
    <x v="1"/>
    <n v="21"/>
  </r>
  <r>
    <x v="733"/>
    <s v="M0281"/>
    <x v="138"/>
    <s v="Toko H - Denpasar"/>
    <s v="Home &amp; Living"/>
    <x v="726"/>
    <x v="0"/>
    <n v="37"/>
  </r>
  <r>
    <x v="734"/>
    <s v="M0270"/>
    <x v="19"/>
    <s v="Toko A - Jakarta"/>
    <s v="Home &amp; Living"/>
    <x v="727"/>
    <x v="0"/>
    <n v="65"/>
  </r>
  <r>
    <x v="735"/>
    <s v="M0249"/>
    <x v="287"/>
    <s v="Toko G - Yogyakarta"/>
    <s v="F&amp;B"/>
    <x v="728"/>
    <x v="0"/>
    <n v="31"/>
  </r>
  <r>
    <x v="736"/>
    <s v="M0242"/>
    <x v="212"/>
    <s v="Toko D - Medan"/>
    <s v="Home &amp; Living"/>
    <x v="729"/>
    <x v="1"/>
    <n v="8"/>
  </r>
  <r>
    <x v="737"/>
    <s v="M0270"/>
    <x v="135"/>
    <s v="Toko E - Semarang"/>
    <s v="Fashion"/>
    <x v="730"/>
    <x v="0"/>
    <n v="23"/>
  </r>
  <r>
    <x v="738"/>
    <s v="M0238"/>
    <x v="311"/>
    <s v="Toko B - Bandung"/>
    <s v="Electronics"/>
    <x v="731"/>
    <x v="0"/>
    <n v="21"/>
  </r>
  <r>
    <x v="739"/>
    <s v="M0003"/>
    <x v="232"/>
    <s v="Toko G - Yogyakarta"/>
    <s v="F&amp;B"/>
    <x v="732"/>
    <x v="0"/>
    <n v="12"/>
  </r>
  <r>
    <x v="740"/>
    <s v="M0077"/>
    <x v="305"/>
    <s v="Toko E - Semarang"/>
    <s v="Electronics"/>
    <x v="733"/>
    <x v="1"/>
    <n v="7"/>
  </r>
  <r>
    <x v="741"/>
    <s v="M0113"/>
    <x v="148"/>
    <s v="Toko D - Medan"/>
    <s v="Home &amp; Living"/>
    <x v="734"/>
    <x v="1"/>
    <n v="60"/>
  </r>
  <r>
    <x v="742"/>
    <s v="M0076"/>
    <x v="312"/>
    <s v="Toko A - Jakarta"/>
    <s v="F&amp;B"/>
    <x v="735"/>
    <x v="2"/>
    <n v="5"/>
  </r>
  <r>
    <x v="743"/>
    <s v="M0239"/>
    <x v="89"/>
    <s v="Toko F - Makassar"/>
    <s v="Health &amp; Beauty"/>
    <x v="736"/>
    <x v="1"/>
    <n v="35"/>
  </r>
  <r>
    <x v="744"/>
    <s v="M0106"/>
    <x v="128"/>
    <s v="Toko F - Makassar"/>
    <s v="Electronics"/>
    <x v="737"/>
    <x v="0"/>
    <n v="14"/>
  </r>
  <r>
    <x v="745"/>
    <s v="M0141"/>
    <x v="223"/>
    <s v="Toko H - Denpasar"/>
    <s v="F&amp;B"/>
    <x v="738"/>
    <x v="1"/>
    <n v="46"/>
  </r>
  <r>
    <x v="746"/>
    <s v="M0122"/>
    <x v="178"/>
    <s v="Toko G - Yogyakarta"/>
    <s v="Groceries"/>
    <x v="739"/>
    <x v="1"/>
    <n v="21"/>
  </r>
  <r>
    <x v="747"/>
    <s v="M0143"/>
    <x v="101"/>
    <s v="Toko B - Bandung"/>
    <s v="Electronics"/>
    <x v="740"/>
    <x v="1"/>
    <n v="31"/>
  </r>
  <r>
    <x v="748"/>
    <s v="M0060"/>
    <x v="313"/>
    <s v="Toko B - Bandung"/>
    <s v="Electronics"/>
    <x v="741"/>
    <x v="0"/>
    <n v="24"/>
  </r>
  <r>
    <x v="749"/>
    <s v="M0057"/>
    <x v="156"/>
    <s v="Toko C - Surabaya"/>
    <s v="F&amp;B"/>
    <x v="742"/>
    <x v="1"/>
    <n v="17"/>
  </r>
  <r>
    <x v="750"/>
    <s v="M0227"/>
    <x v="7"/>
    <s v="Toko A - Jakarta"/>
    <s v="Groceries"/>
    <x v="743"/>
    <x v="1"/>
    <n v="28"/>
  </r>
  <r>
    <x v="751"/>
    <s v="M0001"/>
    <x v="176"/>
    <s v="Toko E - Semarang"/>
    <s v="Health &amp; Beauty"/>
    <x v="744"/>
    <x v="1"/>
    <n v="25"/>
  </r>
  <r>
    <x v="752"/>
    <s v="M0116"/>
    <x v="272"/>
    <s v="Toko A - Jakarta"/>
    <s v="F&amp;B"/>
    <x v="745"/>
    <x v="1"/>
    <n v="47"/>
  </r>
  <r>
    <x v="753"/>
    <s v="M0293"/>
    <x v="314"/>
    <s v="Toko C - Surabaya"/>
    <s v="Groceries"/>
    <x v="746"/>
    <x v="1"/>
    <n v="5"/>
  </r>
  <r>
    <x v="754"/>
    <s v="M0055"/>
    <x v="175"/>
    <s v="Toko D - Medan"/>
    <s v="Groceries"/>
    <x v="747"/>
    <x v="1"/>
    <n v="28"/>
  </r>
  <r>
    <x v="755"/>
    <s v="M0199"/>
    <x v="250"/>
    <s v="Toko F - Makassar"/>
    <s v="Home &amp; Living"/>
    <x v="748"/>
    <x v="1"/>
    <n v="32"/>
  </r>
  <r>
    <x v="756"/>
    <s v="M0228"/>
    <x v="126"/>
    <s v="Toko B - Bandung"/>
    <s v="Home &amp; Living"/>
    <x v="749"/>
    <x v="0"/>
    <n v="8"/>
  </r>
  <r>
    <x v="757"/>
    <s v="M0026"/>
    <x v="152"/>
    <s v="Toko C - Surabaya"/>
    <s v="Fashion"/>
    <x v="750"/>
    <x v="0"/>
    <n v="64"/>
  </r>
  <r>
    <x v="758"/>
    <s v="M0215"/>
    <x v="21"/>
    <s v="Toko F - Makassar"/>
    <s v="Groceries"/>
    <x v="751"/>
    <x v="0"/>
    <n v="27"/>
  </r>
  <r>
    <x v="759"/>
    <s v="M0074"/>
    <x v="201"/>
    <s v="Toko D - Medan"/>
    <s v="Fashion"/>
    <x v="752"/>
    <x v="0"/>
    <n v="62"/>
  </r>
  <r>
    <x v="760"/>
    <s v="M0077"/>
    <x v="33"/>
    <s v="Toko A - Jakarta"/>
    <s v="Fashion"/>
    <x v="753"/>
    <x v="1"/>
    <n v="20"/>
  </r>
  <r>
    <x v="761"/>
    <s v="M0183"/>
    <x v="84"/>
    <s v="Toko H - Denpasar"/>
    <s v="Health &amp; Beauty"/>
    <x v="754"/>
    <x v="0"/>
    <n v="32"/>
  </r>
  <r>
    <x v="762"/>
    <s v="M0063"/>
    <x v="315"/>
    <s v="Toko E - Semarang"/>
    <s v="Health &amp; Beauty"/>
    <x v="755"/>
    <x v="1"/>
    <n v="46"/>
  </r>
  <r>
    <x v="763"/>
    <s v="M0052"/>
    <x v="147"/>
    <s v="Toko G - Yogyakarta"/>
    <s v="Electronics"/>
    <x v="756"/>
    <x v="0"/>
    <n v="78"/>
  </r>
  <r>
    <x v="764"/>
    <s v="M0246"/>
    <x v="293"/>
    <s v="Toko G - Yogyakarta"/>
    <s v="F&amp;B"/>
    <x v="757"/>
    <x v="0"/>
    <n v="22"/>
  </r>
  <r>
    <x v="765"/>
    <s v="M0013"/>
    <x v="22"/>
    <s v="Toko F - Makassar"/>
    <s v="F&amp;B"/>
    <x v="758"/>
    <x v="1"/>
    <n v="6"/>
  </r>
  <r>
    <x v="766"/>
    <s v="M0191"/>
    <x v="254"/>
    <s v="Toko A - Jakarta"/>
    <s v="Groceries"/>
    <x v="759"/>
    <x v="1"/>
    <n v="71"/>
  </r>
  <r>
    <x v="767"/>
    <s v="M0049"/>
    <x v="137"/>
    <s v="Toko A - Jakarta"/>
    <s v="F&amp;B"/>
    <x v="760"/>
    <x v="1"/>
    <n v="12"/>
  </r>
  <r>
    <x v="768"/>
    <s v="M0101"/>
    <x v="316"/>
    <s v="Toko B - Bandung"/>
    <s v="F&amp;B"/>
    <x v="761"/>
    <x v="2"/>
    <n v="71"/>
  </r>
  <r>
    <x v="769"/>
    <s v="M0271"/>
    <x v="185"/>
    <s v="Toko G - Yogyakarta"/>
    <s v="Fashion"/>
    <x v="762"/>
    <x v="1"/>
    <n v="5"/>
  </r>
  <r>
    <x v="770"/>
    <s v="M0094"/>
    <x v="317"/>
    <s v="Toko C - Surabaya"/>
    <s v="F&amp;B"/>
    <x v="763"/>
    <x v="0"/>
    <n v="8"/>
  </r>
  <r>
    <x v="771"/>
    <s v="M0062"/>
    <x v="85"/>
    <s v="Toko B - Bandung"/>
    <s v="Fashion"/>
    <x v="764"/>
    <x v="1"/>
    <n v="63"/>
  </r>
  <r>
    <x v="772"/>
    <s v="M0204"/>
    <x v="306"/>
    <s v="Toko H - Denpasar"/>
    <s v="Electronics"/>
    <x v="765"/>
    <x v="0"/>
    <n v="14"/>
  </r>
  <r>
    <x v="773"/>
    <s v="M0002"/>
    <x v="280"/>
    <s v="Toko B - Bandung"/>
    <s v="Fashion"/>
    <x v="766"/>
    <x v="1"/>
    <n v="38"/>
  </r>
  <r>
    <x v="774"/>
    <s v="M0113"/>
    <x v="234"/>
    <s v="Toko C - Surabaya"/>
    <s v="F&amp;B"/>
    <x v="767"/>
    <x v="1"/>
    <n v="52"/>
  </r>
  <r>
    <x v="775"/>
    <s v="M0253"/>
    <x v="179"/>
    <s v="Toko A - Jakarta"/>
    <s v="Fashion"/>
    <x v="768"/>
    <x v="1"/>
    <n v="22"/>
  </r>
  <r>
    <x v="776"/>
    <s v="M0196"/>
    <x v="246"/>
    <s v="Toko E - Semarang"/>
    <s v="F&amp;B"/>
    <x v="769"/>
    <x v="0"/>
    <n v="80"/>
  </r>
  <r>
    <x v="777"/>
    <s v="M0056"/>
    <x v="100"/>
    <s v="Toko E - Semarang"/>
    <s v="Home &amp; Living"/>
    <x v="770"/>
    <x v="0"/>
    <n v="34"/>
  </r>
  <r>
    <x v="778"/>
    <s v="M0148"/>
    <x v="142"/>
    <s v="Toko E - Semarang"/>
    <s v="Home &amp; Living"/>
    <x v="771"/>
    <x v="0"/>
    <n v="26"/>
  </r>
  <r>
    <x v="779"/>
    <s v="M0128"/>
    <x v="270"/>
    <s v="Toko G - Yogyakarta"/>
    <s v="F&amp;B"/>
    <x v="772"/>
    <x v="1"/>
    <n v="12"/>
  </r>
  <r>
    <x v="780"/>
    <s v="M0249"/>
    <x v="190"/>
    <s v="Toko B - Bandung"/>
    <s v="Electronics"/>
    <x v="773"/>
    <x v="0"/>
    <n v="22"/>
  </r>
  <r>
    <x v="781"/>
    <s v="M0289"/>
    <x v="51"/>
    <s v="Toko F - Makassar"/>
    <s v="Fashion"/>
    <x v="774"/>
    <x v="0"/>
    <n v="10"/>
  </r>
  <r>
    <x v="782"/>
    <s v="M0044"/>
    <x v="260"/>
    <s v="Toko B - Bandung"/>
    <s v="Fashion"/>
    <x v="775"/>
    <x v="0"/>
    <n v="35"/>
  </r>
  <r>
    <x v="783"/>
    <s v="M0044"/>
    <x v="159"/>
    <s v="Toko E - Semarang"/>
    <s v="Home &amp; Living"/>
    <x v="776"/>
    <x v="0"/>
    <n v="23"/>
  </r>
  <r>
    <x v="784"/>
    <s v="M0226"/>
    <x v="318"/>
    <s v="Toko D - Medan"/>
    <s v="Fashion"/>
    <x v="777"/>
    <x v="1"/>
    <n v="32"/>
  </r>
  <r>
    <x v="785"/>
    <s v="M0019"/>
    <x v="249"/>
    <s v="Toko E - Semarang"/>
    <s v="Home &amp; Living"/>
    <x v="778"/>
    <x v="1"/>
    <n v="73"/>
  </r>
  <r>
    <x v="786"/>
    <s v="M0171"/>
    <x v="311"/>
    <s v="Toko A - Jakarta"/>
    <s v="Health &amp; Beauty"/>
    <x v="779"/>
    <x v="1"/>
    <n v="23"/>
  </r>
  <r>
    <x v="787"/>
    <s v="M0281"/>
    <x v="83"/>
    <s v="Toko B - Bandung"/>
    <s v="Electronics"/>
    <x v="780"/>
    <x v="0"/>
    <n v="24"/>
  </r>
  <r>
    <x v="788"/>
    <s v="M0139"/>
    <x v="27"/>
    <s v="Toko E - Semarang"/>
    <s v="Electronics"/>
    <x v="781"/>
    <x v="1"/>
    <n v="28"/>
  </r>
  <r>
    <x v="789"/>
    <s v="M0149"/>
    <x v="228"/>
    <s v="Toko G - Yogyakarta"/>
    <s v="Home &amp; Living"/>
    <x v="782"/>
    <x v="1"/>
    <n v="38"/>
  </r>
  <r>
    <x v="790"/>
    <s v="M0207"/>
    <x v="125"/>
    <s v="Toko C - Surabaya"/>
    <s v="Electronics"/>
    <x v="783"/>
    <x v="0"/>
    <n v="31"/>
  </r>
  <r>
    <x v="791"/>
    <s v="M0069"/>
    <x v="235"/>
    <s v="Toko D - Medan"/>
    <s v="Fashion"/>
    <x v="784"/>
    <x v="1"/>
    <n v="17"/>
  </r>
  <r>
    <x v="792"/>
    <s v="M0254"/>
    <x v="319"/>
    <s v="Toko A - Jakarta"/>
    <s v="Health &amp; Beauty"/>
    <x v="785"/>
    <x v="1"/>
    <n v="21"/>
  </r>
  <r>
    <x v="793"/>
    <s v="M0201"/>
    <x v="147"/>
    <s v="Toko D - Medan"/>
    <s v="Health &amp; Beauty"/>
    <x v="786"/>
    <x v="1"/>
    <n v="11"/>
  </r>
  <r>
    <x v="794"/>
    <s v="M0233"/>
    <x v="320"/>
    <s v="Toko B - Bandung"/>
    <s v="Electronics"/>
    <x v="787"/>
    <x v="0"/>
    <n v="61"/>
  </r>
  <r>
    <x v="795"/>
    <s v="M0087"/>
    <x v="256"/>
    <s v="Toko B - Bandung"/>
    <s v="Groceries"/>
    <x v="8"/>
    <x v="1"/>
    <n v="2"/>
  </r>
  <r>
    <x v="796"/>
    <s v="M0089"/>
    <x v="145"/>
    <s v="Toko H - Denpasar"/>
    <s v="Fashion"/>
    <x v="788"/>
    <x v="2"/>
    <n v="59"/>
  </r>
  <r>
    <x v="797"/>
    <s v="M0003"/>
    <x v="65"/>
    <s v="Toko C - Surabaya"/>
    <s v="Fashion"/>
    <x v="789"/>
    <x v="0"/>
    <n v="24"/>
  </r>
  <r>
    <x v="798"/>
    <s v="M0123"/>
    <x v="246"/>
    <s v="Toko D - Medan"/>
    <s v="Groceries"/>
    <x v="790"/>
    <x v="2"/>
    <n v="32"/>
  </r>
  <r>
    <x v="799"/>
    <s v="M0064"/>
    <x v="127"/>
    <s v="Toko H - Denpasar"/>
    <s v="Groceries"/>
    <x v="791"/>
    <x v="2"/>
    <n v="29"/>
  </r>
  <r>
    <x v="800"/>
    <s v="M0035"/>
    <x v="134"/>
    <s v="Toko C - Surabaya"/>
    <s v="Electronics"/>
    <x v="792"/>
    <x v="1"/>
    <n v="7"/>
  </r>
  <r>
    <x v="801"/>
    <s v="M0153"/>
    <x v="135"/>
    <s v="Toko D - Medan"/>
    <s v="Home &amp; Living"/>
    <x v="793"/>
    <x v="0"/>
    <n v="15"/>
  </r>
  <r>
    <x v="802"/>
    <s v="M0010"/>
    <x v="13"/>
    <s v="Toko C - Surabaya"/>
    <s v="F&amp;B"/>
    <x v="794"/>
    <x v="1"/>
    <n v="12"/>
  </r>
  <r>
    <x v="803"/>
    <s v="M0008"/>
    <x v="91"/>
    <s v="Toko D - Medan"/>
    <s v="F&amp;B"/>
    <x v="795"/>
    <x v="0"/>
    <n v="22"/>
  </r>
  <r>
    <x v="804"/>
    <s v="M0012"/>
    <x v="201"/>
    <s v="Toko F - Makassar"/>
    <s v="Fashion"/>
    <x v="796"/>
    <x v="0"/>
    <n v="36"/>
  </r>
  <r>
    <x v="805"/>
    <s v="M0078"/>
    <x v="321"/>
    <s v="Toko B - Bandung"/>
    <s v="Health &amp; Beauty"/>
    <x v="797"/>
    <x v="0"/>
    <n v="15"/>
  </r>
  <r>
    <x v="806"/>
    <s v="M0220"/>
    <x v="322"/>
    <s v="Toko A - Jakarta"/>
    <s v="F&amp;B"/>
    <x v="798"/>
    <x v="0"/>
    <n v="17"/>
  </r>
  <r>
    <x v="807"/>
    <s v="M0035"/>
    <x v="209"/>
    <s v="Toko G - Yogyakarta"/>
    <s v="Health &amp; Beauty"/>
    <x v="799"/>
    <x v="1"/>
    <n v="4"/>
  </r>
  <r>
    <x v="808"/>
    <s v="M0299"/>
    <x v="129"/>
    <s v="Toko F - Makassar"/>
    <s v="Home &amp; Living"/>
    <x v="800"/>
    <x v="0"/>
    <n v="3"/>
  </r>
  <r>
    <x v="809"/>
    <s v="M0151"/>
    <x v="321"/>
    <s v="Toko H - Denpasar"/>
    <s v="Home &amp; Living"/>
    <x v="801"/>
    <x v="1"/>
    <n v="38"/>
  </r>
  <r>
    <x v="810"/>
    <s v="M0268"/>
    <x v="220"/>
    <s v="Toko G - Yogyakarta"/>
    <s v="F&amp;B"/>
    <x v="802"/>
    <x v="0"/>
    <n v="43"/>
  </r>
  <r>
    <x v="811"/>
    <s v="M0198"/>
    <x v="201"/>
    <s v="Toko C - Surabaya"/>
    <s v="Electronics"/>
    <x v="803"/>
    <x v="2"/>
    <n v="46"/>
  </r>
  <r>
    <x v="812"/>
    <s v="M0077"/>
    <x v="271"/>
    <s v="Toko E - Semarang"/>
    <s v="Health &amp; Beauty"/>
    <x v="804"/>
    <x v="1"/>
    <n v="61"/>
  </r>
  <r>
    <x v="813"/>
    <s v="M0237"/>
    <x v="199"/>
    <s v="Toko C - Surabaya"/>
    <s v="Home &amp; Living"/>
    <x v="805"/>
    <x v="2"/>
    <n v="67"/>
  </r>
  <r>
    <x v="814"/>
    <s v="M0073"/>
    <x v="249"/>
    <s v="Toko B - Bandung"/>
    <s v="Health &amp; Beauty"/>
    <x v="806"/>
    <x v="1"/>
    <n v="71"/>
  </r>
  <r>
    <x v="815"/>
    <s v="M0242"/>
    <x v="19"/>
    <s v="Toko G - Yogyakarta"/>
    <s v="F&amp;B"/>
    <x v="807"/>
    <x v="1"/>
    <n v="24"/>
  </r>
  <r>
    <x v="816"/>
    <s v="M0249"/>
    <x v="290"/>
    <s v="Toko C - Surabaya"/>
    <s v="F&amp;B"/>
    <x v="808"/>
    <x v="0"/>
    <n v="25"/>
  </r>
  <r>
    <x v="817"/>
    <s v="M0262"/>
    <x v="84"/>
    <s v="Toko G - Yogyakarta"/>
    <s v="Fashion"/>
    <x v="809"/>
    <x v="1"/>
    <n v="21"/>
  </r>
  <r>
    <x v="818"/>
    <s v="M0261"/>
    <x v="323"/>
    <s v="Toko C - Surabaya"/>
    <s v="Fashion"/>
    <x v="810"/>
    <x v="2"/>
    <n v="6"/>
  </r>
  <r>
    <x v="819"/>
    <s v="M0035"/>
    <x v="324"/>
    <s v="Toko B - Bandung"/>
    <s v="Electronics"/>
    <x v="811"/>
    <x v="1"/>
    <n v="23"/>
  </r>
  <r>
    <x v="820"/>
    <s v="M0244"/>
    <x v="227"/>
    <s v="Toko E - Semarang"/>
    <s v="Electronics"/>
    <x v="812"/>
    <x v="0"/>
    <n v="19"/>
  </r>
  <r>
    <x v="821"/>
    <s v="M0221"/>
    <x v="273"/>
    <s v="Toko A - Jakarta"/>
    <s v="Fashion"/>
    <x v="813"/>
    <x v="1"/>
    <n v="32"/>
  </r>
  <r>
    <x v="822"/>
    <s v="M0281"/>
    <x v="141"/>
    <s v="Toko B - Bandung"/>
    <s v="Fashion"/>
    <x v="814"/>
    <x v="0"/>
    <n v="16"/>
  </r>
  <r>
    <x v="823"/>
    <s v="M0237"/>
    <x v="121"/>
    <s v="Toko F - Makassar"/>
    <s v="Electronics"/>
    <x v="815"/>
    <x v="2"/>
    <n v="40"/>
  </r>
  <r>
    <x v="824"/>
    <s v="M0231"/>
    <x v="300"/>
    <s v="Toko C - Surabaya"/>
    <s v="Electronics"/>
    <x v="816"/>
    <x v="1"/>
    <n v="23"/>
  </r>
  <r>
    <x v="825"/>
    <s v="M0155"/>
    <x v="53"/>
    <s v="Toko F - Makassar"/>
    <s v="Groceries"/>
    <x v="817"/>
    <x v="1"/>
    <n v="7"/>
  </r>
  <r>
    <x v="826"/>
    <s v="M0120"/>
    <x v="160"/>
    <s v="Toko H - Denpasar"/>
    <s v="F&amp;B"/>
    <x v="818"/>
    <x v="0"/>
    <n v="19"/>
  </r>
  <r>
    <x v="827"/>
    <s v="M0065"/>
    <x v="217"/>
    <s v="Toko E - Semarang"/>
    <s v="Home &amp; Living"/>
    <x v="819"/>
    <x v="0"/>
    <n v="65"/>
  </r>
  <r>
    <x v="828"/>
    <s v="M0238"/>
    <x v="325"/>
    <s v="Toko A - Jakarta"/>
    <s v="Groceries"/>
    <x v="820"/>
    <x v="0"/>
    <n v="19"/>
  </r>
  <r>
    <x v="829"/>
    <s v="M0142"/>
    <x v="226"/>
    <s v="Toko F - Makassar"/>
    <s v="Home &amp; Living"/>
    <x v="821"/>
    <x v="2"/>
    <n v="24"/>
  </r>
  <r>
    <x v="830"/>
    <s v="M0140"/>
    <x v="284"/>
    <s v="Toko C - Surabaya"/>
    <s v="Groceries"/>
    <x v="822"/>
    <x v="1"/>
    <n v="5"/>
  </r>
  <r>
    <x v="831"/>
    <s v="M0215"/>
    <x v="97"/>
    <s v="Toko A - Jakarta"/>
    <s v="Groceries"/>
    <x v="823"/>
    <x v="0"/>
    <n v="18"/>
  </r>
  <r>
    <x v="832"/>
    <s v="M0150"/>
    <x v="190"/>
    <s v="Toko E - Semarang"/>
    <s v="Home &amp; Living"/>
    <x v="824"/>
    <x v="1"/>
    <n v="34"/>
  </r>
  <r>
    <x v="833"/>
    <s v="M0043"/>
    <x v="57"/>
    <s v="Toko B - Bandung"/>
    <s v="Groceries"/>
    <x v="825"/>
    <x v="0"/>
    <n v="30"/>
  </r>
  <r>
    <x v="834"/>
    <s v="M0179"/>
    <x v="308"/>
    <s v="Toko E - Semarang"/>
    <s v="Fashion"/>
    <x v="826"/>
    <x v="1"/>
    <n v="37"/>
  </r>
  <r>
    <x v="835"/>
    <s v="M0063"/>
    <x v="68"/>
    <s v="Toko D - Medan"/>
    <s v="Fashion"/>
    <x v="827"/>
    <x v="1"/>
    <n v="36"/>
  </r>
  <r>
    <x v="836"/>
    <s v="M0224"/>
    <x v="202"/>
    <s v="Toko C - Surabaya"/>
    <s v="F&amp;B"/>
    <x v="828"/>
    <x v="1"/>
    <n v="11"/>
  </r>
  <r>
    <x v="837"/>
    <s v="M0127"/>
    <x v="186"/>
    <s v="Toko D - Medan"/>
    <s v="F&amp;B"/>
    <x v="829"/>
    <x v="1"/>
    <n v="35"/>
  </r>
  <r>
    <x v="838"/>
    <s v="M0242"/>
    <x v="8"/>
    <s v="Toko G - Yogyakarta"/>
    <s v="Health &amp; Beauty"/>
    <x v="830"/>
    <x v="1"/>
    <n v="7"/>
  </r>
  <r>
    <x v="839"/>
    <s v="M0227"/>
    <x v="273"/>
    <s v="Toko B - Bandung"/>
    <s v="F&amp;B"/>
    <x v="831"/>
    <x v="1"/>
    <n v="57"/>
  </r>
  <r>
    <x v="840"/>
    <s v="M0008"/>
    <x v="294"/>
    <s v="Toko H - Denpasar"/>
    <s v="Electronics"/>
    <x v="832"/>
    <x v="0"/>
    <n v="6"/>
  </r>
  <r>
    <x v="841"/>
    <s v="M0006"/>
    <x v="67"/>
    <s v="Toko A - Jakarta"/>
    <s v="Electronics"/>
    <x v="833"/>
    <x v="1"/>
    <n v="15"/>
  </r>
  <r>
    <x v="842"/>
    <s v="M0247"/>
    <x v="31"/>
    <s v="Toko H - Denpasar"/>
    <s v="Electronics"/>
    <x v="834"/>
    <x v="1"/>
    <n v="23"/>
  </r>
  <r>
    <x v="843"/>
    <s v="M0039"/>
    <x v="272"/>
    <s v="Toko F - Makassar"/>
    <s v="Fashion"/>
    <x v="835"/>
    <x v="0"/>
    <n v="20"/>
  </r>
  <r>
    <x v="844"/>
    <s v="M0192"/>
    <x v="314"/>
    <s v="Toko F - Makassar"/>
    <s v="Fashion"/>
    <x v="836"/>
    <x v="1"/>
    <n v="57"/>
  </r>
  <r>
    <x v="845"/>
    <s v="M0196"/>
    <x v="138"/>
    <s v="Toko B - Bandung"/>
    <s v="Home &amp; Living"/>
    <x v="837"/>
    <x v="0"/>
    <n v="26"/>
  </r>
  <r>
    <x v="846"/>
    <s v="M0205"/>
    <x v="88"/>
    <s v="Toko G - Yogyakarta"/>
    <s v="Groceries"/>
    <x v="838"/>
    <x v="0"/>
    <n v="71"/>
  </r>
  <r>
    <x v="847"/>
    <s v="M0249"/>
    <x v="33"/>
    <s v="Toko F - Makassar"/>
    <s v="F&amp;B"/>
    <x v="839"/>
    <x v="0"/>
    <n v="22"/>
  </r>
  <r>
    <x v="848"/>
    <s v="M0249"/>
    <x v="46"/>
    <s v="Toko H - Denpasar"/>
    <s v="Groceries"/>
    <x v="840"/>
    <x v="0"/>
    <n v="21"/>
  </r>
  <r>
    <x v="849"/>
    <s v="M0269"/>
    <x v="200"/>
    <s v="Toko H - Denpasar"/>
    <s v="Electronics"/>
    <x v="841"/>
    <x v="1"/>
    <n v="42"/>
  </r>
  <r>
    <x v="850"/>
    <s v="M0185"/>
    <x v="43"/>
    <s v="Toko F - Makassar"/>
    <s v="F&amp;B"/>
    <x v="842"/>
    <x v="1"/>
    <n v="16"/>
  </r>
  <r>
    <x v="851"/>
    <s v="M0089"/>
    <x v="63"/>
    <s v="Toko C - Surabaya"/>
    <s v="Fashion"/>
    <x v="843"/>
    <x v="2"/>
    <n v="69"/>
  </r>
  <r>
    <x v="852"/>
    <s v="M0236"/>
    <x v="37"/>
    <s v="Toko A - Jakarta"/>
    <s v="F&amp;B"/>
    <x v="844"/>
    <x v="1"/>
    <n v="28"/>
  </r>
  <r>
    <x v="853"/>
    <s v="M0118"/>
    <x v="286"/>
    <s v="Toko G - Yogyakarta"/>
    <s v="Health &amp; Beauty"/>
    <x v="845"/>
    <x v="1"/>
    <n v="34"/>
  </r>
  <r>
    <x v="854"/>
    <s v="M0267"/>
    <x v="219"/>
    <s v="Toko F - Makassar"/>
    <s v="Home &amp; Living"/>
    <x v="846"/>
    <x v="1"/>
    <n v="2"/>
  </r>
  <r>
    <x v="855"/>
    <s v="M0168"/>
    <x v="325"/>
    <s v="Toko H - Denpasar"/>
    <s v="Health &amp; Beauty"/>
    <x v="847"/>
    <x v="0"/>
    <n v="13"/>
  </r>
  <r>
    <x v="856"/>
    <s v="M0087"/>
    <x v="326"/>
    <s v="Toko G - Yogyakarta"/>
    <s v="Groceries"/>
    <x v="848"/>
    <x v="1"/>
    <n v="22"/>
  </r>
  <r>
    <x v="857"/>
    <s v="M0105"/>
    <x v="272"/>
    <s v="Toko G - Yogyakarta"/>
    <s v="Home &amp; Living"/>
    <x v="849"/>
    <x v="1"/>
    <n v="11"/>
  </r>
  <r>
    <x v="858"/>
    <s v="M0269"/>
    <x v="233"/>
    <s v="Toko D - Medan"/>
    <s v="Health &amp; Beauty"/>
    <x v="850"/>
    <x v="1"/>
    <n v="17"/>
  </r>
  <r>
    <x v="859"/>
    <s v="M0003"/>
    <x v="195"/>
    <s v="Toko E - Semarang"/>
    <s v="Groceries"/>
    <x v="851"/>
    <x v="0"/>
    <n v="45"/>
  </r>
  <r>
    <x v="860"/>
    <s v="M0187"/>
    <x v="10"/>
    <s v="Toko E - Semarang"/>
    <s v="Electronics"/>
    <x v="852"/>
    <x v="1"/>
    <n v="9"/>
  </r>
  <r>
    <x v="861"/>
    <s v="M0220"/>
    <x v="172"/>
    <s v="Toko H - Denpasar"/>
    <s v="F&amp;B"/>
    <x v="853"/>
    <x v="0"/>
    <n v="34"/>
  </r>
  <r>
    <x v="862"/>
    <s v="M0192"/>
    <x v="46"/>
    <s v="Toko G - Yogyakarta"/>
    <s v="F&amp;B"/>
    <x v="854"/>
    <x v="1"/>
    <n v="10"/>
  </r>
  <r>
    <x v="863"/>
    <s v="M0091"/>
    <x v="322"/>
    <s v="Toko E - Semarang"/>
    <s v="Fashion"/>
    <x v="855"/>
    <x v="0"/>
    <n v="28"/>
  </r>
  <r>
    <x v="864"/>
    <s v="M0204"/>
    <x v="85"/>
    <s v="Toko F - Makassar"/>
    <s v="Home &amp; Living"/>
    <x v="8"/>
    <x v="0"/>
    <n v="2"/>
  </r>
  <r>
    <x v="865"/>
    <s v="M0089"/>
    <x v="84"/>
    <s v="Toko C - Surabaya"/>
    <s v="Home &amp; Living"/>
    <x v="856"/>
    <x v="2"/>
    <n v="13"/>
  </r>
  <r>
    <x v="866"/>
    <s v="M0002"/>
    <x v="280"/>
    <s v="Toko C - Surabaya"/>
    <s v="Health &amp; Beauty"/>
    <x v="857"/>
    <x v="1"/>
    <n v="71"/>
  </r>
  <r>
    <x v="867"/>
    <s v="M0154"/>
    <x v="20"/>
    <s v="Toko E - Semarang"/>
    <s v="Home &amp; Living"/>
    <x v="858"/>
    <x v="1"/>
    <n v="3"/>
  </r>
  <r>
    <x v="868"/>
    <s v="M0087"/>
    <x v="154"/>
    <s v="Toko F - Makassar"/>
    <s v="Fashion"/>
    <x v="859"/>
    <x v="1"/>
    <n v="37"/>
  </r>
  <r>
    <x v="869"/>
    <s v="M0053"/>
    <x v="232"/>
    <s v="Toko G - Yogyakarta"/>
    <s v="Health &amp; Beauty"/>
    <x v="860"/>
    <x v="1"/>
    <n v="53"/>
  </r>
  <r>
    <x v="870"/>
    <s v="M0233"/>
    <x v="168"/>
    <s v="Toko A - Jakarta"/>
    <s v="Groceries"/>
    <x v="861"/>
    <x v="0"/>
    <n v="99"/>
  </r>
  <r>
    <x v="871"/>
    <s v="M0105"/>
    <x v="43"/>
    <s v="Toko H - Denpasar"/>
    <s v="Home &amp; Living"/>
    <x v="862"/>
    <x v="1"/>
    <n v="55"/>
  </r>
  <r>
    <x v="872"/>
    <s v="M0039"/>
    <x v="278"/>
    <s v="Toko H - Denpasar"/>
    <s v="Groceries"/>
    <x v="863"/>
    <x v="0"/>
    <n v="58"/>
  </r>
  <r>
    <x v="873"/>
    <s v="M0183"/>
    <x v="38"/>
    <s v="Toko E - Semarang"/>
    <s v="Health &amp; Beauty"/>
    <x v="864"/>
    <x v="0"/>
    <n v="42"/>
  </r>
  <r>
    <x v="874"/>
    <s v="M0232"/>
    <x v="289"/>
    <s v="Toko A - Jakarta"/>
    <s v="Fashion"/>
    <x v="865"/>
    <x v="1"/>
    <n v="17"/>
  </r>
  <r>
    <x v="875"/>
    <s v="M0024"/>
    <x v="160"/>
    <s v="Toko A - Jakarta"/>
    <s v="F&amp;B"/>
    <x v="866"/>
    <x v="0"/>
    <n v="26"/>
  </r>
  <r>
    <x v="876"/>
    <s v="M0096"/>
    <x v="327"/>
    <s v="Toko B - Bandung"/>
    <s v="Groceries"/>
    <x v="867"/>
    <x v="1"/>
    <n v="77"/>
  </r>
  <r>
    <x v="877"/>
    <s v="M0122"/>
    <x v="80"/>
    <s v="Toko A - Jakarta"/>
    <s v="Home &amp; Living"/>
    <x v="868"/>
    <x v="1"/>
    <n v="38"/>
  </r>
  <r>
    <x v="878"/>
    <s v="M0220"/>
    <x v="145"/>
    <s v="Toko G - Yogyakarta"/>
    <s v="Groceries"/>
    <x v="869"/>
    <x v="0"/>
    <n v="28"/>
  </r>
  <r>
    <x v="879"/>
    <s v="M0243"/>
    <x v="192"/>
    <s v="Toko B - Bandung"/>
    <s v="Fashion"/>
    <x v="870"/>
    <x v="0"/>
    <n v="51"/>
  </r>
  <r>
    <x v="880"/>
    <s v="M0030"/>
    <x v="206"/>
    <s v="Toko H - Denpasar"/>
    <s v="F&amp;B"/>
    <x v="871"/>
    <x v="1"/>
    <n v="99"/>
  </r>
  <r>
    <x v="881"/>
    <s v="M0033"/>
    <x v="320"/>
    <s v="Toko B - Bandung"/>
    <s v="Electronics"/>
    <x v="872"/>
    <x v="1"/>
    <n v="11"/>
  </r>
  <r>
    <x v="882"/>
    <s v="M0044"/>
    <x v="316"/>
    <s v="Toko E - Semarang"/>
    <s v="Home &amp; Living"/>
    <x v="873"/>
    <x v="0"/>
    <n v="13"/>
  </r>
  <r>
    <x v="883"/>
    <s v="M0236"/>
    <x v="89"/>
    <s v="Toko C - Surabaya"/>
    <s v="Groceries"/>
    <x v="8"/>
    <x v="1"/>
    <n v="2"/>
  </r>
  <r>
    <x v="884"/>
    <s v="M0140"/>
    <x v="266"/>
    <s v="Toko B - Bandung"/>
    <s v="Electronics"/>
    <x v="874"/>
    <x v="1"/>
    <n v="38"/>
  </r>
  <r>
    <x v="885"/>
    <s v="M0098"/>
    <x v="328"/>
    <s v="Toko B - Bandung"/>
    <s v="Fashion"/>
    <x v="875"/>
    <x v="2"/>
    <n v="35"/>
  </r>
  <r>
    <x v="886"/>
    <s v="M0151"/>
    <x v="206"/>
    <s v="Toko F - Makassar"/>
    <s v="Health &amp; Beauty"/>
    <x v="876"/>
    <x v="1"/>
    <n v="9"/>
  </r>
  <r>
    <x v="887"/>
    <s v="M0056"/>
    <x v="228"/>
    <s v="Toko D - Medan"/>
    <s v="Fashion"/>
    <x v="877"/>
    <x v="0"/>
    <n v="39"/>
  </r>
  <r>
    <x v="888"/>
    <s v="M0018"/>
    <x v="288"/>
    <s v="Toko G - Yogyakarta"/>
    <s v="Groceries"/>
    <x v="878"/>
    <x v="0"/>
    <n v="13"/>
  </r>
  <r>
    <x v="889"/>
    <s v="M0002"/>
    <x v="27"/>
    <s v="Toko A - Jakarta"/>
    <s v="Home &amp; Living"/>
    <x v="879"/>
    <x v="1"/>
    <n v="6"/>
  </r>
  <r>
    <x v="890"/>
    <s v="M0031"/>
    <x v="207"/>
    <s v="Toko G - Yogyakarta"/>
    <s v="Electronics"/>
    <x v="880"/>
    <x v="1"/>
    <n v="16"/>
  </r>
  <r>
    <x v="891"/>
    <s v="M0028"/>
    <x v="82"/>
    <s v="Toko A - Jakarta"/>
    <s v="Groceries"/>
    <x v="881"/>
    <x v="0"/>
    <n v="19"/>
  </r>
  <r>
    <x v="892"/>
    <s v="M0148"/>
    <x v="239"/>
    <s v="Toko C - Surabaya"/>
    <s v="F&amp;B"/>
    <x v="882"/>
    <x v="0"/>
    <n v="63"/>
  </r>
  <r>
    <x v="893"/>
    <s v="M0049"/>
    <x v="163"/>
    <s v="Toko B - Bandung"/>
    <s v="Home &amp; Living"/>
    <x v="883"/>
    <x v="1"/>
    <n v="21"/>
  </r>
  <r>
    <x v="894"/>
    <s v="M0089"/>
    <x v="176"/>
    <s v="Toko F - Makassar"/>
    <s v="Health &amp; Beauty"/>
    <x v="884"/>
    <x v="2"/>
    <n v="15"/>
  </r>
  <r>
    <x v="895"/>
    <s v="M0267"/>
    <x v="44"/>
    <s v="Toko C - Surabaya"/>
    <s v="Fashion"/>
    <x v="885"/>
    <x v="1"/>
    <n v="39"/>
  </r>
  <r>
    <x v="896"/>
    <s v="M0283"/>
    <x v="267"/>
    <s v="Toko B - Bandung"/>
    <s v="Groceries"/>
    <x v="886"/>
    <x v="1"/>
    <n v="29"/>
  </r>
  <r>
    <x v="897"/>
    <s v="M0213"/>
    <x v="218"/>
    <s v="Toko B - Bandung"/>
    <s v="Electronics"/>
    <x v="887"/>
    <x v="1"/>
    <n v="34"/>
  </r>
  <r>
    <x v="898"/>
    <s v="M0115"/>
    <x v="165"/>
    <s v="Toko G - Yogyakarta"/>
    <s v="Health &amp; Beauty"/>
    <x v="888"/>
    <x v="1"/>
    <n v="48"/>
  </r>
  <r>
    <x v="899"/>
    <s v="M0261"/>
    <x v="60"/>
    <s v="Toko D - Medan"/>
    <s v="Home &amp; Living"/>
    <x v="889"/>
    <x v="2"/>
    <n v="24"/>
  </r>
  <r>
    <x v="900"/>
    <s v="M0119"/>
    <x v="10"/>
    <s v="Toko A - Jakarta"/>
    <s v="F&amp;B"/>
    <x v="890"/>
    <x v="1"/>
    <n v="25"/>
  </r>
  <r>
    <x v="901"/>
    <s v="M0289"/>
    <x v="29"/>
    <s v="Toko B - Bandung"/>
    <s v="Electronics"/>
    <x v="891"/>
    <x v="0"/>
    <n v="12"/>
  </r>
  <r>
    <x v="902"/>
    <s v="M0267"/>
    <x v="329"/>
    <s v="Toko F - Makassar"/>
    <s v="F&amp;B"/>
    <x v="892"/>
    <x v="1"/>
    <n v="42"/>
  </r>
  <r>
    <x v="903"/>
    <s v="M0076"/>
    <x v="208"/>
    <s v="Toko H - Denpasar"/>
    <s v="Fashion"/>
    <x v="893"/>
    <x v="2"/>
    <n v="10"/>
  </r>
  <r>
    <x v="904"/>
    <s v="M0108"/>
    <x v="330"/>
    <s v="Toko D - Medan"/>
    <s v="Groceries"/>
    <x v="894"/>
    <x v="1"/>
    <n v="52"/>
  </r>
  <r>
    <x v="905"/>
    <s v="M0109"/>
    <x v="46"/>
    <s v="Toko B - Bandung"/>
    <s v="Health &amp; Beauty"/>
    <x v="895"/>
    <x v="0"/>
    <n v="9"/>
  </r>
  <r>
    <x v="906"/>
    <s v="M0142"/>
    <x v="274"/>
    <s v="Toko D - Medan"/>
    <s v="F&amp;B"/>
    <x v="896"/>
    <x v="2"/>
    <n v="47"/>
  </r>
  <r>
    <x v="907"/>
    <s v="M0010"/>
    <x v="163"/>
    <s v="Toko F - Makassar"/>
    <s v="Home &amp; Living"/>
    <x v="897"/>
    <x v="1"/>
    <n v="95"/>
  </r>
  <r>
    <x v="908"/>
    <s v="M0094"/>
    <x v="331"/>
    <s v="Toko H - Denpasar"/>
    <s v="Electronics"/>
    <x v="898"/>
    <x v="0"/>
    <n v="50"/>
  </r>
  <r>
    <x v="909"/>
    <s v="M0056"/>
    <x v="313"/>
    <s v="Toko E - Semarang"/>
    <s v="Home &amp; Living"/>
    <x v="899"/>
    <x v="0"/>
    <n v="39"/>
  </r>
  <r>
    <x v="910"/>
    <s v="M0004"/>
    <x v="332"/>
    <s v="Toko E - Semarang"/>
    <s v="Home &amp; Living"/>
    <x v="900"/>
    <x v="1"/>
    <n v="54"/>
  </r>
  <r>
    <x v="911"/>
    <s v="M0102"/>
    <x v="333"/>
    <s v="Toko E - Semarang"/>
    <s v="Fashion"/>
    <x v="901"/>
    <x v="0"/>
    <n v="31"/>
  </r>
  <r>
    <x v="912"/>
    <s v="M0089"/>
    <x v="215"/>
    <s v="Toko C - Surabaya"/>
    <s v="Health &amp; Beauty"/>
    <x v="902"/>
    <x v="2"/>
    <n v="94"/>
  </r>
  <r>
    <x v="913"/>
    <s v="M0178"/>
    <x v="233"/>
    <s v="Toko A - Jakarta"/>
    <s v="Home &amp; Living"/>
    <x v="903"/>
    <x v="0"/>
    <n v="11"/>
  </r>
  <r>
    <x v="914"/>
    <s v="M0145"/>
    <x v="231"/>
    <s v="Toko B - Bandung"/>
    <s v="F&amp;B"/>
    <x v="904"/>
    <x v="1"/>
    <n v="25"/>
  </r>
  <r>
    <x v="915"/>
    <s v="M0095"/>
    <x v="295"/>
    <s v="Toko C - Surabaya"/>
    <s v="Groceries"/>
    <x v="905"/>
    <x v="2"/>
    <n v="20"/>
  </r>
  <r>
    <x v="916"/>
    <s v="M0240"/>
    <x v="334"/>
    <s v="Toko B - Bandung"/>
    <s v="Home &amp; Living"/>
    <x v="906"/>
    <x v="1"/>
    <n v="34"/>
  </r>
  <r>
    <x v="917"/>
    <s v="M0055"/>
    <x v="247"/>
    <s v="Toko H - Denpasar"/>
    <s v="Home &amp; Living"/>
    <x v="907"/>
    <x v="1"/>
    <n v="15"/>
  </r>
  <r>
    <x v="918"/>
    <s v="M0252"/>
    <x v="246"/>
    <s v="Toko A - Jakarta"/>
    <s v="Home &amp; Living"/>
    <x v="908"/>
    <x v="2"/>
    <n v="12"/>
  </r>
  <r>
    <x v="919"/>
    <s v="M0018"/>
    <x v="226"/>
    <s v="Toko E - Semarang"/>
    <s v="Groceries"/>
    <x v="909"/>
    <x v="0"/>
    <n v="37"/>
  </r>
  <r>
    <x v="920"/>
    <s v="M0246"/>
    <x v="255"/>
    <s v="Toko A - Jakarta"/>
    <s v="Groceries"/>
    <x v="910"/>
    <x v="0"/>
    <n v="18"/>
  </r>
  <r>
    <x v="921"/>
    <s v="M0160"/>
    <x v="326"/>
    <s v="Toko C - Surabaya"/>
    <s v="Electronics"/>
    <x v="911"/>
    <x v="0"/>
    <n v="22"/>
  </r>
  <r>
    <x v="922"/>
    <s v="M0079"/>
    <x v="255"/>
    <s v="Toko A - Jakarta"/>
    <s v="Fashion"/>
    <x v="912"/>
    <x v="1"/>
    <n v="71"/>
  </r>
  <r>
    <x v="923"/>
    <s v="M0012"/>
    <x v="288"/>
    <s v="Toko D - Medan"/>
    <s v="Groceries"/>
    <x v="913"/>
    <x v="0"/>
    <n v="22"/>
  </r>
  <r>
    <x v="924"/>
    <s v="M0285"/>
    <x v="335"/>
    <s v="Toko C - Surabaya"/>
    <s v="Health &amp; Beauty"/>
    <x v="914"/>
    <x v="0"/>
    <n v="2"/>
  </r>
  <r>
    <x v="925"/>
    <s v="M0243"/>
    <x v="321"/>
    <s v="Toko G - Yogyakarta"/>
    <s v="Electronics"/>
    <x v="915"/>
    <x v="0"/>
    <n v="25"/>
  </r>
  <r>
    <x v="926"/>
    <s v="M0198"/>
    <x v="119"/>
    <s v="Toko B - Bandung"/>
    <s v="F&amp;B"/>
    <x v="916"/>
    <x v="2"/>
    <n v="65"/>
  </r>
  <r>
    <x v="927"/>
    <s v="M0090"/>
    <x v="214"/>
    <s v="Toko C - Surabaya"/>
    <s v="Health &amp; Beauty"/>
    <x v="917"/>
    <x v="1"/>
    <n v="12"/>
  </r>
  <r>
    <x v="928"/>
    <s v="M0218"/>
    <x v="205"/>
    <s v="Toko B - Bandung"/>
    <s v="Fashion"/>
    <x v="918"/>
    <x v="1"/>
    <n v="73"/>
  </r>
  <r>
    <x v="929"/>
    <s v="M0163"/>
    <x v="45"/>
    <s v="Toko F - Makassar"/>
    <s v="Electronics"/>
    <x v="919"/>
    <x v="1"/>
    <n v="15"/>
  </r>
  <r>
    <x v="930"/>
    <s v="M0153"/>
    <x v="23"/>
    <s v="Toko D - Medan"/>
    <s v="Health &amp; Beauty"/>
    <x v="920"/>
    <x v="0"/>
    <n v="22"/>
  </r>
  <r>
    <x v="931"/>
    <s v="M0085"/>
    <x v="184"/>
    <s v="Toko G - Yogyakarta"/>
    <s v="Electronics"/>
    <x v="921"/>
    <x v="1"/>
    <n v="2"/>
  </r>
  <r>
    <x v="932"/>
    <s v="M0263"/>
    <x v="203"/>
    <s v="Toko B - Bandung"/>
    <s v="Groceries"/>
    <x v="922"/>
    <x v="0"/>
    <n v="80"/>
  </r>
  <r>
    <x v="933"/>
    <s v="M0227"/>
    <x v="150"/>
    <s v="Toko D - Medan"/>
    <s v="Health &amp; Beauty"/>
    <x v="923"/>
    <x v="1"/>
    <n v="20"/>
  </r>
  <r>
    <x v="934"/>
    <s v="M0024"/>
    <x v="323"/>
    <s v="Toko G - Yogyakarta"/>
    <s v="Health &amp; Beauty"/>
    <x v="924"/>
    <x v="0"/>
    <n v="14"/>
  </r>
  <r>
    <x v="935"/>
    <s v="M0184"/>
    <x v="179"/>
    <s v="Toko F - Makassar"/>
    <s v="Fashion"/>
    <x v="925"/>
    <x v="1"/>
    <n v="16"/>
  </r>
  <r>
    <x v="936"/>
    <s v="M0228"/>
    <x v="236"/>
    <s v="Toko A - Jakarta"/>
    <s v="F&amp;B"/>
    <x v="926"/>
    <x v="0"/>
    <n v="10"/>
  </r>
  <r>
    <x v="937"/>
    <s v="M0166"/>
    <x v="16"/>
    <s v="Toko F - Makassar"/>
    <s v="Groceries"/>
    <x v="927"/>
    <x v="0"/>
    <n v="31"/>
  </r>
  <r>
    <x v="938"/>
    <s v="M0175"/>
    <x v="171"/>
    <s v="Toko H - Denpasar"/>
    <s v="Fashion"/>
    <x v="928"/>
    <x v="1"/>
    <n v="63"/>
  </r>
  <r>
    <x v="939"/>
    <s v="M0122"/>
    <x v="84"/>
    <s v="Toko A - Jakarta"/>
    <s v="Home &amp; Living"/>
    <x v="929"/>
    <x v="1"/>
    <n v="24"/>
  </r>
  <r>
    <x v="940"/>
    <s v="M0273"/>
    <x v="98"/>
    <s v="Toko H - Denpasar"/>
    <s v="Fashion"/>
    <x v="930"/>
    <x v="1"/>
    <n v="9"/>
  </r>
  <r>
    <x v="941"/>
    <s v="M0171"/>
    <x v="166"/>
    <s v="Toko G - Yogyakarta"/>
    <s v="Fashion"/>
    <x v="931"/>
    <x v="1"/>
    <n v="21"/>
  </r>
  <r>
    <x v="942"/>
    <s v="M0260"/>
    <x v="237"/>
    <s v="Toko F - Makassar"/>
    <s v="Health &amp; Beauty"/>
    <x v="932"/>
    <x v="1"/>
    <n v="22"/>
  </r>
  <r>
    <x v="943"/>
    <s v="M0187"/>
    <x v="324"/>
    <s v="Toko F - Makassar"/>
    <s v="F&amp;B"/>
    <x v="933"/>
    <x v="1"/>
    <n v="21"/>
  </r>
  <r>
    <x v="944"/>
    <s v="M0186"/>
    <x v="91"/>
    <s v="Toko D - Medan"/>
    <s v="F&amp;B"/>
    <x v="934"/>
    <x v="0"/>
    <n v="29"/>
  </r>
  <r>
    <x v="945"/>
    <s v="M0220"/>
    <x v="233"/>
    <s v="Toko G - Yogyakarta"/>
    <s v="Home &amp; Living"/>
    <x v="935"/>
    <x v="0"/>
    <n v="47"/>
  </r>
  <r>
    <x v="946"/>
    <s v="M0258"/>
    <x v="238"/>
    <s v="Toko H - Denpasar"/>
    <s v="F&amp;B"/>
    <x v="936"/>
    <x v="1"/>
    <n v="18"/>
  </r>
  <r>
    <x v="947"/>
    <s v="M0024"/>
    <x v="256"/>
    <s v="Toko C - Surabaya"/>
    <s v="Fashion"/>
    <x v="937"/>
    <x v="0"/>
    <n v="11"/>
  </r>
  <r>
    <x v="948"/>
    <s v="M0121"/>
    <x v="92"/>
    <s v="Toko A - Jakarta"/>
    <s v="Fashion"/>
    <x v="938"/>
    <x v="1"/>
    <n v="12"/>
  </r>
  <r>
    <x v="949"/>
    <s v="M0273"/>
    <x v="69"/>
    <s v="Toko E - Semarang"/>
    <s v="F&amp;B"/>
    <x v="939"/>
    <x v="1"/>
    <n v="38"/>
  </r>
  <r>
    <x v="950"/>
    <s v="M0167"/>
    <x v="324"/>
    <s v="Toko G - Yogyakarta"/>
    <s v="Electronics"/>
    <x v="940"/>
    <x v="2"/>
    <n v="47"/>
  </r>
  <r>
    <x v="951"/>
    <s v="M0163"/>
    <x v="46"/>
    <s v="Toko B - Bandung"/>
    <s v="Electronics"/>
    <x v="941"/>
    <x v="1"/>
    <n v="25"/>
  </r>
  <r>
    <x v="952"/>
    <s v="M0140"/>
    <x v="336"/>
    <s v="Toko G - Yogyakarta"/>
    <s v="Home &amp; Living"/>
    <x v="942"/>
    <x v="1"/>
    <n v="28"/>
  </r>
  <r>
    <x v="953"/>
    <s v="M0172"/>
    <x v="239"/>
    <s v="Toko E - Semarang"/>
    <s v="F&amp;B"/>
    <x v="943"/>
    <x v="0"/>
    <n v="14"/>
  </r>
  <r>
    <x v="954"/>
    <s v="M0211"/>
    <x v="108"/>
    <s v="Toko E - Semarang"/>
    <s v="F&amp;B"/>
    <x v="944"/>
    <x v="0"/>
    <n v="8"/>
  </r>
  <r>
    <x v="955"/>
    <s v="M0058"/>
    <x v="120"/>
    <s v="Toko D - Medan"/>
    <s v="Health &amp; Beauty"/>
    <x v="945"/>
    <x v="1"/>
    <n v="43"/>
  </r>
  <r>
    <x v="956"/>
    <s v="M0237"/>
    <x v="329"/>
    <s v="Toko D - Medan"/>
    <s v="Fashion"/>
    <x v="946"/>
    <x v="2"/>
    <n v="18"/>
  </r>
  <r>
    <x v="957"/>
    <s v="M0044"/>
    <x v="36"/>
    <s v="Toko F - Makassar"/>
    <s v="F&amp;B"/>
    <x v="947"/>
    <x v="0"/>
    <n v="7"/>
  </r>
  <r>
    <x v="958"/>
    <s v="M0157"/>
    <x v="236"/>
    <s v="Toko A - Jakarta"/>
    <s v="Home &amp; Living"/>
    <x v="948"/>
    <x v="1"/>
    <n v="32"/>
  </r>
  <r>
    <x v="959"/>
    <s v="M0290"/>
    <x v="214"/>
    <s v="Toko B - Bandung"/>
    <s v="Health &amp; Beauty"/>
    <x v="949"/>
    <x v="0"/>
    <n v="15"/>
  </r>
  <r>
    <x v="960"/>
    <s v="M0002"/>
    <x v="2"/>
    <s v="Toko A - Jakarta"/>
    <s v="Electronics"/>
    <x v="950"/>
    <x v="1"/>
    <n v="34"/>
  </r>
  <r>
    <x v="961"/>
    <s v="M0213"/>
    <x v="13"/>
    <s v="Toko D - Medan"/>
    <s v="Fashion"/>
    <x v="951"/>
    <x v="1"/>
    <n v="23"/>
  </r>
  <r>
    <x v="962"/>
    <s v="M0264"/>
    <x v="126"/>
    <s v="Toko H - Denpasar"/>
    <s v="Home &amp; Living"/>
    <x v="952"/>
    <x v="1"/>
    <n v="35"/>
  </r>
  <r>
    <x v="963"/>
    <s v="M0267"/>
    <x v="337"/>
    <s v="Toko H - Denpasar"/>
    <s v="F&amp;B"/>
    <x v="953"/>
    <x v="1"/>
    <n v="19"/>
  </r>
  <r>
    <x v="964"/>
    <s v="M0017"/>
    <x v="170"/>
    <s v="Toko A - Jakarta"/>
    <s v="Electronics"/>
    <x v="954"/>
    <x v="0"/>
    <n v="13"/>
  </r>
  <r>
    <x v="965"/>
    <s v="M0134"/>
    <x v="338"/>
    <s v="Toko F - Makassar"/>
    <s v="Fashion"/>
    <x v="955"/>
    <x v="1"/>
    <n v="41"/>
  </r>
  <r>
    <x v="966"/>
    <s v="M0300"/>
    <x v="170"/>
    <s v="Toko B - Bandung"/>
    <s v="Fashion"/>
    <x v="956"/>
    <x v="1"/>
    <n v="54"/>
  </r>
  <r>
    <x v="967"/>
    <s v="M0070"/>
    <x v="291"/>
    <s v="Toko D - Medan"/>
    <s v="Groceries"/>
    <x v="957"/>
    <x v="0"/>
    <n v="42"/>
  </r>
  <r>
    <x v="968"/>
    <s v="M0186"/>
    <x v="106"/>
    <s v="Toko F - Makassar"/>
    <s v="Electronics"/>
    <x v="958"/>
    <x v="0"/>
    <n v="39"/>
  </r>
  <r>
    <x v="969"/>
    <s v="M0017"/>
    <x v="210"/>
    <s v="Toko B - Bandung"/>
    <s v="Electronics"/>
    <x v="959"/>
    <x v="0"/>
    <n v="15"/>
  </r>
  <r>
    <x v="970"/>
    <s v="M0262"/>
    <x v="213"/>
    <s v="Toko G - Yogyakarta"/>
    <s v="F&amp;B"/>
    <x v="960"/>
    <x v="1"/>
    <n v="13"/>
  </r>
  <r>
    <x v="971"/>
    <s v="M0075"/>
    <x v="338"/>
    <s v="Toko H - Denpasar"/>
    <s v="F&amp;B"/>
    <x v="961"/>
    <x v="0"/>
    <n v="13"/>
  </r>
  <r>
    <x v="972"/>
    <s v="M0280"/>
    <x v="190"/>
    <s v="Toko D - Medan"/>
    <s v="Health &amp; Beauty"/>
    <x v="962"/>
    <x v="1"/>
    <n v="30"/>
  </r>
  <r>
    <x v="973"/>
    <s v="M0034"/>
    <x v="193"/>
    <s v="Toko G - Yogyakarta"/>
    <s v="Health &amp; Beauty"/>
    <x v="963"/>
    <x v="1"/>
    <n v="3"/>
  </r>
  <r>
    <x v="974"/>
    <s v="M0201"/>
    <x v="338"/>
    <s v="Toko E - Semarang"/>
    <s v="Groceries"/>
    <x v="964"/>
    <x v="1"/>
    <n v="3"/>
  </r>
  <r>
    <x v="975"/>
    <s v="M0131"/>
    <x v="57"/>
    <s v="Toko D - Medan"/>
    <s v="Groceries"/>
    <x v="965"/>
    <x v="2"/>
    <n v="10"/>
  </r>
  <r>
    <x v="976"/>
    <s v="M0040"/>
    <x v="117"/>
    <s v="Toko D - Medan"/>
    <s v="Electronics"/>
    <x v="966"/>
    <x v="0"/>
    <n v="4"/>
  </r>
  <r>
    <x v="977"/>
    <s v="M0143"/>
    <x v="51"/>
    <s v="Toko B - Bandung"/>
    <s v="Home &amp; Living"/>
    <x v="967"/>
    <x v="1"/>
    <n v="46"/>
  </r>
  <r>
    <x v="978"/>
    <s v="M0010"/>
    <x v="261"/>
    <s v="Toko B - Bandung"/>
    <s v="Home &amp; Living"/>
    <x v="968"/>
    <x v="1"/>
    <n v="35"/>
  </r>
  <r>
    <x v="979"/>
    <s v="M0098"/>
    <x v="138"/>
    <s v="Toko F - Makassar"/>
    <s v="Electronics"/>
    <x v="969"/>
    <x v="2"/>
    <n v="13"/>
  </r>
  <r>
    <x v="980"/>
    <s v="M0282"/>
    <x v="211"/>
    <s v="Toko G - Yogyakarta"/>
    <s v="F&amp;B"/>
    <x v="970"/>
    <x v="1"/>
    <n v="5"/>
  </r>
  <r>
    <x v="981"/>
    <s v="M0044"/>
    <x v="165"/>
    <s v="Toko C - Surabaya"/>
    <s v="Health &amp; Beauty"/>
    <x v="971"/>
    <x v="0"/>
    <n v="13"/>
  </r>
  <r>
    <x v="982"/>
    <s v="M0296"/>
    <x v="142"/>
    <s v="Toko E - Semarang"/>
    <s v="Groceries"/>
    <x v="972"/>
    <x v="0"/>
    <n v="31"/>
  </r>
  <r>
    <x v="983"/>
    <s v="M0201"/>
    <x v="158"/>
    <s v="Toko G - Yogyakarta"/>
    <s v="Electronics"/>
    <x v="973"/>
    <x v="1"/>
    <n v="5"/>
  </r>
  <r>
    <x v="984"/>
    <s v="M0299"/>
    <x v="313"/>
    <s v="Toko D - Medan"/>
    <s v="Fashion"/>
    <x v="974"/>
    <x v="0"/>
    <n v="40"/>
  </r>
  <r>
    <x v="985"/>
    <s v="M0083"/>
    <x v="259"/>
    <s v="Toko G - Yogyakarta"/>
    <s v="Home &amp; Living"/>
    <x v="975"/>
    <x v="1"/>
    <n v="7"/>
  </r>
  <r>
    <x v="986"/>
    <s v="M0289"/>
    <x v="216"/>
    <s v="Toko D - Medan"/>
    <s v="Fashion"/>
    <x v="976"/>
    <x v="0"/>
    <n v="5"/>
  </r>
  <r>
    <x v="987"/>
    <s v="M0284"/>
    <x v="282"/>
    <s v="Toko E - Semarang"/>
    <s v="Health &amp; Beauty"/>
    <x v="977"/>
    <x v="1"/>
    <n v="23"/>
  </r>
  <r>
    <x v="988"/>
    <s v="M0161"/>
    <x v="60"/>
    <s v="Toko D - Medan"/>
    <s v="Home &amp; Living"/>
    <x v="978"/>
    <x v="1"/>
    <n v="35"/>
  </r>
  <r>
    <x v="989"/>
    <s v="M0205"/>
    <x v="244"/>
    <s v="Toko F - Makassar"/>
    <s v="Electronics"/>
    <x v="979"/>
    <x v="0"/>
    <n v="43"/>
  </r>
  <r>
    <x v="990"/>
    <s v="M0161"/>
    <x v="133"/>
    <s v="Toko A - Jakarta"/>
    <s v="Health &amp; Beauty"/>
    <x v="980"/>
    <x v="1"/>
    <n v="15"/>
  </r>
  <r>
    <x v="991"/>
    <s v="M0151"/>
    <x v="117"/>
    <s v="Toko G - Yogyakarta"/>
    <s v="Fashion"/>
    <x v="981"/>
    <x v="1"/>
    <n v="24"/>
  </r>
  <r>
    <x v="992"/>
    <s v="M0013"/>
    <x v="290"/>
    <s v="Toko A - Jakarta"/>
    <s v="Fashion"/>
    <x v="982"/>
    <x v="1"/>
    <n v="58"/>
  </r>
  <r>
    <x v="993"/>
    <s v="M0252"/>
    <x v="273"/>
    <s v="Toko F - Makassar"/>
    <s v="F&amp;B"/>
    <x v="983"/>
    <x v="2"/>
    <n v="89"/>
  </r>
  <r>
    <x v="994"/>
    <s v="M0034"/>
    <x v="227"/>
    <s v="Toko E - Semarang"/>
    <s v="Groceries"/>
    <x v="984"/>
    <x v="1"/>
    <n v="41"/>
  </r>
  <r>
    <x v="995"/>
    <s v="M0003"/>
    <x v="62"/>
    <s v="Toko C - Surabaya"/>
    <s v="Groceries"/>
    <x v="985"/>
    <x v="0"/>
    <n v="59"/>
  </r>
  <r>
    <x v="996"/>
    <s v="M0270"/>
    <x v="298"/>
    <s v="Toko B - Bandung"/>
    <s v="Health &amp; Beauty"/>
    <x v="986"/>
    <x v="0"/>
    <n v="33"/>
  </r>
  <r>
    <x v="997"/>
    <s v="M0127"/>
    <x v="79"/>
    <s v="Toko F - Makassar"/>
    <s v="Health &amp; Beauty"/>
    <x v="987"/>
    <x v="1"/>
    <n v="16"/>
  </r>
  <r>
    <x v="998"/>
    <s v="M0280"/>
    <x v="254"/>
    <s v="Toko A - Jakarta"/>
    <s v="Home &amp; Living"/>
    <x v="988"/>
    <x v="1"/>
    <n v="17"/>
  </r>
  <r>
    <x v="999"/>
    <s v="M0121"/>
    <x v="252"/>
    <s v="Toko G - Yogyakarta"/>
    <s v="Fashion"/>
    <x v="989"/>
    <x v="1"/>
    <n v="34"/>
  </r>
  <r>
    <x v="1000"/>
    <s v="M0143"/>
    <x v="318"/>
    <s v="Toko C - Surabaya"/>
    <s v="Home &amp; Living"/>
    <x v="990"/>
    <x v="1"/>
    <n v="3"/>
  </r>
  <r>
    <x v="1001"/>
    <s v="M0279"/>
    <x v="1"/>
    <s v="Toko A - Jakarta"/>
    <s v="Groceries"/>
    <x v="991"/>
    <x v="1"/>
    <n v="16"/>
  </r>
  <r>
    <x v="1002"/>
    <s v="M0052"/>
    <x v="328"/>
    <s v="Toko H - Denpasar"/>
    <s v="Health &amp; Beauty"/>
    <x v="992"/>
    <x v="0"/>
    <n v="16"/>
  </r>
  <r>
    <x v="1003"/>
    <s v="M0261"/>
    <x v="54"/>
    <s v="Toko D - Medan"/>
    <s v="F&amp;B"/>
    <x v="993"/>
    <x v="2"/>
    <n v="21"/>
  </r>
  <r>
    <x v="1004"/>
    <s v="M0075"/>
    <x v="100"/>
    <s v="Toko F - Makassar"/>
    <s v="Electronics"/>
    <x v="994"/>
    <x v="0"/>
    <n v="30"/>
  </r>
  <r>
    <x v="1005"/>
    <s v="M0003"/>
    <x v="293"/>
    <s v="Toko A - Jakarta"/>
    <s v="F&amp;B"/>
    <x v="995"/>
    <x v="0"/>
    <n v="44"/>
  </r>
  <r>
    <x v="1006"/>
    <s v="M0281"/>
    <x v="178"/>
    <s v="Toko G - Yogyakarta"/>
    <s v="F&amp;B"/>
    <x v="996"/>
    <x v="0"/>
    <n v="31"/>
  </r>
  <r>
    <x v="1007"/>
    <s v="M0069"/>
    <x v="32"/>
    <s v="Toko A - Jakarta"/>
    <s v="Home &amp; Living"/>
    <x v="997"/>
    <x v="1"/>
    <n v="19"/>
  </r>
  <r>
    <x v="1008"/>
    <s v="M0075"/>
    <x v="71"/>
    <s v="Toko G - Yogyakarta"/>
    <s v="Health &amp; Beauty"/>
    <x v="998"/>
    <x v="0"/>
    <n v="37"/>
  </r>
  <r>
    <x v="1009"/>
    <s v="M0063"/>
    <x v="163"/>
    <s v="Toko F - Makassar"/>
    <s v="F&amp;B"/>
    <x v="999"/>
    <x v="1"/>
    <n v="75"/>
  </r>
  <r>
    <x v="1010"/>
    <s v="M0277"/>
    <x v="218"/>
    <s v="Toko C - Surabaya"/>
    <s v="Home &amp; Living"/>
    <x v="1000"/>
    <x v="1"/>
    <n v="36"/>
  </r>
  <r>
    <x v="1011"/>
    <s v="M0080"/>
    <x v="151"/>
    <s v="Toko D - Medan"/>
    <s v="Electronics"/>
    <x v="1001"/>
    <x v="2"/>
    <n v="34"/>
  </r>
  <r>
    <x v="1012"/>
    <s v="M0013"/>
    <x v="228"/>
    <s v="Toko G - Yogyakarta"/>
    <s v="F&amp;B"/>
    <x v="1002"/>
    <x v="1"/>
    <n v="51"/>
  </r>
  <r>
    <x v="1013"/>
    <s v="M0197"/>
    <x v="156"/>
    <s v="Toko B - Bandung"/>
    <s v="Electronics"/>
    <x v="1003"/>
    <x v="1"/>
    <n v="45"/>
  </r>
  <r>
    <x v="1014"/>
    <s v="M0283"/>
    <x v="181"/>
    <s v="Toko F - Makassar"/>
    <s v="Fashion"/>
    <x v="1004"/>
    <x v="1"/>
    <n v="52"/>
  </r>
  <r>
    <x v="1015"/>
    <s v="M0157"/>
    <x v="93"/>
    <s v="Toko E - Semarang"/>
    <s v="F&amp;B"/>
    <x v="1005"/>
    <x v="1"/>
    <n v="8"/>
  </r>
  <r>
    <x v="1016"/>
    <s v="M0223"/>
    <x v="237"/>
    <s v="Toko F - Makassar"/>
    <s v="Home &amp; Living"/>
    <x v="1006"/>
    <x v="0"/>
    <n v="41"/>
  </r>
  <r>
    <x v="1017"/>
    <s v="M0083"/>
    <x v="109"/>
    <s v="Toko E - Semarang"/>
    <s v="Groceries"/>
    <x v="1007"/>
    <x v="1"/>
    <n v="24"/>
  </r>
  <r>
    <x v="1018"/>
    <s v="M0281"/>
    <x v="339"/>
    <s v="Toko D - Medan"/>
    <s v="Groceries"/>
    <x v="1008"/>
    <x v="0"/>
    <n v="3"/>
  </r>
  <r>
    <x v="1019"/>
    <s v="M0044"/>
    <x v="340"/>
    <s v="Toko H - Denpasar"/>
    <s v="Groceries"/>
    <x v="1009"/>
    <x v="0"/>
    <n v="38"/>
  </r>
  <r>
    <x v="1020"/>
    <s v="M0108"/>
    <x v="85"/>
    <s v="Toko F - Makassar"/>
    <s v="Home &amp; Living"/>
    <x v="1010"/>
    <x v="1"/>
    <n v="19"/>
  </r>
  <r>
    <x v="1021"/>
    <s v="M0121"/>
    <x v="331"/>
    <s v="Toko D - Medan"/>
    <s v="Fashion"/>
    <x v="1011"/>
    <x v="1"/>
    <n v="30"/>
  </r>
  <r>
    <x v="1022"/>
    <s v="M0007"/>
    <x v="134"/>
    <s v="Toko C - Surabaya"/>
    <s v="Health &amp; Beauty"/>
    <x v="1012"/>
    <x v="1"/>
    <n v="29"/>
  </r>
  <r>
    <x v="1023"/>
    <s v="M0190"/>
    <x v="126"/>
    <s v="Toko C - Surabaya"/>
    <s v="Fashion"/>
    <x v="1013"/>
    <x v="0"/>
    <n v="82"/>
  </r>
  <r>
    <x v="1024"/>
    <s v="M0127"/>
    <x v="341"/>
    <s v="Toko A - Jakarta"/>
    <s v="Home &amp; Living"/>
    <x v="1014"/>
    <x v="1"/>
    <n v="39"/>
  </r>
  <r>
    <x v="1025"/>
    <s v="M0184"/>
    <x v="65"/>
    <s v="Toko D - Medan"/>
    <s v="F&amp;B"/>
    <x v="1015"/>
    <x v="1"/>
    <n v="32"/>
  </r>
  <r>
    <x v="1026"/>
    <s v="M0049"/>
    <x v="21"/>
    <s v="Toko F - Makassar"/>
    <s v="Health &amp; Beauty"/>
    <x v="1016"/>
    <x v="1"/>
    <n v="65"/>
  </r>
  <r>
    <x v="1027"/>
    <s v="M0262"/>
    <x v="112"/>
    <s v="Toko H - Denpasar"/>
    <s v="Home &amp; Living"/>
    <x v="1017"/>
    <x v="1"/>
    <n v="19"/>
  </r>
  <r>
    <x v="1028"/>
    <s v="M0281"/>
    <x v="124"/>
    <s v="Toko G - Yogyakarta"/>
    <s v="Electronics"/>
    <x v="1018"/>
    <x v="0"/>
    <n v="43"/>
  </r>
  <r>
    <x v="1029"/>
    <s v="M0239"/>
    <x v="149"/>
    <s v="Toko H - Denpasar"/>
    <s v="F&amp;B"/>
    <x v="1019"/>
    <x v="1"/>
    <n v="26"/>
  </r>
  <r>
    <x v="1030"/>
    <s v="M0192"/>
    <x v="2"/>
    <s v="Toko G - Yogyakarta"/>
    <s v="F&amp;B"/>
    <x v="8"/>
    <x v="1"/>
    <n v="2"/>
  </r>
  <r>
    <x v="1031"/>
    <s v="M0087"/>
    <x v="207"/>
    <s v="Toko C - Surabaya"/>
    <s v="Electronics"/>
    <x v="1020"/>
    <x v="1"/>
    <n v="37"/>
  </r>
  <r>
    <x v="1032"/>
    <s v="M0163"/>
    <x v="342"/>
    <s v="Toko G - Yogyakarta"/>
    <s v="Electronics"/>
    <x v="1021"/>
    <x v="1"/>
    <n v="40"/>
  </r>
  <r>
    <x v="1033"/>
    <s v="M0173"/>
    <x v="153"/>
    <s v="Toko G - Yogyakarta"/>
    <s v="Home &amp; Living"/>
    <x v="1022"/>
    <x v="1"/>
    <n v="8"/>
  </r>
  <r>
    <x v="1034"/>
    <s v="M0277"/>
    <x v="236"/>
    <s v="Toko D - Medan"/>
    <s v="Fashion"/>
    <x v="1023"/>
    <x v="1"/>
    <n v="13"/>
  </r>
  <r>
    <x v="1035"/>
    <s v="M0199"/>
    <x v="197"/>
    <s v="Toko C - Surabaya"/>
    <s v="F&amp;B"/>
    <x v="1024"/>
    <x v="1"/>
    <n v="26"/>
  </r>
  <r>
    <x v="1036"/>
    <s v="M0274"/>
    <x v="15"/>
    <s v="Toko E - Semarang"/>
    <s v="F&amp;B"/>
    <x v="1025"/>
    <x v="0"/>
    <n v="5"/>
  </r>
  <r>
    <x v="1037"/>
    <s v="M0108"/>
    <x v="243"/>
    <s v="Toko A - Jakarta"/>
    <s v="Fashion"/>
    <x v="1026"/>
    <x v="1"/>
    <n v="23"/>
  </r>
  <r>
    <x v="1038"/>
    <s v="M0228"/>
    <x v="248"/>
    <s v="Toko G - Yogyakarta"/>
    <s v="F&amp;B"/>
    <x v="1027"/>
    <x v="0"/>
    <n v="4"/>
  </r>
  <r>
    <x v="1039"/>
    <s v="M0064"/>
    <x v="163"/>
    <s v="Toko C - Surabaya"/>
    <s v="Health &amp; Beauty"/>
    <x v="1028"/>
    <x v="2"/>
    <n v="39"/>
  </r>
  <r>
    <x v="1040"/>
    <s v="M0140"/>
    <x v="16"/>
    <s v="Toko H - Denpasar"/>
    <s v="Fashion"/>
    <x v="1029"/>
    <x v="1"/>
    <n v="21"/>
  </r>
  <r>
    <x v="1041"/>
    <s v="M0023"/>
    <x v="15"/>
    <s v="Toko A - Jakarta"/>
    <s v="F&amp;B"/>
    <x v="1030"/>
    <x v="1"/>
    <n v="20"/>
  </r>
  <r>
    <x v="1042"/>
    <s v="M0097"/>
    <x v="317"/>
    <s v="Toko G - Yogyakarta"/>
    <s v="Electronics"/>
    <x v="1031"/>
    <x v="1"/>
    <n v="20"/>
  </r>
  <r>
    <x v="1043"/>
    <s v="M0185"/>
    <x v="135"/>
    <s v="Toko C - Surabaya"/>
    <s v="Groceries"/>
    <x v="1032"/>
    <x v="1"/>
    <n v="19"/>
  </r>
  <r>
    <x v="1044"/>
    <s v="M0181"/>
    <x v="277"/>
    <s v="Toko B - Bandung"/>
    <s v="Groceries"/>
    <x v="1033"/>
    <x v="1"/>
    <n v="10"/>
  </r>
  <r>
    <x v="1045"/>
    <s v="M0219"/>
    <x v="6"/>
    <s v="Toko F - Makassar"/>
    <s v="Groceries"/>
    <x v="1034"/>
    <x v="1"/>
    <n v="9"/>
  </r>
  <r>
    <x v="1046"/>
    <s v="M0163"/>
    <x v="102"/>
    <s v="Toko D - Medan"/>
    <s v="Home &amp; Living"/>
    <x v="1035"/>
    <x v="1"/>
    <n v="7"/>
  </r>
  <r>
    <x v="1047"/>
    <s v="M0010"/>
    <x v="242"/>
    <s v="Toko G - Yogyakarta"/>
    <s v="Home &amp; Living"/>
    <x v="8"/>
    <x v="1"/>
    <n v="2"/>
  </r>
  <r>
    <x v="1048"/>
    <s v="M0281"/>
    <x v="343"/>
    <s v="Toko G - Yogyakarta"/>
    <s v="F&amp;B"/>
    <x v="1036"/>
    <x v="0"/>
    <n v="52"/>
  </r>
  <r>
    <x v="1049"/>
    <s v="M0061"/>
    <x v="246"/>
    <s v="Toko B - Bandung"/>
    <s v="Electronics"/>
    <x v="1037"/>
    <x v="2"/>
    <n v="25"/>
  </r>
  <r>
    <x v="1050"/>
    <s v="M0044"/>
    <x v="344"/>
    <s v="Toko B - Bandung"/>
    <s v="Home &amp; Living"/>
    <x v="1038"/>
    <x v="0"/>
    <n v="14"/>
  </r>
  <r>
    <x v="1051"/>
    <s v="M0268"/>
    <x v="19"/>
    <s v="Toko F - Makassar"/>
    <s v="Fashion"/>
    <x v="1039"/>
    <x v="0"/>
    <n v="16"/>
  </r>
  <r>
    <x v="1052"/>
    <s v="M0036"/>
    <x v="328"/>
    <s v="Toko B - Bandung"/>
    <s v="Electronics"/>
    <x v="1040"/>
    <x v="0"/>
    <n v="29"/>
  </r>
  <r>
    <x v="1053"/>
    <s v="M0102"/>
    <x v="138"/>
    <s v="Toko C - Surabaya"/>
    <s v="Home &amp; Living"/>
    <x v="1041"/>
    <x v="0"/>
    <n v="46"/>
  </r>
  <r>
    <x v="1054"/>
    <s v="M0056"/>
    <x v="228"/>
    <s v="Toko F - Makassar"/>
    <s v="Health &amp; Beauty"/>
    <x v="1042"/>
    <x v="0"/>
    <n v="13"/>
  </r>
  <r>
    <x v="1055"/>
    <s v="M0021"/>
    <x v="304"/>
    <s v="Toko H - Denpasar"/>
    <s v="Health &amp; Beauty"/>
    <x v="1043"/>
    <x v="1"/>
    <n v="37"/>
  </r>
  <r>
    <x v="1056"/>
    <s v="M0087"/>
    <x v="194"/>
    <s v="Toko H - Denpasar"/>
    <s v="Health &amp; Beauty"/>
    <x v="1044"/>
    <x v="1"/>
    <n v="48"/>
  </r>
  <r>
    <x v="1057"/>
    <s v="M0288"/>
    <x v="66"/>
    <s v="Toko A - Jakarta"/>
    <s v="Home &amp; Living"/>
    <x v="1045"/>
    <x v="1"/>
    <n v="17"/>
  </r>
  <r>
    <x v="1058"/>
    <s v="M0044"/>
    <x v="132"/>
    <s v="Toko A - Jakarta"/>
    <s v="Health &amp; Beauty"/>
    <x v="1046"/>
    <x v="0"/>
    <n v="15"/>
  </r>
  <r>
    <x v="1059"/>
    <s v="M0221"/>
    <x v="158"/>
    <s v="Toko G - Yogyakarta"/>
    <s v="Health &amp; Beauty"/>
    <x v="1047"/>
    <x v="1"/>
    <n v="31"/>
  </r>
  <r>
    <x v="1060"/>
    <s v="M0042"/>
    <x v="189"/>
    <s v="Toko H - Denpasar"/>
    <s v="Electronics"/>
    <x v="1048"/>
    <x v="2"/>
    <n v="28"/>
  </r>
  <r>
    <x v="1061"/>
    <s v="M0081"/>
    <x v="238"/>
    <s v="Toko B - Bandung"/>
    <s v="Fashion"/>
    <x v="1049"/>
    <x v="1"/>
    <n v="28"/>
  </r>
  <r>
    <x v="1062"/>
    <s v="M0281"/>
    <x v="104"/>
    <s v="Toko C - Surabaya"/>
    <s v="F&amp;B"/>
    <x v="1050"/>
    <x v="0"/>
    <n v="30"/>
  </r>
  <r>
    <x v="1063"/>
    <s v="M0228"/>
    <x v="98"/>
    <s v="Toko D - Medan"/>
    <s v="Groceries"/>
    <x v="1051"/>
    <x v="0"/>
    <n v="6"/>
  </r>
  <r>
    <x v="1064"/>
    <s v="M0224"/>
    <x v="234"/>
    <s v="Toko H - Denpasar"/>
    <s v="Electronics"/>
    <x v="1052"/>
    <x v="1"/>
    <n v="63"/>
  </r>
  <r>
    <x v="1065"/>
    <s v="M0161"/>
    <x v="193"/>
    <s v="Toko B - Bandung"/>
    <s v="Electronics"/>
    <x v="1053"/>
    <x v="1"/>
    <n v="35"/>
  </r>
  <r>
    <x v="1066"/>
    <s v="M0095"/>
    <x v="28"/>
    <s v="Toko F - Makassar"/>
    <s v="Home &amp; Living"/>
    <x v="1054"/>
    <x v="2"/>
    <n v="80"/>
  </r>
  <r>
    <x v="1067"/>
    <s v="M0252"/>
    <x v="243"/>
    <s v="Toko G - Yogyakarta"/>
    <s v="Groceries"/>
    <x v="1055"/>
    <x v="2"/>
    <n v="27"/>
  </r>
  <r>
    <x v="1068"/>
    <s v="M0082"/>
    <x v="9"/>
    <s v="Toko H - Denpasar"/>
    <s v="Groceries"/>
    <x v="1056"/>
    <x v="1"/>
    <n v="21"/>
  </r>
  <r>
    <x v="1069"/>
    <s v="M0123"/>
    <x v="177"/>
    <s v="Toko C - Surabaya"/>
    <s v="Groceries"/>
    <x v="1057"/>
    <x v="2"/>
    <n v="36"/>
  </r>
  <r>
    <x v="1070"/>
    <s v="M0093"/>
    <x v="88"/>
    <s v="Toko E - Semarang"/>
    <s v="Home &amp; Living"/>
    <x v="1058"/>
    <x v="1"/>
    <n v="18"/>
  </r>
  <r>
    <x v="1071"/>
    <s v="M0125"/>
    <x v="317"/>
    <s v="Toko A - Jakarta"/>
    <s v="Fashion"/>
    <x v="1059"/>
    <x v="0"/>
    <n v="12"/>
  </r>
  <r>
    <x v="1072"/>
    <s v="M0122"/>
    <x v="345"/>
    <s v="Toko C - Surabaya"/>
    <s v="Fashion"/>
    <x v="1060"/>
    <x v="1"/>
    <n v="58"/>
  </r>
  <r>
    <x v="1073"/>
    <s v="M0061"/>
    <x v="282"/>
    <s v="Toko H - Denpasar"/>
    <s v="Electronics"/>
    <x v="1061"/>
    <x v="2"/>
    <n v="20"/>
  </r>
  <r>
    <x v="1074"/>
    <s v="M0026"/>
    <x v="202"/>
    <s v="Toko D - Medan"/>
    <s v="Electronics"/>
    <x v="1062"/>
    <x v="0"/>
    <n v="36"/>
  </r>
  <r>
    <x v="1075"/>
    <s v="M0010"/>
    <x v="38"/>
    <s v="Toko B - Bandung"/>
    <s v="Fashion"/>
    <x v="1063"/>
    <x v="1"/>
    <n v="94"/>
  </r>
  <r>
    <x v="1076"/>
    <s v="M0082"/>
    <x v="52"/>
    <s v="Toko B - Bandung"/>
    <s v="Fashion"/>
    <x v="1064"/>
    <x v="1"/>
    <n v="30"/>
  </r>
  <r>
    <x v="1077"/>
    <s v="M0252"/>
    <x v="24"/>
    <s v="Toko C - Surabaya"/>
    <s v="Groceries"/>
    <x v="1065"/>
    <x v="2"/>
    <n v="24"/>
  </r>
  <r>
    <x v="1078"/>
    <s v="M0277"/>
    <x v="267"/>
    <s v="Toko A - Jakarta"/>
    <s v="Home &amp; Living"/>
    <x v="1066"/>
    <x v="1"/>
    <n v="26"/>
  </r>
  <r>
    <x v="1079"/>
    <s v="M0070"/>
    <x v="1"/>
    <s v="Toko C - Surabaya"/>
    <s v="Home &amp; Living"/>
    <x v="1067"/>
    <x v="0"/>
    <n v="91"/>
  </r>
  <r>
    <x v="1080"/>
    <s v="M0275"/>
    <x v="10"/>
    <s v="Toko G - Yogyakarta"/>
    <s v="Home &amp; Living"/>
    <x v="1068"/>
    <x v="1"/>
    <n v="18"/>
  </r>
  <r>
    <x v="1081"/>
    <s v="M0290"/>
    <x v="323"/>
    <s v="Toko D - Medan"/>
    <s v="F&amp;B"/>
    <x v="1069"/>
    <x v="0"/>
    <n v="9"/>
  </r>
  <r>
    <x v="1082"/>
    <s v="M0183"/>
    <x v="299"/>
    <s v="Toko E - Semarang"/>
    <s v="Electronics"/>
    <x v="1070"/>
    <x v="0"/>
    <n v="31"/>
  </r>
  <r>
    <x v="1083"/>
    <s v="M0108"/>
    <x v="127"/>
    <s v="Toko C - Surabaya"/>
    <s v="Groceries"/>
    <x v="1071"/>
    <x v="1"/>
    <n v="41"/>
  </r>
  <r>
    <x v="1084"/>
    <s v="M0071"/>
    <x v="346"/>
    <s v="Toko C - Surabaya"/>
    <s v="Home &amp; Living"/>
    <x v="1072"/>
    <x v="1"/>
    <n v="9"/>
  </r>
  <r>
    <x v="1085"/>
    <s v="M0105"/>
    <x v="291"/>
    <s v="Toko F - Makassar"/>
    <s v="Home &amp; Living"/>
    <x v="1073"/>
    <x v="1"/>
    <n v="37"/>
  </r>
  <r>
    <x v="1086"/>
    <s v="M0262"/>
    <x v="8"/>
    <s v="Toko C - Surabaya"/>
    <s v="Home &amp; Living"/>
    <x v="1074"/>
    <x v="1"/>
    <n v="21"/>
  </r>
  <r>
    <x v="1087"/>
    <s v="M0112"/>
    <x v="326"/>
    <s v="Toko H - Denpasar"/>
    <s v="F&amp;B"/>
    <x v="1075"/>
    <x v="1"/>
    <n v="40"/>
  </r>
  <r>
    <x v="1088"/>
    <s v="M0161"/>
    <x v="217"/>
    <s v="Toko B - Bandung"/>
    <s v="Electronics"/>
    <x v="1076"/>
    <x v="1"/>
    <n v="29"/>
  </r>
  <r>
    <x v="1089"/>
    <s v="M0277"/>
    <x v="150"/>
    <s v="Toko C - Surabaya"/>
    <s v="Groceries"/>
    <x v="1077"/>
    <x v="1"/>
    <n v="25"/>
  </r>
  <r>
    <x v="1090"/>
    <s v="M0115"/>
    <x v="144"/>
    <s v="Toko A - Jakarta"/>
    <s v="Home &amp; Living"/>
    <x v="1078"/>
    <x v="1"/>
    <n v="25"/>
  </r>
  <r>
    <x v="1091"/>
    <s v="M0243"/>
    <x v="273"/>
    <s v="Toko H - Denpasar"/>
    <s v="Health &amp; Beauty"/>
    <x v="1079"/>
    <x v="0"/>
    <n v="27"/>
  </r>
  <r>
    <x v="1092"/>
    <s v="M0246"/>
    <x v="141"/>
    <s v="Toko D - Medan"/>
    <s v="Health &amp; Beauty"/>
    <x v="1080"/>
    <x v="0"/>
    <n v="50"/>
  </r>
  <r>
    <x v="1093"/>
    <s v="M0192"/>
    <x v="200"/>
    <s v="Toko E - Semarang"/>
    <s v="Groceries"/>
    <x v="1081"/>
    <x v="1"/>
    <n v="14"/>
  </r>
  <r>
    <x v="1094"/>
    <s v="M0293"/>
    <x v="130"/>
    <s v="Toko C - Surabaya"/>
    <s v="Health &amp; Beauty"/>
    <x v="1082"/>
    <x v="1"/>
    <n v="2"/>
  </r>
  <r>
    <x v="1095"/>
    <s v="M0140"/>
    <x v="286"/>
    <s v="Toko D - Medan"/>
    <s v="Health &amp; Beauty"/>
    <x v="1083"/>
    <x v="1"/>
    <n v="50"/>
  </r>
  <r>
    <x v="1096"/>
    <s v="M0296"/>
    <x v="226"/>
    <s v="Toko B - Bandung"/>
    <s v="F&amp;B"/>
    <x v="1084"/>
    <x v="0"/>
    <n v="11"/>
  </r>
  <r>
    <x v="1097"/>
    <s v="M0226"/>
    <x v="212"/>
    <s v="Toko A - Jakarta"/>
    <s v="Health &amp; Beauty"/>
    <x v="1085"/>
    <x v="1"/>
    <n v="10"/>
  </r>
  <r>
    <x v="1098"/>
    <s v="M0056"/>
    <x v="13"/>
    <s v="Toko E - Semarang"/>
    <s v="Health &amp; Beauty"/>
    <x v="1086"/>
    <x v="0"/>
    <n v="60"/>
  </r>
  <r>
    <x v="1099"/>
    <s v="M0002"/>
    <x v="13"/>
    <s v="Toko H - Denpasar"/>
    <s v="Electronics"/>
    <x v="1087"/>
    <x v="1"/>
    <n v="92"/>
  </r>
  <r>
    <x v="1100"/>
    <s v="M0185"/>
    <x v="41"/>
    <s v="Toko E - Semarang"/>
    <s v="F&amp;B"/>
    <x v="1088"/>
    <x v="1"/>
    <n v="37"/>
  </r>
  <r>
    <x v="1101"/>
    <s v="M0056"/>
    <x v="86"/>
    <s v="Toko C - Surabaya"/>
    <s v="Electronics"/>
    <x v="1089"/>
    <x v="0"/>
    <n v="7"/>
  </r>
  <r>
    <x v="1102"/>
    <s v="M0140"/>
    <x v="333"/>
    <s v="Toko G - Yogyakarta"/>
    <s v="Fashion"/>
    <x v="1090"/>
    <x v="1"/>
    <n v="20"/>
  </r>
  <r>
    <x v="1103"/>
    <s v="M0246"/>
    <x v="114"/>
    <s v="Toko B - Bandung"/>
    <s v="Groceries"/>
    <x v="1091"/>
    <x v="0"/>
    <n v="26"/>
  </r>
  <r>
    <x v="1104"/>
    <s v="M0122"/>
    <x v="89"/>
    <s v="Toko B - Bandung"/>
    <s v="Groceries"/>
    <x v="1092"/>
    <x v="1"/>
    <n v="15"/>
  </r>
  <r>
    <x v="1105"/>
    <s v="M0261"/>
    <x v="119"/>
    <s v="Toko H - Denpasar"/>
    <s v="Groceries"/>
    <x v="1093"/>
    <x v="2"/>
    <n v="72"/>
  </r>
  <r>
    <x v="1106"/>
    <s v="M0124"/>
    <x v="10"/>
    <s v="Toko D - Medan"/>
    <s v="Electronics"/>
    <x v="1094"/>
    <x v="1"/>
    <n v="21"/>
  </r>
  <r>
    <x v="1107"/>
    <s v="M0184"/>
    <x v="134"/>
    <s v="Toko D - Medan"/>
    <s v="Home &amp; Living"/>
    <x v="1095"/>
    <x v="1"/>
    <n v="39"/>
  </r>
  <r>
    <x v="1108"/>
    <s v="M0034"/>
    <x v="322"/>
    <s v="Toko C - Surabaya"/>
    <s v="Fashion"/>
    <x v="1096"/>
    <x v="1"/>
    <n v="27"/>
  </r>
  <r>
    <x v="1109"/>
    <s v="M0281"/>
    <x v="112"/>
    <s v="Toko B - Bandung"/>
    <s v="Electronics"/>
    <x v="1097"/>
    <x v="0"/>
    <n v="35"/>
  </r>
  <r>
    <x v="1110"/>
    <s v="M0231"/>
    <x v="222"/>
    <s v="Toko A - Jakarta"/>
    <s v="Fashion"/>
    <x v="1098"/>
    <x v="1"/>
    <n v="27"/>
  </r>
  <r>
    <x v="1111"/>
    <s v="M0068"/>
    <x v="283"/>
    <s v="Toko B - Bandung"/>
    <s v="Home &amp; Living"/>
    <x v="1099"/>
    <x v="0"/>
    <n v="7"/>
  </r>
  <r>
    <x v="1112"/>
    <s v="M0183"/>
    <x v="251"/>
    <s v="Toko D - Medan"/>
    <s v="Electronics"/>
    <x v="1100"/>
    <x v="0"/>
    <n v="33"/>
  </r>
  <r>
    <x v="1113"/>
    <s v="M0077"/>
    <x v="131"/>
    <s v="Toko H - Denpasar"/>
    <s v="Home &amp; Living"/>
    <x v="1101"/>
    <x v="1"/>
    <n v="7"/>
  </r>
  <r>
    <x v="1114"/>
    <s v="M0151"/>
    <x v="121"/>
    <s v="Toko A - Jakarta"/>
    <s v="F&amp;B"/>
    <x v="1102"/>
    <x v="1"/>
    <n v="41"/>
  </r>
  <r>
    <x v="1115"/>
    <s v="M0127"/>
    <x v="233"/>
    <s v="Toko E - Semarang"/>
    <s v="Home &amp; Living"/>
    <x v="1103"/>
    <x v="1"/>
    <n v="28"/>
  </r>
  <r>
    <x v="1116"/>
    <s v="M0296"/>
    <x v="280"/>
    <s v="Toko D - Medan"/>
    <s v="Fashion"/>
    <x v="1104"/>
    <x v="0"/>
    <n v="28"/>
  </r>
  <r>
    <x v="1117"/>
    <s v="M0128"/>
    <x v="206"/>
    <s v="Toko D - Medan"/>
    <s v="Electronics"/>
    <x v="1105"/>
    <x v="1"/>
    <n v="28"/>
  </r>
  <r>
    <x v="1118"/>
    <s v="M0291"/>
    <x v="62"/>
    <s v="Toko E - Semarang"/>
    <s v="Groceries"/>
    <x v="1106"/>
    <x v="1"/>
    <n v="46"/>
  </r>
  <r>
    <x v="1119"/>
    <s v="M0113"/>
    <x v="321"/>
    <s v="Toko D - Medan"/>
    <s v="Fashion"/>
    <x v="1107"/>
    <x v="1"/>
    <n v="30"/>
  </r>
  <r>
    <x v="1120"/>
    <s v="M0071"/>
    <x v="347"/>
    <s v="Toko A - Jakarta"/>
    <s v="Electronics"/>
    <x v="1108"/>
    <x v="1"/>
    <n v="83"/>
  </r>
  <r>
    <x v="1121"/>
    <s v="M0045"/>
    <x v="306"/>
    <s v="Toko C - Surabaya"/>
    <s v="Electronics"/>
    <x v="1109"/>
    <x v="1"/>
    <n v="34"/>
  </r>
  <r>
    <x v="1122"/>
    <s v="M0017"/>
    <x v="229"/>
    <s v="Toko E - Semarang"/>
    <s v="Electronics"/>
    <x v="1110"/>
    <x v="0"/>
    <n v="29"/>
  </r>
  <r>
    <x v="1123"/>
    <s v="M0039"/>
    <x v="275"/>
    <s v="Toko H - Denpasar"/>
    <s v="Health &amp; Beauty"/>
    <x v="1111"/>
    <x v="0"/>
    <n v="41"/>
  </r>
  <r>
    <x v="1124"/>
    <s v="M0135"/>
    <x v="298"/>
    <s v="Toko C - Surabaya"/>
    <s v="Groceries"/>
    <x v="1112"/>
    <x v="0"/>
    <n v="27"/>
  </r>
  <r>
    <x v="1125"/>
    <s v="M0018"/>
    <x v="322"/>
    <s v="Toko G - Yogyakarta"/>
    <s v="Health &amp; Beauty"/>
    <x v="1113"/>
    <x v="0"/>
    <n v="5"/>
  </r>
  <r>
    <x v="1126"/>
    <s v="M0089"/>
    <x v="115"/>
    <s v="Toko D - Medan"/>
    <s v="Fashion"/>
    <x v="1114"/>
    <x v="2"/>
    <n v="28"/>
  </r>
  <r>
    <x v="1127"/>
    <s v="M0082"/>
    <x v="316"/>
    <s v="Toko E - Semarang"/>
    <s v="F&amp;B"/>
    <x v="1115"/>
    <x v="1"/>
    <n v="31"/>
  </r>
  <r>
    <x v="1128"/>
    <s v="M0259"/>
    <x v="236"/>
    <s v="Toko B - Bandung"/>
    <s v="Health &amp; Beauty"/>
    <x v="1116"/>
    <x v="1"/>
    <n v="50"/>
  </r>
  <r>
    <x v="1129"/>
    <s v="M0081"/>
    <x v="6"/>
    <s v="Toko B - Bandung"/>
    <s v="Electronics"/>
    <x v="1117"/>
    <x v="1"/>
    <n v="48"/>
  </r>
  <r>
    <x v="1130"/>
    <s v="M0105"/>
    <x v="337"/>
    <s v="Toko A - Jakarta"/>
    <s v="F&amp;B"/>
    <x v="1118"/>
    <x v="1"/>
    <n v="45"/>
  </r>
  <r>
    <x v="1131"/>
    <s v="M0232"/>
    <x v="220"/>
    <s v="Toko H - Denpasar"/>
    <s v="Health &amp; Beauty"/>
    <x v="1119"/>
    <x v="1"/>
    <n v="22"/>
  </r>
  <r>
    <x v="1132"/>
    <s v="M0041"/>
    <x v="307"/>
    <s v="Toko G - Yogyakarta"/>
    <s v="Electronics"/>
    <x v="1120"/>
    <x v="1"/>
    <n v="12"/>
  </r>
  <r>
    <x v="1133"/>
    <s v="M0052"/>
    <x v="222"/>
    <s v="Toko A - Jakarta"/>
    <s v="Groceries"/>
    <x v="1121"/>
    <x v="0"/>
    <n v="12"/>
  </r>
  <r>
    <x v="1134"/>
    <s v="M0167"/>
    <x v="69"/>
    <s v="Toko G - Yogyakarta"/>
    <s v="Electronics"/>
    <x v="1122"/>
    <x v="2"/>
    <n v="17"/>
  </r>
  <r>
    <x v="1135"/>
    <s v="M0211"/>
    <x v="64"/>
    <s v="Toko B - Bandung"/>
    <s v="Groceries"/>
    <x v="1123"/>
    <x v="0"/>
    <n v="19"/>
  </r>
  <r>
    <x v="1136"/>
    <s v="M0268"/>
    <x v="191"/>
    <s v="Toko E - Semarang"/>
    <s v="Groceries"/>
    <x v="1124"/>
    <x v="0"/>
    <n v="3"/>
  </r>
  <r>
    <x v="1137"/>
    <s v="M0051"/>
    <x v="106"/>
    <s v="Toko D - Medan"/>
    <s v="Fashion"/>
    <x v="1125"/>
    <x v="1"/>
    <n v="15"/>
  </r>
  <r>
    <x v="1138"/>
    <s v="M0171"/>
    <x v="200"/>
    <s v="Toko G - Yogyakarta"/>
    <s v="Health &amp; Beauty"/>
    <x v="1126"/>
    <x v="1"/>
    <n v="117"/>
  </r>
  <r>
    <x v="1139"/>
    <s v="M0295"/>
    <x v="246"/>
    <s v="Toko A - Jakarta"/>
    <s v="Fashion"/>
    <x v="1127"/>
    <x v="1"/>
    <n v="39"/>
  </r>
  <r>
    <x v="1140"/>
    <s v="M0168"/>
    <x v="153"/>
    <s v="Toko C - Surabaya"/>
    <s v="F&amp;B"/>
    <x v="1128"/>
    <x v="0"/>
    <n v="7"/>
  </r>
  <r>
    <x v="1141"/>
    <s v="M0297"/>
    <x v="178"/>
    <s v="Toko B - Bandung"/>
    <s v="Fashion"/>
    <x v="1129"/>
    <x v="1"/>
    <n v="37"/>
  </r>
  <r>
    <x v="1142"/>
    <s v="M0002"/>
    <x v="303"/>
    <s v="Toko F - Makassar"/>
    <s v="Home &amp; Living"/>
    <x v="1130"/>
    <x v="1"/>
    <n v="70"/>
  </r>
  <r>
    <x v="1143"/>
    <s v="M0234"/>
    <x v="193"/>
    <s v="Toko B - Bandung"/>
    <s v="Electronics"/>
    <x v="1131"/>
    <x v="1"/>
    <n v="22"/>
  </r>
  <r>
    <x v="1144"/>
    <s v="M0089"/>
    <x v="203"/>
    <s v="Toko E - Semarang"/>
    <s v="Groceries"/>
    <x v="1132"/>
    <x v="2"/>
    <n v="14"/>
  </r>
  <r>
    <x v="1145"/>
    <s v="M0172"/>
    <x v="213"/>
    <s v="Toko G - Yogyakarta"/>
    <s v="Fashion"/>
    <x v="1133"/>
    <x v="0"/>
    <n v="29"/>
  </r>
  <r>
    <x v="1146"/>
    <s v="M0080"/>
    <x v="182"/>
    <s v="Toko E - Semarang"/>
    <s v="F&amp;B"/>
    <x v="1134"/>
    <x v="2"/>
    <n v="73"/>
  </r>
  <r>
    <x v="1147"/>
    <s v="M0154"/>
    <x v="65"/>
    <s v="Toko F - Makassar"/>
    <s v="F&amp;B"/>
    <x v="1135"/>
    <x v="1"/>
    <n v="30"/>
  </r>
  <r>
    <x v="1148"/>
    <s v="M0223"/>
    <x v="348"/>
    <s v="Toko H - Denpasar"/>
    <s v="Health &amp; Beauty"/>
    <x v="1136"/>
    <x v="0"/>
    <n v="39"/>
  </r>
  <r>
    <x v="1149"/>
    <s v="M0273"/>
    <x v="6"/>
    <s v="Toko A - Jakarta"/>
    <s v="Fashion"/>
    <x v="183"/>
    <x v="1"/>
    <n v="63"/>
  </r>
  <r>
    <x v="1150"/>
    <s v="M0089"/>
    <x v="230"/>
    <s v="Toko C - Surabaya"/>
    <s v="Electronics"/>
    <x v="1137"/>
    <x v="2"/>
    <n v="10"/>
  </r>
  <r>
    <x v="1151"/>
    <s v="M0113"/>
    <x v="92"/>
    <s v="Toko C - Surabaya"/>
    <s v="Health &amp; Beauty"/>
    <x v="1138"/>
    <x v="1"/>
    <n v="29"/>
  </r>
  <r>
    <x v="1152"/>
    <s v="M0186"/>
    <x v="284"/>
    <s v="Toko F - Makassar"/>
    <s v="Fashion"/>
    <x v="1139"/>
    <x v="0"/>
    <n v="17"/>
  </r>
  <r>
    <x v="1153"/>
    <s v="M0115"/>
    <x v="19"/>
    <s v="Toko D - Medan"/>
    <s v="Home &amp; Living"/>
    <x v="1140"/>
    <x v="1"/>
    <n v="8"/>
  </r>
  <r>
    <x v="1154"/>
    <s v="M0135"/>
    <x v="312"/>
    <s v="Toko B - Bandung"/>
    <s v="Home &amp; Living"/>
    <x v="1141"/>
    <x v="0"/>
    <n v="28"/>
  </r>
  <r>
    <x v="1155"/>
    <s v="M0108"/>
    <x v="9"/>
    <s v="Toko E - Semarang"/>
    <s v="Fashion"/>
    <x v="1142"/>
    <x v="1"/>
    <n v="38"/>
  </r>
  <r>
    <x v="1156"/>
    <s v="M0234"/>
    <x v="14"/>
    <s v="Toko C - Surabaya"/>
    <s v="Electronics"/>
    <x v="1143"/>
    <x v="1"/>
    <n v="12"/>
  </r>
  <r>
    <x v="1157"/>
    <s v="M0203"/>
    <x v="148"/>
    <s v="Toko D - Medan"/>
    <s v="Health &amp; Beauty"/>
    <x v="8"/>
    <x v="1"/>
    <n v="2"/>
  </r>
  <r>
    <x v="1158"/>
    <s v="M0218"/>
    <x v="349"/>
    <s v="Toko E - Semarang"/>
    <s v="Fashion"/>
    <x v="1144"/>
    <x v="1"/>
    <n v="34"/>
  </r>
  <r>
    <x v="1159"/>
    <s v="M0205"/>
    <x v="136"/>
    <s v="Toko B - Bandung"/>
    <s v="Health &amp; Beauty"/>
    <x v="1145"/>
    <x v="0"/>
    <n v="40"/>
  </r>
  <r>
    <x v="1160"/>
    <s v="M0188"/>
    <x v="155"/>
    <s v="Toko G - Yogyakarta"/>
    <s v="Groceries"/>
    <x v="1146"/>
    <x v="2"/>
    <n v="32"/>
  </r>
  <r>
    <x v="1161"/>
    <s v="M0136"/>
    <x v="296"/>
    <s v="Toko B - Bandung"/>
    <s v="Home &amp; Living"/>
    <x v="1147"/>
    <x v="0"/>
    <n v="25"/>
  </r>
  <r>
    <x v="1162"/>
    <s v="M0082"/>
    <x v="126"/>
    <s v="Toko H - Denpasar"/>
    <s v="Health &amp; Beauty"/>
    <x v="1148"/>
    <x v="1"/>
    <n v="25"/>
  </r>
  <r>
    <x v="1163"/>
    <s v="M0128"/>
    <x v="332"/>
    <s v="Toko E - Semarang"/>
    <s v="Fashion"/>
    <x v="1149"/>
    <x v="1"/>
    <n v="23"/>
  </r>
  <r>
    <x v="1164"/>
    <s v="M0113"/>
    <x v="291"/>
    <s v="Toko C - Surabaya"/>
    <s v="Groceries"/>
    <x v="1150"/>
    <x v="1"/>
    <n v="13"/>
  </r>
  <r>
    <x v="1165"/>
    <s v="M0187"/>
    <x v="343"/>
    <s v="Toko F - Makassar"/>
    <s v="Home &amp; Living"/>
    <x v="1151"/>
    <x v="1"/>
    <n v="15"/>
  </r>
  <r>
    <x v="1166"/>
    <s v="M0010"/>
    <x v="160"/>
    <s v="Toko E - Semarang"/>
    <s v="Fashion"/>
    <x v="1152"/>
    <x v="1"/>
    <n v="79"/>
  </r>
  <r>
    <x v="1167"/>
    <s v="M0232"/>
    <x v="1"/>
    <s v="Toko C - Surabaya"/>
    <s v="Groceries"/>
    <x v="1153"/>
    <x v="1"/>
    <n v="14"/>
  </r>
  <r>
    <x v="1168"/>
    <s v="M0104"/>
    <x v="35"/>
    <s v="Toko A - Jakarta"/>
    <s v="Fashion"/>
    <x v="1154"/>
    <x v="1"/>
    <n v="55"/>
  </r>
  <r>
    <x v="1169"/>
    <s v="M0039"/>
    <x v="271"/>
    <s v="Toko F - Makassar"/>
    <s v="Groceries"/>
    <x v="1155"/>
    <x v="0"/>
    <n v="7"/>
  </r>
  <r>
    <x v="1170"/>
    <s v="M0094"/>
    <x v="312"/>
    <s v="Toko A - Jakarta"/>
    <s v="Groceries"/>
    <x v="1156"/>
    <x v="0"/>
    <n v="41"/>
  </r>
  <r>
    <x v="1171"/>
    <s v="M0203"/>
    <x v="126"/>
    <s v="Toko C - Surabaya"/>
    <s v="Health &amp; Beauty"/>
    <x v="1157"/>
    <x v="1"/>
    <n v="56"/>
  </r>
  <r>
    <x v="1172"/>
    <s v="M0262"/>
    <x v="282"/>
    <s v="Toko A - Jakarta"/>
    <s v="F&amp;B"/>
    <x v="1158"/>
    <x v="1"/>
    <n v="38"/>
  </r>
  <r>
    <x v="1173"/>
    <s v="M0019"/>
    <x v="242"/>
    <s v="Toko C - Surabaya"/>
    <s v="Health &amp; Beauty"/>
    <x v="1159"/>
    <x v="1"/>
    <n v="26"/>
  </r>
  <r>
    <x v="1174"/>
    <s v="M0265"/>
    <x v="157"/>
    <s v="Toko G - Yogyakarta"/>
    <s v="Electronics"/>
    <x v="1160"/>
    <x v="1"/>
    <n v="28"/>
  </r>
  <r>
    <x v="1175"/>
    <s v="M0272"/>
    <x v="89"/>
    <s v="Toko C - Surabaya"/>
    <s v="Fashion"/>
    <x v="1161"/>
    <x v="1"/>
    <n v="59"/>
  </r>
  <r>
    <x v="1176"/>
    <s v="M0009"/>
    <x v="231"/>
    <s v="Toko A - Jakarta"/>
    <s v="Electronics"/>
    <x v="1162"/>
    <x v="1"/>
    <n v="35"/>
  </r>
  <r>
    <x v="1177"/>
    <s v="M0243"/>
    <x v="22"/>
    <s v="Toko E - Semarang"/>
    <s v="Health &amp; Beauty"/>
    <x v="1163"/>
    <x v="0"/>
    <n v="50"/>
  </r>
  <r>
    <x v="1178"/>
    <s v="M0220"/>
    <x v="350"/>
    <s v="Toko C - Surabaya"/>
    <s v="Health &amp; Beauty"/>
    <x v="1164"/>
    <x v="0"/>
    <n v="42"/>
  </r>
  <r>
    <x v="1179"/>
    <s v="M0127"/>
    <x v="117"/>
    <s v="Toko E - Semarang"/>
    <s v="Electronics"/>
    <x v="1165"/>
    <x v="1"/>
    <n v="13"/>
  </r>
  <r>
    <x v="1180"/>
    <s v="M0003"/>
    <x v="231"/>
    <s v="Toko F - Makassar"/>
    <s v="Groceries"/>
    <x v="1166"/>
    <x v="0"/>
    <n v="46"/>
  </r>
  <r>
    <x v="1181"/>
    <s v="M0171"/>
    <x v="178"/>
    <s v="Toko C - Surabaya"/>
    <s v="Health &amp; Beauty"/>
    <x v="1167"/>
    <x v="1"/>
    <n v="9"/>
  </r>
  <r>
    <x v="1182"/>
    <s v="M0035"/>
    <x v="28"/>
    <s v="Toko C - Surabaya"/>
    <s v="Electronics"/>
    <x v="1168"/>
    <x v="1"/>
    <n v="80"/>
  </r>
  <r>
    <x v="1183"/>
    <s v="M0166"/>
    <x v="292"/>
    <s v="Toko H - Denpasar"/>
    <s v="Groceries"/>
    <x v="1169"/>
    <x v="0"/>
    <n v="34"/>
  </r>
  <r>
    <x v="1184"/>
    <s v="M0048"/>
    <x v="35"/>
    <s v="Toko A - Jakarta"/>
    <s v="Groceries"/>
    <x v="1170"/>
    <x v="2"/>
    <n v="64"/>
  </r>
  <r>
    <x v="1185"/>
    <s v="M0262"/>
    <x v="124"/>
    <s v="Toko D - Medan"/>
    <s v="Groceries"/>
    <x v="1171"/>
    <x v="1"/>
    <n v="38"/>
  </r>
  <r>
    <x v="1186"/>
    <s v="M0130"/>
    <x v="83"/>
    <s v="Toko C - Surabaya"/>
    <s v="F&amp;B"/>
    <x v="1172"/>
    <x v="1"/>
    <n v="11"/>
  </r>
  <r>
    <x v="1187"/>
    <s v="M0218"/>
    <x v="69"/>
    <s v="Toko C - Surabaya"/>
    <s v="Health &amp; Beauty"/>
    <x v="1173"/>
    <x v="1"/>
    <n v="14"/>
  </r>
  <r>
    <x v="1188"/>
    <s v="M0297"/>
    <x v="351"/>
    <s v="Toko F - Makassar"/>
    <s v="Electronics"/>
    <x v="1174"/>
    <x v="1"/>
    <n v="52"/>
  </r>
  <r>
    <x v="1189"/>
    <s v="M0106"/>
    <x v="18"/>
    <s v="Toko D - Medan"/>
    <s v="Fashion"/>
    <x v="1175"/>
    <x v="0"/>
    <n v="28"/>
  </r>
  <r>
    <x v="1190"/>
    <s v="M0135"/>
    <x v="147"/>
    <s v="Toko A - Jakarta"/>
    <s v="F&amp;B"/>
    <x v="1176"/>
    <x v="0"/>
    <n v="68"/>
  </r>
  <r>
    <x v="1191"/>
    <s v="M0295"/>
    <x v="107"/>
    <s v="Toko C - Surabaya"/>
    <s v="Electronics"/>
    <x v="1177"/>
    <x v="1"/>
    <n v="4"/>
  </r>
  <r>
    <x v="1192"/>
    <s v="M0056"/>
    <x v="284"/>
    <s v="Toko F - Makassar"/>
    <s v="Home &amp; Living"/>
    <x v="1178"/>
    <x v="0"/>
    <n v="9"/>
  </r>
  <r>
    <x v="1193"/>
    <s v="M0104"/>
    <x v="352"/>
    <s v="Toko A - Jakarta"/>
    <s v="Groceries"/>
    <x v="1179"/>
    <x v="1"/>
    <n v="19"/>
  </r>
  <r>
    <x v="1194"/>
    <s v="M0229"/>
    <x v="30"/>
    <s v="Toko F - Makassar"/>
    <s v="Electronics"/>
    <x v="1180"/>
    <x v="1"/>
    <n v="64"/>
  </r>
  <r>
    <x v="1195"/>
    <s v="M0200"/>
    <x v="159"/>
    <s v="Toko E - Semarang"/>
    <s v="Electronics"/>
    <x v="1181"/>
    <x v="0"/>
    <n v="26"/>
  </r>
  <r>
    <x v="1196"/>
    <s v="M0275"/>
    <x v="191"/>
    <s v="Toko A - Jakarta"/>
    <s v="Electronics"/>
    <x v="1182"/>
    <x v="1"/>
    <n v="71"/>
  </r>
  <r>
    <x v="1197"/>
    <s v="M0072"/>
    <x v="54"/>
    <s v="Toko G - Yogyakarta"/>
    <s v="Health &amp; Beauty"/>
    <x v="1183"/>
    <x v="1"/>
    <n v="71"/>
  </r>
  <r>
    <x v="1198"/>
    <s v="M0263"/>
    <x v="228"/>
    <s v="Toko E - Semarang"/>
    <s v="Fashion"/>
    <x v="1184"/>
    <x v="0"/>
    <n v="29"/>
  </r>
  <r>
    <x v="1199"/>
    <s v="M0055"/>
    <x v="140"/>
    <s v="Toko H - Denpasar"/>
    <s v="Fashion"/>
    <x v="1185"/>
    <x v="1"/>
    <n v="69"/>
  </r>
  <r>
    <x v="1200"/>
    <s v="M0045"/>
    <x v="300"/>
    <s v="Toko E - Semarang"/>
    <s v="Electronics"/>
    <x v="1186"/>
    <x v="1"/>
    <n v="34"/>
  </r>
  <r>
    <x v="1201"/>
    <s v="M0262"/>
    <x v="284"/>
    <s v="Toko D - Medan"/>
    <s v="Electronics"/>
    <x v="1187"/>
    <x v="1"/>
    <n v="11"/>
  </r>
  <r>
    <x v="1202"/>
    <s v="M0116"/>
    <x v="82"/>
    <s v="Toko B - Bandung"/>
    <s v="Groceries"/>
    <x v="1188"/>
    <x v="1"/>
    <n v="59"/>
  </r>
  <r>
    <x v="1203"/>
    <s v="M0074"/>
    <x v="292"/>
    <s v="Toko F - Makassar"/>
    <s v="Fashion"/>
    <x v="1189"/>
    <x v="0"/>
    <n v="50"/>
  </r>
  <r>
    <x v="1204"/>
    <s v="M0212"/>
    <x v="291"/>
    <s v="Toko D - Medan"/>
    <s v="Home &amp; Living"/>
    <x v="1190"/>
    <x v="2"/>
    <n v="3"/>
  </r>
  <r>
    <x v="1205"/>
    <s v="M0231"/>
    <x v="244"/>
    <s v="Toko E - Semarang"/>
    <s v="Health &amp; Beauty"/>
    <x v="1191"/>
    <x v="1"/>
    <n v="15"/>
  </r>
  <r>
    <x v="1206"/>
    <s v="M0100"/>
    <x v="222"/>
    <s v="Toko C - Surabaya"/>
    <s v="Electronics"/>
    <x v="1192"/>
    <x v="1"/>
    <n v="39"/>
  </r>
  <r>
    <x v="1207"/>
    <s v="M0028"/>
    <x v="210"/>
    <s v="Toko E - Semarang"/>
    <s v="Groceries"/>
    <x v="1193"/>
    <x v="0"/>
    <n v="2"/>
  </r>
  <r>
    <x v="1208"/>
    <s v="M0233"/>
    <x v="50"/>
    <s v="Toko C - Surabaya"/>
    <s v="Fashion"/>
    <x v="1194"/>
    <x v="0"/>
    <n v="34"/>
  </r>
  <r>
    <x v="1209"/>
    <s v="M0090"/>
    <x v="170"/>
    <s v="Toko C - Surabaya"/>
    <s v="F&amp;B"/>
    <x v="1195"/>
    <x v="1"/>
    <n v="18"/>
  </r>
  <r>
    <x v="1210"/>
    <s v="M0128"/>
    <x v="343"/>
    <s v="Toko D - Medan"/>
    <s v="Home &amp; Living"/>
    <x v="1196"/>
    <x v="1"/>
    <n v="26"/>
  </r>
  <r>
    <x v="1211"/>
    <s v="M0081"/>
    <x v="179"/>
    <s v="Toko E - Semarang"/>
    <s v="Fashion"/>
    <x v="1197"/>
    <x v="1"/>
    <n v="28"/>
  </r>
  <r>
    <x v="1212"/>
    <s v="M0046"/>
    <x v="165"/>
    <s v="Toko F - Makassar"/>
    <s v="F&amp;B"/>
    <x v="1198"/>
    <x v="2"/>
    <n v="24"/>
  </r>
  <r>
    <x v="1213"/>
    <s v="M0097"/>
    <x v="29"/>
    <s v="Toko D - Medan"/>
    <s v="Health &amp; Beauty"/>
    <x v="1199"/>
    <x v="1"/>
    <n v="26"/>
  </r>
  <r>
    <x v="1214"/>
    <s v="M0192"/>
    <x v="137"/>
    <s v="Toko E - Semarang"/>
    <s v="Electronics"/>
    <x v="1200"/>
    <x v="1"/>
    <n v="15"/>
  </r>
  <r>
    <x v="1215"/>
    <s v="M0280"/>
    <x v="219"/>
    <s v="Toko A - Jakarta"/>
    <s v="Health &amp; Beauty"/>
    <x v="1201"/>
    <x v="1"/>
    <n v="16"/>
  </r>
  <r>
    <x v="1216"/>
    <s v="M0242"/>
    <x v="118"/>
    <s v="Toko F - Makassar"/>
    <s v="Electronics"/>
    <x v="1202"/>
    <x v="1"/>
    <n v="31"/>
  </r>
  <r>
    <x v="1217"/>
    <s v="M0104"/>
    <x v="57"/>
    <s v="Toko D - Medan"/>
    <s v="F&amp;B"/>
    <x v="1203"/>
    <x v="1"/>
    <n v="63"/>
  </r>
  <r>
    <x v="1218"/>
    <s v="M0297"/>
    <x v="52"/>
    <s v="Toko F - Makassar"/>
    <s v="F&amp;B"/>
    <x v="1204"/>
    <x v="1"/>
    <n v="48"/>
  </r>
  <r>
    <x v="1219"/>
    <s v="M0122"/>
    <x v="353"/>
    <s v="Toko F - Makassar"/>
    <s v="Electronics"/>
    <x v="1205"/>
    <x v="1"/>
    <n v="18"/>
  </r>
  <r>
    <x v="1220"/>
    <s v="M0002"/>
    <x v="113"/>
    <s v="Toko G - Yogyakarta"/>
    <s v="Home &amp; Living"/>
    <x v="1206"/>
    <x v="1"/>
    <n v="18"/>
  </r>
  <r>
    <x v="1221"/>
    <s v="M0204"/>
    <x v="158"/>
    <s v="Toko G - Yogyakarta"/>
    <s v="Home &amp; Living"/>
    <x v="1207"/>
    <x v="0"/>
    <n v="17"/>
  </r>
  <r>
    <x v="1222"/>
    <s v="M0170"/>
    <x v="270"/>
    <s v="Toko C - Surabaya"/>
    <s v="Health &amp; Beauty"/>
    <x v="1208"/>
    <x v="0"/>
    <n v="17"/>
  </r>
  <r>
    <x v="1223"/>
    <s v="M0090"/>
    <x v="302"/>
    <s v="Toko C - Surabaya"/>
    <s v="Electronics"/>
    <x v="1209"/>
    <x v="1"/>
    <n v="2"/>
  </r>
  <r>
    <x v="1224"/>
    <s v="M0039"/>
    <x v="55"/>
    <s v="Toko G - Yogyakarta"/>
    <s v="Fashion"/>
    <x v="1210"/>
    <x v="0"/>
    <n v="18"/>
  </r>
  <r>
    <x v="1225"/>
    <s v="M0204"/>
    <x v="240"/>
    <s v="Toko H - Denpasar"/>
    <s v="Electronics"/>
    <x v="1211"/>
    <x v="0"/>
    <n v="8"/>
  </r>
  <r>
    <x v="1226"/>
    <s v="M0218"/>
    <x v="330"/>
    <s v="Toko E - Semarang"/>
    <s v="Fashion"/>
    <x v="1212"/>
    <x v="1"/>
    <n v="9"/>
  </r>
  <r>
    <x v="1227"/>
    <s v="M0158"/>
    <x v="245"/>
    <s v="Toko E - Semarang"/>
    <s v="Health &amp; Beauty"/>
    <x v="1213"/>
    <x v="0"/>
    <n v="36"/>
  </r>
  <r>
    <x v="1228"/>
    <s v="M0158"/>
    <x v="7"/>
    <s v="Toko E - Semarang"/>
    <s v="F&amp;B"/>
    <x v="1214"/>
    <x v="0"/>
    <n v="53"/>
  </r>
  <r>
    <x v="1229"/>
    <s v="M0122"/>
    <x v="122"/>
    <s v="Toko B - Bandung"/>
    <s v="Fashion"/>
    <x v="1215"/>
    <x v="1"/>
    <n v="48"/>
  </r>
  <r>
    <x v="1230"/>
    <s v="M0092"/>
    <x v="335"/>
    <s v="Toko H - Denpasar"/>
    <s v="Electronics"/>
    <x v="1216"/>
    <x v="1"/>
    <n v="116"/>
  </r>
  <r>
    <x v="1231"/>
    <s v="M0092"/>
    <x v="118"/>
    <s v="Toko A - Jakarta"/>
    <s v="Health &amp; Beauty"/>
    <x v="1217"/>
    <x v="1"/>
    <n v="11"/>
  </r>
  <r>
    <x v="1232"/>
    <s v="M0113"/>
    <x v="41"/>
    <s v="Toko G - Yogyakarta"/>
    <s v="Electronics"/>
    <x v="1218"/>
    <x v="1"/>
    <n v="26"/>
  </r>
  <r>
    <x v="1233"/>
    <s v="M0071"/>
    <x v="59"/>
    <s v="Toko G - Yogyakarta"/>
    <s v="F&amp;B"/>
    <x v="1219"/>
    <x v="1"/>
    <n v="35"/>
  </r>
  <r>
    <x v="1234"/>
    <s v="M0003"/>
    <x v="181"/>
    <s v="Toko D - Medan"/>
    <s v="F&amp;B"/>
    <x v="1220"/>
    <x v="0"/>
    <n v="37"/>
  </r>
  <r>
    <x v="1235"/>
    <s v="M0127"/>
    <x v="56"/>
    <s v="Toko E - Semarang"/>
    <s v="F&amp;B"/>
    <x v="1221"/>
    <x v="1"/>
    <n v="29"/>
  </r>
  <r>
    <x v="1236"/>
    <s v="M0248"/>
    <x v="18"/>
    <s v="Toko H - Denpasar"/>
    <s v="Electronics"/>
    <x v="1222"/>
    <x v="1"/>
    <n v="51"/>
  </r>
  <r>
    <x v="1237"/>
    <s v="M0012"/>
    <x v="237"/>
    <s v="Toko C - Surabaya"/>
    <s v="Groceries"/>
    <x v="1223"/>
    <x v="0"/>
    <n v="39"/>
  </r>
  <r>
    <x v="1238"/>
    <s v="M0216"/>
    <x v="298"/>
    <s v="Toko A - Jakarta"/>
    <s v="Fashion"/>
    <x v="1224"/>
    <x v="1"/>
    <n v="17"/>
  </r>
  <r>
    <x v="1239"/>
    <s v="M0120"/>
    <x v="349"/>
    <s v="Toko E - Semarang"/>
    <s v="Groceries"/>
    <x v="1225"/>
    <x v="0"/>
    <n v="70"/>
  </r>
  <r>
    <x v="1240"/>
    <s v="M0264"/>
    <x v="244"/>
    <s v="Toko F - Makassar"/>
    <s v="Groceries"/>
    <x v="1226"/>
    <x v="1"/>
    <n v="15"/>
  </r>
  <r>
    <x v="1241"/>
    <s v="M0191"/>
    <x v="336"/>
    <s v="Toko H - Denpasar"/>
    <s v="Fashion"/>
    <x v="1227"/>
    <x v="1"/>
    <n v="29"/>
  </r>
  <r>
    <x v="1242"/>
    <s v="M0095"/>
    <x v="188"/>
    <s v="Toko E - Semarang"/>
    <s v="Home &amp; Living"/>
    <x v="1228"/>
    <x v="2"/>
    <n v="10"/>
  </r>
  <r>
    <x v="1243"/>
    <s v="M0062"/>
    <x v="154"/>
    <s v="Toko A - Jakarta"/>
    <s v="Electronics"/>
    <x v="1229"/>
    <x v="1"/>
    <n v="26"/>
  </r>
  <r>
    <x v="1244"/>
    <s v="M0140"/>
    <x v="292"/>
    <s v="Toko H - Denpasar"/>
    <s v="Fashion"/>
    <x v="1230"/>
    <x v="1"/>
    <n v="14"/>
  </r>
  <r>
    <x v="1245"/>
    <s v="M0264"/>
    <x v="303"/>
    <s v="Toko F - Makassar"/>
    <s v="Home &amp; Living"/>
    <x v="1231"/>
    <x v="1"/>
    <n v="12"/>
  </r>
  <r>
    <x v="1246"/>
    <s v="M0209"/>
    <x v="311"/>
    <s v="Toko A - Jakarta"/>
    <s v="Health &amp; Beauty"/>
    <x v="1232"/>
    <x v="1"/>
    <n v="38"/>
  </r>
  <r>
    <x v="1247"/>
    <s v="M0253"/>
    <x v="236"/>
    <s v="Toko D - Medan"/>
    <s v="Home &amp; Living"/>
    <x v="1233"/>
    <x v="1"/>
    <n v="12"/>
  </r>
  <r>
    <x v="1248"/>
    <s v="M0074"/>
    <x v="235"/>
    <s v="Toko H - Denpasar"/>
    <s v="Health &amp; Beauty"/>
    <x v="1234"/>
    <x v="0"/>
    <n v="11"/>
  </r>
  <r>
    <x v="1249"/>
    <s v="M0108"/>
    <x v="332"/>
    <s v="Toko D - Medan"/>
    <s v="F&amp;B"/>
    <x v="1235"/>
    <x v="1"/>
    <n v="82"/>
  </r>
  <r>
    <x v="1250"/>
    <s v="M0142"/>
    <x v="321"/>
    <s v="Toko H - Denpasar"/>
    <s v="Home &amp; Living"/>
    <x v="1236"/>
    <x v="2"/>
    <n v="6"/>
  </r>
  <r>
    <x v="1251"/>
    <s v="M0022"/>
    <x v="188"/>
    <s v="Toko A - Jakarta"/>
    <s v="Groceries"/>
    <x v="1237"/>
    <x v="0"/>
    <n v="16"/>
  </r>
  <r>
    <x v="1252"/>
    <s v="M0262"/>
    <x v="115"/>
    <s v="Toko G - Yogyakarta"/>
    <s v="Groceries"/>
    <x v="1238"/>
    <x v="1"/>
    <n v="71"/>
  </r>
  <r>
    <x v="1253"/>
    <s v="M0058"/>
    <x v="107"/>
    <s v="Toko A - Jakarta"/>
    <s v="Groceries"/>
    <x v="8"/>
    <x v="1"/>
    <n v="2"/>
  </r>
  <r>
    <x v="1254"/>
    <s v="M0108"/>
    <x v="351"/>
    <s v="Toko A - Jakarta"/>
    <s v="Groceries"/>
    <x v="1239"/>
    <x v="1"/>
    <n v="80"/>
  </r>
  <r>
    <x v="1255"/>
    <s v="M0243"/>
    <x v="75"/>
    <s v="Toko B - Bandung"/>
    <s v="Fashion"/>
    <x v="1240"/>
    <x v="0"/>
    <n v="5"/>
  </r>
  <r>
    <x v="1256"/>
    <s v="M0103"/>
    <x v="202"/>
    <s v="Toko F - Makassar"/>
    <s v="Groceries"/>
    <x v="1241"/>
    <x v="1"/>
    <n v="26"/>
  </r>
  <r>
    <x v="1257"/>
    <s v="M0072"/>
    <x v="78"/>
    <s v="Toko A - Jakarta"/>
    <s v="Health &amp; Beauty"/>
    <x v="1242"/>
    <x v="1"/>
    <n v="55"/>
  </r>
  <r>
    <x v="1258"/>
    <s v="M0259"/>
    <x v="20"/>
    <s v="Toko A - Jakarta"/>
    <s v="Home &amp; Living"/>
    <x v="1243"/>
    <x v="1"/>
    <n v="70"/>
  </r>
  <r>
    <x v="1259"/>
    <s v="M0297"/>
    <x v="101"/>
    <s v="Toko E - Semarang"/>
    <s v="Health &amp; Beauty"/>
    <x v="1244"/>
    <x v="1"/>
    <n v="9"/>
  </r>
  <r>
    <x v="1260"/>
    <s v="M0200"/>
    <x v="67"/>
    <s v="Toko B - Bandung"/>
    <s v="Groceries"/>
    <x v="1245"/>
    <x v="0"/>
    <n v="38"/>
  </r>
  <r>
    <x v="1261"/>
    <s v="M0218"/>
    <x v="226"/>
    <s v="Toko C - Surabaya"/>
    <s v="Groceries"/>
    <x v="1246"/>
    <x v="1"/>
    <n v="8"/>
  </r>
  <r>
    <x v="1262"/>
    <s v="M0242"/>
    <x v="185"/>
    <s v="Toko H - Denpasar"/>
    <s v="F&amp;B"/>
    <x v="1247"/>
    <x v="1"/>
    <n v="12"/>
  </r>
  <r>
    <x v="1263"/>
    <s v="M0220"/>
    <x v="279"/>
    <s v="Toko H - Denpasar"/>
    <s v="Home &amp; Living"/>
    <x v="1248"/>
    <x v="0"/>
    <n v="50"/>
  </r>
  <r>
    <x v="1264"/>
    <s v="M0161"/>
    <x v="46"/>
    <s v="Toko C - Surabaya"/>
    <s v="Fashion"/>
    <x v="1249"/>
    <x v="1"/>
    <n v="13"/>
  </r>
  <r>
    <x v="1265"/>
    <s v="M0051"/>
    <x v="245"/>
    <s v="Toko G - Yogyakarta"/>
    <s v="Health &amp; Beauty"/>
    <x v="1250"/>
    <x v="1"/>
    <n v="15"/>
  </r>
  <r>
    <x v="1266"/>
    <s v="M0220"/>
    <x v="295"/>
    <s v="Toko F - Makassar"/>
    <s v="Fashion"/>
    <x v="1251"/>
    <x v="0"/>
    <n v="10"/>
  </r>
  <r>
    <x v="1267"/>
    <s v="M0136"/>
    <x v="218"/>
    <s v="Toko A - Jakarta"/>
    <s v="Electronics"/>
    <x v="1252"/>
    <x v="0"/>
    <n v="4"/>
  </r>
  <r>
    <x v="1268"/>
    <s v="M0088"/>
    <x v="311"/>
    <s v="Toko B - Bandung"/>
    <s v="F&amp;B"/>
    <x v="1253"/>
    <x v="0"/>
    <n v="4"/>
  </r>
  <r>
    <x v="1269"/>
    <s v="M0242"/>
    <x v="23"/>
    <s v="Toko A - Jakarta"/>
    <s v="Electronics"/>
    <x v="1254"/>
    <x v="1"/>
    <n v="9"/>
  </r>
  <r>
    <x v="1270"/>
    <s v="M0046"/>
    <x v="160"/>
    <s v="Toko H - Denpasar"/>
    <s v="Health &amp; Beauty"/>
    <x v="1255"/>
    <x v="2"/>
    <n v="16"/>
  </r>
  <r>
    <x v="1271"/>
    <s v="M0186"/>
    <x v="85"/>
    <s v="Toko E - Semarang"/>
    <s v="F&amp;B"/>
    <x v="1256"/>
    <x v="0"/>
    <n v="39"/>
  </r>
  <r>
    <x v="1272"/>
    <s v="M0077"/>
    <x v="58"/>
    <s v="Toko G - Yogyakarta"/>
    <s v="Fashion"/>
    <x v="1257"/>
    <x v="1"/>
    <n v="37"/>
  </r>
  <r>
    <x v="1273"/>
    <s v="M0052"/>
    <x v="282"/>
    <s v="Toko H - Denpasar"/>
    <s v="Fashion"/>
    <x v="1258"/>
    <x v="0"/>
    <n v="18"/>
  </r>
  <r>
    <x v="1274"/>
    <s v="M0217"/>
    <x v="126"/>
    <s v="Toko E - Semarang"/>
    <s v="Fashion"/>
    <x v="1259"/>
    <x v="0"/>
    <n v="13"/>
  </r>
  <r>
    <x v="1275"/>
    <s v="M0282"/>
    <x v="202"/>
    <s v="Toko E - Semarang"/>
    <s v="Fashion"/>
    <x v="1260"/>
    <x v="1"/>
    <n v="8"/>
  </r>
  <r>
    <x v="1276"/>
    <s v="M0071"/>
    <x v="174"/>
    <s v="Toko A - Jakarta"/>
    <s v="Health &amp; Beauty"/>
    <x v="1261"/>
    <x v="1"/>
    <n v="53"/>
  </r>
  <r>
    <x v="1277"/>
    <s v="M0288"/>
    <x v="2"/>
    <s v="Toko F - Makassar"/>
    <s v="Groceries"/>
    <x v="1262"/>
    <x v="1"/>
    <n v="56"/>
  </r>
  <r>
    <x v="1278"/>
    <s v="M0228"/>
    <x v="155"/>
    <s v="Toko H - Denpasar"/>
    <s v="F&amp;B"/>
    <x v="1263"/>
    <x v="0"/>
    <n v="15"/>
  </r>
  <r>
    <x v="1279"/>
    <s v="M0096"/>
    <x v="319"/>
    <s v="Toko H - Denpasar"/>
    <s v="Groceries"/>
    <x v="1264"/>
    <x v="1"/>
    <n v="27"/>
  </r>
  <r>
    <x v="1280"/>
    <s v="M0027"/>
    <x v="318"/>
    <s v="Toko H - Denpasar"/>
    <s v="Health &amp; Beauty"/>
    <x v="1265"/>
    <x v="1"/>
    <n v="15"/>
  </r>
  <r>
    <x v="1281"/>
    <s v="M0283"/>
    <x v="253"/>
    <s v="Toko H - Denpasar"/>
    <s v="F&amp;B"/>
    <x v="1266"/>
    <x v="1"/>
    <n v="29"/>
  </r>
  <r>
    <x v="1282"/>
    <s v="M0036"/>
    <x v="292"/>
    <s v="Toko H - Denpasar"/>
    <s v="Health &amp; Beauty"/>
    <x v="1267"/>
    <x v="0"/>
    <n v="66"/>
  </r>
  <r>
    <x v="1283"/>
    <s v="M0024"/>
    <x v="63"/>
    <s v="Toko G - Yogyakarta"/>
    <s v="Electronics"/>
    <x v="1268"/>
    <x v="0"/>
    <n v="37"/>
  </r>
  <r>
    <x v="1284"/>
    <s v="M0271"/>
    <x v="43"/>
    <s v="Toko A - Jakarta"/>
    <s v="Electronics"/>
    <x v="1269"/>
    <x v="1"/>
    <n v="30"/>
  </r>
  <r>
    <x v="1285"/>
    <s v="M0056"/>
    <x v="248"/>
    <s v="Toko F - Makassar"/>
    <s v="Home &amp; Living"/>
    <x v="1270"/>
    <x v="0"/>
    <n v="69"/>
  </r>
  <r>
    <x v="1286"/>
    <s v="M0163"/>
    <x v="325"/>
    <s v="Toko B - Bandung"/>
    <s v="Fashion"/>
    <x v="1271"/>
    <x v="1"/>
    <n v="45"/>
  </r>
  <r>
    <x v="1287"/>
    <s v="M0280"/>
    <x v="258"/>
    <s v="Toko F - Makassar"/>
    <s v="Electronics"/>
    <x v="1272"/>
    <x v="1"/>
    <n v="18"/>
  </r>
  <r>
    <x v="1288"/>
    <s v="M0262"/>
    <x v="109"/>
    <s v="Toko B - Bandung"/>
    <s v="F&amp;B"/>
    <x v="1273"/>
    <x v="1"/>
    <n v="5"/>
  </r>
  <r>
    <x v="1289"/>
    <s v="M0121"/>
    <x v="194"/>
    <s v="Toko C - Surabaya"/>
    <s v="Fashion"/>
    <x v="1274"/>
    <x v="1"/>
    <n v="23"/>
  </r>
  <r>
    <x v="1290"/>
    <s v="M0137"/>
    <x v="238"/>
    <s v="Toko C - Surabaya"/>
    <s v="F&amp;B"/>
    <x v="1275"/>
    <x v="0"/>
    <n v="29"/>
  </r>
  <r>
    <x v="1291"/>
    <s v="M0010"/>
    <x v="354"/>
    <s v="Toko E - Semarang"/>
    <s v="Groceries"/>
    <x v="1276"/>
    <x v="1"/>
    <n v="32"/>
  </r>
  <r>
    <x v="1292"/>
    <s v="M0098"/>
    <x v="199"/>
    <s v="Toko E - Semarang"/>
    <s v="Home &amp; Living"/>
    <x v="1277"/>
    <x v="2"/>
    <n v="43"/>
  </r>
  <r>
    <x v="1293"/>
    <s v="M0153"/>
    <x v="355"/>
    <s v="Toko B - Bandung"/>
    <s v="Electronics"/>
    <x v="1278"/>
    <x v="0"/>
    <n v="68"/>
  </r>
  <r>
    <x v="1294"/>
    <s v="M0246"/>
    <x v="65"/>
    <s v="Toko G - Yogyakarta"/>
    <s v="F&amp;B"/>
    <x v="1279"/>
    <x v="0"/>
    <n v="34"/>
  </r>
  <r>
    <x v="1295"/>
    <s v="M0188"/>
    <x v="137"/>
    <s v="Toko F - Makassar"/>
    <s v="F&amp;B"/>
    <x v="1280"/>
    <x v="2"/>
    <n v="31"/>
  </r>
  <r>
    <x v="1296"/>
    <s v="M0117"/>
    <x v="274"/>
    <s v="Toko B - Bandung"/>
    <s v="Electronics"/>
    <x v="1281"/>
    <x v="0"/>
    <n v="4"/>
  </r>
  <r>
    <x v="1297"/>
    <s v="M0272"/>
    <x v="44"/>
    <s v="Toko H - Denpasar"/>
    <s v="Home &amp; Living"/>
    <x v="1282"/>
    <x v="1"/>
    <n v="3"/>
  </r>
  <r>
    <x v="1298"/>
    <s v="M0188"/>
    <x v="325"/>
    <s v="Toko H - Denpasar"/>
    <s v="Groceries"/>
    <x v="1283"/>
    <x v="2"/>
    <n v="24"/>
  </r>
  <r>
    <x v="1299"/>
    <s v="M0240"/>
    <x v="165"/>
    <s v="Toko H - Denpasar"/>
    <s v="Groceries"/>
    <x v="1284"/>
    <x v="1"/>
    <n v="36"/>
  </r>
  <r>
    <x v="1300"/>
    <s v="M0126"/>
    <x v="297"/>
    <s v="Toko B - Bandung"/>
    <s v="Electronics"/>
    <x v="1285"/>
    <x v="1"/>
    <n v="47"/>
  </r>
  <r>
    <x v="1301"/>
    <s v="M0055"/>
    <x v="105"/>
    <s v="Toko A - Jakarta"/>
    <s v="Health &amp; Beauty"/>
    <x v="1286"/>
    <x v="1"/>
    <n v="39"/>
  </r>
  <r>
    <x v="1302"/>
    <s v="M0183"/>
    <x v="54"/>
    <s v="Toko F - Makassar"/>
    <s v="Health &amp; Beauty"/>
    <x v="1287"/>
    <x v="0"/>
    <n v="52"/>
  </r>
  <r>
    <x v="1303"/>
    <s v="M0284"/>
    <x v="23"/>
    <s v="Toko H - Denpasar"/>
    <s v="F&amp;B"/>
    <x v="1288"/>
    <x v="1"/>
    <n v="50"/>
  </r>
  <r>
    <x v="1304"/>
    <s v="M0131"/>
    <x v="154"/>
    <s v="Toko D - Medan"/>
    <s v="Home &amp; Living"/>
    <x v="1289"/>
    <x v="2"/>
    <n v="10"/>
  </r>
  <r>
    <x v="1305"/>
    <s v="M0074"/>
    <x v="141"/>
    <s v="Toko A - Jakarta"/>
    <s v="Groceries"/>
    <x v="1290"/>
    <x v="0"/>
    <n v="55"/>
  </r>
  <r>
    <x v="1306"/>
    <s v="M0246"/>
    <x v="194"/>
    <s v="Toko G - Yogyakarta"/>
    <s v="Home &amp; Living"/>
    <x v="8"/>
    <x v="0"/>
    <n v="2"/>
  </r>
  <r>
    <x v="1307"/>
    <s v="M0002"/>
    <x v="307"/>
    <s v="Toko B - Bandung"/>
    <s v="Health &amp; Beauty"/>
    <x v="1291"/>
    <x v="1"/>
    <n v="64"/>
  </r>
  <r>
    <x v="1308"/>
    <s v="M0210"/>
    <x v="247"/>
    <s v="Toko G - Yogyakarta"/>
    <s v="Home &amp; Living"/>
    <x v="1292"/>
    <x v="0"/>
    <n v="45"/>
  </r>
  <r>
    <x v="1309"/>
    <s v="M0204"/>
    <x v="195"/>
    <s v="Toko C - Surabaya"/>
    <s v="Health &amp; Beauty"/>
    <x v="1293"/>
    <x v="0"/>
    <n v="34"/>
  </r>
  <r>
    <x v="1310"/>
    <s v="M0028"/>
    <x v="299"/>
    <s v="Toko E - Semarang"/>
    <s v="F&amp;B"/>
    <x v="1294"/>
    <x v="0"/>
    <n v="45"/>
  </r>
  <r>
    <x v="1311"/>
    <s v="M0128"/>
    <x v="259"/>
    <s v="Toko B - Bandung"/>
    <s v="Fashion"/>
    <x v="1295"/>
    <x v="1"/>
    <n v="57"/>
  </r>
  <r>
    <x v="1312"/>
    <s v="M0199"/>
    <x v="23"/>
    <s v="Toko H - Denpasar"/>
    <s v="Fashion"/>
    <x v="1296"/>
    <x v="1"/>
    <n v="16"/>
  </r>
  <r>
    <x v="1313"/>
    <s v="M0056"/>
    <x v="350"/>
    <s v="Toko G - Yogyakarta"/>
    <s v="Electronics"/>
    <x v="1297"/>
    <x v="0"/>
    <n v="23"/>
  </r>
  <r>
    <x v="1314"/>
    <s v="M0024"/>
    <x v="323"/>
    <s v="Toko B - Bandung"/>
    <s v="Fashion"/>
    <x v="1298"/>
    <x v="0"/>
    <n v="4"/>
  </r>
  <r>
    <x v="1315"/>
    <s v="M0224"/>
    <x v="52"/>
    <s v="Toko C - Surabaya"/>
    <s v="Home &amp; Living"/>
    <x v="1299"/>
    <x v="1"/>
    <n v="14"/>
  </r>
  <r>
    <x v="1316"/>
    <s v="M0008"/>
    <x v="220"/>
    <s v="Toko F - Makassar"/>
    <s v="Health &amp; Beauty"/>
    <x v="1300"/>
    <x v="0"/>
    <n v="33"/>
  </r>
  <r>
    <x v="1317"/>
    <s v="M0151"/>
    <x v="202"/>
    <s v="Toko E - Semarang"/>
    <s v="Home &amp; Living"/>
    <x v="1301"/>
    <x v="1"/>
    <n v="40"/>
  </r>
  <r>
    <x v="1318"/>
    <s v="M0211"/>
    <x v="147"/>
    <s v="Toko F - Makassar"/>
    <s v="Fashion"/>
    <x v="1302"/>
    <x v="0"/>
    <n v="30"/>
  </r>
  <r>
    <x v="1319"/>
    <s v="M0001"/>
    <x v="94"/>
    <s v="Toko E - Semarang"/>
    <s v="Groceries"/>
    <x v="1303"/>
    <x v="1"/>
    <n v="14"/>
  </r>
  <r>
    <x v="1320"/>
    <s v="M0001"/>
    <x v="209"/>
    <s v="Toko E - Semarang"/>
    <s v="Health &amp; Beauty"/>
    <x v="1304"/>
    <x v="1"/>
    <n v="7"/>
  </r>
  <r>
    <x v="1321"/>
    <s v="M0242"/>
    <x v="88"/>
    <s v="Toko H - Denpasar"/>
    <s v="Fashion"/>
    <x v="1305"/>
    <x v="1"/>
    <n v="12"/>
  </r>
  <r>
    <x v="1322"/>
    <s v="M0267"/>
    <x v="65"/>
    <s v="Toko C - Surabaya"/>
    <s v="F&amp;B"/>
    <x v="1306"/>
    <x v="1"/>
    <n v="30"/>
  </r>
  <r>
    <x v="1323"/>
    <s v="M0108"/>
    <x v="341"/>
    <s v="Toko A - Jakarta"/>
    <s v="Home &amp; Living"/>
    <x v="1307"/>
    <x v="1"/>
    <n v="42"/>
  </r>
  <r>
    <x v="1324"/>
    <s v="M0163"/>
    <x v="83"/>
    <s v="Toko A - Jakarta"/>
    <s v="Electronics"/>
    <x v="1308"/>
    <x v="1"/>
    <n v="41"/>
  </r>
  <r>
    <x v="1325"/>
    <s v="M0277"/>
    <x v="196"/>
    <s v="Toko F - Makassar"/>
    <s v="Fashion"/>
    <x v="1309"/>
    <x v="1"/>
    <n v="30"/>
  </r>
  <r>
    <x v="1326"/>
    <s v="M0193"/>
    <x v="245"/>
    <s v="Toko B - Bandung"/>
    <s v="Home &amp; Living"/>
    <x v="1310"/>
    <x v="1"/>
    <n v="62"/>
  </r>
  <r>
    <x v="1327"/>
    <s v="M0043"/>
    <x v="127"/>
    <s v="Toko E - Semarang"/>
    <s v="Electronics"/>
    <x v="1311"/>
    <x v="0"/>
    <n v="49"/>
  </r>
  <r>
    <x v="1328"/>
    <s v="M0193"/>
    <x v="230"/>
    <s v="Toko E - Semarang"/>
    <s v="Electronics"/>
    <x v="1312"/>
    <x v="1"/>
    <n v="24"/>
  </r>
  <r>
    <x v="1329"/>
    <s v="M0087"/>
    <x v="21"/>
    <s v="Toko C - Surabaya"/>
    <s v="Home &amp; Living"/>
    <x v="1313"/>
    <x v="1"/>
    <n v="28"/>
  </r>
  <r>
    <x v="1330"/>
    <s v="M0183"/>
    <x v="301"/>
    <s v="Toko H - Denpasar"/>
    <s v="Groceries"/>
    <x v="1314"/>
    <x v="0"/>
    <n v="64"/>
  </r>
  <r>
    <x v="1331"/>
    <s v="M0289"/>
    <x v="353"/>
    <s v="Toko F - Makassar"/>
    <s v="Groceries"/>
    <x v="1315"/>
    <x v="0"/>
    <n v="41"/>
  </r>
  <r>
    <x v="1332"/>
    <s v="M0268"/>
    <x v="70"/>
    <s v="Toko F - Makassar"/>
    <s v="Fashion"/>
    <x v="1316"/>
    <x v="0"/>
    <n v="23"/>
  </r>
  <r>
    <x v="1333"/>
    <s v="M0149"/>
    <x v="138"/>
    <s v="Toko B - Bandung"/>
    <s v="Groceries"/>
    <x v="1317"/>
    <x v="1"/>
    <n v="19"/>
  </r>
  <r>
    <x v="1334"/>
    <s v="M0287"/>
    <x v="124"/>
    <s v="Toko H - Denpasar"/>
    <s v="F&amp;B"/>
    <x v="1318"/>
    <x v="0"/>
    <n v="23"/>
  </r>
  <r>
    <x v="1335"/>
    <s v="M0262"/>
    <x v="339"/>
    <s v="Toko D - Medan"/>
    <s v="Fashion"/>
    <x v="1319"/>
    <x v="1"/>
    <n v="41"/>
  </r>
  <r>
    <x v="1336"/>
    <s v="M0068"/>
    <x v="250"/>
    <s v="Toko B - Bandung"/>
    <s v="Fashion"/>
    <x v="1320"/>
    <x v="0"/>
    <n v="24"/>
  </r>
  <r>
    <x v="1337"/>
    <s v="M0018"/>
    <x v="133"/>
    <s v="Toko E - Semarang"/>
    <s v="Home &amp; Living"/>
    <x v="1321"/>
    <x v="0"/>
    <n v="31"/>
  </r>
  <r>
    <x v="1338"/>
    <s v="M0249"/>
    <x v="41"/>
    <s v="Toko A - Jakarta"/>
    <s v="Health &amp; Beauty"/>
    <x v="1322"/>
    <x v="0"/>
    <n v="18"/>
  </r>
  <r>
    <x v="1339"/>
    <s v="M0154"/>
    <x v="51"/>
    <s v="Toko G - Yogyakarta"/>
    <s v="Electronics"/>
    <x v="1323"/>
    <x v="1"/>
    <n v="32"/>
  </r>
  <r>
    <x v="1340"/>
    <s v="M0165"/>
    <x v="63"/>
    <s v="Toko D - Medan"/>
    <s v="Groceries"/>
    <x v="1324"/>
    <x v="1"/>
    <n v="19"/>
  </r>
  <r>
    <x v="1341"/>
    <s v="M0266"/>
    <x v="172"/>
    <s v="Toko C - Surabaya"/>
    <s v="Electronics"/>
    <x v="1325"/>
    <x v="1"/>
    <n v="36"/>
  </r>
  <r>
    <x v="1342"/>
    <s v="M0028"/>
    <x v="320"/>
    <s v="Toko G - Yogyakarta"/>
    <s v="F&amp;B"/>
    <x v="1326"/>
    <x v="0"/>
    <n v="25"/>
  </r>
  <r>
    <x v="1343"/>
    <s v="M0177"/>
    <x v="263"/>
    <s v="Toko A - Jakarta"/>
    <s v="Groceries"/>
    <x v="1327"/>
    <x v="1"/>
    <n v="11"/>
  </r>
  <r>
    <x v="1344"/>
    <s v="M0241"/>
    <x v="347"/>
    <s v="Toko A - Jakarta"/>
    <s v="Groceries"/>
    <x v="1328"/>
    <x v="1"/>
    <n v="3"/>
  </r>
  <r>
    <x v="1345"/>
    <s v="M0166"/>
    <x v="110"/>
    <s v="Toko A - Jakarta"/>
    <s v="Home &amp; Living"/>
    <x v="1329"/>
    <x v="0"/>
    <n v="57"/>
  </r>
  <r>
    <x v="1346"/>
    <s v="M0006"/>
    <x v="356"/>
    <s v="Toko D - Medan"/>
    <s v="Home &amp; Living"/>
    <x v="1330"/>
    <x v="1"/>
    <n v="49"/>
  </r>
  <r>
    <x v="1347"/>
    <s v="M0069"/>
    <x v="106"/>
    <s v="Toko A - Jakarta"/>
    <s v="Fashion"/>
    <x v="1331"/>
    <x v="1"/>
    <n v="90"/>
  </r>
  <r>
    <x v="1348"/>
    <s v="M0003"/>
    <x v="217"/>
    <s v="Toko E - Semarang"/>
    <s v="F&amp;B"/>
    <x v="1332"/>
    <x v="0"/>
    <n v="44"/>
  </r>
  <r>
    <x v="1349"/>
    <s v="M0242"/>
    <x v="277"/>
    <s v="Toko F - Makassar"/>
    <s v="Groceries"/>
    <x v="1333"/>
    <x v="1"/>
    <n v="32"/>
  </r>
  <r>
    <x v="1350"/>
    <s v="M0047"/>
    <x v="19"/>
    <s v="Toko B - Bandung"/>
    <s v="F&amp;B"/>
    <x v="1334"/>
    <x v="1"/>
    <n v="19"/>
  </r>
  <r>
    <x v="1351"/>
    <s v="M0249"/>
    <x v="264"/>
    <s v="Toko H - Denpasar"/>
    <s v="Fashion"/>
    <x v="1335"/>
    <x v="0"/>
    <n v="30"/>
  </r>
  <r>
    <x v="1352"/>
    <s v="M0276"/>
    <x v="98"/>
    <s v="Toko B - Bandung"/>
    <s v="F&amp;B"/>
    <x v="1336"/>
    <x v="1"/>
    <n v="39"/>
  </r>
  <r>
    <x v="1353"/>
    <s v="M0099"/>
    <x v="271"/>
    <s v="Toko B - Bandung"/>
    <s v="Groceries"/>
    <x v="1337"/>
    <x v="1"/>
    <n v="28"/>
  </r>
  <r>
    <x v="1354"/>
    <s v="M0133"/>
    <x v="231"/>
    <s v="Toko E - Semarang"/>
    <s v="Electronics"/>
    <x v="1338"/>
    <x v="1"/>
    <n v="25"/>
  </r>
  <r>
    <x v="1355"/>
    <s v="M0297"/>
    <x v="65"/>
    <s v="Toko D - Medan"/>
    <s v="Electronics"/>
    <x v="1339"/>
    <x v="1"/>
    <n v="58"/>
  </r>
  <r>
    <x v="1356"/>
    <s v="M0061"/>
    <x v="74"/>
    <s v="Toko E - Semarang"/>
    <s v="Health &amp; Beauty"/>
    <x v="1340"/>
    <x v="2"/>
    <n v="10"/>
  </r>
  <r>
    <x v="1357"/>
    <s v="M0033"/>
    <x v="98"/>
    <s v="Toko G - Yogyakarta"/>
    <s v="Home &amp; Living"/>
    <x v="1341"/>
    <x v="1"/>
    <n v="33"/>
  </r>
  <r>
    <x v="1358"/>
    <s v="M0242"/>
    <x v="48"/>
    <s v="Toko G - Yogyakarta"/>
    <s v="Health &amp; Beauty"/>
    <x v="1342"/>
    <x v="1"/>
    <n v="40"/>
  </r>
  <r>
    <x v="1359"/>
    <s v="M0227"/>
    <x v="52"/>
    <s v="Toko A - Jakarta"/>
    <s v="Home &amp; Living"/>
    <x v="1343"/>
    <x v="1"/>
    <n v="23"/>
  </r>
  <r>
    <x v="1360"/>
    <s v="M0242"/>
    <x v="260"/>
    <s v="Toko C - Surabaya"/>
    <s v="Groceries"/>
    <x v="1344"/>
    <x v="1"/>
    <n v="26"/>
  </r>
  <r>
    <x v="1361"/>
    <s v="M0033"/>
    <x v="100"/>
    <s v="Toko G - Yogyakarta"/>
    <s v="Fashion"/>
    <x v="1345"/>
    <x v="1"/>
    <n v="42"/>
  </r>
  <r>
    <x v="1362"/>
    <s v="M0036"/>
    <x v="6"/>
    <s v="Toko G - Yogyakarta"/>
    <s v="Groceries"/>
    <x v="1346"/>
    <x v="0"/>
    <n v="115"/>
  </r>
  <r>
    <x v="1363"/>
    <s v="M0128"/>
    <x v="229"/>
    <s v="Toko G - Yogyakarta"/>
    <s v="Home &amp; Living"/>
    <x v="1347"/>
    <x v="1"/>
    <n v="44"/>
  </r>
  <r>
    <x v="1364"/>
    <s v="M0253"/>
    <x v="211"/>
    <s v="Toko H - Denpasar"/>
    <s v="Home &amp; Living"/>
    <x v="1348"/>
    <x v="1"/>
    <n v="12"/>
  </r>
  <r>
    <x v="1365"/>
    <s v="M0051"/>
    <x v="249"/>
    <s v="Toko B - Bandung"/>
    <s v="Electronics"/>
    <x v="1349"/>
    <x v="1"/>
    <n v="16"/>
  </r>
  <r>
    <x v="1366"/>
    <s v="M0122"/>
    <x v="11"/>
    <s v="Toko E - Semarang"/>
    <s v="F&amp;B"/>
    <x v="1350"/>
    <x v="1"/>
    <n v="12"/>
  </r>
  <r>
    <x v="1367"/>
    <s v="M0243"/>
    <x v="48"/>
    <s v="Toko A - Jakarta"/>
    <s v="Electronics"/>
    <x v="1351"/>
    <x v="0"/>
    <n v="42"/>
  </r>
  <r>
    <x v="1368"/>
    <s v="M0242"/>
    <x v="108"/>
    <s v="Toko A - Jakarta"/>
    <s v="Fashion"/>
    <x v="1352"/>
    <x v="1"/>
    <n v="29"/>
  </r>
  <r>
    <x v="1369"/>
    <s v="M0200"/>
    <x v="101"/>
    <s v="Toko F - Makassar"/>
    <s v="Groceries"/>
    <x v="1353"/>
    <x v="0"/>
    <n v="67"/>
  </r>
  <r>
    <x v="1370"/>
    <s v="M0183"/>
    <x v="222"/>
    <s v="Toko A - Jakarta"/>
    <s v="Home &amp; Living"/>
    <x v="1354"/>
    <x v="0"/>
    <n v="30"/>
  </r>
  <r>
    <x v="1371"/>
    <s v="M0186"/>
    <x v="170"/>
    <s v="Toko H - Denpasar"/>
    <s v="Health &amp; Beauty"/>
    <x v="1355"/>
    <x v="0"/>
    <n v="32"/>
  </r>
  <r>
    <x v="1372"/>
    <s v="M0064"/>
    <x v="175"/>
    <s v="Toko D - Medan"/>
    <s v="Home &amp; Living"/>
    <x v="1356"/>
    <x v="2"/>
    <n v="51"/>
  </r>
  <r>
    <x v="1373"/>
    <s v="M0155"/>
    <x v="13"/>
    <s v="Toko G - Yogyakarta"/>
    <s v="Home &amp; Living"/>
    <x v="1357"/>
    <x v="1"/>
    <n v="15"/>
  </r>
  <r>
    <x v="1374"/>
    <s v="M0044"/>
    <x v="295"/>
    <s v="Toko E - Semarang"/>
    <s v="Fashion"/>
    <x v="1358"/>
    <x v="0"/>
    <n v="77"/>
  </r>
  <r>
    <x v="1375"/>
    <s v="M0290"/>
    <x v="165"/>
    <s v="Toko B - Bandung"/>
    <s v="F&amp;B"/>
    <x v="1359"/>
    <x v="0"/>
    <n v="49"/>
  </r>
  <r>
    <x v="1376"/>
    <s v="M0064"/>
    <x v="202"/>
    <s v="Toko H - Denpasar"/>
    <s v="Groceries"/>
    <x v="1360"/>
    <x v="2"/>
    <n v="24"/>
  </r>
  <r>
    <x v="1377"/>
    <s v="M0121"/>
    <x v="0"/>
    <s v="Toko G - Yogyakarta"/>
    <s v="Groceries"/>
    <x v="1361"/>
    <x v="1"/>
    <n v="35"/>
  </r>
  <r>
    <x v="1378"/>
    <s v="M0198"/>
    <x v="215"/>
    <s v="Toko A - Jakarta"/>
    <s v="Groceries"/>
    <x v="1362"/>
    <x v="2"/>
    <n v="15"/>
  </r>
  <r>
    <x v="1379"/>
    <s v="M0187"/>
    <x v="285"/>
    <s v="Toko E - Semarang"/>
    <s v="F&amp;B"/>
    <x v="1363"/>
    <x v="1"/>
    <n v="23"/>
  </r>
  <r>
    <x v="1380"/>
    <s v="M0166"/>
    <x v="348"/>
    <s v="Toko C - Surabaya"/>
    <s v="Home &amp; Living"/>
    <x v="1364"/>
    <x v="0"/>
    <n v="22"/>
  </r>
  <r>
    <x v="1381"/>
    <s v="M0243"/>
    <x v="280"/>
    <s v="Toko E - Semarang"/>
    <s v="Home &amp; Living"/>
    <x v="1365"/>
    <x v="0"/>
    <n v="52"/>
  </r>
  <r>
    <x v="1382"/>
    <s v="M0068"/>
    <x v="13"/>
    <s v="Toko G - Yogyakarta"/>
    <s v="Health &amp; Beauty"/>
    <x v="1366"/>
    <x v="0"/>
    <n v="35"/>
  </r>
  <r>
    <x v="1383"/>
    <s v="M0258"/>
    <x v="203"/>
    <s v="Toko C - Surabaya"/>
    <s v="Health &amp; Beauty"/>
    <x v="1367"/>
    <x v="1"/>
    <n v="30"/>
  </r>
  <r>
    <x v="1384"/>
    <s v="M0267"/>
    <x v="333"/>
    <s v="Toko G - Yogyakarta"/>
    <s v="F&amp;B"/>
    <x v="8"/>
    <x v="1"/>
    <n v="2"/>
  </r>
  <r>
    <x v="1385"/>
    <s v="M0141"/>
    <x v="236"/>
    <s v="Toko H - Denpasar"/>
    <s v="Home &amp; Living"/>
    <x v="1368"/>
    <x v="1"/>
    <n v="17"/>
  </r>
  <r>
    <x v="1386"/>
    <s v="M0065"/>
    <x v="298"/>
    <s v="Toko G - Yogyakarta"/>
    <s v="Electronics"/>
    <x v="1369"/>
    <x v="0"/>
    <n v="62"/>
  </r>
  <r>
    <x v="1387"/>
    <s v="M0001"/>
    <x v="16"/>
    <s v="Toko H - Denpasar"/>
    <s v="Fashion"/>
    <x v="1370"/>
    <x v="1"/>
    <n v="22"/>
  </r>
  <r>
    <x v="1388"/>
    <s v="M0110"/>
    <x v="188"/>
    <s v="Toko H - Denpasar"/>
    <s v="Groceries"/>
    <x v="1371"/>
    <x v="1"/>
    <n v="54"/>
  </r>
  <r>
    <x v="1389"/>
    <s v="M0048"/>
    <x v="322"/>
    <s v="Toko F - Makassar"/>
    <s v="Health &amp; Beauty"/>
    <x v="1372"/>
    <x v="2"/>
    <n v="46"/>
  </r>
  <r>
    <x v="1390"/>
    <s v="M0293"/>
    <x v="183"/>
    <s v="Toko F - Makassar"/>
    <s v="Fashion"/>
    <x v="1373"/>
    <x v="1"/>
    <n v="84"/>
  </r>
  <r>
    <x v="1391"/>
    <s v="M0199"/>
    <x v="326"/>
    <s v="Toko E - Semarang"/>
    <s v="Health &amp; Beauty"/>
    <x v="1374"/>
    <x v="1"/>
    <n v="47"/>
  </r>
  <r>
    <x v="1392"/>
    <s v="M0192"/>
    <x v="166"/>
    <s v="Toko C - Surabaya"/>
    <s v="Electronics"/>
    <x v="1375"/>
    <x v="1"/>
    <n v="16"/>
  </r>
  <r>
    <x v="1393"/>
    <s v="M0252"/>
    <x v="124"/>
    <s v="Toko A - Jakarta"/>
    <s v="F&amp;B"/>
    <x v="1376"/>
    <x v="2"/>
    <n v="57"/>
  </r>
  <r>
    <x v="1394"/>
    <s v="M0115"/>
    <x v="146"/>
    <s v="Toko F - Makassar"/>
    <s v="Home &amp; Living"/>
    <x v="1377"/>
    <x v="1"/>
    <n v="22"/>
  </r>
  <r>
    <x v="1395"/>
    <s v="M0140"/>
    <x v="350"/>
    <s v="Toko G - Yogyakarta"/>
    <s v="Home &amp; Living"/>
    <x v="1378"/>
    <x v="1"/>
    <n v="14"/>
  </r>
  <r>
    <x v="1396"/>
    <s v="M0002"/>
    <x v="123"/>
    <s v="Toko G - Yogyakarta"/>
    <s v="F&amp;B"/>
    <x v="1379"/>
    <x v="1"/>
    <n v="50"/>
  </r>
  <r>
    <x v="1397"/>
    <s v="M0150"/>
    <x v="237"/>
    <s v="Toko C - Surabaya"/>
    <s v="Groceries"/>
    <x v="1380"/>
    <x v="1"/>
    <n v="15"/>
  </r>
  <r>
    <x v="1398"/>
    <s v="M0093"/>
    <x v="100"/>
    <s v="Toko C - Surabaya"/>
    <s v="Home &amp; Living"/>
    <x v="1381"/>
    <x v="1"/>
    <n v="39"/>
  </r>
  <r>
    <x v="1399"/>
    <s v="M0055"/>
    <x v="77"/>
    <s v="Toko H - Denpasar"/>
    <s v="Electronics"/>
    <x v="1382"/>
    <x v="1"/>
    <n v="28"/>
  </r>
  <r>
    <x v="1400"/>
    <s v="M0075"/>
    <x v="52"/>
    <s v="Toko A - Jakarta"/>
    <s v="Electronics"/>
    <x v="1383"/>
    <x v="0"/>
    <n v="6"/>
  </r>
  <r>
    <x v="1401"/>
    <s v="M0222"/>
    <x v="119"/>
    <s v="Toko C - Surabaya"/>
    <s v="F&amp;B"/>
    <x v="1384"/>
    <x v="0"/>
    <n v="84"/>
  </r>
  <r>
    <x v="1402"/>
    <s v="M0228"/>
    <x v="209"/>
    <s v="Toko E - Semarang"/>
    <s v="Groceries"/>
    <x v="1385"/>
    <x v="0"/>
    <n v="28"/>
  </r>
  <r>
    <x v="1403"/>
    <s v="M0231"/>
    <x v="217"/>
    <s v="Toko G - Yogyakarta"/>
    <s v="Home &amp; Living"/>
    <x v="1386"/>
    <x v="1"/>
    <n v="53"/>
  </r>
  <r>
    <x v="1404"/>
    <s v="M0170"/>
    <x v="273"/>
    <s v="Toko A - Jakarta"/>
    <s v="Health &amp; Beauty"/>
    <x v="1387"/>
    <x v="0"/>
    <n v="26"/>
  </r>
  <r>
    <x v="1405"/>
    <s v="M0084"/>
    <x v="109"/>
    <s v="Toko E - Semarang"/>
    <s v="Electronics"/>
    <x v="1388"/>
    <x v="1"/>
    <n v="14"/>
  </r>
  <r>
    <x v="1406"/>
    <s v="M0111"/>
    <x v="65"/>
    <s v="Toko G - Yogyakarta"/>
    <s v="Fashion"/>
    <x v="1389"/>
    <x v="2"/>
    <n v="10"/>
  </r>
  <r>
    <x v="1407"/>
    <s v="M0047"/>
    <x v="171"/>
    <s v="Toko C - Surabaya"/>
    <s v="Fashion"/>
    <x v="1390"/>
    <x v="1"/>
    <n v="11"/>
  </r>
  <r>
    <x v="1408"/>
    <s v="M0205"/>
    <x v="342"/>
    <s v="Toko E - Semarang"/>
    <s v="Groceries"/>
    <x v="1391"/>
    <x v="0"/>
    <n v="29"/>
  </r>
  <r>
    <x v="1409"/>
    <s v="M0287"/>
    <x v="169"/>
    <s v="Toko H - Denpasar"/>
    <s v="Home &amp; Living"/>
    <x v="1392"/>
    <x v="0"/>
    <n v="23"/>
  </r>
  <r>
    <x v="1410"/>
    <s v="M0128"/>
    <x v="270"/>
    <s v="Toko C - Surabaya"/>
    <s v="Home &amp; Living"/>
    <x v="1393"/>
    <x v="1"/>
    <n v="48"/>
  </r>
  <r>
    <x v="1411"/>
    <s v="M0243"/>
    <x v="274"/>
    <s v="Toko F - Makassar"/>
    <s v="Health &amp; Beauty"/>
    <x v="1394"/>
    <x v="0"/>
    <n v="32"/>
  </r>
  <r>
    <x v="1412"/>
    <s v="M0267"/>
    <x v="46"/>
    <s v="Toko A - Jakarta"/>
    <s v="Electronics"/>
    <x v="1395"/>
    <x v="1"/>
    <n v="83"/>
  </r>
  <r>
    <x v="1413"/>
    <s v="M0296"/>
    <x v="354"/>
    <s v="Toko F - Makassar"/>
    <s v="Home &amp; Living"/>
    <x v="1396"/>
    <x v="0"/>
    <n v="16"/>
  </r>
  <r>
    <x v="1414"/>
    <s v="M0199"/>
    <x v="239"/>
    <s v="Toko E - Semarang"/>
    <s v="Groceries"/>
    <x v="1397"/>
    <x v="1"/>
    <n v="54"/>
  </r>
  <r>
    <x v="1415"/>
    <s v="M0078"/>
    <x v="114"/>
    <s v="Toko C - Surabaya"/>
    <s v="Groceries"/>
    <x v="1398"/>
    <x v="0"/>
    <n v="25"/>
  </r>
  <r>
    <x v="1416"/>
    <s v="M0169"/>
    <x v="51"/>
    <s v="Toko H - Denpasar"/>
    <s v="Home &amp; Living"/>
    <x v="1399"/>
    <x v="1"/>
    <n v="91"/>
  </r>
  <r>
    <x v="1417"/>
    <s v="M0108"/>
    <x v="217"/>
    <s v="Toko B - Bandung"/>
    <s v="Fashion"/>
    <x v="1400"/>
    <x v="1"/>
    <n v="32"/>
  </r>
  <r>
    <x v="1418"/>
    <s v="M0243"/>
    <x v="341"/>
    <s v="Toko H - Denpasar"/>
    <s v="Health &amp; Beauty"/>
    <x v="1401"/>
    <x v="0"/>
    <n v="89"/>
  </r>
  <r>
    <x v="1419"/>
    <s v="M0064"/>
    <x v="222"/>
    <s v="Toko C - Surabaya"/>
    <s v="Fashion"/>
    <x v="1402"/>
    <x v="2"/>
    <n v="69"/>
  </r>
  <r>
    <x v="1420"/>
    <s v="M0044"/>
    <x v="109"/>
    <s v="Toko B - Bandung"/>
    <s v="F&amp;B"/>
    <x v="1403"/>
    <x v="0"/>
    <n v="33"/>
  </r>
  <r>
    <x v="1421"/>
    <s v="M0008"/>
    <x v="181"/>
    <s v="Toko F - Makassar"/>
    <s v="Groceries"/>
    <x v="1404"/>
    <x v="0"/>
    <n v="12"/>
  </r>
  <r>
    <x v="1422"/>
    <s v="M0039"/>
    <x v="121"/>
    <s v="Toko B - Bandung"/>
    <s v="Health &amp; Beauty"/>
    <x v="1405"/>
    <x v="0"/>
    <n v="18"/>
  </r>
  <r>
    <x v="1423"/>
    <s v="M0234"/>
    <x v="21"/>
    <s v="Toko E - Semarang"/>
    <s v="Groceries"/>
    <x v="1406"/>
    <x v="1"/>
    <n v="46"/>
  </r>
  <r>
    <x v="1424"/>
    <s v="M0001"/>
    <x v="322"/>
    <s v="Toko B - Bandung"/>
    <s v="F&amp;B"/>
    <x v="1407"/>
    <x v="1"/>
    <n v="2"/>
  </r>
  <r>
    <x v="1425"/>
    <s v="M0171"/>
    <x v="35"/>
    <s v="Toko B - Bandung"/>
    <s v="Groceries"/>
    <x v="1408"/>
    <x v="1"/>
    <n v="24"/>
  </r>
  <r>
    <x v="1426"/>
    <s v="M0265"/>
    <x v="350"/>
    <s v="Toko D - Medan"/>
    <s v="Home &amp; Living"/>
    <x v="1409"/>
    <x v="1"/>
    <n v="14"/>
  </r>
  <r>
    <x v="1427"/>
    <s v="M0298"/>
    <x v="132"/>
    <s v="Toko E - Semarang"/>
    <s v="Home &amp; Living"/>
    <x v="1410"/>
    <x v="1"/>
    <n v="15"/>
  </r>
  <r>
    <x v="1428"/>
    <s v="M0192"/>
    <x v="267"/>
    <s v="Toko A - Jakarta"/>
    <s v="Groceries"/>
    <x v="1411"/>
    <x v="1"/>
    <n v="20"/>
  </r>
  <r>
    <x v="1429"/>
    <s v="M0186"/>
    <x v="266"/>
    <s v="Toko H - Denpasar"/>
    <s v="Health &amp; Beauty"/>
    <x v="1412"/>
    <x v="0"/>
    <n v="23"/>
  </r>
  <r>
    <x v="1430"/>
    <s v="M0282"/>
    <x v="357"/>
    <s v="Toko F - Makassar"/>
    <s v="F&amp;B"/>
    <x v="1413"/>
    <x v="1"/>
    <n v="61"/>
  </r>
  <r>
    <x v="1431"/>
    <s v="M0121"/>
    <x v="87"/>
    <s v="Toko H - Denpasar"/>
    <s v="F&amp;B"/>
    <x v="1414"/>
    <x v="1"/>
    <n v="39"/>
  </r>
  <r>
    <x v="1432"/>
    <s v="M0259"/>
    <x v="115"/>
    <s v="Toko D - Medan"/>
    <s v="Fashion"/>
    <x v="1415"/>
    <x v="1"/>
    <n v="35"/>
  </r>
  <r>
    <x v="1433"/>
    <s v="M0256"/>
    <x v="224"/>
    <s v="Toko G - Yogyakarta"/>
    <s v="Fashion"/>
    <x v="1416"/>
    <x v="2"/>
    <n v="39"/>
  </r>
  <r>
    <x v="1434"/>
    <s v="M0069"/>
    <x v="53"/>
    <s v="Toko F - Makassar"/>
    <s v="Fashion"/>
    <x v="1417"/>
    <x v="1"/>
    <n v="18"/>
  </r>
  <r>
    <x v="1435"/>
    <s v="M0292"/>
    <x v="120"/>
    <s v="Toko E - Semarang"/>
    <s v="Health &amp; Beauty"/>
    <x v="1418"/>
    <x v="1"/>
    <n v="19"/>
  </r>
  <r>
    <x v="1436"/>
    <s v="M0242"/>
    <x v="331"/>
    <s v="Toko C - Surabaya"/>
    <s v="F&amp;B"/>
    <x v="1419"/>
    <x v="1"/>
    <n v="27"/>
  </r>
  <r>
    <x v="1437"/>
    <s v="M0117"/>
    <x v="320"/>
    <s v="Toko H - Denpasar"/>
    <s v="Home &amp; Living"/>
    <x v="1420"/>
    <x v="0"/>
    <n v="43"/>
  </r>
  <r>
    <x v="1438"/>
    <s v="M0014"/>
    <x v="8"/>
    <s v="Toko G - Yogyakarta"/>
    <s v="Groceries"/>
    <x v="1421"/>
    <x v="1"/>
    <n v="23"/>
  </r>
  <r>
    <x v="1439"/>
    <s v="M0215"/>
    <x v="328"/>
    <s v="Toko D - Medan"/>
    <s v="F&amp;B"/>
    <x v="1422"/>
    <x v="0"/>
    <n v="34"/>
  </r>
  <r>
    <x v="1440"/>
    <s v="M0271"/>
    <x v="204"/>
    <s v="Toko B - Bandung"/>
    <s v="Fashion"/>
    <x v="1423"/>
    <x v="1"/>
    <n v="22"/>
  </r>
  <r>
    <x v="1441"/>
    <s v="M0130"/>
    <x v="82"/>
    <s v="Toko E - Semarang"/>
    <s v="Fashion"/>
    <x v="1424"/>
    <x v="1"/>
    <n v="33"/>
  </r>
  <r>
    <x v="1442"/>
    <s v="M0162"/>
    <x v="19"/>
    <s v="Toko H - Denpasar"/>
    <s v="F&amp;B"/>
    <x v="1425"/>
    <x v="2"/>
    <n v="25"/>
  </r>
  <r>
    <x v="1443"/>
    <s v="M0066"/>
    <x v="128"/>
    <s v="Toko B - Bandung"/>
    <s v="Health &amp; Beauty"/>
    <x v="1426"/>
    <x v="1"/>
    <n v="24"/>
  </r>
  <r>
    <x v="1444"/>
    <s v="M0264"/>
    <x v="53"/>
    <s v="Toko A - Jakarta"/>
    <s v="F&amp;B"/>
    <x v="1427"/>
    <x v="1"/>
    <n v="20"/>
  </r>
  <r>
    <x v="1445"/>
    <s v="M0229"/>
    <x v="141"/>
    <s v="Toko H - Denpasar"/>
    <s v="F&amp;B"/>
    <x v="1428"/>
    <x v="1"/>
    <n v="10"/>
  </r>
  <r>
    <x v="1446"/>
    <s v="M0193"/>
    <x v="260"/>
    <s v="Toko H - Denpasar"/>
    <s v="Home &amp; Living"/>
    <x v="1429"/>
    <x v="1"/>
    <n v="17"/>
  </r>
  <r>
    <x v="1447"/>
    <s v="M0063"/>
    <x v="236"/>
    <s v="Toko E - Semarang"/>
    <s v="Electronics"/>
    <x v="1430"/>
    <x v="1"/>
    <n v="16"/>
  </r>
  <r>
    <x v="1448"/>
    <s v="M0254"/>
    <x v="15"/>
    <s v="Toko C - Surabaya"/>
    <s v="Electronics"/>
    <x v="1431"/>
    <x v="1"/>
    <n v="19"/>
  </r>
  <r>
    <x v="1449"/>
    <s v="M0131"/>
    <x v="134"/>
    <s v="Toko F - Makassar"/>
    <s v="Groceries"/>
    <x v="1432"/>
    <x v="2"/>
    <n v="25"/>
  </r>
  <r>
    <x v="1450"/>
    <s v="M0155"/>
    <x v="185"/>
    <s v="Toko B - Bandung"/>
    <s v="Fashion"/>
    <x v="1433"/>
    <x v="1"/>
    <n v="26"/>
  </r>
  <r>
    <x v="1451"/>
    <s v="M0183"/>
    <x v="196"/>
    <s v="Toko G - Yogyakarta"/>
    <s v="Health &amp; Beauty"/>
    <x v="1434"/>
    <x v="0"/>
    <n v="10"/>
  </r>
  <r>
    <x v="1452"/>
    <s v="M0102"/>
    <x v="88"/>
    <s v="Toko B - Bandung"/>
    <s v="F&amp;B"/>
    <x v="1435"/>
    <x v="0"/>
    <n v="52"/>
  </r>
  <r>
    <x v="1453"/>
    <s v="M0084"/>
    <x v="142"/>
    <s v="Toko D - Medan"/>
    <s v="F&amp;B"/>
    <x v="1436"/>
    <x v="1"/>
    <n v="21"/>
  </r>
  <r>
    <x v="1454"/>
    <s v="M0080"/>
    <x v="323"/>
    <s v="Toko D - Medan"/>
    <s v="Groceries"/>
    <x v="1437"/>
    <x v="2"/>
    <n v="2"/>
  </r>
  <r>
    <x v="1455"/>
    <s v="M0224"/>
    <x v="21"/>
    <s v="Toko C - Surabaya"/>
    <s v="Fashion"/>
    <x v="1438"/>
    <x v="1"/>
    <n v="66"/>
  </r>
  <r>
    <x v="1456"/>
    <s v="M0295"/>
    <x v="234"/>
    <s v="Toko H - Denpasar"/>
    <s v="F&amp;B"/>
    <x v="8"/>
    <x v="1"/>
    <n v="2"/>
  </r>
  <r>
    <x v="1457"/>
    <s v="M0140"/>
    <x v="332"/>
    <s v="Toko H - Denpasar"/>
    <s v="Health &amp; Beauty"/>
    <x v="1439"/>
    <x v="1"/>
    <n v="17"/>
  </r>
  <r>
    <x v="1458"/>
    <s v="M0140"/>
    <x v="231"/>
    <s v="Toko B - Bandung"/>
    <s v="Electronics"/>
    <x v="1440"/>
    <x v="1"/>
    <n v="7"/>
  </r>
  <r>
    <x v="1459"/>
    <s v="M0166"/>
    <x v="203"/>
    <s v="Toko C - Surabaya"/>
    <s v="Health &amp; Beauty"/>
    <x v="1441"/>
    <x v="0"/>
    <n v="35"/>
  </r>
  <r>
    <x v="1460"/>
    <s v="M0010"/>
    <x v="60"/>
    <s v="Toko H - Denpasar"/>
    <s v="Health &amp; Beauty"/>
    <x v="1442"/>
    <x v="1"/>
    <n v="16"/>
  </r>
  <r>
    <x v="1461"/>
    <s v="M0224"/>
    <x v="206"/>
    <s v="Toko G - Yogyakarta"/>
    <s v="Home &amp; Living"/>
    <x v="1443"/>
    <x v="1"/>
    <n v="27"/>
  </r>
  <r>
    <x v="1462"/>
    <s v="M0267"/>
    <x v="304"/>
    <s v="Toko H - Denpasar"/>
    <s v="Fashion"/>
    <x v="8"/>
    <x v="1"/>
    <n v="2"/>
  </r>
  <r>
    <x v="1463"/>
    <s v="M0269"/>
    <x v="196"/>
    <s v="Toko F - Makassar"/>
    <s v="Home &amp; Living"/>
    <x v="8"/>
    <x v="1"/>
    <n v="2"/>
  </r>
  <r>
    <x v="1464"/>
    <s v="M0202"/>
    <x v="72"/>
    <s v="Toko B - Bandung"/>
    <s v="Groceries"/>
    <x v="1444"/>
    <x v="2"/>
    <n v="50"/>
  </r>
  <r>
    <x v="1465"/>
    <s v="M0157"/>
    <x v="299"/>
    <s v="Toko F - Makassar"/>
    <s v="Health &amp; Beauty"/>
    <x v="1445"/>
    <x v="1"/>
    <n v="5"/>
  </r>
  <r>
    <x v="1466"/>
    <s v="M0099"/>
    <x v="87"/>
    <s v="Toko D - Medan"/>
    <s v="Groceries"/>
    <x v="1446"/>
    <x v="1"/>
    <n v="18"/>
  </r>
  <r>
    <x v="1467"/>
    <s v="M0245"/>
    <x v="52"/>
    <s v="Toko C - Surabaya"/>
    <s v="F&amp;B"/>
    <x v="1447"/>
    <x v="1"/>
    <n v="42"/>
  </r>
  <r>
    <x v="1468"/>
    <s v="M0020"/>
    <x v="358"/>
    <s v="Toko H - Denpasar"/>
    <s v="F&amp;B"/>
    <x v="1448"/>
    <x v="1"/>
    <n v="21"/>
  </r>
  <r>
    <x v="1469"/>
    <s v="M0263"/>
    <x v="262"/>
    <s v="Toko F - Makassar"/>
    <s v="Electronics"/>
    <x v="1449"/>
    <x v="0"/>
    <n v="37"/>
  </r>
  <r>
    <x v="1470"/>
    <s v="M0204"/>
    <x v="208"/>
    <s v="Toko D - Medan"/>
    <s v="F&amp;B"/>
    <x v="1450"/>
    <x v="0"/>
    <n v="21"/>
  </r>
  <r>
    <x v="1471"/>
    <s v="M0055"/>
    <x v="106"/>
    <s v="Toko C - Surabaya"/>
    <s v="F&amp;B"/>
    <x v="1451"/>
    <x v="1"/>
    <n v="27"/>
  </r>
  <r>
    <x v="1472"/>
    <s v="M0151"/>
    <x v="162"/>
    <s v="Toko A - Jakarta"/>
    <s v="Groceries"/>
    <x v="1452"/>
    <x v="1"/>
    <n v="5"/>
  </r>
  <r>
    <x v="1473"/>
    <s v="M0096"/>
    <x v="139"/>
    <s v="Toko G - Yogyakarta"/>
    <s v="Fashion"/>
    <x v="1453"/>
    <x v="1"/>
    <n v="35"/>
  </r>
  <r>
    <x v="1474"/>
    <s v="M0025"/>
    <x v="188"/>
    <s v="Toko E - Semarang"/>
    <s v="Home &amp; Living"/>
    <x v="1454"/>
    <x v="1"/>
    <n v="25"/>
  </r>
  <r>
    <x v="1475"/>
    <s v="M0204"/>
    <x v="242"/>
    <s v="Toko C - Surabaya"/>
    <s v="Electronics"/>
    <x v="1455"/>
    <x v="0"/>
    <n v="18"/>
  </r>
  <r>
    <x v="1476"/>
    <s v="M0076"/>
    <x v="356"/>
    <s v="Toko C - Surabaya"/>
    <s v="Fashion"/>
    <x v="1456"/>
    <x v="2"/>
    <n v="19"/>
  </r>
  <r>
    <x v="1477"/>
    <s v="M0278"/>
    <x v="21"/>
    <s v="Toko A - Jakarta"/>
    <s v="F&amp;B"/>
    <x v="1457"/>
    <x v="1"/>
    <n v="49"/>
  </r>
  <r>
    <x v="1478"/>
    <s v="M0101"/>
    <x v="344"/>
    <s v="Toko D - Medan"/>
    <s v="Groceries"/>
    <x v="1458"/>
    <x v="2"/>
    <n v="27"/>
  </r>
  <r>
    <x v="1479"/>
    <s v="M0097"/>
    <x v="152"/>
    <s v="Toko D - Medan"/>
    <s v="Home &amp; Living"/>
    <x v="1459"/>
    <x v="1"/>
    <n v="21"/>
  </r>
  <r>
    <x v="1480"/>
    <s v="M0183"/>
    <x v="22"/>
    <s v="Toko D - Medan"/>
    <s v="Home &amp; Living"/>
    <x v="1460"/>
    <x v="0"/>
    <n v="60"/>
  </r>
  <r>
    <x v="1481"/>
    <s v="M0261"/>
    <x v="301"/>
    <s v="Toko H - Denpasar"/>
    <s v="Health &amp; Beauty"/>
    <x v="1461"/>
    <x v="2"/>
    <n v="9"/>
  </r>
  <r>
    <x v="1482"/>
    <s v="M0272"/>
    <x v="283"/>
    <s v="Toko B - Bandung"/>
    <s v="Groceries"/>
    <x v="1462"/>
    <x v="1"/>
    <n v="19"/>
  </r>
  <r>
    <x v="1483"/>
    <s v="M0262"/>
    <x v="335"/>
    <s v="Toko A - Jakarta"/>
    <s v="Electronics"/>
    <x v="1463"/>
    <x v="1"/>
    <n v="30"/>
  </r>
  <r>
    <x v="1484"/>
    <s v="M0054"/>
    <x v="159"/>
    <s v="Toko F - Makassar"/>
    <s v="Fashion"/>
    <x v="1464"/>
    <x v="2"/>
    <n v="21"/>
  </r>
  <r>
    <x v="1485"/>
    <s v="M0199"/>
    <x v="349"/>
    <s v="Toko G - Yogyakarta"/>
    <s v="Home &amp; Living"/>
    <x v="1465"/>
    <x v="1"/>
    <n v="37"/>
  </r>
  <r>
    <x v="1486"/>
    <s v="M0094"/>
    <x v="314"/>
    <s v="Toko C - Surabaya"/>
    <s v="Health &amp; Beauty"/>
    <x v="1466"/>
    <x v="0"/>
    <n v="12"/>
  </r>
  <r>
    <x v="1487"/>
    <s v="M0121"/>
    <x v="281"/>
    <s v="Toko H - Denpasar"/>
    <s v="Electronics"/>
    <x v="1467"/>
    <x v="1"/>
    <n v="52"/>
  </r>
  <r>
    <x v="1488"/>
    <s v="M0281"/>
    <x v="291"/>
    <s v="Toko G - Yogyakarta"/>
    <s v="Home &amp; Living"/>
    <x v="1468"/>
    <x v="0"/>
    <n v="34"/>
  </r>
  <r>
    <x v="1489"/>
    <s v="M0153"/>
    <x v="213"/>
    <s v="Toko H - Denpasar"/>
    <s v="Health &amp; Beauty"/>
    <x v="1469"/>
    <x v="0"/>
    <n v="15"/>
  </r>
  <r>
    <x v="1490"/>
    <s v="M0139"/>
    <x v="10"/>
    <s v="Toko F - Makassar"/>
    <s v="F&amp;B"/>
    <x v="8"/>
    <x v="1"/>
    <n v="2"/>
  </r>
  <r>
    <x v="1491"/>
    <s v="M0147"/>
    <x v="113"/>
    <s v="Toko D - Medan"/>
    <s v="Electronics"/>
    <x v="1470"/>
    <x v="1"/>
    <n v="35"/>
  </r>
  <r>
    <x v="1492"/>
    <s v="M0244"/>
    <x v="28"/>
    <s v="Toko C - Surabaya"/>
    <s v="Health &amp; Beauty"/>
    <x v="1471"/>
    <x v="0"/>
    <n v="10"/>
  </r>
  <r>
    <x v="1493"/>
    <s v="M0090"/>
    <x v="282"/>
    <s v="Toko H - Denpasar"/>
    <s v="F&amp;B"/>
    <x v="1472"/>
    <x v="1"/>
    <n v="15"/>
  </r>
  <r>
    <x v="1494"/>
    <s v="M0003"/>
    <x v="3"/>
    <s v="Toko G - Yogyakarta"/>
    <s v="Groceries"/>
    <x v="1473"/>
    <x v="0"/>
    <n v="14"/>
  </r>
  <r>
    <x v="1495"/>
    <s v="M0036"/>
    <x v="188"/>
    <s v="Toko F - Makassar"/>
    <s v="Fashion"/>
    <x v="1474"/>
    <x v="0"/>
    <n v="26"/>
  </r>
  <r>
    <x v="1496"/>
    <s v="M0016"/>
    <x v="330"/>
    <s v="Toko A - Jakarta"/>
    <s v="Health &amp; Beauty"/>
    <x v="1475"/>
    <x v="1"/>
    <n v="9"/>
  </r>
  <r>
    <x v="1497"/>
    <s v="M0051"/>
    <x v="189"/>
    <s v="Toko A - Jakarta"/>
    <s v="Groceries"/>
    <x v="1476"/>
    <x v="1"/>
    <n v="14"/>
  </r>
  <r>
    <x v="1498"/>
    <s v="M0024"/>
    <x v="77"/>
    <s v="Toko H - Denpasar"/>
    <s v="Groceries"/>
    <x v="1477"/>
    <x v="0"/>
    <n v="42"/>
  </r>
  <r>
    <x v="1499"/>
    <s v="M0209"/>
    <x v="262"/>
    <s v="Toko F - Makassar"/>
    <s v="Groceries"/>
    <x v="1478"/>
    <x v="1"/>
    <n v="51"/>
  </r>
  <r>
    <x v="1500"/>
    <s v="M0286"/>
    <x v="151"/>
    <s v="Toko G - Yogyakarta"/>
    <s v="Fashion"/>
    <x v="1479"/>
    <x v="1"/>
    <n v="16"/>
  </r>
  <r>
    <x v="1501"/>
    <s v="M0242"/>
    <x v="272"/>
    <s v="Toko C - Surabaya"/>
    <s v="Home &amp; Living"/>
    <x v="1480"/>
    <x v="1"/>
    <n v="23"/>
  </r>
  <r>
    <x v="1502"/>
    <s v="M0174"/>
    <x v="222"/>
    <s v="Toko G - Yogyakarta"/>
    <s v="Health &amp; Beauty"/>
    <x v="1481"/>
    <x v="1"/>
    <n v="65"/>
  </r>
  <r>
    <x v="1503"/>
    <s v="M0236"/>
    <x v="161"/>
    <s v="Toko E - Semarang"/>
    <s v="Electronics"/>
    <x v="1482"/>
    <x v="1"/>
    <n v="9"/>
  </r>
  <r>
    <x v="1504"/>
    <s v="M0199"/>
    <x v="291"/>
    <s v="Toko F - Makassar"/>
    <s v="Health &amp; Beauty"/>
    <x v="1483"/>
    <x v="1"/>
    <n v="56"/>
  </r>
  <r>
    <x v="1505"/>
    <s v="M0070"/>
    <x v="81"/>
    <s v="Toko D - Medan"/>
    <s v="F&amp;B"/>
    <x v="1484"/>
    <x v="0"/>
    <n v="22"/>
  </r>
  <r>
    <x v="1506"/>
    <s v="M0068"/>
    <x v="253"/>
    <s v="Toko C - Surabaya"/>
    <s v="Home &amp; Living"/>
    <x v="1485"/>
    <x v="0"/>
    <n v="54"/>
  </r>
  <r>
    <x v="1507"/>
    <s v="M0123"/>
    <x v="154"/>
    <s v="Toko A - Jakarta"/>
    <s v="F&amp;B"/>
    <x v="1486"/>
    <x v="2"/>
    <n v="51"/>
  </r>
  <r>
    <x v="1508"/>
    <s v="M0237"/>
    <x v="279"/>
    <s v="Toko E - Semarang"/>
    <s v="Electronics"/>
    <x v="1487"/>
    <x v="2"/>
    <n v="23"/>
  </r>
  <r>
    <x v="1509"/>
    <s v="M0249"/>
    <x v="113"/>
    <s v="Toko F - Makassar"/>
    <s v="Electronics"/>
    <x v="1488"/>
    <x v="0"/>
    <n v="64"/>
  </r>
  <r>
    <x v="1510"/>
    <s v="M0224"/>
    <x v="140"/>
    <s v="Toko G - Yogyakarta"/>
    <s v="Electronics"/>
    <x v="1489"/>
    <x v="1"/>
    <n v="19"/>
  </r>
  <r>
    <x v="1511"/>
    <s v="M0010"/>
    <x v="210"/>
    <s v="Toko F - Makassar"/>
    <s v="Groceries"/>
    <x v="1490"/>
    <x v="1"/>
    <n v="7"/>
  </r>
  <r>
    <x v="1512"/>
    <s v="M0225"/>
    <x v="308"/>
    <s v="Toko A - Jakarta"/>
    <s v="Health &amp; Beauty"/>
    <x v="1491"/>
    <x v="1"/>
    <n v="32"/>
  </r>
  <r>
    <x v="1513"/>
    <s v="M0012"/>
    <x v="309"/>
    <s v="Toko A - Jakarta"/>
    <s v="Electronics"/>
    <x v="1492"/>
    <x v="0"/>
    <n v="25"/>
  </r>
  <r>
    <x v="1514"/>
    <s v="M0137"/>
    <x v="192"/>
    <s v="Toko F - Makassar"/>
    <s v="Fashion"/>
    <x v="1493"/>
    <x v="0"/>
    <n v="7"/>
  </r>
  <r>
    <x v="1515"/>
    <s v="M0129"/>
    <x v="274"/>
    <s v="Toko C - Surabaya"/>
    <s v="Fashion"/>
    <x v="1494"/>
    <x v="1"/>
    <n v="17"/>
  </r>
  <r>
    <x v="1516"/>
    <s v="M0252"/>
    <x v="245"/>
    <s v="Toko D - Medan"/>
    <s v="Fashion"/>
    <x v="1495"/>
    <x v="2"/>
    <n v="31"/>
  </r>
  <r>
    <x v="1517"/>
    <s v="M0228"/>
    <x v="137"/>
    <s v="Toko D - Medan"/>
    <s v="Home &amp; Living"/>
    <x v="1496"/>
    <x v="0"/>
    <n v="16"/>
  </r>
  <r>
    <x v="1518"/>
    <s v="M0064"/>
    <x v="156"/>
    <s v="Toko H - Denpasar"/>
    <s v="Health &amp; Beauty"/>
    <x v="1497"/>
    <x v="2"/>
    <n v="34"/>
  </r>
  <r>
    <x v="1519"/>
    <s v="M0077"/>
    <x v="322"/>
    <s v="Toko E - Semarang"/>
    <s v="Home &amp; Living"/>
    <x v="1498"/>
    <x v="1"/>
    <n v="12"/>
  </r>
  <r>
    <x v="1520"/>
    <s v="M0268"/>
    <x v="118"/>
    <s v="Toko A - Jakarta"/>
    <s v="Home &amp; Living"/>
    <x v="1499"/>
    <x v="0"/>
    <n v="15"/>
  </r>
  <r>
    <x v="1521"/>
    <s v="M0215"/>
    <x v="96"/>
    <s v="Toko E - Semarang"/>
    <s v="Home &amp; Living"/>
    <x v="1500"/>
    <x v="0"/>
    <n v="7"/>
  </r>
  <r>
    <x v="1522"/>
    <s v="M0034"/>
    <x v="74"/>
    <s v="Toko C - Surabaya"/>
    <s v="Health &amp; Beauty"/>
    <x v="1501"/>
    <x v="1"/>
    <n v="35"/>
  </r>
  <r>
    <x v="1523"/>
    <s v="M0026"/>
    <x v="232"/>
    <s v="Toko C - Surabaya"/>
    <s v="Health &amp; Beauty"/>
    <x v="1502"/>
    <x v="0"/>
    <n v="21"/>
  </r>
  <r>
    <x v="1524"/>
    <s v="M0062"/>
    <x v="177"/>
    <s v="Toko F - Makassar"/>
    <s v="Groceries"/>
    <x v="1503"/>
    <x v="1"/>
    <n v="37"/>
  </r>
  <r>
    <x v="1525"/>
    <s v="M0179"/>
    <x v="17"/>
    <s v="Toko D - Medan"/>
    <s v="Health &amp; Beauty"/>
    <x v="1504"/>
    <x v="1"/>
    <n v="38"/>
  </r>
  <r>
    <x v="1526"/>
    <s v="M0175"/>
    <x v="159"/>
    <s v="Toko E - Semarang"/>
    <s v="Home &amp; Living"/>
    <x v="1505"/>
    <x v="1"/>
    <n v="26"/>
  </r>
  <r>
    <x v="1527"/>
    <s v="M0199"/>
    <x v="246"/>
    <s v="Toko A - Jakarta"/>
    <s v="Home &amp; Living"/>
    <x v="1506"/>
    <x v="1"/>
    <n v="10"/>
  </r>
  <r>
    <x v="1528"/>
    <s v="M0242"/>
    <x v="185"/>
    <s v="Toko A - Jakarta"/>
    <s v="Health &amp; Beauty"/>
    <x v="1507"/>
    <x v="1"/>
    <n v="83"/>
  </r>
  <r>
    <x v="1529"/>
    <s v="M0080"/>
    <x v="333"/>
    <s v="Toko A - Jakarta"/>
    <s v="Groceries"/>
    <x v="1508"/>
    <x v="2"/>
    <n v="5"/>
  </r>
  <r>
    <x v="1530"/>
    <s v="M0092"/>
    <x v="69"/>
    <s v="Toko D - Medan"/>
    <s v="Electronics"/>
    <x v="1509"/>
    <x v="1"/>
    <n v="29"/>
  </r>
  <r>
    <x v="1531"/>
    <s v="M0199"/>
    <x v="359"/>
    <s v="Toko H - Denpasar"/>
    <s v="Health &amp; Beauty"/>
    <x v="1510"/>
    <x v="1"/>
    <n v="22"/>
  </r>
  <r>
    <x v="1532"/>
    <s v="M0187"/>
    <x v="259"/>
    <s v="Toko E - Semarang"/>
    <s v="Electronics"/>
    <x v="1511"/>
    <x v="1"/>
    <n v="8"/>
  </r>
  <r>
    <x v="1533"/>
    <s v="M0097"/>
    <x v="102"/>
    <s v="Toko E - Semarang"/>
    <s v="Home &amp; Living"/>
    <x v="1512"/>
    <x v="1"/>
    <n v="46"/>
  </r>
  <r>
    <x v="1534"/>
    <s v="M0171"/>
    <x v="295"/>
    <s v="Toko G - Yogyakarta"/>
    <s v="Health &amp; Beauty"/>
    <x v="8"/>
    <x v="1"/>
    <n v="2"/>
  </r>
  <r>
    <x v="1535"/>
    <s v="M0248"/>
    <x v="243"/>
    <s v="Toko C - Surabaya"/>
    <s v="Electronics"/>
    <x v="1513"/>
    <x v="1"/>
    <n v="15"/>
  </r>
  <r>
    <x v="1536"/>
    <s v="M0070"/>
    <x v="360"/>
    <s v="Toko B - Bandung"/>
    <s v="Health &amp; Beauty"/>
    <x v="1514"/>
    <x v="0"/>
    <n v="50"/>
  </r>
  <r>
    <x v="1537"/>
    <s v="M0253"/>
    <x v="280"/>
    <s v="Toko C - Surabaya"/>
    <s v="F&amp;B"/>
    <x v="8"/>
    <x v="1"/>
    <n v="2"/>
  </r>
  <r>
    <x v="1538"/>
    <s v="M0266"/>
    <x v="33"/>
    <s v="Toko D - Medan"/>
    <s v="Health &amp; Beauty"/>
    <x v="1515"/>
    <x v="1"/>
    <n v="61"/>
  </r>
  <r>
    <x v="1539"/>
    <s v="M0295"/>
    <x v="30"/>
    <s v="Toko D - Medan"/>
    <s v="F&amp;B"/>
    <x v="1516"/>
    <x v="1"/>
    <n v="15"/>
  </r>
  <r>
    <x v="1540"/>
    <s v="M0063"/>
    <x v="281"/>
    <s v="Toko H - Denpasar"/>
    <s v="Electronics"/>
    <x v="1517"/>
    <x v="1"/>
    <n v="14"/>
  </r>
  <r>
    <x v="1541"/>
    <s v="M0217"/>
    <x v="333"/>
    <s v="Toko F - Makassar"/>
    <s v="Electronics"/>
    <x v="1518"/>
    <x v="0"/>
    <n v="10"/>
  </r>
  <r>
    <x v="1542"/>
    <s v="M0103"/>
    <x v="165"/>
    <s v="Toko B - Bandung"/>
    <s v="Fashion"/>
    <x v="1519"/>
    <x v="1"/>
    <n v="50"/>
  </r>
  <r>
    <x v="1543"/>
    <s v="M0077"/>
    <x v="289"/>
    <s v="Toko G - Yogyakarta"/>
    <s v="F&amp;B"/>
    <x v="1520"/>
    <x v="1"/>
    <n v="19"/>
  </r>
  <r>
    <x v="1544"/>
    <s v="M0113"/>
    <x v="332"/>
    <s v="Toko H - Denpasar"/>
    <s v="Health &amp; Beauty"/>
    <x v="1521"/>
    <x v="1"/>
    <n v="5"/>
  </r>
  <r>
    <x v="1545"/>
    <s v="M0140"/>
    <x v="243"/>
    <s v="Toko A - Jakarta"/>
    <s v="Fashion"/>
    <x v="1522"/>
    <x v="1"/>
    <n v="25"/>
  </r>
  <r>
    <x v="1546"/>
    <s v="M0282"/>
    <x v="258"/>
    <s v="Toko E - Semarang"/>
    <s v="Home &amp; Living"/>
    <x v="1523"/>
    <x v="1"/>
    <n v="5"/>
  </r>
  <r>
    <x v="1547"/>
    <s v="M0104"/>
    <x v="138"/>
    <s v="Toko D - Medan"/>
    <s v="Groceries"/>
    <x v="1524"/>
    <x v="1"/>
    <n v="17"/>
  </r>
  <r>
    <x v="1548"/>
    <s v="M0246"/>
    <x v="314"/>
    <s v="Toko A - Jakarta"/>
    <s v="Home &amp; Living"/>
    <x v="1525"/>
    <x v="0"/>
    <n v="23"/>
  </r>
  <r>
    <x v="1549"/>
    <s v="M0211"/>
    <x v="193"/>
    <s v="Toko G - Yogyakarta"/>
    <s v="F&amp;B"/>
    <x v="1526"/>
    <x v="0"/>
    <n v="33"/>
  </r>
  <r>
    <x v="1550"/>
    <s v="M0241"/>
    <x v="73"/>
    <s v="Toko C - Surabaya"/>
    <s v="Health &amp; Beauty"/>
    <x v="1527"/>
    <x v="1"/>
    <n v="9"/>
  </r>
  <r>
    <x v="1551"/>
    <s v="M0128"/>
    <x v="96"/>
    <s v="Toko A - Jakarta"/>
    <s v="Health &amp; Beauty"/>
    <x v="1528"/>
    <x v="1"/>
    <n v="30"/>
  </r>
  <r>
    <x v="1552"/>
    <s v="M0222"/>
    <x v="274"/>
    <s v="Toko C - Surabaya"/>
    <s v="F&amp;B"/>
    <x v="1529"/>
    <x v="0"/>
    <n v="20"/>
  </r>
  <r>
    <x v="1553"/>
    <s v="M0246"/>
    <x v="149"/>
    <s v="Toko F - Makassar"/>
    <s v="F&amp;B"/>
    <x v="1530"/>
    <x v="0"/>
    <n v="13"/>
  </r>
  <r>
    <x v="1554"/>
    <s v="M0091"/>
    <x v="28"/>
    <s v="Toko A - Jakarta"/>
    <s v="Fashion"/>
    <x v="1531"/>
    <x v="0"/>
    <n v="35"/>
  </r>
  <r>
    <x v="1555"/>
    <s v="M0294"/>
    <x v="110"/>
    <s v="Toko H - Denpasar"/>
    <s v="Fashion"/>
    <x v="1532"/>
    <x v="0"/>
    <n v="40"/>
  </r>
  <r>
    <x v="1556"/>
    <s v="M0092"/>
    <x v="75"/>
    <s v="Toko G - Yogyakarta"/>
    <s v="Fashion"/>
    <x v="1533"/>
    <x v="1"/>
    <n v="7"/>
  </r>
  <r>
    <x v="1557"/>
    <s v="M0232"/>
    <x v="255"/>
    <s v="Toko A - Jakarta"/>
    <s v="Electronics"/>
    <x v="1534"/>
    <x v="1"/>
    <n v="28"/>
  </r>
  <r>
    <x v="1558"/>
    <s v="M0064"/>
    <x v="66"/>
    <s v="Toko H - Denpasar"/>
    <s v="Groceries"/>
    <x v="1535"/>
    <x v="2"/>
    <n v="52"/>
  </r>
  <r>
    <x v="1559"/>
    <s v="M0107"/>
    <x v="4"/>
    <s v="Toko H - Denpasar"/>
    <s v="F&amp;B"/>
    <x v="1536"/>
    <x v="0"/>
    <n v="53"/>
  </r>
  <r>
    <x v="1560"/>
    <s v="M0167"/>
    <x v="81"/>
    <s v="Toko E - Semarang"/>
    <s v="Home &amp; Living"/>
    <x v="1537"/>
    <x v="2"/>
    <n v="35"/>
  </r>
  <r>
    <x v="1561"/>
    <s v="M0098"/>
    <x v="296"/>
    <s v="Toko F - Makassar"/>
    <s v="Health &amp; Beauty"/>
    <x v="1538"/>
    <x v="2"/>
    <n v="10"/>
  </r>
  <r>
    <x v="1562"/>
    <s v="M0014"/>
    <x v="39"/>
    <s v="Toko H - Denpasar"/>
    <s v="F&amp;B"/>
    <x v="1539"/>
    <x v="1"/>
    <n v="10"/>
  </r>
  <r>
    <x v="1563"/>
    <s v="M0093"/>
    <x v="345"/>
    <s v="Toko G - Yogyakarta"/>
    <s v="F&amp;B"/>
    <x v="1540"/>
    <x v="1"/>
    <n v="6"/>
  </r>
  <r>
    <x v="1564"/>
    <s v="M0114"/>
    <x v="298"/>
    <s v="Toko C - Surabaya"/>
    <s v="Health &amp; Beauty"/>
    <x v="1541"/>
    <x v="2"/>
    <n v="16"/>
  </r>
  <r>
    <x v="1565"/>
    <s v="M0216"/>
    <x v="60"/>
    <s v="Toko F - Makassar"/>
    <s v="F&amp;B"/>
    <x v="1542"/>
    <x v="1"/>
    <n v="8"/>
  </r>
  <r>
    <x v="1566"/>
    <s v="M0234"/>
    <x v="149"/>
    <s v="Toko F - Makassar"/>
    <s v="F&amp;B"/>
    <x v="1543"/>
    <x v="1"/>
    <n v="70"/>
  </r>
  <r>
    <x v="1567"/>
    <s v="M0132"/>
    <x v="132"/>
    <s v="Toko E - Semarang"/>
    <s v="Fashion"/>
    <x v="1544"/>
    <x v="1"/>
    <n v="43"/>
  </r>
  <r>
    <x v="1568"/>
    <s v="M0116"/>
    <x v="90"/>
    <s v="Toko E - Semarang"/>
    <s v="Fashion"/>
    <x v="1545"/>
    <x v="1"/>
    <n v="48"/>
  </r>
  <r>
    <x v="1569"/>
    <s v="M0280"/>
    <x v="60"/>
    <s v="Toko D - Medan"/>
    <s v="Health &amp; Beauty"/>
    <x v="1546"/>
    <x v="1"/>
    <n v="23"/>
  </r>
  <r>
    <x v="1570"/>
    <s v="M0081"/>
    <x v="263"/>
    <s v="Toko F - Makassar"/>
    <s v="Electronics"/>
    <x v="1547"/>
    <x v="1"/>
    <n v="19"/>
  </r>
  <r>
    <x v="1571"/>
    <s v="M0192"/>
    <x v="192"/>
    <s v="Toko D - Medan"/>
    <s v="Groceries"/>
    <x v="1548"/>
    <x v="1"/>
    <n v="9"/>
  </r>
  <r>
    <x v="1572"/>
    <s v="M0113"/>
    <x v="35"/>
    <s v="Toko F - Makassar"/>
    <s v="F&amp;B"/>
    <x v="1549"/>
    <x v="1"/>
    <n v="25"/>
  </r>
  <r>
    <x v="1573"/>
    <s v="M0241"/>
    <x v="198"/>
    <s v="Toko B - Bandung"/>
    <s v="Home &amp; Living"/>
    <x v="1550"/>
    <x v="1"/>
    <n v="15"/>
  </r>
  <r>
    <x v="1574"/>
    <s v="M0003"/>
    <x v="213"/>
    <s v="Toko G - Yogyakarta"/>
    <s v="Health &amp; Beauty"/>
    <x v="1551"/>
    <x v="0"/>
    <n v="15"/>
  </r>
  <r>
    <x v="1575"/>
    <s v="M0174"/>
    <x v="197"/>
    <s v="Toko C - Surabaya"/>
    <s v="F&amp;B"/>
    <x v="1552"/>
    <x v="1"/>
    <n v="40"/>
  </r>
  <r>
    <x v="1576"/>
    <s v="M0002"/>
    <x v="155"/>
    <s v="Toko E - Semarang"/>
    <s v="Fashion"/>
    <x v="1553"/>
    <x v="1"/>
    <n v="30"/>
  </r>
  <r>
    <x v="1577"/>
    <s v="M0276"/>
    <x v="143"/>
    <s v="Toko F - Makassar"/>
    <s v="Fashion"/>
    <x v="1554"/>
    <x v="1"/>
    <n v="13"/>
  </r>
  <r>
    <x v="1578"/>
    <s v="M0013"/>
    <x v="261"/>
    <s v="Toko B - Bandung"/>
    <s v="F&amp;B"/>
    <x v="1555"/>
    <x v="1"/>
    <n v="89"/>
  </r>
  <r>
    <x v="1579"/>
    <s v="M0002"/>
    <x v="178"/>
    <s v="Toko G - Yogyakarta"/>
    <s v="Home &amp; Living"/>
    <x v="1556"/>
    <x v="1"/>
    <n v="10"/>
  </r>
  <r>
    <x v="1580"/>
    <s v="M0094"/>
    <x v="49"/>
    <s v="Toko F - Makassar"/>
    <s v="Home &amp; Living"/>
    <x v="1557"/>
    <x v="0"/>
    <n v="24"/>
  </r>
  <r>
    <x v="1581"/>
    <s v="M0008"/>
    <x v="201"/>
    <s v="Toko E - Semarang"/>
    <s v="Health &amp; Beauty"/>
    <x v="1558"/>
    <x v="0"/>
    <n v="24"/>
  </r>
  <r>
    <x v="1582"/>
    <s v="M0030"/>
    <x v="359"/>
    <s v="Toko C - Surabaya"/>
    <s v="Electronics"/>
    <x v="1559"/>
    <x v="1"/>
    <n v="17"/>
  </r>
  <r>
    <x v="1583"/>
    <s v="M0265"/>
    <x v="179"/>
    <s v="Toko A - Jakarta"/>
    <s v="Electronics"/>
    <x v="1560"/>
    <x v="1"/>
    <n v="36"/>
  </r>
  <r>
    <x v="1584"/>
    <s v="M0143"/>
    <x v="135"/>
    <s v="Toko A - Jakarta"/>
    <s v="Electronics"/>
    <x v="1561"/>
    <x v="1"/>
    <n v="17"/>
  </r>
  <r>
    <x v="1585"/>
    <s v="M0280"/>
    <x v="206"/>
    <s v="Toko H - Denpasar"/>
    <s v="Electronics"/>
    <x v="1562"/>
    <x v="1"/>
    <n v="33"/>
  </r>
  <r>
    <x v="1586"/>
    <s v="M0145"/>
    <x v="39"/>
    <s v="Toko B - Bandung"/>
    <s v="F&amp;B"/>
    <x v="1563"/>
    <x v="1"/>
    <n v="14"/>
  </r>
  <r>
    <x v="1587"/>
    <s v="M0210"/>
    <x v="37"/>
    <s v="Toko C - Surabaya"/>
    <s v="F&amp;B"/>
    <x v="1564"/>
    <x v="0"/>
    <n v="72"/>
  </r>
  <r>
    <x v="1588"/>
    <s v="M0154"/>
    <x v="125"/>
    <s v="Toko E - Semarang"/>
    <s v="Groceries"/>
    <x v="1565"/>
    <x v="1"/>
    <n v="24"/>
  </r>
  <r>
    <x v="1589"/>
    <s v="M0253"/>
    <x v="219"/>
    <s v="Toko D - Medan"/>
    <s v="Groceries"/>
    <x v="1566"/>
    <x v="1"/>
    <n v="35"/>
  </r>
  <r>
    <x v="1590"/>
    <s v="M0167"/>
    <x v="204"/>
    <s v="Toko B - Bandung"/>
    <s v="Health &amp; Beauty"/>
    <x v="1567"/>
    <x v="2"/>
    <n v="19"/>
  </r>
  <r>
    <x v="1591"/>
    <s v="M0151"/>
    <x v="242"/>
    <s v="Toko A - Jakarta"/>
    <s v="Fashion"/>
    <x v="1568"/>
    <x v="1"/>
    <n v="56"/>
  </r>
  <r>
    <x v="1592"/>
    <s v="M0140"/>
    <x v="158"/>
    <s v="Toko A - Jakarta"/>
    <s v="Groceries"/>
    <x v="1569"/>
    <x v="1"/>
    <n v="42"/>
  </r>
  <r>
    <x v="1593"/>
    <s v="M0201"/>
    <x v="157"/>
    <s v="Toko A - Jakarta"/>
    <s v="Home &amp; Living"/>
    <x v="1570"/>
    <x v="1"/>
    <n v="60"/>
  </r>
  <r>
    <x v="1594"/>
    <s v="M0283"/>
    <x v="338"/>
    <s v="Toko H - Denpasar"/>
    <s v="Fashion"/>
    <x v="1571"/>
    <x v="1"/>
    <n v="23"/>
  </r>
  <r>
    <x v="1595"/>
    <s v="M0163"/>
    <x v="321"/>
    <s v="Toko H - Denpasar"/>
    <s v="F&amp;B"/>
    <x v="1572"/>
    <x v="1"/>
    <n v="12"/>
  </r>
  <r>
    <x v="1596"/>
    <s v="M0055"/>
    <x v="359"/>
    <s v="Toko G - Yogyakarta"/>
    <s v="Fashion"/>
    <x v="1573"/>
    <x v="1"/>
    <n v="38"/>
  </r>
  <r>
    <x v="1597"/>
    <s v="M0149"/>
    <x v="143"/>
    <s v="Toko E - Semarang"/>
    <s v="F&amp;B"/>
    <x v="1574"/>
    <x v="1"/>
    <n v="21"/>
  </r>
  <r>
    <x v="1598"/>
    <s v="M0039"/>
    <x v="123"/>
    <s v="Toko C - Surabaya"/>
    <s v="Groceries"/>
    <x v="1575"/>
    <x v="0"/>
    <n v="5"/>
  </r>
  <r>
    <x v="1599"/>
    <s v="M0227"/>
    <x v="99"/>
    <s v="Toko E - Semarang"/>
    <s v="Electronics"/>
    <x v="1576"/>
    <x v="1"/>
    <n v="44"/>
  </r>
  <r>
    <x v="1600"/>
    <s v="M0278"/>
    <x v="236"/>
    <s v="Toko E - Semarang"/>
    <s v="Groceries"/>
    <x v="1577"/>
    <x v="1"/>
    <n v="13"/>
  </r>
  <r>
    <x v="1601"/>
    <s v="M0128"/>
    <x v="105"/>
    <s v="Toko G - Yogyakarta"/>
    <s v="Electronics"/>
    <x v="1578"/>
    <x v="1"/>
    <n v="29"/>
  </r>
  <r>
    <x v="1602"/>
    <s v="M0192"/>
    <x v="170"/>
    <s v="Toko D - Medan"/>
    <s v="Health &amp; Beauty"/>
    <x v="8"/>
    <x v="1"/>
    <n v="2"/>
  </r>
  <r>
    <x v="1603"/>
    <s v="M0147"/>
    <x v="229"/>
    <s v="Toko F - Makassar"/>
    <s v="Health &amp; Beauty"/>
    <x v="1579"/>
    <x v="1"/>
    <n v="14"/>
  </r>
  <r>
    <x v="1604"/>
    <s v="M0253"/>
    <x v="280"/>
    <s v="Toko F - Makassar"/>
    <s v="Groceries"/>
    <x v="1580"/>
    <x v="1"/>
    <n v="40"/>
  </r>
  <r>
    <x v="1605"/>
    <s v="M0137"/>
    <x v="190"/>
    <s v="Toko A - Jakarta"/>
    <s v="Health &amp; Beauty"/>
    <x v="1581"/>
    <x v="0"/>
    <n v="54"/>
  </r>
  <r>
    <x v="1606"/>
    <s v="M0073"/>
    <x v="239"/>
    <s v="Toko G - Yogyakarta"/>
    <s v="Fashion"/>
    <x v="1582"/>
    <x v="1"/>
    <n v="8"/>
  </r>
  <r>
    <x v="1607"/>
    <s v="M0041"/>
    <x v="336"/>
    <s v="Toko B - Bandung"/>
    <s v="Electronics"/>
    <x v="1583"/>
    <x v="1"/>
    <n v="21"/>
  </r>
  <r>
    <x v="1608"/>
    <s v="M0105"/>
    <x v="239"/>
    <s v="Toko G - Yogyakarta"/>
    <s v="Groceries"/>
    <x v="1584"/>
    <x v="1"/>
    <n v="20"/>
  </r>
  <r>
    <x v="1609"/>
    <s v="M0049"/>
    <x v="31"/>
    <s v="Toko G - Yogyakarta"/>
    <s v="Electronics"/>
    <x v="1585"/>
    <x v="1"/>
    <n v="49"/>
  </r>
  <r>
    <x v="1610"/>
    <s v="M0258"/>
    <x v="118"/>
    <s v="Toko C - Surabaya"/>
    <s v="Home &amp; Living"/>
    <x v="1586"/>
    <x v="1"/>
    <n v="22"/>
  </r>
  <r>
    <x v="1611"/>
    <s v="M0201"/>
    <x v="108"/>
    <s v="Toko E - Semarang"/>
    <s v="Groceries"/>
    <x v="1587"/>
    <x v="1"/>
    <n v="15"/>
  </r>
  <r>
    <x v="1612"/>
    <s v="M0122"/>
    <x v="360"/>
    <s v="Toko B - Bandung"/>
    <s v="F&amp;B"/>
    <x v="1588"/>
    <x v="1"/>
    <n v="39"/>
  </r>
  <r>
    <x v="1613"/>
    <s v="M0262"/>
    <x v="289"/>
    <s v="Toko C - Surabaya"/>
    <s v="F&amp;B"/>
    <x v="1589"/>
    <x v="1"/>
    <n v="9"/>
  </r>
  <r>
    <x v="1614"/>
    <s v="M0027"/>
    <x v="155"/>
    <s v="Toko E - Semarang"/>
    <s v="Electronics"/>
    <x v="1590"/>
    <x v="1"/>
    <n v="33"/>
  </r>
  <r>
    <x v="1615"/>
    <s v="M0105"/>
    <x v="153"/>
    <s v="Toko G - Yogyakarta"/>
    <s v="Groceries"/>
    <x v="1591"/>
    <x v="1"/>
    <n v="45"/>
  </r>
  <r>
    <x v="1616"/>
    <s v="M0121"/>
    <x v="87"/>
    <s v="Toko D - Medan"/>
    <s v="Electronics"/>
    <x v="1592"/>
    <x v="1"/>
    <n v="36"/>
  </r>
  <r>
    <x v="1617"/>
    <s v="M0246"/>
    <x v="74"/>
    <s v="Toko C - Surabaya"/>
    <s v="Electronics"/>
    <x v="1593"/>
    <x v="0"/>
    <n v="45"/>
  </r>
  <r>
    <x v="1618"/>
    <s v="M0098"/>
    <x v="6"/>
    <s v="Toko E - Semarang"/>
    <s v="Fashion"/>
    <x v="1594"/>
    <x v="2"/>
    <n v="5"/>
  </r>
  <r>
    <x v="1619"/>
    <s v="M0126"/>
    <x v="144"/>
    <s v="Toko H - Denpasar"/>
    <s v="Health &amp; Beauty"/>
    <x v="1595"/>
    <x v="1"/>
    <n v="3"/>
  </r>
  <r>
    <x v="1620"/>
    <s v="M0262"/>
    <x v="135"/>
    <s v="Toko C - Surabaya"/>
    <s v="Health &amp; Beauty"/>
    <x v="1596"/>
    <x v="1"/>
    <n v="22"/>
  </r>
  <r>
    <x v="1621"/>
    <s v="M0143"/>
    <x v="343"/>
    <s v="Toko E - Semarang"/>
    <s v="Health &amp; Beauty"/>
    <x v="1597"/>
    <x v="1"/>
    <n v="29"/>
  </r>
  <r>
    <x v="1622"/>
    <s v="M0007"/>
    <x v="127"/>
    <s v="Toko G - Yogyakarta"/>
    <s v="Fashion"/>
    <x v="1598"/>
    <x v="1"/>
    <n v="16"/>
  </r>
  <r>
    <x v="1623"/>
    <s v="M0214"/>
    <x v="58"/>
    <s v="Toko A - Jakarta"/>
    <s v="F&amp;B"/>
    <x v="1599"/>
    <x v="1"/>
    <n v="13"/>
  </r>
  <r>
    <x v="1624"/>
    <s v="M0105"/>
    <x v="208"/>
    <s v="Toko D - Medan"/>
    <s v="Fashion"/>
    <x v="1600"/>
    <x v="1"/>
    <n v="24"/>
  </r>
  <r>
    <x v="1625"/>
    <s v="M0234"/>
    <x v="276"/>
    <s v="Toko F - Makassar"/>
    <s v="Health &amp; Beauty"/>
    <x v="1601"/>
    <x v="1"/>
    <n v="89"/>
  </r>
  <r>
    <x v="1626"/>
    <s v="M0297"/>
    <x v="55"/>
    <s v="Toko B - Bandung"/>
    <s v="Health &amp; Beauty"/>
    <x v="1602"/>
    <x v="1"/>
    <n v="52"/>
  </r>
  <r>
    <x v="1627"/>
    <s v="M0150"/>
    <x v="244"/>
    <s v="Toko D - Medan"/>
    <s v="Electronics"/>
    <x v="1603"/>
    <x v="1"/>
    <n v="40"/>
  </r>
  <r>
    <x v="1628"/>
    <s v="M0018"/>
    <x v="153"/>
    <s v="Toko C - Surabaya"/>
    <s v="Fashion"/>
    <x v="1604"/>
    <x v="0"/>
    <n v="10"/>
  </r>
  <r>
    <x v="1629"/>
    <s v="M0277"/>
    <x v="227"/>
    <s v="Toko B - Bandung"/>
    <s v="Fashion"/>
    <x v="1605"/>
    <x v="1"/>
    <n v="72"/>
  </r>
  <r>
    <x v="1630"/>
    <s v="M0276"/>
    <x v="35"/>
    <s v="Toko D - Medan"/>
    <s v="Fashion"/>
    <x v="1606"/>
    <x v="1"/>
    <n v="32"/>
  </r>
  <r>
    <x v="1631"/>
    <s v="M0237"/>
    <x v="168"/>
    <s v="Toko B - Bandung"/>
    <s v="F&amp;B"/>
    <x v="1607"/>
    <x v="2"/>
    <n v="54"/>
  </r>
  <r>
    <x v="1632"/>
    <s v="M0177"/>
    <x v="52"/>
    <s v="Toko H - Denpasar"/>
    <s v="Health &amp; Beauty"/>
    <x v="1608"/>
    <x v="1"/>
    <n v="14"/>
  </r>
  <r>
    <x v="1633"/>
    <s v="M0028"/>
    <x v="55"/>
    <s v="Toko D - Medan"/>
    <s v="Electronics"/>
    <x v="1609"/>
    <x v="0"/>
    <n v="44"/>
  </r>
  <r>
    <x v="1634"/>
    <s v="M0089"/>
    <x v="337"/>
    <s v="Toko G - Yogyakarta"/>
    <s v="F&amp;B"/>
    <x v="1610"/>
    <x v="2"/>
    <n v="18"/>
  </r>
  <r>
    <x v="1635"/>
    <s v="M0201"/>
    <x v="108"/>
    <s v="Toko A - Jakarta"/>
    <s v="Fashion"/>
    <x v="1611"/>
    <x v="1"/>
    <n v="17"/>
  </r>
  <r>
    <x v="1636"/>
    <s v="M0003"/>
    <x v="22"/>
    <s v="Toko B - Bandung"/>
    <s v="F&amp;B"/>
    <x v="1612"/>
    <x v="0"/>
    <n v="15"/>
  </r>
  <r>
    <x v="1637"/>
    <s v="M0255"/>
    <x v="259"/>
    <s v="Toko B - Bandung"/>
    <s v="Groceries"/>
    <x v="1613"/>
    <x v="1"/>
    <n v="29"/>
  </r>
  <r>
    <x v="1638"/>
    <s v="M0105"/>
    <x v="218"/>
    <s v="Toko A - Jakarta"/>
    <s v="Electronics"/>
    <x v="1614"/>
    <x v="1"/>
    <n v="18"/>
  </r>
  <r>
    <x v="1639"/>
    <s v="M0006"/>
    <x v="21"/>
    <s v="Toko C - Surabaya"/>
    <s v="Home &amp; Living"/>
    <x v="1615"/>
    <x v="1"/>
    <n v="33"/>
  </r>
  <r>
    <x v="1640"/>
    <s v="M0121"/>
    <x v="223"/>
    <s v="Toko G - Yogyakarta"/>
    <s v="Home &amp; Living"/>
    <x v="1616"/>
    <x v="1"/>
    <n v="85"/>
  </r>
  <r>
    <x v="1641"/>
    <s v="M0233"/>
    <x v="359"/>
    <s v="Toko E - Semarang"/>
    <s v="Electronics"/>
    <x v="1617"/>
    <x v="0"/>
    <n v="16"/>
  </r>
  <r>
    <x v="1642"/>
    <s v="M0052"/>
    <x v="103"/>
    <s v="Toko H - Denpasar"/>
    <s v="Electronics"/>
    <x v="1618"/>
    <x v="0"/>
    <n v="21"/>
  </r>
  <r>
    <x v="1643"/>
    <s v="M0138"/>
    <x v="3"/>
    <s v="Toko B - Bandung"/>
    <s v="Home &amp; Living"/>
    <x v="1619"/>
    <x v="1"/>
    <n v="12"/>
  </r>
  <r>
    <x v="1644"/>
    <s v="M0267"/>
    <x v="205"/>
    <s v="Toko B - Bandung"/>
    <s v="Groceries"/>
    <x v="1620"/>
    <x v="1"/>
    <n v="12"/>
  </r>
  <r>
    <x v="1645"/>
    <s v="M0206"/>
    <x v="155"/>
    <s v="Toko G - Yogyakarta"/>
    <s v="Groceries"/>
    <x v="1621"/>
    <x v="1"/>
    <n v="27"/>
  </r>
  <r>
    <x v="1646"/>
    <s v="M0220"/>
    <x v="201"/>
    <s v="Toko E - Semarang"/>
    <s v="F&amp;B"/>
    <x v="1622"/>
    <x v="0"/>
    <n v="2"/>
  </r>
  <r>
    <x v="1647"/>
    <s v="M0008"/>
    <x v="147"/>
    <s v="Toko B - Bandung"/>
    <s v="F&amp;B"/>
    <x v="1623"/>
    <x v="0"/>
    <n v="22"/>
  </r>
  <r>
    <x v="1648"/>
    <s v="M0179"/>
    <x v="203"/>
    <s v="Toko A - Jakarta"/>
    <s v="Fashion"/>
    <x v="1624"/>
    <x v="1"/>
    <n v="45"/>
  </r>
  <r>
    <x v="1649"/>
    <s v="M0044"/>
    <x v="341"/>
    <s v="Toko C - Surabaya"/>
    <s v="Groceries"/>
    <x v="1625"/>
    <x v="0"/>
    <n v="10"/>
  </r>
  <r>
    <x v="1650"/>
    <s v="M0003"/>
    <x v="196"/>
    <s v="Toko F - Makassar"/>
    <s v="Health &amp; Beauty"/>
    <x v="1626"/>
    <x v="0"/>
    <n v="25"/>
  </r>
  <r>
    <x v="1651"/>
    <s v="M0120"/>
    <x v="12"/>
    <s v="Toko B - Bandung"/>
    <s v="Electronics"/>
    <x v="1627"/>
    <x v="0"/>
    <n v="41"/>
  </r>
  <r>
    <x v="1652"/>
    <s v="M0041"/>
    <x v="323"/>
    <s v="Toko G - Yogyakarta"/>
    <s v="Home &amp; Living"/>
    <x v="1628"/>
    <x v="1"/>
    <n v="15"/>
  </r>
  <r>
    <x v="1653"/>
    <s v="M0288"/>
    <x v="306"/>
    <s v="Toko A - Jakarta"/>
    <s v="F&amp;B"/>
    <x v="1629"/>
    <x v="1"/>
    <n v="32"/>
  </r>
  <r>
    <x v="1654"/>
    <s v="M0296"/>
    <x v="336"/>
    <s v="Toko C - Surabaya"/>
    <s v="Groceries"/>
    <x v="1630"/>
    <x v="0"/>
    <n v="28"/>
  </r>
  <r>
    <x v="1655"/>
    <s v="M0035"/>
    <x v="194"/>
    <s v="Toko D - Medan"/>
    <s v="Health &amp; Beauty"/>
    <x v="1631"/>
    <x v="1"/>
    <n v="52"/>
  </r>
  <r>
    <x v="1656"/>
    <s v="M0113"/>
    <x v="340"/>
    <s v="Toko C - Surabaya"/>
    <s v="Fashion"/>
    <x v="1632"/>
    <x v="1"/>
    <n v="6"/>
  </r>
  <r>
    <x v="1657"/>
    <s v="M0055"/>
    <x v="12"/>
    <s v="Toko E - Semarang"/>
    <s v="Home &amp; Living"/>
    <x v="1633"/>
    <x v="1"/>
    <n v="94"/>
  </r>
  <r>
    <x v="1658"/>
    <s v="M0248"/>
    <x v="117"/>
    <s v="Toko C - Surabaya"/>
    <s v="Groceries"/>
    <x v="1634"/>
    <x v="1"/>
    <n v="51"/>
  </r>
  <r>
    <x v="1659"/>
    <s v="M0052"/>
    <x v="124"/>
    <s v="Toko E - Semarang"/>
    <s v="Groceries"/>
    <x v="1635"/>
    <x v="0"/>
    <n v="112"/>
  </r>
  <r>
    <x v="1660"/>
    <s v="M0248"/>
    <x v="226"/>
    <s v="Toko D - Medan"/>
    <s v="Health &amp; Beauty"/>
    <x v="1636"/>
    <x v="1"/>
    <n v="30"/>
  </r>
  <r>
    <x v="1661"/>
    <s v="M0186"/>
    <x v="314"/>
    <s v="Toko E - Semarang"/>
    <s v="Fashion"/>
    <x v="1637"/>
    <x v="0"/>
    <n v="69"/>
  </r>
  <r>
    <x v="1662"/>
    <s v="M0121"/>
    <x v="334"/>
    <s v="Toko F - Makassar"/>
    <s v="Health &amp; Beauty"/>
    <x v="1638"/>
    <x v="1"/>
    <n v="2"/>
  </r>
  <r>
    <x v="1663"/>
    <s v="M0129"/>
    <x v="134"/>
    <s v="Toko F - Makassar"/>
    <s v="F&amp;B"/>
    <x v="1639"/>
    <x v="1"/>
    <n v="64"/>
  </r>
  <r>
    <x v="1664"/>
    <s v="M0102"/>
    <x v="266"/>
    <s v="Toko B - Bandung"/>
    <s v="Groceries"/>
    <x v="1640"/>
    <x v="0"/>
    <n v="27"/>
  </r>
  <r>
    <x v="1665"/>
    <s v="M0230"/>
    <x v="242"/>
    <s v="Toko H - Denpasar"/>
    <s v="Health &amp; Beauty"/>
    <x v="1641"/>
    <x v="1"/>
    <n v="55"/>
  </r>
  <r>
    <x v="1666"/>
    <s v="M0008"/>
    <x v="18"/>
    <s v="Toko C - Surabaya"/>
    <s v="Fashion"/>
    <x v="1642"/>
    <x v="0"/>
    <n v="21"/>
  </r>
  <r>
    <x v="1667"/>
    <s v="M0157"/>
    <x v="158"/>
    <s v="Toko B - Bandung"/>
    <s v="Health &amp; Beauty"/>
    <x v="1643"/>
    <x v="1"/>
    <n v="44"/>
  </r>
  <r>
    <x v="1668"/>
    <s v="M0136"/>
    <x v="251"/>
    <s v="Toko C - Surabaya"/>
    <s v="Fashion"/>
    <x v="1644"/>
    <x v="0"/>
    <n v="23"/>
  </r>
  <r>
    <x v="1669"/>
    <s v="M0113"/>
    <x v="301"/>
    <s v="Toko F - Makassar"/>
    <s v="Health &amp; Beauty"/>
    <x v="1645"/>
    <x v="1"/>
    <n v="27"/>
  </r>
  <r>
    <x v="1670"/>
    <s v="M0224"/>
    <x v="191"/>
    <s v="Toko B - Bandung"/>
    <s v="Groceries"/>
    <x v="1646"/>
    <x v="1"/>
    <n v="11"/>
  </r>
  <r>
    <x v="1671"/>
    <s v="M0002"/>
    <x v="143"/>
    <s v="Toko G - Yogyakarta"/>
    <s v="Electronics"/>
    <x v="1647"/>
    <x v="1"/>
    <n v="7"/>
  </r>
  <r>
    <x v="1672"/>
    <s v="M0044"/>
    <x v="46"/>
    <s v="Toko F - Makassar"/>
    <s v="Electronics"/>
    <x v="1648"/>
    <x v="0"/>
    <n v="28"/>
  </r>
  <r>
    <x v="1673"/>
    <s v="M0220"/>
    <x v="300"/>
    <s v="Toko C - Surabaya"/>
    <s v="F&amp;B"/>
    <x v="1649"/>
    <x v="0"/>
    <n v="83"/>
  </r>
  <r>
    <x v="1674"/>
    <s v="M0013"/>
    <x v="57"/>
    <s v="Toko C - Surabaya"/>
    <s v="Groceries"/>
    <x v="1650"/>
    <x v="1"/>
    <n v="41"/>
  </r>
  <r>
    <x v="1675"/>
    <s v="M0036"/>
    <x v="115"/>
    <s v="Toko B - Bandung"/>
    <s v="Groceries"/>
    <x v="1651"/>
    <x v="0"/>
    <n v="57"/>
  </r>
  <r>
    <x v="1676"/>
    <s v="M0191"/>
    <x v="311"/>
    <s v="Toko H - Denpasar"/>
    <s v="Health &amp; Beauty"/>
    <x v="1652"/>
    <x v="1"/>
    <n v="5"/>
  </r>
  <r>
    <x v="1677"/>
    <s v="M0129"/>
    <x v="213"/>
    <s v="Toko E - Semarang"/>
    <s v="F&amp;B"/>
    <x v="1653"/>
    <x v="1"/>
    <n v="8"/>
  </r>
  <r>
    <x v="1678"/>
    <s v="M0154"/>
    <x v="114"/>
    <s v="Toko B - Bandung"/>
    <s v="Home &amp; Living"/>
    <x v="1654"/>
    <x v="1"/>
    <n v="53"/>
  </r>
  <r>
    <x v="1679"/>
    <s v="M0126"/>
    <x v="191"/>
    <s v="Toko E - Semarang"/>
    <s v="Home &amp; Living"/>
    <x v="1655"/>
    <x v="1"/>
    <n v="40"/>
  </r>
  <r>
    <x v="1680"/>
    <s v="M0056"/>
    <x v="172"/>
    <s v="Toko D - Medan"/>
    <s v="Fashion"/>
    <x v="1656"/>
    <x v="0"/>
    <n v="41"/>
  </r>
  <r>
    <x v="1681"/>
    <s v="M0265"/>
    <x v="86"/>
    <s v="Toko H - Denpasar"/>
    <s v="F&amp;B"/>
    <x v="1657"/>
    <x v="1"/>
    <n v="43"/>
  </r>
  <r>
    <x v="1682"/>
    <s v="M0246"/>
    <x v="195"/>
    <s v="Toko H - Denpasar"/>
    <s v="F&amp;B"/>
    <x v="1658"/>
    <x v="0"/>
    <n v="9"/>
  </r>
  <r>
    <x v="1683"/>
    <s v="M0013"/>
    <x v="103"/>
    <s v="Toko E - Semarang"/>
    <s v="F&amp;B"/>
    <x v="1659"/>
    <x v="1"/>
    <n v="4"/>
  </r>
  <r>
    <x v="1684"/>
    <s v="M0288"/>
    <x v="187"/>
    <s v="Toko G - Yogyakarta"/>
    <s v="Groceries"/>
    <x v="1660"/>
    <x v="1"/>
    <n v="5"/>
  </r>
  <r>
    <x v="1685"/>
    <s v="M0267"/>
    <x v="80"/>
    <s v="Toko B - Bandung"/>
    <s v="Groceries"/>
    <x v="1661"/>
    <x v="1"/>
    <n v="10"/>
  </r>
  <r>
    <x v="1686"/>
    <s v="M0037"/>
    <x v="233"/>
    <s v="Toko G - Yogyakarta"/>
    <s v="Groceries"/>
    <x v="1662"/>
    <x v="1"/>
    <n v="6"/>
  </r>
  <r>
    <x v="1687"/>
    <s v="M0199"/>
    <x v="221"/>
    <s v="Toko A - Jakarta"/>
    <s v="Health &amp; Beauty"/>
    <x v="1663"/>
    <x v="1"/>
    <n v="29"/>
  </r>
  <r>
    <x v="1688"/>
    <s v="M0090"/>
    <x v="195"/>
    <s v="Toko H - Denpasar"/>
    <s v="Electronics"/>
    <x v="1664"/>
    <x v="1"/>
    <n v="9"/>
  </r>
  <r>
    <x v="1689"/>
    <s v="M0098"/>
    <x v="262"/>
    <s v="Toko G - Yogyakarta"/>
    <s v="Health &amp; Beauty"/>
    <x v="1665"/>
    <x v="2"/>
    <n v="12"/>
  </r>
  <r>
    <x v="1690"/>
    <s v="M0253"/>
    <x v="67"/>
    <s v="Toko H - Denpasar"/>
    <s v="Health &amp; Beauty"/>
    <x v="1666"/>
    <x v="1"/>
    <n v="15"/>
  </r>
  <r>
    <x v="1691"/>
    <s v="M0182"/>
    <x v="115"/>
    <s v="Toko E - Semarang"/>
    <s v="Fashion"/>
    <x v="1667"/>
    <x v="0"/>
    <n v="19"/>
  </r>
  <r>
    <x v="1692"/>
    <s v="M0012"/>
    <x v="342"/>
    <s v="Toko A - Jakarta"/>
    <s v="Groceries"/>
    <x v="1668"/>
    <x v="0"/>
    <n v="16"/>
  </r>
  <r>
    <x v="1693"/>
    <s v="M0187"/>
    <x v="89"/>
    <s v="Toko A - Jakarta"/>
    <s v="F&amp;B"/>
    <x v="1669"/>
    <x v="1"/>
    <n v="20"/>
  </r>
  <r>
    <x v="1694"/>
    <s v="M0013"/>
    <x v="260"/>
    <s v="Toko E - Semarang"/>
    <s v="Health &amp; Beauty"/>
    <x v="1670"/>
    <x v="1"/>
    <n v="71"/>
  </r>
  <r>
    <x v="1695"/>
    <s v="M0185"/>
    <x v="79"/>
    <s v="Toko H - Denpasar"/>
    <s v="Health &amp; Beauty"/>
    <x v="1671"/>
    <x v="1"/>
    <n v="25"/>
  </r>
  <r>
    <x v="1696"/>
    <s v="M0039"/>
    <x v="178"/>
    <s v="Toko E - Semarang"/>
    <s v="F&amp;B"/>
    <x v="1672"/>
    <x v="0"/>
    <n v="35"/>
  </r>
  <r>
    <x v="1697"/>
    <s v="M0061"/>
    <x v="294"/>
    <s v="Toko C - Surabaya"/>
    <s v="Groceries"/>
    <x v="1673"/>
    <x v="2"/>
    <n v="13"/>
  </r>
  <r>
    <x v="1698"/>
    <s v="M0081"/>
    <x v="96"/>
    <s v="Toko B - Bandung"/>
    <s v="Home &amp; Living"/>
    <x v="1674"/>
    <x v="1"/>
    <n v="36"/>
  </r>
  <r>
    <x v="1699"/>
    <s v="M0299"/>
    <x v="354"/>
    <s v="Toko A - Jakarta"/>
    <s v="Electronics"/>
    <x v="1675"/>
    <x v="0"/>
    <n v="12"/>
  </r>
  <r>
    <x v="1700"/>
    <s v="M0289"/>
    <x v="117"/>
    <s v="Toko E - Semarang"/>
    <s v="Health &amp; Beauty"/>
    <x v="1676"/>
    <x v="0"/>
    <n v="10"/>
  </r>
  <r>
    <x v="1701"/>
    <s v="M0014"/>
    <x v="251"/>
    <s v="Toko B - Bandung"/>
    <s v="Home &amp; Living"/>
    <x v="1677"/>
    <x v="1"/>
    <n v="2"/>
  </r>
  <r>
    <x v="1702"/>
    <s v="M0187"/>
    <x v="41"/>
    <s v="Toko C - Surabaya"/>
    <s v="Electronics"/>
    <x v="1678"/>
    <x v="1"/>
    <n v="38"/>
  </r>
  <r>
    <x v="1703"/>
    <s v="M0017"/>
    <x v="61"/>
    <s v="Toko D - Medan"/>
    <s v="Fashion"/>
    <x v="1679"/>
    <x v="0"/>
    <n v="22"/>
  </r>
  <r>
    <x v="1704"/>
    <s v="M0246"/>
    <x v="87"/>
    <s v="Toko C - Surabaya"/>
    <s v="Health &amp; Beauty"/>
    <x v="1680"/>
    <x v="0"/>
    <n v="12"/>
  </r>
  <r>
    <x v="1705"/>
    <s v="M0039"/>
    <x v="86"/>
    <s v="Toko D - Medan"/>
    <s v="Home &amp; Living"/>
    <x v="1681"/>
    <x v="0"/>
    <n v="16"/>
  </r>
  <r>
    <x v="1706"/>
    <s v="M0262"/>
    <x v="346"/>
    <s v="Toko H - Denpasar"/>
    <s v="F&amp;B"/>
    <x v="1682"/>
    <x v="1"/>
    <n v="49"/>
  </r>
  <r>
    <x v="1707"/>
    <s v="M0173"/>
    <x v="115"/>
    <s v="Toko A - Jakarta"/>
    <s v="Health &amp; Beauty"/>
    <x v="1683"/>
    <x v="1"/>
    <n v="58"/>
  </r>
  <r>
    <x v="1708"/>
    <s v="M0037"/>
    <x v="285"/>
    <s v="Toko C - Surabaya"/>
    <s v="Health &amp; Beauty"/>
    <x v="1684"/>
    <x v="1"/>
    <n v="2"/>
  </r>
  <r>
    <x v="1709"/>
    <s v="M0227"/>
    <x v="344"/>
    <s v="Toko B - Bandung"/>
    <s v="Health &amp; Beauty"/>
    <x v="1685"/>
    <x v="1"/>
    <n v="9"/>
  </r>
  <r>
    <x v="1710"/>
    <s v="M0102"/>
    <x v="359"/>
    <s v="Toko B - Bandung"/>
    <s v="Electronics"/>
    <x v="1686"/>
    <x v="0"/>
    <n v="81"/>
  </r>
  <r>
    <x v="1711"/>
    <s v="M0077"/>
    <x v="63"/>
    <s v="Toko G - Yogyakarta"/>
    <s v="F&amp;B"/>
    <x v="1687"/>
    <x v="1"/>
    <n v="39"/>
  </r>
  <r>
    <x v="1712"/>
    <s v="M0141"/>
    <x v="361"/>
    <s v="Toko D - Medan"/>
    <s v="Home &amp; Living"/>
    <x v="1688"/>
    <x v="1"/>
    <n v="7"/>
  </r>
  <r>
    <x v="1713"/>
    <s v="M0160"/>
    <x v="109"/>
    <s v="Toko G - Yogyakarta"/>
    <s v="Health &amp; Beauty"/>
    <x v="1689"/>
    <x v="0"/>
    <n v="21"/>
  </r>
  <r>
    <x v="1714"/>
    <s v="M0236"/>
    <x v="132"/>
    <s v="Toko A - Jakarta"/>
    <s v="Groceries"/>
    <x v="1690"/>
    <x v="1"/>
    <n v="17"/>
  </r>
  <r>
    <x v="1715"/>
    <s v="M0081"/>
    <x v="105"/>
    <s v="Toko H - Denpasar"/>
    <s v="Electronics"/>
    <x v="1691"/>
    <x v="1"/>
    <n v="27"/>
  </r>
  <r>
    <x v="1716"/>
    <s v="M0249"/>
    <x v="178"/>
    <s v="Toko G - Yogyakarta"/>
    <s v="Fashion"/>
    <x v="1692"/>
    <x v="0"/>
    <n v="22"/>
  </r>
  <r>
    <x v="1717"/>
    <s v="M0192"/>
    <x v="295"/>
    <s v="Toko E - Semarang"/>
    <s v="F&amp;B"/>
    <x v="1693"/>
    <x v="1"/>
    <n v="16"/>
  </r>
  <r>
    <x v="1718"/>
    <s v="M0236"/>
    <x v="277"/>
    <s v="Toko H - Denpasar"/>
    <s v="Health &amp; Beauty"/>
    <x v="1694"/>
    <x v="1"/>
    <n v="26"/>
  </r>
  <r>
    <x v="1719"/>
    <s v="M0089"/>
    <x v="51"/>
    <s v="Toko E - Semarang"/>
    <s v="Home &amp; Living"/>
    <x v="1695"/>
    <x v="2"/>
    <n v="36"/>
  </r>
  <r>
    <x v="1720"/>
    <s v="M0224"/>
    <x v="261"/>
    <s v="Toko B - Bandung"/>
    <s v="Health &amp; Beauty"/>
    <x v="1696"/>
    <x v="1"/>
    <n v="55"/>
  </r>
  <r>
    <x v="1721"/>
    <s v="M0239"/>
    <x v="197"/>
    <s v="Toko F - Makassar"/>
    <s v="Health &amp; Beauty"/>
    <x v="1697"/>
    <x v="1"/>
    <n v="18"/>
  </r>
  <r>
    <x v="1722"/>
    <s v="M0151"/>
    <x v="330"/>
    <s v="Toko E - Semarang"/>
    <s v="Fashion"/>
    <x v="1698"/>
    <x v="1"/>
    <n v="11"/>
  </r>
  <r>
    <x v="1723"/>
    <s v="M0148"/>
    <x v="150"/>
    <s v="Toko E - Semarang"/>
    <s v="Home &amp; Living"/>
    <x v="1699"/>
    <x v="0"/>
    <n v="63"/>
  </r>
  <r>
    <x v="1724"/>
    <s v="M0247"/>
    <x v="200"/>
    <s v="Toko E - Semarang"/>
    <s v="Electronics"/>
    <x v="1700"/>
    <x v="1"/>
    <n v="28"/>
  </r>
  <r>
    <x v="1725"/>
    <s v="M0243"/>
    <x v="148"/>
    <s v="Toko E - Semarang"/>
    <s v="F&amp;B"/>
    <x v="1701"/>
    <x v="0"/>
    <n v="38"/>
  </r>
  <r>
    <x v="1726"/>
    <s v="M0029"/>
    <x v="284"/>
    <s v="Toko B - Bandung"/>
    <s v="Health &amp; Beauty"/>
    <x v="1702"/>
    <x v="0"/>
    <n v="54"/>
  </r>
  <r>
    <x v="1727"/>
    <s v="M0076"/>
    <x v="17"/>
    <s v="Toko B - Bandung"/>
    <s v="Home &amp; Living"/>
    <x v="1703"/>
    <x v="2"/>
    <n v="47"/>
  </r>
  <r>
    <x v="1728"/>
    <s v="M0113"/>
    <x v="143"/>
    <s v="Toko A - Jakarta"/>
    <s v="Fashion"/>
    <x v="1704"/>
    <x v="1"/>
    <n v="23"/>
  </r>
  <r>
    <x v="1729"/>
    <s v="M0238"/>
    <x v="228"/>
    <s v="Toko H - Denpasar"/>
    <s v="Fashion"/>
    <x v="1705"/>
    <x v="0"/>
    <n v="36"/>
  </r>
  <r>
    <x v="1730"/>
    <s v="M0244"/>
    <x v="33"/>
    <s v="Toko H - Denpasar"/>
    <s v="Electronics"/>
    <x v="1706"/>
    <x v="0"/>
    <n v="10"/>
  </r>
  <r>
    <x v="1731"/>
    <s v="M0184"/>
    <x v="311"/>
    <s v="Toko F - Makassar"/>
    <s v="Electronics"/>
    <x v="1707"/>
    <x v="1"/>
    <n v="35"/>
  </r>
  <r>
    <x v="1732"/>
    <s v="M0116"/>
    <x v="154"/>
    <s v="Toko B - Bandung"/>
    <s v="Electronics"/>
    <x v="1708"/>
    <x v="1"/>
    <n v="34"/>
  </r>
  <r>
    <x v="1733"/>
    <s v="M0240"/>
    <x v="330"/>
    <s v="Toko B - Bandung"/>
    <s v="F&amp;B"/>
    <x v="1709"/>
    <x v="1"/>
    <n v="10"/>
  </r>
  <r>
    <x v="1734"/>
    <s v="M0135"/>
    <x v="76"/>
    <s v="Toko A - Jakarta"/>
    <s v="Health &amp; Beauty"/>
    <x v="1710"/>
    <x v="0"/>
    <n v="25"/>
  </r>
  <r>
    <x v="1735"/>
    <s v="M0091"/>
    <x v="84"/>
    <s v="Toko H - Denpasar"/>
    <s v="Health &amp; Beauty"/>
    <x v="1711"/>
    <x v="0"/>
    <n v="7"/>
  </r>
  <r>
    <x v="1736"/>
    <s v="M0002"/>
    <x v="57"/>
    <s v="Toko D - Medan"/>
    <s v="Home &amp; Living"/>
    <x v="1712"/>
    <x v="1"/>
    <n v="58"/>
  </r>
  <r>
    <x v="1737"/>
    <s v="M0071"/>
    <x v="221"/>
    <s v="Toko H - Denpasar"/>
    <s v="Fashion"/>
    <x v="1713"/>
    <x v="1"/>
    <n v="23"/>
  </r>
  <r>
    <x v="1738"/>
    <s v="M0122"/>
    <x v="196"/>
    <s v="Toko D - Medan"/>
    <s v="F&amp;B"/>
    <x v="1714"/>
    <x v="1"/>
    <n v="36"/>
  </r>
  <r>
    <x v="1739"/>
    <s v="M0141"/>
    <x v="165"/>
    <s v="Toko H - Denpasar"/>
    <s v="Groceries"/>
    <x v="1715"/>
    <x v="1"/>
    <n v="25"/>
  </r>
  <r>
    <x v="1740"/>
    <s v="M0243"/>
    <x v="210"/>
    <s v="Toko B - Bandung"/>
    <s v="Health &amp; Beauty"/>
    <x v="1716"/>
    <x v="0"/>
    <n v="18"/>
  </r>
  <r>
    <x v="1741"/>
    <s v="M0036"/>
    <x v="167"/>
    <s v="Toko A - Jakarta"/>
    <s v="Electronics"/>
    <x v="1717"/>
    <x v="0"/>
    <n v="22"/>
  </r>
  <r>
    <x v="1742"/>
    <s v="M0271"/>
    <x v="45"/>
    <s v="Toko B - Bandung"/>
    <s v="Fashion"/>
    <x v="1718"/>
    <x v="1"/>
    <n v="14"/>
  </r>
  <r>
    <x v="1743"/>
    <s v="M0083"/>
    <x v="188"/>
    <s v="Toko F - Makassar"/>
    <s v="Health &amp; Beauty"/>
    <x v="1719"/>
    <x v="1"/>
    <n v="44"/>
  </r>
  <r>
    <x v="1744"/>
    <s v="M0114"/>
    <x v="144"/>
    <s v="Toko F - Makassar"/>
    <s v="Groceries"/>
    <x v="1720"/>
    <x v="2"/>
    <n v="36"/>
  </r>
  <r>
    <x v="1745"/>
    <s v="M0040"/>
    <x v="12"/>
    <s v="Toko E - Semarang"/>
    <s v="Groceries"/>
    <x v="1721"/>
    <x v="0"/>
    <n v="31"/>
  </r>
  <r>
    <x v="1746"/>
    <s v="M0092"/>
    <x v="236"/>
    <s v="Toko D - Medan"/>
    <s v="Fashion"/>
    <x v="1722"/>
    <x v="1"/>
    <n v="33"/>
  </r>
  <r>
    <x v="1747"/>
    <s v="M0254"/>
    <x v="207"/>
    <s v="Toko G - Yogyakarta"/>
    <s v="Electronics"/>
    <x v="1723"/>
    <x v="1"/>
    <n v="25"/>
  </r>
  <r>
    <x v="1748"/>
    <s v="M0198"/>
    <x v="5"/>
    <s v="Toko H - Denpasar"/>
    <s v="Home &amp; Living"/>
    <x v="1724"/>
    <x v="2"/>
    <n v="20"/>
  </r>
  <r>
    <x v="1749"/>
    <s v="M0219"/>
    <x v="89"/>
    <s v="Toko D - Medan"/>
    <s v="Health &amp; Beauty"/>
    <x v="1725"/>
    <x v="1"/>
    <n v="4"/>
  </r>
  <r>
    <x v="1750"/>
    <s v="M0147"/>
    <x v="61"/>
    <s v="Toko G - Yogyakarta"/>
    <s v="Home &amp; Living"/>
    <x v="1726"/>
    <x v="1"/>
    <n v="4"/>
  </r>
  <r>
    <x v="1751"/>
    <s v="M0260"/>
    <x v="304"/>
    <s v="Toko D - Medan"/>
    <s v="F&amp;B"/>
    <x v="1727"/>
    <x v="1"/>
    <n v="44"/>
  </r>
  <r>
    <x v="1752"/>
    <s v="M0194"/>
    <x v="284"/>
    <s v="Toko G - Yogyakarta"/>
    <s v="Electronics"/>
    <x v="1728"/>
    <x v="0"/>
    <n v="17"/>
  </r>
  <r>
    <x v="1753"/>
    <s v="M0054"/>
    <x v="123"/>
    <s v="Toko H - Denpasar"/>
    <s v="Health &amp; Beauty"/>
    <x v="1729"/>
    <x v="2"/>
    <n v="36"/>
  </r>
  <r>
    <x v="1754"/>
    <s v="M0281"/>
    <x v="304"/>
    <s v="Toko H - Denpasar"/>
    <s v="Health &amp; Beauty"/>
    <x v="1730"/>
    <x v="0"/>
    <n v="20"/>
  </r>
  <r>
    <x v="1755"/>
    <s v="M0227"/>
    <x v="68"/>
    <s v="Toko H - Denpasar"/>
    <s v="Health &amp; Beauty"/>
    <x v="1731"/>
    <x v="1"/>
    <n v="18"/>
  </r>
  <r>
    <x v="1756"/>
    <s v="M0040"/>
    <x v="134"/>
    <s v="Toko A - Jakarta"/>
    <s v="Electronics"/>
    <x v="1732"/>
    <x v="0"/>
    <n v="27"/>
  </r>
  <r>
    <x v="1757"/>
    <s v="M0084"/>
    <x v="162"/>
    <s v="Toko C - Surabaya"/>
    <s v="F&amp;B"/>
    <x v="1733"/>
    <x v="1"/>
    <n v="26"/>
  </r>
  <r>
    <x v="1758"/>
    <s v="M0194"/>
    <x v="243"/>
    <s v="Toko A - Jakarta"/>
    <s v="Electronics"/>
    <x v="1734"/>
    <x v="0"/>
    <n v="16"/>
  </r>
  <r>
    <x v="1759"/>
    <s v="M0165"/>
    <x v="14"/>
    <s v="Toko F - Makassar"/>
    <s v="F&amp;B"/>
    <x v="1735"/>
    <x v="1"/>
    <n v="19"/>
  </r>
  <r>
    <x v="1760"/>
    <s v="M0204"/>
    <x v="156"/>
    <s v="Toko E - Semarang"/>
    <s v="Electronics"/>
    <x v="1736"/>
    <x v="0"/>
    <n v="15"/>
  </r>
  <r>
    <x v="1761"/>
    <s v="M0034"/>
    <x v="187"/>
    <s v="Toko H - Denpasar"/>
    <s v="Fashion"/>
    <x v="1737"/>
    <x v="1"/>
    <n v="8"/>
  </r>
  <r>
    <x v="1762"/>
    <s v="M0256"/>
    <x v="243"/>
    <s v="Toko F - Makassar"/>
    <s v="Health &amp; Beauty"/>
    <x v="1738"/>
    <x v="2"/>
    <n v="5"/>
  </r>
  <r>
    <x v="1763"/>
    <s v="M0050"/>
    <x v="59"/>
    <s v="Toko F - Makassar"/>
    <s v="F&amp;B"/>
    <x v="1739"/>
    <x v="0"/>
    <n v="14"/>
  </r>
  <r>
    <x v="1764"/>
    <s v="M0109"/>
    <x v="99"/>
    <s v="Toko F - Makassar"/>
    <s v="Groceries"/>
    <x v="1740"/>
    <x v="0"/>
    <n v="23"/>
  </r>
  <r>
    <x v="1765"/>
    <s v="M0216"/>
    <x v="213"/>
    <s v="Toko E - Semarang"/>
    <s v="Electronics"/>
    <x v="1741"/>
    <x v="1"/>
    <n v="7"/>
  </r>
  <r>
    <x v="1766"/>
    <s v="M0019"/>
    <x v="184"/>
    <s v="Toko B - Bandung"/>
    <s v="Groceries"/>
    <x v="1742"/>
    <x v="1"/>
    <n v="46"/>
  </r>
  <r>
    <x v="1767"/>
    <s v="M0128"/>
    <x v="47"/>
    <s v="Toko B - Bandung"/>
    <s v="Home &amp; Living"/>
    <x v="1743"/>
    <x v="1"/>
    <n v="15"/>
  </r>
  <r>
    <x v="1768"/>
    <s v="M0259"/>
    <x v="126"/>
    <s v="Toko D - Medan"/>
    <s v="Electronics"/>
    <x v="1744"/>
    <x v="1"/>
    <n v="57"/>
  </r>
  <r>
    <x v="1769"/>
    <s v="M0232"/>
    <x v="1"/>
    <s v="Toko D - Medan"/>
    <s v="Health &amp; Beauty"/>
    <x v="1745"/>
    <x v="1"/>
    <n v="20"/>
  </r>
  <r>
    <x v="1770"/>
    <s v="M0056"/>
    <x v="286"/>
    <s v="Toko D - Medan"/>
    <s v="Home &amp; Living"/>
    <x v="1746"/>
    <x v="0"/>
    <n v="14"/>
  </r>
  <r>
    <x v="1771"/>
    <s v="M0283"/>
    <x v="60"/>
    <s v="Toko A - Jakarta"/>
    <s v="Groceries"/>
    <x v="1747"/>
    <x v="1"/>
    <n v="41"/>
  </r>
  <r>
    <x v="1772"/>
    <s v="M0161"/>
    <x v="86"/>
    <s v="Toko D - Medan"/>
    <s v="F&amp;B"/>
    <x v="1748"/>
    <x v="1"/>
    <n v="12"/>
  </r>
  <r>
    <x v="1773"/>
    <s v="M0104"/>
    <x v="265"/>
    <s v="Toko F - Makassar"/>
    <s v="F&amp;B"/>
    <x v="1749"/>
    <x v="1"/>
    <n v="10"/>
  </r>
  <r>
    <x v="1774"/>
    <s v="M0049"/>
    <x v="345"/>
    <s v="Toko H - Denpasar"/>
    <s v="F&amp;B"/>
    <x v="1750"/>
    <x v="1"/>
    <n v="28"/>
  </r>
  <r>
    <x v="1775"/>
    <s v="M0122"/>
    <x v="184"/>
    <s v="Toko E - Semarang"/>
    <s v="Health &amp; Beauty"/>
    <x v="1751"/>
    <x v="1"/>
    <n v="33"/>
  </r>
  <r>
    <x v="1776"/>
    <s v="M0098"/>
    <x v="274"/>
    <s v="Toko D - Medan"/>
    <s v="F&amp;B"/>
    <x v="1752"/>
    <x v="2"/>
    <n v="7"/>
  </r>
  <r>
    <x v="1777"/>
    <s v="M0025"/>
    <x v="39"/>
    <s v="Toko D - Medan"/>
    <s v="Electronics"/>
    <x v="1753"/>
    <x v="1"/>
    <n v="49"/>
  </r>
  <r>
    <x v="1778"/>
    <s v="M0242"/>
    <x v="302"/>
    <s v="Toko D - Medan"/>
    <s v="Health &amp; Beauty"/>
    <x v="1754"/>
    <x v="1"/>
    <n v="29"/>
  </r>
  <r>
    <x v="1779"/>
    <s v="M0054"/>
    <x v="92"/>
    <s v="Toko E - Semarang"/>
    <s v="F&amp;B"/>
    <x v="1755"/>
    <x v="2"/>
    <n v="18"/>
  </r>
  <r>
    <x v="1780"/>
    <s v="M0198"/>
    <x v="103"/>
    <s v="Toko C - Surabaya"/>
    <s v="Electronics"/>
    <x v="1756"/>
    <x v="2"/>
    <n v="49"/>
  </r>
  <r>
    <x v="1781"/>
    <s v="M0097"/>
    <x v="7"/>
    <s v="Toko B - Bandung"/>
    <s v="Fashion"/>
    <x v="1757"/>
    <x v="1"/>
    <n v="66"/>
  </r>
  <r>
    <x v="1782"/>
    <s v="M0177"/>
    <x v="68"/>
    <s v="Toko A - Jakarta"/>
    <s v="Fashion"/>
    <x v="1758"/>
    <x v="1"/>
    <n v="33"/>
  </r>
  <r>
    <x v="1783"/>
    <s v="M0206"/>
    <x v="69"/>
    <s v="Toko A - Jakarta"/>
    <s v="Home &amp; Living"/>
    <x v="1759"/>
    <x v="1"/>
    <n v="56"/>
  </r>
  <r>
    <x v="1784"/>
    <s v="M0245"/>
    <x v="349"/>
    <s v="Toko C - Surabaya"/>
    <s v="Fashion"/>
    <x v="1760"/>
    <x v="1"/>
    <n v="16"/>
  </r>
  <r>
    <x v="1785"/>
    <s v="M0005"/>
    <x v="298"/>
    <s v="Toko G - Yogyakarta"/>
    <s v="Electronics"/>
    <x v="1761"/>
    <x v="1"/>
    <n v="43"/>
  </r>
  <r>
    <x v="1786"/>
    <s v="M0002"/>
    <x v="79"/>
    <s v="Toko C - Surabaya"/>
    <s v="F&amp;B"/>
    <x v="1762"/>
    <x v="1"/>
    <n v="9"/>
  </r>
  <r>
    <x v="1787"/>
    <s v="M0172"/>
    <x v="104"/>
    <s v="Toko B - Bandung"/>
    <s v="F&amp;B"/>
    <x v="1763"/>
    <x v="0"/>
    <n v="39"/>
  </r>
  <r>
    <x v="1788"/>
    <s v="M0034"/>
    <x v="129"/>
    <s v="Toko A - Jakarta"/>
    <s v="F&amp;B"/>
    <x v="1764"/>
    <x v="1"/>
    <n v="10"/>
  </r>
  <r>
    <x v="1789"/>
    <s v="M0242"/>
    <x v="133"/>
    <s v="Toko H - Denpasar"/>
    <s v="Health &amp; Beauty"/>
    <x v="1765"/>
    <x v="1"/>
    <n v="30"/>
  </r>
  <r>
    <x v="1790"/>
    <s v="M0261"/>
    <x v="140"/>
    <s v="Toko C - Surabaya"/>
    <s v="Fashion"/>
    <x v="1766"/>
    <x v="2"/>
    <n v="59"/>
  </r>
  <r>
    <x v="1791"/>
    <s v="M0295"/>
    <x v="116"/>
    <s v="Toko G - Yogyakarta"/>
    <s v="Electronics"/>
    <x v="1767"/>
    <x v="1"/>
    <n v="25"/>
  </r>
  <r>
    <x v="1792"/>
    <s v="M0186"/>
    <x v="261"/>
    <s v="Toko E - Semarang"/>
    <s v="Fashion"/>
    <x v="1768"/>
    <x v="0"/>
    <n v="76"/>
  </r>
  <r>
    <x v="1793"/>
    <s v="M0148"/>
    <x v="314"/>
    <s v="Toko F - Makassar"/>
    <s v="Home &amp; Living"/>
    <x v="1769"/>
    <x v="0"/>
    <n v="12"/>
  </r>
  <r>
    <x v="1794"/>
    <s v="M0267"/>
    <x v="298"/>
    <s v="Toko E - Semarang"/>
    <s v="F&amp;B"/>
    <x v="1770"/>
    <x v="1"/>
    <n v="72"/>
  </r>
  <r>
    <x v="1795"/>
    <s v="M0189"/>
    <x v="257"/>
    <s v="Toko B - Bandung"/>
    <s v="F&amp;B"/>
    <x v="1771"/>
    <x v="1"/>
    <n v="23"/>
  </r>
  <r>
    <x v="1796"/>
    <s v="M0186"/>
    <x v="15"/>
    <s v="Toko H - Denpasar"/>
    <s v="Electronics"/>
    <x v="1772"/>
    <x v="0"/>
    <n v="25"/>
  </r>
  <r>
    <x v="1797"/>
    <s v="M0012"/>
    <x v="124"/>
    <s v="Toko D - Medan"/>
    <s v="Health &amp; Beauty"/>
    <x v="1773"/>
    <x v="0"/>
    <n v="57"/>
  </r>
  <r>
    <x v="1798"/>
    <s v="M0199"/>
    <x v="46"/>
    <s v="Toko F - Makassar"/>
    <s v="F&amp;B"/>
    <x v="1774"/>
    <x v="1"/>
    <n v="43"/>
  </r>
  <r>
    <x v="1799"/>
    <s v="M0039"/>
    <x v="96"/>
    <s v="Toko F - Makassar"/>
    <s v="Electronics"/>
    <x v="1775"/>
    <x v="0"/>
    <n v="31"/>
  </r>
  <r>
    <x v="1800"/>
    <s v="M0277"/>
    <x v="93"/>
    <s v="Toko E - Semarang"/>
    <s v="Fashion"/>
    <x v="1776"/>
    <x v="1"/>
    <n v="16"/>
  </r>
  <r>
    <x v="1801"/>
    <s v="M0267"/>
    <x v="179"/>
    <s v="Toko C - Surabaya"/>
    <s v="Home &amp; Living"/>
    <x v="1777"/>
    <x v="1"/>
    <n v="14"/>
  </r>
  <r>
    <x v="1802"/>
    <s v="M0248"/>
    <x v="15"/>
    <s v="Toko B - Bandung"/>
    <s v="Health &amp; Beauty"/>
    <x v="1778"/>
    <x v="1"/>
    <n v="45"/>
  </r>
  <r>
    <x v="1803"/>
    <s v="M0026"/>
    <x v="225"/>
    <s v="Toko B - Bandung"/>
    <s v="Fashion"/>
    <x v="1779"/>
    <x v="0"/>
    <n v="32"/>
  </r>
  <r>
    <x v="1804"/>
    <s v="M0144"/>
    <x v="111"/>
    <s v="Toko D - Medan"/>
    <s v="F&amp;B"/>
    <x v="1780"/>
    <x v="1"/>
    <n v="16"/>
  </r>
  <r>
    <x v="1805"/>
    <s v="M0213"/>
    <x v="321"/>
    <s v="Toko D - Medan"/>
    <s v="Home &amp; Living"/>
    <x v="1781"/>
    <x v="1"/>
    <n v="20"/>
  </r>
  <r>
    <x v="1806"/>
    <s v="M0095"/>
    <x v="1"/>
    <s v="Toko C - Surabaya"/>
    <s v="Electronics"/>
    <x v="1782"/>
    <x v="2"/>
    <n v="22"/>
  </r>
  <r>
    <x v="1807"/>
    <s v="M0297"/>
    <x v="319"/>
    <s v="Toko E - Semarang"/>
    <s v="F&amp;B"/>
    <x v="1783"/>
    <x v="1"/>
    <n v="46"/>
  </r>
  <r>
    <x v="1808"/>
    <s v="M0211"/>
    <x v="57"/>
    <s v="Toko F - Makassar"/>
    <s v="Health &amp; Beauty"/>
    <x v="1784"/>
    <x v="0"/>
    <n v="51"/>
  </r>
  <r>
    <x v="1809"/>
    <s v="M0027"/>
    <x v="360"/>
    <s v="Toko H - Denpasar"/>
    <s v="F&amp;B"/>
    <x v="1785"/>
    <x v="1"/>
    <n v="17"/>
  </r>
  <r>
    <x v="1810"/>
    <s v="M0067"/>
    <x v="264"/>
    <s v="Toko H - Denpasar"/>
    <s v="Groceries"/>
    <x v="1786"/>
    <x v="1"/>
    <n v="55"/>
  </r>
  <r>
    <x v="1811"/>
    <s v="M0187"/>
    <x v="9"/>
    <s v="Toko E - Semarang"/>
    <s v="Health &amp; Beauty"/>
    <x v="1787"/>
    <x v="1"/>
    <n v="5"/>
  </r>
  <r>
    <x v="1812"/>
    <s v="M0116"/>
    <x v="228"/>
    <s v="Toko D - Medan"/>
    <s v="Fashion"/>
    <x v="1788"/>
    <x v="1"/>
    <n v="44"/>
  </r>
  <r>
    <x v="1813"/>
    <s v="M0268"/>
    <x v="242"/>
    <s v="Toko A - Jakarta"/>
    <s v="Home &amp; Living"/>
    <x v="1789"/>
    <x v="0"/>
    <n v="20"/>
  </r>
  <r>
    <x v="1814"/>
    <s v="M0008"/>
    <x v="141"/>
    <s v="Toko E - Semarang"/>
    <s v="Health &amp; Beauty"/>
    <x v="1790"/>
    <x v="0"/>
    <n v="31"/>
  </r>
  <r>
    <x v="1815"/>
    <s v="M0151"/>
    <x v="112"/>
    <s v="Toko G - Yogyakarta"/>
    <s v="Electronics"/>
    <x v="1791"/>
    <x v="1"/>
    <n v="16"/>
  </r>
  <r>
    <x v="1816"/>
    <s v="M0250"/>
    <x v="132"/>
    <s v="Toko H - Denpasar"/>
    <s v="Groceries"/>
    <x v="1792"/>
    <x v="0"/>
    <n v="31"/>
  </r>
  <r>
    <x v="1817"/>
    <s v="M0248"/>
    <x v="349"/>
    <s v="Toko B - Bandung"/>
    <s v="Home &amp; Living"/>
    <x v="1793"/>
    <x v="1"/>
    <n v="36"/>
  </r>
  <r>
    <x v="1818"/>
    <s v="M0051"/>
    <x v="34"/>
    <s v="Toko H - Denpasar"/>
    <s v="Groceries"/>
    <x v="1794"/>
    <x v="1"/>
    <n v="14"/>
  </r>
  <r>
    <x v="1819"/>
    <s v="M0242"/>
    <x v="345"/>
    <s v="Toko H - Denpasar"/>
    <s v="Home &amp; Living"/>
    <x v="1795"/>
    <x v="1"/>
    <n v="59"/>
  </r>
  <r>
    <x v="1820"/>
    <s v="M0157"/>
    <x v="271"/>
    <s v="Toko G - Yogyakarta"/>
    <s v="Home &amp; Living"/>
    <x v="1796"/>
    <x v="1"/>
    <n v="37"/>
  </r>
  <r>
    <x v="1821"/>
    <s v="M0002"/>
    <x v="126"/>
    <s v="Toko H - Denpasar"/>
    <s v="Health &amp; Beauty"/>
    <x v="1797"/>
    <x v="1"/>
    <n v="22"/>
  </r>
  <r>
    <x v="1822"/>
    <s v="M0285"/>
    <x v="125"/>
    <s v="Toko A - Jakarta"/>
    <s v="Groceries"/>
    <x v="1798"/>
    <x v="0"/>
    <n v="11"/>
  </r>
  <r>
    <x v="1823"/>
    <s v="M0105"/>
    <x v="210"/>
    <s v="Toko H - Denpasar"/>
    <s v="Fashion"/>
    <x v="1799"/>
    <x v="1"/>
    <n v="59"/>
  </r>
  <r>
    <x v="1824"/>
    <s v="M0137"/>
    <x v="277"/>
    <s v="Toko G - Yogyakarta"/>
    <s v="Electronics"/>
    <x v="1800"/>
    <x v="0"/>
    <n v="35"/>
  </r>
  <r>
    <x v="1825"/>
    <s v="M0201"/>
    <x v="168"/>
    <s v="Toko A - Jakarta"/>
    <s v="Electronics"/>
    <x v="1801"/>
    <x v="1"/>
    <n v="35"/>
  </r>
  <r>
    <x v="1826"/>
    <s v="M0022"/>
    <x v="116"/>
    <s v="Toko E - Semarang"/>
    <s v="Fashion"/>
    <x v="1802"/>
    <x v="0"/>
    <n v="25"/>
  </r>
  <r>
    <x v="1827"/>
    <s v="M0121"/>
    <x v="243"/>
    <s v="Toko B - Bandung"/>
    <s v="Groceries"/>
    <x v="1803"/>
    <x v="1"/>
    <n v="14"/>
  </r>
  <r>
    <x v="1828"/>
    <s v="M0089"/>
    <x v="239"/>
    <s v="Toko F - Makassar"/>
    <s v="Groceries"/>
    <x v="1804"/>
    <x v="2"/>
    <n v="34"/>
  </r>
  <r>
    <x v="1829"/>
    <s v="M0233"/>
    <x v="166"/>
    <s v="Toko B - Bandung"/>
    <s v="Groceries"/>
    <x v="1805"/>
    <x v="0"/>
    <n v="62"/>
  </r>
  <r>
    <x v="1830"/>
    <s v="M0220"/>
    <x v="13"/>
    <s v="Toko G - Yogyakarta"/>
    <s v="Home &amp; Living"/>
    <x v="1806"/>
    <x v="0"/>
    <n v="38"/>
  </r>
  <r>
    <x v="1831"/>
    <s v="M0286"/>
    <x v="11"/>
    <s v="Toko G - Yogyakarta"/>
    <s v="F&amp;B"/>
    <x v="1807"/>
    <x v="1"/>
    <n v="2"/>
  </r>
  <r>
    <x v="1832"/>
    <s v="M0056"/>
    <x v="340"/>
    <s v="Toko H - Denpasar"/>
    <s v="Health &amp; Beauty"/>
    <x v="1808"/>
    <x v="0"/>
    <n v="6"/>
  </r>
  <r>
    <x v="1833"/>
    <s v="M0140"/>
    <x v="114"/>
    <s v="Toko C - Surabaya"/>
    <s v="Home &amp; Living"/>
    <x v="1809"/>
    <x v="1"/>
    <n v="6"/>
  </r>
  <r>
    <x v="1834"/>
    <s v="M0127"/>
    <x v="117"/>
    <s v="Toko C - Surabaya"/>
    <s v="Health &amp; Beauty"/>
    <x v="1810"/>
    <x v="1"/>
    <n v="61"/>
  </r>
  <r>
    <x v="1835"/>
    <s v="M0064"/>
    <x v="314"/>
    <s v="Toko D - Medan"/>
    <s v="Health &amp; Beauty"/>
    <x v="1811"/>
    <x v="2"/>
    <n v="16"/>
  </r>
  <r>
    <x v="1836"/>
    <s v="M0186"/>
    <x v="335"/>
    <s v="Toko F - Makassar"/>
    <s v="F&amp;B"/>
    <x v="1812"/>
    <x v="0"/>
    <n v="68"/>
  </r>
  <r>
    <x v="1837"/>
    <s v="M0243"/>
    <x v="92"/>
    <s v="Toko E - Semarang"/>
    <s v="Groceries"/>
    <x v="1813"/>
    <x v="0"/>
    <n v="25"/>
  </r>
  <r>
    <x v="1838"/>
    <s v="M0056"/>
    <x v="174"/>
    <s v="Toko E - Semarang"/>
    <s v="Groceries"/>
    <x v="1814"/>
    <x v="0"/>
    <n v="20"/>
  </r>
  <r>
    <x v="1839"/>
    <s v="M0127"/>
    <x v="114"/>
    <s v="Toko D - Medan"/>
    <s v="Electronics"/>
    <x v="1815"/>
    <x v="1"/>
    <n v="7"/>
  </r>
  <r>
    <x v="1840"/>
    <s v="M0192"/>
    <x v="196"/>
    <s v="Toko E - Semarang"/>
    <s v="Electronics"/>
    <x v="1816"/>
    <x v="1"/>
    <n v="29"/>
  </r>
  <r>
    <x v="1841"/>
    <s v="M0194"/>
    <x v="212"/>
    <s v="Toko F - Makassar"/>
    <s v="F&amp;B"/>
    <x v="1817"/>
    <x v="0"/>
    <n v="8"/>
  </r>
  <r>
    <x v="1842"/>
    <s v="M0092"/>
    <x v="32"/>
    <s v="Toko B - Bandung"/>
    <s v="Electronics"/>
    <x v="1818"/>
    <x v="1"/>
    <n v="33"/>
  </r>
  <r>
    <x v="1843"/>
    <s v="M0172"/>
    <x v="192"/>
    <s v="Toko G - Yogyakarta"/>
    <s v="Electronics"/>
    <x v="1819"/>
    <x v="0"/>
    <n v="3"/>
  </r>
  <r>
    <x v="1844"/>
    <s v="M0217"/>
    <x v="111"/>
    <s v="Toko C - Surabaya"/>
    <s v="Groceries"/>
    <x v="1820"/>
    <x v="0"/>
    <n v="43"/>
  </r>
  <r>
    <x v="1845"/>
    <s v="M0165"/>
    <x v="171"/>
    <s v="Toko E - Semarang"/>
    <s v="Health &amp; Beauty"/>
    <x v="1821"/>
    <x v="1"/>
    <n v="43"/>
  </r>
  <r>
    <x v="1846"/>
    <s v="M0185"/>
    <x v="153"/>
    <s v="Toko A - Jakarta"/>
    <s v="F&amp;B"/>
    <x v="1822"/>
    <x v="1"/>
    <n v="13"/>
  </r>
  <r>
    <x v="1847"/>
    <s v="M0108"/>
    <x v="30"/>
    <s v="Toko E - Semarang"/>
    <s v="Home &amp; Living"/>
    <x v="1823"/>
    <x v="1"/>
    <n v="16"/>
  </r>
  <r>
    <x v="1848"/>
    <s v="M0122"/>
    <x v="243"/>
    <s v="Toko B - Bandung"/>
    <s v="Fashion"/>
    <x v="1824"/>
    <x v="1"/>
    <n v="33"/>
  </r>
  <r>
    <x v="1849"/>
    <s v="M0291"/>
    <x v="313"/>
    <s v="Toko G - Yogyakarta"/>
    <s v="Fashion"/>
    <x v="1825"/>
    <x v="1"/>
    <n v="40"/>
  </r>
  <r>
    <x v="1850"/>
    <s v="M0109"/>
    <x v="204"/>
    <s v="Toko E - Semarang"/>
    <s v="Groceries"/>
    <x v="1826"/>
    <x v="0"/>
    <n v="9"/>
  </r>
  <r>
    <x v="1851"/>
    <s v="M0131"/>
    <x v="339"/>
    <s v="Toko H - Denpasar"/>
    <s v="F&amp;B"/>
    <x v="1827"/>
    <x v="2"/>
    <n v="19"/>
  </r>
  <r>
    <x v="1852"/>
    <s v="M0026"/>
    <x v="227"/>
    <s v="Toko B - Bandung"/>
    <s v="Health &amp; Beauty"/>
    <x v="1828"/>
    <x v="0"/>
    <n v="15"/>
  </r>
  <r>
    <x v="1853"/>
    <s v="M0121"/>
    <x v="17"/>
    <s v="Toko C - Surabaya"/>
    <s v="Groceries"/>
    <x v="1829"/>
    <x v="1"/>
    <n v="17"/>
  </r>
  <r>
    <x v="1854"/>
    <s v="M0136"/>
    <x v="317"/>
    <s v="Toko E - Semarang"/>
    <s v="F&amp;B"/>
    <x v="1830"/>
    <x v="0"/>
    <n v="12"/>
  </r>
  <r>
    <x v="1855"/>
    <s v="M0140"/>
    <x v="18"/>
    <s v="Toko H - Denpasar"/>
    <s v="Electronics"/>
    <x v="1831"/>
    <x v="1"/>
    <n v="60"/>
  </r>
  <r>
    <x v="1856"/>
    <s v="M0092"/>
    <x v="277"/>
    <s v="Toko E - Semarang"/>
    <s v="Electronics"/>
    <x v="1832"/>
    <x v="1"/>
    <n v="56"/>
  </r>
  <r>
    <x v="1857"/>
    <s v="M0268"/>
    <x v="41"/>
    <s v="Toko C - Surabaya"/>
    <s v="F&amp;B"/>
    <x v="1833"/>
    <x v="0"/>
    <n v="29"/>
  </r>
  <r>
    <x v="1858"/>
    <s v="M0260"/>
    <x v="163"/>
    <s v="Toko A - Jakarta"/>
    <s v="Groceries"/>
    <x v="1834"/>
    <x v="1"/>
    <n v="6"/>
  </r>
  <r>
    <x v="1859"/>
    <s v="M0049"/>
    <x v="231"/>
    <s v="Toko E - Semarang"/>
    <s v="Home &amp; Living"/>
    <x v="1835"/>
    <x v="1"/>
    <n v="19"/>
  </r>
  <r>
    <x v="1860"/>
    <s v="M0113"/>
    <x v="148"/>
    <s v="Toko H - Denpasar"/>
    <s v="Groceries"/>
    <x v="1836"/>
    <x v="1"/>
    <n v="5"/>
  </r>
  <r>
    <x v="1861"/>
    <s v="M0105"/>
    <x v="164"/>
    <s v="Toko B - Bandung"/>
    <s v="Groceries"/>
    <x v="1837"/>
    <x v="1"/>
    <n v="24"/>
  </r>
  <r>
    <x v="1862"/>
    <s v="M0281"/>
    <x v="11"/>
    <s v="Toko H - Denpasar"/>
    <s v="Fashion"/>
    <x v="1838"/>
    <x v="0"/>
    <n v="15"/>
  </r>
  <r>
    <x v="1863"/>
    <s v="M0001"/>
    <x v="24"/>
    <s v="Toko C - Surabaya"/>
    <s v="Groceries"/>
    <x v="1839"/>
    <x v="1"/>
    <n v="45"/>
  </r>
  <r>
    <x v="1864"/>
    <s v="M0074"/>
    <x v="295"/>
    <s v="Toko F - Makassar"/>
    <s v="Electronics"/>
    <x v="1840"/>
    <x v="0"/>
    <n v="14"/>
  </r>
  <r>
    <x v="1865"/>
    <s v="M0029"/>
    <x v="46"/>
    <s v="Toko C - Surabaya"/>
    <s v="Groceries"/>
    <x v="1841"/>
    <x v="0"/>
    <n v="39"/>
  </r>
  <r>
    <x v="1866"/>
    <s v="M0044"/>
    <x v="225"/>
    <s v="Toko H - Denpasar"/>
    <s v="Electronics"/>
    <x v="1842"/>
    <x v="0"/>
    <n v="27"/>
  </r>
  <r>
    <x v="1867"/>
    <s v="M0188"/>
    <x v="181"/>
    <s v="Toko E - Semarang"/>
    <s v="F&amp;B"/>
    <x v="1843"/>
    <x v="2"/>
    <n v="11"/>
  </r>
  <r>
    <x v="1868"/>
    <s v="M0250"/>
    <x v="65"/>
    <s v="Toko E - Semarang"/>
    <s v="F&amp;B"/>
    <x v="8"/>
    <x v="0"/>
    <n v="2"/>
  </r>
  <r>
    <x v="1869"/>
    <s v="M0034"/>
    <x v="283"/>
    <s v="Toko C - Surabaya"/>
    <s v="Fashion"/>
    <x v="1844"/>
    <x v="1"/>
    <n v="70"/>
  </r>
  <r>
    <x v="1870"/>
    <s v="M0165"/>
    <x v="167"/>
    <s v="Toko E - Semarang"/>
    <s v="Fashion"/>
    <x v="1845"/>
    <x v="1"/>
    <n v="14"/>
  </r>
  <r>
    <x v="1871"/>
    <s v="M0201"/>
    <x v="206"/>
    <s v="Toko A - Jakarta"/>
    <s v="Health &amp; Beauty"/>
    <x v="1846"/>
    <x v="1"/>
    <n v="23"/>
  </r>
  <r>
    <x v="1872"/>
    <s v="M0239"/>
    <x v="346"/>
    <s v="Toko G - Yogyakarta"/>
    <s v="Fashion"/>
    <x v="1847"/>
    <x v="1"/>
    <n v="31"/>
  </r>
  <r>
    <x v="1873"/>
    <s v="M0202"/>
    <x v="329"/>
    <s v="Toko G - Yogyakarta"/>
    <s v="Fashion"/>
    <x v="1848"/>
    <x v="2"/>
    <n v="5"/>
  </r>
  <r>
    <x v="1874"/>
    <s v="M0232"/>
    <x v="54"/>
    <s v="Toko B - Bandung"/>
    <s v="F&amp;B"/>
    <x v="1849"/>
    <x v="1"/>
    <n v="23"/>
  </r>
  <r>
    <x v="1875"/>
    <s v="M0015"/>
    <x v="257"/>
    <s v="Toko F - Makassar"/>
    <s v="F&amp;B"/>
    <x v="1850"/>
    <x v="1"/>
    <n v="23"/>
  </r>
  <r>
    <x v="1876"/>
    <s v="M0227"/>
    <x v="297"/>
    <s v="Toko E - Semarang"/>
    <s v="F&amp;B"/>
    <x v="1851"/>
    <x v="1"/>
    <n v="19"/>
  </r>
  <r>
    <x v="1877"/>
    <s v="M0054"/>
    <x v="271"/>
    <s v="Toko F - Makassar"/>
    <s v="Electronics"/>
    <x v="1852"/>
    <x v="2"/>
    <n v="28"/>
  </r>
  <r>
    <x v="1878"/>
    <s v="M0137"/>
    <x v="166"/>
    <s v="Toko D - Medan"/>
    <s v="Electronics"/>
    <x v="1853"/>
    <x v="0"/>
    <n v="37"/>
  </r>
  <r>
    <x v="1879"/>
    <s v="M0096"/>
    <x v="3"/>
    <s v="Toko B - Bandung"/>
    <s v="Groceries"/>
    <x v="1854"/>
    <x v="1"/>
    <n v="68"/>
  </r>
  <r>
    <x v="1880"/>
    <s v="M0244"/>
    <x v="281"/>
    <s v="Toko H - Denpasar"/>
    <s v="Fashion"/>
    <x v="1855"/>
    <x v="0"/>
    <n v="14"/>
  </r>
  <r>
    <x v="1881"/>
    <s v="M0262"/>
    <x v="308"/>
    <s v="Toko F - Makassar"/>
    <s v="Fashion"/>
    <x v="1856"/>
    <x v="1"/>
    <n v="48"/>
  </r>
  <r>
    <x v="1882"/>
    <s v="M0024"/>
    <x v="98"/>
    <s v="Toko F - Makassar"/>
    <s v="Groceries"/>
    <x v="1857"/>
    <x v="0"/>
    <n v="42"/>
  </r>
  <r>
    <x v="1883"/>
    <s v="M0154"/>
    <x v="333"/>
    <s v="Toko H - Denpasar"/>
    <s v="Fashion"/>
    <x v="1858"/>
    <x v="1"/>
    <n v="64"/>
  </r>
  <r>
    <x v="1884"/>
    <s v="M0140"/>
    <x v="32"/>
    <s v="Toko G - Yogyakarta"/>
    <s v="F&amp;B"/>
    <x v="1859"/>
    <x v="1"/>
    <n v="24"/>
  </r>
  <r>
    <x v="1885"/>
    <s v="M0015"/>
    <x v="225"/>
    <s v="Toko H - Denpasar"/>
    <s v="Groceries"/>
    <x v="1860"/>
    <x v="1"/>
    <n v="16"/>
  </r>
  <r>
    <x v="1886"/>
    <s v="M0077"/>
    <x v="303"/>
    <s v="Toko A - Jakarta"/>
    <s v="Groceries"/>
    <x v="1861"/>
    <x v="1"/>
    <n v="93"/>
  </r>
  <r>
    <x v="1887"/>
    <s v="M0001"/>
    <x v="48"/>
    <s v="Toko E - Semarang"/>
    <s v="F&amp;B"/>
    <x v="891"/>
    <x v="1"/>
    <n v="12"/>
  </r>
  <r>
    <x v="1888"/>
    <s v="M0207"/>
    <x v="359"/>
    <s v="Toko A - Jakarta"/>
    <s v="Electronics"/>
    <x v="1862"/>
    <x v="0"/>
    <n v="21"/>
  </r>
  <r>
    <x v="1889"/>
    <s v="M0292"/>
    <x v="99"/>
    <s v="Toko B - Bandung"/>
    <s v="Health &amp; Beauty"/>
    <x v="1863"/>
    <x v="1"/>
    <n v="8"/>
  </r>
  <r>
    <x v="1890"/>
    <s v="M0118"/>
    <x v="313"/>
    <s v="Toko D - Medan"/>
    <s v="Groceries"/>
    <x v="1864"/>
    <x v="1"/>
    <n v="12"/>
  </r>
  <r>
    <x v="1891"/>
    <s v="M0204"/>
    <x v="147"/>
    <s v="Toko D - Medan"/>
    <s v="Fashion"/>
    <x v="1865"/>
    <x v="0"/>
    <n v="23"/>
  </r>
  <r>
    <x v="1892"/>
    <s v="M0245"/>
    <x v="335"/>
    <s v="Toko F - Makassar"/>
    <s v="Groceries"/>
    <x v="1866"/>
    <x v="1"/>
    <n v="20"/>
  </r>
  <r>
    <x v="1893"/>
    <s v="M0122"/>
    <x v="188"/>
    <s v="Toko F - Makassar"/>
    <s v="Home &amp; Living"/>
    <x v="1867"/>
    <x v="1"/>
    <n v="22"/>
  </r>
  <r>
    <x v="1894"/>
    <s v="M0104"/>
    <x v="11"/>
    <s v="Toko F - Makassar"/>
    <s v="Groceries"/>
    <x v="1868"/>
    <x v="1"/>
    <n v="28"/>
  </r>
  <r>
    <x v="1895"/>
    <s v="M0273"/>
    <x v="181"/>
    <s v="Toko E - Semarang"/>
    <s v="Health &amp; Beauty"/>
    <x v="1869"/>
    <x v="1"/>
    <n v="20"/>
  </r>
  <r>
    <x v="1896"/>
    <s v="M0086"/>
    <x v="156"/>
    <s v="Toko A - Jakarta"/>
    <s v="Home &amp; Living"/>
    <x v="1870"/>
    <x v="2"/>
    <n v="21"/>
  </r>
  <r>
    <x v="1897"/>
    <s v="M0235"/>
    <x v="238"/>
    <s v="Toko C - Surabaya"/>
    <s v="Home &amp; Living"/>
    <x v="1871"/>
    <x v="0"/>
    <n v="25"/>
  </r>
  <r>
    <x v="1898"/>
    <s v="M0044"/>
    <x v="0"/>
    <s v="Toko F - Makassar"/>
    <s v="Health &amp; Beauty"/>
    <x v="1872"/>
    <x v="0"/>
    <n v="36"/>
  </r>
  <r>
    <x v="1899"/>
    <s v="M0235"/>
    <x v="304"/>
    <s v="Toko D - Medan"/>
    <s v="Fashion"/>
    <x v="1873"/>
    <x v="0"/>
    <n v="8"/>
  </r>
  <r>
    <x v="1900"/>
    <s v="M0192"/>
    <x v="9"/>
    <s v="Toko A - Jakarta"/>
    <s v="F&amp;B"/>
    <x v="1874"/>
    <x v="1"/>
    <n v="19"/>
  </r>
  <r>
    <x v="1901"/>
    <s v="M0122"/>
    <x v="340"/>
    <s v="Toko E - Semarang"/>
    <s v="F&amp;B"/>
    <x v="1875"/>
    <x v="1"/>
    <n v="39"/>
  </r>
  <r>
    <x v="1902"/>
    <s v="M0218"/>
    <x v="360"/>
    <s v="Toko B - Bandung"/>
    <s v="Fashion"/>
    <x v="1876"/>
    <x v="1"/>
    <n v="34"/>
  </r>
  <r>
    <x v="1903"/>
    <s v="M0246"/>
    <x v="75"/>
    <s v="Toko E - Semarang"/>
    <s v="Electronics"/>
    <x v="1877"/>
    <x v="0"/>
    <n v="55"/>
  </r>
  <r>
    <x v="1904"/>
    <s v="M0300"/>
    <x v="54"/>
    <s v="Toko F - Makassar"/>
    <s v="Home &amp; Living"/>
    <x v="1878"/>
    <x v="1"/>
    <n v="66"/>
  </r>
  <r>
    <x v="1905"/>
    <s v="M0223"/>
    <x v="64"/>
    <s v="Toko H - Denpasar"/>
    <s v="Groceries"/>
    <x v="1879"/>
    <x v="0"/>
    <n v="29"/>
  </r>
  <r>
    <x v="1906"/>
    <s v="M0254"/>
    <x v="200"/>
    <s v="Toko B - Bandung"/>
    <s v="Fashion"/>
    <x v="1880"/>
    <x v="1"/>
    <n v="38"/>
  </r>
  <r>
    <x v="1907"/>
    <s v="M0259"/>
    <x v="274"/>
    <s v="Toko D - Medan"/>
    <s v="Groceries"/>
    <x v="1881"/>
    <x v="1"/>
    <n v="33"/>
  </r>
  <r>
    <x v="1908"/>
    <s v="M0117"/>
    <x v="18"/>
    <s v="Toko B - Bandung"/>
    <s v="Electronics"/>
    <x v="1882"/>
    <x v="0"/>
    <n v="19"/>
  </r>
  <r>
    <x v="1909"/>
    <s v="M0244"/>
    <x v="294"/>
    <s v="Toko A - Jakarta"/>
    <s v="Home &amp; Living"/>
    <x v="1883"/>
    <x v="0"/>
    <n v="32"/>
  </r>
  <r>
    <x v="1910"/>
    <s v="M0073"/>
    <x v="117"/>
    <s v="Toko B - Bandung"/>
    <s v="F&amp;B"/>
    <x v="1884"/>
    <x v="1"/>
    <n v="31"/>
  </r>
  <r>
    <x v="1911"/>
    <s v="M0052"/>
    <x v="285"/>
    <s v="Toko F - Makassar"/>
    <s v="Groceries"/>
    <x v="1885"/>
    <x v="0"/>
    <n v="30"/>
  </r>
  <r>
    <x v="1912"/>
    <s v="M0188"/>
    <x v="157"/>
    <s v="Toko G - Yogyakarta"/>
    <s v="Electronics"/>
    <x v="1886"/>
    <x v="2"/>
    <n v="22"/>
  </r>
  <r>
    <x v="1913"/>
    <s v="M0179"/>
    <x v="83"/>
    <s v="Toko A - Jakarta"/>
    <s v="Electronics"/>
    <x v="1887"/>
    <x v="1"/>
    <n v="10"/>
  </r>
  <r>
    <x v="1914"/>
    <s v="M0285"/>
    <x v="196"/>
    <s v="Toko H - Denpasar"/>
    <s v="Groceries"/>
    <x v="1888"/>
    <x v="0"/>
    <n v="31"/>
  </r>
  <r>
    <x v="1915"/>
    <s v="M0051"/>
    <x v="176"/>
    <s v="Toko H - Denpasar"/>
    <s v="Health &amp; Beauty"/>
    <x v="1889"/>
    <x v="1"/>
    <n v="68"/>
  </r>
  <r>
    <x v="1916"/>
    <s v="M0111"/>
    <x v="174"/>
    <s v="Toko E - Semarang"/>
    <s v="F&amp;B"/>
    <x v="1890"/>
    <x v="2"/>
    <n v="49"/>
  </r>
  <r>
    <x v="1917"/>
    <s v="M0151"/>
    <x v="326"/>
    <s v="Toko D - Medan"/>
    <s v="Health &amp; Beauty"/>
    <x v="1891"/>
    <x v="1"/>
    <n v="9"/>
  </r>
  <r>
    <x v="1918"/>
    <s v="M0204"/>
    <x v="82"/>
    <s v="Toko H - Denpasar"/>
    <s v="F&amp;B"/>
    <x v="1892"/>
    <x v="0"/>
    <n v="29"/>
  </r>
  <r>
    <x v="1919"/>
    <s v="M0228"/>
    <x v="231"/>
    <s v="Toko F - Makassar"/>
    <s v="Electronics"/>
    <x v="1893"/>
    <x v="0"/>
    <n v="3"/>
  </r>
  <r>
    <x v="1920"/>
    <s v="M0267"/>
    <x v="16"/>
    <s v="Toko F - Makassar"/>
    <s v="Electronics"/>
    <x v="1894"/>
    <x v="1"/>
    <n v="25"/>
  </r>
  <r>
    <x v="1921"/>
    <s v="M0109"/>
    <x v="298"/>
    <s v="Toko B - Bandung"/>
    <s v="Fashion"/>
    <x v="1895"/>
    <x v="0"/>
    <n v="48"/>
  </r>
  <r>
    <x v="1922"/>
    <s v="M0122"/>
    <x v="330"/>
    <s v="Toko G - Yogyakarta"/>
    <s v="Health &amp; Beauty"/>
    <x v="1896"/>
    <x v="1"/>
    <n v="18"/>
  </r>
  <r>
    <x v="1923"/>
    <s v="M0090"/>
    <x v="40"/>
    <s v="Toko A - Jakarta"/>
    <s v="Electronics"/>
    <x v="1897"/>
    <x v="1"/>
    <n v="20"/>
  </r>
  <r>
    <x v="1924"/>
    <s v="M0115"/>
    <x v="105"/>
    <s v="Toko E - Semarang"/>
    <s v="Fashion"/>
    <x v="1898"/>
    <x v="1"/>
    <n v="23"/>
  </r>
  <r>
    <x v="1925"/>
    <s v="M0170"/>
    <x v="165"/>
    <s v="Toko C - Surabaya"/>
    <s v="Fashion"/>
    <x v="1899"/>
    <x v="0"/>
    <n v="10"/>
  </r>
  <r>
    <x v="1926"/>
    <s v="M0104"/>
    <x v="14"/>
    <s v="Toko C - Surabaya"/>
    <s v="Groceries"/>
    <x v="1900"/>
    <x v="1"/>
    <n v="34"/>
  </r>
  <r>
    <x v="1927"/>
    <s v="M0049"/>
    <x v="0"/>
    <s v="Toko A - Jakarta"/>
    <s v="Groceries"/>
    <x v="1901"/>
    <x v="1"/>
    <n v="17"/>
  </r>
  <r>
    <x v="1928"/>
    <s v="M0020"/>
    <x v="51"/>
    <s v="Toko F - Makassar"/>
    <s v="F&amp;B"/>
    <x v="1902"/>
    <x v="1"/>
    <n v="6"/>
  </r>
  <r>
    <x v="1929"/>
    <s v="M0188"/>
    <x v="223"/>
    <s v="Toko C - Surabaya"/>
    <s v="Electronics"/>
    <x v="1903"/>
    <x v="2"/>
    <n v="10"/>
  </r>
  <r>
    <x v="1930"/>
    <s v="M0104"/>
    <x v="59"/>
    <s v="Toko E - Semarang"/>
    <s v="Groceries"/>
    <x v="1904"/>
    <x v="1"/>
    <n v="9"/>
  </r>
  <r>
    <x v="1931"/>
    <s v="M0071"/>
    <x v="322"/>
    <s v="Toko E - Semarang"/>
    <s v="Home &amp; Living"/>
    <x v="1905"/>
    <x v="1"/>
    <n v="53"/>
  </r>
  <r>
    <x v="1932"/>
    <s v="M0242"/>
    <x v="343"/>
    <s v="Toko D - Medan"/>
    <s v="Fashion"/>
    <x v="1906"/>
    <x v="1"/>
    <n v="9"/>
  </r>
  <r>
    <x v="1933"/>
    <s v="M0231"/>
    <x v="207"/>
    <s v="Toko F - Makassar"/>
    <s v="Health &amp; Beauty"/>
    <x v="1907"/>
    <x v="1"/>
    <n v="45"/>
  </r>
  <r>
    <x v="1934"/>
    <s v="M0250"/>
    <x v="89"/>
    <s v="Toko F - Makassar"/>
    <s v="Electronics"/>
    <x v="1908"/>
    <x v="0"/>
    <n v="28"/>
  </r>
  <r>
    <x v="1935"/>
    <s v="M0096"/>
    <x v="291"/>
    <s v="Toko G - Yogyakarta"/>
    <s v="Home &amp; Living"/>
    <x v="1909"/>
    <x v="1"/>
    <n v="82"/>
  </r>
  <r>
    <x v="1936"/>
    <s v="M0054"/>
    <x v="177"/>
    <s v="Toko C - Surabaya"/>
    <s v="Electronics"/>
    <x v="1910"/>
    <x v="2"/>
    <n v="39"/>
  </r>
  <r>
    <x v="1937"/>
    <s v="M0281"/>
    <x v="318"/>
    <s v="Toko B - Bandung"/>
    <s v="F&amp;B"/>
    <x v="8"/>
    <x v="0"/>
    <n v="2"/>
  </r>
  <r>
    <x v="1938"/>
    <s v="M0081"/>
    <x v="81"/>
    <s v="Toko C - Surabaya"/>
    <s v="Home &amp; Living"/>
    <x v="1911"/>
    <x v="1"/>
    <n v="111"/>
  </r>
  <r>
    <x v="1939"/>
    <s v="M0045"/>
    <x v="352"/>
    <s v="Toko D - Medan"/>
    <s v="Groceries"/>
    <x v="1912"/>
    <x v="1"/>
    <n v="29"/>
  </r>
  <r>
    <x v="1940"/>
    <s v="M0243"/>
    <x v="324"/>
    <s v="Toko B - Bandung"/>
    <s v="Health &amp; Beauty"/>
    <x v="1913"/>
    <x v="0"/>
    <n v="101"/>
  </r>
  <r>
    <x v="1941"/>
    <s v="M0218"/>
    <x v="33"/>
    <s v="Toko F - Makassar"/>
    <s v="F&amp;B"/>
    <x v="1914"/>
    <x v="1"/>
    <n v="19"/>
  </r>
  <r>
    <x v="1942"/>
    <s v="M0003"/>
    <x v="66"/>
    <s v="Toko C - Surabaya"/>
    <s v="Fashion"/>
    <x v="1915"/>
    <x v="0"/>
    <n v="21"/>
  </r>
  <r>
    <x v="1943"/>
    <s v="M0264"/>
    <x v="275"/>
    <s v="Toko G - Yogyakarta"/>
    <s v="Electronics"/>
    <x v="8"/>
    <x v="1"/>
    <n v="2"/>
  </r>
  <r>
    <x v="1944"/>
    <s v="M0089"/>
    <x v="301"/>
    <s v="Toko D - Medan"/>
    <s v="F&amp;B"/>
    <x v="1916"/>
    <x v="2"/>
    <n v="14"/>
  </r>
  <r>
    <x v="1945"/>
    <s v="M0245"/>
    <x v="54"/>
    <s v="Toko G - Yogyakarta"/>
    <s v="Fashion"/>
    <x v="1917"/>
    <x v="1"/>
    <n v="18"/>
  </r>
  <r>
    <x v="1946"/>
    <s v="M0275"/>
    <x v="47"/>
    <s v="Toko C - Surabaya"/>
    <s v="Groceries"/>
    <x v="1918"/>
    <x v="1"/>
    <n v="14"/>
  </r>
  <r>
    <x v="1947"/>
    <s v="M0123"/>
    <x v="359"/>
    <s v="Toko A - Jakarta"/>
    <s v="Fashion"/>
    <x v="1919"/>
    <x v="2"/>
    <n v="42"/>
  </r>
  <r>
    <x v="1948"/>
    <s v="M0280"/>
    <x v="301"/>
    <s v="Toko B - Bandung"/>
    <s v="Fashion"/>
    <x v="1920"/>
    <x v="1"/>
    <n v="31"/>
  </r>
  <r>
    <x v="1949"/>
    <s v="M0075"/>
    <x v="92"/>
    <s v="Toko D - Medan"/>
    <s v="Home &amp; Living"/>
    <x v="1921"/>
    <x v="0"/>
    <n v="19"/>
  </r>
  <r>
    <x v="1950"/>
    <s v="M0057"/>
    <x v="69"/>
    <s v="Toko H - Denpasar"/>
    <s v="F&amp;B"/>
    <x v="1922"/>
    <x v="1"/>
    <n v="3"/>
  </r>
  <r>
    <x v="1951"/>
    <s v="M0100"/>
    <x v="222"/>
    <s v="Toko F - Makassar"/>
    <s v="F&amp;B"/>
    <x v="1923"/>
    <x v="1"/>
    <n v="62"/>
  </r>
  <r>
    <x v="1952"/>
    <s v="M0089"/>
    <x v="346"/>
    <s v="Toko B - Bandung"/>
    <s v="Home &amp; Living"/>
    <x v="1924"/>
    <x v="2"/>
    <n v="20"/>
  </r>
  <r>
    <x v="1953"/>
    <s v="M0151"/>
    <x v="277"/>
    <s v="Toko F - Makassar"/>
    <s v="Health &amp; Beauty"/>
    <x v="1925"/>
    <x v="1"/>
    <n v="25"/>
  </r>
  <r>
    <x v="1954"/>
    <s v="M0257"/>
    <x v="325"/>
    <s v="Toko B - Bandung"/>
    <s v="Groceries"/>
    <x v="1926"/>
    <x v="0"/>
    <n v="44"/>
  </r>
  <r>
    <x v="1955"/>
    <s v="M0093"/>
    <x v="99"/>
    <s v="Toko H - Denpasar"/>
    <s v="Home &amp; Living"/>
    <x v="1927"/>
    <x v="1"/>
    <n v="114"/>
  </r>
  <r>
    <x v="1956"/>
    <s v="M0096"/>
    <x v="342"/>
    <s v="Toko C - Surabaya"/>
    <s v="Groceries"/>
    <x v="1928"/>
    <x v="1"/>
    <n v="42"/>
  </r>
  <r>
    <x v="1957"/>
    <s v="M0281"/>
    <x v="166"/>
    <s v="Toko B - Bandung"/>
    <s v="Groceries"/>
    <x v="1929"/>
    <x v="0"/>
    <n v="16"/>
  </r>
  <r>
    <x v="1958"/>
    <s v="M0271"/>
    <x v="62"/>
    <s v="Toko C - Surabaya"/>
    <s v="Home &amp; Living"/>
    <x v="1930"/>
    <x v="1"/>
    <n v="51"/>
  </r>
  <r>
    <x v="1959"/>
    <s v="M0265"/>
    <x v="113"/>
    <s v="Toko B - Bandung"/>
    <s v="Fashion"/>
    <x v="1931"/>
    <x v="1"/>
    <n v="59"/>
  </r>
  <r>
    <x v="1960"/>
    <s v="M0122"/>
    <x v="309"/>
    <s v="Toko E - Semarang"/>
    <s v="Electronics"/>
    <x v="1932"/>
    <x v="1"/>
    <n v="18"/>
  </r>
  <r>
    <x v="1961"/>
    <s v="M0024"/>
    <x v="184"/>
    <s v="Toko C - Surabaya"/>
    <s v="Health &amp; Beauty"/>
    <x v="1933"/>
    <x v="0"/>
    <n v="25"/>
  </r>
  <r>
    <x v="1962"/>
    <s v="M0279"/>
    <x v="317"/>
    <s v="Toko D - Medan"/>
    <s v="Health &amp; Beauty"/>
    <x v="1934"/>
    <x v="1"/>
    <n v="10"/>
  </r>
  <r>
    <x v="1963"/>
    <s v="M0205"/>
    <x v="316"/>
    <s v="Toko G - Yogyakarta"/>
    <s v="Groceries"/>
    <x v="1935"/>
    <x v="0"/>
    <n v="37"/>
  </r>
  <r>
    <x v="1964"/>
    <s v="M0052"/>
    <x v="256"/>
    <s v="Toko C - Surabaya"/>
    <s v="Electronics"/>
    <x v="1936"/>
    <x v="0"/>
    <n v="24"/>
  </r>
  <r>
    <x v="1965"/>
    <s v="M0240"/>
    <x v="337"/>
    <s v="Toko H - Denpasar"/>
    <s v="Electronics"/>
    <x v="8"/>
    <x v="1"/>
    <n v="2"/>
  </r>
  <r>
    <x v="1966"/>
    <s v="M0128"/>
    <x v="23"/>
    <s v="Toko H - Denpasar"/>
    <s v="Groceries"/>
    <x v="1937"/>
    <x v="1"/>
    <n v="56"/>
  </r>
  <r>
    <x v="1967"/>
    <s v="M0193"/>
    <x v="114"/>
    <s v="Toko D - Medan"/>
    <s v="Groceries"/>
    <x v="1938"/>
    <x v="1"/>
    <n v="15"/>
  </r>
  <r>
    <x v="1968"/>
    <s v="M0117"/>
    <x v="254"/>
    <s v="Toko G - Yogyakarta"/>
    <s v="Fashion"/>
    <x v="1939"/>
    <x v="0"/>
    <n v="17"/>
  </r>
  <r>
    <x v="1969"/>
    <s v="M0227"/>
    <x v="130"/>
    <s v="Toko D - Medan"/>
    <s v="Groceries"/>
    <x v="1940"/>
    <x v="1"/>
    <n v="24"/>
  </r>
  <r>
    <x v="1970"/>
    <s v="M0098"/>
    <x v="229"/>
    <s v="Toko E - Semarang"/>
    <s v="Home &amp; Living"/>
    <x v="1941"/>
    <x v="2"/>
    <n v="36"/>
  </r>
  <r>
    <x v="1971"/>
    <s v="M0040"/>
    <x v="234"/>
    <s v="Toko G - Yogyakarta"/>
    <s v="Health &amp; Beauty"/>
    <x v="1942"/>
    <x v="0"/>
    <n v="28"/>
  </r>
  <r>
    <x v="1972"/>
    <s v="M0198"/>
    <x v="212"/>
    <s v="Toko B - Bandung"/>
    <s v="Home &amp; Living"/>
    <x v="1943"/>
    <x v="2"/>
    <n v="39"/>
  </r>
  <r>
    <x v="1973"/>
    <s v="M0074"/>
    <x v="189"/>
    <s v="Toko H - Denpasar"/>
    <s v="Groceries"/>
    <x v="1944"/>
    <x v="0"/>
    <n v="72"/>
  </r>
  <r>
    <x v="1974"/>
    <s v="M0106"/>
    <x v="82"/>
    <s v="Toko E - Semarang"/>
    <s v="Fashion"/>
    <x v="1945"/>
    <x v="0"/>
    <n v="36"/>
  </r>
  <r>
    <x v="1975"/>
    <s v="M0107"/>
    <x v="162"/>
    <s v="Toko G - Yogyakarta"/>
    <s v="Groceries"/>
    <x v="1946"/>
    <x v="0"/>
    <n v="40"/>
  </r>
  <r>
    <x v="1976"/>
    <s v="M0187"/>
    <x v="114"/>
    <s v="Toko C - Surabaya"/>
    <s v="F&amp;B"/>
    <x v="1947"/>
    <x v="1"/>
    <n v="21"/>
  </r>
  <r>
    <x v="1977"/>
    <s v="M0097"/>
    <x v="295"/>
    <s v="Toko C - Surabaya"/>
    <s v="F&amp;B"/>
    <x v="1948"/>
    <x v="1"/>
    <n v="23"/>
  </r>
  <r>
    <x v="1978"/>
    <s v="M0200"/>
    <x v="246"/>
    <s v="Toko B - Bandung"/>
    <s v="Groceries"/>
    <x v="1949"/>
    <x v="0"/>
    <n v="32"/>
  </r>
  <r>
    <x v="1979"/>
    <s v="M0219"/>
    <x v="6"/>
    <s v="Toko E - Semarang"/>
    <s v="Health &amp; Beauty"/>
    <x v="1950"/>
    <x v="1"/>
    <n v="67"/>
  </r>
  <r>
    <x v="1980"/>
    <s v="M0290"/>
    <x v="68"/>
    <s v="Toko E - Semarang"/>
    <s v="Electronics"/>
    <x v="1951"/>
    <x v="0"/>
    <n v="56"/>
  </r>
  <r>
    <x v="1981"/>
    <s v="M0199"/>
    <x v="213"/>
    <s v="Toko C - Surabaya"/>
    <s v="F&amp;B"/>
    <x v="1952"/>
    <x v="1"/>
    <n v="23"/>
  </r>
  <r>
    <x v="1982"/>
    <s v="M0280"/>
    <x v="169"/>
    <s v="Toko B - Bandung"/>
    <s v="Groceries"/>
    <x v="1953"/>
    <x v="1"/>
    <n v="16"/>
  </r>
  <r>
    <x v="1983"/>
    <s v="M0265"/>
    <x v="322"/>
    <s v="Toko F - Makassar"/>
    <s v="Electronics"/>
    <x v="1954"/>
    <x v="1"/>
    <n v="53"/>
  </r>
  <r>
    <x v="1984"/>
    <s v="M0117"/>
    <x v="243"/>
    <s v="Toko E - Semarang"/>
    <s v="Home &amp; Living"/>
    <x v="1955"/>
    <x v="0"/>
    <n v="15"/>
  </r>
  <r>
    <x v="1985"/>
    <s v="M0227"/>
    <x v="141"/>
    <s v="Toko E - Semarang"/>
    <s v="Health &amp; Beauty"/>
    <x v="1956"/>
    <x v="1"/>
    <n v="53"/>
  </r>
  <r>
    <x v="1986"/>
    <s v="M0296"/>
    <x v="323"/>
    <s v="Toko G - Yogyakarta"/>
    <s v="Home &amp; Living"/>
    <x v="1957"/>
    <x v="0"/>
    <n v="89"/>
  </r>
  <r>
    <x v="1987"/>
    <s v="M0143"/>
    <x v="166"/>
    <s v="Toko F - Makassar"/>
    <s v="Home &amp; Living"/>
    <x v="1958"/>
    <x v="1"/>
    <n v="57"/>
  </r>
  <r>
    <x v="1988"/>
    <s v="M0290"/>
    <x v="296"/>
    <s v="Toko E - Semarang"/>
    <s v="Groceries"/>
    <x v="1959"/>
    <x v="0"/>
    <n v="42"/>
  </r>
  <r>
    <x v="1989"/>
    <s v="M0016"/>
    <x v="361"/>
    <s v="Toko F - Makassar"/>
    <s v="Home &amp; Living"/>
    <x v="1960"/>
    <x v="1"/>
    <n v="85"/>
  </r>
  <r>
    <x v="1990"/>
    <s v="M0249"/>
    <x v="75"/>
    <s v="Toko G - Yogyakarta"/>
    <s v="Fashion"/>
    <x v="1961"/>
    <x v="0"/>
    <n v="155"/>
  </r>
  <r>
    <x v="1991"/>
    <s v="M0128"/>
    <x v="172"/>
    <s v="Toko H - Denpasar"/>
    <s v="Groceries"/>
    <x v="1962"/>
    <x v="1"/>
    <n v="17"/>
  </r>
  <r>
    <x v="1992"/>
    <s v="M0092"/>
    <x v="152"/>
    <s v="Toko E - Semarang"/>
    <s v="Health &amp; Beauty"/>
    <x v="1963"/>
    <x v="1"/>
    <n v="73"/>
  </r>
  <r>
    <x v="1993"/>
    <s v="M0246"/>
    <x v="316"/>
    <s v="Toko A - Jakarta"/>
    <s v="Electronics"/>
    <x v="1964"/>
    <x v="0"/>
    <n v="25"/>
  </r>
  <r>
    <x v="1994"/>
    <s v="M0220"/>
    <x v="139"/>
    <s v="Toko C - Surabaya"/>
    <s v="Fashion"/>
    <x v="1965"/>
    <x v="0"/>
    <n v="57"/>
  </r>
  <r>
    <x v="1995"/>
    <s v="M0077"/>
    <x v="197"/>
    <s v="Toko B - Bandung"/>
    <s v="Health &amp; Beauty"/>
    <x v="1966"/>
    <x v="1"/>
    <n v="13"/>
  </r>
  <r>
    <x v="1996"/>
    <s v="M0055"/>
    <x v="275"/>
    <s v="Toko G - Yogyakarta"/>
    <s v="Health &amp; Beauty"/>
    <x v="1967"/>
    <x v="1"/>
    <n v="25"/>
  </r>
  <r>
    <x v="1997"/>
    <s v="M0228"/>
    <x v="156"/>
    <s v="Toko F - Makassar"/>
    <s v="Groceries"/>
    <x v="1968"/>
    <x v="0"/>
    <n v="27"/>
  </r>
  <r>
    <x v="1998"/>
    <s v="M0253"/>
    <x v="340"/>
    <s v="Toko A - Jakarta"/>
    <s v="Electronics"/>
    <x v="1969"/>
    <x v="1"/>
    <n v="35"/>
  </r>
  <r>
    <x v="1999"/>
    <s v="M0031"/>
    <x v="315"/>
    <s v="Toko B - Bandung"/>
    <s v="Health &amp; Beauty"/>
    <x v="1970"/>
    <x v="1"/>
    <n v="50"/>
  </r>
  <r>
    <x v="2000"/>
    <s v="M0050"/>
    <x v="187"/>
    <s v="Toko C - Surabaya"/>
    <s v="Electronics"/>
    <x v="1971"/>
    <x v="0"/>
    <n v="35"/>
  </r>
  <r>
    <x v="2001"/>
    <s v="M0276"/>
    <x v="138"/>
    <s v="Toko C - Surabaya"/>
    <s v="Health &amp; Beauty"/>
    <x v="1972"/>
    <x v="1"/>
    <n v="72"/>
  </r>
  <r>
    <x v="2002"/>
    <s v="M0224"/>
    <x v="156"/>
    <s v="Toko G - Yogyakarta"/>
    <s v="Groceries"/>
    <x v="1973"/>
    <x v="1"/>
    <n v="25"/>
  </r>
  <r>
    <x v="2003"/>
    <s v="M0288"/>
    <x v="339"/>
    <s v="Toko F - Makassar"/>
    <s v="Electronics"/>
    <x v="1974"/>
    <x v="1"/>
    <n v="21"/>
  </r>
  <r>
    <x v="2004"/>
    <s v="M0074"/>
    <x v="70"/>
    <s v="Toko F - Makassar"/>
    <s v="Health &amp; Beauty"/>
    <x v="1975"/>
    <x v="0"/>
    <n v="7"/>
  </r>
  <r>
    <x v="2005"/>
    <s v="M0252"/>
    <x v="337"/>
    <s v="Toko D - Medan"/>
    <s v="F&amp;B"/>
    <x v="1976"/>
    <x v="2"/>
    <n v="44"/>
  </r>
  <r>
    <x v="2006"/>
    <s v="M0240"/>
    <x v="281"/>
    <s v="Toko C - Surabaya"/>
    <s v="Home &amp; Living"/>
    <x v="1977"/>
    <x v="1"/>
    <n v="12"/>
  </r>
  <r>
    <x v="2007"/>
    <s v="M0281"/>
    <x v="277"/>
    <s v="Toko E - Semarang"/>
    <s v="Health &amp; Beauty"/>
    <x v="1978"/>
    <x v="0"/>
    <n v="14"/>
  </r>
  <r>
    <x v="2008"/>
    <s v="M0070"/>
    <x v="302"/>
    <s v="Toko E - Semarang"/>
    <s v="Fashion"/>
    <x v="1979"/>
    <x v="0"/>
    <n v="23"/>
  </r>
  <r>
    <x v="2009"/>
    <s v="M0166"/>
    <x v="200"/>
    <s v="Toko H - Denpasar"/>
    <s v="Fashion"/>
    <x v="1980"/>
    <x v="0"/>
    <n v="20"/>
  </r>
  <r>
    <x v="2010"/>
    <s v="M0128"/>
    <x v="100"/>
    <s v="Toko E - Semarang"/>
    <s v="Fashion"/>
    <x v="1981"/>
    <x v="1"/>
    <n v="19"/>
  </r>
  <r>
    <x v="2011"/>
    <s v="M0208"/>
    <x v="320"/>
    <s v="Toko B - Bandung"/>
    <s v="Fashion"/>
    <x v="1982"/>
    <x v="2"/>
    <n v="23"/>
  </r>
  <r>
    <x v="2012"/>
    <s v="M0188"/>
    <x v="36"/>
    <s v="Toko F - Makassar"/>
    <s v="Home &amp; Living"/>
    <x v="1983"/>
    <x v="2"/>
    <n v="14"/>
  </r>
  <r>
    <x v="2013"/>
    <s v="M0249"/>
    <x v="299"/>
    <s v="Toko B - Bandung"/>
    <s v="Health &amp; Beauty"/>
    <x v="1984"/>
    <x v="0"/>
    <n v="35"/>
  </r>
  <r>
    <x v="2014"/>
    <s v="M0212"/>
    <x v="274"/>
    <s v="Toko D - Medan"/>
    <s v="Health &amp; Beauty"/>
    <x v="1985"/>
    <x v="2"/>
    <n v="24"/>
  </r>
  <r>
    <x v="2015"/>
    <s v="M0118"/>
    <x v="156"/>
    <s v="Toko H - Denpasar"/>
    <s v="Fashion"/>
    <x v="1986"/>
    <x v="1"/>
    <n v="37"/>
  </r>
  <r>
    <x v="2016"/>
    <s v="M0035"/>
    <x v="124"/>
    <s v="Toko B - Bandung"/>
    <s v="Home &amp; Living"/>
    <x v="1987"/>
    <x v="1"/>
    <n v="5"/>
  </r>
  <r>
    <x v="2017"/>
    <s v="M0105"/>
    <x v="134"/>
    <s v="Toko E - Semarang"/>
    <s v="Health &amp; Beauty"/>
    <x v="1988"/>
    <x v="1"/>
    <n v="60"/>
  </r>
  <r>
    <x v="2018"/>
    <s v="M0227"/>
    <x v="265"/>
    <s v="Toko C - Surabaya"/>
    <s v="Groceries"/>
    <x v="1989"/>
    <x v="1"/>
    <n v="6"/>
  </r>
  <r>
    <x v="2019"/>
    <s v="M0193"/>
    <x v="286"/>
    <s v="Toko A - Jakarta"/>
    <s v="Fashion"/>
    <x v="1990"/>
    <x v="1"/>
    <n v="75"/>
  </r>
  <r>
    <x v="2020"/>
    <s v="M0290"/>
    <x v="243"/>
    <s v="Toko H - Denpasar"/>
    <s v="Health &amp; Beauty"/>
    <x v="1991"/>
    <x v="0"/>
    <n v="25"/>
  </r>
  <r>
    <x v="2021"/>
    <s v="M0231"/>
    <x v="358"/>
    <s v="Toko G - Yogyakarta"/>
    <s v="Fashion"/>
    <x v="1992"/>
    <x v="1"/>
    <n v="99"/>
  </r>
  <r>
    <x v="2022"/>
    <s v="M0242"/>
    <x v="114"/>
    <s v="Toko G - Yogyakarta"/>
    <s v="Fashion"/>
    <x v="1993"/>
    <x v="1"/>
    <n v="31"/>
  </r>
  <r>
    <x v="2023"/>
    <s v="M0143"/>
    <x v="197"/>
    <s v="Toko A - Jakarta"/>
    <s v="Fashion"/>
    <x v="1994"/>
    <x v="1"/>
    <n v="9"/>
  </r>
  <r>
    <x v="2024"/>
    <s v="M0074"/>
    <x v="243"/>
    <s v="Toko D - Medan"/>
    <s v="F&amp;B"/>
    <x v="1995"/>
    <x v="0"/>
    <n v="25"/>
  </r>
  <r>
    <x v="2025"/>
    <s v="M0298"/>
    <x v="293"/>
    <s v="Toko E - Semarang"/>
    <s v="Groceries"/>
    <x v="1996"/>
    <x v="1"/>
    <n v="37"/>
  </r>
  <r>
    <x v="2026"/>
    <s v="M0074"/>
    <x v="248"/>
    <s v="Toko F - Makassar"/>
    <s v="Electronics"/>
    <x v="1997"/>
    <x v="0"/>
    <n v="19"/>
  </r>
  <r>
    <x v="2027"/>
    <s v="M0013"/>
    <x v="36"/>
    <s v="Toko B - Bandung"/>
    <s v="Groceries"/>
    <x v="1998"/>
    <x v="1"/>
    <n v="20"/>
  </r>
  <r>
    <x v="2028"/>
    <s v="M0128"/>
    <x v="74"/>
    <s v="Toko E - Semarang"/>
    <s v="Home &amp; Living"/>
    <x v="1999"/>
    <x v="1"/>
    <n v="12"/>
  </r>
  <r>
    <x v="2029"/>
    <s v="M0034"/>
    <x v="94"/>
    <s v="Toko A - Jakarta"/>
    <s v="Home &amp; Living"/>
    <x v="2000"/>
    <x v="1"/>
    <n v="12"/>
  </r>
  <r>
    <x v="2030"/>
    <s v="M0186"/>
    <x v="30"/>
    <s v="Toko C - Surabaya"/>
    <s v="F&amp;B"/>
    <x v="2001"/>
    <x v="0"/>
    <n v="45"/>
  </r>
  <r>
    <x v="2031"/>
    <s v="M0211"/>
    <x v="279"/>
    <s v="Toko D - Medan"/>
    <s v="Fashion"/>
    <x v="2002"/>
    <x v="0"/>
    <n v="37"/>
  </r>
  <r>
    <x v="2032"/>
    <s v="M0071"/>
    <x v="14"/>
    <s v="Toko E - Semarang"/>
    <s v="F&amp;B"/>
    <x v="2003"/>
    <x v="1"/>
    <n v="106"/>
  </r>
  <r>
    <x v="2033"/>
    <s v="M0297"/>
    <x v="208"/>
    <s v="Toko G - Yogyakarta"/>
    <s v="F&amp;B"/>
    <x v="8"/>
    <x v="1"/>
    <n v="2"/>
  </r>
  <r>
    <x v="2034"/>
    <s v="M0121"/>
    <x v="54"/>
    <s v="Toko D - Medan"/>
    <s v="Health &amp; Beauty"/>
    <x v="2004"/>
    <x v="1"/>
    <n v="42"/>
  </r>
  <r>
    <x v="2035"/>
    <s v="M0035"/>
    <x v="203"/>
    <s v="Toko E - Semarang"/>
    <s v="F&amp;B"/>
    <x v="2005"/>
    <x v="1"/>
    <n v="22"/>
  </r>
  <r>
    <x v="2036"/>
    <s v="M0134"/>
    <x v="81"/>
    <s v="Toko F - Makassar"/>
    <s v="F&amp;B"/>
    <x v="2006"/>
    <x v="1"/>
    <n v="37"/>
  </r>
  <r>
    <x v="2037"/>
    <s v="M0154"/>
    <x v="352"/>
    <s v="Toko H - Denpasar"/>
    <s v="F&amp;B"/>
    <x v="2007"/>
    <x v="1"/>
    <n v="11"/>
  </r>
  <r>
    <x v="2038"/>
    <s v="M0097"/>
    <x v="339"/>
    <s v="Toko F - Makassar"/>
    <s v="Fashion"/>
    <x v="8"/>
    <x v="1"/>
    <n v="2"/>
  </r>
  <r>
    <x v="2039"/>
    <s v="M0173"/>
    <x v="118"/>
    <s v="Toko F - Makassar"/>
    <s v="F&amp;B"/>
    <x v="2008"/>
    <x v="1"/>
    <n v="38"/>
  </r>
  <r>
    <x v="2040"/>
    <s v="M0288"/>
    <x v="147"/>
    <s v="Toko F - Makassar"/>
    <s v="Home &amp; Living"/>
    <x v="2009"/>
    <x v="1"/>
    <n v="36"/>
  </r>
  <r>
    <x v="2041"/>
    <s v="M0192"/>
    <x v="107"/>
    <s v="Toko H - Denpasar"/>
    <s v="Health &amp; Beauty"/>
    <x v="2010"/>
    <x v="1"/>
    <n v="35"/>
  </r>
  <r>
    <x v="2042"/>
    <s v="M0056"/>
    <x v="16"/>
    <s v="Toko D - Medan"/>
    <s v="Fashion"/>
    <x v="2011"/>
    <x v="0"/>
    <n v="7"/>
  </r>
  <r>
    <x v="2043"/>
    <s v="M0234"/>
    <x v="150"/>
    <s v="Toko F - Makassar"/>
    <s v="Fashion"/>
    <x v="2012"/>
    <x v="1"/>
    <n v="31"/>
  </r>
  <r>
    <x v="2044"/>
    <s v="M0222"/>
    <x v="46"/>
    <s v="Toko H - Denpasar"/>
    <s v="Groceries"/>
    <x v="2013"/>
    <x v="0"/>
    <n v="25"/>
  </r>
  <r>
    <x v="2045"/>
    <s v="M0077"/>
    <x v="149"/>
    <s v="Toko G - Yogyakarta"/>
    <s v="Groceries"/>
    <x v="2014"/>
    <x v="1"/>
    <n v="29"/>
  </r>
  <r>
    <x v="2046"/>
    <s v="M0048"/>
    <x v="173"/>
    <s v="Toko E - Semarang"/>
    <s v="Fashion"/>
    <x v="2015"/>
    <x v="2"/>
    <n v="51"/>
  </r>
  <r>
    <x v="2047"/>
    <s v="M0105"/>
    <x v="267"/>
    <s v="Toko D - Medan"/>
    <s v="F&amp;B"/>
    <x v="2016"/>
    <x v="1"/>
    <n v="22"/>
  </r>
  <r>
    <x v="2048"/>
    <s v="M0112"/>
    <x v="156"/>
    <s v="Toko H - Denpasar"/>
    <s v="Groceries"/>
    <x v="2017"/>
    <x v="1"/>
    <n v="36"/>
  </r>
  <r>
    <x v="2049"/>
    <s v="M0087"/>
    <x v="222"/>
    <s v="Toko B - Bandung"/>
    <s v="Groceries"/>
    <x v="2018"/>
    <x v="1"/>
    <n v="20"/>
  </r>
  <r>
    <x v="2050"/>
    <s v="M0034"/>
    <x v="234"/>
    <s v="Toko C - Surabaya"/>
    <s v="Fashion"/>
    <x v="2019"/>
    <x v="1"/>
    <n v="30"/>
  </r>
  <r>
    <x v="2051"/>
    <s v="M0102"/>
    <x v="90"/>
    <s v="Toko C - Surabaya"/>
    <s v="F&amp;B"/>
    <x v="2020"/>
    <x v="0"/>
    <n v="23"/>
  </r>
  <r>
    <x v="2052"/>
    <s v="M0049"/>
    <x v="130"/>
    <s v="Toko E - Semarang"/>
    <s v="Home &amp; Living"/>
    <x v="2021"/>
    <x v="1"/>
    <n v="24"/>
  </r>
  <r>
    <x v="2053"/>
    <s v="M0105"/>
    <x v="213"/>
    <s v="Toko D - Medan"/>
    <s v="F&amp;B"/>
    <x v="2022"/>
    <x v="1"/>
    <n v="67"/>
  </r>
  <r>
    <x v="2054"/>
    <s v="M0153"/>
    <x v="321"/>
    <s v="Toko F - Makassar"/>
    <s v="Electronics"/>
    <x v="2023"/>
    <x v="0"/>
    <n v="4"/>
  </r>
  <r>
    <x v="2055"/>
    <s v="M0151"/>
    <x v="340"/>
    <s v="Toko B - Bandung"/>
    <s v="F&amp;B"/>
    <x v="2024"/>
    <x v="1"/>
    <n v="52"/>
  </r>
  <r>
    <x v="2056"/>
    <s v="M0003"/>
    <x v="23"/>
    <s v="Toko F - Makassar"/>
    <s v="Electronics"/>
    <x v="2025"/>
    <x v="0"/>
    <n v="31"/>
  </r>
  <r>
    <x v="2057"/>
    <s v="M0013"/>
    <x v="241"/>
    <s v="Toko H - Denpasar"/>
    <s v="F&amp;B"/>
    <x v="2026"/>
    <x v="1"/>
    <n v="27"/>
  </r>
  <r>
    <x v="2058"/>
    <s v="M0052"/>
    <x v="231"/>
    <s v="Toko G - Yogyakarta"/>
    <s v="Groceries"/>
    <x v="2027"/>
    <x v="0"/>
    <n v="16"/>
  </r>
  <r>
    <x v="2059"/>
    <s v="M0112"/>
    <x v="139"/>
    <s v="Toko G - Yogyakarta"/>
    <s v="Fashion"/>
    <x v="2028"/>
    <x v="1"/>
    <n v="71"/>
  </r>
  <r>
    <x v="2060"/>
    <s v="M0231"/>
    <x v="182"/>
    <s v="Toko F - Makassar"/>
    <s v="F&amp;B"/>
    <x v="2029"/>
    <x v="1"/>
    <n v="36"/>
  </r>
  <r>
    <x v="2061"/>
    <s v="M0113"/>
    <x v="238"/>
    <s v="Toko C - Surabaya"/>
    <s v="Groceries"/>
    <x v="2030"/>
    <x v="1"/>
    <n v="74"/>
  </r>
  <r>
    <x v="2062"/>
    <s v="M0193"/>
    <x v="57"/>
    <s v="Toko A - Jakarta"/>
    <s v="Fashion"/>
    <x v="2031"/>
    <x v="1"/>
    <n v="204"/>
  </r>
  <r>
    <x v="2063"/>
    <s v="M0079"/>
    <x v="263"/>
    <s v="Toko F - Makassar"/>
    <s v="F&amp;B"/>
    <x v="2032"/>
    <x v="1"/>
    <n v="12"/>
  </r>
  <r>
    <x v="2064"/>
    <s v="M0038"/>
    <x v="312"/>
    <s v="Toko D - Medan"/>
    <s v="F&amp;B"/>
    <x v="2033"/>
    <x v="1"/>
    <n v="47"/>
  </r>
  <r>
    <x v="2065"/>
    <s v="M0195"/>
    <x v="52"/>
    <s v="Toko A - Jakarta"/>
    <s v="Electronics"/>
    <x v="2034"/>
    <x v="0"/>
    <n v="32"/>
  </r>
  <r>
    <x v="2066"/>
    <s v="M0046"/>
    <x v="7"/>
    <s v="Toko B - Bandung"/>
    <s v="Electronics"/>
    <x v="2035"/>
    <x v="2"/>
    <n v="47"/>
  </r>
  <r>
    <x v="2067"/>
    <s v="M0155"/>
    <x v="108"/>
    <s v="Toko C - Surabaya"/>
    <s v="Groceries"/>
    <x v="2036"/>
    <x v="1"/>
    <n v="20"/>
  </r>
  <r>
    <x v="2068"/>
    <s v="M0141"/>
    <x v="212"/>
    <s v="Toko H - Denpasar"/>
    <s v="Electronics"/>
    <x v="2037"/>
    <x v="1"/>
    <n v="10"/>
  </r>
  <r>
    <x v="2069"/>
    <s v="M0089"/>
    <x v="338"/>
    <s v="Toko F - Makassar"/>
    <s v="Health &amp; Beauty"/>
    <x v="2038"/>
    <x v="2"/>
    <n v="55"/>
  </r>
  <r>
    <x v="2070"/>
    <s v="M0008"/>
    <x v="317"/>
    <s v="Toko H - Denpasar"/>
    <s v="Electronics"/>
    <x v="2039"/>
    <x v="0"/>
    <n v="19"/>
  </r>
  <r>
    <x v="2071"/>
    <s v="M0222"/>
    <x v="247"/>
    <s v="Toko B - Bandung"/>
    <s v="Fashion"/>
    <x v="2040"/>
    <x v="0"/>
    <n v="40"/>
  </r>
  <r>
    <x v="2072"/>
    <s v="M0151"/>
    <x v="64"/>
    <s v="Toko A - Jakarta"/>
    <s v="Home &amp; Living"/>
    <x v="2041"/>
    <x v="1"/>
    <n v="30"/>
  </r>
  <r>
    <x v="2073"/>
    <s v="M0140"/>
    <x v="75"/>
    <s v="Toko G - Yogyakarta"/>
    <s v="Electronics"/>
    <x v="2042"/>
    <x v="1"/>
    <n v="10"/>
  </r>
  <r>
    <x v="2074"/>
    <s v="M0297"/>
    <x v="3"/>
    <s v="Toko D - Medan"/>
    <s v="Health &amp; Beauty"/>
    <x v="2043"/>
    <x v="1"/>
    <n v="35"/>
  </r>
  <r>
    <x v="2075"/>
    <s v="M0056"/>
    <x v="243"/>
    <s v="Toko E - Semarang"/>
    <s v="Fashion"/>
    <x v="2044"/>
    <x v="0"/>
    <n v="29"/>
  </r>
  <r>
    <x v="2076"/>
    <s v="M0288"/>
    <x v="26"/>
    <s v="Toko F - Makassar"/>
    <s v="Electronics"/>
    <x v="2045"/>
    <x v="1"/>
    <n v="48"/>
  </r>
  <r>
    <x v="2077"/>
    <s v="M0129"/>
    <x v="169"/>
    <s v="Toko H - Denpasar"/>
    <s v="Fashion"/>
    <x v="2046"/>
    <x v="1"/>
    <n v="39"/>
  </r>
  <r>
    <x v="2078"/>
    <s v="M0077"/>
    <x v="325"/>
    <s v="Toko A - Jakarta"/>
    <s v="Groceries"/>
    <x v="2047"/>
    <x v="1"/>
    <n v="34"/>
  </r>
  <r>
    <x v="2079"/>
    <s v="M0083"/>
    <x v="235"/>
    <s v="Toko F - Makassar"/>
    <s v="F&amp;B"/>
    <x v="2048"/>
    <x v="1"/>
    <n v="25"/>
  </r>
  <r>
    <x v="2080"/>
    <s v="M0177"/>
    <x v="316"/>
    <s v="Toko B - Bandung"/>
    <s v="Groceries"/>
    <x v="2049"/>
    <x v="1"/>
    <n v="18"/>
  </r>
  <r>
    <x v="2081"/>
    <s v="M0281"/>
    <x v="232"/>
    <s v="Toko F - Makassar"/>
    <s v="Fashion"/>
    <x v="2050"/>
    <x v="0"/>
    <n v="55"/>
  </r>
  <r>
    <x v="2082"/>
    <s v="M0189"/>
    <x v="100"/>
    <s v="Toko G - Yogyakarta"/>
    <s v="Electronics"/>
    <x v="2051"/>
    <x v="1"/>
    <n v="69"/>
  </r>
  <r>
    <x v="2083"/>
    <s v="M0274"/>
    <x v="191"/>
    <s v="Toko A - Jakarta"/>
    <s v="Fashion"/>
    <x v="2052"/>
    <x v="0"/>
    <n v="54"/>
  </r>
  <r>
    <x v="2084"/>
    <s v="M0109"/>
    <x v="46"/>
    <s v="Toko H - Denpasar"/>
    <s v="Fashion"/>
    <x v="2053"/>
    <x v="0"/>
    <n v="74"/>
  </r>
  <r>
    <x v="2085"/>
    <s v="M0272"/>
    <x v="259"/>
    <s v="Toko B - Bandung"/>
    <s v="Health &amp; Beauty"/>
    <x v="2054"/>
    <x v="1"/>
    <n v="18"/>
  </r>
  <r>
    <x v="2086"/>
    <s v="M0218"/>
    <x v="276"/>
    <s v="Toko C - Surabaya"/>
    <s v="Fashion"/>
    <x v="2055"/>
    <x v="1"/>
    <n v="100"/>
  </r>
  <r>
    <x v="2087"/>
    <s v="M0105"/>
    <x v="329"/>
    <s v="Toko G - Yogyakarta"/>
    <s v="Home &amp; Living"/>
    <x v="2056"/>
    <x v="1"/>
    <n v="8"/>
  </r>
  <r>
    <x v="2088"/>
    <s v="M0114"/>
    <x v="323"/>
    <s v="Toko H - Denpasar"/>
    <s v="Home &amp; Living"/>
    <x v="2057"/>
    <x v="2"/>
    <n v="22"/>
  </r>
  <r>
    <x v="2089"/>
    <s v="M0197"/>
    <x v="192"/>
    <s v="Toko E - Semarang"/>
    <s v="Fashion"/>
    <x v="2058"/>
    <x v="1"/>
    <n v="17"/>
  </r>
  <r>
    <x v="2090"/>
    <s v="M0088"/>
    <x v="360"/>
    <s v="Toko E - Semarang"/>
    <s v="Groceries"/>
    <x v="2059"/>
    <x v="0"/>
    <n v="51"/>
  </r>
  <r>
    <x v="2091"/>
    <s v="M0059"/>
    <x v="310"/>
    <s v="Toko E - Semarang"/>
    <s v="Groceries"/>
    <x v="2060"/>
    <x v="1"/>
    <n v="24"/>
  </r>
  <r>
    <x v="2092"/>
    <s v="M0096"/>
    <x v="170"/>
    <s v="Toko C - Surabaya"/>
    <s v="F&amp;B"/>
    <x v="2061"/>
    <x v="1"/>
    <n v="16"/>
  </r>
  <r>
    <x v="2093"/>
    <s v="M0261"/>
    <x v="275"/>
    <s v="Toko F - Makassar"/>
    <s v="Fashion"/>
    <x v="2062"/>
    <x v="2"/>
    <n v="21"/>
  </r>
  <r>
    <x v="2094"/>
    <s v="M0054"/>
    <x v="74"/>
    <s v="Toko H - Denpasar"/>
    <s v="Home &amp; Living"/>
    <x v="2063"/>
    <x v="2"/>
    <n v="32"/>
  </r>
  <r>
    <x v="2095"/>
    <s v="M0075"/>
    <x v="124"/>
    <s v="Toko G - Yogyakarta"/>
    <s v="Electronics"/>
    <x v="2064"/>
    <x v="0"/>
    <n v="4"/>
  </r>
  <r>
    <x v="2096"/>
    <s v="M0020"/>
    <x v="253"/>
    <s v="Toko G - Yogyakarta"/>
    <s v="F&amp;B"/>
    <x v="2065"/>
    <x v="1"/>
    <n v="9"/>
  </r>
  <r>
    <x v="2097"/>
    <s v="M0210"/>
    <x v="98"/>
    <s v="Toko D - Medan"/>
    <s v="F&amp;B"/>
    <x v="2066"/>
    <x v="0"/>
    <n v="51"/>
  </r>
  <r>
    <x v="2098"/>
    <s v="M0253"/>
    <x v="222"/>
    <s v="Toko C - Surabaya"/>
    <s v="Home &amp; Living"/>
    <x v="2067"/>
    <x v="1"/>
    <n v="3"/>
  </r>
  <r>
    <x v="2099"/>
    <s v="M0236"/>
    <x v="125"/>
    <s v="Toko H - Denpasar"/>
    <s v="Groceries"/>
    <x v="2068"/>
    <x v="1"/>
    <n v="82"/>
  </r>
  <r>
    <x v="2100"/>
    <s v="M0087"/>
    <x v="60"/>
    <s v="Toko E - Semarang"/>
    <s v="Fashion"/>
    <x v="2069"/>
    <x v="1"/>
    <n v="15"/>
  </r>
  <r>
    <x v="2101"/>
    <s v="M0283"/>
    <x v="172"/>
    <s v="Toko B - Bandung"/>
    <s v="Electronics"/>
    <x v="2070"/>
    <x v="1"/>
    <n v="65"/>
  </r>
  <r>
    <x v="2102"/>
    <s v="M0243"/>
    <x v="240"/>
    <s v="Toko H - Denpasar"/>
    <s v="Home &amp; Living"/>
    <x v="2071"/>
    <x v="0"/>
    <n v="57"/>
  </r>
  <r>
    <x v="2103"/>
    <s v="M0018"/>
    <x v="146"/>
    <s v="Toko A - Jakarta"/>
    <s v="Groceries"/>
    <x v="2072"/>
    <x v="0"/>
    <n v="6"/>
  </r>
  <r>
    <x v="2104"/>
    <s v="M0095"/>
    <x v="99"/>
    <s v="Toko F - Makassar"/>
    <s v="Electronics"/>
    <x v="2073"/>
    <x v="2"/>
    <n v="9"/>
  </r>
  <r>
    <x v="2105"/>
    <s v="M0080"/>
    <x v="302"/>
    <s v="Toko B - Bandung"/>
    <s v="Health &amp; Beauty"/>
    <x v="2074"/>
    <x v="2"/>
    <n v="29"/>
  </r>
  <r>
    <x v="2106"/>
    <s v="M0246"/>
    <x v="149"/>
    <s v="Toko D - Medan"/>
    <s v="F&amp;B"/>
    <x v="2075"/>
    <x v="0"/>
    <n v="17"/>
  </r>
  <r>
    <x v="2107"/>
    <s v="M0151"/>
    <x v="335"/>
    <s v="Toko F - Makassar"/>
    <s v="F&amp;B"/>
    <x v="2076"/>
    <x v="1"/>
    <n v="34"/>
  </r>
  <r>
    <x v="2108"/>
    <s v="M0189"/>
    <x v="314"/>
    <s v="Toko A - Jakarta"/>
    <s v="Groceries"/>
    <x v="2077"/>
    <x v="1"/>
    <n v="74"/>
  </r>
  <r>
    <x v="2109"/>
    <s v="M0274"/>
    <x v="41"/>
    <s v="Toko A - Jakarta"/>
    <s v="Electronics"/>
    <x v="2078"/>
    <x v="0"/>
    <n v="61"/>
  </r>
  <r>
    <x v="2110"/>
    <s v="M0114"/>
    <x v="289"/>
    <s v="Toko G - Yogyakarta"/>
    <s v="Health &amp; Beauty"/>
    <x v="2079"/>
    <x v="2"/>
    <n v="46"/>
  </r>
  <r>
    <x v="2111"/>
    <s v="M0140"/>
    <x v="38"/>
    <s v="Toko B - Bandung"/>
    <s v="Groceries"/>
    <x v="2080"/>
    <x v="1"/>
    <n v="68"/>
  </r>
  <r>
    <x v="2112"/>
    <s v="M0087"/>
    <x v="46"/>
    <s v="Toko G - Yogyakarta"/>
    <s v="Electronics"/>
    <x v="2081"/>
    <x v="1"/>
    <n v="15"/>
  </r>
  <r>
    <x v="2113"/>
    <s v="M0294"/>
    <x v="2"/>
    <s v="Toko F - Makassar"/>
    <s v="Groceries"/>
    <x v="2082"/>
    <x v="0"/>
    <n v="16"/>
  </r>
  <r>
    <x v="2114"/>
    <s v="M0298"/>
    <x v="203"/>
    <s v="Toko E - Semarang"/>
    <s v="Health &amp; Beauty"/>
    <x v="8"/>
    <x v="1"/>
    <n v="2"/>
  </r>
  <r>
    <x v="2115"/>
    <s v="M0183"/>
    <x v="99"/>
    <s v="Toko G - Yogyakarta"/>
    <s v="Home &amp; Living"/>
    <x v="2083"/>
    <x v="0"/>
    <n v="18"/>
  </r>
  <r>
    <x v="2116"/>
    <s v="M0087"/>
    <x v="170"/>
    <s v="Toko G - Yogyakarta"/>
    <s v="Groceries"/>
    <x v="2084"/>
    <x v="1"/>
    <n v="25"/>
  </r>
  <r>
    <x v="2117"/>
    <s v="M0175"/>
    <x v="105"/>
    <s v="Toko F - Makassar"/>
    <s v="Home &amp; Living"/>
    <x v="2085"/>
    <x v="1"/>
    <n v="31"/>
  </r>
  <r>
    <x v="2118"/>
    <s v="M0259"/>
    <x v="261"/>
    <s v="Toko D - Medan"/>
    <s v="F&amp;B"/>
    <x v="2086"/>
    <x v="1"/>
    <n v="6"/>
  </r>
  <r>
    <x v="2119"/>
    <s v="M0092"/>
    <x v="13"/>
    <s v="Toko C - Surabaya"/>
    <s v="Electronics"/>
    <x v="2087"/>
    <x v="1"/>
    <n v="33"/>
  </r>
  <r>
    <x v="2120"/>
    <s v="M0280"/>
    <x v="73"/>
    <s v="Toko D - Medan"/>
    <s v="Electronics"/>
    <x v="2088"/>
    <x v="1"/>
    <n v="32"/>
  </r>
  <r>
    <x v="2121"/>
    <s v="M0226"/>
    <x v="104"/>
    <s v="Toko H - Denpasar"/>
    <s v="F&amp;B"/>
    <x v="2089"/>
    <x v="1"/>
    <n v="10"/>
  </r>
  <r>
    <x v="2122"/>
    <s v="M0182"/>
    <x v="163"/>
    <s v="Toko G - Yogyakarta"/>
    <s v="Health &amp; Beauty"/>
    <x v="2090"/>
    <x v="0"/>
    <n v="40"/>
  </r>
  <r>
    <x v="2123"/>
    <s v="M0290"/>
    <x v="298"/>
    <s v="Toko F - Makassar"/>
    <s v="F&amp;B"/>
    <x v="2091"/>
    <x v="0"/>
    <n v="4"/>
  </r>
  <r>
    <x v="2124"/>
    <s v="M0242"/>
    <x v="132"/>
    <s v="Toko F - Makassar"/>
    <s v="F&amp;B"/>
    <x v="2092"/>
    <x v="1"/>
    <n v="13"/>
  </r>
  <r>
    <x v="2125"/>
    <s v="M0225"/>
    <x v="186"/>
    <s v="Toko A - Jakarta"/>
    <s v="F&amp;B"/>
    <x v="2093"/>
    <x v="1"/>
    <n v="73"/>
  </r>
  <r>
    <x v="2126"/>
    <s v="M0227"/>
    <x v="314"/>
    <s v="Toko E - Semarang"/>
    <s v="Health &amp; Beauty"/>
    <x v="2094"/>
    <x v="1"/>
    <n v="76"/>
  </r>
  <r>
    <x v="2127"/>
    <s v="M0066"/>
    <x v="231"/>
    <s v="Toko G - Yogyakarta"/>
    <s v="Electronics"/>
    <x v="2095"/>
    <x v="1"/>
    <n v="30"/>
  </r>
  <r>
    <x v="2128"/>
    <s v="M0154"/>
    <x v="342"/>
    <s v="Toko D - Medan"/>
    <s v="Groceries"/>
    <x v="2096"/>
    <x v="1"/>
    <n v="17"/>
  </r>
  <r>
    <x v="2129"/>
    <s v="M0154"/>
    <x v="324"/>
    <s v="Toko F - Makassar"/>
    <s v="Health &amp; Beauty"/>
    <x v="2097"/>
    <x v="1"/>
    <n v="20"/>
  </r>
  <r>
    <x v="2130"/>
    <s v="M0018"/>
    <x v="106"/>
    <s v="Toko H - Denpasar"/>
    <s v="Electronics"/>
    <x v="2098"/>
    <x v="0"/>
    <n v="9"/>
  </r>
  <r>
    <x v="2131"/>
    <s v="M0048"/>
    <x v="72"/>
    <s v="Toko C - Surabaya"/>
    <s v="Electronics"/>
    <x v="2099"/>
    <x v="2"/>
    <n v="29"/>
  </r>
  <r>
    <x v="2132"/>
    <s v="M0234"/>
    <x v="88"/>
    <s v="Toko E - Semarang"/>
    <s v="Home &amp; Living"/>
    <x v="2100"/>
    <x v="1"/>
    <n v="7"/>
  </r>
  <r>
    <x v="2133"/>
    <s v="M0093"/>
    <x v="143"/>
    <s v="Toko G - Yogyakarta"/>
    <s v="Fashion"/>
    <x v="2101"/>
    <x v="1"/>
    <n v="87"/>
  </r>
  <r>
    <x v="2134"/>
    <s v="M0094"/>
    <x v="27"/>
    <s v="Toko A - Jakarta"/>
    <s v="F&amp;B"/>
    <x v="2102"/>
    <x v="0"/>
    <n v="21"/>
  </r>
  <r>
    <x v="2135"/>
    <s v="M0242"/>
    <x v="325"/>
    <s v="Toko G - Yogyakarta"/>
    <s v="Fashion"/>
    <x v="2103"/>
    <x v="1"/>
    <n v="52"/>
  </r>
  <r>
    <x v="2136"/>
    <s v="M0141"/>
    <x v="158"/>
    <s v="Toko A - Jakarta"/>
    <s v="Groceries"/>
    <x v="2104"/>
    <x v="1"/>
    <n v="5"/>
  </r>
  <r>
    <x v="2137"/>
    <s v="M0274"/>
    <x v="360"/>
    <s v="Toko F - Makassar"/>
    <s v="Health &amp; Beauty"/>
    <x v="2105"/>
    <x v="0"/>
    <n v="12"/>
  </r>
  <r>
    <x v="2138"/>
    <s v="M0116"/>
    <x v="54"/>
    <s v="Toko H - Denpasar"/>
    <s v="F&amp;B"/>
    <x v="2106"/>
    <x v="1"/>
    <n v="20"/>
  </r>
  <r>
    <x v="2139"/>
    <s v="M0092"/>
    <x v="279"/>
    <s v="Toko C - Surabaya"/>
    <s v="Fashion"/>
    <x v="2107"/>
    <x v="1"/>
    <n v="21"/>
  </r>
  <r>
    <x v="2140"/>
    <s v="M0218"/>
    <x v="234"/>
    <s v="Toko C - Surabaya"/>
    <s v="F&amp;B"/>
    <x v="2108"/>
    <x v="1"/>
    <n v="3"/>
  </r>
  <r>
    <x v="2141"/>
    <s v="M0252"/>
    <x v="29"/>
    <s v="Toko H - Denpasar"/>
    <s v="Home &amp; Living"/>
    <x v="2109"/>
    <x v="2"/>
    <n v="30"/>
  </r>
  <r>
    <x v="2142"/>
    <s v="M0242"/>
    <x v="209"/>
    <s v="Toko A - Jakarta"/>
    <s v="Fashion"/>
    <x v="2110"/>
    <x v="1"/>
    <n v="111"/>
  </r>
  <r>
    <x v="2143"/>
    <s v="M0012"/>
    <x v="253"/>
    <s v="Toko A - Jakarta"/>
    <s v="Fashion"/>
    <x v="2111"/>
    <x v="0"/>
    <n v="27"/>
  </r>
  <r>
    <x v="2144"/>
    <s v="M0044"/>
    <x v="349"/>
    <s v="Toko G - Yogyakarta"/>
    <s v="Electronics"/>
    <x v="2112"/>
    <x v="0"/>
    <n v="6"/>
  </r>
  <r>
    <x v="2145"/>
    <s v="M0114"/>
    <x v="148"/>
    <s v="Toko F - Makassar"/>
    <s v="Groceries"/>
    <x v="2113"/>
    <x v="2"/>
    <n v="71"/>
  </r>
  <r>
    <x v="2146"/>
    <s v="M0192"/>
    <x v="154"/>
    <s v="Toko C - Surabaya"/>
    <s v="Home &amp; Living"/>
    <x v="2114"/>
    <x v="1"/>
    <n v="15"/>
  </r>
  <r>
    <x v="2147"/>
    <s v="M0056"/>
    <x v="287"/>
    <s v="Toko C - Surabaya"/>
    <s v="Health &amp; Beauty"/>
    <x v="2115"/>
    <x v="0"/>
    <n v="33"/>
  </r>
  <r>
    <x v="2148"/>
    <s v="M0010"/>
    <x v="136"/>
    <s v="Toko F - Makassar"/>
    <s v="Fashion"/>
    <x v="2116"/>
    <x v="1"/>
    <n v="81"/>
  </r>
  <r>
    <x v="2149"/>
    <s v="M0168"/>
    <x v="4"/>
    <s v="Toko D - Medan"/>
    <s v="Groceries"/>
    <x v="2117"/>
    <x v="0"/>
    <n v="107"/>
  </r>
  <r>
    <x v="2150"/>
    <s v="M0201"/>
    <x v="342"/>
    <s v="Toko G - Yogyakarta"/>
    <s v="Home &amp; Living"/>
    <x v="2118"/>
    <x v="1"/>
    <n v="22"/>
  </r>
  <r>
    <x v="2151"/>
    <s v="M0068"/>
    <x v="42"/>
    <s v="Toko D - Medan"/>
    <s v="Groceries"/>
    <x v="2119"/>
    <x v="0"/>
    <n v="26"/>
  </r>
  <r>
    <x v="2152"/>
    <s v="M0227"/>
    <x v="221"/>
    <s v="Toko C - Surabaya"/>
    <s v="Groceries"/>
    <x v="2120"/>
    <x v="1"/>
    <n v="91"/>
  </r>
  <r>
    <x v="2153"/>
    <s v="M0171"/>
    <x v="30"/>
    <s v="Toko F - Makassar"/>
    <s v="F&amp;B"/>
    <x v="2121"/>
    <x v="1"/>
    <n v="76"/>
  </r>
  <r>
    <x v="2154"/>
    <s v="M0269"/>
    <x v="302"/>
    <s v="Toko B - Bandung"/>
    <s v="Electronics"/>
    <x v="2122"/>
    <x v="1"/>
    <n v="20"/>
  </r>
  <r>
    <x v="2155"/>
    <s v="M0148"/>
    <x v="284"/>
    <s v="Toko E - Semarang"/>
    <s v="F&amp;B"/>
    <x v="2123"/>
    <x v="0"/>
    <n v="15"/>
  </r>
  <r>
    <x v="2156"/>
    <s v="M0267"/>
    <x v="312"/>
    <s v="Toko C - Surabaya"/>
    <s v="Electronics"/>
    <x v="2124"/>
    <x v="1"/>
    <n v="35"/>
  </r>
  <r>
    <x v="2157"/>
    <s v="M0162"/>
    <x v="315"/>
    <s v="Toko E - Semarang"/>
    <s v="Home &amp; Living"/>
    <x v="2125"/>
    <x v="2"/>
    <n v="52"/>
  </r>
  <r>
    <x v="2158"/>
    <s v="M0108"/>
    <x v="135"/>
    <s v="Toko C - Surabaya"/>
    <s v="Fashion"/>
    <x v="2126"/>
    <x v="1"/>
    <n v="24"/>
  </r>
  <r>
    <x v="2159"/>
    <s v="M0081"/>
    <x v="235"/>
    <s v="Toko C - Surabaya"/>
    <s v="Fashion"/>
    <x v="2127"/>
    <x v="1"/>
    <n v="26"/>
  </r>
  <r>
    <x v="2160"/>
    <s v="M0298"/>
    <x v="128"/>
    <s v="Toko F - Makassar"/>
    <s v="Home &amp; Living"/>
    <x v="2128"/>
    <x v="1"/>
    <n v="41"/>
  </r>
  <r>
    <x v="2161"/>
    <s v="M0218"/>
    <x v="294"/>
    <s v="Toko G - Yogyakarta"/>
    <s v="Groceries"/>
    <x v="2129"/>
    <x v="1"/>
    <n v="36"/>
  </r>
  <r>
    <x v="2162"/>
    <s v="M0218"/>
    <x v="2"/>
    <s v="Toko E - Semarang"/>
    <s v="F&amp;B"/>
    <x v="2130"/>
    <x v="1"/>
    <n v="46"/>
  </r>
  <r>
    <x v="2163"/>
    <s v="M0013"/>
    <x v="56"/>
    <s v="Toko A - Jakarta"/>
    <s v="Groceries"/>
    <x v="2131"/>
    <x v="1"/>
    <n v="61"/>
  </r>
  <r>
    <x v="2164"/>
    <s v="M0151"/>
    <x v="96"/>
    <s v="Toko G - Yogyakarta"/>
    <s v="Home &amp; Living"/>
    <x v="2132"/>
    <x v="1"/>
    <n v="45"/>
  </r>
  <r>
    <x v="2165"/>
    <s v="M0035"/>
    <x v="50"/>
    <s v="Toko D - Medan"/>
    <s v="F&amp;B"/>
    <x v="2133"/>
    <x v="1"/>
    <n v="22"/>
  </r>
  <r>
    <x v="2166"/>
    <s v="M0135"/>
    <x v="353"/>
    <s v="Toko A - Jakarta"/>
    <s v="Home &amp; Living"/>
    <x v="2134"/>
    <x v="0"/>
    <n v="30"/>
  </r>
  <r>
    <x v="2167"/>
    <s v="M0172"/>
    <x v="291"/>
    <s v="Toko B - Bandung"/>
    <s v="Electronics"/>
    <x v="2135"/>
    <x v="0"/>
    <n v="21"/>
  </r>
  <r>
    <x v="2168"/>
    <s v="M0271"/>
    <x v="145"/>
    <s v="Toko F - Makassar"/>
    <s v="F&amp;B"/>
    <x v="2136"/>
    <x v="1"/>
    <n v="42"/>
  </r>
  <r>
    <x v="2169"/>
    <s v="M0298"/>
    <x v="351"/>
    <s v="Toko D - Medan"/>
    <s v="F&amp;B"/>
    <x v="2137"/>
    <x v="1"/>
    <n v="18"/>
  </r>
  <r>
    <x v="2170"/>
    <s v="M0039"/>
    <x v="177"/>
    <s v="Toko D - Medan"/>
    <s v="Home &amp; Living"/>
    <x v="2138"/>
    <x v="0"/>
    <n v="16"/>
  </r>
  <r>
    <x v="2171"/>
    <s v="M0139"/>
    <x v="78"/>
    <s v="Toko A - Jakarta"/>
    <s v="Groceries"/>
    <x v="2139"/>
    <x v="1"/>
    <n v="21"/>
  </r>
  <r>
    <x v="2172"/>
    <s v="M0217"/>
    <x v="247"/>
    <s v="Toko E - Semarang"/>
    <s v="Groceries"/>
    <x v="2140"/>
    <x v="0"/>
    <n v="49"/>
  </r>
  <r>
    <x v="2173"/>
    <s v="M0198"/>
    <x v="327"/>
    <s v="Toko D - Medan"/>
    <s v="Fashion"/>
    <x v="2141"/>
    <x v="2"/>
    <n v="17"/>
  </r>
  <r>
    <x v="2174"/>
    <s v="M0077"/>
    <x v="14"/>
    <s v="Toko D - Medan"/>
    <s v="Fashion"/>
    <x v="2142"/>
    <x v="1"/>
    <n v="14"/>
  </r>
  <r>
    <x v="2175"/>
    <s v="M0122"/>
    <x v="76"/>
    <s v="Toko G - Yogyakarta"/>
    <s v="Groceries"/>
    <x v="2143"/>
    <x v="1"/>
    <n v="3"/>
  </r>
  <r>
    <x v="2176"/>
    <s v="M0207"/>
    <x v="35"/>
    <s v="Toko D - Medan"/>
    <s v="Fashion"/>
    <x v="2144"/>
    <x v="0"/>
    <n v="3"/>
  </r>
  <r>
    <x v="2177"/>
    <s v="M0111"/>
    <x v="343"/>
    <s v="Toko D - Medan"/>
    <s v="Fashion"/>
    <x v="2145"/>
    <x v="2"/>
    <n v="29"/>
  </r>
  <r>
    <x v="2178"/>
    <s v="M0008"/>
    <x v="213"/>
    <s v="Toko E - Semarang"/>
    <s v="Fashion"/>
    <x v="2146"/>
    <x v="0"/>
    <n v="6"/>
  </r>
  <r>
    <x v="2179"/>
    <s v="M0056"/>
    <x v="291"/>
    <s v="Toko A - Jakarta"/>
    <s v="Groceries"/>
    <x v="2147"/>
    <x v="0"/>
    <n v="78"/>
  </r>
  <r>
    <x v="2180"/>
    <s v="M0115"/>
    <x v="218"/>
    <s v="Toko F - Makassar"/>
    <s v="Fashion"/>
    <x v="2148"/>
    <x v="1"/>
    <n v="28"/>
  </r>
  <r>
    <x v="2181"/>
    <s v="M0064"/>
    <x v="175"/>
    <s v="Toko B - Bandung"/>
    <s v="Health &amp; Beauty"/>
    <x v="2149"/>
    <x v="2"/>
    <n v="27"/>
  </r>
  <r>
    <x v="2182"/>
    <s v="M0166"/>
    <x v="302"/>
    <s v="Toko H - Denpasar"/>
    <s v="Fashion"/>
    <x v="2150"/>
    <x v="0"/>
    <n v="37"/>
  </r>
  <r>
    <x v="2183"/>
    <s v="M0089"/>
    <x v="268"/>
    <s v="Toko E - Semarang"/>
    <s v="Health &amp; Beauty"/>
    <x v="2151"/>
    <x v="2"/>
    <n v="19"/>
  </r>
  <r>
    <x v="2184"/>
    <s v="M0246"/>
    <x v="311"/>
    <s v="Toko E - Semarang"/>
    <s v="F&amp;B"/>
    <x v="2152"/>
    <x v="0"/>
    <n v="43"/>
  </r>
  <r>
    <x v="2185"/>
    <s v="M0211"/>
    <x v="120"/>
    <s v="Toko D - Medan"/>
    <s v="Health &amp; Beauty"/>
    <x v="2153"/>
    <x v="0"/>
    <n v="7"/>
  </r>
  <r>
    <x v="2186"/>
    <s v="M0198"/>
    <x v="281"/>
    <s v="Toko G - Yogyakarta"/>
    <s v="Electronics"/>
    <x v="2154"/>
    <x v="2"/>
    <n v="48"/>
  </r>
  <r>
    <x v="2187"/>
    <s v="M0198"/>
    <x v="140"/>
    <s v="Toko D - Medan"/>
    <s v="Groceries"/>
    <x v="2155"/>
    <x v="2"/>
    <n v="11"/>
  </r>
  <r>
    <x v="2188"/>
    <s v="M0177"/>
    <x v="224"/>
    <s v="Toko D - Medan"/>
    <s v="Health &amp; Beauty"/>
    <x v="2156"/>
    <x v="1"/>
    <n v="52"/>
  </r>
  <r>
    <x v="2189"/>
    <s v="M0009"/>
    <x v="101"/>
    <s v="Toko B - Bandung"/>
    <s v="Fashion"/>
    <x v="2157"/>
    <x v="1"/>
    <n v="25"/>
  </r>
  <r>
    <x v="2190"/>
    <s v="M0267"/>
    <x v="267"/>
    <s v="Toko C - Surabaya"/>
    <s v="Electronics"/>
    <x v="2158"/>
    <x v="1"/>
    <n v="72"/>
  </r>
  <r>
    <x v="2191"/>
    <s v="M0113"/>
    <x v="205"/>
    <s v="Toko H - Denpasar"/>
    <s v="Health &amp; Beauty"/>
    <x v="2159"/>
    <x v="1"/>
    <n v="13"/>
  </r>
  <r>
    <x v="2192"/>
    <s v="M0064"/>
    <x v="121"/>
    <s v="Toko D - Medan"/>
    <s v="Fashion"/>
    <x v="2160"/>
    <x v="2"/>
    <n v="25"/>
  </r>
  <r>
    <x v="2193"/>
    <s v="M0128"/>
    <x v="292"/>
    <s v="Toko A - Jakarta"/>
    <s v="Home &amp; Living"/>
    <x v="2161"/>
    <x v="1"/>
    <n v="25"/>
  </r>
  <r>
    <x v="2194"/>
    <s v="M0204"/>
    <x v="73"/>
    <s v="Toko B - Bandung"/>
    <s v="Home &amp; Living"/>
    <x v="2162"/>
    <x v="0"/>
    <n v="31"/>
  </r>
  <r>
    <x v="2195"/>
    <s v="M0258"/>
    <x v="327"/>
    <s v="Toko E - Semarang"/>
    <s v="Electronics"/>
    <x v="2163"/>
    <x v="1"/>
    <n v="55"/>
  </r>
  <r>
    <x v="2196"/>
    <s v="M0093"/>
    <x v="57"/>
    <s v="Toko D - Medan"/>
    <s v="Home &amp; Living"/>
    <x v="2164"/>
    <x v="1"/>
    <n v="17"/>
  </r>
  <r>
    <x v="2197"/>
    <s v="M0231"/>
    <x v="126"/>
    <s v="Toko C - Surabaya"/>
    <s v="Health &amp; Beauty"/>
    <x v="2165"/>
    <x v="1"/>
    <n v="66"/>
  </r>
  <r>
    <x v="2198"/>
    <s v="M0105"/>
    <x v="79"/>
    <s v="Toko C - Surabaya"/>
    <s v="Fashion"/>
    <x v="2166"/>
    <x v="1"/>
    <n v="6"/>
  </r>
  <r>
    <x v="2199"/>
    <s v="M0297"/>
    <x v="210"/>
    <s v="Toko E - Semarang"/>
    <s v="Groceries"/>
    <x v="2167"/>
    <x v="1"/>
    <n v="32"/>
  </r>
  <r>
    <x v="2200"/>
    <s v="M0117"/>
    <x v="182"/>
    <s v="Toko G - Yogyakarta"/>
    <s v="Home &amp; Living"/>
    <x v="2168"/>
    <x v="0"/>
    <n v="59"/>
  </r>
  <r>
    <x v="2201"/>
    <s v="M0200"/>
    <x v="308"/>
    <s v="Toko B - Bandung"/>
    <s v="F&amp;B"/>
    <x v="2169"/>
    <x v="0"/>
    <n v="26"/>
  </r>
  <r>
    <x v="2202"/>
    <s v="M0135"/>
    <x v="137"/>
    <s v="Toko E - Semarang"/>
    <s v="Health &amp; Beauty"/>
    <x v="2170"/>
    <x v="0"/>
    <n v="28"/>
  </r>
  <r>
    <x v="2203"/>
    <s v="M0073"/>
    <x v="293"/>
    <s v="Toko D - Medan"/>
    <s v="Electronics"/>
    <x v="2171"/>
    <x v="1"/>
    <n v="23"/>
  </r>
  <r>
    <x v="2204"/>
    <s v="M0056"/>
    <x v="0"/>
    <s v="Toko E - Semarang"/>
    <s v="Home &amp; Living"/>
    <x v="2172"/>
    <x v="0"/>
    <n v="64"/>
  </r>
  <r>
    <x v="2205"/>
    <s v="M0027"/>
    <x v="255"/>
    <s v="Toko C - Surabaya"/>
    <s v="F&amp;B"/>
    <x v="2173"/>
    <x v="1"/>
    <n v="32"/>
  </r>
  <r>
    <x v="2206"/>
    <s v="M0246"/>
    <x v="86"/>
    <s v="Toko A - Jakarta"/>
    <s v="Home &amp; Living"/>
    <x v="2174"/>
    <x v="0"/>
    <n v="21"/>
  </r>
  <r>
    <x v="2207"/>
    <s v="M0228"/>
    <x v="133"/>
    <s v="Toko D - Medan"/>
    <s v="Home &amp; Living"/>
    <x v="2175"/>
    <x v="0"/>
    <n v="21"/>
  </r>
  <r>
    <x v="2208"/>
    <s v="M0085"/>
    <x v="111"/>
    <s v="Toko F - Makassar"/>
    <s v="Groceries"/>
    <x v="2176"/>
    <x v="1"/>
    <n v="8"/>
  </r>
  <r>
    <x v="2209"/>
    <s v="M0264"/>
    <x v="22"/>
    <s v="Toko A - Jakarta"/>
    <s v="Home &amp; Living"/>
    <x v="2177"/>
    <x v="1"/>
    <n v="40"/>
  </r>
  <r>
    <x v="2210"/>
    <s v="M0256"/>
    <x v="5"/>
    <s v="Toko A - Jakarta"/>
    <s v="Fashion"/>
    <x v="2178"/>
    <x v="2"/>
    <n v="36"/>
  </r>
  <r>
    <x v="2211"/>
    <s v="M0002"/>
    <x v="346"/>
    <s v="Toko F - Makassar"/>
    <s v="Groceries"/>
    <x v="2179"/>
    <x v="1"/>
    <n v="6"/>
  </r>
  <r>
    <x v="2212"/>
    <s v="M0189"/>
    <x v="81"/>
    <s v="Toko H - Denpasar"/>
    <s v="F&amp;B"/>
    <x v="2180"/>
    <x v="1"/>
    <n v="79"/>
  </r>
  <r>
    <x v="2213"/>
    <s v="M0212"/>
    <x v="52"/>
    <s v="Toko H - Denpasar"/>
    <s v="Groceries"/>
    <x v="2181"/>
    <x v="2"/>
    <n v="18"/>
  </r>
  <r>
    <x v="2214"/>
    <s v="M0048"/>
    <x v="304"/>
    <s v="Toko B - Bandung"/>
    <s v="Electronics"/>
    <x v="2182"/>
    <x v="2"/>
    <n v="26"/>
  </r>
  <r>
    <x v="2215"/>
    <s v="M0245"/>
    <x v="253"/>
    <s v="Toko H - Denpasar"/>
    <s v="Home &amp; Living"/>
    <x v="2183"/>
    <x v="1"/>
    <n v="32"/>
  </r>
  <r>
    <x v="2216"/>
    <s v="M0297"/>
    <x v="79"/>
    <s v="Toko A - Jakarta"/>
    <s v="Home &amp; Living"/>
    <x v="2184"/>
    <x v="1"/>
    <n v="3"/>
  </r>
  <r>
    <x v="2217"/>
    <s v="M0039"/>
    <x v="356"/>
    <s v="Toko F - Makassar"/>
    <s v="Home &amp; Living"/>
    <x v="2185"/>
    <x v="0"/>
    <n v="38"/>
  </r>
  <r>
    <x v="2218"/>
    <s v="M0246"/>
    <x v="91"/>
    <s v="Toko D - Medan"/>
    <s v="Home &amp; Living"/>
    <x v="2186"/>
    <x v="0"/>
    <n v="32"/>
  </r>
  <r>
    <x v="2219"/>
    <s v="M0233"/>
    <x v="280"/>
    <s v="Toko H - Denpasar"/>
    <s v="F&amp;B"/>
    <x v="2187"/>
    <x v="0"/>
    <n v="30"/>
  </r>
  <r>
    <x v="2220"/>
    <s v="M0281"/>
    <x v="319"/>
    <s v="Toko D - Medan"/>
    <s v="F&amp;B"/>
    <x v="2188"/>
    <x v="0"/>
    <n v="37"/>
  </r>
  <r>
    <x v="2221"/>
    <s v="M0113"/>
    <x v="337"/>
    <s v="Toko F - Makassar"/>
    <s v="Home &amp; Living"/>
    <x v="2189"/>
    <x v="1"/>
    <n v="19"/>
  </r>
  <r>
    <x v="2222"/>
    <s v="M0296"/>
    <x v="270"/>
    <s v="Toko E - Semarang"/>
    <s v="Home &amp; Living"/>
    <x v="2190"/>
    <x v="0"/>
    <n v="14"/>
  </r>
  <r>
    <x v="2223"/>
    <s v="M0288"/>
    <x v="346"/>
    <s v="Toko A - Jakarta"/>
    <s v="Fashion"/>
    <x v="2191"/>
    <x v="1"/>
    <n v="28"/>
  </r>
  <r>
    <x v="2224"/>
    <s v="M0070"/>
    <x v="41"/>
    <s v="Toko F - Makassar"/>
    <s v="Health &amp; Beauty"/>
    <x v="2192"/>
    <x v="0"/>
    <n v="47"/>
  </r>
  <r>
    <x v="2225"/>
    <s v="M0084"/>
    <x v="59"/>
    <s v="Toko E - Semarang"/>
    <s v="Home &amp; Living"/>
    <x v="2193"/>
    <x v="1"/>
    <n v="36"/>
  </r>
  <r>
    <x v="2226"/>
    <s v="M0231"/>
    <x v="88"/>
    <s v="Toko F - Makassar"/>
    <s v="Electronics"/>
    <x v="2194"/>
    <x v="1"/>
    <n v="23"/>
  </r>
  <r>
    <x v="2227"/>
    <s v="M0020"/>
    <x v="336"/>
    <s v="Toko D - Medan"/>
    <s v="Health &amp; Beauty"/>
    <x v="2195"/>
    <x v="1"/>
    <n v="47"/>
  </r>
  <r>
    <x v="2228"/>
    <s v="M0115"/>
    <x v="335"/>
    <s v="Toko C - Surabaya"/>
    <s v="Health &amp; Beauty"/>
    <x v="2196"/>
    <x v="1"/>
    <n v="30"/>
  </r>
  <r>
    <x v="2229"/>
    <s v="M0295"/>
    <x v="203"/>
    <s v="Toko B - Bandung"/>
    <s v="Fashion"/>
    <x v="2197"/>
    <x v="1"/>
    <n v="49"/>
  </r>
  <r>
    <x v="2230"/>
    <s v="M0040"/>
    <x v="241"/>
    <s v="Toko H - Denpasar"/>
    <s v="Groceries"/>
    <x v="2198"/>
    <x v="0"/>
    <n v="15"/>
  </r>
  <r>
    <x v="2231"/>
    <s v="M0012"/>
    <x v="285"/>
    <s v="Toko D - Medan"/>
    <s v="Electronics"/>
    <x v="2199"/>
    <x v="0"/>
    <n v="25"/>
  </r>
  <r>
    <x v="2232"/>
    <s v="M0122"/>
    <x v="239"/>
    <s v="Toko E - Semarang"/>
    <s v="Home &amp; Living"/>
    <x v="2200"/>
    <x v="1"/>
    <n v="14"/>
  </r>
  <r>
    <x v="2233"/>
    <s v="M0239"/>
    <x v="176"/>
    <s v="Toko H - Denpasar"/>
    <s v="F&amp;B"/>
    <x v="2201"/>
    <x v="1"/>
    <n v="56"/>
  </r>
  <r>
    <x v="2234"/>
    <s v="M0113"/>
    <x v="240"/>
    <s v="Toko B - Bandung"/>
    <s v="Groceries"/>
    <x v="2202"/>
    <x v="1"/>
    <n v="25"/>
  </r>
  <r>
    <x v="2235"/>
    <s v="M0208"/>
    <x v="141"/>
    <s v="Toko G - Yogyakarta"/>
    <s v="F&amp;B"/>
    <x v="2203"/>
    <x v="2"/>
    <n v="27"/>
  </r>
  <r>
    <x v="2236"/>
    <s v="M0076"/>
    <x v="276"/>
    <s v="Toko A - Jakarta"/>
    <s v="Health &amp; Beauty"/>
    <x v="2204"/>
    <x v="2"/>
    <n v="9"/>
  </r>
  <r>
    <x v="2237"/>
    <s v="M0137"/>
    <x v="25"/>
    <s v="Toko A - Jakarta"/>
    <s v="Home &amp; Living"/>
    <x v="2205"/>
    <x v="0"/>
    <n v="49"/>
  </r>
  <r>
    <x v="2238"/>
    <s v="M0140"/>
    <x v="56"/>
    <s v="Toko C - Surabaya"/>
    <s v="Health &amp; Beauty"/>
    <x v="2206"/>
    <x v="1"/>
    <n v="21"/>
  </r>
  <r>
    <x v="2239"/>
    <s v="M0274"/>
    <x v="151"/>
    <s v="Toko D - Medan"/>
    <s v="Groceries"/>
    <x v="2207"/>
    <x v="0"/>
    <n v="15"/>
  </r>
  <r>
    <x v="2240"/>
    <s v="M0095"/>
    <x v="297"/>
    <s v="Toko C - Surabaya"/>
    <s v="Home &amp; Living"/>
    <x v="2208"/>
    <x v="2"/>
    <n v="23"/>
  </r>
  <r>
    <x v="2241"/>
    <s v="M0281"/>
    <x v="320"/>
    <s v="Toko G - Yogyakarta"/>
    <s v="Groceries"/>
    <x v="2209"/>
    <x v="0"/>
    <n v="81"/>
  </r>
  <r>
    <x v="2242"/>
    <s v="M0296"/>
    <x v="244"/>
    <s v="Toko B - Bandung"/>
    <s v="Electronics"/>
    <x v="2210"/>
    <x v="0"/>
    <n v="38"/>
  </r>
  <r>
    <x v="2243"/>
    <s v="M0204"/>
    <x v="197"/>
    <s v="Toko F - Makassar"/>
    <s v="Home &amp; Living"/>
    <x v="1205"/>
    <x v="0"/>
    <n v="18"/>
  </r>
  <r>
    <x v="2244"/>
    <s v="M0297"/>
    <x v="302"/>
    <s v="Toko D - Medan"/>
    <s v="Groceries"/>
    <x v="2211"/>
    <x v="1"/>
    <n v="10"/>
  </r>
  <r>
    <x v="2245"/>
    <s v="M0068"/>
    <x v="342"/>
    <s v="Toko G - Yogyakarta"/>
    <s v="Electronics"/>
    <x v="2212"/>
    <x v="0"/>
    <n v="18"/>
  </r>
  <r>
    <x v="2246"/>
    <s v="M0079"/>
    <x v="191"/>
    <s v="Toko D - Medan"/>
    <s v="Health &amp; Beauty"/>
    <x v="2213"/>
    <x v="1"/>
    <n v="25"/>
  </r>
  <r>
    <x v="2247"/>
    <s v="M0239"/>
    <x v="305"/>
    <s v="Toko D - Medan"/>
    <s v="Health &amp; Beauty"/>
    <x v="2214"/>
    <x v="1"/>
    <n v="23"/>
  </r>
  <r>
    <x v="2248"/>
    <s v="M0065"/>
    <x v="27"/>
    <s v="Toko A - Jakarta"/>
    <s v="Health &amp; Beauty"/>
    <x v="2215"/>
    <x v="0"/>
    <n v="5"/>
  </r>
  <r>
    <x v="2249"/>
    <s v="M0169"/>
    <x v="14"/>
    <s v="Toko C - Surabaya"/>
    <s v="Fashion"/>
    <x v="2216"/>
    <x v="1"/>
    <n v="6"/>
  </r>
  <r>
    <x v="2250"/>
    <s v="M0239"/>
    <x v="295"/>
    <s v="Toko B - Bandung"/>
    <s v="Electronics"/>
    <x v="2217"/>
    <x v="1"/>
    <n v="25"/>
  </r>
  <r>
    <x v="2251"/>
    <s v="M0244"/>
    <x v="44"/>
    <s v="Toko E - Semarang"/>
    <s v="Home &amp; Living"/>
    <x v="2218"/>
    <x v="0"/>
    <n v="5"/>
  </r>
  <r>
    <x v="2252"/>
    <s v="M0186"/>
    <x v="212"/>
    <s v="Toko G - Yogyakarta"/>
    <s v="Fashion"/>
    <x v="2219"/>
    <x v="0"/>
    <n v="8"/>
  </r>
  <r>
    <x v="2253"/>
    <s v="M0181"/>
    <x v="134"/>
    <s v="Toko A - Jakarta"/>
    <s v="Home &amp; Living"/>
    <x v="2220"/>
    <x v="1"/>
    <n v="38"/>
  </r>
  <r>
    <x v="2254"/>
    <s v="M0093"/>
    <x v="262"/>
    <s v="Toko D - Medan"/>
    <s v="Fashion"/>
    <x v="2221"/>
    <x v="1"/>
    <n v="11"/>
  </r>
  <r>
    <x v="2255"/>
    <s v="M0151"/>
    <x v="279"/>
    <s v="Toko E - Semarang"/>
    <s v="F&amp;B"/>
    <x v="2222"/>
    <x v="1"/>
    <n v="18"/>
  </r>
  <r>
    <x v="2256"/>
    <s v="M0232"/>
    <x v="225"/>
    <s v="Toko D - Medan"/>
    <s v="Electronics"/>
    <x v="2223"/>
    <x v="1"/>
    <n v="7"/>
  </r>
  <r>
    <x v="2257"/>
    <s v="M0121"/>
    <x v="310"/>
    <s v="Toko H - Denpasar"/>
    <s v="Groceries"/>
    <x v="2224"/>
    <x v="1"/>
    <n v="27"/>
  </r>
  <r>
    <x v="2258"/>
    <s v="M0158"/>
    <x v="181"/>
    <s v="Toko G - Yogyakarta"/>
    <s v="Home &amp; Living"/>
    <x v="2225"/>
    <x v="0"/>
    <n v="19"/>
  </r>
  <r>
    <x v="2259"/>
    <s v="M0184"/>
    <x v="34"/>
    <s v="Toko E - Semarang"/>
    <s v="Fashion"/>
    <x v="2226"/>
    <x v="1"/>
    <n v="46"/>
  </r>
  <r>
    <x v="2260"/>
    <s v="M0036"/>
    <x v="265"/>
    <s v="Toko C - Surabaya"/>
    <s v="Home &amp; Living"/>
    <x v="2227"/>
    <x v="0"/>
    <n v="20"/>
  </r>
  <r>
    <x v="2261"/>
    <s v="M0224"/>
    <x v="254"/>
    <s v="Toko F - Makassar"/>
    <s v="Health &amp; Beauty"/>
    <x v="2228"/>
    <x v="1"/>
    <n v="5"/>
  </r>
  <r>
    <x v="2262"/>
    <s v="M0172"/>
    <x v="198"/>
    <s v="Toko G - Yogyakarta"/>
    <s v="Electronics"/>
    <x v="2229"/>
    <x v="0"/>
    <n v="46"/>
  </r>
  <r>
    <x v="2263"/>
    <s v="M0089"/>
    <x v="258"/>
    <s v="Toko B - Bandung"/>
    <s v="Health &amp; Beauty"/>
    <x v="2230"/>
    <x v="2"/>
    <n v="6"/>
  </r>
  <r>
    <x v="2264"/>
    <s v="M0046"/>
    <x v="302"/>
    <s v="Toko D - Medan"/>
    <s v="F&amp;B"/>
    <x v="2231"/>
    <x v="2"/>
    <n v="9"/>
  </r>
  <r>
    <x v="2265"/>
    <s v="M0021"/>
    <x v="211"/>
    <s v="Toko E - Semarang"/>
    <s v="Groceries"/>
    <x v="2232"/>
    <x v="1"/>
    <n v="14"/>
  </r>
  <r>
    <x v="2266"/>
    <s v="M0171"/>
    <x v="192"/>
    <s v="Toko C - Surabaya"/>
    <s v="Health &amp; Beauty"/>
    <x v="2233"/>
    <x v="1"/>
    <n v="26"/>
  </r>
  <r>
    <x v="2267"/>
    <s v="M0150"/>
    <x v="52"/>
    <s v="Toko A - Jakarta"/>
    <s v="Home &amp; Living"/>
    <x v="2234"/>
    <x v="1"/>
    <n v="78"/>
  </r>
  <r>
    <x v="2268"/>
    <s v="M0239"/>
    <x v="218"/>
    <s v="Toko G - Yogyakarta"/>
    <s v="F&amp;B"/>
    <x v="2235"/>
    <x v="1"/>
    <n v="34"/>
  </r>
  <r>
    <x v="2269"/>
    <s v="M0135"/>
    <x v="167"/>
    <s v="Toko C - Surabaya"/>
    <s v="Fashion"/>
    <x v="2236"/>
    <x v="0"/>
    <n v="38"/>
  </r>
  <r>
    <x v="2270"/>
    <s v="M0219"/>
    <x v="329"/>
    <s v="Toko D - Medan"/>
    <s v="Home &amp; Living"/>
    <x v="2237"/>
    <x v="1"/>
    <n v="16"/>
  </r>
  <r>
    <x v="2271"/>
    <s v="M0171"/>
    <x v="296"/>
    <s v="Toko F - Makassar"/>
    <s v="Groceries"/>
    <x v="2238"/>
    <x v="1"/>
    <n v="14"/>
  </r>
  <r>
    <x v="2272"/>
    <s v="M0249"/>
    <x v="323"/>
    <s v="Toko G - Yogyakarta"/>
    <s v="Home &amp; Living"/>
    <x v="2239"/>
    <x v="0"/>
    <n v="13"/>
  </r>
  <r>
    <x v="2273"/>
    <s v="M0198"/>
    <x v="131"/>
    <s v="Toko A - Jakarta"/>
    <s v="Electronics"/>
    <x v="2240"/>
    <x v="2"/>
    <n v="31"/>
  </r>
  <r>
    <x v="2274"/>
    <s v="M0002"/>
    <x v="290"/>
    <s v="Toko F - Makassar"/>
    <s v="Health &amp; Beauty"/>
    <x v="2241"/>
    <x v="1"/>
    <n v="26"/>
  </r>
  <r>
    <x v="2275"/>
    <s v="M0290"/>
    <x v="224"/>
    <s v="Toko D - Medan"/>
    <s v="Electronics"/>
    <x v="2242"/>
    <x v="0"/>
    <n v="28"/>
  </r>
  <r>
    <x v="2276"/>
    <s v="M0002"/>
    <x v="203"/>
    <s v="Toko G - Yogyakarta"/>
    <s v="Fashion"/>
    <x v="2243"/>
    <x v="1"/>
    <n v="13"/>
  </r>
  <r>
    <x v="2277"/>
    <s v="M0175"/>
    <x v="160"/>
    <s v="Toko D - Medan"/>
    <s v="F&amp;B"/>
    <x v="2244"/>
    <x v="1"/>
    <n v="63"/>
  </r>
  <r>
    <x v="2278"/>
    <s v="M0114"/>
    <x v="19"/>
    <s v="Toko C - Surabaya"/>
    <s v="Home &amp; Living"/>
    <x v="2245"/>
    <x v="2"/>
    <n v="26"/>
  </r>
  <r>
    <x v="2279"/>
    <s v="M0183"/>
    <x v="270"/>
    <s v="Toko B - Bandung"/>
    <s v="F&amp;B"/>
    <x v="2246"/>
    <x v="0"/>
    <n v="39"/>
  </r>
  <r>
    <x v="2280"/>
    <s v="M0243"/>
    <x v="88"/>
    <s v="Toko F - Makassar"/>
    <s v="Groceries"/>
    <x v="2247"/>
    <x v="0"/>
    <n v="7"/>
  </r>
  <r>
    <x v="2281"/>
    <s v="M0216"/>
    <x v="103"/>
    <s v="Toko B - Bandung"/>
    <s v="Fashion"/>
    <x v="2248"/>
    <x v="1"/>
    <n v="4"/>
  </r>
  <r>
    <x v="2282"/>
    <s v="M0071"/>
    <x v="56"/>
    <s v="Toko G - Yogyakarta"/>
    <s v="Health &amp; Beauty"/>
    <x v="2249"/>
    <x v="1"/>
    <n v="45"/>
  </r>
  <r>
    <x v="2283"/>
    <s v="M0074"/>
    <x v="203"/>
    <s v="Toko F - Makassar"/>
    <s v="Electronics"/>
    <x v="2250"/>
    <x v="0"/>
    <n v="70"/>
  </r>
  <r>
    <x v="2284"/>
    <s v="M0297"/>
    <x v="289"/>
    <s v="Toko B - Bandung"/>
    <s v="Electronics"/>
    <x v="2251"/>
    <x v="1"/>
    <n v="18"/>
  </r>
  <r>
    <x v="2285"/>
    <s v="M0196"/>
    <x v="154"/>
    <s v="Toko G - Yogyakarta"/>
    <s v="F&amp;B"/>
    <x v="2252"/>
    <x v="0"/>
    <n v="59"/>
  </r>
  <r>
    <x v="2286"/>
    <s v="M0187"/>
    <x v="353"/>
    <s v="Toko G - Yogyakarta"/>
    <s v="Groceries"/>
    <x v="2253"/>
    <x v="1"/>
    <n v="12"/>
  </r>
  <r>
    <x v="2287"/>
    <s v="M0140"/>
    <x v="39"/>
    <s v="Toko B - Bandung"/>
    <s v="F&amp;B"/>
    <x v="2254"/>
    <x v="1"/>
    <n v="30"/>
  </r>
  <r>
    <x v="2288"/>
    <s v="M0077"/>
    <x v="107"/>
    <s v="Toko A - Jakarta"/>
    <s v="Health &amp; Beauty"/>
    <x v="2255"/>
    <x v="1"/>
    <n v="27"/>
  </r>
  <r>
    <x v="2289"/>
    <s v="M0088"/>
    <x v="284"/>
    <s v="Toko H - Denpasar"/>
    <s v="Fashion"/>
    <x v="2256"/>
    <x v="0"/>
    <n v="11"/>
  </r>
  <r>
    <x v="2290"/>
    <s v="M0062"/>
    <x v="246"/>
    <s v="Toko C - Surabaya"/>
    <s v="Health &amp; Beauty"/>
    <x v="2257"/>
    <x v="1"/>
    <n v="19"/>
  </r>
  <r>
    <x v="2291"/>
    <s v="M0096"/>
    <x v="108"/>
    <s v="Toko D - Medan"/>
    <s v="F&amp;B"/>
    <x v="2258"/>
    <x v="1"/>
    <n v="24"/>
  </r>
  <r>
    <x v="2292"/>
    <s v="M0170"/>
    <x v="63"/>
    <s v="Toko A - Jakarta"/>
    <s v="Home &amp; Living"/>
    <x v="2259"/>
    <x v="0"/>
    <n v="45"/>
  </r>
  <r>
    <x v="2293"/>
    <s v="M0293"/>
    <x v="345"/>
    <s v="Toko G - Yogyakarta"/>
    <s v="Electronics"/>
    <x v="2260"/>
    <x v="1"/>
    <n v="50"/>
  </r>
  <r>
    <x v="2294"/>
    <s v="M0046"/>
    <x v="171"/>
    <s v="Toko C - Surabaya"/>
    <s v="Health &amp; Beauty"/>
    <x v="2261"/>
    <x v="2"/>
    <n v="40"/>
  </r>
  <r>
    <x v="2295"/>
    <s v="M0249"/>
    <x v="237"/>
    <s v="Toko H - Denpasar"/>
    <s v="Groceries"/>
    <x v="2262"/>
    <x v="0"/>
    <n v="51"/>
  </r>
  <r>
    <x v="2296"/>
    <s v="M0178"/>
    <x v="103"/>
    <s v="Toko A - Jakarta"/>
    <s v="Fashion"/>
    <x v="2263"/>
    <x v="0"/>
    <n v="45"/>
  </r>
  <r>
    <x v="2297"/>
    <s v="M0047"/>
    <x v="101"/>
    <s v="Toko B - Bandung"/>
    <s v="Fashion"/>
    <x v="2264"/>
    <x v="1"/>
    <n v="17"/>
  </r>
  <r>
    <x v="2298"/>
    <s v="M0130"/>
    <x v="327"/>
    <s v="Toko C - Surabaya"/>
    <s v="Health &amp; Beauty"/>
    <x v="2265"/>
    <x v="1"/>
    <n v="8"/>
  </r>
  <r>
    <x v="2299"/>
    <s v="M0263"/>
    <x v="138"/>
    <s v="Toko G - Yogyakarta"/>
    <s v="Fashion"/>
    <x v="2266"/>
    <x v="0"/>
    <n v="23"/>
  </r>
  <r>
    <x v="2300"/>
    <s v="M0281"/>
    <x v="311"/>
    <s v="Toko F - Makassar"/>
    <s v="Fashion"/>
    <x v="2267"/>
    <x v="0"/>
    <n v="25"/>
  </r>
  <r>
    <x v="2301"/>
    <s v="M0141"/>
    <x v="355"/>
    <s v="Toko G - Yogyakarta"/>
    <s v="Groceries"/>
    <x v="2268"/>
    <x v="1"/>
    <n v="86"/>
  </r>
  <r>
    <x v="2302"/>
    <s v="M0246"/>
    <x v="238"/>
    <s v="Toko E - Semarang"/>
    <s v="Groceries"/>
    <x v="2269"/>
    <x v="0"/>
    <n v="7"/>
  </r>
  <r>
    <x v="2303"/>
    <s v="M0201"/>
    <x v="100"/>
    <s v="Toko H - Denpasar"/>
    <s v="Groceries"/>
    <x v="2270"/>
    <x v="1"/>
    <n v="82"/>
  </r>
  <r>
    <x v="2304"/>
    <s v="M0099"/>
    <x v="340"/>
    <s v="Toko H - Denpasar"/>
    <s v="Groceries"/>
    <x v="2271"/>
    <x v="1"/>
    <n v="26"/>
  </r>
  <r>
    <x v="2305"/>
    <s v="M0079"/>
    <x v="204"/>
    <s v="Toko C - Surabaya"/>
    <s v="Home &amp; Living"/>
    <x v="2272"/>
    <x v="1"/>
    <n v="15"/>
  </r>
  <r>
    <x v="2306"/>
    <s v="M0090"/>
    <x v="114"/>
    <s v="Toko H - Denpasar"/>
    <s v="Fashion"/>
    <x v="2273"/>
    <x v="1"/>
    <n v="20"/>
  </r>
  <r>
    <x v="2307"/>
    <s v="M0039"/>
    <x v="222"/>
    <s v="Toko A - Jakarta"/>
    <s v="Home &amp; Living"/>
    <x v="2274"/>
    <x v="0"/>
    <n v="8"/>
  </r>
  <r>
    <x v="2308"/>
    <s v="M0052"/>
    <x v="286"/>
    <s v="Toko E - Semarang"/>
    <s v="F&amp;B"/>
    <x v="2275"/>
    <x v="0"/>
    <n v="32"/>
  </r>
  <r>
    <x v="2309"/>
    <s v="M0169"/>
    <x v="261"/>
    <s v="Toko B - Bandung"/>
    <s v="Home &amp; Living"/>
    <x v="2276"/>
    <x v="1"/>
    <n v="15"/>
  </r>
  <r>
    <x v="2310"/>
    <s v="M0171"/>
    <x v="358"/>
    <s v="Toko B - Bandung"/>
    <s v="Fashion"/>
    <x v="2277"/>
    <x v="1"/>
    <n v="12"/>
  </r>
  <r>
    <x v="2311"/>
    <s v="M0156"/>
    <x v="299"/>
    <s v="Toko A - Jakarta"/>
    <s v="Fashion"/>
    <x v="2278"/>
    <x v="0"/>
    <n v="44"/>
  </r>
  <r>
    <x v="2312"/>
    <s v="M0016"/>
    <x v="351"/>
    <s v="Toko G - Yogyakarta"/>
    <s v="Electronics"/>
    <x v="2279"/>
    <x v="1"/>
    <n v="25"/>
  </r>
  <r>
    <x v="2313"/>
    <s v="M0018"/>
    <x v="213"/>
    <s v="Toko D - Medan"/>
    <s v="F&amp;B"/>
    <x v="2280"/>
    <x v="0"/>
    <n v="14"/>
  </r>
  <r>
    <x v="2314"/>
    <s v="M0122"/>
    <x v="311"/>
    <s v="Toko E - Semarang"/>
    <s v="Electronics"/>
    <x v="2281"/>
    <x v="1"/>
    <n v="24"/>
  </r>
  <r>
    <x v="2315"/>
    <s v="M0116"/>
    <x v="23"/>
    <s v="Toko A - Jakarta"/>
    <s v="Electronics"/>
    <x v="2282"/>
    <x v="1"/>
    <n v="4"/>
  </r>
  <r>
    <x v="2316"/>
    <s v="M0140"/>
    <x v="253"/>
    <s v="Toko D - Medan"/>
    <s v="F&amp;B"/>
    <x v="2283"/>
    <x v="1"/>
    <n v="91"/>
  </r>
  <r>
    <x v="2317"/>
    <s v="M0035"/>
    <x v="40"/>
    <s v="Toko C - Surabaya"/>
    <s v="F&amp;B"/>
    <x v="2284"/>
    <x v="1"/>
    <n v="53"/>
  </r>
  <r>
    <x v="2318"/>
    <s v="M0137"/>
    <x v="232"/>
    <s v="Toko D - Medan"/>
    <s v="Electronics"/>
    <x v="2285"/>
    <x v="0"/>
    <n v="58"/>
  </r>
  <r>
    <x v="2319"/>
    <m/>
    <x v="362"/>
    <m/>
    <m/>
    <x v="2286"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4065743-FC26-EC4B-BA2E-E41088B57697}" name="PivotTable16" cacheId="8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E32" firstHeaderRow="0" firstDataRow="0" firstDataCol="0"/>
  <pivotFields count="8">
    <pivotField showAll="0"/>
    <pivotField axis="axisRow" showAll="0">
      <items count="4">
        <item x="0"/>
        <item x="2"/>
        <item x="1"/>
        <item t="default"/>
      </items>
    </pivotField>
    <pivotField dataField="1" showAll="0">
      <items count="2195">
        <item x="386"/>
        <item x="382"/>
        <item x="390"/>
        <item x="383"/>
        <item x="392"/>
        <item x="389"/>
        <item x="381"/>
        <item x="391"/>
        <item x="384"/>
        <item x="387"/>
        <item x="388"/>
        <item x="385"/>
        <item x="22"/>
        <item x="24"/>
        <item x="16"/>
        <item x="19"/>
        <item x="27"/>
        <item x="13"/>
        <item x="23"/>
        <item x="15"/>
        <item x="11"/>
        <item x="20"/>
        <item x="26"/>
        <item x="21"/>
        <item x="18"/>
        <item x="17"/>
        <item x="25"/>
        <item x="10"/>
        <item x="12"/>
        <item x="14"/>
        <item x="987"/>
        <item x="988"/>
        <item x="1986"/>
        <item x="1985"/>
        <item x="1984"/>
        <item x="379"/>
        <item x="376"/>
        <item x="380"/>
        <item x="378"/>
        <item x="377"/>
        <item x="1032"/>
        <item x="1034"/>
        <item x="1033"/>
        <item x="565"/>
        <item x="557"/>
        <item x="554"/>
        <item x="562"/>
        <item x="555"/>
        <item x="561"/>
        <item x="560"/>
        <item x="564"/>
        <item x="563"/>
        <item x="559"/>
        <item x="556"/>
        <item x="558"/>
        <item x="1544"/>
        <item x="1545"/>
        <item x="1547"/>
        <item x="1546"/>
        <item x="1967"/>
        <item x="1563"/>
        <item x="1557"/>
        <item x="1560"/>
        <item x="1564"/>
        <item x="1566"/>
        <item x="1562"/>
        <item x="1558"/>
        <item x="1561"/>
        <item x="1565"/>
        <item x="1559"/>
        <item x="305"/>
        <item x="308"/>
        <item x="306"/>
        <item x="315"/>
        <item x="310"/>
        <item x="304"/>
        <item x="302"/>
        <item x="316"/>
        <item x="309"/>
        <item x="303"/>
        <item x="314"/>
        <item x="311"/>
        <item x="313"/>
        <item x="307"/>
        <item x="312"/>
        <item x="710"/>
        <item x="712"/>
        <item x="709"/>
        <item x="708"/>
        <item x="711"/>
        <item x="1861"/>
        <item x="1859"/>
        <item x="1862"/>
        <item x="1860"/>
        <item x="901"/>
        <item x="902"/>
        <item x="903"/>
        <item x="904"/>
        <item x="847"/>
        <item x="849"/>
        <item x="850"/>
        <item x="846"/>
        <item x="845"/>
        <item x="848"/>
        <item x="29"/>
        <item x="31"/>
        <item x="30"/>
        <item x="28"/>
        <item x="2164"/>
        <item x="2162"/>
        <item x="2165"/>
        <item x="2163"/>
        <item x="2125"/>
        <item x="2126"/>
        <item x="2149"/>
        <item x="2150"/>
        <item x="468"/>
        <item x="469"/>
        <item x="1241"/>
        <item x="1237"/>
        <item x="1245"/>
        <item x="1239"/>
        <item x="1244"/>
        <item x="1236"/>
        <item x="1242"/>
        <item x="1238"/>
        <item x="1246"/>
        <item x="1235"/>
        <item x="1243"/>
        <item x="1240"/>
        <item x="2166"/>
        <item x="2167"/>
        <item x="1569"/>
        <item x="1567"/>
        <item x="1568"/>
        <item x="1572"/>
        <item x="1571"/>
        <item x="1570"/>
        <item x="58"/>
        <item x="61"/>
        <item x="59"/>
        <item x="60"/>
        <item x="57"/>
        <item x="62"/>
        <item x="56"/>
        <item x="63"/>
        <item x="54"/>
        <item x="55"/>
        <item x="2185"/>
        <item x="2186"/>
        <item x="1532"/>
        <item x="1533"/>
        <item x="1325"/>
        <item x="1323"/>
        <item x="1326"/>
        <item x="1328"/>
        <item x="1327"/>
        <item x="1324"/>
        <item x="1935"/>
        <item x="277"/>
        <item x="275"/>
        <item x="276"/>
        <item x="835"/>
        <item x="836"/>
        <item x="833"/>
        <item x="844"/>
        <item x="840"/>
        <item x="838"/>
        <item x="837"/>
        <item x="843"/>
        <item x="839"/>
        <item x="842"/>
        <item x="834"/>
        <item x="841"/>
        <item x="77"/>
        <item x="67"/>
        <item x="74"/>
        <item x="76"/>
        <item x="66"/>
        <item x="69"/>
        <item x="71"/>
        <item x="68"/>
        <item x="70"/>
        <item x="65"/>
        <item x="75"/>
        <item x="72"/>
        <item x="73"/>
        <item x="78"/>
        <item x="64"/>
        <item x="1633"/>
        <item x="1634"/>
        <item x="1631"/>
        <item x="1636"/>
        <item x="1630"/>
        <item x="1629"/>
        <item x="1637"/>
        <item x="1632"/>
        <item x="1635"/>
        <item x="1460"/>
        <item x="1459"/>
        <item x="1458"/>
        <item x="2191"/>
        <item x="85"/>
        <item x="86"/>
        <item x="96"/>
        <item x="94"/>
        <item x="91"/>
        <item x="84"/>
        <item x="88"/>
        <item x="89"/>
        <item x="79"/>
        <item x="83"/>
        <item x="82"/>
        <item x="93"/>
        <item x="87"/>
        <item x="92"/>
        <item x="80"/>
        <item x="90"/>
        <item x="95"/>
        <item x="81"/>
        <item x="1674"/>
        <item x="1680"/>
        <item x="1673"/>
        <item x="1678"/>
        <item x="1679"/>
        <item x="1677"/>
        <item x="1676"/>
        <item x="1675"/>
        <item x="2134"/>
        <item x="2135"/>
        <item x="2133"/>
        <item x="1643"/>
        <item x="1641"/>
        <item x="1642"/>
        <item x="1640"/>
        <item x="644"/>
        <item x="645"/>
        <item x="643"/>
        <item x="961"/>
        <item x="971"/>
        <item x="960"/>
        <item x="964"/>
        <item x="972"/>
        <item x="968"/>
        <item x="950"/>
        <item x="958"/>
        <item x="969"/>
        <item x="965"/>
        <item x="970"/>
        <item x="953"/>
        <item x="962"/>
        <item x="956"/>
        <item x="966"/>
        <item x="954"/>
        <item x="957"/>
        <item x="952"/>
        <item x="949"/>
        <item x="959"/>
        <item x="951"/>
        <item x="967"/>
        <item x="963"/>
        <item x="955"/>
        <item x="2131"/>
        <item x="2130"/>
        <item x="2132"/>
        <item x="1092"/>
        <item x="1088"/>
        <item x="1089"/>
        <item x="1093"/>
        <item x="1091"/>
        <item x="1090"/>
        <item x="1117"/>
        <item x="1115"/>
        <item x="1114"/>
        <item x="1116"/>
        <item x="110"/>
        <item x="113"/>
        <item x="108"/>
        <item x="111"/>
        <item x="114"/>
        <item x="112"/>
        <item x="107"/>
        <item x="109"/>
        <item x="115"/>
        <item x="121"/>
        <item x="125"/>
        <item x="124"/>
        <item x="116"/>
        <item x="119"/>
        <item x="126"/>
        <item x="118"/>
        <item x="122"/>
        <item x="120"/>
        <item x="117"/>
        <item x="123"/>
        <item x="2188"/>
        <item x="2187"/>
        <item x="694"/>
        <item x="696"/>
        <item x="691"/>
        <item x="688"/>
        <item x="693"/>
        <item x="692"/>
        <item x="690"/>
        <item x="697"/>
        <item x="689"/>
        <item x="695"/>
        <item x="1420"/>
        <item x="1423"/>
        <item x="1426"/>
        <item x="1421"/>
        <item x="1419"/>
        <item x="1424"/>
        <item x="1417"/>
        <item x="1425"/>
        <item x="1416"/>
        <item x="1422"/>
        <item x="1418"/>
        <item x="1415"/>
        <item x="1524"/>
        <item x="1523"/>
        <item x="1525"/>
        <item x="1522"/>
        <item x="1512"/>
        <item x="1510"/>
        <item x="1515"/>
        <item x="1511"/>
        <item x="1509"/>
        <item x="1516"/>
        <item x="1513"/>
        <item x="1514"/>
        <item x="1624"/>
        <item x="1619"/>
        <item x="1623"/>
        <item x="1614"/>
        <item x="1618"/>
        <item x="1622"/>
        <item x="1616"/>
        <item x="1615"/>
        <item x="1620"/>
        <item x="1621"/>
        <item x="1613"/>
        <item x="1617"/>
        <item x="613"/>
        <item x="605"/>
        <item x="606"/>
        <item x="609"/>
        <item x="604"/>
        <item x="596"/>
        <item x="611"/>
        <item x="597"/>
        <item x="600"/>
        <item x="595"/>
        <item x="601"/>
        <item x="610"/>
        <item x="593"/>
        <item x="603"/>
        <item x="615"/>
        <item x="594"/>
        <item x="598"/>
        <item x="599"/>
        <item x="602"/>
        <item x="612"/>
        <item x="607"/>
        <item x="608"/>
        <item x="614"/>
        <item x="592"/>
        <item x="127"/>
        <item x="129"/>
        <item x="130"/>
        <item x="128"/>
        <item x="1963"/>
        <item x="1962"/>
        <item x="1961"/>
        <item x="1719"/>
        <item x="1720"/>
        <item x="1225"/>
        <item x="1589"/>
        <item x="1592"/>
        <item x="1591"/>
        <item x="1590"/>
        <item x="1594"/>
        <item x="1593"/>
        <item x="1901"/>
        <item x="1896"/>
        <item x="1900"/>
        <item x="1898"/>
        <item x="1897"/>
        <item x="1899"/>
        <item x="948"/>
        <item x="944"/>
        <item x="939"/>
        <item x="937"/>
        <item x="943"/>
        <item x="940"/>
        <item x="938"/>
        <item x="942"/>
        <item x="947"/>
        <item x="945"/>
        <item x="941"/>
        <item x="946"/>
        <item x="1254"/>
        <item x="1258"/>
        <item x="1257"/>
        <item x="1248"/>
        <item x="1247"/>
        <item x="1256"/>
        <item x="1253"/>
        <item x="1249"/>
        <item x="1251"/>
        <item x="1255"/>
        <item x="1252"/>
        <item x="1250"/>
        <item x="396"/>
        <item x="394"/>
        <item x="395"/>
        <item x="393"/>
        <item x="2159"/>
        <item x="2158"/>
        <item x="2190"/>
        <item x="232"/>
        <item x="240"/>
        <item x="234"/>
        <item x="235"/>
        <item x="238"/>
        <item x="236"/>
        <item x="237"/>
        <item x="239"/>
        <item x="233"/>
        <item x="2019"/>
        <item x="2020"/>
        <item x="2023"/>
        <item x="2018"/>
        <item x="2021"/>
        <item x="2022"/>
        <item x="272"/>
        <item x="265"/>
        <item x="266"/>
        <item x="267"/>
        <item x="269"/>
        <item x="273"/>
        <item x="274"/>
        <item x="268"/>
        <item x="270"/>
        <item x="271"/>
        <item x="1929"/>
        <item x="1926"/>
        <item x="1925"/>
        <item x="1927"/>
        <item x="1933"/>
        <item x="1928"/>
        <item x="1932"/>
        <item x="1930"/>
        <item x="1931"/>
        <item x="2143"/>
        <item x="2142"/>
        <item x="480"/>
        <item x="482"/>
        <item x="481"/>
        <item x="479"/>
        <item x="478"/>
        <item x="2068"/>
        <item x="2063"/>
        <item x="2073"/>
        <item x="2065"/>
        <item x="2064"/>
        <item x="2072"/>
        <item x="2074"/>
        <item x="2067"/>
        <item x="2069"/>
        <item x="2071"/>
        <item x="2070"/>
        <item x="2066"/>
        <item x="634"/>
        <item x="641"/>
        <item x="640"/>
        <item x="642"/>
        <item x="636"/>
        <item x="639"/>
        <item x="635"/>
        <item x="638"/>
        <item x="637"/>
        <item x="2082"/>
        <item x="2081"/>
        <item x="2084"/>
        <item x="2083"/>
        <item x="2080"/>
        <item x="2079"/>
        <item x="1779"/>
        <item x="1776"/>
        <item x="1781"/>
        <item x="1789"/>
        <item x="1788"/>
        <item x="1780"/>
        <item x="1791"/>
        <item x="1782"/>
        <item x="1787"/>
        <item x="1790"/>
        <item x="1778"/>
        <item x="1775"/>
        <item x="1784"/>
        <item x="1777"/>
        <item x="1783"/>
        <item x="1786"/>
        <item x="1785"/>
        <item x="1774"/>
        <item x="1452"/>
        <item x="1449"/>
        <item x="1451"/>
        <item x="1447"/>
        <item x="1450"/>
        <item x="1448"/>
        <item x="2052"/>
        <item x="2054"/>
        <item x="2057"/>
        <item x="2053"/>
        <item x="2056"/>
        <item x="2055"/>
        <item x="43"/>
        <item x="42"/>
        <item x="41"/>
        <item x="38"/>
        <item x="40"/>
        <item x="39"/>
        <item x="1363"/>
        <item x="1357"/>
        <item x="1369"/>
        <item x="1365"/>
        <item x="1364"/>
        <item x="1366"/>
        <item x="1370"/>
        <item x="1360"/>
        <item x="1372"/>
        <item x="1367"/>
        <item x="1362"/>
        <item x="1358"/>
        <item x="1368"/>
        <item x="1359"/>
        <item x="1361"/>
        <item x="1356"/>
        <item x="1371"/>
        <item x="1355"/>
        <item x="1373"/>
        <item x="1374"/>
        <item x="32"/>
        <item x="35"/>
        <item x="36"/>
        <item x="34"/>
        <item x="33"/>
        <item x="37"/>
        <item x="1056"/>
        <item x="1058"/>
        <item x="1059"/>
        <item x="1060"/>
        <item x="1057"/>
        <item x="1988"/>
        <item x="1989"/>
        <item x="1990"/>
        <item x="1991"/>
        <item x="1987"/>
        <item x="2101"/>
        <item x="2102"/>
        <item x="1517"/>
        <item x="1521"/>
        <item x="1519"/>
        <item x="1520"/>
        <item x="1518"/>
        <item x="1648"/>
        <item x="1657"/>
        <item x="1661"/>
        <item x="1656"/>
        <item x="1649"/>
        <item x="1647"/>
        <item x="1658"/>
        <item x="1654"/>
        <item x="1644"/>
        <item x="1660"/>
        <item x="1652"/>
        <item x="1659"/>
        <item x="1645"/>
        <item x="1650"/>
        <item x="1655"/>
        <item x="1651"/>
        <item x="1653"/>
        <item x="1646"/>
        <item x="1082"/>
        <item x="1077"/>
        <item x="1080"/>
        <item x="1079"/>
        <item x="1081"/>
        <item x="1078"/>
        <item x="1334"/>
        <item x="1341"/>
        <item x="1340"/>
        <item x="1337"/>
        <item x="1338"/>
        <item x="1333"/>
        <item x="1348"/>
        <item x="1345"/>
        <item x="1342"/>
        <item x="1352"/>
        <item x="1344"/>
        <item x="1332"/>
        <item x="1346"/>
        <item x="1350"/>
        <item x="1329"/>
        <item x="1331"/>
        <item x="1339"/>
        <item x="1351"/>
        <item x="1349"/>
        <item x="1347"/>
        <item x="1343"/>
        <item x="1330"/>
        <item x="1335"/>
        <item x="1336"/>
        <item x="648"/>
        <item x="647"/>
        <item x="651"/>
        <item x="649"/>
        <item x="652"/>
        <item x="653"/>
        <item x="646"/>
        <item x="650"/>
        <item x="1595"/>
        <item x="1597"/>
        <item x="1599"/>
        <item x="1596"/>
        <item x="1598"/>
        <item x="1600"/>
        <item x="1009"/>
        <item x="1003"/>
        <item x="1001"/>
        <item x="999"/>
        <item x="1006"/>
        <item x="1004"/>
        <item x="1002"/>
        <item x="1008"/>
        <item x="1000"/>
        <item x="1007"/>
        <item x="1013"/>
        <item x="1005"/>
        <item x="1011"/>
        <item x="1012"/>
        <item x="1010"/>
        <item x="321"/>
        <item x="327"/>
        <item x="330"/>
        <item x="335"/>
        <item x="334"/>
        <item x="325"/>
        <item x="329"/>
        <item x="331"/>
        <item x="324"/>
        <item x="322"/>
        <item x="323"/>
        <item x="328"/>
        <item x="332"/>
        <item x="326"/>
        <item x="333"/>
        <item x="872"/>
        <item x="869"/>
        <item x="874"/>
        <item x="875"/>
        <item x="873"/>
        <item x="870"/>
        <item x="871"/>
        <item x="876"/>
        <item x="2100"/>
        <item x="2098"/>
        <item x="2099"/>
        <item x="2096"/>
        <item x="2095"/>
        <item x="2097"/>
        <item x="1609"/>
        <item x="1608"/>
        <item x="1606"/>
        <item x="1603"/>
        <item x="1602"/>
        <item x="1601"/>
        <item x="1611"/>
        <item x="1612"/>
        <item x="1605"/>
        <item x="1604"/>
        <item x="1607"/>
        <item x="1610"/>
        <item x="1937"/>
        <item x="1944"/>
        <item x="1941"/>
        <item x="1936"/>
        <item x="1938"/>
        <item x="1943"/>
        <item x="1939"/>
        <item x="1945"/>
        <item x="1942"/>
        <item x="1940"/>
        <item x="998"/>
        <item x="995"/>
        <item x="989"/>
        <item x="993"/>
        <item x="997"/>
        <item x="991"/>
        <item x="990"/>
        <item x="992"/>
        <item x="996"/>
        <item x="994"/>
        <item x="1496"/>
        <item x="1494"/>
        <item x="1495"/>
        <item x="1492"/>
        <item x="1491"/>
        <item x="1493"/>
        <item x="426"/>
        <item x="422"/>
        <item x="425"/>
        <item x="427"/>
        <item x="424"/>
        <item x="423"/>
        <item x="421"/>
        <item x="420"/>
        <item x="455"/>
        <item x="454"/>
        <item x="459"/>
        <item x="463"/>
        <item x="458"/>
        <item x="456"/>
        <item x="461"/>
        <item x="457"/>
        <item x="462"/>
        <item x="460"/>
        <item x="831"/>
        <item x="830"/>
        <item x="829"/>
        <item x="832"/>
        <item x="1751"/>
        <item x="1753"/>
        <item x="1754"/>
        <item x="1756"/>
        <item x="1749"/>
        <item x="1752"/>
        <item x="1757"/>
        <item x="1748"/>
        <item x="1750"/>
        <item x="1746"/>
        <item x="1747"/>
        <item x="1755"/>
        <item x="435"/>
        <item x="449"/>
        <item x="450"/>
        <item x="447"/>
        <item x="445"/>
        <item x="444"/>
        <item x="441"/>
        <item x="446"/>
        <item x="439"/>
        <item x="438"/>
        <item x="451"/>
        <item x="437"/>
        <item x="448"/>
        <item x="452"/>
        <item x="440"/>
        <item x="434"/>
        <item x="443"/>
        <item x="442"/>
        <item x="453"/>
        <item x="436"/>
        <item x="1850"/>
        <item x="1852"/>
        <item x="1851"/>
        <item x="1849"/>
        <item x="2178"/>
        <item x="2179"/>
        <item x="1476"/>
        <item x="1478"/>
        <item x="1479"/>
        <item x="1480"/>
        <item x="1477"/>
        <item x="1475"/>
        <item x="2002"/>
        <item x="2003"/>
        <item x="1287"/>
        <item x="1289"/>
        <item x="1288"/>
        <item x="1286"/>
        <item x="1062"/>
        <item x="1063"/>
        <item x="1064"/>
        <item x="1061"/>
        <item x="1065"/>
        <item x="810"/>
        <item x="808"/>
        <item x="816"/>
        <item x="804"/>
        <item x="817"/>
        <item x="822"/>
        <item x="807"/>
        <item x="803"/>
        <item x="805"/>
        <item x="814"/>
        <item x="809"/>
        <item x="820"/>
        <item x="815"/>
        <item x="818"/>
        <item x="824"/>
        <item x="802"/>
        <item x="819"/>
        <item x="813"/>
        <item x="823"/>
        <item x="811"/>
        <item x="825"/>
        <item x="806"/>
        <item x="821"/>
        <item x="812"/>
        <item x="1281"/>
        <item x="1280"/>
        <item x="1279"/>
        <item x="1284"/>
        <item x="1283"/>
        <item x="1278"/>
        <item x="1277"/>
        <item x="1282"/>
        <item x="1285"/>
        <item x="1772"/>
        <item x="1765"/>
        <item x="1771"/>
        <item x="1768"/>
        <item x="1767"/>
        <item x="1773"/>
        <item x="1769"/>
        <item x="1766"/>
        <item x="1770"/>
        <item x="1764"/>
        <item x="1574"/>
        <item x="1577"/>
        <item x="1580"/>
        <item x="1581"/>
        <item x="1576"/>
        <item x="1578"/>
        <item x="1573"/>
        <item x="1583"/>
        <item x="1575"/>
        <item x="1582"/>
        <item x="1579"/>
        <item x="1584"/>
        <item x="1902"/>
        <item x="1908"/>
        <item x="1907"/>
        <item x="1906"/>
        <item x="1910"/>
        <item x="1903"/>
        <item x="1905"/>
        <item x="1904"/>
        <item x="1909"/>
        <item x="2091"/>
        <item x="2090"/>
        <item x="2092"/>
        <item x="193"/>
        <item x="190"/>
        <item x="191"/>
        <item x="192"/>
        <item x="1542"/>
        <item x="1543"/>
        <item x="1541"/>
        <item x="1540"/>
        <item x="882"/>
        <item x="879"/>
        <item x="894"/>
        <item x="886"/>
        <item x="888"/>
        <item x="881"/>
        <item x="891"/>
        <item x="890"/>
        <item x="893"/>
        <item x="880"/>
        <item x="878"/>
        <item x="887"/>
        <item x="889"/>
        <item x="892"/>
        <item x="884"/>
        <item x="883"/>
        <item x="885"/>
        <item x="877"/>
        <item x="1836"/>
        <item x="1829"/>
        <item x="1835"/>
        <item x="1831"/>
        <item x="1823"/>
        <item x="1837"/>
        <item x="1824"/>
        <item x="1825"/>
        <item x="1818"/>
        <item x="1817"/>
        <item x="1820"/>
        <item x="1816"/>
        <item x="1834"/>
        <item x="1821"/>
        <item x="1833"/>
        <item x="1822"/>
        <item x="1839"/>
        <item x="1826"/>
        <item x="1828"/>
        <item x="1832"/>
        <item x="1838"/>
        <item x="1819"/>
        <item x="1827"/>
        <item x="1830"/>
        <item x="895"/>
        <item x="898"/>
        <item x="896"/>
        <item x="900"/>
        <item x="897"/>
        <item x="899"/>
        <item x="2127"/>
        <item x="1316"/>
        <item x="1312"/>
        <item x="1317"/>
        <item x="1315"/>
        <item x="1313"/>
        <item x="1311"/>
        <item x="1314"/>
        <item x="1310"/>
        <item x="534"/>
        <item x="529"/>
        <item x="538"/>
        <item x="539"/>
        <item x="535"/>
        <item x="537"/>
        <item x="531"/>
        <item x="532"/>
        <item x="528"/>
        <item x="530"/>
        <item x="533"/>
        <item x="536"/>
        <item x="186"/>
        <item x="188"/>
        <item x="170"/>
        <item x="187"/>
        <item x="174"/>
        <item x="180"/>
        <item x="168"/>
        <item x="166"/>
        <item x="175"/>
        <item x="182"/>
        <item x="176"/>
        <item x="172"/>
        <item x="177"/>
        <item x="171"/>
        <item x="173"/>
        <item x="181"/>
        <item x="179"/>
        <item x="178"/>
        <item x="183"/>
        <item x="167"/>
        <item x="185"/>
        <item x="189"/>
        <item x="169"/>
        <item x="184"/>
        <item x="2176"/>
        <item x="2174"/>
        <item x="2175"/>
        <item x="2177"/>
        <item x="1758"/>
        <item x="1759"/>
        <item x="1760"/>
        <item x="1762"/>
        <item x="1761"/>
        <item x="1763"/>
        <item x="336"/>
        <item x="343"/>
        <item x="338"/>
        <item x="342"/>
        <item x="340"/>
        <item x="339"/>
        <item x="341"/>
        <item x="337"/>
        <item x="2180"/>
        <item x="2157"/>
        <item x="134"/>
        <item x="132"/>
        <item x="133"/>
        <item x="131"/>
        <item x="351"/>
        <item x="345"/>
        <item x="347"/>
        <item x="350"/>
        <item x="348"/>
        <item x="346"/>
        <item x="349"/>
        <item x="344"/>
        <item x="2141"/>
        <item x="2140"/>
        <item x="2139"/>
        <item x="2138"/>
        <item x="701"/>
        <item x="700"/>
        <item x="698"/>
        <item x="707"/>
        <item x="705"/>
        <item x="704"/>
        <item x="703"/>
        <item x="699"/>
        <item x="702"/>
        <item x="706"/>
        <item x="827"/>
        <item x="828"/>
        <item x="826"/>
        <item x="1297"/>
        <item x="1299"/>
        <item x="1296"/>
        <item x="1298"/>
        <item x="1724"/>
        <item x="1727"/>
        <item x="1728"/>
        <item x="1725"/>
        <item x="1721"/>
        <item x="1730"/>
        <item x="1729"/>
        <item x="1722"/>
        <item x="1726"/>
        <item x="1723"/>
        <item x="1965"/>
        <item x="1966"/>
        <item x="1964"/>
        <item x="1026"/>
        <item x="1028"/>
        <item x="1029"/>
        <item x="1030"/>
        <item x="1031"/>
        <item x="1027"/>
        <item x="1025"/>
        <item x="1024"/>
        <item x="2189"/>
        <item x="2094"/>
        <item x="2093"/>
        <item x="317"/>
        <item x="318"/>
        <item x="319"/>
        <item x="320"/>
        <item x="1588"/>
        <item x="1587"/>
        <item x="1585"/>
        <item x="1586"/>
        <item x="768"/>
        <item x="765"/>
        <item x="764"/>
        <item x="767"/>
        <item x="762"/>
        <item x="766"/>
        <item x="761"/>
        <item x="763"/>
        <item x="1084"/>
        <item x="1083"/>
        <item x="1085"/>
        <item x="1087"/>
        <item x="1086"/>
        <item x="2007"/>
        <item x="2006"/>
        <item x="2004"/>
        <item x="2005"/>
        <item x="1704"/>
        <item x="1708"/>
        <item x="1694"/>
        <item x="1697"/>
        <item x="1699"/>
        <item x="1698"/>
        <item x="1709"/>
        <item x="1700"/>
        <item x="1693"/>
        <item x="1689"/>
        <item x="1705"/>
        <item x="1690"/>
        <item x="1691"/>
        <item x="1687"/>
        <item x="1706"/>
        <item x="1703"/>
        <item x="1702"/>
        <item x="1688"/>
        <item x="1695"/>
        <item x="1701"/>
        <item x="1707"/>
        <item x="1710"/>
        <item x="1692"/>
        <item x="1696"/>
        <item x="1792"/>
        <item x="1793"/>
        <item x="475"/>
        <item x="473"/>
        <item x="477"/>
        <item x="474"/>
        <item x="476"/>
        <item x="517"/>
        <item x="518"/>
        <item x="520"/>
        <item x="514"/>
        <item x="515"/>
        <item x="516"/>
        <item x="521"/>
        <item x="519"/>
        <item x="513"/>
        <item x="511"/>
        <item x="510"/>
        <item x="512"/>
        <item x="2058"/>
        <item x="2061"/>
        <item x="2060"/>
        <item x="2062"/>
        <item x="2059"/>
        <item x="2193"/>
        <item x="1847"/>
        <item x="1845"/>
        <item x="1841"/>
        <item x="1840"/>
        <item x="1848"/>
        <item x="1844"/>
        <item x="1843"/>
        <item x="1842"/>
        <item x="1846"/>
        <item x="2144"/>
        <item x="2145"/>
        <item x="2146"/>
        <item x="1894"/>
        <item x="687"/>
        <item x="686"/>
        <item x="682"/>
        <item x="683"/>
        <item x="685"/>
        <item x="684"/>
        <item x="139"/>
        <item x="147"/>
        <item x="146"/>
        <item x="141"/>
        <item x="140"/>
        <item x="143"/>
        <item x="145"/>
        <item x="144"/>
        <item x="142"/>
        <item x="138"/>
        <item x="628"/>
        <item x="631"/>
        <item x="632"/>
        <item x="633"/>
        <item x="629"/>
        <item x="630"/>
        <item x="546"/>
        <item x="544"/>
        <item x="543"/>
        <item x="540"/>
        <item x="547"/>
        <item x="541"/>
        <item x="545"/>
        <item x="542"/>
        <item x="220"/>
        <item x="222"/>
        <item x="221"/>
        <item x="223"/>
        <item x="1454"/>
        <item x="1456"/>
        <item x="1453"/>
        <item x="1455"/>
        <item x="1457"/>
        <item x="194"/>
        <item x="201"/>
        <item x="203"/>
        <item x="205"/>
        <item x="202"/>
        <item x="199"/>
        <item x="204"/>
        <item x="197"/>
        <item x="198"/>
        <item x="195"/>
        <item x="200"/>
        <item x="196"/>
        <item x="2000"/>
        <item x="1997"/>
        <item x="1999"/>
        <item x="2001"/>
        <item x="1996"/>
        <item x="1998"/>
        <item x="2087"/>
        <item x="2088"/>
        <item x="2089"/>
        <item x="1319"/>
        <item x="1321"/>
        <item x="1322"/>
        <item x="1318"/>
        <item x="1320"/>
        <item x="1918"/>
        <item x="1919"/>
        <item x="1917"/>
        <item x="1923"/>
        <item x="1922"/>
        <item x="1920"/>
        <item x="1921"/>
        <item x="1924"/>
        <item x="1866"/>
        <item x="1868"/>
        <item x="1869"/>
        <item x="1873"/>
        <item x="1874"/>
        <item x="1865"/>
        <item x="1877"/>
        <item x="1864"/>
        <item x="1863"/>
        <item x="1870"/>
        <item x="1872"/>
        <item x="1880"/>
        <item x="1871"/>
        <item x="1875"/>
        <item x="1878"/>
        <item x="1867"/>
        <item x="1876"/>
        <item x="1879"/>
        <item x="1744"/>
        <item x="1742"/>
        <item x="1743"/>
        <item x="1745"/>
        <item x="1550"/>
        <item x="1548"/>
        <item x="1549"/>
        <item x="551"/>
        <item x="553"/>
        <item x="550"/>
        <item x="548"/>
        <item x="552"/>
        <item x="549"/>
        <item x="1118"/>
        <item x="219"/>
        <item x="214"/>
        <item x="217"/>
        <item x="215"/>
        <item x="216"/>
        <item x="218"/>
        <item x="431"/>
        <item x="432"/>
        <item x="428"/>
        <item x="429"/>
        <item x="433"/>
        <item x="430"/>
        <item x="678"/>
        <item x="679"/>
        <item x="681"/>
        <item x="680"/>
        <item x="1934"/>
        <item x="296"/>
        <item x="301"/>
        <item x="300"/>
        <item x="298"/>
        <item x="297"/>
        <item x="299"/>
        <item x="2184"/>
        <item x="2183"/>
        <item x="577"/>
        <item x="583"/>
        <item x="582"/>
        <item x="576"/>
        <item x="588"/>
        <item x="580"/>
        <item x="581"/>
        <item x="586"/>
        <item x="591"/>
        <item x="589"/>
        <item x="584"/>
        <item x="585"/>
        <item x="587"/>
        <item x="578"/>
        <item x="590"/>
        <item x="579"/>
        <item x="985"/>
        <item x="980"/>
        <item x="983"/>
        <item x="984"/>
        <item x="986"/>
        <item x="979"/>
        <item x="982"/>
        <item x="981"/>
        <item x="1294"/>
        <item x="1295"/>
        <item x="1291"/>
        <item x="1293"/>
        <item x="1290"/>
        <item x="1292"/>
        <item x="1953"/>
        <item x="1958"/>
        <item x="1959"/>
        <item x="1957"/>
        <item x="1948"/>
        <item x="1949"/>
        <item x="1946"/>
        <item x="1956"/>
        <item x="1955"/>
        <item x="1954"/>
        <item x="1951"/>
        <item x="1960"/>
        <item x="1950"/>
        <item x="1952"/>
        <item x="1947"/>
        <item x="718"/>
        <item x="717"/>
        <item x="720"/>
        <item x="713"/>
        <item x="729"/>
        <item x="716"/>
        <item x="722"/>
        <item x="728"/>
        <item x="726"/>
        <item x="714"/>
        <item x="724"/>
        <item x="719"/>
        <item x="725"/>
        <item x="721"/>
        <item x="730"/>
        <item x="715"/>
        <item x="727"/>
        <item x="723"/>
        <item x="1264"/>
        <item x="1265"/>
        <item x="1260"/>
        <item x="1263"/>
        <item x="1262"/>
        <item x="1267"/>
        <item x="1259"/>
        <item x="1261"/>
        <item x="1266"/>
        <item x="1268"/>
        <item x="2017"/>
        <item x="2010"/>
        <item x="2009"/>
        <item x="2012"/>
        <item x="2008"/>
        <item x="2014"/>
        <item x="2016"/>
        <item x="2011"/>
        <item x="2013"/>
        <item x="2015"/>
        <item x="1385"/>
        <item x="1386"/>
        <item x="1068"/>
        <item x="1066"/>
        <item x="1070"/>
        <item x="1069"/>
        <item x="1067"/>
        <item x="659"/>
        <item x="668"/>
        <item x="671"/>
        <item x="674"/>
        <item x="663"/>
        <item x="670"/>
        <item x="669"/>
        <item x="676"/>
        <item x="662"/>
        <item x="675"/>
        <item x="658"/>
        <item x="664"/>
        <item x="666"/>
        <item x="677"/>
        <item x="665"/>
        <item x="667"/>
        <item x="672"/>
        <item x="661"/>
        <item x="673"/>
        <item x="660"/>
        <item x="1469"/>
        <item x="1467"/>
        <item x="1468"/>
        <item x="1474"/>
        <item x="1473"/>
        <item x="1470"/>
        <item x="1471"/>
        <item x="1472"/>
        <item x="1497"/>
        <item x="1498"/>
        <item x="1500"/>
        <item x="1499"/>
        <item x="2192"/>
        <item x="1625"/>
        <item x="1626"/>
        <item x="1627"/>
        <item x="1628"/>
        <item x="1122"/>
        <item x="1119"/>
        <item x="1120"/>
        <item x="1121"/>
        <item x="1123"/>
        <item x="1124"/>
        <item x="626"/>
        <item x="625"/>
        <item x="618"/>
        <item x="619"/>
        <item x="620"/>
        <item x="621"/>
        <item x="622"/>
        <item x="624"/>
        <item x="623"/>
        <item x="616"/>
        <item x="627"/>
        <item x="617"/>
        <item x="406"/>
        <item x="411"/>
        <item x="415"/>
        <item x="412"/>
        <item x="397"/>
        <item x="409"/>
        <item x="398"/>
        <item x="407"/>
        <item x="399"/>
        <item x="405"/>
        <item x="402"/>
        <item x="403"/>
        <item x="416"/>
        <item x="408"/>
        <item x="401"/>
        <item x="410"/>
        <item x="414"/>
        <item x="400"/>
        <item x="404"/>
        <item x="413"/>
        <item x="1912"/>
        <item x="1914"/>
        <item x="1913"/>
        <item x="1911"/>
        <item x="1916"/>
        <item x="1915"/>
        <item x="105"/>
        <item x="98"/>
        <item x="97"/>
        <item x="102"/>
        <item x="106"/>
        <item x="103"/>
        <item x="99"/>
        <item x="104"/>
        <item x="100"/>
        <item x="101"/>
        <item x="2160"/>
        <item x="2161"/>
        <item x="2136"/>
        <item x="2137"/>
        <item x="1405"/>
        <item x="1414"/>
        <item x="1402"/>
        <item x="1407"/>
        <item x="1404"/>
        <item x="1403"/>
        <item x="1399"/>
        <item x="1395"/>
        <item x="1400"/>
        <item x="1408"/>
        <item x="1410"/>
        <item x="1412"/>
        <item x="1398"/>
        <item x="1391"/>
        <item x="1393"/>
        <item x="1397"/>
        <item x="1396"/>
        <item x="1394"/>
        <item x="1406"/>
        <item x="1409"/>
        <item x="1411"/>
        <item x="1401"/>
        <item x="1392"/>
        <item x="1413"/>
        <item x="249"/>
        <item x="252"/>
        <item x="253"/>
        <item x="250"/>
        <item x="251"/>
        <item x="254"/>
        <item x="2182"/>
        <item x="2181"/>
        <item x="418"/>
        <item x="417"/>
        <item x="419"/>
        <item x="137"/>
        <item x="136"/>
        <item x="135"/>
        <item x="2148"/>
        <item x="2147"/>
        <item x="1187"/>
        <item x="1188"/>
        <item x="1189"/>
        <item x="1190"/>
        <item x="738"/>
        <item x="737"/>
        <item x="732"/>
        <item x="733"/>
        <item x="735"/>
        <item x="734"/>
        <item x="736"/>
        <item x="731"/>
        <item x="1461"/>
        <item x="1466"/>
        <item x="1464"/>
        <item x="1463"/>
        <item x="1462"/>
        <item x="1465"/>
        <item x="567"/>
        <item x="569"/>
        <item x="566"/>
        <item x="571"/>
        <item x="570"/>
        <item x="568"/>
        <item x="2049"/>
        <item x="2051"/>
        <item x="2048"/>
        <item x="2050"/>
        <item x="1551"/>
        <item x="1554"/>
        <item x="1556"/>
        <item x="1553"/>
        <item x="1552"/>
        <item x="1555"/>
        <item x="789"/>
        <item x="791"/>
        <item x="787"/>
        <item x="788"/>
        <item x="790"/>
        <item x="2153"/>
        <item x="2152"/>
        <item x="2151"/>
        <item x="2154"/>
        <item x="294"/>
        <item x="288"/>
        <item x="291"/>
        <item x="289"/>
        <item x="280"/>
        <item x="279"/>
        <item x="282"/>
        <item x="292"/>
        <item x="287"/>
        <item x="283"/>
        <item x="293"/>
        <item x="281"/>
        <item x="290"/>
        <item x="278"/>
        <item x="284"/>
        <item x="295"/>
        <item x="286"/>
        <item x="285"/>
        <item x="2123"/>
        <item x="2122"/>
        <item x="2124"/>
        <item x="2121"/>
        <item x="780"/>
        <item x="772"/>
        <item x="782"/>
        <item x="775"/>
        <item x="786"/>
        <item x="776"/>
        <item x="783"/>
        <item x="770"/>
        <item x="784"/>
        <item x="781"/>
        <item x="773"/>
        <item x="778"/>
        <item x="779"/>
        <item x="771"/>
        <item x="769"/>
        <item x="777"/>
        <item x="774"/>
        <item x="785"/>
        <item x="1733"/>
        <item x="1732"/>
        <item x="1731"/>
        <item x="1682"/>
        <item x="1681"/>
        <item x="1684"/>
        <item x="1685"/>
        <item x="1686"/>
        <item x="1683"/>
        <item x="1737"/>
        <item x="1736"/>
        <item x="1734"/>
        <item x="1735"/>
        <item x="913"/>
        <item x="905"/>
        <item x="914"/>
        <item x="911"/>
        <item x="907"/>
        <item x="915"/>
        <item x="916"/>
        <item x="910"/>
        <item x="909"/>
        <item x="912"/>
        <item x="908"/>
        <item x="906"/>
        <item x="2172"/>
        <item x="2173"/>
        <item x="1389"/>
        <item x="1388"/>
        <item x="1390"/>
        <item x="1387"/>
        <item x="1197"/>
        <item x="1214"/>
        <item x="1211"/>
        <item x="1215"/>
        <item x="1195"/>
        <item x="1206"/>
        <item x="1191"/>
        <item x="1203"/>
        <item x="1192"/>
        <item x="1212"/>
        <item x="1199"/>
        <item x="1202"/>
        <item x="1207"/>
        <item x="1201"/>
        <item x="1200"/>
        <item x="1213"/>
        <item x="1196"/>
        <item x="1193"/>
        <item x="1205"/>
        <item x="1208"/>
        <item x="1204"/>
        <item x="1210"/>
        <item x="1198"/>
        <item x="1194"/>
        <item x="1209"/>
        <item x="1810"/>
        <item x="1815"/>
        <item x="1804"/>
        <item x="1807"/>
        <item x="1806"/>
        <item x="1808"/>
        <item x="1813"/>
        <item x="1809"/>
        <item x="1812"/>
        <item x="1811"/>
        <item x="1805"/>
        <item x="1814"/>
        <item x="656"/>
        <item x="655"/>
        <item x="654"/>
        <item x="657"/>
        <item x="1638"/>
        <item x="1639"/>
        <item x="1219"/>
        <item x="1218"/>
        <item x="1220"/>
        <item x="1217"/>
        <item x="1224"/>
        <item x="1216"/>
        <item x="1222"/>
        <item x="1223"/>
        <item x="1221"/>
        <item x="1376"/>
        <item x="1381"/>
        <item x="1383"/>
        <item x="1377"/>
        <item x="1382"/>
        <item x="1380"/>
        <item x="1378"/>
        <item x="1375"/>
        <item x="1379"/>
        <item x="1384"/>
        <item x="211"/>
        <item x="207"/>
        <item x="210"/>
        <item x="213"/>
        <item x="212"/>
        <item x="206"/>
        <item x="208"/>
        <item x="209"/>
        <item x="1979"/>
        <item x="1983"/>
        <item x="1982"/>
        <item x="1975"/>
        <item x="1980"/>
        <item x="1977"/>
        <item x="1978"/>
        <item x="1974"/>
        <item x="1976"/>
        <item x="1981"/>
        <item x="1234"/>
        <item x="1229"/>
        <item x="1226"/>
        <item x="1232"/>
        <item x="1228"/>
        <item x="1233"/>
        <item x="1231"/>
        <item x="1227"/>
        <item x="1230"/>
        <item x="1973"/>
        <item x="1968"/>
        <item x="1971"/>
        <item x="1972"/>
        <item x="1969"/>
        <item x="1970"/>
        <item x="1994"/>
        <item x="1993"/>
        <item x="1995"/>
        <item x="1992"/>
        <item x="1300"/>
        <item x="1304"/>
        <item x="1308"/>
        <item x="1303"/>
        <item x="1305"/>
        <item x="1307"/>
        <item x="1306"/>
        <item x="1301"/>
        <item x="1309"/>
        <item x="1302"/>
        <item x="1667"/>
        <item x="1663"/>
        <item x="1664"/>
        <item x="1666"/>
        <item x="1665"/>
        <item x="1662"/>
        <item x="575"/>
        <item x="572"/>
        <item x="573"/>
        <item x="574"/>
        <item x="1177"/>
        <item x="1164"/>
        <item x="1173"/>
        <item x="1171"/>
        <item x="1168"/>
        <item x="1158"/>
        <item x="1157"/>
        <item x="1183"/>
        <item x="1170"/>
        <item x="1159"/>
        <item x="1172"/>
        <item x="1186"/>
        <item x="1160"/>
        <item x="1166"/>
        <item x="1163"/>
        <item x="1176"/>
        <item x="1179"/>
        <item x="1184"/>
        <item x="1161"/>
        <item x="1174"/>
        <item x="1175"/>
        <item x="1185"/>
        <item x="1162"/>
        <item x="1181"/>
        <item x="1167"/>
        <item x="1180"/>
        <item x="1169"/>
        <item x="1182"/>
        <item x="1178"/>
        <item x="1165"/>
        <item x="356"/>
        <item x="371"/>
        <item x="370"/>
        <item x="367"/>
        <item x="357"/>
        <item x="366"/>
        <item x="369"/>
        <item x="361"/>
        <item x="355"/>
        <item x="360"/>
        <item x="364"/>
        <item x="354"/>
        <item x="365"/>
        <item x="358"/>
        <item x="352"/>
        <item x="363"/>
        <item x="368"/>
        <item x="359"/>
        <item x="353"/>
        <item x="362"/>
        <item x="1272"/>
        <item x="1271"/>
        <item x="1269"/>
        <item x="1275"/>
        <item x="1270"/>
        <item x="1273"/>
        <item x="1276"/>
        <item x="1274"/>
        <item x="1444"/>
        <item x="1428"/>
        <item x="1438"/>
        <item x="1443"/>
        <item x="1442"/>
        <item x="1433"/>
        <item x="1439"/>
        <item x="1441"/>
        <item x="1434"/>
        <item x="1430"/>
        <item x="1436"/>
        <item x="1440"/>
        <item x="1446"/>
        <item x="1429"/>
        <item x="1445"/>
        <item x="1431"/>
        <item x="1437"/>
        <item x="1435"/>
        <item x="1432"/>
        <item x="1427"/>
        <item x="2085"/>
        <item x="2086"/>
        <item x="255"/>
        <item x="258"/>
        <item x="262"/>
        <item x="264"/>
        <item x="263"/>
        <item x="256"/>
        <item x="261"/>
        <item x="260"/>
        <item x="257"/>
        <item x="259"/>
        <item x="931"/>
        <item x="925"/>
        <item x="924"/>
        <item x="923"/>
        <item x="926"/>
        <item x="930"/>
        <item x="933"/>
        <item x="928"/>
        <item x="932"/>
        <item x="917"/>
        <item x="922"/>
        <item x="934"/>
        <item x="936"/>
        <item x="920"/>
        <item x="918"/>
        <item x="921"/>
        <item x="927"/>
        <item x="929"/>
        <item x="919"/>
        <item x="935"/>
        <item x="372"/>
        <item x="373"/>
        <item x="375"/>
        <item x="374"/>
        <item x="1895"/>
        <item x="1794"/>
        <item x="1801"/>
        <item x="1800"/>
        <item x="1795"/>
        <item x="1798"/>
        <item x="1797"/>
        <item x="1803"/>
        <item x="1799"/>
        <item x="1796"/>
        <item x="1802"/>
        <item x="747"/>
        <item x="745"/>
        <item x="757"/>
        <item x="746"/>
        <item x="753"/>
        <item x="754"/>
        <item x="760"/>
        <item x="756"/>
        <item x="755"/>
        <item x="751"/>
        <item x="752"/>
        <item x="748"/>
        <item x="759"/>
        <item x="758"/>
        <item x="749"/>
        <item x="750"/>
        <item x="1672"/>
        <item x="1668"/>
        <item x="1671"/>
        <item x="1670"/>
        <item x="1669"/>
        <item x="1354"/>
        <item x="1353"/>
        <item x="1143"/>
        <item x="1141"/>
        <item x="1144"/>
        <item x="1142"/>
        <item x="1741"/>
        <item x="1738"/>
        <item x="1739"/>
        <item x="1740"/>
        <item x="1530"/>
        <item x="1528"/>
        <item x="1529"/>
        <item x="1526"/>
        <item x="1527"/>
        <item x="1531"/>
        <item x="228"/>
        <item x="226"/>
        <item x="231"/>
        <item x="229"/>
        <item x="230"/>
        <item x="224"/>
        <item x="225"/>
        <item x="227"/>
        <item x="2104"/>
        <item x="2103"/>
        <item x="2105"/>
        <item x="1155"/>
        <item x="1154"/>
        <item x="1146"/>
        <item x="1145"/>
        <item x="1149"/>
        <item x="1156"/>
        <item x="1151"/>
        <item x="1152"/>
        <item x="1147"/>
        <item x="1153"/>
        <item x="1150"/>
        <item x="1148"/>
        <item x="1110"/>
        <item x="1098"/>
        <item x="1113"/>
        <item x="1109"/>
        <item x="1107"/>
        <item x="1099"/>
        <item x="1105"/>
        <item x="1102"/>
        <item x="1097"/>
        <item x="1104"/>
        <item x="1095"/>
        <item x="1112"/>
        <item x="1096"/>
        <item x="1108"/>
        <item x="1094"/>
        <item x="1111"/>
        <item x="1106"/>
        <item x="1101"/>
        <item x="1103"/>
        <item x="1100"/>
        <item x="1534"/>
        <item x="1535"/>
        <item x="1539"/>
        <item x="1538"/>
        <item x="1536"/>
        <item x="1537"/>
        <item x="866"/>
        <item x="858"/>
        <item x="857"/>
        <item x="863"/>
        <item x="868"/>
        <item x="859"/>
        <item x="862"/>
        <item x="861"/>
        <item x="860"/>
        <item x="865"/>
        <item x="864"/>
        <item x="867"/>
        <item x="1137"/>
        <item x="1127"/>
        <item x="1131"/>
        <item x="1126"/>
        <item x="1130"/>
        <item x="1136"/>
        <item x="1140"/>
        <item x="1135"/>
        <item x="1132"/>
        <item x="1138"/>
        <item x="1133"/>
        <item x="1128"/>
        <item x="1134"/>
        <item x="1139"/>
        <item x="1125"/>
        <item x="1129"/>
        <item x="471"/>
        <item x="470"/>
        <item x="472"/>
        <item x="161"/>
        <item x="155"/>
        <item x="156"/>
        <item x="157"/>
        <item x="159"/>
        <item x="153"/>
        <item x="151"/>
        <item x="148"/>
        <item x="154"/>
        <item x="165"/>
        <item x="149"/>
        <item x="163"/>
        <item x="164"/>
        <item x="158"/>
        <item x="162"/>
        <item x="150"/>
        <item x="152"/>
        <item x="160"/>
        <item x="1885"/>
        <item x="1886"/>
        <item x="1883"/>
        <item x="1889"/>
        <item x="1884"/>
        <item x="1890"/>
        <item x="1882"/>
        <item x="1887"/>
        <item x="1881"/>
        <item x="1888"/>
        <item x="1022"/>
        <item x="1023"/>
        <item x="1020"/>
        <item x="1019"/>
        <item x="1021"/>
        <item x="502"/>
        <item x="509"/>
        <item x="505"/>
        <item x="503"/>
        <item x="507"/>
        <item x="501"/>
        <item x="508"/>
        <item x="504"/>
        <item x="506"/>
        <item x="852"/>
        <item x="856"/>
        <item x="855"/>
        <item x="851"/>
        <item x="854"/>
        <item x="853"/>
        <item x="1508"/>
        <item x="1504"/>
        <item x="1501"/>
        <item x="1505"/>
        <item x="1507"/>
        <item x="1502"/>
        <item x="1503"/>
        <item x="1506"/>
        <item x="248"/>
        <item x="244"/>
        <item x="247"/>
        <item x="243"/>
        <item x="242"/>
        <item x="241"/>
        <item x="246"/>
        <item x="245"/>
        <item x="974"/>
        <item x="977"/>
        <item x="976"/>
        <item x="973"/>
        <item x="975"/>
        <item x="978"/>
        <item x="46"/>
        <item x="48"/>
        <item x="45"/>
        <item x="51"/>
        <item x="53"/>
        <item x="49"/>
        <item x="44"/>
        <item x="47"/>
        <item x="52"/>
        <item x="50"/>
        <item x="1054"/>
        <item x="1046"/>
        <item x="1048"/>
        <item x="1053"/>
        <item x="1051"/>
        <item x="1050"/>
        <item x="1049"/>
        <item x="1055"/>
        <item x="1052"/>
        <item x="1045"/>
        <item x="1044"/>
        <item x="1047"/>
        <item x="2168"/>
        <item x="2169"/>
        <item x="1892"/>
        <item x="1893"/>
        <item x="1891"/>
        <item x="2112"/>
        <item x="2109"/>
        <item x="2106"/>
        <item x="2113"/>
        <item x="2108"/>
        <item x="2114"/>
        <item x="2107"/>
        <item x="2110"/>
        <item x="2111"/>
        <item x="2036"/>
        <item x="2031"/>
        <item x="2035"/>
        <item x="2045"/>
        <item x="2026"/>
        <item x="2025"/>
        <item x="2028"/>
        <item x="2043"/>
        <item x="2037"/>
        <item x="2041"/>
        <item x="2039"/>
        <item x="2040"/>
        <item x="2034"/>
        <item x="2033"/>
        <item x="2047"/>
        <item x="2029"/>
        <item x="2027"/>
        <item x="2042"/>
        <item x="2032"/>
        <item x="2024"/>
        <item x="2030"/>
        <item x="2044"/>
        <item x="2046"/>
        <item x="2038"/>
        <item x="2118"/>
        <item x="2117"/>
        <item x="2115"/>
        <item x="2116"/>
        <item x="1718"/>
        <item x="1716"/>
        <item x="1711"/>
        <item x="1717"/>
        <item x="1712"/>
        <item x="1714"/>
        <item x="1713"/>
        <item x="1715"/>
        <item x="2120"/>
        <item x="2119"/>
        <item x="1857"/>
        <item x="1854"/>
        <item x="1853"/>
        <item x="1858"/>
        <item x="1856"/>
        <item x="1855"/>
        <item x="2170"/>
        <item x="2171"/>
        <item x="2156"/>
        <item x="2155"/>
        <item x="796"/>
        <item x="793"/>
        <item x="800"/>
        <item x="792"/>
        <item x="801"/>
        <item x="799"/>
        <item x="794"/>
        <item x="797"/>
        <item x="798"/>
        <item x="795"/>
        <item x="742"/>
        <item x="744"/>
        <item x="741"/>
        <item x="740"/>
        <item x="743"/>
        <item x="739"/>
        <item x="1487"/>
        <item x="1488"/>
        <item x="1489"/>
        <item x="1481"/>
        <item x="1485"/>
        <item x="1490"/>
        <item x="1482"/>
        <item x="1486"/>
        <item x="1484"/>
        <item x="1483"/>
        <item x="2128"/>
        <item x="2129"/>
        <item x="1018"/>
        <item x="1014"/>
        <item x="1016"/>
        <item x="1015"/>
        <item x="1017"/>
        <item x="1042"/>
        <item x="1043"/>
        <item x="1035"/>
        <item x="1040"/>
        <item x="1041"/>
        <item x="1039"/>
        <item x="1038"/>
        <item x="1036"/>
        <item x="1037"/>
        <item x="466"/>
        <item x="465"/>
        <item x="464"/>
        <item x="467"/>
        <item x="7"/>
        <item x="4"/>
        <item x="6"/>
        <item x="8"/>
        <item x="1"/>
        <item x="0"/>
        <item x="9"/>
        <item x="2"/>
        <item x="5"/>
        <item x="3"/>
        <item x="499"/>
        <item x="493"/>
        <item x="484"/>
        <item x="496"/>
        <item x="489"/>
        <item x="486"/>
        <item x="487"/>
        <item x="488"/>
        <item x="494"/>
        <item x="491"/>
        <item x="485"/>
        <item x="500"/>
        <item x="495"/>
        <item x="492"/>
        <item x="490"/>
        <item x="497"/>
        <item x="483"/>
        <item x="498"/>
        <item x="525"/>
        <item x="523"/>
        <item x="526"/>
        <item x="527"/>
        <item x="522"/>
        <item x="524"/>
        <item x="2077"/>
        <item x="2076"/>
        <item x="2078"/>
        <item x="2075"/>
        <item x="1076"/>
        <item x="1075"/>
        <item x="1074"/>
        <item x="1073"/>
        <item x="1071"/>
        <item x="1072"/>
        <item t="default"/>
      </items>
    </pivotField>
    <pivotField numFmtId="164" showAll="0">
      <items count="363">
        <item x="73"/>
        <item x="233"/>
        <item x="165"/>
        <item x="245"/>
        <item x="263"/>
        <item x="214"/>
        <item x="49"/>
        <item x="230"/>
        <item x="76"/>
        <item x="343"/>
        <item x="212"/>
        <item x="126"/>
        <item x="272"/>
        <item x="131"/>
        <item x="281"/>
        <item x="39"/>
        <item x="340"/>
        <item x="180"/>
        <item x="4"/>
        <item x="223"/>
        <item x="147"/>
        <item x="0"/>
        <item x="164"/>
        <item x="19"/>
        <item x="129"/>
        <item x="28"/>
        <item x="59"/>
        <item x="166"/>
        <item x="9"/>
        <item x="240"/>
        <item x="101"/>
        <item x="291"/>
        <item x="148"/>
        <item x="319"/>
        <item x="177"/>
        <item x="332"/>
        <item x="89"/>
        <item x="56"/>
        <item x="160"/>
        <item x="323"/>
        <item x="283"/>
        <item x="327"/>
        <item x="65"/>
        <item x="114"/>
        <item x="144"/>
        <item x="294"/>
        <item x="22"/>
        <item x="182"/>
        <item x="347"/>
        <item x="135"/>
        <item x="117"/>
        <item x="107"/>
        <item x="44"/>
        <item x="312"/>
        <item x="236"/>
        <item x="142"/>
        <item x="75"/>
        <item x="251"/>
        <item x="262"/>
        <item x="210"/>
        <item x="163"/>
        <item x="173"/>
        <item x="255"/>
        <item x="273"/>
        <item x="202"/>
        <item x="172"/>
        <item x="181"/>
        <item x="207"/>
        <item x="238"/>
        <item x="307"/>
        <item x="320"/>
        <item x="41"/>
        <item x="308"/>
        <item x="79"/>
        <item x="34"/>
        <item x="360"/>
        <item x="136"/>
        <item x="51"/>
        <item x="298"/>
        <item x="30"/>
        <item x="321"/>
        <item x="231"/>
        <item x="314"/>
        <item x="175"/>
        <item x="94"/>
        <item x="16"/>
        <item x="99"/>
        <item x="120"/>
        <item x="289"/>
        <item x="11"/>
        <item x="162"/>
        <item x="151"/>
        <item x="118"/>
        <item x="355"/>
        <item x="116"/>
        <item x="330"/>
        <item x="124"/>
        <item x="227"/>
        <item x="239"/>
        <item x="60"/>
        <item x="96"/>
        <item x="14"/>
        <item x="63"/>
        <item x="306"/>
        <item x="348"/>
        <item x="146"/>
        <item x="284"/>
        <item x="100"/>
        <item x="328"/>
        <item x="256"/>
        <item x="316"/>
        <item x="275"/>
        <item x="152"/>
        <item x="134"/>
        <item x="213"/>
        <item x="95"/>
        <item x="344"/>
        <item x="299"/>
        <item x="122"/>
        <item x="149"/>
        <item x="254"/>
        <item x="125"/>
        <item x="68"/>
        <item x="188"/>
        <item x="292"/>
        <item x="297"/>
        <item x="266"/>
        <item x="208"/>
        <item x="12"/>
        <item x="115"/>
        <item x="18"/>
        <item x="192"/>
        <item x="8"/>
        <item x="334"/>
        <item x="276"/>
        <item x="198"/>
        <item x="88"/>
        <item x="216"/>
        <item x="313"/>
        <item x="6"/>
        <item x="290"/>
        <item x="194"/>
        <item x="286"/>
        <item x="248"/>
        <item x="45"/>
        <item x="98"/>
        <item x="305"/>
        <item x="17"/>
        <item x="310"/>
        <item x="219"/>
        <item x="27"/>
        <item x="237"/>
        <item x="287"/>
        <item x="10"/>
        <item x="32"/>
        <item x="130"/>
        <item x="141"/>
        <item x="191"/>
        <item x="153"/>
        <item x="296"/>
        <item x="357"/>
        <item x="187"/>
        <item x="133"/>
        <item x="200"/>
        <item x="196"/>
        <item x="31"/>
        <item x="206"/>
        <item x="295"/>
        <item x="217"/>
        <item x="78"/>
        <item x="139"/>
        <item x="143"/>
        <item x="270"/>
        <item x="37"/>
        <item x="277"/>
        <item x="80"/>
        <item x="40"/>
        <item x="170"/>
        <item x="315"/>
        <item x="83"/>
        <item x="138"/>
        <item x="335"/>
        <item x="137"/>
        <item x="33"/>
        <item x="167"/>
        <item x="150"/>
        <item x="85"/>
        <item x="55"/>
        <item x="29"/>
        <item x="132"/>
        <item x="257"/>
        <item x="169"/>
        <item x="234"/>
        <item x="345"/>
        <item x="20"/>
        <item x="225"/>
        <item x="337"/>
        <item x="81"/>
        <item x="157"/>
        <item x="338"/>
        <item x="205"/>
        <item x="193"/>
        <item x="258"/>
        <item x="361"/>
        <item x="156"/>
        <item x="252"/>
        <item x="325"/>
        <item x="5"/>
        <item x="168"/>
        <item x="42"/>
        <item x="280"/>
        <item x="105"/>
        <item x="351"/>
        <item x="309"/>
        <item x="197"/>
        <item x="301"/>
        <item x="259"/>
        <item x="261"/>
        <item x="209"/>
        <item x="13"/>
        <item x="112"/>
        <item x="35"/>
        <item x="7"/>
        <item x="324"/>
        <item x="228"/>
        <item x="25"/>
        <item x="203"/>
        <item x="260"/>
        <item x="66"/>
        <item x="70"/>
        <item x="54"/>
        <item x="103"/>
        <item x="229"/>
        <item x="278"/>
        <item x="318"/>
        <item x="21"/>
        <item x="326"/>
        <item x="346"/>
        <item x="90"/>
        <item x="71"/>
        <item x="215"/>
        <item x="358"/>
        <item x="336"/>
        <item x="288"/>
        <item x="199"/>
        <item x="174"/>
        <item x="128"/>
        <item x="235"/>
        <item x="267"/>
        <item x="86"/>
        <item x="38"/>
        <item x="341"/>
        <item x="274"/>
        <item x="311"/>
        <item x="293"/>
        <item x="145"/>
        <item x="48"/>
        <item x="302"/>
        <item x="232"/>
        <item x="264"/>
        <item x="243"/>
        <item x="220"/>
        <item x="82"/>
        <item x="64"/>
        <item x="97"/>
        <item x="111"/>
        <item x="155"/>
        <item x="154"/>
        <item x="221"/>
        <item x="62"/>
        <item x="23"/>
        <item x="342"/>
        <item x="47"/>
        <item x="84"/>
        <item x="159"/>
        <item x="224"/>
        <item x="189"/>
        <item x="72"/>
        <item x="246"/>
        <item x="303"/>
        <item x="1"/>
        <item x="268"/>
        <item x="67"/>
        <item x="190"/>
        <item x="87"/>
        <item x="46"/>
        <item x="331"/>
        <item x="222"/>
        <item x="359"/>
        <item x="226"/>
        <item x="350"/>
        <item x="58"/>
        <item x="282"/>
        <item x="176"/>
        <item x="178"/>
        <item x="121"/>
        <item x="52"/>
        <item x="26"/>
        <item x="253"/>
        <item x="242"/>
        <item x="339"/>
        <item x="322"/>
        <item x="123"/>
        <item x="57"/>
        <item x="201"/>
        <item x="186"/>
        <item x="140"/>
        <item x="2"/>
        <item x="50"/>
        <item x="354"/>
        <item x="244"/>
        <item x="61"/>
        <item x="269"/>
        <item x="158"/>
        <item x="317"/>
        <item x="127"/>
        <item x="349"/>
        <item x="74"/>
        <item x="211"/>
        <item x="36"/>
        <item x="106"/>
        <item x="218"/>
        <item x="161"/>
        <item x="24"/>
        <item x="300"/>
        <item x="185"/>
        <item x="102"/>
        <item x="92"/>
        <item x="204"/>
        <item x="53"/>
        <item x="184"/>
        <item x="304"/>
        <item x="108"/>
        <item x="109"/>
        <item x="93"/>
        <item x="3"/>
        <item x="104"/>
        <item x="171"/>
        <item x="249"/>
        <item x="77"/>
        <item x="250"/>
        <item x="329"/>
        <item x="119"/>
        <item x="113"/>
        <item x="271"/>
        <item x="69"/>
        <item x="353"/>
        <item x="285"/>
        <item x="15"/>
        <item x="43"/>
        <item x="110"/>
        <item x="352"/>
        <item x="179"/>
        <item x="333"/>
        <item x="247"/>
        <item x="183"/>
        <item x="241"/>
        <item x="265"/>
        <item x="279"/>
        <item x="195"/>
        <item x="356"/>
        <item x="91"/>
        <item t="default"/>
      </items>
    </pivotField>
    <pivotField numFmtId="165" showAll="0"/>
    <pivotField axis="axisPage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showAll="0">
      <items count="5">
        <item x="0"/>
        <item x="1"/>
        <item x="2"/>
        <item x="3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2">
    <pageField fld="5" hier="-1"/>
    <pageField fld="7" hier="-1"/>
  </pageFields>
  <dataFields count="1">
    <dataField name="Count of TransaksiID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F3C3D2-5692-A84E-9BC0-41D3879FB293}" name="PivotTable8" cacheId="79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9:B10" firstHeaderRow="0" firstDataRow="1" firstDataCol="0" rowPageCount="2" colPageCount="1"/>
  <pivotFields count="10">
    <pivotField dataField="1" showAll="0">
      <items count="2320">
        <item x="751"/>
        <item x="307"/>
        <item x="1424"/>
        <item x="424"/>
        <item x="1887"/>
        <item x="1387"/>
        <item x="27"/>
        <item x="1863"/>
        <item x="446"/>
        <item x="1319"/>
        <item x="1320"/>
        <item x="670"/>
        <item x="1099"/>
        <item x="1396"/>
        <item x="1736"/>
        <item x="2276"/>
        <item x="960"/>
        <item x="12"/>
        <item x="1786"/>
        <item x="866"/>
        <item x="2211"/>
        <item x="1307"/>
        <item x="889"/>
        <item x="1579"/>
        <item x="403"/>
        <item x="2274"/>
        <item x="1220"/>
        <item x="1142"/>
        <item x="1671"/>
        <item x="1821"/>
        <item x="773"/>
        <item x="1576"/>
        <item x="1494"/>
        <item x="1636"/>
        <item x="859"/>
        <item x="1180"/>
        <item x="2056"/>
        <item x="526"/>
        <item x="1574"/>
        <item x="797"/>
        <item x="48"/>
        <item x="1234"/>
        <item x="1942"/>
        <item x="1348"/>
        <item x="1005"/>
        <item x="995"/>
        <item x="1650"/>
        <item x="9"/>
        <item x="449"/>
        <item x="739"/>
        <item x="86"/>
        <item x="910"/>
        <item x="1785"/>
        <item x="672"/>
        <item x="375"/>
        <item x="1346"/>
        <item x="24"/>
        <item x="1639"/>
        <item x="841"/>
        <item x="710"/>
        <item x="603"/>
        <item x="1622"/>
        <item x="1022"/>
        <item x="2178"/>
        <item x="840"/>
        <item x="42"/>
        <item x="1666"/>
        <item x="555"/>
        <item x="1647"/>
        <item x="1581"/>
        <item x="2070"/>
        <item x="1814"/>
        <item x="1421"/>
        <item x="803"/>
        <item x="1316"/>
        <item x="147"/>
        <item x="301"/>
        <item x="2189"/>
        <item x="1176"/>
        <item x="1075"/>
        <item x="802"/>
        <item x="907"/>
        <item x="632"/>
        <item x="1047"/>
        <item x="1460"/>
        <item x="1291"/>
        <item x="2148"/>
        <item x="319"/>
        <item x="978"/>
        <item x="1511"/>
        <item x="1166"/>
        <item x="664"/>
        <item x="1692"/>
        <item x="155"/>
        <item x="923"/>
        <item x="1797"/>
        <item x="2231"/>
        <item x="1513"/>
        <item x="616"/>
        <item x="1237"/>
        <item x="2143"/>
        <item x="804"/>
        <item x="290"/>
        <item x="992"/>
        <item x="637"/>
        <item x="2057"/>
        <item x="1578"/>
        <item x="36"/>
        <item x="20"/>
        <item x="2163"/>
        <item x="1012"/>
        <item x="30"/>
        <item x="2027"/>
        <item x="1674"/>
        <item x="1694"/>
        <item x="765"/>
        <item x="1683"/>
        <item x="1438"/>
        <item x="1701"/>
        <item x="467"/>
        <item x="89"/>
        <item x="1562"/>
        <item x="1875"/>
        <item x="253"/>
        <item x="1885"/>
        <item x="568"/>
        <item x="71"/>
        <item x="1496"/>
        <item x="1989"/>
        <item x="2312"/>
        <item x="964"/>
        <item x="1122"/>
        <item x="1703"/>
        <item x="657"/>
        <item x="224"/>
        <item x="969"/>
        <item x="1125"/>
        <item x="534"/>
        <item x="919"/>
        <item x="1337"/>
        <item x="383"/>
        <item x="1628"/>
        <item x="888"/>
        <item x="2103"/>
        <item x="2313"/>
        <item x="2130"/>
        <item x="785"/>
        <item x="1766"/>
        <item x="1173"/>
        <item x="574"/>
        <item x="2096"/>
        <item x="1468"/>
        <item x="2227"/>
        <item x="1928"/>
        <item x="1055"/>
        <item x="2265"/>
        <item x="1251"/>
        <item x="1826"/>
        <item x="620"/>
        <item x="1041"/>
        <item x="947"/>
        <item x="385"/>
        <item x="1882"/>
        <item x="875"/>
        <item x="1498"/>
        <item x="276"/>
        <item x="1283"/>
        <item x="688"/>
        <item x="1961"/>
        <item x="233"/>
        <item x="1314"/>
        <item x="934"/>
        <item x="1474"/>
        <item x="1777"/>
        <item x="1852"/>
        <item x="1074"/>
        <item x="757"/>
        <item x="420"/>
        <item x="1523"/>
        <item x="1803"/>
        <item x="1280"/>
        <item x="347"/>
        <item x="617"/>
        <item x="2205"/>
        <item x="1809"/>
        <item x="1614"/>
        <item x="455"/>
        <item x="1310"/>
        <item x="891"/>
        <item x="1207"/>
        <item x="302"/>
        <item x="1342"/>
        <item x="110"/>
        <item x="1633"/>
        <item x="8"/>
        <item x="34"/>
        <item x="1726"/>
        <item x="1865"/>
        <item x="880"/>
        <item x="1582"/>
        <item x="324"/>
        <item x="260"/>
        <item x="598"/>
        <item x="1999"/>
        <item x="890"/>
        <item x="265"/>
        <item x="303"/>
        <item x="1361"/>
        <item x="881"/>
        <item x="1357"/>
        <item x="671"/>
        <item x="973"/>
        <item x="470"/>
        <item x="2050"/>
        <item x="1761"/>
        <item x="1108"/>
        <item x="994"/>
        <item x="2029"/>
        <item x="1522"/>
        <item x="1869"/>
        <item x="572"/>
        <item x="1788"/>
        <item x="2165"/>
        <item x="493"/>
        <item x="1655"/>
        <item x="2035"/>
        <item x="338"/>
        <item x="590"/>
        <item x="807"/>
        <item x="496"/>
        <item x="800"/>
        <item x="175"/>
        <item x="2016"/>
        <item x="819"/>
        <item x="1182"/>
        <item x="2317"/>
        <item x="3"/>
        <item x="1362"/>
        <item x="1495"/>
        <item x="1052"/>
        <item x="1741"/>
        <item x="227"/>
        <item x="174"/>
        <item x="2260"/>
        <item x="1282"/>
        <item x="1675"/>
        <item x="1708"/>
        <item x="1686"/>
        <item x="708"/>
        <item x="2064"/>
        <item x="872"/>
        <item x="1123"/>
        <item x="2307"/>
        <item x="2170"/>
        <item x="1696"/>
        <item x="843"/>
        <item x="1224"/>
        <item x="1422"/>
        <item x="10"/>
        <item x="729"/>
        <item x="618"/>
        <item x="1799"/>
        <item x="1169"/>
        <item x="1705"/>
        <item x="589"/>
        <item x="1598"/>
        <item x="2217"/>
        <item x="611"/>
        <item x="373"/>
        <item x="2230"/>
        <item x="354"/>
        <item x="1756"/>
        <item x="1971"/>
        <item x="1745"/>
        <item x="976"/>
        <item x="441"/>
        <item x="1607"/>
        <item x="1652"/>
        <item x="1132"/>
        <item x="1060"/>
        <item x="350"/>
        <item x="713"/>
        <item x="178"/>
        <item x="833"/>
        <item x="1327"/>
        <item x="49"/>
        <item x="957"/>
        <item x="1898"/>
        <item x="882"/>
        <item x="1050"/>
        <item x="2144"/>
        <item x="1649"/>
        <item x="236"/>
        <item x="782"/>
        <item x="1672"/>
        <item x="1058"/>
        <item x="1866"/>
        <item x="348"/>
        <item x="981"/>
        <item x="591"/>
        <item x="1374"/>
        <item x="462"/>
        <item x="724"/>
        <item x="335"/>
        <item x="74"/>
        <item x="783"/>
        <item x="292"/>
        <item x="1420"/>
        <item x="1019"/>
        <item x="561"/>
        <item x="1200"/>
        <item x="1121"/>
        <item x="1939"/>
        <item x="2264"/>
        <item x="90"/>
        <item x="1212"/>
        <item x="2294"/>
        <item x="2066"/>
        <item x="1270"/>
        <item x="2297"/>
        <item x="1350"/>
        <item x="113"/>
        <item x="1407"/>
        <item x="1184"/>
        <item x="2131"/>
        <item x="357"/>
        <item x="1389"/>
        <item x="2214"/>
        <item x="2046"/>
        <item x="158"/>
        <item x="653"/>
        <item x="163"/>
        <item x="1026"/>
        <item x="1927"/>
        <item x="1859"/>
        <item x="313"/>
        <item x="767"/>
        <item x="2052"/>
        <item x="635"/>
        <item x="1609"/>
        <item x="893"/>
        <item x="372"/>
        <item x="1774"/>
        <item x="2000"/>
        <item x="1763"/>
        <item x="1365"/>
        <item x="1818"/>
        <item x="599"/>
        <item x="183"/>
        <item x="1265"/>
        <item x="1137"/>
        <item x="513"/>
        <item x="1915"/>
        <item x="469"/>
        <item x="1497"/>
        <item x="1273"/>
        <item x="1911"/>
        <item x="2308"/>
        <item x="1642"/>
        <item x="1133"/>
        <item x="1964"/>
        <item x="763"/>
        <item x="2058"/>
        <item x="485"/>
        <item x="1659"/>
        <item x="1002"/>
        <item x="480"/>
        <item x="274"/>
        <item x="203"/>
        <item x="869"/>
        <item x="138"/>
        <item x="1753"/>
        <item x="533"/>
        <item x="1936"/>
        <item x="1484"/>
        <item x="137"/>
        <item x="2094"/>
        <item x="1779"/>
        <item x="1877"/>
        <item x="1996"/>
        <item x="1301"/>
        <item x="1657"/>
        <item x="607"/>
        <item x="1199"/>
        <item x="1596"/>
        <item x="754"/>
        <item x="675"/>
        <item x="1399"/>
        <item x="1471"/>
        <item x="170"/>
        <item x="917"/>
        <item x="2147"/>
        <item x="1285"/>
        <item x="1313"/>
        <item x="1832"/>
        <item x="1192"/>
        <item x="497"/>
        <item x="2042"/>
        <item x="595"/>
        <item x="909"/>
        <item x="421"/>
        <item x="1054"/>
        <item x="1838"/>
        <item x="210"/>
        <item x="1101"/>
        <item x="2204"/>
        <item x="356"/>
        <item x="777"/>
        <item x="887"/>
        <item x="1098"/>
        <item x="2075"/>
        <item x="1680"/>
        <item x="1770"/>
        <item x="2179"/>
        <item x="58"/>
        <item x="362"/>
        <item x="749"/>
        <item x="1950"/>
        <item x="491"/>
        <item x="1253"/>
        <item x="955"/>
        <item x="398"/>
        <item x="650"/>
        <item x="2091"/>
        <item x="748"/>
        <item x="208"/>
        <item x="1073"/>
        <item x="1049"/>
        <item x="391"/>
        <item x="1697"/>
        <item x="1356"/>
        <item x="2290"/>
        <item x="415"/>
        <item x="1524"/>
        <item x="771"/>
        <item x="665"/>
        <item x="1243"/>
        <item x="1540"/>
        <item x="762"/>
        <item x="333"/>
        <item x="73"/>
        <item x="718"/>
        <item x="386"/>
        <item x="234"/>
        <item x="475"/>
        <item x="1447"/>
        <item x="835"/>
        <item x="392"/>
        <item x="1009"/>
        <item x="1518"/>
        <item x="2192"/>
        <item x="2181"/>
        <item x="573"/>
        <item x="102"/>
        <item x="1835"/>
        <item x="1419"/>
        <item x="799"/>
        <item x="1372"/>
        <item x="1558"/>
        <item x="1376"/>
        <item x="1039"/>
        <item x="2248"/>
        <item x="827"/>
        <item x="1386"/>
        <item x="25"/>
        <item x="2127"/>
        <item x="1443"/>
        <item x="1810"/>
        <item x="219"/>
        <item x="2245"/>
        <item x="661"/>
        <item x="1111"/>
        <item x="1506"/>
        <item x="1336"/>
        <item x="1382"/>
        <item x="2151"/>
        <item x="639"/>
        <item x="430"/>
        <item x="791"/>
        <item x="1434"/>
        <item x="417"/>
        <item x="1007"/>
        <item x="1347"/>
        <item x="1536"/>
        <item x="45"/>
        <item x="418"/>
        <item x="505"/>
        <item x="967"/>
        <item x="2008"/>
        <item x="2224"/>
        <item x="636"/>
        <item x="1079"/>
        <item x="1505"/>
        <item x="1276"/>
        <item x="1084"/>
        <item x="322"/>
        <item x="1120"/>
        <item x="2282"/>
        <item x="1233"/>
        <item x="2032"/>
        <item x="1737"/>
        <item x="1931"/>
        <item x="1257"/>
        <item x="1197"/>
        <item x="1606"/>
        <item x="2203"/>
        <item x="1910"/>
        <item x="814"/>
        <item x="33"/>
        <item x="1305"/>
        <item x="477"/>
        <item x="2026"/>
        <item x="759"/>
        <item x="554"/>
        <item x="2024"/>
        <item x="2283"/>
        <item x="1248"/>
        <item x="1864"/>
        <item x="2004"/>
        <item x="1973"/>
        <item x="1203"/>
        <item x="306"/>
        <item x="1949"/>
        <item x="1400"/>
        <item x="2095"/>
        <item x="395"/>
        <item x="1008"/>
        <item x="343"/>
        <item x="1004"/>
        <item x="971"/>
        <item x="1476"/>
        <item x="903"/>
        <item x="2236"/>
        <item x="1727"/>
        <item x="742"/>
        <item x="500"/>
        <item x="760"/>
        <item x="556"/>
        <item x="1113"/>
        <item x="2078"/>
        <item x="2045"/>
        <item x="812"/>
        <item x="2288"/>
        <item x="1272"/>
        <item x="1995"/>
        <item x="2174"/>
        <item x="740"/>
        <item x="529"/>
        <item x="1543"/>
        <item x="579"/>
        <item x="1519"/>
        <item x="1886"/>
        <item x="1711"/>
        <item x="223"/>
        <item x="1415"/>
        <item x="539"/>
        <item x="805"/>
        <item x="124"/>
        <item x="630"/>
        <item x="379"/>
        <item x="445"/>
        <item x="922"/>
        <item x="2305"/>
        <item x="519"/>
        <item x="2246"/>
        <item x="2063"/>
        <item x="2105"/>
        <item x="1529"/>
        <item x="1454"/>
        <item x="284"/>
        <item x="1146"/>
        <item x="1011"/>
        <item x="557"/>
        <item x="231"/>
        <item x="1211"/>
        <item x="646"/>
        <item x="565"/>
        <item x="684"/>
        <item x="1570"/>
        <item x="296"/>
        <item x="1715"/>
        <item x="1061"/>
        <item x="342"/>
        <item x="287"/>
        <item x="1129"/>
        <item x="289"/>
        <item x="297"/>
        <item x="173"/>
        <item x="1698"/>
        <item x="114"/>
        <item x="1938"/>
        <item x="2159"/>
        <item x="1"/>
        <item x="1076"/>
        <item x="1127"/>
        <item x="1068"/>
        <item x="690"/>
        <item x="1162"/>
        <item x="225"/>
        <item x="1017"/>
        <item x="1743"/>
        <item x="2079"/>
        <item x="985"/>
        <item x="1405"/>
        <item x="1453"/>
        <item x="1757"/>
        <item x="2225"/>
        <item x="460"/>
        <item x="931"/>
        <item x="2208"/>
        <item x="168"/>
        <item x="1896"/>
        <item x="487"/>
        <item x="578"/>
        <item x="176"/>
        <item x="680"/>
        <item x="1329"/>
        <item x="2116"/>
        <item x="1056"/>
        <item x="681"/>
        <item x="543"/>
        <item x="2049"/>
        <item x="868"/>
        <item x="180"/>
        <item x="2112"/>
        <item x="795"/>
        <item x="2100"/>
        <item x="310"/>
        <item x="682"/>
        <item x="1031"/>
        <item x="686"/>
        <item x="856"/>
        <item x="345"/>
        <item x="2289"/>
        <item x="87"/>
        <item x="1268"/>
        <item x="582"/>
        <item x="2090"/>
        <item x="580"/>
        <item x="601"/>
        <item x="912"/>
        <item x="894"/>
        <item x="796"/>
        <item x="851"/>
        <item x="413"/>
        <item x="1944"/>
        <item x="1634"/>
        <item x="1126"/>
        <item x="2263"/>
        <item x="1150"/>
        <item x="256"/>
        <item x="1719"/>
        <item x="2069"/>
        <item x="112"/>
        <item x="189"/>
        <item x="865"/>
        <item x="2183"/>
        <item x="1952"/>
        <item x="1828"/>
        <item x="1144"/>
        <item x="142"/>
        <item x="700"/>
        <item x="705"/>
        <item x="1209"/>
        <item x="927"/>
        <item x="1688"/>
        <item x="1223"/>
        <item x="1923"/>
        <item x="2306"/>
        <item x="143"/>
        <item x="1493"/>
        <item x="192"/>
        <item x="384"/>
        <item x="1554"/>
        <item x="198"/>
        <item x="863"/>
        <item x="1735"/>
        <item x="1842"/>
        <item x="570"/>
        <item x="221"/>
        <item x="78"/>
        <item x="1530"/>
        <item x="1230"/>
        <item x="423"/>
        <item x="1746"/>
        <item x="123"/>
        <item x="1556"/>
        <item x="2139"/>
        <item x="1231"/>
        <item x="1992"/>
        <item x="2119"/>
        <item x="1856"/>
        <item x="202"/>
        <item x="528"/>
        <item x="1398"/>
        <item x="2254"/>
        <item x="2196"/>
        <item x="481"/>
        <item x="1070"/>
        <item x="1563"/>
        <item x="471"/>
        <item x="235"/>
        <item x="325"/>
        <item x="693"/>
        <item x="1955"/>
        <item x="515"/>
        <item x="2133"/>
        <item x="908"/>
        <item x="68"/>
        <item x="1486"/>
        <item x="1580"/>
        <item x="1170"/>
        <item x="315"/>
        <item x="770"/>
        <item x="2134"/>
        <item x="2240"/>
        <item x="1806"/>
        <item x="2104"/>
        <item x="1066"/>
        <item x="915"/>
        <item x="1242"/>
        <item x="1935"/>
        <item x="1879"/>
        <item x="1279"/>
        <item x="472"/>
        <item x="451"/>
        <item x="190"/>
        <item x="2092"/>
        <item x="2291"/>
        <item x="876"/>
        <item x="602"/>
        <item x="1473"/>
        <item x="1956"/>
        <item x="316"/>
        <item x="1977"/>
        <item x="1479"/>
        <item x="308"/>
        <item x="566"/>
        <item x="1781"/>
        <item x="1042"/>
        <item x="2038"/>
        <item x="1533"/>
        <item x="1213"/>
        <item x="1970"/>
        <item x="1618"/>
        <item x="76"/>
        <item x="1292"/>
        <item x="1776"/>
        <item x="885"/>
        <item x="332"/>
        <item x="979"/>
        <item x="1689"/>
        <item x="1561"/>
        <item x="2304"/>
        <item x="1353"/>
        <item x="1466"/>
        <item x="164"/>
        <item x="132"/>
        <item x="683"/>
        <item x="1206"/>
        <item x="28"/>
        <item x="490"/>
        <item x="1951"/>
        <item x="314"/>
        <item x="116"/>
        <item x="1478"/>
        <item x="768"/>
        <item x="382"/>
        <item x="327"/>
        <item x="1053"/>
        <item x="2051"/>
        <item x="911"/>
        <item x="435"/>
        <item x="1664"/>
        <item x="458"/>
        <item x="1710"/>
        <item x="1452"/>
        <item x="1256"/>
        <item x="709"/>
        <item x="694"/>
        <item x="1542"/>
        <item x="1193"/>
        <item x="1547"/>
        <item x="1773"/>
        <item x="1926"/>
        <item x="678"/>
        <item x="1217"/>
        <item x="1930"/>
        <item x="643"/>
        <item x="1168"/>
        <item x="214"/>
        <item x="474"/>
        <item x="1894"/>
        <item x="40"/>
        <item x="2017"/>
        <item x="2047"/>
        <item x="1823"/>
        <item x="1624"/>
        <item x="1615"/>
        <item x="1085"/>
        <item x="1638"/>
        <item x="857"/>
        <item x="627"/>
        <item x="2053"/>
        <item x="405"/>
        <item x="1861"/>
        <item x="2087"/>
        <item x="871"/>
        <item x="29"/>
        <item x="1608"/>
        <item x="1130"/>
        <item x="2198"/>
        <item x="140"/>
        <item x="744"/>
        <item x="1974"/>
        <item x="1189"/>
        <item x="247"/>
        <item x="1559"/>
        <item x="1975"/>
        <item x="1249"/>
        <item x="130"/>
        <item x="105"/>
        <item x="1847"/>
        <item x="1037"/>
        <item x="1083"/>
        <item x="197"/>
        <item x="1323"/>
        <item x="1155"/>
        <item x="249"/>
        <item x="904"/>
        <item x="1417"/>
        <item x="1254"/>
        <item x="2158"/>
        <item x="1020"/>
        <item x="905"/>
        <item x="1850"/>
        <item x="1921"/>
        <item x="2084"/>
        <item x="1764"/>
        <item x="129"/>
        <item x="393"/>
        <item x="1388"/>
        <item x="1406"/>
        <item x="2177"/>
        <item x="1916"/>
        <item x="125"/>
        <item x="542"/>
        <item x="1087"/>
        <item x="2048"/>
        <item x="84"/>
        <item x="2059"/>
        <item x="741"/>
        <item x="651"/>
        <item x="1544"/>
        <item x="243"/>
        <item x="1572"/>
        <item x="2061"/>
        <item x="615"/>
        <item x="209"/>
        <item x="334"/>
        <item x="1164"/>
        <item x="706"/>
        <item x="1728"/>
        <item x="1232"/>
        <item x="1656"/>
        <item x="2221"/>
        <item x="62"/>
        <item x="1669"/>
        <item x="1151"/>
        <item x="2191"/>
        <item x="774"/>
        <item x="2234"/>
        <item x="612"/>
        <item x="1860"/>
        <item x="1119"/>
        <item x="1744"/>
        <item x="1564"/>
        <item x="527"/>
        <item x="2145"/>
        <item x="2110"/>
        <item x="483"/>
        <item x="104"/>
        <item x="2088"/>
        <item x="2278"/>
        <item x="2180"/>
        <item x="647"/>
        <item x="1924"/>
        <item x="1090"/>
        <item x="898"/>
        <item x="2228"/>
        <item x="1153"/>
        <item x="687"/>
        <item x="1394"/>
        <item x="367"/>
        <item x="407"/>
        <item x="625"/>
        <item x="1568"/>
        <item x="1732"/>
        <item x="621"/>
        <item x="752"/>
        <item x="161"/>
        <item x="2138"/>
        <item x="484"/>
        <item x="1812"/>
        <item x="1202"/>
        <item x="2315"/>
        <item x="268"/>
        <item x="1968"/>
        <item x="1908"/>
        <item x="1437"/>
        <item x="2200"/>
        <item x="272"/>
        <item x="1296"/>
        <item x="321"/>
        <item x="1984"/>
        <item x="1890"/>
        <item x="853"/>
        <item x="2015"/>
        <item x="900"/>
        <item x="7"/>
        <item x="261"/>
        <item x="719"/>
        <item x="1239"/>
        <item x="1651"/>
        <item x="826"/>
        <item x="431"/>
        <item x="999"/>
        <item x="422"/>
        <item x="2257"/>
        <item x="1431"/>
        <item x="1616"/>
        <item x="948"/>
        <item x="1827"/>
        <item x="1662"/>
        <item x="2034"/>
        <item x="576"/>
        <item x="131"/>
        <item x="1487"/>
        <item x="1640"/>
        <item x="1853"/>
        <item x="1289"/>
        <item x="1021"/>
        <item x="1377"/>
        <item x="69"/>
        <item x="1960"/>
        <item x="1612"/>
        <item x="1922"/>
        <item x="1775"/>
        <item x="939"/>
        <item x="2175"/>
        <item x="1072"/>
        <item x="1104"/>
        <item x="438"/>
        <item x="353"/>
        <item x="600"/>
        <item x="266"/>
        <item x="1901"/>
        <item x="746"/>
        <item x="1893"/>
        <item x="877"/>
        <item x="2314"/>
        <item x="1219"/>
        <item x="1366"/>
        <item x="1848"/>
        <item x="2232"/>
        <item x="531"/>
        <item x="1229"/>
        <item x="1738"/>
        <item x="135"/>
        <item x="1069"/>
        <item x="507"/>
        <item x="1947"/>
        <item x="798"/>
        <item x="1507"/>
        <item x="1106"/>
        <item x="593"/>
        <item x="1071"/>
        <item x="317"/>
        <item x="1619"/>
        <item x="448"/>
        <item x="1679"/>
        <item x="1300"/>
        <item x="663"/>
        <item x="279"/>
        <item x="730"/>
        <item x="148"/>
        <item x="1024"/>
        <item x="141"/>
        <item x="1834"/>
        <item x="1839"/>
        <item x="1115"/>
        <item x="1235"/>
        <item x="692"/>
        <item x="837"/>
        <item x="38"/>
        <item x="447"/>
        <item x="997"/>
        <item x="1179"/>
        <item x="1991"/>
        <item x="2028"/>
        <item x="269"/>
        <item x="2010"/>
        <item x="610"/>
        <item x="1363"/>
        <item x="63"/>
        <item x="6"/>
        <item x="779"/>
        <item x="1551"/>
        <item x="1117"/>
        <item x="377"/>
        <item x="1163"/>
        <item x="365"/>
        <item x="492"/>
        <item x="1410"/>
        <item x="1311"/>
        <item x="1210"/>
        <item x="1601"/>
        <item x="47"/>
        <item x="1966"/>
        <item x="2193"/>
        <item x="70"/>
        <item x="1767"/>
        <item x="1677"/>
        <item x="1515"/>
        <item x="1663"/>
        <item x="2077"/>
        <item x="217"/>
        <item x="270"/>
        <item x="552"/>
        <item x="1441"/>
        <item x="1186"/>
        <item x="2298"/>
        <item x="22"/>
        <item x="1851"/>
        <item x="433"/>
        <item x="1449"/>
        <item x="975"/>
        <item x="652"/>
        <item x="1304"/>
        <item x="248"/>
        <item x="1567"/>
        <item x="1354"/>
        <item x="2036"/>
        <item x="149"/>
        <item x="965"/>
        <item x="4"/>
        <item x="2269"/>
        <item x="1124"/>
        <item x="1190"/>
        <item x="2202"/>
        <item x="1734"/>
        <item x="1154"/>
        <item x="2166"/>
        <item x="41"/>
        <item x="1854"/>
        <item x="1668"/>
        <item x="1267"/>
        <item x="1161"/>
        <item x="1290"/>
        <item x="479"/>
        <item x="55"/>
        <item x="2318"/>
        <item x="1878"/>
        <item x="1824"/>
        <item x="1605"/>
        <item x="277"/>
        <item x="1514"/>
        <item x="2237"/>
        <item x="522"/>
        <item x="1643"/>
        <item x="368"/>
        <item x="788"/>
        <item x="2171"/>
        <item x="108"/>
        <item x="1490"/>
        <item x="2111"/>
        <item x="1833"/>
        <item x="622"/>
        <item x="1457"/>
        <item x="884"/>
        <item x="830"/>
        <item x="559"/>
        <item x="952"/>
        <item x="1395"/>
        <item x="558"/>
        <item x="1545"/>
        <item x="65"/>
        <item x="1040"/>
        <item x="2073"/>
        <item x="204"/>
        <item x="291"/>
        <item x="1884"/>
        <item x="1458"/>
        <item x="193"/>
        <item x="604"/>
        <item x="2287"/>
        <item x="2316"/>
        <item x="1102"/>
        <item x="1592"/>
        <item x="2238"/>
        <item x="1244"/>
        <item x="1855"/>
        <item x="35"/>
        <item x="1095"/>
        <item x="60"/>
        <item x="745"/>
        <item x="1739"/>
        <item x="2068"/>
        <item x="1385"/>
        <item x="211"/>
        <item x="2301"/>
        <item x="2136"/>
        <item x="254"/>
        <item x="1712"/>
        <item x="283"/>
        <item x="906"/>
        <item x="1250"/>
        <item x="829"/>
        <item x="977"/>
        <item x="1584"/>
        <item x="1621"/>
        <item x="1987"/>
        <item x="2023"/>
        <item x="1000"/>
        <item x="747"/>
        <item x="80"/>
        <item x="1804"/>
        <item x="1586"/>
        <item x="914"/>
        <item x="21"/>
        <item x="144"/>
        <item x="250"/>
        <item x="329"/>
        <item x="1750"/>
        <item x="1603"/>
        <item x="165"/>
        <item x="1491"/>
        <item x="2155"/>
        <item x="892"/>
        <item x="778"/>
        <item x="1793"/>
        <item x="156"/>
        <item x="1723"/>
        <item x="126"/>
        <item x="626"/>
        <item x="628"/>
        <item x="88"/>
        <item x="789"/>
        <item x="1597"/>
        <item x="1333"/>
        <item x="2267"/>
        <item x="1627"/>
        <item x="832"/>
        <item x="1397"/>
        <item x="1917"/>
        <item x="2107"/>
        <item x="654"/>
        <item x="991"/>
        <item x="1317"/>
        <item x="1114"/>
        <item x="2164"/>
        <item x="1472"/>
        <item x="427"/>
        <item x="294"/>
        <item x="1953"/>
        <item x="323"/>
        <item x="331"/>
        <item x="187"/>
        <item x="2055"/>
        <item x="1815"/>
        <item x="1722"/>
        <item x="278"/>
        <item x="809"/>
        <item x="1591"/>
        <item x="2072"/>
        <item x="2255"/>
        <item x="369"/>
        <item x="886"/>
        <item x="352"/>
        <item x="535"/>
        <item x="1293"/>
        <item x="801"/>
        <item x="2054"/>
        <item x="930"/>
        <item x="1489"/>
        <item x="1678"/>
        <item x="1883"/>
        <item x="2128"/>
        <item x="1147"/>
        <item x="1339"/>
        <item x="1588"/>
        <item x="2129"/>
        <item x="2037"/>
        <item x="867"/>
        <item x="412"/>
        <item x="237"/>
        <item x="644"/>
        <item x="723"/>
        <item x="1450"/>
        <item x="1373"/>
        <item x="2067"/>
        <item x="825"/>
        <item x="2311"/>
        <item x="1667"/>
        <item x="1015"/>
        <item x="286"/>
        <item x="244"/>
        <item x="1820"/>
        <item x="958"/>
        <item x="697"/>
        <item x="575"/>
        <item x="1465"/>
        <item x="1227"/>
        <item x="1228"/>
        <item x="2258"/>
        <item x="285"/>
        <item x="1713"/>
        <item x="921"/>
        <item x="54"/>
        <item x="212"/>
        <item x="536"/>
        <item x="267"/>
        <item x="326"/>
        <item x="1772"/>
        <item x="1264"/>
        <item x="397"/>
        <item x="396"/>
        <item x="990"/>
        <item x="1088"/>
        <item x="1065"/>
        <item x="988"/>
        <item x="5"/>
        <item x="46"/>
        <item x="679"/>
        <item x="1442"/>
        <item x="2157"/>
        <item x="371"/>
        <item x="514"/>
        <item x="1324"/>
        <item x="1046"/>
        <item x="1032"/>
        <item x="77"/>
        <item x="1595"/>
        <item x="929"/>
        <item x="1286"/>
        <item x="951"/>
        <item x="13"/>
        <item x="707"/>
        <item x="18"/>
        <item x="712"/>
        <item x="1340"/>
        <item x="1845"/>
        <item x="188"/>
        <item x="1759"/>
        <item x="1870"/>
        <item x="414"/>
        <item x="1345"/>
        <item x="1459"/>
        <item x="2182"/>
        <item x="1380"/>
        <item x="937"/>
        <item x="2009"/>
        <item x="506"/>
        <item x="608"/>
        <item x="443"/>
        <item x="1183"/>
        <item x="463"/>
        <item x="1560"/>
        <item x="478"/>
        <item x="1134"/>
        <item x="1590"/>
        <item x="387"/>
        <item x="950"/>
        <item x="855"/>
        <item x="1140"/>
        <item x="2149"/>
        <item x="117"/>
        <item x="2249"/>
        <item x="2309"/>
        <item x="111"/>
        <item x="1416"/>
        <item x="370"/>
        <item x="429"/>
        <item x="340"/>
        <item x="1925"/>
        <item x="1404"/>
        <item x="721"/>
        <item x="1222"/>
        <item x="2292"/>
        <item x="538"/>
        <item x="564"/>
        <item x="605"/>
        <item x="1138"/>
        <item x="1181"/>
        <item x="416"/>
        <item x="2153"/>
        <item x="394"/>
        <item x="255"/>
        <item x="649"/>
        <item x="941"/>
        <item x="2310"/>
        <item x="786"/>
        <item x="1425"/>
        <item x="2266"/>
        <item x="544"/>
        <item x="1534"/>
        <item x="2271"/>
        <item x="1145"/>
        <item x="1843"/>
        <item x="1787"/>
        <item x="953"/>
        <item x="2167"/>
        <item x="2262"/>
        <item x="1707"/>
        <item x="213"/>
        <item x="1033"/>
        <item x="2039"/>
        <item x="1575"/>
        <item x="152"/>
        <item x="1502"/>
        <item x="1526"/>
        <item x="2277"/>
        <item x="938"/>
        <item x="547"/>
        <item x="2117"/>
        <item x="614"/>
        <item x="92"/>
        <item x="2188"/>
        <item x="95"/>
        <item x="1782"/>
        <item x="1343"/>
        <item x="1632"/>
        <item x="2080"/>
        <item x="666"/>
        <item x="913"/>
        <item x="220"/>
        <item x="549"/>
        <item x="2296"/>
        <item x="660"/>
        <item x="834"/>
        <item x="1525"/>
        <item x="1913"/>
        <item x="1648"/>
        <item x="662"/>
        <item x="437"/>
        <item x="2253"/>
        <item x="1044"/>
        <item x="553"/>
        <item x="456"/>
        <item x="577"/>
        <item x="2122"/>
        <item x="1691"/>
        <item x="106"/>
        <item x="1082"/>
        <item x="873"/>
        <item x="44"/>
        <item x="1451"/>
        <item x="597"/>
        <item x="761"/>
        <item x="1330"/>
        <item x="2279"/>
        <item x="1480"/>
        <item x="1112"/>
        <item x="1302"/>
        <item x="1370"/>
        <item x="551"/>
        <item x="2115"/>
        <item x="563"/>
        <item x="1731"/>
        <item x="300"/>
        <item x="1025"/>
        <item x="1107"/>
        <item x="2259"/>
        <item x="75"/>
        <item x="935"/>
        <item x="562"/>
        <item x="1695"/>
        <item x="1846"/>
        <item x="850"/>
        <item x="1100"/>
        <item x="107"/>
        <item x="1043"/>
        <item x="1371"/>
        <item x="1836"/>
        <item x="2030"/>
        <item x="1796"/>
        <item x="638"/>
        <item x="944"/>
        <item x="503"/>
        <item x="1792"/>
        <item x="1661"/>
        <item x="1429"/>
        <item x="1152"/>
        <item x="2252"/>
        <item x="968"/>
        <item x="1271"/>
        <item x="629"/>
        <item x="464"/>
        <item x="388"/>
        <item x="668"/>
        <item x="56"/>
        <item x="1976"/>
        <item x="361"/>
        <item x="943"/>
        <item x="1811"/>
        <item x="1693"/>
        <item x="64"/>
        <item x="1379"/>
        <item x="511"/>
        <item x="1532"/>
        <item x="860"/>
        <item x="2286"/>
        <item x="195"/>
        <item x="1702"/>
        <item x="1165"/>
        <item x="1298"/>
        <item x="1867"/>
        <item x="200"/>
        <item x="1295"/>
        <item x="1160"/>
        <item x="1929"/>
        <item x="103"/>
        <item x="453"/>
        <item x="1912"/>
        <item x="2012"/>
        <item x="2212"/>
        <item x="482"/>
        <item x="465"/>
        <item x="546"/>
        <item x="409"/>
        <item x="1795"/>
        <item x="2108"/>
        <item x="512"/>
        <item x="587"/>
        <item x="2082"/>
        <item x="120"/>
        <item x="1023"/>
        <item x="766"/>
        <item x="85"/>
        <item x="1676"/>
        <item x="1241"/>
        <item x="91"/>
        <item x="151"/>
        <item x="1214"/>
        <item x="1571"/>
        <item x="1840"/>
        <item x="648"/>
        <item x="1428"/>
        <item x="1392"/>
        <item x="2041"/>
        <item x="476"/>
        <item x="1900"/>
        <item x="52"/>
        <item x="844"/>
        <item x="1030"/>
        <item x="2146"/>
        <item x="862"/>
        <item x="1093"/>
        <item x="1602"/>
        <item x="341"/>
        <item x="1717"/>
        <item x="318"/>
        <item x="1326"/>
        <item x="128"/>
        <item x="160"/>
        <item x="2062"/>
        <item x="2019"/>
        <item x="1328"/>
        <item x="1446"/>
        <item x="1967"/>
        <item x="498"/>
        <item x="1752"/>
        <item x="1841"/>
        <item x="1758"/>
        <item x="2065"/>
        <item x="172"/>
        <item x="776"/>
        <item x="845"/>
        <item x="2285"/>
        <item x="732"/>
        <item x="442"/>
        <item x="473"/>
        <item x="703"/>
        <item x="1013"/>
        <item x="2089"/>
        <item x="2187"/>
        <item x="2186"/>
        <item x="811"/>
        <item x="926"/>
        <item x="1378"/>
        <item x="1748"/>
        <item x="1780"/>
        <item x="2173"/>
        <item x="1972"/>
        <item x="239"/>
        <item x="2273"/>
        <item x="309"/>
        <item x="1035"/>
        <item x="1504"/>
        <item x="1798"/>
        <item x="1527"/>
        <item x="26"/>
        <item x="1414"/>
        <item x="53"/>
        <item x="1312"/>
        <item x="99"/>
        <item x="755"/>
        <item x="215"/>
        <item x="216"/>
        <item x="1981"/>
        <item x="1391"/>
        <item x="184"/>
        <item x="1485"/>
        <item x="1687"/>
        <item x="136"/>
        <item x="450"/>
        <item x="1531"/>
        <item x="1195"/>
        <item x="1369"/>
        <item x="1260"/>
        <item x="337"/>
        <item x="2201"/>
        <item x="1978"/>
        <item x="2150"/>
        <item x="974"/>
        <item x="793"/>
        <item x="1635"/>
        <item x="2303"/>
        <item x="1825"/>
        <item x="983"/>
        <item x="1871"/>
        <item x="1593"/>
        <item x="1611"/>
        <item x="1464"/>
        <item x="1873"/>
        <item x="1157"/>
        <item x="1171"/>
        <item x="1221"/>
        <item x="2243"/>
        <item x="714"/>
        <item x="1309"/>
        <item x="864"/>
        <item x="772"/>
        <item x="518"/>
        <item x="349"/>
        <item x="592"/>
        <item x="1470"/>
        <item x="1760"/>
        <item x="1918"/>
        <item x="509"/>
        <item x="122"/>
        <item x="134"/>
        <item x="499"/>
        <item x="434"/>
        <item x="242"/>
        <item x="1225"/>
        <item x="1475"/>
        <item x="1891"/>
        <item x="634"/>
        <item x="127"/>
        <item x="2194"/>
        <item x="16"/>
        <item x="1159"/>
        <item x="1408"/>
        <item x="846"/>
        <item x="989"/>
        <item x="1963"/>
        <item x="1783"/>
        <item x="1645"/>
        <item x="1888"/>
        <item x="790"/>
        <item x="2176"/>
        <item x="2235"/>
        <item x="2011"/>
        <item x="428"/>
        <item x="1499"/>
        <item x="1246"/>
        <item x="97"/>
        <item x="1308"/>
        <item x="1587"/>
        <item x="2097"/>
        <item x="2185"/>
        <item x="2031"/>
        <item x="954"/>
        <item x="1135"/>
        <item x="1549"/>
        <item x="1318"/>
        <item x="1808"/>
        <item x="118"/>
        <item x="312"/>
        <item x="2213"/>
        <item x="1204"/>
        <item x="596"/>
        <item x="425"/>
        <item x="2014"/>
        <item x="66"/>
        <item x="897"/>
        <item x="43"/>
        <item x="1805"/>
        <item x="961"/>
        <item x="619"/>
        <item x="541"/>
        <item x="1623"/>
        <item x="444"/>
        <item x="685"/>
        <item x="406"/>
        <item x="831"/>
        <item x="1521"/>
        <item x="758"/>
        <item x="667"/>
        <item x="1439"/>
        <item x="1565"/>
        <item x="2281"/>
        <item x="380"/>
        <item x="1238"/>
        <item x="1765"/>
        <item x="1844"/>
        <item x="1541"/>
        <item x="1274"/>
        <item x="2172"/>
        <item x="2161"/>
        <item x="1226"/>
        <item x="1941"/>
        <item x="1261"/>
        <item x="245"/>
        <item x="241"/>
        <item x="404"/>
        <item x="2086"/>
        <item x="1187"/>
        <item x="523"/>
        <item x="2140"/>
        <item x="402"/>
        <item x="1902"/>
        <item x="19"/>
        <item x="645"/>
        <item x="2162"/>
        <item x="1158"/>
        <item x="928"/>
        <item x="1979"/>
        <item x="1749"/>
        <item x="2270"/>
        <item x="1045"/>
        <item x="1178"/>
        <item x="363"/>
        <item x="1266"/>
        <item x="711"/>
        <item x="1994"/>
        <item x="806"/>
        <item x="1646"/>
        <item x="169"/>
        <item x="1673"/>
        <item x="1263"/>
        <item x="537"/>
        <item x="878"/>
        <item x="945"/>
        <item x="207"/>
        <item x="59"/>
        <item x="861"/>
        <item x="545"/>
        <item x="1830"/>
        <item x="1059"/>
        <item x="821"/>
        <item x="194"/>
        <item x="641"/>
        <item x="222"/>
        <item x="1552"/>
        <item x="2044"/>
        <item x="2071"/>
        <item x="1401"/>
        <item x="1905"/>
        <item x="1148"/>
        <item x="720"/>
        <item x="1016"/>
        <item x="1670"/>
        <item x="305"/>
        <item x="1720"/>
        <item x="1461"/>
        <item x="836"/>
        <item x="2002"/>
        <item x="2261"/>
        <item x="1455"/>
        <item x="1315"/>
        <item x="1510"/>
        <item x="1064"/>
        <item x="704"/>
        <item x="1512"/>
        <item x="2125"/>
        <item x="1097"/>
        <item x="784"/>
        <item x="2121"/>
        <item x="121"/>
        <item x="374"/>
        <item x="2126"/>
        <item x="1969"/>
        <item x="2152"/>
        <item x="330"/>
        <item x="1359"/>
        <item x="98"/>
        <item x="750"/>
        <item x="154"/>
        <item x="1985"/>
        <item x="454"/>
        <item x="698"/>
        <item x="1599"/>
        <item x="676"/>
        <item x="510"/>
        <item x="2018"/>
        <item x="359"/>
        <item x="185"/>
        <item x="933"/>
        <item x="1709"/>
        <item x="839"/>
        <item x="1876"/>
        <item x="389"/>
        <item x="229"/>
        <item x="1755"/>
        <item x="1278"/>
        <item x="2207"/>
        <item x="419"/>
        <item x="936"/>
        <item x="756"/>
        <item x="1038"/>
        <item x="1919"/>
        <item x="1063"/>
        <item x="1517"/>
        <item x="1402"/>
        <item x="633"/>
        <item x="1997"/>
        <item x="1194"/>
        <item x="273"/>
        <item x="51"/>
        <item x="1445"/>
        <item x="532"/>
        <item x="1665"/>
        <item x="1403"/>
        <item x="1205"/>
        <item x="1933"/>
        <item x="1110"/>
        <item x="2226"/>
        <item x="824"/>
        <item x="2060"/>
        <item x="2197"/>
        <item x="2021"/>
        <item x="586"/>
        <item x="1557"/>
        <item x="1874"/>
        <item x="726"/>
        <item x="1769"/>
        <item x="1167"/>
        <item x="874"/>
        <item x="115"/>
        <item x="1131"/>
        <item x="2256"/>
        <item x="1641"/>
        <item x="655"/>
        <item x="1208"/>
        <item x="2219"/>
        <item x="1829"/>
        <item x="11"/>
        <item x="794"/>
        <item x="870"/>
        <item x="1423"/>
        <item x="2132"/>
        <item x="2043"/>
        <item x="567"/>
        <item x="1566"/>
        <item x="1143"/>
        <item x="1156"/>
        <item x="366"/>
        <item x="642"/>
        <item x="1625"/>
        <item x="1897"/>
        <item x="1899"/>
        <item x="623"/>
        <item x="2099"/>
        <item x="852"/>
        <item x="101"/>
        <item x="1714"/>
        <item x="716"/>
        <item x="1718"/>
        <item x="1503"/>
        <item x="466"/>
        <item x="883"/>
        <item x="1631"/>
        <item x="540"/>
        <item x="956"/>
        <item x="1508"/>
        <item x="813"/>
        <item x="823"/>
        <item x="828"/>
        <item x="738"/>
        <item x="1729"/>
        <item x="408"/>
        <item x="109"/>
        <item x="1721"/>
        <item x="2250"/>
        <item x="1029"/>
        <item x="1872"/>
        <item x="2247"/>
        <item x="2233"/>
        <item x="691"/>
        <item x="2268"/>
        <item x="743"/>
        <item x="2006"/>
        <item x="916"/>
        <item x="1299"/>
        <item x="1965"/>
        <item x="1733"/>
        <item x="181"/>
        <item x="1573"/>
        <item x="669"/>
        <item x="1344"/>
        <item x="1550"/>
        <item x="1501"/>
        <item x="699"/>
        <item x="1358"/>
        <item x="1321"/>
        <item x="1216"/>
        <item x="218"/>
        <item x="96"/>
        <item x="2022"/>
        <item x="1269"/>
        <item x="246"/>
        <item x="1349"/>
        <item x="2142"/>
        <item x="280"/>
        <item x="815"/>
        <item x="640"/>
        <item x="1436"/>
        <item x="1778"/>
        <item x="2124"/>
        <item x="364"/>
        <item x="1360"/>
        <item x="1368"/>
        <item x="2135"/>
        <item x="381"/>
        <item x="1819"/>
        <item x="838"/>
        <item x="1789"/>
        <item x="1262"/>
        <item x="1932"/>
        <item x="1528"/>
        <item x="736"/>
        <item x="489"/>
        <item x="2280"/>
        <item x="2102"/>
        <item x="1740"/>
        <item x="879"/>
        <item x="1725"/>
        <item x="1940"/>
        <item x="1255"/>
        <item x="486"/>
        <item x="1177"/>
        <item x="1411"/>
        <item x="100"/>
        <item x="1418"/>
        <item x="925"/>
        <item x="23"/>
        <item x="1381"/>
        <item x="1837"/>
        <item x="1091"/>
        <item x="93"/>
        <item x="1367"/>
        <item x="1492"/>
        <item x="820"/>
        <item x="488"/>
        <item x="1909"/>
        <item x="521"/>
        <item x="1730"/>
        <item x="2251"/>
        <item x="1880"/>
        <item x="1892"/>
        <item x="1467"/>
        <item x="1945"/>
        <item x="2215"/>
        <item x="1784"/>
        <item x="2206"/>
        <item x="658"/>
        <item x="1682"/>
        <item x="2184"/>
        <item x="2106"/>
        <item x="1294"/>
        <item x="1704"/>
        <item x="1993"/>
        <item x="1306"/>
        <item x="920"/>
        <item x="1553"/>
        <item x="1903"/>
        <item x="2302"/>
        <item x="764"/>
        <item x="2218"/>
        <item x="1092"/>
        <item x="1617"/>
        <item x="1548"/>
        <item x="1103"/>
        <item x="390"/>
        <item x="842"/>
        <item x="1724"/>
        <item x="17"/>
        <item x="517"/>
        <item x="1660"/>
        <item x="1817"/>
        <item x="1802"/>
        <item x="39"/>
        <item x="1658"/>
        <item x="1535"/>
        <item x="358"/>
        <item x="1236"/>
        <item x="1509"/>
        <item x="780"/>
        <item x="735"/>
        <item x="701"/>
        <item x="816"/>
        <item x="1351"/>
        <item x="1990"/>
        <item x="848"/>
        <item x="1716"/>
        <item x="72"/>
        <item x="501"/>
        <item x="2013"/>
        <item x="2295"/>
        <item x="336"/>
        <item x="171"/>
        <item x="452"/>
        <item x="847"/>
        <item x="1338"/>
        <item x="320"/>
        <item x="2272"/>
        <item x="157"/>
        <item x="1816"/>
        <item x="1934"/>
        <item x="1868"/>
        <item x="609"/>
        <item x="271"/>
        <item x="1516"/>
        <item x="1393"/>
        <item x="571"/>
        <item x="1067"/>
        <item x="993"/>
        <item x="2141"/>
        <item x="1077"/>
        <item x="918"/>
        <item x="2005"/>
        <item x="400"/>
        <item x="179"/>
        <item x="1604"/>
        <item x="251"/>
        <item x="1247"/>
        <item x="1364"/>
        <item x="2098"/>
        <item x="1589"/>
        <item x="1537"/>
        <item x="674"/>
        <item x="775"/>
        <item x="426"/>
        <item x="1998"/>
        <item x="1690"/>
        <item x="508"/>
        <item x="584"/>
        <item x="1906"/>
        <item x="182"/>
        <item x="1747"/>
        <item x="1448"/>
        <item x="792"/>
        <item x="1637"/>
        <item x="228"/>
        <item x="1762"/>
        <item x="295"/>
        <item x="2210"/>
        <item x="1433"/>
        <item x="1954"/>
        <item x="196"/>
        <item x="495"/>
        <item x="696"/>
        <item x="1610"/>
        <item x="946"/>
        <item x="1383"/>
        <item x="139"/>
        <item x="167"/>
        <item x="2195"/>
        <item x="1432"/>
        <item x="1128"/>
        <item x="2118"/>
        <item x="1768"/>
        <item x="1907"/>
        <item x="14"/>
        <item x="502"/>
        <item x="1258"/>
        <item x="1751"/>
        <item x="942"/>
        <item x="1858"/>
        <item x="1790"/>
        <item x="1481"/>
        <item x="238"/>
        <item x="166"/>
        <item x="399"/>
        <item x="2093"/>
        <item x="899"/>
        <item x="1003"/>
        <item x="304"/>
        <item x="1105"/>
        <item x="818"/>
        <item x="328"/>
        <item x="1613"/>
        <item x="731"/>
        <item x="1881"/>
        <item x="1483"/>
        <item x="1288"/>
        <item x="817"/>
        <item x="1201"/>
        <item x="1086"/>
        <item x="613"/>
        <item x="1185"/>
        <item x="360"/>
        <item x="1706"/>
        <item x="457"/>
        <item x="1335"/>
        <item x="159"/>
        <item x="1620"/>
        <item x="1252"/>
        <item x="1027"/>
        <item x="1172"/>
        <item x="970"/>
        <item x="145"/>
        <item x="281"/>
        <item x="2299"/>
        <item x="1469"/>
        <item x="932"/>
        <item x="1198"/>
        <item x="1444"/>
        <item x="83"/>
        <item x="67"/>
        <item x="962"/>
        <item x="2209"/>
        <item x="133"/>
        <item x="520"/>
        <item x="298"/>
        <item x="264"/>
        <item x="1245"/>
        <item x="1240"/>
        <item x="1943"/>
        <item x="1583"/>
        <item x="199"/>
        <item x="355"/>
        <item x="146"/>
        <item x="311"/>
        <item x="1426"/>
        <item x="1983"/>
        <item x="1174"/>
        <item x="516"/>
        <item x="1681"/>
        <item x="525"/>
        <item x="263"/>
        <item x="689"/>
        <item x="1959"/>
        <item x="94"/>
        <item x="299"/>
        <item x="1341"/>
        <item x="32"/>
        <item x="1538"/>
        <item x="1794"/>
        <item x="1322"/>
        <item x="1384"/>
        <item x="1412"/>
        <item x="1644"/>
        <item x="902"/>
        <item x="854"/>
        <item x="293"/>
        <item x="963"/>
        <item x="2190"/>
        <item x="432"/>
        <item x="1920"/>
        <item x="2156"/>
        <item x="1462"/>
        <item x="1801"/>
        <item x="436"/>
        <item x="895"/>
        <item x="1685"/>
        <item x="1857"/>
        <item x="1332"/>
        <item x="1520"/>
        <item x="1051"/>
        <item x="585"/>
        <item x="1136"/>
        <item x="810"/>
        <item x="624"/>
        <item x="1813"/>
        <item x="569"/>
        <item x="727"/>
        <item x="411"/>
        <item x="1463"/>
        <item x="459"/>
        <item x="2154"/>
        <item x="351"/>
        <item x="849"/>
        <item x="257"/>
        <item x="858"/>
        <item x="737"/>
        <item x="996"/>
        <item x="259"/>
        <item x="240"/>
        <item x="734"/>
        <item x="205"/>
        <item x="2168"/>
        <item x="1284"/>
        <item x="252"/>
        <item x="1742"/>
        <item x="37"/>
        <item x="1958"/>
        <item x="769"/>
        <item x="1440"/>
        <item x="494"/>
        <item x="2085"/>
        <item x="1482"/>
        <item x="119"/>
        <item x="1297"/>
        <item x="1175"/>
        <item x="1895"/>
        <item x="594"/>
        <item x="150"/>
        <item x="940"/>
        <item x="1149"/>
        <item x="226"/>
        <item x="339"/>
        <item x="949"/>
        <item x="2239"/>
        <item x="1036"/>
        <item x="2137"/>
        <item x="282"/>
        <item x="162"/>
        <item x="15"/>
        <item x="2109"/>
        <item x="2083"/>
        <item x="344"/>
        <item x="1196"/>
        <item x="1080"/>
        <item x="206"/>
        <item x="659"/>
        <item x="1946"/>
        <item x="288"/>
        <item x="524"/>
        <item x="177"/>
        <item x="1577"/>
        <item x="2001"/>
        <item x="560"/>
        <item x="2"/>
        <item x="376"/>
        <item x="1630"/>
        <item x="1352"/>
        <item x="1629"/>
        <item x="504"/>
        <item x="606"/>
        <item x="1325"/>
        <item x="1078"/>
        <item x="1034"/>
        <item x="1010"/>
        <item x="1800"/>
        <item x="1089"/>
        <item x="262"/>
        <item x="82"/>
        <item x="583"/>
        <item x="1477"/>
        <item x="1600"/>
        <item x="1001"/>
        <item x="1962"/>
        <item x="258"/>
        <item x="1948"/>
        <item x="1287"/>
        <item x="972"/>
        <item x="1982"/>
        <item x="1215"/>
        <item x="2120"/>
        <item x="998"/>
        <item x="1569"/>
        <item x="1585"/>
        <item x="1062"/>
        <item x="822"/>
        <item x="1048"/>
        <item x="2220"/>
        <item x="550"/>
        <item x="530"/>
        <item x="722"/>
        <item x="2007"/>
        <item x="1109"/>
        <item x="1937"/>
        <item x="1754"/>
        <item x="1862"/>
        <item x="1028"/>
        <item x="1018"/>
        <item x="2300"/>
        <item x="733"/>
        <item x="631"/>
        <item x="1957"/>
        <item x="1006"/>
        <item x="440"/>
        <item x="787"/>
        <item x="2081"/>
        <item x="2241"/>
        <item x="1488"/>
        <item x="1546"/>
        <item x="1430"/>
        <item x="980"/>
        <item x="1275"/>
        <item x="2101"/>
        <item x="1594"/>
        <item x="588"/>
        <item x="1771"/>
        <item x="717"/>
        <item x="1014"/>
        <item x="896"/>
        <item x="1281"/>
        <item x="1303"/>
        <item x="987"/>
        <item x="1822"/>
        <item x="439"/>
        <item x="275"/>
        <item x="1914"/>
        <item x="924"/>
        <item x="581"/>
        <item x="1500"/>
        <item x="1831"/>
        <item x="1409"/>
        <item x="1334"/>
        <item x="1653"/>
        <item x="695"/>
        <item x="2076"/>
        <item x="61"/>
        <item x="2223"/>
        <item x="2040"/>
        <item x="1057"/>
        <item x="1684"/>
        <item x="2003"/>
        <item x="1277"/>
        <item x="986"/>
        <item x="1700"/>
        <item x="901"/>
        <item x="781"/>
        <item x="1331"/>
        <item x="57"/>
        <item x="1988"/>
        <item x="2020"/>
        <item x="2123"/>
        <item x="378"/>
        <item x="1375"/>
        <item x="2275"/>
        <item x="673"/>
        <item x="1980"/>
        <item x="1081"/>
        <item x="959"/>
        <item x="1118"/>
        <item x="1849"/>
        <item x="1889"/>
        <item x="79"/>
        <item x="702"/>
        <item x="191"/>
        <item x="1435"/>
        <item x="1390"/>
        <item x="2293"/>
        <item x="81"/>
        <item x="753"/>
        <item x="1094"/>
        <item x="715"/>
        <item x="461"/>
        <item x="186"/>
        <item x="232"/>
        <item x="1555"/>
        <item x="401"/>
        <item x="31"/>
        <item x="2113"/>
        <item x="1791"/>
        <item x="1191"/>
        <item x="1539"/>
        <item x="2229"/>
        <item x="1139"/>
        <item x="1456"/>
        <item x="1986"/>
        <item x="1116"/>
        <item x="1654"/>
        <item x="2222"/>
        <item x="201"/>
        <item x="0"/>
        <item x="2242"/>
        <item x="982"/>
        <item x="1413"/>
        <item x="1096"/>
        <item x="2244"/>
        <item x="1626"/>
        <item x="153"/>
        <item x="2074"/>
        <item x="1188"/>
        <item x="468"/>
        <item x="548"/>
        <item x="1141"/>
        <item x="1807"/>
        <item x="1259"/>
        <item x="410"/>
        <item x="2284"/>
        <item x="2033"/>
        <item x="1355"/>
        <item x="1218"/>
        <item x="2199"/>
        <item x="50"/>
        <item x="2216"/>
        <item x="2114"/>
        <item x="1427"/>
        <item x="2160"/>
        <item x="2169"/>
        <item x="728"/>
        <item x="2025"/>
        <item x="984"/>
        <item x="808"/>
        <item x="1699"/>
        <item x="677"/>
        <item x="1904"/>
        <item x="966"/>
        <item x="725"/>
        <item x="656"/>
        <item x="230"/>
        <item x="346"/>
        <item t="default"/>
      </items>
    </pivotField>
    <pivotField showAll="0"/>
    <pivotField numFmtId="164" showAll="0">
      <items count="363">
        <item x="272"/>
        <item x="25"/>
        <item x="115"/>
        <item x="153"/>
        <item x="114"/>
        <item x="90"/>
        <item x="138"/>
        <item x="201"/>
        <item x="271"/>
        <item x="77"/>
        <item x="353"/>
        <item x="298"/>
        <item x="220"/>
        <item x="6"/>
        <item x="301"/>
        <item x="182"/>
        <item x="335"/>
        <item x="17"/>
        <item x="280"/>
        <item x="240"/>
        <item x="112"/>
        <item x="0"/>
        <item x="20"/>
        <item x="231"/>
        <item x="312"/>
        <item x="286"/>
        <item x="140"/>
        <item x="274"/>
        <item x="244"/>
        <item x="344"/>
        <item x="131"/>
        <item x="287"/>
        <item x="241"/>
        <item x="300"/>
        <item x="360"/>
        <item x="264"/>
        <item x="108"/>
        <item x="299"/>
        <item x="18"/>
        <item x="227"/>
        <item x="223"/>
        <item x="303"/>
        <item x="28"/>
        <item x="29"/>
        <item x="7"/>
        <item x="327"/>
        <item x="3"/>
        <item x="99"/>
        <item x="257"/>
        <item x="67"/>
        <item x="60"/>
        <item x="224"/>
        <item x="230"/>
        <item x="61"/>
        <item x="197"/>
        <item x="172"/>
        <item x="275"/>
        <item x="32"/>
        <item x="51"/>
        <item x="38"/>
        <item x="236"/>
        <item x="15"/>
        <item x="351"/>
        <item x="317"/>
        <item x="260"/>
        <item x="42"/>
        <item x="37"/>
        <item x="262"/>
        <item x="239"/>
        <item x="109"/>
        <item x="139"/>
        <item x="302"/>
        <item x="146"/>
        <item x="178"/>
        <item x="52"/>
        <item x="309"/>
        <item x="14"/>
        <item x="33"/>
        <item x="225"/>
        <item x="242"/>
        <item x="306"/>
        <item x="176"/>
        <item x="190"/>
        <item x="191"/>
        <item x="4"/>
        <item x="195"/>
        <item x="83"/>
        <item x="254"/>
        <item x="340"/>
        <item x="44"/>
        <item x="144"/>
        <item x="348"/>
        <item x="133"/>
        <item x="95"/>
        <item x="221"/>
        <item x="310"/>
        <item x="205"/>
        <item x="24"/>
        <item x="246"/>
        <item x="47"/>
        <item x="173"/>
        <item x="232"/>
        <item x="134"/>
        <item x="308"/>
        <item x="116"/>
        <item x="118"/>
        <item x="248"/>
        <item x="150"/>
        <item x="331"/>
        <item x="319"/>
        <item x="285"/>
        <item x="73"/>
        <item x="200"/>
        <item x="135"/>
        <item x="167"/>
        <item x="322"/>
        <item x="93"/>
        <item x="71"/>
        <item x="329"/>
        <item x="291"/>
        <item x="281"/>
        <item x="80"/>
        <item x="203"/>
        <item x="34"/>
        <item x="215"/>
        <item x="216"/>
        <item x="102"/>
        <item x="154"/>
        <item x="237"/>
        <item x="186"/>
        <item x="293"/>
        <item x="294"/>
        <item x="270"/>
        <item x="70"/>
        <item x="87"/>
        <item x="290"/>
        <item x="157"/>
        <item x="266"/>
        <item x="238"/>
        <item x="336"/>
        <item x="174"/>
        <item x="180"/>
        <item x="258"/>
        <item x="164"/>
        <item x="209"/>
        <item x="304"/>
        <item x="107"/>
        <item x="62"/>
        <item x="245"/>
        <item x="48"/>
        <item x="23"/>
        <item x="326"/>
        <item x="313"/>
        <item x="9"/>
        <item x="1"/>
        <item x="267"/>
        <item x="105"/>
        <item x="234"/>
        <item x="11"/>
        <item x="162"/>
        <item x="255"/>
        <item x="19"/>
        <item x="59"/>
        <item x="57"/>
        <item x="64"/>
        <item x="184"/>
        <item x="127"/>
        <item x="315"/>
        <item x="321"/>
        <item x="123"/>
        <item x="259"/>
        <item x="74"/>
        <item x="39"/>
        <item x="187"/>
        <item x="284"/>
        <item x="86"/>
        <item x="333"/>
        <item x="250"/>
        <item x="152"/>
        <item x="356"/>
        <item x="343"/>
        <item x="161"/>
        <item x="332"/>
        <item x="10"/>
        <item x="261"/>
        <item x="110"/>
        <item x="147"/>
        <item x="210"/>
        <item x="249"/>
        <item x="43"/>
        <item x="289"/>
        <item x="283"/>
        <item x="26"/>
        <item x="235"/>
        <item x="181"/>
        <item x="132"/>
        <item x="328"/>
        <item x="96"/>
        <item x="263"/>
        <item x="199"/>
        <item x="111"/>
        <item x="188"/>
        <item x="160"/>
        <item x="357"/>
        <item x="85"/>
        <item x="355"/>
        <item x="63"/>
        <item x="354"/>
        <item x="101"/>
        <item x="2"/>
        <item x="54"/>
        <item x="345"/>
        <item x="122"/>
        <item x="106"/>
        <item x="296"/>
        <item x="170"/>
        <item x="185"/>
        <item x="145"/>
        <item x="339"/>
        <item x="256"/>
        <item x="183"/>
        <item x="316"/>
        <item x="323"/>
        <item x="129"/>
        <item x="307"/>
        <item x="196"/>
        <item x="36"/>
        <item x="45"/>
        <item x="194"/>
        <item x="40"/>
        <item x="82"/>
        <item x="163"/>
        <item x="27"/>
        <item x="84"/>
        <item x="53"/>
        <item x="217"/>
        <item x="78"/>
        <item x="97"/>
        <item x="168"/>
        <item x="292"/>
        <item x="265"/>
        <item x="12"/>
        <item x="311"/>
        <item x="350"/>
        <item x="228"/>
        <item x="192"/>
        <item x="16"/>
        <item x="49"/>
        <item x="325"/>
        <item x="338"/>
        <item x="151"/>
        <item x="318"/>
        <item x="347"/>
        <item x="189"/>
        <item x="212"/>
        <item x="247"/>
        <item x="35"/>
        <item x="282"/>
        <item x="94"/>
        <item x="352"/>
        <item x="202"/>
        <item x="341"/>
        <item x="177"/>
        <item x="324"/>
        <item x="72"/>
        <item x="81"/>
        <item x="166"/>
        <item x="359"/>
        <item x="148"/>
        <item x="269"/>
        <item x="213"/>
        <item x="149"/>
        <item x="143"/>
        <item x="222"/>
        <item x="13"/>
        <item x="125"/>
        <item x="276"/>
        <item x="252"/>
        <item x="208"/>
        <item x="314"/>
        <item x="156"/>
        <item x="171"/>
        <item x="124"/>
        <item x="330"/>
        <item x="158"/>
        <item x="98"/>
        <item x="361"/>
        <item x="92"/>
        <item x="288"/>
        <item x="89"/>
        <item x="169"/>
        <item x="55"/>
        <item x="165"/>
        <item x="41"/>
        <item x="88"/>
        <item x="219"/>
        <item x="5"/>
        <item x="66"/>
        <item x="119"/>
        <item x="204"/>
        <item x="104"/>
        <item x="346"/>
        <item x="337"/>
        <item x="320"/>
        <item x="103"/>
        <item x="198"/>
        <item x="229"/>
        <item x="142"/>
        <item x="8"/>
        <item x="358"/>
        <item x="233"/>
        <item x="75"/>
        <item x="159"/>
        <item x="68"/>
        <item x="279"/>
        <item x="179"/>
        <item x="305"/>
        <item x="278"/>
        <item x="76"/>
        <item x="126"/>
        <item x="130"/>
        <item x="273"/>
        <item x="155"/>
        <item x="22"/>
        <item x="214"/>
        <item x="349"/>
        <item x="137"/>
        <item x="342"/>
        <item x="56"/>
        <item x="46"/>
        <item x="117"/>
        <item x="295"/>
        <item x="120"/>
        <item x="69"/>
        <item x="100"/>
        <item x="226"/>
        <item x="21"/>
        <item x="253"/>
        <item x="79"/>
        <item x="121"/>
        <item x="211"/>
        <item x="334"/>
        <item x="193"/>
        <item x="141"/>
        <item x="91"/>
        <item x="50"/>
        <item x="207"/>
        <item x="175"/>
        <item x="65"/>
        <item x="31"/>
        <item x="30"/>
        <item x="297"/>
        <item x="136"/>
        <item x="113"/>
        <item x="218"/>
        <item x="243"/>
        <item x="58"/>
        <item x="128"/>
        <item x="251"/>
        <item x="277"/>
        <item x="268"/>
        <item x="206"/>
        <item t="default"/>
      </items>
    </pivotField>
    <pivotField showAll="0"/>
    <pivotField showAll="0"/>
    <pivotField dataField="1" numFmtId="165" showAll="0"/>
    <pivotField numFmtId="166" showAll="0"/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sd="0" x="7"/>
        <item sd="0" x="8"/>
        <item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5">
        <item h="1" sd="0" x="0"/>
        <item h="1" sd="0" x="1"/>
        <item sd="0" x="2"/>
        <item h="1" sd="0" x="3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2">
    <pageField fld="9" hier="-1"/>
    <pageField fld="7" hier="-1"/>
  </pageFields>
  <dataFields count="2">
    <dataField name="jumlah transaksi" fld="0" subtotal="count" baseField="0" baseItem="0"/>
    <dataField name="total belanja" fld="5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70733D-EBC3-0E41-8139-E6B2BD0C7AF4}" name="PivotTable7" cacheId="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ahun">
  <location ref="D9:E11" firstHeaderRow="1" firstDataRow="1" firstDataCol="1" rowPageCount="2" colPageCount="1"/>
  <pivotFields count="10">
    <pivotField dataField="1" showAll="0">
      <items count="9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t="default"/>
      </items>
    </pivotField>
    <pivotField showAll="0"/>
    <pivotField numFmtId="164" showAll="0">
      <items count="330">
        <item x="265"/>
        <item x="2"/>
        <item x="94"/>
        <item x="190"/>
        <item x="155"/>
        <item x="289"/>
        <item x="141"/>
        <item x="30"/>
        <item x="134"/>
        <item x="139"/>
        <item x="152"/>
        <item x="19"/>
        <item x="250"/>
        <item x="145"/>
        <item x="43"/>
        <item x="197"/>
        <item x="176"/>
        <item x="288"/>
        <item x="82"/>
        <item x="312"/>
        <item x="229"/>
        <item x="63"/>
        <item x="71"/>
        <item x="58"/>
        <item x="217"/>
        <item x="24"/>
        <item x="54"/>
        <item x="80"/>
        <item x="296"/>
        <item x="216"/>
        <item x="200"/>
        <item x="161"/>
        <item x="279"/>
        <item x="324"/>
        <item x="297"/>
        <item x="107"/>
        <item x="52"/>
        <item x="284"/>
        <item x="222"/>
        <item x="124"/>
        <item x="133"/>
        <item x="5"/>
        <item x="47"/>
        <item x="22"/>
        <item x="89"/>
        <item x="131"/>
        <item x="187"/>
        <item x="174"/>
        <item x="184"/>
        <item x="185"/>
        <item x="327"/>
        <item x="129"/>
        <item x="182"/>
        <item x="87"/>
        <item x="178"/>
        <item x="70"/>
        <item x="33"/>
        <item x="113"/>
        <item x="189"/>
        <item x="88"/>
        <item x="143"/>
        <item x="126"/>
        <item x="37"/>
        <item x="62"/>
        <item x="309"/>
        <item x="194"/>
        <item x="269"/>
        <item x="69"/>
        <item x="226"/>
        <item x="198"/>
        <item x="149"/>
        <item x="27"/>
        <item x="78"/>
        <item x="150"/>
        <item x="6"/>
        <item x="320"/>
        <item x="268"/>
        <item x="199"/>
        <item x="326"/>
        <item x="65"/>
        <item x="192"/>
        <item x="175"/>
        <item x="301"/>
        <item x="64"/>
        <item x="243"/>
        <item x="16"/>
        <item x="292"/>
        <item x="241"/>
        <item x="148"/>
        <item x="276"/>
        <item x="283"/>
        <item x="277"/>
        <item x="14"/>
        <item x="3"/>
        <item x="154"/>
        <item x="34"/>
        <item x="38"/>
        <item x="111"/>
        <item x="270"/>
        <item x="93"/>
        <item x="221"/>
        <item x="39"/>
        <item x="307"/>
        <item x="298"/>
        <item x="275"/>
        <item x="18"/>
        <item x="179"/>
        <item x="81"/>
        <item x="159"/>
        <item x="237"/>
        <item x="55"/>
        <item x="110"/>
        <item x="245"/>
        <item x="97"/>
        <item x="45"/>
        <item x="287"/>
        <item x="59"/>
        <item x="109"/>
        <item x="252"/>
        <item x="138"/>
        <item x="11"/>
        <item x="44"/>
        <item x="35"/>
        <item x="306"/>
        <item x="91"/>
        <item x="244"/>
        <item x="311"/>
        <item x="239"/>
        <item x="207"/>
        <item x="74"/>
        <item x="90"/>
        <item x="191"/>
        <item x="165"/>
        <item x="264"/>
        <item x="322"/>
        <item x="232"/>
        <item x="203"/>
        <item x="257"/>
        <item x="125"/>
        <item x="61"/>
        <item x="205"/>
        <item x="233"/>
        <item x="254"/>
        <item x="115"/>
        <item x="293"/>
        <item x="4"/>
        <item x="77"/>
        <item x="251"/>
        <item x="9"/>
        <item x="248"/>
        <item x="49"/>
        <item x="256"/>
        <item x="13"/>
        <item x="98"/>
        <item x="315"/>
        <item x="188"/>
        <item x="177"/>
        <item x="238"/>
        <item x="137"/>
        <item x="294"/>
        <item x="206"/>
        <item x="313"/>
        <item x="235"/>
        <item x="220"/>
        <item x="273"/>
        <item x="56"/>
        <item x="300"/>
        <item x="73"/>
        <item x="282"/>
        <item x="28"/>
        <item x="274"/>
        <item x="230"/>
        <item x="231"/>
        <item x="258"/>
        <item x="17"/>
        <item x="302"/>
        <item x="310"/>
        <item x="50"/>
        <item x="317"/>
        <item x="112"/>
        <item x="169"/>
        <item x="316"/>
        <item x="99"/>
        <item x="140"/>
        <item x="323"/>
        <item x="158"/>
        <item x="204"/>
        <item x="223"/>
        <item x="314"/>
        <item x="259"/>
        <item x="42"/>
        <item x="319"/>
        <item x="195"/>
        <item x="15"/>
        <item x="96"/>
        <item x="41"/>
        <item x="193"/>
        <item x="120"/>
        <item x="130"/>
        <item x="127"/>
        <item x="290"/>
        <item x="285"/>
        <item x="31"/>
        <item x="76"/>
        <item x="166"/>
        <item x="225"/>
        <item x="84"/>
        <item x="246"/>
        <item x="117"/>
        <item x="164"/>
        <item x="236"/>
        <item x="104"/>
        <item x="102"/>
        <item x="228"/>
        <item x="86"/>
        <item x="101"/>
        <item x="321"/>
        <item x="123"/>
        <item x="281"/>
        <item x="67"/>
        <item x="48"/>
        <item x="170"/>
        <item x="162"/>
        <item x="118"/>
        <item x="10"/>
        <item x="146"/>
        <item x="260"/>
        <item x="151"/>
        <item x="142"/>
        <item x="234"/>
        <item x="114"/>
        <item x="66"/>
        <item x="36"/>
        <item x="72"/>
        <item x="242"/>
        <item x="215"/>
        <item x="167"/>
        <item x="305"/>
        <item x="122"/>
        <item x="7"/>
        <item x="295"/>
        <item x="212"/>
        <item x="280"/>
        <item x="303"/>
        <item x="160"/>
        <item x="68"/>
        <item x="247"/>
        <item x="304"/>
        <item x="211"/>
        <item x="214"/>
        <item x="253"/>
        <item x="209"/>
        <item x="325"/>
        <item x="308"/>
        <item x="128"/>
        <item x="157"/>
        <item x="263"/>
        <item x="53"/>
        <item x="224"/>
        <item x="85"/>
        <item x="119"/>
        <item x="219"/>
        <item x="29"/>
        <item x="105"/>
        <item x="95"/>
        <item x="218"/>
        <item x="201"/>
        <item x="240"/>
        <item x="156"/>
        <item x="46"/>
        <item x="153"/>
        <item x="168"/>
        <item x="249"/>
        <item x="100"/>
        <item x="286"/>
        <item x="8"/>
        <item x="51"/>
        <item x="266"/>
        <item x="26"/>
        <item x="108"/>
        <item x="181"/>
        <item x="173"/>
        <item x="272"/>
        <item x="183"/>
        <item x="75"/>
        <item x="121"/>
        <item x="25"/>
        <item x="60"/>
        <item x="171"/>
        <item x="136"/>
        <item x="21"/>
        <item x="1"/>
        <item x="202"/>
        <item x="213"/>
        <item x="291"/>
        <item x="299"/>
        <item x="0"/>
        <item x="106"/>
        <item x="163"/>
        <item x="20"/>
        <item x="147"/>
        <item x="262"/>
        <item x="328"/>
        <item x="103"/>
        <item x="79"/>
        <item x="278"/>
        <item x="132"/>
        <item x="92"/>
        <item x="116"/>
        <item x="172"/>
        <item x="57"/>
        <item x="32"/>
        <item x="261"/>
        <item x="40"/>
        <item x="255"/>
        <item x="267"/>
        <item x="196"/>
        <item x="12"/>
        <item x="318"/>
        <item x="180"/>
        <item x="271"/>
        <item x="227"/>
        <item x="144"/>
        <item x="210"/>
        <item x="208"/>
        <item x="23"/>
        <item x="135"/>
        <item x="83"/>
        <item x="186"/>
        <item t="default"/>
      </items>
    </pivotField>
    <pivotField showAll="0"/>
    <pivotField showAll="0"/>
    <pivotField numFmtId="166" showAll="0"/>
    <pivotField axis="axisPage" multipleItemSelectionAllowed="1" showAll="0">
      <items count="3">
        <item x="0"/>
        <item h="1" x="1"/>
        <item t="default"/>
      </items>
    </pivotField>
    <pivotField axis="axisPage" multipleItemSelectionAllowed="1" showAll="0">
      <items count="15">
        <item h="1" sd="0" x="0"/>
        <item h="1" sd="0" x="1"/>
        <item h="1" sd="0" x="2"/>
        <item h="1" sd="0" x="3"/>
        <item h="1" sd="0" x="4"/>
        <item h="1" sd="0" x="5"/>
        <item sd="0" x="6"/>
        <item sd="0" x="7"/>
        <item sd="0" x="8"/>
        <item sd="0" x="9"/>
        <item h="1" sd="0" x="10"/>
        <item h="1" sd="0" x="11"/>
        <item h="1" sd="0" x="12"/>
        <item h="1"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9"/>
    <field x="8"/>
  </rowFields>
  <rowItems count="2">
    <i>
      <x v="2"/>
    </i>
    <i t="grand">
      <x/>
    </i>
  </rowItems>
  <colItems count="1">
    <i/>
  </colItems>
  <pageFields count="2">
    <pageField fld="6" hier="-1"/>
    <pageField fld="7" hier="-1"/>
  </pageFields>
  <dataFields count="1">
    <dataField name="Jumlah Redeem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77B92-521E-DD45-AE30-43D79F367095}" name="PivotTable14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 rowHeaderCaption="kategori belanja">
  <location ref="A78:C85" firstHeaderRow="0" firstDataRow="1" firstDataCol="1" rowPageCount="2" colPageCount="1"/>
  <pivotFields count="10">
    <pivotField dataField="1" showAll="0">
      <items count="2320">
        <item x="751"/>
        <item x="307"/>
        <item x="1424"/>
        <item x="424"/>
        <item x="1887"/>
        <item x="1387"/>
        <item x="27"/>
        <item x="1863"/>
        <item x="446"/>
        <item x="1319"/>
        <item x="1320"/>
        <item x="670"/>
        <item x="1099"/>
        <item x="1396"/>
        <item x="1736"/>
        <item x="2276"/>
        <item x="960"/>
        <item x="12"/>
        <item x="1786"/>
        <item x="866"/>
        <item x="2211"/>
        <item x="1307"/>
        <item x="889"/>
        <item x="1579"/>
        <item x="403"/>
        <item x="2274"/>
        <item x="1220"/>
        <item x="1142"/>
        <item x="1671"/>
        <item x="1821"/>
        <item x="773"/>
        <item x="1576"/>
        <item x="1494"/>
        <item x="1636"/>
        <item x="859"/>
        <item x="1180"/>
        <item x="2056"/>
        <item x="526"/>
        <item x="1574"/>
        <item x="797"/>
        <item x="48"/>
        <item x="1234"/>
        <item x="1942"/>
        <item x="1348"/>
        <item x="1005"/>
        <item x="995"/>
        <item x="1650"/>
        <item x="9"/>
        <item x="449"/>
        <item x="739"/>
        <item x="86"/>
        <item x="910"/>
        <item x="1785"/>
        <item x="672"/>
        <item x="375"/>
        <item x="1346"/>
        <item x="24"/>
        <item x="1639"/>
        <item x="841"/>
        <item x="710"/>
        <item x="603"/>
        <item x="1622"/>
        <item x="1022"/>
        <item x="2178"/>
        <item x="840"/>
        <item x="42"/>
        <item x="1666"/>
        <item x="555"/>
        <item x="1647"/>
        <item x="1581"/>
        <item x="2070"/>
        <item x="1814"/>
        <item x="1421"/>
        <item x="803"/>
        <item x="1316"/>
        <item x="147"/>
        <item x="301"/>
        <item x="2189"/>
        <item x="1176"/>
        <item x="1075"/>
        <item x="802"/>
        <item x="907"/>
        <item x="632"/>
        <item x="1047"/>
        <item x="1460"/>
        <item x="1291"/>
        <item x="2148"/>
        <item x="319"/>
        <item x="978"/>
        <item x="1511"/>
        <item x="1166"/>
        <item x="664"/>
        <item x="1692"/>
        <item x="155"/>
        <item x="923"/>
        <item x="1797"/>
        <item x="2231"/>
        <item x="1513"/>
        <item x="616"/>
        <item x="1237"/>
        <item x="2143"/>
        <item x="804"/>
        <item x="290"/>
        <item x="992"/>
        <item x="637"/>
        <item x="2057"/>
        <item x="1578"/>
        <item x="36"/>
        <item x="20"/>
        <item x="2163"/>
        <item x="1012"/>
        <item x="30"/>
        <item x="2027"/>
        <item x="1674"/>
        <item x="1694"/>
        <item x="765"/>
        <item x="1683"/>
        <item x="1438"/>
        <item x="1701"/>
        <item x="467"/>
        <item x="89"/>
        <item x="1562"/>
        <item x="1875"/>
        <item x="253"/>
        <item x="1885"/>
        <item x="568"/>
        <item x="71"/>
        <item x="1496"/>
        <item x="1989"/>
        <item x="2312"/>
        <item x="964"/>
        <item x="1122"/>
        <item x="1703"/>
        <item x="657"/>
        <item x="224"/>
        <item x="969"/>
        <item x="1125"/>
        <item x="534"/>
        <item x="919"/>
        <item x="1337"/>
        <item x="383"/>
        <item x="1628"/>
        <item x="888"/>
        <item x="2103"/>
        <item x="2313"/>
        <item x="2130"/>
        <item x="785"/>
        <item x="1766"/>
        <item x="1173"/>
        <item x="574"/>
        <item x="2096"/>
        <item x="1468"/>
        <item x="2227"/>
        <item x="1928"/>
        <item x="1055"/>
        <item x="2265"/>
        <item x="1251"/>
        <item x="1826"/>
        <item x="620"/>
        <item x="1041"/>
        <item x="947"/>
        <item x="385"/>
        <item x="1882"/>
        <item x="875"/>
        <item x="1498"/>
        <item x="276"/>
        <item x="1283"/>
        <item x="688"/>
        <item x="1961"/>
        <item x="233"/>
        <item x="1314"/>
        <item x="934"/>
        <item x="1474"/>
        <item x="1777"/>
        <item x="1852"/>
        <item x="1074"/>
        <item x="757"/>
        <item x="420"/>
        <item x="1523"/>
        <item x="1803"/>
        <item x="1280"/>
        <item x="347"/>
        <item x="617"/>
        <item x="2205"/>
        <item x="1809"/>
        <item x="1614"/>
        <item x="455"/>
        <item x="1310"/>
        <item x="891"/>
        <item x="1207"/>
        <item x="302"/>
        <item x="1342"/>
        <item x="110"/>
        <item x="1633"/>
        <item x="8"/>
        <item x="34"/>
        <item x="1726"/>
        <item x="1865"/>
        <item x="880"/>
        <item x="1582"/>
        <item x="324"/>
        <item x="260"/>
        <item x="598"/>
        <item x="1999"/>
        <item x="890"/>
        <item x="265"/>
        <item x="303"/>
        <item x="1361"/>
        <item x="881"/>
        <item x="1357"/>
        <item x="671"/>
        <item x="973"/>
        <item x="470"/>
        <item x="2050"/>
        <item x="1761"/>
        <item x="1108"/>
        <item x="994"/>
        <item x="2029"/>
        <item x="1522"/>
        <item x="1869"/>
        <item x="572"/>
        <item x="1788"/>
        <item x="2165"/>
        <item x="493"/>
        <item x="1655"/>
        <item x="2035"/>
        <item x="338"/>
        <item x="590"/>
        <item x="807"/>
        <item x="496"/>
        <item x="800"/>
        <item x="175"/>
        <item x="2016"/>
        <item x="819"/>
        <item x="1182"/>
        <item x="2317"/>
        <item x="3"/>
        <item x="1362"/>
        <item x="1495"/>
        <item x="1052"/>
        <item x="1741"/>
        <item x="227"/>
        <item x="174"/>
        <item x="2260"/>
        <item x="1282"/>
        <item x="1675"/>
        <item x="1708"/>
        <item x="1686"/>
        <item x="708"/>
        <item x="2064"/>
        <item x="872"/>
        <item x="1123"/>
        <item x="2307"/>
        <item x="2170"/>
        <item x="1696"/>
        <item x="843"/>
        <item x="1224"/>
        <item x="1422"/>
        <item x="10"/>
        <item x="729"/>
        <item x="618"/>
        <item x="1799"/>
        <item x="1169"/>
        <item x="1705"/>
        <item x="589"/>
        <item x="1598"/>
        <item x="2217"/>
        <item x="611"/>
        <item x="373"/>
        <item x="2230"/>
        <item x="354"/>
        <item x="1756"/>
        <item x="1971"/>
        <item x="1745"/>
        <item x="976"/>
        <item x="441"/>
        <item x="1607"/>
        <item x="1652"/>
        <item x="1132"/>
        <item x="1060"/>
        <item x="350"/>
        <item x="713"/>
        <item x="178"/>
        <item x="833"/>
        <item x="1327"/>
        <item x="49"/>
        <item x="957"/>
        <item x="1898"/>
        <item x="882"/>
        <item x="1050"/>
        <item x="2144"/>
        <item x="1649"/>
        <item x="236"/>
        <item x="782"/>
        <item x="1672"/>
        <item x="1058"/>
        <item x="1866"/>
        <item x="348"/>
        <item x="981"/>
        <item x="591"/>
        <item x="1374"/>
        <item x="462"/>
        <item x="724"/>
        <item x="335"/>
        <item x="74"/>
        <item x="783"/>
        <item x="292"/>
        <item x="1420"/>
        <item x="1019"/>
        <item x="561"/>
        <item x="1200"/>
        <item x="1121"/>
        <item x="1939"/>
        <item x="2264"/>
        <item x="90"/>
        <item x="1212"/>
        <item x="2294"/>
        <item x="2066"/>
        <item x="1270"/>
        <item x="2297"/>
        <item x="1350"/>
        <item x="113"/>
        <item x="1407"/>
        <item x="1184"/>
        <item x="2131"/>
        <item x="357"/>
        <item x="1389"/>
        <item x="2214"/>
        <item x="2046"/>
        <item x="158"/>
        <item x="653"/>
        <item x="163"/>
        <item x="1026"/>
        <item x="1927"/>
        <item x="1859"/>
        <item x="313"/>
        <item x="767"/>
        <item x="2052"/>
        <item x="635"/>
        <item x="1609"/>
        <item x="893"/>
        <item x="372"/>
        <item x="1774"/>
        <item x="2000"/>
        <item x="1763"/>
        <item x="1365"/>
        <item x="1818"/>
        <item x="599"/>
        <item x="183"/>
        <item x="1265"/>
        <item x="1137"/>
        <item x="513"/>
        <item x="1915"/>
        <item x="469"/>
        <item x="1497"/>
        <item x="1273"/>
        <item x="1911"/>
        <item x="2308"/>
        <item x="1642"/>
        <item x="1133"/>
        <item x="1964"/>
        <item x="763"/>
        <item x="2058"/>
        <item x="485"/>
        <item x="1659"/>
        <item x="1002"/>
        <item x="480"/>
        <item x="274"/>
        <item x="203"/>
        <item x="869"/>
        <item x="138"/>
        <item x="1753"/>
        <item x="533"/>
        <item x="1936"/>
        <item x="1484"/>
        <item x="137"/>
        <item x="2094"/>
        <item x="1779"/>
        <item x="1877"/>
        <item x="1996"/>
        <item x="1301"/>
        <item x="1657"/>
        <item x="607"/>
        <item x="1199"/>
        <item x="1596"/>
        <item x="754"/>
        <item x="675"/>
        <item x="1399"/>
        <item x="1471"/>
        <item x="170"/>
        <item x="917"/>
        <item x="2147"/>
        <item x="1285"/>
        <item x="1313"/>
        <item x="1832"/>
        <item x="1192"/>
        <item x="497"/>
        <item x="2042"/>
        <item x="595"/>
        <item x="909"/>
        <item x="421"/>
        <item x="1054"/>
        <item x="1838"/>
        <item x="210"/>
        <item x="1101"/>
        <item x="2204"/>
        <item x="356"/>
        <item x="777"/>
        <item x="887"/>
        <item x="1098"/>
        <item x="2075"/>
        <item x="1680"/>
        <item x="1770"/>
        <item x="2179"/>
        <item x="58"/>
        <item x="362"/>
        <item x="749"/>
        <item x="1950"/>
        <item x="491"/>
        <item x="1253"/>
        <item x="955"/>
        <item x="398"/>
        <item x="650"/>
        <item x="2091"/>
        <item x="748"/>
        <item x="208"/>
        <item x="1073"/>
        <item x="1049"/>
        <item x="391"/>
        <item x="1697"/>
        <item x="1356"/>
        <item x="2290"/>
        <item x="415"/>
        <item x="1524"/>
        <item x="771"/>
        <item x="665"/>
        <item x="1243"/>
        <item x="1540"/>
        <item x="762"/>
        <item x="333"/>
        <item x="73"/>
        <item x="718"/>
        <item x="386"/>
        <item x="234"/>
        <item x="475"/>
        <item x="1447"/>
        <item x="835"/>
        <item x="392"/>
        <item x="1009"/>
        <item x="1518"/>
        <item x="2192"/>
        <item x="2181"/>
        <item x="573"/>
        <item x="102"/>
        <item x="1835"/>
        <item x="1419"/>
        <item x="799"/>
        <item x="1372"/>
        <item x="1558"/>
        <item x="1376"/>
        <item x="1039"/>
        <item x="2248"/>
        <item x="827"/>
        <item x="1386"/>
        <item x="25"/>
        <item x="2127"/>
        <item x="1443"/>
        <item x="1810"/>
        <item x="219"/>
        <item x="2245"/>
        <item x="661"/>
        <item x="1111"/>
        <item x="1506"/>
        <item x="1336"/>
        <item x="1382"/>
        <item x="2151"/>
        <item x="639"/>
        <item x="430"/>
        <item x="791"/>
        <item x="1434"/>
        <item x="417"/>
        <item x="1007"/>
        <item x="1347"/>
        <item x="1536"/>
        <item x="45"/>
        <item x="418"/>
        <item x="505"/>
        <item x="967"/>
        <item x="2008"/>
        <item x="2224"/>
        <item x="636"/>
        <item x="1079"/>
        <item x="1505"/>
        <item x="1276"/>
        <item x="1084"/>
        <item x="322"/>
        <item x="1120"/>
        <item x="2282"/>
        <item x="1233"/>
        <item x="2032"/>
        <item x="1737"/>
        <item x="1931"/>
        <item x="1257"/>
        <item x="1197"/>
        <item x="1606"/>
        <item x="2203"/>
        <item x="1910"/>
        <item x="814"/>
        <item x="33"/>
        <item x="1305"/>
        <item x="477"/>
        <item x="2026"/>
        <item x="759"/>
        <item x="554"/>
        <item x="2024"/>
        <item x="2283"/>
        <item x="1248"/>
        <item x="1864"/>
        <item x="2004"/>
        <item x="1973"/>
        <item x="1203"/>
        <item x="306"/>
        <item x="1949"/>
        <item x="1400"/>
        <item x="2095"/>
        <item x="395"/>
        <item x="1008"/>
        <item x="343"/>
        <item x="1004"/>
        <item x="971"/>
        <item x="1476"/>
        <item x="903"/>
        <item x="2236"/>
        <item x="1727"/>
        <item x="742"/>
        <item x="500"/>
        <item x="760"/>
        <item x="556"/>
        <item x="1113"/>
        <item x="2078"/>
        <item x="2045"/>
        <item x="812"/>
        <item x="2288"/>
        <item x="1272"/>
        <item x="1995"/>
        <item x="2174"/>
        <item x="740"/>
        <item x="529"/>
        <item x="1543"/>
        <item x="579"/>
        <item x="1519"/>
        <item x="1886"/>
        <item x="1711"/>
        <item x="223"/>
        <item x="1415"/>
        <item x="539"/>
        <item x="805"/>
        <item x="124"/>
        <item x="630"/>
        <item x="379"/>
        <item x="445"/>
        <item x="922"/>
        <item x="2305"/>
        <item x="519"/>
        <item x="2246"/>
        <item x="2063"/>
        <item x="2105"/>
        <item x="1529"/>
        <item x="1454"/>
        <item x="284"/>
        <item x="1146"/>
        <item x="1011"/>
        <item x="557"/>
        <item x="231"/>
        <item x="1211"/>
        <item x="646"/>
        <item x="565"/>
        <item x="684"/>
        <item x="1570"/>
        <item x="296"/>
        <item x="1715"/>
        <item x="1061"/>
        <item x="342"/>
        <item x="287"/>
        <item x="1129"/>
        <item x="289"/>
        <item x="297"/>
        <item x="173"/>
        <item x="1698"/>
        <item x="114"/>
        <item x="1938"/>
        <item x="2159"/>
        <item x="1"/>
        <item x="1076"/>
        <item x="1127"/>
        <item x="1068"/>
        <item x="690"/>
        <item x="1162"/>
        <item x="225"/>
        <item x="1017"/>
        <item x="1743"/>
        <item x="2079"/>
        <item x="985"/>
        <item x="1405"/>
        <item x="1453"/>
        <item x="1757"/>
        <item x="2225"/>
        <item x="460"/>
        <item x="931"/>
        <item x="2208"/>
        <item x="168"/>
        <item x="1896"/>
        <item x="487"/>
        <item x="578"/>
        <item x="176"/>
        <item x="680"/>
        <item x="1329"/>
        <item x="2116"/>
        <item x="1056"/>
        <item x="681"/>
        <item x="543"/>
        <item x="2049"/>
        <item x="868"/>
        <item x="180"/>
        <item x="2112"/>
        <item x="795"/>
        <item x="2100"/>
        <item x="310"/>
        <item x="682"/>
        <item x="1031"/>
        <item x="686"/>
        <item x="856"/>
        <item x="345"/>
        <item x="2289"/>
        <item x="87"/>
        <item x="1268"/>
        <item x="582"/>
        <item x="2090"/>
        <item x="580"/>
        <item x="601"/>
        <item x="912"/>
        <item x="894"/>
        <item x="796"/>
        <item x="851"/>
        <item x="413"/>
        <item x="1944"/>
        <item x="1634"/>
        <item x="1126"/>
        <item x="2263"/>
        <item x="1150"/>
        <item x="256"/>
        <item x="1719"/>
        <item x="2069"/>
        <item x="112"/>
        <item x="189"/>
        <item x="865"/>
        <item x="2183"/>
        <item x="1952"/>
        <item x="1828"/>
        <item x="1144"/>
        <item x="142"/>
        <item x="700"/>
        <item x="705"/>
        <item x="1209"/>
        <item x="927"/>
        <item x="1688"/>
        <item x="1223"/>
        <item x="1923"/>
        <item x="2306"/>
        <item x="143"/>
        <item x="1493"/>
        <item x="192"/>
        <item x="384"/>
        <item x="1554"/>
        <item x="198"/>
        <item x="863"/>
        <item x="1735"/>
        <item x="1842"/>
        <item x="570"/>
        <item x="221"/>
        <item x="78"/>
        <item x="1530"/>
        <item x="1230"/>
        <item x="423"/>
        <item x="1746"/>
        <item x="123"/>
        <item x="1556"/>
        <item x="2139"/>
        <item x="1231"/>
        <item x="1992"/>
        <item x="2119"/>
        <item x="1856"/>
        <item x="202"/>
        <item x="528"/>
        <item x="1398"/>
        <item x="2254"/>
        <item x="2196"/>
        <item x="481"/>
        <item x="1070"/>
        <item x="1563"/>
        <item x="471"/>
        <item x="235"/>
        <item x="325"/>
        <item x="693"/>
        <item x="1955"/>
        <item x="515"/>
        <item x="2133"/>
        <item x="908"/>
        <item x="68"/>
        <item x="1486"/>
        <item x="1580"/>
        <item x="1170"/>
        <item x="315"/>
        <item x="770"/>
        <item x="2134"/>
        <item x="2240"/>
        <item x="1806"/>
        <item x="2104"/>
        <item x="1066"/>
        <item x="915"/>
        <item x="1242"/>
        <item x="1935"/>
        <item x="1879"/>
        <item x="1279"/>
        <item x="472"/>
        <item x="451"/>
        <item x="190"/>
        <item x="2092"/>
        <item x="2291"/>
        <item x="876"/>
        <item x="602"/>
        <item x="1473"/>
        <item x="1956"/>
        <item x="316"/>
        <item x="1977"/>
        <item x="1479"/>
        <item x="308"/>
        <item x="566"/>
        <item x="1781"/>
        <item x="1042"/>
        <item x="2038"/>
        <item x="1533"/>
        <item x="1213"/>
        <item x="1970"/>
        <item x="1618"/>
        <item x="76"/>
        <item x="1292"/>
        <item x="1776"/>
        <item x="885"/>
        <item x="332"/>
        <item x="979"/>
        <item x="1689"/>
        <item x="1561"/>
        <item x="2304"/>
        <item x="1353"/>
        <item x="1466"/>
        <item x="164"/>
        <item x="132"/>
        <item x="683"/>
        <item x="1206"/>
        <item x="28"/>
        <item x="490"/>
        <item x="1951"/>
        <item x="314"/>
        <item x="116"/>
        <item x="1478"/>
        <item x="768"/>
        <item x="382"/>
        <item x="327"/>
        <item x="1053"/>
        <item x="2051"/>
        <item x="911"/>
        <item x="435"/>
        <item x="1664"/>
        <item x="458"/>
        <item x="1710"/>
        <item x="1452"/>
        <item x="1256"/>
        <item x="709"/>
        <item x="694"/>
        <item x="1542"/>
        <item x="1193"/>
        <item x="1547"/>
        <item x="1773"/>
        <item x="1926"/>
        <item x="678"/>
        <item x="1217"/>
        <item x="1930"/>
        <item x="643"/>
        <item x="1168"/>
        <item x="214"/>
        <item x="474"/>
        <item x="1894"/>
        <item x="40"/>
        <item x="2017"/>
        <item x="2047"/>
        <item x="1823"/>
        <item x="1624"/>
        <item x="1615"/>
        <item x="1085"/>
        <item x="1638"/>
        <item x="857"/>
        <item x="627"/>
        <item x="2053"/>
        <item x="405"/>
        <item x="1861"/>
        <item x="2087"/>
        <item x="871"/>
        <item x="29"/>
        <item x="1608"/>
        <item x="1130"/>
        <item x="2198"/>
        <item x="140"/>
        <item x="744"/>
        <item x="1974"/>
        <item x="1189"/>
        <item x="247"/>
        <item x="1559"/>
        <item x="1975"/>
        <item x="1249"/>
        <item x="130"/>
        <item x="105"/>
        <item x="1847"/>
        <item x="1037"/>
        <item x="1083"/>
        <item x="197"/>
        <item x="1323"/>
        <item x="1155"/>
        <item x="249"/>
        <item x="904"/>
        <item x="1417"/>
        <item x="1254"/>
        <item x="2158"/>
        <item x="1020"/>
        <item x="905"/>
        <item x="1850"/>
        <item x="1921"/>
        <item x="2084"/>
        <item x="1764"/>
        <item x="129"/>
        <item x="393"/>
        <item x="1388"/>
        <item x="1406"/>
        <item x="2177"/>
        <item x="1916"/>
        <item x="125"/>
        <item x="542"/>
        <item x="1087"/>
        <item x="2048"/>
        <item x="84"/>
        <item x="2059"/>
        <item x="741"/>
        <item x="651"/>
        <item x="1544"/>
        <item x="243"/>
        <item x="1572"/>
        <item x="2061"/>
        <item x="615"/>
        <item x="209"/>
        <item x="334"/>
        <item x="1164"/>
        <item x="706"/>
        <item x="1728"/>
        <item x="1232"/>
        <item x="1656"/>
        <item x="2221"/>
        <item x="62"/>
        <item x="1669"/>
        <item x="1151"/>
        <item x="2191"/>
        <item x="774"/>
        <item x="2234"/>
        <item x="612"/>
        <item x="1860"/>
        <item x="1119"/>
        <item x="1744"/>
        <item x="1564"/>
        <item x="527"/>
        <item x="2145"/>
        <item x="2110"/>
        <item x="483"/>
        <item x="104"/>
        <item x="2088"/>
        <item x="2278"/>
        <item x="2180"/>
        <item x="647"/>
        <item x="1924"/>
        <item x="1090"/>
        <item x="898"/>
        <item x="2228"/>
        <item x="1153"/>
        <item x="687"/>
        <item x="1394"/>
        <item x="367"/>
        <item x="407"/>
        <item x="625"/>
        <item x="1568"/>
        <item x="1732"/>
        <item x="621"/>
        <item x="752"/>
        <item x="161"/>
        <item x="2138"/>
        <item x="484"/>
        <item x="1812"/>
        <item x="1202"/>
        <item x="2315"/>
        <item x="268"/>
        <item x="1968"/>
        <item x="1908"/>
        <item x="1437"/>
        <item x="2200"/>
        <item x="272"/>
        <item x="1296"/>
        <item x="321"/>
        <item x="1984"/>
        <item x="1890"/>
        <item x="853"/>
        <item x="2015"/>
        <item x="900"/>
        <item x="7"/>
        <item x="261"/>
        <item x="719"/>
        <item x="1239"/>
        <item x="1651"/>
        <item x="826"/>
        <item x="431"/>
        <item x="999"/>
        <item x="422"/>
        <item x="2257"/>
        <item x="1431"/>
        <item x="1616"/>
        <item x="948"/>
        <item x="1827"/>
        <item x="1662"/>
        <item x="2034"/>
        <item x="576"/>
        <item x="131"/>
        <item x="1487"/>
        <item x="1640"/>
        <item x="1853"/>
        <item x="1289"/>
        <item x="1021"/>
        <item x="1377"/>
        <item x="69"/>
        <item x="1960"/>
        <item x="1612"/>
        <item x="1922"/>
        <item x="1775"/>
        <item x="939"/>
        <item x="2175"/>
        <item x="1072"/>
        <item x="1104"/>
        <item x="438"/>
        <item x="353"/>
        <item x="600"/>
        <item x="266"/>
        <item x="1901"/>
        <item x="746"/>
        <item x="1893"/>
        <item x="877"/>
        <item x="2314"/>
        <item x="1219"/>
        <item x="1366"/>
        <item x="1848"/>
        <item x="2232"/>
        <item x="531"/>
        <item x="1229"/>
        <item x="1738"/>
        <item x="135"/>
        <item x="1069"/>
        <item x="507"/>
        <item x="1947"/>
        <item x="798"/>
        <item x="1507"/>
        <item x="1106"/>
        <item x="593"/>
        <item x="1071"/>
        <item x="317"/>
        <item x="1619"/>
        <item x="448"/>
        <item x="1679"/>
        <item x="1300"/>
        <item x="663"/>
        <item x="279"/>
        <item x="730"/>
        <item x="148"/>
        <item x="1024"/>
        <item x="141"/>
        <item x="1834"/>
        <item x="1839"/>
        <item x="1115"/>
        <item x="1235"/>
        <item x="692"/>
        <item x="837"/>
        <item x="38"/>
        <item x="447"/>
        <item x="997"/>
        <item x="1179"/>
        <item x="1991"/>
        <item x="2028"/>
        <item x="269"/>
        <item x="2010"/>
        <item x="610"/>
        <item x="1363"/>
        <item x="63"/>
        <item x="6"/>
        <item x="779"/>
        <item x="1551"/>
        <item x="1117"/>
        <item x="377"/>
        <item x="1163"/>
        <item x="365"/>
        <item x="492"/>
        <item x="1410"/>
        <item x="1311"/>
        <item x="1210"/>
        <item x="1601"/>
        <item x="47"/>
        <item x="1966"/>
        <item x="2193"/>
        <item x="70"/>
        <item x="1767"/>
        <item x="1677"/>
        <item x="1515"/>
        <item x="1663"/>
        <item x="2077"/>
        <item x="217"/>
        <item x="270"/>
        <item x="552"/>
        <item x="1441"/>
        <item x="1186"/>
        <item x="2298"/>
        <item x="22"/>
        <item x="1851"/>
        <item x="433"/>
        <item x="1449"/>
        <item x="975"/>
        <item x="652"/>
        <item x="1304"/>
        <item x="248"/>
        <item x="1567"/>
        <item x="1354"/>
        <item x="2036"/>
        <item x="149"/>
        <item x="965"/>
        <item x="4"/>
        <item x="2269"/>
        <item x="1124"/>
        <item x="1190"/>
        <item x="2202"/>
        <item x="1734"/>
        <item x="1154"/>
        <item x="2166"/>
        <item x="41"/>
        <item x="1854"/>
        <item x="1668"/>
        <item x="1267"/>
        <item x="1161"/>
        <item x="1290"/>
        <item x="479"/>
        <item x="55"/>
        <item x="2318"/>
        <item x="1878"/>
        <item x="1824"/>
        <item x="1605"/>
        <item x="277"/>
        <item x="1514"/>
        <item x="2237"/>
        <item x="522"/>
        <item x="1643"/>
        <item x="368"/>
        <item x="788"/>
        <item x="2171"/>
        <item x="108"/>
        <item x="1490"/>
        <item x="2111"/>
        <item x="1833"/>
        <item x="622"/>
        <item x="1457"/>
        <item x="884"/>
        <item x="830"/>
        <item x="559"/>
        <item x="952"/>
        <item x="1395"/>
        <item x="558"/>
        <item x="1545"/>
        <item x="65"/>
        <item x="1040"/>
        <item x="2073"/>
        <item x="204"/>
        <item x="291"/>
        <item x="1884"/>
        <item x="1458"/>
        <item x="193"/>
        <item x="604"/>
        <item x="2287"/>
        <item x="2316"/>
        <item x="1102"/>
        <item x="1592"/>
        <item x="2238"/>
        <item x="1244"/>
        <item x="1855"/>
        <item x="35"/>
        <item x="1095"/>
        <item x="60"/>
        <item x="745"/>
        <item x="1739"/>
        <item x="2068"/>
        <item x="1385"/>
        <item x="211"/>
        <item x="2301"/>
        <item x="2136"/>
        <item x="254"/>
        <item x="1712"/>
        <item x="283"/>
        <item x="906"/>
        <item x="1250"/>
        <item x="829"/>
        <item x="977"/>
        <item x="1584"/>
        <item x="1621"/>
        <item x="1987"/>
        <item x="2023"/>
        <item x="1000"/>
        <item x="747"/>
        <item x="80"/>
        <item x="1804"/>
        <item x="1586"/>
        <item x="914"/>
        <item x="21"/>
        <item x="144"/>
        <item x="250"/>
        <item x="329"/>
        <item x="1750"/>
        <item x="1603"/>
        <item x="165"/>
        <item x="1491"/>
        <item x="2155"/>
        <item x="892"/>
        <item x="778"/>
        <item x="1793"/>
        <item x="156"/>
        <item x="1723"/>
        <item x="126"/>
        <item x="626"/>
        <item x="628"/>
        <item x="88"/>
        <item x="789"/>
        <item x="1597"/>
        <item x="1333"/>
        <item x="2267"/>
        <item x="1627"/>
        <item x="832"/>
        <item x="1397"/>
        <item x="1917"/>
        <item x="2107"/>
        <item x="654"/>
        <item x="991"/>
        <item x="1317"/>
        <item x="1114"/>
        <item x="2164"/>
        <item x="1472"/>
        <item x="427"/>
        <item x="294"/>
        <item x="1953"/>
        <item x="323"/>
        <item x="331"/>
        <item x="187"/>
        <item x="2055"/>
        <item x="1815"/>
        <item x="1722"/>
        <item x="278"/>
        <item x="809"/>
        <item x="1591"/>
        <item x="2072"/>
        <item x="2255"/>
        <item x="369"/>
        <item x="886"/>
        <item x="352"/>
        <item x="535"/>
        <item x="1293"/>
        <item x="801"/>
        <item x="2054"/>
        <item x="930"/>
        <item x="1489"/>
        <item x="1678"/>
        <item x="1883"/>
        <item x="2128"/>
        <item x="1147"/>
        <item x="1339"/>
        <item x="1588"/>
        <item x="2129"/>
        <item x="2037"/>
        <item x="867"/>
        <item x="412"/>
        <item x="237"/>
        <item x="644"/>
        <item x="723"/>
        <item x="1450"/>
        <item x="1373"/>
        <item x="2067"/>
        <item x="825"/>
        <item x="2311"/>
        <item x="1667"/>
        <item x="1015"/>
        <item x="286"/>
        <item x="244"/>
        <item x="1820"/>
        <item x="958"/>
        <item x="697"/>
        <item x="575"/>
        <item x="1465"/>
        <item x="1227"/>
        <item x="1228"/>
        <item x="2258"/>
        <item x="285"/>
        <item x="1713"/>
        <item x="921"/>
        <item x="54"/>
        <item x="212"/>
        <item x="536"/>
        <item x="267"/>
        <item x="326"/>
        <item x="1772"/>
        <item x="1264"/>
        <item x="397"/>
        <item x="396"/>
        <item x="990"/>
        <item x="1088"/>
        <item x="1065"/>
        <item x="988"/>
        <item x="5"/>
        <item x="46"/>
        <item x="679"/>
        <item x="1442"/>
        <item x="2157"/>
        <item x="371"/>
        <item x="514"/>
        <item x="1324"/>
        <item x="1046"/>
        <item x="1032"/>
        <item x="77"/>
        <item x="1595"/>
        <item x="929"/>
        <item x="1286"/>
        <item x="951"/>
        <item x="13"/>
        <item x="707"/>
        <item x="18"/>
        <item x="712"/>
        <item x="1340"/>
        <item x="1845"/>
        <item x="188"/>
        <item x="1759"/>
        <item x="1870"/>
        <item x="414"/>
        <item x="1345"/>
        <item x="1459"/>
        <item x="2182"/>
        <item x="1380"/>
        <item x="937"/>
        <item x="2009"/>
        <item x="506"/>
        <item x="608"/>
        <item x="443"/>
        <item x="1183"/>
        <item x="463"/>
        <item x="1560"/>
        <item x="478"/>
        <item x="1134"/>
        <item x="1590"/>
        <item x="387"/>
        <item x="950"/>
        <item x="855"/>
        <item x="1140"/>
        <item x="2149"/>
        <item x="117"/>
        <item x="2249"/>
        <item x="2309"/>
        <item x="111"/>
        <item x="1416"/>
        <item x="370"/>
        <item x="429"/>
        <item x="340"/>
        <item x="1925"/>
        <item x="1404"/>
        <item x="721"/>
        <item x="1222"/>
        <item x="2292"/>
        <item x="538"/>
        <item x="564"/>
        <item x="605"/>
        <item x="1138"/>
        <item x="1181"/>
        <item x="416"/>
        <item x="2153"/>
        <item x="394"/>
        <item x="255"/>
        <item x="649"/>
        <item x="941"/>
        <item x="2310"/>
        <item x="786"/>
        <item x="1425"/>
        <item x="2266"/>
        <item x="544"/>
        <item x="1534"/>
        <item x="2271"/>
        <item x="1145"/>
        <item x="1843"/>
        <item x="1787"/>
        <item x="953"/>
        <item x="2167"/>
        <item x="2262"/>
        <item x="1707"/>
        <item x="213"/>
        <item x="1033"/>
        <item x="2039"/>
        <item x="1575"/>
        <item x="152"/>
        <item x="1502"/>
        <item x="1526"/>
        <item x="2277"/>
        <item x="938"/>
        <item x="547"/>
        <item x="2117"/>
        <item x="614"/>
        <item x="92"/>
        <item x="2188"/>
        <item x="95"/>
        <item x="1782"/>
        <item x="1343"/>
        <item x="1632"/>
        <item x="2080"/>
        <item x="666"/>
        <item x="913"/>
        <item x="220"/>
        <item x="549"/>
        <item x="2296"/>
        <item x="660"/>
        <item x="834"/>
        <item x="1525"/>
        <item x="1913"/>
        <item x="1648"/>
        <item x="662"/>
        <item x="437"/>
        <item x="2253"/>
        <item x="1044"/>
        <item x="553"/>
        <item x="456"/>
        <item x="577"/>
        <item x="2122"/>
        <item x="1691"/>
        <item x="106"/>
        <item x="1082"/>
        <item x="873"/>
        <item x="44"/>
        <item x="1451"/>
        <item x="597"/>
        <item x="761"/>
        <item x="1330"/>
        <item x="2279"/>
        <item x="1480"/>
        <item x="1112"/>
        <item x="1302"/>
        <item x="1370"/>
        <item x="551"/>
        <item x="2115"/>
        <item x="563"/>
        <item x="1731"/>
        <item x="300"/>
        <item x="1025"/>
        <item x="1107"/>
        <item x="2259"/>
        <item x="75"/>
        <item x="935"/>
        <item x="562"/>
        <item x="1695"/>
        <item x="1846"/>
        <item x="850"/>
        <item x="1100"/>
        <item x="107"/>
        <item x="1043"/>
        <item x="1371"/>
        <item x="1836"/>
        <item x="2030"/>
        <item x="1796"/>
        <item x="638"/>
        <item x="944"/>
        <item x="503"/>
        <item x="1792"/>
        <item x="1661"/>
        <item x="1429"/>
        <item x="1152"/>
        <item x="2252"/>
        <item x="968"/>
        <item x="1271"/>
        <item x="629"/>
        <item x="464"/>
        <item x="388"/>
        <item x="668"/>
        <item x="56"/>
        <item x="1976"/>
        <item x="361"/>
        <item x="943"/>
        <item x="1811"/>
        <item x="1693"/>
        <item x="64"/>
        <item x="1379"/>
        <item x="511"/>
        <item x="1532"/>
        <item x="860"/>
        <item x="2286"/>
        <item x="195"/>
        <item x="1702"/>
        <item x="1165"/>
        <item x="1298"/>
        <item x="1867"/>
        <item x="200"/>
        <item x="1295"/>
        <item x="1160"/>
        <item x="1929"/>
        <item x="103"/>
        <item x="453"/>
        <item x="1912"/>
        <item x="2012"/>
        <item x="2212"/>
        <item x="482"/>
        <item x="465"/>
        <item x="546"/>
        <item x="409"/>
        <item x="1795"/>
        <item x="2108"/>
        <item x="512"/>
        <item x="587"/>
        <item x="2082"/>
        <item x="120"/>
        <item x="1023"/>
        <item x="766"/>
        <item x="85"/>
        <item x="1676"/>
        <item x="1241"/>
        <item x="91"/>
        <item x="151"/>
        <item x="1214"/>
        <item x="1571"/>
        <item x="1840"/>
        <item x="648"/>
        <item x="1428"/>
        <item x="1392"/>
        <item x="2041"/>
        <item x="476"/>
        <item x="1900"/>
        <item x="52"/>
        <item x="844"/>
        <item x="1030"/>
        <item x="2146"/>
        <item x="862"/>
        <item x="1093"/>
        <item x="1602"/>
        <item x="341"/>
        <item x="1717"/>
        <item x="318"/>
        <item x="1326"/>
        <item x="128"/>
        <item x="160"/>
        <item x="2062"/>
        <item x="2019"/>
        <item x="1328"/>
        <item x="1446"/>
        <item x="1967"/>
        <item x="498"/>
        <item x="1752"/>
        <item x="1841"/>
        <item x="1758"/>
        <item x="2065"/>
        <item x="172"/>
        <item x="776"/>
        <item x="845"/>
        <item x="2285"/>
        <item x="732"/>
        <item x="442"/>
        <item x="473"/>
        <item x="703"/>
        <item x="1013"/>
        <item x="2089"/>
        <item x="2187"/>
        <item x="2186"/>
        <item x="811"/>
        <item x="926"/>
        <item x="1378"/>
        <item x="1748"/>
        <item x="1780"/>
        <item x="2173"/>
        <item x="1972"/>
        <item x="239"/>
        <item x="2273"/>
        <item x="309"/>
        <item x="1035"/>
        <item x="1504"/>
        <item x="1798"/>
        <item x="1527"/>
        <item x="26"/>
        <item x="1414"/>
        <item x="53"/>
        <item x="1312"/>
        <item x="99"/>
        <item x="755"/>
        <item x="215"/>
        <item x="216"/>
        <item x="1981"/>
        <item x="1391"/>
        <item x="184"/>
        <item x="1485"/>
        <item x="1687"/>
        <item x="136"/>
        <item x="450"/>
        <item x="1531"/>
        <item x="1195"/>
        <item x="1369"/>
        <item x="1260"/>
        <item x="337"/>
        <item x="2201"/>
        <item x="1978"/>
        <item x="2150"/>
        <item x="974"/>
        <item x="793"/>
        <item x="1635"/>
        <item x="2303"/>
        <item x="1825"/>
        <item x="983"/>
        <item x="1871"/>
        <item x="1593"/>
        <item x="1611"/>
        <item x="1464"/>
        <item x="1873"/>
        <item x="1157"/>
        <item x="1171"/>
        <item x="1221"/>
        <item x="2243"/>
        <item x="714"/>
        <item x="1309"/>
        <item x="864"/>
        <item x="772"/>
        <item x="518"/>
        <item x="349"/>
        <item x="592"/>
        <item x="1470"/>
        <item x="1760"/>
        <item x="1918"/>
        <item x="509"/>
        <item x="122"/>
        <item x="134"/>
        <item x="499"/>
        <item x="434"/>
        <item x="242"/>
        <item x="1225"/>
        <item x="1475"/>
        <item x="1891"/>
        <item x="634"/>
        <item x="127"/>
        <item x="2194"/>
        <item x="16"/>
        <item x="1159"/>
        <item x="1408"/>
        <item x="846"/>
        <item x="989"/>
        <item x="1963"/>
        <item x="1783"/>
        <item x="1645"/>
        <item x="1888"/>
        <item x="790"/>
        <item x="2176"/>
        <item x="2235"/>
        <item x="2011"/>
        <item x="428"/>
        <item x="1499"/>
        <item x="1246"/>
        <item x="97"/>
        <item x="1308"/>
        <item x="1587"/>
        <item x="2097"/>
        <item x="2185"/>
        <item x="2031"/>
        <item x="954"/>
        <item x="1135"/>
        <item x="1549"/>
        <item x="1318"/>
        <item x="1808"/>
        <item x="118"/>
        <item x="312"/>
        <item x="2213"/>
        <item x="1204"/>
        <item x="596"/>
        <item x="425"/>
        <item x="2014"/>
        <item x="66"/>
        <item x="897"/>
        <item x="43"/>
        <item x="1805"/>
        <item x="961"/>
        <item x="619"/>
        <item x="541"/>
        <item x="1623"/>
        <item x="444"/>
        <item x="685"/>
        <item x="406"/>
        <item x="831"/>
        <item x="1521"/>
        <item x="758"/>
        <item x="667"/>
        <item x="1439"/>
        <item x="1565"/>
        <item x="2281"/>
        <item x="380"/>
        <item x="1238"/>
        <item x="1765"/>
        <item x="1844"/>
        <item x="1541"/>
        <item x="1274"/>
        <item x="2172"/>
        <item x="2161"/>
        <item x="1226"/>
        <item x="1941"/>
        <item x="1261"/>
        <item x="245"/>
        <item x="241"/>
        <item x="404"/>
        <item x="2086"/>
        <item x="1187"/>
        <item x="523"/>
        <item x="2140"/>
        <item x="402"/>
        <item x="1902"/>
        <item x="19"/>
        <item x="645"/>
        <item x="2162"/>
        <item x="1158"/>
        <item x="928"/>
        <item x="1979"/>
        <item x="1749"/>
        <item x="2270"/>
        <item x="1045"/>
        <item x="1178"/>
        <item x="363"/>
        <item x="1266"/>
        <item x="711"/>
        <item x="1994"/>
        <item x="806"/>
        <item x="1646"/>
        <item x="169"/>
        <item x="1673"/>
        <item x="1263"/>
        <item x="537"/>
        <item x="878"/>
        <item x="945"/>
        <item x="207"/>
        <item x="59"/>
        <item x="861"/>
        <item x="545"/>
        <item x="1830"/>
        <item x="1059"/>
        <item x="821"/>
        <item x="194"/>
        <item x="641"/>
        <item x="222"/>
        <item x="1552"/>
        <item x="2044"/>
        <item x="2071"/>
        <item x="1401"/>
        <item x="1905"/>
        <item x="1148"/>
        <item x="720"/>
        <item x="1016"/>
        <item x="1670"/>
        <item x="305"/>
        <item x="1720"/>
        <item x="1461"/>
        <item x="836"/>
        <item x="2002"/>
        <item x="2261"/>
        <item x="1455"/>
        <item x="1315"/>
        <item x="1510"/>
        <item x="1064"/>
        <item x="704"/>
        <item x="1512"/>
        <item x="2125"/>
        <item x="1097"/>
        <item x="784"/>
        <item x="2121"/>
        <item x="121"/>
        <item x="374"/>
        <item x="2126"/>
        <item x="1969"/>
        <item x="2152"/>
        <item x="330"/>
        <item x="1359"/>
        <item x="98"/>
        <item x="750"/>
        <item x="154"/>
        <item x="1985"/>
        <item x="454"/>
        <item x="698"/>
        <item x="1599"/>
        <item x="676"/>
        <item x="510"/>
        <item x="2018"/>
        <item x="359"/>
        <item x="185"/>
        <item x="933"/>
        <item x="1709"/>
        <item x="839"/>
        <item x="1876"/>
        <item x="389"/>
        <item x="229"/>
        <item x="1755"/>
        <item x="1278"/>
        <item x="2207"/>
        <item x="419"/>
        <item x="936"/>
        <item x="756"/>
        <item x="1038"/>
        <item x="1919"/>
        <item x="1063"/>
        <item x="1517"/>
        <item x="1402"/>
        <item x="633"/>
        <item x="1997"/>
        <item x="1194"/>
        <item x="273"/>
        <item x="51"/>
        <item x="1445"/>
        <item x="532"/>
        <item x="1665"/>
        <item x="1403"/>
        <item x="1205"/>
        <item x="1933"/>
        <item x="1110"/>
        <item x="2226"/>
        <item x="824"/>
        <item x="2060"/>
        <item x="2197"/>
        <item x="2021"/>
        <item x="586"/>
        <item x="1557"/>
        <item x="1874"/>
        <item x="726"/>
        <item x="1769"/>
        <item x="1167"/>
        <item x="874"/>
        <item x="115"/>
        <item x="1131"/>
        <item x="2256"/>
        <item x="1641"/>
        <item x="655"/>
        <item x="1208"/>
        <item x="2219"/>
        <item x="1829"/>
        <item x="11"/>
        <item x="794"/>
        <item x="870"/>
        <item x="1423"/>
        <item x="2132"/>
        <item x="2043"/>
        <item x="567"/>
        <item x="1566"/>
        <item x="1143"/>
        <item x="1156"/>
        <item x="366"/>
        <item x="642"/>
        <item x="1625"/>
        <item x="1897"/>
        <item x="1899"/>
        <item x="623"/>
        <item x="2099"/>
        <item x="852"/>
        <item x="101"/>
        <item x="1714"/>
        <item x="716"/>
        <item x="1718"/>
        <item x="1503"/>
        <item x="466"/>
        <item x="883"/>
        <item x="1631"/>
        <item x="540"/>
        <item x="956"/>
        <item x="1508"/>
        <item x="813"/>
        <item x="823"/>
        <item x="828"/>
        <item x="738"/>
        <item x="1729"/>
        <item x="408"/>
        <item x="109"/>
        <item x="1721"/>
        <item x="2250"/>
        <item x="1029"/>
        <item x="1872"/>
        <item x="2247"/>
        <item x="2233"/>
        <item x="691"/>
        <item x="2268"/>
        <item x="743"/>
        <item x="2006"/>
        <item x="916"/>
        <item x="1299"/>
        <item x="1965"/>
        <item x="1733"/>
        <item x="181"/>
        <item x="1573"/>
        <item x="669"/>
        <item x="1344"/>
        <item x="1550"/>
        <item x="1501"/>
        <item x="699"/>
        <item x="1358"/>
        <item x="1321"/>
        <item x="1216"/>
        <item x="218"/>
        <item x="96"/>
        <item x="2022"/>
        <item x="1269"/>
        <item x="246"/>
        <item x="1349"/>
        <item x="2142"/>
        <item x="280"/>
        <item x="815"/>
        <item x="640"/>
        <item x="1436"/>
        <item x="1778"/>
        <item x="2124"/>
        <item x="364"/>
        <item x="1360"/>
        <item x="1368"/>
        <item x="2135"/>
        <item x="381"/>
        <item x="1819"/>
        <item x="838"/>
        <item x="1789"/>
        <item x="1262"/>
        <item x="1932"/>
        <item x="1528"/>
        <item x="736"/>
        <item x="489"/>
        <item x="2280"/>
        <item x="2102"/>
        <item x="1740"/>
        <item x="879"/>
        <item x="1725"/>
        <item x="1940"/>
        <item x="1255"/>
        <item x="486"/>
        <item x="1177"/>
        <item x="1411"/>
        <item x="100"/>
        <item x="1418"/>
        <item x="925"/>
        <item x="23"/>
        <item x="1381"/>
        <item x="1837"/>
        <item x="1091"/>
        <item x="93"/>
        <item x="1367"/>
        <item x="1492"/>
        <item x="820"/>
        <item x="488"/>
        <item x="1909"/>
        <item x="521"/>
        <item x="1730"/>
        <item x="2251"/>
        <item x="1880"/>
        <item x="1892"/>
        <item x="1467"/>
        <item x="1945"/>
        <item x="2215"/>
        <item x="1784"/>
        <item x="2206"/>
        <item x="658"/>
        <item x="1682"/>
        <item x="2184"/>
        <item x="2106"/>
        <item x="1294"/>
        <item x="1704"/>
        <item x="1993"/>
        <item x="1306"/>
        <item x="920"/>
        <item x="1553"/>
        <item x="1903"/>
        <item x="2302"/>
        <item x="764"/>
        <item x="2218"/>
        <item x="1092"/>
        <item x="1617"/>
        <item x="1548"/>
        <item x="1103"/>
        <item x="390"/>
        <item x="842"/>
        <item x="1724"/>
        <item x="17"/>
        <item x="517"/>
        <item x="1660"/>
        <item x="1817"/>
        <item x="1802"/>
        <item x="39"/>
        <item x="1658"/>
        <item x="1535"/>
        <item x="358"/>
        <item x="1236"/>
        <item x="1509"/>
        <item x="780"/>
        <item x="735"/>
        <item x="701"/>
        <item x="816"/>
        <item x="1351"/>
        <item x="1990"/>
        <item x="848"/>
        <item x="1716"/>
        <item x="72"/>
        <item x="501"/>
        <item x="2013"/>
        <item x="2295"/>
        <item x="336"/>
        <item x="171"/>
        <item x="452"/>
        <item x="847"/>
        <item x="1338"/>
        <item x="320"/>
        <item x="2272"/>
        <item x="157"/>
        <item x="1816"/>
        <item x="1934"/>
        <item x="1868"/>
        <item x="609"/>
        <item x="271"/>
        <item x="1516"/>
        <item x="1393"/>
        <item x="571"/>
        <item x="1067"/>
        <item x="993"/>
        <item x="2141"/>
        <item x="1077"/>
        <item x="918"/>
        <item x="2005"/>
        <item x="400"/>
        <item x="179"/>
        <item x="1604"/>
        <item x="251"/>
        <item x="1247"/>
        <item x="1364"/>
        <item x="2098"/>
        <item x="1589"/>
        <item x="1537"/>
        <item x="674"/>
        <item x="775"/>
        <item x="426"/>
        <item x="1998"/>
        <item x="1690"/>
        <item x="508"/>
        <item x="584"/>
        <item x="1906"/>
        <item x="182"/>
        <item x="1747"/>
        <item x="1448"/>
        <item x="792"/>
        <item x="1637"/>
        <item x="228"/>
        <item x="1762"/>
        <item x="295"/>
        <item x="2210"/>
        <item x="1433"/>
        <item x="1954"/>
        <item x="196"/>
        <item x="495"/>
        <item x="696"/>
        <item x="1610"/>
        <item x="946"/>
        <item x="1383"/>
        <item x="139"/>
        <item x="167"/>
        <item x="2195"/>
        <item x="1432"/>
        <item x="1128"/>
        <item x="2118"/>
        <item x="1768"/>
        <item x="1907"/>
        <item x="14"/>
        <item x="502"/>
        <item x="1258"/>
        <item x="1751"/>
        <item x="942"/>
        <item x="1858"/>
        <item x="1790"/>
        <item x="1481"/>
        <item x="238"/>
        <item x="166"/>
        <item x="399"/>
        <item x="2093"/>
        <item x="899"/>
        <item x="1003"/>
        <item x="304"/>
        <item x="1105"/>
        <item x="818"/>
        <item x="328"/>
        <item x="1613"/>
        <item x="731"/>
        <item x="1881"/>
        <item x="1483"/>
        <item x="1288"/>
        <item x="817"/>
        <item x="1201"/>
        <item x="1086"/>
        <item x="613"/>
        <item x="1185"/>
        <item x="360"/>
        <item x="1706"/>
        <item x="457"/>
        <item x="1335"/>
        <item x="159"/>
        <item x="1620"/>
        <item x="1252"/>
        <item x="1027"/>
        <item x="1172"/>
        <item x="970"/>
        <item x="145"/>
        <item x="281"/>
        <item x="2299"/>
        <item x="1469"/>
        <item x="932"/>
        <item x="1198"/>
        <item x="1444"/>
        <item x="83"/>
        <item x="67"/>
        <item x="962"/>
        <item x="2209"/>
        <item x="133"/>
        <item x="520"/>
        <item x="298"/>
        <item x="264"/>
        <item x="1245"/>
        <item x="1240"/>
        <item x="1943"/>
        <item x="1583"/>
        <item x="199"/>
        <item x="355"/>
        <item x="146"/>
        <item x="311"/>
        <item x="1426"/>
        <item x="1983"/>
        <item x="1174"/>
        <item x="516"/>
        <item x="1681"/>
        <item x="525"/>
        <item x="263"/>
        <item x="689"/>
        <item x="1959"/>
        <item x="94"/>
        <item x="299"/>
        <item x="1341"/>
        <item x="32"/>
        <item x="1538"/>
        <item x="1794"/>
        <item x="1322"/>
        <item x="1384"/>
        <item x="1412"/>
        <item x="1644"/>
        <item x="902"/>
        <item x="854"/>
        <item x="293"/>
        <item x="963"/>
        <item x="2190"/>
        <item x="432"/>
        <item x="1920"/>
        <item x="2156"/>
        <item x="1462"/>
        <item x="1801"/>
        <item x="436"/>
        <item x="895"/>
        <item x="1685"/>
        <item x="1857"/>
        <item x="1332"/>
        <item x="1520"/>
        <item x="1051"/>
        <item x="585"/>
        <item x="1136"/>
        <item x="810"/>
        <item x="624"/>
        <item x="1813"/>
        <item x="569"/>
        <item x="727"/>
        <item x="411"/>
        <item x="1463"/>
        <item x="459"/>
        <item x="2154"/>
        <item x="351"/>
        <item x="849"/>
        <item x="257"/>
        <item x="858"/>
        <item x="737"/>
        <item x="996"/>
        <item x="259"/>
        <item x="240"/>
        <item x="734"/>
        <item x="205"/>
        <item x="2168"/>
        <item x="1284"/>
        <item x="252"/>
        <item x="1742"/>
        <item x="37"/>
        <item x="1958"/>
        <item x="769"/>
        <item x="1440"/>
        <item x="494"/>
        <item x="2085"/>
        <item x="1482"/>
        <item x="119"/>
        <item x="1297"/>
        <item x="1175"/>
        <item x="1895"/>
        <item x="594"/>
        <item x="150"/>
        <item x="940"/>
        <item x="1149"/>
        <item x="226"/>
        <item x="339"/>
        <item x="949"/>
        <item x="2239"/>
        <item x="1036"/>
        <item x="2137"/>
        <item x="282"/>
        <item x="162"/>
        <item x="15"/>
        <item x="2109"/>
        <item x="2083"/>
        <item x="344"/>
        <item x="1196"/>
        <item x="1080"/>
        <item x="206"/>
        <item x="659"/>
        <item x="1946"/>
        <item x="288"/>
        <item x="524"/>
        <item x="177"/>
        <item x="1577"/>
        <item x="2001"/>
        <item x="560"/>
        <item x="2"/>
        <item x="376"/>
        <item x="1630"/>
        <item x="1352"/>
        <item x="1629"/>
        <item x="504"/>
        <item x="606"/>
        <item x="1325"/>
        <item x="1078"/>
        <item x="1034"/>
        <item x="1010"/>
        <item x="1800"/>
        <item x="1089"/>
        <item x="262"/>
        <item x="82"/>
        <item x="583"/>
        <item x="1477"/>
        <item x="1600"/>
        <item x="1001"/>
        <item x="1962"/>
        <item x="258"/>
        <item x="1948"/>
        <item x="1287"/>
        <item x="972"/>
        <item x="1982"/>
        <item x="1215"/>
        <item x="2120"/>
        <item x="998"/>
        <item x="1569"/>
        <item x="1585"/>
        <item x="1062"/>
        <item x="822"/>
        <item x="1048"/>
        <item x="2220"/>
        <item x="550"/>
        <item x="530"/>
        <item x="722"/>
        <item x="2007"/>
        <item x="1109"/>
        <item x="1937"/>
        <item x="1754"/>
        <item x="1862"/>
        <item x="1028"/>
        <item x="1018"/>
        <item x="2300"/>
        <item x="733"/>
        <item x="631"/>
        <item x="1957"/>
        <item x="1006"/>
        <item x="440"/>
        <item x="787"/>
        <item x="2081"/>
        <item x="2241"/>
        <item x="1488"/>
        <item x="1546"/>
        <item x="1430"/>
        <item x="980"/>
        <item x="1275"/>
        <item x="2101"/>
        <item x="1594"/>
        <item x="588"/>
        <item x="1771"/>
        <item x="717"/>
        <item x="1014"/>
        <item x="896"/>
        <item x="1281"/>
        <item x="1303"/>
        <item x="987"/>
        <item x="1822"/>
        <item x="439"/>
        <item x="275"/>
        <item x="1914"/>
        <item x="924"/>
        <item x="581"/>
        <item x="1500"/>
        <item x="1831"/>
        <item x="1409"/>
        <item x="1334"/>
        <item x="1653"/>
        <item x="695"/>
        <item x="2076"/>
        <item x="61"/>
        <item x="2223"/>
        <item x="2040"/>
        <item x="1057"/>
        <item x="1684"/>
        <item x="2003"/>
        <item x="1277"/>
        <item x="986"/>
        <item x="1700"/>
        <item x="901"/>
        <item x="781"/>
        <item x="1331"/>
        <item x="57"/>
        <item x="1988"/>
        <item x="2020"/>
        <item x="2123"/>
        <item x="378"/>
        <item x="1375"/>
        <item x="2275"/>
        <item x="673"/>
        <item x="1980"/>
        <item x="1081"/>
        <item x="959"/>
        <item x="1118"/>
        <item x="1849"/>
        <item x="1889"/>
        <item x="79"/>
        <item x="702"/>
        <item x="191"/>
        <item x="1435"/>
        <item x="1390"/>
        <item x="2293"/>
        <item x="81"/>
        <item x="753"/>
        <item x="1094"/>
        <item x="715"/>
        <item x="461"/>
        <item x="186"/>
        <item x="232"/>
        <item x="1555"/>
        <item x="401"/>
        <item x="31"/>
        <item x="2113"/>
        <item x="1791"/>
        <item x="1191"/>
        <item x="1539"/>
        <item x="2229"/>
        <item x="1139"/>
        <item x="1456"/>
        <item x="1986"/>
        <item x="1116"/>
        <item x="1654"/>
        <item x="2222"/>
        <item x="201"/>
        <item x="0"/>
        <item x="2242"/>
        <item x="982"/>
        <item x="1413"/>
        <item x="1096"/>
        <item x="2244"/>
        <item x="1626"/>
        <item x="153"/>
        <item x="2074"/>
        <item x="1188"/>
        <item x="468"/>
        <item x="548"/>
        <item x="1141"/>
        <item x="1807"/>
        <item x="1259"/>
        <item x="410"/>
        <item x="2284"/>
        <item x="2033"/>
        <item x="1355"/>
        <item x="1218"/>
        <item x="2199"/>
        <item x="50"/>
        <item x="2216"/>
        <item x="2114"/>
        <item x="1427"/>
        <item x="2160"/>
        <item x="2169"/>
        <item x="728"/>
        <item x="2025"/>
        <item x="984"/>
        <item x="808"/>
        <item x="1699"/>
        <item x="677"/>
        <item x="1904"/>
        <item x="966"/>
        <item x="725"/>
        <item x="656"/>
        <item x="230"/>
        <item x="346"/>
        <item t="default"/>
      </items>
    </pivotField>
    <pivotField showAll="0"/>
    <pivotField numFmtId="164" showAll="0">
      <items count="363">
        <item x="272"/>
        <item x="25"/>
        <item x="115"/>
        <item x="153"/>
        <item x="114"/>
        <item x="90"/>
        <item x="138"/>
        <item x="201"/>
        <item x="271"/>
        <item x="77"/>
        <item x="353"/>
        <item x="298"/>
        <item x="220"/>
        <item x="6"/>
        <item x="301"/>
        <item x="182"/>
        <item x="335"/>
        <item x="17"/>
        <item x="280"/>
        <item x="240"/>
        <item x="112"/>
        <item x="0"/>
        <item x="20"/>
        <item x="231"/>
        <item x="312"/>
        <item x="286"/>
        <item x="140"/>
        <item x="274"/>
        <item x="244"/>
        <item x="344"/>
        <item x="131"/>
        <item x="287"/>
        <item x="241"/>
        <item x="300"/>
        <item x="360"/>
        <item x="264"/>
        <item x="108"/>
        <item x="299"/>
        <item x="18"/>
        <item x="227"/>
        <item x="223"/>
        <item x="303"/>
        <item x="28"/>
        <item x="29"/>
        <item x="7"/>
        <item x="327"/>
        <item x="3"/>
        <item x="99"/>
        <item x="257"/>
        <item x="67"/>
        <item x="60"/>
        <item x="224"/>
        <item x="230"/>
        <item x="61"/>
        <item x="197"/>
        <item x="172"/>
        <item x="275"/>
        <item x="32"/>
        <item x="51"/>
        <item x="38"/>
        <item x="236"/>
        <item x="15"/>
        <item x="351"/>
        <item x="317"/>
        <item x="260"/>
        <item x="42"/>
        <item x="37"/>
        <item x="262"/>
        <item x="239"/>
        <item x="109"/>
        <item x="139"/>
        <item x="302"/>
        <item x="146"/>
        <item x="178"/>
        <item x="52"/>
        <item x="309"/>
        <item x="14"/>
        <item x="33"/>
        <item x="225"/>
        <item x="242"/>
        <item x="306"/>
        <item x="176"/>
        <item x="190"/>
        <item x="191"/>
        <item x="4"/>
        <item x="195"/>
        <item x="83"/>
        <item x="254"/>
        <item x="340"/>
        <item x="44"/>
        <item x="144"/>
        <item x="348"/>
        <item x="133"/>
        <item x="95"/>
        <item x="221"/>
        <item x="310"/>
        <item x="205"/>
        <item x="24"/>
        <item x="246"/>
        <item x="47"/>
        <item x="173"/>
        <item x="232"/>
        <item x="134"/>
        <item x="308"/>
        <item x="116"/>
        <item x="118"/>
        <item x="248"/>
        <item x="150"/>
        <item x="331"/>
        <item x="319"/>
        <item x="285"/>
        <item x="73"/>
        <item x="200"/>
        <item x="135"/>
        <item x="167"/>
        <item x="322"/>
        <item x="93"/>
        <item x="71"/>
        <item x="329"/>
        <item x="291"/>
        <item x="281"/>
        <item x="80"/>
        <item x="203"/>
        <item x="34"/>
        <item x="215"/>
        <item x="216"/>
        <item x="102"/>
        <item x="154"/>
        <item x="237"/>
        <item x="186"/>
        <item x="293"/>
        <item x="294"/>
        <item x="270"/>
        <item x="70"/>
        <item x="87"/>
        <item x="290"/>
        <item x="157"/>
        <item x="266"/>
        <item x="238"/>
        <item x="336"/>
        <item x="174"/>
        <item x="180"/>
        <item x="258"/>
        <item x="164"/>
        <item x="209"/>
        <item x="304"/>
        <item x="107"/>
        <item x="62"/>
        <item x="245"/>
        <item x="48"/>
        <item x="23"/>
        <item x="326"/>
        <item x="313"/>
        <item x="9"/>
        <item x="1"/>
        <item x="267"/>
        <item x="105"/>
        <item x="234"/>
        <item x="11"/>
        <item x="162"/>
        <item x="255"/>
        <item x="19"/>
        <item x="59"/>
        <item x="57"/>
        <item x="64"/>
        <item x="184"/>
        <item x="127"/>
        <item x="315"/>
        <item x="321"/>
        <item x="123"/>
        <item x="259"/>
        <item x="74"/>
        <item x="39"/>
        <item x="187"/>
        <item x="284"/>
        <item x="86"/>
        <item x="333"/>
        <item x="250"/>
        <item x="152"/>
        <item x="356"/>
        <item x="343"/>
        <item x="161"/>
        <item x="332"/>
        <item x="10"/>
        <item x="261"/>
        <item x="110"/>
        <item x="147"/>
        <item x="210"/>
        <item x="249"/>
        <item x="43"/>
        <item x="289"/>
        <item x="283"/>
        <item x="26"/>
        <item x="235"/>
        <item x="181"/>
        <item x="132"/>
        <item x="328"/>
        <item x="96"/>
        <item x="263"/>
        <item x="199"/>
        <item x="111"/>
        <item x="188"/>
        <item x="160"/>
        <item x="357"/>
        <item x="85"/>
        <item x="355"/>
        <item x="63"/>
        <item x="354"/>
        <item x="101"/>
        <item x="2"/>
        <item x="54"/>
        <item x="345"/>
        <item x="122"/>
        <item x="106"/>
        <item x="296"/>
        <item x="170"/>
        <item x="185"/>
        <item x="145"/>
        <item x="339"/>
        <item x="256"/>
        <item x="183"/>
        <item x="316"/>
        <item x="323"/>
        <item x="129"/>
        <item x="307"/>
        <item x="196"/>
        <item x="36"/>
        <item x="45"/>
        <item x="194"/>
        <item x="40"/>
        <item x="82"/>
        <item x="163"/>
        <item x="27"/>
        <item x="84"/>
        <item x="53"/>
        <item x="217"/>
        <item x="78"/>
        <item x="97"/>
        <item x="168"/>
        <item x="292"/>
        <item x="265"/>
        <item x="12"/>
        <item x="311"/>
        <item x="350"/>
        <item x="228"/>
        <item x="192"/>
        <item x="16"/>
        <item x="49"/>
        <item x="325"/>
        <item x="338"/>
        <item x="151"/>
        <item x="318"/>
        <item x="347"/>
        <item x="189"/>
        <item x="212"/>
        <item x="247"/>
        <item x="35"/>
        <item x="282"/>
        <item x="94"/>
        <item x="352"/>
        <item x="202"/>
        <item x="341"/>
        <item x="177"/>
        <item x="324"/>
        <item x="72"/>
        <item x="81"/>
        <item x="166"/>
        <item x="359"/>
        <item x="148"/>
        <item x="269"/>
        <item x="213"/>
        <item x="149"/>
        <item x="143"/>
        <item x="222"/>
        <item x="13"/>
        <item x="125"/>
        <item x="276"/>
        <item x="252"/>
        <item x="208"/>
        <item x="314"/>
        <item x="156"/>
        <item x="171"/>
        <item x="124"/>
        <item x="330"/>
        <item x="158"/>
        <item x="98"/>
        <item x="361"/>
        <item x="92"/>
        <item x="288"/>
        <item x="89"/>
        <item x="169"/>
        <item x="55"/>
        <item x="165"/>
        <item x="41"/>
        <item x="88"/>
        <item x="219"/>
        <item x="5"/>
        <item x="66"/>
        <item x="119"/>
        <item x="204"/>
        <item x="104"/>
        <item x="346"/>
        <item x="337"/>
        <item x="320"/>
        <item x="103"/>
        <item x="198"/>
        <item x="229"/>
        <item x="142"/>
        <item x="8"/>
        <item x="358"/>
        <item x="233"/>
        <item x="75"/>
        <item x="159"/>
        <item x="68"/>
        <item x="279"/>
        <item x="179"/>
        <item x="305"/>
        <item x="278"/>
        <item x="76"/>
        <item x="126"/>
        <item x="130"/>
        <item x="273"/>
        <item x="155"/>
        <item x="22"/>
        <item x="214"/>
        <item x="349"/>
        <item x="137"/>
        <item x="342"/>
        <item x="56"/>
        <item x="46"/>
        <item x="117"/>
        <item x="295"/>
        <item x="120"/>
        <item x="69"/>
        <item x="100"/>
        <item x="226"/>
        <item x="21"/>
        <item x="253"/>
        <item x="79"/>
        <item x="121"/>
        <item x="211"/>
        <item x="334"/>
        <item x="193"/>
        <item x="141"/>
        <item x="91"/>
        <item x="50"/>
        <item x="207"/>
        <item x="175"/>
        <item x="65"/>
        <item x="31"/>
        <item x="30"/>
        <item x="297"/>
        <item x="136"/>
        <item x="113"/>
        <item x="218"/>
        <item x="243"/>
        <item x="58"/>
        <item x="128"/>
        <item x="251"/>
        <item x="277"/>
        <item x="268"/>
        <item x="206"/>
        <item t="default"/>
      </items>
    </pivotField>
    <pivotField showAll="0"/>
    <pivotField axis="axisRow" showAll="0" sortType="ascending">
      <items count="7">
        <item x="3"/>
        <item x="1"/>
        <item x="2"/>
        <item x="0"/>
        <item x="5"/>
        <item x="4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numFmtId="165" showAll="0"/>
    <pivotField numFmtId="166" showAll="0"/>
    <pivotField axis="axisPage" multipleItemSelectionAllowed="1" showAll="0" defaultSubtotal="0">
      <items count="14">
        <item h="1" x="0"/>
        <item h="1" x="1"/>
        <item h="1" x="2"/>
        <item h="1" x="3"/>
        <item h="1" x="4"/>
        <item h="1" x="5"/>
        <item x="6"/>
        <item x="7"/>
        <item x="8"/>
        <item x="9"/>
        <item h="1" x="10"/>
        <item h="1" x="11"/>
        <item h="1" x="12"/>
        <item h="1" x="13"/>
      </items>
    </pivotField>
    <pivotField showAll="0" defaultSubtotal="0">
      <items count="6">
        <item x="0"/>
        <item x="1"/>
        <item x="2"/>
        <item x="3"/>
        <item x="4"/>
        <item x="5"/>
      </items>
    </pivotField>
    <pivotField axis="axisPage" multipleItemSelectionAllowed="1" showAll="0" defaultSubtotal="0">
      <items count="4">
        <item h="1" x="0"/>
        <item h="1" x="1"/>
        <item x="2"/>
        <item h="1" x="3"/>
      </items>
    </pivotField>
  </pivotFields>
  <rowFields count="1">
    <field x="4"/>
  </rowFields>
  <rowItems count="7">
    <i>
      <x v="5"/>
    </i>
    <i>
      <x v="3"/>
    </i>
    <i>
      <x/>
    </i>
    <i>
      <x v="4"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7" hier="-1"/>
    <pageField fld="9" hier="-1"/>
  </pageFields>
  <dataFields count="2">
    <dataField name="jumlah transaksi" fld="0" subtotal="count" baseField="0" baseItem="0"/>
    <dataField name="Sum of NominalBelanja" fld="5" baseField="0" baseItem="0" numFmtId="165"/>
  </dataFields>
  <formats count="1">
    <format dxfId="44">
      <pivotArea collapsedLevelsAreSubtotals="1" fieldPosition="0">
        <references count="2">
          <reference field="4294967294" count="1" selected="0">
            <x v="1"/>
          </reference>
          <reference field="4" count="0"/>
        </references>
      </pivotArea>
    </format>
  </formats>
  <chartFormats count="8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13" format="3">
      <pivotArea type="data" outline="0" fieldPosition="0">
        <references count="2">
          <reference field="4294967294" count="1" selected="0">
            <x v="1"/>
          </reference>
          <reference field="4" count="1" selected="0">
            <x v="5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533EC3-F09C-7C4A-A94E-75B3CBF719F4}" name="PivotTable25" cacheId="8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 chartFormat="16" rowHeaderCaption="Tier">
  <location ref="A33:C37" firstHeaderRow="0" firstDataRow="1" firstDataCol="1" rowPageCount="2" colPageCount="1"/>
  <pivotFields count="11">
    <pivotField dataField="1" showAll="0">
      <items count="2321">
        <item x="751"/>
        <item x="307"/>
        <item x="1424"/>
        <item x="424"/>
        <item x="1887"/>
        <item x="1387"/>
        <item x="27"/>
        <item x="1863"/>
        <item x="446"/>
        <item x="1319"/>
        <item x="1320"/>
        <item x="670"/>
        <item x="1099"/>
        <item x="1396"/>
        <item x="1736"/>
        <item x="2276"/>
        <item x="960"/>
        <item x="12"/>
        <item x="1786"/>
        <item x="866"/>
        <item x="2211"/>
        <item x="1307"/>
        <item x="889"/>
        <item x="1579"/>
        <item x="403"/>
        <item x="2274"/>
        <item x="1220"/>
        <item x="1142"/>
        <item x="1671"/>
        <item x="1821"/>
        <item x="773"/>
        <item x="1576"/>
        <item x="1494"/>
        <item x="1636"/>
        <item x="859"/>
        <item x="1180"/>
        <item x="2056"/>
        <item x="526"/>
        <item x="1574"/>
        <item x="797"/>
        <item x="48"/>
        <item x="1234"/>
        <item x="1942"/>
        <item x="1348"/>
        <item x="1005"/>
        <item x="995"/>
        <item x="1650"/>
        <item x="9"/>
        <item x="449"/>
        <item x="739"/>
        <item x="86"/>
        <item x="910"/>
        <item x="1785"/>
        <item x="672"/>
        <item x="375"/>
        <item x="1346"/>
        <item x="24"/>
        <item x="1639"/>
        <item x="841"/>
        <item x="710"/>
        <item x="603"/>
        <item x="1622"/>
        <item x="1022"/>
        <item x="2178"/>
        <item x="840"/>
        <item x="42"/>
        <item x="1666"/>
        <item x="555"/>
        <item x="1647"/>
        <item x="1581"/>
        <item x="2070"/>
        <item x="1814"/>
        <item x="1421"/>
        <item x="803"/>
        <item x="1316"/>
        <item x="147"/>
        <item x="301"/>
        <item x="2189"/>
        <item x="1176"/>
        <item x="1075"/>
        <item x="802"/>
        <item x="907"/>
        <item x="632"/>
        <item x="1047"/>
        <item x="1460"/>
        <item x="1291"/>
        <item x="2148"/>
        <item x="319"/>
        <item x="978"/>
        <item x="1511"/>
        <item x="1166"/>
        <item x="664"/>
        <item x="1692"/>
        <item x="155"/>
        <item x="923"/>
        <item x="1797"/>
        <item x="2231"/>
        <item x="1513"/>
        <item x="616"/>
        <item x="1237"/>
        <item x="2143"/>
        <item x="804"/>
        <item x="290"/>
        <item x="992"/>
        <item x="637"/>
        <item x="2057"/>
        <item x="1578"/>
        <item x="36"/>
        <item x="20"/>
        <item x="2163"/>
        <item x="1012"/>
        <item x="30"/>
        <item x="2027"/>
        <item x="1674"/>
        <item x="1694"/>
        <item x="765"/>
        <item x="1683"/>
        <item x="1438"/>
        <item x="1701"/>
        <item x="467"/>
        <item x="89"/>
        <item x="1562"/>
        <item x="1875"/>
        <item x="253"/>
        <item x="1885"/>
        <item x="568"/>
        <item x="71"/>
        <item x="1496"/>
        <item x="1989"/>
        <item x="2312"/>
        <item x="964"/>
        <item x="1122"/>
        <item x="1703"/>
        <item x="657"/>
        <item x="224"/>
        <item x="969"/>
        <item x="1125"/>
        <item x="534"/>
        <item x="919"/>
        <item x="1337"/>
        <item x="383"/>
        <item x="1628"/>
        <item x="888"/>
        <item x="2103"/>
        <item x="2313"/>
        <item x="2130"/>
        <item x="785"/>
        <item x="1766"/>
        <item x="1173"/>
        <item x="574"/>
        <item x="2096"/>
        <item x="1468"/>
        <item x="2227"/>
        <item x="1928"/>
        <item x="1055"/>
        <item x="2265"/>
        <item x="1251"/>
        <item x="1826"/>
        <item x="620"/>
        <item x="1041"/>
        <item x="947"/>
        <item x="385"/>
        <item x="1882"/>
        <item x="875"/>
        <item x="1498"/>
        <item x="276"/>
        <item x="1283"/>
        <item x="688"/>
        <item x="1961"/>
        <item x="233"/>
        <item x="1314"/>
        <item x="934"/>
        <item x="1474"/>
        <item x="1777"/>
        <item x="1852"/>
        <item x="1074"/>
        <item x="757"/>
        <item x="420"/>
        <item x="1523"/>
        <item x="1803"/>
        <item x="1280"/>
        <item x="347"/>
        <item x="617"/>
        <item x="2205"/>
        <item x="1809"/>
        <item x="1614"/>
        <item x="455"/>
        <item x="1310"/>
        <item x="891"/>
        <item x="1207"/>
        <item x="302"/>
        <item x="1342"/>
        <item x="110"/>
        <item x="1633"/>
        <item x="8"/>
        <item x="34"/>
        <item x="1726"/>
        <item x="1865"/>
        <item x="880"/>
        <item x="1582"/>
        <item x="324"/>
        <item x="260"/>
        <item x="598"/>
        <item x="1999"/>
        <item x="890"/>
        <item x="265"/>
        <item x="303"/>
        <item x="1361"/>
        <item x="881"/>
        <item x="1357"/>
        <item x="671"/>
        <item x="973"/>
        <item x="470"/>
        <item x="2050"/>
        <item x="1761"/>
        <item x="1108"/>
        <item x="994"/>
        <item x="2029"/>
        <item x="1522"/>
        <item x="1869"/>
        <item x="572"/>
        <item x="1788"/>
        <item x="2165"/>
        <item x="493"/>
        <item x="1655"/>
        <item x="2035"/>
        <item x="338"/>
        <item x="590"/>
        <item x="807"/>
        <item x="496"/>
        <item x="800"/>
        <item x="175"/>
        <item x="2016"/>
        <item x="819"/>
        <item x="1182"/>
        <item x="2317"/>
        <item x="3"/>
        <item x="1362"/>
        <item x="1495"/>
        <item x="1052"/>
        <item x="1741"/>
        <item x="227"/>
        <item x="174"/>
        <item x="2260"/>
        <item x="1282"/>
        <item x="1675"/>
        <item x="1708"/>
        <item x="1686"/>
        <item x="708"/>
        <item x="2064"/>
        <item x="872"/>
        <item x="1123"/>
        <item x="2307"/>
        <item x="2170"/>
        <item x="1696"/>
        <item x="843"/>
        <item x="1224"/>
        <item x="1422"/>
        <item x="10"/>
        <item x="729"/>
        <item x="618"/>
        <item x="1799"/>
        <item x="1169"/>
        <item x="1705"/>
        <item x="589"/>
        <item x="1598"/>
        <item x="2217"/>
        <item x="611"/>
        <item x="373"/>
        <item x="2230"/>
        <item x="354"/>
        <item x="1756"/>
        <item x="1971"/>
        <item x="1745"/>
        <item x="976"/>
        <item x="441"/>
        <item x="1607"/>
        <item x="1652"/>
        <item x="1132"/>
        <item x="1060"/>
        <item x="350"/>
        <item x="713"/>
        <item x="178"/>
        <item x="833"/>
        <item x="1327"/>
        <item x="49"/>
        <item x="957"/>
        <item x="1898"/>
        <item x="882"/>
        <item x="1050"/>
        <item x="2144"/>
        <item x="1649"/>
        <item x="236"/>
        <item x="782"/>
        <item x="1672"/>
        <item x="1058"/>
        <item x="1866"/>
        <item x="348"/>
        <item x="981"/>
        <item x="591"/>
        <item x="1374"/>
        <item x="462"/>
        <item x="724"/>
        <item x="335"/>
        <item x="74"/>
        <item x="783"/>
        <item x="292"/>
        <item x="1420"/>
        <item x="1019"/>
        <item x="561"/>
        <item x="1200"/>
        <item x="1121"/>
        <item x="1939"/>
        <item x="2264"/>
        <item x="90"/>
        <item x="1212"/>
        <item x="2294"/>
        <item x="2066"/>
        <item x="1270"/>
        <item x="2297"/>
        <item x="1350"/>
        <item x="113"/>
        <item x="1407"/>
        <item x="1184"/>
        <item x="2131"/>
        <item x="357"/>
        <item x="1389"/>
        <item x="2214"/>
        <item x="2046"/>
        <item x="158"/>
        <item x="653"/>
        <item x="163"/>
        <item x="1026"/>
        <item x="1927"/>
        <item x="1859"/>
        <item x="313"/>
        <item x="767"/>
        <item x="2052"/>
        <item x="635"/>
        <item x="1609"/>
        <item x="893"/>
        <item x="372"/>
        <item x="1774"/>
        <item x="2000"/>
        <item x="1763"/>
        <item x="1365"/>
        <item x="1818"/>
        <item x="599"/>
        <item x="183"/>
        <item x="1265"/>
        <item x="1137"/>
        <item x="513"/>
        <item x="1915"/>
        <item x="469"/>
        <item x="1497"/>
        <item x="1273"/>
        <item x="1911"/>
        <item x="2308"/>
        <item x="1642"/>
        <item x="1133"/>
        <item x="1964"/>
        <item x="763"/>
        <item x="2058"/>
        <item x="485"/>
        <item x="1659"/>
        <item x="1002"/>
        <item x="480"/>
        <item x="274"/>
        <item x="203"/>
        <item x="869"/>
        <item x="138"/>
        <item x="1753"/>
        <item x="533"/>
        <item x="1936"/>
        <item x="1484"/>
        <item x="137"/>
        <item x="2094"/>
        <item x="1779"/>
        <item x="1877"/>
        <item x="1996"/>
        <item x="1301"/>
        <item x="1657"/>
        <item x="607"/>
        <item x="1199"/>
        <item x="1596"/>
        <item x="754"/>
        <item x="675"/>
        <item x="1399"/>
        <item x="1471"/>
        <item x="170"/>
        <item x="917"/>
        <item x="2147"/>
        <item x="1285"/>
        <item x="1313"/>
        <item x="1832"/>
        <item x="1192"/>
        <item x="497"/>
        <item x="2042"/>
        <item x="595"/>
        <item x="909"/>
        <item x="421"/>
        <item x="1054"/>
        <item x="1838"/>
        <item x="210"/>
        <item x="1101"/>
        <item x="2204"/>
        <item x="356"/>
        <item x="777"/>
        <item x="887"/>
        <item x="1098"/>
        <item x="2075"/>
        <item x="1680"/>
        <item x="1770"/>
        <item x="2179"/>
        <item x="58"/>
        <item x="362"/>
        <item x="749"/>
        <item x="1950"/>
        <item x="491"/>
        <item x="1253"/>
        <item x="955"/>
        <item x="398"/>
        <item x="650"/>
        <item x="2091"/>
        <item x="748"/>
        <item x="208"/>
        <item x="1073"/>
        <item x="1049"/>
        <item x="391"/>
        <item x="1697"/>
        <item x="1356"/>
        <item x="2290"/>
        <item x="415"/>
        <item x="1524"/>
        <item x="771"/>
        <item x="665"/>
        <item x="1243"/>
        <item x="1540"/>
        <item x="762"/>
        <item x="333"/>
        <item x="73"/>
        <item x="718"/>
        <item x="386"/>
        <item x="234"/>
        <item x="475"/>
        <item x="1447"/>
        <item x="835"/>
        <item x="392"/>
        <item x="1009"/>
        <item x="1518"/>
        <item x="2192"/>
        <item x="2181"/>
        <item x="573"/>
        <item x="102"/>
        <item x="1835"/>
        <item x="1419"/>
        <item x="799"/>
        <item x="1372"/>
        <item x="1558"/>
        <item x="1376"/>
        <item x="1039"/>
        <item x="2248"/>
        <item x="827"/>
        <item x="1386"/>
        <item x="25"/>
        <item x="2127"/>
        <item x="1443"/>
        <item x="1810"/>
        <item x="219"/>
        <item x="2245"/>
        <item x="661"/>
        <item x="1111"/>
        <item x="1506"/>
        <item x="1336"/>
        <item x="1382"/>
        <item x="2151"/>
        <item x="639"/>
        <item x="430"/>
        <item x="791"/>
        <item x="1434"/>
        <item x="417"/>
        <item x="1007"/>
        <item x="1347"/>
        <item x="1536"/>
        <item x="45"/>
        <item x="418"/>
        <item x="505"/>
        <item x="967"/>
        <item x="2008"/>
        <item x="2224"/>
        <item x="636"/>
        <item x="1079"/>
        <item x="1505"/>
        <item x="1276"/>
        <item x="1084"/>
        <item x="322"/>
        <item x="1120"/>
        <item x="2282"/>
        <item x="1233"/>
        <item x="2032"/>
        <item x="1737"/>
        <item x="1931"/>
        <item x="1257"/>
        <item x="1197"/>
        <item x="1606"/>
        <item x="2203"/>
        <item x="1910"/>
        <item x="814"/>
        <item x="33"/>
        <item x="1305"/>
        <item x="477"/>
        <item x="2026"/>
        <item x="759"/>
        <item x="554"/>
        <item x="2024"/>
        <item x="2283"/>
        <item x="1248"/>
        <item x="1864"/>
        <item x="2004"/>
        <item x="1973"/>
        <item x="1203"/>
        <item x="306"/>
        <item x="1949"/>
        <item x="1400"/>
        <item x="2095"/>
        <item x="395"/>
        <item x="1008"/>
        <item x="343"/>
        <item x="1004"/>
        <item x="971"/>
        <item x="1476"/>
        <item x="903"/>
        <item x="2236"/>
        <item x="1727"/>
        <item x="742"/>
        <item x="500"/>
        <item x="760"/>
        <item x="556"/>
        <item x="1113"/>
        <item x="2078"/>
        <item x="2045"/>
        <item x="812"/>
        <item x="2288"/>
        <item x="1272"/>
        <item x="1995"/>
        <item x="2174"/>
        <item x="740"/>
        <item x="529"/>
        <item x="1543"/>
        <item x="579"/>
        <item x="1519"/>
        <item x="1886"/>
        <item x="1711"/>
        <item x="223"/>
        <item x="1415"/>
        <item x="539"/>
        <item x="805"/>
        <item x="124"/>
        <item x="630"/>
        <item x="379"/>
        <item x="445"/>
        <item x="922"/>
        <item x="2305"/>
        <item x="519"/>
        <item x="2246"/>
        <item x="2063"/>
        <item x="2105"/>
        <item x="1529"/>
        <item x="1454"/>
        <item x="284"/>
        <item x="1146"/>
        <item x="1011"/>
        <item x="557"/>
        <item x="231"/>
        <item x="1211"/>
        <item x="646"/>
        <item x="565"/>
        <item x="684"/>
        <item x="1570"/>
        <item x="296"/>
        <item x="1715"/>
        <item x="1061"/>
        <item x="342"/>
        <item x="287"/>
        <item x="1129"/>
        <item x="289"/>
        <item x="297"/>
        <item x="173"/>
        <item x="1698"/>
        <item x="114"/>
        <item x="1938"/>
        <item x="2159"/>
        <item x="1"/>
        <item x="1076"/>
        <item x="1127"/>
        <item x="1068"/>
        <item x="690"/>
        <item x="1162"/>
        <item x="225"/>
        <item x="1017"/>
        <item x="1743"/>
        <item x="2079"/>
        <item x="985"/>
        <item x="1405"/>
        <item x="1453"/>
        <item x="1757"/>
        <item x="2225"/>
        <item x="460"/>
        <item x="931"/>
        <item x="2208"/>
        <item x="168"/>
        <item x="1896"/>
        <item x="487"/>
        <item x="578"/>
        <item x="176"/>
        <item x="680"/>
        <item x="1329"/>
        <item x="2116"/>
        <item x="1056"/>
        <item x="681"/>
        <item x="543"/>
        <item x="2049"/>
        <item x="868"/>
        <item x="180"/>
        <item x="2112"/>
        <item x="795"/>
        <item x="2100"/>
        <item x="310"/>
        <item x="682"/>
        <item x="1031"/>
        <item x="686"/>
        <item x="856"/>
        <item x="345"/>
        <item x="2289"/>
        <item x="87"/>
        <item x="1268"/>
        <item x="582"/>
        <item x="2090"/>
        <item x="580"/>
        <item x="601"/>
        <item x="912"/>
        <item x="894"/>
        <item x="796"/>
        <item x="851"/>
        <item x="413"/>
        <item x="1944"/>
        <item x="1634"/>
        <item x="1126"/>
        <item x="2263"/>
        <item x="1150"/>
        <item x="256"/>
        <item x="1719"/>
        <item x="2069"/>
        <item x="112"/>
        <item x="189"/>
        <item x="865"/>
        <item x="2183"/>
        <item x="1952"/>
        <item x="1828"/>
        <item x="1144"/>
        <item x="142"/>
        <item x="700"/>
        <item x="705"/>
        <item x="1209"/>
        <item x="927"/>
        <item x="1688"/>
        <item x="1223"/>
        <item x="1923"/>
        <item x="2306"/>
        <item x="143"/>
        <item x="1493"/>
        <item x="192"/>
        <item x="384"/>
        <item x="1554"/>
        <item x="198"/>
        <item x="863"/>
        <item x="1735"/>
        <item x="1842"/>
        <item x="570"/>
        <item x="221"/>
        <item x="78"/>
        <item x="1530"/>
        <item x="1230"/>
        <item x="423"/>
        <item x="1746"/>
        <item x="123"/>
        <item x="1556"/>
        <item x="2139"/>
        <item x="1231"/>
        <item x="1992"/>
        <item x="2119"/>
        <item x="1856"/>
        <item x="202"/>
        <item x="528"/>
        <item x="1398"/>
        <item x="2254"/>
        <item x="2196"/>
        <item x="481"/>
        <item x="1070"/>
        <item x="1563"/>
        <item x="471"/>
        <item x="235"/>
        <item x="325"/>
        <item x="693"/>
        <item x="1955"/>
        <item x="515"/>
        <item x="2133"/>
        <item x="908"/>
        <item x="68"/>
        <item x="1486"/>
        <item x="1580"/>
        <item x="1170"/>
        <item x="315"/>
        <item x="770"/>
        <item x="2134"/>
        <item x="2240"/>
        <item x="1806"/>
        <item x="2104"/>
        <item x="1066"/>
        <item x="915"/>
        <item x="1242"/>
        <item x="1935"/>
        <item x="1879"/>
        <item x="1279"/>
        <item x="472"/>
        <item x="451"/>
        <item x="190"/>
        <item x="2092"/>
        <item x="2291"/>
        <item x="876"/>
        <item x="602"/>
        <item x="1473"/>
        <item x="1956"/>
        <item x="316"/>
        <item x="1977"/>
        <item x="1479"/>
        <item x="308"/>
        <item x="566"/>
        <item x="1781"/>
        <item x="1042"/>
        <item x="2038"/>
        <item x="1533"/>
        <item x="1213"/>
        <item x="1970"/>
        <item x="1618"/>
        <item x="76"/>
        <item x="1292"/>
        <item x="1776"/>
        <item x="885"/>
        <item x="332"/>
        <item x="979"/>
        <item x="1689"/>
        <item x="1561"/>
        <item x="2304"/>
        <item x="1353"/>
        <item x="1466"/>
        <item x="164"/>
        <item x="132"/>
        <item x="683"/>
        <item x="1206"/>
        <item x="28"/>
        <item x="490"/>
        <item x="1951"/>
        <item x="314"/>
        <item x="116"/>
        <item x="1478"/>
        <item x="768"/>
        <item x="382"/>
        <item x="327"/>
        <item x="1053"/>
        <item x="2051"/>
        <item x="911"/>
        <item x="435"/>
        <item x="1664"/>
        <item x="458"/>
        <item x="1710"/>
        <item x="1452"/>
        <item x="1256"/>
        <item x="709"/>
        <item x="694"/>
        <item x="1542"/>
        <item x="1193"/>
        <item x="1547"/>
        <item x="1773"/>
        <item x="1926"/>
        <item x="678"/>
        <item x="1217"/>
        <item x="1930"/>
        <item x="643"/>
        <item x="1168"/>
        <item x="214"/>
        <item x="474"/>
        <item x="1894"/>
        <item x="40"/>
        <item x="2017"/>
        <item x="2047"/>
        <item x="1823"/>
        <item x="1624"/>
        <item x="1615"/>
        <item x="1085"/>
        <item x="1638"/>
        <item x="857"/>
        <item x="627"/>
        <item x="2053"/>
        <item x="405"/>
        <item x="1861"/>
        <item x="2087"/>
        <item x="871"/>
        <item x="29"/>
        <item x="1608"/>
        <item x="1130"/>
        <item x="2198"/>
        <item x="140"/>
        <item x="744"/>
        <item x="1974"/>
        <item x="1189"/>
        <item x="247"/>
        <item x="1559"/>
        <item x="1975"/>
        <item x="1249"/>
        <item x="130"/>
        <item x="105"/>
        <item x="1847"/>
        <item x="1037"/>
        <item x="1083"/>
        <item x="197"/>
        <item x="1323"/>
        <item x="1155"/>
        <item x="249"/>
        <item x="904"/>
        <item x="1417"/>
        <item x="1254"/>
        <item x="2158"/>
        <item x="1020"/>
        <item x="905"/>
        <item x="1850"/>
        <item x="1921"/>
        <item x="2084"/>
        <item x="1764"/>
        <item x="129"/>
        <item x="393"/>
        <item x="1388"/>
        <item x="1406"/>
        <item x="2177"/>
        <item x="1916"/>
        <item x="125"/>
        <item x="542"/>
        <item x="1087"/>
        <item x="2048"/>
        <item x="84"/>
        <item x="2059"/>
        <item x="741"/>
        <item x="651"/>
        <item x="1544"/>
        <item x="243"/>
        <item x="1572"/>
        <item x="2061"/>
        <item x="615"/>
        <item x="209"/>
        <item x="334"/>
        <item x="1164"/>
        <item x="706"/>
        <item x="1728"/>
        <item x="1232"/>
        <item x="1656"/>
        <item x="2221"/>
        <item x="62"/>
        <item x="1669"/>
        <item x="1151"/>
        <item x="2191"/>
        <item x="774"/>
        <item x="2234"/>
        <item x="612"/>
        <item x="1860"/>
        <item x="1119"/>
        <item x="1744"/>
        <item x="1564"/>
        <item x="527"/>
        <item x="2145"/>
        <item x="2110"/>
        <item x="483"/>
        <item x="104"/>
        <item x="2088"/>
        <item x="2278"/>
        <item x="2180"/>
        <item x="647"/>
        <item x="1924"/>
        <item x="1090"/>
        <item x="898"/>
        <item x="2228"/>
        <item x="1153"/>
        <item x="687"/>
        <item x="1394"/>
        <item x="367"/>
        <item x="407"/>
        <item x="625"/>
        <item x="1568"/>
        <item x="1732"/>
        <item x="621"/>
        <item x="752"/>
        <item x="161"/>
        <item x="2138"/>
        <item x="484"/>
        <item x="1812"/>
        <item x="1202"/>
        <item x="2315"/>
        <item x="268"/>
        <item x="1968"/>
        <item x="1908"/>
        <item x="1437"/>
        <item x="2200"/>
        <item x="272"/>
        <item x="1296"/>
        <item x="321"/>
        <item x="1984"/>
        <item x="1890"/>
        <item x="853"/>
        <item x="2015"/>
        <item x="900"/>
        <item x="7"/>
        <item x="261"/>
        <item x="719"/>
        <item x="1239"/>
        <item x="1651"/>
        <item x="826"/>
        <item x="431"/>
        <item x="999"/>
        <item x="422"/>
        <item x="2257"/>
        <item x="1431"/>
        <item x="1616"/>
        <item x="948"/>
        <item x="1827"/>
        <item x="1662"/>
        <item x="2034"/>
        <item x="576"/>
        <item x="131"/>
        <item x="1487"/>
        <item x="1640"/>
        <item x="1853"/>
        <item x="1289"/>
        <item x="1021"/>
        <item x="1377"/>
        <item x="69"/>
        <item x="1960"/>
        <item x="1612"/>
        <item x="1922"/>
        <item x="1775"/>
        <item x="939"/>
        <item x="2175"/>
        <item x="1072"/>
        <item x="1104"/>
        <item x="438"/>
        <item x="353"/>
        <item x="600"/>
        <item x="266"/>
        <item x="1901"/>
        <item x="746"/>
        <item x="1893"/>
        <item x="877"/>
        <item x="2314"/>
        <item x="1219"/>
        <item x="1366"/>
        <item x="1848"/>
        <item x="2232"/>
        <item x="531"/>
        <item x="1229"/>
        <item x="1738"/>
        <item x="135"/>
        <item x="1069"/>
        <item x="507"/>
        <item x="1947"/>
        <item x="798"/>
        <item x="1507"/>
        <item x="1106"/>
        <item x="593"/>
        <item x="1071"/>
        <item x="317"/>
        <item x="1619"/>
        <item x="448"/>
        <item x="1679"/>
        <item x="1300"/>
        <item x="663"/>
        <item x="279"/>
        <item x="730"/>
        <item x="148"/>
        <item x="1024"/>
        <item x="141"/>
        <item x="1834"/>
        <item x="1839"/>
        <item x="1115"/>
        <item x="1235"/>
        <item x="692"/>
        <item x="837"/>
        <item x="38"/>
        <item x="447"/>
        <item x="997"/>
        <item x="1179"/>
        <item x="1991"/>
        <item x="2028"/>
        <item x="269"/>
        <item x="2010"/>
        <item x="610"/>
        <item x="1363"/>
        <item x="63"/>
        <item x="6"/>
        <item x="779"/>
        <item x="1551"/>
        <item x="1117"/>
        <item x="377"/>
        <item x="1163"/>
        <item x="365"/>
        <item x="492"/>
        <item x="1410"/>
        <item x="1311"/>
        <item x="1210"/>
        <item x="1601"/>
        <item x="47"/>
        <item x="1966"/>
        <item x="2193"/>
        <item x="70"/>
        <item x="1767"/>
        <item x="1677"/>
        <item x="1515"/>
        <item x="1663"/>
        <item x="2077"/>
        <item x="217"/>
        <item x="270"/>
        <item x="552"/>
        <item x="1441"/>
        <item x="1186"/>
        <item x="2298"/>
        <item x="22"/>
        <item x="1851"/>
        <item x="433"/>
        <item x="1449"/>
        <item x="975"/>
        <item x="652"/>
        <item x="1304"/>
        <item x="248"/>
        <item x="1567"/>
        <item x="1354"/>
        <item x="2036"/>
        <item x="149"/>
        <item x="965"/>
        <item x="4"/>
        <item x="2269"/>
        <item x="1124"/>
        <item x="1190"/>
        <item x="2202"/>
        <item x="1734"/>
        <item x="1154"/>
        <item x="2166"/>
        <item x="41"/>
        <item x="1854"/>
        <item x="1668"/>
        <item x="1267"/>
        <item x="1161"/>
        <item x="1290"/>
        <item x="479"/>
        <item x="55"/>
        <item x="2318"/>
        <item x="1878"/>
        <item x="1824"/>
        <item x="1605"/>
        <item x="277"/>
        <item x="1514"/>
        <item x="2237"/>
        <item x="522"/>
        <item x="1643"/>
        <item x="368"/>
        <item x="788"/>
        <item x="2171"/>
        <item x="108"/>
        <item x="1490"/>
        <item x="2111"/>
        <item x="1833"/>
        <item x="622"/>
        <item x="1457"/>
        <item x="884"/>
        <item x="830"/>
        <item x="559"/>
        <item x="952"/>
        <item x="1395"/>
        <item x="558"/>
        <item x="1545"/>
        <item x="65"/>
        <item x="1040"/>
        <item x="2073"/>
        <item x="204"/>
        <item x="291"/>
        <item x="1884"/>
        <item x="1458"/>
        <item x="193"/>
        <item x="604"/>
        <item x="2287"/>
        <item x="2316"/>
        <item x="1102"/>
        <item x="1592"/>
        <item x="2238"/>
        <item x="1244"/>
        <item x="1855"/>
        <item x="35"/>
        <item x="1095"/>
        <item x="60"/>
        <item x="745"/>
        <item x="1739"/>
        <item x="2068"/>
        <item x="1385"/>
        <item x="211"/>
        <item x="2301"/>
        <item x="2136"/>
        <item x="254"/>
        <item x="1712"/>
        <item x="283"/>
        <item x="906"/>
        <item x="1250"/>
        <item x="829"/>
        <item x="977"/>
        <item x="1584"/>
        <item x="1621"/>
        <item x="1987"/>
        <item x="2023"/>
        <item x="1000"/>
        <item x="747"/>
        <item x="80"/>
        <item x="1804"/>
        <item x="1586"/>
        <item x="914"/>
        <item x="21"/>
        <item x="144"/>
        <item x="250"/>
        <item x="329"/>
        <item x="1750"/>
        <item x="1603"/>
        <item x="165"/>
        <item x="1491"/>
        <item x="2155"/>
        <item x="892"/>
        <item x="778"/>
        <item x="1793"/>
        <item x="156"/>
        <item x="1723"/>
        <item x="126"/>
        <item x="626"/>
        <item x="628"/>
        <item x="88"/>
        <item x="789"/>
        <item x="1597"/>
        <item x="1333"/>
        <item x="2267"/>
        <item x="1627"/>
        <item x="832"/>
        <item x="1397"/>
        <item x="1917"/>
        <item x="2107"/>
        <item x="654"/>
        <item x="991"/>
        <item x="1317"/>
        <item x="1114"/>
        <item x="2164"/>
        <item x="1472"/>
        <item x="427"/>
        <item x="294"/>
        <item x="1953"/>
        <item x="323"/>
        <item x="331"/>
        <item x="187"/>
        <item x="2055"/>
        <item x="1815"/>
        <item x="1722"/>
        <item x="278"/>
        <item x="809"/>
        <item x="1591"/>
        <item x="2072"/>
        <item x="2255"/>
        <item x="369"/>
        <item x="886"/>
        <item x="352"/>
        <item x="535"/>
        <item x="1293"/>
        <item x="801"/>
        <item x="2054"/>
        <item x="930"/>
        <item x="1489"/>
        <item x="1678"/>
        <item x="1883"/>
        <item x="2128"/>
        <item x="1147"/>
        <item x="1339"/>
        <item x="1588"/>
        <item x="2129"/>
        <item x="2037"/>
        <item x="867"/>
        <item x="412"/>
        <item x="237"/>
        <item x="644"/>
        <item x="723"/>
        <item x="1450"/>
        <item x="1373"/>
        <item x="2067"/>
        <item x="825"/>
        <item x="2311"/>
        <item x="1667"/>
        <item x="1015"/>
        <item x="286"/>
        <item x="244"/>
        <item x="1820"/>
        <item x="958"/>
        <item x="697"/>
        <item x="575"/>
        <item x="1465"/>
        <item x="1227"/>
        <item x="1228"/>
        <item x="2258"/>
        <item x="285"/>
        <item x="1713"/>
        <item x="921"/>
        <item x="54"/>
        <item x="212"/>
        <item x="536"/>
        <item x="267"/>
        <item x="326"/>
        <item x="1772"/>
        <item x="1264"/>
        <item x="397"/>
        <item x="396"/>
        <item x="990"/>
        <item x="1088"/>
        <item x="1065"/>
        <item x="988"/>
        <item x="5"/>
        <item x="46"/>
        <item x="679"/>
        <item x="1442"/>
        <item x="2157"/>
        <item x="371"/>
        <item x="514"/>
        <item x="1324"/>
        <item x="1046"/>
        <item x="1032"/>
        <item x="77"/>
        <item x="1595"/>
        <item x="929"/>
        <item x="1286"/>
        <item x="951"/>
        <item x="13"/>
        <item x="707"/>
        <item x="18"/>
        <item x="712"/>
        <item x="1340"/>
        <item x="1845"/>
        <item x="188"/>
        <item x="1759"/>
        <item x="1870"/>
        <item x="414"/>
        <item x="1345"/>
        <item x="1459"/>
        <item x="2182"/>
        <item x="1380"/>
        <item x="937"/>
        <item x="2009"/>
        <item x="506"/>
        <item x="608"/>
        <item x="443"/>
        <item x="1183"/>
        <item x="463"/>
        <item x="1560"/>
        <item x="478"/>
        <item x="1134"/>
        <item x="1590"/>
        <item x="387"/>
        <item x="950"/>
        <item x="855"/>
        <item x="1140"/>
        <item x="2149"/>
        <item x="117"/>
        <item x="2249"/>
        <item x="2309"/>
        <item x="111"/>
        <item x="1416"/>
        <item x="370"/>
        <item x="429"/>
        <item x="340"/>
        <item x="1925"/>
        <item x="1404"/>
        <item x="721"/>
        <item x="1222"/>
        <item x="2292"/>
        <item x="538"/>
        <item x="564"/>
        <item x="605"/>
        <item x="1138"/>
        <item x="1181"/>
        <item x="416"/>
        <item x="2153"/>
        <item x="394"/>
        <item x="255"/>
        <item x="649"/>
        <item x="941"/>
        <item x="2310"/>
        <item x="786"/>
        <item x="1425"/>
        <item x="2266"/>
        <item x="544"/>
        <item x="1534"/>
        <item x="2271"/>
        <item x="1145"/>
        <item x="1843"/>
        <item x="1787"/>
        <item x="953"/>
        <item x="2167"/>
        <item x="2262"/>
        <item x="1707"/>
        <item x="213"/>
        <item x="1033"/>
        <item x="2039"/>
        <item x="1575"/>
        <item x="152"/>
        <item x="1502"/>
        <item x="1526"/>
        <item x="2277"/>
        <item x="938"/>
        <item x="547"/>
        <item x="2117"/>
        <item x="614"/>
        <item x="92"/>
        <item x="2188"/>
        <item x="95"/>
        <item x="1782"/>
        <item x="1343"/>
        <item x="1632"/>
        <item x="2080"/>
        <item x="666"/>
        <item x="913"/>
        <item x="220"/>
        <item x="549"/>
        <item x="2296"/>
        <item x="660"/>
        <item x="834"/>
        <item x="1525"/>
        <item x="1913"/>
        <item x="1648"/>
        <item x="662"/>
        <item x="437"/>
        <item x="2253"/>
        <item x="1044"/>
        <item x="553"/>
        <item x="456"/>
        <item x="577"/>
        <item x="2122"/>
        <item x="1691"/>
        <item x="106"/>
        <item x="1082"/>
        <item x="873"/>
        <item x="44"/>
        <item x="1451"/>
        <item x="597"/>
        <item x="761"/>
        <item x="1330"/>
        <item x="2279"/>
        <item x="1480"/>
        <item x="1112"/>
        <item x="1302"/>
        <item x="1370"/>
        <item x="551"/>
        <item x="2115"/>
        <item x="563"/>
        <item x="1731"/>
        <item x="300"/>
        <item x="1025"/>
        <item x="1107"/>
        <item x="2259"/>
        <item x="75"/>
        <item x="935"/>
        <item x="562"/>
        <item x="1695"/>
        <item x="1846"/>
        <item x="850"/>
        <item x="1100"/>
        <item x="107"/>
        <item x="1043"/>
        <item x="1371"/>
        <item x="1836"/>
        <item x="2030"/>
        <item x="1796"/>
        <item x="638"/>
        <item x="944"/>
        <item x="503"/>
        <item x="1792"/>
        <item x="1661"/>
        <item x="1429"/>
        <item x="1152"/>
        <item x="2252"/>
        <item x="968"/>
        <item x="1271"/>
        <item x="629"/>
        <item x="464"/>
        <item x="388"/>
        <item x="668"/>
        <item x="56"/>
        <item x="1976"/>
        <item x="361"/>
        <item x="943"/>
        <item x="1811"/>
        <item x="1693"/>
        <item x="64"/>
        <item x="1379"/>
        <item x="511"/>
        <item x="1532"/>
        <item x="860"/>
        <item x="2286"/>
        <item x="195"/>
        <item x="1702"/>
        <item x="1165"/>
        <item x="1298"/>
        <item x="1867"/>
        <item x="200"/>
        <item x="1295"/>
        <item x="1160"/>
        <item x="1929"/>
        <item x="103"/>
        <item x="453"/>
        <item x="1912"/>
        <item x="2012"/>
        <item x="2212"/>
        <item x="482"/>
        <item x="465"/>
        <item x="546"/>
        <item x="409"/>
        <item x="1795"/>
        <item x="2108"/>
        <item x="512"/>
        <item x="587"/>
        <item x="2082"/>
        <item x="120"/>
        <item x="1023"/>
        <item x="766"/>
        <item x="85"/>
        <item x="1676"/>
        <item x="1241"/>
        <item x="91"/>
        <item x="151"/>
        <item x="1214"/>
        <item x="1571"/>
        <item x="1840"/>
        <item x="648"/>
        <item x="1428"/>
        <item x="1392"/>
        <item x="2041"/>
        <item x="476"/>
        <item x="1900"/>
        <item x="52"/>
        <item x="844"/>
        <item x="1030"/>
        <item x="2146"/>
        <item x="862"/>
        <item x="1093"/>
        <item x="1602"/>
        <item x="341"/>
        <item x="1717"/>
        <item x="318"/>
        <item x="1326"/>
        <item x="128"/>
        <item x="160"/>
        <item x="2062"/>
        <item x="2019"/>
        <item x="1328"/>
        <item x="1446"/>
        <item x="1967"/>
        <item x="498"/>
        <item x="1752"/>
        <item x="1841"/>
        <item x="1758"/>
        <item x="2065"/>
        <item x="172"/>
        <item x="776"/>
        <item x="845"/>
        <item x="2285"/>
        <item x="732"/>
        <item x="442"/>
        <item x="473"/>
        <item x="703"/>
        <item x="1013"/>
        <item x="2089"/>
        <item x="2187"/>
        <item x="2186"/>
        <item x="811"/>
        <item x="926"/>
        <item x="1378"/>
        <item x="1748"/>
        <item x="1780"/>
        <item x="2173"/>
        <item x="1972"/>
        <item x="239"/>
        <item x="2273"/>
        <item x="309"/>
        <item x="1035"/>
        <item x="1504"/>
        <item x="1798"/>
        <item x="1527"/>
        <item x="26"/>
        <item x="1414"/>
        <item x="53"/>
        <item x="1312"/>
        <item x="99"/>
        <item x="755"/>
        <item x="215"/>
        <item x="216"/>
        <item x="1981"/>
        <item x="1391"/>
        <item x="184"/>
        <item x="1485"/>
        <item x="1687"/>
        <item x="136"/>
        <item x="450"/>
        <item x="1531"/>
        <item x="1195"/>
        <item x="1369"/>
        <item x="1260"/>
        <item x="337"/>
        <item x="2201"/>
        <item x="1978"/>
        <item x="2150"/>
        <item x="974"/>
        <item x="793"/>
        <item x="1635"/>
        <item x="2303"/>
        <item x="1825"/>
        <item x="983"/>
        <item x="1871"/>
        <item x="1593"/>
        <item x="1611"/>
        <item x="1464"/>
        <item x="1873"/>
        <item x="1157"/>
        <item x="1171"/>
        <item x="1221"/>
        <item x="2243"/>
        <item x="714"/>
        <item x="1309"/>
        <item x="864"/>
        <item x="772"/>
        <item x="518"/>
        <item x="349"/>
        <item x="592"/>
        <item x="1470"/>
        <item x="1760"/>
        <item x="1918"/>
        <item x="509"/>
        <item x="122"/>
        <item x="134"/>
        <item x="499"/>
        <item x="434"/>
        <item x="242"/>
        <item x="1225"/>
        <item x="1475"/>
        <item x="1891"/>
        <item x="634"/>
        <item x="127"/>
        <item x="2194"/>
        <item x="16"/>
        <item x="1159"/>
        <item x="1408"/>
        <item x="846"/>
        <item x="989"/>
        <item x="1963"/>
        <item x="1783"/>
        <item x="1645"/>
        <item x="1888"/>
        <item x="790"/>
        <item x="2176"/>
        <item x="2235"/>
        <item x="2011"/>
        <item x="428"/>
        <item x="1499"/>
        <item x="1246"/>
        <item x="97"/>
        <item x="1308"/>
        <item x="1587"/>
        <item x="2097"/>
        <item x="2185"/>
        <item x="2031"/>
        <item x="954"/>
        <item x="1135"/>
        <item x="1549"/>
        <item x="1318"/>
        <item x="1808"/>
        <item x="118"/>
        <item x="312"/>
        <item x="2213"/>
        <item x="1204"/>
        <item x="596"/>
        <item x="425"/>
        <item x="2014"/>
        <item x="66"/>
        <item x="897"/>
        <item x="43"/>
        <item x="1805"/>
        <item x="961"/>
        <item x="619"/>
        <item x="541"/>
        <item x="1623"/>
        <item x="444"/>
        <item x="685"/>
        <item x="406"/>
        <item x="831"/>
        <item x="1521"/>
        <item x="758"/>
        <item x="667"/>
        <item x="1439"/>
        <item x="1565"/>
        <item x="2281"/>
        <item x="380"/>
        <item x="1238"/>
        <item x="1765"/>
        <item x="1844"/>
        <item x="1541"/>
        <item x="1274"/>
        <item x="2172"/>
        <item x="2161"/>
        <item x="1226"/>
        <item x="1941"/>
        <item x="1261"/>
        <item x="245"/>
        <item x="241"/>
        <item x="404"/>
        <item x="2086"/>
        <item x="1187"/>
        <item x="523"/>
        <item x="2140"/>
        <item x="402"/>
        <item x="1902"/>
        <item x="19"/>
        <item x="645"/>
        <item x="2162"/>
        <item x="1158"/>
        <item x="928"/>
        <item x="1979"/>
        <item x="1749"/>
        <item x="2270"/>
        <item x="1045"/>
        <item x="1178"/>
        <item x="363"/>
        <item x="1266"/>
        <item x="711"/>
        <item x="1994"/>
        <item x="806"/>
        <item x="1646"/>
        <item x="169"/>
        <item x="1673"/>
        <item x="1263"/>
        <item x="537"/>
        <item x="878"/>
        <item x="945"/>
        <item x="207"/>
        <item x="59"/>
        <item x="861"/>
        <item x="545"/>
        <item x="1830"/>
        <item x="1059"/>
        <item x="821"/>
        <item x="194"/>
        <item x="641"/>
        <item x="222"/>
        <item x="1552"/>
        <item x="2044"/>
        <item x="2071"/>
        <item x="1401"/>
        <item x="1905"/>
        <item x="1148"/>
        <item x="720"/>
        <item x="1016"/>
        <item x="1670"/>
        <item x="305"/>
        <item x="1720"/>
        <item x="1461"/>
        <item x="836"/>
        <item x="2002"/>
        <item x="2261"/>
        <item x="1455"/>
        <item x="1315"/>
        <item x="1510"/>
        <item x="1064"/>
        <item x="704"/>
        <item x="1512"/>
        <item x="2125"/>
        <item x="1097"/>
        <item x="784"/>
        <item x="2121"/>
        <item x="121"/>
        <item x="374"/>
        <item x="2126"/>
        <item x="1969"/>
        <item x="2152"/>
        <item x="330"/>
        <item x="1359"/>
        <item x="98"/>
        <item x="750"/>
        <item x="154"/>
        <item x="1985"/>
        <item x="454"/>
        <item x="698"/>
        <item x="1599"/>
        <item x="676"/>
        <item x="510"/>
        <item x="2018"/>
        <item x="359"/>
        <item x="185"/>
        <item x="933"/>
        <item x="1709"/>
        <item x="839"/>
        <item x="1876"/>
        <item x="389"/>
        <item x="229"/>
        <item x="1755"/>
        <item x="1278"/>
        <item x="2207"/>
        <item x="419"/>
        <item x="936"/>
        <item x="756"/>
        <item x="1038"/>
        <item x="1919"/>
        <item x="1063"/>
        <item x="1517"/>
        <item x="1402"/>
        <item x="633"/>
        <item x="1997"/>
        <item x="1194"/>
        <item x="273"/>
        <item x="51"/>
        <item x="1445"/>
        <item x="532"/>
        <item x="1665"/>
        <item x="1403"/>
        <item x="1205"/>
        <item x="1933"/>
        <item x="1110"/>
        <item x="2226"/>
        <item x="824"/>
        <item x="2060"/>
        <item x="2197"/>
        <item x="2021"/>
        <item x="586"/>
        <item x="1557"/>
        <item x="1874"/>
        <item x="726"/>
        <item x="1769"/>
        <item x="1167"/>
        <item x="874"/>
        <item x="115"/>
        <item x="1131"/>
        <item x="2256"/>
        <item x="1641"/>
        <item x="655"/>
        <item x="1208"/>
        <item x="2219"/>
        <item x="1829"/>
        <item x="11"/>
        <item x="794"/>
        <item x="870"/>
        <item x="1423"/>
        <item x="2132"/>
        <item x="2043"/>
        <item x="567"/>
        <item x="1566"/>
        <item x="1143"/>
        <item x="1156"/>
        <item x="366"/>
        <item x="642"/>
        <item x="1625"/>
        <item x="1897"/>
        <item x="1899"/>
        <item x="623"/>
        <item x="2099"/>
        <item x="852"/>
        <item x="101"/>
        <item x="1714"/>
        <item x="716"/>
        <item x="1718"/>
        <item x="1503"/>
        <item x="466"/>
        <item x="883"/>
        <item x="1631"/>
        <item x="540"/>
        <item x="956"/>
        <item x="1508"/>
        <item x="813"/>
        <item x="823"/>
        <item x="828"/>
        <item x="738"/>
        <item x="1729"/>
        <item x="408"/>
        <item x="109"/>
        <item x="1721"/>
        <item x="2250"/>
        <item x="1029"/>
        <item x="1872"/>
        <item x="2247"/>
        <item x="2233"/>
        <item x="691"/>
        <item x="2268"/>
        <item x="743"/>
        <item x="2006"/>
        <item x="916"/>
        <item x="1299"/>
        <item x="1965"/>
        <item x="1733"/>
        <item x="181"/>
        <item x="1573"/>
        <item x="669"/>
        <item x="1344"/>
        <item x="1550"/>
        <item x="1501"/>
        <item x="699"/>
        <item x="1358"/>
        <item x="1321"/>
        <item x="1216"/>
        <item x="218"/>
        <item x="96"/>
        <item x="2022"/>
        <item x="1269"/>
        <item x="246"/>
        <item x="1349"/>
        <item x="2142"/>
        <item x="280"/>
        <item x="815"/>
        <item x="640"/>
        <item x="1436"/>
        <item x="1778"/>
        <item x="2124"/>
        <item x="364"/>
        <item x="1360"/>
        <item x="1368"/>
        <item x="2135"/>
        <item x="381"/>
        <item x="1819"/>
        <item x="838"/>
        <item x="1789"/>
        <item x="1262"/>
        <item x="1932"/>
        <item x="1528"/>
        <item x="736"/>
        <item x="489"/>
        <item x="2280"/>
        <item x="2102"/>
        <item x="1740"/>
        <item x="879"/>
        <item x="1725"/>
        <item x="1940"/>
        <item x="1255"/>
        <item x="486"/>
        <item x="1177"/>
        <item x="1411"/>
        <item x="100"/>
        <item x="1418"/>
        <item x="925"/>
        <item x="23"/>
        <item x="1381"/>
        <item x="1837"/>
        <item x="1091"/>
        <item x="93"/>
        <item x="1367"/>
        <item x="1492"/>
        <item x="820"/>
        <item x="488"/>
        <item x="1909"/>
        <item x="521"/>
        <item x="1730"/>
        <item x="2251"/>
        <item x="1880"/>
        <item x="1892"/>
        <item x="1467"/>
        <item x="1945"/>
        <item x="2215"/>
        <item x="1784"/>
        <item x="2206"/>
        <item x="658"/>
        <item x="1682"/>
        <item x="2184"/>
        <item x="2106"/>
        <item x="1294"/>
        <item x="1704"/>
        <item x="1993"/>
        <item x="1306"/>
        <item x="920"/>
        <item x="1553"/>
        <item x="1903"/>
        <item x="2302"/>
        <item x="764"/>
        <item x="2218"/>
        <item x="1092"/>
        <item x="1617"/>
        <item x="1548"/>
        <item x="1103"/>
        <item x="390"/>
        <item x="842"/>
        <item x="1724"/>
        <item x="17"/>
        <item x="517"/>
        <item x="1660"/>
        <item x="1817"/>
        <item x="1802"/>
        <item x="39"/>
        <item x="1658"/>
        <item x="1535"/>
        <item x="358"/>
        <item x="1236"/>
        <item x="1509"/>
        <item x="780"/>
        <item x="735"/>
        <item x="701"/>
        <item x="816"/>
        <item x="1351"/>
        <item x="1990"/>
        <item x="848"/>
        <item x="1716"/>
        <item x="72"/>
        <item x="501"/>
        <item x="2013"/>
        <item x="2295"/>
        <item x="336"/>
        <item x="171"/>
        <item x="452"/>
        <item x="847"/>
        <item x="1338"/>
        <item x="320"/>
        <item x="2272"/>
        <item x="157"/>
        <item x="1816"/>
        <item x="1934"/>
        <item x="1868"/>
        <item x="609"/>
        <item x="271"/>
        <item x="1516"/>
        <item x="1393"/>
        <item x="571"/>
        <item x="1067"/>
        <item x="993"/>
        <item x="2141"/>
        <item x="1077"/>
        <item x="918"/>
        <item x="2005"/>
        <item x="400"/>
        <item x="179"/>
        <item x="1604"/>
        <item x="251"/>
        <item x="1247"/>
        <item x="1364"/>
        <item x="2098"/>
        <item x="1589"/>
        <item x="1537"/>
        <item x="674"/>
        <item x="775"/>
        <item x="426"/>
        <item x="1998"/>
        <item x="1690"/>
        <item x="508"/>
        <item x="584"/>
        <item x="1906"/>
        <item x="182"/>
        <item x="1747"/>
        <item x="1448"/>
        <item x="792"/>
        <item x="1637"/>
        <item x="228"/>
        <item x="1762"/>
        <item x="295"/>
        <item x="2210"/>
        <item x="1433"/>
        <item x="1954"/>
        <item x="196"/>
        <item x="495"/>
        <item x="696"/>
        <item x="1610"/>
        <item x="946"/>
        <item x="1383"/>
        <item x="139"/>
        <item x="167"/>
        <item x="2195"/>
        <item x="1432"/>
        <item x="1128"/>
        <item x="2118"/>
        <item x="1768"/>
        <item x="1907"/>
        <item x="14"/>
        <item x="502"/>
        <item x="1258"/>
        <item x="1751"/>
        <item x="942"/>
        <item x="1858"/>
        <item x="1790"/>
        <item x="1481"/>
        <item x="238"/>
        <item x="166"/>
        <item x="399"/>
        <item x="2093"/>
        <item x="899"/>
        <item x="1003"/>
        <item x="304"/>
        <item x="1105"/>
        <item x="818"/>
        <item x="328"/>
        <item x="1613"/>
        <item x="731"/>
        <item x="1881"/>
        <item x="1483"/>
        <item x="1288"/>
        <item x="817"/>
        <item x="1201"/>
        <item x="1086"/>
        <item x="613"/>
        <item x="1185"/>
        <item x="360"/>
        <item x="1706"/>
        <item x="457"/>
        <item x="1335"/>
        <item x="159"/>
        <item x="1620"/>
        <item x="1252"/>
        <item x="1027"/>
        <item x="1172"/>
        <item x="970"/>
        <item x="145"/>
        <item x="281"/>
        <item x="2299"/>
        <item x="1469"/>
        <item x="932"/>
        <item x="1198"/>
        <item x="1444"/>
        <item x="83"/>
        <item x="67"/>
        <item x="962"/>
        <item x="2209"/>
        <item x="133"/>
        <item x="520"/>
        <item x="298"/>
        <item x="264"/>
        <item x="1245"/>
        <item x="1240"/>
        <item x="1943"/>
        <item x="1583"/>
        <item x="199"/>
        <item x="355"/>
        <item x="146"/>
        <item x="311"/>
        <item x="1426"/>
        <item x="1983"/>
        <item x="1174"/>
        <item x="516"/>
        <item x="1681"/>
        <item x="525"/>
        <item x="263"/>
        <item x="689"/>
        <item x="1959"/>
        <item x="94"/>
        <item x="299"/>
        <item x="1341"/>
        <item x="32"/>
        <item x="1538"/>
        <item x="1794"/>
        <item x="1322"/>
        <item x="1384"/>
        <item x="1412"/>
        <item x="1644"/>
        <item x="902"/>
        <item x="854"/>
        <item x="293"/>
        <item x="963"/>
        <item x="2190"/>
        <item x="432"/>
        <item x="1920"/>
        <item x="2156"/>
        <item x="1462"/>
        <item x="1801"/>
        <item x="436"/>
        <item x="895"/>
        <item x="1685"/>
        <item x="1857"/>
        <item x="1332"/>
        <item x="1520"/>
        <item x="1051"/>
        <item x="585"/>
        <item x="1136"/>
        <item x="810"/>
        <item x="624"/>
        <item x="1813"/>
        <item x="569"/>
        <item x="727"/>
        <item x="411"/>
        <item x="1463"/>
        <item x="459"/>
        <item x="2154"/>
        <item x="351"/>
        <item x="849"/>
        <item x="257"/>
        <item x="858"/>
        <item x="737"/>
        <item x="996"/>
        <item x="259"/>
        <item x="240"/>
        <item x="734"/>
        <item x="205"/>
        <item x="2168"/>
        <item x="1284"/>
        <item x="252"/>
        <item x="1742"/>
        <item x="37"/>
        <item x="1958"/>
        <item x="769"/>
        <item x="1440"/>
        <item x="494"/>
        <item x="2085"/>
        <item x="1482"/>
        <item x="119"/>
        <item x="1297"/>
        <item x="1175"/>
        <item x="1895"/>
        <item x="594"/>
        <item x="150"/>
        <item x="940"/>
        <item x="1149"/>
        <item x="226"/>
        <item x="339"/>
        <item x="949"/>
        <item x="2239"/>
        <item x="1036"/>
        <item x="2137"/>
        <item x="282"/>
        <item x="162"/>
        <item x="15"/>
        <item x="2109"/>
        <item x="2083"/>
        <item x="344"/>
        <item x="1196"/>
        <item x="1080"/>
        <item x="206"/>
        <item x="659"/>
        <item x="1946"/>
        <item x="288"/>
        <item x="524"/>
        <item x="177"/>
        <item x="1577"/>
        <item x="2001"/>
        <item x="560"/>
        <item x="2"/>
        <item x="376"/>
        <item x="1630"/>
        <item x="1352"/>
        <item x="1629"/>
        <item x="504"/>
        <item x="606"/>
        <item x="1325"/>
        <item x="1078"/>
        <item x="1034"/>
        <item x="1010"/>
        <item x="1800"/>
        <item x="1089"/>
        <item x="262"/>
        <item x="82"/>
        <item x="583"/>
        <item x="1477"/>
        <item x="1600"/>
        <item x="1001"/>
        <item x="1962"/>
        <item x="258"/>
        <item x="1948"/>
        <item x="1287"/>
        <item x="972"/>
        <item x="1982"/>
        <item x="1215"/>
        <item x="2120"/>
        <item x="998"/>
        <item x="1569"/>
        <item x="1585"/>
        <item x="1062"/>
        <item x="822"/>
        <item x="1048"/>
        <item x="2220"/>
        <item x="550"/>
        <item x="530"/>
        <item x="722"/>
        <item x="2007"/>
        <item x="1109"/>
        <item x="1937"/>
        <item x="1754"/>
        <item x="1862"/>
        <item x="1028"/>
        <item x="1018"/>
        <item x="2300"/>
        <item x="733"/>
        <item x="631"/>
        <item x="1957"/>
        <item x="1006"/>
        <item x="440"/>
        <item x="787"/>
        <item x="2081"/>
        <item x="2241"/>
        <item x="1488"/>
        <item x="1546"/>
        <item x="1430"/>
        <item x="980"/>
        <item x="1275"/>
        <item x="2101"/>
        <item x="1594"/>
        <item x="588"/>
        <item x="1771"/>
        <item x="717"/>
        <item x="1014"/>
        <item x="896"/>
        <item x="1281"/>
        <item x="1303"/>
        <item x="987"/>
        <item x="1822"/>
        <item x="439"/>
        <item x="275"/>
        <item x="1914"/>
        <item x="924"/>
        <item x="581"/>
        <item x="1500"/>
        <item x="1831"/>
        <item x="1409"/>
        <item x="1334"/>
        <item x="1653"/>
        <item x="695"/>
        <item x="2076"/>
        <item x="61"/>
        <item x="2223"/>
        <item x="2040"/>
        <item x="1057"/>
        <item x="1684"/>
        <item x="2003"/>
        <item x="1277"/>
        <item x="986"/>
        <item x="1700"/>
        <item x="901"/>
        <item x="781"/>
        <item x="1331"/>
        <item x="57"/>
        <item x="1988"/>
        <item x="2020"/>
        <item x="2123"/>
        <item x="378"/>
        <item x="1375"/>
        <item x="2275"/>
        <item x="673"/>
        <item x="1980"/>
        <item x="1081"/>
        <item x="959"/>
        <item x="1118"/>
        <item x="1849"/>
        <item x="1889"/>
        <item x="79"/>
        <item x="702"/>
        <item x="191"/>
        <item x="1435"/>
        <item x="1390"/>
        <item x="2293"/>
        <item x="81"/>
        <item x="753"/>
        <item x="1094"/>
        <item x="715"/>
        <item x="461"/>
        <item x="186"/>
        <item x="232"/>
        <item x="1555"/>
        <item x="401"/>
        <item x="31"/>
        <item x="2113"/>
        <item x="1791"/>
        <item x="1191"/>
        <item x="1539"/>
        <item x="2229"/>
        <item x="1139"/>
        <item x="1456"/>
        <item x="1986"/>
        <item x="1116"/>
        <item x="1654"/>
        <item x="2222"/>
        <item x="201"/>
        <item x="0"/>
        <item x="2242"/>
        <item x="982"/>
        <item x="1413"/>
        <item x="1096"/>
        <item x="2244"/>
        <item x="1626"/>
        <item x="153"/>
        <item x="2074"/>
        <item x="1188"/>
        <item x="468"/>
        <item x="548"/>
        <item x="1141"/>
        <item x="1807"/>
        <item x="1259"/>
        <item x="410"/>
        <item x="2284"/>
        <item x="2033"/>
        <item x="1355"/>
        <item x="1218"/>
        <item x="2199"/>
        <item x="50"/>
        <item x="2216"/>
        <item x="2114"/>
        <item x="1427"/>
        <item x="2160"/>
        <item x="2169"/>
        <item x="728"/>
        <item x="2025"/>
        <item x="984"/>
        <item x="808"/>
        <item x="1699"/>
        <item x="677"/>
        <item x="1904"/>
        <item x="966"/>
        <item x="725"/>
        <item x="656"/>
        <item x="230"/>
        <item x="346"/>
        <item x="2319"/>
        <item t="default"/>
      </items>
    </pivotField>
    <pivotField showAll="0"/>
    <pivotField showAll="0">
      <items count="364">
        <item x="272"/>
        <item x="25"/>
        <item x="115"/>
        <item x="153"/>
        <item x="114"/>
        <item x="90"/>
        <item x="138"/>
        <item x="201"/>
        <item x="271"/>
        <item x="77"/>
        <item x="353"/>
        <item x="298"/>
        <item x="220"/>
        <item x="6"/>
        <item x="301"/>
        <item x="182"/>
        <item x="335"/>
        <item x="17"/>
        <item x="280"/>
        <item x="240"/>
        <item x="112"/>
        <item x="0"/>
        <item x="20"/>
        <item x="231"/>
        <item x="312"/>
        <item x="286"/>
        <item x="140"/>
        <item x="274"/>
        <item x="244"/>
        <item x="344"/>
        <item x="131"/>
        <item x="287"/>
        <item x="241"/>
        <item x="300"/>
        <item x="360"/>
        <item x="264"/>
        <item x="108"/>
        <item x="299"/>
        <item x="18"/>
        <item x="227"/>
        <item x="223"/>
        <item x="303"/>
        <item x="28"/>
        <item x="29"/>
        <item x="7"/>
        <item x="327"/>
        <item x="3"/>
        <item x="99"/>
        <item x="257"/>
        <item x="67"/>
        <item x="60"/>
        <item x="224"/>
        <item x="230"/>
        <item x="61"/>
        <item x="197"/>
        <item x="172"/>
        <item x="275"/>
        <item x="32"/>
        <item x="51"/>
        <item x="38"/>
        <item x="236"/>
        <item x="15"/>
        <item x="351"/>
        <item x="317"/>
        <item x="260"/>
        <item x="42"/>
        <item x="37"/>
        <item x="262"/>
        <item x="239"/>
        <item x="109"/>
        <item x="139"/>
        <item x="302"/>
        <item x="146"/>
        <item x="178"/>
        <item x="52"/>
        <item x="309"/>
        <item x="14"/>
        <item x="33"/>
        <item x="225"/>
        <item x="242"/>
        <item x="306"/>
        <item x="176"/>
        <item x="190"/>
        <item x="191"/>
        <item x="4"/>
        <item x="195"/>
        <item x="83"/>
        <item x="254"/>
        <item x="340"/>
        <item x="44"/>
        <item x="144"/>
        <item x="348"/>
        <item x="133"/>
        <item x="95"/>
        <item x="221"/>
        <item x="310"/>
        <item x="205"/>
        <item x="24"/>
        <item x="246"/>
        <item x="47"/>
        <item x="173"/>
        <item x="232"/>
        <item x="134"/>
        <item x="308"/>
        <item x="116"/>
        <item x="118"/>
        <item x="248"/>
        <item x="150"/>
        <item x="331"/>
        <item x="319"/>
        <item x="285"/>
        <item x="73"/>
        <item x="200"/>
        <item x="135"/>
        <item x="167"/>
        <item x="322"/>
        <item x="93"/>
        <item x="71"/>
        <item x="329"/>
        <item x="291"/>
        <item x="281"/>
        <item x="80"/>
        <item x="203"/>
        <item x="34"/>
        <item x="215"/>
        <item x="216"/>
        <item x="102"/>
        <item x="154"/>
        <item x="237"/>
        <item x="186"/>
        <item x="293"/>
        <item x="294"/>
        <item x="270"/>
        <item x="70"/>
        <item x="87"/>
        <item x="290"/>
        <item x="157"/>
        <item x="266"/>
        <item x="238"/>
        <item x="336"/>
        <item x="174"/>
        <item x="180"/>
        <item x="258"/>
        <item x="164"/>
        <item x="209"/>
        <item x="304"/>
        <item x="107"/>
        <item x="62"/>
        <item x="245"/>
        <item x="48"/>
        <item x="23"/>
        <item x="326"/>
        <item x="313"/>
        <item x="9"/>
        <item x="1"/>
        <item x="267"/>
        <item x="105"/>
        <item x="234"/>
        <item x="11"/>
        <item x="162"/>
        <item x="255"/>
        <item x="19"/>
        <item x="59"/>
        <item x="57"/>
        <item x="64"/>
        <item x="184"/>
        <item x="127"/>
        <item x="315"/>
        <item x="321"/>
        <item x="123"/>
        <item x="259"/>
        <item x="74"/>
        <item x="39"/>
        <item x="187"/>
        <item x="284"/>
        <item x="86"/>
        <item x="333"/>
        <item x="250"/>
        <item x="152"/>
        <item x="356"/>
        <item x="343"/>
        <item x="161"/>
        <item x="332"/>
        <item x="10"/>
        <item x="261"/>
        <item x="110"/>
        <item x="147"/>
        <item x="210"/>
        <item x="249"/>
        <item x="43"/>
        <item x="289"/>
        <item x="283"/>
        <item x="26"/>
        <item x="235"/>
        <item x="181"/>
        <item x="132"/>
        <item x="328"/>
        <item x="96"/>
        <item x="263"/>
        <item x="199"/>
        <item x="111"/>
        <item x="188"/>
        <item x="160"/>
        <item x="357"/>
        <item x="85"/>
        <item x="355"/>
        <item x="63"/>
        <item x="354"/>
        <item x="101"/>
        <item x="2"/>
        <item x="54"/>
        <item x="345"/>
        <item x="122"/>
        <item x="106"/>
        <item x="296"/>
        <item x="170"/>
        <item x="185"/>
        <item x="145"/>
        <item x="339"/>
        <item x="256"/>
        <item x="183"/>
        <item x="316"/>
        <item x="323"/>
        <item x="129"/>
        <item x="307"/>
        <item x="196"/>
        <item x="36"/>
        <item x="45"/>
        <item x="194"/>
        <item x="40"/>
        <item x="82"/>
        <item x="163"/>
        <item x="27"/>
        <item x="84"/>
        <item x="53"/>
        <item x="217"/>
        <item x="78"/>
        <item x="97"/>
        <item x="168"/>
        <item x="292"/>
        <item x="265"/>
        <item x="12"/>
        <item x="311"/>
        <item x="350"/>
        <item x="228"/>
        <item x="192"/>
        <item x="16"/>
        <item x="49"/>
        <item x="325"/>
        <item x="338"/>
        <item x="151"/>
        <item x="318"/>
        <item x="347"/>
        <item x="189"/>
        <item x="212"/>
        <item x="247"/>
        <item x="35"/>
        <item x="282"/>
        <item x="94"/>
        <item x="352"/>
        <item x="202"/>
        <item x="341"/>
        <item x="177"/>
        <item x="324"/>
        <item x="72"/>
        <item x="81"/>
        <item x="166"/>
        <item x="359"/>
        <item x="148"/>
        <item x="269"/>
        <item x="213"/>
        <item x="149"/>
        <item x="143"/>
        <item x="222"/>
        <item x="13"/>
        <item x="125"/>
        <item x="276"/>
        <item x="252"/>
        <item x="208"/>
        <item x="314"/>
        <item x="156"/>
        <item x="171"/>
        <item x="124"/>
        <item x="330"/>
        <item x="158"/>
        <item x="98"/>
        <item x="361"/>
        <item x="92"/>
        <item x="288"/>
        <item x="89"/>
        <item x="169"/>
        <item x="55"/>
        <item x="165"/>
        <item x="41"/>
        <item x="88"/>
        <item x="219"/>
        <item x="5"/>
        <item x="66"/>
        <item x="119"/>
        <item x="204"/>
        <item x="104"/>
        <item x="346"/>
        <item x="337"/>
        <item x="320"/>
        <item x="103"/>
        <item x="198"/>
        <item x="229"/>
        <item x="142"/>
        <item x="8"/>
        <item x="358"/>
        <item x="233"/>
        <item x="75"/>
        <item x="159"/>
        <item x="68"/>
        <item x="279"/>
        <item x="179"/>
        <item x="305"/>
        <item x="278"/>
        <item x="76"/>
        <item x="126"/>
        <item x="130"/>
        <item x="273"/>
        <item x="155"/>
        <item x="22"/>
        <item x="214"/>
        <item x="349"/>
        <item x="137"/>
        <item x="342"/>
        <item x="56"/>
        <item x="46"/>
        <item x="117"/>
        <item x="295"/>
        <item x="120"/>
        <item x="69"/>
        <item x="100"/>
        <item x="226"/>
        <item x="21"/>
        <item x="253"/>
        <item x="79"/>
        <item x="121"/>
        <item x="211"/>
        <item x="334"/>
        <item x="193"/>
        <item x="141"/>
        <item x="91"/>
        <item x="50"/>
        <item x="207"/>
        <item x="175"/>
        <item x="65"/>
        <item x="31"/>
        <item x="30"/>
        <item x="297"/>
        <item x="136"/>
        <item x="113"/>
        <item x="218"/>
        <item x="243"/>
        <item x="58"/>
        <item x="128"/>
        <item x="251"/>
        <item x="277"/>
        <item x="268"/>
        <item x="206"/>
        <item x="362"/>
        <item t="default"/>
      </items>
    </pivotField>
    <pivotField showAll="0"/>
    <pivotField showAll="0"/>
    <pivotField dataField="1" showAll="0">
      <items count="2288">
        <item x="8"/>
        <item x="1684"/>
        <item x="1677"/>
        <item x="846"/>
        <item x="190"/>
        <item x="1193"/>
        <item x="1082"/>
        <item x="1622"/>
        <item x="1407"/>
        <item x="1807"/>
        <item x="914"/>
        <item x="1437"/>
        <item x="1638"/>
        <item x="921"/>
        <item x="60"/>
        <item x="1209"/>
        <item x="547"/>
        <item x="2144"/>
        <item x="800"/>
        <item x="13"/>
        <item x="215"/>
        <item x="1282"/>
        <item x="1190"/>
        <item x="964"/>
        <item x="1595"/>
        <item x="652"/>
        <item x="1922"/>
        <item x="2108"/>
        <item x="364"/>
        <item x="1819"/>
        <item x="35"/>
        <item x="1008"/>
        <item x="1124"/>
        <item x="858"/>
        <item x="49"/>
        <item x="279"/>
        <item x="173"/>
        <item x="1328"/>
        <item x="436"/>
        <item x="1893"/>
        <item x="496"/>
        <item x="2184"/>
        <item x="963"/>
        <item x="990"/>
        <item x="2143"/>
        <item x="2067"/>
        <item x="467"/>
        <item x="30"/>
        <item x="2248"/>
        <item x="2091"/>
        <item x="1177"/>
        <item x="1726"/>
        <item x="966"/>
        <item x="2023"/>
        <item x="1659"/>
        <item x="1027"/>
        <item x="1281"/>
        <item x="206"/>
        <item x="102"/>
        <item x="2282"/>
        <item x="1298"/>
        <item x="1725"/>
        <item x="799"/>
        <item x="2064"/>
        <item x="1252"/>
        <item x="72"/>
        <item x="681"/>
        <item x="1253"/>
        <item x="365"/>
        <item x="656"/>
        <item x="1521"/>
        <item x="41"/>
        <item x="1738"/>
        <item x="822"/>
        <item x="447"/>
        <item x="746"/>
        <item x="2215"/>
        <item x="1523"/>
        <item x="735"/>
        <item x="74"/>
        <item x="571"/>
        <item x="2104"/>
        <item x="326"/>
        <item x="970"/>
        <item x="1594"/>
        <item x="2228"/>
        <item x="1575"/>
        <item x="426"/>
        <item x="1508"/>
        <item x="344"/>
        <item x="1787"/>
        <item x="973"/>
        <item x="2218"/>
        <item x="762"/>
        <item x="289"/>
        <item x="1273"/>
        <item x="1445"/>
        <item x="976"/>
        <item x="234"/>
        <item x="1848"/>
        <item x="499"/>
        <item x="1452"/>
        <item x="1652"/>
        <item x="1113"/>
        <item x="127"/>
        <item x="1836"/>
        <item x="1987"/>
        <item x="619"/>
        <item x="1025"/>
        <item x="674"/>
        <item x="1660"/>
        <item x="1240"/>
        <item x="34"/>
        <item x="724"/>
        <item x="1632"/>
        <item x="1236"/>
        <item x="637"/>
        <item x="2146"/>
        <item x="1808"/>
        <item x="454"/>
        <item x="879"/>
        <item x="1834"/>
        <item x="2179"/>
        <item x="1809"/>
        <item x="2086"/>
        <item x="2072"/>
        <item x="1540"/>
        <item x="639"/>
        <item x="1662"/>
        <item x="832"/>
        <item x="2112"/>
        <item x="699"/>
        <item x="659"/>
        <item x="299"/>
        <item x="1902"/>
        <item x="810"/>
        <item x="1383"/>
        <item x="227"/>
        <item x="758"/>
        <item x="2216"/>
        <item x="483"/>
        <item x="87"/>
        <item x="134"/>
        <item x="124"/>
        <item x="537"/>
        <item x="1989"/>
        <item x="1051"/>
        <item x="350"/>
        <item x="319"/>
        <item x="2230"/>
        <item x="2166"/>
        <item x="6"/>
        <item x="1035"/>
        <item x="101"/>
        <item x="1101"/>
        <item x="296"/>
        <item x="1688"/>
        <item x="1975"/>
        <item x="1490"/>
        <item x="208"/>
        <item x="642"/>
        <item x="1741"/>
        <item x="975"/>
        <item x="1815"/>
        <item x="817"/>
        <item x="1711"/>
        <item x="194"/>
        <item x="792"/>
        <item x="1099"/>
        <item x="2247"/>
        <item x="2153"/>
        <item x="2223"/>
        <item x="491"/>
        <item x="2100"/>
        <item x="632"/>
        <item x="2011"/>
        <item x="947"/>
        <item x="830"/>
        <item x="1304"/>
        <item x="475"/>
        <item x="1128"/>
        <item x="2269"/>
        <item x="1493"/>
        <item x="635"/>
        <item x="532"/>
        <item x="1752"/>
        <item x="1089"/>
        <item x="1155"/>
        <item x="1440"/>
        <item x="733"/>
        <item x="141"/>
        <item x="692"/>
        <item x="1647"/>
        <item x="46"/>
        <item x="1500"/>
        <item x="655"/>
        <item x="473"/>
        <item x="1533"/>
        <item x="729"/>
        <item x="1653"/>
        <item x="2176"/>
        <item x="1511"/>
        <item x="1211"/>
        <item x="1246"/>
        <item x="418"/>
        <item x="614"/>
        <item x="2265"/>
        <item x="37"/>
        <item x="1260"/>
        <item x="2056"/>
        <item x="662"/>
        <item x="1873"/>
        <item x="944"/>
        <item x="207"/>
        <item x="1542"/>
        <item x="1863"/>
        <item x="749"/>
        <item x="407"/>
        <item x="498"/>
        <item x="328"/>
        <item x="1005"/>
        <item x="308"/>
        <item x="1582"/>
        <item x="1140"/>
        <item x="763"/>
        <item x="216"/>
        <item x="1022"/>
        <item x="2219"/>
        <item x="1817"/>
        <item x="2274"/>
        <item x="1737"/>
        <item x="285"/>
        <item x="654"/>
        <item x="1658"/>
        <item x="1167"/>
        <item x="1254"/>
        <item x="1461"/>
        <item x="53"/>
        <item x="1548"/>
        <item x="1212"/>
        <item x="2204"/>
        <item x="1891"/>
        <item x="930"/>
        <item x="1589"/>
        <item x="91"/>
        <item x="177"/>
        <item x="691"/>
        <item x="267"/>
        <item x="525"/>
        <item x="21"/>
        <item x="144"/>
        <item x="2098"/>
        <item x="2231"/>
        <item x="1069"/>
        <item x="164"/>
        <item x="546"/>
        <item x="1994"/>
        <item x="169"/>
        <item x="1826"/>
        <item x="1906"/>
        <item x="1904"/>
        <item x="1482"/>
        <item x="1244"/>
        <item x="99"/>
        <item x="895"/>
        <item x="1527"/>
        <item x="1034"/>
        <item x="255"/>
        <item x="1664"/>
        <item x="852"/>
        <item x="1072"/>
        <item x="2065"/>
        <item x="1475"/>
        <item x="95"/>
        <item x="338"/>
        <item x="876"/>
        <item x="618"/>
        <item x="1685"/>
        <item x="1762"/>
        <item x="2073"/>
        <item x="1178"/>
        <item x="1434"/>
        <item x="1538"/>
        <item x="329"/>
        <item x="514"/>
        <item x="1899"/>
        <item x="584"/>
        <item x="1033"/>
        <item x="301"/>
        <item x="312"/>
        <item x="1903"/>
        <item x="1518"/>
        <item x="965"/>
        <item x="1340"/>
        <item x="140"/>
        <item x="1289"/>
        <item x="251"/>
        <item x="1764"/>
        <item x="893"/>
        <item x="1251"/>
        <item x="1471"/>
        <item x="1661"/>
        <item x="1676"/>
        <item x="495"/>
        <item x="98"/>
        <item x="1556"/>
        <item x="926"/>
        <item x="302"/>
        <item x="348"/>
        <item x="1625"/>
        <item x="397"/>
        <item x="774"/>
        <item x="481"/>
        <item x="1137"/>
        <item x="643"/>
        <item x="1934"/>
        <item x="1709"/>
        <item x="1428"/>
        <item x="2211"/>
        <item x="586"/>
        <item x="1228"/>
        <item x="2042"/>
        <item x="1604"/>
        <item x="1749"/>
        <item x="2037"/>
        <item x="19"/>
        <item x="336"/>
        <item x="1506"/>
        <item x="1887"/>
        <item x="1706"/>
        <item x="1085"/>
        <item x="1539"/>
        <item x="2089"/>
        <item x="854"/>
        <item x="248"/>
        <item x="408"/>
        <item x="1389"/>
        <item x="474"/>
        <item x="2007"/>
        <item x="849"/>
        <item x="872"/>
        <item x="131"/>
        <item x="243"/>
        <item x="1646"/>
        <item x="903"/>
        <item x="937"/>
        <item x="154"/>
        <item x="1172"/>
        <item x="1084"/>
        <item x="253"/>
        <item x="318"/>
        <item x="372"/>
        <item x="678"/>
        <item x="714"/>
        <item x="1390"/>
        <item x="294"/>
        <item x="1187"/>
        <item x="2155"/>
        <item x="1798"/>
        <item x="2221"/>
        <item x="2256"/>
        <item x="634"/>
        <item x="107"/>
        <item x="684"/>
        <item x="63"/>
        <item x="1698"/>
        <item x="828"/>
        <item x="568"/>
        <item x="786"/>
        <item x="241"/>
        <item x="195"/>
        <item x="501"/>
        <item x="1217"/>
        <item x="323"/>
        <item x="1843"/>
        <item x="1327"/>
        <item x="1234"/>
        <item x="704"/>
        <item x="280"/>
        <item x="50"/>
        <item x="917"/>
        <item x="1498"/>
        <item x="1619"/>
        <item x="146"/>
        <item x="449"/>
        <item x="613"/>
        <item x="521"/>
        <item x="1830"/>
        <item x="171"/>
        <item x="1404"/>
        <item x="1680"/>
        <item x="1999"/>
        <item x="772"/>
        <item x="732"/>
        <item x="1466"/>
        <item x="1247"/>
        <item x="908"/>
        <item x="1305"/>
        <item x="651"/>
        <item x="276"/>
        <item x="1665"/>
        <item x="1864"/>
        <item x="625"/>
        <item x="1769"/>
        <item x="320"/>
        <item x="1143"/>
        <item x="622"/>
        <item x="623"/>
        <item x="2277"/>
        <item x="116"/>
        <item x="1121"/>
        <item x="1977"/>
        <item x="562"/>
        <item x="891"/>
        <item x="1059"/>
        <item x="2000"/>
        <item x="938"/>
        <item x="288"/>
        <item x="523"/>
        <item x="1748"/>
        <item x="1233"/>
        <item x="617"/>
        <item x="23"/>
        <item x="2105"/>
        <item x="1120"/>
        <item x="701"/>
        <item x="342"/>
        <item x="1620"/>
        <item x="1350"/>
        <item x="1231"/>
        <item x="2253"/>
        <item x="2032"/>
        <item x="760"/>
        <item x="794"/>
        <item x="1572"/>
        <item x="672"/>
        <item x="278"/>
        <item x="1675"/>
        <item x="1348"/>
        <item x="856"/>
        <item x="2092"/>
        <item x="878"/>
        <item x="683"/>
        <item x="961"/>
        <item x="1259"/>
        <item x="62"/>
        <item x="2159"/>
        <item x="431"/>
        <item x="1023"/>
        <item x="359"/>
        <item x="587"/>
        <item x="1822"/>
        <item x="608"/>
        <item x="960"/>
        <item x="559"/>
        <item x="1554"/>
        <item x="969"/>
        <item x="539"/>
        <item x="1530"/>
        <item x="873"/>
        <item x="396"/>
        <item x="104"/>
        <item x="42"/>
        <item x="641"/>
        <item x="393"/>
        <item x="2239"/>
        <item x="221"/>
        <item x="1599"/>
        <item x="1577"/>
        <item x="497"/>
        <item x="847"/>
        <item x="494"/>
        <item x="605"/>
        <item x="2243"/>
        <item x="536"/>
        <item x="97"/>
        <item x="971"/>
        <item x="1966"/>
        <item x="170"/>
        <item x="954"/>
        <item x="433"/>
        <item x="1165"/>
        <item x="524"/>
        <item x="1150"/>
        <item x="1042"/>
        <item x="1249"/>
        <item x="1673"/>
        <item x="360"/>
        <item x="737"/>
        <item x="1916"/>
        <item x="1579"/>
        <item x="638"/>
        <item x="1746"/>
        <item x="1563"/>
        <item x="1153"/>
        <item x="139"/>
        <item x="576"/>
        <item x="1081"/>
        <item x="2142"/>
        <item x="275"/>
        <item x="1378"/>
        <item x="765"/>
        <item x="543"/>
        <item x="1303"/>
        <item x="1608"/>
        <item x="924"/>
        <item x="306"/>
        <item x="471"/>
        <item x="564"/>
        <item x="2232"/>
        <item x="1230"/>
        <item x="1517"/>
        <item x="2280"/>
        <item x="313"/>
        <item x="695"/>
        <item x="687"/>
        <item x="1132"/>
        <item x="1840"/>
        <item x="1739"/>
        <item x="1794"/>
        <item x="1983"/>
        <item x="1718"/>
        <item x="1855"/>
        <item x="57"/>
        <item x="1777"/>
        <item x="530"/>
        <item x="1299"/>
        <item x="2200"/>
        <item x="1978"/>
        <item x="943"/>
        <item x="321"/>
        <item x="1473"/>
        <item x="1803"/>
        <item x="1173"/>
        <item x="55"/>
        <item x="14"/>
        <item x="176"/>
        <item x="1476"/>
        <item x="1845"/>
        <item x="1038"/>
        <item x="1409"/>
        <item x="201"/>
        <item x="1388"/>
        <item x="520"/>
        <item x="151"/>
        <item x="1918"/>
        <item x="2190"/>
        <item x="2238"/>
        <item x="660"/>
        <item x="884"/>
        <item x="1265"/>
        <item x="1362"/>
        <item x="612"/>
        <item x="596"/>
        <item x="2123"/>
        <item x="1226"/>
        <item x="1092"/>
        <item x="949"/>
        <item x="1263"/>
        <item x="1955"/>
        <item x="2207"/>
        <item x="582"/>
        <item x="1612"/>
        <item x="1736"/>
        <item x="270"/>
        <item x="2114"/>
        <item x="1587"/>
        <item x="1472"/>
        <item x="1550"/>
        <item x="2272"/>
        <item x="310"/>
        <item x="980"/>
        <item x="1499"/>
        <item x="1828"/>
        <item x="382"/>
        <item x="2081"/>
        <item x="959"/>
        <item x="1046"/>
        <item x="389"/>
        <item x="1513"/>
        <item x="411"/>
        <item x="1250"/>
        <item x="214"/>
        <item x="1938"/>
        <item x="2276"/>
        <item x="1191"/>
        <item x="833"/>
        <item x="717"/>
        <item x="1551"/>
        <item x="907"/>
        <item x="1380"/>
        <item x="797"/>
        <item x="1151"/>
        <item x="159"/>
        <item x="1410"/>
        <item x="250"/>
        <item x="1125"/>
        <item x="686"/>
        <item x="1666"/>
        <item x="1743"/>
        <item x="115"/>
        <item x="919"/>
        <item x="1469"/>
        <item x="1357"/>
        <item x="2069"/>
        <item x="1516"/>
        <item x="2198"/>
        <item x="174"/>
        <item x="1628"/>
        <item x="1200"/>
        <item x="1838"/>
        <item x="793"/>
        <item x="1734"/>
        <item x="1823"/>
        <item x="1396"/>
        <item x="2061"/>
        <item x="1617"/>
        <item x="1375"/>
        <item x="1349"/>
        <item x="992"/>
        <item x="223"/>
        <item x="1860"/>
        <item x="627"/>
        <item x="76"/>
        <item x="1296"/>
        <item x="317"/>
        <item x="1496"/>
        <item x="1442"/>
        <item x="2082"/>
        <item x="2138"/>
        <item x="2237"/>
        <item x="1479"/>
        <item x="1681"/>
        <item x="228"/>
        <item x="1039"/>
        <item x="2027"/>
        <item x="158"/>
        <item x="661"/>
        <item x="1255"/>
        <item x="600"/>
        <item x="566"/>
        <item x="880"/>
        <item x="1953"/>
        <item x="987"/>
        <item x="597"/>
        <item x="925"/>
        <item x="266"/>
        <item x="1693"/>
        <item x="1760"/>
        <item x="814"/>
        <item x="700"/>
        <item x="685"/>
        <item x="432"/>
        <item x="595"/>
        <item x="1780"/>
        <item x="1237"/>
        <item x="842"/>
        <item x="991"/>
        <item x="1430"/>
        <item x="1811"/>
        <item x="1541"/>
        <item x="1929"/>
        <item x="1791"/>
        <item x="1201"/>
        <item x="592"/>
        <item x="363"/>
        <item x="1776"/>
        <item x="442"/>
        <item x="1598"/>
        <item x="598"/>
        <item x="1668"/>
        <item x="2141"/>
        <item x="468"/>
        <item x="1829"/>
        <item x="165"/>
        <item x="1207"/>
        <item x="1559"/>
        <item x="61"/>
        <item x="2058"/>
        <item x="1690"/>
        <item x="1494"/>
        <item x="486"/>
        <item x="1139"/>
        <item x="609"/>
        <item x="565"/>
        <item x="668"/>
        <item x="742"/>
        <item x="163"/>
        <item x="343"/>
        <item x="2164"/>
        <item x="196"/>
        <item x="2264"/>
        <item x="82"/>
        <item x="2075"/>
        <item x="1045"/>
        <item x="333"/>
        <item x="1439"/>
        <item x="784"/>
        <item x="337"/>
        <item x="1429"/>
        <item x="451"/>
        <item x="1561"/>
        <item x="1901"/>
        <item x="798"/>
        <item x="1122"/>
        <item x="988"/>
        <item x="1728"/>
        <item x="1224"/>
        <item x="850"/>
        <item x="1611"/>
        <item x="2096"/>
        <item x="182"/>
        <item x="1785"/>
        <item x="1939"/>
        <item x="375"/>
        <item x="1962"/>
        <item x="1208"/>
        <item x="1368"/>
        <item x="580"/>
        <item x="200"/>
        <item x="1524"/>
        <item x="865"/>
        <item x="936"/>
        <item x="1058"/>
        <item x="1716"/>
        <item x="1455"/>
        <item x="1755"/>
        <item x="358"/>
        <item x="1614"/>
        <item x="1932"/>
        <item x="1205"/>
        <item x="2054"/>
        <item x="1258"/>
        <item x="1206"/>
        <item x="621"/>
        <item x="689"/>
        <item x="823"/>
        <item x="1210"/>
        <item x="1068"/>
        <item x="1322"/>
        <item x="2049"/>
        <item x="260"/>
        <item x="1896"/>
        <item x="2222"/>
        <item x="1446"/>
        <item x="581"/>
        <item x="237"/>
        <item x="1610"/>
        <item x="1195"/>
        <item x="489"/>
        <item x="2212"/>
        <item x="946"/>
        <item x="1405"/>
        <item x="910"/>
        <item x="199"/>
        <item x="2181"/>
        <item x="108"/>
        <item x="423"/>
        <item x="1697"/>
        <item x="470"/>
        <item x="2083"/>
        <item x="2251"/>
        <item x="263"/>
        <item x="413"/>
        <item x="1417"/>
        <item x="1272"/>
        <item x="1731"/>
        <item x="2137"/>
        <item x="1917"/>
        <item x="572"/>
        <item x="666"/>
        <item x="83"/>
        <item x="122"/>
        <item x="1032"/>
        <item x="1179"/>
        <item x="2225"/>
        <item x="818"/>
        <item x="1735"/>
        <item x="1914"/>
        <item x="1827"/>
        <item x="1981"/>
        <item x="820"/>
        <item x="422"/>
        <item x="881"/>
        <item x="1431"/>
        <item x="1921"/>
        <item x="2151"/>
        <item x="1017"/>
        <item x="997"/>
        <item x="1317"/>
        <item x="953"/>
        <item x="1418"/>
        <item x="1547"/>
        <item x="439"/>
        <item x="290"/>
        <item x="611"/>
        <item x="2189"/>
        <item x="1334"/>
        <item x="340"/>
        <item x="1882"/>
        <item x="316"/>
        <item x="1874"/>
        <item x="1462"/>
        <item x="1010"/>
        <item x="673"/>
        <item x="1667"/>
        <item x="558"/>
        <item x="1997"/>
        <item x="378"/>
        <item x="1567"/>
        <item x="1520"/>
        <item x="15"/>
        <item x="379"/>
        <item x="274"/>
        <item x="2039"/>
        <item x="1489"/>
        <item x="1851"/>
        <item x="812"/>
        <item x="1123"/>
        <item x="1835"/>
        <item x="2257"/>
        <item x="1456"/>
        <item x="51"/>
        <item x="1324"/>
        <item x="705"/>
        <item x="540"/>
        <item x="2273"/>
        <item x="120"/>
        <item x="2036"/>
        <item x="1031"/>
        <item x="264"/>
        <item x="1998"/>
        <item x="3"/>
        <item x="1781"/>
        <item x="615"/>
        <item x="1427"/>
        <item x="1789"/>
        <item x="175"/>
        <item x="1584"/>
        <item x="712"/>
        <item x="567"/>
        <item x="1730"/>
        <item x="1669"/>
        <item x="2227"/>
        <item x="1924"/>
        <item x="2106"/>
        <item x="388"/>
        <item x="1090"/>
        <item x="591"/>
        <item x="205"/>
        <item x="923"/>
        <item x="64"/>
        <item x="1814"/>
        <item x="835"/>
        <item x="1030"/>
        <item x="1529"/>
        <item x="1866"/>
        <item x="533"/>
        <item x="1411"/>
        <item x="2097"/>
        <item x="1980"/>
        <item x="1724"/>
        <item x="645"/>
        <item x="100"/>
        <item x="905"/>
        <item x="307"/>
        <item x="2018"/>
        <item x="753"/>
        <item x="1869"/>
        <item x="1745"/>
        <item x="2122"/>
        <item x="1897"/>
        <item x="650"/>
        <item x="1061"/>
        <item x="709"/>
        <item x="993"/>
        <item x="883"/>
        <item x="731"/>
        <item x="1642"/>
        <item x="1870"/>
        <item x="2107"/>
        <item x="1974"/>
        <item x="1450"/>
        <item x="1947"/>
        <item x="1459"/>
        <item x="1502"/>
        <item x="931"/>
        <item x="1915"/>
        <item x="739"/>
        <item x="56"/>
        <item x="809"/>
        <item x="2062"/>
        <item x="725"/>
        <item x="148"/>
        <item x="2102"/>
        <item x="1029"/>
        <item x="238"/>
        <item x="1448"/>
        <item x="2139"/>
        <item x="282"/>
        <item x="1436"/>
        <item x="1862"/>
        <item x="2135"/>
        <item x="1583"/>
        <item x="1574"/>
        <item x="109"/>
        <item x="485"/>
        <item x="2174"/>
        <item x="840"/>
        <item x="2206"/>
        <item x="1618"/>
        <item x="933"/>
        <item x="242"/>
        <item x="1056"/>
        <item x="1689"/>
        <item x="548"/>
        <item x="129"/>
        <item x="191"/>
        <item x="1464"/>
        <item x="2175"/>
        <item x="785"/>
        <item x="1094"/>
        <item x="1074"/>
        <item x="1623"/>
        <item x="848"/>
        <item x="2005"/>
        <item x="920"/>
        <item x="610"/>
        <item x="2118"/>
        <item x="1797"/>
        <item x="166"/>
        <item x="1867"/>
        <item x="768"/>
        <item x="932"/>
        <item x="357"/>
        <item x="24"/>
        <item x="1119"/>
        <item x="534"/>
        <item x="1423"/>
        <item x="1717"/>
        <item x="757"/>
        <item x="773"/>
        <item x="1484"/>
        <item x="123"/>
        <item x="287"/>
        <item x="479"/>
        <item x="487"/>
        <item x="575"/>
        <item x="911"/>
        <item x="2057"/>
        <item x="445"/>
        <item x="1596"/>
        <item x="1377"/>
        <item x="380"/>
        <item x="2133"/>
        <item x="1364"/>
        <item x="464"/>
        <item x="1586"/>
        <item x="1510"/>
        <item x="839"/>
        <item x="1782"/>
        <item x="105"/>
        <item x="2016"/>
        <item x="1886"/>
        <item x="469"/>
        <item x="1370"/>
        <item x="913"/>
        <item x="1679"/>
        <item x="1131"/>
        <item x="440"/>
        <item x="795"/>
        <item x="427"/>
        <item x="71"/>
        <item x="1692"/>
        <item x="1274"/>
        <item x="1740"/>
        <item x="730"/>
        <item x="1480"/>
        <item x="1644"/>
        <item x="1149"/>
        <item x="1392"/>
        <item x="1948"/>
        <item x="417"/>
        <item x="951"/>
        <item x="1"/>
        <item x="1849"/>
        <item x="1898"/>
        <item x="377"/>
        <item x="1982"/>
        <item x="1846"/>
        <item x="1865"/>
        <item x="977"/>
        <item x="1026"/>
        <item x="421"/>
        <item x="463"/>
        <item x="7"/>
        <item x="579"/>
        <item x="2266"/>
        <item x="667"/>
        <item x="834"/>
        <item x="236"/>
        <item x="1704"/>
        <item x="2208"/>
        <item x="1979"/>
        <item x="103"/>
        <item x="1316"/>
        <item x="1571"/>
        <item x="2020"/>
        <item x="517"/>
        <item x="816"/>
        <item x="776"/>
        <item x="2194"/>
        <item x="1412"/>
        <item x="414"/>
        <item x="1952"/>
        <item x="1318"/>
        <item x="394"/>
        <item x="1297"/>
        <item x="1525"/>
        <item x="438"/>
        <item x="1487"/>
        <item x="2171"/>
        <item x="779"/>
        <item x="1546"/>
        <item x="1850"/>
        <item x="1363"/>
        <item x="2214"/>
        <item x="1713"/>
        <item x="373"/>
        <item x="1421"/>
        <item x="811"/>
        <item x="1343"/>
        <item x="391"/>
        <item x="1771"/>
        <item x="599"/>
        <item x="1565"/>
        <item x="2060"/>
        <item x="81"/>
        <item x="1320"/>
        <item x="1312"/>
        <item x="1408"/>
        <item x="1198"/>
        <item x="1360"/>
        <item x="1985"/>
        <item x="500"/>
        <item x="245"/>
        <item x="331"/>
        <item x="585"/>
        <item x="2021"/>
        <item x="1936"/>
        <item x="226"/>
        <item x="807"/>
        <item x="1283"/>
        <item x="929"/>
        <item x="2258"/>
        <item x="1426"/>
        <item x="1007"/>
        <item x="1837"/>
        <item x="284"/>
        <item x="1600"/>
        <item x="1065"/>
        <item x="789"/>
        <item x="2126"/>
        <item x="2281"/>
        <item x="1558"/>
        <item x="675"/>
        <item x="665"/>
        <item x="821"/>
        <item x="257"/>
        <item x="224"/>
        <item x="889"/>
        <item x="981"/>
        <item x="780"/>
        <item x="741"/>
        <item x="1557"/>
        <item x="1859"/>
        <item x="1940"/>
        <item x="2161"/>
        <item x="915"/>
        <item x="2084"/>
        <item x="339"/>
        <item x="1671"/>
        <item x="2199"/>
        <item x="890"/>
        <item x="1964"/>
        <item x="1723"/>
        <item x="2048"/>
        <item x="300"/>
        <item x="1077"/>
        <item x="1715"/>
        <item x="1995"/>
        <item x="1894"/>
        <item x="1326"/>
        <item x="1871"/>
        <item x="1078"/>
        <item x="1522"/>
        <item x="1147"/>
        <item x="1626"/>
        <item x="78"/>
        <item x="2202"/>
        <item x="1338"/>
        <item x="671"/>
        <item x="2157"/>
        <item x="941"/>
        <item x="1037"/>
        <item x="1148"/>
        <item x="292"/>
        <item x="1973"/>
        <item x="1767"/>
        <item x="1813"/>
        <item x="2213"/>
        <item x="904"/>
        <item x="2279"/>
        <item x="1425"/>
        <item x="2160"/>
        <item x="808"/>
        <item x="1432"/>
        <item x="66"/>
        <item x="1772"/>
        <item x="1549"/>
        <item x="1398"/>
        <item x="1991"/>
        <item x="2217"/>
        <item x="2267"/>
        <item x="744"/>
        <item x="2013"/>
        <item x="1967"/>
        <item x="1492"/>
        <item x="1454"/>
        <item x="708"/>
        <item x="1933"/>
        <item x="1802"/>
        <item x="511"/>
        <item x="1925"/>
        <item x="1710"/>
        <item x="1019"/>
        <item x="1344"/>
        <item x="1694"/>
        <item x="488"/>
        <item x="1733"/>
        <item x="2233"/>
        <item x="513"/>
        <item x="1474"/>
        <item x="1229"/>
        <item x="515"/>
        <item x="2271"/>
        <item x="456"/>
        <item x="1199"/>
        <item x="1241"/>
        <item x="1433"/>
        <item x="2241"/>
        <item x="390"/>
        <item x="484"/>
        <item x="259"/>
        <item x="1091"/>
        <item x="644"/>
        <item x="230"/>
        <item x="2119"/>
        <item x="2245"/>
        <item x="1159"/>
        <item x="2169"/>
        <item x="150"/>
        <item x="2127"/>
        <item x="2182"/>
        <item x="1218"/>
        <item x="1505"/>
        <item x="1024"/>
        <item x="771"/>
        <item x="1387"/>
        <item x="1066"/>
        <item x="345"/>
        <item x="298"/>
        <item x="1196"/>
        <item x="1181"/>
        <item x="490"/>
        <item x="837"/>
        <item x="866"/>
        <item x="1112"/>
        <item x="1055"/>
        <item x="550"/>
        <item x="184"/>
        <item x="680"/>
        <item x="1096"/>
        <item x="751"/>
        <item x="715"/>
        <item x="1079"/>
        <item x="1640"/>
        <item x="1732"/>
        <item x="1645"/>
        <item x="2026"/>
        <item x="48"/>
        <item x="2149"/>
        <item x="2111"/>
        <item x="1842"/>
        <item x="2255"/>
        <item x="1458"/>
        <item x="1419"/>
        <item x="58"/>
        <item x="1968"/>
        <item x="1451"/>
        <item x="1443"/>
        <item x="1098"/>
        <item x="1621"/>
        <item x="1264"/>
        <item x="561"/>
        <item x="128"/>
        <item x="1691"/>
        <item x="2224"/>
        <item x="366"/>
        <item x="2203"/>
        <item x="0"/>
        <item x="137"/>
        <item x="522"/>
        <item x="193"/>
        <item x="482"/>
        <item x="1942"/>
        <item x="2242"/>
        <item x="604"/>
        <item x="1104"/>
        <item x="327"/>
        <item x="403"/>
        <item x="1313"/>
        <item x="710"/>
        <item x="2170"/>
        <item x="1750"/>
        <item x="1908"/>
        <item x="1868"/>
        <item x="2148"/>
        <item x="1197"/>
        <item x="437"/>
        <item x="653"/>
        <item x="1141"/>
        <item x="844"/>
        <item x="1630"/>
        <item x="1337"/>
        <item x="1385"/>
        <item x="603"/>
        <item x="1700"/>
        <item x="1175"/>
        <item x="855"/>
        <item x="503"/>
        <item x="1103"/>
        <item x="1114"/>
        <item x="869"/>
        <item x="781"/>
        <item x="1648"/>
        <item x="399"/>
        <item x="2191"/>
        <item x="1160"/>
        <item x="420"/>
        <item x="747"/>
        <item x="942"/>
        <item x="707"/>
        <item x="1852"/>
        <item x="1049"/>
        <item x="1105"/>
        <item x="1382"/>
        <item x="213"/>
        <item x="239"/>
        <item x="1534"/>
        <item x="1048"/>
        <item x="743"/>
        <item x="2044"/>
        <item x="2099"/>
        <item x="1578"/>
        <item x="711"/>
        <item x="233"/>
        <item x="1040"/>
        <item x="1833"/>
        <item x="1597"/>
        <item x="1663"/>
        <item x="1391"/>
        <item x="349"/>
        <item x="716"/>
        <item x="1912"/>
        <item x="1221"/>
        <item x="886"/>
        <item x="1133"/>
        <item x="1613"/>
        <item x="1138"/>
        <item x="444"/>
        <item x="1110"/>
        <item x="696"/>
        <item x="1227"/>
        <item x="1816"/>
        <item x="594"/>
        <item x="480"/>
        <item x="2014"/>
        <item x="147"/>
        <item x="1892"/>
        <item x="1184"/>
        <item x="791"/>
        <item x="16"/>
        <item x="1352"/>
        <item x="1275"/>
        <item x="1879"/>
        <item x="1012"/>
        <item x="1754"/>
        <item x="2074"/>
        <item x="1266"/>
        <item x="628"/>
        <item x="2145"/>
        <item x="45"/>
        <item x="1076"/>
        <item x="1509"/>
        <item x="934"/>
        <item x="1306"/>
        <item x="1463"/>
        <item x="1309"/>
        <item x="544"/>
        <item x="2134"/>
        <item x="703"/>
        <item x="1354"/>
        <item x="601"/>
        <item x="88"/>
        <item x="1302"/>
        <item x="2187"/>
        <item x="460"/>
        <item x="1011"/>
        <item x="825"/>
        <item x="1135"/>
        <item x="2095"/>
        <item x="2041"/>
        <item x="406"/>
        <item x="1528"/>
        <item x="325"/>
        <item x="1050"/>
        <item x="1636"/>
        <item x="2254"/>
        <item x="355"/>
        <item x="1107"/>
        <item x="1064"/>
        <item x="1367"/>
        <item x="398"/>
        <item x="2109"/>
        <item x="962"/>
        <item x="1269"/>
        <item x="2019"/>
        <item x="412"/>
        <item x="1553"/>
        <item x="1335"/>
        <item x="994"/>
        <item x="381"/>
        <item x="29"/>
        <item x="361"/>
        <item x="1885"/>
        <item x="1765"/>
        <item x="2196"/>
        <item x="446"/>
        <item x="229"/>
        <item x="1888"/>
        <item x="2012"/>
        <item x="85"/>
        <item x="2085"/>
        <item x="718"/>
        <item x="1047"/>
        <item x="901"/>
        <item x="1280"/>
        <item x="509"/>
        <item x="1920"/>
        <item x="2025"/>
        <item x="728"/>
        <item x="519"/>
        <item x="1721"/>
        <item x="69"/>
        <item x="783"/>
        <item x="1321"/>
        <item x="1993"/>
        <item x="1070"/>
        <item x="303"/>
        <item x="740"/>
        <item x="2162"/>
        <item x="1792"/>
        <item x="1115"/>
        <item x="1790"/>
        <item x="1847"/>
        <item x="2240"/>
        <item x="9"/>
        <item x="972"/>
        <item x="996"/>
        <item x="1775"/>
        <item x="927"/>
        <item x="1884"/>
        <item x="1495"/>
        <item x="493"/>
        <item x="1202"/>
        <item x="356"/>
        <item x="754"/>
        <item x="1949"/>
        <item x="2275"/>
        <item x="106"/>
        <item x="1394"/>
        <item x="2173"/>
        <item x="1606"/>
        <item x="1491"/>
        <item x="777"/>
        <item x="2186"/>
        <item x="187"/>
        <item x="948"/>
        <item x="1276"/>
        <item x="1355"/>
        <item x="354"/>
        <item x="1323"/>
        <item x="629"/>
        <item x="1333"/>
        <item x="94"/>
        <item x="80"/>
        <item x="452"/>
        <item x="1146"/>
        <item x="2167"/>
        <item x="790"/>
        <item x="1883"/>
        <item x="209"/>
        <item x="748"/>
        <item x="2034"/>
        <item x="2088"/>
        <item x="428"/>
        <item x="262"/>
        <item x="1629"/>
        <item x="89"/>
        <item x="1400"/>
        <item x="560"/>
        <item x="602"/>
        <item x="813"/>
        <item x="1015"/>
        <item x="2063"/>
        <item x="2183"/>
        <item x="1779"/>
        <item x="283"/>
        <item x="1424"/>
        <item x="1751"/>
        <item x="2115"/>
        <item x="1881"/>
        <item x="1403"/>
        <item x="1722"/>
        <item x="369"/>
        <item x="1100"/>
        <item x="297"/>
        <item x="114"/>
        <item x="1526"/>
        <item x="425"/>
        <item x="374"/>
        <item x="309"/>
        <item x="443"/>
        <item x="986"/>
        <item x="461"/>
        <item x="1590"/>
        <item x="2087"/>
        <item x="1562"/>
        <item x="1758"/>
        <item x="352"/>
        <item x="1818"/>
        <item x="626"/>
        <item x="1300"/>
        <item x="402"/>
        <item x="457"/>
        <item x="1824"/>
        <item x="472"/>
        <item x="1615"/>
        <item x="1341"/>
        <item x="222"/>
        <item x="1194"/>
        <item x="156"/>
        <item x="1001"/>
        <item x="424"/>
        <item x="1468"/>
        <item x="1169"/>
        <item x="330"/>
        <item x="824"/>
        <item x="1900"/>
        <item x="845"/>
        <item x="694"/>
        <item x="906"/>
        <item x="1876"/>
        <item x="395"/>
        <item x="648"/>
        <item x="552"/>
        <item x="1708"/>
        <item x="198"/>
        <item x="636"/>
        <item x="1109"/>
        <item x="117"/>
        <item x="2235"/>
        <item x="719"/>
        <item x="1497"/>
        <item x="132"/>
        <item x="2076"/>
        <item x="2047"/>
        <item x="853"/>
        <item x="640"/>
        <item x="887"/>
        <item x="950"/>
        <item x="1279"/>
        <item x="347"/>
        <item x="989"/>
        <item x="204"/>
        <item x="1293"/>
        <item x="1144"/>
        <item x="33"/>
        <item x="1804"/>
        <item x="1422"/>
        <item x="770"/>
        <item x="152"/>
        <item x="415"/>
        <item x="1186"/>
        <item x="409"/>
        <item x="258"/>
        <item x="1470"/>
        <item x="400"/>
        <item x="553"/>
        <item x="952"/>
        <item x="607"/>
        <item x="1969"/>
        <item x="875"/>
        <item x="11"/>
        <item x="1361"/>
        <item x="1453"/>
        <item x="1501"/>
        <item x="1566"/>
        <item x="978"/>
        <item x="203"/>
        <item x="178"/>
        <item x="2124"/>
        <item x="79"/>
        <item x="43"/>
        <item x="1537"/>
        <item x="450"/>
        <item x="736"/>
        <item x="829"/>
        <item x="1366"/>
        <item x="506"/>
        <item x="261"/>
        <item x="670"/>
        <item x="1415"/>
        <item x="1441"/>
        <item x="5"/>
        <item x="2010"/>
        <item x="1801"/>
        <item x="2043"/>
        <item x="1672"/>
        <item x="1531"/>
        <item x="311"/>
        <item x="968"/>
        <item x="1971"/>
        <item x="775"/>
        <item x="25"/>
        <item x="1097"/>
        <item x="1219"/>
        <item x="1984"/>
        <item x="1162"/>
        <item x="1800"/>
        <item x="1053"/>
        <item x="1707"/>
        <item x="721"/>
        <item x="293"/>
        <item x="1592"/>
        <item x="125"/>
        <item x="1284"/>
        <item x="27"/>
        <item x="38"/>
        <item x="2029"/>
        <item x="1325"/>
        <item x="1729"/>
        <item x="698"/>
        <item x="1674"/>
        <item x="160"/>
        <item x="2009"/>
        <item x="1720"/>
        <item x="2017"/>
        <item x="1705"/>
        <item x="1714"/>
        <item x="189"/>
        <item x="2178"/>
        <item x="1945"/>
        <item x="1213"/>
        <item x="796"/>
        <item x="353"/>
        <item x="2129"/>
        <item x="1941"/>
        <item x="1057"/>
        <item x="455"/>
        <item x="1872"/>
        <item x="265"/>
        <item x="157"/>
        <item x="827"/>
        <item x="1000"/>
        <item x="2193"/>
        <item x="1062"/>
        <item x="1793"/>
        <item x="52"/>
        <item x="1695"/>
        <item x="1560"/>
        <item x="1129"/>
        <item x="859"/>
        <item x="1257"/>
        <item x="1465"/>
        <item x="1986"/>
        <item x="1073"/>
        <item x="1220"/>
        <item x="2006"/>
        <item x="2150"/>
        <item x="1449"/>
        <item x="1796"/>
        <item x="1996"/>
        <item x="1935"/>
        <item x="826"/>
        <item x="1853"/>
        <item x="631"/>
        <item x="551"/>
        <item x="726"/>
        <item x="1088"/>
        <item x="1043"/>
        <item x="998"/>
        <item x="441"/>
        <item x="1268"/>
        <item x="2188"/>
        <item x="2002"/>
        <item x="1503"/>
        <item x="505"/>
        <item x="909"/>
        <item x="416"/>
        <item x="1020"/>
        <item x="2220"/>
        <item x="1171"/>
        <item x="1232"/>
        <item x="2210"/>
        <item x="1158"/>
        <item x="1880"/>
        <item x="766"/>
        <item x="874"/>
        <item x="202"/>
        <item x="231"/>
        <item x="2236"/>
        <item x="68"/>
        <item x="722"/>
        <item x="868"/>
        <item x="1678"/>
        <item x="939"/>
        <item x="1504"/>
        <item x="2008"/>
        <item x="168"/>
        <item x="70"/>
        <item x="1245"/>
        <item x="429"/>
        <item x="1806"/>
        <item x="1701"/>
        <item x="192"/>
        <item x="2185"/>
        <item x="782"/>
        <item x="459"/>
        <item x="1573"/>
        <item x="1009"/>
        <item x="44"/>
        <item x="1142"/>
        <item x="47"/>
        <item x="801"/>
        <item x="1336"/>
        <item x="1192"/>
        <item x="1763"/>
        <item x="291"/>
        <item x="1588"/>
        <item x="334"/>
        <item x="2246"/>
        <item x="2046"/>
        <item x="958"/>
        <item x="1223"/>
        <item x="1095"/>
        <item x="1256"/>
        <item x="1841"/>
        <item x="508"/>
        <item x="885"/>
        <item x="1687"/>
        <item x="246"/>
        <item x="332"/>
        <item x="1014"/>
        <item x="1414"/>
        <item x="232"/>
        <item x="1943"/>
        <item x="633"/>
        <item x="877"/>
        <item x="1875"/>
        <item x="20"/>
        <item x="1286"/>
        <item x="1127"/>
        <item x="1136"/>
        <item x="1381"/>
        <item x="1910"/>
        <item x="899"/>
        <item x="126"/>
        <item x="212"/>
        <item x="1028"/>
        <item x="1416"/>
        <item x="1655"/>
        <item x="1580"/>
        <item x="815"/>
        <item x="2040"/>
        <item x="1603"/>
        <item x="1552"/>
        <item x="1301"/>
        <item x="269"/>
        <item x="2177"/>
        <item x="1946"/>
        <item x="4"/>
        <item x="1075"/>
        <item x="574"/>
        <item x="1342"/>
        <item x="2090"/>
        <item x="249"/>
        <item x="1532"/>
        <item x="974"/>
        <item x="1825"/>
        <item x="2261"/>
        <item x="476"/>
        <item x="172"/>
        <item x="210"/>
        <item x="1145"/>
        <item x="93"/>
        <item x="606"/>
        <item x="1021"/>
        <item x="1102"/>
        <item x="2128"/>
        <item x="1156"/>
        <item x="1627"/>
        <item x="541"/>
        <item x="1747"/>
        <item x="322"/>
        <item x="1315"/>
        <item x="185"/>
        <item x="458"/>
        <item x="286"/>
        <item x="492"/>
        <item x="1656"/>
        <item x="1071"/>
        <item x="1319"/>
        <item x="518"/>
        <item x="149"/>
        <item x="186"/>
        <item x="1650"/>
        <item x="955"/>
        <item x="112"/>
        <item x="1006"/>
        <item x="1308"/>
        <item x="1111"/>
        <item x="135"/>
        <item x="984"/>
        <item x="1959"/>
        <item x="136"/>
        <item x="957"/>
        <item x="1351"/>
        <item x="197"/>
        <item x="1307"/>
        <item x="1447"/>
        <item x="1569"/>
        <item x="2004"/>
        <item x="2136"/>
        <item x="892"/>
        <item x="1477"/>
        <item x="419"/>
        <item x="1919"/>
        <item x="1857"/>
        <item x="864"/>
        <item x="1345"/>
        <item x="1164"/>
        <item x="341"/>
        <item x="180"/>
        <item x="435"/>
        <item x="841"/>
        <item x="1928"/>
        <item x="1657"/>
        <item x="218"/>
        <item x="12"/>
        <item x="979"/>
        <item x="1820"/>
        <item x="1774"/>
        <item x="647"/>
        <item x="1420"/>
        <item x="2152"/>
        <item x="802"/>
        <item x="1544"/>
        <item x="945"/>
        <item x="1821"/>
        <item x="1761"/>
        <item x="448"/>
        <item x="577"/>
        <item x="1277"/>
        <item x="1018"/>
        <item x="502"/>
        <item x="720"/>
        <item x="1926"/>
        <item x="1788"/>
        <item x="1643"/>
        <item x="995"/>
        <item x="478"/>
        <item x="1719"/>
        <item x="385"/>
        <item x="138"/>
        <item x="1976"/>
        <item x="1347"/>
        <item x="1332"/>
        <item x="54"/>
        <item x="1727"/>
        <item x="1609"/>
        <item x="723"/>
        <item x="2278"/>
        <item x="555"/>
        <item x="1576"/>
        <item x="1778"/>
        <item x="1591"/>
        <item x="405"/>
        <item x="542"/>
        <item x="1624"/>
        <item x="538"/>
        <item x="2132"/>
        <item x="851"/>
        <item x="702"/>
        <item x="2001"/>
        <item x="2263"/>
        <item x="1292"/>
        <item x="549"/>
        <item x="335"/>
        <item x="2259"/>
        <item x="588"/>
        <item x="1271"/>
        <item x="143"/>
        <item x="1907"/>
        <item x="526"/>
        <item x="1839"/>
        <item x="1003"/>
        <item x="2249"/>
        <item x="1294"/>
        <item x="1118"/>
        <item x="1593"/>
        <item x="589"/>
        <item x="803"/>
        <item x="1783"/>
        <item x="713"/>
        <item x="1742"/>
        <item x="1041"/>
        <item x="1512"/>
        <item x="2226"/>
        <item x="162"/>
        <item x="967"/>
        <item x="1406"/>
        <item x="1372"/>
        <item x="738"/>
        <item x="240"/>
        <item x="244"/>
        <item x="755"/>
        <item x="2079"/>
        <item x="2229"/>
        <item x="1166"/>
        <item x="2130"/>
        <item x="1106"/>
        <item x="676"/>
        <item x="1374"/>
        <item x="2192"/>
        <item x="663"/>
        <item x="1703"/>
        <item x="940"/>
        <item x="745"/>
        <item x="896"/>
        <item x="658"/>
        <item x="2195"/>
        <item x="142"/>
        <item x="256"/>
        <item x="2033"/>
        <item x="1285"/>
        <item x="935"/>
        <item x="2035"/>
        <item x="153"/>
        <item x="1204"/>
        <item x="1044"/>
        <item x="1856"/>
        <item x="1895"/>
        <item x="507"/>
        <item x="1215"/>
        <item x="888"/>
        <item x="252"/>
        <item x="2154"/>
        <item x="314"/>
        <item x="1117"/>
        <item x="362"/>
        <item x="67"/>
        <item x="1393"/>
        <item x="1545"/>
        <item x="2045"/>
        <item x="1330"/>
        <item x="1890"/>
        <item x="2140"/>
        <item x="384"/>
        <item x="462"/>
        <item x="305"/>
        <item x="1311"/>
        <item x="1585"/>
        <item x="1457"/>
        <item x="2205"/>
        <item x="2197"/>
        <item x="188"/>
        <item x="1756"/>
        <item x="1682"/>
        <item x="1359"/>
        <item x="1753"/>
        <item x="1163"/>
        <item x="1248"/>
        <item x="1083"/>
        <item x="145"/>
        <item x="1189"/>
        <item x="111"/>
        <item x="898"/>
        <item x="2260"/>
        <item x="706"/>
        <item x="1080"/>
        <item x="1519"/>
        <item x="1514"/>
        <item x="1379"/>
        <item x="1288"/>
        <item x="1116"/>
        <item x="1970"/>
        <item x="1444"/>
        <item x="2059"/>
        <item x="1478"/>
        <item x="545"/>
        <item x="1356"/>
        <item x="690"/>
        <item x="1784"/>
        <item x="583"/>
        <item x="90"/>
        <item x="235"/>
        <item x="1930"/>
        <item x="351"/>
        <item x="1634"/>
        <item x="1002"/>
        <item x="59"/>
        <item x="277"/>
        <item x="371"/>
        <item x="1222"/>
        <item x="2015"/>
        <item x="870"/>
        <item x="2262"/>
        <item x="1486"/>
        <item x="554"/>
        <item x="2066"/>
        <item x="2156"/>
        <item x="1174"/>
        <item x="2125"/>
        <item x="2103"/>
        <item x="1004"/>
        <item x="767"/>
        <item x="1535"/>
        <item x="1435"/>
        <item x="1602"/>
        <item x="1365"/>
        <item x="894"/>
        <item x="1287"/>
        <item x="1631"/>
        <item x="2024"/>
        <item x="1036"/>
        <item x="121"/>
        <item x="1467"/>
        <item x="1956"/>
        <item x="1905"/>
        <item x="1386"/>
        <item x="130"/>
        <item x="1261"/>
        <item x="860"/>
        <item x="1536"/>
        <item x="1954"/>
        <item x="1654"/>
        <item x="268"/>
        <item x="1214"/>
        <item x="2284"/>
        <item x="1397"/>
        <item x="1581"/>
        <item x="1702"/>
        <item x="2052"/>
        <item x="346"/>
        <item x="956"/>
        <item x="1607"/>
        <item x="900"/>
        <item x="504"/>
        <item x="10"/>
        <item x="688"/>
        <item x="1485"/>
        <item x="1371"/>
        <item x="569"/>
        <item x="1696"/>
        <item x="167"/>
        <item x="1786"/>
        <item x="2050"/>
        <item x="657"/>
        <item x="2163"/>
        <item x="2038"/>
        <item x="1242"/>
        <item x="1154"/>
        <item x="862"/>
        <item x="593"/>
        <item x="1290"/>
        <item x="1641"/>
        <item x="387"/>
        <item x="1877"/>
        <item x="31"/>
        <item x="679"/>
        <item x="1832"/>
        <item x="1157"/>
        <item x="1759"/>
        <item x="1937"/>
        <item x="1483"/>
        <item x="1262"/>
        <item x="1568"/>
        <item x="295"/>
        <item x="620"/>
        <item x="39"/>
        <item x="1951"/>
        <item x="2201"/>
        <item x="254"/>
        <item x="315"/>
        <item x="836"/>
        <item x="17"/>
        <item x="831"/>
        <item x="225"/>
        <item x="1958"/>
        <item x="677"/>
        <item x="1295"/>
        <item x="1744"/>
        <item x="1773"/>
        <item x="220"/>
        <item x="2071"/>
        <item x="1329"/>
        <item x="1651"/>
        <item x="573"/>
        <item x="1965"/>
        <item x="1376"/>
        <item x="1339"/>
        <item x="113"/>
        <item x="1060"/>
        <item x="324"/>
        <item x="1712"/>
        <item x="649"/>
        <item x="863"/>
        <item x="2"/>
        <item x="1683"/>
        <item x="697"/>
        <item x="982"/>
        <item x="2285"/>
        <item x="1931"/>
        <item x="2252"/>
        <item x="1766"/>
        <item x="1799"/>
        <item x="788"/>
        <item x="578"/>
        <item x="179"/>
        <item x="1188"/>
        <item x="985"/>
        <item x="2168"/>
        <item x="1161"/>
        <item x="1795"/>
        <item x="734"/>
        <item x="1988"/>
        <item x="73"/>
        <item x="40"/>
        <item x="590"/>
        <item x="1831"/>
        <item x="1570"/>
        <item x="1460"/>
        <item x="1086"/>
        <item x="787"/>
        <item x="281"/>
        <item x="155"/>
        <item x="304"/>
        <item x="1413"/>
        <item x="2078"/>
        <item x="1810"/>
        <item x="1515"/>
        <item x="804"/>
        <item x="529"/>
        <item x="2131"/>
        <item x="84"/>
        <item x="434"/>
        <item x="1923"/>
        <item x="752"/>
        <item x="96"/>
        <item x="1369"/>
        <item x="531"/>
        <item x="528"/>
        <item x="392"/>
        <item x="1805"/>
        <item x="535"/>
        <item x="1310"/>
        <item x="161"/>
        <item x="453"/>
        <item x="271"/>
        <item x="764"/>
        <item x="1699"/>
        <item x="928"/>
        <item x="646"/>
        <item x="2244"/>
        <item x="1203"/>
        <item x="1052"/>
        <item x="183"/>
        <item x="882"/>
        <item x="1314"/>
        <item x="1291"/>
        <item x="750"/>
        <item x="18"/>
        <item x="2172"/>
        <item x="1170"/>
        <item x="32"/>
        <item x="1858"/>
        <item x="1180"/>
        <item x="217"/>
        <item x="1639"/>
        <item x="1488"/>
        <item x="2070"/>
        <item x="1016"/>
        <item x="1481"/>
        <item x="727"/>
        <item x="916"/>
        <item x="819"/>
        <item x="2165"/>
        <item x="1757"/>
        <item x="466"/>
        <item x="1878"/>
        <item x="1438"/>
        <item x="1267"/>
        <item x="1353"/>
        <item x="219"/>
        <item x="2022"/>
        <item x="1950"/>
        <item x="133"/>
        <item x="693"/>
        <item x="805"/>
        <item x="2080"/>
        <item x="1278"/>
        <item x="510"/>
        <item x="1854"/>
        <item x="1889"/>
        <item x="1176"/>
        <item x="630"/>
        <item x="1812"/>
        <item x="843"/>
        <item x="2051"/>
        <item x="557"/>
        <item x="1270"/>
        <item x="1637"/>
        <item x="1402"/>
        <item x="1185"/>
        <item x="1130"/>
        <item x="1543"/>
        <item x="669"/>
        <item x="386"/>
        <item x="1844"/>
        <item x="2250"/>
        <item x="563"/>
        <item x="1225"/>
        <item x="1243"/>
        <item x="2113"/>
        <item x="2028"/>
        <item x="806"/>
        <item x="1238"/>
        <item x="761"/>
        <item x="759"/>
        <item x="912"/>
        <item x="1670"/>
        <item x="181"/>
        <item x="1182"/>
        <item x="838"/>
        <item x="857"/>
        <item x="1183"/>
        <item x="1605"/>
        <item x="376"/>
        <item x="1770"/>
        <item x="1944"/>
        <item x="22"/>
        <item x="2158"/>
        <item x="1564"/>
        <item x="1093"/>
        <item x="118"/>
        <item x="1972"/>
        <item x="918"/>
        <item x="1963"/>
        <item x="1134"/>
        <item x="2093"/>
        <item x="110"/>
        <item x="119"/>
        <item x="778"/>
        <item x="2030"/>
        <item x="616"/>
        <item x="370"/>
        <item x="92"/>
        <item x="2077"/>
        <item x="2053"/>
        <item x="1990"/>
        <item x="477"/>
        <item x="999"/>
        <item x="430"/>
        <item x="383"/>
        <item x="26"/>
        <item x="211"/>
        <item x="36"/>
        <item x="1768"/>
        <item x="2121"/>
        <item x="2094"/>
        <item x="1358"/>
        <item x="867"/>
        <item x="756"/>
        <item x="2234"/>
        <item x="465"/>
        <item x="2147"/>
        <item x="65"/>
        <item x="272"/>
        <item x="401"/>
        <item x="1152"/>
        <item x="2180"/>
        <item x="1239"/>
        <item x="273"/>
        <item x="769"/>
        <item x="1168"/>
        <item x="1054"/>
        <item x="922"/>
        <item x="624"/>
        <item x="2209"/>
        <item x="367"/>
        <item x="1686"/>
        <item x="2116"/>
        <item x="664"/>
        <item x="1909"/>
        <item x="2270"/>
        <item x="2068"/>
        <item x="516"/>
        <item x="1235"/>
        <item x="1013"/>
        <item x="1649"/>
        <item x="1108"/>
        <item x="1507"/>
        <item x="1395"/>
        <item x="404"/>
        <item x="1384"/>
        <item x="1373"/>
        <item x="75"/>
        <item x="1616"/>
        <item x="556"/>
        <item x="1960"/>
        <item x="2268"/>
        <item x="77"/>
        <item x="2101"/>
        <item x="682"/>
        <item x="1957"/>
        <item x="983"/>
        <item x="1401"/>
        <item x="1601"/>
        <item x="28"/>
        <item x="1555"/>
        <item x="570"/>
        <item x="1331"/>
        <item x="2120"/>
        <item x="1067"/>
        <item x="1399"/>
        <item x="86"/>
        <item x="2283"/>
        <item x="1087"/>
        <item x="1861"/>
        <item x="1063"/>
        <item x="902"/>
        <item x="1633"/>
        <item x="527"/>
        <item x="897"/>
        <item x="871"/>
        <item x="1992"/>
        <item x="861"/>
        <item x="2055"/>
        <item x="1913"/>
        <item x="368"/>
        <item x="2003"/>
        <item x="247"/>
        <item x="2117"/>
        <item x="512"/>
        <item x="1911"/>
        <item x="2110"/>
        <item x="1635"/>
        <item x="1927"/>
        <item x="1346"/>
        <item x="1216"/>
        <item x="1126"/>
        <item x="410"/>
        <item x="1961"/>
        <item x="2031"/>
        <item x="2286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axis="axisPage" multipleItemSelectionAllowed="1" showAll="0">
      <items count="15">
        <item h="1" x="0"/>
        <item h="1" x="1"/>
        <item h="1" x="2"/>
        <item h="1" x="3"/>
        <item h="1" x="4"/>
        <item h="1" x="5"/>
        <item x="6"/>
        <item x="7"/>
        <item x="8"/>
        <item x="9"/>
        <item h="1" x="10"/>
        <item h="1" x="11"/>
        <item h="1" x="12"/>
        <item h="1"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axis="axisPage" multipleItemSelectionAllowed="1" showAll="0">
      <items count="5">
        <item h="1" x="0"/>
        <item h="1" x="1"/>
        <item x="2"/>
        <item h="1" x="3"/>
        <item t="default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2">
    <pageField fld="10" hier="-1"/>
    <pageField fld="8" hier="-1"/>
  </pageFields>
  <dataFields count="2">
    <dataField name="frekuensi belanja" fld="0" subtotal="count" baseField="0" baseItem="0"/>
    <dataField name="Rata-rata Belanja" fld="5" subtotal="average" baseField="0" baseItem="0"/>
  </dataFields>
  <chartFormats count="8">
    <chartFormat chart="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7" format="13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7" format="1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5">
      <pivotArea type="data" outline="0" fieldPosition="0">
        <references count="2">
          <reference field="4294967294" count="1" selected="0">
            <x v="1"/>
          </reference>
          <reference field="6" count="1" selected="0">
            <x v="0"/>
          </reference>
        </references>
      </pivotArea>
    </chartFormat>
    <chartFormat chart="7" format="16">
      <pivotArea type="data" outline="0" fieldPosition="0">
        <references count="2">
          <reference field="4294967294" count="1" selected="0">
            <x v="1"/>
          </reference>
          <reference field="6" count="1" selected="0">
            <x v="1"/>
          </reference>
        </references>
      </pivotArea>
    </chartFormat>
    <chartFormat chart="7" format="17">
      <pivotArea type="data" outline="0" fieldPosition="0">
        <references count="2">
          <reference field="4294967294" count="1" selected="0">
            <x v="1"/>
          </reference>
          <reference field="6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BFB197E0-BC6A-2143-B1A8-DDAC7D0D2E04}" autoFormatId="16" applyNumberFormats="0" applyBorderFormats="0" applyFontFormats="0" applyPatternFormats="0" applyAlignmentFormats="0" applyWidthHeightFormats="0">
  <queryTableRefresh nextId="14">
    <queryTableFields count="13">
      <queryTableField id="1" name="TransaksiID" tableColumnId="1"/>
      <queryTableField id="2" name="MemberID" tableColumnId="2"/>
      <queryTableField id="3" name="Tanggal" tableColumnId="3"/>
      <queryTableField id="4" name="Toko" tableColumnId="4"/>
      <queryTableField id="5" name="Kategori" tableColumnId="5"/>
      <queryTableField id="6" name="NominalBelanja" tableColumnId="6"/>
      <queryTableField id="7" name="PoinDidapat" tableColumnId="7"/>
      <queryTableField id="8" name="RedemptionID" tableColumnId="8"/>
      <queryTableField id="9" name="Tanggal.1" tableColumnId="9"/>
      <queryTableField id="10" name="RewardID" tableColumnId="10"/>
      <queryTableField id="11" name="NamaReward" tableColumnId="11"/>
      <queryTableField id="12" name="PoinDitukar" tableColumnId="12"/>
      <queryTableField id="13" name="Status" tableColumnId="13"/>
    </queryTableFields>
  </queryTableRefresh>
</queryTable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91C771C-29CD-744F-AF75-BFDFBC90A17C}" name="Table8" displayName="Table8" ref="A16:F19" totalsRowShown="0">
  <autoFilter ref="A16:F19" xr:uid="{191C771C-29CD-744F-AF75-BFDFBC90A17C}"/>
  <tableColumns count="6">
    <tableColumn id="1" xr3:uid="{C44C22E5-6AB6-8241-B353-10A91E51B686}" name="point "/>
    <tableColumn id="2" xr3:uid="{815E060A-0421-9B4C-AC5D-29039CC1AD45}" name="nilai "/>
    <tableColumn id="3" xr3:uid="{ED8CB368-BC32-164F-B231-DE036B706337}" name="point"/>
    <tableColumn id="4" xr3:uid="{E9D4EDD4-51C9-FF46-BC84-20FDB9F7EE8B}" name="nilai"/>
    <tableColumn id="5" xr3:uid="{4B91FCBE-C1D5-6740-A344-980EE0644360}" name="GAP " dataDxfId="43">
      <calculatedColumnFormula>Table8[[#This Row],[nilai ]]-Table8[[#This Row],[nilai]]</calculatedColumnFormula>
    </tableColumn>
    <tableColumn id="6" xr3:uid="{958AB57C-A4C3-4F4D-8FDA-869AD53F3D83}" name="Pencapaian" dataDxfId="42">
      <calculatedColumnFormula>Table8[[#This Row],[nilai ]]/Table8[[#This Row],[nilai]]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8ED2DE6-7AD8-2C4B-98AD-A5EAE2CA20D6}" name="Table11" displayName="Table11" ref="I6:K10" totalsRowShown="0">
  <autoFilter ref="I6:K10" xr:uid="{C8ED2DE6-7AD8-2C4B-98AD-A5EAE2CA20D6}"/>
  <tableColumns count="3">
    <tableColumn id="1" xr3:uid="{FB11147C-2293-DB46-8BCC-B773F463413B}" name="Bulan "/>
    <tableColumn id="3" xr3:uid="{596CD76A-70CE-D348-A52E-73D9D1C01C39}" name="Actual Nominal" dataDxfId="41"/>
    <tableColumn id="5" xr3:uid="{E259F7EF-FAB0-4C4F-ABC4-DD2B755A1C22}" name="TargetNominal" dataDxfId="4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8807D6-379F-634E-8779-359B0918133C}" name="Table2" displayName="Table2" ref="A1:H2320" totalsRowShown="0">
  <autoFilter ref="A1:H2320" xr:uid="{B98807D6-379F-634E-8779-359B0918133C}"/>
  <tableColumns count="8">
    <tableColumn id="1" xr3:uid="{4FFD1DC4-B80F-7E4C-AA96-25922A0F8B33}" name="TransaksiID"/>
    <tableColumn id="2" xr3:uid="{EF1E5C60-0308-9547-BC71-5B9ABCD7E8BE}" name="MemberID"/>
    <tableColumn id="3" xr3:uid="{E51A5963-A86C-284F-8D6D-BF5F473D14B8}" name="Tanggal" dataDxfId="39"/>
    <tableColumn id="4" xr3:uid="{C213F69F-A1E7-E742-AC56-D7A2042EC79A}" name="Toko"/>
    <tableColumn id="5" xr3:uid="{08705E7E-9BCF-C145-9A28-25D506966B03}" name="Kategori"/>
    <tableColumn id="6" xr3:uid="{8628F07B-C079-DA4D-94AD-C6AB228FA24D}" name="NominalBelanja" dataDxfId="38"/>
    <tableColumn id="8" xr3:uid="{93B7C9EF-54D2-9A4E-BAD1-841AD1EF197F}" name="Tier" dataDxfId="37">
      <calculatedColumnFormula>VLOOKUP(Table2[[#This Row],[MemberID]],Table1[#All],3,0)</calculatedColumnFormula>
    </tableColumn>
    <tableColumn id="7" xr3:uid="{AEEC9591-3422-874F-B374-487BB3D8EBA3}" name="PoinDidapat" dataDxfId="36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6B1DAA-A622-564E-8B0B-D9226AEF1D1D}" name="Table3" displayName="Table3" ref="A1:H901" totalsRowShown="0" headerRowDxfId="35" dataDxfId="34">
  <autoFilter ref="A1:H901" xr:uid="{CD6B1DAA-A622-564E-8B0B-D9226AEF1D1D}"/>
  <tableColumns count="8">
    <tableColumn id="1" xr3:uid="{B10D9E50-9BF8-CE45-85D9-DD5783FC94EC}" name="RedemptionID" dataDxfId="33"/>
    <tableColumn id="2" xr3:uid="{E9D105E9-2F23-0C4C-B231-498BA2C86425}" name="MemberID" dataDxfId="32"/>
    <tableColumn id="3" xr3:uid="{915AAF88-2DBF-B743-B944-3832EFE36711}" name="Tanggal" dataDxfId="31"/>
    <tableColumn id="4" xr3:uid="{EC898E70-B86F-EA44-A4CA-F1B0E5B4BCF1}" name="RewardID" dataDxfId="30"/>
    <tableColumn id="5" xr3:uid="{2BFA9A2A-F438-0740-B3BF-8422DF83B574}" name="NamaReward" dataDxfId="29"/>
    <tableColumn id="6" xr3:uid="{8DAA70F3-B21D-2740-B6D9-7656261AD752}" name="PoinDitukar" dataDxfId="28"/>
    <tableColumn id="7" xr3:uid="{8358E0E7-16F0-1043-BFF4-2B6DBE1534AE}" name="Status" dataDxfId="27"/>
    <tableColumn id="10" xr3:uid="{949AAB4A-B9B0-4B48-ACF7-9CE7F0D59E7A}" name="kecepatan/bulan" dataDxfId="26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583EC83-023C-8447-B796-ECA2CB1F92DC}" name="Table4" displayName="Table4" ref="A1:J11" totalsRowShown="0">
  <autoFilter ref="A1:J11" xr:uid="{7583EC83-023C-8447-B796-ECA2CB1F92DC}"/>
  <sortState xmlns:xlrd2="http://schemas.microsoft.com/office/spreadsheetml/2017/richdata2" ref="A2:J11">
    <sortCondition ref="J2:J11"/>
  </sortState>
  <tableColumns count="10">
    <tableColumn id="1" xr3:uid="{64E243B2-0ACE-5E40-BB84-BECE3E7289A6}" name="RewardID"/>
    <tableColumn id="2" xr3:uid="{B2D51F3A-F3DE-ED45-8F6D-BCDACE0F3F6E}" name="NamaReward"/>
    <tableColumn id="3" xr3:uid="{57EF7742-821E-F744-A433-1A8F920E0CE5}" name="PoinDibutuhkan" dataDxfId="25"/>
    <tableColumn id="4" xr3:uid="{4D9C9B78-3936-0B42-9969-AC6DADD7DE2F}" name="StokAwal" dataDxfId="24"/>
    <tableColumn id="5" xr3:uid="{F5C87D4A-ACE8-C44F-886C-72A7433B50D6}" name="JumlahDitukar" dataDxfId="23"/>
    <tableColumn id="6" xr3:uid="{2C8E8D75-C5EF-1F4F-8657-73DFEB54E5A0}" name="StokTersisa" dataDxfId="22"/>
    <tableColumn id="7" xr3:uid="{CB4B5835-B8FE-8045-831E-4EFE27E5C1CC}" name="Toko"/>
    <tableColumn id="9" xr3:uid="{D33AF5CD-9576-6F48-8615-922A79AA54DB}" name="stok terpakai" dataDxfId="21" dataCellStyle="Percent">
      <calculatedColumnFormula>Table4[[#This Row],[JumlahDitukar]]/Table4[[#This Row],[StokAwal]]</calculatedColumnFormula>
    </tableColumn>
    <tableColumn id="10" xr3:uid="{5C9F312F-5D1F-2C49-9B5F-D03FE8011915}" name="kecepatan penukaran" dataDxfId="20">
      <calculatedColumnFormula>Table4[[#This Row],[JumlahDitukar]]/12</calculatedColumnFormula>
    </tableColumn>
    <tableColumn id="11" xr3:uid="{E0F5C5F4-F2E9-224D-A777-E1D71C61C5D1}" name="estimasi habis(bulan)" dataDxfId="19">
      <calculatedColumnFormula>Table4[[#This Row],[StokTersisa]]/Table4[[#This Row],[kecepatan penukaran]]</calculatedColumnFormula>
    </tableColumn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F285107-F719-4942-8843-164C1B7DCE38}" name="Table5" displayName="Table5" ref="A1:E11" totalsRowShown="0">
  <autoFilter ref="A1:E11" xr:uid="{CF285107-F719-4942-8843-164C1B7DCE38}"/>
  <tableColumns count="5">
    <tableColumn id="1" xr3:uid="{E4198C1D-DF17-034F-B0BF-DC5AD9B83D92}" name="PartnerID"/>
    <tableColumn id="2" xr3:uid="{32136D3C-5B9C-E445-84AA-D213A47CBC20}" name="NamaPartner"/>
    <tableColumn id="3" xr3:uid="{90FEB84A-7BF7-5840-91B5-4A3FD43D23A5}" name="Kategori"/>
    <tableColumn id="4" xr3:uid="{87426D57-70F3-4245-A84D-49C5DA0A857D}" name="Status"/>
    <tableColumn id="5" xr3:uid="{0C1C1E18-ECA2-224D-B073-8B84187B7401}" name="Catatan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D35AA6A-F855-094F-8BF6-03C2D23FA9A0}" name="Transaksi" displayName="Transaksi" ref="A1:M6850" tableType="queryTable" totalsRowShown="0">
  <autoFilter ref="A1:M6850" xr:uid="{3D35AA6A-F855-094F-8BF6-03C2D23FA9A0}"/>
  <tableColumns count="13">
    <tableColumn id="1" xr3:uid="{4F197010-4F1C-B543-BFA3-1BF91C11AF82}" uniqueName="1" name="TransaksiID" queryTableFieldId="1" dataDxfId="18"/>
    <tableColumn id="2" xr3:uid="{055CF646-755B-2446-BC6F-B5688C6EDFE6}" uniqueName="2" name="MemberID" queryTableFieldId="2" dataDxfId="17"/>
    <tableColumn id="3" xr3:uid="{819A91B1-6AF7-8B4B-9086-B889E894D8D7}" uniqueName="3" name="Tanggal transaksi" queryTableFieldId="3" dataDxfId="16"/>
    <tableColumn id="4" xr3:uid="{EFD55F9A-5257-2844-954E-5CE85B722D3C}" uniqueName="4" name="Toko" queryTableFieldId="4" dataDxfId="15"/>
    <tableColumn id="5" xr3:uid="{0E8777AE-ECF1-F945-A107-97765FBB90E3}" uniqueName="5" name="Kategori" queryTableFieldId="5" dataDxfId="14"/>
    <tableColumn id="6" xr3:uid="{FAA7DECB-8A95-0A4C-9917-C144D97A834C}" uniqueName="6" name="NominalBelanja" queryTableFieldId="6" dataDxfId="13"/>
    <tableColumn id="7" xr3:uid="{E88E58F9-FAFF-A54C-8327-2D098B7EE137}" uniqueName="7" name="PoinDidapat" queryTableFieldId="7" dataDxfId="12"/>
    <tableColumn id="8" xr3:uid="{F292A827-1F39-3F47-AFCD-C526CBF2CD2F}" uniqueName="8" name="RedemptionID" queryTableFieldId="8" dataDxfId="11"/>
    <tableColumn id="9" xr3:uid="{65EE981B-55EA-C64B-B17C-6F05D32D77CC}" uniqueName="9" name="Tanggal Redeem" queryTableFieldId="9" dataDxfId="10"/>
    <tableColumn id="10" xr3:uid="{FB1820B9-30C7-0D4A-BBE8-2C29F5DD0814}" uniqueName="10" name="RewardID" queryTableFieldId="10" dataDxfId="9"/>
    <tableColumn id="11" xr3:uid="{D0E3AC63-6AF6-5741-88B8-E5F56CD1EBDC}" uniqueName="11" name="NamaReward" queryTableFieldId="11" dataDxfId="8"/>
    <tableColumn id="12" xr3:uid="{E5E1F9A3-7F04-364C-BD7A-29166599E395}" uniqueName="12" name="PoinDitukar" queryTableFieldId="12" dataDxfId="7"/>
    <tableColumn id="13" xr3:uid="{BCD843A1-E87E-4C44-8B73-20D4932FAFC1}" uniqueName="13" name="Status" queryTableFieldId="13" dataDxfId="6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A5BF49-D7C0-D64F-8C6A-281D2E52BF80}" name="Table1" displayName="Table1" ref="A1:D301" totalsRowShown="0" headerRowDxfId="5" dataDxfId="4">
  <autoFilter ref="A1:D301" xr:uid="{8DA5BF49-D7C0-D64F-8C6A-281D2E52BF80}"/>
  <tableColumns count="4">
    <tableColumn id="1" xr3:uid="{19FB009C-F896-A44F-831A-509C0C1E6299}" name="MemberID" dataDxfId="3"/>
    <tableColumn id="3" xr3:uid="{162E6303-C4B1-5C4E-9B8A-A9718F1FF816}" name="Kota" dataDxfId="2"/>
    <tableColumn id="4" xr3:uid="{0D5C8D24-24F4-A942-8068-8B5D9AFC4ACE}" name="Tier" dataDxfId="1"/>
    <tableColumn id="5" xr3:uid="{CDF4E83E-1249-0446-A1D0-47EFC42F3C3E}" name="Tanggal Gabung" data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table" Target="../tables/table2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AB88A-E409-E74A-B0C5-2C84C324D097}">
  <dimension ref="A1:L14"/>
  <sheetViews>
    <sheetView showGridLines="0" showRowColHeaders="0" tabSelected="1" workbookViewId="0">
      <selection activeCell="Q12" sqref="Q12"/>
    </sheetView>
  </sheetViews>
  <sheetFormatPr baseColWidth="10" defaultRowHeight="15"/>
  <sheetData>
    <row r="1" spans="1:12" ht="23">
      <c r="A1" s="68" t="s">
        <v>3682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</row>
    <row r="3" spans="1:12">
      <c r="A3" s="40"/>
    </row>
    <row r="4" spans="1:12" ht="24" customHeight="1">
      <c r="A4" s="60" t="s">
        <v>3640</v>
      </c>
      <c r="B4" s="61"/>
      <c r="C4" s="61"/>
      <c r="D4" s="60" t="s">
        <v>3641</v>
      </c>
      <c r="E4" s="61"/>
      <c r="F4" s="61"/>
      <c r="G4" s="60" t="s">
        <v>3683</v>
      </c>
      <c r="H4" s="61"/>
      <c r="I4" s="61"/>
      <c r="J4" s="60" t="s">
        <v>3684</v>
      </c>
      <c r="K4" s="61"/>
      <c r="L4" s="62"/>
    </row>
    <row r="5" spans="1:12" ht="35" customHeight="1">
      <c r="A5" s="54">
        <f>GETPIVOTDATA("jumlah transaksi",Analisa!$A$9)</f>
        <v>820</v>
      </c>
      <c r="B5" s="55"/>
      <c r="C5" s="55"/>
      <c r="D5" s="63">
        <f>Analisa!B18</f>
        <v>248370007</v>
      </c>
      <c r="E5" s="64"/>
      <c r="F5" s="64"/>
      <c r="G5" s="54">
        <f>GETPIVOTDATA("RedemptionID",Analisa!$D$9,"Years (Tanggal)",2026)</f>
        <v>222</v>
      </c>
      <c r="H5" s="55"/>
      <c r="I5" s="55"/>
      <c r="J5" s="63">
        <f>Analisa!B21</f>
        <v>302890.25243902439</v>
      </c>
      <c r="K5" s="64"/>
      <c r="L5" s="65"/>
    </row>
    <row r="6" spans="1:12" ht="26" customHeight="1">
      <c r="A6" s="56" t="str">
        <f>"Target: "&amp;Analisa!D17</f>
        <v>Target: 1100</v>
      </c>
      <c r="B6" s="57"/>
      <c r="C6" s="57"/>
      <c r="D6" s="56" t="str">
        <f>"Target: Rp" &amp;Analisa!D18</f>
        <v>Target: Rp192000000</v>
      </c>
      <c r="E6" s="57"/>
      <c r="F6" s="57"/>
      <c r="G6" s="56" t="str">
        <f>"Target: "&amp;Analisa!D19</f>
        <v>Target: 390</v>
      </c>
      <c r="H6" s="57"/>
      <c r="I6" s="57"/>
      <c r="J6" s="56" t="str">
        <f>"Target: Rp" &amp;ROUND(Analisa!B22,0)</f>
        <v>Target: Rp174545</v>
      </c>
      <c r="K6" s="57"/>
      <c r="L6" s="66"/>
    </row>
    <row r="7" spans="1:12" ht="22" customHeight="1">
      <c r="A7" s="69" t="str">
        <f>"Pencapaian: "&amp;ROUND(Analisa!F17*100,1)&amp;"%"</f>
        <v>Pencapaian: 74,5%</v>
      </c>
      <c r="B7" s="70"/>
      <c r="C7" s="70"/>
      <c r="D7" s="58" t="str">
        <f>"Pencapaian: "&amp;ROUND(Analisa!F18*100,1)&amp;"%"</f>
        <v>Pencapaian: 129,4%</v>
      </c>
      <c r="E7" s="59"/>
      <c r="F7" s="59"/>
      <c r="G7" s="58" t="str">
        <f>"Pencapaian: "&amp;ROUND(Analisa!F19*100,1)&amp;"%"</f>
        <v>Pencapaian: 56,9%</v>
      </c>
      <c r="H7" s="59"/>
      <c r="I7" s="59"/>
      <c r="J7" s="58" t="str">
        <f>"Pencapaian: "&amp;ROUNDUP(Analisa!B23*100,0)&amp;"%"</f>
        <v>Pencapaian: 74%</v>
      </c>
      <c r="K7" s="59"/>
      <c r="L7" s="67"/>
    </row>
    <row r="9" spans="1:12" ht="19">
      <c r="A9" s="44" t="s">
        <v>3685</v>
      </c>
    </row>
    <row r="11" spans="1:12" ht="24" customHeight="1">
      <c r="A11" s="53" t="str">
        <f>"Transaksi "&amp;ROUND(Analisa!F17*100,1)&amp;"% dari target dan redemption "&amp;ROUND('DASHBOARD CRM Royalty Program'!F19*100,1)&amp;"%, sedangkan total belanja "&amp;ROUND(Analisa!F18*100,1)&amp;"% dari target karena rata-rata nominal per transaksi sebesar Rp"&amp;FIXED(Analisa!B21,0)</f>
        <v>Transaksi 74,5% dari target dan redemption 0%, sedangkan total belanja 129,4% dari target karena rata-rata nominal per transaksi sebesar Rp302.890</v>
      </c>
    </row>
    <row r="12" spans="1:12" ht="27" customHeight="1">
      <c r="A12" s="53" t="str">
        <f>"Tier "&amp;ROUND(Analisa!E36*100,1)&amp;"% dari total belanja dan rata-rata nominal tertinggi ada di kategori Platinum Rp. "&amp;ROUND(GETPIVOTDATA("Rata-rata Belanja",Analisa!$A$33,"Tier","Platinum"),0)&amp;", sedangkan yang terendah di tier Silver Rp. "&amp;ROUND(GETPIVOTDATA("Rata-rata Belanja",Analisa!$A$33,"Tier","Silver"),0)&amp;" - Peluang Upsell/Bundling"</f>
        <v>Tier 58,1% dari total belanja dan rata-rata nominal tertinggi ada di kategori Platinum Rp. 331985, sedangkan yang terendah di tier Silver Rp. 291469 - Peluang Upsell/Bundling</v>
      </c>
    </row>
    <row r="13" spans="1:12" ht="24" customHeight="1">
      <c r="A13" s="53" t="str">
        <f>Analisa!B67</f>
        <v>1 reward harus segera restock ( voucher belanja Rp.200.000 )  karena estimasi habisnya dibawah 6 bulan, dan sisanya ada 6 reward yang harus dievaluasi karena stock berlebih</v>
      </c>
    </row>
    <row r="14" spans="1:12" ht="25" customHeight="1">
      <c r="A14" s="53" t="str">
        <f>"Kategori dengan total belanja tertinggi adalah Fashion sebesar Rp. "&amp; ROUND(GETPIVOTDATA("Sum of NominalBelanja",Analisa!$A$78,"Kategori","Fashion"),0)&amp;" dengan 0 patner aktif dan 1 prospek ( Zalora). Jumlah transaksi antar kategori relatif merata"</f>
        <v>Kategori dengan total belanja tertinggi adalah Fashion sebesar Rp. 43955911 dengan 0 patner aktif dan 1 prospek ( Zalora). Jumlah transaksi antar kategori relatif merata</v>
      </c>
    </row>
  </sheetData>
  <mergeCells count="17">
    <mergeCell ref="A1:L1"/>
    <mergeCell ref="A4:C4"/>
    <mergeCell ref="A5:C5"/>
    <mergeCell ref="A6:C6"/>
    <mergeCell ref="A7:C7"/>
    <mergeCell ref="D4:F4"/>
    <mergeCell ref="D5:F5"/>
    <mergeCell ref="D6:F6"/>
    <mergeCell ref="D7:F7"/>
    <mergeCell ref="G4:I4"/>
    <mergeCell ref="G5:I5"/>
    <mergeCell ref="G6:I6"/>
    <mergeCell ref="G7:I7"/>
    <mergeCell ref="J4:L4"/>
    <mergeCell ref="J5:L5"/>
    <mergeCell ref="J6:L6"/>
    <mergeCell ref="J7:L7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0BEA2-5845-8D4D-804D-D4C7D98695DE}">
  <dimension ref="A3:K95"/>
  <sheetViews>
    <sheetView workbookViewId="0">
      <selection activeCell="I30" sqref="I30"/>
    </sheetView>
  </sheetViews>
  <sheetFormatPr baseColWidth="10" defaultRowHeight="15"/>
  <cols>
    <col min="1" max="1" width="16" bestFit="1" customWidth="1"/>
    <col min="2" max="2" width="15.6640625" bestFit="1" customWidth="1"/>
    <col min="3" max="3" width="19" bestFit="1" customWidth="1"/>
    <col min="4" max="4" width="14" bestFit="1" customWidth="1"/>
    <col min="5" max="5" width="15.6640625" bestFit="1" customWidth="1"/>
    <col min="6" max="6" width="13.5" bestFit="1" customWidth="1"/>
    <col min="7" max="7" width="12.1640625" bestFit="1" customWidth="1"/>
    <col min="8" max="8" width="13.1640625" bestFit="1" customWidth="1"/>
    <col min="9" max="9" width="12.1640625" bestFit="1" customWidth="1"/>
    <col min="10" max="10" width="15.6640625" customWidth="1"/>
    <col min="11" max="11" width="15.33203125" customWidth="1"/>
    <col min="12" max="12" width="15.1640625" customWidth="1"/>
    <col min="13" max="13" width="14.83203125" customWidth="1"/>
  </cols>
  <sheetData>
    <row r="3" spans="1:11" ht="26">
      <c r="A3" s="77" t="s">
        <v>3676</v>
      </c>
      <c r="B3" s="77"/>
      <c r="C3" s="77"/>
      <c r="D3" s="77"/>
      <c r="E3" s="77"/>
      <c r="F3" s="77"/>
    </row>
    <row r="5" spans="1:11">
      <c r="A5" t="s">
        <v>3659</v>
      </c>
      <c r="D5" t="s">
        <v>3638</v>
      </c>
      <c r="I5" t="s">
        <v>3695</v>
      </c>
    </row>
    <row r="6" spans="1:11">
      <c r="A6" s="24" t="s">
        <v>3634</v>
      </c>
      <c r="B6" t="s">
        <v>3632</v>
      </c>
      <c r="D6" s="24" t="s">
        <v>2657</v>
      </c>
      <c r="E6" t="s">
        <v>2661</v>
      </c>
      <c r="I6" t="s">
        <v>3687</v>
      </c>
      <c r="J6" t="s">
        <v>3692</v>
      </c>
      <c r="K6" s="12" t="s">
        <v>3623</v>
      </c>
    </row>
    <row r="7" spans="1:11">
      <c r="A7" s="24" t="s">
        <v>3633</v>
      </c>
      <c r="B7" t="s">
        <v>3635</v>
      </c>
      <c r="D7" s="24" t="s">
        <v>3633</v>
      </c>
      <c r="E7" t="s">
        <v>3635</v>
      </c>
      <c r="I7" t="s">
        <v>3688</v>
      </c>
      <c r="J7" s="12">
        <v>55419579</v>
      </c>
      <c r="K7" s="12">
        <v>45000000</v>
      </c>
    </row>
    <row r="8" spans="1:11">
      <c r="I8" t="s">
        <v>3689</v>
      </c>
      <c r="J8" s="12">
        <v>72011619</v>
      </c>
      <c r="K8" s="12">
        <v>47000000</v>
      </c>
    </row>
    <row r="9" spans="1:11">
      <c r="A9" t="s">
        <v>3654</v>
      </c>
      <c r="B9" t="s">
        <v>3653</v>
      </c>
      <c r="D9" s="24" t="s">
        <v>3651</v>
      </c>
      <c r="E9" t="s">
        <v>3652</v>
      </c>
      <c r="I9" t="s">
        <v>3690</v>
      </c>
      <c r="J9" s="12">
        <v>65613055</v>
      </c>
      <c r="K9" s="12">
        <v>49000000</v>
      </c>
    </row>
    <row r="10" spans="1:11">
      <c r="A10" s="81">
        <v>820</v>
      </c>
      <c r="B10" s="12">
        <v>248370007</v>
      </c>
      <c r="D10" s="21" t="s">
        <v>3632</v>
      </c>
      <c r="E10" s="81">
        <v>222</v>
      </c>
      <c r="I10" t="s">
        <v>3691</v>
      </c>
      <c r="J10" s="12">
        <v>55325754</v>
      </c>
      <c r="K10" s="12">
        <v>51000000</v>
      </c>
    </row>
    <row r="11" spans="1:11">
      <c r="D11" s="21" t="s">
        <v>3631</v>
      </c>
      <c r="E11" s="81">
        <v>222</v>
      </c>
      <c r="H11" s="25"/>
      <c r="I11" s="25"/>
    </row>
    <row r="12" spans="1:11">
      <c r="I12" t="s">
        <v>3694</v>
      </c>
    </row>
    <row r="13" spans="1:11" ht="16" thickBot="1">
      <c r="I13" s="1" t="s">
        <v>3687</v>
      </c>
      <c r="J13" s="2" t="s">
        <v>3693</v>
      </c>
      <c r="K13" s="45" t="s">
        <v>3622</v>
      </c>
    </row>
    <row r="14" spans="1:11" ht="16" customHeight="1" thickTop="1">
      <c r="A14" s="80" t="s">
        <v>3646</v>
      </c>
      <c r="B14" s="80"/>
      <c r="C14" s="80"/>
      <c r="D14" s="80"/>
      <c r="E14" s="80"/>
      <c r="F14" s="25"/>
      <c r="I14" s="4" t="s">
        <v>3688</v>
      </c>
      <c r="J14" s="5">
        <v>183</v>
      </c>
      <c r="K14" s="46">
        <v>260</v>
      </c>
    </row>
    <row r="15" spans="1:11">
      <c r="A15" s="25" t="s">
        <v>3645</v>
      </c>
      <c r="B15" s="25"/>
      <c r="C15" s="25" t="s">
        <v>3639</v>
      </c>
      <c r="D15" s="25"/>
      <c r="I15" s="6" t="s">
        <v>3689</v>
      </c>
      <c r="J15" s="7">
        <v>229</v>
      </c>
      <c r="K15" s="47">
        <v>270</v>
      </c>
    </row>
    <row r="16" spans="1:11">
      <c r="A16" t="s">
        <v>3647</v>
      </c>
      <c r="B16" t="s">
        <v>3648</v>
      </c>
      <c r="C16" t="s">
        <v>3649</v>
      </c>
      <c r="D16" t="s">
        <v>3650</v>
      </c>
      <c r="E16" t="s">
        <v>3643</v>
      </c>
      <c r="F16" t="s">
        <v>3644</v>
      </c>
      <c r="I16" s="4" t="s">
        <v>3690</v>
      </c>
      <c r="J16" s="5">
        <v>218</v>
      </c>
      <c r="K16" s="46">
        <v>280</v>
      </c>
    </row>
    <row r="17" spans="1:11">
      <c r="A17" t="s">
        <v>3654</v>
      </c>
      <c r="B17">
        <v>820</v>
      </c>
      <c r="C17" t="s">
        <v>3640</v>
      </c>
      <c r="D17">
        <v>1100</v>
      </c>
      <c r="E17">
        <f>Table8[[#This Row],[nilai ]]-Table8[[#This Row],[nilai]]</f>
        <v>-280</v>
      </c>
      <c r="F17" s="28">
        <f>Table8[[#This Row],[nilai ]]/Table8[[#This Row],[nilai]]</f>
        <v>0.74545454545454548</v>
      </c>
      <c r="I17" s="19" t="s">
        <v>3691</v>
      </c>
      <c r="J17" s="20">
        <v>190</v>
      </c>
      <c r="K17" s="48">
        <v>290</v>
      </c>
    </row>
    <row r="18" spans="1:11">
      <c r="A18" t="s">
        <v>3653</v>
      </c>
      <c r="B18" s="12">
        <v>248370007</v>
      </c>
      <c r="C18" t="s">
        <v>3641</v>
      </c>
      <c r="D18" s="27">
        <v>192000000</v>
      </c>
      <c r="E18" s="12">
        <f>Table8[[#This Row],[nilai ]]-Table8[[#This Row],[nilai]]</f>
        <v>56370007</v>
      </c>
      <c r="F18" s="28">
        <f>Table8[[#This Row],[nilai ]]/Table8[[#This Row],[nilai]]</f>
        <v>1.2935937864583333</v>
      </c>
      <c r="I18" t="s">
        <v>3697</v>
      </c>
    </row>
    <row r="19" spans="1:11" ht="12" customHeight="1" thickBot="1">
      <c r="A19" t="s">
        <v>3678</v>
      </c>
      <c r="B19" s="26">
        <v>222</v>
      </c>
      <c r="C19" t="s">
        <v>3642</v>
      </c>
      <c r="D19">
        <v>390</v>
      </c>
      <c r="E19">
        <f>Table8[[#This Row],[nilai ]]-Table8[[#This Row],[nilai]]</f>
        <v>-168</v>
      </c>
      <c r="F19" s="28">
        <f>Table8[[#This Row],[nilai ]]/Table8[[#This Row],[nilai]]</f>
        <v>0.56923076923076921</v>
      </c>
      <c r="I19" s="1" t="s">
        <v>3687</v>
      </c>
      <c r="J19" s="2" t="s">
        <v>3696</v>
      </c>
      <c r="K19" s="2" t="s">
        <v>3692</v>
      </c>
    </row>
    <row r="20" spans="1:11" ht="16" thickTop="1">
      <c r="I20" s="4" t="s">
        <v>3688</v>
      </c>
      <c r="J20" s="5">
        <v>47</v>
      </c>
      <c r="K20" s="13">
        <v>90</v>
      </c>
    </row>
    <row r="21" spans="1:11">
      <c r="A21" t="s">
        <v>3656</v>
      </c>
      <c r="B21" s="12">
        <f>B18/B17</f>
        <v>302890.25243902439</v>
      </c>
      <c r="G21" s="29"/>
      <c r="I21" s="6" t="s">
        <v>3689</v>
      </c>
      <c r="J21" s="7">
        <v>56</v>
      </c>
      <c r="K21" s="13">
        <v>95</v>
      </c>
    </row>
    <row r="22" spans="1:11">
      <c r="A22" t="s">
        <v>3657</v>
      </c>
      <c r="B22" s="27">
        <f>D18/D17</f>
        <v>174545.45454545456</v>
      </c>
      <c r="C22" s="29"/>
      <c r="D22" s="29"/>
      <c r="E22" s="29"/>
      <c r="F22" s="29"/>
      <c r="G22" s="29"/>
      <c r="I22" s="4" t="s">
        <v>3690</v>
      </c>
      <c r="J22" s="5">
        <v>64</v>
      </c>
      <c r="K22" s="13">
        <v>100</v>
      </c>
    </row>
    <row r="23" spans="1:11">
      <c r="A23" t="s">
        <v>3658</v>
      </c>
      <c r="B23" s="28">
        <f>(B21-B22)/B22*100%</f>
        <v>0.73530873793191043</v>
      </c>
      <c r="C23" s="29"/>
      <c r="D23" s="29"/>
      <c r="E23" s="29"/>
      <c r="F23" s="29"/>
      <c r="G23" s="29"/>
      <c r="I23" s="19" t="s">
        <v>3691</v>
      </c>
      <c r="J23" s="20">
        <v>55</v>
      </c>
      <c r="K23" s="13">
        <v>105</v>
      </c>
    </row>
    <row r="24" spans="1:11">
      <c r="B24" s="29"/>
      <c r="C24" s="29"/>
      <c r="D24" s="29"/>
      <c r="E24" s="29"/>
      <c r="F24" s="29"/>
      <c r="G24" s="29"/>
    </row>
    <row r="25" spans="1:11" ht="20" customHeight="1">
      <c r="A25" s="79" t="s">
        <v>3679</v>
      </c>
      <c r="B25" s="79"/>
      <c r="C25" s="79"/>
      <c r="D25" s="79"/>
      <c r="E25" s="79"/>
      <c r="F25" s="79"/>
    </row>
    <row r="26" spans="1:11">
      <c r="A26" s="79"/>
      <c r="B26" s="79"/>
      <c r="C26" s="79"/>
      <c r="D26" s="79"/>
      <c r="E26" s="79"/>
      <c r="F26" s="79"/>
    </row>
    <row r="27" spans="1:11" ht="15" customHeight="1">
      <c r="A27" s="79"/>
      <c r="B27" s="79"/>
      <c r="C27" s="79"/>
      <c r="D27" s="79"/>
      <c r="E27" s="79"/>
      <c r="F27" s="79"/>
    </row>
    <row r="29" spans="1:11" ht="26">
      <c r="A29" s="78" t="s">
        <v>3675</v>
      </c>
      <c r="B29" s="78"/>
      <c r="C29" s="78"/>
      <c r="D29" s="78"/>
      <c r="E29" s="78"/>
      <c r="F29" s="78"/>
    </row>
    <row r="30" spans="1:11">
      <c r="A30" s="24" t="s">
        <v>3634</v>
      </c>
      <c r="B30" t="s">
        <v>3632</v>
      </c>
    </row>
    <row r="31" spans="1:11">
      <c r="A31" s="24" t="s">
        <v>3633</v>
      </c>
      <c r="B31" t="s">
        <v>3635</v>
      </c>
    </row>
    <row r="32" spans="1:11" ht="15" customHeight="1"/>
    <row r="33" spans="1:8">
      <c r="A33" s="24" t="s">
        <v>2</v>
      </c>
      <c r="B33" t="s">
        <v>3671</v>
      </c>
      <c r="C33" t="s">
        <v>3672</v>
      </c>
      <c r="D33" s="38" t="s">
        <v>3680</v>
      </c>
      <c r="E33" s="38" t="s">
        <v>3681</v>
      </c>
      <c r="G33" s="12"/>
    </row>
    <row r="34" spans="1:8">
      <c r="A34" s="21" t="s">
        <v>9</v>
      </c>
      <c r="B34">
        <v>247</v>
      </c>
      <c r="C34">
        <v>316590.91902834008</v>
      </c>
      <c r="D34" s="12">
        <f>B34*C34</f>
        <v>78197957</v>
      </c>
      <c r="E34" s="39">
        <f>D34/D37</f>
        <v>0.31484460601557257</v>
      </c>
      <c r="G34" s="12"/>
      <c r="H34" s="39"/>
    </row>
    <row r="35" spans="1:8">
      <c r="A35" s="21" t="s">
        <v>55</v>
      </c>
      <c r="B35">
        <v>78</v>
      </c>
      <c r="C35">
        <v>331984.8205128205</v>
      </c>
      <c r="D35" s="12">
        <f t="shared" ref="D35:D36" si="0">B35*C35</f>
        <v>25894816</v>
      </c>
      <c r="E35" s="39">
        <f>D35/D37</f>
        <v>0.10425902995606068</v>
      </c>
      <c r="G35" s="12"/>
      <c r="H35" s="39"/>
    </row>
    <row r="36" spans="1:8">
      <c r="A36" s="21" t="s">
        <v>5</v>
      </c>
      <c r="B36">
        <v>495</v>
      </c>
      <c r="C36">
        <v>291469.15959595959</v>
      </c>
      <c r="D36" s="12">
        <f t="shared" si="0"/>
        <v>144277234</v>
      </c>
      <c r="E36" s="39">
        <f>D36/D37</f>
        <v>0.58089636402836675</v>
      </c>
      <c r="G36" s="12"/>
      <c r="H36" s="39"/>
    </row>
    <row r="37" spans="1:8">
      <c r="A37" s="21" t="s">
        <v>3631</v>
      </c>
      <c r="B37">
        <v>820</v>
      </c>
      <c r="C37">
        <v>302890.25243902439</v>
      </c>
      <c r="D37" s="42">
        <f>SUM(D34:D36)</f>
        <v>248370007</v>
      </c>
      <c r="E37" s="41"/>
      <c r="G37" s="12"/>
      <c r="H37" s="39"/>
    </row>
    <row r="39" spans="1:8">
      <c r="A39" s="21"/>
    </row>
    <row r="40" spans="1:8">
      <c r="A40" s="21" t="s">
        <v>3655</v>
      </c>
    </row>
    <row r="41" spans="1:8" ht="15" customHeight="1">
      <c r="A41" s="74" t="s">
        <v>3673</v>
      </c>
      <c r="B41" s="75"/>
      <c r="C41" s="75"/>
      <c r="D41" s="75"/>
      <c r="E41" s="75"/>
    </row>
    <row r="42" spans="1:8" ht="15" customHeight="1">
      <c r="A42" s="75"/>
      <c r="B42" s="75"/>
      <c r="C42" s="75"/>
      <c r="D42" s="75"/>
      <c r="E42" s="75"/>
    </row>
    <row r="43" spans="1:8" ht="15" customHeight="1">
      <c r="A43" s="75"/>
      <c r="B43" s="75"/>
      <c r="C43" s="75"/>
      <c r="D43" s="75"/>
      <c r="E43" s="75"/>
    </row>
    <row r="44" spans="1:8" ht="15" customHeight="1">
      <c r="A44" s="75"/>
      <c r="B44" s="75"/>
      <c r="C44" s="75"/>
      <c r="D44" s="75"/>
      <c r="E44" s="75"/>
    </row>
    <row r="45" spans="1:8" ht="15" customHeight="1">
      <c r="A45" s="75"/>
      <c r="B45" s="75"/>
      <c r="C45" s="75"/>
      <c r="D45" s="75"/>
      <c r="E45" s="75"/>
    </row>
    <row r="46" spans="1:8" ht="15" customHeight="1">
      <c r="A46" s="75"/>
      <c r="B46" s="75"/>
      <c r="C46" s="75"/>
      <c r="D46" s="75"/>
      <c r="E46" s="75"/>
    </row>
    <row r="47" spans="1:8" ht="15" customHeight="1">
      <c r="A47" s="75"/>
      <c r="B47" s="75"/>
      <c r="C47" s="75"/>
      <c r="D47" s="75"/>
      <c r="E47" s="75"/>
    </row>
    <row r="48" spans="1:8" ht="15" customHeight="1">
      <c r="A48" s="75"/>
      <c r="B48" s="75"/>
      <c r="C48" s="75"/>
      <c r="D48" s="75"/>
      <c r="E48" s="75"/>
    </row>
    <row r="54" spans="1:6" ht="32" customHeight="1">
      <c r="A54" s="73" t="s">
        <v>3665</v>
      </c>
      <c r="B54" s="73"/>
      <c r="C54" s="73"/>
      <c r="D54" s="73"/>
      <c r="E54" s="73"/>
    </row>
    <row r="55" spans="1:6" ht="16" thickBot="1">
      <c r="A55" s="1" t="s">
        <v>2654</v>
      </c>
      <c r="B55" s="2" t="s">
        <v>2655</v>
      </c>
      <c r="C55" s="2" t="s">
        <v>3582</v>
      </c>
      <c r="D55" s="3" t="s">
        <v>3663</v>
      </c>
      <c r="E55" s="3" t="s">
        <v>3664</v>
      </c>
      <c r="F55" s="43"/>
    </row>
    <row r="56" spans="1:6" ht="16" thickTop="1">
      <c r="A56" s="6" t="s">
        <v>2663</v>
      </c>
      <c r="B56" s="7" t="s">
        <v>3630</v>
      </c>
      <c r="C56" s="34">
        <v>726</v>
      </c>
      <c r="D56" s="36">
        <v>117.72972972972973</v>
      </c>
      <c r="E56" s="35" t="str" cm="1">
        <f t="array" ref="E56">_xlfn.IFS(D56&lt;=6,"segera restock",D56&lt;=24,"aman",D56&gt;24,"evaluasi")</f>
        <v>evaluasi</v>
      </c>
    </row>
    <row r="57" spans="1:6">
      <c r="A57" s="4" t="s">
        <v>2665</v>
      </c>
      <c r="B57" s="5" t="s">
        <v>2666</v>
      </c>
      <c r="C57" s="33">
        <v>532</v>
      </c>
      <c r="D57" s="35">
        <v>93.882352941176464</v>
      </c>
      <c r="E57" s="35" t="str" cm="1">
        <f t="array" ref="E57">_xlfn.IFS(D57&lt;=6,"segera restock",D57&lt;=24,"aman",D57&gt;24,"evaluasi")</f>
        <v>evaluasi</v>
      </c>
    </row>
    <row r="58" spans="1:6">
      <c r="A58" s="6" t="s">
        <v>2685</v>
      </c>
      <c r="B58" s="7" t="s">
        <v>2686</v>
      </c>
      <c r="C58" s="34">
        <v>422</v>
      </c>
      <c r="D58" s="36">
        <v>64.92307692307692</v>
      </c>
      <c r="E58" s="35" t="str" cm="1">
        <f t="array" ref="E58">_xlfn.IFS(D58&lt;=6,"segera restock",D58&lt;=24,"aman",D58&gt;24,"evaluasi")</f>
        <v>evaluasi</v>
      </c>
    </row>
    <row r="59" spans="1:6">
      <c r="A59" s="4" t="s">
        <v>2671</v>
      </c>
      <c r="B59" s="5" t="s">
        <v>2672</v>
      </c>
      <c r="C59" s="33">
        <v>334</v>
      </c>
      <c r="D59" s="35">
        <v>60.727272727272727</v>
      </c>
      <c r="E59" s="35" t="str" cm="1">
        <f t="array" ref="E59">_xlfn.IFS(D59&lt;=6,"segera restock",D59&lt;=24,"aman",D59&gt;24,"evaluasi")</f>
        <v>evaluasi</v>
      </c>
    </row>
    <row r="60" spans="1:6">
      <c r="A60" s="6" t="s">
        <v>2692</v>
      </c>
      <c r="B60" s="7" t="s">
        <v>2693</v>
      </c>
      <c r="C60" s="34">
        <v>272</v>
      </c>
      <c r="D60" s="36">
        <v>41.846153846153847</v>
      </c>
      <c r="E60" s="35" t="str" cm="1">
        <f t="array" ref="E60">_xlfn.IFS(D60&lt;=6,"segera restock",D60&lt;=24,"aman",D60&gt;24,"evaluasi")</f>
        <v>evaluasi</v>
      </c>
    </row>
    <row r="61" spans="1:6">
      <c r="A61" s="4" t="s">
        <v>2668</v>
      </c>
      <c r="B61" s="5" t="s">
        <v>2669</v>
      </c>
      <c r="C61" s="33">
        <v>172</v>
      </c>
      <c r="D61" s="35">
        <v>26.46153846153846</v>
      </c>
      <c r="E61" s="35" t="str" cm="1">
        <f t="array" ref="E61">_xlfn.IFS(D61&lt;=6,"segera restock",D61&lt;=24,"aman",D61&gt;24,"evaluasi")</f>
        <v>evaluasi</v>
      </c>
    </row>
    <row r="62" spans="1:6">
      <c r="A62" s="6" t="s">
        <v>2682</v>
      </c>
      <c r="B62" s="7" t="s">
        <v>2683</v>
      </c>
      <c r="C62" s="34">
        <v>116</v>
      </c>
      <c r="D62" s="36">
        <v>21.75</v>
      </c>
      <c r="E62" s="35" t="str" cm="1">
        <f t="array" ref="E62">_xlfn.IFS(D62&lt;=6,"segera restock",D62&lt;=24,"aman",D62&gt;24,"evaluasi")</f>
        <v>aman</v>
      </c>
    </row>
    <row r="63" spans="1:6">
      <c r="A63" s="4" t="s">
        <v>2688</v>
      </c>
      <c r="B63" s="5" t="s">
        <v>2689</v>
      </c>
      <c r="C63" s="33">
        <v>91</v>
      </c>
      <c r="D63" s="35">
        <v>18.508474576271187</v>
      </c>
      <c r="E63" s="35" t="str" cm="1">
        <f t="array" ref="E63">_xlfn.IFS(D63&lt;=6,"segera restock",D63&lt;=24,"aman",D63&gt;24,"evaluasi")</f>
        <v>aman</v>
      </c>
    </row>
    <row r="64" spans="1:6">
      <c r="A64" s="6" t="s">
        <v>2659</v>
      </c>
      <c r="B64" s="7" t="s">
        <v>2660</v>
      </c>
      <c r="C64" s="34">
        <v>118</v>
      </c>
      <c r="D64" s="36">
        <v>17.26829268292683</v>
      </c>
      <c r="E64" s="35" t="str" cm="1">
        <f t="array" ref="E64">_xlfn.IFS(D64&lt;=6,"segera restock",D64&lt;=24,"aman",D64&gt;24,"evaluasi")</f>
        <v>aman</v>
      </c>
    </row>
    <row r="65" spans="1:8">
      <c r="A65" s="49" t="s">
        <v>2674</v>
      </c>
      <c r="B65" s="50" t="s">
        <v>2675</v>
      </c>
      <c r="C65" s="51">
        <v>30</v>
      </c>
      <c r="D65" s="52">
        <v>5.1428571428571432</v>
      </c>
      <c r="E65" s="35" t="str" cm="1">
        <f t="array" ref="E65">_xlfn.IFS(D65&lt;=6,"segera restock",D65&lt;=24,"aman",D65&gt;24,"evaluasi")</f>
        <v>segera restock</v>
      </c>
    </row>
    <row r="67" spans="1:8" ht="15" customHeight="1">
      <c r="A67" t="s">
        <v>3674</v>
      </c>
      <c r="B67" s="76" t="s">
        <v>3686</v>
      </c>
      <c r="C67" s="76"/>
      <c r="D67" s="76"/>
      <c r="E67" s="76"/>
    </row>
    <row r="68" spans="1:8">
      <c r="B68" s="76"/>
      <c r="C68" s="76"/>
      <c r="D68" s="76"/>
      <c r="E68" s="76"/>
    </row>
    <row r="69" spans="1:8">
      <c r="B69" s="76"/>
      <c r="C69" s="76"/>
      <c r="D69" s="76"/>
      <c r="E69" s="76"/>
    </row>
    <row r="71" spans="1:8" ht="33">
      <c r="A71" s="72" t="s">
        <v>3666</v>
      </c>
      <c r="B71" s="72"/>
      <c r="C71" s="72"/>
      <c r="D71" s="72"/>
      <c r="E71" s="72"/>
      <c r="F71" s="72"/>
      <c r="G71" s="72"/>
    </row>
    <row r="74" spans="1:8" ht="21">
      <c r="A74" s="9" t="s">
        <v>3668</v>
      </c>
      <c r="E74" s="37" t="s">
        <v>3669</v>
      </c>
    </row>
    <row r="75" spans="1:8" ht="16" thickBot="1">
      <c r="A75" s="24" t="s">
        <v>3633</v>
      </c>
      <c r="B75" t="s">
        <v>3635</v>
      </c>
      <c r="E75" s="1" t="s">
        <v>3584</v>
      </c>
      <c r="F75" s="2" t="s">
        <v>3585</v>
      </c>
      <c r="G75" s="2" t="s">
        <v>317</v>
      </c>
      <c r="H75" s="2" t="s">
        <v>2657</v>
      </c>
    </row>
    <row r="76" spans="1:8" ht="16" thickTop="1">
      <c r="A76" s="24" t="s">
        <v>3634</v>
      </c>
      <c r="B76" t="s">
        <v>3632</v>
      </c>
      <c r="E76" s="4" t="s">
        <v>3587</v>
      </c>
      <c r="F76" s="5" t="s">
        <v>3588</v>
      </c>
      <c r="G76" s="5" t="s">
        <v>325</v>
      </c>
      <c r="H76" s="5" t="s">
        <v>3589</v>
      </c>
    </row>
    <row r="77" spans="1:8">
      <c r="E77" s="6" t="s">
        <v>3591</v>
      </c>
      <c r="F77" s="7" t="s">
        <v>3592</v>
      </c>
      <c r="G77" s="7" t="s">
        <v>334</v>
      </c>
      <c r="H77" s="7" t="s">
        <v>3589</v>
      </c>
    </row>
    <row r="78" spans="1:8">
      <c r="A78" s="24" t="s">
        <v>3667</v>
      </c>
      <c r="B78" t="s">
        <v>3654</v>
      </c>
      <c r="C78" t="s">
        <v>3670</v>
      </c>
      <c r="E78" s="4" t="s">
        <v>3594</v>
      </c>
      <c r="F78" s="5" t="s">
        <v>3595</v>
      </c>
      <c r="G78" s="5" t="s">
        <v>337</v>
      </c>
      <c r="H78" s="5" t="s">
        <v>3589</v>
      </c>
    </row>
    <row r="79" spans="1:8">
      <c r="A79" s="21" t="s">
        <v>337</v>
      </c>
      <c r="B79">
        <v>138</v>
      </c>
      <c r="C79" s="12">
        <v>38586141</v>
      </c>
      <c r="E79" s="6" t="s">
        <v>3597</v>
      </c>
      <c r="F79" s="7" t="s">
        <v>3598</v>
      </c>
      <c r="G79" s="7" t="s">
        <v>3599</v>
      </c>
      <c r="H79" s="7" t="s">
        <v>3589</v>
      </c>
    </row>
    <row r="80" spans="1:8">
      <c r="A80" s="21" t="s">
        <v>322</v>
      </c>
      <c r="B80">
        <v>131</v>
      </c>
      <c r="C80" s="12">
        <v>40015154</v>
      </c>
      <c r="E80" s="4" t="s">
        <v>3601</v>
      </c>
      <c r="F80" s="5" t="s">
        <v>3602</v>
      </c>
      <c r="G80" s="5" t="s">
        <v>339</v>
      </c>
      <c r="H80" s="5" t="s">
        <v>3589</v>
      </c>
    </row>
    <row r="81" spans="1:8">
      <c r="A81" s="21" t="s">
        <v>334</v>
      </c>
      <c r="B81">
        <v>134</v>
      </c>
      <c r="C81" s="12">
        <v>40831682</v>
      </c>
      <c r="E81" s="6" t="s">
        <v>3604</v>
      </c>
      <c r="F81" s="7" t="s">
        <v>3605</v>
      </c>
      <c r="G81" s="7" t="s">
        <v>3606</v>
      </c>
      <c r="H81" s="7" t="s">
        <v>3607</v>
      </c>
    </row>
    <row r="82" spans="1:8">
      <c r="A82" s="21" t="s">
        <v>339</v>
      </c>
      <c r="B82">
        <v>139</v>
      </c>
      <c r="C82" s="12">
        <v>41437058</v>
      </c>
      <c r="E82" s="4" t="s">
        <v>3609</v>
      </c>
      <c r="F82" s="5" t="s">
        <v>3610</v>
      </c>
      <c r="G82" s="5" t="s">
        <v>339</v>
      </c>
      <c r="H82" s="5" t="s">
        <v>3607</v>
      </c>
    </row>
    <row r="83" spans="1:8">
      <c r="A83" s="21" t="s">
        <v>325</v>
      </c>
      <c r="B83">
        <v>140</v>
      </c>
      <c r="C83" s="12">
        <v>43544061</v>
      </c>
      <c r="E83" s="6" t="s">
        <v>3612</v>
      </c>
      <c r="F83" s="7" t="s">
        <v>3613</v>
      </c>
      <c r="G83" s="7" t="s">
        <v>328</v>
      </c>
      <c r="H83" s="7" t="s">
        <v>3607</v>
      </c>
    </row>
    <row r="84" spans="1:8">
      <c r="A84" s="21" t="s">
        <v>328</v>
      </c>
      <c r="B84">
        <v>138</v>
      </c>
      <c r="C84" s="12">
        <v>43955911</v>
      </c>
      <c r="E84" s="4" t="s">
        <v>3615</v>
      </c>
      <c r="F84" s="5" t="s">
        <v>3616</v>
      </c>
      <c r="G84" s="5" t="s">
        <v>325</v>
      </c>
      <c r="H84" s="5" t="s">
        <v>3589</v>
      </c>
    </row>
    <row r="85" spans="1:8">
      <c r="A85" s="21" t="s">
        <v>3631</v>
      </c>
      <c r="B85">
        <v>820</v>
      </c>
      <c r="C85" s="12">
        <v>248370007</v>
      </c>
      <c r="E85" s="19" t="s">
        <v>3618</v>
      </c>
      <c r="F85" s="20" t="s">
        <v>3619</v>
      </c>
      <c r="G85" s="20" t="s">
        <v>337</v>
      </c>
      <c r="H85" s="20" t="s">
        <v>3607</v>
      </c>
    </row>
    <row r="87" spans="1:8" ht="15" customHeight="1">
      <c r="A87" s="71" t="s">
        <v>3677</v>
      </c>
      <c r="B87" s="71"/>
      <c r="C87" s="71"/>
      <c r="D87" s="71"/>
      <c r="E87" s="71"/>
    </row>
    <row r="88" spans="1:8">
      <c r="A88" s="71"/>
      <c r="B88" s="71"/>
      <c r="C88" s="71"/>
      <c r="D88" s="71"/>
      <c r="E88" s="71"/>
    </row>
    <row r="89" spans="1:8">
      <c r="A89" s="71"/>
      <c r="B89" s="71"/>
      <c r="C89" s="71"/>
      <c r="D89" s="71"/>
      <c r="E89" s="71"/>
    </row>
    <row r="90" spans="1:8">
      <c r="A90" s="71"/>
      <c r="B90" s="71"/>
      <c r="C90" s="71"/>
      <c r="D90" s="71"/>
      <c r="E90" s="71"/>
    </row>
    <row r="91" spans="1:8">
      <c r="A91" s="71"/>
      <c r="B91" s="71"/>
      <c r="C91" s="71"/>
      <c r="D91" s="71"/>
      <c r="E91" s="71"/>
    </row>
    <row r="92" spans="1:8">
      <c r="A92" s="71"/>
      <c r="B92" s="71"/>
      <c r="C92" s="71"/>
      <c r="D92" s="71"/>
      <c r="E92" s="71"/>
    </row>
    <row r="93" spans="1:8">
      <c r="A93" s="71"/>
      <c r="B93" s="71"/>
      <c r="C93" s="71"/>
      <c r="D93" s="71"/>
      <c r="E93" s="71"/>
    </row>
    <row r="94" spans="1:8">
      <c r="A94" s="71"/>
      <c r="B94" s="71"/>
      <c r="C94" s="71"/>
      <c r="D94" s="71"/>
      <c r="E94" s="71"/>
    </row>
    <row r="95" spans="1:8">
      <c r="A95" s="71"/>
      <c r="B95" s="71"/>
      <c r="C95" s="71"/>
      <c r="D95" s="71"/>
      <c r="E95" s="71"/>
    </row>
  </sheetData>
  <autoFilter ref="A55:E65" xr:uid="{FC80BEA2-5845-8D4D-804D-D4C7D98695DE}">
    <sortState xmlns:xlrd2="http://schemas.microsoft.com/office/spreadsheetml/2017/richdata2" ref="A56:E65">
      <sortCondition descending="1" ref="D55:D65"/>
    </sortState>
  </autoFilter>
  <mergeCells count="9">
    <mergeCell ref="A3:F3"/>
    <mergeCell ref="A29:F29"/>
    <mergeCell ref="A25:F27"/>
    <mergeCell ref="A14:E14"/>
    <mergeCell ref="A87:E95"/>
    <mergeCell ref="A71:G71"/>
    <mergeCell ref="A54:E54"/>
    <mergeCell ref="A41:E48"/>
    <mergeCell ref="B67:E69"/>
  </mergeCells>
  <pageMargins left="0.7" right="0.7" top="0.75" bottom="0.75" header="0.3" footer="0.3"/>
  <pageSetup paperSize="9" orientation="portrait" horizontalDpi="0" verticalDpi="0"/>
  <tableParts count="2"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320"/>
  <sheetViews>
    <sheetView workbookViewId="0">
      <selection activeCell="P2072" sqref="P2072"/>
    </sheetView>
  </sheetViews>
  <sheetFormatPr baseColWidth="10" defaultColWidth="8.83203125" defaultRowHeight="15"/>
  <cols>
    <col min="1" max="2" width="12" customWidth="1"/>
    <col min="3" max="3" width="10.1640625" style="8" bestFit="1" customWidth="1"/>
    <col min="4" max="4" width="15.6640625" bestFit="1" customWidth="1"/>
    <col min="5" max="5" width="13.33203125" bestFit="1" customWidth="1"/>
    <col min="6" max="7" width="15.6640625" style="12" customWidth="1"/>
    <col min="8" max="8" width="13" style="13" customWidth="1"/>
    <col min="16" max="16" width="14" bestFit="1" customWidth="1"/>
    <col min="17" max="17" width="16.6640625" bestFit="1" customWidth="1"/>
    <col min="18" max="18" width="22.1640625" bestFit="1" customWidth="1"/>
  </cols>
  <sheetData>
    <row r="1" spans="1:8">
      <c r="A1" t="s">
        <v>314</v>
      </c>
      <c r="B1" t="s">
        <v>0</v>
      </c>
      <c r="C1" s="8" t="s">
        <v>315</v>
      </c>
      <c r="D1" t="s">
        <v>316</v>
      </c>
      <c r="E1" t="s">
        <v>317</v>
      </c>
      <c r="F1" s="22" t="s">
        <v>318</v>
      </c>
      <c r="G1" s="22" t="s">
        <v>2</v>
      </c>
      <c r="H1" s="23" t="s">
        <v>319</v>
      </c>
    </row>
    <row r="2" spans="1:8">
      <c r="A2" t="s">
        <v>320</v>
      </c>
      <c r="B2" t="s">
        <v>309</v>
      </c>
      <c r="C2" s="8">
        <v>45952</v>
      </c>
      <c r="D2" t="s">
        <v>321</v>
      </c>
      <c r="E2" t="s">
        <v>322</v>
      </c>
      <c r="F2" s="12">
        <v>279317</v>
      </c>
      <c r="G2" s="12" t="str">
        <f>VLOOKUP(Table2[[#This Row],[MemberID]],Table1[#All],3,0)</f>
        <v>Gold</v>
      </c>
      <c r="H2" s="13">
        <v>27</v>
      </c>
    </row>
    <row r="3" spans="1:8">
      <c r="A3" t="s">
        <v>323</v>
      </c>
      <c r="B3" t="s">
        <v>95</v>
      </c>
      <c r="C3" s="8">
        <v>46085</v>
      </c>
      <c r="D3" t="s">
        <v>324</v>
      </c>
      <c r="E3" t="s">
        <v>325</v>
      </c>
      <c r="F3" s="12">
        <v>231334</v>
      </c>
      <c r="G3" s="12" t="str">
        <f>VLOOKUP(Table2[[#This Row],[MemberID]],Table1[#All],3,0)</f>
        <v>Silver</v>
      </c>
      <c r="H3" s="13">
        <v>23</v>
      </c>
    </row>
    <row r="4" spans="1:8">
      <c r="A4" t="s">
        <v>326</v>
      </c>
      <c r="B4" t="s">
        <v>289</v>
      </c>
      <c r="C4" s="8">
        <v>46141</v>
      </c>
      <c r="D4" t="s">
        <v>327</v>
      </c>
      <c r="E4" t="s">
        <v>328</v>
      </c>
      <c r="F4" s="12">
        <v>586040</v>
      </c>
      <c r="G4" s="12" t="str">
        <f>VLOOKUP(Table2[[#This Row],[MemberID]],Table1[#All],3,0)</f>
        <v>Silver</v>
      </c>
      <c r="H4" s="13">
        <v>58</v>
      </c>
    </row>
    <row r="5" spans="1:8">
      <c r="A5" t="s">
        <v>329</v>
      </c>
      <c r="B5" t="s">
        <v>47</v>
      </c>
      <c r="C5" s="8">
        <v>45977</v>
      </c>
      <c r="D5" t="s">
        <v>330</v>
      </c>
      <c r="E5" t="s">
        <v>325</v>
      </c>
      <c r="F5" s="12">
        <v>201461</v>
      </c>
      <c r="G5" s="12" t="str">
        <f>VLOOKUP(Table2[[#This Row],[MemberID]],Table1[#All],3,0)</f>
        <v>Silver</v>
      </c>
      <c r="H5" s="13">
        <v>20</v>
      </c>
    </row>
    <row r="6" spans="1:8">
      <c r="A6" t="s">
        <v>331</v>
      </c>
      <c r="B6" t="s">
        <v>147</v>
      </c>
      <c r="C6" s="8">
        <v>46015</v>
      </c>
      <c r="D6" t="s">
        <v>332</v>
      </c>
      <c r="E6" t="s">
        <v>322</v>
      </c>
      <c r="F6" s="12">
        <v>404247</v>
      </c>
      <c r="G6" s="12" t="str">
        <f>VLOOKUP(Table2[[#This Row],[MemberID]],Table1[#All],3,0)</f>
        <v>Silver</v>
      </c>
      <c r="H6" s="13">
        <v>40</v>
      </c>
    </row>
    <row r="7" spans="1:8">
      <c r="A7" t="s">
        <v>333</v>
      </c>
      <c r="B7" t="s">
        <v>174</v>
      </c>
      <c r="C7" s="8">
        <v>46228</v>
      </c>
      <c r="D7" t="s">
        <v>321</v>
      </c>
      <c r="E7" t="s">
        <v>334</v>
      </c>
      <c r="F7" s="12">
        <v>355497</v>
      </c>
      <c r="G7" s="12" t="str">
        <f>VLOOKUP(Table2[[#This Row],[MemberID]],Table1[#All],3,0)</f>
        <v>Silver</v>
      </c>
      <c r="H7" s="13">
        <v>35</v>
      </c>
    </row>
    <row r="8" spans="1:8">
      <c r="A8" t="s">
        <v>335</v>
      </c>
      <c r="B8" t="s">
        <v>141</v>
      </c>
      <c r="C8" s="8">
        <v>45944</v>
      </c>
      <c r="D8" t="s">
        <v>321</v>
      </c>
      <c r="E8" t="s">
        <v>334</v>
      </c>
      <c r="F8" s="12">
        <v>69450</v>
      </c>
      <c r="G8" s="12" t="str">
        <f>VLOOKUP(Table2[[#This Row],[MemberID]],Table1[#All],3,0)</f>
        <v>Silver</v>
      </c>
      <c r="H8" s="13">
        <v>6</v>
      </c>
    </row>
    <row r="9" spans="1:8">
      <c r="A9" t="s">
        <v>336</v>
      </c>
      <c r="B9" t="s">
        <v>132</v>
      </c>
      <c r="C9" s="8">
        <v>45975</v>
      </c>
      <c r="D9" t="s">
        <v>324</v>
      </c>
      <c r="E9" t="s">
        <v>337</v>
      </c>
      <c r="F9" s="12">
        <v>233276</v>
      </c>
      <c r="G9" s="12" t="str">
        <f>VLOOKUP(Table2[[#This Row],[MemberID]],Table1[#All],3,0)</f>
        <v>Silver</v>
      </c>
      <c r="H9" s="13">
        <v>23</v>
      </c>
    </row>
    <row r="10" spans="1:8">
      <c r="A10" t="s">
        <v>338</v>
      </c>
      <c r="B10" t="s">
        <v>40</v>
      </c>
      <c r="C10" s="8">
        <v>46240</v>
      </c>
      <c r="D10" t="s">
        <v>321</v>
      </c>
      <c r="E10" t="s">
        <v>339</v>
      </c>
      <c r="F10" s="12">
        <v>25000</v>
      </c>
      <c r="G10" s="12" t="str">
        <f>VLOOKUP(Table2[[#This Row],[MemberID]],Table1[#All],3,0)</f>
        <v>Gold</v>
      </c>
      <c r="H10" s="13">
        <v>2</v>
      </c>
    </row>
    <row r="11" spans="1:8">
      <c r="A11" t="s">
        <v>340</v>
      </c>
      <c r="B11" t="s">
        <v>8</v>
      </c>
      <c r="C11" s="8">
        <v>46084</v>
      </c>
      <c r="D11" t="s">
        <v>332</v>
      </c>
      <c r="E11" t="s">
        <v>337</v>
      </c>
      <c r="F11" s="12">
        <v>318175</v>
      </c>
      <c r="G11" s="12" t="str">
        <f>VLOOKUP(Table2[[#This Row],[MemberID]],Table1[#All],3,0)</f>
        <v>Gold</v>
      </c>
      <c r="H11" s="13">
        <v>31</v>
      </c>
    </row>
    <row r="12" spans="1:8">
      <c r="A12" t="s">
        <v>341</v>
      </c>
      <c r="B12" t="s">
        <v>51</v>
      </c>
      <c r="C12" s="8">
        <v>46115</v>
      </c>
      <c r="D12" t="s">
        <v>342</v>
      </c>
      <c r="E12" t="s">
        <v>339</v>
      </c>
      <c r="F12" s="12">
        <v>548410</v>
      </c>
      <c r="G12" s="12" t="str">
        <f>VLOOKUP(Table2[[#This Row],[MemberID]],Table1[#All],3,0)</f>
        <v>Gold</v>
      </c>
      <c r="H12" s="13">
        <v>54</v>
      </c>
    </row>
    <row r="13" spans="1:8">
      <c r="A13" t="s">
        <v>343</v>
      </c>
      <c r="B13" t="s">
        <v>246</v>
      </c>
      <c r="C13" s="8">
        <v>46090</v>
      </c>
      <c r="D13" t="s">
        <v>344</v>
      </c>
      <c r="E13" t="s">
        <v>337</v>
      </c>
      <c r="F13" s="12">
        <v>351666</v>
      </c>
      <c r="G13" s="12" t="str">
        <f>VLOOKUP(Table2[[#This Row],[MemberID]],Table1[#All],3,0)</f>
        <v>Gold</v>
      </c>
      <c r="H13" s="13">
        <v>35</v>
      </c>
    </row>
    <row r="14" spans="1:8">
      <c r="A14" t="s">
        <v>345</v>
      </c>
      <c r="B14" t="s">
        <v>6</v>
      </c>
      <c r="C14" s="8">
        <v>46173</v>
      </c>
      <c r="D14" t="s">
        <v>332</v>
      </c>
      <c r="E14" t="s">
        <v>325</v>
      </c>
      <c r="F14" s="12">
        <v>432010</v>
      </c>
      <c r="G14" s="12" t="str">
        <f>VLOOKUP(Table2[[#This Row],[MemberID]],Table1[#All],3,0)</f>
        <v>Silver</v>
      </c>
      <c r="H14" s="13">
        <v>43</v>
      </c>
    </row>
    <row r="15" spans="1:8">
      <c r="A15" t="s">
        <v>346</v>
      </c>
      <c r="B15" t="s">
        <v>177</v>
      </c>
      <c r="C15" s="8">
        <v>46206</v>
      </c>
      <c r="D15" t="s">
        <v>330</v>
      </c>
      <c r="E15" t="s">
        <v>334</v>
      </c>
      <c r="F15" s="12">
        <v>32071</v>
      </c>
      <c r="G15" s="12" t="str">
        <f>VLOOKUP(Table2[[#This Row],[MemberID]],Table1[#All],3,0)</f>
        <v>Silver</v>
      </c>
      <c r="H15" s="13">
        <v>3</v>
      </c>
    </row>
    <row r="16" spans="1:8">
      <c r="A16" t="s">
        <v>347</v>
      </c>
      <c r="B16" t="s">
        <v>272</v>
      </c>
      <c r="C16" s="8">
        <v>46007</v>
      </c>
      <c r="D16" t="s">
        <v>321</v>
      </c>
      <c r="E16" t="s">
        <v>325</v>
      </c>
      <c r="F16" s="12">
        <v>148908</v>
      </c>
      <c r="G16" s="12" t="str">
        <f>VLOOKUP(Table2[[#This Row],[MemberID]],Table1[#All],3,0)</f>
        <v>Silver</v>
      </c>
      <c r="H16" s="13">
        <v>14</v>
      </c>
    </row>
    <row r="17" spans="1:8">
      <c r="A17" t="s">
        <v>348</v>
      </c>
      <c r="B17" t="s">
        <v>287</v>
      </c>
      <c r="C17" s="8">
        <v>45992</v>
      </c>
      <c r="D17" t="s">
        <v>327</v>
      </c>
      <c r="E17" t="s">
        <v>339</v>
      </c>
      <c r="F17" s="12">
        <v>197239</v>
      </c>
      <c r="G17" s="12" t="str">
        <f>VLOOKUP(Table2[[#This Row],[MemberID]],Table1[#All],3,0)</f>
        <v>Gold</v>
      </c>
      <c r="H17" s="13">
        <v>19</v>
      </c>
    </row>
    <row r="18" spans="1:8">
      <c r="A18" t="s">
        <v>349</v>
      </c>
      <c r="B18" t="s">
        <v>218</v>
      </c>
      <c r="C18" s="8">
        <v>46178</v>
      </c>
      <c r="D18" t="s">
        <v>350</v>
      </c>
      <c r="E18" t="s">
        <v>325</v>
      </c>
      <c r="F18" s="12">
        <v>296208</v>
      </c>
      <c r="G18" s="12" t="str">
        <f>VLOOKUP(Table2[[#This Row],[MemberID]],Table1[#All],3,0)</f>
        <v>Gold</v>
      </c>
      <c r="H18" s="13">
        <v>29</v>
      </c>
    </row>
    <row r="19" spans="1:8">
      <c r="A19" t="s">
        <v>351</v>
      </c>
      <c r="B19" t="s">
        <v>261</v>
      </c>
      <c r="C19" s="8">
        <v>45948</v>
      </c>
      <c r="D19" t="s">
        <v>344</v>
      </c>
      <c r="E19" t="s">
        <v>339</v>
      </c>
      <c r="F19" s="12">
        <v>571577</v>
      </c>
      <c r="G19" s="12" t="str">
        <f>VLOOKUP(Table2[[#This Row],[MemberID]],Table1[#All],3,0)</f>
        <v>Silver</v>
      </c>
      <c r="H19" s="13">
        <v>57</v>
      </c>
    </row>
    <row r="20" spans="1:8">
      <c r="A20" t="s">
        <v>352</v>
      </c>
      <c r="B20" t="s">
        <v>177</v>
      </c>
      <c r="C20" s="8">
        <v>45969</v>
      </c>
      <c r="D20" t="s">
        <v>344</v>
      </c>
      <c r="E20" t="s">
        <v>339</v>
      </c>
      <c r="F20" s="12">
        <v>646708</v>
      </c>
      <c r="G20" s="12" t="str">
        <f>VLOOKUP(Table2[[#This Row],[MemberID]],Table1[#All],3,0)</f>
        <v>Silver</v>
      </c>
      <c r="H20" s="13">
        <v>64</v>
      </c>
    </row>
    <row r="21" spans="1:8">
      <c r="A21" t="s">
        <v>353</v>
      </c>
      <c r="B21" t="s">
        <v>231</v>
      </c>
      <c r="C21" s="8">
        <v>46093</v>
      </c>
      <c r="D21" t="s">
        <v>350</v>
      </c>
      <c r="E21" t="s">
        <v>337</v>
      </c>
      <c r="F21" s="12">
        <v>107213</v>
      </c>
      <c r="G21" s="12" t="str">
        <f>VLOOKUP(Table2[[#This Row],[MemberID]],Table1[#All],3,0)</f>
        <v>Silver</v>
      </c>
      <c r="H21" s="13">
        <v>10</v>
      </c>
    </row>
    <row r="22" spans="1:8">
      <c r="A22" t="s">
        <v>354</v>
      </c>
      <c r="B22" t="s">
        <v>23</v>
      </c>
      <c r="C22" s="8">
        <v>45953</v>
      </c>
      <c r="D22" t="s">
        <v>324</v>
      </c>
      <c r="E22" t="s">
        <v>325</v>
      </c>
      <c r="F22" s="12">
        <v>396958</v>
      </c>
      <c r="G22" s="12" t="str">
        <f>VLOOKUP(Table2[[#This Row],[MemberID]],Table1[#All],3,0)</f>
        <v>Silver</v>
      </c>
      <c r="H22" s="13">
        <v>39</v>
      </c>
    </row>
    <row r="23" spans="1:8">
      <c r="A23" t="s">
        <v>355</v>
      </c>
      <c r="B23" t="s">
        <v>159</v>
      </c>
      <c r="C23" s="8">
        <v>46268</v>
      </c>
      <c r="D23" t="s">
        <v>350</v>
      </c>
      <c r="E23" t="s">
        <v>325</v>
      </c>
      <c r="F23" s="12">
        <v>93030</v>
      </c>
      <c r="G23" s="12" t="str">
        <f>VLOOKUP(Table2[[#This Row],[MemberID]],Table1[#All],3,0)</f>
        <v>Gold</v>
      </c>
      <c r="H23" s="13">
        <v>9</v>
      </c>
    </row>
    <row r="24" spans="1:8">
      <c r="A24" t="s">
        <v>356</v>
      </c>
      <c r="B24" t="s">
        <v>144</v>
      </c>
      <c r="C24" s="8">
        <v>46255</v>
      </c>
      <c r="D24" t="s">
        <v>332</v>
      </c>
      <c r="E24" t="s">
        <v>325</v>
      </c>
      <c r="F24" s="12">
        <v>722095</v>
      </c>
      <c r="G24" s="12" t="str">
        <f>VLOOKUP(Table2[[#This Row],[MemberID]],Table1[#All],3,0)</f>
        <v>Platinum</v>
      </c>
      <c r="H24" s="13">
        <v>72</v>
      </c>
    </row>
    <row r="25" spans="1:8">
      <c r="A25" t="s">
        <v>357</v>
      </c>
      <c r="B25" t="s">
        <v>256</v>
      </c>
      <c r="C25" s="8">
        <v>46081</v>
      </c>
      <c r="D25" t="s">
        <v>324</v>
      </c>
      <c r="E25" t="s">
        <v>328</v>
      </c>
      <c r="F25" s="12">
        <v>127349</v>
      </c>
      <c r="G25" s="12" t="str">
        <f>VLOOKUP(Table2[[#This Row],[MemberID]],Table1[#All],3,0)</f>
        <v>Gold</v>
      </c>
      <c r="H25" s="13">
        <v>12</v>
      </c>
    </row>
    <row r="26" spans="1:8">
      <c r="A26" t="s">
        <v>358</v>
      </c>
      <c r="B26" t="s">
        <v>13</v>
      </c>
      <c r="C26" s="8">
        <v>46028</v>
      </c>
      <c r="D26" t="s">
        <v>324</v>
      </c>
      <c r="E26" t="s">
        <v>337</v>
      </c>
      <c r="F26" s="12">
        <v>222590</v>
      </c>
      <c r="G26" s="12" t="str">
        <f>VLOOKUP(Table2[[#This Row],[MemberID]],Table1[#All],3,0)</f>
        <v>Silver</v>
      </c>
      <c r="H26" s="13">
        <v>22</v>
      </c>
    </row>
    <row r="27" spans="1:8">
      <c r="A27" t="s">
        <v>359</v>
      </c>
      <c r="B27" t="s">
        <v>78</v>
      </c>
      <c r="C27" s="8">
        <v>45932</v>
      </c>
      <c r="D27" t="s">
        <v>330</v>
      </c>
      <c r="E27" t="s">
        <v>339</v>
      </c>
      <c r="F27" s="12">
        <v>358390</v>
      </c>
      <c r="G27" s="12" t="str">
        <f>VLOOKUP(Table2[[#This Row],[MemberID]],Table1[#All],3,0)</f>
        <v>Gold</v>
      </c>
      <c r="H27" s="13">
        <v>35</v>
      </c>
    </row>
    <row r="28" spans="1:8">
      <c r="A28" t="s">
        <v>360</v>
      </c>
      <c r="B28" t="s">
        <v>212</v>
      </c>
      <c r="C28" s="8">
        <v>46124</v>
      </c>
      <c r="D28" t="s">
        <v>327</v>
      </c>
      <c r="E28" t="s">
        <v>337</v>
      </c>
      <c r="F28" s="12">
        <v>763998</v>
      </c>
      <c r="G28" s="12" t="str">
        <f>VLOOKUP(Table2[[#This Row],[MemberID]],Table1[#All],3,0)</f>
        <v>Silver</v>
      </c>
      <c r="H28" s="13">
        <v>76</v>
      </c>
    </row>
    <row r="29" spans="1:8">
      <c r="A29" t="s">
        <v>361</v>
      </c>
      <c r="B29" t="s">
        <v>3</v>
      </c>
      <c r="C29" s="8">
        <v>46164</v>
      </c>
      <c r="D29" t="s">
        <v>350</v>
      </c>
      <c r="E29" t="s">
        <v>325</v>
      </c>
      <c r="F29" s="12">
        <v>361095</v>
      </c>
      <c r="G29" s="12" t="str">
        <f>VLOOKUP(Table2[[#This Row],[MemberID]],Table1[#All],3,0)</f>
        <v>Silver</v>
      </c>
      <c r="H29" s="13">
        <v>36</v>
      </c>
    </row>
    <row r="30" spans="1:8">
      <c r="A30" t="s">
        <v>362</v>
      </c>
      <c r="B30" t="s">
        <v>113</v>
      </c>
      <c r="C30" s="8">
        <v>45973</v>
      </c>
      <c r="D30" t="s">
        <v>324</v>
      </c>
      <c r="E30" t="s">
        <v>322</v>
      </c>
      <c r="F30" s="12">
        <v>897578</v>
      </c>
      <c r="G30" s="12" t="str">
        <f>VLOOKUP(Table2[[#This Row],[MemberID]],Table1[#All],3,0)</f>
        <v>Silver</v>
      </c>
      <c r="H30" s="13">
        <v>89</v>
      </c>
    </row>
    <row r="31" spans="1:8">
      <c r="A31" t="s">
        <v>363</v>
      </c>
      <c r="B31" t="s">
        <v>118</v>
      </c>
      <c r="C31" s="8">
        <v>45974</v>
      </c>
      <c r="D31" t="s">
        <v>342</v>
      </c>
      <c r="E31" t="s">
        <v>339</v>
      </c>
      <c r="F31" s="12">
        <v>308968</v>
      </c>
      <c r="G31" s="12" t="str">
        <f>VLOOKUP(Table2[[#This Row],[MemberID]],Table1[#All],3,0)</f>
        <v>Silver</v>
      </c>
      <c r="H31" s="13">
        <v>30</v>
      </c>
    </row>
    <row r="32" spans="1:8">
      <c r="A32" t="s">
        <v>364</v>
      </c>
      <c r="B32" t="s">
        <v>23</v>
      </c>
      <c r="C32" s="8">
        <v>46282</v>
      </c>
      <c r="D32" t="s">
        <v>342</v>
      </c>
      <c r="E32" t="s">
        <v>325</v>
      </c>
      <c r="F32" s="12">
        <v>40669</v>
      </c>
      <c r="G32" s="12" t="str">
        <f>VLOOKUP(Table2[[#This Row],[MemberID]],Table1[#All],3,0)</f>
        <v>Silver</v>
      </c>
      <c r="H32" s="13">
        <v>4</v>
      </c>
    </row>
    <row r="33" spans="1:8">
      <c r="A33" t="s">
        <v>365</v>
      </c>
      <c r="B33" t="s">
        <v>307</v>
      </c>
      <c r="C33" s="8">
        <v>46281</v>
      </c>
      <c r="D33" t="s">
        <v>324</v>
      </c>
      <c r="E33" t="s">
        <v>325</v>
      </c>
      <c r="F33" s="12">
        <v>560314</v>
      </c>
      <c r="G33" s="12" t="str">
        <f>VLOOKUP(Table2[[#This Row],[MemberID]],Table1[#All],3,0)</f>
        <v>Gold</v>
      </c>
      <c r="H33" s="13">
        <v>56</v>
      </c>
    </row>
    <row r="34" spans="1:8">
      <c r="A34" t="s">
        <v>366</v>
      </c>
      <c r="B34" t="s">
        <v>279</v>
      </c>
      <c r="C34" s="8">
        <v>45988</v>
      </c>
      <c r="D34" t="s">
        <v>350</v>
      </c>
      <c r="E34" t="s">
        <v>325</v>
      </c>
      <c r="F34" s="12">
        <v>648050</v>
      </c>
      <c r="G34" s="12" t="str">
        <f>VLOOKUP(Table2[[#This Row],[MemberID]],Table1[#All],3,0)</f>
        <v>Silver</v>
      </c>
      <c r="H34" s="13">
        <v>64</v>
      </c>
    </row>
    <row r="35" spans="1:8">
      <c r="A35" t="s">
        <v>367</v>
      </c>
      <c r="B35" t="s">
        <v>86</v>
      </c>
      <c r="C35" s="8">
        <v>46028</v>
      </c>
      <c r="D35" t="s">
        <v>344</v>
      </c>
      <c r="E35" t="s">
        <v>334</v>
      </c>
      <c r="F35" s="12">
        <v>348512</v>
      </c>
      <c r="G35" s="12" t="str">
        <f>VLOOKUP(Table2[[#This Row],[MemberID]],Table1[#All],3,0)</f>
        <v>Silver</v>
      </c>
      <c r="H35" s="13">
        <v>34</v>
      </c>
    </row>
    <row r="36" spans="1:8">
      <c r="A36" t="s">
        <v>368</v>
      </c>
      <c r="B36" t="s">
        <v>40</v>
      </c>
      <c r="C36" s="8">
        <v>46008</v>
      </c>
      <c r="D36" t="s">
        <v>344</v>
      </c>
      <c r="E36" t="s">
        <v>325</v>
      </c>
      <c r="F36" s="12">
        <v>59073</v>
      </c>
      <c r="G36" s="12" t="str">
        <f>VLOOKUP(Table2[[#This Row],[MemberID]],Table1[#All],3,0)</f>
        <v>Gold</v>
      </c>
      <c r="H36" s="13">
        <v>5</v>
      </c>
    </row>
    <row r="37" spans="1:8">
      <c r="A37" t="s">
        <v>369</v>
      </c>
      <c r="B37" t="s">
        <v>153</v>
      </c>
      <c r="C37" s="8">
        <v>46054</v>
      </c>
      <c r="D37" t="s">
        <v>327</v>
      </c>
      <c r="E37" t="s">
        <v>334</v>
      </c>
      <c r="F37" s="12">
        <v>34760</v>
      </c>
      <c r="G37" s="12" t="str">
        <f>VLOOKUP(Table2[[#This Row],[MemberID]],Table1[#All],3,0)</f>
        <v>Silver</v>
      </c>
      <c r="H37" s="13">
        <v>3</v>
      </c>
    </row>
    <row r="38" spans="1:8">
      <c r="A38" t="s">
        <v>370</v>
      </c>
      <c r="B38" t="s">
        <v>23</v>
      </c>
      <c r="C38" s="8">
        <v>46188</v>
      </c>
      <c r="D38" t="s">
        <v>330</v>
      </c>
      <c r="E38" t="s">
        <v>339</v>
      </c>
      <c r="F38" s="12">
        <v>767256</v>
      </c>
      <c r="G38" s="12" t="str">
        <f>VLOOKUP(Table2[[#This Row],[MemberID]],Table1[#All],3,0)</f>
        <v>Silver</v>
      </c>
      <c r="H38" s="13">
        <v>76</v>
      </c>
    </row>
    <row r="39" spans="1:8">
      <c r="A39" t="s">
        <v>371</v>
      </c>
      <c r="B39" t="s">
        <v>284</v>
      </c>
      <c r="C39" s="8">
        <v>46158</v>
      </c>
      <c r="D39" t="s">
        <v>332</v>
      </c>
      <c r="E39" t="s">
        <v>325</v>
      </c>
      <c r="F39" s="12">
        <v>83182</v>
      </c>
      <c r="G39" s="12" t="str">
        <f>VLOOKUP(Table2[[#This Row],[MemberID]],Table1[#All],3,0)</f>
        <v>Silver</v>
      </c>
      <c r="H39" s="13">
        <v>8</v>
      </c>
    </row>
    <row r="40" spans="1:8">
      <c r="A40" t="s">
        <v>372</v>
      </c>
      <c r="B40" t="s">
        <v>140</v>
      </c>
      <c r="C40" s="8">
        <v>46085</v>
      </c>
      <c r="D40" t="s">
        <v>332</v>
      </c>
      <c r="E40" t="s">
        <v>339</v>
      </c>
      <c r="F40" s="12">
        <v>361214</v>
      </c>
      <c r="G40" s="12" t="str">
        <f>VLOOKUP(Table2[[#This Row],[MemberID]],Table1[#All],3,0)</f>
        <v>Silver</v>
      </c>
      <c r="H40" s="13">
        <v>36</v>
      </c>
    </row>
    <row r="41" spans="1:8">
      <c r="A41" t="s">
        <v>373</v>
      </c>
      <c r="B41" t="s">
        <v>261</v>
      </c>
      <c r="C41" s="8">
        <v>45997</v>
      </c>
      <c r="D41" t="s">
        <v>332</v>
      </c>
      <c r="E41" t="s">
        <v>337</v>
      </c>
      <c r="F41" s="12">
        <v>567881</v>
      </c>
      <c r="G41" s="12" t="str">
        <f>VLOOKUP(Table2[[#This Row],[MemberID]],Table1[#All],3,0)</f>
        <v>Silver</v>
      </c>
      <c r="H41" s="13">
        <v>56</v>
      </c>
    </row>
    <row r="42" spans="1:8">
      <c r="A42" t="s">
        <v>374</v>
      </c>
      <c r="B42" t="s">
        <v>118</v>
      </c>
      <c r="C42" s="8">
        <v>46164</v>
      </c>
      <c r="D42" t="s">
        <v>344</v>
      </c>
      <c r="E42" t="s">
        <v>334</v>
      </c>
      <c r="F42" s="12">
        <v>601798</v>
      </c>
      <c r="G42" s="12" t="str">
        <f>VLOOKUP(Table2[[#This Row],[MemberID]],Table1[#All],3,0)</f>
        <v>Silver</v>
      </c>
      <c r="H42" s="13">
        <v>60</v>
      </c>
    </row>
    <row r="43" spans="1:8">
      <c r="A43" t="s">
        <v>375</v>
      </c>
      <c r="B43" t="s">
        <v>148</v>
      </c>
      <c r="C43" s="8">
        <v>45990</v>
      </c>
      <c r="D43" t="s">
        <v>332</v>
      </c>
      <c r="E43" t="s">
        <v>325</v>
      </c>
      <c r="F43" s="12">
        <v>50474</v>
      </c>
      <c r="G43" s="12" t="str">
        <f>VLOOKUP(Table2[[#This Row],[MemberID]],Table1[#All],3,0)</f>
        <v>Gold</v>
      </c>
      <c r="H43" s="13">
        <v>5</v>
      </c>
    </row>
    <row r="44" spans="1:8">
      <c r="A44" t="s">
        <v>376</v>
      </c>
      <c r="B44" t="s">
        <v>16</v>
      </c>
      <c r="C44" s="8">
        <v>46104</v>
      </c>
      <c r="D44" t="s">
        <v>342</v>
      </c>
      <c r="E44" t="s">
        <v>325</v>
      </c>
      <c r="F44" s="12">
        <v>135086</v>
      </c>
      <c r="G44" s="12" t="str">
        <f>VLOOKUP(Table2[[#This Row],[MemberID]],Table1[#All],3,0)</f>
        <v>Gold</v>
      </c>
      <c r="H44" s="13">
        <v>13</v>
      </c>
    </row>
    <row r="45" spans="1:8">
      <c r="A45" t="s">
        <v>377</v>
      </c>
      <c r="B45" t="s">
        <v>226</v>
      </c>
      <c r="C45" s="8">
        <v>46161</v>
      </c>
      <c r="D45" t="s">
        <v>321</v>
      </c>
      <c r="E45" t="s">
        <v>322</v>
      </c>
      <c r="F45" s="12">
        <v>353352</v>
      </c>
      <c r="G45" s="12" t="str">
        <f>VLOOKUP(Table2[[#This Row],[MemberID]],Table1[#All],3,0)</f>
        <v>Silver</v>
      </c>
      <c r="H45" s="13">
        <v>35</v>
      </c>
    </row>
    <row r="46" spans="1:8">
      <c r="A46" t="s">
        <v>378</v>
      </c>
      <c r="B46" t="s">
        <v>196</v>
      </c>
      <c r="C46" s="8">
        <v>46225</v>
      </c>
      <c r="D46" t="s">
        <v>324</v>
      </c>
      <c r="E46" t="s">
        <v>337</v>
      </c>
      <c r="F46" s="12">
        <v>388348</v>
      </c>
      <c r="G46" s="12" t="str">
        <f>VLOOKUP(Table2[[#This Row],[MemberID]],Table1[#All],3,0)</f>
        <v>Gold</v>
      </c>
      <c r="H46" s="13">
        <v>38</v>
      </c>
    </row>
    <row r="47" spans="1:8">
      <c r="A47" t="s">
        <v>379</v>
      </c>
      <c r="B47" t="s">
        <v>83</v>
      </c>
      <c r="C47" s="8">
        <v>45948</v>
      </c>
      <c r="D47" t="s">
        <v>321</v>
      </c>
      <c r="E47" t="s">
        <v>339</v>
      </c>
      <c r="F47" s="12">
        <v>299150</v>
      </c>
      <c r="G47" s="12" t="str">
        <f>VLOOKUP(Table2[[#This Row],[MemberID]],Table1[#All],3,0)</f>
        <v>Gold</v>
      </c>
      <c r="H47" s="13">
        <v>29</v>
      </c>
    </row>
    <row r="48" spans="1:8">
      <c r="A48" t="s">
        <v>380</v>
      </c>
      <c r="B48" t="s">
        <v>175</v>
      </c>
      <c r="C48" s="8">
        <v>45996</v>
      </c>
      <c r="D48" t="s">
        <v>330</v>
      </c>
      <c r="E48" t="s">
        <v>322</v>
      </c>
      <c r="F48" s="12">
        <v>78759</v>
      </c>
      <c r="G48" s="12" t="str">
        <f>VLOOKUP(Table2[[#This Row],[MemberID]],Table1[#All],3,0)</f>
        <v>Platinum</v>
      </c>
      <c r="H48" s="13">
        <v>7</v>
      </c>
    </row>
    <row r="49" spans="1:8">
      <c r="A49" t="s">
        <v>381</v>
      </c>
      <c r="B49" t="s">
        <v>141</v>
      </c>
      <c r="C49" s="8">
        <v>46121</v>
      </c>
      <c r="D49" t="s">
        <v>324</v>
      </c>
      <c r="E49" t="s">
        <v>339</v>
      </c>
      <c r="F49" s="12">
        <v>389207</v>
      </c>
      <c r="G49" s="12" t="str">
        <f>VLOOKUP(Table2[[#This Row],[MemberID]],Table1[#All],3,0)</f>
        <v>Silver</v>
      </c>
      <c r="H49" s="13">
        <v>38</v>
      </c>
    </row>
    <row r="50" spans="1:8">
      <c r="A50" t="s">
        <v>382</v>
      </c>
      <c r="B50" t="s">
        <v>8</v>
      </c>
      <c r="C50" s="8">
        <v>46020</v>
      </c>
      <c r="D50" t="s">
        <v>342</v>
      </c>
      <c r="E50" t="s">
        <v>339</v>
      </c>
      <c r="F50" s="12">
        <v>273415</v>
      </c>
      <c r="G50" s="12" t="str">
        <f>VLOOKUP(Table2[[#This Row],[MemberID]],Table1[#All],3,0)</f>
        <v>Gold</v>
      </c>
      <c r="H50" s="13">
        <v>27</v>
      </c>
    </row>
    <row r="51" spans="1:8">
      <c r="A51" t="s">
        <v>383</v>
      </c>
      <c r="B51" t="s">
        <v>56</v>
      </c>
      <c r="C51" s="8">
        <v>46159</v>
      </c>
      <c r="D51" t="s">
        <v>332</v>
      </c>
      <c r="E51" t="s">
        <v>328</v>
      </c>
      <c r="F51" s="12">
        <v>36111</v>
      </c>
      <c r="G51" s="12" t="str">
        <f>VLOOKUP(Table2[[#This Row],[MemberID]],Table1[#All],3,0)</f>
        <v>Gold</v>
      </c>
      <c r="H51" s="13">
        <v>3</v>
      </c>
    </row>
    <row r="52" spans="1:8">
      <c r="A52" t="s">
        <v>384</v>
      </c>
      <c r="B52" t="s">
        <v>310</v>
      </c>
      <c r="C52" s="8">
        <v>46261</v>
      </c>
      <c r="D52" t="s">
        <v>344</v>
      </c>
      <c r="E52" t="s">
        <v>337</v>
      </c>
      <c r="F52" s="12">
        <v>119551</v>
      </c>
      <c r="G52" s="12" t="str">
        <f>VLOOKUP(Table2[[#This Row],[MemberID]],Table1[#All],3,0)</f>
        <v>Silver</v>
      </c>
      <c r="H52" s="13">
        <v>11</v>
      </c>
    </row>
    <row r="53" spans="1:8">
      <c r="A53" t="s">
        <v>385</v>
      </c>
      <c r="B53" t="s">
        <v>242</v>
      </c>
      <c r="C53" s="8">
        <v>46030</v>
      </c>
      <c r="D53" t="s">
        <v>327</v>
      </c>
      <c r="E53" t="s">
        <v>334</v>
      </c>
      <c r="F53" s="12">
        <v>199635</v>
      </c>
      <c r="G53" s="12" t="str">
        <f>VLOOKUP(Table2[[#This Row],[MemberID]],Table1[#All],3,0)</f>
        <v>Silver</v>
      </c>
      <c r="H53" s="13">
        <v>19</v>
      </c>
    </row>
    <row r="54" spans="1:8">
      <c r="A54" t="s">
        <v>386</v>
      </c>
      <c r="B54" t="s">
        <v>205</v>
      </c>
      <c r="C54" s="8">
        <v>46080</v>
      </c>
      <c r="D54" t="s">
        <v>330</v>
      </c>
      <c r="E54" t="s">
        <v>322</v>
      </c>
      <c r="F54" s="12">
        <v>368526</v>
      </c>
      <c r="G54" s="12" t="str">
        <f>VLOOKUP(Table2[[#This Row],[MemberID]],Table1[#All],3,0)</f>
        <v>Silver</v>
      </c>
      <c r="H54" s="13">
        <v>36</v>
      </c>
    </row>
    <row r="55" spans="1:8">
      <c r="A55" t="s">
        <v>387</v>
      </c>
      <c r="B55" t="s">
        <v>212</v>
      </c>
      <c r="C55" s="8">
        <v>46179</v>
      </c>
      <c r="D55" t="s">
        <v>321</v>
      </c>
      <c r="E55" t="s">
        <v>339</v>
      </c>
      <c r="F55" s="12">
        <v>91134</v>
      </c>
      <c r="G55" s="12" t="str">
        <f>VLOOKUP(Table2[[#This Row],[MemberID]],Table1[#All],3,0)</f>
        <v>Silver</v>
      </c>
      <c r="H55" s="13">
        <v>9</v>
      </c>
    </row>
    <row r="56" spans="1:8">
      <c r="A56" t="s">
        <v>388</v>
      </c>
      <c r="B56" t="s">
        <v>173</v>
      </c>
      <c r="C56" s="8">
        <v>46277</v>
      </c>
      <c r="D56" t="s">
        <v>327</v>
      </c>
      <c r="E56" t="s">
        <v>322</v>
      </c>
      <c r="F56" s="12">
        <v>446506</v>
      </c>
      <c r="G56" s="12" t="str">
        <f>VLOOKUP(Table2[[#This Row],[MemberID]],Table1[#All],3,0)</f>
        <v>Gold</v>
      </c>
      <c r="H56" s="13">
        <v>44</v>
      </c>
    </row>
    <row r="57" spans="1:8">
      <c r="A57" t="s">
        <v>389</v>
      </c>
      <c r="B57" t="s">
        <v>150</v>
      </c>
      <c r="C57" s="8">
        <v>45989</v>
      </c>
      <c r="D57" t="s">
        <v>342</v>
      </c>
      <c r="E57" t="s">
        <v>325</v>
      </c>
      <c r="F57" s="12">
        <v>148629</v>
      </c>
      <c r="G57" s="12" t="str">
        <f>VLOOKUP(Table2[[#This Row],[MemberID]],Table1[#All],3,0)</f>
        <v>Gold</v>
      </c>
      <c r="H57" s="13">
        <v>14</v>
      </c>
    </row>
    <row r="58" spans="1:8">
      <c r="A58" t="s">
        <v>390</v>
      </c>
      <c r="B58" t="s">
        <v>200</v>
      </c>
      <c r="C58" s="8">
        <v>46005</v>
      </c>
      <c r="D58" t="s">
        <v>350</v>
      </c>
      <c r="E58" t="s">
        <v>325</v>
      </c>
      <c r="F58" s="12">
        <v>213851</v>
      </c>
      <c r="G58" s="12" t="str">
        <f>VLOOKUP(Table2[[#This Row],[MemberID]],Table1[#All],3,0)</f>
        <v>Silver</v>
      </c>
      <c r="H58" s="13">
        <v>21</v>
      </c>
    </row>
    <row r="59" spans="1:8">
      <c r="A59" t="s">
        <v>391</v>
      </c>
      <c r="B59" t="s">
        <v>302</v>
      </c>
      <c r="C59" s="8">
        <v>46166</v>
      </c>
      <c r="D59" t="s">
        <v>332</v>
      </c>
      <c r="E59" t="s">
        <v>339</v>
      </c>
      <c r="F59" s="12">
        <v>146766</v>
      </c>
      <c r="G59" s="12" t="str">
        <f>VLOOKUP(Table2[[#This Row],[MemberID]],Table1[#All],3,0)</f>
        <v>Gold</v>
      </c>
      <c r="H59" s="13">
        <v>14</v>
      </c>
    </row>
    <row r="60" spans="1:8">
      <c r="A60" t="s">
        <v>392</v>
      </c>
      <c r="B60" t="s">
        <v>69</v>
      </c>
      <c r="C60" s="8">
        <v>46142</v>
      </c>
      <c r="D60" t="s">
        <v>327</v>
      </c>
      <c r="E60" t="s">
        <v>337</v>
      </c>
      <c r="F60" s="12">
        <v>275636</v>
      </c>
      <c r="G60" s="12" t="str">
        <f>VLOOKUP(Table2[[#This Row],[MemberID]],Table1[#All],3,0)</f>
        <v>Gold</v>
      </c>
      <c r="H60" s="13">
        <v>27</v>
      </c>
    </row>
    <row r="61" spans="1:8">
      <c r="A61" t="s">
        <v>393</v>
      </c>
      <c r="B61" t="s">
        <v>233</v>
      </c>
      <c r="C61" s="8">
        <v>46223</v>
      </c>
      <c r="D61" t="s">
        <v>344</v>
      </c>
      <c r="E61" t="s">
        <v>339</v>
      </c>
      <c r="F61" s="12">
        <v>516174</v>
      </c>
      <c r="G61" s="12" t="str">
        <f>VLOOKUP(Table2[[#This Row],[MemberID]],Table1[#All],3,0)</f>
        <v>Gold</v>
      </c>
      <c r="H61" s="13">
        <v>51</v>
      </c>
    </row>
    <row r="62" spans="1:8">
      <c r="A62" t="s">
        <v>394</v>
      </c>
      <c r="B62" t="s">
        <v>153</v>
      </c>
      <c r="C62" s="8">
        <v>46260</v>
      </c>
      <c r="D62" t="s">
        <v>332</v>
      </c>
      <c r="E62" t="s">
        <v>325</v>
      </c>
      <c r="F62" s="12">
        <v>29650</v>
      </c>
      <c r="G62" s="12" t="str">
        <f>VLOOKUP(Table2[[#This Row],[MemberID]],Table1[#All],3,0)</f>
        <v>Silver</v>
      </c>
      <c r="H62" s="13">
        <v>2</v>
      </c>
    </row>
    <row r="63" spans="1:8">
      <c r="A63" t="s">
        <v>395</v>
      </c>
      <c r="B63" t="s">
        <v>301</v>
      </c>
      <c r="C63" s="8">
        <v>46095</v>
      </c>
      <c r="D63" t="s">
        <v>344</v>
      </c>
      <c r="E63" t="s">
        <v>322</v>
      </c>
      <c r="F63" s="12">
        <v>171438</v>
      </c>
      <c r="G63" s="12" t="str">
        <f>VLOOKUP(Table2[[#This Row],[MemberID]],Table1[#All],3,0)</f>
        <v>Silver</v>
      </c>
      <c r="H63" s="13">
        <v>17</v>
      </c>
    </row>
    <row r="64" spans="1:8">
      <c r="A64" t="s">
        <v>396</v>
      </c>
      <c r="B64" t="s">
        <v>126</v>
      </c>
      <c r="C64" s="8">
        <v>46288</v>
      </c>
      <c r="D64" t="s">
        <v>327</v>
      </c>
      <c r="E64" t="s">
        <v>339</v>
      </c>
      <c r="F64" s="12">
        <v>130801</v>
      </c>
      <c r="G64" s="12" t="str">
        <f>VLOOKUP(Table2[[#This Row],[MemberID]],Table1[#All],3,0)</f>
        <v>Silver</v>
      </c>
      <c r="H64" s="13">
        <v>13</v>
      </c>
    </row>
    <row r="65" spans="1:8">
      <c r="A65" t="s">
        <v>397</v>
      </c>
      <c r="B65" t="s">
        <v>141</v>
      </c>
      <c r="C65" s="8">
        <v>46094</v>
      </c>
      <c r="D65" t="s">
        <v>350</v>
      </c>
      <c r="E65" t="s">
        <v>337</v>
      </c>
      <c r="F65" s="12">
        <v>116870</v>
      </c>
      <c r="G65" s="12" t="str">
        <f>VLOOKUP(Table2[[#This Row],[MemberID]],Table1[#All],3,0)</f>
        <v>Silver</v>
      </c>
      <c r="H65" s="13">
        <v>11</v>
      </c>
    </row>
    <row r="66" spans="1:8">
      <c r="A66" t="s">
        <v>398</v>
      </c>
      <c r="B66" t="s">
        <v>200</v>
      </c>
      <c r="C66" s="8">
        <v>45981</v>
      </c>
      <c r="D66" t="s">
        <v>350</v>
      </c>
      <c r="E66" t="s">
        <v>322</v>
      </c>
      <c r="F66" s="12">
        <v>206089</v>
      </c>
      <c r="G66" s="12" t="str">
        <f>VLOOKUP(Table2[[#This Row],[MemberID]],Table1[#All],3,0)</f>
        <v>Silver</v>
      </c>
      <c r="H66" s="13">
        <v>20</v>
      </c>
    </row>
    <row r="67" spans="1:8">
      <c r="A67" t="s">
        <v>399</v>
      </c>
      <c r="B67" t="s">
        <v>153</v>
      </c>
      <c r="C67" s="8">
        <v>45984</v>
      </c>
      <c r="D67" t="s">
        <v>332</v>
      </c>
      <c r="E67" t="s">
        <v>339</v>
      </c>
      <c r="F67" s="12">
        <v>787473</v>
      </c>
      <c r="G67" s="12" t="str">
        <f>VLOOKUP(Table2[[#This Row],[MemberID]],Table1[#All],3,0)</f>
        <v>Silver</v>
      </c>
      <c r="H67" s="13">
        <v>78</v>
      </c>
    </row>
    <row r="68" spans="1:8">
      <c r="A68" t="s">
        <v>400</v>
      </c>
      <c r="B68" t="s">
        <v>226</v>
      </c>
      <c r="C68" s="8">
        <v>46078</v>
      </c>
      <c r="D68" t="s">
        <v>344</v>
      </c>
      <c r="E68" t="s">
        <v>334</v>
      </c>
      <c r="F68" s="12">
        <v>258088</v>
      </c>
      <c r="G68" s="12" t="str">
        <f>VLOOKUP(Table2[[#This Row],[MemberID]],Table1[#All],3,0)</f>
        <v>Silver</v>
      </c>
      <c r="H68" s="13">
        <v>25</v>
      </c>
    </row>
    <row r="69" spans="1:8">
      <c r="A69" t="s">
        <v>401</v>
      </c>
      <c r="B69" t="s">
        <v>277</v>
      </c>
      <c r="C69" s="8">
        <v>46138</v>
      </c>
      <c r="D69" t="s">
        <v>350</v>
      </c>
      <c r="E69" t="s">
        <v>334</v>
      </c>
      <c r="F69" s="12">
        <v>485882</v>
      </c>
      <c r="G69" s="12" t="str">
        <f>VLOOKUP(Table2[[#This Row],[MemberID]],Table1[#All],3,0)</f>
        <v>Silver</v>
      </c>
      <c r="H69" s="13">
        <v>48</v>
      </c>
    </row>
    <row r="70" spans="1:8">
      <c r="A70" t="s">
        <v>402</v>
      </c>
      <c r="B70" t="s">
        <v>107</v>
      </c>
      <c r="C70" s="8">
        <v>46096</v>
      </c>
      <c r="D70" t="s">
        <v>324</v>
      </c>
      <c r="E70" t="s">
        <v>334</v>
      </c>
      <c r="F70" s="12">
        <v>383191</v>
      </c>
      <c r="G70" s="12" t="str">
        <f>VLOOKUP(Table2[[#This Row],[MemberID]],Table1[#All],3,0)</f>
        <v>Gold</v>
      </c>
      <c r="H70" s="13">
        <v>38</v>
      </c>
    </row>
    <row r="71" spans="1:8">
      <c r="A71" t="s">
        <v>403</v>
      </c>
      <c r="B71" t="s">
        <v>134</v>
      </c>
      <c r="C71" s="8">
        <v>46280</v>
      </c>
      <c r="D71" t="s">
        <v>332</v>
      </c>
      <c r="E71" t="s">
        <v>328</v>
      </c>
      <c r="F71" s="12">
        <v>314524</v>
      </c>
      <c r="G71" s="12" t="str">
        <f>VLOOKUP(Table2[[#This Row],[MemberID]],Table1[#All],3,0)</f>
        <v>Silver</v>
      </c>
      <c r="H71" s="13">
        <v>31</v>
      </c>
    </row>
    <row r="72" spans="1:8">
      <c r="A72" t="s">
        <v>404</v>
      </c>
      <c r="B72" t="s">
        <v>141</v>
      </c>
      <c r="C72" s="8">
        <v>46229</v>
      </c>
      <c r="D72" t="s">
        <v>342</v>
      </c>
      <c r="E72" t="s">
        <v>325</v>
      </c>
      <c r="F72" s="12">
        <v>385430</v>
      </c>
      <c r="G72" s="12" t="str">
        <f>VLOOKUP(Table2[[#This Row],[MemberID]],Table1[#All],3,0)</f>
        <v>Silver</v>
      </c>
      <c r="H72" s="13">
        <v>38</v>
      </c>
    </row>
    <row r="73" spans="1:8">
      <c r="A73" t="s">
        <v>405</v>
      </c>
      <c r="B73" t="s">
        <v>27</v>
      </c>
      <c r="C73" s="8">
        <v>45980</v>
      </c>
      <c r="D73" t="s">
        <v>327</v>
      </c>
      <c r="E73" t="s">
        <v>328</v>
      </c>
      <c r="F73" s="12">
        <v>229841</v>
      </c>
      <c r="G73" s="12" t="str">
        <f>VLOOKUP(Table2[[#This Row],[MemberID]],Table1[#All],3,0)</f>
        <v>Silver</v>
      </c>
      <c r="H73" s="13">
        <v>22</v>
      </c>
    </row>
    <row r="74" spans="1:8">
      <c r="A74" t="s">
        <v>406</v>
      </c>
      <c r="B74" t="s">
        <v>262</v>
      </c>
      <c r="C74" s="8">
        <v>46245</v>
      </c>
      <c r="D74" t="s">
        <v>342</v>
      </c>
      <c r="E74" t="s">
        <v>325</v>
      </c>
      <c r="F74" s="12">
        <v>48040</v>
      </c>
      <c r="G74" s="12" t="str">
        <f>VLOOKUP(Table2[[#This Row],[MemberID]],Table1[#All],3,0)</f>
        <v>Gold</v>
      </c>
      <c r="H74" s="13">
        <v>4</v>
      </c>
    </row>
    <row r="75" spans="1:8">
      <c r="A75" t="s">
        <v>407</v>
      </c>
      <c r="B75" t="s">
        <v>76</v>
      </c>
      <c r="C75" s="8">
        <v>46265</v>
      </c>
      <c r="D75" t="s">
        <v>327</v>
      </c>
      <c r="E75" t="s">
        <v>337</v>
      </c>
      <c r="F75" s="12">
        <v>601727</v>
      </c>
      <c r="G75" s="12" t="str">
        <f>VLOOKUP(Table2[[#This Row],[MemberID]],Table1[#All],3,0)</f>
        <v>Silver</v>
      </c>
      <c r="H75" s="13">
        <v>60</v>
      </c>
    </row>
    <row r="76" spans="1:8">
      <c r="A76" t="s">
        <v>408</v>
      </c>
      <c r="B76" t="s">
        <v>57</v>
      </c>
      <c r="C76" s="8">
        <v>46064</v>
      </c>
      <c r="D76" t="s">
        <v>321</v>
      </c>
      <c r="E76" t="s">
        <v>328</v>
      </c>
      <c r="F76" s="12">
        <v>52547</v>
      </c>
      <c r="G76" s="12" t="str">
        <f>VLOOKUP(Table2[[#This Row],[MemberID]],Table1[#All],3,0)</f>
        <v>Gold</v>
      </c>
      <c r="H76" s="13">
        <v>5</v>
      </c>
    </row>
    <row r="77" spans="1:8">
      <c r="A77" t="s">
        <v>409</v>
      </c>
      <c r="B77" t="s">
        <v>197</v>
      </c>
      <c r="C77" s="8">
        <v>46048</v>
      </c>
      <c r="D77" t="s">
        <v>330</v>
      </c>
      <c r="E77" t="s">
        <v>328</v>
      </c>
      <c r="F77" s="12">
        <v>851470</v>
      </c>
      <c r="G77" s="12" t="str">
        <f>VLOOKUP(Table2[[#This Row],[MemberID]],Table1[#All],3,0)</f>
        <v>Silver</v>
      </c>
      <c r="H77" s="13">
        <v>85</v>
      </c>
    </row>
    <row r="78" spans="1:8">
      <c r="A78" t="s">
        <v>410</v>
      </c>
      <c r="B78" t="s">
        <v>111</v>
      </c>
      <c r="C78" s="8">
        <v>46196</v>
      </c>
      <c r="D78" t="s">
        <v>330</v>
      </c>
      <c r="E78" t="s">
        <v>337</v>
      </c>
      <c r="F78" s="12">
        <v>160906</v>
      </c>
      <c r="G78" s="12" t="str">
        <f>VLOOKUP(Table2[[#This Row],[MemberID]],Table1[#All],3,0)</f>
        <v>Platinum</v>
      </c>
      <c r="H78" s="13">
        <v>16</v>
      </c>
    </row>
    <row r="79" spans="1:8">
      <c r="A79" t="s">
        <v>411</v>
      </c>
      <c r="B79" t="s">
        <v>176</v>
      </c>
      <c r="C79" s="8">
        <v>46115</v>
      </c>
      <c r="D79" t="s">
        <v>350</v>
      </c>
      <c r="E79" t="s">
        <v>337</v>
      </c>
      <c r="F79" s="12">
        <v>868396</v>
      </c>
      <c r="G79" s="12" t="str">
        <f>VLOOKUP(Table2[[#This Row],[MemberID]],Table1[#All],3,0)</f>
        <v>Silver</v>
      </c>
      <c r="H79" s="13">
        <v>86</v>
      </c>
    </row>
    <row r="80" spans="1:8">
      <c r="A80" t="s">
        <v>412</v>
      </c>
      <c r="B80" t="s">
        <v>105</v>
      </c>
      <c r="C80" s="8">
        <v>46042</v>
      </c>
      <c r="D80" t="s">
        <v>332</v>
      </c>
      <c r="E80" t="s">
        <v>322</v>
      </c>
      <c r="F80" s="12">
        <v>254141</v>
      </c>
      <c r="G80" s="12" t="str">
        <f>VLOOKUP(Table2[[#This Row],[MemberID]],Table1[#All],3,0)</f>
        <v>Silver</v>
      </c>
      <c r="H80" s="13">
        <v>25</v>
      </c>
    </row>
    <row r="81" spans="1:8">
      <c r="A81" t="s">
        <v>413</v>
      </c>
      <c r="B81" t="s">
        <v>305</v>
      </c>
      <c r="C81" s="8">
        <v>46103</v>
      </c>
      <c r="D81" t="s">
        <v>324</v>
      </c>
      <c r="E81" t="s">
        <v>322</v>
      </c>
      <c r="F81" s="12">
        <v>353247</v>
      </c>
      <c r="G81" s="12" t="str">
        <f>VLOOKUP(Table2[[#This Row],[MemberID]],Table1[#All],3,0)</f>
        <v>Silver</v>
      </c>
      <c r="H81" s="13">
        <v>35</v>
      </c>
    </row>
    <row r="82" spans="1:8">
      <c r="A82" t="s">
        <v>414</v>
      </c>
      <c r="B82" t="s">
        <v>156</v>
      </c>
      <c r="C82" s="8">
        <v>46243</v>
      </c>
      <c r="D82" t="s">
        <v>330</v>
      </c>
      <c r="E82" t="s">
        <v>328</v>
      </c>
      <c r="F82" s="12">
        <v>323552</v>
      </c>
      <c r="G82" s="12" t="str">
        <f>VLOOKUP(Table2[[#This Row],[MemberID]],Table1[#All],3,0)</f>
        <v>Silver</v>
      </c>
      <c r="H82" s="13">
        <v>32</v>
      </c>
    </row>
    <row r="83" spans="1:8">
      <c r="A83" t="s">
        <v>415</v>
      </c>
      <c r="B83" t="s">
        <v>306</v>
      </c>
      <c r="C83" s="8">
        <v>46250</v>
      </c>
      <c r="D83" t="s">
        <v>321</v>
      </c>
      <c r="E83" t="s">
        <v>337</v>
      </c>
      <c r="F83" s="12">
        <v>240938</v>
      </c>
      <c r="G83" s="12" t="str">
        <f>VLOOKUP(Table2[[#This Row],[MemberID]],Table1[#All],3,0)</f>
        <v>Silver</v>
      </c>
      <c r="H83" s="13">
        <v>24</v>
      </c>
    </row>
    <row r="84" spans="1:8">
      <c r="A84" t="s">
        <v>416</v>
      </c>
      <c r="B84" t="s">
        <v>290</v>
      </c>
      <c r="C84" s="8">
        <v>45940</v>
      </c>
      <c r="D84" t="s">
        <v>321</v>
      </c>
      <c r="E84" t="s">
        <v>325</v>
      </c>
      <c r="F84" s="12">
        <v>175209</v>
      </c>
      <c r="G84" s="12" t="str">
        <f>VLOOKUP(Table2[[#This Row],[MemberID]],Table1[#All],3,0)</f>
        <v>Silver</v>
      </c>
      <c r="H84" s="13">
        <v>17</v>
      </c>
    </row>
    <row r="85" spans="1:8">
      <c r="A85" t="s">
        <v>417</v>
      </c>
      <c r="B85" t="s">
        <v>277</v>
      </c>
      <c r="C85" s="8">
        <v>46168</v>
      </c>
      <c r="D85" t="s">
        <v>350</v>
      </c>
      <c r="E85" t="s">
        <v>337</v>
      </c>
      <c r="F85" s="12">
        <v>190352</v>
      </c>
      <c r="G85" s="12" t="str">
        <f>VLOOKUP(Table2[[#This Row],[MemberID]],Table1[#All],3,0)</f>
        <v>Silver</v>
      </c>
      <c r="H85" s="13">
        <v>19</v>
      </c>
    </row>
    <row r="86" spans="1:8">
      <c r="A86" t="s">
        <v>418</v>
      </c>
      <c r="B86" t="s">
        <v>125</v>
      </c>
      <c r="C86" s="8">
        <v>45975</v>
      </c>
      <c r="D86" t="s">
        <v>324</v>
      </c>
      <c r="E86" t="s">
        <v>325</v>
      </c>
      <c r="F86" s="12">
        <v>621508</v>
      </c>
      <c r="G86" s="12" t="str">
        <f>VLOOKUP(Table2[[#This Row],[MemberID]],Table1[#All],3,0)</f>
        <v>Silver</v>
      </c>
      <c r="H86" s="13">
        <v>62</v>
      </c>
    </row>
    <row r="87" spans="1:8">
      <c r="A87" t="s">
        <v>419</v>
      </c>
      <c r="B87" t="s">
        <v>204</v>
      </c>
      <c r="C87" s="8">
        <v>46270</v>
      </c>
      <c r="D87" t="s">
        <v>327</v>
      </c>
      <c r="E87" t="s">
        <v>334</v>
      </c>
      <c r="F87" s="12">
        <v>311728</v>
      </c>
      <c r="G87" s="12" t="str">
        <f>VLOOKUP(Table2[[#This Row],[MemberID]],Table1[#All],3,0)</f>
        <v>Silver</v>
      </c>
      <c r="H87" s="13">
        <v>31</v>
      </c>
    </row>
    <row r="88" spans="1:8">
      <c r="A88" t="s">
        <v>420</v>
      </c>
      <c r="B88" t="s">
        <v>10</v>
      </c>
      <c r="C88" s="8">
        <v>46052</v>
      </c>
      <c r="D88" t="s">
        <v>332</v>
      </c>
      <c r="E88" t="s">
        <v>339</v>
      </c>
      <c r="F88" s="12">
        <v>913514</v>
      </c>
      <c r="G88" s="12" t="str">
        <f>VLOOKUP(Table2[[#This Row],[MemberID]],Table1[#All],3,0)</f>
        <v>Silver</v>
      </c>
      <c r="H88" s="13">
        <v>91</v>
      </c>
    </row>
    <row r="89" spans="1:8">
      <c r="A89" t="s">
        <v>421</v>
      </c>
      <c r="B89" t="s">
        <v>101</v>
      </c>
      <c r="C89" s="8">
        <v>46197</v>
      </c>
      <c r="D89" t="s">
        <v>321</v>
      </c>
      <c r="E89" t="s">
        <v>334</v>
      </c>
      <c r="F89" s="12">
        <v>67326</v>
      </c>
      <c r="G89" s="12" t="str">
        <f>VLOOKUP(Table2[[#This Row],[MemberID]],Table1[#All],3,0)</f>
        <v>Gold</v>
      </c>
      <c r="H89" s="13">
        <v>6</v>
      </c>
    </row>
    <row r="90" spans="1:8">
      <c r="A90" t="s">
        <v>422</v>
      </c>
      <c r="B90" t="s">
        <v>162</v>
      </c>
      <c r="C90" s="8">
        <v>45990</v>
      </c>
      <c r="D90" t="s">
        <v>327</v>
      </c>
      <c r="E90" t="s">
        <v>339</v>
      </c>
      <c r="F90" s="12">
        <v>301648</v>
      </c>
      <c r="G90" s="12" t="str">
        <f>VLOOKUP(Table2[[#This Row],[MemberID]],Table1[#All],3,0)</f>
        <v>Silver</v>
      </c>
      <c r="H90" s="13">
        <v>30</v>
      </c>
    </row>
    <row r="91" spans="1:8">
      <c r="A91" t="s">
        <v>423</v>
      </c>
      <c r="B91" t="s">
        <v>25</v>
      </c>
      <c r="C91" s="8">
        <v>46162</v>
      </c>
      <c r="D91" t="s">
        <v>330</v>
      </c>
      <c r="E91" t="s">
        <v>325</v>
      </c>
      <c r="F91" s="12">
        <v>327923</v>
      </c>
      <c r="G91" s="12" t="str">
        <f>VLOOKUP(Table2[[#This Row],[MemberID]],Table1[#All],3,0)</f>
        <v>Silver</v>
      </c>
      <c r="H91" s="13">
        <v>32</v>
      </c>
    </row>
    <row r="92" spans="1:8">
      <c r="A92" t="s">
        <v>424</v>
      </c>
      <c r="B92" t="s">
        <v>59</v>
      </c>
      <c r="C92" s="8">
        <v>45944</v>
      </c>
      <c r="D92" t="s">
        <v>327</v>
      </c>
      <c r="E92" t="s">
        <v>339</v>
      </c>
      <c r="F92" s="12">
        <v>514425</v>
      </c>
      <c r="G92" s="12" t="str">
        <f>VLOOKUP(Table2[[#This Row],[MemberID]],Table1[#All],3,0)</f>
        <v>Platinum</v>
      </c>
      <c r="H92" s="13">
        <v>51</v>
      </c>
    </row>
    <row r="93" spans="1:8">
      <c r="A93" t="s">
        <v>425</v>
      </c>
      <c r="B93" t="s">
        <v>204</v>
      </c>
      <c r="C93" s="8">
        <v>46288</v>
      </c>
      <c r="D93" t="s">
        <v>350</v>
      </c>
      <c r="E93" t="s">
        <v>339</v>
      </c>
      <c r="F93" s="12">
        <v>92026</v>
      </c>
      <c r="G93" s="12" t="str">
        <f>VLOOKUP(Table2[[#This Row],[MemberID]],Table1[#All],3,0)</f>
        <v>Silver</v>
      </c>
      <c r="H93" s="13">
        <v>9</v>
      </c>
    </row>
    <row r="94" spans="1:8">
      <c r="A94" t="s">
        <v>426</v>
      </c>
      <c r="B94" t="s">
        <v>189</v>
      </c>
      <c r="C94" s="8">
        <v>46048</v>
      </c>
      <c r="D94" t="s">
        <v>321</v>
      </c>
      <c r="E94" t="s">
        <v>337</v>
      </c>
      <c r="F94" s="12">
        <v>744828</v>
      </c>
      <c r="G94" s="12" t="str">
        <f>VLOOKUP(Table2[[#This Row],[MemberID]],Table1[#All],3,0)</f>
        <v>Silver</v>
      </c>
      <c r="H94" s="13">
        <v>74</v>
      </c>
    </row>
    <row r="95" spans="1:8">
      <c r="A95" t="s">
        <v>427</v>
      </c>
      <c r="B95" t="s">
        <v>256</v>
      </c>
      <c r="C95" s="8">
        <v>46017</v>
      </c>
      <c r="D95" t="s">
        <v>344</v>
      </c>
      <c r="E95" t="s">
        <v>337</v>
      </c>
      <c r="F95" s="12">
        <v>409604</v>
      </c>
      <c r="G95" s="12" t="str">
        <f>VLOOKUP(Table2[[#This Row],[MemberID]],Table1[#All],3,0)</f>
        <v>Gold</v>
      </c>
      <c r="H95" s="13">
        <v>40</v>
      </c>
    </row>
    <row r="96" spans="1:8">
      <c r="A96" t="s">
        <v>428</v>
      </c>
      <c r="B96" t="s">
        <v>278</v>
      </c>
      <c r="C96" s="8">
        <v>46165</v>
      </c>
      <c r="D96" t="s">
        <v>342</v>
      </c>
      <c r="E96" t="s">
        <v>322</v>
      </c>
      <c r="F96" s="12">
        <v>323525</v>
      </c>
      <c r="G96" s="12" t="str">
        <f>VLOOKUP(Table2[[#This Row],[MemberID]],Table1[#All],3,0)</f>
        <v>Silver</v>
      </c>
      <c r="H96" s="13">
        <v>32</v>
      </c>
    </row>
    <row r="97" spans="1:8">
      <c r="A97" t="s">
        <v>429</v>
      </c>
      <c r="B97" t="s">
        <v>190</v>
      </c>
      <c r="C97" s="8">
        <v>46136</v>
      </c>
      <c r="D97" t="s">
        <v>327</v>
      </c>
      <c r="E97" t="s">
        <v>339</v>
      </c>
      <c r="F97" s="12">
        <v>98620</v>
      </c>
      <c r="G97" s="12" t="str">
        <f>VLOOKUP(Table2[[#This Row],[MemberID]],Table1[#All],3,0)</f>
        <v>Silver</v>
      </c>
      <c r="H97" s="13">
        <v>9</v>
      </c>
    </row>
    <row r="98" spans="1:8">
      <c r="A98" t="s">
        <v>430</v>
      </c>
      <c r="B98" t="s">
        <v>255</v>
      </c>
      <c r="C98" s="8">
        <v>46107</v>
      </c>
      <c r="D98" t="s">
        <v>342</v>
      </c>
      <c r="E98" t="s">
        <v>339</v>
      </c>
      <c r="F98" s="12">
        <v>622518</v>
      </c>
      <c r="G98" s="12" t="str">
        <f>VLOOKUP(Table2[[#This Row],[MemberID]],Table1[#All],3,0)</f>
        <v>Silver</v>
      </c>
      <c r="H98" s="13">
        <v>62</v>
      </c>
    </row>
    <row r="99" spans="1:8">
      <c r="A99" t="s">
        <v>431</v>
      </c>
      <c r="B99" t="s">
        <v>223</v>
      </c>
      <c r="C99" s="8">
        <v>46065</v>
      </c>
      <c r="D99" t="s">
        <v>342</v>
      </c>
      <c r="E99" t="s">
        <v>325</v>
      </c>
      <c r="F99" s="12">
        <v>136575</v>
      </c>
      <c r="G99" s="12" t="str">
        <f>VLOOKUP(Table2[[#This Row],[MemberID]],Table1[#All],3,0)</f>
        <v>Gold</v>
      </c>
      <c r="H99" s="13">
        <v>13</v>
      </c>
    </row>
    <row r="100" spans="1:8">
      <c r="A100" t="s">
        <v>432</v>
      </c>
      <c r="B100" t="s">
        <v>240</v>
      </c>
      <c r="C100" s="8">
        <v>46226</v>
      </c>
      <c r="D100" t="s">
        <v>324</v>
      </c>
      <c r="E100" t="s">
        <v>334</v>
      </c>
      <c r="F100" s="12">
        <v>103944</v>
      </c>
      <c r="G100" s="12" t="str">
        <f>VLOOKUP(Table2[[#This Row],[MemberID]],Table1[#All],3,0)</f>
        <v>Silver</v>
      </c>
      <c r="H100" s="13">
        <v>10</v>
      </c>
    </row>
    <row r="101" spans="1:8">
      <c r="A101" t="s">
        <v>433</v>
      </c>
      <c r="B101" t="s">
        <v>212</v>
      </c>
      <c r="C101" s="8">
        <v>46221</v>
      </c>
      <c r="D101" t="s">
        <v>350</v>
      </c>
      <c r="E101" t="s">
        <v>339</v>
      </c>
      <c r="F101" s="12">
        <v>96138</v>
      </c>
      <c r="G101" s="12" t="str">
        <f>VLOOKUP(Table2[[#This Row],[MemberID]],Table1[#All],3,0)</f>
        <v>Silver</v>
      </c>
      <c r="H101" s="13">
        <v>9</v>
      </c>
    </row>
    <row r="102" spans="1:8">
      <c r="A102" t="s">
        <v>434</v>
      </c>
      <c r="B102" t="s">
        <v>256</v>
      </c>
      <c r="C102" s="8">
        <v>45936</v>
      </c>
      <c r="D102" t="s">
        <v>321</v>
      </c>
      <c r="E102" t="s">
        <v>325</v>
      </c>
      <c r="F102" s="12">
        <v>208486</v>
      </c>
      <c r="G102" s="12" t="str">
        <f>VLOOKUP(Table2[[#This Row],[MemberID]],Table1[#All],3,0)</f>
        <v>Gold</v>
      </c>
      <c r="H102" s="13">
        <v>20</v>
      </c>
    </row>
    <row r="103" spans="1:8">
      <c r="A103" t="s">
        <v>435</v>
      </c>
      <c r="B103" t="s">
        <v>249</v>
      </c>
      <c r="C103" s="8">
        <v>46276</v>
      </c>
      <c r="D103" t="s">
        <v>344</v>
      </c>
      <c r="E103" t="s">
        <v>322</v>
      </c>
      <c r="F103" s="12">
        <v>70207</v>
      </c>
      <c r="G103" s="12" t="str">
        <f>VLOOKUP(Table2[[#This Row],[MemberID]],Table1[#All],3,0)</f>
        <v>Silver</v>
      </c>
      <c r="H103" s="13">
        <v>7</v>
      </c>
    </row>
    <row r="104" spans="1:8">
      <c r="A104" t="s">
        <v>436</v>
      </c>
      <c r="B104" t="s">
        <v>77</v>
      </c>
      <c r="C104" s="8">
        <v>46219</v>
      </c>
      <c r="D104" t="s">
        <v>342</v>
      </c>
      <c r="E104" t="s">
        <v>322</v>
      </c>
      <c r="F104" s="12">
        <v>46097</v>
      </c>
      <c r="G104" s="12" t="str">
        <f>VLOOKUP(Table2[[#This Row],[MemberID]],Table1[#All],3,0)</f>
        <v>Platinum</v>
      </c>
      <c r="H104" s="13">
        <v>4</v>
      </c>
    </row>
    <row r="105" spans="1:8">
      <c r="A105" t="s">
        <v>437</v>
      </c>
      <c r="B105" t="s">
        <v>201</v>
      </c>
      <c r="C105" s="8">
        <v>46047</v>
      </c>
      <c r="D105" t="s">
        <v>327</v>
      </c>
      <c r="E105" t="s">
        <v>334</v>
      </c>
      <c r="F105" s="12">
        <v>234714</v>
      </c>
      <c r="G105" s="12" t="str">
        <f>VLOOKUP(Table2[[#This Row],[MemberID]],Table1[#All],3,0)</f>
        <v>Platinum</v>
      </c>
      <c r="H105" s="13">
        <v>23</v>
      </c>
    </row>
    <row r="106" spans="1:8">
      <c r="A106" t="s">
        <v>438</v>
      </c>
      <c r="B106" t="s">
        <v>127</v>
      </c>
      <c r="C106" s="8">
        <v>46096</v>
      </c>
      <c r="D106" t="s">
        <v>350</v>
      </c>
      <c r="E106" t="s">
        <v>328</v>
      </c>
      <c r="F106" s="12">
        <v>134995</v>
      </c>
      <c r="G106" s="12" t="str">
        <f>VLOOKUP(Table2[[#This Row],[MemberID]],Table1[#All],3,0)</f>
        <v>Platinum</v>
      </c>
      <c r="H106" s="13">
        <v>13</v>
      </c>
    </row>
    <row r="107" spans="1:8">
      <c r="A107" t="s">
        <v>439</v>
      </c>
      <c r="B107" t="s">
        <v>121</v>
      </c>
      <c r="C107" s="8">
        <v>45992</v>
      </c>
      <c r="D107" t="s">
        <v>342</v>
      </c>
      <c r="E107" t="s">
        <v>328</v>
      </c>
      <c r="F107" s="12">
        <v>227405</v>
      </c>
      <c r="G107" s="12" t="str">
        <f>VLOOKUP(Table2[[#This Row],[MemberID]],Table1[#All],3,0)</f>
        <v>Silver</v>
      </c>
      <c r="H107" s="13">
        <v>22</v>
      </c>
    </row>
    <row r="108" spans="1:8">
      <c r="A108" t="s">
        <v>440</v>
      </c>
      <c r="B108" t="s">
        <v>196</v>
      </c>
      <c r="C108" s="8">
        <v>46190</v>
      </c>
      <c r="D108" t="s">
        <v>342</v>
      </c>
      <c r="E108" t="s">
        <v>339</v>
      </c>
      <c r="F108" s="12">
        <v>320658</v>
      </c>
      <c r="G108" s="12" t="str">
        <f>VLOOKUP(Table2[[#This Row],[MemberID]],Table1[#All],3,0)</f>
        <v>Gold</v>
      </c>
      <c r="H108" s="13">
        <v>32</v>
      </c>
    </row>
    <row r="109" spans="1:8">
      <c r="A109" t="s">
        <v>441</v>
      </c>
      <c r="B109" t="s">
        <v>198</v>
      </c>
      <c r="C109" s="8">
        <v>46024</v>
      </c>
      <c r="D109" t="s">
        <v>324</v>
      </c>
      <c r="E109" t="s">
        <v>325</v>
      </c>
      <c r="F109" s="12">
        <v>115397</v>
      </c>
      <c r="G109" s="12" t="str">
        <f>VLOOKUP(Table2[[#This Row],[MemberID]],Table1[#All],3,0)</f>
        <v>Silver</v>
      </c>
      <c r="H109" s="13">
        <v>11</v>
      </c>
    </row>
    <row r="110" spans="1:8">
      <c r="A110" t="s">
        <v>442</v>
      </c>
      <c r="B110" t="s">
        <v>152</v>
      </c>
      <c r="C110" s="8">
        <v>46020</v>
      </c>
      <c r="D110" t="s">
        <v>344</v>
      </c>
      <c r="E110" t="s">
        <v>334</v>
      </c>
      <c r="F110" s="12">
        <v>186972</v>
      </c>
      <c r="G110" s="12" t="str">
        <f>VLOOKUP(Table2[[#This Row],[MemberID]],Table1[#All],3,0)</f>
        <v>Silver</v>
      </c>
      <c r="H110" s="13">
        <v>18</v>
      </c>
    </row>
    <row r="111" spans="1:8">
      <c r="A111" t="s">
        <v>443</v>
      </c>
      <c r="B111" t="s">
        <v>252</v>
      </c>
      <c r="C111" s="8">
        <v>45996</v>
      </c>
      <c r="D111" t="s">
        <v>342</v>
      </c>
      <c r="E111" t="s">
        <v>325</v>
      </c>
      <c r="F111" s="12">
        <v>216183</v>
      </c>
      <c r="G111" s="12" t="str">
        <f>VLOOKUP(Table2[[#This Row],[MemberID]],Table1[#All],3,0)</f>
        <v>Silver</v>
      </c>
      <c r="H111" s="13">
        <v>21</v>
      </c>
    </row>
    <row r="112" spans="1:8">
      <c r="A112" t="s">
        <v>444</v>
      </c>
      <c r="B112" t="s">
        <v>40</v>
      </c>
      <c r="C112" s="8">
        <v>46228</v>
      </c>
      <c r="D112" t="s">
        <v>344</v>
      </c>
      <c r="E112" t="s">
        <v>325</v>
      </c>
      <c r="F112" s="12">
        <v>735437</v>
      </c>
      <c r="G112" s="12" t="str">
        <f>VLOOKUP(Table2[[#This Row],[MemberID]],Table1[#All],3,0)</f>
        <v>Gold</v>
      </c>
      <c r="H112" s="13">
        <v>73</v>
      </c>
    </row>
    <row r="113" spans="1:8">
      <c r="A113" t="s">
        <v>445</v>
      </c>
      <c r="B113" t="s">
        <v>182</v>
      </c>
      <c r="C113" s="8">
        <v>46048</v>
      </c>
      <c r="D113" t="s">
        <v>332</v>
      </c>
      <c r="E113" t="s">
        <v>334</v>
      </c>
      <c r="F113" s="12">
        <v>504536</v>
      </c>
      <c r="G113" s="12" t="str">
        <f>VLOOKUP(Table2[[#This Row],[MemberID]],Table1[#All],3,0)</f>
        <v>Silver</v>
      </c>
      <c r="H113" s="13">
        <v>50</v>
      </c>
    </row>
    <row r="114" spans="1:8">
      <c r="A114" t="s">
        <v>446</v>
      </c>
      <c r="B114" t="s">
        <v>102</v>
      </c>
      <c r="C114" s="8">
        <v>46129</v>
      </c>
      <c r="D114" t="s">
        <v>332</v>
      </c>
      <c r="E114" t="s">
        <v>339</v>
      </c>
      <c r="F114" s="12">
        <v>416668</v>
      </c>
      <c r="G114" s="12" t="str">
        <f>VLOOKUP(Table2[[#This Row],[MemberID]],Table1[#All],3,0)</f>
        <v>Platinum</v>
      </c>
      <c r="H114" s="13">
        <v>41</v>
      </c>
    </row>
    <row r="115" spans="1:8">
      <c r="A115" t="s">
        <v>447</v>
      </c>
      <c r="B115" t="s">
        <v>60</v>
      </c>
      <c r="C115" s="8">
        <v>46169</v>
      </c>
      <c r="D115" t="s">
        <v>327</v>
      </c>
      <c r="E115" t="s">
        <v>328</v>
      </c>
      <c r="F115" s="12">
        <v>580543</v>
      </c>
      <c r="G115" s="12" t="str">
        <f>VLOOKUP(Table2[[#This Row],[MemberID]],Table1[#All],3,0)</f>
        <v>Silver</v>
      </c>
      <c r="H115" s="13">
        <v>58</v>
      </c>
    </row>
    <row r="116" spans="1:8">
      <c r="A116" t="s">
        <v>448</v>
      </c>
      <c r="B116" t="s">
        <v>94</v>
      </c>
      <c r="C116" s="8">
        <v>46217</v>
      </c>
      <c r="D116" t="s">
        <v>330</v>
      </c>
      <c r="E116" t="s">
        <v>339</v>
      </c>
      <c r="F116" s="12">
        <v>333050</v>
      </c>
      <c r="G116" s="12" t="str">
        <f>VLOOKUP(Table2[[#This Row],[MemberID]],Table1[#All],3,0)</f>
        <v>Silver</v>
      </c>
      <c r="H116" s="13">
        <v>33</v>
      </c>
    </row>
    <row r="117" spans="1:8">
      <c r="A117" t="s">
        <v>449</v>
      </c>
      <c r="B117" t="s">
        <v>245</v>
      </c>
      <c r="C117" s="8">
        <v>45978</v>
      </c>
      <c r="D117" t="s">
        <v>321</v>
      </c>
      <c r="E117" t="s">
        <v>339</v>
      </c>
      <c r="F117" s="12">
        <v>157885</v>
      </c>
      <c r="G117" s="12" t="str">
        <f>VLOOKUP(Table2[[#This Row],[MemberID]],Table1[#All],3,0)</f>
        <v>Silver</v>
      </c>
      <c r="H117" s="13">
        <v>15</v>
      </c>
    </row>
    <row r="118" spans="1:8">
      <c r="A118" t="s">
        <v>450</v>
      </c>
      <c r="B118" t="s">
        <v>113</v>
      </c>
      <c r="C118" s="8">
        <v>46288</v>
      </c>
      <c r="D118" t="s">
        <v>332</v>
      </c>
      <c r="E118" t="s">
        <v>337</v>
      </c>
      <c r="F118" s="12">
        <v>124975</v>
      </c>
      <c r="G118" s="12" t="str">
        <f>VLOOKUP(Table2[[#This Row],[MemberID]],Table1[#All],3,0)</f>
        <v>Silver</v>
      </c>
      <c r="H118" s="13">
        <v>12</v>
      </c>
    </row>
    <row r="119" spans="1:8">
      <c r="A119" t="s">
        <v>451</v>
      </c>
      <c r="B119" t="s">
        <v>182</v>
      </c>
      <c r="C119" s="8">
        <v>46260</v>
      </c>
      <c r="D119" t="s">
        <v>324</v>
      </c>
      <c r="E119" t="s">
        <v>328</v>
      </c>
      <c r="F119" s="12">
        <v>343564</v>
      </c>
      <c r="G119" s="12" t="str">
        <f>VLOOKUP(Table2[[#This Row],[MemberID]],Table1[#All],3,0)</f>
        <v>Silver</v>
      </c>
      <c r="H119" s="13">
        <v>34</v>
      </c>
    </row>
    <row r="120" spans="1:8">
      <c r="A120" t="s">
        <v>452</v>
      </c>
      <c r="B120" t="s">
        <v>224</v>
      </c>
      <c r="C120" s="8">
        <v>46266</v>
      </c>
      <c r="D120" t="s">
        <v>344</v>
      </c>
      <c r="E120" t="s">
        <v>334</v>
      </c>
      <c r="F120" s="12">
        <v>727108</v>
      </c>
      <c r="G120" s="12" t="str">
        <f>VLOOKUP(Table2[[#This Row],[MemberID]],Table1[#All],3,0)</f>
        <v>Gold</v>
      </c>
      <c r="H120" s="13">
        <v>72</v>
      </c>
    </row>
    <row r="121" spans="1:8">
      <c r="A121" t="s">
        <v>453</v>
      </c>
      <c r="B121" t="s">
        <v>285</v>
      </c>
      <c r="C121" s="8">
        <v>46140</v>
      </c>
      <c r="D121" t="s">
        <v>324</v>
      </c>
      <c r="E121" t="s">
        <v>325</v>
      </c>
      <c r="F121" s="12">
        <v>736327</v>
      </c>
      <c r="G121" s="12" t="str">
        <f>VLOOKUP(Table2[[#This Row],[MemberID]],Table1[#All],3,0)</f>
        <v>Silver</v>
      </c>
      <c r="H121" s="13">
        <v>73</v>
      </c>
    </row>
    <row r="122" spans="1:8">
      <c r="A122" t="s">
        <v>454</v>
      </c>
      <c r="B122" t="s">
        <v>203</v>
      </c>
      <c r="C122" s="8">
        <v>46057</v>
      </c>
      <c r="D122" t="s">
        <v>324</v>
      </c>
      <c r="E122" t="s">
        <v>325</v>
      </c>
      <c r="F122" s="12">
        <v>200606</v>
      </c>
      <c r="G122" s="12" t="str">
        <f>VLOOKUP(Table2[[#This Row],[MemberID]],Table1[#All],3,0)</f>
        <v>Gold</v>
      </c>
      <c r="H122" s="13">
        <v>20</v>
      </c>
    </row>
    <row r="123" spans="1:8">
      <c r="A123" t="s">
        <v>455</v>
      </c>
      <c r="B123" t="s">
        <v>239</v>
      </c>
      <c r="C123" s="8">
        <v>46140</v>
      </c>
      <c r="D123" t="s">
        <v>321</v>
      </c>
      <c r="E123" t="s">
        <v>322</v>
      </c>
      <c r="F123" s="12">
        <v>529504</v>
      </c>
      <c r="G123" s="12" t="str">
        <f>VLOOKUP(Table2[[#This Row],[MemberID]],Table1[#All],3,0)</f>
        <v>Silver</v>
      </c>
      <c r="H123" s="13">
        <v>52</v>
      </c>
    </row>
    <row r="124" spans="1:8">
      <c r="A124" t="s">
        <v>456</v>
      </c>
      <c r="B124" t="s">
        <v>217</v>
      </c>
      <c r="C124" s="8">
        <v>46236</v>
      </c>
      <c r="D124" t="s">
        <v>344</v>
      </c>
      <c r="E124" t="s">
        <v>339</v>
      </c>
      <c r="F124" s="12">
        <v>190374</v>
      </c>
      <c r="G124" s="12" t="str">
        <f>VLOOKUP(Table2[[#This Row],[MemberID]],Table1[#All],3,0)</f>
        <v>Gold</v>
      </c>
      <c r="H124" s="13">
        <v>19</v>
      </c>
    </row>
    <row r="125" spans="1:8">
      <c r="A125" t="s">
        <v>457</v>
      </c>
      <c r="B125" t="s">
        <v>105</v>
      </c>
      <c r="C125" s="8">
        <v>46232</v>
      </c>
      <c r="D125" t="s">
        <v>327</v>
      </c>
      <c r="E125" t="s">
        <v>337</v>
      </c>
      <c r="F125" s="12">
        <v>224135</v>
      </c>
      <c r="G125" s="12" t="str">
        <f>VLOOKUP(Table2[[#This Row],[MemberID]],Table1[#All],3,0)</f>
        <v>Silver</v>
      </c>
      <c r="H125" s="13">
        <v>22</v>
      </c>
    </row>
    <row r="126" spans="1:8">
      <c r="A126" t="s">
        <v>458</v>
      </c>
      <c r="B126" t="s">
        <v>91</v>
      </c>
      <c r="C126" s="8">
        <v>45952</v>
      </c>
      <c r="D126" t="s">
        <v>330</v>
      </c>
      <c r="E126" t="s">
        <v>328</v>
      </c>
      <c r="F126" s="12">
        <v>67496</v>
      </c>
      <c r="G126" s="12" t="str">
        <f>VLOOKUP(Table2[[#This Row],[MemberID]],Table1[#All],3,0)</f>
        <v>Gold</v>
      </c>
      <c r="H126" s="13">
        <v>6</v>
      </c>
    </row>
    <row r="127" spans="1:8">
      <c r="A127" t="s">
        <v>459</v>
      </c>
      <c r="B127" t="s">
        <v>124</v>
      </c>
      <c r="C127" s="8">
        <v>46007</v>
      </c>
      <c r="D127" t="s">
        <v>344</v>
      </c>
      <c r="E127" t="s">
        <v>339</v>
      </c>
      <c r="F127" s="12">
        <v>360132</v>
      </c>
      <c r="G127" s="12" t="str">
        <f>VLOOKUP(Table2[[#This Row],[MemberID]],Table1[#All],3,0)</f>
        <v>Platinum</v>
      </c>
      <c r="H127" s="13">
        <v>36</v>
      </c>
    </row>
    <row r="128" spans="1:8">
      <c r="A128" t="s">
        <v>460</v>
      </c>
      <c r="B128" t="s">
        <v>161</v>
      </c>
      <c r="C128" s="8">
        <v>46107</v>
      </c>
      <c r="D128" t="s">
        <v>350</v>
      </c>
      <c r="E128" t="s">
        <v>337</v>
      </c>
      <c r="F128" s="12">
        <v>398297</v>
      </c>
      <c r="G128" s="12" t="str">
        <f>VLOOKUP(Table2[[#This Row],[MemberID]],Table1[#All],3,0)</f>
        <v>Gold</v>
      </c>
      <c r="H128" s="13">
        <v>39</v>
      </c>
    </row>
    <row r="129" spans="1:8">
      <c r="A129" t="s">
        <v>461</v>
      </c>
      <c r="B129" t="s">
        <v>217</v>
      </c>
      <c r="C129" s="8">
        <v>46223</v>
      </c>
      <c r="D129" t="s">
        <v>332</v>
      </c>
      <c r="E129" t="s">
        <v>339</v>
      </c>
      <c r="F129" s="12">
        <v>56457</v>
      </c>
      <c r="G129" s="12" t="str">
        <f>VLOOKUP(Table2[[#This Row],[MemberID]],Table1[#All],3,0)</f>
        <v>Gold</v>
      </c>
      <c r="H129" s="13">
        <v>5</v>
      </c>
    </row>
    <row r="130" spans="1:8">
      <c r="A130" t="s">
        <v>462</v>
      </c>
      <c r="B130" t="s">
        <v>206</v>
      </c>
      <c r="C130" s="8">
        <v>46164</v>
      </c>
      <c r="D130" t="s">
        <v>321</v>
      </c>
      <c r="E130" t="s">
        <v>334</v>
      </c>
      <c r="F130" s="12">
        <v>278364</v>
      </c>
      <c r="G130" s="12" t="str">
        <f>VLOOKUP(Table2[[#This Row],[MemberID]],Table1[#All],3,0)</f>
        <v>Silver</v>
      </c>
      <c r="H130" s="13">
        <v>27</v>
      </c>
    </row>
    <row r="131" spans="1:8">
      <c r="A131" t="s">
        <v>463</v>
      </c>
      <c r="B131" t="s">
        <v>122</v>
      </c>
      <c r="C131" s="8">
        <v>45952</v>
      </c>
      <c r="D131" t="s">
        <v>321</v>
      </c>
      <c r="E131" t="s">
        <v>322</v>
      </c>
      <c r="F131" s="12">
        <v>218712</v>
      </c>
      <c r="G131" s="12" t="str">
        <f>VLOOKUP(Table2[[#This Row],[MemberID]],Table1[#All],3,0)</f>
        <v>Gold</v>
      </c>
      <c r="H131" s="13">
        <v>21</v>
      </c>
    </row>
    <row r="132" spans="1:8">
      <c r="A132" t="s">
        <v>464</v>
      </c>
      <c r="B132" t="s">
        <v>121</v>
      </c>
      <c r="C132" s="8">
        <v>46088</v>
      </c>
      <c r="D132" t="s">
        <v>321</v>
      </c>
      <c r="E132" t="s">
        <v>334</v>
      </c>
      <c r="F132" s="12">
        <v>531505</v>
      </c>
      <c r="G132" s="12" t="str">
        <f>VLOOKUP(Table2[[#This Row],[MemberID]],Table1[#All],3,0)</f>
        <v>Silver</v>
      </c>
      <c r="H132" s="13">
        <v>53</v>
      </c>
    </row>
    <row r="133" spans="1:8">
      <c r="A133" t="s">
        <v>465</v>
      </c>
      <c r="B133" t="s">
        <v>134</v>
      </c>
      <c r="C133" s="8">
        <v>46145</v>
      </c>
      <c r="D133" t="s">
        <v>321</v>
      </c>
      <c r="E133" t="s">
        <v>339</v>
      </c>
      <c r="F133" s="12">
        <v>110881</v>
      </c>
      <c r="G133" s="12" t="str">
        <f>VLOOKUP(Table2[[#This Row],[MemberID]],Table1[#All],3,0)</f>
        <v>Silver</v>
      </c>
      <c r="H133" s="13">
        <v>11</v>
      </c>
    </row>
    <row r="134" spans="1:8">
      <c r="A134" t="s">
        <v>466</v>
      </c>
      <c r="B134" t="s">
        <v>112</v>
      </c>
      <c r="C134" s="8">
        <v>46077</v>
      </c>
      <c r="D134" t="s">
        <v>332</v>
      </c>
      <c r="E134" t="s">
        <v>325</v>
      </c>
      <c r="F134" s="12">
        <v>344426</v>
      </c>
      <c r="G134" s="12" t="str">
        <f>VLOOKUP(Table2[[#This Row],[MemberID]],Table1[#All],3,0)</f>
        <v>Silver</v>
      </c>
      <c r="H134" s="13">
        <v>34</v>
      </c>
    </row>
    <row r="135" spans="1:8">
      <c r="A135" t="s">
        <v>467</v>
      </c>
      <c r="B135" t="s">
        <v>277</v>
      </c>
      <c r="C135" s="8">
        <v>45967</v>
      </c>
      <c r="D135" t="s">
        <v>332</v>
      </c>
      <c r="E135" t="s">
        <v>337</v>
      </c>
      <c r="F135" s="12">
        <v>677999</v>
      </c>
      <c r="G135" s="12" t="str">
        <f>VLOOKUP(Table2[[#This Row],[MemberID]],Table1[#All],3,0)</f>
        <v>Silver</v>
      </c>
      <c r="H135" s="13">
        <v>67</v>
      </c>
    </row>
    <row r="136" spans="1:8">
      <c r="A136" t="s">
        <v>468</v>
      </c>
      <c r="B136" t="s">
        <v>217</v>
      </c>
      <c r="C136" s="8">
        <v>46000</v>
      </c>
      <c r="D136" t="s">
        <v>324</v>
      </c>
      <c r="E136" t="s">
        <v>322</v>
      </c>
      <c r="F136" s="12">
        <v>67345</v>
      </c>
      <c r="G136" s="12" t="str">
        <f>VLOOKUP(Table2[[#This Row],[MemberID]],Table1[#All],3,0)</f>
        <v>Gold</v>
      </c>
      <c r="H136" s="13">
        <v>6</v>
      </c>
    </row>
    <row r="137" spans="1:8">
      <c r="A137" t="s">
        <v>469</v>
      </c>
      <c r="B137" t="s">
        <v>136</v>
      </c>
      <c r="C137" s="8">
        <v>46179</v>
      </c>
      <c r="D137" t="s">
        <v>327</v>
      </c>
      <c r="E137" t="s">
        <v>322</v>
      </c>
      <c r="F137" s="12">
        <v>418342</v>
      </c>
      <c r="G137" s="12" t="str">
        <f>VLOOKUP(Table2[[#This Row],[MemberID]],Table1[#All],3,0)</f>
        <v>Platinum</v>
      </c>
      <c r="H137" s="13">
        <v>41</v>
      </c>
    </row>
    <row r="138" spans="1:8">
      <c r="A138" t="s">
        <v>470</v>
      </c>
      <c r="B138" t="s">
        <v>212</v>
      </c>
      <c r="C138" s="8">
        <v>46117</v>
      </c>
      <c r="D138" t="s">
        <v>330</v>
      </c>
      <c r="E138" t="s">
        <v>334</v>
      </c>
      <c r="F138" s="12">
        <v>420364</v>
      </c>
      <c r="G138" s="12" t="str">
        <f>VLOOKUP(Table2[[#This Row],[MemberID]],Table1[#All],3,0)</f>
        <v>Silver</v>
      </c>
      <c r="H138" s="13">
        <v>42</v>
      </c>
    </row>
    <row r="139" spans="1:8">
      <c r="A139" t="s">
        <v>471</v>
      </c>
      <c r="B139" t="s">
        <v>67</v>
      </c>
      <c r="C139" s="8">
        <v>46132</v>
      </c>
      <c r="D139" t="s">
        <v>324</v>
      </c>
      <c r="E139" t="s">
        <v>339</v>
      </c>
      <c r="F139" s="12">
        <v>279500</v>
      </c>
      <c r="G139" s="12" t="str">
        <f>VLOOKUP(Table2[[#This Row],[MemberID]],Table1[#All],3,0)</f>
        <v>Platinum</v>
      </c>
      <c r="H139" s="13">
        <v>27</v>
      </c>
    </row>
    <row r="140" spans="1:8">
      <c r="A140" t="s">
        <v>472</v>
      </c>
      <c r="B140" t="s">
        <v>66</v>
      </c>
      <c r="C140" s="8">
        <v>45951</v>
      </c>
      <c r="D140" t="s">
        <v>344</v>
      </c>
      <c r="E140" t="s">
        <v>322</v>
      </c>
      <c r="F140" s="12">
        <v>444922</v>
      </c>
      <c r="G140" s="12" t="str">
        <f>VLOOKUP(Table2[[#This Row],[MemberID]],Table1[#All],3,0)</f>
        <v>Silver</v>
      </c>
      <c r="H140" s="13">
        <v>44</v>
      </c>
    </row>
    <row r="141" spans="1:8">
      <c r="A141" t="s">
        <v>473</v>
      </c>
      <c r="B141" t="s">
        <v>271</v>
      </c>
      <c r="C141" s="8">
        <v>46285</v>
      </c>
      <c r="D141" t="s">
        <v>344</v>
      </c>
      <c r="E141" t="s">
        <v>339</v>
      </c>
      <c r="F141" s="12">
        <v>141390</v>
      </c>
      <c r="G141" s="12" t="str">
        <f>VLOOKUP(Table2[[#This Row],[MemberID]],Table1[#All],3,0)</f>
        <v>Silver</v>
      </c>
      <c r="H141" s="13">
        <v>14</v>
      </c>
    </row>
    <row r="142" spans="1:8">
      <c r="A142" t="s">
        <v>474</v>
      </c>
      <c r="B142" t="s">
        <v>118</v>
      </c>
      <c r="C142" s="8">
        <v>46080</v>
      </c>
      <c r="D142" t="s">
        <v>324</v>
      </c>
      <c r="E142" t="s">
        <v>334</v>
      </c>
      <c r="F142" s="12">
        <v>102012</v>
      </c>
      <c r="G142" s="12" t="str">
        <f>VLOOKUP(Table2[[#This Row],[MemberID]],Table1[#All],3,0)</f>
        <v>Silver</v>
      </c>
      <c r="H142" s="13">
        <v>10</v>
      </c>
    </row>
    <row r="143" spans="1:8">
      <c r="A143" t="s">
        <v>475</v>
      </c>
      <c r="B143" t="s">
        <v>140</v>
      </c>
      <c r="C143" s="8">
        <v>45935</v>
      </c>
      <c r="D143" t="s">
        <v>321</v>
      </c>
      <c r="E143" t="s">
        <v>328</v>
      </c>
      <c r="F143" s="12">
        <v>78616</v>
      </c>
      <c r="G143" s="12" t="str">
        <f>VLOOKUP(Table2[[#This Row],[MemberID]],Table1[#All],3,0)</f>
        <v>Silver</v>
      </c>
      <c r="H143" s="13">
        <v>7</v>
      </c>
    </row>
    <row r="144" spans="1:8">
      <c r="A144" t="s">
        <v>476</v>
      </c>
      <c r="B144" t="s">
        <v>102</v>
      </c>
      <c r="C144" s="8">
        <v>46024</v>
      </c>
      <c r="D144" t="s">
        <v>327</v>
      </c>
      <c r="E144" t="s">
        <v>337</v>
      </c>
      <c r="F144" s="12">
        <v>476157</v>
      </c>
      <c r="G144" s="12" t="str">
        <f>VLOOKUP(Table2[[#This Row],[MemberID]],Table1[#All],3,0)</f>
        <v>Platinum</v>
      </c>
      <c r="H144" s="13">
        <v>47</v>
      </c>
    </row>
    <row r="145" spans="1:8">
      <c r="A145" t="s">
        <v>477</v>
      </c>
      <c r="B145" t="s">
        <v>103</v>
      </c>
      <c r="C145" s="8">
        <v>46030</v>
      </c>
      <c r="D145" t="s">
        <v>332</v>
      </c>
      <c r="E145" t="s">
        <v>339</v>
      </c>
      <c r="F145" s="12">
        <v>456392</v>
      </c>
      <c r="G145" s="12" t="str">
        <f>VLOOKUP(Table2[[#This Row],[MemberID]],Table1[#All],3,0)</f>
        <v>Silver</v>
      </c>
      <c r="H145" s="13">
        <v>45</v>
      </c>
    </row>
    <row r="146" spans="1:8">
      <c r="A146" t="s">
        <v>478</v>
      </c>
      <c r="B146" t="s">
        <v>159</v>
      </c>
      <c r="C146" s="8">
        <v>45933</v>
      </c>
      <c r="D146" t="s">
        <v>344</v>
      </c>
      <c r="E146" t="s">
        <v>339</v>
      </c>
      <c r="F146" s="12">
        <v>93172</v>
      </c>
      <c r="G146" s="12" t="str">
        <f>VLOOKUP(Table2[[#This Row],[MemberID]],Table1[#All],3,0)</f>
        <v>Gold</v>
      </c>
      <c r="H146" s="13">
        <v>9</v>
      </c>
    </row>
    <row r="147" spans="1:8">
      <c r="A147" t="s">
        <v>479</v>
      </c>
      <c r="B147" t="s">
        <v>276</v>
      </c>
      <c r="C147" s="8">
        <v>45981</v>
      </c>
      <c r="D147" t="s">
        <v>321</v>
      </c>
      <c r="E147" t="s">
        <v>325</v>
      </c>
      <c r="F147" s="12">
        <v>500861</v>
      </c>
      <c r="G147" s="12" t="str">
        <f>VLOOKUP(Table2[[#This Row],[MemberID]],Table1[#All],3,0)</f>
        <v>Gold</v>
      </c>
      <c r="H147" s="13">
        <v>50</v>
      </c>
    </row>
    <row r="148" spans="1:8">
      <c r="A148" t="s">
        <v>480</v>
      </c>
      <c r="B148" t="s">
        <v>278</v>
      </c>
      <c r="C148" s="8">
        <v>46035</v>
      </c>
      <c r="D148" t="s">
        <v>350</v>
      </c>
      <c r="E148" t="s">
        <v>334</v>
      </c>
      <c r="F148" s="12">
        <v>120744</v>
      </c>
      <c r="G148" s="12" t="str">
        <f>VLOOKUP(Table2[[#This Row],[MemberID]],Table1[#All],3,0)</f>
        <v>Silver</v>
      </c>
      <c r="H148" s="13">
        <v>12</v>
      </c>
    </row>
    <row r="149" spans="1:8">
      <c r="A149" t="s">
        <v>481</v>
      </c>
      <c r="B149" t="s">
        <v>18</v>
      </c>
      <c r="C149" s="8">
        <v>46262</v>
      </c>
      <c r="D149" t="s">
        <v>342</v>
      </c>
      <c r="E149" t="s">
        <v>337</v>
      </c>
      <c r="F149" s="12">
        <v>295954</v>
      </c>
      <c r="G149" s="12" t="str">
        <f>VLOOKUP(Table2[[#This Row],[MemberID]],Table1[#All],3,0)</f>
        <v>Silver</v>
      </c>
      <c r="H149" s="13">
        <v>29</v>
      </c>
    </row>
    <row r="150" spans="1:8">
      <c r="A150" t="s">
        <v>482</v>
      </c>
      <c r="B150" t="s">
        <v>139</v>
      </c>
      <c r="C150" s="8">
        <v>46036</v>
      </c>
      <c r="D150" t="s">
        <v>324</v>
      </c>
      <c r="E150" t="s">
        <v>337</v>
      </c>
      <c r="F150" s="12">
        <v>214312</v>
      </c>
      <c r="G150" s="12" t="str">
        <f>VLOOKUP(Table2[[#This Row],[MemberID]],Table1[#All],3,0)</f>
        <v>Silver</v>
      </c>
      <c r="H150" s="13">
        <v>21</v>
      </c>
    </row>
    <row r="151" spans="1:8">
      <c r="A151" t="s">
        <v>483</v>
      </c>
      <c r="B151" t="s">
        <v>147</v>
      </c>
      <c r="C151" s="8">
        <v>46282</v>
      </c>
      <c r="D151" t="s">
        <v>350</v>
      </c>
      <c r="E151" t="s">
        <v>334</v>
      </c>
      <c r="F151" s="12">
        <v>415697</v>
      </c>
      <c r="G151" s="12" t="str">
        <f>VLOOKUP(Table2[[#This Row],[MemberID]],Table1[#All],3,0)</f>
        <v>Silver</v>
      </c>
      <c r="H151" s="13">
        <v>41</v>
      </c>
    </row>
    <row r="152" spans="1:8">
      <c r="A152" t="s">
        <v>484</v>
      </c>
      <c r="B152" t="s">
        <v>286</v>
      </c>
      <c r="C152" s="8">
        <v>46230</v>
      </c>
      <c r="D152" t="s">
        <v>324</v>
      </c>
      <c r="E152" t="s">
        <v>325</v>
      </c>
      <c r="F152" s="12">
        <v>265774</v>
      </c>
      <c r="G152" s="12" t="str">
        <f>VLOOKUP(Table2[[#This Row],[MemberID]],Table1[#All],3,0)</f>
        <v>Silver</v>
      </c>
      <c r="H152" s="13">
        <v>26</v>
      </c>
    </row>
    <row r="153" spans="1:8">
      <c r="A153" t="s">
        <v>485</v>
      </c>
      <c r="B153" t="s">
        <v>205</v>
      </c>
      <c r="C153" s="8">
        <v>46164</v>
      </c>
      <c r="D153" t="s">
        <v>332</v>
      </c>
      <c r="E153" t="s">
        <v>339</v>
      </c>
      <c r="F153" s="12">
        <v>149794</v>
      </c>
      <c r="G153" s="12" t="str">
        <f>VLOOKUP(Table2[[#This Row],[MemberID]],Table1[#All],3,0)</f>
        <v>Silver</v>
      </c>
      <c r="H153" s="13">
        <v>14</v>
      </c>
    </row>
    <row r="154" spans="1:8">
      <c r="A154" t="s">
        <v>486</v>
      </c>
      <c r="B154" t="s">
        <v>187</v>
      </c>
      <c r="C154" s="8">
        <v>46264</v>
      </c>
      <c r="D154" t="s">
        <v>324</v>
      </c>
      <c r="E154" t="s">
        <v>334</v>
      </c>
      <c r="F154" s="12">
        <v>349418</v>
      </c>
      <c r="G154" s="12" t="str">
        <f>VLOOKUP(Table2[[#This Row],[MemberID]],Table1[#All],3,0)</f>
        <v>Silver</v>
      </c>
      <c r="H154" s="13">
        <v>34</v>
      </c>
    </row>
    <row r="155" spans="1:8">
      <c r="A155" t="s">
        <v>487</v>
      </c>
      <c r="B155" t="s">
        <v>310</v>
      </c>
      <c r="C155" s="8">
        <v>46271</v>
      </c>
      <c r="D155" t="s">
        <v>324</v>
      </c>
      <c r="E155" t="s">
        <v>325</v>
      </c>
      <c r="F155" s="12">
        <v>480618</v>
      </c>
      <c r="G155" s="12" t="str">
        <f>VLOOKUP(Table2[[#This Row],[MemberID]],Table1[#All],3,0)</f>
        <v>Silver</v>
      </c>
      <c r="H155" s="13">
        <v>48</v>
      </c>
    </row>
    <row r="156" spans="1:8">
      <c r="A156" t="s">
        <v>488</v>
      </c>
      <c r="B156" t="s">
        <v>240</v>
      </c>
      <c r="C156" s="8">
        <v>46144</v>
      </c>
      <c r="D156" t="s">
        <v>350</v>
      </c>
      <c r="E156" t="s">
        <v>328</v>
      </c>
      <c r="F156" s="12">
        <v>112615</v>
      </c>
      <c r="G156" s="12" t="str">
        <f>VLOOKUP(Table2[[#This Row],[MemberID]],Table1[#All],3,0)</f>
        <v>Silver</v>
      </c>
      <c r="H156" s="13">
        <v>11</v>
      </c>
    </row>
    <row r="157" spans="1:8">
      <c r="A157" t="s">
        <v>489</v>
      </c>
      <c r="B157" t="s">
        <v>22</v>
      </c>
      <c r="C157" s="8">
        <v>46101</v>
      </c>
      <c r="D157" t="s">
        <v>330</v>
      </c>
      <c r="E157" t="s">
        <v>328</v>
      </c>
      <c r="F157" s="12">
        <v>614503</v>
      </c>
      <c r="G157" s="12" t="str">
        <f>VLOOKUP(Table2[[#This Row],[MemberID]],Table1[#All],3,0)</f>
        <v>Gold</v>
      </c>
      <c r="H157" s="13">
        <v>61</v>
      </c>
    </row>
    <row r="158" spans="1:8">
      <c r="A158" t="s">
        <v>490</v>
      </c>
      <c r="B158" t="s">
        <v>161</v>
      </c>
      <c r="C158" s="8">
        <v>46214</v>
      </c>
      <c r="D158" t="s">
        <v>330</v>
      </c>
      <c r="E158" t="s">
        <v>328</v>
      </c>
      <c r="F158" s="12">
        <v>340090</v>
      </c>
      <c r="G158" s="12" t="str">
        <f>VLOOKUP(Table2[[#This Row],[MemberID]],Table1[#All],3,0)</f>
        <v>Gold</v>
      </c>
      <c r="H158" s="13">
        <v>34</v>
      </c>
    </row>
    <row r="159" spans="1:8">
      <c r="A159" t="s">
        <v>491</v>
      </c>
      <c r="B159" t="s">
        <v>263</v>
      </c>
      <c r="C159" s="8">
        <v>46207</v>
      </c>
      <c r="D159" t="s">
        <v>330</v>
      </c>
      <c r="E159" t="s">
        <v>322</v>
      </c>
      <c r="F159" s="12">
        <v>365141</v>
      </c>
      <c r="G159" s="12" t="str">
        <f>VLOOKUP(Table2[[#This Row],[MemberID]],Table1[#All],3,0)</f>
        <v>Gold</v>
      </c>
      <c r="H159" s="13">
        <v>36</v>
      </c>
    </row>
    <row r="160" spans="1:8">
      <c r="A160" t="s">
        <v>492</v>
      </c>
      <c r="B160" t="s">
        <v>61</v>
      </c>
      <c r="C160" s="8">
        <v>46251</v>
      </c>
      <c r="D160" t="s">
        <v>324</v>
      </c>
      <c r="E160" t="s">
        <v>339</v>
      </c>
      <c r="F160" s="12">
        <v>162611</v>
      </c>
      <c r="G160" s="12" t="str">
        <f>VLOOKUP(Table2[[#This Row],[MemberID]],Table1[#All],3,0)</f>
        <v>Platinum</v>
      </c>
      <c r="H160" s="13">
        <v>16</v>
      </c>
    </row>
    <row r="161" spans="1:8">
      <c r="A161" t="s">
        <v>493</v>
      </c>
      <c r="B161" t="s">
        <v>275</v>
      </c>
      <c r="C161" s="8">
        <v>46098</v>
      </c>
      <c r="D161" t="s">
        <v>332</v>
      </c>
      <c r="E161" t="s">
        <v>339</v>
      </c>
      <c r="F161" s="12">
        <v>157031</v>
      </c>
      <c r="G161" s="12" t="str">
        <f>VLOOKUP(Table2[[#This Row],[MemberID]],Table1[#All],3,0)</f>
        <v>Silver</v>
      </c>
      <c r="H161" s="13">
        <v>15</v>
      </c>
    </row>
    <row r="162" spans="1:8">
      <c r="A162" t="s">
        <v>494</v>
      </c>
      <c r="B162" t="s">
        <v>206</v>
      </c>
      <c r="C162" s="8">
        <v>46289</v>
      </c>
      <c r="D162" t="s">
        <v>321</v>
      </c>
      <c r="E162" t="s">
        <v>328</v>
      </c>
      <c r="F162" s="12">
        <v>361907</v>
      </c>
      <c r="G162" s="12" t="str">
        <f>VLOOKUP(Table2[[#This Row],[MemberID]],Table1[#All],3,0)</f>
        <v>Silver</v>
      </c>
      <c r="H162" s="13">
        <v>36</v>
      </c>
    </row>
    <row r="163" spans="1:8">
      <c r="A163" t="s">
        <v>495</v>
      </c>
      <c r="B163" t="s">
        <v>129</v>
      </c>
      <c r="C163" s="8">
        <v>46155</v>
      </c>
      <c r="D163" t="s">
        <v>332</v>
      </c>
      <c r="E163" t="s">
        <v>328</v>
      </c>
      <c r="F163" s="12">
        <v>628216</v>
      </c>
      <c r="G163" s="12" t="str">
        <f>VLOOKUP(Table2[[#This Row],[MemberID]],Table1[#All],3,0)</f>
        <v>Silver</v>
      </c>
      <c r="H163" s="13">
        <v>62</v>
      </c>
    </row>
    <row r="164" spans="1:8">
      <c r="A164" t="s">
        <v>496</v>
      </c>
      <c r="B164" t="s">
        <v>287</v>
      </c>
      <c r="C164" s="8">
        <v>46252</v>
      </c>
      <c r="D164" t="s">
        <v>321</v>
      </c>
      <c r="E164" t="s">
        <v>337</v>
      </c>
      <c r="F164" s="12">
        <v>463871</v>
      </c>
      <c r="G164" s="12" t="str">
        <f>VLOOKUP(Table2[[#This Row],[MemberID]],Table1[#All],3,0)</f>
        <v>Gold</v>
      </c>
      <c r="H164" s="13">
        <v>46</v>
      </c>
    </row>
    <row r="165" spans="1:8">
      <c r="A165" t="s">
        <v>497</v>
      </c>
      <c r="B165" t="s">
        <v>62</v>
      </c>
      <c r="C165" s="8">
        <v>46017</v>
      </c>
      <c r="D165" t="s">
        <v>350</v>
      </c>
      <c r="E165" t="s">
        <v>328</v>
      </c>
      <c r="F165" s="12">
        <v>173271</v>
      </c>
      <c r="G165" s="12" t="str">
        <f>VLOOKUP(Table2[[#This Row],[MemberID]],Table1[#All],3,0)</f>
        <v>Silver</v>
      </c>
      <c r="H165" s="13">
        <v>17</v>
      </c>
    </row>
    <row r="166" spans="1:8">
      <c r="A166" t="s">
        <v>498</v>
      </c>
      <c r="B166" t="s">
        <v>112</v>
      </c>
      <c r="C166" s="8">
        <v>45961</v>
      </c>
      <c r="D166" t="s">
        <v>332</v>
      </c>
      <c r="E166" t="s">
        <v>339</v>
      </c>
      <c r="F166" s="12">
        <v>94551</v>
      </c>
      <c r="G166" s="12" t="str">
        <f>VLOOKUP(Table2[[#This Row],[MemberID]],Table1[#All],3,0)</f>
        <v>Silver</v>
      </c>
      <c r="H166" s="13">
        <v>9</v>
      </c>
    </row>
    <row r="167" spans="1:8">
      <c r="A167" t="s">
        <v>499</v>
      </c>
      <c r="B167" t="s">
        <v>160</v>
      </c>
      <c r="C167" s="8">
        <v>46127</v>
      </c>
      <c r="D167" t="s">
        <v>332</v>
      </c>
      <c r="E167" t="s">
        <v>339</v>
      </c>
      <c r="F167" s="12">
        <v>170421</v>
      </c>
      <c r="G167" s="12" t="str">
        <f>VLOOKUP(Table2[[#This Row],[MemberID]],Table1[#All],3,0)</f>
        <v>Silver</v>
      </c>
      <c r="H167" s="13">
        <v>17</v>
      </c>
    </row>
    <row r="168" spans="1:8">
      <c r="A168" t="s">
        <v>500</v>
      </c>
      <c r="B168" t="s">
        <v>274</v>
      </c>
      <c r="C168" s="8">
        <v>46158</v>
      </c>
      <c r="D168" t="s">
        <v>327</v>
      </c>
      <c r="E168" t="s">
        <v>325</v>
      </c>
      <c r="F168" s="12">
        <v>221830</v>
      </c>
      <c r="G168" s="12" t="str">
        <f>VLOOKUP(Table2[[#This Row],[MemberID]],Table1[#All],3,0)</f>
        <v>Platinum</v>
      </c>
      <c r="H168" s="13">
        <v>22</v>
      </c>
    </row>
    <row r="169" spans="1:8">
      <c r="A169" t="s">
        <v>501</v>
      </c>
      <c r="B169" t="s">
        <v>271</v>
      </c>
      <c r="C169" s="8">
        <v>46023</v>
      </c>
      <c r="D169" t="s">
        <v>321</v>
      </c>
      <c r="E169" t="s">
        <v>339</v>
      </c>
      <c r="F169" s="12">
        <v>552470</v>
      </c>
      <c r="G169" s="12" t="str">
        <f>VLOOKUP(Table2[[#This Row],[MemberID]],Table1[#All],3,0)</f>
        <v>Silver</v>
      </c>
      <c r="H169" s="13">
        <v>55</v>
      </c>
    </row>
    <row r="170" spans="1:8">
      <c r="A170" t="s">
        <v>502</v>
      </c>
      <c r="B170" t="s">
        <v>99</v>
      </c>
      <c r="C170" s="8">
        <v>46033</v>
      </c>
      <c r="D170" t="s">
        <v>350</v>
      </c>
      <c r="E170" t="s">
        <v>337</v>
      </c>
      <c r="F170" s="12">
        <v>385100</v>
      </c>
      <c r="G170" s="12" t="str">
        <f>VLOOKUP(Table2[[#This Row],[MemberID]],Table1[#All],3,0)</f>
        <v>Platinum</v>
      </c>
      <c r="H170" s="13">
        <v>38</v>
      </c>
    </row>
    <row r="171" spans="1:8">
      <c r="A171" t="s">
        <v>503</v>
      </c>
      <c r="B171" t="s">
        <v>233</v>
      </c>
      <c r="C171" s="8">
        <v>46044</v>
      </c>
      <c r="D171" t="s">
        <v>330</v>
      </c>
      <c r="E171" t="s">
        <v>328</v>
      </c>
      <c r="F171" s="12">
        <v>94682</v>
      </c>
      <c r="G171" s="12" t="str">
        <f>VLOOKUP(Table2[[#This Row],[MemberID]],Table1[#All],3,0)</f>
        <v>Gold</v>
      </c>
      <c r="H171" s="13">
        <v>9</v>
      </c>
    </row>
    <row r="172" spans="1:8">
      <c r="A172" t="s">
        <v>504</v>
      </c>
      <c r="B172" t="s">
        <v>68</v>
      </c>
      <c r="C172" s="8">
        <v>46284</v>
      </c>
      <c r="D172" t="s">
        <v>330</v>
      </c>
      <c r="E172" t="s">
        <v>325</v>
      </c>
      <c r="F172" s="12">
        <v>137453</v>
      </c>
      <c r="G172" s="12" t="str">
        <f>VLOOKUP(Table2[[#This Row],[MemberID]],Table1[#All],3,0)</f>
        <v>Silver</v>
      </c>
      <c r="H172" s="13">
        <v>13</v>
      </c>
    </row>
    <row r="173" spans="1:8">
      <c r="A173" t="s">
        <v>505</v>
      </c>
      <c r="B173" t="s">
        <v>262</v>
      </c>
      <c r="C173" s="8">
        <v>46258</v>
      </c>
      <c r="D173" t="s">
        <v>344</v>
      </c>
      <c r="E173" t="s">
        <v>322</v>
      </c>
      <c r="F173" s="12">
        <v>121471</v>
      </c>
      <c r="G173" s="12" t="str">
        <f>VLOOKUP(Table2[[#This Row],[MemberID]],Table1[#All],3,0)</f>
        <v>Gold</v>
      </c>
      <c r="H173" s="13">
        <v>12</v>
      </c>
    </row>
    <row r="174" spans="1:8">
      <c r="A174" t="s">
        <v>506</v>
      </c>
      <c r="B174" t="s">
        <v>209</v>
      </c>
      <c r="C174" s="8">
        <v>45967</v>
      </c>
      <c r="D174" t="s">
        <v>321</v>
      </c>
      <c r="E174" t="s">
        <v>328</v>
      </c>
      <c r="F174" s="12">
        <v>407630</v>
      </c>
      <c r="G174" s="12" t="str">
        <f>VLOOKUP(Table2[[#This Row],[MemberID]],Table1[#All],3,0)</f>
        <v>Gold</v>
      </c>
      <c r="H174" s="13">
        <v>40</v>
      </c>
    </row>
    <row r="175" spans="1:8">
      <c r="A175" t="s">
        <v>507</v>
      </c>
      <c r="B175" t="s">
        <v>94</v>
      </c>
      <c r="C175" s="8">
        <v>45937</v>
      </c>
      <c r="D175" t="s">
        <v>324</v>
      </c>
      <c r="E175" t="s">
        <v>325</v>
      </c>
      <c r="F175" s="12">
        <v>36360</v>
      </c>
      <c r="G175" s="12" t="str">
        <f>VLOOKUP(Table2[[#This Row],[MemberID]],Table1[#All],3,0)</f>
        <v>Silver</v>
      </c>
      <c r="H175" s="13">
        <v>3</v>
      </c>
    </row>
    <row r="176" spans="1:8">
      <c r="A176" t="s">
        <v>508</v>
      </c>
      <c r="B176" t="s">
        <v>48</v>
      </c>
      <c r="C176" s="8">
        <v>46001</v>
      </c>
      <c r="D176" t="s">
        <v>344</v>
      </c>
      <c r="E176" t="s">
        <v>334</v>
      </c>
      <c r="F176" s="12">
        <v>158841</v>
      </c>
      <c r="G176" s="12" t="str">
        <f>VLOOKUP(Table2[[#This Row],[MemberID]],Table1[#All],3,0)</f>
        <v>Gold</v>
      </c>
      <c r="H176" s="13">
        <v>15</v>
      </c>
    </row>
    <row r="177" spans="1:8">
      <c r="A177" t="s">
        <v>509</v>
      </c>
      <c r="B177" t="s">
        <v>47</v>
      </c>
      <c r="C177" s="8">
        <v>45957</v>
      </c>
      <c r="D177" t="s">
        <v>321</v>
      </c>
      <c r="E177" t="s">
        <v>334</v>
      </c>
      <c r="F177" s="12">
        <v>203024</v>
      </c>
      <c r="G177" s="12" t="str">
        <f>VLOOKUP(Table2[[#This Row],[MemberID]],Table1[#All],3,0)</f>
        <v>Silver</v>
      </c>
      <c r="H177" s="13">
        <v>20</v>
      </c>
    </row>
    <row r="178" spans="1:8">
      <c r="A178" t="s">
        <v>510</v>
      </c>
      <c r="B178" t="s">
        <v>99</v>
      </c>
      <c r="C178" s="8">
        <v>46275</v>
      </c>
      <c r="D178" t="s">
        <v>321</v>
      </c>
      <c r="E178" t="s">
        <v>328</v>
      </c>
      <c r="F178" s="12">
        <v>149035</v>
      </c>
      <c r="G178" s="12" t="str">
        <f>VLOOKUP(Table2[[#This Row],[MemberID]],Table1[#All],3,0)</f>
        <v>Platinum</v>
      </c>
      <c r="H178" s="13">
        <v>14</v>
      </c>
    </row>
    <row r="179" spans="1:8">
      <c r="A179" t="s">
        <v>511</v>
      </c>
      <c r="B179" t="s">
        <v>289</v>
      </c>
      <c r="C179" s="8">
        <v>46281</v>
      </c>
      <c r="D179" t="s">
        <v>327</v>
      </c>
      <c r="E179" t="s">
        <v>322</v>
      </c>
      <c r="F179" s="12">
        <v>92203</v>
      </c>
      <c r="G179" s="12" t="str">
        <f>VLOOKUP(Table2[[#This Row],[MemberID]],Table1[#All],3,0)</f>
        <v>Silver</v>
      </c>
      <c r="H179" s="13">
        <v>9</v>
      </c>
    </row>
    <row r="180" spans="1:8">
      <c r="A180" t="s">
        <v>512</v>
      </c>
      <c r="B180" t="s">
        <v>54</v>
      </c>
      <c r="C180" s="8">
        <v>46239</v>
      </c>
      <c r="D180" t="s">
        <v>350</v>
      </c>
      <c r="E180" t="s">
        <v>339</v>
      </c>
      <c r="F180" s="12">
        <v>353139</v>
      </c>
      <c r="G180" s="12" t="str">
        <f>VLOOKUP(Table2[[#This Row],[MemberID]],Table1[#All],3,0)</f>
        <v>Platinum</v>
      </c>
      <c r="H180" s="13">
        <v>35</v>
      </c>
    </row>
    <row r="181" spans="1:8">
      <c r="A181" t="s">
        <v>513</v>
      </c>
      <c r="B181" t="s">
        <v>266</v>
      </c>
      <c r="C181" s="8">
        <v>46204</v>
      </c>
      <c r="D181" t="s">
        <v>321</v>
      </c>
      <c r="E181" t="s">
        <v>322</v>
      </c>
      <c r="F181" s="12">
        <v>596910</v>
      </c>
      <c r="G181" s="12" t="str">
        <f>VLOOKUP(Table2[[#This Row],[MemberID]],Table1[#All],3,0)</f>
        <v>Silver</v>
      </c>
      <c r="H181" s="13">
        <v>59</v>
      </c>
    </row>
    <row r="182" spans="1:8">
      <c r="A182" t="s">
        <v>514</v>
      </c>
      <c r="B182" t="s">
        <v>100</v>
      </c>
      <c r="C182" s="8">
        <v>46262</v>
      </c>
      <c r="D182" t="s">
        <v>344</v>
      </c>
      <c r="E182" t="s">
        <v>339</v>
      </c>
      <c r="F182" s="12">
        <v>427708</v>
      </c>
      <c r="G182" s="12" t="str">
        <f>VLOOKUP(Table2[[#This Row],[MemberID]],Table1[#All],3,0)</f>
        <v>Silver</v>
      </c>
      <c r="H182" s="13">
        <v>42</v>
      </c>
    </row>
    <row r="183" spans="1:8">
      <c r="A183" t="s">
        <v>515</v>
      </c>
      <c r="B183" t="s">
        <v>253</v>
      </c>
      <c r="C183" s="8">
        <v>46021</v>
      </c>
      <c r="D183" t="s">
        <v>324</v>
      </c>
      <c r="E183" t="s">
        <v>325</v>
      </c>
      <c r="F183" s="12">
        <v>716803</v>
      </c>
      <c r="G183" s="12" t="str">
        <f>VLOOKUP(Table2[[#This Row],[MemberID]],Table1[#All],3,0)</f>
        <v>Silver</v>
      </c>
      <c r="H183" s="13">
        <v>71</v>
      </c>
    </row>
    <row r="184" spans="1:8">
      <c r="A184" t="s">
        <v>516</v>
      </c>
      <c r="B184" t="s">
        <v>267</v>
      </c>
      <c r="C184" s="8">
        <v>46149</v>
      </c>
      <c r="D184" t="s">
        <v>327</v>
      </c>
      <c r="E184" t="s">
        <v>337</v>
      </c>
      <c r="F184" s="12">
        <v>178338</v>
      </c>
      <c r="G184" s="12" t="str">
        <f>VLOOKUP(Table2[[#This Row],[MemberID]],Table1[#All],3,0)</f>
        <v>Silver</v>
      </c>
      <c r="H184" s="13">
        <v>17</v>
      </c>
    </row>
    <row r="185" spans="1:8">
      <c r="A185" t="s">
        <v>517</v>
      </c>
      <c r="B185" t="s">
        <v>64</v>
      </c>
      <c r="C185" s="8">
        <v>46003</v>
      </c>
      <c r="D185" t="s">
        <v>342</v>
      </c>
      <c r="E185" t="s">
        <v>322</v>
      </c>
      <c r="F185" s="12">
        <v>638305</v>
      </c>
      <c r="G185" s="12" t="str">
        <f>VLOOKUP(Table2[[#This Row],[MemberID]],Table1[#All],3,0)</f>
        <v>Silver</v>
      </c>
      <c r="H185" s="13">
        <v>63</v>
      </c>
    </row>
    <row r="186" spans="1:8">
      <c r="A186" t="s">
        <v>518</v>
      </c>
      <c r="B186" t="s">
        <v>212</v>
      </c>
      <c r="C186" s="8">
        <v>46118</v>
      </c>
      <c r="D186" t="s">
        <v>321</v>
      </c>
      <c r="E186" t="s">
        <v>322</v>
      </c>
      <c r="F186" s="12">
        <v>271043</v>
      </c>
      <c r="G186" s="12" t="str">
        <f>VLOOKUP(Table2[[#This Row],[MemberID]],Table1[#All],3,0)</f>
        <v>Silver</v>
      </c>
      <c r="H186" s="13">
        <v>27</v>
      </c>
    </row>
    <row r="187" spans="1:8">
      <c r="A187" t="s">
        <v>519</v>
      </c>
      <c r="B187" t="s">
        <v>240</v>
      </c>
      <c r="C187" s="8">
        <v>46200</v>
      </c>
      <c r="D187" t="s">
        <v>332</v>
      </c>
      <c r="E187" t="s">
        <v>339</v>
      </c>
      <c r="F187" s="12">
        <v>413173</v>
      </c>
      <c r="G187" s="12" t="str">
        <f>VLOOKUP(Table2[[#This Row],[MemberID]],Table1[#All],3,0)</f>
        <v>Silver</v>
      </c>
      <c r="H187" s="13">
        <v>41</v>
      </c>
    </row>
    <row r="188" spans="1:8">
      <c r="A188" t="s">
        <v>520</v>
      </c>
      <c r="B188" t="s">
        <v>306</v>
      </c>
      <c r="C188" s="8">
        <v>46203</v>
      </c>
      <c r="D188" t="s">
        <v>332</v>
      </c>
      <c r="E188" t="s">
        <v>339</v>
      </c>
      <c r="F188" s="12">
        <v>415830</v>
      </c>
      <c r="G188" s="12" t="str">
        <f>VLOOKUP(Table2[[#This Row],[MemberID]],Table1[#All],3,0)</f>
        <v>Silver</v>
      </c>
      <c r="H188" s="13">
        <v>41</v>
      </c>
    </row>
    <row r="189" spans="1:8">
      <c r="A189" t="s">
        <v>521</v>
      </c>
      <c r="B189" t="s">
        <v>164</v>
      </c>
      <c r="C189" s="8">
        <v>46021</v>
      </c>
      <c r="D189" t="s">
        <v>342</v>
      </c>
      <c r="E189" t="s">
        <v>328</v>
      </c>
      <c r="F189" s="12">
        <v>25000</v>
      </c>
      <c r="G189" s="12" t="str">
        <f>VLOOKUP(Table2[[#This Row],[MemberID]],Table1[#All],3,0)</f>
        <v>Silver</v>
      </c>
      <c r="H189" s="13">
        <v>2</v>
      </c>
    </row>
    <row r="190" spans="1:8">
      <c r="A190" t="s">
        <v>522</v>
      </c>
      <c r="B190" t="s">
        <v>178</v>
      </c>
      <c r="C190" s="8">
        <v>46207</v>
      </c>
      <c r="D190" t="s">
        <v>321</v>
      </c>
      <c r="E190" t="s">
        <v>337</v>
      </c>
      <c r="F190" s="12">
        <v>321801</v>
      </c>
      <c r="G190" s="12" t="str">
        <f>VLOOKUP(Table2[[#This Row],[MemberID]],Table1[#All],3,0)</f>
        <v>Silver</v>
      </c>
      <c r="H190" s="13">
        <v>32</v>
      </c>
    </row>
    <row r="191" spans="1:8">
      <c r="A191" t="s">
        <v>523</v>
      </c>
      <c r="B191" t="s">
        <v>102</v>
      </c>
      <c r="C191" s="8">
        <v>45989</v>
      </c>
      <c r="D191" t="s">
        <v>327</v>
      </c>
      <c r="E191" t="s">
        <v>334</v>
      </c>
      <c r="F191" s="12">
        <v>496741</v>
      </c>
      <c r="G191" s="12" t="str">
        <f>VLOOKUP(Table2[[#This Row],[MemberID]],Table1[#All],3,0)</f>
        <v>Platinum</v>
      </c>
      <c r="H191" s="13">
        <v>49</v>
      </c>
    </row>
    <row r="192" spans="1:8">
      <c r="A192" t="s">
        <v>524</v>
      </c>
      <c r="B192" t="s">
        <v>109</v>
      </c>
      <c r="C192" s="8">
        <v>45935</v>
      </c>
      <c r="D192" t="s">
        <v>327</v>
      </c>
      <c r="E192" t="s">
        <v>322</v>
      </c>
      <c r="F192" s="12">
        <v>363230</v>
      </c>
      <c r="G192" s="12" t="str">
        <f>VLOOKUP(Table2[[#This Row],[MemberID]],Table1[#All],3,0)</f>
        <v>Silver</v>
      </c>
      <c r="H192" s="13">
        <v>36</v>
      </c>
    </row>
    <row r="193" spans="1:8">
      <c r="A193" t="s">
        <v>525</v>
      </c>
      <c r="B193" t="s">
        <v>305</v>
      </c>
      <c r="C193" s="8">
        <v>46038</v>
      </c>
      <c r="D193" t="s">
        <v>327</v>
      </c>
      <c r="E193" t="s">
        <v>322</v>
      </c>
      <c r="F193" s="12">
        <v>25499</v>
      </c>
      <c r="G193" s="12" t="str">
        <f>VLOOKUP(Table2[[#This Row],[MemberID]],Table1[#All],3,0)</f>
        <v>Silver</v>
      </c>
      <c r="H193" s="13">
        <v>2</v>
      </c>
    </row>
    <row r="194" spans="1:8">
      <c r="A194" t="s">
        <v>526</v>
      </c>
      <c r="B194" t="s">
        <v>104</v>
      </c>
      <c r="C194" s="8">
        <v>46182</v>
      </c>
      <c r="D194" t="s">
        <v>332</v>
      </c>
      <c r="E194" t="s">
        <v>337</v>
      </c>
      <c r="F194" s="12">
        <v>219013</v>
      </c>
      <c r="G194" s="12" t="str">
        <f>VLOOKUP(Table2[[#This Row],[MemberID]],Table1[#All],3,0)</f>
        <v>Gold</v>
      </c>
      <c r="H194" s="13">
        <v>21</v>
      </c>
    </row>
    <row r="195" spans="1:8">
      <c r="A195" t="s">
        <v>527</v>
      </c>
      <c r="B195" t="s">
        <v>153</v>
      </c>
      <c r="C195" s="8">
        <v>46266</v>
      </c>
      <c r="D195" t="s">
        <v>327</v>
      </c>
      <c r="E195" t="s">
        <v>322</v>
      </c>
      <c r="F195" s="12">
        <v>386286</v>
      </c>
      <c r="G195" s="12" t="str">
        <f>VLOOKUP(Table2[[#This Row],[MemberID]],Table1[#All],3,0)</f>
        <v>Silver</v>
      </c>
      <c r="H195" s="13">
        <v>38</v>
      </c>
    </row>
    <row r="196" spans="1:8">
      <c r="A196" t="s">
        <v>528</v>
      </c>
      <c r="B196" t="s">
        <v>234</v>
      </c>
      <c r="C196" s="8">
        <v>46080</v>
      </c>
      <c r="D196" t="s">
        <v>321</v>
      </c>
      <c r="E196" t="s">
        <v>325</v>
      </c>
      <c r="F196" s="12">
        <v>279787</v>
      </c>
      <c r="G196" s="12" t="str">
        <f>VLOOKUP(Table2[[#This Row],[MemberID]],Table1[#All],3,0)</f>
        <v>Silver</v>
      </c>
      <c r="H196" s="13">
        <v>27</v>
      </c>
    </row>
    <row r="197" spans="1:8">
      <c r="A197" t="s">
        <v>529</v>
      </c>
      <c r="B197" t="s">
        <v>200</v>
      </c>
      <c r="C197" s="8">
        <v>46110</v>
      </c>
      <c r="D197" t="s">
        <v>330</v>
      </c>
      <c r="E197" t="s">
        <v>339</v>
      </c>
      <c r="F197" s="12">
        <v>73634</v>
      </c>
      <c r="G197" s="12" t="str">
        <f>VLOOKUP(Table2[[#This Row],[MemberID]],Table1[#All],3,0)</f>
        <v>Silver</v>
      </c>
      <c r="H197" s="13">
        <v>7</v>
      </c>
    </row>
    <row r="198" spans="1:8">
      <c r="A198" t="s">
        <v>530</v>
      </c>
      <c r="B198" t="s">
        <v>270</v>
      </c>
      <c r="C198" s="8">
        <v>45934</v>
      </c>
      <c r="D198" t="s">
        <v>350</v>
      </c>
      <c r="E198" t="s">
        <v>322</v>
      </c>
      <c r="F198" s="12">
        <v>118115</v>
      </c>
      <c r="G198" s="12" t="str">
        <f>VLOOKUP(Table2[[#This Row],[MemberID]],Table1[#All],3,0)</f>
        <v>Gold</v>
      </c>
      <c r="H198" s="13">
        <v>11</v>
      </c>
    </row>
    <row r="199" spans="1:8">
      <c r="A199" t="s">
        <v>531</v>
      </c>
      <c r="B199" t="s">
        <v>121</v>
      </c>
      <c r="C199" s="8">
        <v>46058</v>
      </c>
      <c r="D199" t="s">
        <v>327</v>
      </c>
      <c r="E199" t="s">
        <v>325</v>
      </c>
      <c r="F199" s="12">
        <v>174795</v>
      </c>
      <c r="G199" s="12" t="str">
        <f>VLOOKUP(Table2[[#This Row],[MemberID]],Table1[#All],3,0)</f>
        <v>Silver</v>
      </c>
      <c r="H199" s="13">
        <v>17</v>
      </c>
    </row>
    <row r="200" spans="1:8">
      <c r="A200" t="s">
        <v>532</v>
      </c>
      <c r="B200" t="s">
        <v>104</v>
      </c>
      <c r="C200" s="8">
        <v>46080</v>
      </c>
      <c r="D200" t="s">
        <v>344</v>
      </c>
      <c r="E200" t="s">
        <v>334</v>
      </c>
      <c r="F200" s="12">
        <v>421018</v>
      </c>
      <c r="G200" s="12" t="str">
        <f>VLOOKUP(Table2[[#This Row],[MemberID]],Table1[#All],3,0)</f>
        <v>Gold</v>
      </c>
      <c r="H200" s="13">
        <v>42</v>
      </c>
    </row>
    <row r="201" spans="1:8">
      <c r="A201" t="s">
        <v>533</v>
      </c>
      <c r="B201" t="s">
        <v>278</v>
      </c>
      <c r="C201" s="8">
        <v>46118</v>
      </c>
      <c r="D201" t="s">
        <v>350</v>
      </c>
      <c r="E201" t="s">
        <v>337</v>
      </c>
      <c r="F201" s="12">
        <v>342422</v>
      </c>
      <c r="G201" s="12" t="str">
        <f>VLOOKUP(Table2[[#This Row],[MemberID]],Table1[#All],3,0)</f>
        <v>Silver</v>
      </c>
      <c r="H201" s="13">
        <v>34</v>
      </c>
    </row>
    <row r="202" spans="1:8">
      <c r="A202" t="s">
        <v>534</v>
      </c>
      <c r="B202" t="s">
        <v>201</v>
      </c>
      <c r="C202" s="8">
        <v>46254</v>
      </c>
      <c r="D202" t="s">
        <v>350</v>
      </c>
      <c r="E202" t="s">
        <v>328</v>
      </c>
      <c r="F202" s="12">
        <v>186624</v>
      </c>
      <c r="G202" s="12" t="str">
        <f>VLOOKUP(Table2[[#This Row],[MemberID]],Table1[#All],3,0)</f>
        <v>Platinum</v>
      </c>
      <c r="H202" s="13">
        <v>18</v>
      </c>
    </row>
    <row r="203" spans="1:8">
      <c r="A203" t="s">
        <v>535</v>
      </c>
      <c r="B203" t="s">
        <v>309</v>
      </c>
      <c r="C203" s="8">
        <v>46212</v>
      </c>
      <c r="D203" t="s">
        <v>350</v>
      </c>
      <c r="E203" t="s">
        <v>337</v>
      </c>
      <c r="F203" s="12">
        <v>179586</v>
      </c>
      <c r="G203" s="12" t="str">
        <f>VLOOKUP(Table2[[#This Row],[MemberID]],Table1[#All],3,0)</f>
        <v>Gold</v>
      </c>
      <c r="H203" s="13">
        <v>17</v>
      </c>
    </row>
    <row r="204" spans="1:8">
      <c r="A204" t="s">
        <v>536</v>
      </c>
      <c r="B204" t="s">
        <v>106</v>
      </c>
      <c r="C204" s="8">
        <v>46067</v>
      </c>
      <c r="D204" t="s">
        <v>342</v>
      </c>
      <c r="E204" t="s">
        <v>328</v>
      </c>
      <c r="F204" s="12">
        <v>149532</v>
      </c>
      <c r="G204" s="12" t="str">
        <f>VLOOKUP(Table2[[#This Row],[MemberID]],Table1[#All],3,0)</f>
        <v>Silver</v>
      </c>
      <c r="H204" s="13">
        <v>14</v>
      </c>
    </row>
    <row r="205" spans="1:8">
      <c r="A205" t="s">
        <v>537</v>
      </c>
      <c r="B205" t="s">
        <v>66</v>
      </c>
      <c r="C205" s="8">
        <v>46216</v>
      </c>
      <c r="D205" t="s">
        <v>327</v>
      </c>
      <c r="E205" t="s">
        <v>328</v>
      </c>
      <c r="F205" s="12">
        <v>382710</v>
      </c>
      <c r="G205" s="12" t="str">
        <f>VLOOKUP(Table2[[#This Row],[MemberID]],Table1[#All],3,0)</f>
        <v>Silver</v>
      </c>
      <c r="H205" s="13">
        <v>38</v>
      </c>
    </row>
    <row r="206" spans="1:8">
      <c r="A206" t="s">
        <v>538</v>
      </c>
      <c r="B206" t="s">
        <v>153</v>
      </c>
      <c r="C206" s="8">
        <v>46244</v>
      </c>
      <c r="D206" t="s">
        <v>344</v>
      </c>
      <c r="E206" t="s">
        <v>337</v>
      </c>
      <c r="F206" s="12">
        <v>353093</v>
      </c>
      <c r="G206" s="12" t="str">
        <f>VLOOKUP(Table2[[#This Row],[MemberID]],Table1[#All],3,0)</f>
        <v>Silver</v>
      </c>
      <c r="H206" s="13">
        <v>35</v>
      </c>
    </row>
    <row r="207" spans="1:8">
      <c r="A207" t="s">
        <v>539</v>
      </c>
      <c r="B207" t="s">
        <v>284</v>
      </c>
      <c r="C207" s="8">
        <v>46134</v>
      </c>
      <c r="D207" t="s">
        <v>350</v>
      </c>
      <c r="E207" t="s">
        <v>337</v>
      </c>
      <c r="F207" s="12">
        <v>347330</v>
      </c>
      <c r="G207" s="12" t="str">
        <f>VLOOKUP(Table2[[#This Row],[MemberID]],Table1[#All],3,0)</f>
        <v>Silver</v>
      </c>
      <c r="H207" s="13">
        <v>34</v>
      </c>
    </row>
    <row r="208" spans="1:8">
      <c r="A208" t="s">
        <v>540</v>
      </c>
      <c r="B208" t="s">
        <v>288</v>
      </c>
      <c r="C208" s="8">
        <v>46113</v>
      </c>
      <c r="D208" t="s">
        <v>344</v>
      </c>
      <c r="E208" t="s">
        <v>334</v>
      </c>
      <c r="F208" s="12">
        <v>205885</v>
      </c>
      <c r="G208" s="12" t="str">
        <f>VLOOKUP(Table2[[#This Row],[MemberID]],Table1[#All],3,0)</f>
        <v>Silver</v>
      </c>
      <c r="H208" s="13">
        <v>20</v>
      </c>
    </row>
    <row r="209" spans="1:8">
      <c r="A209" t="s">
        <v>541</v>
      </c>
      <c r="B209" t="s">
        <v>233</v>
      </c>
      <c r="C209" s="8">
        <v>46091</v>
      </c>
      <c r="D209" t="s">
        <v>332</v>
      </c>
      <c r="E209" t="s">
        <v>339</v>
      </c>
      <c r="F209" s="12">
        <v>46096</v>
      </c>
      <c r="G209" s="12" t="str">
        <f>VLOOKUP(Table2[[#This Row],[MemberID]],Table1[#All],3,0)</f>
        <v>Gold</v>
      </c>
      <c r="H209" s="13">
        <v>4</v>
      </c>
    </row>
    <row r="210" spans="1:8">
      <c r="A210" t="s">
        <v>542</v>
      </c>
      <c r="B210" t="s">
        <v>74</v>
      </c>
      <c r="C210" s="8">
        <v>46163</v>
      </c>
      <c r="D210" t="s">
        <v>321</v>
      </c>
      <c r="E210" t="s">
        <v>328</v>
      </c>
      <c r="F210" s="12">
        <v>86085</v>
      </c>
      <c r="G210" s="12" t="str">
        <f>VLOOKUP(Table2[[#This Row],[MemberID]],Table1[#All],3,0)</f>
        <v>Platinum</v>
      </c>
      <c r="H210" s="13">
        <v>8</v>
      </c>
    </row>
    <row r="211" spans="1:8">
      <c r="A211" t="s">
        <v>543</v>
      </c>
      <c r="B211" t="s">
        <v>126</v>
      </c>
      <c r="C211" s="8">
        <v>46074</v>
      </c>
      <c r="D211" t="s">
        <v>344</v>
      </c>
      <c r="E211" t="s">
        <v>325</v>
      </c>
      <c r="F211" s="12">
        <v>71603</v>
      </c>
      <c r="G211" s="12" t="str">
        <f>VLOOKUP(Table2[[#This Row],[MemberID]],Table1[#All],3,0)</f>
        <v>Silver</v>
      </c>
      <c r="H211" s="13">
        <v>7</v>
      </c>
    </row>
    <row r="212" spans="1:8">
      <c r="A212" t="s">
        <v>544</v>
      </c>
      <c r="B212" t="s">
        <v>69</v>
      </c>
      <c r="C212" s="8">
        <v>46224</v>
      </c>
      <c r="D212" t="s">
        <v>332</v>
      </c>
      <c r="E212" t="s">
        <v>325</v>
      </c>
      <c r="F212" s="12">
        <v>324560</v>
      </c>
      <c r="G212" s="12" t="str">
        <f>VLOOKUP(Table2[[#This Row],[MemberID]],Table1[#All],3,0)</f>
        <v>Gold</v>
      </c>
      <c r="H212" s="13">
        <v>32</v>
      </c>
    </row>
    <row r="213" spans="1:8">
      <c r="A213" t="s">
        <v>545</v>
      </c>
      <c r="B213" t="s">
        <v>154</v>
      </c>
      <c r="C213" s="8">
        <v>46265</v>
      </c>
      <c r="D213" t="s">
        <v>344</v>
      </c>
      <c r="E213" t="s">
        <v>322</v>
      </c>
      <c r="F213" s="12">
        <v>407847</v>
      </c>
      <c r="G213" s="12" t="str">
        <f>VLOOKUP(Table2[[#This Row],[MemberID]],Table1[#All],3,0)</f>
        <v>Silver</v>
      </c>
      <c r="H213" s="13">
        <v>40</v>
      </c>
    </row>
    <row r="214" spans="1:8">
      <c r="A214" t="s">
        <v>546</v>
      </c>
      <c r="B214" t="s">
        <v>173</v>
      </c>
      <c r="C214" s="8">
        <v>46214</v>
      </c>
      <c r="D214" t="s">
        <v>350</v>
      </c>
      <c r="E214" t="s">
        <v>322</v>
      </c>
      <c r="F214" s="12">
        <v>764904</v>
      </c>
      <c r="G214" s="12" t="str">
        <f>VLOOKUP(Table2[[#This Row],[MemberID]],Table1[#All],3,0)</f>
        <v>Gold</v>
      </c>
      <c r="H214" s="13">
        <v>76</v>
      </c>
    </row>
    <row r="215" spans="1:8">
      <c r="A215" t="s">
        <v>547</v>
      </c>
      <c r="B215" t="s">
        <v>186</v>
      </c>
      <c r="C215" s="8">
        <v>46198</v>
      </c>
      <c r="D215" t="s">
        <v>342</v>
      </c>
      <c r="E215" t="s">
        <v>339</v>
      </c>
      <c r="F215" s="12">
        <v>398580</v>
      </c>
      <c r="G215" s="12" t="str">
        <f>VLOOKUP(Table2[[#This Row],[MemberID]],Table1[#All],3,0)</f>
        <v>Silver</v>
      </c>
      <c r="H215" s="13">
        <v>39</v>
      </c>
    </row>
    <row r="216" spans="1:8">
      <c r="A216" t="s">
        <v>548</v>
      </c>
      <c r="B216" t="s">
        <v>117</v>
      </c>
      <c r="C216" s="8">
        <v>46045</v>
      </c>
      <c r="D216" t="s">
        <v>344</v>
      </c>
      <c r="E216" t="s">
        <v>325</v>
      </c>
      <c r="F216" s="12">
        <v>289563</v>
      </c>
      <c r="G216" s="12" t="str">
        <f>VLOOKUP(Table2[[#This Row],[MemberID]],Table1[#All],3,0)</f>
        <v>Silver</v>
      </c>
      <c r="H216" s="13">
        <v>28</v>
      </c>
    </row>
    <row r="217" spans="1:8">
      <c r="A217" t="s">
        <v>549</v>
      </c>
      <c r="B217" t="s">
        <v>212</v>
      </c>
      <c r="C217" s="8">
        <v>46170</v>
      </c>
      <c r="D217" t="s">
        <v>324</v>
      </c>
      <c r="E217" t="s">
        <v>339</v>
      </c>
      <c r="F217" s="12">
        <v>155018</v>
      </c>
      <c r="G217" s="12" t="str">
        <f>VLOOKUP(Table2[[#This Row],[MemberID]],Table1[#All],3,0)</f>
        <v>Silver</v>
      </c>
      <c r="H217" s="13">
        <v>15</v>
      </c>
    </row>
    <row r="218" spans="1:8">
      <c r="A218" t="s">
        <v>550</v>
      </c>
      <c r="B218" t="s">
        <v>212</v>
      </c>
      <c r="C218" s="8">
        <v>46214</v>
      </c>
      <c r="D218" t="s">
        <v>350</v>
      </c>
      <c r="E218" t="s">
        <v>322</v>
      </c>
      <c r="F218" s="12">
        <v>32438</v>
      </c>
      <c r="G218" s="12" t="str">
        <f>VLOOKUP(Table2[[#This Row],[MemberID]],Table1[#All],3,0)</f>
        <v>Silver</v>
      </c>
      <c r="H218" s="13">
        <v>3</v>
      </c>
    </row>
    <row r="219" spans="1:8">
      <c r="A219" t="s">
        <v>551</v>
      </c>
      <c r="B219" t="s">
        <v>143</v>
      </c>
      <c r="C219" s="8">
        <v>46023</v>
      </c>
      <c r="D219" t="s">
        <v>342</v>
      </c>
      <c r="E219" t="s">
        <v>325</v>
      </c>
      <c r="F219" s="12">
        <v>87956</v>
      </c>
      <c r="G219" s="12" t="str">
        <f>VLOOKUP(Table2[[#This Row],[MemberID]],Table1[#All],3,0)</f>
        <v>Silver</v>
      </c>
      <c r="H219" s="13">
        <v>8</v>
      </c>
    </row>
    <row r="220" spans="1:8">
      <c r="A220" t="s">
        <v>552</v>
      </c>
      <c r="B220" t="s">
        <v>255</v>
      </c>
      <c r="C220" s="8">
        <v>46222</v>
      </c>
      <c r="D220" t="s">
        <v>324</v>
      </c>
      <c r="E220" t="s">
        <v>325</v>
      </c>
      <c r="F220" s="12">
        <v>649401</v>
      </c>
      <c r="G220" s="12" t="str">
        <f>VLOOKUP(Table2[[#This Row],[MemberID]],Table1[#All],3,0)</f>
        <v>Silver</v>
      </c>
      <c r="H220" s="13">
        <v>64</v>
      </c>
    </row>
    <row r="221" spans="1:8">
      <c r="A221" t="s">
        <v>553</v>
      </c>
      <c r="B221" t="s">
        <v>81</v>
      </c>
      <c r="C221" s="8">
        <v>46140</v>
      </c>
      <c r="D221" t="s">
        <v>350</v>
      </c>
      <c r="E221" t="s">
        <v>328</v>
      </c>
      <c r="F221" s="12">
        <v>431192</v>
      </c>
      <c r="G221" s="12" t="str">
        <f>VLOOKUP(Table2[[#This Row],[MemberID]],Table1[#All],3,0)</f>
        <v>Gold</v>
      </c>
      <c r="H221" s="13">
        <v>43</v>
      </c>
    </row>
    <row r="222" spans="1:8">
      <c r="A222" t="s">
        <v>554</v>
      </c>
      <c r="B222" t="s">
        <v>191</v>
      </c>
      <c r="C222" s="8">
        <v>46127</v>
      </c>
      <c r="D222" t="s">
        <v>332</v>
      </c>
      <c r="E222" t="s">
        <v>339</v>
      </c>
      <c r="F222" s="12">
        <v>674710</v>
      </c>
      <c r="G222" s="12" t="str">
        <f>VLOOKUP(Table2[[#This Row],[MemberID]],Table1[#All],3,0)</f>
        <v>Gold</v>
      </c>
      <c r="H222" s="13">
        <v>67</v>
      </c>
    </row>
    <row r="223" spans="1:8">
      <c r="A223" t="s">
        <v>555</v>
      </c>
      <c r="B223" t="s">
        <v>105</v>
      </c>
      <c r="C223" s="8">
        <v>45952</v>
      </c>
      <c r="D223" t="s">
        <v>321</v>
      </c>
      <c r="E223" t="s">
        <v>339</v>
      </c>
      <c r="F223" s="12">
        <v>574630</v>
      </c>
      <c r="G223" s="12" t="str">
        <f>VLOOKUP(Table2[[#This Row],[MemberID]],Table1[#All],3,0)</f>
        <v>Silver</v>
      </c>
      <c r="H223" s="13">
        <v>57</v>
      </c>
    </row>
    <row r="224" spans="1:8">
      <c r="A224" t="s">
        <v>556</v>
      </c>
      <c r="B224" t="s">
        <v>235</v>
      </c>
      <c r="C224" s="8">
        <v>46147</v>
      </c>
      <c r="D224" t="s">
        <v>324</v>
      </c>
      <c r="E224" t="s">
        <v>339</v>
      </c>
      <c r="F224" s="12">
        <v>135887</v>
      </c>
      <c r="G224" s="12" t="str">
        <f>VLOOKUP(Table2[[#This Row],[MemberID]],Table1[#All],3,0)</f>
        <v>Gold</v>
      </c>
      <c r="H224" s="13">
        <v>13</v>
      </c>
    </row>
    <row r="225" spans="1:8">
      <c r="A225" t="s">
        <v>557</v>
      </c>
      <c r="B225" t="s">
        <v>90</v>
      </c>
      <c r="C225" s="8">
        <v>46213</v>
      </c>
      <c r="D225" t="s">
        <v>321</v>
      </c>
      <c r="E225" t="s">
        <v>322</v>
      </c>
      <c r="F225" s="12">
        <v>338998</v>
      </c>
      <c r="G225" s="12" t="str">
        <f>VLOOKUP(Table2[[#This Row],[MemberID]],Table1[#All],3,0)</f>
        <v>Silver</v>
      </c>
      <c r="H225" s="13">
        <v>33</v>
      </c>
    </row>
    <row r="226" spans="1:8">
      <c r="A226" t="s">
        <v>558</v>
      </c>
      <c r="B226" t="s">
        <v>28</v>
      </c>
      <c r="C226" s="8">
        <v>45986</v>
      </c>
      <c r="D226" t="s">
        <v>327</v>
      </c>
      <c r="E226" t="s">
        <v>339</v>
      </c>
      <c r="F226" s="12">
        <v>160697</v>
      </c>
      <c r="G226" s="12" t="str">
        <f>VLOOKUP(Table2[[#This Row],[MemberID]],Table1[#All],3,0)</f>
        <v>Gold</v>
      </c>
      <c r="H226" s="13">
        <v>16</v>
      </c>
    </row>
    <row r="227" spans="1:8">
      <c r="A227" t="s">
        <v>559</v>
      </c>
      <c r="B227" t="s">
        <v>96</v>
      </c>
      <c r="C227" s="8">
        <v>46031</v>
      </c>
      <c r="D227" t="s">
        <v>321</v>
      </c>
      <c r="E227" t="s">
        <v>322</v>
      </c>
      <c r="F227" s="12">
        <v>248238</v>
      </c>
      <c r="G227" s="12" t="str">
        <f>VLOOKUP(Table2[[#This Row],[MemberID]],Table1[#All],3,0)</f>
        <v>Silver</v>
      </c>
      <c r="H227" s="13">
        <v>24</v>
      </c>
    </row>
    <row r="228" spans="1:8">
      <c r="A228" t="s">
        <v>560</v>
      </c>
      <c r="B228" t="s">
        <v>286</v>
      </c>
      <c r="C228" s="8">
        <v>46065</v>
      </c>
      <c r="D228" t="s">
        <v>324</v>
      </c>
      <c r="E228" t="s">
        <v>337</v>
      </c>
      <c r="F228" s="12">
        <v>573440</v>
      </c>
      <c r="G228" s="12" t="str">
        <f>VLOOKUP(Table2[[#This Row],[MemberID]],Table1[#All],3,0)</f>
        <v>Silver</v>
      </c>
      <c r="H228" s="13">
        <v>57</v>
      </c>
    </row>
    <row r="229" spans="1:8">
      <c r="A229" t="s">
        <v>561</v>
      </c>
      <c r="B229" t="s">
        <v>48</v>
      </c>
      <c r="C229" s="8">
        <v>45981</v>
      </c>
      <c r="D229" t="s">
        <v>327</v>
      </c>
      <c r="E229" t="s">
        <v>328</v>
      </c>
      <c r="F229" s="12">
        <v>243710</v>
      </c>
      <c r="G229" s="12" t="str">
        <f>VLOOKUP(Table2[[#This Row],[MemberID]],Table1[#All],3,0)</f>
        <v>Gold</v>
      </c>
      <c r="H229" s="13">
        <v>24</v>
      </c>
    </row>
    <row r="230" spans="1:8">
      <c r="A230" t="s">
        <v>562</v>
      </c>
      <c r="B230" t="s">
        <v>268</v>
      </c>
      <c r="C230" s="8">
        <v>46071</v>
      </c>
      <c r="D230" t="s">
        <v>350</v>
      </c>
      <c r="E230" t="s">
        <v>325</v>
      </c>
      <c r="F230" s="12">
        <v>65991</v>
      </c>
      <c r="G230" s="12" t="str">
        <f>VLOOKUP(Table2[[#This Row],[MemberID]],Table1[#All],3,0)</f>
        <v>Silver</v>
      </c>
      <c r="H230" s="13">
        <v>6</v>
      </c>
    </row>
    <row r="231" spans="1:8">
      <c r="A231" t="s">
        <v>563</v>
      </c>
      <c r="B231" t="s">
        <v>240</v>
      </c>
      <c r="C231" s="8">
        <v>46200</v>
      </c>
      <c r="D231" t="s">
        <v>327</v>
      </c>
      <c r="E231" t="s">
        <v>328</v>
      </c>
      <c r="F231" s="12">
        <v>162304</v>
      </c>
      <c r="G231" s="12" t="str">
        <f>VLOOKUP(Table2[[#This Row],[MemberID]],Table1[#All],3,0)</f>
        <v>Silver</v>
      </c>
      <c r="H231" s="13">
        <v>16</v>
      </c>
    </row>
    <row r="232" spans="1:8">
      <c r="A232" t="s">
        <v>564</v>
      </c>
      <c r="B232" t="s">
        <v>313</v>
      </c>
      <c r="C232" s="8">
        <v>46239</v>
      </c>
      <c r="D232" t="s">
        <v>327</v>
      </c>
      <c r="E232" t="s">
        <v>325</v>
      </c>
      <c r="F232" s="12">
        <v>310183</v>
      </c>
      <c r="G232" s="12" t="str">
        <f>VLOOKUP(Table2[[#This Row],[MemberID]],Table1[#All],3,0)</f>
        <v>Silver</v>
      </c>
      <c r="H232" s="13">
        <v>31</v>
      </c>
    </row>
    <row r="233" spans="1:8">
      <c r="A233" t="s">
        <v>565</v>
      </c>
      <c r="B233" t="s">
        <v>94</v>
      </c>
      <c r="C233" s="8">
        <v>46279</v>
      </c>
      <c r="D233" t="s">
        <v>332</v>
      </c>
      <c r="E233" t="s">
        <v>322</v>
      </c>
      <c r="F233" s="12">
        <v>265009</v>
      </c>
      <c r="G233" s="12" t="str">
        <f>VLOOKUP(Table2[[#This Row],[MemberID]],Table1[#All],3,0)</f>
        <v>Silver</v>
      </c>
      <c r="H233" s="13">
        <v>26</v>
      </c>
    </row>
    <row r="234" spans="1:8">
      <c r="A234" t="s">
        <v>566</v>
      </c>
      <c r="B234" t="s">
        <v>306</v>
      </c>
      <c r="C234" s="8">
        <v>46251</v>
      </c>
      <c r="D234" t="s">
        <v>344</v>
      </c>
      <c r="E234" t="s">
        <v>339</v>
      </c>
      <c r="F234" s="12">
        <v>382912</v>
      </c>
      <c r="G234" s="12" t="str">
        <f>VLOOKUP(Table2[[#This Row],[MemberID]],Table1[#All],3,0)</f>
        <v>Silver</v>
      </c>
      <c r="H234" s="13">
        <v>38</v>
      </c>
    </row>
    <row r="235" spans="1:8">
      <c r="A235" t="s">
        <v>567</v>
      </c>
      <c r="B235" t="s">
        <v>36</v>
      </c>
      <c r="C235" s="8">
        <v>46166</v>
      </c>
      <c r="D235" t="s">
        <v>327</v>
      </c>
      <c r="E235" t="s">
        <v>322</v>
      </c>
      <c r="F235" s="12">
        <v>395173</v>
      </c>
      <c r="G235" s="12" t="str">
        <f>VLOOKUP(Table2[[#This Row],[MemberID]],Table1[#All],3,0)</f>
        <v>Gold</v>
      </c>
      <c r="H235" s="13">
        <v>39</v>
      </c>
    </row>
    <row r="236" spans="1:8">
      <c r="A236" t="s">
        <v>568</v>
      </c>
      <c r="B236" t="s">
        <v>76</v>
      </c>
      <c r="C236" s="8">
        <v>46012</v>
      </c>
      <c r="D236" t="s">
        <v>332</v>
      </c>
      <c r="E236" t="s">
        <v>337</v>
      </c>
      <c r="F236" s="12">
        <v>290317</v>
      </c>
      <c r="G236" s="12" t="str">
        <f>VLOOKUP(Table2[[#This Row],[MemberID]],Table1[#All],3,0)</f>
        <v>Silver</v>
      </c>
      <c r="H236" s="13">
        <v>29</v>
      </c>
    </row>
    <row r="237" spans="1:8">
      <c r="A237" t="s">
        <v>569</v>
      </c>
      <c r="B237" t="s">
        <v>106</v>
      </c>
      <c r="C237" s="8">
        <v>46194</v>
      </c>
      <c r="D237" t="s">
        <v>324</v>
      </c>
      <c r="E237" t="s">
        <v>337</v>
      </c>
      <c r="F237" s="12">
        <v>55657</v>
      </c>
      <c r="G237" s="12" t="str">
        <f>VLOOKUP(Table2[[#This Row],[MemberID]],Table1[#All],3,0)</f>
        <v>Silver</v>
      </c>
      <c r="H237" s="13">
        <v>5</v>
      </c>
    </row>
    <row r="238" spans="1:8">
      <c r="A238" t="s">
        <v>570</v>
      </c>
      <c r="B238" t="s">
        <v>57</v>
      </c>
      <c r="C238" s="8">
        <v>46004</v>
      </c>
      <c r="D238" t="s">
        <v>321</v>
      </c>
      <c r="E238" t="s">
        <v>322</v>
      </c>
      <c r="F238" s="12">
        <v>514578</v>
      </c>
      <c r="G238" s="12" t="str">
        <f>VLOOKUP(Table2[[#This Row],[MemberID]],Table1[#All],3,0)</f>
        <v>Gold</v>
      </c>
      <c r="H238" s="13">
        <v>51</v>
      </c>
    </row>
    <row r="239" spans="1:8">
      <c r="A239" t="s">
        <v>571</v>
      </c>
      <c r="B239" t="s">
        <v>167</v>
      </c>
      <c r="C239" s="8">
        <v>45973</v>
      </c>
      <c r="D239" t="s">
        <v>342</v>
      </c>
      <c r="E239" t="s">
        <v>328</v>
      </c>
      <c r="F239" s="12">
        <v>234187</v>
      </c>
      <c r="G239" s="12" t="str">
        <f>VLOOKUP(Table2[[#This Row],[MemberID]],Table1[#All],3,0)</f>
        <v>Silver</v>
      </c>
      <c r="H239" s="13">
        <v>23</v>
      </c>
    </row>
    <row r="240" spans="1:8">
      <c r="A240" t="s">
        <v>572</v>
      </c>
      <c r="B240" t="s">
        <v>274</v>
      </c>
      <c r="C240" s="8">
        <v>45990</v>
      </c>
      <c r="D240" t="s">
        <v>342</v>
      </c>
      <c r="E240" t="s">
        <v>328</v>
      </c>
      <c r="F240" s="12">
        <v>185689</v>
      </c>
      <c r="G240" s="12" t="str">
        <f>VLOOKUP(Table2[[#This Row],[MemberID]],Table1[#All],3,0)</f>
        <v>Platinum</v>
      </c>
      <c r="H240" s="13">
        <v>18</v>
      </c>
    </row>
    <row r="241" spans="1:8">
      <c r="A241" t="s">
        <v>573</v>
      </c>
      <c r="B241" t="s">
        <v>211</v>
      </c>
      <c r="C241" s="8">
        <v>46247</v>
      </c>
      <c r="D241" t="s">
        <v>327</v>
      </c>
      <c r="E241" t="s">
        <v>337</v>
      </c>
      <c r="F241" s="12">
        <v>214894</v>
      </c>
      <c r="G241" s="12" t="str">
        <f>VLOOKUP(Table2[[#This Row],[MemberID]],Table1[#All],3,0)</f>
        <v>Platinum</v>
      </c>
      <c r="H241" s="13">
        <v>21</v>
      </c>
    </row>
    <row r="242" spans="1:8">
      <c r="A242" t="s">
        <v>574</v>
      </c>
      <c r="B242" t="s">
        <v>283</v>
      </c>
      <c r="C242" s="8">
        <v>46132</v>
      </c>
      <c r="D242" t="s">
        <v>330</v>
      </c>
      <c r="E242" t="s">
        <v>325</v>
      </c>
      <c r="F242" s="12">
        <v>289661</v>
      </c>
      <c r="G242" s="12" t="str">
        <f>VLOOKUP(Table2[[#This Row],[MemberID]],Table1[#All],3,0)</f>
        <v>Gold</v>
      </c>
      <c r="H242" s="13">
        <v>28</v>
      </c>
    </row>
    <row r="243" spans="1:8">
      <c r="A243" t="s">
        <v>575</v>
      </c>
      <c r="B243" t="s">
        <v>231</v>
      </c>
      <c r="C243" s="8">
        <v>46054</v>
      </c>
      <c r="D243" t="s">
        <v>350</v>
      </c>
      <c r="E243" t="s">
        <v>325</v>
      </c>
      <c r="F243" s="12">
        <v>465852</v>
      </c>
      <c r="G243" s="12" t="str">
        <f>VLOOKUP(Table2[[#This Row],[MemberID]],Table1[#All],3,0)</f>
        <v>Silver</v>
      </c>
      <c r="H243" s="13">
        <v>46</v>
      </c>
    </row>
    <row r="244" spans="1:8">
      <c r="A244" t="s">
        <v>576</v>
      </c>
      <c r="B244" t="s">
        <v>217</v>
      </c>
      <c r="C244" s="8">
        <v>46072</v>
      </c>
      <c r="D244" t="s">
        <v>350</v>
      </c>
      <c r="E244" t="s">
        <v>322</v>
      </c>
      <c r="F244" s="12">
        <v>118083</v>
      </c>
      <c r="G244" s="12" t="str">
        <f>VLOOKUP(Table2[[#This Row],[MemberID]],Table1[#All],3,0)</f>
        <v>Gold</v>
      </c>
      <c r="H244" s="13">
        <v>11</v>
      </c>
    </row>
    <row r="245" spans="1:8">
      <c r="A245" t="s">
        <v>577</v>
      </c>
      <c r="B245" t="s">
        <v>126</v>
      </c>
      <c r="C245" s="8">
        <v>46179</v>
      </c>
      <c r="D245" t="s">
        <v>327</v>
      </c>
      <c r="E245" t="s">
        <v>339</v>
      </c>
      <c r="F245" s="12">
        <v>217463</v>
      </c>
      <c r="G245" s="12" t="str">
        <f>VLOOKUP(Table2[[#This Row],[MemberID]],Table1[#All],3,0)</f>
        <v>Silver</v>
      </c>
      <c r="H245" s="13">
        <v>21</v>
      </c>
    </row>
    <row r="246" spans="1:8">
      <c r="A246" t="s">
        <v>578</v>
      </c>
      <c r="B246" t="s">
        <v>170</v>
      </c>
      <c r="C246" s="8">
        <v>46138</v>
      </c>
      <c r="D246" t="s">
        <v>332</v>
      </c>
      <c r="E246" t="s">
        <v>334</v>
      </c>
      <c r="F246" s="12">
        <v>111093</v>
      </c>
      <c r="G246" s="12" t="str">
        <f>VLOOKUP(Table2[[#This Row],[MemberID]],Table1[#All],3,0)</f>
        <v>Silver</v>
      </c>
      <c r="H246" s="13">
        <v>11</v>
      </c>
    </row>
    <row r="247" spans="1:8">
      <c r="A247" t="s">
        <v>579</v>
      </c>
      <c r="B247" t="s">
        <v>231</v>
      </c>
      <c r="C247" s="8">
        <v>46126</v>
      </c>
      <c r="D247" t="s">
        <v>330</v>
      </c>
      <c r="E247" t="s">
        <v>325</v>
      </c>
      <c r="F247" s="12">
        <v>466070</v>
      </c>
      <c r="G247" s="12" t="str">
        <f>VLOOKUP(Table2[[#This Row],[MemberID]],Table1[#All],3,0)</f>
        <v>Silver</v>
      </c>
      <c r="H247" s="13">
        <v>46</v>
      </c>
    </row>
    <row r="248" spans="1:8">
      <c r="A248" t="s">
        <v>580</v>
      </c>
      <c r="B248" t="s">
        <v>255</v>
      </c>
      <c r="C248" s="8">
        <v>46212</v>
      </c>
      <c r="D248" t="s">
        <v>344</v>
      </c>
      <c r="E248" t="s">
        <v>322</v>
      </c>
      <c r="F248" s="12">
        <v>243126</v>
      </c>
      <c r="G248" s="12" t="str">
        <f>VLOOKUP(Table2[[#This Row],[MemberID]],Table1[#All],3,0)</f>
        <v>Silver</v>
      </c>
      <c r="H248" s="13">
        <v>24</v>
      </c>
    </row>
    <row r="249" spans="1:8">
      <c r="A249" t="s">
        <v>581</v>
      </c>
      <c r="B249" t="s">
        <v>119</v>
      </c>
      <c r="C249" s="8">
        <v>46230</v>
      </c>
      <c r="D249" t="s">
        <v>342</v>
      </c>
      <c r="E249" t="s">
        <v>328</v>
      </c>
      <c r="F249" s="12">
        <v>394157</v>
      </c>
      <c r="G249" s="12" t="str">
        <f>VLOOKUP(Table2[[#This Row],[MemberID]],Table1[#All],3,0)</f>
        <v>Gold</v>
      </c>
      <c r="H249" s="13">
        <v>39</v>
      </c>
    </row>
    <row r="250" spans="1:8">
      <c r="A250" t="s">
        <v>582</v>
      </c>
      <c r="B250" t="s">
        <v>144</v>
      </c>
      <c r="C250" s="8">
        <v>46107</v>
      </c>
      <c r="D250" t="s">
        <v>324</v>
      </c>
      <c r="E250" t="s">
        <v>328</v>
      </c>
      <c r="F250" s="12">
        <v>1068668</v>
      </c>
      <c r="G250" s="12" t="str">
        <f>VLOOKUP(Table2[[#This Row],[MemberID]],Table1[#All],3,0)</f>
        <v>Platinum</v>
      </c>
      <c r="H250" s="13">
        <v>106</v>
      </c>
    </row>
    <row r="251" spans="1:8">
      <c r="A251" t="s">
        <v>583</v>
      </c>
      <c r="B251" t="s">
        <v>121</v>
      </c>
      <c r="C251" s="8">
        <v>45946</v>
      </c>
      <c r="D251" t="s">
        <v>332</v>
      </c>
      <c r="E251" t="s">
        <v>325</v>
      </c>
      <c r="F251" s="12">
        <v>109082</v>
      </c>
      <c r="G251" s="12" t="str">
        <f>VLOOKUP(Table2[[#This Row],[MemberID]],Table1[#All],3,0)</f>
        <v>Silver</v>
      </c>
      <c r="H251" s="13">
        <v>10</v>
      </c>
    </row>
    <row r="252" spans="1:8">
      <c r="A252" t="s">
        <v>584</v>
      </c>
      <c r="B252" t="s">
        <v>159</v>
      </c>
      <c r="C252" s="8">
        <v>46152</v>
      </c>
      <c r="D252" t="s">
        <v>321</v>
      </c>
      <c r="E252" t="s">
        <v>339</v>
      </c>
      <c r="F252" s="12">
        <v>405986</v>
      </c>
      <c r="G252" s="12" t="str">
        <f>VLOOKUP(Table2[[#This Row],[MemberID]],Table1[#All],3,0)</f>
        <v>Gold</v>
      </c>
      <c r="H252" s="13">
        <v>40</v>
      </c>
    </row>
    <row r="253" spans="1:8">
      <c r="A253" t="s">
        <v>585</v>
      </c>
      <c r="B253" t="s">
        <v>266</v>
      </c>
      <c r="C253" s="8">
        <v>46103</v>
      </c>
      <c r="D253" t="s">
        <v>344</v>
      </c>
      <c r="E253" t="s">
        <v>325</v>
      </c>
      <c r="F253" s="12">
        <v>157485</v>
      </c>
      <c r="G253" s="12" t="str">
        <f>VLOOKUP(Table2[[#This Row],[MemberID]],Table1[#All],3,0)</f>
        <v>Silver</v>
      </c>
      <c r="H253" s="13">
        <v>15</v>
      </c>
    </row>
    <row r="254" spans="1:8">
      <c r="A254" t="s">
        <v>586</v>
      </c>
      <c r="B254" t="s">
        <v>284</v>
      </c>
      <c r="C254" s="8">
        <v>46107</v>
      </c>
      <c r="D254" t="s">
        <v>327</v>
      </c>
      <c r="E254" t="s">
        <v>334</v>
      </c>
      <c r="F254" s="12">
        <v>102934</v>
      </c>
      <c r="G254" s="12" t="str">
        <f>VLOOKUP(Table2[[#This Row],[MemberID]],Table1[#All],3,0)</f>
        <v>Silver</v>
      </c>
      <c r="H254" s="13">
        <v>10</v>
      </c>
    </row>
    <row r="255" spans="1:8">
      <c r="A255" t="s">
        <v>587</v>
      </c>
      <c r="B255" t="s">
        <v>26</v>
      </c>
      <c r="C255" s="8">
        <v>46091</v>
      </c>
      <c r="D255" t="s">
        <v>324</v>
      </c>
      <c r="E255" t="s">
        <v>334</v>
      </c>
      <c r="F255" s="12">
        <v>484327</v>
      </c>
      <c r="G255" s="12" t="str">
        <f>VLOOKUP(Table2[[#This Row],[MemberID]],Table1[#All],3,0)</f>
        <v>Silver</v>
      </c>
      <c r="H255" s="13">
        <v>48</v>
      </c>
    </row>
    <row r="256" spans="1:8">
      <c r="A256" t="s">
        <v>588</v>
      </c>
      <c r="B256" t="s">
        <v>154</v>
      </c>
      <c r="C256" s="8">
        <v>46240</v>
      </c>
      <c r="D256" t="s">
        <v>324</v>
      </c>
      <c r="E256" t="s">
        <v>339</v>
      </c>
      <c r="F256" s="12">
        <v>113217</v>
      </c>
      <c r="G256" s="12" t="str">
        <f>VLOOKUP(Table2[[#This Row],[MemberID]],Table1[#All],3,0)</f>
        <v>Silver</v>
      </c>
      <c r="H256" s="13">
        <v>11</v>
      </c>
    </row>
    <row r="257" spans="1:8">
      <c r="A257" t="s">
        <v>589</v>
      </c>
      <c r="B257" t="s">
        <v>184</v>
      </c>
      <c r="C257" s="8">
        <v>46124</v>
      </c>
      <c r="D257" t="s">
        <v>332</v>
      </c>
      <c r="E257" t="s">
        <v>328</v>
      </c>
      <c r="F257" s="12">
        <v>569682</v>
      </c>
      <c r="G257" s="12" t="str">
        <f>VLOOKUP(Table2[[#This Row],[MemberID]],Table1[#All],3,0)</f>
        <v>Silver</v>
      </c>
      <c r="H257" s="13">
        <v>56</v>
      </c>
    </row>
    <row r="258" spans="1:8">
      <c r="A258" t="s">
        <v>590</v>
      </c>
      <c r="B258" t="s">
        <v>102</v>
      </c>
      <c r="C258" s="8">
        <v>46097</v>
      </c>
      <c r="D258" t="s">
        <v>330</v>
      </c>
      <c r="E258" t="s">
        <v>325</v>
      </c>
      <c r="F258" s="12">
        <v>97129</v>
      </c>
      <c r="G258" s="12" t="str">
        <f>VLOOKUP(Table2[[#This Row],[MemberID]],Table1[#All],3,0)</f>
        <v>Platinum</v>
      </c>
      <c r="H258" s="13">
        <v>9</v>
      </c>
    </row>
    <row r="259" spans="1:8">
      <c r="A259" t="s">
        <v>591</v>
      </c>
      <c r="B259" t="s">
        <v>282</v>
      </c>
      <c r="C259" s="8">
        <v>45978</v>
      </c>
      <c r="D259" t="s">
        <v>327</v>
      </c>
      <c r="E259" t="s">
        <v>322</v>
      </c>
      <c r="F259" s="12">
        <v>477525</v>
      </c>
      <c r="G259" s="12" t="str">
        <f>VLOOKUP(Table2[[#This Row],[MemberID]],Table1[#All],3,0)</f>
        <v>Silver</v>
      </c>
      <c r="H259" s="13">
        <v>47</v>
      </c>
    </row>
    <row r="260" spans="1:8">
      <c r="A260" t="s">
        <v>592</v>
      </c>
      <c r="B260" t="s">
        <v>292</v>
      </c>
      <c r="C260" s="8">
        <v>46033</v>
      </c>
      <c r="D260" t="s">
        <v>350</v>
      </c>
      <c r="E260" t="s">
        <v>337</v>
      </c>
      <c r="F260" s="12">
        <v>248205</v>
      </c>
      <c r="G260" s="12" t="str">
        <f>VLOOKUP(Table2[[#This Row],[MemberID]],Table1[#All],3,0)</f>
        <v>Silver</v>
      </c>
      <c r="H260" s="13">
        <v>24</v>
      </c>
    </row>
    <row r="261" spans="1:8">
      <c r="A261" t="s">
        <v>593</v>
      </c>
      <c r="B261" t="s">
        <v>283</v>
      </c>
      <c r="C261" s="8">
        <v>46159</v>
      </c>
      <c r="D261" t="s">
        <v>342</v>
      </c>
      <c r="E261" t="s">
        <v>339</v>
      </c>
      <c r="F261" s="12">
        <v>350143</v>
      </c>
      <c r="G261" s="12" t="str">
        <f>VLOOKUP(Table2[[#This Row],[MemberID]],Table1[#All],3,0)</f>
        <v>Gold</v>
      </c>
      <c r="H261" s="13">
        <v>35</v>
      </c>
    </row>
    <row r="262" spans="1:8">
      <c r="A262" t="s">
        <v>594</v>
      </c>
      <c r="B262" t="s">
        <v>43</v>
      </c>
      <c r="C262" s="8">
        <v>46104</v>
      </c>
      <c r="D262" t="s">
        <v>344</v>
      </c>
      <c r="E262" t="s">
        <v>337</v>
      </c>
      <c r="F262" s="12">
        <v>264116</v>
      </c>
      <c r="G262" s="12" t="str">
        <f>VLOOKUP(Table2[[#This Row],[MemberID]],Table1[#All],3,0)</f>
        <v>Silver</v>
      </c>
      <c r="H262" s="13">
        <v>26</v>
      </c>
    </row>
    <row r="263" spans="1:8">
      <c r="A263" t="s">
        <v>595</v>
      </c>
      <c r="B263" t="s">
        <v>132</v>
      </c>
      <c r="C263" s="8">
        <v>46251</v>
      </c>
      <c r="D263" t="s">
        <v>321</v>
      </c>
      <c r="E263" t="s">
        <v>328</v>
      </c>
      <c r="F263" s="12">
        <v>184975</v>
      </c>
      <c r="G263" s="12" t="str">
        <f>VLOOKUP(Table2[[#This Row],[MemberID]],Table1[#All],3,0)</f>
        <v>Silver</v>
      </c>
      <c r="H263" s="13">
        <v>18</v>
      </c>
    </row>
    <row r="264" spans="1:8">
      <c r="A264" t="s">
        <v>596</v>
      </c>
      <c r="B264" t="s">
        <v>290</v>
      </c>
      <c r="C264" s="8">
        <v>46148</v>
      </c>
      <c r="D264" t="s">
        <v>342</v>
      </c>
      <c r="E264" t="s">
        <v>322</v>
      </c>
      <c r="F264" s="12">
        <v>354905</v>
      </c>
      <c r="G264" s="12" t="str">
        <f>VLOOKUP(Table2[[#This Row],[MemberID]],Table1[#All],3,0)</f>
        <v>Silver</v>
      </c>
      <c r="H264" s="13">
        <v>35</v>
      </c>
    </row>
    <row r="265" spans="1:8">
      <c r="A265" t="s">
        <v>597</v>
      </c>
      <c r="B265" t="s">
        <v>278</v>
      </c>
      <c r="C265" s="8">
        <v>46203</v>
      </c>
      <c r="D265" t="s">
        <v>324</v>
      </c>
      <c r="E265" t="s">
        <v>325</v>
      </c>
      <c r="F265" s="12">
        <v>327115</v>
      </c>
      <c r="G265" s="12" t="str">
        <f>VLOOKUP(Table2[[#This Row],[MemberID]],Table1[#All],3,0)</f>
        <v>Silver</v>
      </c>
      <c r="H265" s="13">
        <v>32</v>
      </c>
    </row>
    <row r="266" spans="1:8">
      <c r="A266" t="s">
        <v>598</v>
      </c>
      <c r="B266" t="s">
        <v>277</v>
      </c>
      <c r="C266" s="8">
        <v>46244</v>
      </c>
      <c r="D266" t="s">
        <v>330</v>
      </c>
      <c r="E266" t="s">
        <v>337</v>
      </c>
      <c r="F266" s="12">
        <v>188253</v>
      </c>
      <c r="G266" s="12" t="str">
        <f>VLOOKUP(Table2[[#This Row],[MemberID]],Table1[#All],3,0)</f>
        <v>Silver</v>
      </c>
      <c r="H266" s="13">
        <v>18</v>
      </c>
    </row>
    <row r="267" spans="1:8">
      <c r="A267" t="s">
        <v>599</v>
      </c>
      <c r="B267" t="s">
        <v>43</v>
      </c>
      <c r="C267" s="8">
        <v>46060</v>
      </c>
      <c r="D267" t="s">
        <v>350</v>
      </c>
      <c r="E267" t="s">
        <v>334</v>
      </c>
      <c r="F267" s="12">
        <v>201295</v>
      </c>
      <c r="G267" s="12" t="str">
        <f>VLOOKUP(Table2[[#This Row],[MemberID]],Table1[#All],3,0)</f>
        <v>Silver</v>
      </c>
      <c r="H267" s="13">
        <v>20</v>
      </c>
    </row>
    <row r="268" spans="1:8">
      <c r="A268" t="s">
        <v>600</v>
      </c>
      <c r="B268" t="s">
        <v>135</v>
      </c>
      <c r="C268" s="8">
        <v>46179</v>
      </c>
      <c r="D268" t="s">
        <v>321</v>
      </c>
      <c r="E268" t="s">
        <v>322</v>
      </c>
      <c r="F268" s="12">
        <v>365102</v>
      </c>
      <c r="G268" s="12" t="str">
        <f>VLOOKUP(Table2[[#This Row],[MemberID]],Table1[#All],3,0)</f>
        <v>Silver</v>
      </c>
      <c r="H268" s="13">
        <v>36</v>
      </c>
    </row>
    <row r="269" spans="1:8">
      <c r="A269" t="s">
        <v>601</v>
      </c>
      <c r="B269" t="s">
        <v>173</v>
      </c>
      <c r="C269" s="8">
        <v>46236</v>
      </c>
      <c r="D269" t="s">
        <v>332</v>
      </c>
      <c r="E269" t="s">
        <v>339</v>
      </c>
      <c r="F269" s="12">
        <v>164700</v>
      </c>
      <c r="G269" s="12" t="str">
        <f>VLOOKUP(Table2[[#This Row],[MemberID]],Table1[#All],3,0)</f>
        <v>Gold</v>
      </c>
      <c r="H269" s="13">
        <v>16</v>
      </c>
    </row>
    <row r="270" spans="1:8">
      <c r="A270" t="s">
        <v>602</v>
      </c>
      <c r="B270" t="s">
        <v>130</v>
      </c>
      <c r="C270" s="8">
        <v>45984</v>
      </c>
      <c r="D270" t="s">
        <v>342</v>
      </c>
      <c r="E270" t="s">
        <v>334</v>
      </c>
      <c r="F270" s="12">
        <v>92657</v>
      </c>
      <c r="G270" s="12" t="str">
        <f>VLOOKUP(Table2[[#This Row],[MemberID]],Table1[#All],3,0)</f>
        <v>Gold</v>
      </c>
      <c r="H270" s="13">
        <v>9</v>
      </c>
    </row>
    <row r="271" spans="1:8">
      <c r="A271" t="s">
        <v>603</v>
      </c>
      <c r="B271" t="s">
        <v>141</v>
      </c>
      <c r="C271" s="8">
        <v>46097</v>
      </c>
      <c r="D271" t="s">
        <v>324</v>
      </c>
      <c r="E271" t="s">
        <v>334</v>
      </c>
      <c r="F271" s="12">
        <v>535984</v>
      </c>
      <c r="G271" s="12" t="str">
        <f>VLOOKUP(Table2[[#This Row],[MemberID]],Table1[#All],3,0)</f>
        <v>Silver</v>
      </c>
      <c r="H271" s="13">
        <v>53</v>
      </c>
    </row>
    <row r="272" spans="1:8">
      <c r="A272" t="s">
        <v>604</v>
      </c>
      <c r="B272" t="s">
        <v>143</v>
      </c>
      <c r="C272" s="8">
        <v>46101</v>
      </c>
      <c r="D272" t="s">
        <v>350</v>
      </c>
      <c r="E272" t="s">
        <v>334</v>
      </c>
      <c r="F272" s="12">
        <v>403612</v>
      </c>
      <c r="G272" s="12" t="str">
        <f>VLOOKUP(Table2[[#This Row],[MemberID]],Table1[#All],3,0)</f>
        <v>Silver</v>
      </c>
      <c r="H272" s="13">
        <v>40</v>
      </c>
    </row>
    <row r="273" spans="1:8">
      <c r="A273" t="s">
        <v>605</v>
      </c>
      <c r="B273" t="s">
        <v>265</v>
      </c>
      <c r="C273" s="8">
        <v>46105</v>
      </c>
      <c r="D273" t="s">
        <v>342</v>
      </c>
      <c r="E273" t="s">
        <v>325</v>
      </c>
      <c r="F273" s="12">
        <v>152835</v>
      </c>
      <c r="G273" s="12" t="str">
        <f>VLOOKUP(Table2[[#This Row],[MemberID]],Table1[#All],3,0)</f>
        <v>Platinum</v>
      </c>
      <c r="H273" s="13">
        <v>15</v>
      </c>
    </row>
    <row r="274" spans="1:8">
      <c r="A274" t="s">
        <v>606</v>
      </c>
      <c r="B274" t="s">
        <v>130</v>
      </c>
      <c r="C274" s="8">
        <v>46015</v>
      </c>
      <c r="D274" t="s">
        <v>332</v>
      </c>
      <c r="E274" t="s">
        <v>328</v>
      </c>
      <c r="F274" s="12">
        <v>629369</v>
      </c>
      <c r="G274" s="12" t="str">
        <f>VLOOKUP(Table2[[#This Row],[MemberID]],Table1[#All],3,0)</f>
        <v>Gold</v>
      </c>
      <c r="H274" s="13">
        <v>62</v>
      </c>
    </row>
    <row r="275" spans="1:8">
      <c r="A275" t="s">
        <v>607</v>
      </c>
      <c r="B275" t="s">
        <v>242</v>
      </c>
      <c r="C275" s="8">
        <v>46133</v>
      </c>
      <c r="D275" t="s">
        <v>344</v>
      </c>
      <c r="E275" t="s">
        <v>328</v>
      </c>
      <c r="F275" s="12">
        <v>788659</v>
      </c>
      <c r="G275" s="12" t="str">
        <f>VLOOKUP(Table2[[#This Row],[MemberID]],Table1[#All],3,0)</f>
        <v>Silver</v>
      </c>
      <c r="H275" s="13">
        <v>78</v>
      </c>
    </row>
    <row r="276" spans="1:8">
      <c r="A276" t="s">
        <v>608</v>
      </c>
      <c r="B276" t="s">
        <v>66</v>
      </c>
      <c r="C276" s="8">
        <v>46132</v>
      </c>
      <c r="D276" t="s">
        <v>327</v>
      </c>
      <c r="E276" t="s">
        <v>334</v>
      </c>
      <c r="F276" s="12">
        <v>805231</v>
      </c>
      <c r="G276" s="12" t="str">
        <f>VLOOKUP(Table2[[#This Row],[MemberID]],Table1[#All],3,0)</f>
        <v>Silver</v>
      </c>
      <c r="H276" s="13">
        <v>80</v>
      </c>
    </row>
    <row r="277" spans="1:8">
      <c r="A277" t="s">
        <v>609</v>
      </c>
      <c r="B277" t="s">
        <v>298</v>
      </c>
      <c r="C277" s="8">
        <v>46161</v>
      </c>
      <c r="D277" t="s">
        <v>327</v>
      </c>
      <c r="E277" t="s">
        <v>325</v>
      </c>
      <c r="F277" s="12">
        <v>197650</v>
      </c>
      <c r="G277" s="12" t="str">
        <f>VLOOKUP(Table2[[#This Row],[MemberID]],Table1[#All],3,0)</f>
        <v>Gold</v>
      </c>
      <c r="H277" s="13">
        <v>19</v>
      </c>
    </row>
    <row r="278" spans="1:8">
      <c r="A278" t="s">
        <v>610</v>
      </c>
      <c r="B278" t="s">
        <v>36</v>
      </c>
      <c r="C278" s="8">
        <v>46091</v>
      </c>
      <c r="D278" t="s">
        <v>332</v>
      </c>
      <c r="E278" t="s">
        <v>339</v>
      </c>
      <c r="F278" s="12">
        <v>142384</v>
      </c>
      <c r="G278" s="12" t="str">
        <f>VLOOKUP(Table2[[#This Row],[MemberID]],Table1[#All],3,0)</f>
        <v>Gold</v>
      </c>
      <c r="H278" s="13">
        <v>14</v>
      </c>
    </row>
    <row r="279" spans="1:8">
      <c r="A279" t="s">
        <v>611</v>
      </c>
      <c r="B279" t="s">
        <v>150</v>
      </c>
      <c r="C279" s="8">
        <v>46185</v>
      </c>
      <c r="D279" t="s">
        <v>330</v>
      </c>
      <c r="E279" t="s">
        <v>337</v>
      </c>
      <c r="F279" s="12">
        <v>123558</v>
      </c>
      <c r="G279" s="12" t="str">
        <f>VLOOKUP(Table2[[#This Row],[MemberID]],Table1[#All],3,0)</f>
        <v>Gold</v>
      </c>
      <c r="H279" s="13">
        <v>12</v>
      </c>
    </row>
    <row r="280" spans="1:8">
      <c r="A280" t="s">
        <v>612</v>
      </c>
      <c r="B280" t="s">
        <v>164</v>
      </c>
      <c r="C280" s="8">
        <v>46013</v>
      </c>
      <c r="D280" t="s">
        <v>324</v>
      </c>
      <c r="E280" t="s">
        <v>322</v>
      </c>
      <c r="F280" s="12">
        <v>516553</v>
      </c>
      <c r="G280" s="12" t="str">
        <f>VLOOKUP(Table2[[#This Row],[MemberID]],Table1[#All],3,0)</f>
        <v>Silver</v>
      </c>
      <c r="H280" s="13">
        <v>51</v>
      </c>
    </row>
    <row r="281" spans="1:8">
      <c r="A281" t="s">
        <v>613</v>
      </c>
      <c r="B281" t="s">
        <v>139</v>
      </c>
      <c r="C281" s="8">
        <v>46014</v>
      </c>
      <c r="D281" t="s">
        <v>330</v>
      </c>
      <c r="E281" t="s">
        <v>328</v>
      </c>
      <c r="F281" s="12">
        <v>129476</v>
      </c>
      <c r="G281" s="12" t="str">
        <f>VLOOKUP(Table2[[#This Row],[MemberID]],Table1[#All],3,0)</f>
        <v>Silver</v>
      </c>
      <c r="H281" s="13">
        <v>12</v>
      </c>
    </row>
    <row r="282" spans="1:8">
      <c r="A282" t="s">
        <v>614</v>
      </c>
      <c r="B282" t="s">
        <v>255</v>
      </c>
      <c r="C282" s="8">
        <v>46152</v>
      </c>
      <c r="D282" t="s">
        <v>332</v>
      </c>
      <c r="E282" t="s">
        <v>337</v>
      </c>
      <c r="F282" s="12">
        <v>36153</v>
      </c>
      <c r="G282" s="12" t="str">
        <f>VLOOKUP(Table2[[#This Row],[MemberID]],Table1[#All],3,0)</f>
        <v>Silver</v>
      </c>
      <c r="H282" s="13">
        <v>3</v>
      </c>
    </row>
    <row r="283" spans="1:8">
      <c r="A283" t="s">
        <v>615</v>
      </c>
      <c r="B283" t="s">
        <v>276</v>
      </c>
      <c r="C283" s="8">
        <v>46054</v>
      </c>
      <c r="D283" t="s">
        <v>342</v>
      </c>
      <c r="E283" t="s">
        <v>339</v>
      </c>
      <c r="F283" s="12">
        <v>119478</v>
      </c>
      <c r="G283" s="12" t="str">
        <f>VLOOKUP(Table2[[#This Row],[MemberID]],Table1[#All],3,0)</f>
        <v>Gold</v>
      </c>
      <c r="H283" s="13">
        <v>11</v>
      </c>
    </row>
    <row r="284" spans="1:8">
      <c r="A284" t="s">
        <v>616</v>
      </c>
      <c r="B284" t="s">
        <v>287</v>
      </c>
      <c r="C284" s="8">
        <v>46177</v>
      </c>
      <c r="D284" t="s">
        <v>332</v>
      </c>
      <c r="E284" t="s">
        <v>334</v>
      </c>
      <c r="F284" s="12">
        <v>613517</v>
      </c>
      <c r="G284" s="12" t="str">
        <f>VLOOKUP(Table2[[#This Row],[MemberID]],Table1[#All],3,0)</f>
        <v>Gold</v>
      </c>
      <c r="H284" s="13">
        <v>61</v>
      </c>
    </row>
    <row r="285" spans="1:8">
      <c r="A285" t="s">
        <v>617</v>
      </c>
      <c r="B285" t="s">
        <v>154</v>
      </c>
      <c r="C285" s="8">
        <v>46274</v>
      </c>
      <c r="D285" t="s">
        <v>321</v>
      </c>
      <c r="E285" t="s">
        <v>334</v>
      </c>
      <c r="F285" s="12">
        <v>215136</v>
      </c>
      <c r="G285" s="12" t="str">
        <f>VLOOKUP(Table2[[#This Row],[MemberID]],Table1[#All],3,0)</f>
        <v>Silver</v>
      </c>
      <c r="H285" s="13">
        <v>21</v>
      </c>
    </row>
    <row r="286" spans="1:8">
      <c r="A286" t="s">
        <v>618</v>
      </c>
      <c r="B286" t="s">
        <v>93</v>
      </c>
      <c r="C286" s="8">
        <v>46105</v>
      </c>
      <c r="D286" t="s">
        <v>332</v>
      </c>
      <c r="E286" t="s">
        <v>334</v>
      </c>
      <c r="F286" s="12">
        <v>329656</v>
      </c>
      <c r="G286" s="12" t="str">
        <f>VLOOKUP(Table2[[#This Row],[MemberID]],Table1[#All],3,0)</f>
        <v>Platinum</v>
      </c>
      <c r="H286" s="13">
        <v>32</v>
      </c>
    </row>
    <row r="287" spans="1:8">
      <c r="A287" t="s">
        <v>619</v>
      </c>
      <c r="B287" t="s">
        <v>172</v>
      </c>
      <c r="C287" s="8">
        <v>46173</v>
      </c>
      <c r="D287" t="s">
        <v>350</v>
      </c>
      <c r="E287" t="s">
        <v>339</v>
      </c>
      <c r="F287" s="12">
        <v>245466</v>
      </c>
      <c r="G287" s="12" t="str">
        <f>VLOOKUP(Table2[[#This Row],[MemberID]],Table1[#All],3,0)</f>
        <v>Silver</v>
      </c>
      <c r="H287" s="13">
        <v>24</v>
      </c>
    </row>
    <row r="288" spans="1:8">
      <c r="A288" t="s">
        <v>620</v>
      </c>
      <c r="B288" t="s">
        <v>170</v>
      </c>
      <c r="C288" s="8">
        <v>46129</v>
      </c>
      <c r="D288" t="s">
        <v>321</v>
      </c>
      <c r="E288" t="s">
        <v>337</v>
      </c>
      <c r="F288" s="12">
        <v>89538</v>
      </c>
      <c r="G288" s="12" t="str">
        <f>VLOOKUP(Table2[[#This Row],[MemberID]],Table1[#All],3,0)</f>
        <v>Silver</v>
      </c>
      <c r="H288" s="13">
        <v>8</v>
      </c>
    </row>
    <row r="289" spans="1:8">
      <c r="A289" t="s">
        <v>621</v>
      </c>
      <c r="B289" t="s">
        <v>94</v>
      </c>
      <c r="C289" s="8">
        <v>46160</v>
      </c>
      <c r="D289" t="s">
        <v>332</v>
      </c>
      <c r="E289" t="s">
        <v>322</v>
      </c>
      <c r="F289" s="12">
        <v>413723</v>
      </c>
      <c r="G289" s="12" t="str">
        <f>VLOOKUP(Table2[[#This Row],[MemberID]],Table1[#All],3,0)</f>
        <v>Silver</v>
      </c>
      <c r="H289" s="13">
        <v>41</v>
      </c>
    </row>
    <row r="290" spans="1:8">
      <c r="A290" t="s">
        <v>622</v>
      </c>
      <c r="B290" t="s">
        <v>289</v>
      </c>
      <c r="C290" s="8">
        <v>46016</v>
      </c>
      <c r="D290" t="s">
        <v>327</v>
      </c>
      <c r="E290" t="s">
        <v>334</v>
      </c>
      <c r="F290" s="12">
        <v>224341</v>
      </c>
      <c r="G290" s="12" t="str">
        <f>VLOOKUP(Table2[[#This Row],[MemberID]],Table1[#All],3,0)</f>
        <v>Silver</v>
      </c>
      <c r="H290" s="13">
        <v>22</v>
      </c>
    </row>
    <row r="291" spans="1:8">
      <c r="A291" t="s">
        <v>623</v>
      </c>
      <c r="B291" t="s">
        <v>94</v>
      </c>
      <c r="C291" s="8">
        <v>46214</v>
      </c>
      <c r="D291" t="s">
        <v>342</v>
      </c>
      <c r="E291" t="s">
        <v>339</v>
      </c>
      <c r="F291" s="12">
        <v>126593</v>
      </c>
      <c r="G291" s="12" t="str">
        <f>VLOOKUP(Table2[[#This Row],[MemberID]],Table1[#All],3,0)</f>
        <v>Silver</v>
      </c>
      <c r="H291" s="13">
        <v>12</v>
      </c>
    </row>
    <row r="292" spans="1:8">
      <c r="A292" t="s">
        <v>624</v>
      </c>
      <c r="B292" t="s">
        <v>23</v>
      </c>
      <c r="C292" s="8">
        <v>46096</v>
      </c>
      <c r="D292" t="s">
        <v>344</v>
      </c>
      <c r="E292" t="s">
        <v>328</v>
      </c>
      <c r="F292" s="12">
        <v>55058</v>
      </c>
      <c r="G292" s="12" t="str">
        <f>VLOOKUP(Table2[[#This Row],[MemberID]],Table1[#All],3,0)</f>
        <v>Silver</v>
      </c>
      <c r="H292" s="13">
        <v>5</v>
      </c>
    </row>
    <row r="293" spans="1:8">
      <c r="A293" t="s">
        <v>625</v>
      </c>
      <c r="B293" t="s">
        <v>153</v>
      </c>
      <c r="C293" s="8">
        <v>45997</v>
      </c>
      <c r="D293" t="s">
        <v>321</v>
      </c>
      <c r="E293" t="s">
        <v>325</v>
      </c>
      <c r="F293" s="12">
        <v>194144</v>
      </c>
      <c r="G293" s="12" t="str">
        <f>VLOOKUP(Table2[[#This Row],[MemberID]],Table1[#All],3,0)</f>
        <v>Silver</v>
      </c>
      <c r="H293" s="13">
        <v>19</v>
      </c>
    </row>
    <row r="294" spans="1:8">
      <c r="A294" t="s">
        <v>626</v>
      </c>
      <c r="B294" t="s">
        <v>57</v>
      </c>
      <c r="C294" s="8">
        <v>46182</v>
      </c>
      <c r="D294" t="s">
        <v>330</v>
      </c>
      <c r="E294" t="s">
        <v>322</v>
      </c>
      <c r="F294" s="12">
        <v>390483</v>
      </c>
      <c r="G294" s="12" t="str">
        <f>VLOOKUP(Table2[[#This Row],[MemberID]],Table1[#All],3,0)</f>
        <v>Gold</v>
      </c>
      <c r="H294" s="13">
        <v>39</v>
      </c>
    </row>
    <row r="295" spans="1:8">
      <c r="A295" t="s">
        <v>627</v>
      </c>
      <c r="B295" t="s">
        <v>280</v>
      </c>
      <c r="C295" s="8">
        <v>46261</v>
      </c>
      <c r="D295" t="s">
        <v>327</v>
      </c>
      <c r="E295" t="s">
        <v>325</v>
      </c>
      <c r="F295" s="12">
        <v>255551</v>
      </c>
      <c r="G295" s="12" t="str">
        <f>VLOOKUP(Table2[[#This Row],[MemberID]],Table1[#All],3,0)</f>
        <v>Silver</v>
      </c>
      <c r="H295" s="13">
        <v>25</v>
      </c>
    </row>
    <row r="296" spans="1:8">
      <c r="A296" t="s">
        <v>628</v>
      </c>
      <c r="B296" t="s">
        <v>164</v>
      </c>
      <c r="C296" s="8">
        <v>46157</v>
      </c>
      <c r="D296" t="s">
        <v>330</v>
      </c>
      <c r="E296" t="s">
        <v>337</v>
      </c>
      <c r="F296" s="12">
        <v>360026</v>
      </c>
      <c r="G296" s="12" t="str">
        <f>VLOOKUP(Table2[[#This Row],[MemberID]],Table1[#All],3,0)</f>
        <v>Silver</v>
      </c>
      <c r="H296" s="13">
        <v>36</v>
      </c>
    </row>
    <row r="297" spans="1:8">
      <c r="A297" t="s">
        <v>629</v>
      </c>
      <c r="B297" t="s">
        <v>269</v>
      </c>
      <c r="C297" s="8">
        <v>46015</v>
      </c>
      <c r="D297" t="s">
        <v>321</v>
      </c>
      <c r="E297" t="s">
        <v>328</v>
      </c>
      <c r="F297" s="12">
        <v>113903</v>
      </c>
      <c r="G297" s="12" t="str">
        <f>VLOOKUP(Table2[[#This Row],[MemberID]],Table1[#All],3,0)</f>
        <v>Platinum</v>
      </c>
      <c r="H297" s="13">
        <v>11</v>
      </c>
    </row>
    <row r="298" spans="1:8">
      <c r="A298" t="s">
        <v>630</v>
      </c>
      <c r="B298" t="s">
        <v>94</v>
      </c>
      <c r="C298" s="8">
        <v>45985</v>
      </c>
      <c r="D298" t="s">
        <v>342</v>
      </c>
      <c r="E298" t="s">
        <v>322</v>
      </c>
      <c r="F298" s="12">
        <v>566177</v>
      </c>
      <c r="G298" s="12" t="str">
        <f>VLOOKUP(Table2[[#This Row],[MemberID]],Table1[#All],3,0)</f>
        <v>Silver</v>
      </c>
      <c r="H298" s="13">
        <v>56</v>
      </c>
    </row>
    <row r="299" spans="1:8">
      <c r="A299" t="s">
        <v>631</v>
      </c>
      <c r="B299" t="s">
        <v>94</v>
      </c>
      <c r="C299" s="8">
        <v>46237</v>
      </c>
      <c r="D299" t="s">
        <v>327</v>
      </c>
      <c r="E299" t="s">
        <v>325</v>
      </c>
      <c r="F299" s="12">
        <v>70664</v>
      </c>
      <c r="G299" s="12" t="str">
        <f>VLOOKUP(Table2[[#This Row],[MemberID]],Table1[#All],3,0)</f>
        <v>Silver</v>
      </c>
      <c r="H299" s="13">
        <v>7</v>
      </c>
    </row>
    <row r="300" spans="1:8">
      <c r="A300" t="s">
        <v>632</v>
      </c>
      <c r="B300" t="s">
        <v>277</v>
      </c>
      <c r="C300" s="8">
        <v>46149</v>
      </c>
      <c r="D300" t="s">
        <v>324</v>
      </c>
      <c r="E300" t="s">
        <v>337</v>
      </c>
      <c r="F300" s="12">
        <v>332987</v>
      </c>
      <c r="G300" s="12" t="str">
        <f>VLOOKUP(Table2[[#This Row],[MemberID]],Table1[#All],3,0)</f>
        <v>Silver</v>
      </c>
      <c r="H300" s="13">
        <v>33</v>
      </c>
    </row>
    <row r="301" spans="1:8">
      <c r="A301" t="s">
        <v>633</v>
      </c>
      <c r="B301" t="s">
        <v>278</v>
      </c>
      <c r="C301" s="8">
        <v>46131</v>
      </c>
      <c r="D301" t="s">
        <v>350</v>
      </c>
      <c r="E301" t="s">
        <v>334</v>
      </c>
      <c r="F301" s="12">
        <v>267167</v>
      </c>
      <c r="G301" s="12" t="str">
        <f>VLOOKUP(Table2[[#This Row],[MemberID]],Table1[#All],3,0)</f>
        <v>Silver</v>
      </c>
      <c r="H301" s="13">
        <v>26</v>
      </c>
    </row>
    <row r="302" spans="1:8">
      <c r="A302" t="s">
        <v>634</v>
      </c>
      <c r="B302" t="s">
        <v>197</v>
      </c>
      <c r="C302" s="8">
        <v>46042</v>
      </c>
      <c r="D302" t="s">
        <v>324</v>
      </c>
      <c r="E302" t="s">
        <v>328</v>
      </c>
      <c r="F302" s="12">
        <v>65137</v>
      </c>
      <c r="G302" s="12" t="str">
        <f>VLOOKUP(Table2[[#This Row],[MemberID]],Table1[#All],3,0)</f>
        <v>Silver</v>
      </c>
      <c r="H302" s="13">
        <v>6</v>
      </c>
    </row>
    <row r="303" spans="1:8">
      <c r="A303" t="s">
        <v>635</v>
      </c>
      <c r="B303" t="s">
        <v>18</v>
      </c>
      <c r="C303" s="8">
        <v>46168</v>
      </c>
      <c r="D303" t="s">
        <v>324</v>
      </c>
      <c r="E303" t="s">
        <v>337</v>
      </c>
      <c r="F303" s="12">
        <v>252446</v>
      </c>
      <c r="G303" s="12" t="str">
        <f>VLOOKUP(Table2[[#This Row],[MemberID]],Table1[#All],3,0)</f>
        <v>Silver</v>
      </c>
      <c r="H303" s="13">
        <v>25</v>
      </c>
    </row>
    <row r="304" spans="1:8">
      <c r="A304" t="s">
        <v>636</v>
      </c>
      <c r="B304" t="s">
        <v>40</v>
      </c>
      <c r="C304" s="8">
        <v>46261</v>
      </c>
      <c r="D304" t="s">
        <v>342</v>
      </c>
      <c r="E304" t="s">
        <v>339</v>
      </c>
      <c r="F304" s="12">
        <v>101188</v>
      </c>
      <c r="G304" s="12" t="str">
        <f>VLOOKUP(Table2[[#This Row],[MemberID]],Table1[#All],3,0)</f>
        <v>Gold</v>
      </c>
      <c r="H304" s="13">
        <v>10</v>
      </c>
    </row>
    <row r="305" spans="1:8">
      <c r="A305" t="s">
        <v>637</v>
      </c>
      <c r="B305" t="s">
        <v>44</v>
      </c>
      <c r="C305" s="8">
        <v>46229</v>
      </c>
      <c r="D305" t="s">
        <v>350</v>
      </c>
      <c r="E305" t="s">
        <v>334</v>
      </c>
      <c r="F305" s="12">
        <v>104327</v>
      </c>
      <c r="G305" s="12" t="str">
        <f>VLOOKUP(Table2[[#This Row],[MemberID]],Table1[#All],3,0)</f>
        <v>Silver</v>
      </c>
      <c r="H305" s="13">
        <v>10</v>
      </c>
    </row>
    <row r="306" spans="1:8">
      <c r="A306" t="s">
        <v>638</v>
      </c>
      <c r="B306" t="s">
        <v>274</v>
      </c>
      <c r="C306" s="8">
        <v>46043</v>
      </c>
      <c r="D306" t="s">
        <v>342</v>
      </c>
      <c r="E306" t="s">
        <v>325</v>
      </c>
      <c r="F306" s="12">
        <v>317120</v>
      </c>
      <c r="G306" s="12" t="str">
        <f>VLOOKUP(Table2[[#This Row],[MemberID]],Table1[#All],3,0)</f>
        <v>Platinum</v>
      </c>
      <c r="H306" s="13">
        <v>31</v>
      </c>
    </row>
    <row r="307" spans="1:8">
      <c r="A307" t="s">
        <v>639</v>
      </c>
      <c r="B307" t="s">
        <v>237</v>
      </c>
      <c r="C307" s="8">
        <v>45989</v>
      </c>
      <c r="D307" t="s">
        <v>321</v>
      </c>
      <c r="E307" t="s">
        <v>337</v>
      </c>
      <c r="F307" s="12">
        <v>615057</v>
      </c>
      <c r="G307" s="12" t="str">
        <f>VLOOKUP(Table2[[#This Row],[MemberID]],Table1[#All],3,0)</f>
        <v>Silver</v>
      </c>
      <c r="H307" s="13">
        <v>61</v>
      </c>
    </row>
    <row r="308" spans="1:8">
      <c r="A308" t="s">
        <v>640</v>
      </c>
      <c r="B308" t="s">
        <v>88</v>
      </c>
      <c r="C308" s="8">
        <v>46091</v>
      </c>
      <c r="D308" t="s">
        <v>332</v>
      </c>
      <c r="E308" t="s">
        <v>322</v>
      </c>
      <c r="F308" s="12">
        <v>492383</v>
      </c>
      <c r="G308" s="12" t="str">
        <f>VLOOKUP(Table2[[#This Row],[MemberID]],Table1[#All],3,0)</f>
        <v>Gold</v>
      </c>
      <c r="H308" s="13">
        <v>49</v>
      </c>
    </row>
    <row r="309" spans="1:8">
      <c r="A309" t="s">
        <v>641</v>
      </c>
      <c r="B309" t="s">
        <v>3</v>
      </c>
      <c r="C309" s="8">
        <v>45938</v>
      </c>
      <c r="D309" t="s">
        <v>332</v>
      </c>
      <c r="E309" t="s">
        <v>322</v>
      </c>
      <c r="F309" s="12">
        <v>143856</v>
      </c>
      <c r="G309" s="12" t="str">
        <f>VLOOKUP(Table2[[#This Row],[MemberID]],Table1[#All],3,0)</f>
        <v>Silver</v>
      </c>
      <c r="H309" s="13">
        <v>14</v>
      </c>
    </row>
    <row r="310" spans="1:8">
      <c r="A310" t="s">
        <v>642</v>
      </c>
      <c r="B310" t="s">
        <v>110</v>
      </c>
      <c r="C310" s="8">
        <v>46008</v>
      </c>
      <c r="D310" t="s">
        <v>332</v>
      </c>
      <c r="E310" t="s">
        <v>339</v>
      </c>
      <c r="F310" s="12">
        <v>208657</v>
      </c>
      <c r="G310" s="12" t="str">
        <f>VLOOKUP(Table2[[#This Row],[MemberID]],Table1[#All],3,0)</f>
        <v>Silver</v>
      </c>
      <c r="H310" s="13">
        <v>20</v>
      </c>
    </row>
    <row r="311" spans="1:8">
      <c r="A311" t="s">
        <v>643</v>
      </c>
      <c r="B311" t="s">
        <v>211</v>
      </c>
      <c r="C311" s="8">
        <v>46261</v>
      </c>
      <c r="D311" t="s">
        <v>350</v>
      </c>
      <c r="E311" t="s">
        <v>337</v>
      </c>
      <c r="F311" s="12">
        <v>87104</v>
      </c>
      <c r="G311" s="12" t="str">
        <f>VLOOKUP(Table2[[#This Row],[MemberID]],Table1[#All],3,0)</f>
        <v>Platinum</v>
      </c>
      <c r="H311" s="13">
        <v>8</v>
      </c>
    </row>
    <row r="312" spans="1:8">
      <c r="A312" t="s">
        <v>644</v>
      </c>
      <c r="B312" t="s">
        <v>100</v>
      </c>
      <c r="C312" s="8">
        <v>46192</v>
      </c>
      <c r="D312" t="s">
        <v>330</v>
      </c>
      <c r="E312" t="s">
        <v>325</v>
      </c>
      <c r="F312" s="12">
        <v>333806</v>
      </c>
      <c r="G312" s="12" t="str">
        <f>VLOOKUP(Table2[[#This Row],[MemberID]],Table1[#All],3,0)</f>
        <v>Silver</v>
      </c>
      <c r="H312" s="13">
        <v>33</v>
      </c>
    </row>
    <row r="313" spans="1:8">
      <c r="A313" t="s">
        <v>645</v>
      </c>
      <c r="B313" t="s">
        <v>278</v>
      </c>
      <c r="C313" s="8">
        <v>46053</v>
      </c>
      <c r="D313" t="s">
        <v>342</v>
      </c>
      <c r="E313" t="s">
        <v>337</v>
      </c>
      <c r="F313" s="12">
        <v>153573</v>
      </c>
      <c r="G313" s="12" t="str">
        <f>VLOOKUP(Table2[[#This Row],[MemberID]],Table1[#All],3,0)</f>
        <v>Silver</v>
      </c>
      <c r="H313" s="13">
        <v>15</v>
      </c>
    </row>
    <row r="314" spans="1:8">
      <c r="A314" t="s">
        <v>646</v>
      </c>
      <c r="B314" t="s">
        <v>225</v>
      </c>
      <c r="C314" s="8">
        <v>46110</v>
      </c>
      <c r="D314" t="s">
        <v>321</v>
      </c>
      <c r="E314" t="s">
        <v>339</v>
      </c>
      <c r="F314" s="12">
        <v>357696</v>
      </c>
      <c r="G314" s="12" t="str">
        <f>VLOOKUP(Table2[[#This Row],[MemberID]],Table1[#All],3,0)</f>
        <v>Platinum</v>
      </c>
      <c r="H314" s="13">
        <v>35</v>
      </c>
    </row>
    <row r="315" spans="1:8">
      <c r="A315" t="s">
        <v>647</v>
      </c>
      <c r="B315" t="s">
        <v>62</v>
      </c>
      <c r="C315" s="8">
        <v>46038</v>
      </c>
      <c r="D315" t="s">
        <v>332</v>
      </c>
      <c r="E315" t="s">
        <v>339</v>
      </c>
      <c r="F315" s="12">
        <v>101606</v>
      </c>
      <c r="G315" s="12" t="str">
        <f>VLOOKUP(Table2[[#This Row],[MemberID]],Table1[#All],3,0)</f>
        <v>Silver</v>
      </c>
      <c r="H315" s="13">
        <v>10</v>
      </c>
    </row>
    <row r="316" spans="1:8">
      <c r="A316" t="s">
        <v>648</v>
      </c>
      <c r="B316" t="s">
        <v>113</v>
      </c>
      <c r="C316" s="8">
        <v>46231</v>
      </c>
      <c r="D316" t="s">
        <v>342</v>
      </c>
      <c r="E316" t="s">
        <v>334</v>
      </c>
      <c r="F316" s="12">
        <v>144613</v>
      </c>
      <c r="G316" s="12" t="str">
        <f>VLOOKUP(Table2[[#This Row],[MemberID]],Table1[#All],3,0)</f>
        <v>Silver</v>
      </c>
      <c r="H316" s="13">
        <v>14</v>
      </c>
    </row>
    <row r="317" spans="1:8">
      <c r="A317" t="s">
        <v>649</v>
      </c>
      <c r="B317" t="s">
        <v>107</v>
      </c>
      <c r="C317" s="8">
        <v>46251</v>
      </c>
      <c r="D317" t="s">
        <v>321</v>
      </c>
      <c r="E317" t="s">
        <v>322</v>
      </c>
      <c r="F317" s="12">
        <v>484376</v>
      </c>
      <c r="G317" s="12" t="str">
        <f>VLOOKUP(Table2[[#This Row],[MemberID]],Table1[#All],3,0)</f>
        <v>Gold</v>
      </c>
      <c r="H317" s="13">
        <v>48</v>
      </c>
    </row>
    <row r="318" spans="1:8">
      <c r="A318" t="s">
        <v>650</v>
      </c>
      <c r="B318" t="s">
        <v>110</v>
      </c>
      <c r="C318" s="8">
        <v>46219</v>
      </c>
      <c r="D318" t="s">
        <v>344</v>
      </c>
      <c r="E318" t="s">
        <v>339</v>
      </c>
      <c r="F318" s="12">
        <v>570811</v>
      </c>
      <c r="G318" s="12" t="str">
        <f>VLOOKUP(Table2[[#This Row],[MemberID]],Table1[#All],3,0)</f>
        <v>Silver</v>
      </c>
      <c r="H318" s="13">
        <v>57</v>
      </c>
    </row>
    <row r="319" spans="1:8">
      <c r="A319" t="s">
        <v>651</v>
      </c>
      <c r="B319" t="s">
        <v>138</v>
      </c>
      <c r="C319" s="8">
        <v>46121</v>
      </c>
      <c r="D319" t="s">
        <v>321</v>
      </c>
      <c r="E319" t="s">
        <v>339</v>
      </c>
      <c r="F319" s="12">
        <v>194979</v>
      </c>
      <c r="G319" s="12" t="str">
        <f>VLOOKUP(Table2[[#This Row],[MemberID]],Table1[#All],3,0)</f>
        <v>Gold</v>
      </c>
      <c r="H319" s="13">
        <v>19</v>
      </c>
    </row>
    <row r="320" spans="1:8">
      <c r="A320" t="s">
        <v>652</v>
      </c>
      <c r="B320" t="s">
        <v>205</v>
      </c>
      <c r="C320" s="8">
        <v>46027</v>
      </c>
      <c r="D320" t="s">
        <v>342</v>
      </c>
      <c r="E320" t="s">
        <v>328</v>
      </c>
      <c r="F320" s="12">
        <v>161312</v>
      </c>
      <c r="G320" s="12" t="str">
        <f>VLOOKUP(Table2[[#This Row],[MemberID]],Table1[#All],3,0)</f>
        <v>Silver</v>
      </c>
      <c r="H320" s="13">
        <v>16</v>
      </c>
    </row>
    <row r="321" spans="1:8">
      <c r="A321" t="s">
        <v>653</v>
      </c>
      <c r="B321" t="s">
        <v>19</v>
      </c>
      <c r="C321" s="8">
        <v>46158</v>
      </c>
      <c r="D321" t="s">
        <v>321</v>
      </c>
      <c r="E321" t="s">
        <v>328</v>
      </c>
      <c r="F321" s="12">
        <v>113259</v>
      </c>
      <c r="G321" s="12" t="str">
        <f>VLOOKUP(Table2[[#This Row],[MemberID]],Table1[#All],3,0)</f>
        <v>Silver</v>
      </c>
      <c r="H321" s="13">
        <v>11</v>
      </c>
    </row>
    <row r="322" spans="1:8">
      <c r="A322" t="s">
        <v>654</v>
      </c>
      <c r="B322" t="s">
        <v>262</v>
      </c>
      <c r="C322" s="8">
        <v>46293</v>
      </c>
      <c r="D322" t="s">
        <v>321</v>
      </c>
      <c r="E322" t="s">
        <v>325</v>
      </c>
      <c r="F322" s="12">
        <v>69271</v>
      </c>
      <c r="G322" s="12" t="str">
        <f>VLOOKUP(Table2[[#This Row],[MemberID]],Table1[#All],3,0)</f>
        <v>Gold</v>
      </c>
      <c r="H322" s="13">
        <v>6</v>
      </c>
    </row>
    <row r="323" spans="1:8">
      <c r="A323" t="s">
        <v>655</v>
      </c>
      <c r="B323" t="s">
        <v>130</v>
      </c>
      <c r="C323" s="8">
        <v>46036</v>
      </c>
      <c r="D323" t="s">
        <v>330</v>
      </c>
      <c r="E323" t="s">
        <v>325</v>
      </c>
      <c r="F323" s="12">
        <v>124163</v>
      </c>
      <c r="G323" s="12" t="str">
        <f>VLOOKUP(Table2[[#This Row],[MemberID]],Table1[#All],3,0)</f>
        <v>Gold</v>
      </c>
      <c r="H323" s="13">
        <v>12</v>
      </c>
    </row>
    <row r="324" spans="1:8">
      <c r="A324" t="s">
        <v>656</v>
      </c>
      <c r="B324" t="s">
        <v>84</v>
      </c>
      <c r="C324" s="8">
        <v>46278</v>
      </c>
      <c r="D324" t="s">
        <v>332</v>
      </c>
      <c r="E324" t="s">
        <v>339</v>
      </c>
      <c r="F324" s="12">
        <v>147617</v>
      </c>
      <c r="G324" s="12" t="str">
        <f>VLOOKUP(Table2[[#This Row],[MemberID]],Table1[#All],3,0)</f>
        <v>Silver</v>
      </c>
      <c r="H324" s="13">
        <v>14</v>
      </c>
    </row>
    <row r="325" spans="1:8">
      <c r="A325" t="s">
        <v>657</v>
      </c>
      <c r="B325" t="s">
        <v>164</v>
      </c>
      <c r="C325" s="8">
        <v>46210</v>
      </c>
      <c r="D325" t="s">
        <v>330</v>
      </c>
      <c r="E325" t="s">
        <v>337</v>
      </c>
      <c r="F325" s="12">
        <v>411214</v>
      </c>
      <c r="G325" s="12" t="str">
        <f>VLOOKUP(Table2[[#This Row],[MemberID]],Table1[#All],3,0)</f>
        <v>Silver</v>
      </c>
      <c r="H325" s="13">
        <v>41</v>
      </c>
    </row>
    <row r="326" spans="1:8">
      <c r="A326" t="s">
        <v>658</v>
      </c>
      <c r="B326" t="s">
        <v>43</v>
      </c>
      <c r="C326" s="8">
        <v>46075</v>
      </c>
      <c r="D326" t="s">
        <v>332</v>
      </c>
      <c r="E326" t="s">
        <v>325</v>
      </c>
      <c r="F326" s="12">
        <v>118898</v>
      </c>
      <c r="G326" s="12" t="str">
        <f>VLOOKUP(Table2[[#This Row],[MemberID]],Table1[#All],3,0)</f>
        <v>Silver</v>
      </c>
      <c r="H326" s="13">
        <v>11</v>
      </c>
    </row>
    <row r="327" spans="1:8">
      <c r="A327" t="s">
        <v>659</v>
      </c>
      <c r="B327" t="s">
        <v>106</v>
      </c>
      <c r="C327" s="8">
        <v>46119</v>
      </c>
      <c r="D327" t="s">
        <v>321</v>
      </c>
      <c r="E327" t="s">
        <v>325</v>
      </c>
      <c r="F327" s="12">
        <v>582865</v>
      </c>
      <c r="G327" s="12" t="str">
        <f>VLOOKUP(Table2[[#This Row],[MemberID]],Table1[#All],3,0)</f>
        <v>Silver</v>
      </c>
      <c r="H327" s="13">
        <v>58</v>
      </c>
    </row>
    <row r="328" spans="1:8">
      <c r="A328" t="s">
        <v>660</v>
      </c>
      <c r="B328" t="s">
        <v>174</v>
      </c>
      <c r="C328" s="8">
        <v>45974</v>
      </c>
      <c r="D328" t="s">
        <v>324</v>
      </c>
      <c r="E328" t="s">
        <v>328</v>
      </c>
      <c r="F328" s="12">
        <v>304574</v>
      </c>
      <c r="G328" s="12" t="str">
        <f>VLOOKUP(Table2[[#This Row],[MemberID]],Table1[#All],3,0)</f>
        <v>Silver</v>
      </c>
      <c r="H328" s="13">
        <v>30</v>
      </c>
    </row>
    <row r="329" spans="1:8">
      <c r="A329" t="s">
        <v>661</v>
      </c>
      <c r="B329" t="s">
        <v>115</v>
      </c>
      <c r="C329" s="8">
        <v>46272</v>
      </c>
      <c r="D329" t="s">
        <v>350</v>
      </c>
      <c r="E329" t="s">
        <v>322</v>
      </c>
      <c r="F329" s="12">
        <v>53030</v>
      </c>
      <c r="G329" s="12" t="str">
        <f>VLOOKUP(Table2[[#This Row],[MemberID]],Table1[#All],3,0)</f>
        <v>Gold</v>
      </c>
      <c r="H329" s="13">
        <v>5</v>
      </c>
    </row>
    <row r="330" spans="1:8">
      <c r="A330" t="s">
        <v>662</v>
      </c>
      <c r="B330" t="s">
        <v>274</v>
      </c>
      <c r="C330" s="8">
        <v>46243</v>
      </c>
      <c r="D330" t="s">
        <v>321</v>
      </c>
      <c r="E330" t="s">
        <v>328</v>
      </c>
      <c r="F330" s="12">
        <v>281811</v>
      </c>
      <c r="G330" s="12" t="str">
        <f>VLOOKUP(Table2[[#This Row],[MemberID]],Table1[#All],3,0)</f>
        <v>Platinum</v>
      </c>
      <c r="H330" s="13">
        <v>28</v>
      </c>
    </row>
    <row r="331" spans="1:8">
      <c r="A331" t="s">
        <v>663</v>
      </c>
      <c r="B331" t="s">
        <v>159</v>
      </c>
      <c r="C331" s="8">
        <v>46021</v>
      </c>
      <c r="D331" t="s">
        <v>350</v>
      </c>
      <c r="E331" t="s">
        <v>337</v>
      </c>
      <c r="F331" s="12">
        <v>86999</v>
      </c>
      <c r="G331" s="12" t="str">
        <f>VLOOKUP(Table2[[#This Row],[MemberID]],Table1[#All],3,0)</f>
        <v>Gold</v>
      </c>
      <c r="H331" s="13">
        <v>8</v>
      </c>
    </row>
    <row r="332" spans="1:8">
      <c r="A332" t="s">
        <v>664</v>
      </c>
      <c r="B332" t="s">
        <v>240</v>
      </c>
      <c r="C332" s="8">
        <v>46265</v>
      </c>
      <c r="D332" t="s">
        <v>327</v>
      </c>
      <c r="E332" t="s">
        <v>322</v>
      </c>
      <c r="F332" s="12">
        <v>100482</v>
      </c>
      <c r="G332" s="12" t="str">
        <f>VLOOKUP(Table2[[#This Row],[MemberID]],Table1[#All],3,0)</f>
        <v>Silver</v>
      </c>
      <c r="H332" s="13">
        <v>10</v>
      </c>
    </row>
    <row r="333" spans="1:8">
      <c r="A333" t="s">
        <v>665</v>
      </c>
      <c r="B333" t="s">
        <v>164</v>
      </c>
      <c r="C333" s="8">
        <v>46030</v>
      </c>
      <c r="D333" t="s">
        <v>324</v>
      </c>
      <c r="E333" t="s">
        <v>325</v>
      </c>
      <c r="F333" s="12">
        <v>340703</v>
      </c>
      <c r="G333" s="12" t="str">
        <f>VLOOKUP(Table2[[#This Row],[MemberID]],Table1[#All],3,0)</f>
        <v>Silver</v>
      </c>
      <c r="H333" s="13">
        <v>34</v>
      </c>
    </row>
    <row r="334" spans="1:8">
      <c r="A334" t="s">
        <v>666</v>
      </c>
      <c r="B334" t="s">
        <v>111</v>
      </c>
      <c r="C334" s="8">
        <v>46186</v>
      </c>
      <c r="D334" t="s">
        <v>342</v>
      </c>
      <c r="E334" t="s">
        <v>339</v>
      </c>
      <c r="F334" s="12">
        <v>243161</v>
      </c>
      <c r="G334" s="12" t="str">
        <f>VLOOKUP(Table2[[#This Row],[MemberID]],Table1[#All],3,0)</f>
        <v>Platinum</v>
      </c>
      <c r="H334" s="13">
        <v>24</v>
      </c>
    </row>
    <row r="335" spans="1:8">
      <c r="A335" t="s">
        <v>667</v>
      </c>
      <c r="B335" t="s">
        <v>76</v>
      </c>
      <c r="C335" s="8">
        <v>46224</v>
      </c>
      <c r="D335" t="s">
        <v>344</v>
      </c>
      <c r="E335" t="s">
        <v>334</v>
      </c>
      <c r="F335" s="12">
        <v>394275</v>
      </c>
      <c r="G335" s="12" t="str">
        <f>VLOOKUP(Table2[[#This Row],[MemberID]],Table1[#All],3,0)</f>
        <v>Silver</v>
      </c>
      <c r="H335" s="13">
        <v>39</v>
      </c>
    </row>
    <row r="336" spans="1:8">
      <c r="A336" t="s">
        <v>668</v>
      </c>
      <c r="B336" t="s">
        <v>126</v>
      </c>
      <c r="C336" s="8">
        <v>46202</v>
      </c>
      <c r="D336" t="s">
        <v>327</v>
      </c>
      <c r="E336" t="s">
        <v>339</v>
      </c>
      <c r="F336" s="12">
        <v>175740</v>
      </c>
      <c r="G336" s="12" t="str">
        <f>VLOOKUP(Table2[[#This Row],[MemberID]],Table1[#All],3,0)</f>
        <v>Silver</v>
      </c>
      <c r="H336" s="13">
        <v>17</v>
      </c>
    </row>
    <row r="337" spans="1:8">
      <c r="A337" t="s">
        <v>669</v>
      </c>
      <c r="B337" t="s">
        <v>57</v>
      </c>
      <c r="C337" s="8">
        <v>46129</v>
      </c>
      <c r="D337" t="s">
        <v>342</v>
      </c>
      <c r="E337" t="s">
        <v>334</v>
      </c>
      <c r="F337" s="12">
        <v>390779</v>
      </c>
      <c r="G337" s="12" t="str">
        <f>VLOOKUP(Table2[[#This Row],[MemberID]],Table1[#All],3,0)</f>
        <v>Gold</v>
      </c>
      <c r="H337" s="13">
        <v>39</v>
      </c>
    </row>
    <row r="338" spans="1:8">
      <c r="A338" t="s">
        <v>670</v>
      </c>
      <c r="B338" t="s">
        <v>262</v>
      </c>
      <c r="C338" s="8">
        <v>46185</v>
      </c>
      <c r="D338" t="s">
        <v>350</v>
      </c>
      <c r="E338" t="s">
        <v>337</v>
      </c>
      <c r="F338" s="12">
        <v>455681</v>
      </c>
      <c r="G338" s="12" t="str">
        <f>VLOOKUP(Table2[[#This Row],[MemberID]],Table1[#All],3,0)</f>
        <v>Gold</v>
      </c>
      <c r="H338" s="13">
        <v>45</v>
      </c>
    </row>
    <row r="339" spans="1:8">
      <c r="A339" t="s">
        <v>671</v>
      </c>
      <c r="B339" t="s">
        <v>213</v>
      </c>
      <c r="C339" s="8">
        <v>45997</v>
      </c>
      <c r="D339" t="s">
        <v>350</v>
      </c>
      <c r="E339" t="s">
        <v>322</v>
      </c>
      <c r="F339" s="12">
        <v>107257</v>
      </c>
      <c r="G339" s="12" t="str">
        <f>VLOOKUP(Table2[[#This Row],[MemberID]],Table1[#All],3,0)</f>
        <v>Gold</v>
      </c>
      <c r="H339" s="13">
        <v>10</v>
      </c>
    </row>
    <row r="340" spans="1:8">
      <c r="A340" t="s">
        <v>672</v>
      </c>
      <c r="B340" t="s">
        <v>47</v>
      </c>
      <c r="C340" s="8">
        <v>46030</v>
      </c>
      <c r="D340" t="s">
        <v>327</v>
      </c>
      <c r="E340" t="s">
        <v>337</v>
      </c>
      <c r="F340" s="12">
        <v>176111</v>
      </c>
      <c r="G340" s="12" t="str">
        <f>VLOOKUP(Table2[[#This Row],[MemberID]],Table1[#All],3,0)</f>
        <v>Silver</v>
      </c>
      <c r="H340" s="13">
        <v>17</v>
      </c>
    </row>
    <row r="341" spans="1:8">
      <c r="A341" t="s">
        <v>673</v>
      </c>
      <c r="B341" t="s">
        <v>286</v>
      </c>
      <c r="C341" s="8">
        <v>46256</v>
      </c>
      <c r="D341" t="s">
        <v>321</v>
      </c>
      <c r="E341" t="s">
        <v>322</v>
      </c>
      <c r="F341" s="12">
        <v>98680</v>
      </c>
      <c r="G341" s="12" t="str">
        <f>VLOOKUP(Table2[[#This Row],[MemberID]],Table1[#All],3,0)</f>
        <v>Silver</v>
      </c>
      <c r="H341" s="13">
        <v>9</v>
      </c>
    </row>
    <row r="342" spans="1:8">
      <c r="A342" t="s">
        <v>674</v>
      </c>
      <c r="B342" t="s">
        <v>183</v>
      </c>
      <c r="C342" s="8">
        <v>46055</v>
      </c>
      <c r="D342" t="s">
        <v>344</v>
      </c>
      <c r="E342" t="s">
        <v>328</v>
      </c>
      <c r="F342" s="12">
        <v>250654</v>
      </c>
      <c r="G342" s="12" t="str">
        <f>VLOOKUP(Table2[[#This Row],[MemberID]],Table1[#All],3,0)</f>
        <v>Gold</v>
      </c>
      <c r="H342" s="13">
        <v>25</v>
      </c>
    </row>
    <row r="343" spans="1:8">
      <c r="A343" t="s">
        <v>675</v>
      </c>
      <c r="B343" t="s">
        <v>205</v>
      </c>
      <c r="C343" s="8">
        <v>46244</v>
      </c>
      <c r="D343" t="s">
        <v>324</v>
      </c>
      <c r="E343" t="s">
        <v>334</v>
      </c>
      <c r="F343" s="12">
        <v>25000</v>
      </c>
      <c r="G343" s="12" t="str">
        <f>VLOOKUP(Table2[[#This Row],[MemberID]],Table1[#All],3,0)</f>
        <v>Silver</v>
      </c>
      <c r="H343" s="13">
        <v>2</v>
      </c>
    </row>
    <row r="344" spans="1:8">
      <c r="A344" t="s">
        <v>676</v>
      </c>
      <c r="B344" t="s">
        <v>94</v>
      </c>
      <c r="C344" s="8">
        <v>45975</v>
      </c>
      <c r="D344" t="s">
        <v>350</v>
      </c>
      <c r="E344" t="s">
        <v>325</v>
      </c>
      <c r="F344" s="12">
        <v>194790</v>
      </c>
      <c r="G344" s="12" t="str">
        <f>VLOOKUP(Table2[[#This Row],[MemberID]],Table1[#All],3,0)</f>
        <v>Silver</v>
      </c>
      <c r="H344" s="13">
        <v>19</v>
      </c>
    </row>
    <row r="345" spans="1:8">
      <c r="A345" t="s">
        <v>677</v>
      </c>
      <c r="B345" t="s">
        <v>88</v>
      </c>
      <c r="C345" s="8">
        <v>46056</v>
      </c>
      <c r="D345" t="s">
        <v>321</v>
      </c>
      <c r="E345" t="s">
        <v>339</v>
      </c>
      <c r="F345" s="12">
        <v>427645</v>
      </c>
      <c r="G345" s="12" t="str">
        <f>VLOOKUP(Table2[[#This Row],[MemberID]],Table1[#All],3,0)</f>
        <v>Gold</v>
      </c>
      <c r="H345" s="13">
        <v>42</v>
      </c>
    </row>
    <row r="346" spans="1:8">
      <c r="A346" t="s">
        <v>678</v>
      </c>
      <c r="B346" t="s">
        <v>288</v>
      </c>
      <c r="C346" s="8">
        <v>46167</v>
      </c>
      <c r="D346" t="s">
        <v>350</v>
      </c>
      <c r="E346" t="s">
        <v>334</v>
      </c>
      <c r="F346" s="12">
        <v>127656</v>
      </c>
      <c r="G346" s="12" t="str">
        <f>VLOOKUP(Table2[[#This Row],[MemberID]],Table1[#All],3,0)</f>
        <v>Silver</v>
      </c>
      <c r="H346" s="13">
        <v>12</v>
      </c>
    </row>
    <row r="347" spans="1:8">
      <c r="A347" t="s">
        <v>679</v>
      </c>
      <c r="B347" t="s">
        <v>100</v>
      </c>
      <c r="C347" s="8">
        <v>45990</v>
      </c>
      <c r="D347" t="s">
        <v>350</v>
      </c>
      <c r="E347" t="s">
        <v>334</v>
      </c>
      <c r="F347" s="12">
        <v>173608</v>
      </c>
      <c r="G347" s="12" t="str">
        <f>VLOOKUP(Table2[[#This Row],[MemberID]],Table1[#All],3,0)</f>
        <v>Silver</v>
      </c>
      <c r="H347" s="13">
        <v>17</v>
      </c>
    </row>
    <row r="348" spans="1:8">
      <c r="A348" t="s">
        <v>680</v>
      </c>
      <c r="B348" t="s">
        <v>313</v>
      </c>
      <c r="C348" s="8">
        <v>46286</v>
      </c>
      <c r="D348" t="s">
        <v>344</v>
      </c>
      <c r="E348" t="s">
        <v>322</v>
      </c>
      <c r="F348" s="12">
        <v>53838</v>
      </c>
      <c r="G348" s="12" t="str">
        <f>VLOOKUP(Table2[[#This Row],[MemberID]],Table1[#All],3,0)</f>
        <v>Silver</v>
      </c>
      <c r="H348" s="13">
        <v>5</v>
      </c>
    </row>
    <row r="349" spans="1:8">
      <c r="A349" t="s">
        <v>681</v>
      </c>
      <c r="B349" t="s">
        <v>39</v>
      </c>
      <c r="C349" s="8">
        <v>46227</v>
      </c>
      <c r="D349" t="s">
        <v>321</v>
      </c>
      <c r="E349" t="s">
        <v>337</v>
      </c>
      <c r="F349" s="12">
        <v>267145</v>
      </c>
      <c r="G349" s="12" t="str">
        <f>VLOOKUP(Table2[[#This Row],[MemberID]],Table1[#All],3,0)</f>
        <v>Silver</v>
      </c>
      <c r="H349" s="13">
        <v>26</v>
      </c>
    </row>
    <row r="350" spans="1:8">
      <c r="A350" t="s">
        <v>682</v>
      </c>
      <c r="B350" t="s">
        <v>57</v>
      </c>
      <c r="C350" s="8">
        <v>46121</v>
      </c>
      <c r="D350" t="s">
        <v>321</v>
      </c>
      <c r="E350" t="s">
        <v>322</v>
      </c>
      <c r="F350" s="12">
        <v>545129</v>
      </c>
      <c r="G350" s="12" t="str">
        <f>VLOOKUP(Table2[[#This Row],[MemberID]],Table1[#All],3,0)</f>
        <v>Gold</v>
      </c>
      <c r="H350" s="13">
        <v>54</v>
      </c>
    </row>
    <row r="351" spans="1:8">
      <c r="A351" t="s">
        <v>683</v>
      </c>
      <c r="B351" t="s">
        <v>217</v>
      </c>
      <c r="C351" s="8">
        <v>46142</v>
      </c>
      <c r="D351" t="s">
        <v>332</v>
      </c>
      <c r="E351" t="s">
        <v>337</v>
      </c>
      <c r="F351" s="12">
        <v>346905</v>
      </c>
      <c r="G351" s="12" t="str">
        <f>VLOOKUP(Table2[[#This Row],[MemberID]],Table1[#All],3,0)</f>
        <v>Gold</v>
      </c>
      <c r="H351" s="13">
        <v>34</v>
      </c>
    </row>
    <row r="352" spans="1:8">
      <c r="A352" t="s">
        <v>684</v>
      </c>
      <c r="B352" t="s">
        <v>54</v>
      </c>
      <c r="C352" s="8">
        <v>46196</v>
      </c>
      <c r="D352" t="s">
        <v>324</v>
      </c>
      <c r="E352" t="s">
        <v>322</v>
      </c>
      <c r="F352" s="12">
        <v>104369</v>
      </c>
      <c r="G352" s="12" t="str">
        <f>VLOOKUP(Table2[[#This Row],[MemberID]],Table1[#All],3,0)</f>
        <v>Platinum</v>
      </c>
      <c r="H352" s="13">
        <v>10</v>
      </c>
    </row>
    <row r="353" spans="1:8">
      <c r="A353" t="s">
        <v>685</v>
      </c>
      <c r="B353" t="s">
        <v>282</v>
      </c>
      <c r="C353" s="8">
        <v>45943</v>
      </c>
      <c r="D353" t="s">
        <v>332</v>
      </c>
      <c r="E353" t="s">
        <v>339</v>
      </c>
      <c r="F353" s="12">
        <v>291784</v>
      </c>
      <c r="G353" s="12" t="str">
        <f>VLOOKUP(Table2[[#This Row],[MemberID]],Table1[#All],3,0)</f>
        <v>Silver</v>
      </c>
      <c r="H353" s="13">
        <v>29</v>
      </c>
    </row>
    <row r="354" spans="1:8">
      <c r="A354" t="s">
        <v>686</v>
      </c>
      <c r="B354" t="s">
        <v>165</v>
      </c>
      <c r="C354" s="8">
        <v>46025</v>
      </c>
      <c r="D354" t="s">
        <v>342</v>
      </c>
      <c r="E354" t="s">
        <v>339</v>
      </c>
      <c r="F354" s="12">
        <v>68891</v>
      </c>
      <c r="G354" s="12" t="str">
        <f>VLOOKUP(Table2[[#This Row],[MemberID]],Table1[#All],3,0)</f>
        <v>Silver</v>
      </c>
      <c r="H354" s="13">
        <v>6</v>
      </c>
    </row>
    <row r="355" spans="1:8">
      <c r="A355" t="s">
        <v>687</v>
      </c>
      <c r="B355" t="s">
        <v>135</v>
      </c>
      <c r="C355" s="8">
        <v>46205</v>
      </c>
      <c r="D355" t="s">
        <v>327</v>
      </c>
      <c r="E355" t="s">
        <v>325</v>
      </c>
      <c r="F355" s="12">
        <v>515335</v>
      </c>
      <c r="G355" s="12" t="str">
        <f>VLOOKUP(Table2[[#This Row],[MemberID]],Table1[#All],3,0)</f>
        <v>Silver</v>
      </c>
      <c r="H355" s="13">
        <v>51</v>
      </c>
    </row>
    <row r="356" spans="1:8">
      <c r="A356" t="s">
        <v>688</v>
      </c>
      <c r="B356" t="s">
        <v>52</v>
      </c>
      <c r="C356" s="8">
        <v>46081</v>
      </c>
      <c r="D356" t="s">
        <v>330</v>
      </c>
      <c r="E356" t="s">
        <v>322</v>
      </c>
      <c r="F356" s="12">
        <v>335531</v>
      </c>
      <c r="G356" s="12" t="str">
        <f>VLOOKUP(Table2[[#This Row],[MemberID]],Table1[#All],3,0)</f>
        <v>Gold</v>
      </c>
      <c r="H356" s="13">
        <v>33</v>
      </c>
    </row>
    <row r="357" spans="1:8">
      <c r="A357" t="s">
        <v>689</v>
      </c>
      <c r="B357" t="s">
        <v>278</v>
      </c>
      <c r="C357" s="8">
        <v>46217</v>
      </c>
      <c r="D357" t="s">
        <v>342</v>
      </c>
      <c r="E357" t="s">
        <v>339</v>
      </c>
      <c r="F357" s="12">
        <v>363651</v>
      </c>
      <c r="G357" s="12" t="str">
        <f>VLOOKUP(Table2[[#This Row],[MemberID]],Table1[#All],3,0)</f>
        <v>Silver</v>
      </c>
      <c r="H357" s="13">
        <v>36</v>
      </c>
    </row>
    <row r="358" spans="1:8">
      <c r="A358" t="s">
        <v>690</v>
      </c>
      <c r="B358" t="s">
        <v>69</v>
      </c>
      <c r="C358" s="8">
        <v>45971</v>
      </c>
      <c r="D358" t="s">
        <v>327</v>
      </c>
      <c r="E358" t="s">
        <v>325</v>
      </c>
      <c r="F358" s="12">
        <v>322414</v>
      </c>
      <c r="G358" s="12" t="str">
        <f>VLOOKUP(Table2[[#This Row],[MemberID]],Table1[#All],3,0)</f>
        <v>Gold</v>
      </c>
      <c r="H358" s="13">
        <v>32</v>
      </c>
    </row>
    <row r="359" spans="1:8">
      <c r="A359" t="s">
        <v>691</v>
      </c>
      <c r="B359" t="s">
        <v>61</v>
      </c>
      <c r="C359" s="8">
        <v>46015</v>
      </c>
      <c r="D359" t="s">
        <v>350</v>
      </c>
      <c r="E359" t="s">
        <v>334</v>
      </c>
      <c r="F359" s="12">
        <v>305361</v>
      </c>
      <c r="G359" s="12" t="str">
        <f>VLOOKUP(Table2[[#This Row],[MemberID]],Table1[#All],3,0)</f>
        <v>Platinum</v>
      </c>
      <c r="H359" s="13">
        <v>30</v>
      </c>
    </row>
    <row r="360" spans="1:8">
      <c r="A360" t="s">
        <v>692</v>
      </c>
      <c r="B360" t="s">
        <v>261</v>
      </c>
      <c r="C360" s="8">
        <v>46081</v>
      </c>
      <c r="D360" t="s">
        <v>321</v>
      </c>
      <c r="E360" t="s">
        <v>337</v>
      </c>
      <c r="F360" s="12">
        <v>320098</v>
      </c>
      <c r="G360" s="12" t="str">
        <f>VLOOKUP(Table2[[#This Row],[MemberID]],Table1[#All],3,0)</f>
        <v>Silver</v>
      </c>
      <c r="H360" s="13">
        <v>32</v>
      </c>
    </row>
    <row r="361" spans="1:8">
      <c r="A361" t="s">
        <v>693</v>
      </c>
      <c r="B361" t="s">
        <v>240</v>
      </c>
      <c r="C361" s="8">
        <v>46286</v>
      </c>
      <c r="D361" t="s">
        <v>324</v>
      </c>
      <c r="E361" t="s">
        <v>334</v>
      </c>
      <c r="F361" s="12">
        <v>222247</v>
      </c>
      <c r="G361" s="12" t="str">
        <f>VLOOKUP(Table2[[#This Row],[MemberID]],Table1[#All],3,0)</f>
        <v>Silver</v>
      </c>
      <c r="H361" s="13">
        <v>22</v>
      </c>
    </row>
    <row r="362" spans="1:8">
      <c r="A362" t="s">
        <v>694</v>
      </c>
      <c r="B362" t="s">
        <v>275</v>
      </c>
      <c r="C362" s="8">
        <v>46141</v>
      </c>
      <c r="D362" t="s">
        <v>321</v>
      </c>
      <c r="E362" t="s">
        <v>328</v>
      </c>
      <c r="F362" s="12">
        <v>181348</v>
      </c>
      <c r="G362" s="12" t="str">
        <f>VLOOKUP(Table2[[#This Row],[MemberID]],Table1[#All],3,0)</f>
        <v>Silver</v>
      </c>
      <c r="H362" s="13">
        <v>18</v>
      </c>
    </row>
    <row r="363" spans="1:8">
      <c r="A363" t="s">
        <v>695</v>
      </c>
      <c r="B363" t="s">
        <v>200</v>
      </c>
      <c r="C363" s="8">
        <v>46186</v>
      </c>
      <c r="D363" t="s">
        <v>350</v>
      </c>
      <c r="E363" t="s">
        <v>337</v>
      </c>
      <c r="F363" s="12">
        <v>131503</v>
      </c>
      <c r="G363" s="12" t="str">
        <f>VLOOKUP(Table2[[#This Row],[MemberID]],Table1[#All],3,0)</f>
        <v>Silver</v>
      </c>
      <c r="H363" s="13">
        <v>13</v>
      </c>
    </row>
    <row r="364" spans="1:8">
      <c r="A364" t="s">
        <v>696</v>
      </c>
      <c r="B364" t="s">
        <v>70</v>
      </c>
      <c r="C364" s="8">
        <v>45982</v>
      </c>
      <c r="D364" t="s">
        <v>350</v>
      </c>
      <c r="E364" t="s">
        <v>322</v>
      </c>
      <c r="F364" s="12">
        <v>139947</v>
      </c>
      <c r="G364" s="12" t="str">
        <f>VLOOKUP(Table2[[#This Row],[MemberID]],Table1[#All],3,0)</f>
        <v>Silver</v>
      </c>
      <c r="H364" s="13">
        <v>13</v>
      </c>
    </row>
    <row r="365" spans="1:8">
      <c r="A365" t="s">
        <v>697</v>
      </c>
      <c r="B365" t="s">
        <v>233</v>
      </c>
      <c r="C365" s="8">
        <v>46240</v>
      </c>
      <c r="D365" t="s">
        <v>321</v>
      </c>
      <c r="E365" t="s">
        <v>337</v>
      </c>
      <c r="F365" s="12">
        <v>309072</v>
      </c>
      <c r="G365" s="12" t="str">
        <f>VLOOKUP(Table2[[#This Row],[MemberID]],Table1[#All],3,0)</f>
        <v>Gold</v>
      </c>
      <c r="H365" s="13">
        <v>30</v>
      </c>
    </row>
    <row r="366" spans="1:8">
      <c r="A366" t="s">
        <v>698</v>
      </c>
      <c r="B366" t="s">
        <v>255</v>
      </c>
      <c r="C366" s="8">
        <v>46009</v>
      </c>
      <c r="D366" t="s">
        <v>324</v>
      </c>
      <c r="E366" t="s">
        <v>337</v>
      </c>
      <c r="F366" s="12">
        <v>485303</v>
      </c>
      <c r="G366" s="12" t="str">
        <f>VLOOKUP(Table2[[#This Row],[MemberID]],Table1[#All],3,0)</f>
        <v>Silver</v>
      </c>
      <c r="H366" s="13">
        <v>48</v>
      </c>
    </row>
    <row r="367" spans="1:8">
      <c r="A367" t="s">
        <v>699</v>
      </c>
      <c r="B367" t="s">
        <v>141</v>
      </c>
      <c r="C367" s="8">
        <v>46267</v>
      </c>
      <c r="D367" t="s">
        <v>350</v>
      </c>
      <c r="E367" t="s">
        <v>334</v>
      </c>
      <c r="F367" s="12">
        <v>25000</v>
      </c>
      <c r="G367" s="12" t="str">
        <f>VLOOKUP(Table2[[#This Row],[MemberID]],Table1[#All],3,0)</f>
        <v>Silver</v>
      </c>
      <c r="H367" s="13">
        <v>2</v>
      </c>
    </row>
    <row r="368" spans="1:8">
      <c r="A368" t="s">
        <v>700</v>
      </c>
      <c r="B368" t="s">
        <v>247</v>
      </c>
      <c r="C368" s="8">
        <v>45989</v>
      </c>
      <c r="D368" t="s">
        <v>344</v>
      </c>
      <c r="E368" t="s">
        <v>339</v>
      </c>
      <c r="F368" s="12">
        <v>168442</v>
      </c>
      <c r="G368" s="12" t="str">
        <f>VLOOKUP(Table2[[#This Row],[MemberID]],Table1[#All],3,0)</f>
        <v>Silver</v>
      </c>
      <c r="H368" s="13">
        <v>16</v>
      </c>
    </row>
    <row r="369" spans="1:8">
      <c r="A369" t="s">
        <v>701</v>
      </c>
      <c r="B369" t="s">
        <v>128</v>
      </c>
      <c r="C369" s="8">
        <v>45970</v>
      </c>
      <c r="D369" t="s">
        <v>330</v>
      </c>
      <c r="E369" t="s">
        <v>334</v>
      </c>
      <c r="F369" s="12">
        <v>33970</v>
      </c>
      <c r="G369" s="12" t="str">
        <f>VLOOKUP(Table2[[#This Row],[MemberID]],Table1[#All],3,0)</f>
        <v>Silver</v>
      </c>
      <c r="H369" s="13">
        <v>3</v>
      </c>
    </row>
    <row r="370" spans="1:8">
      <c r="A370" t="s">
        <v>702</v>
      </c>
      <c r="B370" t="s">
        <v>151</v>
      </c>
      <c r="C370" s="8">
        <v>45982</v>
      </c>
      <c r="D370" t="s">
        <v>324</v>
      </c>
      <c r="E370" t="s">
        <v>337</v>
      </c>
      <c r="F370" s="12">
        <v>50025</v>
      </c>
      <c r="G370" s="12" t="str">
        <f>VLOOKUP(Table2[[#This Row],[MemberID]],Table1[#All],3,0)</f>
        <v>Silver</v>
      </c>
      <c r="H370" s="13">
        <v>5</v>
      </c>
    </row>
    <row r="371" spans="1:8">
      <c r="A371" t="s">
        <v>703</v>
      </c>
      <c r="B371" t="s">
        <v>164</v>
      </c>
      <c r="C371" s="8">
        <v>46224</v>
      </c>
      <c r="D371" t="s">
        <v>327</v>
      </c>
      <c r="E371" t="s">
        <v>322</v>
      </c>
      <c r="F371" s="12">
        <v>278807</v>
      </c>
      <c r="G371" s="12" t="str">
        <f>VLOOKUP(Table2[[#This Row],[MemberID]],Table1[#All],3,0)</f>
        <v>Silver</v>
      </c>
      <c r="H371" s="13">
        <v>27</v>
      </c>
    </row>
    <row r="372" spans="1:8">
      <c r="A372" t="s">
        <v>704</v>
      </c>
      <c r="B372" t="s">
        <v>183</v>
      </c>
      <c r="C372" s="8">
        <v>46176</v>
      </c>
      <c r="D372" t="s">
        <v>330</v>
      </c>
      <c r="E372" t="s">
        <v>339</v>
      </c>
      <c r="F372" s="12">
        <v>815520</v>
      </c>
      <c r="G372" s="12" t="str">
        <f>VLOOKUP(Table2[[#This Row],[MemberID]],Table1[#All],3,0)</f>
        <v>Gold</v>
      </c>
      <c r="H372" s="13">
        <v>81</v>
      </c>
    </row>
    <row r="373" spans="1:8">
      <c r="A373" t="s">
        <v>705</v>
      </c>
      <c r="B373" t="s">
        <v>175</v>
      </c>
      <c r="C373" s="8">
        <v>46230</v>
      </c>
      <c r="D373" t="s">
        <v>350</v>
      </c>
      <c r="E373" t="s">
        <v>339</v>
      </c>
      <c r="F373" s="12">
        <v>1043999</v>
      </c>
      <c r="G373" s="12" t="str">
        <f>VLOOKUP(Table2[[#This Row],[MemberID]],Table1[#All],3,0)</f>
        <v>Platinum</v>
      </c>
      <c r="H373" s="13">
        <v>104</v>
      </c>
    </row>
    <row r="374" spans="1:8">
      <c r="A374" t="s">
        <v>706</v>
      </c>
      <c r="B374" t="s">
        <v>62</v>
      </c>
      <c r="C374" s="8">
        <v>45961</v>
      </c>
      <c r="D374" t="s">
        <v>350</v>
      </c>
      <c r="E374" t="s">
        <v>325</v>
      </c>
      <c r="F374" s="12">
        <v>331605</v>
      </c>
      <c r="G374" s="12" t="str">
        <f>VLOOKUP(Table2[[#This Row],[MemberID]],Table1[#All],3,0)</f>
        <v>Silver</v>
      </c>
      <c r="H374" s="13">
        <v>33</v>
      </c>
    </row>
    <row r="375" spans="1:8">
      <c r="A375" t="s">
        <v>707</v>
      </c>
      <c r="B375" t="s">
        <v>52</v>
      </c>
      <c r="C375" s="8">
        <v>46254</v>
      </c>
      <c r="D375" t="s">
        <v>350</v>
      </c>
      <c r="E375" t="s">
        <v>328</v>
      </c>
      <c r="F375" s="12">
        <v>743425</v>
      </c>
      <c r="G375" s="12" t="str">
        <f>VLOOKUP(Table2[[#This Row],[MemberID]],Table1[#All],3,0)</f>
        <v>Gold</v>
      </c>
      <c r="H375" s="13">
        <v>74</v>
      </c>
    </row>
    <row r="376" spans="1:8">
      <c r="A376" t="s">
        <v>708</v>
      </c>
      <c r="B376" t="s">
        <v>240</v>
      </c>
      <c r="C376" s="8">
        <v>46238</v>
      </c>
      <c r="D376" t="s">
        <v>344</v>
      </c>
      <c r="E376" t="s">
        <v>328</v>
      </c>
      <c r="F376" s="12">
        <v>517004</v>
      </c>
      <c r="G376" s="12" t="str">
        <f>VLOOKUP(Table2[[#This Row],[MemberID]],Table1[#All],3,0)</f>
        <v>Silver</v>
      </c>
      <c r="H376" s="13">
        <v>51</v>
      </c>
    </row>
    <row r="377" spans="1:8">
      <c r="A377" t="s">
        <v>709</v>
      </c>
      <c r="B377" t="s">
        <v>12</v>
      </c>
      <c r="C377" s="8">
        <v>46185</v>
      </c>
      <c r="D377" t="s">
        <v>324</v>
      </c>
      <c r="E377" t="s">
        <v>328</v>
      </c>
      <c r="F377" s="12">
        <v>113392</v>
      </c>
      <c r="G377" s="12" t="str">
        <f>VLOOKUP(Table2[[#This Row],[MemberID]],Table1[#All],3,0)</f>
        <v>Silver</v>
      </c>
      <c r="H377" s="13">
        <v>11</v>
      </c>
    </row>
    <row r="378" spans="1:8">
      <c r="A378" t="s">
        <v>710</v>
      </c>
      <c r="B378" t="s">
        <v>289</v>
      </c>
      <c r="C378" s="8">
        <v>45983</v>
      </c>
      <c r="D378" t="s">
        <v>330</v>
      </c>
      <c r="E378" t="s">
        <v>328</v>
      </c>
      <c r="F378" s="12">
        <v>239326</v>
      </c>
      <c r="G378" s="12" t="str">
        <f>VLOOKUP(Table2[[#This Row],[MemberID]],Table1[#All],3,0)</f>
        <v>Silver</v>
      </c>
      <c r="H378" s="13">
        <v>23</v>
      </c>
    </row>
    <row r="379" spans="1:8">
      <c r="A379" t="s">
        <v>711</v>
      </c>
      <c r="B379" t="s">
        <v>141</v>
      </c>
      <c r="C379" s="8">
        <v>46044</v>
      </c>
      <c r="D379" t="s">
        <v>321</v>
      </c>
      <c r="E379" t="s">
        <v>337</v>
      </c>
      <c r="F379" s="12">
        <v>333492</v>
      </c>
      <c r="G379" s="12" t="str">
        <f>VLOOKUP(Table2[[#This Row],[MemberID]],Table1[#All],3,0)</f>
        <v>Silver</v>
      </c>
      <c r="H379" s="13">
        <v>33</v>
      </c>
    </row>
    <row r="380" spans="1:8">
      <c r="A380" t="s">
        <v>712</v>
      </c>
      <c r="B380" t="s">
        <v>303</v>
      </c>
      <c r="C380" s="8">
        <v>46223</v>
      </c>
      <c r="D380" t="s">
        <v>332</v>
      </c>
      <c r="E380" t="s">
        <v>334</v>
      </c>
      <c r="F380" s="12">
        <v>178819</v>
      </c>
      <c r="G380" s="12" t="str">
        <f>VLOOKUP(Table2[[#This Row],[MemberID]],Table1[#All],3,0)</f>
        <v>Gold</v>
      </c>
      <c r="H380" s="13">
        <v>17</v>
      </c>
    </row>
    <row r="381" spans="1:8">
      <c r="A381" t="s">
        <v>713</v>
      </c>
      <c r="B381" t="s">
        <v>91</v>
      </c>
      <c r="C381" s="8">
        <v>45954</v>
      </c>
      <c r="D381" t="s">
        <v>342</v>
      </c>
      <c r="E381" t="s">
        <v>337</v>
      </c>
      <c r="F381" s="12">
        <v>720699</v>
      </c>
      <c r="G381" s="12" t="str">
        <f>VLOOKUP(Table2[[#This Row],[MemberID]],Table1[#All],3,0)</f>
        <v>Gold</v>
      </c>
      <c r="H381" s="13">
        <v>72</v>
      </c>
    </row>
    <row r="382" spans="1:8">
      <c r="A382" t="s">
        <v>714</v>
      </c>
      <c r="B382" t="s">
        <v>229</v>
      </c>
      <c r="C382" s="8">
        <v>46032</v>
      </c>
      <c r="D382" t="s">
        <v>321</v>
      </c>
      <c r="E382" t="s">
        <v>339</v>
      </c>
      <c r="F382" s="12">
        <v>231751</v>
      </c>
      <c r="G382" s="12" t="str">
        <f>VLOOKUP(Table2[[#This Row],[MemberID]],Table1[#All],3,0)</f>
        <v>Silver</v>
      </c>
      <c r="H382" s="13">
        <v>23</v>
      </c>
    </row>
    <row r="383" spans="1:8">
      <c r="A383" t="s">
        <v>715</v>
      </c>
      <c r="B383" t="s">
        <v>255</v>
      </c>
      <c r="C383" s="8">
        <v>45974</v>
      </c>
      <c r="D383" t="s">
        <v>350</v>
      </c>
      <c r="E383" t="s">
        <v>337</v>
      </c>
      <c r="F383" s="12">
        <v>196704</v>
      </c>
      <c r="G383" s="12" t="str">
        <f>VLOOKUP(Table2[[#This Row],[MemberID]],Table1[#All],3,0)</f>
        <v>Silver</v>
      </c>
      <c r="H383" s="13">
        <v>19</v>
      </c>
    </row>
    <row r="384" spans="1:8">
      <c r="A384" t="s">
        <v>716</v>
      </c>
      <c r="B384" t="s">
        <v>115</v>
      </c>
      <c r="C384" s="8">
        <v>46242</v>
      </c>
      <c r="D384" t="s">
        <v>344</v>
      </c>
      <c r="E384" t="s">
        <v>334</v>
      </c>
      <c r="F384" s="12">
        <v>197641</v>
      </c>
      <c r="G384" s="12" t="str">
        <f>VLOOKUP(Table2[[#This Row],[MemberID]],Table1[#All],3,0)</f>
        <v>Gold</v>
      </c>
      <c r="H384" s="13">
        <v>19</v>
      </c>
    </row>
    <row r="385" spans="1:8">
      <c r="A385" t="s">
        <v>717</v>
      </c>
      <c r="B385" t="s">
        <v>29</v>
      </c>
      <c r="C385" s="8">
        <v>46089</v>
      </c>
      <c r="D385" t="s">
        <v>327</v>
      </c>
      <c r="E385" t="s">
        <v>334</v>
      </c>
      <c r="F385" s="12">
        <v>226038</v>
      </c>
      <c r="G385" s="12" t="str">
        <f>VLOOKUP(Table2[[#This Row],[MemberID]],Table1[#All],3,0)</f>
        <v>Gold</v>
      </c>
      <c r="H385" s="13">
        <v>22</v>
      </c>
    </row>
    <row r="386" spans="1:8">
      <c r="A386" t="s">
        <v>718</v>
      </c>
      <c r="B386" t="s">
        <v>104</v>
      </c>
      <c r="C386" s="8">
        <v>46158</v>
      </c>
      <c r="D386" t="s">
        <v>321</v>
      </c>
      <c r="E386" t="s">
        <v>328</v>
      </c>
      <c r="F386" s="12">
        <v>308811</v>
      </c>
      <c r="G386" s="12" t="str">
        <f>VLOOKUP(Table2[[#This Row],[MemberID]],Table1[#All],3,0)</f>
        <v>Gold</v>
      </c>
      <c r="H386" s="13">
        <v>30</v>
      </c>
    </row>
    <row r="387" spans="1:8">
      <c r="A387" t="s">
        <v>719</v>
      </c>
      <c r="B387" t="s">
        <v>36</v>
      </c>
      <c r="C387" s="8">
        <v>46125</v>
      </c>
      <c r="D387" t="s">
        <v>330</v>
      </c>
      <c r="E387" t="s">
        <v>339</v>
      </c>
      <c r="F387" s="12">
        <v>154116</v>
      </c>
      <c r="G387" s="12" t="str">
        <f>VLOOKUP(Table2[[#This Row],[MemberID]],Table1[#All],3,0)</f>
        <v>Gold</v>
      </c>
      <c r="H387" s="13">
        <v>15</v>
      </c>
    </row>
    <row r="388" spans="1:8">
      <c r="A388" t="s">
        <v>720</v>
      </c>
      <c r="B388" t="s">
        <v>76</v>
      </c>
      <c r="C388" s="8">
        <v>45991</v>
      </c>
      <c r="D388" t="s">
        <v>321</v>
      </c>
      <c r="E388" t="s">
        <v>334</v>
      </c>
      <c r="F388" s="12">
        <v>759359</v>
      </c>
      <c r="G388" s="12" t="str">
        <f>VLOOKUP(Table2[[#This Row],[MemberID]],Table1[#All],3,0)</f>
        <v>Silver</v>
      </c>
      <c r="H388" s="13">
        <v>75</v>
      </c>
    </row>
    <row r="389" spans="1:8">
      <c r="A389" t="s">
        <v>721</v>
      </c>
      <c r="B389" t="s">
        <v>180</v>
      </c>
      <c r="C389" s="8">
        <v>46059</v>
      </c>
      <c r="D389" t="s">
        <v>332</v>
      </c>
      <c r="E389" t="s">
        <v>328</v>
      </c>
      <c r="F389" s="12">
        <v>490575</v>
      </c>
      <c r="G389" s="12" t="str">
        <f>VLOOKUP(Table2[[#This Row],[MemberID]],Table1[#All],3,0)</f>
        <v>Platinum</v>
      </c>
      <c r="H389" s="13">
        <v>49</v>
      </c>
    </row>
    <row r="390" spans="1:8">
      <c r="A390" t="s">
        <v>722</v>
      </c>
      <c r="B390" t="s">
        <v>200</v>
      </c>
      <c r="C390" s="8">
        <v>46069</v>
      </c>
      <c r="D390" t="s">
        <v>330</v>
      </c>
      <c r="E390" t="s">
        <v>339</v>
      </c>
      <c r="F390" s="12">
        <v>444882</v>
      </c>
      <c r="G390" s="12" t="str">
        <f>VLOOKUP(Table2[[#This Row],[MemberID]],Table1[#All],3,0)</f>
        <v>Silver</v>
      </c>
      <c r="H390" s="13">
        <v>44</v>
      </c>
    </row>
    <row r="391" spans="1:8">
      <c r="A391" t="s">
        <v>723</v>
      </c>
      <c r="B391" t="s">
        <v>240</v>
      </c>
      <c r="C391" s="8">
        <v>46242</v>
      </c>
      <c r="D391" t="s">
        <v>327</v>
      </c>
      <c r="E391" t="s">
        <v>334</v>
      </c>
      <c r="F391" s="12">
        <v>701829</v>
      </c>
      <c r="G391" s="12" t="str">
        <f>VLOOKUP(Table2[[#This Row],[MemberID]],Table1[#All],3,0)</f>
        <v>Silver</v>
      </c>
      <c r="H391" s="13">
        <v>70</v>
      </c>
    </row>
    <row r="392" spans="1:8">
      <c r="A392" t="s">
        <v>724</v>
      </c>
      <c r="B392" t="s">
        <v>259</v>
      </c>
      <c r="C392" s="8">
        <v>46141</v>
      </c>
      <c r="D392" t="s">
        <v>342</v>
      </c>
      <c r="E392" t="s">
        <v>339</v>
      </c>
      <c r="F392" s="12">
        <v>559064</v>
      </c>
      <c r="G392" s="12" t="str">
        <f>VLOOKUP(Table2[[#This Row],[MemberID]],Table1[#All],3,0)</f>
        <v>Gold</v>
      </c>
      <c r="H392" s="13">
        <v>55</v>
      </c>
    </row>
    <row r="393" spans="1:8">
      <c r="A393" t="s">
        <v>725</v>
      </c>
      <c r="B393" t="s">
        <v>74</v>
      </c>
      <c r="C393" s="8">
        <v>46014</v>
      </c>
      <c r="D393" t="s">
        <v>321</v>
      </c>
      <c r="E393" t="s">
        <v>337</v>
      </c>
      <c r="F393" s="12">
        <v>205124</v>
      </c>
      <c r="G393" s="12" t="str">
        <f>VLOOKUP(Table2[[#This Row],[MemberID]],Table1[#All],3,0)</f>
        <v>Platinum</v>
      </c>
      <c r="H393" s="13">
        <v>20</v>
      </c>
    </row>
    <row r="394" spans="1:8">
      <c r="A394" t="s">
        <v>726</v>
      </c>
      <c r="B394" t="s">
        <v>76</v>
      </c>
      <c r="C394" s="8">
        <v>45999</v>
      </c>
      <c r="D394" t="s">
        <v>321</v>
      </c>
      <c r="E394" t="s">
        <v>328</v>
      </c>
      <c r="F394" s="12">
        <v>154547</v>
      </c>
      <c r="G394" s="12" t="str">
        <f>VLOOKUP(Table2[[#This Row],[MemberID]],Table1[#All],3,0)</f>
        <v>Silver</v>
      </c>
      <c r="H394" s="13">
        <v>15</v>
      </c>
    </row>
    <row r="395" spans="1:8">
      <c r="A395" t="s">
        <v>727</v>
      </c>
      <c r="B395" t="s">
        <v>123</v>
      </c>
      <c r="C395" s="8">
        <v>46224</v>
      </c>
      <c r="D395" t="s">
        <v>332</v>
      </c>
      <c r="E395" t="s">
        <v>337</v>
      </c>
      <c r="F395" s="12">
        <v>263812</v>
      </c>
      <c r="G395" s="12" t="str">
        <f>VLOOKUP(Table2[[#This Row],[MemberID]],Table1[#All],3,0)</f>
        <v>Silver</v>
      </c>
      <c r="H395" s="13">
        <v>26</v>
      </c>
    </row>
    <row r="396" spans="1:8">
      <c r="A396" t="s">
        <v>728</v>
      </c>
      <c r="B396" t="s">
        <v>184</v>
      </c>
      <c r="C396" s="8">
        <v>46236</v>
      </c>
      <c r="D396" t="s">
        <v>342</v>
      </c>
      <c r="E396" t="s">
        <v>328</v>
      </c>
      <c r="F396" s="12">
        <v>239853</v>
      </c>
      <c r="G396" s="12" t="str">
        <f>VLOOKUP(Table2[[#This Row],[MemberID]],Table1[#All],3,0)</f>
        <v>Silver</v>
      </c>
      <c r="H396" s="13">
        <v>23</v>
      </c>
    </row>
    <row r="397" spans="1:8">
      <c r="A397" t="s">
        <v>729</v>
      </c>
      <c r="B397" t="s">
        <v>88</v>
      </c>
      <c r="C397" s="8">
        <v>46009</v>
      </c>
      <c r="D397" t="s">
        <v>330</v>
      </c>
      <c r="E397" t="s">
        <v>334</v>
      </c>
      <c r="F397" s="12">
        <v>625288</v>
      </c>
      <c r="G397" s="12" t="str">
        <f>VLOOKUP(Table2[[#This Row],[MemberID]],Table1[#All],3,0)</f>
        <v>Gold</v>
      </c>
      <c r="H397" s="13">
        <v>62</v>
      </c>
    </row>
    <row r="398" spans="1:8">
      <c r="A398" t="s">
        <v>730</v>
      </c>
      <c r="B398" t="s">
        <v>174</v>
      </c>
      <c r="C398" s="8">
        <v>46060</v>
      </c>
      <c r="D398" t="s">
        <v>330</v>
      </c>
      <c r="E398" t="s">
        <v>322</v>
      </c>
      <c r="F398" s="12">
        <v>135431</v>
      </c>
      <c r="G398" s="12" t="str">
        <f>VLOOKUP(Table2[[#This Row],[MemberID]],Table1[#All],3,0)</f>
        <v>Silver</v>
      </c>
      <c r="H398" s="13">
        <v>13</v>
      </c>
    </row>
    <row r="399" spans="1:8">
      <c r="A399" t="s">
        <v>731</v>
      </c>
      <c r="B399" t="s">
        <v>174</v>
      </c>
      <c r="C399" s="8">
        <v>46025</v>
      </c>
      <c r="D399" t="s">
        <v>330</v>
      </c>
      <c r="E399" t="s">
        <v>339</v>
      </c>
      <c r="F399" s="12">
        <v>237215</v>
      </c>
      <c r="G399" s="12" t="str">
        <f>VLOOKUP(Table2[[#This Row],[MemberID]],Table1[#All],3,0)</f>
        <v>Silver</v>
      </c>
      <c r="H399" s="13">
        <v>23</v>
      </c>
    </row>
    <row r="400" spans="1:8">
      <c r="A400" t="s">
        <v>732</v>
      </c>
      <c r="B400" t="s">
        <v>71</v>
      </c>
      <c r="C400" s="8">
        <v>45950</v>
      </c>
      <c r="D400" t="s">
        <v>350</v>
      </c>
      <c r="E400" t="s">
        <v>325</v>
      </c>
      <c r="F400" s="12">
        <v>341771</v>
      </c>
      <c r="G400" s="12" t="str">
        <f>VLOOKUP(Table2[[#This Row],[MemberID]],Table1[#All],3,0)</f>
        <v>Silver</v>
      </c>
      <c r="H400" s="13">
        <v>34</v>
      </c>
    </row>
    <row r="401" spans="1:8">
      <c r="A401" t="s">
        <v>733</v>
      </c>
      <c r="B401" t="s">
        <v>274</v>
      </c>
      <c r="C401" s="8">
        <v>46032</v>
      </c>
      <c r="D401" t="s">
        <v>327</v>
      </c>
      <c r="E401" t="s">
        <v>328</v>
      </c>
      <c r="F401" s="12">
        <v>134374</v>
      </c>
      <c r="G401" s="12" t="str">
        <f>VLOOKUP(Table2[[#This Row],[MemberID]],Table1[#All],3,0)</f>
        <v>Platinum</v>
      </c>
      <c r="H401" s="13">
        <v>13</v>
      </c>
    </row>
    <row r="402" spans="1:8">
      <c r="A402" t="s">
        <v>734</v>
      </c>
      <c r="B402" t="s">
        <v>266</v>
      </c>
      <c r="C402" s="8">
        <v>45963</v>
      </c>
      <c r="D402" t="s">
        <v>324</v>
      </c>
      <c r="E402" t="s">
        <v>325</v>
      </c>
      <c r="F402" s="12">
        <v>104695</v>
      </c>
      <c r="G402" s="12" t="str">
        <f>VLOOKUP(Table2[[#This Row],[MemberID]],Table1[#All],3,0)</f>
        <v>Silver</v>
      </c>
      <c r="H402" s="13">
        <v>10</v>
      </c>
    </row>
    <row r="403" spans="1:8">
      <c r="A403" t="s">
        <v>735</v>
      </c>
      <c r="B403" t="s">
        <v>307</v>
      </c>
      <c r="C403" s="8">
        <v>46054</v>
      </c>
      <c r="D403" t="s">
        <v>350</v>
      </c>
      <c r="E403" t="s">
        <v>337</v>
      </c>
      <c r="F403" s="12">
        <v>307479</v>
      </c>
      <c r="G403" s="12" t="str">
        <f>VLOOKUP(Table2[[#This Row],[MemberID]],Table1[#All],3,0)</f>
        <v>Gold</v>
      </c>
      <c r="H403" s="13">
        <v>30</v>
      </c>
    </row>
    <row r="404" spans="1:8">
      <c r="A404" t="s">
        <v>736</v>
      </c>
      <c r="B404" t="s">
        <v>231</v>
      </c>
      <c r="C404" s="8">
        <v>46005</v>
      </c>
      <c r="D404" t="s">
        <v>350</v>
      </c>
      <c r="E404" t="s">
        <v>334</v>
      </c>
      <c r="F404" s="12">
        <v>287600</v>
      </c>
      <c r="G404" s="12" t="str">
        <f>VLOOKUP(Table2[[#This Row],[MemberID]],Table1[#All],3,0)</f>
        <v>Silver</v>
      </c>
      <c r="H404" s="13">
        <v>28</v>
      </c>
    </row>
    <row r="405" spans="1:8">
      <c r="A405" t="s">
        <v>737</v>
      </c>
      <c r="B405" t="s">
        <v>6</v>
      </c>
      <c r="C405" s="8">
        <v>46010</v>
      </c>
      <c r="D405" t="s">
        <v>342</v>
      </c>
      <c r="E405" t="s">
        <v>325</v>
      </c>
      <c r="F405" s="12">
        <v>350587</v>
      </c>
      <c r="G405" s="12" t="str">
        <f>VLOOKUP(Table2[[#This Row],[MemberID]],Table1[#All],3,0)</f>
        <v>Silver</v>
      </c>
      <c r="H405" s="13">
        <v>35</v>
      </c>
    </row>
    <row r="406" spans="1:8">
      <c r="A406" t="s">
        <v>738</v>
      </c>
      <c r="B406" t="s">
        <v>231</v>
      </c>
      <c r="C406" s="8">
        <v>46090</v>
      </c>
      <c r="D406" t="s">
        <v>327</v>
      </c>
      <c r="E406" t="s">
        <v>325</v>
      </c>
      <c r="F406" s="12">
        <v>798036</v>
      </c>
      <c r="G406" s="12" t="str">
        <f>VLOOKUP(Table2[[#This Row],[MemberID]],Table1[#All],3,0)</f>
        <v>Silver</v>
      </c>
      <c r="H406" s="13">
        <v>79</v>
      </c>
    </row>
    <row r="407" spans="1:8">
      <c r="A407" t="s">
        <v>739</v>
      </c>
      <c r="B407" t="s">
        <v>118</v>
      </c>
      <c r="C407" s="8">
        <v>46182</v>
      </c>
      <c r="D407" t="s">
        <v>344</v>
      </c>
      <c r="E407" t="s">
        <v>328</v>
      </c>
      <c r="F407" s="12">
        <v>336615</v>
      </c>
      <c r="G407" s="12" t="str">
        <f>VLOOKUP(Table2[[#This Row],[MemberID]],Table1[#All],3,0)</f>
        <v>Silver</v>
      </c>
      <c r="H407" s="13">
        <v>33</v>
      </c>
    </row>
    <row r="408" spans="1:8">
      <c r="A408" t="s">
        <v>740</v>
      </c>
      <c r="B408" t="s">
        <v>228</v>
      </c>
      <c r="C408" s="8">
        <v>46287</v>
      </c>
      <c r="D408" t="s">
        <v>324</v>
      </c>
      <c r="E408" t="s">
        <v>322</v>
      </c>
      <c r="F408" s="12">
        <v>25000</v>
      </c>
      <c r="G408" s="12" t="str">
        <f>VLOOKUP(Table2[[#This Row],[MemberID]],Table1[#All],3,0)</f>
        <v>Gold</v>
      </c>
      <c r="H408" s="13">
        <v>2</v>
      </c>
    </row>
    <row r="409" spans="1:8">
      <c r="A409" t="s">
        <v>741</v>
      </c>
      <c r="B409" t="s">
        <v>129</v>
      </c>
      <c r="C409" s="8">
        <v>46016</v>
      </c>
      <c r="D409" t="s">
        <v>342</v>
      </c>
      <c r="E409" t="s">
        <v>337</v>
      </c>
      <c r="F409" s="12">
        <v>282251</v>
      </c>
      <c r="G409" s="12" t="str">
        <f>VLOOKUP(Table2[[#This Row],[MemberID]],Table1[#All],3,0)</f>
        <v>Silver</v>
      </c>
      <c r="H409" s="13">
        <v>28</v>
      </c>
    </row>
    <row r="410" spans="1:8">
      <c r="A410" t="s">
        <v>742</v>
      </c>
      <c r="B410" t="s">
        <v>251</v>
      </c>
      <c r="C410" s="8">
        <v>46075</v>
      </c>
      <c r="D410" t="s">
        <v>327</v>
      </c>
      <c r="E410" t="s">
        <v>339</v>
      </c>
      <c r="F410" s="12">
        <v>843167</v>
      </c>
      <c r="G410" s="12" t="str">
        <f>VLOOKUP(Table2[[#This Row],[MemberID]],Table1[#All],3,0)</f>
        <v>Gold</v>
      </c>
      <c r="H410" s="13">
        <v>84</v>
      </c>
    </row>
    <row r="411" spans="1:8">
      <c r="A411" t="s">
        <v>743</v>
      </c>
      <c r="B411" t="s">
        <v>202</v>
      </c>
      <c r="C411" s="8">
        <v>46016</v>
      </c>
      <c r="D411" t="s">
        <v>332</v>
      </c>
      <c r="E411" t="s">
        <v>322</v>
      </c>
      <c r="F411" s="12">
        <v>451976</v>
      </c>
      <c r="G411" s="12" t="str">
        <f>VLOOKUP(Table2[[#This Row],[MemberID]],Table1[#All],3,0)</f>
        <v>Silver</v>
      </c>
      <c r="H411" s="13">
        <v>45</v>
      </c>
    </row>
    <row r="412" spans="1:8">
      <c r="A412" t="s">
        <v>744</v>
      </c>
      <c r="B412" t="s">
        <v>310</v>
      </c>
      <c r="C412" s="8">
        <v>45959</v>
      </c>
      <c r="D412" t="s">
        <v>321</v>
      </c>
      <c r="E412" t="s">
        <v>339</v>
      </c>
      <c r="F412" s="12">
        <v>304260</v>
      </c>
      <c r="G412" s="12" t="str">
        <f>VLOOKUP(Table2[[#This Row],[MemberID]],Table1[#All],3,0)</f>
        <v>Silver</v>
      </c>
      <c r="H412" s="13">
        <v>30</v>
      </c>
    </row>
    <row r="413" spans="1:8">
      <c r="A413" t="s">
        <v>745</v>
      </c>
      <c r="B413" t="s">
        <v>282</v>
      </c>
      <c r="C413" s="8">
        <v>46079</v>
      </c>
      <c r="D413" t="s">
        <v>350</v>
      </c>
      <c r="E413" t="s">
        <v>339</v>
      </c>
      <c r="F413" s="12">
        <v>86773</v>
      </c>
      <c r="G413" s="12" t="str">
        <f>VLOOKUP(Table2[[#This Row],[MemberID]],Table1[#All],3,0)</f>
        <v>Silver</v>
      </c>
      <c r="H413" s="13">
        <v>8</v>
      </c>
    </row>
    <row r="414" spans="1:8">
      <c r="A414" t="s">
        <v>746</v>
      </c>
      <c r="B414" t="s">
        <v>167</v>
      </c>
      <c r="C414" s="8">
        <v>46029</v>
      </c>
      <c r="D414" t="s">
        <v>327</v>
      </c>
      <c r="E414" t="s">
        <v>339</v>
      </c>
      <c r="F414" s="12">
        <v>109744</v>
      </c>
      <c r="G414" s="12" t="str">
        <f>VLOOKUP(Table2[[#This Row],[MemberID]],Table1[#All],3,0)</f>
        <v>Silver</v>
      </c>
      <c r="H414" s="13">
        <v>10</v>
      </c>
    </row>
    <row r="415" spans="1:8">
      <c r="A415" t="s">
        <v>747</v>
      </c>
      <c r="B415" t="s">
        <v>102</v>
      </c>
      <c r="C415" s="8">
        <v>46258</v>
      </c>
      <c r="D415" t="s">
        <v>332</v>
      </c>
      <c r="E415" t="s">
        <v>325</v>
      </c>
      <c r="F415" s="12">
        <v>350070</v>
      </c>
      <c r="G415" s="12" t="str">
        <f>VLOOKUP(Table2[[#This Row],[MemberID]],Table1[#All],3,0)</f>
        <v>Platinum</v>
      </c>
      <c r="H415" s="13">
        <v>35</v>
      </c>
    </row>
    <row r="416" spans="1:8">
      <c r="A416" t="s">
        <v>748</v>
      </c>
      <c r="B416" t="s">
        <v>179</v>
      </c>
      <c r="C416" s="8">
        <v>46187</v>
      </c>
      <c r="D416" t="s">
        <v>342</v>
      </c>
      <c r="E416" t="s">
        <v>325</v>
      </c>
      <c r="F416" s="12">
        <v>1366322</v>
      </c>
      <c r="G416" s="12" t="str">
        <f>VLOOKUP(Table2[[#This Row],[MemberID]],Table1[#All],3,0)</f>
        <v>Gold</v>
      </c>
      <c r="H416" s="13">
        <v>136</v>
      </c>
    </row>
    <row r="417" spans="1:8">
      <c r="A417" t="s">
        <v>749</v>
      </c>
      <c r="B417" t="s">
        <v>75</v>
      </c>
      <c r="C417" s="8">
        <v>46258</v>
      </c>
      <c r="D417" t="s">
        <v>332</v>
      </c>
      <c r="E417" t="s">
        <v>325</v>
      </c>
      <c r="F417" s="12">
        <v>154902</v>
      </c>
      <c r="G417" s="12" t="str">
        <f>VLOOKUP(Table2[[#This Row],[MemberID]],Table1[#All],3,0)</f>
        <v>Silver</v>
      </c>
      <c r="H417" s="13">
        <v>15</v>
      </c>
    </row>
    <row r="418" spans="1:8">
      <c r="A418" t="s">
        <v>750</v>
      </c>
      <c r="B418" t="s">
        <v>184</v>
      </c>
      <c r="C418" s="8">
        <v>46268</v>
      </c>
      <c r="D418" t="s">
        <v>324</v>
      </c>
      <c r="E418" t="s">
        <v>328</v>
      </c>
      <c r="F418" s="12">
        <v>308377</v>
      </c>
      <c r="G418" s="12" t="str">
        <f>VLOOKUP(Table2[[#This Row],[MemberID]],Table1[#All],3,0)</f>
        <v>Silver</v>
      </c>
      <c r="H418" s="13">
        <v>30</v>
      </c>
    </row>
    <row r="419" spans="1:8">
      <c r="A419" t="s">
        <v>751</v>
      </c>
      <c r="B419" t="s">
        <v>82</v>
      </c>
      <c r="C419" s="8">
        <v>46072</v>
      </c>
      <c r="D419" t="s">
        <v>330</v>
      </c>
      <c r="E419" t="s">
        <v>337</v>
      </c>
      <c r="F419" s="12">
        <v>188282</v>
      </c>
      <c r="G419" s="12" t="str">
        <f>VLOOKUP(Table2[[#This Row],[MemberID]],Table1[#All],3,0)</f>
        <v>Silver</v>
      </c>
      <c r="H419" s="13">
        <v>18</v>
      </c>
    </row>
    <row r="420" spans="1:8">
      <c r="A420" t="s">
        <v>752</v>
      </c>
      <c r="B420" t="s">
        <v>83</v>
      </c>
      <c r="C420" s="8">
        <v>46275</v>
      </c>
      <c r="D420" t="s">
        <v>344</v>
      </c>
      <c r="E420" t="s">
        <v>328</v>
      </c>
      <c r="F420" s="12">
        <v>236389</v>
      </c>
      <c r="G420" s="12" t="str">
        <f>VLOOKUP(Table2[[#This Row],[MemberID]],Table1[#All],3,0)</f>
        <v>Gold</v>
      </c>
      <c r="H420" s="13">
        <v>23</v>
      </c>
    </row>
    <row r="421" spans="1:8">
      <c r="A421" t="s">
        <v>753</v>
      </c>
      <c r="B421" t="s">
        <v>241</v>
      </c>
      <c r="C421" s="8">
        <v>46079</v>
      </c>
      <c r="D421" t="s">
        <v>330</v>
      </c>
      <c r="E421" t="s">
        <v>322</v>
      </c>
      <c r="F421" s="12">
        <v>349633</v>
      </c>
      <c r="G421" s="12" t="str">
        <f>VLOOKUP(Table2[[#This Row],[MemberID]],Table1[#All],3,0)</f>
        <v>Gold</v>
      </c>
      <c r="H421" s="13">
        <v>34</v>
      </c>
    </row>
    <row r="422" spans="1:8">
      <c r="A422" t="s">
        <v>754</v>
      </c>
      <c r="B422" t="s">
        <v>38</v>
      </c>
      <c r="C422" s="8">
        <v>45983</v>
      </c>
      <c r="D422" t="s">
        <v>350</v>
      </c>
      <c r="E422" t="s">
        <v>334</v>
      </c>
      <c r="F422" s="12">
        <v>379227</v>
      </c>
      <c r="G422" s="12" t="str">
        <f>VLOOKUP(Table2[[#This Row],[MemberID]],Table1[#All],3,0)</f>
        <v>Gold</v>
      </c>
      <c r="H422" s="13">
        <v>37</v>
      </c>
    </row>
    <row r="423" spans="1:8">
      <c r="A423" t="s">
        <v>755</v>
      </c>
      <c r="B423" t="s">
        <v>69</v>
      </c>
      <c r="C423" s="8">
        <v>46037</v>
      </c>
      <c r="D423" t="s">
        <v>321</v>
      </c>
      <c r="E423" t="s">
        <v>334</v>
      </c>
      <c r="F423" s="12">
        <v>231282</v>
      </c>
      <c r="G423" s="12" t="str">
        <f>VLOOKUP(Table2[[#This Row],[MemberID]],Table1[#All],3,0)</f>
        <v>Gold</v>
      </c>
      <c r="H423" s="13">
        <v>23</v>
      </c>
    </row>
    <row r="424" spans="1:8">
      <c r="A424" t="s">
        <v>756</v>
      </c>
      <c r="B424" t="s">
        <v>134</v>
      </c>
      <c r="C424" s="8">
        <v>46120</v>
      </c>
      <c r="D424" t="s">
        <v>332</v>
      </c>
      <c r="E424" t="s">
        <v>334</v>
      </c>
      <c r="F424" s="12">
        <v>82746</v>
      </c>
      <c r="G424" s="12" t="str">
        <f>VLOOKUP(Table2[[#This Row],[MemberID]],Table1[#All],3,0)</f>
        <v>Silver</v>
      </c>
      <c r="H424" s="13">
        <v>8</v>
      </c>
    </row>
    <row r="425" spans="1:8">
      <c r="A425" t="s">
        <v>757</v>
      </c>
      <c r="B425" t="s">
        <v>105</v>
      </c>
      <c r="C425" s="8">
        <v>46109</v>
      </c>
      <c r="D425" t="s">
        <v>342</v>
      </c>
      <c r="E425" t="s">
        <v>325</v>
      </c>
      <c r="F425" s="12">
        <v>426099</v>
      </c>
      <c r="G425" s="12" t="str">
        <f>VLOOKUP(Table2[[#This Row],[MemberID]],Table1[#All],3,0)</f>
        <v>Silver</v>
      </c>
      <c r="H425" s="13">
        <v>42</v>
      </c>
    </row>
    <row r="426" spans="1:8">
      <c r="A426" t="s">
        <v>758</v>
      </c>
      <c r="B426" t="s">
        <v>3</v>
      </c>
      <c r="C426" s="8">
        <v>45991</v>
      </c>
      <c r="D426" t="s">
        <v>350</v>
      </c>
      <c r="E426" t="s">
        <v>325</v>
      </c>
      <c r="F426" s="12">
        <v>287872</v>
      </c>
      <c r="G426" s="12" t="str">
        <f>VLOOKUP(Table2[[#This Row],[MemberID]],Table1[#All],3,0)</f>
        <v>Silver</v>
      </c>
      <c r="H426" s="13">
        <v>28</v>
      </c>
    </row>
    <row r="427" spans="1:8">
      <c r="A427" t="s">
        <v>759</v>
      </c>
      <c r="B427" t="s">
        <v>225</v>
      </c>
      <c r="C427" s="8">
        <v>45974</v>
      </c>
      <c r="D427" t="s">
        <v>342</v>
      </c>
      <c r="E427" t="s">
        <v>337</v>
      </c>
      <c r="F427" s="12">
        <v>233114</v>
      </c>
      <c r="G427" s="12" t="str">
        <f>VLOOKUP(Table2[[#This Row],[MemberID]],Table1[#All],3,0)</f>
        <v>Platinum</v>
      </c>
      <c r="H427" s="13">
        <v>23</v>
      </c>
    </row>
    <row r="428" spans="1:8">
      <c r="A428" t="s">
        <v>760</v>
      </c>
      <c r="B428" t="s">
        <v>266</v>
      </c>
      <c r="C428" s="8">
        <v>46290</v>
      </c>
      <c r="D428" t="s">
        <v>350</v>
      </c>
      <c r="E428" t="s">
        <v>322</v>
      </c>
      <c r="F428" s="12">
        <v>191922</v>
      </c>
      <c r="G428" s="12" t="str">
        <f>VLOOKUP(Table2[[#This Row],[MemberID]],Table1[#All],3,0)</f>
        <v>Silver</v>
      </c>
      <c r="H428" s="13">
        <v>19</v>
      </c>
    </row>
    <row r="429" spans="1:8">
      <c r="A429" t="s">
        <v>761</v>
      </c>
      <c r="B429" t="s">
        <v>164</v>
      </c>
      <c r="C429" s="8">
        <v>46059</v>
      </c>
      <c r="D429" t="s">
        <v>330</v>
      </c>
      <c r="E429" t="s">
        <v>339</v>
      </c>
      <c r="F429" s="12">
        <v>187039</v>
      </c>
      <c r="G429" s="12" t="str">
        <f>VLOOKUP(Table2[[#This Row],[MemberID]],Table1[#All],3,0)</f>
        <v>Silver</v>
      </c>
      <c r="H429" s="13">
        <v>18</v>
      </c>
    </row>
    <row r="430" spans="1:8">
      <c r="A430" t="s">
        <v>762</v>
      </c>
      <c r="B430" t="s">
        <v>221</v>
      </c>
      <c r="C430" s="8">
        <v>46152</v>
      </c>
      <c r="D430" t="s">
        <v>324</v>
      </c>
      <c r="E430" t="s">
        <v>325</v>
      </c>
      <c r="F430" s="12">
        <v>340378</v>
      </c>
      <c r="G430" s="12" t="str">
        <f>VLOOKUP(Table2[[#This Row],[MemberID]],Table1[#All],3,0)</f>
        <v>Platinum</v>
      </c>
      <c r="H430" s="13">
        <v>34</v>
      </c>
    </row>
    <row r="431" spans="1:8">
      <c r="A431" t="s">
        <v>763</v>
      </c>
      <c r="B431" t="s">
        <v>183</v>
      </c>
      <c r="C431" s="8">
        <v>46013</v>
      </c>
      <c r="D431" t="s">
        <v>332</v>
      </c>
      <c r="E431" t="s">
        <v>322</v>
      </c>
      <c r="F431" s="12">
        <v>333292</v>
      </c>
      <c r="G431" s="12" t="str">
        <f>VLOOKUP(Table2[[#This Row],[MemberID]],Table1[#All],3,0)</f>
        <v>Gold</v>
      </c>
      <c r="H431" s="13">
        <v>33</v>
      </c>
    </row>
    <row r="432" spans="1:8">
      <c r="A432" t="s">
        <v>764</v>
      </c>
      <c r="B432" t="s">
        <v>82</v>
      </c>
      <c r="C432" s="8">
        <v>46209</v>
      </c>
      <c r="D432" t="s">
        <v>332</v>
      </c>
      <c r="E432" t="s">
        <v>339</v>
      </c>
      <c r="F432" s="12">
        <v>53486</v>
      </c>
      <c r="G432" s="12" t="str">
        <f>VLOOKUP(Table2[[#This Row],[MemberID]],Table1[#All],3,0)</f>
        <v>Silver</v>
      </c>
      <c r="H432" s="13">
        <v>5</v>
      </c>
    </row>
    <row r="433" spans="1:8">
      <c r="A433" t="s">
        <v>765</v>
      </c>
      <c r="B433" t="s">
        <v>133</v>
      </c>
      <c r="C433" s="8">
        <v>46269</v>
      </c>
      <c r="D433" t="s">
        <v>324</v>
      </c>
      <c r="E433" t="s">
        <v>322</v>
      </c>
      <c r="F433" s="12">
        <v>229791</v>
      </c>
      <c r="G433" s="12" t="str">
        <f>VLOOKUP(Table2[[#This Row],[MemberID]],Table1[#All],3,0)</f>
        <v>Gold</v>
      </c>
      <c r="H433" s="13">
        <v>22</v>
      </c>
    </row>
    <row r="434" spans="1:8">
      <c r="A434" t="s">
        <v>766</v>
      </c>
      <c r="B434" t="s">
        <v>280</v>
      </c>
      <c r="C434" s="8">
        <v>46018</v>
      </c>
      <c r="D434" t="s">
        <v>324</v>
      </c>
      <c r="E434" t="s">
        <v>328</v>
      </c>
      <c r="F434" s="12">
        <v>326544</v>
      </c>
      <c r="G434" s="12" t="str">
        <f>VLOOKUP(Table2[[#This Row],[MemberID]],Table1[#All],3,0)</f>
        <v>Silver</v>
      </c>
      <c r="H434" s="13">
        <v>32</v>
      </c>
    </row>
    <row r="435" spans="1:8">
      <c r="A435" t="s">
        <v>767</v>
      </c>
      <c r="B435" t="s">
        <v>144</v>
      </c>
      <c r="C435" s="8">
        <v>45933</v>
      </c>
      <c r="D435" t="s">
        <v>344</v>
      </c>
      <c r="E435" t="s">
        <v>339</v>
      </c>
      <c r="F435" s="12">
        <v>385942</v>
      </c>
      <c r="G435" s="12" t="str">
        <f>VLOOKUP(Table2[[#This Row],[MemberID]],Table1[#All],3,0)</f>
        <v>Platinum</v>
      </c>
      <c r="H435" s="13">
        <v>38</v>
      </c>
    </row>
    <row r="436" spans="1:8">
      <c r="A436" t="s">
        <v>768</v>
      </c>
      <c r="B436" t="s">
        <v>217</v>
      </c>
      <c r="C436" s="8">
        <v>46092</v>
      </c>
      <c r="D436" t="s">
        <v>344</v>
      </c>
      <c r="E436" t="s">
        <v>337</v>
      </c>
      <c r="F436" s="12">
        <v>758941</v>
      </c>
      <c r="G436" s="12" t="str">
        <f>VLOOKUP(Table2[[#This Row],[MemberID]],Table1[#All],3,0)</f>
        <v>Gold</v>
      </c>
      <c r="H436" s="13">
        <v>75</v>
      </c>
    </row>
    <row r="437" spans="1:8">
      <c r="A437" t="s">
        <v>769</v>
      </c>
      <c r="B437" t="s">
        <v>115</v>
      </c>
      <c r="C437" s="8">
        <v>46121</v>
      </c>
      <c r="D437" t="s">
        <v>350</v>
      </c>
      <c r="E437" t="s">
        <v>337</v>
      </c>
      <c r="F437" s="12">
        <v>130847</v>
      </c>
      <c r="G437" s="12" t="str">
        <f>VLOOKUP(Table2[[#This Row],[MemberID]],Table1[#All],3,0)</f>
        <v>Gold</v>
      </c>
      <c r="H437" s="13">
        <v>13</v>
      </c>
    </row>
    <row r="438" spans="1:8">
      <c r="A438" t="s">
        <v>770</v>
      </c>
      <c r="B438" t="s">
        <v>280</v>
      </c>
      <c r="C438" s="8">
        <v>46205</v>
      </c>
      <c r="D438" t="s">
        <v>324</v>
      </c>
      <c r="E438" t="s">
        <v>328</v>
      </c>
      <c r="F438" s="12">
        <v>166865</v>
      </c>
      <c r="G438" s="12" t="str">
        <f>VLOOKUP(Table2[[#This Row],[MemberID]],Table1[#All],3,0)</f>
        <v>Silver</v>
      </c>
      <c r="H438" s="13">
        <v>16</v>
      </c>
    </row>
    <row r="439" spans="1:8">
      <c r="A439" t="s">
        <v>771</v>
      </c>
      <c r="B439" t="s">
        <v>194</v>
      </c>
      <c r="C439" s="8">
        <v>46133</v>
      </c>
      <c r="D439" t="s">
        <v>332</v>
      </c>
      <c r="E439" t="s">
        <v>339</v>
      </c>
      <c r="F439" s="12">
        <v>137889</v>
      </c>
      <c r="G439" s="12" t="str">
        <f>VLOOKUP(Table2[[#This Row],[MemberID]],Table1[#All],3,0)</f>
        <v>Silver</v>
      </c>
      <c r="H439" s="13">
        <v>13</v>
      </c>
    </row>
    <row r="440" spans="1:8">
      <c r="A440" t="s">
        <v>772</v>
      </c>
      <c r="B440" t="s">
        <v>135</v>
      </c>
      <c r="C440" s="8">
        <v>46219</v>
      </c>
      <c r="D440" t="s">
        <v>342</v>
      </c>
      <c r="E440" t="s">
        <v>334</v>
      </c>
      <c r="F440" s="12">
        <v>621786</v>
      </c>
      <c r="G440" s="12" t="str">
        <f>VLOOKUP(Table2[[#This Row],[MemberID]],Table1[#All],3,0)</f>
        <v>Silver</v>
      </c>
      <c r="H440" s="13">
        <v>62</v>
      </c>
    </row>
    <row r="441" spans="1:8">
      <c r="A441" t="s">
        <v>773</v>
      </c>
      <c r="B441" t="s">
        <v>298</v>
      </c>
      <c r="C441" s="8">
        <v>46151</v>
      </c>
      <c r="D441" t="s">
        <v>342</v>
      </c>
      <c r="E441" t="s">
        <v>325</v>
      </c>
      <c r="F441" s="12">
        <v>427808</v>
      </c>
      <c r="G441" s="12" t="str">
        <f>VLOOKUP(Table2[[#This Row],[MemberID]],Table1[#All],3,0)</f>
        <v>Gold</v>
      </c>
      <c r="H441" s="13">
        <v>42</v>
      </c>
    </row>
    <row r="442" spans="1:8">
      <c r="A442" t="s">
        <v>774</v>
      </c>
      <c r="B442" t="s">
        <v>294</v>
      </c>
      <c r="C442" s="8">
        <v>46286</v>
      </c>
      <c r="D442" t="s">
        <v>342</v>
      </c>
      <c r="E442" t="s">
        <v>337</v>
      </c>
      <c r="F442" s="12">
        <v>38120</v>
      </c>
      <c r="G442" s="12" t="str">
        <f>VLOOKUP(Table2[[#This Row],[MemberID]],Table1[#All],3,0)</f>
        <v>Gold</v>
      </c>
      <c r="H442" s="13">
        <v>3</v>
      </c>
    </row>
    <row r="443" spans="1:8">
      <c r="A443" t="s">
        <v>775</v>
      </c>
      <c r="B443" t="s">
        <v>52</v>
      </c>
      <c r="C443" s="8">
        <v>46113</v>
      </c>
      <c r="D443" t="s">
        <v>344</v>
      </c>
      <c r="E443" t="s">
        <v>337</v>
      </c>
      <c r="F443" s="12">
        <v>284569</v>
      </c>
      <c r="G443" s="12" t="str">
        <f>VLOOKUP(Table2[[#This Row],[MemberID]],Table1[#All],3,0)</f>
        <v>Gold</v>
      </c>
      <c r="H443" s="13">
        <v>28</v>
      </c>
    </row>
    <row r="444" spans="1:8">
      <c r="A444" t="s">
        <v>776</v>
      </c>
      <c r="B444" t="s">
        <v>210</v>
      </c>
      <c r="C444" s="8">
        <v>45979</v>
      </c>
      <c r="D444" t="s">
        <v>330</v>
      </c>
      <c r="E444" t="s">
        <v>325</v>
      </c>
      <c r="F444" s="12">
        <v>237774</v>
      </c>
      <c r="G444" s="12" t="str">
        <f>VLOOKUP(Table2[[#This Row],[MemberID]],Table1[#All],3,0)</f>
        <v>Silver</v>
      </c>
      <c r="H444" s="13">
        <v>23</v>
      </c>
    </row>
    <row r="445" spans="1:8">
      <c r="A445" t="s">
        <v>777</v>
      </c>
      <c r="B445" t="s">
        <v>179</v>
      </c>
      <c r="C445" s="8">
        <v>46036</v>
      </c>
      <c r="D445" t="s">
        <v>327</v>
      </c>
      <c r="E445" t="s">
        <v>325</v>
      </c>
      <c r="F445" s="12">
        <v>194067</v>
      </c>
      <c r="G445" s="12" t="str">
        <f>VLOOKUP(Table2[[#This Row],[MemberID]],Table1[#All],3,0)</f>
        <v>Gold</v>
      </c>
      <c r="H445" s="13">
        <v>19</v>
      </c>
    </row>
    <row r="446" spans="1:8">
      <c r="A446" t="s">
        <v>778</v>
      </c>
      <c r="B446" t="s">
        <v>227</v>
      </c>
      <c r="C446" s="8">
        <v>46229</v>
      </c>
      <c r="D446" t="s">
        <v>344</v>
      </c>
      <c r="E446" t="s">
        <v>334</v>
      </c>
      <c r="F446" s="12">
        <v>229176</v>
      </c>
      <c r="G446" s="12" t="str">
        <f>VLOOKUP(Table2[[#This Row],[MemberID]],Table1[#All],3,0)</f>
        <v>Silver</v>
      </c>
      <c r="H446" s="13">
        <v>22</v>
      </c>
    </row>
    <row r="447" spans="1:8">
      <c r="A447" t="s">
        <v>779</v>
      </c>
      <c r="B447" t="s">
        <v>92</v>
      </c>
      <c r="C447" s="8">
        <v>46209</v>
      </c>
      <c r="D447" t="s">
        <v>344</v>
      </c>
      <c r="E447" t="s">
        <v>328</v>
      </c>
      <c r="F447" s="12">
        <v>377162</v>
      </c>
      <c r="G447" s="12" t="str">
        <f>VLOOKUP(Table2[[#This Row],[MemberID]],Table1[#All],3,0)</f>
        <v>Silver</v>
      </c>
      <c r="H447" s="13">
        <v>37</v>
      </c>
    </row>
    <row r="448" spans="1:8">
      <c r="A448" t="s">
        <v>780</v>
      </c>
      <c r="B448" t="s">
        <v>3</v>
      </c>
      <c r="C448" s="8">
        <v>46072</v>
      </c>
      <c r="D448" t="s">
        <v>332</v>
      </c>
      <c r="E448" t="s">
        <v>334</v>
      </c>
      <c r="F448" s="12">
        <v>168844</v>
      </c>
      <c r="G448" s="12" t="str">
        <f>VLOOKUP(Table2[[#This Row],[MemberID]],Table1[#All],3,0)</f>
        <v>Silver</v>
      </c>
      <c r="H448" s="13">
        <v>16</v>
      </c>
    </row>
    <row r="449" spans="1:8">
      <c r="A449" t="s">
        <v>781</v>
      </c>
      <c r="B449" t="s">
        <v>140</v>
      </c>
      <c r="C449" s="8">
        <v>45983</v>
      </c>
      <c r="D449" t="s">
        <v>344</v>
      </c>
      <c r="E449" t="s">
        <v>339</v>
      </c>
      <c r="F449" s="12">
        <v>333950</v>
      </c>
      <c r="G449" s="12" t="str">
        <f>VLOOKUP(Table2[[#This Row],[MemberID]],Table1[#All],3,0)</f>
        <v>Silver</v>
      </c>
      <c r="H449" s="13">
        <v>33</v>
      </c>
    </row>
    <row r="450" spans="1:8">
      <c r="A450" t="s">
        <v>782</v>
      </c>
      <c r="B450" t="s">
        <v>139</v>
      </c>
      <c r="C450" s="8">
        <v>46213</v>
      </c>
      <c r="D450" t="s">
        <v>327</v>
      </c>
      <c r="E450" t="s">
        <v>334</v>
      </c>
      <c r="F450" s="12">
        <v>293620</v>
      </c>
      <c r="G450" s="12" t="str">
        <f>VLOOKUP(Table2[[#This Row],[MemberID]],Table1[#All],3,0)</f>
        <v>Silver</v>
      </c>
      <c r="H450" s="13">
        <v>29</v>
      </c>
    </row>
    <row r="451" spans="1:8">
      <c r="A451" t="s">
        <v>783</v>
      </c>
      <c r="B451" t="s">
        <v>8</v>
      </c>
      <c r="C451" s="8">
        <v>46059</v>
      </c>
      <c r="D451" t="s">
        <v>321</v>
      </c>
      <c r="E451" t="s">
        <v>334</v>
      </c>
      <c r="F451" s="12">
        <v>225635</v>
      </c>
      <c r="G451" s="12" t="str">
        <f>VLOOKUP(Table2[[#This Row],[MemberID]],Table1[#All],3,0)</f>
        <v>Gold</v>
      </c>
      <c r="H451" s="13">
        <v>22</v>
      </c>
    </row>
    <row r="452" spans="1:8">
      <c r="A452" t="s">
        <v>784</v>
      </c>
      <c r="B452" t="s">
        <v>212</v>
      </c>
      <c r="C452" s="8">
        <v>45963</v>
      </c>
      <c r="D452" t="s">
        <v>332</v>
      </c>
      <c r="E452" t="s">
        <v>328</v>
      </c>
      <c r="F452" s="12">
        <v>310182</v>
      </c>
      <c r="G452" s="12" t="str">
        <f>VLOOKUP(Table2[[#This Row],[MemberID]],Table1[#All],3,0)</f>
        <v>Silver</v>
      </c>
      <c r="H452" s="13">
        <v>31</v>
      </c>
    </row>
    <row r="453" spans="1:8">
      <c r="A453" t="s">
        <v>785</v>
      </c>
      <c r="B453" t="s">
        <v>109</v>
      </c>
      <c r="C453" s="8">
        <v>46279</v>
      </c>
      <c r="D453" t="s">
        <v>321</v>
      </c>
      <c r="E453" t="s">
        <v>322</v>
      </c>
      <c r="F453" s="12">
        <v>50889</v>
      </c>
      <c r="G453" s="12" t="str">
        <f>VLOOKUP(Table2[[#This Row],[MemberID]],Table1[#All],3,0)</f>
        <v>Silver</v>
      </c>
      <c r="H453" s="13">
        <v>5</v>
      </c>
    </row>
    <row r="454" spans="1:8">
      <c r="A454" t="s">
        <v>786</v>
      </c>
      <c r="B454" t="s">
        <v>262</v>
      </c>
      <c r="C454" s="8">
        <v>46271</v>
      </c>
      <c r="D454" t="s">
        <v>332</v>
      </c>
      <c r="E454" t="s">
        <v>334</v>
      </c>
      <c r="F454" s="12">
        <v>437201</v>
      </c>
      <c r="G454" s="12" t="str">
        <f>VLOOKUP(Table2[[#This Row],[MemberID]],Table1[#All],3,0)</f>
        <v>Gold</v>
      </c>
      <c r="H454" s="13">
        <v>43</v>
      </c>
    </row>
    <row r="455" spans="1:8">
      <c r="A455" t="s">
        <v>787</v>
      </c>
      <c r="B455" t="s">
        <v>201</v>
      </c>
      <c r="C455" s="8">
        <v>46265</v>
      </c>
      <c r="D455" t="s">
        <v>324</v>
      </c>
      <c r="E455" t="s">
        <v>337</v>
      </c>
      <c r="F455" s="12">
        <v>120890</v>
      </c>
      <c r="G455" s="12" t="str">
        <f>VLOOKUP(Table2[[#This Row],[MemberID]],Table1[#All],3,0)</f>
        <v>Platinum</v>
      </c>
      <c r="H455" s="13">
        <v>12</v>
      </c>
    </row>
    <row r="456" spans="1:8">
      <c r="A456" t="s">
        <v>788</v>
      </c>
      <c r="B456" t="s">
        <v>240</v>
      </c>
      <c r="C456" s="8">
        <v>46269</v>
      </c>
      <c r="D456" t="s">
        <v>350</v>
      </c>
      <c r="E456" t="s">
        <v>325</v>
      </c>
      <c r="F456" s="12">
        <v>353766</v>
      </c>
      <c r="G456" s="12" t="str">
        <f>VLOOKUP(Table2[[#This Row],[MemberID]],Table1[#All],3,0)</f>
        <v>Silver</v>
      </c>
      <c r="H456" s="13">
        <v>35</v>
      </c>
    </row>
    <row r="457" spans="1:8">
      <c r="A457" t="s">
        <v>789</v>
      </c>
      <c r="B457" t="s">
        <v>40</v>
      </c>
      <c r="C457" s="8">
        <v>45959</v>
      </c>
      <c r="D457" t="s">
        <v>327</v>
      </c>
      <c r="E457" t="s">
        <v>339</v>
      </c>
      <c r="F457" s="12">
        <v>177017</v>
      </c>
      <c r="G457" s="12" t="str">
        <f>VLOOKUP(Table2[[#This Row],[MemberID]],Table1[#All],3,0)</f>
        <v>Gold</v>
      </c>
      <c r="H457" s="13">
        <v>17</v>
      </c>
    </row>
    <row r="458" spans="1:8">
      <c r="A458" t="s">
        <v>790</v>
      </c>
      <c r="B458" t="s">
        <v>194</v>
      </c>
      <c r="C458" s="8">
        <v>46217</v>
      </c>
      <c r="D458" t="s">
        <v>327</v>
      </c>
      <c r="E458" t="s">
        <v>334</v>
      </c>
      <c r="F458" s="12">
        <v>324006</v>
      </c>
      <c r="G458" s="12" t="str">
        <f>VLOOKUP(Table2[[#This Row],[MemberID]],Table1[#All],3,0)</f>
        <v>Silver</v>
      </c>
      <c r="H458" s="13">
        <v>32</v>
      </c>
    </row>
    <row r="459" spans="1:8">
      <c r="A459" t="s">
        <v>791</v>
      </c>
      <c r="B459" t="s">
        <v>275</v>
      </c>
      <c r="C459" s="8">
        <v>46073</v>
      </c>
      <c r="D459" t="s">
        <v>344</v>
      </c>
      <c r="E459" t="s">
        <v>337</v>
      </c>
      <c r="F459" s="12">
        <v>628570</v>
      </c>
      <c r="G459" s="12" t="str">
        <f>VLOOKUP(Table2[[#This Row],[MemberID]],Table1[#All],3,0)</f>
        <v>Silver</v>
      </c>
      <c r="H459" s="13">
        <v>62</v>
      </c>
    </row>
    <row r="460" spans="1:8">
      <c r="A460" t="s">
        <v>792</v>
      </c>
      <c r="B460" t="s">
        <v>115</v>
      </c>
      <c r="C460" s="8">
        <v>46102</v>
      </c>
      <c r="D460" t="s">
        <v>332</v>
      </c>
      <c r="E460" t="s">
        <v>334</v>
      </c>
      <c r="F460" s="12">
        <v>62107</v>
      </c>
      <c r="G460" s="12" t="str">
        <f>VLOOKUP(Table2[[#This Row],[MemberID]],Table1[#All],3,0)</f>
        <v>Gold</v>
      </c>
      <c r="H460" s="13">
        <v>6</v>
      </c>
    </row>
    <row r="461" spans="1:8">
      <c r="A461" t="s">
        <v>793</v>
      </c>
      <c r="B461" t="s">
        <v>282</v>
      </c>
      <c r="C461" s="8">
        <v>45988</v>
      </c>
      <c r="D461" t="s">
        <v>321</v>
      </c>
      <c r="E461" t="s">
        <v>322</v>
      </c>
      <c r="F461" s="12">
        <v>364062</v>
      </c>
      <c r="G461" s="12" t="str">
        <f>VLOOKUP(Table2[[#This Row],[MemberID]],Table1[#All],3,0)</f>
        <v>Silver</v>
      </c>
      <c r="H461" s="13">
        <v>36</v>
      </c>
    </row>
    <row r="462" spans="1:8">
      <c r="A462" t="s">
        <v>794</v>
      </c>
      <c r="B462" t="s">
        <v>97</v>
      </c>
      <c r="C462" s="8">
        <v>46286</v>
      </c>
      <c r="D462" t="s">
        <v>321</v>
      </c>
      <c r="E462" t="s">
        <v>339</v>
      </c>
      <c r="F462" s="12">
        <v>262694</v>
      </c>
      <c r="G462" s="12" t="str">
        <f>VLOOKUP(Table2[[#This Row],[MemberID]],Table1[#All],3,0)</f>
        <v>Silver</v>
      </c>
      <c r="H462" s="13">
        <v>26</v>
      </c>
    </row>
    <row r="463" spans="1:8">
      <c r="A463" t="s">
        <v>795</v>
      </c>
      <c r="B463" t="s">
        <v>306</v>
      </c>
      <c r="C463" s="8">
        <v>46170</v>
      </c>
      <c r="D463" t="s">
        <v>324</v>
      </c>
      <c r="E463" t="s">
        <v>337</v>
      </c>
      <c r="F463" s="12">
        <v>336729</v>
      </c>
      <c r="G463" s="12" t="str">
        <f>VLOOKUP(Table2[[#This Row],[MemberID]],Table1[#All],3,0)</f>
        <v>Silver</v>
      </c>
      <c r="H463" s="13">
        <v>33</v>
      </c>
    </row>
    <row r="464" spans="1:8">
      <c r="A464" t="s">
        <v>796</v>
      </c>
      <c r="B464" t="s">
        <v>57</v>
      </c>
      <c r="C464" s="8">
        <v>45989</v>
      </c>
      <c r="D464" t="s">
        <v>344</v>
      </c>
      <c r="E464" t="s">
        <v>337</v>
      </c>
      <c r="F464" s="12">
        <v>413626</v>
      </c>
      <c r="G464" s="12" t="str">
        <f>VLOOKUP(Table2[[#This Row],[MemberID]],Table1[#All],3,0)</f>
        <v>Gold</v>
      </c>
      <c r="H464" s="13">
        <v>41</v>
      </c>
    </row>
    <row r="465" spans="1:8">
      <c r="A465" t="s">
        <v>797</v>
      </c>
      <c r="B465" t="s">
        <v>179</v>
      </c>
      <c r="C465" s="8">
        <v>45951</v>
      </c>
      <c r="D465" t="s">
        <v>327</v>
      </c>
      <c r="E465" t="s">
        <v>322</v>
      </c>
      <c r="F465" s="12">
        <v>386891</v>
      </c>
      <c r="G465" s="12" t="str">
        <f>VLOOKUP(Table2[[#This Row],[MemberID]],Table1[#All],3,0)</f>
        <v>Gold</v>
      </c>
      <c r="H465" s="13">
        <v>38</v>
      </c>
    </row>
    <row r="466" spans="1:8">
      <c r="A466" t="s">
        <v>798</v>
      </c>
      <c r="B466" t="s">
        <v>200</v>
      </c>
      <c r="C466" s="8">
        <v>46048</v>
      </c>
      <c r="D466" t="s">
        <v>342</v>
      </c>
      <c r="E466" t="s">
        <v>337</v>
      </c>
      <c r="F466" s="12">
        <v>302299</v>
      </c>
      <c r="G466" s="12" t="str">
        <f>VLOOKUP(Table2[[#This Row],[MemberID]],Table1[#All],3,0)</f>
        <v>Silver</v>
      </c>
      <c r="H466" s="13">
        <v>30</v>
      </c>
    </row>
    <row r="467" spans="1:8">
      <c r="A467" t="s">
        <v>799</v>
      </c>
      <c r="B467" t="s">
        <v>202</v>
      </c>
      <c r="C467" s="8">
        <v>45995</v>
      </c>
      <c r="D467" t="s">
        <v>330</v>
      </c>
      <c r="E467" t="s">
        <v>337</v>
      </c>
      <c r="F467" s="12">
        <v>334275</v>
      </c>
      <c r="G467" s="12" t="str">
        <f>VLOOKUP(Table2[[#This Row],[MemberID]],Table1[#All],3,0)</f>
        <v>Silver</v>
      </c>
      <c r="H467" s="13">
        <v>33</v>
      </c>
    </row>
    <row r="468" spans="1:8">
      <c r="A468" t="s">
        <v>800</v>
      </c>
      <c r="B468" t="s">
        <v>249</v>
      </c>
      <c r="C468" s="8">
        <v>46032</v>
      </c>
      <c r="D468" t="s">
        <v>342</v>
      </c>
      <c r="E468" t="s">
        <v>325</v>
      </c>
      <c r="F468" s="12">
        <v>491182</v>
      </c>
      <c r="G468" s="12" t="str">
        <f>VLOOKUP(Table2[[#This Row],[MemberID]],Table1[#All],3,0)</f>
        <v>Silver</v>
      </c>
      <c r="H468" s="13">
        <v>49</v>
      </c>
    </row>
    <row r="469" spans="1:8">
      <c r="A469" t="s">
        <v>801</v>
      </c>
      <c r="B469" t="s">
        <v>25</v>
      </c>
      <c r="C469" s="8">
        <v>46264</v>
      </c>
      <c r="D469" t="s">
        <v>330</v>
      </c>
      <c r="E469" t="s">
        <v>325</v>
      </c>
      <c r="F469" s="12">
        <v>233136</v>
      </c>
      <c r="G469" s="12" t="str">
        <f>VLOOKUP(Table2[[#This Row],[MemberID]],Table1[#All],3,0)</f>
        <v>Silver</v>
      </c>
      <c r="H469" s="13">
        <v>23</v>
      </c>
    </row>
    <row r="470" spans="1:8">
      <c r="A470" t="s">
        <v>802</v>
      </c>
      <c r="B470" t="s">
        <v>310</v>
      </c>
      <c r="C470" s="8">
        <v>46230</v>
      </c>
      <c r="D470" t="s">
        <v>332</v>
      </c>
      <c r="E470" t="s">
        <v>337</v>
      </c>
      <c r="F470" s="12">
        <v>226535</v>
      </c>
      <c r="G470" s="12" t="str">
        <f>VLOOKUP(Table2[[#This Row],[MemberID]],Table1[#All],3,0)</f>
        <v>Silver</v>
      </c>
      <c r="H470" s="13">
        <v>22</v>
      </c>
    </row>
    <row r="471" spans="1:8">
      <c r="A471" t="s">
        <v>803</v>
      </c>
      <c r="B471" t="s">
        <v>64</v>
      </c>
      <c r="C471" s="8">
        <v>46170</v>
      </c>
      <c r="D471" t="s">
        <v>321</v>
      </c>
      <c r="E471" t="s">
        <v>334</v>
      </c>
      <c r="F471" s="12">
        <v>783953</v>
      </c>
      <c r="G471" s="12" t="str">
        <f>VLOOKUP(Table2[[#This Row],[MemberID]],Table1[#All],3,0)</f>
        <v>Silver</v>
      </c>
      <c r="H471" s="13">
        <v>78</v>
      </c>
    </row>
    <row r="472" spans="1:8">
      <c r="A472" t="s">
        <v>804</v>
      </c>
      <c r="B472" t="s">
        <v>46</v>
      </c>
      <c r="C472" s="8">
        <v>46116</v>
      </c>
      <c r="D472" t="s">
        <v>344</v>
      </c>
      <c r="E472" t="s">
        <v>334</v>
      </c>
      <c r="F472" s="12">
        <v>666024</v>
      </c>
      <c r="G472" s="12" t="str">
        <f>VLOOKUP(Table2[[#This Row],[MemberID]],Table1[#All],3,0)</f>
        <v>Silver</v>
      </c>
      <c r="H472" s="13">
        <v>66</v>
      </c>
    </row>
    <row r="473" spans="1:8">
      <c r="A473" t="s">
        <v>805</v>
      </c>
      <c r="B473" t="s">
        <v>106</v>
      </c>
      <c r="C473" s="8">
        <v>45969</v>
      </c>
      <c r="D473" t="s">
        <v>342</v>
      </c>
      <c r="E473" t="s">
        <v>325</v>
      </c>
      <c r="F473" s="12">
        <v>40550</v>
      </c>
      <c r="G473" s="12" t="str">
        <f>VLOOKUP(Table2[[#This Row],[MemberID]],Table1[#All],3,0)</f>
        <v>Silver</v>
      </c>
      <c r="H473" s="13">
        <v>4</v>
      </c>
    </row>
    <row r="474" spans="1:8">
      <c r="A474" t="s">
        <v>806</v>
      </c>
      <c r="B474" t="s">
        <v>109</v>
      </c>
      <c r="C474" s="8">
        <v>45998</v>
      </c>
      <c r="D474" t="s">
        <v>330</v>
      </c>
      <c r="E474" t="s">
        <v>339</v>
      </c>
      <c r="F474" s="12">
        <v>170176</v>
      </c>
      <c r="G474" s="12" t="str">
        <f>VLOOKUP(Table2[[#This Row],[MemberID]],Table1[#All],3,0)</f>
        <v>Silver</v>
      </c>
      <c r="H474" s="13">
        <v>17</v>
      </c>
    </row>
    <row r="475" spans="1:8">
      <c r="A475" t="s">
        <v>807</v>
      </c>
      <c r="B475" t="s">
        <v>210</v>
      </c>
      <c r="C475" s="8">
        <v>46130</v>
      </c>
      <c r="D475" t="s">
        <v>324</v>
      </c>
      <c r="E475" t="s">
        <v>334</v>
      </c>
      <c r="F475" s="12">
        <v>228161</v>
      </c>
      <c r="G475" s="12" t="str">
        <f>VLOOKUP(Table2[[#This Row],[MemberID]],Table1[#All],3,0)</f>
        <v>Silver</v>
      </c>
      <c r="H475" s="13">
        <v>22</v>
      </c>
    </row>
    <row r="476" spans="1:8">
      <c r="A476" t="s">
        <v>808</v>
      </c>
      <c r="B476" t="s">
        <v>117</v>
      </c>
      <c r="C476" s="8">
        <v>45966</v>
      </c>
      <c r="D476" t="s">
        <v>321</v>
      </c>
      <c r="E476" t="s">
        <v>334</v>
      </c>
      <c r="F476" s="12">
        <v>187656</v>
      </c>
      <c r="G476" s="12" t="str">
        <f>VLOOKUP(Table2[[#This Row],[MemberID]],Table1[#All],3,0)</f>
        <v>Silver</v>
      </c>
      <c r="H476" s="13">
        <v>18</v>
      </c>
    </row>
    <row r="477" spans="1:8">
      <c r="A477" t="s">
        <v>809</v>
      </c>
      <c r="B477" t="s">
        <v>76</v>
      </c>
      <c r="C477" s="8">
        <v>46188</v>
      </c>
      <c r="D477" t="s">
        <v>324</v>
      </c>
      <c r="E477" t="s">
        <v>337</v>
      </c>
      <c r="F477" s="12">
        <v>143881</v>
      </c>
      <c r="G477" s="12" t="str">
        <f>VLOOKUP(Table2[[#This Row],[MemberID]],Table1[#All],3,0)</f>
        <v>Silver</v>
      </c>
      <c r="H477" s="13">
        <v>14</v>
      </c>
    </row>
    <row r="478" spans="1:8">
      <c r="A478" t="s">
        <v>810</v>
      </c>
      <c r="B478" t="s">
        <v>205</v>
      </c>
      <c r="C478" s="8">
        <v>45935</v>
      </c>
      <c r="D478" t="s">
        <v>321</v>
      </c>
      <c r="E478" t="s">
        <v>325</v>
      </c>
      <c r="F478" s="12">
        <v>337768</v>
      </c>
      <c r="G478" s="12" t="str">
        <f>VLOOKUP(Table2[[#This Row],[MemberID]],Table1[#All],3,0)</f>
        <v>Silver</v>
      </c>
      <c r="H478" s="13">
        <v>33</v>
      </c>
    </row>
    <row r="479" spans="1:8">
      <c r="A479" t="s">
        <v>811</v>
      </c>
      <c r="B479" t="s">
        <v>87</v>
      </c>
      <c r="C479" s="8">
        <v>46027</v>
      </c>
      <c r="D479" t="s">
        <v>330</v>
      </c>
      <c r="E479" t="s">
        <v>325</v>
      </c>
      <c r="F479" s="12">
        <v>79664</v>
      </c>
      <c r="G479" s="12" t="str">
        <f>VLOOKUP(Table2[[#This Row],[MemberID]],Table1[#All],3,0)</f>
        <v>Gold</v>
      </c>
      <c r="H479" s="13">
        <v>7</v>
      </c>
    </row>
    <row r="480" spans="1:8">
      <c r="A480" t="s">
        <v>812</v>
      </c>
      <c r="B480" t="s">
        <v>180</v>
      </c>
      <c r="C480" s="8">
        <v>46065</v>
      </c>
      <c r="D480" t="s">
        <v>350</v>
      </c>
      <c r="E480" t="s">
        <v>325</v>
      </c>
      <c r="F480" s="12">
        <v>110095</v>
      </c>
      <c r="G480" s="12" t="str">
        <f>VLOOKUP(Table2[[#This Row],[MemberID]],Table1[#All],3,0)</f>
        <v>Platinum</v>
      </c>
      <c r="H480" s="13">
        <v>11</v>
      </c>
    </row>
    <row r="481" spans="1:8">
      <c r="A481" t="s">
        <v>813</v>
      </c>
      <c r="B481" t="s">
        <v>150</v>
      </c>
      <c r="C481" s="8">
        <v>45984</v>
      </c>
      <c r="D481" t="s">
        <v>342</v>
      </c>
      <c r="E481" t="s">
        <v>334</v>
      </c>
      <c r="F481" s="12">
        <v>76759</v>
      </c>
      <c r="G481" s="12" t="str">
        <f>VLOOKUP(Table2[[#This Row],[MemberID]],Table1[#All],3,0)</f>
        <v>Gold</v>
      </c>
      <c r="H481" s="13">
        <v>7</v>
      </c>
    </row>
    <row r="482" spans="1:8">
      <c r="A482" t="s">
        <v>814</v>
      </c>
      <c r="B482" t="s">
        <v>65</v>
      </c>
      <c r="C482" s="8">
        <v>46074</v>
      </c>
      <c r="D482" t="s">
        <v>342</v>
      </c>
      <c r="E482" t="s">
        <v>328</v>
      </c>
      <c r="F482" s="12">
        <v>406660</v>
      </c>
      <c r="G482" s="12" t="str">
        <f>VLOOKUP(Table2[[#This Row],[MemberID]],Table1[#All],3,0)</f>
        <v>Gold</v>
      </c>
      <c r="H482" s="13">
        <v>40</v>
      </c>
    </row>
    <row r="483" spans="1:8">
      <c r="A483" t="s">
        <v>815</v>
      </c>
      <c r="B483" t="s">
        <v>106</v>
      </c>
      <c r="C483" s="8">
        <v>46132</v>
      </c>
      <c r="D483" t="s">
        <v>321</v>
      </c>
      <c r="E483" t="s">
        <v>328</v>
      </c>
      <c r="F483" s="12">
        <v>755709</v>
      </c>
      <c r="G483" s="12" t="str">
        <f>VLOOKUP(Table2[[#This Row],[MemberID]],Table1[#All],3,0)</f>
        <v>Silver</v>
      </c>
      <c r="H483" s="13">
        <v>75</v>
      </c>
    </row>
    <row r="484" spans="1:8">
      <c r="A484" t="s">
        <v>816</v>
      </c>
      <c r="B484" t="s">
        <v>202</v>
      </c>
      <c r="C484" s="8">
        <v>46016</v>
      </c>
      <c r="D484" t="s">
        <v>350</v>
      </c>
      <c r="E484" t="s">
        <v>322</v>
      </c>
      <c r="F484" s="12">
        <v>443124</v>
      </c>
      <c r="G484" s="12" t="str">
        <f>VLOOKUP(Table2[[#This Row],[MemberID]],Table1[#All],3,0)</f>
        <v>Silver</v>
      </c>
      <c r="H484" s="13">
        <v>44</v>
      </c>
    </row>
    <row r="485" spans="1:8">
      <c r="A485" t="s">
        <v>817</v>
      </c>
      <c r="B485" t="s">
        <v>127</v>
      </c>
      <c r="C485" s="8">
        <v>45982</v>
      </c>
      <c r="D485" t="s">
        <v>327</v>
      </c>
      <c r="E485" t="s">
        <v>334</v>
      </c>
      <c r="F485" s="12">
        <v>25000</v>
      </c>
      <c r="G485" s="12" t="str">
        <f>VLOOKUP(Table2[[#This Row],[MemberID]],Table1[#All],3,0)</f>
        <v>Platinum</v>
      </c>
      <c r="H485" s="13">
        <v>2</v>
      </c>
    </row>
    <row r="486" spans="1:8">
      <c r="A486" t="s">
        <v>818</v>
      </c>
      <c r="B486" t="s">
        <v>129</v>
      </c>
      <c r="C486" s="8">
        <v>46110</v>
      </c>
      <c r="D486" t="s">
        <v>332</v>
      </c>
      <c r="E486" t="s">
        <v>322</v>
      </c>
      <c r="F486" s="12">
        <v>224882</v>
      </c>
      <c r="G486" s="12" t="str">
        <f>VLOOKUP(Table2[[#This Row],[MemberID]],Table1[#All],3,0)</f>
        <v>Silver</v>
      </c>
      <c r="H486" s="13">
        <v>22</v>
      </c>
    </row>
    <row r="487" spans="1:8">
      <c r="A487" t="s">
        <v>819</v>
      </c>
      <c r="B487" t="s">
        <v>65</v>
      </c>
      <c r="C487" s="8">
        <v>46222</v>
      </c>
      <c r="D487" t="s">
        <v>330</v>
      </c>
      <c r="E487" t="s">
        <v>334</v>
      </c>
      <c r="F487" s="12">
        <v>295888</v>
      </c>
      <c r="G487" s="12" t="str">
        <f>VLOOKUP(Table2[[#This Row],[MemberID]],Table1[#All],3,0)</f>
        <v>Gold</v>
      </c>
      <c r="H487" s="13">
        <v>29</v>
      </c>
    </row>
    <row r="488" spans="1:8">
      <c r="A488" t="s">
        <v>820</v>
      </c>
      <c r="B488" t="s">
        <v>256</v>
      </c>
      <c r="C488" s="8">
        <v>46172</v>
      </c>
      <c r="D488" t="s">
        <v>342</v>
      </c>
      <c r="E488" t="s">
        <v>337</v>
      </c>
      <c r="F488" s="12">
        <v>104910</v>
      </c>
      <c r="G488" s="12" t="str">
        <f>VLOOKUP(Table2[[#This Row],[MemberID]],Table1[#All],3,0)</f>
        <v>Gold</v>
      </c>
      <c r="H488" s="13">
        <v>10</v>
      </c>
    </row>
    <row r="489" spans="1:8">
      <c r="A489" t="s">
        <v>821</v>
      </c>
      <c r="B489" t="s">
        <v>99</v>
      </c>
      <c r="C489" s="8">
        <v>46167</v>
      </c>
      <c r="D489" t="s">
        <v>330</v>
      </c>
      <c r="E489" t="s">
        <v>325</v>
      </c>
      <c r="F489" s="12">
        <v>279908</v>
      </c>
      <c r="G489" s="12" t="str">
        <f>VLOOKUP(Table2[[#This Row],[MemberID]],Table1[#All],3,0)</f>
        <v>Platinum</v>
      </c>
      <c r="H489" s="13">
        <v>27</v>
      </c>
    </row>
    <row r="490" spans="1:8">
      <c r="A490" t="s">
        <v>822</v>
      </c>
      <c r="B490" t="s">
        <v>257</v>
      </c>
      <c r="C490" s="8">
        <v>45998</v>
      </c>
      <c r="D490" t="s">
        <v>324</v>
      </c>
      <c r="E490" t="s">
        <v>334</v>
      </c>
      <c r="F490" s="12">
        <v>67249</v>
      </c>
      <c r="G490" s="12" t="str">
        <f>VLOOKUP(Table2[[#This Row],[MemberID]],Table1[#All],3,0)</f>
        <v>Gold</v>
      </c>
      <c r="H490" s="13">
        <v>6</v>
      </c>
    </row>
    <row r="491" spans="1:8">
      <c r="A491" t="s">
        <v>823</v>
      </c>
      <c r="B491" t="s">
        <v>256</v>
      </c>
      <c r="C491" s="8">
        <v>46068</v>
      </c>
      <c r="D491" t="s">
        <v>332</v>
      </c>
      <c r="E491" t="s">
        <v>339</v>
      </c>
      <c r="F491" s="12">
        <v>264053</v>
      </c>
      <c r="G491" s="12" t="str">
        <f>VLOOKUP(Table2[[#This Row],[MemberID]],Table1[#All],3,0)</f>
        <v>Gold</v>
      </c>
      <c r="H491" s="13">
        <v>26</v>
      </c>
    </row>
    <row r="492" spans="1:8">
      <c r="A492" t="s">
        <v>824</v>
      </c>
      <c r="B492" t="s">
        <v>113</v>
      </c>
      <c r="C492" s="8">
        <v>46192</v>
      </c>
      <c r="D492" t="s">
        <v>330</v>
      </c>
      <c r="E492" t="s">
        <v>328</v>
      </c>
      <c r="F492" s="12">
        <v>216228</v>
      </c>
      <c r="G492" s="12" t="str">
        <f>VLOOKUP(Table2[[#This Row],[MemberID]],Table1[#All],3,0)</f>
        <v>Silver</v>
      </c>
      <c r="H492" s="13">
        <v>21</v>
      </c>
    </row>
    <row r="493" spans="1:8">
      <c r="A493" t="s">
        <v>825</v>
      </c>
      <c r="B493" t="s">
        <v>70</v>
      </c>
      <c r="C493" s="8">
        <v>46264</v>
      </c>
      <c r="D493" t="s">
        <v>330</v>
      </c>
      <c r="E493" t="s">
        <v>334</v>
      </c>
      <c r="F493" s="12">
        <v>172242</v>
      </c>
      <c r="G493" s="12" t="str">
        <f>VLOOKUP(Table2[[#This Row],[MemberID]],Table1[#All],3,0)</f>
        <v>Silver</v>
      </c>
      <c r="H493" s="13">
        <v>17</v>
      </c>
    </row>
    <row r="494" spans="1:8">
      <c r="A494" t="s">
        <v>826</v>
      </c>
      <c r="B494" t="s">
        <v>141</v>
      </c>
      <c r="C494" s="8">
        <v>45980</v>
      </c>
      <c r="D494" t="s">
        <v>321</v>
      </c>
      <c r="E494" t="s">
        <v>328</v>
      </c>
      <c r="F494" s="12">
        <v>224888</v>
      </c>
      <c r="G494" s="12" t="str">
        <f>VLOOKUP(Table2[[#This Row],[MemberID]],Table1[#All],3,0)</f>
        <v>Silver</v>
      </c>
      <c r="H494" s="13">
        <v>22</v>
      </c>
    </row>
    <row r="495" spans="1:8">
      <c r="A495" t="s">
        <v>827</v>
      </c>
      <c r="B495" t="s">
        <v>47</v>
      </c>
      <c r="C495" s="8">
        <v>46243</v>
      </c>
      <c r="D495" t="s">
        <v>324</v>
      </c>
      <c r="E495" t="s">
        <v>337</v>
      </c>
      <c r="F495" s="12">
        <v>260947</v>
      </c>
      <c r="G495" s="12" t="str">
        <f>VLOOKUP(Table2[[#This Row],[MemberID]],Table1[#All],3,0)</f>
        <v>Silver</v>
      </c>
      <c r="H495" s="13">
        <v>26</v>
      </c>
    </row>
    <row r="496" spans="1:8">
      <c r="A496" t="s">
        <v>828</v>
      </c>
      <c r="B496" t="s">
        <v>285</v>
      </c>
      <c r="C496" s="8">
        <v>46086</v>
      </c>
      <c r="D496" t="s">
        <v>321</v>
      </c>
      <c r="E496" t="s">
        <v>339</v>
      </c>
      <c r="F496" s="12">
        <v>186069</v>
      </c>
      <c r="G496" s="12" t="str">
        <f>VLOOKUP(Table2[[#This Row],[MemberID]],Table1[#All],3,0)</f>
        <v>Silver</v>
      </c>
      <c r="H496" s="13">
        <v>18</v>
      </c>
    </row>
    <row r="497" spans="1:8">
      <c r="A497" t="s">
        <v>829</v>
      </c>
      <c r="B497" t="s">
        <v>270</v>
      </c>
      <c r="C497" s="8">
        <v>46292</v>
      </c>
      <c r="D497" t="s">
        <v>324</v>
      </c>
      <c r="E497" t="s">
        <v>325</v>
      </c>
      <c r="F497" s="12">
        <v>269394</v>
      </c>
      <c r="G497" s="12" t="str">
        <f>VLOOKUP(Table2[[#This Row],[MemberID]],Table1[#All],3,0)</f>
        <v>Gold</v>
      </c>
      <c r="H497" s="13">
        <v>26</v>
      </c>
    </row>
    <row r="498" spans="1:8">
      <c r="A498" t="s">
        <v>830</v>
      </c>
      <c r="B498" t="s">
        <v>47</v>
      </c>
      <c r="C498" s="8">
        <v>46201</v>
      </c>
      <c r="D498" t="s">
        <v>332</v>
      </c>
      <c r="E498" t="s">
        <v>328</v>
      </c>
      <c r="F498" s="12">
        <v>74163</v>
      </c>
      <c r="G498" s="12" t="str">
        <f>VLOOKUP(Table2[[#This Row],[MemberID]],Table1[#All],3,0)</f>
        <v>Silver</v>
      </c>
      <c r="H498" s="13">
        <v>7</v>
      </c>
    </row>
    <row r="499" spans="1:8">
      <c r="A499" t="s">
        <v>831</v>
      </c>
      <c r="B499" t="s">
        <v>69</v>
      </c>
      <c r="C499" s="8">
        <v>46279</v>
      </c>
      <c r="D499" t="s">
        <v>324</v>
      </c>
      <c r="E499" t="s">
        <v>339</v>
      </c>
      <c r="F499" s="12">
        <v>413790</v>
      </c>
      <c r="G499" s="12" t="str">
        <f>VLOOKUP(Table2[[#This Row],[MemberID]],Table1[#All],3,0)</f>
        <v>Gold</v>
      </c>
      <c r="H499" s="13">
        <v>41</v>
      </c>
    </row>
    <row r="500" spans="1:8">
      <c r="A500" t="s">
        <v>832</v>
      </c>
      <c r="B500" t="s">
        <v>207</v>
      </c>
      <c r="C500" s="8">
        <v>45938</v>
      </c>
      <c r="D500" t="s">
        <v>321</v>
      </c>
      <c r="E500" t="s">
        <v>328</v>
      </c>
      <c r="F500" s="12">
        <v>319391</v>
      </c>
      <c r="G500" s="12" t="str">
        <f>VLOOKUP(Table2[[#This Row],[MemberID]],Table1[#All],3,0)</f>
        <v>Gold</v>
      </c>
      <c r="H500" s="13">
        <v>31</v>
      </c>
    </row>
    <row r="501" spans="1:8">
      <c r="A501" t="s">
        <v>833</v>
      </c>
      <c r="B501" t="s">
        <v>217</v>
      </c>
      <c r="C501" s="8">
        <v>46084</v>
      </c>
      <c r="D501" t="s">
        <v>330</v>
      </c>
      <c r="E501" t="s">
        <v>328</v>
      </c>
      <c r="F501" s="12">
        <v>136246</v>
      </c>
      <c r="G501" s="12" t="str">
        <f>VLOOKUP(Table2[[#This Row],[MemberID]],Table1[#All],3,0)</f>
        <v>Gold</v>
      </c>
      <c r="H501" s="13">
        <v>13</v>
      </c>
    </row>
    <row r="502" spans="1:8">
      <c r="A502" t="s">
        <v>834</v>
      </c>
      <c r="B502" t="s">
        <v>89</v>
      </c>
      <c r="C502" s="8">
        <v>46001</v>
      </c>
      <c r="D502" t="s">
        <v>330</v>
      </c>
      <c r="E502" t="s">
        <v>322</v>
      </c>
      <c r="F502" s="12">
        <v>103925</v>
      </c>
      <c r="G502" s="12" t="str">
        <f>VLOOKUP(Table2[[#This Row],[MemberID]],Table1[#All],3,0)</f>
        <v>Platinum</v>
      </c>
      <c r="H502" s="13">
        <v>10</v>
      </c>
    </row>
    <row r="503" spans="1:8">
      <c r="A503" t="s">
        <v>835</v>
      </c>
      <c r="B503" t="s">
        <v>262</v>
      </c>
      <c r="C503" s="8">
        <v>46063</v>
      </c>
      <c r="D503" t="s">
        <v>342</v>
      </c>
      <c r="E503" t="s">
        <v>322</v>
      </c>
      <c r="F503" s="12">
        <v>39095</v>
      </c>
      <c r="G503" s="12" t="str">
        <f>VLOOKUP(Table2[[#This Row],[MemberID]],Table1[#All],3,0)</f>
        <v>Gold</v>
      </c>
      <c r="H503" s="13">
        <v>3</v>
      </c>
    </row>
    <row r="504" spans="1:8">
      <c r="A504" t="s">
        <v>836</v>
      </c>
      <c r="B504" t="s">
        <v>272</v>
      </c>
      <c r="C504" s="8">
        <v>46021</v>
      </c>
      <c r="D504" t="s">
        <v>350</v>
      </c>
      <c r="E504" t="s">
        <v>337</v>
      </c>
      <c r="F504" s="12">
        <v>136201</v>
      </c>
      <c r="G504" s="12" t="str">
        <f>VLOOKUP(Table2[[#This Row],[MemberID]],Table1[#All],3,0)</f>
        <v>Silver</v>
      </c>
      <c r="H504" s="13">
        <v>13</v>
      </c>
    </row>
    <row r="505" spans="1:8">
      <c r="A505" t="s">
        <v>837</v>
      </c>
      <c r="B505" t="s">
        <v>199</v>
      </c>
      <c r="C505" s="8">
        <v>46228</v>
      </c>
      <c r="D505" t="s">
        <v>342</v>
      </c>
      <c r="E505" t="s">
        <v>334</v>
      </c>
      <c r="F505" s="12">
        <v>86786</v>
      </c>
      <c r="G505" s="12" t="str">
        <f>VLOOKUP(Table2[[#This Row],[MemberID]],Table1[#All],3,0)</f>
        <v>Gold</v>
      </c>
      <c r="H505" s="13">
        <v>8</v>
      </c>
    </row>
    <row r="506" spans="1:8">
      <c r="A506" t="s">
        <v>838</v>
      </c>
      <c r="B506" t="s">
        <v>290</v>
      </c>
      <c r="C506" s="8">
        <v>45939</v>
      </c>
      <c r="D506" t="s">
        <v>321</v>
      </c>
      <c r="E506" t="s">
        <v>334</v>
      </c>
      <c r="F506" s="12">
        <v>56138</v>
      </c>
      <c r="G506" s="12" t="str">
        <f>VLOOKUP(Table2[[#This Row],[MemberID]],Table1[#All],3,0)</f>
        <v>Silver</v>
      </c>
      <c r="H506" s="13">
        <v>5</v>
      </c>
    </row>
    <row r="507" spans="1:8">
      <c r="A507" t="s">
        <v>839</v>
      </c>
      <c r="B507" t="s">
        <v>83</v>
      </c>
      <c r="C507" s="8">
        <v>45953</v>
      </c>
      <c r="D507" t="s">
        <v>332</v>
      </c>
      <c r="E507" t="s">
        <v>325</v>
      </c>
      <c r="F507" s="12">
        <v>242860</v>
      </c>
      <c r="G507" s="12" t="str">
        <f>VLOOKUP(Table2[[#This Row],[MemberID]],Table1[#All],3,0)</f>
        <v>Gold</v>
      </c>
      <c r="H507" s="13">
        <v>24</v>
      </c>
    </row>
    <row r="508" spans="1:8">
      <c r="A508" t="s">
        <v>840</v>
      </c>
      <c r="B508" t="s">
        <v>179</v>
      </c>
      <c r="C508" s="8">
        <v>45963</v>
      </c>
      <c r="D508" t="s">
        <v>324</v>
      </c>
      <c r="E508" t="s">
        <v>334</v>
      </c>
      <c r="F508" s="12">
        <v>118714</v>
      </c>
      <c r="G508" s="12" t="str">
        <f>VLOOKUP(Table2[[#This Row],[MemberID]],Table1[#All],3,0)</f>
        <v>Gold</v>
      </c>
      <c r="H508" s="13">
        <v>11</v>
      </c>
    </row>
    <row r="509" spans="1:8">
      <c r="A509" t="s">
        <v>841</v>
      </c>
      <c r="B509" t="s">
        <v>136</v>
      </c>
      <c r="C509" s="8">
        <v>46090</v>
      </c>
      <c r="D509" t="s">
        <v>332</v>
      </c>
      <c r="E509" t="s">
        <v>328</v>
      </c>
      <c r="F509" s="12">
        <v>439238</v>
      </c>
      <c r="G509" s="12" t="str">
        <f>VLOOKUP(Table2[[#This Row],[MemberID]],Table1[#All],3,0)</f>
        <v>Platinum</v>
      </c>
      <c r="H509" s="13">
        <v>43</v>
      </c>
    </row>
    <row r="510" spans="1:8">
      <c r="A510" t="s">
        <v>842</v>
      </c>
      <c r="B510" t="s">
        <v>266</v>
      </c>
      <c r="C510" s="8">
        <v>46018</v>
      </c>
      <c r="D510" t="s">
        <v>342</v>
      </c>
      <c r="E510" t="s">
        <v>322</v>
      </c>
      <c r="F510" s="12">
        <v>286727</v>
      </c>
      <c r="G510" s="12" t="str">
        <f>VLOOKUP(Table2[[#This Row],[MemberID]],Table1[#All],3,0)</f>
        <v>Silver</v>
      </c>
      <c r="H510" s="13">
        <v>28</v>
      </c>
    </row>
    <row r="511" spans="1:8">
      <c r="A511" t="s">
        <v>843</v>
      </c>
      <c r="B511" t="s">
        <v>217</v>
      </c>
      <c r="C511" s="8">
        <v>45931</v>
      </c>
      <c r="D511" t="s">
        <v>344</v>
      </c>
      <c r="E511" t="s">
        <v>334</v>
      </c>
      <c r="F511" s="12">
        <v>548327</v>
      </c>
      <c r="G511" s="12" t="str">
        <f>VLOOKUP(Table2[[#This Row],[MemberID]],Table1[#All],3,0)</f>
        <v>Gold</v>
      </c>
      <c r="H511" s="13">
        <v>54</v>
      </c>
    </row>
    <row r="512" spans="1:8">
      <c r="A512" t="s">
        <v>844</v>
      </c>
      <c r="B512" t="s">
        <v>240</v>
      </c>
      <c r="C512" s="8">
        <v>46149</v>
      </c>
      <c r="D512" t="s">
        <v>342</v>
      </c>
      <c r="E512" t="s">
        <v>334</v>
      </c>
      <c r="F512" s="12">
        <v>378460</v>
      </c>
      <c r="G512" s="12" t="str">
        <f>VLOOKUP(Table2[[#This Row],[MemberID]],Table1[#All],3,0)</f>
        <v>Silver</v>
      </c>
      <c r="H512" s="13">
        <v>37</v>
      </c>
    </row>
    <row r="513" spans="1:8">
      <c r="A513" t="s">
        <v>845</v>
      </c>
      <c r="B513" t="s">
        <v>200</v>
      </c>
      <c r="C513" s="8">
        <v>46253</v>
      </c>
      <c r="D513" t="s">
        <v>342</v>
      </c>
      <c r="E513" t="s">
        <v>325</v>
      </c>
      <c r="F513" s="12">
        <v>354810</v>
      </c>
      <c r="G513" s="12" t="str">
        <f>VLOOKUP(Table2[[#This Row],[MemberID]],Table1[#All],3,0)</f>
        <v>Silver</v>
      </c>
      <c r="H513" s="13">
        <v>35</v>
      </c>
    </row>
    <row r="514" spans="1:8">
      <c r="A514" t="s">
        <v>846</v>
      </c>
      <c r="B514" t="s">
        <v>202</v>
      </c>
      <c r="C514" s="8">
        <v>46134</v>
      </c>
      <c r="D514" t="s">
        <v>342</v>
      </c>
      <c r="E514" t="s">
        <v>322</v>
      </c>
      <c r="F514" s="12">
        <v>483216</v>
      </c>
      <c r="G514" s="12" t="str">
        <f>VLOOKUP(Table2[[#This Row],[MemberID]],Table1[#All],3,0)</f>
        <v>Silver</v>
      </c>
      <c r="H514" s="13">
        <v>48</v>
      </c>
    </row>
    <row r="515" spans="1:8">
      <c r="A515" t="s">
        <v>847</v>
      </c>
      <c r="B515" t="s">
        <v>64</v>
      </c>
      <c r="C515" s="8">
        <v>46098</v>
      </c>
      <c r="D515" t="s">
        <v>327</v>
      </c>
      <c r="E515" t="s">
        <v>328</v>
      </c>
      <c r="F515" s="12">
        <v>393687</v>
      </c>
      <c r="G515" s="12" t="str">
        <f>VLOOKUP(Table2[[#This Row],[MemberID]],Table1[#All],3,0)</f>
        <v>Silver</v>
      </c>
      <c r="H515" s="13">
        <v>39</v>
      </c>
    </row>
    <row r="516" spans="1:8">
      <c r="A516" t="s">
        <v>848</v>
      </c>
      <c r="B516" t="s">
        <v>175</v>
      </c>
      <c r="C516" s="8">
        <v>46221</v>
      </c>
      <c r="D516" t="s">
        <v>327</v>
      </c>
      <c r="E516" t="s">
        <v>334</v>
      </c>
      <c r="F516" s="12">
        <v>313570</v>
      </c>
      <c r="G516" s="12" t="str">
        <f>VLOOKUP(Table2[[#This Row],[MemberID]],Table1[#All],3,0)</f>
        <v>Platinum</v>
      </c>
      <c r="H516" s="13">
        <v>31</v>
      </c>
    </row>
    <row r="517" spans="1:8">
      <c r="A517" t="s">
        <v>849</v>
      </c>
      <c r="B517" t="s">
        <v>106</v>
      </c>
      <c r="C517" s="8">
        <v>46271</v>
      </c>
      <c r="D517" t="s">
        <v>327</v>
      </c>
      <c r="E517" t="s">
        <v>322</v>
      </c>
      <c r="F517" s="12">
        <v>683314</v>
      </c>
      <c r="G517" s="12" t="str">
        <f>VLOOKUP(Table2[[#This Row],[MemberID]],Table1[#All],3,0)</f>
        <v>Silver</v>
      </c>
      <c r="H517" s="13">
        <v>68</v>
      </c>
    </row>
    <row r="518" spans="1:8">
      <c r="A518" t="s">
        <v>850</v>
      </c>
      <c r="B518" t="s">
        <v>278</v>
      </c>
      <c r="C518" s="8">
        <v>45958</v>
      </c>
      <c r="D518" t="s">
        <v>342</v>
      </c>
      <c r="E518" t="s">
        <v>334</v>
      </c>
      <c r="F518" s="12">
        <v>259670</v>
      </c>
      <c r="G518" s="12" t="str">
        <f>VLOOKUP(Table2[[#This Row],[MemberID]],Table1[#All],3,0)</f>
        <v>Silver</v>
      </c>
      <c r="H518" s="13">
        <v>25</v>
      </c>
    </row>
    <row r="519" spans="1:8">
      <c r="A519" t="s">
        <v>851</v>
      </c>
      <c r="B519" t="s">
        <v>261</v>
      </c>
      <c r="C519" s="8">
        <v>45978</v>
      </c>
      <c r="D519" t="s">
        <v>344</v>
      </c>
      <c r="E519" t="s">
        <v>339</v>
      </c>
      <c r="F519" s="12">
        <v>1106114</v>
      </c>
      <c r="G519" s="12" t="str">
        <f>VLOOKUP(Table2[[#This Row],[MemberID]],Table1[#All],3,0)</f>
        <v>Silver</v>
      </c>
      <c r="H519" s="13">
        <v>110</v>
      </c>
    </row>
    <row r="520" spans="1:8">
      <c r="A520" t="s">
        <v>852</v>
      </c>
      <c r="B520" t="s">
        <v>217</v>
      </c>
      <c r="C520" s="8">
        <v>46092</v>
      </c>
      <c r="D520" t="s">
        <v>327</v>
      </c>
      <c r="E520" t="s">
        <v>334</v>
      </c>
      <c r="F520" s="12">
        <v>261597</v>
      </c>
      <c r="G520" s="12" t="str">
        <f>VLOOKUP(Table2[[#This Row],[MemberID]],Table1[#All],3,0)</f>
        <v>Gold</v>
      </c>
      <c r="H520" s="13">
        <v>26</v>
      </c>
    </row>
    <row r="521" spans="1:8">
      <c r="A521" t="s">
        <v>853</v>
      </c>
      <c r="B521" t="s">
        <v>92</v>
      </c>
      <c r="C521" s="8">
        <v>46134</v>
      </c>
      <c r="D521" t="s">
        <v>342</v>
      </c>
      <c r="E521" t="s">
        <v>334</v>
      </c>
      <c r="F521" s="12">
        <v>100483</v>
      </c>
      <c r="G521" s="12" t="str">
        <f>VLOOKUP(Table2[[#This Row],[MemberID]],Table1[#All],3,0)</f>
        <v>Silver</v>
      </c>
      <c r="H521" s="13">
        <v>10</v>
      </c>
    </row>
    <row r="522" spans="1:8">
      <c r="A522" t="s">
        <v>854</v>
      </c>
      <c r="B522" t="s">
        <v>277</v>
      </c>
      <c r="C522" s="8">
        <v>46101</v>
      </c>
      <c r="D522" t="s">
        <v>344</v>
      </c>
      <c r="E522" t="s">
        <v>334</v>
      </c>
      <c r="F522" s="12">
        <v>261817</v>
      </c>
      <c r="G522" s="12" t="str">
        <f>VLOOKUP(Table2[[#This Row],[MemberID]],Table1[#All],3,0)</f>
        <v>Silver</v>
      </c>
      <c r="H522" s="13">
        <v>26</v>
      </c>
    </row>
    <row r="523" spans="1:8">
      <c r="A523" t="s">
        <v>855</v>
      </c>
      <c r="B523" t="s">
        <v>257</v>
      </c>
      <c r="C523" s="8">
        <v>45988</v>
      </c>
      <c r="D523" t="s">
        <v>350</v>
      </c>
      <c r="E523" t="s">
        <v>339</v>
      </c>
      <c r="F523" s="12">
        <v>826989</v>
      </c>
      <c r="G523" s="12" t="str">
        <f>VLOOKUP(Table2[[#This Row],[MemberID]],Table1[#All],3,0)</f>
        <v>Gold</v>
      </c>
      <c r="H523" s="13">
        <v>82</v>
      </c>
    </row>
    <row r="524" spans="1:8">
      <c r="A524" t="s">
        <v>856</v>
      </c>
      <c r="B524" t="s">
        <v>151</v>
      </c>
      <c r="C524" s="8">
        <v>45987</v>
      </c>
      <c r="D524" t="s">
        <v>321</v>
      </c>
      <c r="E524" t="s">
        <v>328</v>
      </c>
      <c r="F524" s="12">
        <v>235578</v>
      </c>
      <c r="G524" s="12" t="str">
        <f>VLOOKUP(Table2[[#This Row],[MemberID]],Table1[#All],3,0)</f>
        <v>Silver</v>
      </c>
      <c r="H524" s="13">
        <v>23</v>
      </c>
    </row>
    <row r="525" spans="1:8">
      <c r="A525" t="s">
        <v>857</v>
      </c>
      <c r="B525" t="s">
        <v>231</v>
      </c>
      <c r="C525" s="8">
        <v>46208</v>
      </c>
      <c r="D525" t="s">
        <v>330</v>
      </c>
      <c r="E525" t="s">
        <v>328</v>
      </c>
      <c r="F525" s="12">
        <v>414971</v>
      </c>
      <c r="G525" s="12" t="str">
        <f>VLOOKUP(Table2[[#This Row],[MemberID]],Table1[#All],3,0)</f>
        <v>Silver</v>
      </c>
      <c r="H525" s="13">
        <v>41</v>
      </c>
    </row>
    <row r="526" spans="1:8">
      <c r="A526" t="s">
        <v>858</v>
      </c>
      <c r="B526" t="s">
        <v>289</v>
      </c>
      <c r="C526" s="8">
        <v>46281</v>
      </c>
      <c r="D526" t="s">
        <v>324</v>
      </c>
      <c r="E526" t="s">
        <v>334</v>
      </c>
      <c r="F526" s="12">
        <v>314439</v>
      </c>
      <c r="G526" s="12" t="str">
        <f>VLOOKUP(Table2[[#This Row],[MemberID]],Table1[#All],3,0)</f>
        <v>Silver</v>
      </c>
      <c r="H526" s="13">
        <v>31</v>
      </c>
    </row>
    <row r="527" spans="1:8">
      <c r="A527" t="s">
        <v>859</v>
      </c>
      <c r="B527" t="s">
        <v>278</v>
      </c>
      <c r="C527" s="8">
        <v>46187</v>
      </c>
      <c r="D527" t="s">
        <v>342</v>
      </c>
      <c r="E527" t="s">
        <v>325</v>
      </c>
      <c r="F527" s="12">
        <v>149746</v>
      </c>
      <c r="G527" s="12" t="str">
        <f>VLOOKUP(Table2[[#This Row],[MemberID]],Table1[#All],3,0)</f>
        <v>Silver</v>
      </c>
      <c r="H527" s="13">
        <v>14</v>
      </c>
    </row>
    <row r="528" spans="1:8">
      <c r="A528" t="s">
        <v>860</v>
      </c>
      <c r="B528" t="s">
        <v>8</v>
      </c>
      <c r="C528" s="8">
        <v>46151</v>
      </c>
      <c r="D528" t="s">
        <v>350</v>
      </c>
      <c r="E528" t="s">
        <v>328</v>
      </c>
      <c r="F528" s="12">
        <v>121375</v>
      </c>
      <c r="G528" s="12" t="str">
        <f>VLOOKUP(Table2[[#This Row],[MemberID]],Table1[#All],3,0)</f>
        <v>Gold</v>
      </c>
      <c r="H528" s="13">
        <v>12</v>
      </c>
    </row>
    <row r="529" spans="1:8">
      <c r="A529" t="s">
        <v>861</v>
      </c>
      <c r="B529" t="s">
        <v>127</v>
      </c>
      <c r="C529" s="8">
        <v>46291</v>
      </c>
      <c r="D529" t="s">
        <v>350</v>
      </c>
      <c r="E529" t="s">
        <v>322</v>
      </c>
      <c r="F529" s="12">
        <v>279517</v>
      </c>
      <c r="G529" s="12" t="str">
        <f>VLOOKUP(Table2[[#This Row],[MemberID]],Table1[#All],3,0)</f>
        <v>Platinum</v>
      </c>
      <c r="H529" s="13">
        <v>27</v>
      </c>
    </row>
    <row r="530" spans="1:8">
      <c r="A530" t="s">
        <v>862</v>
      </c>
      <c r="B530" t="s">
        <v>106</v>
      </c>
      <c r="C530" s="8">
        <v>46141</v>
      </c>
      <c r="D530" t="s">
        <v>344</v>
      </c>
      <c r="E530" t="s">
        <v>334</v>
      </c>
      <c r="F530" s="12">
        <v>126727</v>
      </c>
      <c r="G530" s="12" t="str">
        <f>VLOOKUP(Table2[[#This Row],[MemberID]],Table1[#All],3,0)</f>
        <v>Silver</v>
      </c>
      <c r="H530" s="13">
        <v>12</v>
      </c>
    </row>
    <row r="531" spans="1:8">
      <c r="A531" t="s">
        <v>863</v>
      </c>
      <c r="B531" t="s">
        <v>90</v>
      </c>
      <c r="C531" s="8">
        <v>46067</v>
      </c>
      <c r="D531" t="s">
        <v>332</v>
      </c>
      <c r="E531" t="s">
        <v>322</v>
      </c>
      <c r="F531" s="12">
        <v>138393</v>
      </c>
      <c r="G531" s="12" t="str">
        <f>VLOOKUP(Table2[[#This Row],[MemberID]],Table1[#All],3,0)</f>
        <v>Silver</v>
      </c>
      <c r="H531" s="13">
        <v>13</v>
      </c>
    </row>
    <row r="532" spans="1:8">
      <c r="A532" t="s">
        <v>864</v>
      </c>
      <c r="B532" t="s">
        <v>294</v>
      </c>
      <c r="C532" s="8">
        <v>46169</v>
      </c>
      <c r="D532" t="s">
        <v>342</v>
      </c>
      <c r="E532" t="s">
        <v>339</v>
      </c>
      <c r="F532" s="12">
        <v>92733</v>
      </c>
      <c r="G532" s="12" t="str">
        <f>VLOOKUP(Table2[[#This Row],[MemberID]],Table1[#All],3,0)</f>
        <v>Gold</v>
      </c>
      <c r="H532" s="13">
        <v>9</v>
      </c>
    </row>
    <row r="533" spans="1:8">
      <c r="A533" t="s">
        <v>865</v>
      </c>
      <c r="B533" t="s">
        <v>135</v>
      </c>
      <c r="C533" s="8">
        <v>46157</v>
      </c>
      <c r="D533" t="s">
        <v>327</v>
      </c>
      <c r="E533" t="s">
        <v>334</v>
      </c>
      <c r="F533" s="12">
        <v>456947</v>
      </c>
      <c r="G533" s="12" t="str">
        <f>VLOOKUP(Table2[[#This Row],[MemberID]],Table1[#All],3,0)</f>
        <v>Silver</v>
      </c>
      <c r="H533" s="13">
        <v>45</v>
      </c>
    </row>
    <row r="534" spans="1:8">
      <c r="A534" t="s">
        <v>866</v>
      </c>
      <c r="B534" t="s">
        <v>243</v>
      </c>
      <c r="C534" s="8">
        <v>46261</v>
      </c>
      <c r="D534" t="s">
        <v>350</v>
      </c>
      <c r="E534" t="s">
        <v>325</v>
      </c>
      <c r="F534" s="12">
        <v>947307</v>
      </c>
      <c r="G534" s="12" t="str">
        <f>VLOOKUP(Table2[[#This Row],[MemberID]],Table1[#All],3,0)</f>
        <v>Silver</v>
      </c>
      <c r="H534" s="13">
        <v>94</v>
      </c>
    </row>
    <row r="535" spans="1:8">
      <c r="A535" t="s">
        <v>867</v>
      </c>
      <c r="B535" t="s">
        <v>67</v>
      </c>
      <c r="C535" s="8">
        <v>46164</v>
      </c>
      <c r="D535" t="s">
        <v>350</v>
      </c>
      <c r="E535" t="s">
        <v>339</v>
      </c>
      <c r="F535" s="12">
        <v>624534</v>
      </c>
      <c r="G535" s="12" t="str">
        <f>VLOOKUP(Table2[[#This Row],[MemberID]],Table1[#All],3,0)</f>
        <v>Platinum</v>
      </c>
      <c r="H535" s="13">
        <v>62</v>
      </c>
    </row>
    <row r="536" spans="1:8">
      <c r="A536" t="s">
        <v>868</v>
      </c>
      <c r="B536" t="s">
        <v>29</v>
      </c>
      <c r="C536" s="8">
        <v>46249</v>
      </c>
      <c r="D536" t="s">
        <v>344</v>
      </c>
      <c r="E536" t="s">
        <v>339</v>
      </c>
      <c r="F536" s="12">
        <v>619101</v>
      </c>
      <c r="G536" s="12" t="str">
        <f>VLOOKUP(Table2[[#This Row],[MemberID]],Table1[#All],3,0)</f>
        <v>Gold</v>
      </c>
      <c r="H536" s="13">
        <v>61</v>
      </c>
    </row>
    <row r="537" spans="1:8">
      <c r="A537" t="s">
        <v>869</v>
      </c>
      <c r="B537" t="s">
        <v>165</v>
      </c>
      <c r="C537" s="8">
        <v>46012</v>
      </c>
      <c r="D537" t="s">
        <v>332</v>
      </c>
      <c r="E537" t="s">
        <v>339</v>
      </c>
      <c r="F537" s="12">
        <v>146870</v>
      </c>
      <c r="G537" s="12" t="str">
        <f>VLOOKUP(Table2[[#This Row],[MemberID]],Table1[#All],3,0)</f>
        <v>Silver</v>
      </c>
      <c r="H537" s="13">
        <v>14</v>
      </c>
    </row>
    <row r="538" spans="1:8">
      <c r="A538" t="s">
        <v>870</v>
      </c>
      <c r="B538" t="s">
        <v>173</v>
      </c>
      <c r="C538" s="8">
        <v>45952</v>
      </c>
      <c r="D538" t="s">
        <v>344</v>
      </c>
      <c r="E538" t="s">
        <v>339</v>
      </c>
      <c r="F538" s="12">
        <v>624283</v>
      </c>
      <c r="G538" s="12" t="str">
        <f>VLOOKUP(Table2[[#This Row],[MemberID]],Table1[#All],3,0)</f>
        <v>Gold</v>
      </c>
      <c r="H538" s="13">
        <v>62</v>
      </c>
    </row>
    <row r="539" spans="1:8">
      <c r="A539" t="s">
        <v>871</v>
      </c>
      <c r="B539" t="s">
        <v>233</v>
      </c>
      <c r="C539" s="8">
        <v>46097</v>
      </c>
      <c r="D539" t="s">
        <v>321</v>
      </c>
      <c r="E539" t="s">
        <v>328</v>
      </c>
      <c r="F539" s="12">
        <v>77222</v>
      </c>
      <c r="G539" s="12" t="str">
        <f>VLOOKUP(Table2[[#This Row],[MemberID]],Table1[#All],3,0)</f>
        <v>Gold</v>
      </c>
      <c r="H539" s="13">
        <v>7</v>
      </c>
    </row>
    <row r="540" spans="1:8">
      <c r="A540" t="s">
        <v>872</v>
      </c>
      <c r="B540" t="s">
        <v>184</v>
      </c>
      <c r="C540" s="8">
        <v>46269</v>
      </c>
      <c r="D540" t="s">
        <v>324</v>
      </c>
      <c r="E540" t="s">
        <v>322</v>
      </c>
      <c r="F540" s="12">
        <v>207262</v>
      </c>
      <c r="G540" s="12" t="str">
        <f>VLOOKUP(Table2[[#This Row],[MemberID]],Table1[#All],3,0)</f>
        <v>Silver</v>
      </c>
      <c r="H540" s="13">
        <v>20</v>
      </c>
    </row>
    <row r="541" spans="1:8">
      <c r="A541" t="s">
        <v>873</v>
      </c>
      <c r="B541" t="s">
        <v>91</v>
      </c>
      <c r="C541" s="8">
        <v>46186</v>
      </c>
      <c r="D541" t="s">
        <v>332</v>
      </c>
      <c r="E541" t="s">
        <v>337</v>
      </c>
      <c r="F541" s="12">
        <v>222599</v>
      </c>
      <c r="G541" s="12" t="str">
        <f>VLOOKUP(Table2[[#This Row],[MemberID]],Table1[#All],3,0)</f>
        <v>Gold</v>
      </c>
      <c r="H541" s="13">
        <v>22</v>
      </c>
    </row>
    <row r="542" spans="1:8">
      <c r="A542" t="s">
        <v>874</v>
      </c>
      <c r="B542" t="s">
        <v>250</v>
      </c>
      <c r="C542" s="8">
        <v>46089</v>
      </c>
      <c r="D542" t="s">
        <v>321</v>
      </c>
      <c r="E542" t="s">
        <v>325</v>
      </c>
      <c r="F542" s="12">
        <v>626029</v>
      </c>
      <c r="G542" s="12" t="str">
        <f>VLOOKUP(Table2[[#This Row],[MemberID]],Table1[#All],3,0)</f>
        <v>Platinum</v>
      </c>
      <c r="H542" s="13">
        <v>62</v>
      </c>
    </row>
    <row r="543" spans="1:8">
      <c r="A543" t="s">
        <v>875</v>
      </c>
      <c r="B543" t="s">
        <v>227</v>
      </c>
      <c r="C543" s="8">
        <v>46249</v>
      </c>
      <c r="D543" t="s">
        <v>350</v>
      </c>
      <c r="E543" t="s">
        <v>337</v>
      </c>
      <c r="F543" s="12">
        <v>136480</v>
      </c>
      <c r="G543" s="12" t="str">
        <f>VLOOKUP(Table2[[#This Row],[MemberID]],Table1[#All],3,0)</f>
        <v>Silver</v>
      </c>
      <c r="H543" s="13">
        <v>13</v>
      </c>
    </row>
    <row r="544" spans="1:8">
      <c r="A544" t="s">
        <v>876</v>
      </c>
      <c r="B544" t="s">
        <v>125</v>
      </c>
      <c r="C544" s="8">
        <v>46246</v>
      </c>
      <c r="D544" t="s">
        <v>330</v>
      </c>
      <c r="E544" t="s">
        <v>337</v>
      </c>
      <c r="F544" s="12">
        <v>25000</v>
      </c>
      <c r="G544" s="12" t="str">
        <f>VLOOKUP(Table2[[#This Row],[MemberID]],Table1[#All],3,0)</f>
        <v>Silver</v>
      </c>
      <c r="H544" s="13">
        <v>2</v>
      </c>
    </row>
    <row r="545" spans="1:8">
      <c r="A545" t="s">
        <v>877</v>
      </c>
      <c r="B545" t="s">
        <v>100</v>
      </c>
      <c r="C545" s="8">
        <v>45949</v>
      </c>
      <c r="D545" t="s">
        <v>327</v>
      </c>
      <c r="E545" t="s">
        <v>337</v>
      </c>
      <c r="F545" s="12">
        <v>67733</v>
      </c>
      <c r="G545" s="12" t="str">
        <f>VLOOKUP(Table2[[#This Row],[MemberID]],Table1[#All],3,0)</f>
        <v>Silver</v>
      </c>
      <c r="H545" s="13">
        <v>6</v>
      </c>
    </row>
    <row r="546" spans="1:8">
      <c r="A546" t="s">
        <v>878</v>
      </c>
      <c r="B546" t="s">
        <v>184</v>
      </c>
      <c r="C546" s="8">
        <v>46207</v>
      </c>
      <c r="D546" t="s">
        <v>344</v>
      </c>
      <c r="E546" t="s">
        <v>337</v>
      </c>
      <c r="F546" s="12">
        <v>452917</v>
      </c>
      <c r="G546" s="12" t="str">
        <f>VLOOKUP(Table2[[#This Row],[MemberID]],Table1[#All],3,0)</f>
        <v>Silver</v>
      </c>
      <c r="H546" s="13">
        <v>45</v>
      </c>
    </row>
    <row r="547" spans="1:8">
      <c r="A547" t="s">
        <v>879</v>
      </c>
      <c r="B547" t="s">
        <v>233</v>
      </c>
      <c r="C547" s="8">
        <v>45952</v>
      </c>
      <c r="D547" t="s">
        <v>330</v>
      </c>
      <c r="E547" t="s">
        <v>339</v>
      </c>
      <c r="F547" s="12">
        <v>133204</v>
      </c>
      <c r="G547" s="12" t="str">
        <f>VLOOKUP(Table2[[#This Row],[MemberID]],Table1[#All],3,0)</f>
        <v>Gold</v>
      </c>
      <c r="H547" s="13">
        <v>13</v>
      </c>
    </row>
    <row r="548" spans="1:8">
      <c r="A548" t="s">
        <v>880</v>
      </c>
      <c r="B548" t="s">
        <v>202</v>
      </c>
      <c r="C548" s="8">
        <v>46059</v>
      </c>
      <c r="D548" t="s">
        <v>342</v>
      </c>
      <c r="E548" t="s">
        <v>328</v>
      </c>
      <c r="F548" s="12">
        <v>199789</v>
      </c>
      <c r="G548" s="12" t="str">
        <f>VLOOKUP(Table2[[#This Row],[MemberID]],Table1[#All],3,0)</f>
        <v>Silver</v>
      </c>
      <c r="H548" s="13">
        <v>19</v>
      </c>
    </row>
    <row r="549" spans="1:8">
      <c r="A549" t="s">
        <v>881</v>
      </c>
      <c r="B549" t="s">
        <v>188</v>
      </c>
      <c r="C549" s="8">
        <v>46120</v>
      </c>
      <c r="D549" t="s">
        <v>321</v>
      </c>
      <c r="E549" t="s">
        <v>334</v>
      </c>
      <c r="F549" s="12">
        <v>410964</v>
      </c>
      <c r="G549" s="12" t="str">
        <f>VLOOKUP(Table2[[#This Row],[MemberID]],Table1[#All],3,0)</f>
        <v>Silver</v>
      </c>
      <c r="H549" s="13">
        <v>41</v>
      </c>
    </row>
    <row r="550" spans="1:8">
      <c r="A550" t="s">
        <v>882</v>
      </c>
      <c r="B550" t="s">
        <v>310</v>
      </c>
      <c r="C550" s="8">
        <v>46051</v>
      </c>
      <c r="D550" t="s">
        <v>332</v>
      </c>
      <c r="E550" t="s">
        <v>328</v>
      </c>
      <c r="F550" s="12">
        <v>452472</v>
      </c>
      <c r="G550" s="12" t="str">
        <f>VLOOKUP(Table2[[#This Row],[MemberID]],Table1[#All],3,0)</f>
        <v>Silver</v>
      </c>
      <c r="H550" s="13">
        <v>45</v>
      </c>
    </row>
    <row r="551" spans="1:8">
      <c r="A551" t="s">
        <v>883</v>
      </c>
      <c r="B551" t="s">
        <v>191</v>
      </c>
      <c r="C551" s="8">
        <v>46266</v>
      </c>
      <c r="D551" t="s">
        <v>324</v>
      </c>
      <c r="E551" t="s">
        <v>337</v>
      </c>
      <c r="F551" s="12">
        <v>143023</v>
      </c>
      <c r="G551" s="12" t="str">
        <f>VLOOKUP(Table2[[#This Row],[MemberID]],Table1[#All],3,0)</f>
        <v>Gold</v>
      </c>
      <c r="H551" s="13">
        <v>14</v>
      </c>
    </row>
    <row r="552" spans="1:8">
      <c r="A552" t="s">
        <v>884</v>
      </c>
      <c r="B552" t="s">
        <v>294</v>
      </c>
      <c r="C552" s="8">
        <v>45988</v>
      </c>
      <c r="D552" t="s">
        <v>327</v>
      </c>
      <c r="E552" t="s">
        <v>322</v>
      </c>
      <c r="F552" s="12">
        <v>300214</v>
      </c>
      <c r="G552" s="12" t="str">
        <f>VLOOKUP(Table2[[#This Row],[MemberID]],Table1[#All],3,0)</f>
        <v>Gold</v>
      </c>
      <c r="H552" s="13">
        <v>30</v>
      </c>
    </row>
    <row r="553" spans="1:8">
      <c r="A553" t="s">
        <v>885</v>
      </c>
      <c r="B553" t="s">
        <v>196</v>
      </c>
      <c r="C553" s="8">
        <v>46065</v>
      </c>
      <c r="D553" t="s">
        <v>330</v>
      </c>
      <c r="E553" t="s">
        <v>334</v>
      </c>
      <c r="F553" s="12">
        <v>511903</v>
      </c>
      <c r="G553" s="12" t="str">
        <f>VLOOKUP(Table2[[#This Row],[MemberID]],Table1[#All],3,0)</f>
        <v>Gold</v>
      </c>
      <c r="H553" s="13">
        <v>51</v>
      </c>
    </row>
    <row r="554" spans="1:8">
      <c r="A554" t="s">
        <v>886</v>
      </c>
      <c r="B554" t="s">
        <v>143</v>
      </c>
      <c r="C554" s="8">
        <v>46255</v>
      </c>
      <c r="D554" t="s">
        <v>344</v>
      </c>
      <c r="E554" t="s">
        <v>322</v>
      </c>
      <c r="F554" s="12">
        <v>94580</v>
      </c>
      <c r="G554" s="12" t="str">
        <f>VLOOKUP(Table2[[#This Row],[MemberID]],Table1[#All],3,0)</f>
        <v>Silver</v>
      </c>
      <c r="H554" s="13">
        <v>9</v>
      </c>
    </row>
    <row r="555" spans="1:8">
      <c r="A555" t="s">
        <v>887</v>
      </c>
      <c r="B555" t="s">
        <v>194</v>
      </c>
      <c r="C555" s="8">
        <v>46212</v>
      </c>
      <c r="D555" t="s">
        <v>324</v>
      </c>
      <c r="E555" t="s">
        <v>337</v>
      </c>
      <c r="F555" s="12">
        <v>30001</v>
      </c>
      <c r="G555" s="12" t="str">
        <f>VLOOKUP(Table2[[#This Row],[MemberID]],Table1[#All],3,0)</f>
        <v>Silver</v>
      </c>
      <c r="H555" s="13">
        <v>3</v>
      </c>
    </row>
    <row r="556" spans="1:8">
      <c r="A556" t="s">
        <v>888</v>
      </c>
      <c r="B556" t="s">
        <v>87</v>
      </c>
      <c r="C556" s="8">
        <v>45991</v>
      </c>
      <c r="D556" t="s">
        <v>321</v>
      </c>
      <c r="E556" t="s">
        <v>328</v>
      </c>
      <c r="F556" s="12">
        <v>217960</v>
      </c>
      <c r="G556" s="12" t="str">
        <f>VLOOKUP(Table2[[#This Row],[MemberID]],Table1[#All],3,0)</f>
        <v>Gold</v>
      </c>
      <c r="H556" s="13">
        <v>21</v>
      </c>
    </row>
    <row r="557" spans="1:8">
      <c r="A557" t="s">
        <v>889</v>
      </c>
      <c r="B557" t="s">
        <v>16</v>
      </c>
      <c r="C557" s="8">
        <v>46277</v>
      </c>
      <c r="D557" t="s">
        <v>332</v>
      </c>
      <c r="E557" t="s">
        <v>339</v>
      </c>
      <c r="F557" s="12">
        <v>455578</v>
      </c>
      <c r="G557" s="12" t="str">
        <f>VLOOKUP(Table2[[#This Row],[MemberID]],Table1[#All],3,0)</f>
        <v>Gold</v>
      </c>
      <c r="H557" s="13">
        <v>45</v>
      </c>
    </row>
    <row r="558" spans="1:8">
      <c r="A558" t="s">
        <v>890</v>
      </c>
      <c r="B558" t="s">
        <v>90</v>
      </c>
      <c r="C558" s="8">
        <v>46189</v>
      </c>
      <c r="D558" t="s">
        <v>321</v>
      </c>
      <c r="E558" t="s">
        <v>334</v>
      </c>
      <c r="F558" s="12">
        <v>270966</v>
      </c>
      <c r="G558" s="12" t="str">
        <f>VLOOKUP(Table2[[#This Row],[MemberID]],Table1[#All],3,0)</f>
        <v>Silver</v>
      </c>
      <c r="H558" s="13">
        <v>27</v>
      </c>
    </row>
    <row r="559" spans="1:8">
      <c r="A559" t="s">
        <v>891</v>
      </c>
      <c r="B559" t="s">
        <v>94</v>
      </c>
      <c r="C559" s="8">
        <v>46123</v>
      </c>
      <c r="D559" t="s">
        <v>332</v>
      </c>
      <c r="E559" t="s">
        <v>328</v>
      </c>
      <c r="F559" s="12">
        <v>374454</v>
      </c>
      <c r="G559" s="12" t="str">
        <f>VLOOKUP(Table2[[#This Row],[MemberID]],Table1[#All],3,0)</f>
        <v>Silver</v>
      </c>
      <c r="H559" s="13">
        <v>37</v>
      </c>
    </row>
    <row r="560" spans="1:8">
      <c r="A560" t="s">
        <v>892</v>
      </c>
      <c r="B560" t="s">
        <v>153</v>
      </c>
      <c r="C560" s="8">
        <v>46016</v>
      </c>
      <c r="D560" t="s">
        <v>342</v>
      </c>
      <c r="E560" t="s">
        <v>328</v>
      </c>
      <c r="F560" s="12">
        <v>341874</v>
      </c>
      <c r="G560" s="12" t="str">
        <f>VLOOKUP(Table2[[#This Row],[MemberID]],Table1[#All],3,0)</f>
        <v>Silver</v>
      </c>
      <c r="H560" s="13">
        <v>34</v>
      </c>
    </row>
    <row r="561" spans="1:8">
      <c r="A561" t="s">
        <v>893</v>
      </c>
      <c r="B561" t="s">
        <v>153</v>
      </c>
      <c r="C561" s="8">
        <v>46136</v>
      </c>
      <c r="D561" t="s">
        <v>332</v>
      </c>
      <c r="E561" t="s">
        <v>325</v>
      </c>
      <c r="F561" s="12">
        <v>350604</v>
      </c>
      <c r="G561" s="12" t="str">
        <f>VLOOKUP(Table2[[#This Row],[MemberID]],Table1[#All],3,0)</f>
        <v>Silver</v>
      </c>
      <c r="H561" s="13">
        <v>35</v>
      </c>
    </row>
    <row r="562" spans="1:8">
      <c r="A562" t="s">
        <v>894</v>
      </c>
      <c r="B562" t="s">
        <v>289</v>
      </c>
      <c r="C562" s="8">
        <v>46075</v>
      </c>
      <c r="D562" t="s">
        <v>327</v>
      </c>
      <c r="E562" t="s">
        <v>325</v>
      </c>
      <c r="F562" s="12">
        <v>519836</v>
      </c>
      <c r="G562" s="12" t="str">
        <f>VLOOKUP(Table2[[#This Row],[MemberID]],Table1[#All],3,0)</f>
        <v>Silver</v>
      </c>
      <c r="H562" s="13">
        <v>51</v>
      </c>
    </row>
    <row r="563" spans="1:8">
      <c r="A563" t="s">
        <v>895</v>
      </c>
      <c r="B563" t="s">
        <v>57</v>
      </c>
      <c r="C563" s="8">
        <v>46280</v>
      </c>
      <c r="D563" t="s">
        <v>327</v>
      </c>
      <c r="E563" t="s">
        <v>337</v>
      </c>
      <c r="F563" s="12">
        <v>448755</v>
      </c>
      <c r="G563" s="12" t="str">
        <f>VLOOKUP(Table2[[#This Row],[MemberID]],Table1[#All],3,0)</f>
        <v>Gold</v>
      </c>
      <c r="H563" s="13">
        <v>44</v>
      </c>
    </row>
    <row r="564" spans="1:8">
      <c r="A564" t="s">
        <v>896</v>
      </c>
      <c r="B564" t="s">
        <v>197</v>
      </c>
      <c r="C564" s="8">
        <v>45985</v>
      </c>
      <c r="D564" t="s">
        <v>342</v>
      </c>
      <c r="E564" t="s">
        <v>322</v>
      </c>
      <c r="F564" s="12">
        <v>855171</v>
      </c>
      <c r="G564" s="12" t="str">
        <f>VLOOKUP(Table2[[#This Row],[MemberID]],Table1[#All],3,0)</f>
        <v>Silver</v>
      </c>
      <c r="H564" s="13">
        <v>85</v>
      </c>
    </row>
    <row r="565" spans="1:8">
      <c r="A565" t="s">
        <v>897</v>
      </c>
      <c r="B565" t="s">
        <v>196</v>
      </c>
      <c r="C565" s="8">
        <v>46106</v>
      </c>
      <c r="D565" t="s">
        <v>342</v>
      </c>
      <c r="E565" t="s">
        <v>339</v>
      </c>
      <c r="F565" s="12">
        <v>691411</v>
      </c>
      <c r="G565" s="12" t="str">
        <f>VLOOKUP(Table2[[#This Row],[MemberID]],Table1[#All],3,0)</f>
        <v>Gold</v>
      </c>
      <c r="H565" s="13">
        <v>69</v>
      </c>
    </row>
    <row r="566" spans="1:8">
      <c r="A566" t="s">
        <v>898</v>
      </c>
      <c r="B566" t="s">
        <v>184</v>
      </c>
      <c r="C566" s="8">
        <v>46041</v>
      </c>
      <c r="D566" t="s">
        <v>321</v>
      </c>
      <c r="E566" t="s">
        <v>339</v>
      </c>
      <c r="F566" s="12">
        <v>196342</v>
      </c>
      <c r="G566" s="12" t="str">
        <f>VLOOKUP(Table2[[#This Row],[MemberID]],Table1[#All],3,0)</f>
        <v>Silver</v>
      </c>
      <c r="H566" s="13">
        <v>19</v>
      </c>
    </row>
    <row r="567" spans="1:8">
      <c r="A567" t="s">
        <v>899</v>
      </c>
      <c r="B567" t="s">
        <v>94</v>
      </c>
      <c r="C567" s="8">
        <v>46009</v>
      </c>
      <c r="D567" t="s">
        <v>332</v>
      </c>
      <c r="E567" t="s">
        <v>337</v>
      </c>
      <c r="F567" s="12">
        <v>132903</v>
      </c>
      <c r="G567" s="12" t="str">
        <f>VLOOKUP(Table2[[#This Row],[MemberID]],Table1[#All],3,0)</f>
        <v>Silver</v>
      </c>
      <c r="H567" s="13">
        <v>13</v>
      </c>
    </row>
    <row r="568" spans="1:8">
      <c r="A568" t="s">
        <v>900</v>
      </c>
      <c r="B568" t="s">
        <v>110</v>
      </c>
      <c r="C568" s="8">
        <v>46282</v>
      </c>
      <c r="D568" t="s">
        <v>321</v>
      </c>
      <c r="E568" t="s">
        <v>328</v>
      </c>
      <c r="F568" s="12">
        <v>328101</v>
      </c>
      <c r="G568" s="12" t="str">
        <f>VLOOKUP(Table2[[#This Row],[MemberID]],Table1[#All],3,0)</f>
        <v>Silver</v>
      </c>
      <c r="H568" s="13">
        <v>32</v>
      </c>
    </row>
    <row r="569" spans="1:8">
      <c r="A569" t="s">
        <v>901</v>
      </c>
      <c r="B569" t="s">
        <v>247</v>
      </c>
      <c r="C569" s="8">
        <v>46029</v>
      </c>
      <c r="D569" t="s">
        <v>324</v>
      </c>
      <c r="E569" t="s">
        <v>334</v>
      </c>
      <c r="F569" s="12">
        <v>278307</v>
      </c>
      <c r="G569" s="12" t="str">
        <f>VLOOKUP(Table2[[#This Row],[MemberID]],Table1[#All],3,0)</f>
        <v>Silver</v>
      </c>
      <c r="H569" s="13">
        <v>27</v>
      </c>
    </row>
    <row r="570" spans="1:8">
      <c r="A570" t="s">
        <v>902</v>
      </c>
      <c r="B570" t="s">
        <v>26</v>
      </c>
      <c r="C570" s="8">
        <v>45977</v>
      </c>
      <c r="D570" t="s">
        <v>342</v>
      </c>
      <c r="E570" t="s">
        <v>322</v>
      </c>
      <c r="F570" s="12">
        <v>125748</v>
      </c>
      <c r="G570" s="12" t="str">
        <f>VLOOKUP(Table2[[#This Row],[MemberID]],Table1[#All],3,0)</f>
        <v>Silver</v>
      </c>
      <c r="H570" s="13">
        <v>12</v>
      </c>
    </row>
    <row r="571" spans="1:8">
      <c r="A571" t="s">
        <v>903</v>
      </c>
      <c r="B571" t="s">
        <v>282</v>
      </c>
      <c r="C571" s="8">
        <v>46190</v>
      </c>
      <c r="D571" t="s">
        <v>327</v>
      </c>
      <c r="E571" t="s">
        <v>337</v>
      </c>
      <c r="F571" s="12">
        <v>704899</v>
      </c>
      <c r="G571" s="12" t="str">
        <f>VLOOKUP(Table2[[#This Row],[MemberID]],Table1[#All],3,0)</f>
        <v>Silver</v>
      </c>
      <c r="H571" s="13">
        <v>70</v>
      </c>
    </row>
    <row r="572" spans="1:8">
      <c r="A572" t="s">
        <v>904</v>
      </c>
      <c r="B572" t="s">
        <v>105</v>
      </c>
      <c r="C572" s="8">
        <v>46209</v>
      </c>
      <c r="D572" t="s">
        <v>327</v>
      </c>
      <c r="E572" t="s">
        <v>339</v>
      </c>
      <c r="F572" s="12">
        <v>143889</v>
      </c>
      <c r="G572" s="12" t="str">
        <f>VLOOKUP(Table2[[#This Row],[MemberID]],Table1[#All],3,0)</f>
        <v>Silver</v>
      </c>
      <c r="H572" s="13">
        <v>14</v>
      </c>
    </row>
    <row r="573" spans="1:8">
      <c r="A573" t="s">
        <v>905</v>
      </c>
      <c r="B573" t="s">
        <v>265</v>
      </c>
      <c r="C573" s="8">
        <v>46269</v>
      </c>
      <c r="D573" t="s">
        <v>330</v>
      </c>
      <c r="E573" t="s">
        <v>334</v>
      </c>
      <c r="F573" s="12">
        <v>172859</v>
      </c>
      <c r="G573" s="12" t="str">
        <f>VLOOKUP(Table2[[#This Row],[MemberID]],Table1[#All],3,0)</f>
        <v>Platinum</v>
      </c>
      <c r="H573" s="13">
        <v>17</v>
      </c>
    </row>
    <row r="574" spans="1:8">
      <c r="A574" t="s">
        <v>906</v>
      </c>
      <c r="B574" t="s">
        <v>46</v>
      </c>
      <c r="C574" s="8">
        <v>46023</v>
      </c>
      <c r="D574" t="s">
        <v>350</v>
      </c>
      <c r="E574" t="s">
        <v>337</v>
      </c>
      <c r="F574" s="12">
        <v>163495</v>
      </c>
      <c r="G574" s="12" t="str">
        <f>VLOOKUP(Table2[[#This Row],[MemberID]],Table1[#All],3,0)</f>
        <v>Silver</v>
      </c>
      <c r="H574" s="13">
        <v>16</v>
      </c>
    </row>
    <row r="575" spans="1:8">
      <c r="A575" t="s">
        <v>907</v>
      </c>
      <c r="B575" t="s">
        <v>77</v>
      </c>
      <c r="C575" s="8">
        <v>46159</v>
      </c>
      <c r="D575" t="s">
        <v>327</v>
      </c>
      <c r="E575" t="s">
        <v>322</v>
      </c>
      <c r="F575" s="12">
        <v>203398</v>
      </c>
      <c r="G575" s="12" t="str">
        <f>VLOOKUP(Table2[[#This Row],[MemberID]],Table1[#All],3,0)</f>
        <v>Platinum</v>
      </c>
      <c r="H575" s="13">
        <v>20</v>
      </c>
    </row>
    <row r="576" spans="1:8">
      <c r="A576" t="s">
        <v>908</v>
      </c>
      <c r="B576" t="s">
        <v>30</v>
      </c>
      <c r="C576" s="8">
        <v>45956</v>
      </c>
      <c r="D576" t="s">
        <v>342</v>
      </c>
      <c r="E576" t="s">
        <v>334</v>
      </c>
      <c r="F576" s="12">
        <v>117554</v>
      </c>
      <c r="G576" s="12" t="str">
        <f>VLOOKUP(Table2[[#This Row],[MemberID]],Table1[#All],3,0)</f>
        <v>Silver</v>
      </c>
      <c r="H576" s="13">
        <v>11</v>
      </c>
    </row>
    <row r="577" spans="1:8">
      <c r="A577" t="s">
        <v>909</v>
      </c>
      <c r="B577" t="s">
        <v>170</v>
      </c>
      <c r="C577" s="8">
        <v>46230</v>
      </c>
      <c r="D577" t="s">
        <v>344</v>
      </c>
      <c r="E577" t="s">
        <v>337</v>
      </c>
      <c r="F577" s="12">
        <v>551772</v>
      </c>
      <c r="G577" s="12" t="str">
        <f>VLOOKUP(Table2[[#This Row],[MemberID]],Table1[#All],3,0)</f>
        <v>Silver</v>
      </c>
      <c r="H577" s="13">
        <v>55</v>
      </c>
    </row>
    <row r="578" spans="1:8">
      <c r="A578" t="s">
        <v>910</v>
      </c>
      <c r="B578" t="s">
        <v>134</v>
      </c>
      <c r="C578" s="8">
        <v>45962</v>
      </c>
      <c r="D578" t="s">
        <v>332</v>
      </c>
      <c r="E578" t="s">
        <v>339</v>
      </c>
      <c r="F578" s="12">
        <v>905130</v>
      </c>
      <c r="G578" s="12" t="str">
        <f>VLOOKUP(Table2[[#This Row],[MemberID]],Table1[#All],3,0)</f>
        <v>Silver</v>
      </c>
      <c r="H578" s="13">
        <v>90</v>
      </c>
    </row>
    <row r="579" spans="1:8">
      <c r="A579" t="s">
        <v>911</v>
      </c>
      <c r="B579" t="s">
        <v>194</v>
      </c>
      <c r="C579" s="8">
        <v>46072</v>
      </c>
      <c r="D579" t="s">
        <v>330</v>
      </c>
      <c r="E579" t="s">
        <v>339</v>
      </c>
      <c r="F579" s="12">
        <v>52919</v>
      </c>
      <c r="G579" s="12" t="str">
        <f>VLOOKUP(Table2[[#This Row],[MemberID]],Table1[#All],3,0)</f>
        <v>Silver</v>
      </c>
      <c r="H579" s="13">
        <v>5</v>
      </c>
    </row>
    <row r="580" spans="1:8">
      <c r="A580" t="s">
        <v>912</v>
      </c>
      <c r="B580" t="s">
        <v>99</v>
      </c>
      <c r="C580" s="8">
        <v>46080</v>
      </c>
      <c r="D580" t="s">
        <v>342</v>
      </c>
      <c r="E580" t="s">
        <v>325</v>
      </c>
      <c r="F580" s="12">
        <v>190240</v>
      </c>
      <c r="G580" s="12" t="str">
        <f>VLOOKUP(Table2[[#This Row],[MemberID]],Table1[#All],3,0)</f>
        <v>Platinum</v>
      </c>
      <c r="H580" s="13">
        <v>19</v>
      </c>
    </row>
    <row r="581" spans="1:8">
      <c r="A581" t="s">
        <v>913</v>
      </c>
      <c r="B581" t="s">
        <v>90</v>
      </c>
      <c r="C581" s="8">
        <v>46220</v>
      </c>
      <c r="D581" t="s">
        <v>330</v>
      </c>
      <c r="E581" t="s">
        <v>337</v>
      </c>
      <c r="F581" s="12">
        <v>577826</v>
      </c>
      <c r="G581" s="12" t="str">
        <f>VLOOKUP(Table2[[#This Row],[MemberID]],Table1[#All],3,0)</f>
        <v>Silver</v>
      </c>
      <c r="H581" s="13">
        <v>57</v>
      </c>
    </row>
    <row r="582" spans="1:8">
      <c r="A582" t="s">
        <v>914</v>
      </c>
      <c r="B582" t="s">
        <v>101</v>
      </c>
      <c r="C582" s="8">
        <v>45989</v>
      </c>
      <c r="D582" t="s">
        <v>344</v>
      </c>
      <c r="E582" t="s">
        <v>334</v>
      </c>
      <c r="F582" s="12">
        <v>405599</v>
      </c>
      <c r="G582" s="12" t="str">
        <f>VLOOKUP(Table2[[#This Row],[MemberID]],Table1[#All],3,0)</f>
        <v>Gold</v>
      </c>
      <c r="H582" s="13">
        <v>40</v>
      </c>
    </row>
    <row r="583" spans="1:8">
      <c r="A583" t="s">
        <v>915</v>
      </c>
      <c r="B583" t="s">
        <v>298</v>
      </c>
      <c r="C583" s="8">
        <v>46268</v>
      </c>
      <c r="D583" t="s">
        <v>324</v>
      </c>
      <c r="E583" t="s">
        <v>337</v>
      </c>
      <c r="F583" s="12">
        <v>225274</v>
      </c>
      <c r="G583" s="12" t="str">
        <f>VLOOKUP(Table2[[#This Row],[MemberID]],Table1[#All],3,0)</f>
        <v>Gold</v>
      </c>
      <c r="H583" s="13">
        <v>22</v>
      </c>
    </row>
    <row r="584" spans="1:8">
      <c r="A584" t="s">
        <v>916</v>
      </c>
      <c r="B584" t="s">
        <v>101</v>
      </c>
      <c r="C584" s="8">
        <v>46287</v>
      </c>
      <c r="D584" t="s">
        <v>321</v>
      </c>
      <c r="E584" t="s">
        <v>334</v>
      </c>
      <c r="F584" s="12">
        <v>141528</v>
      </c>
      <c r="G584" s="12" t="str">
        <f>VLOOKUP(Table2[[#This Row],[MemberID]],Table1[#All],3,0)</f>
        <v>Gold</v>
      </c>
      <c r="H584" s="13">
        <v>14</v>
      </c>
    </row>
    <row r="585" spans="1:8">
      <c r="A585" t="s">
        <v>917</v>
      </c>
      <c r="B585" t="s">
        <v>290</v>
      </c>
      <c r="C585" s="8">
        <v>45952</v>
      </c>
      <c r="D585" t="s">
        <v>330</v>
      </c>
      <c r="E585" t="s">
        <v>322</v>
      </c>
      <c r="F585" s="12">
        <v>437382</v>
      </c>
      <c r="G585" s="12" t="str">
        <f>VLOOKUP(Table2[[#This Row],[MemberID]],Table1[#All],3,0)</f>
        <v>Silver</v>
      </c>
      <c r="H585" s="13">
        <v>43</v>
      </c>
    </row>
    <row r="586" spans="1:8">
      <c r="A586" t="s">
        <v>918</v>
      </c>
      <c r="B586" t="s">
        <v>266</v>
      </c>
      <c r="C586" s="8">
        <v>45989</v>
      </c>
      <c r="D586" t="s">
        <v>321</v>
      </c>
      <c r="E586" t="s">
        <v>339</v>
      </c>
      <c r="F586" s="12">
        <v>596831</v>
      </c>
      <c r="G586" s="12" t="str">
        <f>VLOOKUP(Table2[[#This Row],[MemberID]],Table1[#All],3,0)</f>
        <v>Silver</v>
      </c>
      <c r="H586" s="13">
        <v>59</v>
      </c>
    </row>
    <row r="587" spans="1:8">
      <c r="A587" t="s">
        <v>919</v>
      </c>
      <c r="B587" t="s">
        <v>281</v>
      </c>
      <c r="C587" s="8">
        <v>46121</v>
      </c>
      <c r="D587" t="s">
        <v>321</v>
      </c>
      <c r="E587" t="s">
        <v>339</v>
      </c>
      <c r="F587" s="12">
        <v>233326</v>
      </c>
      <c r="G587" s="12" t="str">
        <f>VLOOKUP(Table2[[#This Row],[MemberID]],Table1[#All],3,0)</f>
        <v>Gold</v>
      </c>
      <c r="H587" s="13">
        <v>23</v>
      </c>
    </row>
    <row r="588" spans="1:8">
      <c r="A588" t="s">
        <v>920</v>
      </c>
      <c r="B588" t="s">
        <v>245</v>
      </c>
      <c r="C588" s="8">
        <v>45990</v>
      </c>
      <c r="D588" t="s">
        <v>324</v>
      </c>
      <c r="E588" t="s">
        <v>337</v>
      </c>
      <c r="F588" s="12">
        <v>179581</v>
      </c>
      <c r="G588" s="12" t="str">
        <f>VLOOKUP(Table2[[#This Row],[MemberID]],Table1[#All],3,0)</f>
        <v>Silver</v>
      </c>
      <c r="H588" s="13">
        <v>17</v>
      </c>
    </row>
    <row r="589" spans="1:8">
      <c r="A589" t="s">
        <v>921</v>
      </c>
      <c r="B589" t="s">
        <v>202</v>
      </c>
      <c r="C589" s="8">
        <v>46065</v>
      </c>
      <c r="D589" t="s">
        <v>350</v>
      </c>
      <c r="E589" t="s">
        <v>322</v>
      </c>
      <c r="F589" s="12">
        <v>185530</v>
      </c>
      <c r="G589" s="12" t="str">
        <f>VLOOKUP(Table2[[#This Row],[MemberID]],Table1[#All],3,0)</f>
        <v>Silver</v>
      </c>
      <c r="H589" s="13">
        <v>18</v>
      </c>
    </row>
    <row r="590" spans="1:8">
      <c r="A590" t="s">
        <v>922</v>
      </c>
      <c r="B590" t="s">
        <v>296</v>
      </c>
      <c r="C590" s="8">
        <v>46252</v>
      </c>
      <c r="D590" t="s">
        <v>350</v>
      </c>
      <c r="E590" t="s">
        <v>322</v>
      </c>
      <c r="F590" s="12">
        <v>152283</v>
      </c>
      <c r="G590" s="12" t="str">
        <f>VLOOKUP(Table2[[#This Row],[MemberID]],Table1[#All],3,0)</f>
        <v>Silver</v>
      </c>
      <c r="H590" s="13">
        <v>15</v>
      </c>
    </row>
    <row r="591" spans="1:8">
      <c r="A591" t="s">
        <v>923</v>
      </c>
      <c r="B591" t="s">
        <v>51</v>
      </c>
      <c r="C591" s="8">
        <v>46267</v>
      </c>
      <c r="D591" t="s">
        <v>342</v>
      </c>
      <c r="E591" t="s">
        <v>339</v>
      </c>
      <c r="F591" s="12">
        <v>513128</v>
      </c>
      <c r="G591" s="12" t="str">
        <f>VLOOKUP(Table2[[#This Row],[MemberID]],Table1[#All],3,0)</f>
        <v>Gold</v>
      </c>
      <c r="H591" s="13">
        <v>51</v>
      </c>
    </row>
    <row r="592" spans="1:8">
      <c r="A592" t="s">
        <v>924</v>
      </c>
      <c r="B592" t="s">
        <v>47</v>
      </c>
      <c r="C592" s="8">
        <v>46223</v>
      </c>
      <c r="D592" t="s">
        <v>321</v>
      </c>
      <c r="E592" t="s">
        <v>325</v>
      </c>
      <c r="F592" s="12">
        <v>100763</v>
      </c>
      <c r="G592" s="12" t="str">
        <f>VLOOKUP(Table2[[#This Row],[MemberID]],Table1[#All],3,0)</f>
        <v>Silver</v>
      </c>
      <c r="H592" s="13">
        <v>10</v>
      </c>
    </row>
    <row r="593" spans="1:8">
      <c r="A593" t="s">
        <v>925</v>
      </c>
      <c r="B593" t="s">
        <v>57</v>
      </c>
      <c r="C593" s="8">
        <v>46118</v>
      </c>
      <c r="D593" t="s">
        <v>332</v>
      </c>
      <c r="E593" t="s">
        <v>334</v>
      </c>
      <c r="F593" s="12">
        <v>243285</v>
      </c>
      <c r="G593" s="12" t="str">
        <f>VLOOKUP(Table2[[#This Row],[MemberID]],Table1[#All],3,0)</f>
        <v>Gold</v>
      </c>
      <c r="H593" s="13">
        <v>24</v>
      </c>
    </row>
    <row r="594" spans="1:8">
      <c r="A594" t="s">
        <v>926</v>
      </c>
      <c r="B594" t="s">
        <v>217</v>
      </c>
      <c r="C594" s="8">
        <v>46096</v>
      </c>
      <c r="D594" t="s">
        <v>330</v>
      </c>
      <c r="E594" t="s">
        <v>339</v>
      </c>
      <c r="F594" s="12">
        <v>106070</v>
      </c>
      <c r="G594" s="12" t="str">
        <f>VLOOKUP(Table2[[#This Row],[MemberID]],Table1[#All],3,0)</f>
        <v>Gold</v>
      </c>
      <c r="H594" s="13">
        <v>10</v>
      </c>
    </row>
    <row r="595" spans="1:8">
      <c r="A595" t="s">
        <v>927</v>
      </c>
      <c r="B595" t="s">
        <v>138</v>
      </c>
      <c r="C595" s="8">
        <v>46168</v>
      </c>
      <c r="D595" t="s">
        <v>332</v>
      </c>
      <c r="E595" t="s">
        <v>337</v>
      </c>
      <c r="F595" s="12">
        <v>131715</v>
      </c>
      <c r="G595" s="12" t="str">
        <f>VLOOKUP(Table2[[#This Row],[MemberID]],Table1[#All],3,0)</f>
        <v>Gold</v>
      </c>
      <c r="H595" s="13">
        <v>13</v>
      </c>
    </row>
    <row r="596" spans="1:8">
      <c r="A596" t="s">
        <v>928</v>
      </c>
      <c r="B596" t="s">
        <v>286</v>
      </c>
      <c r="C596" s="8">
        <v>46182</v>
      </c>
      <c r="D596" t="s">
        <v>344</v>
      </c>
      <c r="E596" t="s">
        <v>334</v>
      </c>
      <c r="F596" s="12">
        <v>456135</v>
      </c>
      <c r="G596" s="12" t="str">
        <f>VLOOKUP(Table2[[#This Row],[MemberID]],Table1[#All],3,0)</f>
        <v>Silver</v>
      </c>
      <c r="H596" s="13">
        <v>45</v>
      </c>
    </row>
    <row r="597" spans="1:8">
      <c r="A597" t="s">
        <v>929</v>
      </c>
      <c r="B597" t="s">
        <v>69</v>
      </c>
      <c r="C597" s="8">
        <v>46073</v>
      </c>
      <c r="D597" t="s">
        <v>324</v>
      </c>
      <c r="E597" t="s">
        <v>328</v>
      </c>
      <c r="F597" s="12">
        <v>459867</v>
      </c>
      <c r="G597" s="12" t="str">
        <f>VLOOKUP(Table2[[#This Row],[MemberID]],Table1[#All],3,0)</f>
        <v>Gold</v>
      </c>
      <c r="H597" s="13">
        <v>45</v>
      </c>
    </row>
    <row r="598" spans="1:8">
      <c r="A598" t="s">
        <v>930</v>
      </c>
      <c r="B598" t="s">
        <v>225</v>
      </c>
      <c r="C598" s="8">
        <v>46122</v>
      </c>
      <c r="D598" t="s">
        <v>350</v>
      </c>
      <c r="E598" t="s">
        <v>337</v>
      </c>
      <c r="F598" s="12">
        <v>602043</v>
      </c>
      <c r="G598" s="12" t="str">
        <f>VLOOKUP(Table2[[#This Row],[MemberID]],Table1[#All],3,0)</f>
        <v>Platinum</v>
      </c>
      <c r="H598" s="13">
        <v>60</v>
      </c>
    </row>
    <row r="599" spans="1:8">
      <c r="A599" t="s">
        <v>931</v>
      </c>
      <c r="B599" t="s">
        <v>196</v>
      </c>
      <c r="C599" s="8">
        <v>46178</v>
      </c>
      <c r="D599" t="s">
        <v>330</v>
      </c>
      <c r="E599" t="s">
        <v>334</v>
      </c>
      <c r="F599" s="12">
        <v>205650</v>
      </c>
      <c r="G599" s="12" t="str">
        <f>VLOOKUP(Table2[[#This Row],[MemberID]],Table1[#All],3,0)</f>
        <v>Gold</v>
      </c>
      <c r="H599" s="13">
        <v>20</v>
      </c>
    </row>
    <row r="600" spans="1:8">
      <c r="A600" t="s">
        <v>932</v>
      </c>
      <c r="B600" t="s">
        <v>43</v>
      </c>
      <c r="C600" s="8">
        <v>46262</v>
      </c>
      <c r="D600" t="s">
        <v>327</v>
      </c>
      <c r="E600" t="s">
        <v>322</v>
      </c>
      <c r="F600" s="12">
        <v>168440</v>
      </c>
      <c r="G600" s="12" t="str">
        <f>VLOOKUP(Table2[[#This Row],[MemberID]],Table1[#All],3,0)</f>
        <v>Silver</v>
      </c>
      <c r="H600" s="13">
        <v>16</v>
      </c>
    </row>
    <row r="601" spans="1:8">
      <c r="A601" t="s">
        <v>933</v>
      </c>
      <c r="B601" t="s">
        <v>64</v>
      </c>
      <c r="C601" s="8">
        <v>46067</v>
      </c>
      <c r="D601" t="s">
        <v>321</v>
      </c>
      <c r="E601" t="s">
        <v>328</v>
      </c>
      <c r="F601" s="12">
        <v>558173</v>
      </c>
      <c r="G601" s="12" t="str">
        <f>VLOOKUP(Table2[[#This Row],[MemberID]],Table1[#All],3,0)</f>
        <v>Silver</v>
      </c>
      <c r="H601" s="13">
        <v>55</v>
      </c>
    </row>
    <row r="602" spans="1:8">
      <c r="A602" t="s">
        <v>934</v>
      </c>
      <c r="B602" t="s">
        <v>135</v>
      </c>
      <c r="C602" s="8">
        <v>46066</v>
      </c>
      <c r="D602" t="s">
        <v>332</v>
      </c>
      <c r="E602" t="s">
        <v>337</v>
      </c>
      <c r="F602" s="12">
        <v>295769</v>
      </c>
      <c r="G602" s="12" t="str">
        <f>VLOOKUP(Table2[[#This Row],[MemberID]],Table1[#All],3,0)</f>
        <v>Silver</v>
      </c>
      <c r="H602" s="13">
        <v>29</v>
      </c>
    </row>
    <row r="603" spans="1:8">
      <c r="A603" t="s">
        <v>935</v>
      </c>
      <c r="B603" t="s">
        <v>102</v>
      </c>
      <c r="C603" s="8">
        <v>45986</v>
      </c>
      <c r="D603" t="s">
        <v>350</v>
      </c>
      <c r="E603" t="s">
        <v>337</v>
      </c>
      <c r="F603" s="12">
        <v>166919</v>
      </c>
      <c r="G603" s="12" t="str">
        <f>VLOOKUP(Table2[[#This Row],[MemberID]],Table1[#All],3,0)</f>
        <v>Platinum</v>
      </c>
      <c r="H603" s="13">
        <v>16</v>
      </c>
    </row>
    <row r="604" spans="1:8">
      <c r="A604" t="s">
        <v>936</v>
      </c>
      <c r="B604" t="s">
        <v>109</v>
      </c>
      <c r="C604" s="8">
        <v>46091</v>
      </c>
      <c r="D604" t="s">
        <v>327</v>
      </c>
      <c r="E604" t="s">
        <v>334</v>
      </c>
      <c r="F604" s="12">
        <v>150575</v>
      </c>
      <c r="G604" s="12" t="str">
        <f>VLOOKUP(Table2[[#This Row],[MemberID]],Table1[#All],3,0)</f>
        <v>Silver</v>
      </c>
      <c r="H604" s="13">
        <v>15</v>
      </c>
    </row>
    <row r="605" spans="1:8">
      <c r="A605" t="s">
        <v>937</v>
      </c>
      <c r="B605" t="s">
        <v>15</v>
      </c>
      <c r="C605" s="8">
        <v>45998</v>
      </c>
      <c r="D605" t="s">
        <v>342</v>
      </c>
      <c r="E605" t="s">
        <v>334</v>
      </c>
      <c r="F605" s="12">
        <v>164119</v>
      </c>
      <c r="G605" s="12" t="str">
        <f>VLOOKUP(Table2[[#This Row],[MemberID]],Table1[#All],3,0)</f>
        <v>Silver</v>
      </c>
      <c r="H605" s="13">
        <v>16</v>
      </c>
    </row>
    <row r="606" spans="1:8">
      <c r="A606" t="s">
        <v>938</v>
      </c>
      <c r="B606" t="s">
        <v>153</v>
      </c>
      <c r="C606" s="8">
        <v>46291</v>
      </c>
      <c r="D606" t="s">
        <v>330</v>
      </c>
      <c r="E606" t="s">
        <v>337</v>
      </c>
      <c r="F606" s="12">
        <v>169576</v>
      </c>
      <c r="G606" s="12" t="str">
        <f>VLOOKUP(Table2[[#This Row],[MemberID]],Table1[#All],3,0)</f>
        <v>Silver</v>
      </c>
      <c r="H606" s="13">
        <v>16</v>
      </c>
    </row>
    <row r="607" spans="1:8">
      <c r="A607" t="s">
        <v>939</v>
      </c>
      <c r="B607" t="s">
        <v>184</v>
      </c>
      <c r="C607" s="8">
        <v>46172</v>
      </c>
      <c r="D607" t="s">
        <v>321</v>
      </c>
      <c r="E607" t="s">
        <v>328</v>
      </c>
      <c r="F607" s="12">
        <v>240403</v>
      </c>
      <c r="G607" s="12" t="str">
        <f>VLOOKUP(Table2[[#This Row],[MemberID]],Table1[#All],3,0)</f>
        <v>Silver</v>
      </c>
      <c r="H607" s="13">
        <v>24</v>
      </c>
    </row>
    <row r="608" spans="1:8">
      <c r="A608" t="s">
        <v>940</v>
      </c>
      <c r="B608" t="s">
        <v>290</v>
      </c>
      <c r="C608" s="8">
        <v>46090</v>
      </c>
      <c r="D608" t="s">
        <v>327</v>
      </c>
      <c r="E608" t="s">
        <v>328</v>
      </c>
      <c r="F608" s="12">
        <v>162975</v>
      </c>
      <c r="G608" s="12" t="str">
        <f>VLOOKUP(Table2[[#This Row],[MemberID]],Table1[#All],3,0)</f>
        <v>Silver</v>
      </c>
      <c r="H608" s="13">
        <v>16</v>
      </c>
    </row>
    <row r="609" spans="1:8">
      <c r="A609" t="s">
        <v>941</v>
      </c>
      <c r="B609" t="s">
        <v>68</v>
      </c>
      <c r="C609" s="8">
        <v>46227</v>
      </c>
      <c r="D609" t="s">
        <v>330</v>
      </c>
      <c r="E609" t="s">
        <v>337</v>
      </c>
      <c r="F609" s="12">
        <v>301469</v>
      </c>
      <c r="G609" s="12" t="str">
        <f>VLOOKUP(Table2[[#This Row],[MemberID]],Table1[#All],3,0)</f>
        <v>Silver</v>
      </c>
      <c r="H609" s="13">
        <v>30</v>
      </c>
    </row>
    <row r="610" spans="1:8">
      <c r="A610" t="s">
        <v>942</v>
      </c>
      <c r="B610" t="s">
        <v>179</v>
      </c>
      <c r="C610" s="8">
        <v>46050</v>
      </c>
      <c r="D610" t="s">
        <v>344</v>
      </c>
      <c r="E610" t="s">
        <v>337</v>
      </c>
      <c r="F610" s="12">
        <v>328128</v>
      </c>
      <c r="G610" s="12" t="str">
        <f>VLOOKUP(Table2[[#This Row],[MemberID]],Table1[#All],3,0)</f>
        <v>Gold</v>
      </c>
      <c r="H610" s="13">
        <v>32</v>
      </c>
    </row>
    <row r="611" spans="1:8">
      <c r="A611" t="s">
        <v>943</v>
      </c>
      <c r="B611" t="s">
        <v>264</v>
      </c>
      <c r="C611" s="8">
        <v>46254</v>
      </c>
      <c r="D611" t="s">
        <v>342</v>
      </c>
      <c r="E611" t="s">
        <v>334</v>
      </c>
      <c r="F611" s="12">
        <v>286179</v>
      </c>
      <c r="G611" s="12" t="str">
        <f>VLOOKUP(Table2[[#This Row],[MemberID]],Table1[#All],3,0)</f>
        <v>Silver</v>
      </c>
      <c r="H611" s="13">
        <v>28</v>
      </c>
    </row>
    <row r="612" spans="1:8">
      <c r="A612" t="s">
        <v>944</v>
      </c>
      <c r="B612" t="s">
        <v>141</v>
      </c>
      <c r="C612" s="8">
        <v>46007</v>
      </c>
      <c r="D612" t="s">
        <v>330</v>
      </c>
      <c r="E612" t="s">
        <v>322</v>
      </c>
      <c r="F612" s="12">
        <v>281272</v>
      </c>
      <c r="G612" s="12" t="str">
        <f>VLOOKUP(Table2[[#This Row],[MemberID]],Table1[#All],3,0)</f>
        <v>Silver</v>
      </c>
      <c r="H612" s="13">
        <v>28</v>
      </c>
    </row>
    <row r="613" spans="1:8">
      <c r="A613" t="s">
        <v>945</v>
      </c>
      <c r="B613" t="s">
        <v>51</v>
      </c>
      <c r="C613" s="8">
        <v>46020</v>
      </c>
      <c r="D613" t="s">
        <v>321</v>
      </c>
      <c r="E613" t="s">
        <v>337</v>
      </c>
      <c r="F613" s="12">
        <v>25000</v>
      </c>
      <c r="G613" s="12" t="str">
        <f>VLOOKUP(Table2[[#This Row],[MemberID]],Table1[#All],3,0)</f>
        <v>Gold</v>
      </c>
      <c r="H613" s="13">
        <v>2</v>
      </c>
    </row>
    <row r="614" spans="1:8">
      <c r="A614" t="s">
        <v>946</v>
      </c>
      <c r="B614" t="s">
        <v>126</v>
      </c>
      <c r="C614" s="8">
        <v>46050</v>
      </c>
      <c r="D614" t="s">
        <v>330</v>
      </c>
      <c r="E614" t="s">
        <v>322</v>
      </c>
      <c r="F614" s="12">
        <v>136379</v>
      </c>
      <c r="G614" s="12" t="str">
        <f>VLOOKUP(Table2[[#This Row],[MemberID]],Table1[#All],3,0)</f>
        <v>Silver</v>
      </c>
      <c r="H614" s="13">
        <v>13</v>
      </c>
    </row>
    <row r="615" spans="1:8">
      <c r="A615" t="s">
        <v>947</v>
      </c>
      <c r="B615" t="s">
        <v>275</v>
      </c>
      <c r="C615" s="8">
        <v>46244</v>
      </c>
      <c r="D615" t="s">
        <v>350</v>
      </c>
      <c r="E615" t="s">
        <v>339</v>
      </c>
      <c r="F615" s="12">
        <v>409605</v>
      </c>
      <c r="G615" s="12" t="str">
        <f>VLOOKUP(Table2[[#This Row],[MemberID]],Table1[#All],3,0)</f>
        <v>Silver</v>
      </c>
      <c r="H615" s="13">
        <v>40</v>
      </c>
    </row>
    <row r="616" spans="1:8">
      <c r="A616" t="s">
        <v>948</v>
      </c>
      <c r="B616" t="s">
        <v>188</v>
      </c>
      <c r="C616" s="8">
        <v>46134</v>
      </c>
      <c r="D616" t="s">
        <v>350</v>
      </c>
      <c r="E616" t="s">
        <v>337</v>
      </c>
      <c r="F616" s="12">
        <v>350849</v>
      </c>
      <c r="G616" s="12" t="str">
        <f>VLOOKUP(Table2[[#This Row],[MemberID]],Table1[#All],3,0)</f>
        <v>Silver</v>
      </c>
      <c r="H616" s="13">
        <v>35</v>
      </c>
    </row>
    <row r="617" spans="1:8">
      <c r="A617" t="s">
        <v>949</v>
      </c>
      <c r="B617" t="s">
        <v>126</v>
      </c>
      <c r="C617" s="8">
        <v>46094</v>
      </c>
      <c r="D617" t="s">
        <v>330</v>
      </c>
      <c r="E617" t="s">
        <v>322</v>
      </c>
      <c r="F617" s="12">
        <v>132022</v>
      </c>
      <c r="G617" s="12" t="str">
        <f>VLOOKUP(Table2[[#This Row],[MemberID]],Table1[#All],3,0)</f>
        <v>Silver</v>
      </c>
      <c r="H617" s="13">
        <v>13</v>
      </c>
    </row>
    <row r="618" spans="1:8">
      <c r="A618" t="s">
        <v>950</v>
      </c>
      <c r="B618" t="s">
        <v>22</v>
      </c>
      <c r="C618" s="8">
        <v>46005</v>
      </c>
      <c r="D618" t="s">
        <v>350</v>
      </c>
      <c r="E618" t="s">
        <v>339</v>
      </c>
      <c r="F618" s="12">
        <v>172580</v>
      </c>
      <c r="G618" s="12" t="str">
        <f>VLOOKUP(Table2[[#This Row],[MemberID]],Table1[#All],3,0)</f>
        <v>Gold</v>
      </c>
      <c r="H618" s="13">
        <v>17</v>
      </c>
    </row>
    <row r="619" spans="1:8">
      <c r="A619" t="s">
        <v>951</v>
      </c>
      <c r="B619" t="s">
        <v>39</v>
      </c>
      <c r="C619" s="8">
        <v>46220</v>
      </c>
      <c r="D619" t="s">
        <v>327</v>
      </c>
      <c r="E619" t="s">
        <v>337</v>
      </c>
      <c r="F619" s="12">
        <v>221048</v>
      </c>
      <c r="G619" s="12" t="str">
        <f>VLOOKUP(Table2[[#This Row],[MemberID]],Table1[#All],3,0)</f>
        <v>Silver</v>
      </c>
      <c r="H619" s="13">
        <v>22</v>
      </c>
    </row>
    <row r="620" spans="1:8">
      <c r="A620" t="s">
        <v>952</v>
      </c>
      <c r="B620" t="s">
        <v>51</v>
      </c>
      <c r="C620" s="8">
        <v>46171</v>
      </c>
      <c r="D620" t="s">
        <v>344</v>
      </c>
      <c r="E620" t="s">
        <v>337</v>
      </c>
      <c r="F620" s="12">
        <v>194719</v>
      </c>
      <c r="G620" s="12" t="str">
        <f>VLOOKUP(Table2[[#This Row],[MemberID]],Table1[#All],3,0)</f>
        <v>Gold</v>
      </c>
      <c r="H620" s="13">
        <v>19</v>
      </c>
    </row>
    <row r="621" spans="1:8">
      <c r="A621" t="s">
        <v>953</v>
      </c>
      <c r="B621" t="s">
        <v>226</v>
      </c>
      <c r="C621" s="8">
        <v>46210</v>
      </c>
      <c r="D621" t="s">
        <v>324</v>
      </c>
      <c r="E621" t="s">
        <v>339</v>
      </c>
      <c r="F621" s="12">
        <v>150491</v>
      </c>
      <c r="G621" s="12" t="str">
        <f>VLOOKUP(Table2[[#This Row],[MemberID]],Table1[#All],3,0)</f>
        <v>Silver</v>
      </c>
      <c r="H621" s="13">
        <v>15</v>
      </c>
    </row>
    <row r="622" spans="1:8">
      <c r="A622" t="s">
        <v>954</v>
      </c>
      <c r="B622" t="s">
        <v>35</v>
      </c>
      <c r="C622" s="8">
        <v>46061</v>
      </c>
      <c r="D622" t="s">
        <v>324</v>
      </c>
      <c r="E622" t="s">
        <v>334</v>
      </c>
      <c r="F622" s="12">
        <v>121142</v>
      </c>
      <c r="G622" s="12" t="str">
        <f>VLOOKUP(Table2[[#This Row],[MemberID]],Table1[#All],3,0)</f>
        <v>Silver</v>
      </c>
      <c r="H622" s="13">
        <v>12</v>
      </c>
    </row>
    <row r="623" spans="1:8">
      <c r="A623" t="s">
        <v>955</v>
      </c>
      <c r="B623" t="s">
        <v>129</v>
      </c>
      <c r="C623" s="8">
        <v>46062</v>
      </c>
      <c r="D623" t="s">
        <v>342</v>
      </c>
      <c r="E623" t="s">
        <v>337</v>
      </c>
      <c r="F623" s="12">
        <v>82773</v>
      </c>
      <c r="G623" s="12" t="str">
        <f>VLOOKUP(Table2[[#This Row],[MemberID]],Table1[#All],3,0)</f>
        <v>Silver</v>
      </c>
      <c r="H623" s="13">
        <v>8</v>
      </c>
    </row>
    <row r="624" spans="1:8">
      <c r="A624" t="s">
        <v>956</v>
      </c>
      <c r="B624" t="s">
        <v>153</v>
      </c>
      <c r="C624" s="8">
        <v>46262</v>
      </c>
      <c r="D624" t="s">
        <v>350</v>
      </c>
      <c r="E624" t="s">
        <v>334</v>
      </c>
      <c r="F624" s="12">
        <v>201836</v>
      </c>
      <c r="G624" s="12" t="str">
        <f>VLOOKUP(Table2[[#This Row],[MemberID]],Table1[#All],3,0)</f>
        <v>Silver</v>
      </c>
      <c r="H624" s="13">
        <v>20</v>
      </c>
    </row>
    <row r="625" spans="1:8">
      <c r="A625" t="s">
        <v>957</v>
      </c>
      <c r="B625" t="s">
        <v>248</v>
      </c>
      <c r="C625" s="8">
        <v>45967</v>
      </c>
      <c r="D625" t="s">
        <v>324</v>
      </c>
      <c r="E625" t="s">
        <v>339</v>
      </c>
      <c r="F625" s="12">
        <v>743132</v>
      </c>
      <c r="G625" s="12" t="str">
        <f>VLOOKUP(Table2[[#This Row],[MemberID]],Table1[#All],3,0)</f>
        <v>Gold</v>
      </c>
      <c r="H625" s="13">
        <v>74</v>
      </c>
    </row>
    <row r="626" spans="1:8">
      <c r="A626" t="s">
        <v>958</v>
      </c>
      <c r="B626" t="s">
        <v>281</v>
      </c>
      <c r="C626" s="8">
        <v>46005</v>
      </c>
      <c r="D626" t="s">
        <v>321</v>
      </c>
      <c r="E626" t="s">
        <v>334</v>
      </c>
      <c r="F626" s="12">
        <v>127188</v>
      </c>
      <c r="G626" s="12" t="str">
        <f>VLOOKUP(Table2[[#This Row],[MemberID]],Table1[#All],3,0)</f>
        <v>Gold</v>
      </c>
      <c r="H626" s="13">
        <v>12</v>
      </c>
    </row>
    <row r="627" spans="1:8">
      <c r="A627" t="s">
        <v>959</v>
      </c>
      <c r="B627" t="s">
        <v>129</v>
      </c>
      <c r="C627" s="8">
        <v>46274</v>
      </c>
      <c r="D627" t="s">
        <v>327</v>
      </c>
      <c r="E627" t="s">
        <v>325</v>
      </c>
      <c r="F627" s="12">
        <v>99126</v>
      </c>
      <c r="G627" s="12" t="str">
        <f>VLOOKUP(Table2[[#This Row],[MemberID]],Table1[#All],3,0)</f>
        <v>Silver</v>
      </c>
      <c r="H627" s="13">
        <v>9</v>
      </c>
    </row>
    <row r="628" spans="1:8">
      <c r="A628" t="s">
        <v>960</v>
      </c>
      <c r="B628" t="s">
        <v>161</v>
      </c>
      <c r="C628" s="8">
        <v>46263</v>
      </c>
      <c r="D628" t="s">
        <v>350</v>
      </c>
      <c r="E628" t="s">
        <v>339</v>
      </c>
      <c r="F628" s="12">
        <v>57278</v>
      </c>
      <c r="G628" s="12" t="str">
        <f>VLOOKUP(Table2[[#This Row],[MemberID]],Table1[#All],3,0)</f>
        <v>Gold</v>
      </c>
      <c r="H628" s="13">
        <v>5</v>
      </c>
    </row>
    <row r="629" spans="1:8">
      <c r="A629" t="s">
        <v>961</v>
      </c>
      <c r="B629" t="s">
        <v>118</v>
      </c>
      <c r="C629" s="8">
        <v>46088</v>
      </c>
      <c r="D629" t="s">
        <v>342</v>
      </c>
      <c r="E629" t="s">
        <v>328</v>
      </c>
      <c r="F629" s="12">
        <v>567535</v>
      </c>
      <c r="G629" s="12" t="str">
        <f>VLOOKUP(Table2[[#This Row],[MemberID]],Table1[#All],3,0)</f>
        <v>Silver</v>
      </c>
      <c r="H629" s="13">
        <v>56</v>
      </c>
    </row>
    <row r="630" spans="1:8">
      <c r="A630" t="s">
        <v>962</v>
      </c>
      <c r="B630" t="s">
        <v>162</v>
      </c>
      <c r="C630" s="8">
        <v>46286</v>
      </c>
      <c r="D630" t="s">
        <v>327</v>
      </c>
      <c r="E630" t="s">
        <v>337</v>
      </c>
      <c r="F630" s="12">
        <v>182772</v>
      </c>
      <c r="G630" s="12" t="str">
        <f>VLOOKUP(Table2[[#This Row],[MemberID]],Table1[#All],3,0)</f>
        <v>Silver</v>
      </c>
      <c r="H630" s="13">
        <v>18</v>
      </c>
    </row>
    <row r="631" spans="1:8">
      <c r="A631" t="s">
        <v>963</v>
      </c>
      <c r="B631" t="s">
        <v>199</v>
      </c>
      <c r="C631" s="8">
        <v>46023</v>
      </c>
      <c r="D631" t="s">
        <v>350</v>
      </c>
      <c r="E631" t="s">
        <v>339</v>
      </c>
      <c r="F631" s="12">
        <v>124351</v>
      </c>
      <c r="G631" s="12" t="str">
        <f>VLOOKUP(Table2[[#This Row],[MemberID]],Table1[#All],3,0)</f>
        <v>Gold</v>
      </c>
      <c r="H631" s="13">
        <v>12</v>
      </c>
    </row>
    <row r="632" spans="1:8">
      <c r="A632" t="s">
        <v>964</v>
      </c>
      <c r="B632" t="s">
        <v>91</v>
      </c>
      <c r="C632" s="8">
        <v>46285</v>
      </c>
      <c r="D632" t="s">
        <v>321</v>
      </c>
      <c r="E632" t="s">
        <v>334</v>
      </c>
      <c r="F632" s="12">
        <v>124429</v>
      </c>
      <c r="G632" s="12" t="str">
        <f>VLOOKUP(Table2[[#This Row],[MemberID]],Table1[#All],3,0)</f>
        <v>Gold</v>
      </c>
      <c r="H632" s="13">
        <v>12</v>
      </c>
    </row>
    <row r="633" spans="1:8">
      <c r="A633" t="s">
        <v>965</v>
      </c>
      <c r="B633" t="s">
        <v>294</v>
      </c>
      <c r="C633" s="8">
        <v>45984</v>
      </c>
      <c r="D633" t="s">
        <v>332</v>
      </c>
      <c r="E633" t="s">
        <v>325</v>
      </c>
      <c r="F633" s="12">
        <v>809436</v>
      </c>
      <c r="G633" s="12" t="str">
        <f>VLOOKUP(Table2[[#This Row],[MemberID]],Table1[#All],3,0)</f>
        <v>Gold</v>
      </c>
      <c r="H633" s="13">
        <v>80</v>
      </c>
    </row>
    <row r="634" spans="1:8">
      <c r="A634" t="s">
        <v>966</v>
      </c>
      <c r="B634" t="s">
        <v>19</v>
      </c>
      <c r="C634" s="8">
        <v>46287</v>
      </c>
      <c r="D634" t="s">
        <v>332</v>
      </c>
      <c r="E634" t="s">
        <v>339</v>
      </c>
      <c r="F634" s="12">
        <v>123868</v>
      </c>
      <c r="G634" s="12" t="str">
        <f>VLOOKUP(Table2[[#This Row],[MemberID]],Table1[#All],3,0)</f>
        <v>Silver</v>
      </c>
      <c r="H634" s="13">
        <v>12</v>
      </c>
    </row>
    <row r="635" spans="1:8">
      <c r="A635" t="s">
        <v>967</v>
      </c>
      <c r="B635" t="s">
        <v>241</v>
      </c>
      <c r="C635" s="8">
        <v>46088</v>
      </c>
      <c r="D635" t="s">
        <v>324</v>
      </c>
      <c r="E635" t="s">
        <v>339</v>
      </c>
      <c r="F635" s="12">
        <v>335848</v>
      </c>
      <c r="G635" s="12" t="str">
        <f>VLOOKUP(Table2[[#This Row],[MemberID]],Table1[#All],3,0)</f>
        <v>Gold</v>
      </c>
      <c r="H635" s="13">
        <v>33</v>
      </c>
    </row>
    <row r="636" spans="1:8">
      <c r="A636" t="s">
        <v>968</v>
      </c>
      <c r="B636" t="s">
        <v>217</v>
      </c>
      <c r="C636" s="8">
        <v>46062</v>
      </c>
      <c r="D636" t="s">
        <v>324</v>
      </c>
      <c r="E636" t="s">
        <v>322</v>
      </c>
      <c r="F636" s="12">
        <v>160866</v>
      </c>
      <c r="G636" s="12" t="str">
        <f>VLOOKUP(Table2[[#This Row],[MemberID]],Table1[#All],3,0)</f>
        <v>Gold</v>
      </c>
      <c r="H636" s="13">
        <v>16</v>
      </c>
    </row>
    <row r="637" spans="1:8">
      <c r="A637" t="s">
        <v>969</v>
      </c>
      <c r="B637" t="s">
        <v>62</v>
      </c>
      <c r="C637" s="8">
        <v>46085</v>
      </c>
      <c r="D637" t="s">
        <v>321</v>
      </c>
      <c r="E637" t="s">
        <v>328</v>
      </c>
      <c r="F637" s="12">
        <v>298153</v>
      </c>
      <c r="G637" s="12" t="str">
        <f>VLOOKUP(Table2[[#This Row],[MemberID]],Table1[#All],3,0)</f>
        <v>Silver</v>
      </c>
      <c r="H637" s="13">
        <v>29</v>
      </c>
    </row>
    <row r="638" spans="1:8">
      <c r="A638" t="s">
        <v>970</v>
      </c>
      <c r="B638" t="s">
        <v>83</v>
      </c>
      <c r="C638" s="8">
        <v>46237</v>
      </c>
      <c r="D638" t="s">
        <v>327</v>
      </c>
      <c r="E638" t="s">
        <v>328</v>
      </c>
      <c r="F638" s="12">
        <v>323278</v>
      </c>
      <c r="G638" s="12" t="str">
        <f>VLOOKUP(Table2[[#This Row],[MemberID]],Table1[#All],3,0)</f>
        <v>Gold</v>
      </c>
      <c r="H638" s="13">
        <v>32</v>
      </c>
    </row>
    <row r="639" spans="1:8">
      <c r="A639" t="s">
        <v>971</v>
      </c>
      <c r="B639" t="s">
        <v>23</v>
      </c>
      <c r="C639" s="8">
        <v>46146</v>
      </c>
      <c r="D639" t="s">
        <v>342</v>
      </c>
      <c r="E639" t="s">
        <v>337</v>
      </c>
      <c r="F639" s="12">
        <v>686743</v>
      </c>
      <c r="G639" s="12" t="str">
        <f>VLOOKUP(Table2[[#This Row],[MemberID]],Table1[#All],3,0)</f>
        <v>Silver</v>
      </c>
      <c r="H639" s="13">
        <v>68</v>
      </c>
    </row>
    <row r="640" spans="1:8">
      <c r="A640" t="s">
        <v>972</v>
      </c>
      <c r="B640" t="s">
        <v>199</v>
      </c>
      <c r="C640" s="8">
        <v>46283</v>
      </c>
      <c r="D640" t="s">
        <v>344</v>
      </c>
      <c r="E640" t="s">
        <v>322</v>
      </c>
      <c r="F640" s="12">
        <v>374407</v>
      </c>
      <c r="G640" s="12" t="str">
        <f>VLOOKUP(Table2[[#This Row],[MemberID]],Table1[#All],3,0)</f>
        <v>Gold</v>
      </c>
      <c r="H640" s="13">
        <v>37</v>
      </c>
    </row>
    <row r="641" spans="1:8">
      <c r="A641" t="s">
        <v>973</v>
      </c>
      <c r="B641" t="s">
        <v>81</v>
      </c>
      <c r="C641" s="8">
        <v>45942</v>
      </c>
      <c r="D641" t="s">
        <v>324</v>
      </c>
      <c r="E641" t="s">
        <v>325</v>
      </c>
      <c r="F641" s="12">
        <v>74764</v>
      </c>
      <c r="G641" s="12" t="str">
        <f>VLOOKUP(Table2[[#This Row],[MemberID]],Table1[#All],3,0)</f>
        <v>Gold</v>
      </c>
      <c r="H641" s="13">
        <v>7</v>
      </c>
    </row>
    <row r="642" spans="1:8">
      <c r="A642" t="s">
        <v>974</v>
      </c>
      <c r="B642" t="s">
        <v>255</v>
      </c>
      <c r="C642" s="8">
        <v>46126</v>
      </c>
      <c r="D642" t="s">
        <v>332</v>
      </c>
      <c r="E642" t="s">
        <v>339</v>
      </c>
      <c r="F642" s="12">
        <v>395686</v>
      </c>
      <c r="G642" s="12" t="str">
        <f>VLOOKUP(Table2[[#This Row],[MemberID]],Table1[#All],3,0)</f>
        <v>Silver</v>
      </c>
      <c r="H642" s="13">
        <v>39</v>
      </c>
    </row>
    <row r="643" spans="1:8">
      <c r="A643" t="s">
        <v>975</v>
      </c>
      <c r="B643" t="s">
        <v>235</v>
      </c>
      <c r="C643" s="8">
        <v>46077</v>
      </c>
      <c r="D643" t="s">
        <v>321</v>
      </c>
      <c r="E643" t="s">
        <v>328</v>
      </c>
      <c r="F643" s="12">
        <v>115252</v>
      </c>
      <c r="G643" s="12" t="str">
        <f>VLOOKUP(Table2[[#This Row],[MemberID]],Table1[#All],3,0)</f>
        <v>Gold</v>
      </c>
      <c r="H643" s="13">
        <v>11</v>
      </c>
    </row>
    <row r="644" spans="1:8">
      <c r="A644" t="s">
        <v>976</v>
      </c>
      <c r="B644" t="s">
        <v>247</v>
      </c>
      <c r="C644" s="8">
        <v>46217</v>
      </c>
      <c r="D644" t="s">
        <v>342</v>
      </c>
      <c r="E644" t="s">
        <v>328</v>
      </c>
      <c r="F644" s="12">
        <v>77203</v>
      </c>
      <c r="G644" s="12" t="str">
        <f>VLOOKUP(Table2[[#This Row],[MemberID]],Table1[#All],3,0)</f>
        <v>Silver</v>
      </c>
      <c r="H644" s="13">
        <v>7</v>
      </c>
    </row>
    <row r="645" spans="1:8">
      <c r="A645" t="s">
        <v>977</v>
      </c>
      <c r="B645" t="s">
        <v>117</v>
      </c>
      <c r="C645" s="8">
        <v>46223</v>
      </c>
      <c r="D645" t="s">
        <v>327</v>
      </c>
      <c r="E645" t="s">
        <v>322</v>
      </c>
      <c r="F645" s="12">
        <v>342451</v>
      </c>
      <c r="G645" s="12" t="str">
        <f>VLOOKUP(Table2[[#This Row],[MemberID]],Table1[#All],3,0)</f>
        <v>Silver</v>
      </c>
      <c r="H645" s="13">
        <v>34</v>
      </c>
    </row>
    <row r="646" spans="1:8">
      <c r="A646" t="s">
        <v>978</v>
      </c>
      <c r="B646" t="s">
        <v>167</v>
      </c>
      <c r="C646" s="8">
        <v>46206</v>
      </c>
      <c r="D646" t="s">
        <v>344</v>
      </c>
      <c r="E646" t="s">
        <v>337</v>
      </c>
      <c r="F646" s="12">
        <v>61241</v>
      </c>
      <c r="G646" s="12" t="str">
        <f>VLOOKUP(Table2[[#This Row],[MemberID]],Table1[#All],3,0)</f>
        <v>Silver</v>
      </c>
      <c r="H646" s="13">
        <v>6</v>
      </c>
    </row>
    <row r="647" spans="1:8">
      <c r="A647" t="s">
        <v>979</v>
      </c>
      <c r="B647" t="s">
        <v>231</v>
      </c>
      <c r="C647" s="8">
        <v>45946</v>
      </c>
      <c r="D647" t="s">
        <v>327</v>
      </c>
      <c r="E647" t="s">
        <v>325</v>
      </c>
      <c r="F647" s="12">
        <v>140481</v>
      </c>
      <c r="G647" s="12" t="str">
        <f>VLOOKUP(Table2[[#This Row],[MemberID]],Table1[#All],3,0)</f>
        <v>Silver</v>
      </c>
      <c r="H647" s="13">
        <v>14</v>
      </c>
    </row>
    <row r="648" spans="1:8">
      <c r="A648" t="s">
        <v>980</v>
      </c>
      <c r="B648" t="s">
        <v>94</v>
      </c>
      <c r="C648" s="8">
        <v>45968</v>
      </c>
      <c r="D648" t="s">
        <v>342</v>
      </c>
      <c r="E648" t="s">
        <v>334</v>
      </c>
      <c r="F648" s="12">
        <v>64006</v>
      </c>
      <c r="G648" s="12" t="str">
        <f>VLOOKUP(Table2[[#This Row],[MemberID]],Table1[#All],3,0)</f>
        <v>Silver</v>
      </c>
      <c r="H648" s="13">
        <v>6</v>
      </c>
    </row>
    <row r="649" spans="1:8">
      <c r="A649" t="s">
        <v>981</v>
      </c>
      <c r="B649" t="s">
        <v>128</v>
      </c>
      <c r="C649" s="8">
        <v>46271</v>
      </c>
      <c r="D649" t="s">
        <v>350</v>
      </c>
      <c r="E649" t="s">
        <v>325</v>
      </c>
      <c r="F649" s="12">
        <v>345718</v>
      </c>
      <c r="G649" s="12" t="str">
        <f>VLOOKUP(Table2[[#This Row],[MemberID]],Table1[#All],3,0)</f>
        <v>Silver</v>
      </c>
      <c r="H649" s="13">
        <v>34</v>
      </c>
    </row>
    <row r="650" spans="1:8">
      <c r="A650" t="s">
        <v>982</v>
      </c>
      <c r="B650" t="s">
        <v>205</v>
      </c>
      <c r="C650" s="8">
        <v>46142</v>
      </c>
      <c r="D650" t="s">
        <v>324</v>
      </c>
      <c r="E650" t="s">
        <v>328</v>
      </c>
      <c r="F650" s="12">
        <v>135153</v>
      </c>
      <c r="G650" s="12" t="str">
        <f>VLOOKUP(Table2[[#This Row],[MemberID]],Table1[#All],3,0)</f>
        <v>Silver</v>
      </c>
      <c r="H650" s="13">
        <v>13</v>
      </c>
    </row>
    <row r="651" spans="1:8">
      <c r="A651" t="s">
        <v>983</v>
      </c>
      <c r="B651" t="s">
        <v>184</v>
      </c>
      <c r="C651" s="8">
        <v>45986</v>
      </c>
      <c r="D651" t="s">
        <v>344</v>
      </c>
      <c r="E651" t="s">
        <v>328</v>
      </c>
      <c r="F651" s="12">
        <v>71668</v>
      </c>
      <c r="G651" s="12" t="str">
        <f>VLOOKUP(Table2[[#This Row],[MemberID]],Table1[#All],3,0)</f>
        <v>Silver</v>
      </c>
      <c r="H651" s="13">
        <v>7</v>
      </c>
    </row>
    <row r="652" spans="1:8">
      <c r="A652" t="s">
        <v>984</v>
      </c>
      <c r="B652" t="s">
        <v>72</v>
      </c>
      <c r="C652" s="8">
        <v>45949</v>
      </c>
      <c r="D652" t="s">
        <v>332</v>
      </c>
      <c r="E652" t="s">
        <v>325</v>
      </c>
      <c r="F652" s="12">
        <v>105607</v>
      </c>
      <c r="G652" s="12" t="str">
        <f>VLOOKUP(Table2[[#This Row],[MemberID]],Table1[#All],3,0)</f>
        <v>Silver</v>
      </c>
      <c r="H652" s="13">
        <v>10</v>
      </c>
    </row>
    <row r="653" spans="1:8">
      <c r="A653" t="s">
        <v>985</v>
      </c>
      <c r="B653" t="s">
        <v>126</v>
      </c>
      <c r="C653" s="8">
        <v>46209</v>
      </c>
      <c r="D653" t="s">
        <v>344</v>
      </c>
      <c r="E653" t="s">
        <v>325</v>
      </c>
      <c r="F653" s="12">
        <v>264894</v>
      </c>
      <c r="G653" s="12" t="str">
        <f>VLOOKUP(Table2[[#This Row],[MemberID]],Table1[#All],3,0)</f>
        <v>Silver</v>
      </c>
      <c r="H653" s="13">
        <v>26</v>
      </c>
    </row>
    <row r="654" spans="1:8">
      <c r="A654" t="s">
        <v>986</v>
      </c>
      <c r="B654" t="s">
        <v>144</v>
      </c>
      <c r="C654" s="8">
        <v>46277</v>
      </c>
      <c r="D654" t="s">
        <v>344</v>
      </c>
      <c r="E654" t="s">
        <v>337</v>
      </c>
      <c r="F654" s="12">
        <v>208293</v>
      </c>
      <c r="G654" s="12" t="str">
        <f>VLOOKUP(Table2[[#This Row],[MemberID]],Table1[#All],3,0)</f>
        <v>Platinum</v>
      </c>
      <c r="H654" s="13">
        <v>20</v>
      </c>
    </row>
    <row r="655" spans="1:8">
      <c r="A655" t="s">
        <v>987</v>
      </c>
      <c r="B655" t="s">
        <v>61</v>
      </c>
      <c r="C655" s="8">
        <v>46204</v>
      </c>
      <c r="D655" t="s">
        <v>342</v>
      </c>
      <c r="E655" t="s">
        <v>339</v>
      </c>
      <c r="F655" s="12">
        <v>634278</v>
      </c>
      <c r="G655" s="12" t="str">
        <f>VLOOKUP(Table2[[#This Row],[MemberID]],Table1[#All],3,0)</f>
        <v>Platinum</v>
      </c>
      <c r="H655" s="13">
        <v>63</v>
      </c>
    </row>
    <row r="656" spans="1:8">
      <c r="A656" t="s">
        <v>988</v>
      </c>
      <c r="B656" t="s">
        <v>164</v>
      </c>
      <c r="C656" s="8">
        <v>45983</v>
      </c>
      <c r="D656" t="s">
        <v>330</v>
      </c>
      <c r="E656" t="s">
        <v>337</v>
      </c>
      <c r="F656" s="12">
        <v>433211</v>
      </c>
      <c r="G656" s="12" t="str">
        <f>VLOOKUP(Table2[[#This Row],[MemberID]],Table1[#All],3,0)</f>
        <v>Silver</v>
      </c>
      <c r="H656" s="13">
        <v>43</v>
      </c>
    </row>
    <row r="657" spans="1:8">
      <c r="A657" t="s">
        <v>989</v>
      </c>
      <c r="B657" t="s">
        <v>246</v>
      </c>
      <c r="C657" s="8">
        <v>46004</v>
      </c>
      <c r="D657" t="s">
        <v>342</v>
      </c>
      <c r="E657" t="s">
        <v>339</v>
      </c>
      <c r="F657" s="12">
        <v>341863</v>
      </c>
      <c r="G657" s="12" t="str">
        <f>VLOOKUP(Table2[[#This Row],[MemberID]],Table1[#All],3,0)</f>
        <v>Gold</v>
      </c>
      <c r="H657" s="13">
        <v>34</v>
      </c>
    </row>
    <row r="658" spans="1:8">
      <c r="A658" t="s">
        <v>990</v>
      </c>
      <c r="B658" t="s">
        <v>313</v>
      </c>
      <c r="C658" s="8">
        <v>45964</v>
      </c>
      <c r="D658" t="s">
        <v>327</v>
      </c>
      <c r="E658" t="s">
        <v>325</v>
      </c>
      <c r="F658" s="12">
        <v>584592</v>
      </c>
      <c r="G658" s="12" t="str">
        <f>VLOOKUP(Table2[[#This Row],[MemberID]],Table1[#All],3,0)</f>
        <v>Silver</v>
      </c>
      <c r="H658" s="13">
        <v>58</v>
      </c>
    </row>
    <row r="659" spans="1:8">
      <c r="A659" t="s">
        <v>991</v>
      </c>
      <c r="B659" t="s">
        <v>28</v>
      </c>
      <c r="C659" s="8">
        <v>46267</v>
      </c>
      <c r="D659" t="s">
        <v>321</v>
      </c>
      <c r="E659" t="s">
        <v>328</v>
      </c>
      <c r="F659" s="12">
        <v>209604</v>
      </c>
      <c r="G659" s="12" t="str">
        <f>VLOOKUP(Table2[[#This Row],[MemberID]],Table1[#All],3,0)</f>
        <v>Gold</v>
      </c>
      <c r="H659" s="13">
        <v>20</v>
      </c>
    </row>
    <row r="660" spans="1:8">
      <c r="A660" t="s">
        <v>992</v>
      </c>
      <c r="B660" t="s">
        <v>259</v>
      </c>
      <c r="C660" s="8">
        <v>46066</v>
      </c>
      <c r="D660" t="s">
        <v>342</v>
      </c>
      <c r="E660" t="s">
        <v>322</v>
      </c>
      <c r="F660" s="12">
        <v>123541</v>
      </c>
      <c r="G660" s="12" t="str">
        <f>VLOOKUP(Table2[[#This Row],[MemberID]],Table1[#All],3,0)</f>
        <v>Gold</v>
      </c>
      <c r="H660" s="13">
        <v>12</v>
      </c>
    </row>
    <row r="661" spans="1:8">
      <c r="A661" t="s">
        <v>993</v>
      </c>
      <c r="B661" t="s">
        <v>288</v>
      </c>
      <c r="C661" s="8">
        <v>46080</v>
      </c>
      <c r="D661" t="s">
        <v>342</v>
      </c>
      <c r="E661" t="s">
        <v>339</v>
      </c>
      <c r="F661" s="12">
        <v>33554</v>
      </c>
      <c r="G661" s="12" t="str">
        <f>VLOOKUP(Table2[[#This Row],[MemberID]],Table1[#All],3,0)</f>
        <v>Silver</v>
      </c>
      <c r="H661" s="13">
        <v>3</v>
      </c>
    </row>
    <row r="662" spans="1:8">
      <c r="A662" t="s">
        <v>994</v>
      </c>
      <c r="B662" t="s">
        <v>191</v>
      </c>
      <c r="C662" s="8">
        <v>46258</v>
      </c>
      <c r="D662" t="s">
        <v>321</v>
      </c>
      <c r="E662" t="s">
        <v>325</v>
      </c>
      <c r="F662" s="12">
        <v>284774</v>
      </c>
      <c r="G662" s="12" t="str">
        <f>VLOOKUP(Table2[[#This Row],[MemberID]],Table1[#All],3,0)</f>
        <v>Gold</v>
      </c>
      <c r="H662" s="13">
        <v>28</v>
      </c>
    </row>
    <row r="663" spans="1:8">
      <c r="A663" t="s">
        <v>995</v>
      </c>
      <c r="B663" t="s">
        <v>81</v>
      </c>
      <c r="C663" s="8">
        <v>46126</v>
      </c>
      <c r="D663" t="s">
        <v>321</v>
      </c>
      <c r="E663" t="s">
        <v>325</v>
      </c>
      <c r="F663" s="12">
        <v>89819</v>
      </c>
      <c r="G663" s="12" t="str">
        <f>VLOOKUP(Table2[[#This Row],[MemberID]],Table1[#All],3,0)</f>
        <v>Gold</v>
      </c>
      <c r="H663" s="13">
        <v>8</v>
      </c>
    </row>
    <row r="664" spans="1:8">
      <c r="A664" t="s">
        <v>996</v>
      </c>
      <c r="B664" t="s">
        <v>193</v>
      </c>
      <c r="C664" s="8">
        <v>46072</v>
      </c>
      <c r="D664" t="s">
        <v>332</v>
      </c>
      <c r="E664" t="s">
        <v>334</v>
      </c>
      <c r="F664" s="12">
        <v>79221</v>
      </c>
      <c r="G664" s="12" t="str">
        <f>VLOOKUP(Table2[[#This Row],[MemberID]],Table1[#All],3,0)</f>
        <v>Gold</v>
      </c>
      <c r="H664" s="13">
        <v>7</v>
      </c>
    </row>
    <row r="665" spans="1:8">
      <c r="A665" t="s">
        <v>997</v>
      </c>
      <c r="B665" t="s">
        <v>139</v>
      </c>
      <c r="C665" s="8">
        <v>45945</v>
      </c>
      <c r="D665" t="s">
        <v>332</v>
      </c>
      <c r="E665" t="s">
        <v>322</v>
      </c>
      <c r="F665" s="12">
        <v>50032</v>
      </c>
      <c r="G665" s="12" t="str">
        <f>VLOOKUP(Table2[[#This Row],[MemberID]],Table1[#All],3,0)</f>
        <v>Silver</v>
      </c>
      <c r="H665" s="13">
        <v>5</v>
      </c>
    </row>
    <row r="666" spans="1:8">
      <c r="A666" t="s">
        <v>998</v>
      </c>
      <c r="B666" t="s">
        <v>21</v>
      </c>
      <c r="C666" s="8">
        <v>46163</v>
      </c>
      <c r="D666" t="s">
        <v>342</v>
      </c>
      <c r="E666" t="s">
        <v>337</v>
      </c>
      <c r="F666" s="12">
        <v>555011</v>
      </c>
      <c r="G666" s="12" t="str">
        <f>VLOOKUP(Table2[[#This Row],[MemberID]],Table1[#All],3,0)</f>
        <v>Silver</v>
      </c>
      <c r="H666" s="13">
        <v>55</v>
      </c>
    </row>
    <row r="667" spans="1:8">
      <c r="A667" t="s">
        <v>999</v>
      </c>
      <c r="B667" t="s">
        <v>75</v>
      </c>
      <c r="C667" s="8">
        <v>46002</v>
      </c>
      <c r="D667" t="s">
        <v>321</v>
      </c>
      <c r="E667" t="s">
        <v>334</v>
      </c>
      <c r="F667" s="12">
        <v>475203</v>
      </c>
      <c r="G667" s="12" t="str">
        <f>VLOOKUP(Table2[[#This Row],[MemberID]],Table1[#All],3,0)</f>
        <v>Silver</v>
      </c>
      <c r="H667" s="13">
        <v>47</v>
      </c>
    </row>
    <row r="668" spans="1:8">
      <c r="A668" t="s">
        <v>1000</v>
      </c>
      <c r="B668" t="s">
        <v>191</v>
      </c>
      <c r="C668" s="8">
        <v>46044</v>
      </c>
      <c r="D668" t="s">
        <v>327</v>
      </c>
      <c r="E668" t="s">
        <v>322</v>
      </c>
      <c r="F668" s="12">
        <v>64644</v>
      </c>
      <c r="G668" s="12" t="str">
        <f>VLOOKUP(Table2[[#This Row],[MemberID]],Table1[#All],3,0)</f>
        <v>Gold</v>
      </c>
      <c r="H668" s="13">
        <v>6</v>
      </c>
    </row>
    <row r="669" spans="1:8">
      <c r="A669" t="s">
        <v>1001</v>
      </c>
      <c r="B669" t="s">
        <v>228</v>
      </c>
      <c r="C669" s="8">
        <v>45940</v>
      </c>
      <c r="D669" t="s">
        <v>324</v>
      </c>
      <c r="E669" t="s">
        <v>337</v>
      </c>
      <c r="F669" s="12">
        <v>149983</v>
      </c>
      <c r="G669" s="12" t="str">
        <f>VLOOKUP(Table2[[#This Row],[MemberID]],Table1[#All],3,0)</f>
        <v>Gold</v>
      </c>
      <c r="H669" s="13">
        <v>14</v>
      </c>
    </row>
    <row r="670" spans="1:8">
      <c r="A670" t="s">
        <v>1002</v>
      </c>
      <c r="B670" t="s">
        <v>200</v>
      </c>
      <c r="C670" s="8">
        <v>46152</v>
      </c>
      <c r="D670" t="s">
        <v>332</v>
      </c>
      <c r="E670" t="s">
        <v>328</v>
      </c>
      <c r="F670" s="12">
        <v>162736</v>
      </c>
      <c r="G670" s="12" t="str">
        <f>VLOOKUP(Table2[[#This Row],[MemberID]],Table1[#All],3,0)</f>
        <v>Silver</v>
      </c>
      <c r="H670" s="13">
        <v>16</v>
      </c>
    </row>
    <row r="671" spans="1:8">
      <c r="A671" t="s">
        <v>1003</v>
      </c>
      <c r="B671" t="s">
        <v>254</v>
      </c>
      <c r="C671" s="8">
        <v>46236</v>
      </c>
      <c r="D671" t="s">
        <v>332</v>
      </c>
      <c r="E671" t="s">
        <v>334</v>
      </c>
      <c r="F671" s="12">
        <v>84617</v>
      </c>
      <c r="G671" s="12" t="str">
        <f>VLOOKUP(Table2[[#This Row],[MemberID]],Table1[#All],3,0)</f>
        <v>Silver</v>
      </c>
      <c r="H671" s="13">
        <v>8</v>
      </c>
    </row>
    <row r="672" spans="1:8">
      <c r="A672" t="s">
        <v>1004</v>
      </c>
      <c r="B672" t="s">
        <v>3</v>
      </c>
      <c r="C672" s="8">
        <v>46227</v>
      </c>
      <c r="D672" t="s">
        <v>321</v>
      </c>
      <c r="E672" t="s">
        <v>328</v>
      </c>
      <c r="F672" s="12">
        <v>473194</v>
      </c>
      <c r="G672" s="12" t="str">
        <f>VLOOKUP(Table2[[#This Row],[MemberID]],Table1[#All],3,0)</f>
        <v>Silver</v>
      </c>
      <c r="H672" s="13">
        <v>47</v>
      </c>
    </row>
    <row r="673" spans="1:8">
      <c r="A673" t="s">
        <v>1005</v>
      </c>
      <c r="B673" t="s">
        <v>46</v>
      </c>
      <c r="C673" s="8">
        <v>45996</v>
      </c>
      <c r="D673" t="s">
        <v>342</v>
      </c>
      <c r="E673" t="s">
        <v>337</v>
      </c>
      <c r="F673" s="12">
        <v>818006</v>
      </c>
      <c r="G673" s="12" t="str">
        <f>VLOOKUP(Table2[[#This Row],[MemberID]],Table1[#All],3,0)</f>
        <v>Silver</v>
      </c>
      <c r="H673" s="13">
        <v>81</v>
      </c>
    </row>
    <row r="674" spans="1:8">
      <c r="A674" t="s">
        <v>1006</v>
      </c>
      <c r="B674" t="s">
        <v>12</v>
      </c>
      <c r="C674" s="8">
        <v>45935</v>
      </c>
      <c r="D674" t="s">
        <v>344</v>
      </c>
      <c r="E674" t="s">
        <v>339</v>
      </c>
      <c r="F674" s="12">
        <v>247635</v>
      </c>
      <c r="G674" s="12" t="str">
        <f>VLOOKUP(Table2[[#This Row],[MemberID]],Table1[#All],3,0)</f>
        <v>Silver</v>
      </c>
      <c r="H674" s="13">
        <v>24</v>
      </c>
    </row>
    <row r="675" spans="1:8">
      <c r="A675" t="s">
        <v>1007</v>
      </c>
      <c r="B675" t="s">
        <v>303</v>
      </c>
      <c r="C675" s="8">
        <v>46185</v>
      </c>
      <c r="D675" t="s">
        <v>327</v>
      </c>
      <c r="E675" t="s">
        <v>328</v>
      </c>
      <c r="F675" s="12">
        <v>190326</v>
      </c>
      <c r="G675" s="12" t="str">
        <f>VLOOKUP(Table2[[#This Row],[MemberID]],Table1[#All],3,0)</f>
        <v>Gold</v>
      </c>
      <c r="H675" s="13">
        <v>19</v>
      </c>
    </row>
    <row r="676" spans="1:8">
      <c r="A676" t="s">
        <v>1008</v>
      </c>
      <c r="B676" t="s">
        <v>266</v>
      </c>
      <c r="C676" s="8">
        <v>46265</v>
      </c>
      <c r="D676" t="s">
        <v>344</v>
      </c>
      <c r="E676" t="s">
        <v>325</v>
      </c>
      <c r="F676" s="12">
        <v>233700</v>
      </c>
      <c r="G676" s="12" t="str">
        <f>VLOOKUP(Table2[[#This Row],[MemberID]],Table1[#All],3,0)</f>
        <v>Silver</v>
      </c>
      <c r="H676" s="13">
        <v>23</v>
      </c>
    </row>
    <row r="677" spans="1:8">
      <c r="A677" t="s">
        <v>1009</v>
      </c>
      <c r="B677" t="s">
        <v>68</v>
      </c>
      <c r="C677" s="8">
        <v>46224</v>
      </c>
      <c r="D677" t="s">
        <v>342</v>
      </c>
      <c r="E677" t="s">
        <v>328</v>
      </c>
      <c r="F677" s="12">
        <v>173130</v>
      </c>
      <c r="G677" s="12" t="str">
        <f>VLOOKUP(Table2[[#This Row],[MemberID]],Table1[#All],3,0)</f>
        <v>Silver</v>
      </c>
      <c r="H677" s="13">
        <v>17</v>
      </c>
    </row>
    <row r="678" spans="1:8">
      <c r="A678" t="s">
        <v>1010</v>
      </c>
      <c r="B678" t="s">
        <v>240</v>
      </c>
      <c r="C678" s="8">
        <v>46119</v>
      </c>
      <c r="D678" t="s">
        <v>332</v>
      </c>
      <c r="E678" t="s">
        <v>322</v>
      </c>
      <c r="F678" s="12">
        <v>701543</v>
      </c>
      <c r="G678" s="12" t="str">
        <f>VLOOKUP(Table2[[#This Row],[MemberID]],Table1[#All],3,0)</f>
        <v>Silver</v>
      </c>
      <c r="H678" s="13">
        <v>70</v>
      </c>
    </row>
    <row r="679" spans="1:8">
      <c r="A679" t="s">
        <v>1011</v>
      </c>
      <c r="B679" t="s">
        <v>312</v>
      </c>
      <c r="C679" s="8">
        <v>45972</v>
      </c>
      <c r="D679" t="s">
        <v>321</v>
      </c>
      <c r="E679" t="s">
        <v>325</v>
      </c>
      <c r="F679" s="12">
        <v>355129</v>
      </c>
      <c r="G679" s="12" t="str">
        <f>VLOOKUP(Table2[[#This Row],[MemberID]],Table1[#All],3,0)</f>
        <v>Gold</v>
      </c>
      <c r="H679" s="13">
        <v>35</v>
      </c>
    </row>
    <row r="680" spans="1:8">
      <c r="A680" t="s">
        <v>1012</v>
      </c>
      <c r="B680" t="s">
        <v>117</v>
      </c>
      <c r="C680" s="8">
        <v>46214</v>
      </c>
      <c r="D680" t="s">
        <v>332</v>
      </c>
      <c r="E680" t="s">
        <v>328</v>
      </c>
      <c r="F680" s="12">
        <v>254719</v>
      </c>
      <c r="G680" s="12" t="str">
        <f>VLOOKUP(Table2[[#This Row],[MemberID]],Table1[#All],3,0)</f>
        <v>Silver</v>
      </c>
      <c r="H680" s="13">
        <v>25</v>
      </c>
    </row>
    <row r="681" spans="1:8">
      <c r="A681" t="s">
        <v>1013</v>
      </c>
      <c r="B681" t="s">
        <v>175</v>
      </c>
      <c r="C681" s="8">
        <v>46076</v>
      </c>
      <c r="D681" t="s">
        <v>342</v>
      </c>
      <c r="E681" t="s">
        <v>328</v>
      </c>
      <c r="F681" s="12">
        <v>129406</v>
      </c>
      <c r="G681" s="12" t="str">
        <f>VLOOKUP(Table2[[#This Row],[MemberID]],Table1[#All],3,0)</f>
        <v>Platinum</v>
      </c>
      <c r="H681" s="13">
        <v>12</v>
      </c>
    </row>
    <row r="682" spans="1:8">
      <c r="A682" t="s">
        <v>1014</v>
      </c>
      <c r="B682" t="s">
        <v>100</v>
      </c>
      <c r="C682" s="8">
        <v>46086</v>
      </c>
      <c r="D682" t="s">
        <v>330</v>
      </c>
      <c r="E682" t="s">
        <v>334</v>
      </c>
      <c r="F682" s="12">
        <v>195882</v>
      </c>
      <c r="G682" s="12" t="str">
        <f>VLOOKUP(Table2[[#This Row],[MemberID]],Table1[#All],3,0)</f>
        <v>Silver</v>
      </c>
      <c r="H682" s="13">
        <v>19</v>
      </c>
    </row>
    <row r="683" spans="1:8">
      <c r="A683" t="s">
        <v>1015</v>
      </c>
      <c r="B683" t="s">
        <v>100</v>
      </c>
      <c r="C683" s="8">
        <v>46136</v>
      </c>
      <c r="D683" t="s">
        <v>332</v>
      </c>
      <c r="E683" t="s">
        <v>339</v>
      </c>
      <c r="F683" s="12">
        <v>58607</v>
      </c>
      <c r="G683" s="12" t="str">
        <f>VLOOKUP(Table2[[#This Row],[MemberID]],Table1[#All],3,0)</f>
        <v>Silver</v>
      </c>
      <c r="H683" s="13">
        <v>5</v>
      </c>
    </row>
    <row r="684" spans="1:8">
      <c r="A684" t="s">
        <v>1016</v>
      </c>
      <c r="B684" t="s">
        <v>100</v>
      </c>
      <c r="C684" s="8">
        <v>46122</v>
      </c>
      <c r="D684" t="s">
        <v>332</v>
      </c>
      <c r="E684" t="s">
        <v>325</v>
      </c>
      <c r="F684" s="12">
        <v>247046</v>
      </c>
      <c r="G684" s="12" t="str">
        <f>VLOOKUP(Table2[[#This Row],[MemberID]],Table1[#All],3,0)</f>
        <v>Silver</v>
      </c>
      <c r="H684" s="13">
        <v>24</v>
      </c>
    </row>
    <row r="685" spans="1:8">
      <c r="A685" t="s">
        <v>1017</v>
      </c>
      <c r="B685" t="s">
        <v>112</v>
      </c>
      <c r="C685" s="8">
        <v>46290</v>
      </c>
      <c r="D685" t="s">
        <v>332</v>
      </c>
      <c r="E685" t="s">
        <v>322</v>
      </c>
      <c r="F685" s="12">
        <v>469079</v>
      </c>
      <c r="G685" s="12" t="str">
        <f>VLOOKUP(Table2[[#This Row],[MemberID]],Table1[#All],3,0)</f>
        <v>Silver</v>
      </c>
      <c r="H685" s="13">
        <v>46</v>
      </c>
    </row>
    <row r="686" spans="1:8">
      <c r="A686" t="s">
        <v>1018</v>
      </c>
      <c r="B686" t="s">
        <v>94</v>
      </c>
      <c r="C686" s="8">
        <v>46255</v>
      </c>
      <c r="D686" t="s">
        <v>350</v>
      </c>
      <c r="E686" t="s">
        <v>337</v>
      </c>
      <c r="F686" s="12">
        <v>573892</v>
      </c>
      <c r="G686" s="12" t="str">
        <f>VLOOKUP(Table2[[#This Row],[MemberID]],Table1[#All],3,0)</f>
        <v>Silver</v>
      </c>
      <c r="H686" s="13">
        <v>57</v>
      </c>
    </row>
    <row r="687" spans="1:8">
      <c r="A687" t="s">
        <v>1019</v>
      </c>
      <c r="B687" t="s">
        <v>227</v>
      </c>
      <c r="C687" s="8">
        <v>46018</v>
      </c>
      <c r="D687" t="s">
        <v>344</v>
      </c>
      <c r="E687" t="s">
        <v>334</v>
      </c>
      <c r="F687" s="12">
        <v>113462</v>
      </c>
      <c r="G687" s="12" t="str">
        <f>VLOOKUP(Table2[[#This Row],[MemberID]],Table1[#All],3,0)</f>
        <v>Silver</v>
      </c>
      <c r="H687" s="13">
        <v>11</v>
      </c>
    </row>
    <row r="688" spans="1:8">
      <c r="A688" t="s">
        <v>1020</v>
      </c>
      <c r="B688" t="s">
        <v>100</v>
      </c>
      <c r="C688" s="8">
        <v>45943</v>
      </c>
      <c r="D688" t="s">
        <v>321</v>
      </c>
      <c r="E688" t="s">
        <v>322</v>
      </c>
      <c r="F688" s="12">
        <v>560676</v>
      </c>
      <c r="G688" s="12" t="str">
        <f>VLOOKUP(Table2[[#This Row],[MemberID]],Table1[#All],3,0)</f>
        <v>Silver</v>
      </c>
      <c r="H688" s="13">
        <v>56</v>
      </c>
    </row>
    <row r="689" spans="1:8">
      <c r="A689" t="s">
        <v>1021</v>
      </c>
      <c r="B689" t="s">
        <v>128</v>
      </c>
      <c r="C689" s="8">
        <v>46220</v>
      </c>
      <c r="D689" t="s">
        <v>342</v>
      </c>
      <c r="E689" t="s">
        <v>325</v>
      </c>
      <c r="F689" s="12">
        <v>271617</v>
      </c>
      <c r="G689" s="12" t="str">
        <f>VLOOKUP(Table2[[#This Row],[MemberID]],Table1[#All],3,0)</f>
        <v>Silver</v>
      </c>
      <c r="H689" s="13">
        <v>27</v>
      </c>
    </row>
    <row r="690" spans="1:8">
      <c r="A690" t="s">
        <v>1022</v>
      </c>
      <c r="B690" t="s">
        <v>36</v>
      </c>
      <c r="C690" s="8">
        <v>45989</v>
      </c>
      <c r="D690" t="s">
        <v>332</v>
      </c>
      <c r="E690" t="s">
        <v>322</v>
      </c>
      <c r="F690" s="12">
        <v>48720</v>
      </c>
      <c r="G690" s="12" t="str">
        <f>VLOOKUP(Table2[[#This Row],[MemberID]],Table1[#All],3,0)</f>
        <v>Gold</v>
      </c>
      <c r="H690" s="13">
        <v>4</v>
      </c>
    </row>
    <row r="691" spans="1:8">
      <c r="A691" t="s">
        <v>1023</v>
      </c>
      <c r="B691" t="s">
        <v>278</v>
      </c>
      <c r="C691" s="8">
        <v>46248</v>
      </c>
      <c r="D691" t="s">
        <v>327</v>
      </c>
      <c r="E691" t="s">
        <v>337</v>
      </c>
      <c r="F691" s="12">
        <v>878544</v>
      </c>
      <c r="G691" s="12" t="str">
        <f>VLOOKUP(Table2[[#This Row],[MemberID]],Table1[#All],3,0)</f>
        <v>Silver</v>
      </c>
      <c r="H691" s="13">
        <v>87</v>
      </c>
    </row>
    <row r="692" spans="1:8">
      <c r="A692" t="s">
        <v>1024</v>
      </c>
      <c r="B692" t="s">
        <v>95</v>
      </c>
      <c r="C692" s="8">
        <v>46115</v>
      </c>
      <c r="D692" t="s">
        <v>324</v>
      </c>
      <c r="E692" t="s">
        <v>328</v>
      </c>
      <c r="F692" s="12">
        <v>130350</v>
      </c>
      <c r="G692" s="12" t="str">
        <f>VLOOKUP(Table2[[#This Row],[MemberID]],Table1[#All],3,0)</f>
        <v>Silver</v>
      </c>
      <c r="H692" s="13">
        <v>13</v>
      </c>
    </row>
    <row r="693" spans="1:8">
      <c r="A693" t="s">
        <v>1025</v>
      </c>
      <c r="B693" t="s">
        <v>252</v>
      </c>
      <c r="C693" s="8">
        <v>45964</v>
      </c>
      <c r="D693" t="s">
        <v>327</v>
      </c>
      <c r="E693" t="s">
        <v>328</v>
      </c>
      <c r="F693" s="12">
        <v>115749</v>
      </c>
      <c r="G693" s="12" t="str">
        <f>VLOOKUP(Table2[[#This Row],[MemberID]],Table1[#All],3,0)</f>
        <v>Silver</v>
      </c>
      <c r="H693" s="13">
        <v>11</v>
      </c>
    </row>
    <row r="694" spans="1:8">
      <c r="A694" t="s">
        <v>1026</v>
      </c>
      <c r="B694" t="s">
        <v>140</v>
      </c>
      <c r="C694" s="8">
        <v>46123</v>
      </c>
      <c r="D694" t="s">
        <v>327</v>
      </c>
      <c r="E694" t="s">
        <v>325</v>
      </c>
      <c r="F694" s="12">
        <v>166368</v>
      </c>
      <c r="G694" s="12" t="str">
        <f>VLOOKUP(Table2[[#This Row],[MemberID]],Table1[#All],3,0)</f>
        <v>Silver</v>
      </c>
      <c r="H694" s="13">
        <v>16</v>
      </c>
    </row>
    <row r="695" spans="1:8">
      <c r="A695" t="s">
        <v>1027</v>
      </c>
      <c r="B695" t="s">
        <v>106</v>
      </c>
      <c r="C695" s="8">
        <v>46098</v>
      </c>
      <c r="D695" t="s">
        <v>344</v>
      </c>
      <c r="E695" t="s">
        <v>337</v>
      </c>
      <c r="F695" s="12">
        <v>157637</v>
      </c>
      <c r="G695" s="12" t="str">
        <f>VLOOKUP(Table2[[#This Row],[MemberID]],Table1[#All],3,0)</f>
        <v>Silver</v>
      </c>
      <c r="H695" s="13">
        <v>15</v>
      </c>
    </row>
    <row r="696" spans="1:8">
      <c r="A696" t="s">
        <v>1028</v>
      </c>
      <c r="B696" t="s">
        <v>116</v>
      </c>
      <c r="C696" s="8">
        <v>46011</v>
      </c>
      <c r="D696" t="s">
        <v>324</v>
      </c>
      <c r="E696" t="s">
        <v>322</v>
      </c>
      <c r="F696" s="12">
        <v>144937</v>
      </c>
      <c r="G696" s="12" t="str">
        <f>VLOOKUP(Table2[[#This Row],[MemberID]],Table1[#All],3,0)</f>
        <v>Silver</v>
      </c>
      <c r="H696" s="13">
        <v>14</v>
      </c>
    </row>
    <row r="697" spans="1:8">
      <c r="A697" t="s">
        <v>1029</v>
      </c>
      <c r="B697" t="s">
        <v>301</v>
      </c>
      <c r="C697" s="8">
        <v>46065</v>
      </c>
      <c r="D697" t="s">
        <v>321</v>
      </c>
      <c r="E697" t="s">
        <v>339</v>
      </c>
      <c r="F697" s="12">
        <v>548427</v>
      </c>
      <c r="G697" s="12" t="str">
        <f>VLOOKUP(Table2[[#This Row],[MemberID]],Table1[#All],3,0)</f>
        <v>Silver</v>
      </c>
      <c r="H697" s="13">
        <v>54</v>
      </c>
    </row>
    <row r="698" spans="1:8">
      <c r="A698" t="s">
        <v>1030</v>
      </c>
      <c r="B698" t="s">
        <v>270</v>
      </c>
      <c r="C698" s="8">
        <v>46286</v>
      </c>
      <c r="D698" t="s">
        <v>321</v>
      </c>
      <c r="E698" t="s">
        <v>337</v>
      </c>
      <c r="F698" s="12">
        <v>182953</v>
      </c>
      <c r="G698" s="12" t="str">
        <f>VLOOKUP(Table2[[#This Row],[MemberID]],Table1[#All],3,0)</f>
        <v>Gold</v>
      </c>
      <c r="H698" s="13">
        <v>18</v>
      </c>
    </row>
    <row r="699" spans="1:8">
      <c r="A699" t="s">
        <v>1031</v>
      </c>
      <c r="B699" t="s">
        <v>170</v>
      </c>
      <c r="C699" s="8">
        <v>46247</v>
      </c>
      <c r="D699" t="s">
        <v>342</v>
      </c>
      <c r="E699" t="s">
        <v>337</v>
      </c>
      <c r="F699" s="12">
        <v>512599</v>
      </c>
      <c r="G699" s="12" t="str">
        <f>VLOOKUP(Table2[[#This Row],[MemberID]],Table1[#All],3,0)</f>
        <v>Silver</v>
      </c>
      <c r="H699" s="13">
        <v>51</v>
      </c>
    </row>
    <row r="700" spans="1:8">
      <c r="A700" t="s">
        <v>1032</v>
      </c>
      <c r="B700" t="s">
        <v>240</v>
      </c>
      <c r="C700" s="8">
        <v>46227</v>
      </c>
      <c r="D700" t="s">
        <v>327</v>
      </c>
      <c r="E700" t="s">
        <v>322</v>
      </c>
      <c r="F700" s="12">
        <v>92538</v>
      </c>
      <c r="G700" s="12" t="str">
        <f>VLOOKUP(Table2[[#This Row],[MemberID]],Table1[#All],3,0)</f>
        <v>Silver</v>
      </c>
      <c r="H700" s="13">
        <v>9</v>
      </c>
    </row>
    <row r="701" spans="1:8">
      <c r="A701" t="s">
        <v>1033</v>
      </c>
      <c r="B701" t="s">
        <v>255</v>
      </c>
      <c r="C701" s="8">
        <v>46007</v>
      </c>
      <c r="D701" t="s">
        <v>321</v>
      </c>
      <c r="E701" t="s">
        <v>339</v>
      </c>
      <c r="F701" s="12">
        <v>78635</v>
      </c>
      <c r="G701" s="12" t="str">
        <f>VLOOKUP(Table2[[#This Row],[MemberID]],Table1[#All],3,0)</f>
        <v>Silver</v>
      </c>
      <c r="H701" s="13">
        <v>7</v>
      </c>
    </row>
    <row r="702" spans="1:8">
      <c r="A702" t="s">
        <v>1034</v>
      </c>
      <c r="B702" t="s">
        <v>102</v>
      </c>
      <c r="C702" s="8">
        <v>46003</v>
      </c>
      <c r="D702" t="s">
        <v>332</v>
      </c>
      <c r="E702" t="s">
        <v>325</v>
      </c>
      <c r="F702" s="12">
        <v>678163</v>
      </c>
      <c r="G702" s="12" t="str">
        <f>VLOOKUP(Table2[[#This Row],[MemberID]],Table1[#All],3,0)</f>
        <v>Platinum</v>
      </c>
      <c r="H702" s="13">
        <v>67</v>
      </c>
    </row>
    <row r="703" spans="1:8">
      <c r="A703" t="s">
        <v>1035</v>
      </c>
      <c r="B703" t="s">
        <v>262</v>
      </c>
      <c r="C703" s="8">
        <v>46101</v>
      </c>
      <c r="D703" t="s">
        <v>344</v>
      </c>
      <c r="E703" t="s">
        <v>334</v>
      </c>
      <c r="F703" s="12">
        <v>341440</v>
      </c>
      <c r="G703" s="12" t="str">
        <f>VLOOKUP(Table2[[#This Row],[MemberID]],Table1[#All],3,0)</f>
        <v>Gold</v>
      </c>
      <c r="H703" s="13">
        <v>34</v>
      </c>
    </row>
    <row r="704" spans="1:8">
      <c r="A704" t="s">
        <v>1036</v>
      </c>
      <c r="B704" t="s">
        <v>305</v>
      </c>
      <c r="C704" s="8">
        <v>46221</v>
      </c>
      <c r="D704" t="s">
        <v>321</v>
      </c>
      <c r="E704" t="s">
        <v>325</v>
      </c>
      <c r="F704" s="12">
        <v>144665</v>
      </c>
      <c r="G704" s="12" t="str">
        <f>VLOOKUP(Table2[[#This Row],[MemberID]],Table1[#All],3,0)</f>
        <v>Silver</v>
      </c>
      <c r="H704" s="13">
        <v>14</v>
      </c>
    </row>
    <row r="705" spans="1:8">
      <c r="A705" t="s">
        <v>1037</v>
      </c>
      <c r="B705" t="s">
        <v>210</v>
      </c>
      <c r="C705" s="8">
        <v>46012</v>
      </c>
      <c r="D705" t="s">
        <v>344</v>
      </c>
      <c r="E705" t="s">
        <v>337</v>
      </c>
      <c r="F705" s="12">
        <v>293926</v>
      </c>
      <c r="G705" s="12" t="str">
        <f>VLOOKUP(Table2[[#This Row],[MemberID]],Table1[#All],3,0)</f>
        <v>Silver</v>
      </c>
      <c r="H705" s="13">
        <v>29</v>
      </c>
    </row>
    <row r="706" spans="1:8">
      <c r="A706" t="s">
        <v>1038</v>
      </c>
      <c r="B706" t="s">
        <v>237</v>
      </c>
      <c r="C706" s="8">
        <v>46251</v>
      </c>
      <c r="D706" t="s">
        <v>350</v>
      </c>
      <c r="E706" t="s">
        <v>322</v>
      </c>
      <c r="F706" s="12">
        <v>587775</v>
      </c>
      <c r="G706" s="12" t="str">
        <f>VLOOKUP(Table2[[#This Row],[MemberID]],Table1[#All],3,0)</f>
        <v>Silver</v>
      </c>
      <c r="H706" s="13">
        <v>58</v>
      </c>
    </row>
    <row r="707" spans="1:8">
      <c r="A707" t="s">
        <v>1039</v>
      </c>
      <c r="B707" t="s">
        <v>102</v>
      </c>
      <c r="C707" s="8">
        <v>46236</v>
      </c>
      <c r="D707" t="s">
        <v>350</v>
      </c>
      <c r="E707" t="s">
        <v>339</v>
      </c>
      <c r="F707" s="12">
        <v>361800</v>
      </c>
      <c r="G707" s="12" t="str">
        <f>VLOOKUP(Table2[[#This Row],[MemberID]],Table1[#All],3,0)</f>
        <v>Platinum</v>
      </c>
      <c r="H707" s="13">
        <v>36</v>
      </c>
    </row>
    <row r="708" spans="1:8">
      <c r="A708" t="s">
        <v>1040</v>
      </c>
      <c r="B708" t="s">
        <v>126</v>
      </c>
      <c r="C708" s="8">
        <v>46057</v>
      </c>
      <c r="D708" t="s">
        <v>330</v>
      </c>
      <c r="E708" t="s">
        <v>334</v>
      </c>
      <c r="F708" s="12">
        <v>64585</v>
      </c>
      <c r="G708" s="12" t="str">
        <f>VLOOKUP(Table2[[#This Row],[MemberID]],Table1[#All],3,0)</f>
        <v>Silver</v>
      </c>
      <c r="H708" s="13">
        <v>6</v>
      </c>
    </row>
    <row r="709" spans="1:8">
      <c r="A709" t="s">
        <v>1041</v>
      </c>
      <c r="B709" t="s">
        <v>177</v>
      </c>
      <c r="C709" s="8">
        <v>46251</v>
      </c>
      <c r="D709" t="s">
        <v>342</v>
      </c>
      <c r="E709" t="s">
        <v>337</v>
      </c>
      <c r="F709" s="12">
        <v>166149</v>
      </c>
      <c r="G709" s="12" t="str">
        <f>VLOOKUP(Table2[[#This Row],[MemberID]],Table1[#All],3,0)</f>
        <v>Silver</v>
      </c>
      <c r="H709" s="13">
        <v>16</v>
      </c>
    </row>
    <row r="710" spans="1:8">
      <c r="A710" t="s">
        <v>1042</v>
      </c>
      <c r="B710" t="s">
        <v>49</v>
      </c>
      <c r="C710" s="8">
        <v>46078</v>
      </c>
      <c r="D710" t="s">
        <v>330</v>
      </c>
      <c r="E710" t="s">
        <v>334</v>
      </c>
      <c r="F710" s="12">
        <v>127601</v>
      </c>
      <c r="G710" s="12" t="str">
        <f>VLOOKUP(Table2[[#This Row],[MemberID]],Table1[#All],3,0)</f>
        <v>Silver</v>
      </c>
      <c r="H710" s="13">
        <v>12</v>
      </c>
    </row>
    <row r="711" spans="1:8">
      <c r="A711" t="s">
        <v>1043</v>
      </c>
      <c r="B711" t="s">
        <v>116</v>
      </c>
      <c r="C711" s="8">
        <v>46186</v>
      </c>
      <c r="D711" t="s">
        <v>350</v>
      </c>
      <c r="E711" t="s">
        <v>334</v>
      </c>
      <c r="F711" s="12">
        <v>454168</v>
      </c>
      <c r="G711" s="12" t="str">
        <f>VLOOKUP(Table2[[#This Row],[MemberID]],Table1[#All],3,0)</f>
        <v>Silver</v>
      </c>
      <c r="H711" s="13">
        <v>45</v>
      </c>
    </row>
    <row r="712" spans="1:8">
      <c r="A712" t="s">
        <v>1044</v>
      </c>
      <c r="B712" t="s">
        <v>13</v>
      </c>
      <c r="C712" s="8">
        <v>46156</v>
      </c>
      <c r="D712" t="s">
        <v>344</v>
      </c>
      <c r="E712" t="s">
        <v>339</v>
      </c>
      <c r="F712" s="12">
        <v>300501</v>
      </c>
      <c r="G712" s="12" t="str">
        <f>VLOOKUP(Table2[[#This Row],[MemberID]],Table1[#All],3,0)</f>
        <v>Silver</v>
      </c>
      <c r="H712" s="13">
        <v>30</v>
      </c>
    </row>
    <row r="713" spans="1:8">
      <c r="A713" t="s">
        <v>1045</v>
      </c>
      <c r="B713" t="s">
        <v>233</v>
      </c>
      <c r="C713" s="8">
        <v>46129</v>
      </c>
      <c r="D713" t="s">
        <v>321</v>
      </c>
      <c r="E713" t="s">
        <v>325</v>
      </c>
      <c r="F713" s="12">
        <v>119252</v>
      </c>
      <c r="G713" s="12" t="str">
        <f>VLOOKUP(Table2[[#This Row],[MemberID]],Table1[#All],3,0)</f>
        <v>Gold</v>
      </c>
      <c r="H713" s="13">
        <v>11</v>
      </c>
    </row>
    <row r="714" spans="1:8">
      <c r="A714" t="s">
        <v>1046</v>
      </c>
      <c r="B714" t="s">
        <v>177</v>
      </c>
      <c r="C714" s="8">
        <v>46254</v>
      </c>
      <c r="D714" t="s">
        <v>344</v>
      </c>
      <c r="E714" t="s">
        <v>339</v>
      </c>
      <c r="F714" s="12">
        <v>199776</v>
      </c>
      <c r="G714" s="12" t="str">
        <f>VLOOKUP(Table2[[#This Row],[MemberID]],Table1[#All],3,0)</f>
        <v>Silver</v>
      </c>
      <c r="H714" s="13">
        <v>19</v>
      </c>
    </row>
    <row r="715" spans="1:8">
      <c r="A715" t="s">
        <v>1047</v>
      </c>
      <c r="B715" t="s">
        <v>54</v>
      </c>
      <c r="C715" s="8">
        <v>46148</v>
      </c>
      <c r="D715" t="s">
        <v>342</v>
      </c>
      <c r="E715" t="s">
        <v>325</v>
      </c>
      <c r="F715" s="12">
        <v>506943</v>
      </c>
      <c r="G715" s="12" t="str">
        <f>VLOOKUP(Table2[[#This Row],[MemberID]],Table1[#All],3,0)</f>
        <v>Platinum</v>
      </c>
      <c r="H715" s="13">
        <v>50</v>
      </c>
    </row>
    <row r="716" spans="1:8">
      <c r="A716" t="s">
        <v>1048</v>
      </c>
      <c r="B716" t="s">
        <v>217</v>
      </c>
      <c r="C716" s="8">
        <v>46165</v>
      </c>
      <c r="D716" t="s">
        <v>332</v>
      </c>
      <c r="E716" t="s">
        <v>322</v>
      </c>
      <c r="F716" s="12">
        <v>288718</v>
      </c>
      <c r="G716" s="12" t="str">
        <f>VLOOKUP(Table2[[#This Row],[MemberID]],Table1[#All],3,0)</f>
        <v>Gold</v>
      </c>
      <c r="H716" s="13">
        <v>28</v>
      </c>
    </row>
    <row r="717" spans="1:8">
      <c r="A717" t="s">
        <v>1049</v>
      </c>
      <c r="B717" t="s">
        <v>306</v>
      </c>
      <c r="C717" s="8">
        <v>46186</v>
      </c>
      <c r="D717" t="s">
        <v>330</v>
      </c>
      <c r="E717" t="s">
        <v>337</v>
      </c>
      <c r="F717" s="12">
        <v>259310</v>
      </c>
      <c r="G717" s="12" t="str">
        <f>VLOOKUP(Table2[[#This Row],[MemberID]],Table1[#All],3,0)</f>
        <v>Silver</v>
      </c>
      <c r="H717" s="13">
        <v>25</v>
      </c>
    </row>
    <row r="718" spans="1:8">
      <c r="A718" t="s">
        <v>1050</v>
      </c>
      <c r="B718" t="s">
        <v>249</v>
      </c>
      <c r="C718" s="8">
        <v>46149</v>
      </c>
      <c r="D718" t="s">
        <v>332</v>
      </c>
      <c r="E718" t="s">
        <v>328</v>
      </c>
      <c r="F718" s="12">
        <v>210003</v>
      </c>
      <c r="G718" s="12" t="str">
        <f>VLOOKUP(Table2[[#This Row],[MemberID]],Table1[#All],3,0)</f>
        <v>Silver</v>
      </c>
      <c r="H718" s="13">
        <v>21</v>
      </c>
    </row>
    <row r="719" spans="1:8">
      <c r="A719" t="s">
        <v>1051</v>
      </c>
      <c r="B719" t="s">
        <v>296</v>
      </c>
      <c r="C719" s="8">
        <v>46186</v>
      </c>
      <c r="D719" t="s">
        <v>344</v>
      </c>
      <c r="E719" t="s">
        <v>328</v>
      </c>
      <c r="F719" s="12">
        <v>283184</v>
      </c>
      <c r="G719" s="12" t="str">
        <f>VLOOKUP(Table2[[#This Row],[MemberID]],Table1[#All],3,0)</f>
        <v>Silver</v>
      </c>
      <c r="H719" s="13">
        <v>28</v>
      </c>
    </row>
    <row r="720" spans="1:8">
      <c r="A720" t="s">
        <v>1052</v>
      </c>
      <c r="B720" t="s">
        <v>76</v>
      </c>
      <c r="C720" s="8">
        <v>46051</v>
      </c>
      <c r="D720" t="s">
        <v>344</v>
      </c>
      <c r="E720" t="s">
        <v>337</v>
      </c>
      <c r="F720" s="12">
        <v>290250</v>
      </c>
      <c r="G720" s="12" t="str">
        <f>VLOOKUP(Table2[[#This Row],[MemberID]],Table1[#All],3,0)</f>
        <v>Silver</v>
      </c>
      <c r="H720" s="13">
        <v>29</v>
      </c>
    </row>
    <row r="721" spans="1:8">
      <c r="A721" t="s">
        <v>1053</v>
      </c>
      <c r="B721" t="s">
        <v>132</v>
      </c>
      <c r="C721" s="8">
        <v>45980</v>
      </c>
      <c r="D721" t="s">
        <v>344</v>
      </c>
      <c r="E721" t="s">
        <v>328</v>
      </c>
      <c r="F721" s="12">
        <v>203158</v>
      </c>
      <c r="G721" s="12" t="str">
        <f>VLOOKUP(Table2[[#This Row],[MemberID]],Table1[#All],3,0)</f>
        <v>Silver</v>
      </c>
      <c r="H721" s="13">
        <v>20</v>
      </c>
    </row>
    <row r="722" spans="1:8">
      <c r="A722" t="s">
        <v>1054</v>
      </c>
      <c r="B722" t="s">
        <v>236</v>
      </c>
      <c r="C722" s="8">
        <v>46034</v>
      </c>
      <c r="D722" t="s">
        <v>321</v>
      </c>
      <c r="E722" t="s">
        <v>322</v>
      </c>
      <c r="F722" s="12">
        <v>462474</v>
      </c>
      <c r="G722" s="12" t="str">
        <f>VLOOKUP(Table2[[#This Row],[MemberID]],Table1[#All],3,0)</f>
        <v>Gold</v>
      </c>
      <c r="H722" s="13">
        <v>46</v>
      </c>
    </row>
    <row r="723" spans="1:8">
      <c r="A723" t="s">
        <v>1055</v>
      </c>
      <c r="B723" t="s">
        <v>183</v>
      </c>
      <c r="C723" s="8">
        <v>46006</v>
      </c>
      <c r="D723" t="s">
        <v>344</v>
      </c>
      <c r="E723" t="s">
        <v>328</v>
      </c>
      <c r="F723" s="12">
        <v>113610</v>
      </c>
      <c r="G723" s="12" t="str">
        <f>VLOOKUP(Table2[[#This Row],[MemberID]],Table1[#All],3,0)</f>
        <v>Gold</v>
      </c>
      <c r="H723" s="13">
        <v>11</v>
      </c>
    </row>
    <row r="724" spans="1:8">
      <c r="A724" t="s">
        <v>1056</v>
      </c>
      <c r="B724" t="s">
        <v>294</v>
      </c>
      <c r="C724" s="8">
        <v>46000</v>
      </c>
      <c r="D724" t="s">
        <v>321</v>
      </c>
      <c r="E724" t="s">
        <v>334</v>
      </c>
      <c r="F724" s="12">
        <v>272021</v>
      </c>
      <c r="G724" s="12" t="str">
        <f>VLOOKUP(Table2[[#This Row],[MemberID]],Table1[#All],3,0)</f>
        <v>Gold</v>
      </c>
      <c r="H724" s="13">
        <v>27</v>
      </c>
    </row>
    <row r="725" spans="1:8">
      <c r="A725" t="s">
        <v>1057</v>
      </c>
      <c r="B725" t="s">
        <v>168</v>
      </c>
      <c r="C725" s="8">
        <v>46038</v>
      </c>
      <c r="D725" t="s">
        <v>330</v>
      </c>
      <c r="E725" t="s">
        <v>337</v>
      </c>
      <c r="F725" s="12">
        <v>292323</v>
      </c>
      <c r="G725" s="12" t="str">
        <f>VLOOKUP(Table2[[#This Row],[MemberID]],Table1[#All],3,0)</f>
        <v>Silver</v>
      </c>
      <c r="H725" s="13">
        <v>29</v>
      </c>
    </row>
    <row r="726" spans="1:8">
      <c r="A726" t="s">
        <v>1058</v>
      </c>
      <c r="B726" t="s">
        <v>57</v>
      </c>
      <c r="C726" s="8">
        <v>46026</v>
      </c>
      <c r="D726" t="s">
        <v>321</v>
      </c>
      <c r="E726" t="s">
        <v>339</v>
      </c>
      <c r="F726" s="12">
        <v>156131</v>
      </c>
      <c r="G726" s="12" t="str">
        <f>VLOOKUP(Table2[[#This Row],[MemberID]],Table1[#All],3,0)</f>
        <v>Gold</v>
      </c>
      <c r="H726" s="13">
        <v>15</v>
      </c>
    </row>
    <row r="727" spans="1:8">
      <c r="A727" t="s">
        <v>1059</v>
      </c>
      <c r="B727" t="s">
        <v>313</v>
      </c>
      <c r="C727" s="8">
        <v>46288</v>
      </c>
      <c r="D727" t="s">
        <v>324</v>
      </c>
      <c r="E727" t="s">
        <v>339</v>
      </c>
      <c r="F727" s="12">
        <v>311942</v>
      </c>
      <c r="G727" s="12" t="str">
        <f>VLOOKUP(Table2[[#This Row],[MemberID]],Table1[#All],3,0)</f>
        <v>Silver</v>
      </c>
      <c r="H727" s="13">
        <v>31</v>
      </c>
    </row>
    <row r="728" spans="1:8">
      <c r="A728" t="s">
        <v>1060</v>
      </c>
      <c r="B728" t="s">
        <v>245</v>
      </c>
      <c r="C728" s="8">
        <v>46052</v>
      </c>
      <c r="D728" t="s">
        <v>327</v>
      </c>
      <c r="E728" t="s">
        <v>325</v>
      </c>
      <c r="F728" s="12">
        <v>344286</v>
      </c>
      <c r="G728" s="12" t="str">
        <f>VLOOKUP(Table2[[#This Row],[MemberID]],Table1[#All],3,0)</f>
        <v>Silver</v>
      </c>
      <c r="H728" s="13">
        <v>34</v>
      </c>
    </row>
    <row r="729" spans="1:8">
      <c r="A729" t="s">
        <v>1061</v>
      </c>
      <c r="B729" t="s">
        <v>282</v>
      </c>
      <c r="C729" s="8">
        <v>46292</v>
      </c>
      <c r="D729" t="s">
        <v>324</v>
      </c>
      <c r="E729" t="s">
        <v>325</v>
      </c>
      <c r="F729" s="12">
        <v>439722</v>
      </c>
      <c r="G729" s="12" t="str">
        <f>VLOOKUP(Table2[[#This Row],[MemberID]],Table1[#All],3,0)</f>
        <v>Silver</v>
      </c>
      <c r="H729" s="13">
        <v>43</v>
      </c>
    </row>
    <row r="730" spans="1:8">
      <c r="A730" t="s">
        <v>1062</v>
      </c>
      <c r="B730" t="s">
        <v>311</v>
      </c>
      <c r="C730" s="8">
        <v>46129</v>
      </c>
      <c r="D730" t="s">
        <v>344</v>
      </c>
      <c r="E730" t="s">
        <v>325</v>
      </c>
      <c r="F730" s="12">
        <v>359897</v>
      </c>
      <c r="G730" s="12" t="str">
        <f>VLOOKUP(Table2[[#This Row],[MemberID]],Table1[#All],3,0)</f>
        <v>Silver</v>
      </c>
      <c r="H730" s="13">
        <v>35</v>
      </c>
    </row>
    <row r="731" spans="1:8">
      <c r="A731" t="s">
        <v>1063</v>
      </c>
      <c r="B731" t="s">
        <v>51</v>
      </c>
      <c r="C731" s="8">
        <v>46209</v>
      </c>
      <c r="D731" t="s">
        <v>344</v>
      </c>
      <c r="E731" t="s">
        <v>325</v>
      </c>
      <c r="F731" s="12">
        <v>383339</v>
      </c>
      <c r="G731" s="12" t="str">
        <f>VLOOKUP(Table2[[#This Row],[MemberID]],Table1[#All],3,0)</f>
        <v>Gold</v>
      </c>
      <c r="H731" s="13">
        <v>38</v>
      </c>
    </row>
    <row r="732" spans="1:8">
      <c r="A732" t="s">
        <v>1064</v>
      </c>
      <c r="B732" t="s">
        <v>139</v>
      </c>
      <c r="C732" s="8">
        <v>46262</v>
      </c>
      <c r="D732" t="s">
        <v>330</v>
      </c>
      <c r="E732" t="s">
        <v>337</v>
      </c>
      <c r="F732" s="12">
        <v>447484</v>
      </c>
      <c r="G732" s="12" t="str">
        <f>VLOOKUP(Table2[[#This Row],[MemberID]],Table1[#All],3,0)</f>
        <v>Silver</v>
      </c>
      <c r="H732" s="13">
        <v>44</v>
      </c>
    </row>
    <row r="733" spans="1:8">
      <c r="A733" t="s">
        <v>1065</v>
      </c>
      <c r="B733" t="s">
        <v>275</v>
      </c>
      <c r="C733" s="8">
        <v>46030</v>
      </c>
      <c r="D733" t="s">
        <v>327</v>
      </c>
      <c r="E733" t="s">
        <v>334</v>
      </c>
      <c r="F733" s="12">
        <v>59196</v>
      </c>
      <c r="G733" s="12" t="str">
        <f>VLOOKUP(Table2[[#This Row],[MemberID]],Table1[#All],3,0)</f>
        <v>Silver</v>
      </c>
      <c r="H733" s="13">
        <v>5</v>
      </c>
    </row>
    <row r="734" spans="1:8">
      <c r="A734" t="s">
        <v>1066</v>
      </c>
      <c r="B734" t="s">
        <v>210</v>
      </c>
      <c r="C734" s="8">
        <v>45948</v>
      </c>
      <c r="D734" t="s">
        <v>330</v>
      </c>
      <c r="E734" t="s">
        <v>325</v>
      </c>
      <c r="F734" s="12">
        <v>214160</v>
      </c>
      <c r="G734" s="12" t="str">
        <f>VLOOKUP(Table2[[#This Row],[MemberID]],Table1[#All],3,0)</f>
        <v>Silver</v>
      </c>
      <c r="H734" s="13">
        <v>21</v>
      </c>
    </row>
    <row r="735" spans="1:8">
      <c r="A735" t="s">
        <v>1067</v>
      </c>
      <c r="B735" t="s">
        <v>294</v>
      </c>
      <c r="C735" s="8">
        <v>45937</v>
      </c>
      <c r="D735" t="s">
        <v>321</v>
      </c>
      <c r="E735" t="s">
        <v>337</v>
      </c>
      <c r="F735" s="12">
        <v>374457</v>
      </c>
      <c r="G735" s="12" t="str">
        <f>VLOOKUP(Table2[[#This Row],[MemberID]],Table1[#All],3,0)</f>
        <v>Gold</v>
      </c>
      <c r="H735" s="13">
        <v>37</v>
      </c>
    </row>
    <row r="736" spans="1:8">
      <c r="A736" t="s">
        <v>1068</v>
      </c>
      <c r="B736" t="s">
        <v>283</v>
      </c>
      <c r="C736" s="8">
        <v>46093</v>
      </c>
      <c r="D736" t="s">
        <v>344</v>
      </c>
      <c r="E736" t="s">
        <v>337</v>
      </c>
      <c r="F736" s="12">
        <v>653506</v>
      </c>
      <c r="G736" s="12" t="str">
        <f>VLOOKUP(Table2[[#This Row],[MemberID]],Table1[#All],3,0)</f>
        <v>Gold</v>
      </c>
      <c r="H736" s="13">
        <v>65</v>
      </c>
    </row>
    <row r="737" spans="1:8">
      <c r="A737" t="s">
        <v>1069</v>
      </c>
      <c r="B737" t="s">
        <v>262</v>
      </c>
      <c r="C737" s="8">
        <v>45962</v>
      </c>
      <c r="D737" t="s">
        <v>332</v>
      </c>
      <c r="E737" t="s">
        <v>325</v>
      </c>
      <c r="F737" s="12">
        <v>314425</v>
      </c>
      <c r="G737" s="12" t="str">
        <f>VLOOKUP(Table2[[#This Row],[MemberID]],Table1[#All],3,0)</f>
        <v>Gold</v>
      </c>
      <c r="H737" s="13">
        <v>31</v>
      </c>
    </row>
    <row r="738" spans="1:8">
      <c r="A738" t="s">
        <v>1070</v>
      </c>
      <c r="B738" t="s">
        <v>255</v>
      </c>
      <c r="C738" s="8">
        <v>46186</v>
      </c>
      <c r="D738" t="s">
        <v>330</v>
      </c>
      <c r="E738" t="s">
        <v>337</v>
      </c>
      <c r="F738" s="12">
        <v>80091</v>
      </c>
      <c r="G738" s="12" t="str">
        <f>VLOOKUP(Table2[[#This Row],[MemberID]],Table1[#All],3,0)</f>
        <v>Silver</v>
      </c>
      <c r="H738" s="13">
        <v>8</v>
      </c>
    </row>
    <row r="739" spans="1:8">
      <c r="A739" t="s">
        <v>1071</v>
      </c>
      <c r="B739" t="s">
        <v>283</v>
      </c>
      <c r="C739" s="8">
        <v>46044</v>
      </c>
      <c r="D739" t="s">
        <v>324</v>
      </c>
      <c r="E739" t="s">
        <v>328</v>
      </c>
      <c r="F739" s="12">
        <v>230333</v>
      </c>
      <c r="G739" s="12" t="str">
        <f>VLOOKUP(Table2[[#This Row],[MemberID]],Table1[#All],3,0)</f>
        <v>Gold</v>
      </c>
      <c r="H739" s="13">
        <v>23</v>
      </c>
    </row>
    <row r="740" spans="1:8">
      <c r="A740" t="s">
        <v>1072</v>
      </c>
      <c r="B740" t="s">
        <v>251</v>
      </c>
      <c r="C740" s="8">
        <v>46174</v>
      </c>
      <c r="D740" t="s">
        <v>342</v>
      </c>
      <c r="E740" t="s">
        <v>334</v>
      </c>
      <c r="F740" s="12">
        <v>210900</v>
      </c>
      <c r="G740" s="12" t="str">
        <f>VLOOKUP(Table2[[#This Row],[MemberID]],Table1[#All],3,0)</f>
        <v>Gold</v>
      </c>
      <c r="H740" s="13">
        <v>21</v>
      </c>
    </row>
    <row r="741" spans="1:8">
      <c r="A741" t="s">
        <v>1073</v>
      </c>
      <c r="B741" t="s">
        <v>8</v>
      </c>
      <c r="C741" s="8">
        <v>46032</v>
      </c>
      <c r="D741" t="s">
        <v>332</v>
      </c>
      <c r="E741" t="s">
        <v>325</v>
      </c>
      <c r="F741" s="12">
        <v>122669</v>
      </c>
      <c r="G741" s="12" t="str">
        <f>VLOOKUP(Table2[[#This Row],[MemberID]],Table1[#All],3,0)</f>
        <v>Gold</v>
      </c>
      <c r="H741" s="13">
        <v>12</v>
      </c>
    </row>
    <row r="742" spans="1:8">
      <c r="A742" t="s">
        <v>1074</v>
      </c>
      <c r="B742" t="s">
        <v>90</v>
      </c>
      <c r="C742" s="8">
        <v>46248</v>
      </c>
      <c r="D742" t="s">
        <v>324</v>
      </c>
      <c r="E742" t="s">
        <v>334</v>
      </c>
      <c r="F742" s="12">
        <v>78204</v>
      </c>
      <c r="G742" s="12" t="str">
        <f>VLOOKUP(Table2[[#This Row],[MemberID]],Table1[#All],3,0)</f>
        <v>Silver</v>
      </c>
      <c r="H742" s="13">
        <v>7</v>
      </c>
    </row>
    <row r="743" spans="1:8">
      <c r="A743" t="s">
        <v>1075</v>
      </c>
      <c r="B743" t="s">
        <v>126</v>
      </c>
      <c r="C743" s="8">
        <v>46200</v>
      </c>
      <c r="D743" t="s">
        <v>330</v>
      </c>
      <c r="E743" t="s">
        <v>337</v>
      </c>
      <c r="F743" s="12">
        <v>600865</v>
      </c>
      <c r="G743" s="12" t="str">
        <f>VLOOKUP(Table2[[#This Row],[MemberID]],Table1[#All],3,0)</f>
        <v>Silver</v>
      </c>
      <c r="H743" s="13">
        <v>60</v>
      </c>
    </row>
    <row r="744" spans="1:8">
      <c r="A744" t="s">
        <v>1076</v>
      </c>
      <c r="B744" t="s">
        <v>89</v>
      </c>
      <c r="C744" s="8">
        <v>45955</v>
      </c>
      <c r="D744" t="s">
        <v>344</v>
      </c>
      <c r="E744" t="s">
        <v>325</v>
      </c>
      <c r="F744" s="12">
        <v>52528</v>
      </c>
      <c r="G744" s="12" t="str">
        <f>VLOOKUP(Table2[[#This Row],[MemberID]],Table1[#All],3,0)</f>
        <v>Platinum</v>
      </c>
      <c r="H744" s="13">
        <v>5</v>
      </c>
    </row>
    <row r="745" spans="1:8">
      <c r="A745" t="s">
        <v>1077</v>
      </c>
      <c r="B745" t="s">
        <v>252</v>
      </c>
      <c r="C745" s="8">
        <v>46221</v>
      </c>
      <c r="D745" t="s">
        <v>327</v>
      </c>
      <c r="E745" t="s">
        <v>339</v>
      </c>
      <c r="F745" s="12">
        <v>353830</v>
      </c>
      <c r="G745" s="12" t="str">
        <f>VLOOKUP(Table2[[#This Row],[MemberID]],Table1[#All],3,0)</f>
        <v>Silver</v>
      </c>
      <c r="H745" s="13">
        <v>35</v>
      </c>
    </row>
    <row r="746" spans="1:8">
      <c r="A746" t="s">
        <v>1078</v>
      </c>
      <c r="B746" t="s">
        <v>119</v>
      </c>
      <c r="C746" s="8">
        <v>46289</v>
      </c>
      <c r="D746" t="s">
        <v>327</v>
      </c>
      <c r="E746" t="s">
        <v>334</v>
      </c>
      <c r="F746" s="12">
        <v>140382</v>
      </c>
      <c r="G746" s="12" t="str">
        <f>VLOOKUP(Table2[[#This Row],[MemberID]],Table1[#All],3,0)</f>
        <v>Gold</v>
      </c>
      <c r="H746" s="13">
        <v>14</v>
      </c>
    </row>
    <row r="747" spans="1:8">
      <c r="A747" t="s">
        <v>1079</v>
      </c>
      <c r="B747" t="s">
        <v>154</v>
      </c>
      <c r="C747" s="8">
        <v>45971</v>
      </c>
      <c r="D747" t="s">
        <v>321</v>
      </c>
      <c r="E747" t="s">
        <v>325</v>
      </c>
      <c r="F747" s="12">
        <v>465747</v>
      </c>
      <c r="G747" s="12" t="str">
        <f>VLOOKUP(Table2[[#This Row],[MemberID]],Table1[#All],3,0)</f>
        <v>Silver</v>
      </c>
      <c r="H747" s="13">
        <v>46</v>
      </c>
    </row>
    <row r="748" spans="1:8">
      <c r="A748" t="s">
        <v>1080</v>
      </c>
      <c r="B748" t="s">
        <v>135</v>
      </c>
      <c r="C748" s="8">
        <v>46004</v>
      </c>
      <c r="D748" t="s">
        <v>332</v>
      </c>
      <c r="E748" t="s">
        <v>322</v>
      </c>
      <c r="F748" s="12">
        <v>213699</v>
      </c>
      <c r="G748" s="12" t="str">
        <f>VLOOKUP(Table2[[#This Row],[MemberID]],Table1[#All],3,0)</f>
        <v>Silver</v>
      </c>
      <c r="H748" s="13">
        <v>21</v>
      </c>
    </row>
    <row r="749" spans="1:8">
      <c r="A749" t="s">
        <v>1081</v>
      </c>
      <c r="B749" t="s">
        <v>156</v>
      </c>
      <c r="C749" s="8">
        <v>46140</v>
      </c>
      <c r="D749" t="s">
        <v>342</v>
      </c>
      <c r="E749" t="s">
        <v>334</v>
      </c>
      <c r="F749" s="12">
        <v>317149</v>
      </c>
      <c r="G749" s="12" t="str">
        <f>VLOOKUP(Table2[[#This Row],[MemberID]],Table1[#All],3,0)</f>
        <v>Silver</v>
      </c>
      <c r="H749" s="13">
        <v>31</v>
      </c>
    </row>
    <row r="750" spans="1:8">
      <c r="A750" t="s">
        <v>1082</v>
      </c>
      <c r="B750" t="s">
        <v>73</v>
      </c>
      <c r="C750" s="8">
        <v>46083</v>
      </c>
      <c r="D750" t="s">
        <v>342</v>
      </c>
      <c r="E750" t="s">
        <v>334</v>
      </c>
      <c r="F750" s="12">
        <v>249303</v>
      </c>
      <c r="G750" s="12" t="str">
        <f>VLOOKUP(Table2[[#This Row],[MemberID]],Table1[#All],3,0)</f>
        <v>Gold</v>
      </c>
      <c r="H750" s="13">
        <v>24</v>
      </c>
    </row>
    <row r="751" spans="1:8">
      <c r="A751" t="s">
        <v>1083</v>
      </c>
      <c r="B751" t="s">
        <v>70</v>
      </c>
      <c r="C751" s="8">
        <v>46212</v>
      </c>
      <c r="D751" t="s">
        <v>350</v>
      </c>
      <c r="E751" t="s">
        <v>325</v>
      </c>
      <c r="F751" s="12">
        <v>173168</v>
      </c>
      <c r="G751" s="12" t="str">
        <f>VLOOKUP(Table2[[#This Row],[MemberID]],Table1[#All],3,0)</f>
        <v>Silver</v>
      </c>
      <c r="H751" s="13">
        <v>17</v>
      </c>
    </row>
    <row r="752" spans="1:8">
      <c r="A752" t="s">
        <v>1084</v>
      </c>
      <c r="B752" t="s">
        <v>240</v>
      </c>
      <c r="C752" s="8">
        <v>45975</v>
      </c>
      <c r="D752" t="s">
        <v>344</v>
      </c>
      <c r="E752" t="s">
        <v>322</v>
      </c>
      <c r="F752" s="12">
        <v>289936</v>
      </c>
      <c r="G752" s="12" t="str">
        <f>VLOOKUP(Table2[[#This Row],[MemberID]],Table1[#All],3,0)</f>
        <v>Silver</v>
      </c>
      <c r="H752" s="13">
        <v>28</v>
      </c>
    </row>
    <row r="753" spans="1:8">
      <c r="A753" t="s">
        <v>1085</v>
      </c>
      <c r="B753" t="s">
        <v>3</v>
      </c>
      <c r="C753" s="8">
        <v>46012</v>
      </c>
      <c r="D753" t="s">
        <v>324</v>
      </c>
      <c r="E753" t="s">
        <v>339</v>
      </c>
      <c r="F753" s="12">
        <v>258929</v>
      </c>
      <c r="G753" s="12" t="str">
        <f>VLOOKUP(Table2[[#This Row],[MemberID]],Table1[#All],3,0)</f>
        <v>Silver</v>
      </c>
      <c r="H753" s="13">
        <v>25</v>
      </c>
    </row>
    <row r="754" spans="1:8">
      <c r="A754" t="s">
        <v>1086</v>
      </c>
      <c r="B754" t="s">
        <v>129</v>
      </c>
      <c r="C754" s="8">
        <v>45931</v>
      </c>
      <c r="D754" t="s">
        <v>344</v>
      </c>
      <c r="E754" t="s">
        <v>325</v>
      </c>
      <c r="F754" s="12">
        <v>473577</v>
      </c>
      <c r="G754" s="12" t="str">
        <f>VLOOKUP(Table2[[#This Row],[MemberID]],Table1[#All],3,0)</f>
        <v>Silver</v>
      </c>
      <c r="H754" s="13">
        <v>47</v>
      </c>
    </row>
    <row r="755" spans="1:8">
      <c r="A755" t="s">
        <v>1087</v>
      </c>
      <c r="B755" t="s">
        <v>306</v>
      </c>
      <c r="C755" s="8">
        <v>46211</v>
      </c>
      <c r="D755" t="s">
        <v>350</v>
      </c>
      <c r="E755" t="s">
        <v>322</v>
      </c>
      <c r="F755" s="12">
        <v>51733</v>
      </c>
      <c r="G755" s="12" t="str">
        <f>VLOOKUP(Table2[[#This Row],[MemberID]],Table1[#All],3,0)</f>
        <v>Silver</v>
      </c>
      <c r="H755" s="13">
        <v>5</v>
      </c>
    </row>
    <row r="756" spans="1:8">
      <c r="A756" t="s">
        <v>1088</v>
      </c>
      <c r="B756" t="s">
        <v>68</v>
      </c>
      <c r="C756" s="8">
        <v>46279</v>
      </c>
      <c r="D756" t="s">
        <v>330</v>
      </c>
      <c r="E756" t="s">
        <v>322</v>
      </c>
      <c r="F756" s="12">
        <v>287905</v>
      </c>
      <c r="G756" s="12" t="str">
        <f>VLOOKUP(Table2[[#This Row],[MemberID]],Table1[#All],3,0)</f>
        <v>Silver</v>
      </c>
      <c r="H756" s="13">
        <v>28</v>
      </c>
    </row>
    <row r="757" spans="1:8">
      <c r="A757" t="s">
        <v>1089</v>
      </c>
      <c r="B757" t="s">
        <v>212</v>
      </c>
      <c r="C757" s="8">
        <v>46109</v>
      </c>
      <c r="D757" t="s">
        <v>327</v>
      </c>
      <c r="E757" t="s">
        <v>337</v>
      </c>
      <c r="F757" s="12">
        <v>324663</v>
      </c>
      <c r="G757" s="12" t="str">
        <f>VLOOKUP(Table2[[#This Row],[MemberID]],Table1[#All],3,0)</f>
        <v>Silver</v>
      </c>
      <c r="H757" s="13">
        <v>32</v>
      </c>
    </row>
    <row r="758" spans="1:8">
      <c r="A758" t="s">
        <v>1090</v>
      </c>
      <c r="B758" t="s">
        <v>241</v>
      </c>
      <c r="C758" s="8">
        <v>46251</v>
      </c>
      <c r="D758" t="s">
        <v>342</v>
      </c>
      <c r="E758" t="s">
        <v>337</v>
      </c>
      <c r="F758" s="12">
        <v>86565</v>
      </c>
      <c r="G758" s="12" t="str">
        <f>VLOOKUP(Table2[[#This Row],[MemberID]],Table1[#All],3,0)</f>
        <v>Gold</v>
      </c>
      <c r="H758" s="13">
        <v>8</v>
      </c>
    </row>
    <row r="759" spans="1:8">
      <c r="A759" t="s">
        <v>1091</v>
      </c>
      <c r="B759" t="s">
        <v>38</v>
      </c>
      <c r="C759" s="8">
        <v>46110</v>
      </c>
      <c r="D759" t="s">
        <v>350</v>
      </c>
      <c r="E759" t="s">
        <v>328</v>
      </c>
      <c r="F759" s="12">
        <v>645956</v>
      </c>
      <c r="G759" s="12" t="str">
        <f>VLOOKUP(Table2[[#This Row],[MemberID]],Table1[#All],3,0)</f>
        <v>Gold</v>
      </c>
      <c r="H759" s="13">
        <v>64</v>
      </c>
    </row>
    <row r="760" spans="1:8">
      <c r="A760" t="s">
        <v>1092</v>
      </c>
      <c r="B760" t="s">
        <v>228</v>
      </c>
      <c r="C760" s="8">
        <v>46268</v>
      </c>
      <c r="D760" t="s">
        <v>327</v>
      </c>
      <c r="E760" t="s">
        <v>322</v>
      </c>
      <c r="F760" s="12">
        <v>271791</v>
      </c>
      <c r="G760" s="12" t="str">
        <f>VLOOKUP(Table2[[#This Row],[MemberID]],Table1[#All],3,0)</f>
        <v>Gold</v>
      </c>
      <c r="H760" s="13">
        <v>27</v>
      </c>
    </row>
    <row r="761" spans="1:8">
      <c r="A761" t="s">
        <v>1093</v>
      </c>
      <c r="B761" t="s">
        <v>87</v>
      </c>
      <c r="C761" s="8">
        <v>45938</v>
      </c>
      <c r="D761" t="s">
        <v>330</v>
      </c>
      <c r="E761" t="s">
        <v>328</v>
      </c>
      <c r="F761" s="12">
        <v>622237</v>
      </c>
      <c r="G761" s="12" t="str">
        <f>VLOOKUP(Table2[[#This Row],[MemberID]],Table1[#All],3,0)</f>
        <v>Gold</v>
      </c>
      <c r="H761" s="13">
        <v>62</v>
      </c>
    </row>
    <row r="762" spans="1:8">
      <c r="A762" t="s">
        <v>1094</v>
      </c>
      <c r="B762" t="s">
        <v>90</v>
      </c>
      <c r="C762" s="8">
        <v>46008</v>
      </c>
      <c r="D762" t="s">
        <v>344</v>
      </c>
      <c r="E762" t="s">
        <v>328</v>
      </c>
      <c r="F762" s="12">
        <v>208974</v>
      </c>
      <c r="G762" s="12" t="str">
        <f>VLOOKUP(Table2[[#This Row],[MemberID]],Table1[#All],3,0)</f>
        <v>Silver</v>
      </c>
      <c r="H762" s="13">
        <v>20</v>
      </c>
    </row>
    <row r="763" spans="1:8">
      <c r="A763" t="s">
        <v>1095</v>
      </c>
      <c r="B763" t="s">
        <v>196</v>
      </c>
      <c r="C763" s="8">
        <v>46165</v>
      </c>
      <c r="D763" t="s">
        <v>321</v>
      </c>
      <c r="E763" t="s">
        <v>339</v>
      </c>
      <c r="F763" s="12">
        <v>320384</v>
      </c>
      <c r="G763" s="12" t="str">
        <f>VLOOKUP(Table2[[#This Row],[MemberID]],Table1[#All],3,0)</f>
        <v>Gold</v>
      </c>
      <c r="H763" s="13">
        <v>32</v>
      </c>
    </row>
    <row r="764" spans="1:8">
      <c r="A764" t="s">
        <v>1096</v>
      </c>
      <c r="B764" t="s">
        <v>76</v>
      </c>
      <c r="C764" s="8">
        <v>46099</v>
      </c>
      <c r="D764" t="s">
        <v>324</v>
      </c>
      <c r="E764" t="s">
        <v>339</v>
      </c>
      <c r="F764" s="12">
        <v>466509</v>
      </c>
      <c r="G764" s="12" t="str">
        <f>VLOOKUP(Table2[[#This Row],[MemberID]],Table1[#All],3,0)</f>
        <v>Silver</v>
      </c>
      <c r="H764" s="13">
        <v>46</v>
      </c>
    </row>
    <row r="765" spans="1:8">
      <c r="A765" t="s">
        <v>1097</v>
      </c>
      <c r="B765" t="s">
        <v>65</v>
      </c>
      <c r="C765" s="8">
        <v>46118</v>
      </c>
      <c r="D765" t="s">
        <v>332</v>
      </c>
      <c r="E765" t="s">
        <v>334</v>
      </c>
      <c r="F765" s="12">
        <v>783406</v>
      </c>
      <c r="G765" s="12" t="str">
        <f>VLOOKUP(Table2[[#This Row],[MemberID]],Table1[#All],3,0)</f>
        <v>Gold</v>
      </c>
      <c r="H765" s="13">
        <v>78</v>
      </c>
    </row>
    <row r="766" spans="1:8">
      <c r="A766" t="s">
        <v>1098</v>
      </c>
      <c r="B766" t="s">
        <v>259</v>
      </c>
      <c r="C766" s="8">
        <v>46061</v>
      </c>
      <c r="D766" t="s">
        <v>332</v>
      </c>
      <c r="E766" t="s">
        <v>325</v>
      </c>
      <c r="F766" s="12">
        <v>223471</v>
      </c>
      <c r="G766" s="12" t="str">
        <f>VLOOKUP(Table2[[#This Row],[MemberID]],Table1[#All],3,0)</f>
        <v>Gold</v>
      </c>
      <c r="H766" s="13">
        <v>22</v>
      </c>
    </row>
    <row r="767" spans="1:8">
      <c r="A767" t="s">
        <v>1099</v>
      </c>
      <c r="B767" t="s">
        <v>23</v>
      </c>
      <c r="C767" s="8">
        <v>46255</v>
      </c>
      <c r="D767" t="s">
        <v>327</v>
      </c>
      <c r="E767" t="s">
        <v>325</v>
      </c>
      <c r="F767" s="12">
        <v>66666</v>
      </c>
      <c r="G767" s="12" t="str">
        <f>VLOOKUP(Table2[[#This Row],[MemberID]],Table1[#All],3,0)</f>
        <v>Silver</v>
      </c>
      <c r="H767" s="13">
        <v>6</v>
      </c>
    </row>
    <row r="768" spans="1:8">
      <c r="A768" t="s">
        <v>1100</v>
      </c>
      <c r="B768" t="s">
        <v>204</v>
      </c>
      <c r="C768" s="8">
        <v>46018</v>
      </c>
      <c r="D768" t="s">
        <v>344</v>
      </c>
      <c r="E768" t="s">
        <v>322</v>
      </c>
      <c r="F768" s="12">
        <v>715551</v>
      </c>
      <c r="G768" s="12" t="str">
        <f>VLOOKUP(Table2[[#This Row],[MemberID]],Table1[#All],3,0)</f>
        <v>Silver</v>
      </c>
      <c r="H768" s="13">
        <v>71</v>
      </c>
    </row>
    <row r="769" spans="1:8">
      <c r="A769" t="s">
        <v>1101</v>
      </c>
      <c r="B769" t="s">
        <v>62</v>
      </c>
      <c r="C769" s="8">
        <v>46258</v>
      </c>
      <c r="D769" t="s">
        <v>344</v>
      </c>
      <c r="E769" t="s">
        <v>325</v>
      </c>
      <c r="F769" s="12">
        <v>128844</v>
      </c>
      <c r="G769" s="12" t="str">
        <f>VLOOKUP(Table2[[#This Row],[MemberID]],Table1[#All],3,0)</f>
        <v>Silver</v>
      </c>
      <c r="H769" s="13">
        <v>12</v>
      </c>
    </row>
    <row r="770" spans="1:8">
      <c r="A770" t="s">
        <v>1102</v>
      </c>
      <c r="B770" t="s">
        <v>114</v>
      </c>
      <c r="C770" s="8">
        <v>46153</v>
      </c>
      <c r="D770" t="s">
        <v>342</v>
      </c>
      <c r="E770" t="s">
        <v>325</v>
      </c>
      <c r="F770" s="12">
        <v>715051</v>
      </c>
      <c r="G770" s="12" t="str">
        <f>VLOOKUP(Table2[[#This Row],[MemberID]],Table1[#All],3,0)</f>
        <v>Platinum</v>
      </c>
      <c r="H770" s="13">
        <v>71</v>
      </c>
    </row>
    <row r="771" spans="1:8">
      <c r="A771" t="s">
        <v>1103</v>
      </c>
      <c r="B771" t="s">
        <v>284</v>
      </c>
      <c r="C771" s="8">
        <v>46148</v>
      </c>
      <c r="D771" t="s">
        <v>332</v>
      </c>
      <c r="E771" t="s">
        <v>328</v>
      </c>
      <c r="F771" s="12">
        <v>54813</v>
      </c>
      <c r="G771" s="12" t="str">
        <f>VLOOKUP(Table2[[#This Row],[MemberID]],Table1[#All],3,0)</f>
        <v>Silver</v>
      </c>
      <c r="H771" s="13">
        <v>5</v>
      </c>
    </row>
    <row r="772" spans="1:8">
      <c r="A772" t="s">
        <v>1104</v>
      </c>
      <c r="B772" t="s">
        <v>107</v>
      </c>
      <c r="C772" s="8">
        <v>45994</v>
      </c>
      <c r="D772" t="s">
        <v>350</v>
      </c>
      <c r="E772" t="s">
        <v>325</v>
      </c>
      <c r="F772" s="12">
        <v>87681</v>
      </c>
      <c r="G772" s="12" t="str">
        <f>VLOOKUP(Table2[[#This Row],[MemberID]],Table1[#All],3,0)</f>
        <v>Gold</v>
      </c>
      <c r="H772" s="13">
        <v>8</v>
      </c>
    </row>
    <row r="773" spans="1:8">
      <c r="A773" t="s">
        <v>1105</v>
      </c>
      <c r="B773" t="s">
        <v>75</v>
      </c>
      <c r="C773" s="8">
        <v>46136</v>
      </c>
      <c r="D773" t="s">
        <v>342</v>
      </c>
      <c r="E773" t="s">
        <v>328</v>
      </c>
      <c r="F773" s="12">
        <v>630685</v>
      </c>
      <c r="G773" s="12" t="str">
        <f>VLOOKUP(Table2[[#This Row],[MemberID]],Table1[#All],3,0)</f>
        <v>Silver</v>
      </c>
      <c r="H773" s="13">
        <v>63</v>
      </c>
    </row>
    <row r="774" spans="1:8">
      <c r="A774" t="s">
        <v>1106</v>
      </c>
      <c r="B774" t="s">
        <v>217</v>
      </c>
      <c r="C774" s="8">
        <v>46011</v>
      </c>
      <c r="D774" t="s">
        <v>321</v>
      </c>
      <c r="E774" t="s">
        <v>334</v>
      </c>
      <c r="F774" s="12">
        <v>142967</v>
      </c>
      <c r="G774" s="12" t="str">
        <f>VLOOKUP(Table2[[#This Row],[MemberID]],Table1[#All],3,0)</f>
        <v>Gold</v>
      </c>
      <c r="H774" s="13">
        <v>14</v>
      </c>
    </row>
    <row r="775" spans="1:8">
      <c r="A775" t="s">
        <v>1107</v>
      </c>
      <c r="B775" t="s">
        <v>6</v>
      </c>
      <c r="C775" s="8">
        <v>45949</v>
      </c>
      <c r="D775" t="s">
        <v>342</v>
      </c>
      <c r="E775" t="s">
        <v>328</v>
      </c>
      <c r="F775" s="12">
        <v>382109</v>
      </c>
      <c r="G775" s="12" t="str">
        <f>VLOOKUP(Table2[[#This Row],[MemberID]],Table1[#All],3,0)</f>
        <v>Silver</v>
      </c>
      <c r="H775" s="13">
        <v>38</v>
      </c>
    </row>
    <row r="776" spans="1:8">
      <c r="A776" t="s">
        <v>1108</v>
      </c>
      <c r="B776" t="s">
        <v>126</v>
      </c>
      <c r="C776" s="8">
        <v>46089</v>
      </c>
      <c r="D776" t="s">
        <v>350</v>
      </c>
      <c r="E776" t="s">
        <v>325</v>
      </c>
      <c r="F776" s="12">
        <v>521618</v>
      </c>
      <c r="G776" s="12" t="str">
        <f>VLOOKUP(Table2[[#This Row],[MemberID]],Table1[#All],3,0)</f>
        <v>Silver</v>
      </c>
      <c r="H776" s="13">
        <v>52</v>
      </c>
    </row>
    <row r="777" spans="1:8">
      <c r="A777" t="s">
        <v>1109</v>
      </c>
      <c r="B777" t="s">
        <v>266</v>
      </c>
      <c r="C777" s="8">
        <v>46247</v>
      </c>
      <c r="D777" t="s">
        <v>344</v>
      </c>
      <c r="E777" t="s">
        <v>328</v>
      </c>
      <c r="F777" s="12">
        <v>222005</v>
      </c>
      <c r="G777" s="12" t="str">
        <f>VLOOKUP(Table2[[#This Row],[MemberID]],Table1[#All],3,0)</f>
        <v>Silver</v>
      </c>
      <c r="H777" s="13">
        <v>22</v>
      </c>
    </row>
    <row r="778" spans="1:8">
      <c r="A778" t="s">
        <v>1110</v>
      </c>
      <c r="B778" t="s">
        <v>209</v>
      </c>
      <c r="C778" s="8">
        <v>46029</v>
      </c>
      <c r="D778" t="s">
        <v>324</v>
      </c>
      <c r="E778" t="s">
        <v>325</v>
      </c>
      <c r="F778" s="12">
        <v>806034</v>
      </c>
      <c r="G778" s="12" t="str">
        <f>VLOOKUP(Table2[[#This Row],[MemberID]],Table1[#All],3,0)</f>
        <v>Gold</v>
      </c>
      <c r="H778" s="13">
        <v>80</v>
      </c>
    </row>
    <row r="779" spans="1:8">
      <c r="A779" t="s">
        <v>1111</v>
      </c>
      <c r="B779" t="s">
        <v>69</v>
      </c>
      <c r="C779" s="8">
        <v>46266</v>
      </c>
      <c r="D779" t="s">
        <v>324</v>
      </c>
      <c r="E779" t="s">
        <v>337</v>
      </c>
      <c r="F779" s="12">
        <v>349291</v>
      </c>
      <c r="G779" s="12" t="str">
        <f>VLOOKUP(Table2[[#This Row],[MemberID]],Table1[#All],3,0)</f>
        <v>Gold</v>
      </c>
      <c r="H779" s="13">
        <v>34</v>
      </c>
    </row>
    <row r="780" spans="1:8">
      <c r="A780" t="s">
        <v>1112</v>
      </c>
      <c r="B780" t="s">
        <v>161</v>
      </c>
      <c r="C780" s="8">
        <v>46239</v>
      </c>
      <c r="D780" t="s">
        <v>324</v>
      </c>
      <c r="E780" t="s">
        <v>337</v>
      </c>
      <c r="F780" s="12">
        <v>266888</v>
      </c>
      <c r="G780" s="12" t="str">
        <f>VLOOKUP(Table2[[#This Row],[MemberID]],Table1[#All],3,0)</f>
        <v>Gold</v>
      </c>
      <c r="H780" s="13">
        <v>26</v>
      </c>
    </row>
    <row r="781" spans="1:8">
      <c r="A781" t="s">
        <v>1113</v>
      </c>
      <c r="B781" t="s">
        <v>141</v>
      </c>
      <c r="C781" s="8">
        <v>46063</v>
      </c>
      <c r="D781" t="s">
        <v>332</v>
      </c>
      <c r="E781" t="s">
        <v>325</v>
      </c>
      <c r="F781" s="12">
        <v>122544</v>
      </c>
      <c r="G781" s="12" t="str">
        <f>VLOOKUP(Table2[[#This Row],[MemberID]],Table1[#All],3,0)</f>
        <v>Silver</v>
      </c>
      <c r="H781" s="13">
        <v>12</v>
      </c>
    </row>
    <row r="782" spans="1:8">
      <c r="A782" t="s">
        <v>1114</v>
      </c>
      <c r="B782" t="s">
        <v>262</v>
      </c>
      <c r="C782" s="8">
        <v>46013</v>
      </c>
      <c r="D782" t="s">
        <v>342</v>
      </c>
      <c r="E782" t="s">
        <v>334</v>
      </c>
      <c r="F782" s="12">
        <v>223789</v>
      </c>
      <c r="G782" s="12" t="str">
        <f>VLOOKUP(Table2[[#This Row],[MemberID]],Table1[#All],3,0)</f>
        <v>Gold</v>
      </c>
      <c r="H782" s="13">
        <v>22</v>
      </c>
    </row>
    <row r="783" spans="1:8">
      <c r="A783" t="s">
        <v>1115</v>
      </c>
      <c r="B783" t="s">
        <v>302</v>
      </c>
      <c r="C783" s="8">
        <v>45989</v>
      </c>
      <c r="D783" t="s">
        <v>327</v>
      </c>
      <c r="E783" t="s">
        <v>328</v>
      </c>
      <c r="F783" s="12">
        <v>104829</v>
      </c>
      <c r="G783" s="12" t="str">
        <f>VLOOKUP(Table2[[#This Row],[MemberID]],Table1[#All],3,0)</f>
        <v>Gold</v>
      </c>
      <c r="H783" s="13">
        <v>10</v>
      </c>
    </row>
    <row r="784" spans="1:8">
      <c r="A784" t="s">
        <v>1116</v>
      </c>
      <c r="B784" t="s">
        <v>57</v>
      </c>
      <c r="C784" s="8">
        <v>45995</v>
      </c>
      <c r="D784" t="s">
        <v>342</v>
      </c>
      <c r="E784" t="s">
        <v>328</v>
      </c>
      <c r="F784" s="12">
        <v>358215</v>
      </c>
      <c r="G784" s="12" t="str">
        <f>VLOOKUP(Table2[[#This Row],[MemberID]],Table1[#All],3,0)</f>
        <v>Gold</v>
      </c>
      <c r="H784" s="13">
        <v>35</v>
      </c>
    </row>
    <row r="785" spans="1:8">
      <c r="A785" t="s">
        <v>1117</v>
      </c>
      <c r="B785" t="s">
        <v>57</v>
      </c>
      <c r="C785" s="8">
        <v>46244</v>
      </c>
      <c r="D785" t="s">
        <v>324</v>
      </c>
      <c r="E785" t="s">
        <v>337</v>
      </c>
      <c r="F785" s="12">
        <v>235861</v>
      </c>
      <c r="G785" s="12" t="str">
        <f>VLOOKUP(Table2[[#This Row],[MemberID]],Table1[#All],3,0)</f>
        <v>Gold</v>
      </c>
      <c r="H785" s="13">
        <v>23</v>
      </c>
    </row>
    <row r="786" spans="1:8">
      <c r="A786" t="s">
        <v>1118</v>
      </c>
      <c r="B786" t="s">
        <v>239</v>
      </c>
      <c r="C786" s="8">
        <v>46183</v>
      </c>
      <c r="D786" t="s">
        <v>330</v>
      </c>
      <c r="E786" t="s">
        <v>328</v>
      </c>
      <c r="F786" s="12">
        <v>321458</v>
      </c>
      <c r="G786" s="12" t="str">
        <f>VLOOKUP(Table2[[#This Row],[MemberID]],Table1[#All],3,0)</f>
        <v>Silver</v>
      </c>
      <c r="H786" s="13">
        <v>32</v>
      </c>
    </row>
    <row r="787" spans="1:8">
      <c r="A787" t="s">
        <v>1119</v>
      </c>
      <c r="B787" t="s">
        <v>30</v>
      </c>
      <c r="C787" s="8">
        <v>46120</v>
      </c>
      <c r="D787" t="s">
        <v>324</v>
      </c>
      <c r="E787" t="s">
        <v>337</v>
      </c>
      <c r="F787" s="12">
        <v>739701</v>
      </c>
      <c r="G787" s="12" t="str">
        <f>VLOOKUP(Table2[[#This Row],[MemberID]],Table1[#All],3,0)</f>
        <v>Silver</v>
      </c>
      <c r="H787" s="13">
        <v>73</v>
      </c>
    </row>
    <row r="788" spans="1:8">
      <c r="A788" t="s">
        <v>1120</v>
      </c>
      <c r="B788" t="s">
        <v>184</v>
      </c>
      <c r="C788" s="8">
        <v>46174</v>
      </c>
      <c r="D788" t="s">
        <v>344</v>
      </c>
      <c r="E788" t="s">
        <v>339</v>
      </c>
      <c r="F788" s="12">
        <v>237899</v>
      </c>
      <c r="G788" s="12" t="str">
        <f>VLOOKUP(Table2[[#This Row],[MemberID]],Table1[#All],3,0)</f>
        <v>Silver</v>
      </c>
      <c r="H788" s="13">
        <v>23</v>
      </c>
    </row>
    <row r="789" spans="1:8">
      <c r="A789" t="s">
        <v>1121</v>
      </c>
      <c r="B789" t="s">
        <v>294</v>
      </c>
      <c r="C789" s="8">
        <v>46017</v>
      </c>
      <c r="D789" t="s">
        <v>342</v>
      </c>
      <c r="E789" t="s">
        <v>334</v>
      </c>
      <c r="F789" s="12">
        <v>248924</v>
      </c>
      <c r="G789" s="12" t="str">
        <f>VLOOKUP(Table2[[#This Row],[MemberID]],Table1[#All],3,0)</f>
        <v>Gold</v>
      </c>
      <c r="H789" s="13">
        <v>24</v>
      </c>
    </row>
    <row r="790" spans="1:8">
      <c r="A790" t="s">
        <v>1122</v>
      </c>
      <c r="B790" t="s">
        <v>152</v>
      </c>
      <c r="C790" s="8">
        <v>46164</v>
      </c>
      <c r="D790" t="s">
        <v>324</v>
      </c>
      <c r="E790" t="s">
        <v>334</v>
      </c>
      <c r="F790" s="12">
        <v>287508</v>
      </c>
      <c r="G790" s="12" t="str">
        <f>VLOOKUP(Table2[[#This Row],[MemberID]],Table1[#All],3,0)</f>
        <v>Silver</v>
      </c>
      <c r="H790" s="13">
        <v>28</v>
      </c>
    </row>
    <row r="791" spans="1:8">
      <c r="A791" t="s">
        <v>1123</v>
      </c>
      <c r="B791" t="s">
        <v>162</v>
      </c>
      <c r="C791" s="8">
        <v>46176</v>
      </c>
      <c r="D791" t="s">
        <v>332</v>
      </c>
      <c r="E791" t="s">
        <v>337</v>
      </c>
      <c r="F791" s="12">
        <v>386858</v>
      </c>
      <c r="G791" s="12" t="str">
        <f>VLOOKUP(Table2[[#This Row],[MemberID]],Table1[#All],3,0)</f>
        <v>Silver</v>
      </c>
      <c r="H791" s="13">
        <v>38</v>
      </c>
    </row>
    <row r="792" spans="1:8">
      <c r="A792" t="s">
        <v>1124</v>
      </c>
      <c r="B792" t="s">
        <v>220</v>
      </c>
      <c r="C792" s="8">
        <v>46207</v>
      </c>
      <c r="D792" t="s">
        <v>350</v>
      </c>
      <c r="E792" t="s">
        <v>334</v>
      </c>
      <c r="F792" s="12">
        <v>314964</v>
      </c>
      <c r="G792" s="12" t="str">
        <f>VLOOKUP(Table2[[#This Row],[MemberID]],Table1[#All],3,0)</f>
        <v>Gold</v>
      </c>
      <c r="H792" s="13">
        <v>31</v>
      </c>
    </row>
    <row r="793" spans="1:8">
      <c r="A793" t="s">
        <v>1125</v>
      </c>
      <c r="B793" t="s">
        <v>82</v>
      </c>
      <c r="C793" s="8">
        <v>46125</v>
      </c>
      <c r="D793" t="s">
        <v>330</v>
      </c>
      <c r="E793" t="s">
        <v>328</v>
      </c>
      <c r="F793" s="12">
        <v>175922</v>
      </c>
      <c r="G793" s="12" t="str">
        <f>VLOOKUP(Table2[[#This Row],[MemberID]],Table1[#All],3,0)</f>
        <v>Silver</v>
      </c>
      <c r="H793" s="13">
        <v>17</v>
      </c>
    </row>
    <row r="794" spans="1:8">
      <c r="A794" t="s">
        <v>1126</v>
      </c>
      <c r="B794" t="s">
        <v>267</v>
      </c>
      <c r="C794" s="8">
        <v>46040</v>
      </c>
      <c r="D794" t="s">
        <v>344</v>
      </c>
      <c r="E794" t="s">
        <v>339</v>
      </c>
      <c r="F794" s="12">
        <v>219507</v>
      </c>
      <c r="G794" s="12" t="str">
        <f>VLOOKUP(Table2[[#This Row],[MemberID]],Table1[#All],3,0)</f>
        <v>Silver</v>
      </c>
      <c r="H794" s="13">
        <v>21</v>
      </c>
    </row>
    <row r="795" spans="1:8">
      <c r="A795" t="s">
        <v>1127</v>
      </c>
      <c r="B795" t="s">
        <v>214</v>
      </c>
      <c r="C795" s="8">
        <v>46118</v>
      </c>
      <c r="D795" t="s">
        <v>330</v>
      </c>
      <c r="E795" t="s">
        <v>339</v>
      </c>
      <c r="F795" s="12">
        <v>117659</v>
      </c>
      <c r="G795" s="12" t="str">
        <f>VLOOKUP(Table2[[#This Row],[MemberID]],Table1[#All],3,0)</f>
        <v>Silver</v>
      </c>
      <c r="H795" s="13">
        <v>11</v>
      </c>
    </row>
    <row r="796" spans="1:8">
      <c r="A796" t="s">
        <v>1128</v>
      </c>
      <c r="B796" t="s">
        <v>246</v>
      </c>
      <c r="C796" s="8">
        <v>46235</v>
      </c>
      <c r="D796" t="s">
        <v>342</v>
      </c>
      <c r="E796" t="s">
        <v>334</v>
      </c>
      <c r="F796" s="12">
        <v>611810</v>
      </c>
      <c r="G796" s="12" t="str">
        <f>VLOOKUP(Table2[[#This Row],[MemberID]],Table1[#All],3,0)</f>
        <v>Gold</v>
      </c>
      <c r="H796" s="13">
        <v>61</v>
      </c>
    </row>
    <row r="797" spans="1:8">
      <c r="A797" t="s">
        <v>1129</v>
      </c>
      <c r="B797" t="s">
        <v>100</v>
      </c>
      <c r="C797" s="8">
        <v>46151</v>
      </c>
      <c r="D797" t="s">
        <v>342</v>
      </c>
      <c r="E797" t="s">
        <v>322</v>
      </c>
      <c r="F797" s="12">
        <v>25000</v>
      </c>
      <c r="G797" s="12" t="str">
        <f>VLOOKUP(Table2[[#This Row],[MemberID]],Table1[#All],3,0)</f>
        <v>Silver</v>
      </c>
      <c r="H797" s="13">
        <v>2</v>
      </c>
    </row>
    <row r="798" spans="1:8">
      <c r="A798" t="s">
        <v>1130</v>
      </c>
      <c r="B798" t="s">
        <v>102</v>
      </c>
      <c r="C798" s="8">
        <v>46149</v>
      </c>
      <c r="D798" t="s">
        <v>321</v>
      </c>
      <c r="E798" t="s">
        <v>328</v>
      </c>
      <c r="F798" s="12">
        <v>596300</v>
      </c>
      <c r="G798" s="12" t="str">
        <f>VLOOKUP(Table2[[#This Row],[MemberID]],Table1[#All],3,0)</f>
        <v>Platinum</v>
      </c>
      <c r="H798" s="13">
        <v>59</v>
      </c>
    </row>
    <row r="799" spans="1:8">
      <c r="A799" t="s">
        <v>1131</v>
      </c>
      <c r="B799" t="s">
        <v>8</v>
      </c>
      <c r="C799" s="8">
        <v>46280</v>
      </c>
      <c r="D799" t="s">
        <v>350</v>
      </c>
      <c r="E799" t="s">
        <v>328</v>
      </c>
      <c r="F799" s="12">
        <v>245974</v>
      </c>
      <c r="G799" s="12" t="str">
        <f>VLOOKUP(Table2[[#This Row],[MemberID]],Table1[#All],3,0)</f>
        <v>Gold</v>
      </c>
      <c r="H799" s="13">
        <v>24</v>
      </c>
    </row>
    <row r="800" spans="1:8">
      <c r="A800" t="s">
        <v>1132</v>
      </c>
      <c r="B800" t="s">
        <v>136</v>
      </c>
      <c r="C800" s="8">
        <v>46029</v>
      </c>
      <c r="D800" t="s">
        <v>330</v>
      </c>
      <c r="E800" t="s">
        <v>322</v>
      </c>
      <c r="F800" s="12">
        <v>324420</v>
      </c>
      <c r="G800" s="12" t="str">
        <f>VLOOKUP(Table2[[#This Row],[MemberID]],Table1[#All],3,0)</f>
        <v>Platinum</v>
      </c>
      <c r="H800" s="13">
        <v>32</v>
      </c>
    </row>
    <row r="801" spans="1:8">
      <c r="A801" t="s">
        <v>1133</v>
      </c>
      <c r="B801" t="s">
        <v>77</v>
      </c>
      <c r="C801" s="8">
        <v>46098</v>
      </c>
      <c r="D801" t="s">
        <v>321</v>
      </c>
      <c r="E801" t="s">
        <v>322</v>
      </c>
      <c r="F801" s="12">
        <v>296032</v>
      </c>
      <c r="G801" s="12" t="str">
        <f>VLOOKUP(Table2[[#This Row],[MemberID]],Table1[#All],3,0)</f>
        <v>Platinum</v>
      </c>
      <c r="H801" s="13">
        <v>29</v>
      </c>
    </row>
    <row r="802" spans="1:8">
      <c r="A802" t="s">
        <v>1134</v>
      </c>
      <c r="B802" t="s">
        <v>47</v>
      </c>
      <c r="C802" s="8">
        <v>46033</v>
      </c>
      <c r="D802" t="s">
        <v>350</v>
      </c>
      <c r="E802" t="s">
        <v>334</v>
      </c>
      <c r="F802" s="12">
        <v>73723</v>
      </c>
      <c r="G802" s="12" t="str">
        <f>VLOOKUP(Table2[[#This Row],[MemberID]],Table1[#All],3,0)</f>
        <v>Silver</v>
      </c>
      <c r="H802" s="13">
        <v>7</v>
      </c>
    </row>
    <row r="803" spans="1:8">
      <c r="A803" t="s">
        <v>1135</v>
      </c>
      <c r="B803" t="s">
        <v>166</v>
      </c>
      <c r="C803" s="8">
        <v>46044</v>
      </c>
      <c r="D803" t="s">
        <v>330</v>
      </c>
      <c r="E803" t="s">
        <v>337</v>
      </c>
      <c r="F803" s="12">
        <v>159934</v>
      </c>
      <c r="G803" s="12" t="str">
        <f>VLOOKUP(Table2[[#This Row],[MemberID]],Table1[#All],3,0)</f>
        <v>Gold</v>
      </c>
      <c r="H803" s="13">
        <v>15</v>
      </c>
    </row>
    <row r="804" spans="1:8">
      <c r="A804" t="s">
        <v>1136</v>
      </c>
      <c r="B804" t="s">
        <v>19</v>
      </c>
      <c r="C804" s="8">
        <v>46206</v>
      </c>
      <c r="D804" t="s">
        <v>350</v>
      </c>
      <c r="E804" t="s">
        <v>325</v>
      </c>
      <c r="F804" s="12">
        <v>128900</v>
      </c>
      <c r="G804" s="12" t="str">
        <f>VLOOKUP(Table2[[#This Row],[MemberID]],Table1[#All],3,0)</f>
        <v>Silver</v>
      </c>
      <c r="H804" s="13">
        <v>12</v>
      </c>
    </row>
    <row r="805" spans="1:8">
      <c r="A805" t="s">
        <v>1137</v>
      </c>
      <c r="B805" t="s">
        <v>16</v>
      </c>
      <c r="C805" s="8">
        <v>46276</v>
      </c>
      <c r="D805" t="s">
        <v>330</v>
      </c>
      <c r="E805" t="s">
        <v>325</v>
      </c>
      <c r="F805" s="12">
        <v>229524</v>
      </c>
      <c r="G805" s="12" t="str">
        <f>VLOOKUP(Table2[[#This Row],[MemberID]],Table1[#All],3,0)</f>
        <v>Gold</v>
      </c>
      <c r="H805" s="13">
        <v>22</v>
      </c>
    </row>
    <row r="806" spans="1:8">
      <c r="A806" t="s">
        <v>1138</v>
      </c>
      <c r="B806" t="s">
        <v>22</v>
      </c>
      <c r="C806" s="8">
        <v>45938</v>
      </c>
      <c r="D806" t="s">
        <v>327</v>
      </c>
      <c r="E806" t="s">
        <v>328</v>
      </c>
      <c r="F806" s="12">
        <v>363438</v>
      </c>
      <c r="G806" s="12" t="str">
        <f>VLOOKUP(Table2[[#This Row],[MemberID]],Table1[#All],3,0)</f>
        <v>Gold</v>
      </c>
      <c r="H806" s="13">
        <v>36</v>
      </c>
    </row>
    <row r="807" spans="1:8">
      <c r="A807" t="s">
        <v>1139</v>
      </c>
      <c r="B807" t="s">
        <v>91</v>
      </c>
      <c r="C807" s="8">
        <v>46100</v>
      </c>
      <c r="D807" t="s">
        <v>342</v>
      </c>
      <c r="E807" t="s">
        <v>339</v>
      </c>
      <c r="F807" s="12">
        <v>156836</v>
      </c>
      <c r="G807" s="12" t="str">
        <f>VLOOKUP(Table2[[#This Row],[MemberID]],Table1[#All],3,0)</f>
        <v>Gold</v>
      </c>
      <c r="H807" s="13">
        <v>15</v>
      </c>
    </row>
    <row r="808" spans="1:8">
      <c r="A808" t="s">
        <v>1140</v>
      </c>
      <c r="B808" t="s">
        <v>233</v>
      </c>
      <c r="C808" s="8">
        <v>46046</v>
      </c>
      <c r="D808" t="s">
        <v>344</v>
      </c>
      <c r="E808" t="s">
        <v>325</v>
      </c>
      <c r="F808" s="12">
        <v>177490</v>
      </c>
      <c r="G808" s="12" t="str">
        <f>VLOOKUP(Table2[[#This Row],[MemberID]],Table1[#All],3,0)</f>
        <v>Gold</v>
      </c>
      <c r="H808" s="13">
        <v>17</v>
      </c>
    </row>
    <row r="809" spans="1:8">
      <c r="A809" t="s">
        <v>1141</v>
      </c>
      <c r="B809" t="s">
        <v>47</v>
      </c>
      <c r="C809" s="8">
        <v>46075</v>
      </c>
      <c r="D809" t="s">
        <v>332</v>
      </c>
      <c r="E809" t="s">
        <v>339</v>
      </c>
      <c r="F809" s="12">
        <v>46963</v>
      </c>
      <c r="G809" s="12" t="str">
        <f>VLOOKUP(Table2[[#This Row],[MemberID]],Table1[#All],3,0)</f>
        <v>Silver</v>
      </c>
      <c r="H809" s="13">
        <v>4</v>
      </c>
    </row>
    <row r="810" spans="1:8">
      <c r="A810" t="s">
        <v>1142</v>
      </c>
      <c r="B810" t="s">
        <v>312</v>
      </c>
      <c r="C810" s="8">
        <v>46155</v>
      </c>
      <c r="D810" t="s">
        <v>327</v>
      </c>
      <c r="E810" t="s">
        <v>337</v>
      </c>
      <c r="F810" s="12">
        <v>31237</v>
      </c>
      <c r="G810" s="12" t="str">
        <f>VLOOKUP(Table2[[#This Row],[MemberID]],Table1[#All],3,0)</f>
        <v>Gold</v>
      </c>
      <c r="H810" s="13">
        <v>3</v>
      </c>
    </row>
    <row r="811" spans="1:8">
      <c r="A811" t="s">
        <v>1143</v>
      </c>
      <c r="B811" t="s">
        <v>164</v>
      </c>
      <c r="C811" s="8">
        <v>46100</v>
      </c>
      <c r="D811" t="s">
        <v>321</v>
      </c>
      <c r="E811" t="s">
        <v>337</v>
      </c>
      <c r="F811" s="12">
        <v>389528</v>
      </c>
      <c r="G811" s="12" t="str">
        <f>VLOOKUP(Table2[[#This Row],[MemberID]],Table1[#All],3,0)</f>
        <v>Silver</v>
      </c>
      <c r="H811" s="13">
        <v>38</v>
      </c>
    </row>
    <row r="812" spans="1:8">
      <c r="A812" t="s">
        <v>1144</v>
      </c>
      <c r="B812" t="s">
        <v>281</v>
      </c>
      <c r="C812" s="8">
        <v>45943</v>
      </c>
      <c r="D812" t="s">
        <v>332</v>
      </c>
      <c r="E812" t="s">
        <v>325</v>
      </c>
      <c r="F812" s="12">
        <v>434512</v>
      </c>
      <c r="G812" s="12" t="str">
        <f>VLOOKUP(Table2[[#This Row],[MemberID]],Table1[#All],3,0)</f>
        <v>Gold</v>
      </c>
      <c r="H812" s="13">
        <v>43</v>
      </c>
    </row>
    <row r="813" spans="1:8">
      <c r="A813" t="s">
        <v>1145</v>
      </c>
      <c r="B813" t="s">
        <v>211</v>
      </c>
      <c r="C813" s="8">
        <v>45938</v>
      </c>
      <c r="D813" t="s">
        <v>350</v>
      </c>
      <c r="E813" t="s">
        <v>334</v>
      </c>
      <c r="F813" s="12">
        <v>460911</v>
      </c>
      <c r="G813" s="12" t="str">
        <f>VLOOKUP(Table2[[#This Row],[MemberID]],Table1[#All],3,0)</f>
        <v>Platinum</v>
      </c>
      <c r="H813" s="13">
        <v>46</v>
      </c>
    </row>
    <row r="814" spans="1:8">
      <c r="A814" t="s">
        <v>1146</v>
      </c>
      <c r="B814" t="s">
        <v>90</v>
      </c>
      <c r="C814" s="8">
        <v>45939</v>
      </c>
      <c r="D814" t="s">
        <v>324</v>
      </c>
      <c r="E814" t="s">
        <v>339</v>
      </c>
      <c r="F814" s="12">
        <v>618132</v>
      </c>
      <c r="G814" s="12" t="str">
        <f>VLOOKUP(Table2[[#This Row],[MemberID]],Table1[#All],3,0)</f>
        <v>Silver</v>
      </c>
      <c r="H814" s="13">
        <v>61</v>
      </c>
    </row>
    <row r="815" spans="1:8">
      <c r="A815" t="s">
        <v>1147</v>
      </c>
      <c r="B815" t="s">
        <v>250</v>
      </c>
      <c r="C815" s="8">
        <v>46131</v>
      </c>
      <c r="D815" t="s">
        <v>350</v>
      </c>
      <c r="E815" t="s">
        <v>337</v>
      </c>
      <c r="F815" s="12">
        <v>678814</v>
      </c>
      <c r="G815" s="12" t="str">
        <f>VLOOKUP(Table2[[#This Row],[MemberID]],Table1[#All],3,0)</f>
        <v>Platinum</v>
      </c>
      <c r="H815" s="13">
        <v>67</v>
      </c>
    </row>
    <row r="816" spans="1:8">
      <c r="A816" t="s">
        <v>1148</v>
      </c>
      <c r="B816" t="s">
        <v>86</v>
      </c>
      <c r="C816" s="8">
        <v>46120</v>
      </c>
      <c r="D816" t="s">
        <v>342</v>
      </c>
      <c r="E816" t="s">
        <v>339</v>
      </c>
      <c r="F816" s="12">
        <v>710780</v>
      </c>
      <c r="G816" s="12" t="str">
        <f>VLOOKUP(Table2[[#This Row],[MemberID]],Table1[#All],3,0)</f>
        <v>Silver</v>
      </c>
      <c r="H816" s="13">
        <v>71</v>
      </c>
    </row>
    <row r="817" spans="1:8">
      <c r="A817" t="s">
        <v>1149</v>
      </c>
      <c r="B817" t="s">
        <v>255</v>
      </c>
      <c r="C817" s="8">
        <v>46093</v>
      </c>
      <c r="D817" t="s">
        <v>332</v>
      </c>
      <c r="E817" t="s">
        <v>325</v>
      </c>
      <c r="F817" s="12">
        <v>243800</v>
      </c>
      <c r="G817" s="12" t="str">
        <f>VLOOKUP(Table2[[#This Row],[MemberID]],Table1[#All],3,0)</f>
        <v>Silver</v>
      </c>
      <c r="H817" s="13">
        <v>24</v>
      </c>
    </row>
    <row r="818" spans="1:8">
      <c r="A818" t="s">
        <v>1150</v>
      </c>
      <c r="B818" t="s">
        <v>262</v>
      </c>
      <c r="C818" s="8">
        <v>46066</v>
      </c>
      <c r="D818" t="s">
        <v>350</v>
      </c>
      <c r="E818" t="s">
        <v>325</v>
      </c>
      <c r="F818" s="12">
        <v>257716</v>
      </c>
      <c r="G818" s="12" t="str">
        <f>VLOOKUP(Table2[[#This Row],[MemberID]],Table1[#All],3,0)</f>
        <v>Gold</v>
      </c>
      <c r="H818" s="13">
        <v>25</v>
      </c>
    </row>
    <row r="819" spans="1:8">
      <c r="A819" t="s">
        <v>1151</v>
      </c>
      <c r="B819" t="s">
        <v>275</v>
      </c>
      <c r="C819" s="8">
        <v>46165</v>
      </c>
      <c r="D819" t="s">
        <v>332</v>
      </c>
      <c r="E819" t="s">
        <v>328</v>
      </c>
      <c r="F819" s="12">
        <v>213884</v>
      </c>
      <c r="G819" s="12" t="str">
        <f>VLOOKUP(Table2[[#This Row],[MemberID]],Table1[#All],3,0)</f>
        <v>Silver</v>
      </c>
      <c r="H819" s="13">
        <v>21</v>
      </c>
    </row>
    <row r="820" spans="1:8">
      <c r="A820" t="s">
        <v>1152</v>
      </c>
      <c r="B820" t="s">
        <v>274</v>
      </c>
      <c r="C820" s="8">
        <v>46154</v>
      </c>
      <c r="D820" t="s">
        <v>350</v>
      </c>
      <c r="E820" t="s">
        <v>328</v>
      </c>
      <c r="F820" s="12">
        <v>65857</v>
      </c>
      <c r="G820" s="12" t="str">
        <f>VLOOKUP(Table2[[#This Row],[MemberID]],Table1[#All],3,0)</f>
        <v>Platinum</v>
      </c>
      <c r="H820" s="13">
        <v>6</v>
      </c>
    </row>
    <row r="821" spans="1:8">
      <c r="A821" t="s">
        <v>1153</v>
      </c>
      <c r="B821" t="s">
        <v>47</v>
      </c>
      <c r="C821" s="8">
        <v>46195</v>
      </c>
      <c r="D821" t="s">
        <v>342</v>
      </c>
      <c r="E821" t="s">
        <v>334</v>
      </c>
      <c r="F821" s="12">
        <v>239632</v>
      </c>
      <c r="G821" s="12" t="str">
        <f>VLOOKUP(Table2[[#This Row],[MemberID]],Table1[#All],3,0)</f>
        <v>Silver</v>
      </c>
      <c r="H821" s="13">
        <v>23</v>
      </c>
    </row>
    <row r="822" spans="1:8">
      <c r="A822" t="s">
        <v>1154</v>
      </c>
      <c r="B822" t="s">
        <v>257</v>
      </c>
      <c r="C822" s="8">
        <v>45970</v>
      </c>
      <c r="D822" t="s">
        <v>324</v>
      </c>
      <c r="E822" t="s">
        <v>334</v>
      </c>
      <c r="F822" s="12">
        <v>198912</v>
      </c>
      <c r="G822" s="12" t="str">
        <f>VLOOKUP(Table2[[#This Row],[MemberID]],Table1[#All],3,0)</f>
        <v>Gold</v>
      </c>
      <c r="H822" s="13">
        <v>19</v>
      </c>
    </row>
    <row r="823" spans="1:8">
      <c r="A823" t="s">
        <v>1155</v>
      </c>
      <c r="B823" t="s">
        <v>234</v>
      </c>
      <c r="C823" s="8">
        <v>46253</v>
      </c>
      <c r="D823" t="s">
        <v>344</v>
      </c>
      <c r="E823" t="s">
        <v>328</v>
      </c>
      <c r="F823" s="12">
        <v>328160</v>
      </c>
      <c r="G823" s="12" t="str">
        <f>VLOOKUP(Table2[[#This Row],[MemberID]],Table1[#All],3,0)</f>
        <v>Silver</v>
      </c>
      <c r="H823" s="13">
        <v>32</v>
      </c>
    </row>
    <row r="824" spans="1:8">
      <c r="A824" t="s">
        <v>1156</v>
      </c>
      <c r="B824" t="s">
        <v>294</v>
      </c>
      <c r="C824" s="8">
        <v>46275</v>
      </c>
      <c r="D824" t="s">
        <v>342</v>
      </c>
      <c r="E824" t="s">
        <v>328</v>
      </c>
      <c r="F824" s="12">
        <v>165743</v>
      </c>
      <c r="G824" s="12" t="str">
        <f>VLOOKUP(Table2[[#This Row],[MemberID]],Table1[#All],3,0)</f>
        <v>Gold</v>
      </c>
      <c r="H824" s="13">
        <v>16</v>
      </c>
    </row>
    <row r="825" spans="1:8">
      <c r="A825" t="s">
        <v>1157</v>
      </c>
      <c r="B825" t="s">
        <v>250</v>
      </c>
      <c r="C825" s="8">
        <v>46271</v>
      </c>
      <c r="D825" t="s">
        <v>327</v>
      </c>
      <c r="E825" t="s">
        <v>334</v>
      </c>
      <c r="F825" s="12">
        <v>402134</v>
      </c>
      <c r="G825" s="12" t="str">
        <f>VLOOKUP(Table2[[#This Row],[MemberID]],Table1[#All],3,0)</f>
        <v>Platinum</v>
      </c>
      <c r="H825" s="13">
        <v>40</v>
      </c>
    </row>
    <row r="826" spans="1:8">
      <c r="A826" t="s">
        <v>1158</v>
      </c>
      <c r="B826" t="s">
        <v>244</v>
      </c>
      <c r="C826" s="8">
        <v>45964</v>
      </c>
      <c r="D826" t="s">
        <v>350</v>
      </c>
      <c r="E826" t="s">
        <v>334</v>
      </c>
      <c r="F826" s="12">
        <v>235631</v>
      </c>
      <c r="G826" s="12" t="str">
        <f>VLOOKUP(Table2[[#This Row],[MemberID]],Table1[#All],3,0)</f>
        <v>Silver</v>
      </c>
      <c r="H826" s="13">
        <v>23</v>
      </c>
    </row>
    <row r="827" spans="1:8">
      <c r="A827" t="s">
        <v>1159</v>
      </c>
      <c r="B827" t="s">
        <v>168</v>
      </c>
      <c r="C827" s="8">
        <v>46166</v>
      </c>
      <c r="D827" t="s">
        <v>327</v>
      </c>
      <c r="E827" t="s">
        <v>322</v>
      </c>
      <c r="F827" s="12">
        <v>73337</v>
      </c>
      <c r="G827" s="12" t="str">
        <f>VLOOKUP(Table2[[#This Row],[MemberID]],Table1[#All],3,0)</f>
        <v>Silver</v>
      </c>
      <c r="H827" s="13">
        <v>7</v>
      </c>
    </row>
    <row r="828" spans="1:8">
      <c r="A828" t="s">
        <v>1160</v>
      </c>
      <c r="B828" t="s">
        <v>133</v>
      </c>
      <c r="C828" s="8">
        <v>46134</v>
      </c>
      <c r="D828" t="s">
        <v>321</v>
      </c>
      <c r="E828" t="s">
        <v>325</v>
      </c>
      <c r="F828" s="12">
        <v>190767</v>
      </c>
      <c r="G828" s="12" t="str">
        <f>VLOOKUP(Table2[[#This Row],[MemberID]],Table1[#All],3,0)</f>
        <v>Gold</v>
      </c>
      <c r="H828" s="13">
        <v>19</v>
      </c>
    </row>
    <row r="829" spans="1:8">
      <c r="A829" t="s">
        <v>1161</v>
      </c>
      <c r="B829" t="s">
        <v>78</v>
      </c>
      <c r="C829" s="8">
        <v>46167</v>
      </c>
      <c r="D829" t="s">
        <v>324</v>
      </c>
      <c r="E829" t="s">
        <v>337</v>
      </c>
      <c r="F829" s="12">
        <v>658792</v>
      </c>
      <c r="G829" s="12" t="str">
        <f>VLOOKUP(Table2[[#This Row],[MemberID]],Table1[#All],3,0)</f>
        <v>Gold</v>
      </c>
      <c r="H829" s="13">
        <v>65</v>
      </c>
    </row>
    <row r="830" spans="1:8">
      <c r="A830" t="s">
        <v>1162</v>
      </c>
      <c r="B830" t="s">
        <v>251</v>
      </c>
      <c r="C830" s="8">
        <v>46180</v>
      </c>
      <c r="D830" t="s">
        <v>344</v>
      </c>
      <c r="E830" t="s">
        <v>322</v>
      </c>
      <c r="F830" s="12">
        <v>191869</v>
      </c>
      <c r="G830" s="12" t="str">
        <f>VLOOKUP(Table2[[#This Row],[MemberID]],Table1[#All],3,0)</f>
        <v>Gold</v>
      </c>
      <c r="H830" s="13">
        <v>19</v>
      </c>
    </row>
    <row r="831" spans="1:8">
      <c r="A831" t="s">
        <v>1163</v>
      </c>
      <c r="B831" t="s">
        <v>155</v>
      </c>
      <c r="C831" s="8">
        <v>46267</v>
      </c>
      <c r="D831" t="s">
        <v>327</v>
      </c>
      <c r="E831" t="s">
        <v>337</v>
      </c>
      <c r="F831" s="12">
        <v>247666</v>
      </c>
      <c r="G831" s="12" t="str">
        <f>VLOOKUP(Table2[[#This Row],[MemberID]],Table1[#All],3,0)</f>
        <v>Platinum</v>
      </c>
      <c r="H831" s="13">
        <v>24</v>
      </c>
    </row>
    <row r="832" spans="1:8">
      <c r="A832" t="s">
        <v>1164</v>
      </c>
      <c r="B832" t="s">
        <v>153</v>
      </c>
      <c r="C832" s="8">
        <v>46106</v>
      </c>
      <c r="D832" t="s">
        <v>350</v>
      </c>
      <c r="E832" t="s">
        <v>322</v>
      </c>
      <c r="F832" s="12">
        <v>50660</v>
      </c>
      <c r="G832" s="12" t="str">
        <f>VLOOKUP(Table2[[#This Row],[MemberID]],Table1[#All],3,0)</f>
        <v>Silver</v>
      </c>
      <c r="H832" s="13">
        <v>5</v>
      </c>
    </row>
    <row r="833" spans="1:8">
      <c r="A833" t="s">
        <v>1165</v>
      </c>
      <c r="B833" t="s">
        <v>228</v>
      </c>
      <c r="C833" s="8">
        <v>46169</v>
      </c>
      <c r="D833" t="s">
        <v>344</v>
      </c>
      <c r="E833" t="s">
        <v>322</v>
      </c>
      <c r="F833" s="12">
        <v>184213</v>
      </c>
      <c r="G833" s="12" t="str">
        <f>VLOOKUP(Table2[[#This Row],[MemberID]],Table1[#All],3,0)</f>
        <v>Gold</v>
      </c>
      <c r="H833" s="13">
        <v>18</v>
      </c>
    </row>
    <row r="834" spans="1:8">
      <c r="A834" t="s">
        <v>1166</v>
      </c>
      <c r="B834" t="s">
        <v>163</v>
      </c>
      <c r="C834" s="8">
        <v>46013</v>
      </c>
      <c r="D834" t="s">
        <v>324</v>
      </c>
      <c r="E834" t="s">
        <v>337</v>
      </c>
      <c r="F834" s="12">
        <v>340849</v>
      </c>
      <c r="G834" s="12" t="str">
        <f>VLOOKUP(Table2[[#This Row],[MemberID]],Table1[#All],3,0)</f>
        <v>Silver</v>
      </c>
      <c r="H834" s="13">
        <v>34</v>
      </c>
    </row>
    <row r="835" spans="1:8">
      <c r="A835" t="s">
        <v>1167</v>
      </c>
      <c r="B835" t="s">
        <v>56</v>
      </c>
      <c r="C835" s="8">
        <v>46095</v>
      </c>
      <c r="D835" t="s">
        <v>342</v>
      </c>
      <c r="E835" t="s">
        <v>322</v>
      </c>
      <c r="F835" s="12">
        <v>302929</v>
      </c>
      <c r="G835" s="12" t="str">
        <f>VLOOKUP(Table2[[#This Row],[MemberID]],Table1[#All],3,0)</f>
        <v>Gold</v>
      </c>
      <c r="H835" s="13">
        <v>30</v>
      </c>
    </row>
    <row r="836" spans="1:8">
      <c r="A836" t="s">
        <v>1168</v>
      </c>
      <c r="B836" t="s">
        <v>192</v>
      </c>
      <c r="C836" s="8">
        <v>46034</v>
      </c>
      <c r="D836" t="s">
        <v>324</v>
      </c>
      <c r="E836" t="s">
        <v>328</v>
      </c>
      <c r="F836" s="12">
        <v>373169</v>
      </c>
      <c r="G836" s="12" t="str">
        <f>VLOOKUP(Table2[[#This Row],[MemberID]],Table1[#All],3,0)</f>
        <v>Silver</v>
      </c>
      <c r="H836" s="13">
        <v>37</v>
      </c>
    </row>
    <row r="837" spans="1:8">
      <c r="A837" t="s">
        <v>1169</v>
      </c>
      <c r="B837" t="s">
        <v>76</v>
      </c>
      <c r="C837" s="8">
        <v>46245</v>
      </c>
      <c r="D837" t="s">
        <v>330</v>
      </c>
      <c r="E837" t="s">
        <v>328</v>
      </c>
      <c r="F837" s="12">
        <v>365529</v>
      </c>
      <c r="G837" s="12" t="str">
        <f>VLOOKUP(Table2[[#This Row],[MemberID]],Table1[#All],3,0)</f>
        <v>Silver</v>
      </c>
      <c r="H837" s="13">
        <v>36</v>
      </c>
    </row>
    <row r="838" spans="1:8">
      <c r="A838" t="s">
        <v>1170</v>
      </c>
      <c r="B838" t="s">
        <v>237</v>
      </c>
      <c r="C838" s="8">
        <v>46192</v>
      </c>
      <c r="D838" t="s">
        <v>350</v>
      </c>
      <c r="E838" t="s">
        <v>325</v>
      </c>
      <c r="F838" s="12">
        <v>117505</v>
      </c>
      <c r="G838" s="12" t="str">
        <f>VLOOKUP(Table2[[#This Row],[MemberID]],Table1[#All],3,0)</f>
        <v>Silver</v>
      </c>
      <c r="H838" s="13">
        <v>11</v>
      </c>
    </row>
    <row r="839" spans="1:8">
      <c r="A839" t="s">
        <v>1171</v>
      </c>
      <c r="B839" t="s">
        <v>140</v>
      </c>
      <c r="C839" s="8">
        <v>46060</v>
      </c>
      <c r="D839" t="s">
        <v>330</v>
      </c>
      <c r="E839" t="s">
        <v>325</v>
      </c>
      <c r="F839" s="12">
        <v>354057</v>
      </c>
      <c r="G839" s="12" t="str">
        <f>VLOOKUP(Table2[[#This Row],[MemberID]],Table1[#All],3,0)</f>
        <v>Silver</v>
      </c>
      <c r="H839" s="13">
        <v>35</v>
      </c>
    </row>
    <row r="840" spans="1:8">
      <c r="A840" t="s">
        <v>1172</v>
      </c>
      <c r="B840" t="s">
        <v>255</v>
      </c>
      <c r="C840" s="8">
        <v>46240</v>
      </c>
      <c r="D840" t="s">
        <v>332</v>
      </c>
      <c r="E840" t="s">
        <v>339</v>
      </c>
      <c r="F840" s="12">
        <v>75890</v>
      </c>
      <c r="G840" s="12" t="str">
        <f>VLOOKUP(Table2[[#This Row],[MemberID]],Table1[#All],3,0)</f>
        <v>Silver</v>
      </c>
      <c r="H840" s="13">
        <v>7</v>
      </c>
    </row>
    <row r="841" spans="1:8">
      <c r="A841" t="s">
        <v>1173</v>
      </c>
      <c r="B841" t="s">
        <v>240</v>
      </c>
      <c r="C841" s="8">
        <v>46253</v>
      </c>
      <c r="D841" t="s">
        <v>342</v>
      </c>
      <c r="E841" t="s">
        <v>325</v>
      </c>
      <c r="F841" s="12">
        <v>571841</v>
      </c>
      <c r="G841" s="12" t="str">
        <f>VLOOKUP(Table2[[#This Row],[MemberID]],Table1[#All],3,0)</f>
        <v>Silver</v>
      </c>
      <c r="H841" s="13">
        <v>57</v>
      </c>
    </row>
    <row r="842" spans="1:8">
      <c r="A842" t="s">
        <v>1174</v>
      </c>
      <c r="B842" t="s">
        <v>16</v>
      </c>
      <c r="C842" s="8">
        <v>46062</v>
      </c>
      <c r="D842" t="s">
        <v>321</v>
      </c>
      <c r="E842" t="s">
        <v>334</v>
      </c>
      <c r="F842" s="12">
        <v>64495</v>
      </c>
      <c r="G842" s="12" t="str">
        <f>VLOOKUP(Table2[[#This Row],[MemberID]],Table1[#All],3,0)</f>
        <v>Gold</v>
      </c>
      <c r="H842" s="13">
        <v>6</v>
      </c>
    </row>
    <row r="843" spans="1:8">
      <c r="A843" t="s">
        <v>1175</v>
      </c>
      <c r="B843" t="s">
        <v>13</v>
      </c>
      <c r="C843" s="8">
        <v>45980</v>
      </c>
      <c r="D843" t="s">
        <v>344</v>
      </c>
      <c r="E843" t="s">
        <v>334</v>
      </c>
      <c r="F843" s="12">
        <v>155953</v>
      </c>
      <c r="G843" s="12" t="str">
        <f>VLOOKUP(Table2[[#This Row],[MemberID]],Table1[#All],3,0)</f>
        <v>Silver</v>
      </c>
      <c r="H843" s="13">
        <v>15</v>
      </c>
    </row>
    <row r="844" spans="1:8">
      <c r="A844" t="s">
        <v>1176</v>
      </c>
      <c r="B844" t="s">
        <v>260</v>
      </c>
      <c r="C844" s="8">
        <v>46281</v>
      </c>
      <c r="D844" t="s">
        <v>321</v>
      </c>
      <c r="E844" t="s">
        <v>334</v>
      </c>
      <c r="F844" s="12">
        <v>234135</v>
      </c>
      <c r="G844" s="12" t="str">
        <f>VLOOKUP(Table2[[#This Row],[MemberID]],Table1[#All],3,0)</f>
        <v>Silver</v>
      </c>
      <c r="H844" s="13">
        <v>23</v>
      </c>
    </row>
    <row r="845" spans="1:8">
      <c r="A845" t="s">
        <v>1177</v>
      </c>
      <c r="B845" t="s">
        <v>51</v>
      </c>
      <c r="C845" s="8">
        <v>45931</v>
      </c>
      <c r="D845" t="s">
        <v>327</v>
      </c>
      <c r="E845" t="s">
        <v>328</v>
      </c>
      <c r="F845" s="12">
        <v>206289</v>
      </c>
      <c r="G845" s="12" t="str">
        <f>VLOOKUP(Table2[[#This Row],[MemberID]],Table1[#All],3,0)</f>
        <v>Gold</v>
      </c>
      <c r="H845" s="13">
        <v>20</v>
      </c>
    </row>
    <row r="846" spans="1:8">
      <c r="A846" t="s">
        <v>1178</v>
      </c>
      <c r="B846" t="s">
        <v>205</v>
      </c>
      <c r="C846" s="8">
        <v>46211</v>
      </c>
      <c r="D846" t="s">
        <v>327</v>
      </c>
      <c r="E846" t="s">
        <v>328</v>
      </c>
      <c r="F846" s="12">
        <v>571498</v>
      </c>
      <c r="G846" s="12" t="str">
        <f>VLOOKUP(Table2[[#This Row],[MemberID]],Table1[#All],3,0)</f>
        <v>Silver</v>
      </c>
      <c r="H846" s="13">
        <v>57</v>
      </c>
    </row>
    <row r="847" spans="1:8">
      <c r="A847" t="s">
        <v>1179</v>
      </c>
      <c r="B847" t="s">
        <v>209</v>
      </c>
      <c r="C847" s="8">
        <v>45937</v>
      </c>
      <c r="D847" t="s">
        <v>342</v>
      </c>
      <c r="E847" t="s">
        <v>337</v>
      </c>
      <c r="F847" s="12">
        <v>269475</v>
      </c>
      <c r="G847" s="12" t="str">
        <f>VLOOKUP(Table2[[#This Row],[MemberID]],Table1[#All],3,0)</f>
        <v>Gold</v>
      </c>
      <c r="H847" s="13">
        <v>26</v>
      </c>
    </row>
    <row r="848" spans="1:8">
      <c r="A848" t="s">
        <v>1180</v>
      </c>
      <c r="B848" t="s">
        <v>218</v>
      </c>
      <c r="C848" s="8">
        <v>46226</v>
      </c>
      <c r="D848" t="s">
        <v>332</v>
      </c>
      <c r="E848" t="s">
        <v>322</v>
      </c>
      <c r="F848" s="12">
        <v>717855</v>
      </c>
      <c r="G848" s="12" t="str">
        <f>VLOOKUP(Table2[[#This Row],[MemberID]],Table1[#All],3,0)</f>
        <v>Gold</v>
      </c>
      <c r="H848" s="13">
        <v>71</v>
      </c>
    </row>
    <row r="849" spans="1:8">
      <c r="A849" t="s">
        <v>1181</v>
      </c>
      <c r="B849" t="s">
        <v>262</v>
      </c>
      <c r="C849" s="8">
        <v>46008</v>
      </c>
      <c r="D849" t="s">
        <v>327</v>
      </c>
      <c r="E849" t="s">
        <v>325</v>
      </c>
      <c r="F849" s="12">
        <v>227100</v>
      </c>
      <c r="G849" s="12" t="str">
        <f>VLOOKUP(Table2[[#This Row],[MemberID]],Table1[#All],3,0)</f>
        <v>Gold</v>
      </c>
      <c r="H849" s="13">
        <v>22</v>
      </c>
    </row>
    <row r="850" spans="1:8">
      <c r="A850" t="s">
        <v>1182</v>
      </c>
      <c r="B850" t="s">
        <v>262</v>
      </c>
      <c r="C850" s="8">
        <v>46261</v>
      </c>
      <c r="D850" t="s">
        <v>321</v>
      </c>
      <c r="E850" t="s">
        <v>322</v>
      </c>
      <c r="F850" s="12">
        <v>216483</v>
      </c>
      <c r="G850" s="12" t="str">
        <f>VLOOKUP(Table2[[#This Row],[MemberID]],Table1[#All],3,0)</f>
        <v>Gold</v>
      </c>
      <c r="H850" s="13">
        <v>21</v>
      </c>
    </row>
    <row r="851" spans="1:8">
      <c r="A851" t="s">
        <v>1183</v>
      </c>
      <c r="B851" t="s">
        <v>282</v>
      </c>
      <c r="C851" s="8">
        <v>46043</v>
      </c>
      <c r="D851" t="s">
        <v>321</v>
      </c>
      <c r="E851" t="s">
        <v>334</v>
      </c>
      <c r="F851" s="12">
        <v>429573</v>
      </c>
      <c r="G851" s="12" t="str">
        <f>VLOOKUP(Table2[[#This Row],[MemberID]],Table1[#All],3,0)</f>
        <v>Silver</v>
      </c>
      <c r="H851" s="13">
        <v>42</v>
      </c>
    </row>
    <row r="852" spans="1:8">
      <c r="A852" t="s">
        <v>1184</v>
      </c>
      <c r="B852" t="s">
        <v>198</v>
      </c>
      <c r="C852" s="8">
        <v>46121</v>
      </c>
      <c r="D852" t="s">
        <v>327</v>
      </c>
      <c r="E852" t="s">
        <v>325</v>
      </c>
      <c r="F852" s="12">
        <v>167305</v>
      </c>
      <c r="G852" s="12" t="str">
        <f>VLOOKUP(Table2[[#This Row],[MemberID]],Table1[#All],3,0)</f>
        <v>Silver</v>
      </c>
      <c r="H852" s="13">
        <v>16</v>
      </c>
    </row>
    <row r="853" spans="1:8">
      <c r="A853" t="s">
        <v>1185</v>
      </c>
      <c r="B853" t="s">
        <v>102</v>
      </c>
      <c r="C853" s="8">
        <v>46138</v>
      </c>
      <c r="D853" t="s">
        <v>350</v>
      </c>
      <c r="E853" t="s">
        <v>328</v>
      </c>
      <c r="F853" s="12">
        <v>690685</v>
      </c>
      <c r="G853" s="12" t="str">
        <f>VLOOKUP(Table2[[#This Row],[MemberID]],Table1[#All],3,0)</f>
        <v>Platinum</v>
      </c>
      <c r="H853" s="13">
        <v>69</v>
      </c>
    </row>
    <row r="854" spans="1:8">
      <c r="A854" t="s">
        <v>1186</v>
      </c>
      <c r="B854" t="s">
        <v>249</v>
      </c>
      <c r="C854" s="8">
        <v>45997</v>
      </c>
      <c r="D854" t="s">
        <v>344</v>
      </c>
      <c r="E854" t="s">
        <v>325</v>
      </c>
      <c r="F854" s="12">
        <v>285503</v>
      </c>
      <c r="G854" s="12" t="str">
        <f>VLOOKUP(Table2[[#This Row],[MemberID]],Table1[#All],3,0)</f>
        <v>Silver</v>
      </c>
      <c r="H854" s="13">
        <v>28</v>
      </c>
    </row>
    <row r="855" spans="1:8">
      <c r="A855" t="s">
        <v>1187</v>
      </c>
      <c r="B855" t="s">
        <v>131</v>
      </c>
      <c r="C855" s="8">
        <v>45956</v>
      </c>
      <c r="D855" t="s">
        <v>332</v>
      </c>
      <c r="E855" t="s">
        <v>339</v>
      </c>
      <c r="F855" s="12">
        <v>341438</v>
      </c>
      <c r="G855" s="12" t="str">
        <f>VLOOKUP(Table2[[#This Row],[MemberID]],Table1[#All],3,0)</f>
        <v>Silver</v>
      </c>
      <c r="H855" s="13">
        <v>34</v>
      </c>
    </row>
    <row r="856" spans="1:8">
      <c r="A856" t="s">
        <v>1188</v>
      </c>
      <c r="B856" t="s">
        <v>280</v>
      </c>
      <c r="C856" s="8">
        <v>46227</v>
      </c>
      <c r="D856" t="s">
        <v>327</v>
      </c>
      <c r="E856" t="s">
        <v>337</v>
      </c>
      <c r="F856" s="12">
        <v>25428</v>
      </c>
      <c r="G856" s="12" t="str">
        <f>VLOOKUP(Table2[[#This Row],[MemberID]],Table1[#All],3,0)</f>
        <v>Silver</v>
      </c>
      <c r="H856" s="13">
        <v>2</v>
      </c>
    </row>
    <row r="857" spans="1:8">
      <c r="A857" t="s">
        <v>1189</v>
      </c>
      <c r="B857" t="s">
        <v>181</v>
      </c>
      <c r="C857" s="8">
        <v>46180</v>
      </c>
      <c r="D857" t="s">
        <v>321</v>
      </c>
      <c r="E857" t="s">
        <v>339</v>
      </c>
      <c r="F857" s="12">
        <v>136228</v>
      </c>
      <c r="G857" s="12" t="str">
        <f>VLOOKUP(Table2[[#This Row],[MemberID]],Table1[#All],3,0)</f>
        <v>Gold</v>
      </c>
      <c r="H857" s="13">
        <v>13</v>
      </c>
    </row>
    <row r="858" spans="1:8">
      <c r="A858" t="s">
        <v>1190</v>
      </c>
      <c r="B858" t="s">
        <v>100</v>
      </c>
      <c r="C858" s="8">
        <v>46082</v>
      </c>
      <c r="D858" t="s">
        <v>332</v>
      </c>
      <c r="E858" t="s">
        <v>322</v>
      </c>
      <c r="F858" s="12">
        <v>220540</v>
      </c>
      <c r="G858" s="12" t="str">
        <f>VLOOKUP(Table2[[#This Row],[MemberID]],Table1[#All],3,0)</f>
        <v>Silver</v>
      </c>
      <c r="H858" s="13">
        <v>22</v>
      </c>
    </row>
    <row r="859" spans="1:8">
      <c r="A859" t="s">
        <v>1191</v>
      </c>
      <c r="B859" t="s">
        <v>118</v>
      </c>
      <c r="C859" s="8">
        <v>45931</v>
      </c>
      <c r="D859" t="s">
        <v>332</v>
      </c>
      <c r="E859" t="s">
        <v>337</v>
      </c>
      <c r="F859" s="12">
        <v>110540</v>
      </c>
      <c r="G859" s="12" t="str">
        <f>VLOOKUP(Table2[[#This Row],[MemberID]],Table1[#All],3,0)</f>
        <v>Silver</v>
      </c>
      <c r="H859" s="13">
        <v>11</v>
      </c>
    </row>
    <row r="860" spans="1:8">
      <c r="A860" t="s">
        <v>1192</v>
      </c>
      <c r="B860" t="s">
        <v>282</v>
      </c>
      <c r="C860" s="8">
        <v>46242</v>
      </c>
      <c r="D860" t="s">
        <v>330</v>
      </c>
      <c r="E860" t="s">
        <v>339</v>
      </c>
      <c r="F860" s="12">
        <v>177923</v>
      </c>
      <c r="G860" s="12" t="str">
        <f>VLOOKUP(Table2[[#This Row],[MemberID]],Table1[#All],3,0)</f>
        <v>Silver</v>
      </c>
      <c r="H860" s="13">
        <v>17</v>
      </c>
    </row>
    <row r="861" spans="1:8">
      <c r="A861" t="s">
        <v>1193</v>
      </c>
      <c r="B861" t="s">
        <v>8</v>
      </c>
      <c r="C861" s="8">
        <v>46016</v>
      </c>
      <c r="D861" t="s">
        <v>324</v>
      </c>
      <c r="E861" t="s">
        <v>322</v>
      </c>
      <c r="F861" s="12">
        <v>453254</v>
      </c>
      <c r="G861" s="12" t="str">
        <f>VLOOKUP(Table2[[#This Row],[MemberID]],Table1[#All],3,0)</f>
        <v>Gold</v>
      </c>
      <c r="H861" s="13">
        <v>45</v>
      </c>
    </row>
    <row r="862" spans="1:8">
      <c r="A862" t="s">
        <v>1194</v>
      </c>
      <c r="B862" t="s">
        <v>200</v>
      </c>
      <c r="C862" s="8">
        <v>46115</v>
      </c>
      <c r="D862" t="s">
        <v>324</v>
      </c>
      <c r="E862" t="s">
        <v>334</v>
      </c>
      <c r="F862" s="12">
        <v>97632</v>
      </c>
      <c r="G862" s="12" t="str">
        <f>VLOOKUP(Table2[[#This Row],[MemberID]],Table1[#All],3,0)</f>
        <v>Silver</v>
      </c>
      <c r="H862" s="13">
        <v>9</v>
      </c>
    </row>
    <row r="863" spans="1:8">
      <c r="A863" t="s">
        <v>1195</v>
      </c>
      <c r="B863" t="s">
        <v>233</v>
      </c>
      <c r="C863" s="8">
        <v>45986</v>
      </c>
      <c r="D863" t="s">
        <v>321</v>
      </c>
      <c r="E863" t="s">
        <v>325</v>
      </c>
      <c r="F863" s="12">
        <v>345566</v>
      </c>
      <c r="G863" s="12" t="str">
        <f>VLOOKUP(Table2[[#This Row],[MemberID]],Table1[#All],3,0)</f>
        <v>Gold</v>
      </c>
      <c r="H863" s="13">
        <v>34</v>
      </c>
    </row>
    <row r="864" spans="1:8">
      <c r="A864" t="s">
        <v>1196</v>
      </c>
      <c r="B864" t="s">
        <v>205</v>
      </c>
      <c r="C864" s="8">
        <v>46261</v>
      </c>
      <c r="D864" t="s">
        <v>332</v>
      </c>
      <c r="E864" t="s">
        <v>325</v>
      </c>
      <c r="F864" s="12">
        <v>108963</v>
      </c>
      <c r="G864" s="12" t="str">
        <f>VLOOKUP(Table2[[#This Row],[MemberID]],Table1[#All],3,0)</f>
        <v>Silver</v>
      </c>
      <c r="H864" s="13">
        <v>10</v>
      </c>
    </row>
    <row r="865" spans="1:8">
      <c r="A865" t="s">
        <v>1197</v>
      </c>
      <c r="B865" t="s">
        <v>104</v>
      </c>
      <c r="C865" s="8">
        <v>46046</v>
      </c>
      <c r="D865" t="s">
        <v>324</v>
      </c>
      <c r="E865" t="s">
        <v>328</v>
      </c>
      <c r="F865" s="12">
        <v>286718</v>
      </c>
      <c r="G865" s="12" t="str">
        <f>VLOOKUP(Table2[[#This Row],[MemberID]],Table1[#All],3,0)</f>
        <v>Gold</v>
      </c>
      <c r="H865" s="13">
        <v>28</v>
      </c>
    </row>
    <row r="866" spans="1:8">
      <c r="A866" t="s">
        <v>1198</v>
      </c>
      <c r="B866" t="s">
        <v>217</v>
      </c>
      <c r="C866" s="8">
        <v>46136</v>
      </c>
      <c r="D866" t="s">
        <v>327</v>
      </c>
      <c r="E866" t="s">
        <v>337</v>
      </c>
      <c r="F866" s="12">
        <v>25000</v>
      </c>
      <c r="G866" s="12" t="str">
        <f>VLOOKUP(Table2[[#This Row],[MemberID]],Table1[#All],3,0)</f>
        <v>Gold</v>
      </c>
      <c r="H866" s="13">
        <v>2</v>
      </c>
    </row>
    <row r="867" spans="1:8">
      <c r="A867" t="s">
        <v>1199</v>
      </c>
      <c r="B867" t="s">
        <v>102</v>
      </c>
      <c r="C867" s="8">
        <v>46165</v>
      </c>
      <c r="D867" t="s">
        <v>350</v>
      </c>
      <c r="E867" t="s">
        <v>337</v>
      </c>
      <c r="F867" s="12">
        <v>130218</v>
      </c>
      <c r="G867" s="12" t="str">
        <f>VLOOKUP(Table2[[#This Row],[MemberID]],Table1[#All],3,0)</f>
        <v>Platinum</v>
      </c>
      <c r="H867" s="13">
        <v>13</v>
      </c>
    </row>
    <row r="868" spans="1:8">
      <c r="A868" t="s">
        <v>1200</v>
      </c>
      <c r="B868" t="s">
        <v>6</v>
      </c>
      <c r="C868" s="8">
        <v>45949</v>
      </c>
      <c r="D868" t="s">
        <v>350</v>
      </c>
      <c r="E868" t="s">
        <v>339</v>
      </c>
      <c r="F868" s="12">
        <v>718072</v>
      </c>
      <c r="G868" s="12" t="str">
        <f>VLOOKUP(Table2[[#This Row],[MemberID]],Table1[#All],3,0)</f>
        <v>Silver</v>
      </c>
      <c r="H868" s="13">
        <v>71</v>
      </c>
    </row>
    <row r="869" spans="1:8">
      <c r="A869" t="s">
        <v>1201</v>
      </c>
      <c r="B869" t="s">
        <v>167</v>
      </c>
      <c r="C869" s="8">
        <v>45953</v>
      </c>
      <c r="D869" t="s">
        <v>324</v>
      </c>
      <c r="E869" t="s">
        <v>337</v>
      </c>
      <c r="F869" s="12">
        <v>35828</v>
      </c>
      <c r="G869" s="12" t="str">
        <f>VLOOKUP(Table2[[#This Row],[MemberID]],Table1[#All],3,0)</f>
        <v>Silver</v>
      </c>
      <c r="H869" s="13">
        <v>3</v>
      </c>
    </row>
    <row r="870" spans="1:8">
      <c r="A870" t="s">
        <v>1202</v>
      </c>
      <c r="B870" t="s">
        <v>100</v>
      </c>
      <c r="C870" s="8">
        <v>46058</v>
      </c>
      <c r="D870" t="s">
        <v>327</v>
      </c>
      <c r="E870" t="s">
        <v>328</v>
      </c>
      <c r="F870" s="12">
        <v>370196</v>
      </c>
      <c r="G870" s="12" t="str">
        <f>VLOOKUP(Table2[[#This Row],[MemberID]],Table1[#All],3,0)</f>
        <v>Silver</v>
      </c>
      <c r="H870" s="13">
        <v>37</v>
      </c>
    </row>
    <row r="871" spans="1:8">
      <c r="A871" t="s">
        <v>1203</v>
      </c>
      <c r="B871" t="s">
        <v>66</v>
      </c>
      <c r="C871" s="8">
        <v>46032</v>
      </c>
      <c r="D871" t="s">
        <v>332</v>
      </c>
      <c r="E871" t="s">
        <v>339</v>
      </c>
      <c r="F871" s="12">
        <v>532025</v>
      </c>
      <c r="G871" s="12" t="str">
        <f>VLOOKUP(Table2[[#This Row],[MemberID]],Table1[#All],3,0)</f>
        <v>Silver</v>
      </c>
      <c r="H871" s="13">
        <v>53</v>
      </c>
    </row>
    <row r="872" spans="1:8">
      <c r="A872" t="s">
        <v>1204</v>
      </c>
      <c r="B872" t="s">
        <v>246</v>
      </c>
      <c r="C872" s="8">
        <v>46170</v>
      </c>
      <c r="D872" t="s">
        <v>344</v>
      </c>
      <c r="E872" t="s">
        <v>322</v>
      </c>
      <c r="F872" s="12">
        <v>998751</v>
      </c>
      <c r="G872" s="12" t="str">
        <f>VLOOKUP(Table2[[#This Row],[MemberID]],Table1[#All],3,0)</f>
        <v>Gold</v>
      </c>
      <c r="H872" s="13">
        <v>99</v>
      </c>
    </row>
    <row r="873" spans="1:8">
      <c r="A873" t="s">
        <v>1205</v>
      </c>
      <c r="B873" t="s">
        <v>118</v>
      </c>
      <c r="C873" s="8">
        <v>46121</v>
      </c>
      <c r="D873" t="s">
        <v>321</v>
      </c>
      <c r="E873" t="s">
        <v>337</v>
      </c>
      <c r="F873" s="12">
        <v>557731</v>
      </c>
      <c r="G873" s="12" t="str">
        <f>VLOOKUP(Table2[[#This Row],[MemberID]],Table1[#All],3,0)</f>
        <v>Silver</v>
      </c>
      <c r="H873" s="13">
        <v>55</v>
      </c>
    </row>
    <row r="874" spans="1:8">
      <c r="A874" t="s">
        <v>1206</v>
      </c>
      <c r="B874" t="s">
        <v>51</v>
      </c>
      <c r="C874" s="8">
        <v>46249</v>
      </c>
      <c r="D874" t="s">
        <v>321</v>
      </c>
      <c r="E874" t="s">
        <v>322</v>
      </c>
      <c r="F874" s="12">
        <v>585925</v>
      </c>
      <c r="G874" s="12" t="str">
        <f>VLOOKUP(Table2[[#This Row],[MemberID]],Table1[#All],3,0)</f>
        <v>Gold</v>
      </c>
      <c r="H874" s="13">
        <v>58</v>
      </c>
    </row>
    <row r="875" spans="1:8">
      <c r="A875" t="s">
        <v>1207</v>
      </c>
      <c r="B875" t="s">
        <v>196</v>
      </c>
      <c r="C875" s="8">
        <v>45990</v>
      </c>
      <c r="D875" t="s">
        <v>324</v>
      </c>
      <c r="E875" t="s">
        <v>339</v>
      </c>
      <c r="F875" s="12">
        <v>427053</v>
      </c>
      <c r="G875" s="12" t="str">
        <f>VLOOKUP(Table2[[#This Row],[MemberID]],Table1[#All],3,0)</f>
        <v>Gold</v>
      </c>
      <c r="H875" s="13">
        <v>42</v>
      </c>
    </row>
    <row r="876" spans="1:8">
      <c r="A876" t="s">
        <v>1208</v>
      </c>
      <c r="B876" t="s">
        <v>245</v>
      </c>
      <c r="C876" s="8">
        <v>46122</v>
      </c>
      <c r="D876" t="s">
        <v>344</v>
      </c>
      <c r="E876" t="s">
        <v>328</v>
      </c>
      <c r="F876" s="12">
        <v>179786</v>
      </c>
      <c r="G876" s="12" t="str">
        <f>VLOOKUP(Table2[[#This Row],[MemberID]],Table1[#All],3,0)</f>
        <v>Silver</v>
      </c>
      <c r="H876" s="13">
        <v>17</v>
      </c>
    </row>
    <row r="877" spans="1:8">
      <c r="A877" t="s">
        <v>1209</v>
      </c>
      <c r="B877" t="s">
        <v>36</v>
      </c>
      <c r="C877" s="8">
        <v>46134</v>
      </c>
      <c r="D877" t="s">
        <v>344</v>
      </c>
      <c r="E877" t="s">
        <v>325</v>
      </c>
      <c r="F877" s="12">
        <v>269733</v>
      </c>
      <c r="G877" s="12" t="str">
        <f>VLOOKUP(Table2[[#This Row],[MemberID]],Table1[#All],3,0)</f>
        <v>Gold</v>
      </c>
      <c r="H877" s="13">
        <v>26</v>
      </c>
    </row>
    <row r="878" spans="1:8">
      <c r="A878" t="s">
        <v>1210</v>
      </c>
      <c r="B878" t="s">
        <v>109</v>
      </c>
      <c r="C878" s="8">
        <v>45976</v>
      </c>
      <c r="D878" t="s">
        <v>342</v>
      </c>
      <c r="E878" t="s">
        <v>322</v>
      </c>
      <c r="F878" s="12">
        <v>774192</v>
      </c>
      <c r="G878" s="12" t="str">
        <f>VLOOKUP(Table2[[#This Row],[MemberID]],Table1[#All],3,0)</f>
        <v>Silver</v>
      </c>
      <c r="H878" s="13">
        <v>77</v>
      </c>
    </row>
    <row r="879" spans="1:8">
      <c r="A879" t="s">
        <v>1211</v>
      </c>
      <c r="B879" t="s">
        <v>135</v>
      </c>
      <c r="C879" s="8">
        <v>46052</v>
      </c>
      <c r="D879" t="s">
        <v>344</v>
      </c>
      <c r="E879" t="s">
        <v>337</v>
      </c>
      <c r="F879" s="12">
        <v>383457</v>
      </c>
      <c r="G879" s="12" t="str">
        <f>VLOOKUP(Table2[[#This Row],[MemberID]],Table1[#All],3,0)</f>
        <v>Silver</v>
      </c>
      <c r="H879" s="13">
        <v>38</v>
      </c>
    </row>
    <row r="880" spans="1:8">
      <c r="A880" t="s">
        <v>1212</v>
      </c>
      <c r="B880" t="s">
        <v>233</v>
      </c>
      <c r="C880" s="8">
        <v>46149</v>
      </c>
      <c r="D880" t="s">
        <v>332</v>
      </c>
      <c r="E880" t="s">
        <v>322</v>
      </c>
      <c r="F880" s="12">
        <v>287502</v>
      </c>
      <c r="G880" s="12" t="str">
        <f>VLOOKUP(Table2[[#This Row],[MemberID]],Table1[#All],3,0)</f>
        <v>Gold</v>
      </c>
      <c r="H880" s="13">
        <v>28</v>
      </c>
    </row>
    <row r="881" spans="1:8">
      <c r="A881" t="s">
        <v>1213</v>
      </c>
      <c r="B881" t="s">
        <v>256</v>
      </c>
      <c r="C881" s="8">
        <v>46177</v>
      </c>
      <c r="D881" t="s">
        <v>342</v>
      </c>
      <c r="E881" t="s">
        <v>328</v>
      </c>
      <c r="F881" s="12">
        <v>519210</v>
      </c>
      <c r="G881" s="12" t="str">
        <f>VLOOKUP(Table2[[#This Row],[MemberID]],Table1[#All],3,0)</f>
        <v>Gold</v>
      </c>
      <c r="H881" s="13">
        <v>51</v>
      </c>
    </row>
    <row r="882" spans="1:8">
      <c r="A882" t="s">
        <v>1214</v>
      </c>
      <c r="B882" t="s">
        <v>42</v>
      </c>
      <c r="C882" s="8">
        <v>46293</v>
      </c>
      <c r="D882" t="s">
        <v>321</v>
      </c>
      <c r="E882" t="s">
        <v>325</v>
      </c>
      <c r="F882" s="12">
        <v>997902</v>
      </c>
      <c r="G882" s="12" t="str">
        <f>VLOOKUP(Table2[[#This Row],[MemberID]],Table1[#All],3,0)</f>
        <v>Silver</v>
      </c>
      <c r="H882" s="13">
        <v>99</v>
      </c>
    </row>
    <row r="883" spans="1:8">
      <c r="A883" t="s">
        <v>1215</v>
      </c>
      <c r="B883" t="s">
        <v>45</v>
      </c>
      <c r="C883" s="8">
        <v>46235</v>
      </c>
      <c r="D883" t="s">
        <v>342</v>
      </c>
      <c r="E883" t="s">
        <v>334</v>
      </c>
      <c r="F883" s="12">
        <v>110568</v>
      </c>
      <c r="G883" s="12" t="str">
        <f>VLOOKUP(Table2[[#This Row],[MemberID]],Table1[#All],3,0)</f>
        <v>Silver</v>
      </c>
      <c r="H883" s="13">
        <v>11</v>
      </c>
    </row>
    <row r="884" spans="1:8">
      <c r="A884" t="s">
        <v>1216</v>
      </c>
      <c r="B884" t="s">
        <v>57</v>
      </c>
      <c r="C884" s="8">
        <v>46153</v>
      </c>
      <c r="D884" t="s">
        <v>324</v>
      </c>
      <c r="E884" t="s">
        <v>337</v>
      </c>
      <c r="F884" s="12">
        <v>134150</v>
      </c>
      <c r="G884" s="12" t="str">
        <f>VLOOKUP(Table2[[#This Row],[MemberID]],Table1[#All],3,0)</f>
        <v>Gold</v>
      </c>
      <c r="H884" s="13">
        <v>13</v>
      </c>
    </row>
    <row r="885" spans="1:8">
      <c r="A885" t="s">
        <v>1217</v>
      </c>
      <c r="B885" t="s">
        <v>249</v>
      </c>
      <c r="C885" s="8">
        <v>46221</v>
      </c>
      <c r="D885" t="s">
        <v>350</v>
      </c>
      <c r="E885" t="s">
        <v>322</v>
      </c>
      <c r="F885" s="12">
        <v>25000</v>
      </c>
      <c r="G885" s="12" t="str">
        <f>VLOOKUP(Table2[[#This Row],[MemberID]],Table1[#All],3,0)</f>
        <v>Silver</v>
      </c>
      <c r="H885" s="13">
        <v>2</v>
      </c>
    </row>
    <row r="886" spans="1:8">
      <c r="A886" t="s">
        <v>1218</v>
      </c>
      <c r="B886" t="s">
        <v>153</v>
      </c>
      <c r="C886" s="8">
        <v>46068</v>
      </c>
      <c r="D886" t="s">
        <v>342</v>
      </c>
      <c r="E886" t="s">
        <v>334</v>
      </c>
      <c r="F886" s="12">
        <v>382169</v>
      </c>
      <c r="G886" s="12" t="str">
        <f>VLOOKUP(Table2[[#This Row],[MemberID]],Table1[#All],3,0)</f>
        <v>Silver</v>
      </c>
      <c r="H886" s="13">
        <v>38</v>
      </c>
    </row>
    <row r="887" spans="1:8">
      <c r="A887" t="s">
        <v>1219</v>
      </c>
      <c r="B887" t="s">
        <v>111</v>
      </c>
      <c r="C887" s="8">
        <v>46128</v>
      </c>
      <c r="D887" t="s">
        <v>342</v>
      </c>
      <c r="E887" t="s">
        <v>328</v>
      </c>
      <c r="F887" s="12">
        <v>351638</v>
      </c>
      <c r="G887" s="12" t="str">
        <f>VLOOKUP(Table2[[#This Row],[MemberID]],Table1[#All],3,0)</f>
        <v>Platinum</v>
      </c>
      <c r="H887" s="13">
        <v>35</v>
      </c>
    </row>
    <row r="888" spans="1:8">
      <c r="A888" t="s">
        <v>1220</v>
      </c>
      <c r="B888" t="s">
        <v>164</v>
      </c>
      <c r="C888" s="8">
        <v>46293</v>
      </c>
      <c r="D888" t="s">
        <v>327</v>
      </c>
      <c r="E888" t="s">
        <v>339</v>
      </c>
      <c r="F888" s="12">
        <v>98949</v>
      </c>
      <c r="G888" s="12" t="str">
        <f>VLOOKUP(Table2[[#This Row],[MemberID]],Table1[#All],3,0)</f>
        <v>Silver</v>
      </c>
      <c r="H888" s="13">
        <v>9</v>
      </c>
    </row>
    <row r="889" spans="1:8">
      <c r="A889" t="s">
        <v>1221</v>
      </c>
      <c r="B889" t="s">
        <v>69</v>
      </c>
      <c r="C889" s="8">
        <v>46176</v>
      </c>
      <c r="D889" t="s">
        <v>330</v>
      </c>
      <c r="E889" t="s">
        <v>328</v>
      </c>
      <c r="F889" s="12">
        <v>396259</v>
      </c>
      <c r="G889" s="12" t="str">
        <f>VLOOKUP(Table2[[#This Row],[MemberID]],Table1[#All],3,0)</f>
        <v>Gold</v>
      </c>
      <c r="H889" s="13">
        <v>39</v>
      </c>
    </row>
    <row r="890" spans="1:8">
      <c r="A890" t="s">
        <v>1222</v>
      </c>
      <c r="B890" t="s">
        <v>29</v>
      </c>
      <c r="C890" s="8">
        <v>46220</v>
      </c>
      <c r="D890" t="s">
        <v>332</v>
      </c>
      <c r="E890" t="s">
        <v>322</v>
      </c>
      <c r="F890" s="12">
        <v>130274</v>
      </c>
      <c r="G890" s="12" t="str">
        <f>VLOOKUP(Table2[[#This Row],[MemberID]],Table1[#All],3,0)</f>
        <v>Gold</v>
      </c>
      <c r="H890" s="13">
        <v>13</v>
      </c>
    </row>
    <row r="891" spans="1:8">
      <c r="A891" t="s">
        <v>1223</v>
      </c>
      <c r="B891" t="s">
        <v>6</v>
      </c>
      <c r="C891" s="8">
        <v>46164</v>
      </c>
      <c r="D891" t="s">
        <v>344</v>
      </c>
      <c r="E891" t="s">
        <v>337</v>
      </c>
      <c r="F891" s="12">
        <v>62292</v>
      </c>
      <c r="G891" s="12" t="str">
        <f>VLOOKUP(Table2[[#This Row],[MemberID]],Table1[#All],3,0)</f>
        <v>Silver</v>
      </c>
      <c r="H891" s="13">
        <v>6</v>
      </c>
    </row>
    <row r="892" spans="1:8">
      <c r="A892" t="s">
        <v>1224</v>
      </c>
      <c r="B892" t="s">
        <v>43</v>
      </c>
      <c r="C892" s="8">
        <v>46278</v>
      </c>
      <c r="D892" t="s">
        <v>332</v>
      </c>
      <c r="E892" t="s">
        <v>334</v>
      </c>
      <c r="F892" s="12">
        <v>163670</v>
      </c>
      <c r="G892" s="12" t="str">
        <f>VLOOKUP(Table2[[#This Row],[MemberID]],Table1[#All],3,0)</f>
        <v>Silver</v>
      </c>
      <c r="H892" s="13">
        <v>16</v>
      </c>
    </row>
    <row r="893" spans="1:8">
      <c r="A893" t="s">
        <v>1225</v>
      </c>
      <c r="B893" t="s">
        <v>40</v>
      </c>
      <c r="C893" s="8">
        <v>46162</v>
      </c>
      <c r="D893" t="s">
        <v>344</v>
      </c>
      <c r="E893" t="s">
        <v>322</v>
      </c>
      <c r="F893" s="12">
        <v>192031</v>
      </c>
      <c r="G893" s="12" t="str">
        <f>VLOOKUP(Table2[[#This Row],[MemberID]],Table1[#All],3,0)</f>
        <v>Gold</v>
      </c>
      <c r="H893" s="13">
        <v>19</v>
      </c>
    </row>
    <row r="894" spans="1:8">
      <c r="A894" t="s">
        <v>1226</v>
      </c>
      <c r="B894" t="s">
        <v>161</v>
      </c>
      <c r="C894" s="8">
        <v>45999</v>
      </c>
      <c r="D894" t="s">
        <v>350</v>
      </c>
      <c r="E894" t="s">
        <v>325</v>
      </c>
      <c r="F894" s="12">
        <v>638980</v>
      </c>
      <c r="G894" s="12" t="str">
        <f>VLOOKUP(Table2[[#This Row],[MemberID]],Table1[#All],3,0)</f>
        <v>Gold</v>
      </c>
      <c r="H894" s="13">
        <v>63</v>
      </c>
    </row>
    <row r="895" spans="1:8">
      <c r="A895" t="s">
        <v>1227</v>
      </c>
      <c r="B895" t="s">
        <v>62</v>
      </c>
      <c r="C895" s="8">
        <v>46163</v>
      </c>
      <c r="D895" t="s">
        <v>342</v>
      </c>
      <c r="E895" t="s">
        <v>337</v>
      </c>
      <c r="F895" s="12">
        <v>210808</v>
      </c>
      <c r="G895" s="12" t="str">
        <f>VLOOKUP(Table2[[#This Row],[MemberID]],Table1[#All],3,0)</f>
        <v>Silver</v>
      </c>
      <c r="H895" s="13">
        <v>21</v>
      </c>
    </row>
    <row r="896" spans="1:8">
      <c r="A896" t="s">
        <v>1228</v>
      </c>
      <c r="B896" t="s">
        <v>102</v>
      </c>
      <c r="C896" s="8">
        <v>46012</v>
      </c>
      <c r="D896" t="s">
        <v>327</v>
      </c>
      <c r="E896" t="s">
        <v>339</v>
      </c>
      <c r="F896" s="12">
        <v>150092</v>
      </c>
      <c r="G896" s="12" t="str">
        <f>VLOOKUP(Table2[[#This Row],[MemberID]],Table1[#All],3,0)</f>
        <v>Platinum</v>
      </c>
      <c r="H896" s="13">
        <v>15</v>
      </c>
    </row>
    <row r="897" spans="1:8">
      <c r="A897" t="s">
        <v>1229</v>
      </c>
      <c r="B897" t="s">
        <v>280</v>
      </c>
      <c r="C897" s="8">
        <v>46020</v>
      </c>
      <c r="D897" t="s">
        <v>350</v>
      </c>
      <c r="E897" t="s">
        <v>328</v>
      </c>
      <c r="F897" s="12">
        <v>393791</v>
      </c>
      <c r="G897" s="12" t="str">
        <f>VLOOKUP(Table2[[#This Row],[MemberID]],Table1[#All],3,0)</f>
        <v>Silver</v>
      </c>
      <c r="H897" s="13">
        <v>39</v>
      </c>
    </row>
    <row r="898" spans="1:8">
      <c r="A898" t="s">
        <v>1230</v>
      </c>
      <c r="B898" t="s">
        <v>296</v>
      </c>
      <c r="C898" s="8">
        <v>46086</v>
      </c>
      <c r="D898" t="s">
        <v>342</v>
      </c>
      <c r="E898" t="s">
        <v>322</v>
      </c>
      <c r="F898" s="12">
        <v>293055</v>
      </c>
      <c r="G898" s="12" t="str">
        <f>VLOOKUP(Table2[[#This Row],[MemberID]],Table1[#All],3,0)</f>
        <v>Silver</v>
      </c>
      <c r="H898" s="13">
        <v>29</v>
      </c>
    </row>
    <row r="899" spans="1:8">
      <c r="A899" t="s">
        <v>1231</v>
      </c>
      <c r="B899" t="s">
        <v>226</v>
      </c>
      <c r="C899" s="8">
        <v>46286</v>
      </c>
      <c r="D899" t="s">
        <v>342</v>
      </c>
      <c r="E899" t="s">
        <v>334</v>
      </c>
      <c r="F899" s="12">
        <v>345973</v>
      </c>
      <c r="G899" s="12" t="str">
        <f>VLOOKUP(Table2[[#This Row],[MemberID]],Table1[#All],3,0)</f>
        <v>Silver</v>
      </c>
      <c r="H899" s="13">
        <v>34</v>
      </c>
    </row>
    <row r="900" spans="1:8">
      <c r="A900" t="s">
        <v>1232</v>
      </c>
      <c r="B900" t="s">
        <v>128</v>
      </c>
      <c r="C900" s="8">
        <v>46224</v>
      </c>
      <c r="D900" t="s">
        <v>332</v>
      </c>
      <c r="E900" t="s">
        <v>339</v>
      </c>
      <c r="F900" s="12">
        <v>483723</v>
      </c>
      <c r="G900" s="12" t="str">
        <f>VLOOKUP(Table2[[#This Row],[MemberID]],Table1[#All],3,0)</f>
        <v>Silver</v>
      </c>
      <c r="H900" s="13">
        <v>48</v>
      </c>
    </row>
    <row r="901" spans="1:8">
      <c r="A901" t="s">
        <v>1233</v>
      </c>
      <c r="B901" t="s">
        <v>274</v>
      </c>
      <c r="C901" s="8">
        <v>45981</v>
      </c>
      <c r="D901" t="s">
        <v>330</v>
      </c>
      <c r="E901" t="s">
        <v>337</v>
      </c>
      <c r="F901" s="12">
        <v>248638</v>
      </c>
      <c r="G901" s="12" t="str">
        <f>VLOOKUP(Table2[[#This Row],[MemberID]],Table1[#All],3,0)</f>
        <v>Platinum</v>
      </c>
      <c r="H901" s="13">
        <v>24</v>
      </c>
    </row>
    <row r="902" spans="1:8">
      <c r="A902" t="s">
        <v>1234</v>
      </c>
      <c r="B902" t="s">
        <v>132</v>
      </c>
      <c r="C902" s="8">
        <v>46115</v>
      </c>
      <c r="D902" t="s">
        <v>344</v>
      </c>
      <c r="E902" t="s">
        <v>325</v>
      </c>
      <c r="F902" s="12">
        <v>251245</v>
      </c>
      <c r="G902" s="12" t="str">
        <f>VLOOKUP(Table2[[#This Row],[MemberID]],Table1[#All],3,0)</f>
        <v>Silver</v>
      </c>
      <c r="H902" s="13">
        <v>25</v>
      </c>
    </row>
    <row r="903" spans="1:8">
      <c r="A903" t="s">
        <v>1235</v>
      </c>
      <c r="B903" t="s">
        <v>302</v>
      </c>
      <c r="C903" s="8">
        <v>45974</v>
      </c>
      <c r="D903" t="s">
        <v>342</v>
      </c>
      <c r="E903" t="s">
        <v>334</v>
      </c>
      <c r="F903" s="12">
        <v>125791</v>
      </c>
      <c r="G903" s="12" t="str">
        <f>VLOOKUP(Table2[[#This Row],[MemberID]],Table1[#All],3,0)</f>
        <v>Gold</v>
      </c>
      <c r="H903" s="13">
        <v>12</v>
      </c>
    </row>
    <row r="904" spans="1:8">
      <c r="A904" t="s">
        <v>1236</v>
      </c>
      <c r="B904" t="s">
        <v>280</v>
      </c>
      <c r="C904" s="8">
        <v>46049</v>
      </c>
      <c r="D904" t="s">
        <v>327</v>
      </c>
      <c r="E904" t="s">
        <v>325</v>
      </c>
      <c r="F904" s="12">
        <v>425480</v>
      </c>
      <c r="G904" s="12" t="str">
        <f>VLOOKUP(Table2[[#This Row],[MemberID]],Table1[#All],3,0)</f>
        <v>Silver</v>
      </c>
      <c r="H904" s="13">
        <v>42</v>
      </c>
    </row>
    <row r="905" spans="1:8">
      <c r="A905" t="s">
        <v>1237</v>
      </c>
      <c r="B905" t="s">
        <v>89</v>
      </c>
      <c r="C905" s="8">
        <v>46210</v>
      </c>
      <c r="D905" t="s">
        <v>321</v>
      </c>
      <c r="E905" t="s">
        <v>328</v>
      </c>
      <c r="F905" s="12">
        <v>103268</v>
      </c>
      <c r="G905" s="12" t="str">
        <f>VLOOKUP(Table2[[#This Row],[MemberID]],Table1[#All],3,0)</f>
        <v>Platinum</v>
      </c>
      <c r="H905" s="13">
        <v>10</v>
      </c>
    </row>
    <row r="906" spans="1:8">
      <c r="A906" t="s">
        <v>1238</v>
      </c>
      <c r="B906" t="s">
        <v>121</v>
      </c>
      <c r="C906" s="8">
        <v>46215</v>
      </c>
      <c r="D906" t="s">
        <v>330</v>
      </c>
      <c r="E906" t="s">
        <v>322</v>
      </c>
      <c r="F906" s="12">
        <v>524778</v>
      </c>
      <c r="G906" s="12" t="str">
        <f>VLOOKUP(Table2[[#This Row],[MemberID]],Table1[#All],3,0)</f>
        <v>Silver</v>
      </c>
      <c r="H906" s="13">
        <v>52</v>
      </c>
    </row>
    <row r="907" spans="1:8">
      <c r="A907" t="s">
        <v>1239</v>
      </c>
      <c r="B907" t="s">
        <v>122</v>
      </c>
      <c r="C907" s="8">
        <v>46261</v>
      </c>
      <c r="D907" t="s">
        <v>342</v>
      </c>
      <c r="E907" t="s">
        <v>339</v>
      </c>
      <c r="F907" s="12">
        <v>96433</v>
      </c>
      <c r="G907" s="12" t="str">
        <f>VLOOKUP(Table2[[#This Row],[MemberID]],Table1[#All],3,0)</f>
        <v>Gold</v>
      </c>
      <c r="H907" s="13">
        <v>9</v>
      </c>
    </row>
    <row r="908" spans="1:8">
      <c r="A908" t="s">
        <v>1240</v>
      </c>
      <c r="B908" t="s">
        <v>155</v>
      </c>
      <c r="C908" s="8">
        <v>45958</v>
      </c>
      <c r="D908" t="s">
        <v>330</v>
      </c>
      <c r="E908" t="s">
        <v>325</v>
      </c>
      <c r="F908" s="12">
        <v>474317</v>
      </c>
      <c r="G908" s="12" t="str">
        <f>VLOOKUP(Table2[[#This Row],[MemberID]],Table1[#All],3,0)</f>
        <v>Platinum</v>
      </c>
      <c r="H908" s="13">
        <v>47</v>
      </c>
    </row>
    <row r="909" spans="1:8">
      <c r="A909" t="s">
        <v>1241</v>
      </c>
      <c r="B909" t="s">
        <v>19</v>
      </c>
      <c r="C909" s="8">
        <v>46163</v>
      </c>
      <c r="D909" t="s">
        <v>327</v>
      </c>
      <c r="E909" t="s">
        <v>337</v>
      </c>
      <c r="F909" s="12">
        <v>959002</v>
      </c>
      <c r="G909" s="12" t="str">
        <f>VLOOKUP(Table2[[#This Row],[MemberID]],Table1[#All],3,0)</f>
        <v>Silver</v>
      </c>
      <c r="H909" s="13">
        <v>95</v>
      </c>
    </row>
    <row r="910" spans="1:8">
      <c r="A910" t="s">
        <v>1242</v>
      </c>
      <c r="B910" t="s">
        <v>107</v>
      </c>
      <c r="C910" s="8">
        <v>46039</v>
      </c>
      <c r="D910" t="s">
        <v>321</v>
      </c>
      <c r="E910" t="s">
        <v>334</v>
      </c>
      <c r="F910" s="12">
        <v>505365</v>
      </c>
      <c r="G910" s="12" t="str">
        <f>VLOOKUP(Table2[[#This Row],[MemberID]],Table1[#All],3,0)</f>
        <v>Gold</v>
      </c>
      <c r="H910" s="13">
        <v>50</v>
      </c>
    </row>
    <row r="911" spans="1:8">
      <c r="A911" t="s">
        <v>1243</v>
      </c>
      <c r="B911" t="s">
        <v>69</v>
      </c>
      <c r="C911" s="8">
        <v>46083</v>
      </c>
      <c r="D911" t="s">
        <v>324</v>
      </c>
      <c r="E911" t="s">
        <v>337</v>
      </c>
      <c r="F911" s="12">
        <v>398231</v>
      </c>
      <c r="G911" s="12" t="str">
        <f>VLOOKUP(Table2[[#This Row],[MemberID]],Table1[#All],3,0)</f>
        <v>Gold</v>
      </c>
      <c r="H911" s="13">
        <v>39</v>
      </c>
    </row>
    <row r="912" spans="1:8">
      <c r="A912" t="s">
        <v>1244</v>
      </c>
      <c r="B912" t="s">
        <v>10</v>
      </c>
      <c r="C912" s="8">
        <v>46114</v>
      </c>
      <c r="D912" t="s">
        <v>324</v>
      </c>
      <c r="E912" t="s">
        <v>337</v>
      </c>
      <c r="F912" s="12">
        <v>548012</v>
      </c>
      <c r="G912" s="12" t="str">
        <f>VLOOKUP(Table2[[#This Row],[MemberID]],Table1[#All],3,0)</f>
        <v>Silver</v>
      </c>
      <c r="H912" s="13">
        <v>54</v>
      </c>
    </row>
    <row r="913" spans="1:8">
      <c r="A913" t="s">
        <v>1245</v>
      </c>
      <c r="B913" t="s">
        <v>115</v>
      </c>
      <c r="C913" s="8">
        <v>46108</v>
      </c>
      <c r="D913" t="s">
        <v>324</v>
      </c>
      <c r="E913" t="s">
        <v>328</v>
      </c>
      <c r="F913" s="12">
        <v>312430</v>
      </c>
      <c r="G913" s="12" t="str">
        <f>VLOOKUP(Table2[[#This Row],[MemberID]],Table1[#All],3,0)</f>
        <v>Gold</v>
      </c>
      <c r="H913" s="13">
        <v>31</v>
      </c>
    </row>
    <row r="914" spans="1:8">
      <c r="A914" t="s">
        <v>1246</v>
      </c>
      <c r="B914" t="s">
        <v>102</v>
      </c>
      <c r="C914" s="8">
        <v>46055</v>
      </c>
      <c r="D914" t="s">
        <v>350</v>
      </c>
      <c r="E914" t="s">
        <v>339</v>
      </c>
      <c r="F914" s="12">
        <v>943665</v>
      </c>
      <c r="G914" s="12" t="str">
        <f>VLOOKUP(Table2[[#This Row],[MemberID]],Table1[#All],3,0)</f>
        <v>Platinum</v>
      </c>
      <c r="H914" s="13">
        <v>94</v>
      </c>
    </row>
    <row r="915" spans="1:8">
      <c r="A915" t="s">
        <v>1247</v>
      </c>
      <c r="B915" t="s">
        <v>191</v>
      </c>
      <c r="C915" s="8">
        <v>46242</v>
      </c>
      <c r="D915" t="s">
        <v>344</v>
      </c>
      <c r="E915" t="s">
        <v>337</v>
      </c>
      <c r="F915" s="12">
        <v>112195</v>
      </c>
      <c r="G915" s="12" t="str">
        <f>VLOOKUP(Table2[[#This Row],[MemberID]],Table1[#All],3,0)</f>
        <v>Gold</v>
      </c>
      <c r="H915" s="13">
        <v>11</v>
      </c>
    </row>
    <row r="916" spans="1:8">
      <c r="A916" t="s">
        <v>1248</v>
      </c>
      <c r="B916" t="s">
        <v>158</v>
      </c>
      <c r="C916" s="8">
        <v>45954</v>
      </c>
      <c r="D916" t="s">
        <v>342</v>
      </c>
      <c r="E916" t="s">
        <v>325</v>
      </c>
      <c r="F916" s="12">
        <v>256672</v>
      </c>
      <c r="G916" s="12" t="str">
        <f>VLOOKUP(Table2[[#This Row],[MemberID]],Table1[#All],3,0)</f>
        <v>Silver</v>
      </c>
      <c r="H916" s="13">
        <v>25</v>
      </c>
    </row>
    <row r="917" spans="1:8">
      <c r="A917" t="s">
        <v>1249</v>
      </c>
      <c r="B917" t="s">
        <v>108</v>
      </c>
      <c r="C917" s="8">
        <v>46263</v>
      </c>
      <c r="D917" t="s">
        <v>350</v>
      </c>
      <c r="E917" t="s">
        <v>322</v>
      </c>
      <c r="F917" s="12">
        <v>208656</v>
      </c>
      <c r="G917" s="12" t="str">
        <f>VLOOKUP(Table2[[#This Row],[MemberID]],Table1[#All],3,0)</f>
        <v>Platinum</v>
      </c>
      <c r="H917" s="13">
        <v>20</v>
      </c>
    </row>
    <row r="918" spans="1:8">
      <c r="A918" t="s">
        <v>1250</v>
      </c>
      <c r="B918" t="s">
        <v>253</v>
      </c>
      <c r="C918" s="8">
        <v>46273</v>
      </c>
      <c r="D918" t="s">
        <v>342</v>
      </c>
      <c r="E918" t="s">
        <v>337</v>
      </c>
      <c r="F918" s="12">
        <v>341517</v>
      </c>
      <c r="G918" s="12" t="str">
        <f>VLOOKUP(Table2[[#This Row],[MemberID]],Table1[#All],3,0)</f>
        <v>Silver</v>
      </c>
      <c r="H918" s="13">
        <v>34</v>
      </c>
    </row>
    <row r="919" spans="1:8">
      <c r="A919" t="s">
        <v>1251</v>
      </c>
      <c r="B919" t="s">
        <v>68</v>
      </c>
      <c r="C919" s="8">
        <v>46187</v>
      </c>
      <c r="D919" t="s">
        <v>321</v>
      </c>
      <c r="E919" t="s">
        <v>337</v>
      </c>
      <c r="F919" s="12">
        <v>156633</v>
      </c>
      <c r="G919" s="12" t="str">
        <f>VLOOKUP(Table2[[#This Row],[MemberID]],Table1[#All],3,0)</f>
        <v>Silver</v>
      </c>
      <c r="H919" s="13">
        <v>15</v>
      </c>
    </row>
    <row r="920" spans="1:8">
      <c r="A920" t="s">
        <v>1252</v>
      </c>
      <c r="B920" t="s">
        <v>265</v>
      </c>
      <c r="C920" s="8">
        <v>46029</v>
      </c>
      <c r="D920" t="s">
        <v>344</v>
      </c>
      <c r="E920" t="s">
        <v>337</v>
      </c>
      <c r="F920" s="12">
        <v>123297</v>
      </c>
      <c r="G920" s="12" t="str">
        <f>VLOOKUP(Table2[[#This Row],[MemberID]],Table1[#All],3,0)</f>
        <v>Platinum</v>
      </c>
      <c r="H920" s="13">
        <v>12</v>
      </c>
    </row>
    <row r="921" spans="1:8">
      <c r="A921" t="s">
        <v>1253</v>
      </c>
      <c r="B921" t="s">
        <v>29</v>
      </c>
      <c r="C921" s="8">
        <v>46267</v>
      </c>
      <c r="D921" t="s">
        <v>324</v>
      </c>
      <c r="E921" t="s">
        <v>322</v>
      </c>
      <c r="F921" s="12">
        <v>379095</v>
      </c>
      <c r="G921" s="12" t="str">
        <f>VLOOKUP(Table2[[#This Row],[MemberID]],Table1[#All],3,0)</f>
        <v>Gold</v>
      </c>
      <c r="H921" s="13">
        <v>37</v>
      </c>
    </row>
    <row r="922" spans="1:8">
      <c r="A922" t="s">
        <v>1254</v>
      </c>
      <c r="B922" t="s">
        <v>259</v>
      </c>
      <c r="C922" s="8">
        <v>46092</v>
      </c>
      <c r="D922" t="s">
        <v>344</v>
      </c>
      <c r="E922" t="s">
        <v>322</v>
      </c>
      <c r="F922" s="12">
        <v>186559</v>
      </c>
      <c r="G922" s="12" t="str">
        <f>VLOOKUP(Table2[[#This Row],[MemberID]],Table1[#All],3,0)</f>
        <v>Gold</v>
      </c>
      <c r="H922" s="13">
        <v>18</v>
      </c>
    </row>
    <row r="923" spans="1:8">
      <c r="A923" t="s">
        <v>1255</v>
      </c>
      <c r="B923" t="s">
        <v>173</v>
      </c>
      <c r="C923" s="8">
        <v>46082</v>
      </c>
      <c r="D923" t="s">
        <v>350</v>
      </c>
      <c r="E923" t="s">
        <v>334</v>
      </c>
      <c r="F923" s="12">
        <v>225394</v>
      </c>
      <c r="G923" s="12" t="str">
        <f>VLOOKUP(Table2[[#This Row],[MemberID]],Table1[#All],3,0)</f>
        <v>Gold</v>
      </c>
      <c r="H923" s="13">
        <v>22</v>
      </c>
    </row>
    <row r="924" spans="1:8">
      <c r="A924" t="s">
        <v>1256</v>
      </c>
      <c r="B924" t="s">
        <v>92</v>
      </c>
      <c r="C924" s="8">
        <v>46092</v>
      </c>
      <c r="D924" t="s">
        <v>344</v>
      </c>
      <c r="E924" t="s">
        <v>328</v>
      </c>
      <c r="F924" s="12">
        <v>716503</v>
      </c>
      <c r="G924" s="12" t="str">
        <f>VLOOKUP(Table2[[#This Row],[MemberID]],Table1[#All],3,0)</f>
        <v>Silver</v>
      </c>
      <c r="H924" s="13">
        <v>71</v>
      </c>
    </row>
    <row r="925" spans="1:8">
      <c r="A925" t="s">
        <v>1257</v>
      </c>
      <c r="B925" t="s">
        <v>22</v>
      </c>
      <c r="C925" s="8">
        <v>46220</v>
      </c>
      <c r="D925" t="s">
        <v>330</v>
      </c>
      <c r="E925" t="s">
        <v>322</v>
      </c>
      <c r="F925" s="12">
        <v>228468</v>
      </c>
      <c r="G925" s="12" t="str">
        <f>VLOOKUP(Table2[[#This Row],[MemberID]],Table1[#All],3,0)</f>
        <v>Gold</v>
      </c>
      <c r="H925" s="13">
        <v>22</v>
      </c>
    </row>
    <row r="926" spans="1:8">
      <c r="A926" t="s">
        <v>1258</v>
      </c>
      <c r="B926" t="s">
        <v>298</v>
      </c>
      <c r="C926" s="8">
        <v>45947</v>
      </c>
      <c r="D926" t="s">
        <v>350</v>
      </c>
      <c r="E926" t="s">
        <v>339</v>
      </c>
      <c r="F926" s="12">
        <v>28477</v>
      </c>
      <c r="G926" s="12" t="str">
        <f>VLOOKUP(Table2[[#This Row],[MemberID]],Table1[#All],3,0)</f>
        <v>Gold</v>
      </c>
      <c r="H926" s="13">
        <v>2</v>
      </c>
    </row>
    <row r="927" spans="1:8">
      <c r="A927" t="s">
        <v>1259</v>
      </c>
      <c r="B927" t="s">
        <v>256</v>
      </c>
      <c r="C927" s="8">
        <v>46100</v>
      </c>
      <c r="D927" t="s">
        <v>332</v>
      </c>
      <c r="E927" t="s">
        <v>334</v>
      </c>
      <c r="F927" s="12">
        <v>250132</v>
      </c>
      <c r="G927" s="12" t="str">
        <f>VLOOKUP(Table2[[#This Row],[MemberID]],Table1[#All],3,0)</f>
        <v>Gold</v>
      </c>
      <c r="H927" s="13">
        <v>25</v>
      </c>
    </row>
    <row r="928" spans="1:8">
      <c r="A928" t="s">
        <v>1260</v>
      </c>
      <c r="B928" t="s">
        <v>211</v>
      </c>
      <c r="C928" s="8">
        <v>46230</v>
      </c>
      <c r="D928" t="s">
        <v>342</v>
      </c>
      <c r="E928" t="s">
        <v>325</v>
      </c>
      <c r="F928" s="12">
        <v>657363</v>
      </c>
      <c r="G928" s="12" t="str">
        <f>VLOOKUP(Table2[[#This Row],[MemberID]],Table1[#All],3,0)</f>
        <v>Platinum</v>
      </c>
      <c r="H928" s="13">
        <v>65</v>
      </c>
    </row>
    <row r="929" spans="1:8">
      <c r="A929" t="s">
        <v>1261</v>
      </c>
      <c r="B929" t="s">
        <v>103</v>
      </c>
      <c r="C929" s="8">
        <v>46256</v>
      </c>
      <c r="D929" t="s">
        <v>350</v>
      </c>
      <c r="E929" t="s">
        <v>339</v>
      </c>
      <c r="F929" s="12">
        <v>120157</v>
      </c>
      <c r="G929" s="12" t="str">
        <f>VLOOKUP(Table2[[#This Row],[MemberID]],Table1[#All],3,0)</f>
        <v>Silver</v>
      </c>
      <c r="H929" s="13">
        <v>12</v>
      </c>
    </row>
    <row r="930" spans="1:8">
      <c r="A930" t="s">
        <v>1262</v>
      </c>
      <c r="B930" t="s">
        <v>231</v>
      </c>
      <c r="C930" s="8">
        <v>46027</v>
      </c>
      <c r="D930" t="s">
        <v>342</v>
      </c>
      <c r="E930" t="s">
        <v>328</v>
      </c>
      <c r="F930" s="12">
        <v>731781</v>
      </c>
      <c r="G930" s="12" t="str">
        <f>VLOOKUP(Table2[[#This Row],[MemberID]],Table1[#All],3,0)</f>
        <v>Silver</v>
      </c>
      <c r="H930" s="13">
        <v>73</v>
      </c>
    </row>
    <row r="931" spans="1:8">
      <c r="A931" t="s">
        <v>1263</v>
      </c>
      <c r="B931" t="s">
        <v>176</v>
      </c>
      <c r="C931" s="8">
        <v>46159</v>
      </c>
      <c r="D931" t="s">
        <v>327</v>
      </c>
      <c r="E931" t="s">
        <v>334</v>
      </c>
      <c r="F931" s="12">
        <v>157965</v>
      </c>
      <c r="G931" s="12" t="str">
        <f>VLOOKUP(Table2[[#This Row],[MemberID]],Table1[#All],3,0)</f>
        <v>Silver</v>
      </c>
      <c r="H931" s="13">
        <v>15</v>
      </c>
    </row>
    <row r="932" spans="1:8">
      <c r="A932" t="s">
        <v>1264</v>
      </c>
      <c r="B932" t="s">
        <v>166</v>
      </c>
      <c r="C932" s="8">
        <v>46081</v>
      </c>
      <c r="D932" t="s">
        <v>330</v>
      </c>
      <c r="E932" t="s">
        <v>339</v>
      </c>
      <c r="F932" s="12">
        <v>221009</v>
      </c>
      <c r="G932" s="12" t="str">
        <f>VLOOKUP(Table2[[#This Row],[MemberID]],Table1[#All],3,0)</f>
        <v>Gold</v>
      </c>
      <c r="H932" s="13">
        <v>22</v>
      </c>
    </row>
    <row r="933" spans="1:8">
      <c r="A933" t="s">
        <v>1265</v>
      </c>
      <c r="B933" t="s">
        <v>98</v>
      </c>
      <c r="C933" s="8">
        <v>46097</v>
      </c>
      <c r="D933" t="s">
        <v>332</v>
      </c>
      <c r="E933" t="s">
        <v>334</v>
      </c>
      <c r="F933" s="12">
        <v>29400</v>
      </c>
      <c r="G933" s="12" t="str">
        <f>VLOOKUP(Table2[[#This Row],[MemberID]],Table1[#All],3,0)</f>
        <v>Silver</v>
      </c>
      <c r="H933" s="13">
        <v>2</v>
      </c>
    </row>
    <row r="934" spans="1:8">
      <c r="A934" t="s">
        <v>1266</v>
      </c>
      <c r="B934" t="s">
        <v>276</v>
      </c>
      <c r="C934" s="8">
        <v>46053</v>
      </c>
      <c r="D934" t="s">
        <v>342</v>
      </c>
      <c r="E934" t="s">
        <v>322</v>
      </c>
      <c r="F934" s="12">
        <v>808952</v>
      </c>
      <c r="G934" s="12" t="str">
        <f>VLOOKUP(Table2[[#This Row],[MemberID]],Table1[#All],3,0)</f>
        <v>Gold</v>
      </c>
      <c r="H934" s="13">
        <v>80</v>
      </c>
    </row>
    <row r="935" spans="1:8">
      <c r="A935" t="s">
        <v>1267</v>
      </c>
      <c r="B935" t="s">
        <v>240</v>
      </c>
      <c r="C935" s="8">
        <v>46038</v>
      </c>
      <c r="D935" t="s">
        <v>330</v>
      </c>
      <c r="E935" t="s">
        <v>339</v>
      </c>
      <c r="F935" s="12">
        <v>205888</v>
      </c>
      <c r="G935" s="12" t="str">
        <f>VLOOKUP(Table2[[#This Row],[MemberID]],Table1[#All],3,0)</f>
        <v>Silver</v>
      </c>
      <c r="H935" s="13">
        <v>20</v>
      </c>
    </row>
    <row r="936" spans="1:8">
      <c r="A936" t="s">
        <v>1268</v>
      </c>
      <c r="B936" t="s">
        <v>36</v>
      </c>
      <c r="C936" s="8">
        <v>46154</v>
      </c>
      <c r="D936" t="s">
        <v>332</v>
      </c>
      <c r="E936" t="s">
        <v>339</v>
      </c>
      <c r="F936" s="12">
        <v>143825</v>
      </c>
      <c r="G936" s="12" t="str">
        <f>VLOOKUP(Table2[[#This Row],[MemberID]],Table1[#All],3,0)</f>
        <v>Gold</v>
      </c>
      <c r="H936" s="13">
        <v>14</v>
      </c>
    </row>
    <row r="937" spans="1:8">
      <c r="A937" t="s">
        <v>1269</v>
      </c>
      <c r="B937" t="s">
        <v>197</v>
      </c>
      <c r="C937" s="8">
        <v>46247</v>
      </c>
      <c r="D937" t="s">
        <v>327</v>
      </c>
      <c r="E937" t="s">
        <v>328</v>
      </c>
      <c r="F937" s="12">
        <v>164294</v>
      </c>
      <c r="G937" s="12" t="str">
        <f>VLOOKUP(Table2[[#This Row],[MemberID]],Table1[#All],3,0)</f>
        <v>Silver</v>
      </c>
      <c r="H937" s="13">
        <v>16</v>
      </c>
    </row>
    <row r="938" spans="1:8">
      <c r="A938" t="s">
        <v>1270</v>
      </c>
      <c r="B938" t="s">
        <v>241</v>
      </c>
      <c r="C938" s="8">
        <v>45991</v>
      </c>
      <c r="D938" t="s">
        <v>344</v>
      </c>
      <c r="E938" t="s">
        <v>325</v>
      </c>
      <c r="F938" s="12">
        <v>104223</v>
      </c>
      <c r="G938" s="12" t="str">
        <f>VLOOKUP(Table2[[#This Row],[MemberID]],Table1[#All],3,0)</f>
        <v>Gold</v>
      </c>
      <c r="H938" s="13">
        <v>10</v>
      </c>
    </row>
    <row r="939" spans="1:8">
      <c r="A939" t="s">
        <v>1271</v>
      </c>
      <c r="B939" t="s">
        <v>179</v>
      </c>
      <c r="C939" s="8">
        <v>46178</v>
      </c>
      <c r="D939" t="s">
        <v>327</v>
      </c>
      <c r="E939" t="s">
        <v>322</v>
      </c>
      <c r="F939" s="12">
        <v>319020</v>
      </c>
      <c r="G939" s="12" t="str">
        <f>VLOOKUP(Table2[[#This Row],[MemberID]],Table1[#All],3,0)</f>
        <v>Gold</v>
      </c>
      <c r="H939" s="13">
        <v>31</v>
      </c>
    </row>
    <row r="940" spans="1:8">
      <c r="A940" t="s">
        <v>1272</v>
      </c>
      <c r="B940" t="s">
        <v>188</v>
      </c>
      <c r="C940" s="8">
        <v>46213</v>
      </c>
      <c r="D940" t="s">
        <v>321</v>
      </c>
      <c r="E940" t="s">
        <v>328</v>
      </c>
      <c r="F940" s="12">
        <v>632127</v>
      </c>
      <c r="G940" s="12" t="str">
        <f>VLOOKUP(Table2[[#This Row],[MemberID]],Table1[#All],3,0)</f>
        <v>Silver</v>
      </c>
      <c r="H940" s="13">
        <v>63</v>
      </c>
    </row>
    <row r="941" spans="1:8">
      <c r="A941" t="s">
        <v>1273</v>
      </c>
      <c r="B941" t="s">
        <v>135</v>
      </c>
      <c r="C941" s="8">
        <v>46165</v>
      </c>
      <c r="D941" t="s">
        <v>344</v>
      </c>
      <c r="E941" t="s">
        <v>337</v>
      </c>
      <c r="F941" s="12">
        <v>244375</v>
      </c>
      <c r="G941" s="12" t="str">
        <f>VLOOKUP(Table2[[#This Row],[MemberID]],Table1[#All],3,0)</f>
        <v>Silver</v>
      </c>
      <c r="H941" s="13">
        <v>24</v>
      </c>
    </row>
    <row r="942" spans="1:8">
      <c r="A942" t="s">
        <v>1274</v>
      </c>
      <c r="B942" t="s">
        <v>286</v>
      </c>
      <c r="C942" s="8">
        <v>46217</v>
      </c>
      <c r="D942" t="s">
        <v>321</v>
      </c>
      <c r="E942" t="s">
        <v>328</v>
      </c>
      <c r="F942" s="12">
        <v>91895</v>
      </c>
      <c r="G942" s="12" t="str">
        <f>VLOOKUP(Table2[[#This Row],[MemberID]],Table1[#All],3,0)</f>
        <v>Silver</v>
      </c>
      <c r="H942" s="13">
        <v>9</v>
      </c>
    </row>
    <row r="943" spans="1:8">
      <c r="A943" t="s">
        <v>1275</v>
      </c>
      <c r="B943" t="s">
        <v>184</v>
      </c>
      <c r="C943" s="8">
        <v>46198</v>
      </c>
      <c r="D943" t="s">
        <v>332</v>
      </c>
      <c r="E943" t="s">
        <v>328</v>
      </c>
      <c r="F943" s="12">
        <v>212717</v>
      </c>
      <c r="G943" s="12" t="str">
        <f>VLOOKUP(Table2[[#This Row],[MemberID]],Table1[#All],3,0)</f>
        <v>Silver</v>
      </c>
      <c r="H943" s="13">
        <v>21</v>
      </c>
    </row>
    <row r="944" spans="1:8">
      <c r="A944" t="s">
        <v>1276</v>
      </c>
      <c r="B944" t="s">
        <v>273</v>
      </c>
      <c r="C944" s="8">
        <v>46059</v>
      </c>
      <c r="D944" t="s">
        <v>327</v>
      </c>
      <c r="E944" t="s">
        <v>339</v>
      </c>
      <c r="F944" s="12">
        <v>222073</v>
      </c>
      <c r="G944" s="12" t="str">
        <f>VLOOKUP(Table2[[#This Row],[MemberID]],Table1[#All],3,0)</f>
        <v>Silver</v>
      </c>
      <c r="H944" s="13">
        <v>22</v>
      </c>
    </row>
    <row r="945" spans="1:8">
      <c r="A945" t="s">
        <v>1277</v>
      </c>
      <c r="B945" t="s">
        <v>200</v>
      </c>
      <c r="C945" s="8">
        <v>46195</v>
      </c>
      <c r="D945" t="s">
        <v>327</v>
      </c>
      <c r="E945" t="s">
        <v>325</v>
      </c>
      <c r="F945" s="12">
        <v>217306</v>
      </c>
      <c r="G945" s="12" t="str">
        <f>VLOOKUP(Table2[[#This Row],[MemberID]],Table1[#All],3,0)</f>
        <v>Silver</v>
      </c>
      <c r="H945" s="13">
        <v>21</v>
      </c>
    </row>
    <row r="946" spans="1:8">
      <c r="A946" t="s">
        <v>1278</v>
      </c>
      <c r="B946" t="s">
        <v>199</v>
      </c>
      <c r="C946" s="8">
        <v>46276</v>
      </c>
      <c r="D946" t="s">
        <v>330</v>
      </c>
      <c r="E946" t="s">
        <v>325</v>
      </c>
      <c r="F946" s="12">
        <v>299704</v>
      </c>
      <c r="G946" s="12" t="str">
        <f>VLOOKUP(Table2[[#This Row],[MemberID]],Table1[#All],3,0)</f>
        <v>Gold</v>
      </c>
      <c r="H946" s="13">
        <v>29</v>
      </c>
    </row>
    <row r="947" spans="1:8">
      <c r="A947" t="s">
        <v>1279</v>
      </c>
      <c r="B947" t="s">
        <v>233</v>
      </c>
      <c r="C947" s="8">
        <v>46242</v>
      </c>
      <c r="D947" t="s">
        <v>332</v>
      </c>
      <c r="E947" t="s">
        <v>337</v>
      </c>
      <c r="F947" s="12">
        <v>479161</v>
      </c>
      <c r="G947" s="12" t="str">
        <f>VLOOKUP(Table2[[#This Row],[MemberID]],Table1[#All],3,0)</f>
        <v>Gold</v>
      </c>
      <c r="H947" s="13">
        <v>47</v>
      </c>
    </row>
    <row r="948" spans="1:8">
      <c r="A948" t="s">
        <v>1280</v>
      </c>
      <c r="B948" t="s">
        <v>271</v>
      </c>
      <c r="C948" s="8">
        <v>46069</v>
      </c>
      <c r="D948" t="s">
        <v>321</v>
      </c>
      <c r="E948" t="s">
        <v>325</v>
      </c>
      <c r="F948" s="12">
        <v>180280</v>
      </c>
      <c r="G948" s="12" t="str">
        <f>VLOOKUP(Table2[[#This Row],[MemberID]],Table1[#All],3,0)</f>
        <v>Silver</v>
      </c>
      <c r="H948" s="13">
        <v>18</v>
      </c>
    </row>
    <row r="949" spans="1:8">
      <c r="A949" t="s">
        <v>1281</v>
      </c>
      <c r="B949" t="s">
        <v>36</v>
      </c>
      <c r="C949" s="8">
        <v>46151</v>
      </c>
      <c r="D949" t="s">
        <v>350</v>
      </c>
      <c r="E949" t="s">
        <v>328</v>
      </c>
      <c r="F949" s="12">
        <v>112217</v>
      </c>
      <c r="G949" s="12" t="str">
        <f>VLOOKUP(Table2[[#This Row],[MemberID]],Table1[#All],3,0)</f>
        <v>Gold</v>
      </c>
      <c r="H949" s="13">
        <v>11</v>
      </c>
    </row>
    <row r="950" spans="1:8">
      <c r="A950" t="s">
        <v>1282</v>
      </c>
      <c r="B950" t="s">
        <v>134</v>
      </c>
      <c r="C950" s="8">
        <v>46219</v>
      </c>
      <c r="D950" t="s">
        <v>344</v>
      </c>
      <c r="E950" t="s">
        <v>328</v>
      </c>
      <c r="F950" s="12">
        <v>126372</v>
      </c>
      <c r="G950" s="12" t="str">
        <f>VLOOKUP(Table2[[#This Row],[MemberID]],Table1[#All],3,0)</f>
        <v>Silver</v>
      </c>
      <c r="H950" s="13">
        <v>12</v>
      </c>
    </row>
    <row r="951" spans="1:8">
      <c r="A951" t="s">
        <v>1283</v>
      </c>
      <c r="B951" t="s">
        <v>286</v>
      </c>
      <c r="C951" s="8">
        <v>46265</v>
      </c>
      <c r="D951" t="s">
        <v>324</v>
      </c>
      <c r="E951" t="s">
        <v>325</v>
      </c>
      <c r="F951" s="12">
        <v>383955</v>
      </c>
      <c r="G951" s="12" t="str">
        <f>VLOOKUP(Table2[[#This Row],[MemberID]],Table1[#All],3,0)</f>
        <v>Silver</v>
      </c>
      <c r="H951" s="13">
        <v>38</v>
      </c>
    </row>
    <row r="952" spans="1:8">
      <c r="A952" t="s">
        <v>1284</v>
      </c>
      <c r="B952" t="s">
        <v>180</v>
      </c>
      <c r="C952" s="8">
        <v>46195</v>
      </c>
      <c r="D952" t="s">
        <v>332</v>
      </c>
      <c r="E952" t="s">
        <v>334</v>
      </c>
      <c r="F952" s="12">
        <v>473369</v>
      </c>
      <c r="G952" s="12" t="str">
        <f>VLOOKUP(Table2[[#This Row],[MemberID]],Table1[#All],3,0)</f>
        <v>Platinum</v>
      </c>
      <c r="H952" s="13">
        <v>47</v>
      </c>
    </row>
    <row r="953" spans="1:8">
      <c r="A953" t="s">
        <v>1285</v>
      </c>
      <c r="B953" t="s">
        <v>176</v>
      </c>
      <c r="C953" s="8">
        <v>46261</v>
      </c>
      <c r="D953" t="s">
        <v>342</v>
      </c>
      <c r="E953" t="s">
        <v>334</v>
      </c>
      <c r="F953" s="12">
        <v>254948</v>
      </c>
      <c r="G953" s="12" t="str">
        <f>VLOOKUP(Table2[[#This Row],[MemberID]],Table1[#All],3,0)</f>
        <v>Silver</v>
      </c>
      <c r="H953" s="13">
        <v>25</v>
      </c>
    </row>
    <row r="954" spans="1:8">
      <c r="A954" t="s">
        <v>1286</v>
      </c>
      <c r="B954" t="s">
        <v>153</v>
      </c>
      <c r="C954" s="8">
        <v>46070</v>
      </c>
      <c r="D954" t="s">
        <v>332</v>
      </c>
      <c r="E954" t="s">
        <v>337</v>
      </c>
      <c r="F954" s="12">
        <v>288565</v>
      </c>
      <c r="G954" s="12" t="str">
        <f>VLOOKUP(Table2[[#This Row],[MemberID]],Table1[#All],3,0)</f>
        <v>Silver</v>
      </c>
      <c r="H954" s="13">
        <v>28</v>
      </c>
    </row>
    <row r="955" spans="1:8">
      <c r="A955" t="s">
        <v>1287</v>
      </c>
      <c r="B955" t="s">
        <v>185</v>
      </c>
      <c r="C955" s="8">
        <v>45999</v>
      </c>
      <c r="D955" t="s">
        <v>324</v>
      </c>
      <c r="E955" t="s">
        <v>325</v>
      </c>
      <c r="F955" s="12">
        <v>147539</v>
      </c>
      <c r="G955" s="12" t="str">
        <f>VLOOKUP(Table2[[#This Row],[MemberID]],Table1[#All],3,0)</f>
        <v>Gold</v>
      </c>
      <c r="H955" s="13">
        <v>14</v>
      </c>
    </row>
    <row r="956" spans="1:8">
      <c r="A956" t="s">
        <v>1288</v>
      </c>
      <c r="B956" t="s">
        <v>224</v>
      </c>
      <c r="C956" s="8">
        <v>45967</v>
      </c>
      <c r="D956" t="s">
        <v>324</v>
      </c>
      <c r="E956" t="s">
        <v>325</v>
      </c>
      <c r="F956" s="12">
        <v>85760</v>
      </c>
      <c r="G956" s="12" t="str">
        <f>VLOOKUP(Table2[[#This Row],[MemberID]],Table1[#All],3,0)</f>
        <v>Gold</v>
      </c>
      <c r="H956" s="13">
        <v>8</v>
      </c>
    </row>
    <row r="957" spans="1:8">
      <c r="A957" t="s">
        <v>1289</v>
      </c>
      <c r="B957" t="s">
        <v>71</v>
      </c>
      <c r="C957" s="8">
        <v>46264</v>
      </c>
      <c r="D957" t="s">
        <v>330</v>
      </c>
      <c r="E957" t="s">
        <v>339</v>
      </c>
      <c r="F957" s="12">
        <v>435131</v>
      </c>
      <c r="G957" s="12" t="str">
        <f>VLOOKUP(Table2[[#This Row],[MemberID]],Table1[#All],3,0)</f>
        <v>Silver</v>
      </c>
      <c r="H957" s="13">
        <v>43</v>
      </c>
    </row>
    <row r="958" spans="1:8">
      <c r="A958" t="s">
        <v>1290</v>
      </c>
      <c r="B958" t="s">
        <v>250</v>
      </c>
      <c r="C958" s="8">
        <v>46049</v>
      </c>
      <c r="D958" t="s">
        <v>330</v>
      </c>
      <c r="E958" t="s">
        <v>328</v>
      </c>
      <c r="F958" s="12">
        <v>186356</v>
      </c>
      <c r="G958" s="12" t="str">
        <f>VLOOKUP(Table2[[#This Row],[MemberID]],Table1[#All],3,0)</f>
        <v>Platinum</v>
      </c>
      <c r="H958" s="13">
        <v>18</v>
      </c>
    </row>
    <row r="959" spans="1:8">
      <c r="A959" t="s">
        <v>1291</v>
      </c>
      <c r="B959" t="s">
        <v>57</v>
      </c>
      <c r="C959" s="8">
        <v>46158</v>
      </c>
      <c r="D959" t="s">
        <v>327</v>
      </c>
      <c r="E959" t="s">
        <v>325</v>
      </c>
      <c r="F959" s="12">
        <v>75061</v>
      </c>
      <c r="G959" s="12" t="str">
        <f>VLOOKUP(Table2[[#This Row],[MemberID]],Table1[#All],3,0)</f>
        <v>Gold</v>
      </c>
      <c r="H959" s="13">
        <v>7</v>
      </c>
    </row>
    <row r="960" spans="1:8">
      <c r="A960" t="s">
        <v>1292</v>
      </c>
      <c r="B960" t="s">
        <v>170</v>
      </c>
      <c r="C960" s="8">
        <v>45991</v>
      </c>
      <c r="D960" t="s">
        <v>344</v>
      </c>
      <c r="E960" t="s">
        <v>337</v>
      </c>
      <c r="F960" s="12">
        <v>321924</v>
      </c>
      <c r="G960" s="12" t="str">
        <f>VLOOKUP(Table2[[#This Row],[MemberID]],Table1[#All],3,0)</f>
        <v>Silver</v>
      </c>
      <c r="H960" s="13">
        <v>32</v>
      </c>
    </row>
    <row r="961" spans="1:8">
      <c r="A961" t="s">
        <v>1293</v>
      </c>
      <c r="B961" t="s">
        <v>303</v>
      </c>
      <c r="C961" s="8">
        <v>46256</v>
      </c>
      <c r="D961" t="s">
        <v>342</v>
      </c>
      <c r="E961" t="s">
        <v>339</v>
      </c>
      <c r="F961" s="12">
        <v>151499</v>
      </c>
      <c r="G961" s="12" t="str">
        <f>VLOOKUP(Table2[[#This Row],[MemberID]],Table1[#All],3,0)</f>
        <v>Gold</v>
      </c>
      <c r="H961" s="13">
        <v>15</v>
      </c>
    </row>
    <row r="962" spans="1:8">
      <c r="A962" t="s">
        <v>1294</v>
      </c>
      <c r="B962" t="s">
        <v>6</v>
      </c>
      <c r="C962" s="8">
        <v>46141</v>
      </c>
      <c r="D962" t="s">
        <v>344</v>
      </c>
      <c r="E962" t="s">
        <v>334</v>
      </c>
      <c r="F962" s="12">
        <v>346170</v>
      </c>
      <c r="G962" s="12" t="str">
        <f>VLOOKUP(Table2[[#This Row],[MemberID]],Table1[#All],3,0)</f>
        <v>Silver</v>
      </c>
      <c r="H962" s="13">
        <v>34</v>
      </c>
    </row>
    <row r="963" spans="1:8">
      <c r="A963" t="s">
        <v>1295</v>
      </c>
      <c r="B963" t="s">
        <v>226</v>
      </c>
      <c r="C963" s="8">
        <v>46206</v>
      </c>
      <c r="D963" t="s">
        <v>330</v>
      </c>
      <c r="E963" t="s">
        <v>328</v>
      </c>
      <c r="F963" s="12">
        <v>231297</v>
      </c>
      <c r="G963" s="12" t="str">
        <f>VLOOKUP(Table2[[#This Row],[MemberID]],Table1[#All],3,0)</f>
        <v>Silver</v>
      </c>
      <c r="H963" s="13">
        <v>23</v>
      </c>
    </row>
    <row r="964" spans="1:8">
      <c r="A964" t="s">
        <v>1296</v>
      </c>
      <c r="B964" t="s">
        <v>277</v>
      </c>
      <c r="C964" s="8">
        <v>46251</v>
      </c>
      <c r="D964" t="s">
        <v>321</v>
      </c>
      <c r="E964" t="s">
        <v>337</v>
      </c>
      <c r="F964" s="12">
        <v>350679</v>
      </c>
      <c r="G964" s="12" t="str">
        <f>VLOOKUP(Table2[[#This Row],[MemberID]],Table1[#All],3,0)</f>
        <v>Silver</v>
      </c>
      <c r="H964" s="13">
        <v>35</v>
      </c>
    </row>
    <row r="965" spans="1:8">
      <c r="A965" t="s">
        <v>1297</v>
      </c>
      <c r="B965" t="s">
        <v>280</v>
      </c>
      <c r="C965" s="8">
        <v>46234</v>
      </c>
      <c r="D965" t="s">
        <v>321</v>
      </c>
      <c r="E965" t="s">
        <v>325</v>
      </c>
      <c r="F965" s="12">
        <v>192962</v>
      </c>
      <c r="G965" s="12" t="str">
        <f>VLOOKUP(Table2[[#This Row],[MemberID]],Table1[#All],3,0)</f>
        <v>Silver</v>
      </c>
      <c r="H965" s="13">
        <v>19</v>
      </c>
    </row>
    <row r="966" spans="1:8">
      <c r="A966" t="s">
        <v>1298</v>
      </c>
      <c r="B966" t="s">
        <v>28</v>
      </c>
      <c r="C966" s="8">
        <v>46147</v>
      </c>
      <c r="D966" t="s">
        <v>344</v>
      </c>
      <c r="E966" t="s">
        <v>334</v>
      </c>
      <c r="F966" s="12">
        <v>137505</v>
      </c>
      <c r="G966" s="12" t="str">
        <f>VLOOKUP(Table2[[#This Row],[MemberID]],Table1[#All],3,0)</f>
        <v>Gold</v>
      </c>
      <c r="H966" s="13">
        <v>13</v>
      </c>
    </row>
    <row r="967" spans="1:8">
      <c r="A967" t="s">
        <v>1299</v>
      </c>
      <c r="B967" t="s">
        <v>147</v>
      </c>
      <c r="C967" s="8">
        <v>46181</v>
      </c>
      <c r="D967" t="s">
        <v>327</v>
      </c>
      <c r="E967" t="s">
        <v>328</v>
      </c>
      <c r="F967" s="12">
        <v>416459</v>
      </c>
      <c r="G967" s="12" t="str">
        <f>VLOOKUP(Table2[[#This Row],[MemberID]],Table1[#All],3,0)</f>
        <v>Silver</v>
      </c>
      <c r="H967" s="13">
        <v>41</v>
      </c>
    </row>
    <row r="968" spans="1:8">
      <c r="A968" t="s">
        <v>1300</v>
      </c>
      <c r="B968" t="s">
        <v>313</v>
      </c>
      <c r="C968" s="8">
        <v>46147</v>
      </c>
      <c r="D968" t="s">
        <v>342</v>
      </c>
      <c r="E968" t="s">
        <v>328</v>
      </c>
      <c r="F968" s="12">
        <v>545259</v>
      </c>
      <c r="G968" s="12" t="str">
        <f>VLOOKUP(Table2[[#This Row],[MemberID]],Table1[#All],3,0)</f>
        <v>Silver</v>
      </c>
      <c r="H968" s="13">
        <v>54</v>
      </c>
    </row>
    <row r="969" spans="1:8">
      <c r="A969" t="s">
        <v>1301</v>
      </c>
      <c r="B969" t="s">
        <v>83</v>
      </c>
      <c r="C969" s="8">
        <v>46050</v>
      </c>
      <c r="D969" t="s">
        <v>330</v>
      </c>
      <c r="E969" t="s">
        <v>322</v>
      </c>
      <c r="F969" s="12">
        <v>420405</v>
      </c>
      <c r="G969" s="12" t="str">
        <f>VLOOKUP(Table2[[#This Row],[MemberID]],Table1[#All],3,0)</f>
        <v>Gold</v>
      </c>
      <c r="H969" s="13">
        <v>42</v>
      </c>
    </row>
    <row r="970" spans="1:8">
      <c r="A970" t="s">
        <v>1302</v>
      </c>
      <c r="B970" t="s">
        <v>199</v>
      </c>
      <c r="C970" s="8">
        <v>46145</v>
      </c>
      <c r="D970" t="s">
        <v>327</v>
      </c>
      <c r="E970" t="s">
        <v>334</v>
      </c>
      <c r="F970" s="12">
        <v>391015</v>
      </c>
      <c r="G970" s="12" t="str">
        <f>VLOOKUP(Table2[[#This Row],[MemberID]],Table1[#All],3,0)</f>
        <v>Gold</v>
      </c>
      <c r="H970" s="13">
        <v>39</v>
      </c>
    </row>
    <row r="971" spans="1:8">
      <c r="A971" t="s">
        <v>1303</v>
      </c>
      <c r="B971" t="s">
        <v>28</v>
      </c>
      <c r="C971" s="8">
        <v>46119</v>
      </c>
      <c r="D971" t="s">
        <v>342</v>
      </c>
      <c r="E971" t="s">
        <v>334</v>
      </c>
      <c r="F971" s="12">
        <v>154250</v>
      </c>
      <c r="G971" s="12" t="str">
        <f>VLOOKUP(Table2[[#This Row],[MemberID]],Table1[#All],3,0)</f>
        <v>Gold</v>
      </c>
      <c r="H971" s="13">
        <v>15</v>
      </c>
    </row>
    <row r="972" spans="1:8">
      <c r="A972" t="s">
        <v>1304</v>
      </c>
      <c r="B972" t="s">
        <v>275</v>
      </c>
      <c r="C972" s="8">
        <v>46202</v>
      </c>
      <c r="D972" t="s">
        <v>332</v>
      </c>
      <c r="E972" t="s">
        <v>325</v>
      </c>
      <c r="F972" s="12">
        <v>132745</v>
      </c>
      <c r="G972" s="12" t="str">
        <f>VLOOKUP(Table2[[#This Row],[MemberID]],Table1[#All],3,0)</f>
        <v>Silver</v>
      </c>
      <c r="H972" s="13">
        <v>13</v>
      </c>
    </row>
    <row r="973" spans="1:8">
      <c r="A973" t="s">
        <v>1305</v>
      </c>
      <c r="B973" t="s">
        <v>88</v>
      </c>
      <c r="C973" s="8">
        <v>46181</v>
      </c>
      <c r="D973" t="s">
        <v>321</v>
      </c>
      <c r="E973" t="s">
        <v>325</v>
      </c>
      <c r="F973" s="12">
        <v>130574</v>
      </c>
      <c r="G973" s="12" t="str">
        <f>VLOOKUP(Table2[[#This Row],[MemberID]],Table1[#All],3,0)</f>
        <v>Gold</v>
      </c>
      <c r="H973" s="13">
        <v>13</v>
      </c>
    </row>
    <row r="974" spans="1:8">
      <c r="A974" t="s">
        <v>1306</v>
      </c>
      <c r="B974" t="s">
        <v>293</v>
      </c>
      <c r="C974" s="8">
        <v>46013</v>
      </c>
      <c r="D974" t="s">
        <v>330</v>
      </c>
      <c r="E974" t="s">
        <v>339</v>
      </c>
      <c r="F974" s="12">
        <v>307868</v>
      </c>
      <c r="G974" s="12" t="str">
        <f>VLOOKUP(Table2[[#This Row],[MemberID]],Table1[#All],3,0)</f>
        <v>Silver</v>
      </c>
      <c r="H974" s="13">
        <v>30</v>
      </c>
    </row>
    <row r="975" spans="1:8">
      <c r="A975" t="s">
        <v>1307</v>
      </c>
      <c r="B975" t="s">
        <v>46</v>
      </c>
      <c r="C975" s="8">
        <v>46274</v>
      </c>
      <c r="D975" t="s">
        <v>332</v>
      </c>
      <c r="E975" t="s">
        <v>339</v>
      </c>
      <c r="F975" s="12">
        <v>39527</v>
      </c>
      <c r="G975" s="12" t="str">
        <f>VLOOKUP(Table2[[#This Row],[MemberID]],Table1[#All],3,0)</f>
        <v>Silver</v>
      </c>
      <c r="H975" s="13">
        <v>3</v>
      </c>
    </row>
    <row r="976" spans="1:8">
      <c r="A976" t="s">
        <v>1308</v>
      </c>
      <c r="B976" t="s">
        <v>214</v>
      </c>
      <c r="C976" s="8">
        <v>46181</v>
      </c>
      <c r="D976" t="s">
        <v>324</v>
      </c>
      <c r="E976" t="s">
        <v>322</v>
      </c>
      <c r="F976" s="12">
        <v>32659</v>
      </c>
      <c r="G976" s="12" t="str">
        <f>VLOOKUP(Table2[[#This Row],[MemberID]],Table1[#All],3,0)</f>
        <v>Silver</v>
      </c>
      <c r="H976" s="13">
        <v>3</v>
      </c>
    </row>
    <row r="977" spans="1:8">
      <c r="A977" t="s">
        <v>1309</v>
      </c>
      <c r="B977" t="s">
        <v>144</v>
      </c>
      <c r="C977" s="8">
        <v>46095</v>
      </c>
      <c r="D977" t="s">
        <v>330</v>
      </c>
      <c r="E977" t="s">
        <v>322</v>
      </c>
      <c r="F977" s="12">
        <v>101814</v>
      </c>
      <c r="G977" s="12" t="str">
        <f>VLOOKUP(Table2[[#This Row],[MemberID]],Table1[#All],3,0)</f>
        <v>Platinum</v>
      </c>
      <c r="H977" s="13">
        <v>10</v>
      </c>
    </row>
    <row r="978" spans="1:8">
      <c r="A978" t="s">
        <v>1310</v>
      </c>
      <c r="B978" t="s">
        <v>52</v>
      </c>
      <c r="C978" s="8">
        <v>46262</v>
      </c>
      <c r="D978" t="s">
        <v>330</v>
      </c>
      <c r="E978" t="s">
        <v>334</v>
      </c>
      <c r="F978" s="12">
        <v>43537</v>
      </c>
      <c r="G978" s="12" t="str">
        <f>VLOOKUP(Table2[[#This Row],[MemberID]],Table1[#All],3,0)</f>
        <v>Gold</v>
      </c>
      <c r="H978" s="13">
        <v>4</v>
      </c>
    </row>
    <row r="979" spans="1:8">
      <c r="A979" t="s">
        <v>1311</v>
      </c>
      <c r="B979" t="s">
        <v>156</v>
      </c>
      <c r="C979" s="8">
        <v>45989</v>
      </c>
      <c r="D979" t="s">
        <v>342</v>
      </c>
      <c r="E979" t="s">
        <v>337</v>
      </c>
      <c r="F979" s="12">
        <v>464075</v>
      </c>
      <c r="G979" s="12" t="str">
        <f>VLOOKUP(Table2[[#This Row],[MemberID]],Table1[#All],3,0)</f>
        <v>Silver</v>
      </c>
      <c r="H979" s="13">
        <v>46</v>
      </c>
    </row>
    <row r="980" spans="1:8">
      <c r="A980" t="s">
        <v>1312</v>
      </c>
      <c r="B980" t="s">
        <v>19</v>
      </c>
      <c r="C980" s="8">
        <v>46116</v>
      </c>
      <c r="D980" t="s">
        <v>342</v>
      </c>
      <c r="E980" t="s">
        <v>337</v>
      </c>
      <c r="F980" s="12">
        <v>357871</v>
      </c>
      <c r="G980" s="12" t="str">
        <f>VLOOKUP(Table2[[#This Row],[MemberID]],Table1[#All],3,0)</f>
        <v>Silver</v>
      </c>
      <c r="H980" s="13">
        <v>35</v>
      </c>
    </row>
    <row r="981" spans="1:8">
      <c r="A981" t="s">
        <v>1313</v>
      </c>
      <c r="B981" t="s">
        <v>111</v>
      </c>
      <c r="C981" s="8">
        <v>45937</v>
      </c>
      <c r="D981" t="s">
        <v>327</v>
      </c>
      <c r="E981" t="s">
        <v>334</v>
      </c>
      <c r="F981" s="12">
        <v>133022</v>
      </c>
      <c r="G981" s="12" t="str">
        <f>VLOOKUP(Table2[[#This Row],[MemberID]],Table1[#All],3,0)</f>
        <v>Platinum</v>
      </c>
      <c r="H981" s="13">
        <v>13</v>
      </c>
    </row>
    <row r="982" spans="1:8">
      <c r="A982" t="s">
        <v>1314</v>
      </c>
      <c r="B982" t="s">
        <v>295</v>
      </c>
      <c r="C982" s="8">
        <v>46272</v>
      </c>
      <c r="D982" t="s">
        <v>332</v>
      </c>
      <c r="E982" t="s">
        <v>325</v>
      </c>
      <c r="F982" s="12">
        <v>53040</v>
      </c>
      <c r="G982" s="12" t="str">
        <f>VLOOKUP(Table2[[#This Row],[MemberID]],Table1[#All],3,0)</f>
        <v>Silver</v>
      </c>
      <c r="H982" s="13">
        <v>5</v>
      </c>
    </row>
    <row r="983" spans="1:8">
      <c r="A983" t="s">
        <v>1315</v>
      </c>
      <c r="B983" t="s">
        <v>57</v>
      </c>
      <c r="C983" s="8">
        <v>46224</v>
      </c>
      <c r="D983" t="s">
        <v>350</v>
      </c>
      <c r="E983" t="s">
        <v>339</v>
      </c>
      <c r="F983" s="12">
        <v>137057</v>
      </c>
      <c r="G983" s="12" t="str">
        <f>VLOOKUP(Table2[[#This Row],[MemberID]],Table1[#All],3,0)</f>
        <v>Gold</v>
      </c>
      <c r="H983" s="13">
        <v>13</v>
      </c>
    </row>
    <row r="984" spans="1:8">
      <c r="A984" t="s">
        <v>1316</v>
      </c>
      <c r="B984" t="s">
        <v>309</v>
      </c>
      <c r="C984" s="8">
        <v>46239</v>
      </c>
      <c r="D984" t="s">
        <v>324</v>
      </c>
      <c r="E984" t="s">
        <v>322</v>
      </c>
      <c r="F984" s="12">
        <v>318214</v>
      </c>
      <c r="G984" s="12" t="str">
        <f>VLOOKUP(Table2[[#This Row],[MemberID]],Table1[#All],3,0)</f>
        <v>Gold</v>
      </c>
      <c r="H984" s="13">
        <v>31</v>
      </c>
    </row>
    <row r="985" spans="1:8">
      <c r="A985" t="s">
        <v>1317</v>
      </c>
      <c r="B985" t="s">
        <v>214</v>
      </c>
      <c r="C985" s="8">
        <v>46216</v>
      </c>
      <c r="D985" t="s">
        <v>332</v>
      </c>
      <c r="E985" t="s">
        <v>334</v>
      </c>
      <c r="F985" s="12">
        <v>54131</v>
      </c>
      <c r="G985" s="12" t="str">
        <f>VLOOKUP(Table2[[#This Row],[MemberID]],Table1[#All],3,0)</f>
        <v>Silver</v>
      </c>
      <c r="H985" s="13">
        <v>5</v>
      </c>
    </row>
    <row r="986" spans="1:8">
      <c r="A986" t="s">
        <v>1318</v>
      </c>
      <c r="B986" t="s">
        <v>312</v>
      </c>
      <c r="C986" s="8">
        <v>46083</v>
      </c>
      <c r="D986" t="s">
        <v>330</v>
      </c>
      <c r="E986" t="s">
        <v>328</v>
      </c>
      <c r="F986" s="12">
        <v>406216</v>
      </c>
      <c r="G986" s="12" t="str">
        <f>VLOOKUP(Table2[[#This Row],[MemberID]],Table1[#All],3,0)</f>
        <v>Gold</v>
      </c>
      <c r="H986" s="13">
        <v>40</v>
      </c>
    </row>
    <row r="987" spans="1:8">
      <c r="A987" t="s">
        <v>1319</v>
      </c>
      <c r="B987" t="s">
        <v>96</v>
      </c>
      <c r="C987" s="8">
        <v>46102</v>
      </c>
      <c r="D987" t="s">
        <v>332</v>
      </c>
      <c r="E987" t="s">
        <v>337</v>
      </c>
      <c r="F987" s="12">
        <v>72294</v>
      </c>
      <c r="G987" s="12" t="str">
        <f>VLOOKUP(Table2[[#This Row],[MemberID]],Table1[#All],3,0)</f>
        <v>Silver</v>
      </c>
      <c r="H987" s="13">
        <v>7</v>
      </c>
    </row>
    <row r="988" spans="1:8">
      <c r="A988" t="s">
        <v>1320</v>
      </c>
      <c r="B988" t="s">
        <v>302</v>
      </c>
      <c r="C988" s="8">
        <v>46056</v>
      </c>
      <c r="D988" t="s">
        <v>330</v>
      </c>
      <c r="E988" t="s">
        <v>328</v>
      </c>
      <c r="F988" s="12">
        <v>55550</v>
      </c>
      <c r="G988" s="12" t="str">
        <f>VLOOKUP(Table2[[#This Row],[MemberID]],Table1[#All],3,0)</f>
        <v>Gold</v>
      </c>
      <c r="H988" s="13">
        <v>5</v>
      </c>
    </row>
    <row r="989" spans="1:8">
      <c r="A989" t="s">
        <v>1321</v>
      </c>
      <c r="B989" t="s">
        <v>297</v>
      </c>
      <c r="C989" s="8">
        <v>46189</v>
      </c>
      <c r="D989" t="s">
        <v>324</v>
      </c>
      <c r="E989" t="s">
        <v>339</v>
      </c>
      <c r="F989" s="12">
        <v>232658</v>
      </c>
      <c r="G989" s="12" t="str">
        <f>VLOOKUP(Table2[[#This Row],[MemberID]],Table1[#All],3,0)</f>
        <v>Silver</v>
      </c>
      <c r="H989" s="13">
        <v>23</v>
      </c>
    </row>
    <row r="990" spans="1:8">
      <c r="A990" t="s">
        <v>1322</v>
      </c>
      <c r="B990" t="s">
        <v>174</v>
      </c>
      <c r="C990" s="8">
        <v>45981</v>
      </c>
      <c r="D990" t="s">
        <v>330</v>
      </c>
      <c r="E990" t="s">
        <v>337</v>
      </c>
      <c r="F990" s="12">
        <v>352994</v>
      </c>
      <c r="G990" s="12" t="str">
        <f>VLOOKUP(Table2[[#This Row],[MemberID]],Table1[#All],3,0)</f>
        <v>Silver</v>
      </c>
      <c r="H990" s="13">
        <v>35</v>
      </c>
    </row>
    <row r="991" spans="1:8">
      <c r="A991" t="s">
        <v>1323</v>
      </c>
      <c r="B991" t="s">
        <v>218</v>
      </c>
      <c r="C991" s="8">
        <v>45959</v>
      </c>
      <c r="D991" t="s">
        <v>327</v>
      </c>
      <c r="E991" t="s">
        <v>334</v>
      </c>
      <c r="F991" s="12">
        <v>432155</v>
      </c>
      <c r="G991" s="12" t="str">
        <f>VLOOKUP(Table2[[#This Row],[MemberID]],Table1[#All],3,0)</f>
        <v>Gold</v>
      </c>
      <c r="H991" s="13">
        <v>43</v>
      </c>
    </row>
    <row r="992" spans="1:8">
      <c r="A992" t="s">
        <v>1324</v>
      </c>
      <c r="B992" t="s">
        <v>174</v>
      </c>
      <c r="C992" s="8">
        <v>46023</v>
      </c>
      <c r="D992" t="s">
        <v>344</v>
      </c>
      <c r="E992" t="s">
        <v>339</v>
      </c>
      <c r="F992" s="12">
        <v>153656</v>
      </c>
      <c r="G992" s="12" t="str">
        <f>VLOOKUP(Table2[[#This Row],[MemberID]],Table1[#All],3,0)</f>
        <v>Silver</v>
      </c>
      <c r="H992" s="13">
        <v>15</v>
      </c>
    </row>
    <row r="993" spans="1:8">
      <c r="A993" t="s">
        <v>1325</v>
      </c>
      <c r="B993" t="s">
        <v>164</v>
      </c>
      <c r="C993" s="8">
        <v>46262</v>
      </c>
      <c r="D993" t="s">
        <v>332</v>
      </c>
      <c r="E993" t="s">
        <v>328</v>
      </c>
      <c r="F993" s="12">
        <v>248917</v>
      </c>
      <c r="G993" s="12" t="str">
        <f>VLOOKUP(Table2[[#This Row],[MemberID]],Table1[#All],3,0)</f>
        <v>Silver</v>
      </c>
      <c r="H993" s="13">
        <v>24</v>
      </c>
    </row>
    <row r="994" spans="1:8">
      <c r="A994" t="s">
        <v>1326</v>
      </c>
      <c r="B994" t="s">
        <v>23</v>
      </c>
      <c r="C994" s="8">
        <v>46066</v>
      </c>
      <c r="D994" t="s">
        <v>344</v>
      </c>
      <c r="E994" t="s">
        <v>328</v>
      </c>
      <c r="F994" s="12">
        <v>588019</v>
      </c>
      <c r="G994" s="12" t="str">
        <f>VLOOKUP(Table2[[#This Row],[MemberID]],Table1[#All],3,0)</f>
        <v>Silver</v>
      </c>
      <c r="H994" s="13">
        <v>58</v>
      </c>
    </row>
    <row r="995" spans="1:8">
      <c r="A995" t="s">
        <v>1327</v>
      </c>
      <c r="B995" t="s">
        <v>265</v>
      </c>
      <c r="C995" s="8">
        <v>46253</v>
      </c>
      <c r="D995" t="s">
        <v>327</v>
      </c>
      <c r="E995" t="s">
        <v>325</v>
      </c>
      <c r="F995" s="12">
        <v>890595</v>
      </c>
      <c r="G995" s="12" t="str">
        <f>VLOOKUP(Table2[[#This Row],[MemberID]],Table1[#All],3,0)</f>
        <v>Platinum</v>
      </c>
      <c r="H995" s="13">
        <v>89</v>
      </c>
    </row>
    <row r="996" spans="1:8">
      <c r="A996" t="s">
        <v>1328</v>
      </c>
      <c r="B996" t="s">
        <v>46</v>
      </c>
      <c r="C996" s="8">
        <v>45970</v>
      </c>
      <c r="D996" t="s">
        <v>324</v>
      </c>
      <c r="E996" t="s">
        <v>322</v>
      </c>
      <c r="F996" s="12">
        <v>418526</v>
      </c>
      <c r="G996" s="12" t="str">
        <f>VLOOKUP(Table2[[#This Row],[MemberID]],Table1[#All],3,0)</f>
        <v>Silver</v>
      </c>
      <c r="H996" s="13">
        <v>41</v>
      </c>
    </row>
    <row r="997" spans="1:8">
      <c r="A997" t="s">
        <v>1329</v>
      </c>
      <c r="B997" t="s">
        <v>8</v>
      </c>
      <c r="C997" s="8">
        <v>46078</v>
      </c>
      <c r="D997" t="s">
        <v>350</v>
      </c>
      <c r="E997" t="s">
        <v>322</v>
      </c>
      <c r="F997" s="12">
        <v>597593</v>
      </c>
      <c r="G997" s="12" t="str">
        <f>VLOOKUP(Table2[[#This Row],[MemberID]],Table1[#All],3,0)</f>
        <v>Gold</v>
      </c>
      <c r="H997" s="13">
        <v>59</v>
      </c>
    </row>
    <row r="998" spans="1:8">
      <c r="A998" t="s">
        <v>1330</v>
      </c>
      <c r="B998" t="s">
        <v>283</v>
      </c>
      <c r="C998" s="8">
        <v>45942</v>
      </c>
      <c r="D998" t="s">
        <v>342</v>
      </c>
      <c r="E998" t="s">
        <v>339</v>
      </c>
      <c r="F998" s="12">
        <v>334159</v>
      </c>
      <c r="G998" s="12" t="str">
        <f>VLOOKUP(Table2[[#This Row],[MemberID]],Table1[#All],3,0)</f>
        <v>Gold</v>
      </c>
      <c r="H998" s="13">
        <v>33</v>
      </c>
    </row>
    <row r="999" spans="1:8">
      <c r="A999" t="s">
        <v>1331</v>
      </c>
      <c r="B999" t="s">
        <v>140</v>
      </c>
      <c r="C999" s="8">
        <v>46270</v>
      </c>
      <c r="D999" t="s">
        <v>327</v>
      </c>
      <c r="E999" t="s">
        <v>339</v>
      </c>
      <c r="F999" s="12">
        <v>163824</v>
      </c>
      <c r="G999" s="12" t="str">
        <f>VLOOKUP(Table2[[#This Row],[MemberID]],Table1[#All],3,0)</f>
        <v>Silver</v>
      </c>
      <c r="H999" s="13">
        <v>16</v>
      </c>
    </row>
    <row r="1000" spans="1:8">
      <c r="A1000" t="s">
        <v>1332</v>
      </c>
      <c r="B1000" t="s">
        <v>293</v>
      </c>
      <c r="C1000" s="8">
        <v>46018</v>
      </c>
      <c r="D1000" t="s">
        <v>344</v>
      </c>
      <c r="E1000" t="s">
        <v>337</v>
      </c>
      <c r="F1000" s="12">
        <v>177688</v>
      </c>
      <c r="G1000" s="12" t="str">
        <f>VLOOKUP(Table2[[#This Row],[MemberID]],Table1[#All],3,0)</f>
        <v>Silver</v>
      </c>
      <c r="H1000" s="13">
        <v>17</v>
      </c>
    </row>
    <row r="1001" spans="1:8">
      <c r="A1001" t="s">
        <v>1333</v>
      </c>
      <c r="B1001" t="s">
        <v>134</v>
      </c>
      <c r="C1001" s="8">
        <v>46209</v>
      </c>
      <c r="D1001" t="s">
        <v>332</v>
      </c>
      <c r="E1001" t="s">
        <v>328</v>
      </c>
      <c r="F1001" s="12">
        <v>347108</v>
      </c>
      <c r="G1001" s="12" t="str">
        <f>VLOOKUP(Table2[[#This Row],[MemberID]],Table1[#All],3,0)</f>
        <v>Silver</v>
      </c>
      <c r="H1001" s="13">
        <v>34</v>
      </c>
    </row>
    <row r="1002" spans="1:8">
      <c r="A1002" t="s">
        <v>1334</v>
      </c>
      <c r="B1002" t="s">
        <v>156</v>
      </c>
      <c r="C1002" s="8">
        <v>46183</v>
      </c>
      <c r="D1002" t="s">
        <v>350</v>
      </c>
      <c r="E1002" t="s">
        <v>337</v>
      </c>
      <c r="F1002" s="12">
        <v>39534</v>
      </c>
      <c r="G1002" s="12" t="str">
        <f>VLOOKUP(Table2[[#This Row],[MemberID]],Table1[#All],3,0)</f>
        <v>Silver</v>
      </c>
      <c r="H1002" s="13">
        <v>3</v>
      </c>
    </row>
    <row r="1003" spans="1:8">
      <c r="A1003" t="s">
        <v>1335</v>
      </c>
      <c r="B1003" t="s">
        <v>292</v>
      </c>
      <c r="C1003" s="8">
        <v>46085</v>
      </c>
      <c r="D1003" t="s">
        <v>344</v>
      </c>
      <c r="E1003" t="s">
        <v>322</v>
      </c>
      <c r="F1003" s="12">
        <v>167472</v>
      </c>
      <c r="G1003" s="12" t="str">
        <f>VLOOKUP(Table2[[#This Row],[MemberID]],Table1[#All],3,0)</f>
        <v>Silver</v>
      </c>
      <c r="H1003" s="13">
        <v>16</v>
      </c>
    </row>
    <row r="1004" spans="1:8">
      <c r="A1004" t="s">
        <v>1336</v>
      </c>
      <c r="B1004" t="s">
        <v>65</v>
      </c>
      <c r="C1004" s="8">
        <v>46128</v>
      </c>
      <c r="D1004" t="s">
        <v>321</v>
      </c>
      <c r="E1004" t="s">
        <v>339</v>
      </c>
      <c r="F1004" s="12">
        <v>160644</v>
      </c>
      <c r="G1004" s="12" t="str">
        <f>VLOOKUP(Table2[[#This Row],[MemberID]],Table1[#All],3,0)</f>
        <v>Gold</v>
      </c>
      <c r="H1004" s="13">
        <v>16</v>
      </c>
    </row>
    <row r="1005" spans="1:8">
      <c r="A1005" t="s">
        <v>1337</v>
      </c>
      <c r="B1005" t="s">
        <v>274</v>
      </c>
      <c r="C1005" s="8">
        <v>46142</v>
      </c>
      <c r="D1005" t="s">
        <v>330</v>
      </c>
      <c r="E1005" t="s">
        <v>325</v>
      </c>
      <c r="F1005" s="12">
        <v>210528</v>
      </c>
      <c r="G1005" s="12" t="str">
        <f>VLOOKUP(Table2[[#This Row],[MemberID]],Table1[#All],3,0)</f>
        <v>Platinum</v>
      </c>
      <c r="H1005" s="13">
        <v>21</v>
      </c>
    </row>
    <row r="1006" spans="1:8">
      <c r="A1006" t="s">
        <v>1338</v>
      </c>
      <c r="B1006" t="s">
        <v>88</v>
      </c>
      <c r="C1006" s="8">
        <v>46266</v>
      </c>
      <c r="D1006" t="s">
        <v>327</v>
      </c>
      <c r="E1006" t="s">
        <v>334</v>
      </c>
      <c r="F1006" s="12">
        <v>308501</v>
      </c>
      <c r="G1006" s="12" t="str">
        <f>VLOOKUP(Table2[[#This Row],[MemberID]],Table1[#All],3,0)</f>
        <v>Gold</v>
      </c>
      <c r="H1006" s="13">
        <v>30</v>
      </c>
    </row>
    <row r="1007" spans="1:8">
      <c r="A1007" t="s">
        <v>1339</v>
      </c>
      <c r="B1007" t="s">
        <v>8</v>
      </c>
      <c r="C1007" s="8">
        <v>46061</v>
      </c>
      <c r="D1007" t="s">
        <v>344</v>
      </c>
      <c r="E1007" t="s">
        <v>325</v>
      </c>
      <c r="F1007" s="12">
        <v>442942</v>
      </c>
      <c r="G1007" s="12" t="str">
        <f>VLOOKUP(Table2[[#This Row],[MemberID]],Table1[#All],3,0)</f>
        <v>Gold</v>
      </c>
      <c r="H1007" s="13">
        <v>44</v>
      </c>
    </row>
    <row r="1008" spans="1:8">
      <c r="A1008" t="s">
        <v>1340</v>
      </c>
      <c r="B1008" t="s">
        <v>294</v>
      </c>
      <c r="C1008" s="8">
        <v>46004</v>
      </c>
      <c r="D1008" t="s">
        <v>332</v>
      </c>
      <c r="E1008" t="s">
        <v>325</v>
      </c>
      <c r="F1008" s="12">
        <v>318241</v>
      </c>
      <c r="G1008" s="12" t="str">
        <f>VLOOKUP(Table2[[#This Row],[MemberID]],Table1[#All],3,0)</f>
        <v>Gold</v>
      </c>
      <c r="H1008" s="13">
        <v>31</v>
      </c>
    </row>
    <row r="1009" spans="1:8">
      <c r="A1009" t="s">
        <v>1341</v>
      </c>
      <c r="B1009" t="s">
        <v>82</v>
      </c>
      <c r="C1009" s="8">
        <v>45988</v>
      </c>
      <c r="D1009" t="s">
        <v>344</v>
      </c>
      <c r="E1009" t="s">
        <v>337</v>
      </c>
      <c r="F1009" s="12">
        <v>192744</v>
      </c>
      <c r="G1009" s="12" t="str">
        <f>VLOOKUP(Table2[[#This Row],[MemberID]],Table1[#All],3,0)</f>
        <v>Silver</v>
      </c>
      <c r="H1009" s="13">
        <v>19</v>
      </c>
    </row>
    <row r="1010" spans="1:8">
      <c r="A1010" t="s">
        <v>1342</v>
      </c>
      <c r="B1010" t="s">
        <v>88</v>
      </c>
      <c r="C1010" s="8">
        <v>46048</v>
      </c>
      <c r="D1010" t="s">
        <v>332</v>
      </c>
      <c r="E1010" t="s">
        <v>339</v>
      </c>
      <c r="F1010" s="12">
        <v>375871</v>
      </c>
      <c r="G1010" s="12" t="str">
        <f>VLOOKUP(Table2[[#This Row],[MemberID]],Table1[#All],3,0)</f>
        <v>Gold</v>
      </c>
      <c r="H1010" s="13">
        <v>37</v>
      </c>
    </row>
    <row r="1011" spans="1:8">
      <c r="A1011" t="s">
        <v>1343</v>
      </c>
      <c r="B1011" t="s">
        <v>76</v>
      </c>
      <c r="C1011" s="8">
        <v>46163</v>
      </c>
      <c r="D1011" t="s">
        <v>327</v>
      </c>
      <c r="E1011" t="s">
        <v>325</v>
      </c>
      <c r="F1011" s="12">
        <v>755944</v>
      </c>
      <c r="G1011" s="12" t="str">
        <f>VLOOKUP(Table2[[#This Row],[MemberID]],Table1[#All],3,0)</f>
        <v>Silver</v>
      </c>
      <c r="H1011" s="13">
        <v>75</v>
      </c>
    </row>
    <row r="1012" spans="1:8">
      <c r="A1012" t="s">
        <v>1344</v>
      </c>
      <c r="B1012" t="s">
        <v>290</v>
      </c>
      <c r="C1012" s="8">
        <v>46286</v>
      </c>
      <c r="D1012" t="s">
        <v>350</v>
      </c>
      <c r="E1012" t="s">
        <v>337</v>
      </c>
      <c r="F1012" s="12">
        <v>366453</v>
      </c>
      <c r="G1012" s="12" t="str">
        <f>VLOOKUP(Table2[[#This Row],[MemberID]],Table1[#All],3,0)</f>
        <v>Silver</v>
      </c>
      <c r="H1012" s="13">
        <v>36</v>
      </c>
    </row>
    <row r="1013" spans="1:8">
      <c r="A1013" t="s">
        <v>1345</v>
      </c>
      <c r="B1013" t="s">
        <v>93</v>
      </c>
      <c r="C1013" s="8">
        <v>46182</v>
      </c>
      <c r="D1013" t="s">
        <v>330</v>
      </c>
      <c r="E1013" t="s">
        <v>334</v>
      </c>
      <c r="F1013" s="12">
        <v>340238</v>
      </c>
      <c r="G1013" s="12" t="str">
        <f>VLOOKUP(Table2[[#This Row],[MemberID]],Table1[#All],3,0)</f>
        <v>Platinum</v>
      </c>
      <c r="H1013" s="13">
        <v>34</v>
      </c>
    </row>
    <row r="1014" spans="1:8">
      <c r="A1014" t="s">
        <v>1346</v>
      </c>
      <c r="B1014" t="s">
        <v>23</v>
      </c>
      <c r="C1014" s="8">
        <v>46176</v>
      </c>
      <c r="D1014" t="s">
        <v>332</v>
      </c>
      <c r="E1014" t="s">
        <v>325</v>
      </c>
      <c r="F1014" s="12">
        <v>516078</v>
      </c>
      <c r="G1014" s="12" t="str">
        <f>VLOOKUP(Table2[[#This Row],[MemberID]],Table1[#All],3,0)</f>
        <v>Silver</v>
      </c>
      <c r="H1014" s="13">
        <v>51</v>
      </c>
    </row>
    <row r="1015" spans="1:8">
      <c r="A1015" t="s">
        <v>1347</v>
      </c>
      <c r="B1015" t="s">
        <v>210</v>
      </c>
      <c r="C1015" s="8">
        <v>46212</v>
      </c>
      <c r="D1015" t="s">
        <v>342</v>
      </c>
      <c r="E1015" t="s">
        <v>334</v>
      </c>
      <c r="F1015" s="12">
        <v>458908</v>
      </c>
      <c r="G1015" s="12" t="str">
        <f>VLOOKUP(Table2[[#This Row],[MemberID]],Table1[#All],3,0)</f>
        <v>Silver</v>
      </c>
      <c r="H1015" s="13">
        <v>45</v>
      </c>
    </row>
    <row r="1016" spans="1:8">
      <c r="A1016" t="s">
        <v>1348</v>
      </c>
      <c r="B1016" t="s">
        <v>296</v>
      </c>
      <c r="C1016" s="8">
        <v>46126</v>
      </c>
      <c r="D1016" t="s">
        <v>327</v>
      </c>
      <c r="E1016" t="s">
        <v>328</v>
      </c>
      <c r="F1016" s="12">
        <v>521408</v>
      </c>
      <c r="G1016" s="12" t="str">
        <f>VLOOKUP(Table2[[#This Row],[MemberID]],Table1[#All],3,0)</f>
        <v>Silver</v>
      </c>
      <c r="H1016" s="13">
        <v>52</v>
      </c>
    </row>
    <row r="1017" spans="1:8">
      <c r="A1017" t="s">
        <v>1349</v>
      </c>
      <c r="B1017" t="s">
        <v>170</v>
      </c>
      <c r="C1017" s="8">
        <v>46047</v>
      </c>
      <c r="D1017" t="s">
        <v>324</v>
      </c>
      <c r="E1017" t="s">
        <v>325</v>
      </c>
      <c r="F1017" s="12">
        <v>87050</v>
      </c>
      <c r="G1017" s="12" t="str">
        <f>VLOOKUP(Table2[[#This Row],[MemberID]],Table1[#All],3,0)</f>
        <v>Silver</v>
      </c>
      <c r="H1017" s="13">
        <v>8</v>
      </c>
    </row>
    <row r="1018" spans="1:8">
      <c r="A1018" t="s">
        <v>1350</v>
      </c>
      <c r="B1018" t="s">
        <v>236</v>
      </c>
      <c r="C1018" s="8">
        <v>46059</v>
      </c>
      <c r="D1018" t="s">
        <v>327</v>
      </c>
      <c r="E1018" t="s">
        <v>337</v>
      </c>
      <c r="F1018" s="12">
        <v>417262</v>
      </c>
      <c r="G1018" s="12" t="str">
        <f>VLOOKUP(Table2[[#This Row],[MemberID]],Table1[#All],3,0)</f>
        <v>Gold</v>
      </c>
      <c r="H1018" s="13">
        <v>41</v>
      </c>
    </row>
    <row r="1019" spans="1:8">
      <c r="A1019" t="s">
        <v>1351</v>
      </c>
      <c r="B1019" t="s">
        <v>96</v>
      </c>
      <c r="C1019" s="8">
        <v>46000</v>
      </c>
      <c r="D1019" t="s">
        <v>324</v>
      </c>
      <c r="E1019" t="s">
        <v>322</v>
      </c>
      <c r="F1019" s="12">
        <v>245184</v>
      </c>
      <c r="G1019" s="12" t="str">
        <f>VLOOKUP(Table2[[#This Row],[MemberID]],Table1[#All],3,0)</f>
        <v>Silver</v>
      </c>
      <c r="H1019" s="13">
        <v>24</v>
      </c>
    </row>
    <row r="1020" spans="1:8">
      <c r="A1020" t="s">
        <v>1352</v>
      </c>
      <c r="B1020" t="s">
        <v>294</v>
      </c>
      <c r="C1020" s="8">
        <v>46150</v>
      </c>
      <c r="D1020" t="s">
        <v>330</v>
      </c>
      <c r="E1020" t="s">
        <v>322</v>
      </c>
      <c r="F1020" s="12">
        <v>35136</v>
      </c>
      <c r="G1020" s="12" t="str">
        <f>VLOOKUP(Table2[[#This Row],[MemberID]],Table1[#All],3,0)</f>
        <v>Gold</v>
      </c>
      <c r="H1020" s="13">
        <v>3</v>
      </c>
    </row>
    <row r="1021" spans="1:8">
      <c r="A1021" t="s">
        <v>1353</v>
      </c>
      <c r="B1021" t="s">
        <v>57</v>
      </c>
      <c r="C1021" s="8">
        <v>46019</v>
      </c>
      <c r="D1021" t="s">
        <v>321</v>
      </c>
      <c r="E1021" t="s">
        <v>322</v>
      </c>
      <c r="F1021" s="12">
        <v>387859</v>
      </c>
      <c r="G1021" s="12" t="str">
        <f>VLOOKUP(Table2[[#This Row],[MemberID]],Table1[#All],3,0)</f>
        <v>Gold</v>
      </c>
      <c r="H1021" s="13">
        <v>38</v>
      </c>
    </row>
    <row r="1022" spans="1:8">
      <c r="A1022" t="s">
        <v>1354</v>
      </c>
      <c r="B1022" t="s">
        <v>121</v>
      </c>
      <c r="C1022" s="8">
        <v>46136</v>
      </c>
      <c r="D1022" t="s">
        <v>327</v>
      </c>
      <c r="E1022" t="s">
        <v>337</v>
      </c>
      <c r="F1022" s="12">
        <v>195765</v>
      </c>
      <c r="G1022" s="12" t="str">
        <f>VLOOKUP(Table2[[#This Row],[MemberID]],Table1[#All],3,0)</f>
        <v>Silver</v>
      </c>
      <c r="H1022" s="13">
        <v>19</v>
      </c>
    </row>
    <row r="1023" spans="1:8">
      <c r="A1023" t="s">
        <v>1355</v>
      </c>
      <c r="B1023" t="s">
        <v>134</v>
      </c>
      <c r="C1023" s="8">
        <v>46039</v>
      </c>
      <c r="D1023" t="s">
        <v>330</v>
      </c>
      <c r="E1023" t="s">
        <v>328</v>
      </c>
      <c r="F1023" s="12">
        <v>302425</v>
      </c>
      <c r="G1023" s="12" t="str">
        <f>VLOOKUP(Table2[[#This Row],[MemberID]],Table1[#All],3,0)</f>
        <v>Silver</v>
      </c>
      <c r="H1023" s="13">
        <v>30</v>
      </c>
    </row>
    <row r="1024" spans="1:8">
      <c r="A1024" t="s">
        <v>1356</v>
      </c>
      <c r="B1024" t="s">
        <v>15</v>
      </c>
      <c r="C1024" s="8">
        <v>46033</v>
      </c>
      <c r="D1024" t="s">
        <v>350</v>
      </c>
      <c r="E1024" t="s">
        <v>339</v>
      </c>
      <c r="F1024" s="12">
        <v>297682</v>
      </c>
      <c r="G1024" s="12" t="str">
        <f>VLOOKUP(Table2[[#This Row],[MemberID]],Table1[#All],3,0)</f>
        <v>Silver</v>
      </c>
      <c r="H1024" s="13">
        <v>29</v>
      </c>
    </row>
    <row r="1025" spans="1:8">
      <c r="A1025" t="s">
        <v>1357</v>
      </c>
      <c r="B1025" t="s">
        <v>203</v>
      </c>
      <c r="C1025" s="8">
        <v>46251</v>
      </c>
      <c r="D1025" t="s">
        <v>350</v>
      </c>
      <c r="E1025" t="s">
        <v>328</v>
      </c>
      <c r="F1025" s="12">
        <v>829730</v>
      </c>
      <c r="G1025" s="12" t="str">
        <f>VLOOKUP(Table2[[#This Row],[MemberID]],Table1[#All],3,0)</f>
        <v>Gold</v>
      </c>
      <c r="H1025" s="13">
        <v>82</v>
      </c>
    </row>
    <row r="1026" spans="1:8">
      <c r="A1026" t="s">
        <v>1358</v>
      </c>
      <c r="B1026" t="s">
        <v>140</v>
      </c>
      <c r="C1026" s="8">
        <v>46193</v>
      </c>
      <c r="D1026" t="s">
        <v>344</v>
      </c>
      <c r="E1026" t="s">
        <v>337</v>
      </c>
      <c r="F1026" s="12">
        <v>394340</v>
      </c>
      <c r="G1026" s="12" t="str">
        <f>VLOOKUP(Table2[[#This Row],[MemberID]],Table1[#All],3,0)</f>
        <v>Silver</v>
      </c>
      <c r="H1026" s="13">
        <v>39</v>
      </c>
    </row>
    <row r="1027" spans="1:8">
      <c r="A1027" t="s">
        <v>1359</v>
      </c>
      <c r="B1027" t="s">
        <v>197</v>
      </c>
      <c r="C1027" s="8">
        <v>46280</v>
      </c>
      <c r="D1027" t="s">
        <v>330</v>
      </c>
      <c r="E1027" t="s">
        <v>325</v>
      </c>
      <c r="F1027" s="12">
        <v>328167</v>
      </c>
      <c r="G1027" s="12" t="str">
        <f>VLOOKUP(Table2[[#This Row],[MemberID]],Table1[#All],3,0)</f>
        <v>Silver</v>
      </c>
      <c r="H1027" s="13">
        <v>32</v>
      </c>
    </row>
    <row r="1028" spans="1:8">
      <c r="A1028" t="s">
        <v>1360</v>
      </c>
      <c r="B1028" t="s">
        <v>62</v>
      </c>
      <c r="C1028" s="8">
        <v>46268</v>
      </c>
      <c r="D1028" t="s">
        <v>327</v>
      </c>
      <c r="E1028" t="s">
        <v>339</v>
      </c>
      <c r="F1028" s="12">
        <v>650274</v>
      </c>
      <c r="G1028" s="12" t="str">
        <f>VLOOKUP(Table2[[#This Row],[MemberID]],Table1[#All],3,0)</f>
        <v>Silver</v>
      </c>
      <c r="H1028" s="13">
        <v>65</v>
      </c>
    </row>
    <row r="1029" spans="1:8">
      <c r="A1029" t="s">
        <v>1361</v>
      </c>
      <c r="B1029" t="s">
        <v>275</v>
      </c>
      <c r="C1029" s="8">
        <v>45951</v>
      </c>
      <c r="D1029" t="s">
        <v>321</v>
      </c>
      <c r="E1029" t="s">
        <v>337</v>
      </c>
      <c r="F1029" s="12">
        <v>192680</v>
      </c>
      <c r="G1029" s="12" t="str">
        <f>VLOOKUP(Table2[[#This Row],[MemberID]],Table1[#All],3,0)</f>
        <v>Silver</v>
      </c>
      <c r="H1029" s="13">
        <v>19</v>
      </c>
    </row>
    <row r="1030" spans="1:8">
      <c r="A1030" t="s">
        <v>1362</v>
      </c>
      <c r="B1030" t="s">
        <v>294</v>
      </c>
      <c r="C1030" s="8">
        <v>46214</v>
      </c>
      <c r="D1030" t="s">
        <v>332</v>
      </c>
      <c r="E1030" t="s">
        <v>334</v>
      </c>
      <c r="F1030" s="12">
        <v>438515</v>
      </c>
      <c r="G1030" s="12" t="str">
        <f>VLOOKUP(Table2[[#This Row],[MemberID]],Table1[#All],3,0)</f>
        <v>Gold</v>
      </c>
      <c r="H1030" s="13">
        <v>43</v>
      </c>
    </row>
    <row r="1031" spans="1:8">
      <c r="A1031" t="s">
        <v>1363</v>
      </c>
      <c r="B1031" t="s">
        <v>252</v>
      </c>
      <c r="C1031" s="8">
        <v>46203</v>
      </c>
      <c r="D1031" t="s">
        <v>321</v>
      </c>
      <c r="E1031" t="s">
        <v>325</v>
      </c>
      <c r="F1031" s="12">
        <v>260046</v>
      </c>
      <c r="G1031" s="12" t="str">
        <f>VLOOKUP(Table2[[#This Row],[MemberID]],Table1[#All],3,0)</f>
        <v>Silver</v>
      </c>
      <c r="H1031" s="13">
        <v>26</v>
      </c>
    </row>
    <row r="1032" spans="1:8">
      <c r="A1032" t="s">
        <v>1364</v>
      </c>
      <c r="B1032" t="s">
        <v>205</v>
      </c>
      <c r="C1032" s="8">
        <v>46141</v>
      </c>
      <c r="D1032" t="s">
        <v>332</v>
      </c>
      <c r="E1032" t="s">
        <v>325</v>
      </c>
      <c r="F1032" s="12">
        <v>25000</v>
      </c>
      <c r="G1032" s="12" t="str">
        <f>VLOOKUP(Table2[[#This Row],[MemberID]],Table1[#All],3,0)</f>
        <v>Silver</v>
      </c>
      <c r="H1032" s="13">
        <v>2</v>
      </c>
    </row>
    <row r="1033" spans="1:8">
      <c r="A1033" t="s">
        <v>1365</v>
      </c>
      <c r="B1033" t="s">
        <v>100</v>
      </c>
      <c r="C1033" s="8">
        <v>46278</v>
      </c>
      <c r="D1033" t="s">
        <v>350</v>
      </c>
      <c r="E1033" t="s">
        <v>334</v>
      </c>
      <c r="F1033" s="12">
        <v>379794</v>
      </c>
      <c r="G1033" s="12" t="str">
        <f>VLOOKUP(Table2[[#This Row],[MemberID]],Table1[#All],3,0)</f>
        <v>Silver</v>
      </c>
      <c r="H1033" s="13">
        <v>37</v>
      </c>
    </row>
    <row r="1034" spans="1:8">
      <c r="A1034" t="s">
        <v>1366</v>
      </c>
      <c r="B1034" t="s">
        <v>176</v>
      </c>
      <c r="C1034" s="8">
        <v>46259</v>
      </c>
      <c r="D1034" t="s">
        <v>332</v>
      </c>
      <c r="E1034" t="s">
        <v>334</v>
      </c>
      <c r="F1034" s="12">
        <v>409621</v>
      </c>
      <c r="G1034" s="12" t="str">
        <f>VLOOKUP(Table2[[#This Row],[MemberID]],Table1[#All],3,0)</f>
        <v>Silver</v>
      </c>
      <c r="H1034" s="13">
        <v>40</v>
      </c>
    </row>
    <row r="1035" spans="1:8">
      <c r="A1035" t="s">
        <v>1367</v>
      </c>
      <c r="B1035" t="s">
        <v>186</v>
      </c>
      <c r="C1035" s="8">
        <v>45934</v>
      </c>
      <c r="D1035" t="s">
        <v>332</v>
      </c>
      <c r="E1035" t="s">
        <v>337</v>
      </c>
      <c r="F1035" s="12">
        <v>88067</v>
      </c>
      <c r="G1035" s="12" t="str">
        <f>VLOOKUP(Table2[[#This Row],[MemberID]],Table1[#All],3,0)</f>
        <v>Silver</v>
      </c>
      <c r="H1035" s="13">
        <v>8</v>
      </c>
    </row>
    <row r="1036" spans="1:8">
      <c r="A1036" t="s">
        <v>1368</v>
      </c>
      <c r="B1036" t="s">
        <v>290</v>
      </c>
      <c r="C1036" s="8">
        <v>45991</v>
      </c>
      <c r="D1036" t="s">
        <v>330</v>
      </c>
      <c r="E1036" t="s">
        <v>328</v>
      </c>
      <c r="F1036" s="12">
        <v>131460</v>
      </c>
      <c r="G1036" s="12" t="str">
        <f>VLOOKUP(Table2[[#This Row],[MemberID]],Table1[#All],3,0)</f>
        <v>Silver</v>
      </c>
      <c r="H1036" s="13">
        <v>13</v>
      </c>
    </row>
    <row r="1037" spans="1:8">
      <c r="A1037" t="s">
        <v>1369</v>
      </c>
      <c r="B1037" t="s">
        <v>212</v>
      </c>
      <c r="C1037" s="8">
        <v>45985</v>
      </c>
      <c r="D1037" t="s">
        <v>350</v>
      </c>
      <c r="E1037" t="s">
        <v>325</v>
      </c>
      <c r="F1037" s="12">
        <v>266866</v>
      </c>
      <c r="G1037" s="12" t="str">
        <f>VLOOKUP(Table2[[#This Row],[MemberID]],Table1[#All],3,0)</f>
        <v>Silver</v>
      </c>
      <c r="H1037" s="13">
        <v>26</v>
      </c>
    </row>
    <row r="1038" spans="1:8">
      <c r="A1038" t="s">
        <v>1370</v>
      </c>
      <c r="B1038" t="s">
        <v>287</v>
      </c>
      <c r="C1038" s="8">
        <v>45992</v>
      </c>
      <c r="D1038" t="s">
        <v>324</v>
      </c>
      <c r="E1038" t="s">
        <v>325</v>
      </c>
      <c r="F1038" s="12">
        <v>57486</v>
      </c>
      <c r="G1038" s="12" t="str">
        <f>VLOOKUP(Table2[[#This Row],[MemberID]],Table1[#All],3,0)</f>
        <v>Gold</v>
      </c>
      <c r="H1038" s="13">
        <v>5</v>
      </c>
    </row>
    <row r="1039" spans="1:8">
      <c r="A1039" t="s">
        <v>1371</v>
      </c>
      <c r="B1039" t="s">
        <v>121</v>
      </c>
      <c r="C1039" s="8">
        <v>46287</v>
      </c>
      <c r="D1039" t="s">
        <v>344</v>
      </c>
      <c r="E1039" t="s">
        <v>328</v>
      </c>
      <c r="F1039" s="12">
        <v>232874</v>
      </c>
      <c r="G1039" s="12" t="str">
        <f>VLOOKUP(Table2[[#This Row],[MemberID]],Table1[#All],3,0)</f>
        <v>Silver</v>
      </c>
      <c r="H1039" s="13">
        <v>23</v>
      </c>
    </row>
    <row r="1040" spans="1:8">
      <c r="A1040" t="s">
        <v>1372</v>
      </c>
      <c r="B1040" t="s">
        <v>241</v>
      </c>
      <c r="C1040" s="8">
        <v>46037</v>
      </c>
      <c r="D1040" t="s">
        <v>332</v>
      </c>
      <c r="E1040" t="s">
        <v>325</v>
      </c>
      <c r="F1040" s="12">
        <v>44930</v>
      </c>
      <c r="G1040" s="12" t="str">
        <f>VLOOKUP(Table2[[#This Row],[MemberID]],Table1[#All],3,0)</f>
        <v>Gold</v>
      </c>
      <c r="H1040" s="13">
        <v>4</v>
      </c>
    </row>
    <row r="1041" spans="1:8">
      <c r="A1041" t="s">
        <v>1373</v>
      </c>
      <c r="B1041" t="s">
        <v>77</v>
      </c>
      <c r="C1041" s="8">
        <v>46163</v>
      </c>
      <c r="D1041" t="s">
        <v>350</v>
      </c>
      <c r="E1041" t="s">
        <v>339</v>
      </c>
      <c r="F1041" s="12">
        <v>398792</v>
      </c>
      <c r="G1041" s="12" t="str">
        <f>VLOOKUP(Table2[[#This Row],[MemberID]],Table1[#All],3,0)</f>
        <v>Platinum</v>
      </c>
      <c r="H1041" s="13">
        <v>39</v>
      </c>
    </row>
    <row r="1042" spans="1:8">
      <c r="A1042" t="s">
        <v>1374</v>
      </c>
      <c r="B1042" t="s">
        <v>153</v>
      </c>
      <c r="C1042" s="8">
        <v>46178</v>
      </c>
      <c r="D1042" t="s">
        <v>321</v>
      </c>
      <c r="E1042" t="s">
        <v>328</v>
      </c>
      <c r="F1042" s="12">
        <v>214823</v>
      </c>
      <c r="G1042" s="12" t="str">
        <f>VLOOKUP(Table2[[#This Row],[MemberID]],Table1[#All],3,0)</f>
        <v>Silver</v>
      </c>
      <c r="H1042" s="13">
        <v>21</v>
      </c>
    </row>
    <row r="1043" spans="1:8">
      <c r="A1043" t="s">
        <v>1375</v>
      </c>
      <c r="B1043" t="s">
        <v>35</v>
      </c>
      <c r="C1043" s="8">
        <v>45992</v>
      </c>
      <c r="D1043" t="s">
        <v>344</v>
      </c>
      <c r="E1043" t="s">
        <v>325</v>
      </c>
      <c r="F1043" s="12">
        <v>206524</v>
      </c>
      <c r="G1043" s="12" t="str">
        <f>VLOOKUP(Table2[[#This Row],[MemberID]],Table1[#All],3,0)</f>
        <v>Silver</v>
      </c>
      <c r="H1043" s="13">
        <v>20</v>
      </c>
    </row>
    <row r="1044" spans="1:8">
      <c r="A1044" t="s">
        <v>1376</v>
      </c>
      <c r="B1044" t="s">
        <v>110</v>
      </c>
      <c r="C1044" s="8">
        <v>45994</v>
      </c>
      <c r="D1044" t="s">
        <v>332</v>
      </c>
      <c r="E1044" t="s">
        <v>334</v>
      </c>
      <c r="F1044" s="12">
        <v>201086</v>
      </c>
      <c r="G1044" s="12" t="str">
        <f>VLOOKUP(Table2[[#This Row],[MemberID]],Table1[#All],3,0)</f>
        <v>Silver</v>
      </c>
      <c r="H1044" s="13">
        <v>20</v>
      </c>
    </row>
    <row r="1045" spans="1:8">
      <c r="A1045" t="s">
        <v>1377</v>
      </c>
      <c r="B1045" t="s">
        <v>198</v>
      </c>
      <c r="C1045" s="8">
        <v>46044</v>
      </c>
      <c r="D1045" t="s">
        <v>350</v>
      </c>
      <c r="E1045" t="s">
        <v>322</v>
      </c>
      <c r="F1045" s="12">
        <v>190554</v>
      </c>
      <c r="G1045" s="12" t="str">
        <f>VLOOKUP(Table2[[#This Row],[MemberID]],Table1[#All],3,0)</f>
        <v>Silver</v>
      </c>
      <c r="H1045" s="13">
        <v>19</v>
      </c>
    </row>
    <row r="1046" spans="1:8">
      <c r="A1046" t="s">
        <v>1378</v>
      </c>
      <c r="B1046" t="s">
        <v>194</v>
      </c>
      <c r="C1046" s="8">
        <v>46291</v>
      </c>
      <c r="D1046" t="s">
        <v>342</v>
      </c>
      <c r="E1046" t="s">
        <v>322</v>
      </c>
      <c r="F1046" s="12">
        <v>101138</v>
      </c>
      <c r="G1046" s="12" t="str">
        <f>VLOOKUP(Table2[[#This Row],[MemberID]],Table1[#All],3,0)</f>
        <v>Silver</v>
      </c>
      <c r="H1046" s="13">
        <v>10</v>
      </c>
    </row>
    <row r="1047" spans="1:8">
      <c r="A1047" t="s">
        <v>1379</v>
      </c>
      <c r="B1047" t="s">
        <v>232</v>
      </c>
      <c r="C1047" s="8">
        <v>45944</v>
      </c>
      <c r="D1047" t="s">
        <v>327</v>
      </c>
      <c r="E1047" t="s">
        <v>322</v>
      </c>
      <c r="F1047" s="12">
        <v>96797</v>
      </c>
      <c r="G1047" s="12" t="str">
        <f>VLOOKUP(Table2[[#This Row],[MemberID]],Table1[#All],3,0)</f>
        <v>Silver</v>
      </c>
      <c r="H1047" s="13">
        <v>9</v>
      </c>
    </row>
    <row r="1048" spans="1:8">
      <c r="A1048" t="s">
        <v>1380</v>
      </c>
      <c r="B1048" t="s">
        <v>176</v>
      </c>
      <c r="C1048" s="8">
        <v>46057</v>
      </c>
      <c r="D1048" t="s">
        <v>330</v>
      </c>
      <c r="E1048" t="s">
        <v>337</v>
      </c>
      <c r="F1048" s="12">
        <v>70051</v>
      </c>
      <c r="G1048" s="12" t="str">
        <f>VLOOKUP(Table2[[#This Row],[MemberID]],Table1[#All],3,0)</f>
        <v>Silver</v>
      </c>
      <c r="H1048" s="13">
        <v>7</v>
      </c>
    </row>
    <row r="1049" spans="1:8">
      <c r="A1049" t="s">
        <v>1381</v>
      </c>
      <c r="B1049" t="s">
        <v>19</v>
      </c>
      <c r="C1049" s="8">
        <v>46010</v>
      </c>
      <c r="D1049" t="s">
        <v>332</v>
      </c>
      <c r="E1049" t="s">
        <v>337</v>
      </c>
      <c r="F1049" s="12">
        <v>25000</v>
      </c>
      <c r="G1049" s="12" t="str">
        <f>VLOOKUP(Table2[[#This Row],[MemberID]],Table1[#All],3,0)</f>
        <v>Silver</v>
      </c>
      <c r="H1049" s="13">
        <v>2</v>
      </c>
    </row>
    <row r="1050" spans="1:8">
      <c r="A1050" t="s">
        <v>1382</v>
      </c>
      <c r="B1050" t="s">
        <v>294</v>
      </c>
      <c r="C1050" s="8">
        <v>46112</v>
      </c>
      <c r="D1050" t="s">
        <v>332</v>
      </c>
      <c r="E1050" t="s">
        <v>325</v>
      </c>
      <c r="F1050" s="12">
        <v>528380</v>
      </c>
      <c r="G1050" s="12" t="str">
        <f>VLOOKUP(Table2[[#This Row],[MemberID]],Table1[#All],3,0)</f>
        <v>Gold</v>
      </c>
      <c r="H1050" s="13">
        <v>52</v>
      </c>
    </row>
    <row r="1051" spans="1:8">
      <c r="A1051" t="s">
        <v>1383</v>
      </c>
      <c r="B1051" t="s">
        <v>74</v>
      </c>
      <c r="C1051" s="8">
        <v>46029</v>
      </c>
      <c r="D1051" t="s">
        <v>342</v>
      </c>
      <c r="E1051" t="s">
        <v>334</v>
      </c>
      <c r="F1051" s="12">
        <v>255242</v>
      </c>
      <c r="G1051" s="12" t="str">
        <f>VLOOKUP(Table2[[#This Row],[MemberID]],Table1[#All],3,0)</f>
        <v>Platinum</v>
      </c>
      <c r="H1051" s="13">
        <v>25</v>
      </c>
    </row>
    <row r="1052" spans="1:8">
      <c r="A1052" t="s">
        <v>1384</v>
      </c>
      <c r="B1052" t="s">
        <v>57</v>
      </c>
      <c r="C1052" s="8">
        <v>45960</v>
      </c>
      <c r="D1052" t="s">
        <v>342</v>
      </c>
      <c r="E1052" t="s">
        <v>337</v>
      </c>
      <c r="F1052" s="12">
        <v>149293</v>
      </c>
      <c r="G1052" s="12" t="str">
        <f>VLOOKUP(Table2[[#This Row],[MemberID]],Table1[#All],3,0)</f>
        <v>Gold</v>
      </c>
      <c r="H1052" s="13">
        <v>14</v>
      </c>
    </row>
    <row r="1053" spans="1:8">
      <c r="A1053" t="s">
        <v>1385</v>
      </c>
      <c r="B1053" t="s">
        <v>281</v>
      </c>
      <c r="C1053" s="8">
        <v>46093</v>
      </c>
      <c r="D1053" t="s">
        <v>327</v>
      </c>
      <c r="E1053" t="s">
        <v>328</v>
      </c>
      <c r="F1053" s="12">
        <v>162552</v>
      </c>
      <c r="G1053" s="12" t="str">
        <f>VLOOKUP(Table2[[#This Row],[MemberID]],Table1[#All],3,0)</f>
        <v>Gold</v>
      </c>
      <c r="H1053" s="13">
        <v>16</v>
      </c>
    </row>
    <row r="1054" spans="1:8">
      <c r="A1054" t="s">
        <v>1386</v>
      </c>
      <c r="B1054" t="s">
        <v>48</v>
      </c>
      <c r="C1054" s="8">
        <v>46128</v>
      </c>
      <c r="D1054" t="s">
        <v>342</v>
      </c>
      <c r="E1054" t="s">
        <v>334</v>
      </c>
      <c r="F1054" s="12">
        <v>290354</v>
      </c>
      <c r="G1054" s="12" t="str">
        <f>VLOOKUP(Table2[[#This Row],[MemberID]],Table1[#All],3,0)</f>
        <v>Gold</v>
      </c>
      <c r="H1054" s="13">
        <v>29</v>
      </c>
    </row>
    <row r="1055" spans="1:8">
      <c r="A1055" t="s">
        <v>1387</v>
      </c>
      <c r="B1055" t="s">
        <v>115</v>
      </c>
      <c r="C1055" s="8">
        <v>45937</v>
      </c>
      <c r="D1055" t="s">
        <v>350</v>
      </c>
      <c r="E1055" t="s">
        <v>337</v>
      </c>
      <c r="F1055" s="12">
        <v>462971</v>
      </c>
      <c r="G1055" s="12" t="str">
        <f>VLOOKUP(Table2[[#This Row],[MemberID]],Table1[#All],3,0)</f>
        <v>Gold</v>
      </c>
      <c r="H1055" s="13">
        <v>46</v>
      </c>
    </row>
    <row r="1056" spans="1:8">
      <c r="A1056" t="s">
        <v>1388</v>
      </c>
      <c r="B1056" t="s">
        <v>69</v>
      </c>
      <c r="C1056" s="8">
        <v>46176</v>
      </c>
      <c r="D1056" t="s">
        <v>327</v>
      </c>
      <c r="E1056" t="s">
        <v>339</v>
      </c>
      <c r="F1056" s="12">
        <v>138523</v>
      </c>
      <c r="G1056" s="12" t="str">
        <f>VLOOKUP(Table2[[#This Row],[MemberID]],Table1[#All],3,0)</f>
        <v>Gold</v>
      </c>
      <c r="H1056" s="13">
        <v>13</v>
      </c>
    </row>
    <row r="1057" spans="1:8">
      <c r="A1057" t="s">
        <v>1389</v>
      </c>
      <c r="B1057" t="s">
        <v>33</v>
      </c>
      <c r="C1057" s="8">
        <v>46076</v>
      </c>
      <c r="D1057" t="s">
        <v>321</v>
      </c>
      <c r="E1057" t="s">
        <v>339</v>
      </c>
      <c r="F1057" s="12">
        <v>375633</v>
      </c>
      <c r="G1057" s="12" t="str">
        <f>VLOOKUP(Table2[[#This Row],[MemberID]],Table1[#All],3,0)</f>
        <v>Silver</v>
      </c>
      <c r="H1057" s="13">
        <v>37</v>
      </c>
    </row>
    <row r="1058" spans="1:8">
      <c r="A1058" t="s">
        <v>1390</v>
      </c>
      <c r="B1058" t="s">
        <v>100</v>
      </c>
      <c r="C1058" s="8">
        <v>46160</v>
      </c>
      <c r="D1058" t="s">
        <v>321</v>
      </c>
      <c r="E1058" t="s">
        <v>339</v>
      </c>
      <c r="F1058" s="12">
        <v>482647</v>
      </c>
      <c r="G1058" s="12" t="str">
        <f>VLOOKUP(Table2[[#This Row],[MemberID]],Table1[#All],3,0)</f>
        <v>Silver</v>
      </c>
      <c r="H1058" s="13">
        <v>48</v>
      </c>
    </row>
    <row r="1059" spans="1:8">
      <c r="A1059" t="s">
        <v>1391</v>
      </c>
      <c r="B1059" t="s">
        <v>301</v>
      </c>
      <c r="C1059" s="8">
        <v>46229</v>
      </c>
      <c r="D1059" t="s">
        <v>344</v>
      </c>
      <c r="E1059" t="s">
        <v>337</v>
      </c>
      <c r="F1059" s="12">
        <v>175586</v>
      </c>
      <c r="G1059" s="12" t="str">
        <f>VLOOKUP(Table2[[#This Row],[MemberID]],Table1[#All],3,0)</f>
        <v>Silver</v>
      </c>
      <c r="H1059" s="13">
        <v>17</v>
      </c>
    </row>
    <row r="1060" spans="1:8">
      <c r="A1060" t="s">
        <v>1392</v>
      </c>
      <c r="B1060" t="s">
        <v>57</v>
      </c>
      <c r="C1060" s="8">
        <v>46127</v>
      </c>
      <c r="D1060" t="s">
        <v>344</v>
      </c>
      <c r="E1060" t="s">
        <v>339</v>
      </c>
      <c r="F1060" s="12">
        <v>154275</v>
      </c>
      <c r="G1060" s="12" t="str">
        <f>VLOOKUP(Table2[[#This Row],[MemberID]],Table1[#All],3,0)</f>
        <v>Gold</v>
      </c>
      <c r="H1060" s="13">
        <v>15</v>
      </c>
    </row>
    <row r="1061" spans="1:8">
      <c r="A1061" t="s">
        <v>1393</v>
      </c>
      <c r="B1061" t="s">
        <v>234</v>
      </c>
      <c r="C1061" s="8">
        <v>46216</v>
      </c>
      <c r="D1061" t="s">
        <v>332</v>
      </c>
      <c r="E1061" t="s">
        <v>339</v>
      </c>
      <c r="F1061" s="12">
        <v>312297</v>
      </c>
      <c r="G1061" s="12" t="str">
        <f>VLOOKUP(Table2[[#This Row],[MemberID]],Table1[#All],3,0)</f>
        <v>Silver</v>
      </c>
      <c r="H1061" s="13">
        <v>31</v>
      </c>
    </row>
    <row r="1062" spans="1:8">
      <c r="A1062" t="s">
        <v>1394</v>
      </c>
      <c r="B1062" t="s">
        <v>54</v>
      </c>
      <c r="C1062" s="8">
        <v>46185</v>
      </c>
      <c r="D1062" t="s">
        <v>321</v>
      </c>
      <c r="E1062" t="s">
        <v>334</v>
      </c>
      <c r="F1062" s="12">
        <v>289875</v>
      </c>
      <c r="G1062" s="12" t="str">
        <f>VLOOKUP(Table2[[#This Row],[MemberID]],Table1[#All],3,0)</f>
        <v>Platinum</v>
      </c>
      <c r="H1062" s="13">
        <v>28</v>
      </c>
    </row>
    <row r="1063" spans="1:8">
      <c r="A1063" t="s">
        <v>1395</v>
      </c>
      <c r="B1063" t="s">
        <v>94</v>
      </c>
      <c r="C1063" s="8">
        <v>46069</v>
      </c>
      <c r="D1063" t="s">
        <v>342</v>
      </c>
      <c r="E1063" t="s">
        <v>328</v>
      </c>
      <c r="F1063" s="12">
        <v>289064</v>
      </c>
      <c r="G1063" s="12" t="str">
        <f>VLOOKUP(Table2[[#This Row],[MemberID]],Table1[#All],3,0)</f>
        <v>Silver</v>
      </c>
      <c r="H1063" s="13">
        <v>28</v>
      </c>
    </row>
    <row r="1064" spans="1:8">
      <c r="A1064" t="s">
        <v>1396</v>
      </c>
      <c r="B1064" t="s">
        <v>294</v>
      </c>
      <c r="C1064" s="8">
        <v>46232</v>
      </c>
      <c r="D1064" t="s">
        <v>350</v>
      </c>
      <c r="E1064" t="s">
        <v>325</v>
      </c>
      <c r="F1064" s="12">
        <v>304588</v>
      </c>
      <c r="G1064" s="12" t="str">
        <f>VLOOKUP(Table2[[#This Row],[MemberID]],Table1[#All],3,0)</f>
        <v>Gold</v>
      </c>
      <c r="H1064" s="13">
        <v>30</v>
      </c>
    </row>
    <row r="1065" spans="1:8">
      <c r="A1065" t="s">
        <v>1397</v>
      </c>
      <c r="B1065" t="s">
        <v>241</v>
      </c>
      <c r="C1065" s="8">
        <v>46217</v>
      </c>
      <c r="D1065" t="s">
        <v>330</v>
      </c>
      <c r="E1065" t="s">
        <v>322</v>
      </c>
      <c r="F1065" s="12">
        <v>68664</v>
      </c>
      <c r="G1065" s="12" t="str">
        <f>VLOOKUP(Table2[[#This Row],[MemberID]],Table1[#All],3,0)</f>
        <v>Gold</v>
      </c>
      <c r="H1065" s="13">
        <v>6</v>
      </c>
    </row>
    <row r="1066" spans="1:8">
      <c r="A1066" t="s">
        <v>1398</v>
      </c>
      <c r="B1066" t="s">
        <v>237</v>
      </c>
      <c r="C1066" s="8">
        <v>46089</v>
      </c>
      <c r="D1066" t="s">
        <v>321</v>
      </c>
      <c r="E1066" t="s">
        <v>334</v>
      </c>
      <c r="F1066" s="12">
        <v>637592</v>
      </c>
      <c r="G1066" s="12" t="str">
        <f>VLOOKUP(Table2[[#This Row],[MemberID]],Table1[#All],3,0)</f>
        <v>Silver</v>
      </c>
      <c r="H1066" s="13">
        <v>63</v>
      </c>
    </row>
    <row r="1067" spans="1:8">
      <c r="A1067" t="s">
        <v>1399</v>
      </c>
      <c r="B1067" t="s">
        <v>174</v>
      </c>
      <c r="C1067" s="8">
        <v>46274</v>
      </c>
      <c r="D1067" t="s">
        <v>342</v>
      </c>
      <c r="E1067" t="s">
        <v>334</v>
      </c>
      <c r="F1067" s="12">
        <v>359784</v>
      </c>
      <c r="G1067" s="12" t="str">
        <f>VLOOKUP(Table2[[#This Row],[MemberID]],Table1[#All],3,0)</f>
        <v>Silver</v>
      </c>
      <c r="H1067" s="13">
        <v>35</v>
      </c>
    </row>
    <row r="1068" spans="1:8">
      <c r="A1068" t="s">
        <v>1400</v>
      </c>
      <c r="B1068" t="s">
        <v>108</v>
      </c>
      <c r="C1068" s="8">
        <v>45973</v>
      </c>
      <c r="D1068" t="s">
        <v>327</v>
      </c>
      <c r="E1068" t="s">
        <v>337</v>
      </c>
      <c r="F1068" s="12">
        <v>808354</v>
      </c>
      <c r="G1068" s="12" t="str">
        <f>VLOOKUP(Table2[[#This Row],[MemberID]],Table1[#All],3,0)</f>
        <v>Platinum</v>
      </c>
      <c r="H1068" s="13">
        <v>80</v>
      </c>
    </row>
    <row r="1069" spans="1:8">
      <c r="A1069" t="s">
        <v>1401</v>
      </c>
      <c r="B1069" t="s">
        <v>265</v>
      </c>
      <c r="C1069" s="8">
        <v>46287</v>
      </c>
      <c r="D1069" t="s">
        <v>332</v>
      </c>
      <c r="E1069" t="s">
        <v>322</v>
      </c>
      <c r="F1069" s="12">
        <v>270570</v>
      </c>
      <c r="G1069" s="12" t="str">
        <f>VLOOKUP(Table2[[#This Row],[MemberID]],Table1[#All],3,0)</f>
        <v>Platinum</v>
      </c>
      <c r="H1069" s="13">
        <v>27</v>
      </c>
    </row>
    <row r="1070" spans="1:8">
      <c r="A1070" t="s">
        <v>1402</v>
      </c>
      <c r="B1070" t="s">
        <v>95</v>
      </c>
      <c r="C1070" s="8">
        <v>46084</v>
      </c>
      <c r="D1070" t="s">
        <v>321</v>
      </c>
      <c r="E1070" t="s">
        <v>322</v>
      </c>
      <c r="F1070" s="12">
        <v>217626</v>
      </c>
      <c r="G1070" s="12" t="str">
        <f>VLOOKUP(Table2[[#This Row],[MemberID]],Table1[#All],3,0)</f>
        <v>Silver</v>
      </c>
      <c r="H1070" s="13">
        <v>21</v>
      </c>
    </row>
    <row r="1071" spans="1:8">
      <c r="A1071" t="s">
        <v>1403</v>
      </c>
      <c r="B1071" t="s">
        <v>136</v>
      </c>
      <c r="C1071" s="8">
        <v>46194</v>
      </c>
      <c r="D1071" t="s">
        <v>350</v>
      </c>
      <c r="E1071" t="s">
        <v>322</v>
      </c>
      <c r="F1071" s="12">
        <v>363871</v>
      </c>
      <c r="G1071" s="12" t="str">
        <f>VLOOKUP(Table2[[#This Row],[MemberID]],Table1[#All],3,0)</f>
        <v>Platinum</v>
      </c>
      <c r="H1071" s="13">
        <v>36</v>
      </c>
    </row>
    <row r="1072" spans="1:8">
      <c r="A1072" t="s">
        <v>1404</v>
      </c>
      <c r="B1072" t="s">
        <v>106</v>
      </c>
      <c r="C1072" s="8">
        <v>46226</v>
      </c>
      <c r="D1072" t="s">
        <v>324</v>
      </c>
      <c r="E1072" t="s">
        <v>337</v>
      </c>
      <c r="F1072" s="12">
        <v>180321</v>
      </c>
      <c r="G1072" s="12" t="str">
        <f>VLOOKUP(Table2[[#This Row],[MemberID]],Table1[#All],3,0)</f>
        <v>Silver</v>
      </c>
      <c r="H1072" s="13">
        <v>18</v>
      </c>
    </row>
    <row r="1073" spans="1:8">
      <c r="A1073" t="s">
        <v>1405</v>
      </c>
      <c r="B1073" t="s">
        <v>138</v>
      </c>
      <c r="C1073" s="8">
        <v>45994</v>
      </c>
      <c r="D1073" t="s">
        <v>344</v>
      </c>
      <c r="E1073" t="s">
        <v>328</v>
      </c>
      <c r="F1073" s="12">
        <v>125803</v>
      </c>
      <c r="G1073" s="12" t="str">
        <f>VLOOKUP(Table2[[#This Row],[MemberID]],Table1[#All],3,0)</f>
        <v>Gold</v>
      </c>
      <c r="H1073" s="13">
        <v>12</v>
      </c>
    </row>
    <row r="1074" spans="1:8">
      <c r="A1074" t="s">
        <v>1406</v>
      </c>
      <c r="B1074" t="s">
        <v>135</v>
      </c>
      <c r="C1074" s="8">
        <v>46143</v>
      </c>
      <c r="D1074" t="s">
        <v>350</v>
      </c>
      <c r="E1074" t="s">
        <v>328</v>
      </c>
      <c r="F1074" s="12">
        <v>582640</v>
      </c>
      <c r="G1074" s="12" t="str">
        <f>VLOOKUP(Table2[[#This Row],[MemberID]],Table1[#All],3,0)</f>
        <v>Silver</v>
      </c>
      <c r="H1074" s="13">
        <v>58</v>
      </c>
    </row>
    <row r="1075" spans="1:8">
      <c r="A1075" t="s">
        <v>1407</v>
      </c>
      <c r="B1075" t="s">
        <v>74</v>
      </c>
      <c r="C1075" s="8">
        <v>46189</v>
      </c>
      <c r="D1075" t="s">
        <v>321</v>
      </c>
      <c r="E1075" t="s">
        <v>334</v>
      </c>
      <c r="F1075" s="12">
        <v>209605</v>
      </c>
      <c r="G1075" s="12" t="str">
        <f>VLOOKUP(Table2[[#This Row],[MemberID]],Table1[#All],3,0)</f>
        <v>Platinum</v>
      </c>
      <c r="H1075" s="13">
        <v>20</v>
      </c>
    </row>
    <row r="1076" spans="1:8">
      <c r="A1076" t="s">
        <v>1408</v>
      </c>
      <c r="B1076" t="s">
        <v>38</v>
      </c>
      <c r="C1076" s="8">
        <v>46192</v>
      </c>
      <c r="D1076" t="s">
        <v>330</v>
      </c>
      <c r="E1076" t="s">
        <v>334</v>
      </c>
      <c r="F1076" s="12">
        <v>367270</v>
      </c>
      <c r="G1076" s="12" t="str">
        <f>VLOOKUP(Table2[[#This Row],[MemberID]],Table1[#All],3,0)</f>
        <v>Gold</v>
      </c>
      <c r="H1076" s="13">
        <v>36</v>
      </c>
    </row>
    <row r="1077" spans="1:8">
      <c r="A1077" t="s">
        <v>1409</v>
      </c>
      <c r="B1077" t="s">
        <v>19</v>
      </c>
      <c r="C1077" s="8">
        <v>45990</v>
      </c>
      <c r="D1077" t="s">
        <v>342</v>
      </c>
      <c r="E1077" t="s">
        <v>328</v>
      </c>
      <c r="F1077" s="12">
        <v>941729</v>
      </c>
      <c r="G1077" s="12" t="str">
        <f>VLOOKUP(Table2[[#This Row],[MemberID]],Table1[#All],3,0)</f>
        <v>Silver</v>
      </c>
      <c r="H1077" s="13">
        <v>94</v>
      </c>
    </row>
    <row r="1078" spans="1:8">
      <c r="A1078" t="s">
        <v>1410</v>
      </c>
      <c r="B1078" t="s">
        <v>95</v>
      </c>
      <c r="C1078" s="8">
        <v>46005</v>
      </c>
      <c r="D1078" t="s">
        <v>342</v>
      </c>
      <c r="E1078" t="s">
        <v>328</v>
      </c>
      <c r="F1078" s="12">
        <v>305437</v>
      </c>
      <c r="G1078" s="12" t="str">
        <f>VLOOKUP(Table2[[#This Row],[MemberID]],Table1[#All],3,0)</f>
        <v>Silver</v>
      </c>
      <c r="H1078" s="13">
        <v>30</v>
      </c>
    </row>
    <row r="1079" spans="1:8">
      <c r="A1079" t="s">
        <v>1411</v>
      </c>
      <c r="B1079" t="s">
        <v>265</v>
      </c>
      <c r="C1079" s="8">
        <v>46028</v>
      </c>
      <c r="D1079" t="s">
        <v>350</v>
      </c>
      <c r="E1079" t="s">
        <v>322</v>
      </c>
      <c r="F1079" s="12">
        <v>245710</v>
      </c>
      <c r="G1079" s="12" t="str">
        <f>VLOOKUP(Table2[[#This Row],[MemberID]],Table1[#All],3,0)</f>
        <v>Platinum</v>
      </c>
      <c r="H1079" s="13">
        <v>24</v>
      </c>
    </row>
    <row r="1080" spans="1:8">
      <c r="A1080" t="s">
        <v>1412</v>
      </c>
      <c r="B1080" t="s">
        <v>290</v>
      </c>
      <c r="C1080" s="8">
        <v>46086</v>
      </c>
      <c r="D1080" t="s">
        <v>344</v>
      </c>
      <c r="E1080" t="s">
        <v>337</v>
      </c>
      <c r="F1080" s="12">
        <v>267048</v>
      </c>
      <c r="G1080" s="12" t="str">
        <f>VLOOKUP(Table2[[#This Row],[MemberID]],Table1[#All],3,0)</f>
        <v>Silver</v>
      </c>
      <c r="H1080" s="13">
        <v>26</v>
      </c>
    </row>
    <row r="1081" spans="1:8">
      <c r="A1081" t="s">
        <v>1413</v>
      </c>
      <c r="B1081" t="s">
        <v>83</v>
      </c>
      <c r="C1081" s="8">
        <v>46085</v>
      </c>
      <c r="D1081" t="s">
        <v>350</v>
      </c>
      <c r="E1081" t="s">
        <v>337</v>
      </c>
      <c r="F1081" s="12">
        <v>911672</v>
      </c>
      <c r="G1081" s="12" t="str">
        <f>VLOOKUP(Table2[[#This Row],[MemberID]],Table1[#All],3,0)</f>
        <v>Gold</v>
      </c>
      <c r="H1081" s="13">
        <v>91</v>
      </c>
    </row>
    <row r="1082" spans="1:8">
      <c r="A1082" t="s">
        <v>1414</v>
      </c>
      <c r="B1082" t="s">
        <v>288</v>
      </c>
      <c r="C1082" s="8">
        <v>46115</v>
      </c>
      <c r="D1082" t="s">
        <v>332</v>
      </c>
      <c r="E1082" t="s">
        <v>337</v>
      </c>
      <c r="F1082" s="12">
        <v>184553</v>
      </c>
      <c r="G1082" s="12" t="str">
        <f>VLOOKUP(Table2[[#This Row],[MemberID]],Table1[#All],3,0)</f>
        <v>Silver</v>
      </c>
      <c r="H1082" s="13">
        <v>18</v>
      </c>
    </row>
    <row r="1083" spans="1:8">
      <c r="A1083" t="s">
        <v>1415</v>
      </c>
      <c r="B1083" t="s">
        <v>303</v>
      </c>
      <c r="C1083" s="8">
        <v>46154</v>
      </c>
      <c r="D1083" t="s">
        <v>330</v>
      </c>
      <c r="E1083" t="s">
        <v>325</v>
      </c>
      <c r="F1083" s="12">
        <v>94092</v>
      </c>
      <c r="G1083" s="12" t="str">
        <f>VLOOKUP(Table2[[#This Row],[MemberID]],Table1[#All],3,0)</f>
        <v>Gold</v>
      </c>
      <c r="H1083" s="13">
        <v>9</v>
      </c>
    </row>
    <row r="1084" spans="1:8">
      <c r="A1084" t="s">
        <v>1416</v>
      </c>
      <c r="B1084" t="s">
        <v>196</v>
      </c>
      <c r="C1084" s="8">
        <v>45968</v>
      </c>
      <c r="D1084" t="s">
        <v>324</v>
      </c>
      <c r="E1084" t="s">
        <v>334</v>
      </c>
      <c r="F1084" s="12">
        <v>316357</v>
      </c>
      <c r="G1084" s="12" t="str">
        <f>VLOOKUP(Table2[[#This Row],[MemberID]],Table1[#All],3,0)</f>
        <v>Gold</v>
      </c>
      <c r="H1084" s="13">
        <v>31</v>
      </c>
    </row>
    <row r="1085" spans="1:8">
      <c r="A1085" t="s">
        <v>1417</v>
      </c>
      <c r="B1085" t="s">
        <v>121</v>
      </c>
      <c r="C1085" s="8">
        <v>46098</v>
      </c>
      <c r="D1085" t="s">
        <v>350</v>
      </c>
      <c r="E1085" t="s">
        <v>322</v>
      </c>
      <c r="F1085" s="12">
        <v>414087</v>
      </c>
      <c r="G1085" s="12" t="str">
        <f>VLOOKUP(Table2[[#This Row],[MemberID]],Table1[#All],3,0)</f>
        <v>Silver</v>
      </c>
      <c r="H1085" s="13">
        <v>41</v>
      </c>
    </row>
    <row r="1086" spans="1:8">
      <c r="A1086" t="s">
        <v>1418</v>
      </c>
      <c r="B1086" t="s">
        <v>84</v>
      </c>
      <c r="C1086" s="8">
        <v>46233</v>
      </c>
      <c r="D1086" t="s">
        <v>350</v>
      </c>
      <c r="E1086" t="s">
        <v>337</v>
      </c>
      <c r="F1086" s="12">
        <v>97853</v>
      </c>
      <c r="G1086" s="12" t="str">
        <f>VLOOKUP(Table2[[#This Row],[MemberID]],Table1[#All],3,0)</f>
        <v>Silver</v>
      </c>
      <c r="H1086" s="13">
        <v>9</v>
      </c>
    </row>
    <row r="1087" spans="1:8">
      <c r="A1087" t="s">
        <v>1419</v>
      </c>
      <c r="B1087" t="s">
        <v>118</v>
      </c>
      <c r="C1087" s="8">
        <v>46050</v>
      </c>
      <c r="D1087" t="s">
        <v>327</v>
      </c>
      <c r="E1087" t="s">
        <v>337</v>
      </c>
      <c r="F1087" s="12">
        <v>371523</v>
      </c>
      <c r="G1087" s="12" t="str">
        <f>VLOOKUP(Table2[[#This Row],[MemberID]],Table1[#All],3,0)</f>
        <v>Silver</v>
      </c>
      <c r="H1087" s="13">
        <v>37</v>
      </c>
    </row>
    <row r="1088" spans="1:8">
      <c r="A1088" t="s">
        <v>1420</v>
      </c>
      <c r="B1088" t="s">
        <v>275</v>
      </c>
      <c r="C1088" s="8">
        <v>46240</v>
      </c>
      <c r="D1088" t="s">
        <v>350</v>
      </c>
      <c r="E1088" t="s">
        <v>337</v>
      </c>
      <c r="F1088" s="12">
        <v>219900</v>
      </c>
      <c r="G1088" s="12" t="str">
        <f>VLOOKUP(Table2[[#This Row],[MemberID]],Table1[#All],3,0)</f>
        <v>Silver</v>
      </c>
      <c r="H1088" s="13">
        <v>21</v>
      </c>
    </row>
    <row r="1089" spans="1:8">
      <c r="A1089" t="s">
        <v>1421</v>
      </c>
      <c r="B1089" t="s">
        <v>125</v>
      </c>
      <c r="C1089" s="8">
        <v>46082</v>
      </c>
      <c r="D1089" t="s">
        <v>321</v>
      </c>
      <c r="E1089" t="s">
        <v>325</v>
      </c>
      <c r="F1089" s="12">
        <v>405586</v>
      </c>
      <c r="G1089" s="12" t="str">
        <f>VLOOKUP(Table2[[#This Row],[MemberID]],Table1[#All],3,0)</f>
        <v>Silver</v>
      </c>
      <c r="H1089" s="13">
        <v>40</v>
      </c>
    </row>
    <row r="1090" spans="1:8">
      <c r="A1090" t="s">
        <v>1422</v>
      </c>
      <c r="B1090" t="s">
        <v>174</v>
      </c>
      <c r="C1090" s="8">
        <v>46167</v>
      </c>
      <c r="D1090" t="s">
        <v>342</v>
      </c>
      <c r="E1090" t="s">
        <v>334</v>
      </c>
      <c r="F1090" s="12">
        <v>299285</v>
      </c>
      <c r="G1090" s="12" t="str">
        <f>VLOOKUP(Table2[[#This Row],[MemberID]],Table1[#All],3,0)</f>
        <v>Silver</v>
      </c>
      <c r="H1090" s="13">
        <v>29</v>
      </c>
    </row>
    <row r="1091" spans="1:8">
      <c r="A1091" t="s">
        <v>1423</v>
      </c>
      <c r="B1091" t="s">
        <v>290</v>
      </c>
      <c r="C1091" s="8">
        <v>46038</v>
      </c>
      <c r="D1091" t="s">
        <v>350</v>
      </c>
      <c r="E1091" t="s">
        <v>322</v>
      </c>
      <c r="F1091" s="12">
        <v>252492</v>
      </c>
      <c r="G1091" s="12" t="str">
        <f>VLOOKUP(Table2[[#This Row],[MemberID]],Table1[#All],3,0)</f>
        <v>Silver</v>
      </c>
      <c r="H1091" s="13">
        <v>25</v>
      </c>
    </row>
    <row r="1092" spans="1:8">
      <c r="A1092" t="s">
        <v>1424</v>
      </c>
      <c r="B1092" t="s">
        <v>128</v>
      </c>
      <c r="C1092" s="8">
        <v>46021</v>
      </c>
      <c r="D1092" t="s">
        <v>344</v>
      </c>
      <c r="E1092" t="s">
        <v>337</v>
      </c>
      <c r="F1092" s="12">
        <v>253668</v>
      </c>
      <c r="G1092" s="12" t="str">
        <f>VLOOKUP(Table2[[#This Row],[MemberID]],Table1[#All],3,0)</f>
        <v>Silver</v>
      </c>
      <c r="H1092" s="13">
        <v>25</v>
      </c>
    </row>
    <row r="1093" spans="1:8">
      <c r="A1093" t="s">
        <v>1425</v>
      </c>
      <c r="B1093" t="s">
        <v>256</v>
      </c>
      <c r="C1093" s="8">
        <v>46253</v>
      </c>
      <c r="D1093" t="s">
        <v>321</v>
      </c>
      <c r="E1093" t="s">
        <v>339</v>
      </c>
      <c r="F1093" s="12">
        <v>272193</v>
      </c>
      <c r="G1093" s="12" t="str">
        <f>VLOOKUP(Table2[[#This Row],[MemberID]],Table1[#All],3,0)</f>
        <v>Gold</v>
      </c>
      <c r="H1093" s="13">
        <v>27</v>
      </c>
    </row>
    <row r="1094" spans="1:8">
      <c r="A1094" t="s">
        <v>1426</v>
      </c>
      <c r="B1094" t="s">
        <v>259</v>
      </c>
      <c r="C1094" s="8">
        <v>46275</v>
      </c>
      <c r="D1094" t="s">
        <v>330</v>
      </c>
      <c r="E1094" t="s">
        <v>339</v>
      </c>
      <c r="F1094" s="12">
        <v>507037</v>
      </c>
      <c r="G1094" s="12" t="str">
        <f>VLOOKUP(Table2[[#This Row],[MemberID]],Table1[#All],3,0)</f>
        <v>Gold</v>
      </c>
      <c r="H1094" s="13">
        <v>50</v>
      </c>
    </row>
    <row r="1095" spans="1:8">
      <c r="A1095" t="s">
        <v>1427</v>
      </c>
      <c r="B1095" t="s">
        <v>205</v>
      </c>
      <c r="C1095" s="8">
        <v>46043</v>
      </c>
      <c r="D1095" t="s">
        <v>324</v>
      </c>
      <c r="E1095" t="s">
        <v>322</v>
      </c>
      <c r="F1095" s="12">
        <v>141700</v>
      </c>
      <c r="G1095" s="12" t="str">
        <f>VLOOKUP(Table2[[#This Row],[MemberID]],Table1[#All],3,0)</f>
        <v>Silver</v>
      </c>
      <c r="H1095" s="13">
        <v>14</v>
      </c>
    </row>
    <row r="1096" spans="1:8">
      <c r="A1096" t="s">
        <v>1428</v>
      </c>
      <c r="B1096" t="s">
        <v>306</v>
      </c>
      <c r="C1096" s="8">
        <v>46252</v>
      </c>
      <c r="D1096" t="s">
        <v>350</v>
      </c>
      <c r="E1096" t="s">
        <v>339</v>
      </c>
      <c r="F1096" s="12">
        <v>26666</v>
      </c>
      <c r="G1096" s="12" t="str">
        <f>VLOOKUP(Table2[[#This Row],[MemberID]],Table1[#All],3,0)</f>
        <v>Silver</v>
      </c>
      <c r="H1096" s="13">
        <v>2</v>
      </c>
    </row>
    <row r="1097" spans="1:8">
      <c r="A1097" t="s">
        <v>1429</v>
      </c>
      <c r="B1097" t="s">
        <v>153</v>
      </c>
      <c r="C1097" s="8">
        <v>45956</v>
      </c>
      <c r="D1097" t="s">
        <v>330</v>
      </c>
      <c r="E1097" t="s">
        <v>339</v>
      </c>
      <c r="F1097" s="12">
        <v>500259</v>
      </c>
      <c r="G1097" s="12" t="str">
        <f>VLOOKUP(Table2[[#This Row],[MemberID]],Table1[#All],3,0)</f>
        <v>Silver</v>
      </c>
      <c r="H1097" s="13">
        <v>50</v>
      </c>
    </row>
    <row r="1098" spans="1:8">
      <c r="A1098" t="s">
        <v>1430</v>
      </c>
      <c r="B1098" t="s">
        <v>309</v>
      </c>
      <c r="C1098" s="8">
        <v>46267</v>
      </c>
      <c r="D1098" t="s">
        <v>342</v>
      </c>
      <c r="E1098" t="s">
        <v>325</v>
      </c>
      <c r="F1098" s="12">
        <v>113002</v>
      </c>
      <c r="G1098" s="12" t="str">
        <f>VLOOKUP(Table2[[#This Row],[MemberID]],Table1[#All],3,0)</f>
        <v>Gold</v>
      </c>
      <c r="H1098" s="13">
        <v>11</v>
      </c>
    </row>
    <row r="1099" spans="1:8">
      <c r="A1099" t="s">
        <v>1431</v>
      </c>
      <c r="B1099" t="s">
        <v>239</v>
      </c>
      <c r="C1099" s="8">
        <v>46186</v>
      </c>
      <c r="D1099" t="s">
        <v>344</v>
      </c>
      <c r="E1099" t="s">
        <v>339</v>
      </c>
      <c r="F1099" s="12">
        <v>107965</v>
      </c>
      <c r="G1099" s="12" t="str">
        <f>VLOOKUP(Table2[[#This Row],[MemberID]],Table1[#All],3,0)</f>
        <v>Silver</v>
      </c>
      <c r="H1099" s="13">
        <v>10</v>
      </c>
    </row>
    <row r="1100" spans="1:8">
      <c r="A1100" t="s">
        <v>1432</v>
      </c>
      <c r="B1100" t="s">
        <v>69</v>
      </c>
      <c r="C1100" s="8">
        <v>46206</v>
      </c>
      <c r="D1100" t="s">
        <v>324</v>
      </c>
      <c r="E1100" t="s">
        <v>339</v>
      </c>
      <c r="F1100" s="12">
        <v>605826</v>
      </c>
      <c r="G1100" s="12" t="str">
        <f>VLOOKUP(Table2[[#This Row],[MemberID]],Table1[#All],3,0)</f>
        <v>Gold</v>
      </c>
      <c r="H1100" s="13">
        <v>60</v>
      </c>
    </row>
    <row r="1101" spans="1:8">
      <c r="A1101" t="s">
        <v>1433</v>
      </c>
      <c r="B1101" t="s">
        <v>6</v>
      </c>
      <c r="C1101" s="8">
        <v>46206</v>
      </c>
      <c r="D1101" t="s">
        <v>321</v>
      </c>
      <c r="E1101" t="s">
        <v>334</v>
      </c>
      <c r="F1101" s="12">
        <v>927258</v>
      </c>
      <c r="G1101" s="12" t="str">
        <f>VLOOKUP(Table2[[#This Row],[MemberID]],Table1[#All],3,0)</f>
        <v>Silver</v>
      </c>
      <c r="H1101" s="13">
        <v>92</v>
      </c>
    </row>
    <row r="1102" spans="1:8">
      <c r="A1102" t="s">
        <v>1434</v>
      </c>
      <c r="B1102" t="s">
        <v>198</v>
      </c>
      <c r="C1102" s="8">
        <v>46225</v>
      </c>
      <c r="D1102" t="s">
        <v>324</v>
      </c>
      <c r="E1102" t="s">
        <v>325</v>
      </c>
      <c r="F1102" s="12">
        <v>375610</v>
      </c>
      <c r="G1102" s="12" t="str">
        <f>VLOOKUP(Table2[[#This Row],[MemberID]],Table1[#All],3,0)</f>
        <v>Silver</v>
      </c>
      <c r="H1102" s="13">
        <v>37</v>
      </c>
    </row>
    <row r="1103" spans="1:8">
      <c r="A1103" t="s">
        <v>1435</v>
      </c>
      <c r="B1103" t="s">
        <v>69</v>
      </c>
      <c r="C1103" s="8">
        <v>46107</v>
      </c>
      <c r="D1103" t="s">
        <v>350</v>
      </c>
      <c r="E1103" t="s">
        <v>334</v>
      </c>
      <c r="F1103" s="12">
        <v>77521</v>
      </c>
      <c r="G1103" s="12" t="str">
        <f>VLOOKUP(Table2[[#This Row],[MemberID]],Table1[#All],3,0)</f>
        <v>Gold</v>
      </c>
      <c r="H1103" s="13">
        <v>7</v>
      </c>
    </row>
    <row r="1104" spans="1:8">
      <c r="A1104" t="s">
        <v>1436</v>
      </c>
      <c r="B1104" t="s">
        <v>153</v>
      </c>
      <c r="C1104" s="8">
        <v>46108</v>
      </c>
      <c r="D1104" t="s">
        <v>332</v>
      </c>
      <c r="E1104" t="s">
        <v>328</v>
      </c>
      <c r="F1104" s="12">
        <v>205149</v>
      </c>
      <c r="G1104" s="12" t="str">
        <f>VLOOKUP(Table2[[#This Row],[MemberID]],Table1[#All],3,0)</f>
        <v>Silver</v>
      </c>
      <c r="H1104" s="13">
        <v>20</v>
      </c>
    </row>
    <row r="1105" spans="1:8">
      <c r="A1105" t="s">
        <v>1437</v>
      </c>
      <c r="B1105" t="s">
        <v>259</v>
      </c>
      <c r="C1105" s="8">
        <v>45935</v>
      </c>
      <c r="D1105" t="s">
        <v>342</v>
      </c>
      <c r="E1105" t="s">
        <v>322</v>
      </c>
      <c r="F1105" s="12">
        <v>264379</v>
      </c>
      <c r="G1105" s="12" t="str">
        <f>VLOOKUP(Table2[[#This Row],[MemberID]],Table1[#All],3,0)</f>
        <v>Gold</v>
      </c>
      <c r="H1105" s="13">
        <v>26</v>
      </c>
    </row>
    <row r="1106" spans="1:8">
      <c r="A1106" t="s">
        <v>1438</v>
      </c>
      <c r="B1106" t="s">
        <v>135</v>
      </c>
      <c r="C1106" s="8">
        <v>46221</v>
      </c>
      <c r="D1106" t="s">
        <v>342</v>
      </c>
      <c r="E1106" t="s">
        <v>322</v>
      </c>
      <c r="F1106" s="12">
        <v>151481</v>
      </c>
      <c r="G1106" s="12" t="str">
        <f>VLOOKUP(Table2[[#This Row],[MemberID]],Table1[#All],3,0)</f>
        <v>Silver</v>
      </c>
      <c r="H1106" s="13">
        <v>15</v>
      </c>
    </row>
    <row r="1107" spans="1:8">
      <c r="A1107" t="s">
        <v>1439</v>
      </c>
      <c r="B1107" t="s">
        <v>274</v>
      </c>
      <c r="C1107" s="8">
        <v>46230</v>
      </c>
      <c r="D1107" t="s">
        <v>321</v>
      </c>
      <c r="E1107" t="s">
        <v>322</v>
      </c>
      <c r="F1107" s="12">
        <v>726402</v>
      </c>
      <c r="G1107" s="12" t="str">
        <f>VLOOKUP(Table2[[#This Row],[MemberID]],Table1[#All],3,0)</f>
        <v>Platinum</v>
      </c>
      <c r="H1107" s="13">
        <v>72</v>
      </c>
    </row>
    <row r="1108" spans="1:8">
      <c r="A1108" t="s">
        <v>1440</v>
      </c>
      <c r="B1108" t="s">
        <v>137</v>
      </c>
      <c r="C1108" s="8">
        <v>46115</v>
      </c>
      <c r="D1108" t="s">
        <v>330</v>
      </c>
      <c r="E1108" t="s">
        <v>334</v>
      </c>
      <c r="F1108" s="12">
        <v>219733</v>
      </c>
      <c r="G1108" s="12" t="str">
        <f>VLOOKUP(Table2[[#This Row],[MemberID]],Table1[#All],3,0)</f>
        <v>Silver</v>
      </c>
      <c r="H1108" s="13">
        <v>21</v>
      </c>
    </row>
    <row r="1109" spans="1:8">
      <c r="A1109" t="s">
        <v>1441</v>
      </c>
      <c r="B1109" t="s">
        <v>197</v>
      </c>
      <c r="C1109" s="8">
        <v>46033</v>
      </c>
      <c r="D1109" t="s">
        <v>330</v>
      </c>
      <c r="E1109" t="s">
        <v>337</v>
      </c>
      <c r="F1109" s="12">
        <v>391745</v>
      </c>
      <c r="G1109" s="12" t="str">
        <f>VLOOKUP(Table2[[#This Row],[MemberID]],Table1[#All],3,0)</f>
        <v>Silver</v>
      </c>
      <c r="H1109" s="13">
        <v>39</v>
      </c>
    </row>
    <row r="1110" spans="1:8">
      <c r="A1110" t="s">
        <v>1442</v>
      </c>
      <c r="B1110" t="s">
        <v>46</v>
      </c>
      <c r="C1110" s="8">
        <v>46046</v>
      </c>
      <c r="D1110" t="s">
        <v>350</v>
      </c>
      <c r="E1110" t="s">
        <v>328</v>
      </c>
      <c r="F1110" s="12">
        <v>271788</v>
      </c>
      <c r="G1110" s="12" t="str">
        <f>VLOOKUP(Table2[[#This Row],[MemberID]],Table1[#All],3,0)</f>
        <v>Silver</v>
      </c>
      <c r="H1110" s="13">
        <v>27</v>
      </c>
    </row>
    <row r="1111" spans="1:8">
      <c r="A1111" t="s">
        <v>1443</v>
      </c>
      <c r="B1111" t="s">
        <v>294</v>
      </c>
      <c r="C1111" s="8">
        <v>45951</v>
      </c>
      <c r="D1111" t="s">
        <v>342</v>
      </c>
      <c r="E1111" t="s">
        <v>334</v>
      </c>
      <c r="F1111" s="12">
        <v>358399</v>
      </c>
      <c r="G1111" s="12" t="str">
        <f>VLOOKUP(Table2[[#This Row],[MemberID]],Table1[#All],3,0)</f>
        <v>Gold</v>
      </c>
      <c r="H1111" s="13">
        <v>35</v>
      </c>
    </row>
    <row r="1112" spans="1:8">
      <c r="A1112" t="s">
        <v>1444</v>
      </c>
      <c r="B1112" t="s">
        <v>244</v>
      </c>
      <c r="C1112" s="8">
        <v>46205</v>
      </c>
      <c r="D1112" t="s">
        <v>344</v>
      </c>
      <c r="E1112" t="s">
        <v>328</v>
      </c>
      <c r="F1112" s="12">
        <v>277907</v>
      </c>
      <c r="G1112" s="12" t="str">
        <f>VLOOKUP(Table2[[#This Row],[MemberID]],Table1[#All],3,0)</f>
        <v>Silver</v>
      </c>
      <c r="H1112" s="13">
        <v>27</v>
      </c>
    </row>
    <row r="1113" spans="1:8">
      <c r="A1113" t="s">
        <v>1445</v>
      </c>
      <c r="B1113" t="s">
        <v>81</v>
      </c>
      <c r="C1113" s="8">
        <v>46123</v>
      </c>
      <c r="D1113" t="s">
        <v>342</v>
      </c>
      <c r="E1113" t="s">
        <v>337</v>
      </c>
      <c r="F1113" s="12">
        <v>73757</v>
      </c>
      <c r="G1113" s="12" t="str">
        <f>VLOOKUP(Table2[[#This Row],[MemberID]],Table1[#All],3,0)</f>
        <v>Gold</v>
      </c>
      <c r="H1113" s="13">
        <v>7</v>
      </c>
    </row>
    <row r="1114" spans="1:8">
      <c r="A1114" t="s">
        <v>1446</v>
      </c>
      <c r="B1114" t="s">
        <v>196</v>
      </c>
      <c r="C1114" s="8">
        <v>46290</v>
      </c>
      <c r="D1114" t="s">
        <v>330</v>
      </c>
      <c r="E1114" t="s">
        <v>334</v>
      </c>
      <c r="F1114" s="12">
        <v>332635</v>
      </c>
      <c r="G1114" s="12" t="str">
        <f>VLOOKUP(Table2[[#This Row],[MemberID]],Table1[#All],3,0)</f>
        <v>Gold</v>
      </c>
      <c r="H1114" s="13">
        <v>33</v>
      </c>
    </row>
    <row r="1115" spans="1:8">
      <c r="A1115" t="s">
        <v>1447</v>
      </c>
      <c r="B1115" t="s">
        <v>90</v>
      </c>
      <c r="C1115" s="8">
        <v>45961</v>
      </c>
      <c r="D1115" t="s">
        <v>321</v>
      </c>
      <c r="E1115" t="s">
        <v>337</v>
      </c>
      <c r="F1115" s="12">
        <v>70431</v>
      </c>
      <c r="G1115" s="12" t="str">
        <f>VLOOKUP(Table2[[#This Row],[MemberID]],Table1[#All],3,0)</f>
        <v>Silver</v>
      </c>
      <c r="H1115" s="13">
        <v>7</v>
      </c>
    </row>
    <row r="1116" spans="1:8">
      <c r="A1116" t="s">
        <v>1448</v>
      </c>
      <c r="B1116" t="s">
        <v>164</v>
      </c>
      <c r="C1116" s="8">
        <v>46271</v>
      </c>
      <c r="D1116" t="s">
        <v>344</v>
      </c>
      <c r="E1116" t="s">
        <v>325</v>
      </c>
      <c r="F1116" s="12">
        <v>410326</v>
      </c>
      <c r="G1116" s="12" t="str">
        <f>VLOOKUP(Table2[[#This Row],[MemberID]],Table1[#All],3,0)</f>
        <v>Silver</v>
      </c>
      <c r="H1116" s="13">
        <v>41</v>
      </c>
    </row>
    <row r="1117" spans="1:8">
      <c r="A1117" t="s">
        <v>1449</v>
      </c>
      <c r="B1117" t="s">
        <v>140</v>
      </c>
      <c r="C1117" s="8">
        <v>46242</v>
      </c>
      <c r="D1117" t="s">
        <v>324</v>
      </c>
      <c r="E1117" t="s">
        <v>337</v>
      </c>
      <c r="F1117" s="12">
        <v>287319</v>
      </c>
      <c r="G1117" s="12" t="str">
        <f>VLOOKUP(Table2[[#This Row],[MemberID]],Table1[#All],3,0)</f>
        <v>Silver</v>
      </c>
      <c r="H1117" s="13">
        <v>28</v>
      </c>
    </row>
    <row r="1118" spans="1:8">
      <c r="A1118" t="s">
        <v>1450</v>
      </c>
      <c r="B1118" t="s">
        <v>309</v>
      </c>
      <c r="C1118" s="8">
        <v>45949</v>
      </c>
      <c r="D1118" t="s">
        <v>330</v>
      </c>
      <c r="E1118" t="s">
        <v>328</v>
      </c>
      <c r="F1118" s="12">
        <v>281678</v>
      </c>
      <c r="G1118" s="12" t="str">
        <f>VLOOKUP(Table2[[#This Row],[MemberID]],Table1[#All],3,0)</f>
        <v>Gold</v>
      </c>
      <c r="H1118" s="13">
        <v>28</v>
      </c>
    </row>
    <row r="1119" spans="1:8">
      <c r="A1119" t="s">
        <v>1451</v>
      </c>
      <c r="B1119" t="s">
        <v>141</v>
      </c>
      <c r="C1119" s="8">
        <v>46293</v>
      </c>
      <c r="D1119" t="s">
        <v>330</v>
      </c>
      <c r="E1119" t="s">
        <v>334</v>
      </c>
      <c r="F1119" s="12">
        <v>289393</v>
      </c>
      <c r="G1119" s="12" t="str">
        <f>VLOOKUP(Table2[[#This Row],[MemberID]],Table1[#All],3,0)</f>
        <v>Silver</v>
      </c>
      <c r="H1119" s="13">
        <v>28</v>
      </c>
    </row>
    <row r="1120" spans="1:8">
      <c r="A1120" t="s">
        <v>1452</v>
      </c>
      <c r="B1120" t="s">
        <v>304</v>
      </c>
      <c r="C1120" s="8">
        <v>46078</v>
      </c>
      <c r="D1120" t="s">
        <v>324</v>
      </c>
      <c r="E1120" t="s">
        <v>322</v>
      </c>
      <c r="F1120" s="12">
        <v>468078</v>
      </c>
      <c r="G1120" s="12" t="str">
        <f>VLOOKUP(Table2[[#This Row],[MemberID]],Table1[#All],3,0)</f>
        <v>Silver</v>
      </c>
      <c r="H1120" s="13">
        <v>46</v>
      </c>
    </row>
    <row r="1121" spans="1:8">
      <c r="A1121" t="s">
        <v>1453</v>
      </c>
      <c r="B1121" t="s">
        <v>126</v>
      </c>
      <c r="C1121" s="8">
        <v>46100</v>
      </c>
      <c r="D1121" t="s">
        <v>330</v>
      </c>
      <c r="E1121" t="s">
        <v>328</v>
      </c>
      <c r="F1121" s="12">
        <v>305378</v>
      </c>
      <c r="G1121" s="12" t="str">
        <f>VLOOKUP(Table2[[#This Row],[MemberID]],Table1[#All],3,0)</f>
        <v>Silver</v>
      </c>
      <c r="H1121" s="13">
        <v>30</v>
      </c>
    </row>
    <row r="1122" spans="1:8">
      <c r="A1122" t="s">
        <v>1454</v>
      </c>
      <c r="B1122" t="s">
        <v>84</v>
      </c>
      <c r="C1122" s="8">
        <v>46184</v>
      </c>
      <c r="D1122" t="s">
        <v>344</v>
      </c>
      <c r="E1122" t="s">
        <v>334</v>
      </c>
      <c r="F1122" s="12">
        <v>834001</v>
      </c>
      <c r="G1122" s="12" t="str">
        <f>VLOOKUP(Table2[[#This Row],[MemberID]],Table1[#All],3,0)</f>
        <v>Silver</v>
      </c>
      <c r="H1122" s="13">
        <v>83</v>
      </c>
    </row>
    <row r="1123" spans="1:8">
      <c r="A1123" t="s">
        <v>1455</v>
      </c>
      <c r="B1123" t="s">
        <v>58</v>
      </c>
      <c r="C1123" s="8">
        <v>46011</v>
      </c>
      <c r="D1123" t="s">
        <v>350</v>
      </c>
      <c r="E1123" t="s">
        <v>334</v>
      </c>
      <c r="F1123" s="12">
        <v>342765</v>
      </c>
      <c r="G1123" s="12" t="str">
        <f>VLOOKUP(Table2[[#This Row],[MemberID]],Table1[#All],3,0)</f>
        <v>Silver</v>
      </c>
      <c r="H1123" s="13">
        <v>34</v>
      </c>
    </row>
    <row r="1124" spans="1:8">
      <c r="A1124" t="s">
        <v>1456</v>
      </c>
      <c r="B1124" t="s">
        <v>28</v>
      </c>
      <c r="C1124" s="8">
        <v>46238</v>
      </c>
      <c r="D1124" t="s">
        <v>324</v>
      </c>
      <c r="E1124" t="s">
        <v>334</v>
      </c>
      <c r="F1124" s="12">
        <v>293768</v>
      </c>
      <c r="G1124" s="12" t="str">
        <f>VLOOKUP(Table2[[#This Row],[MemberID]],Table1[#All],3,0)</f>
        <v>Gold</v>
      </c>
      <c r="H1124" s="13">
        <v>29</v>
      </c>
    </row>
    <row r="1125" spans="1:8">
      <c r="A1125" t="s">
        <v>1457</v>
      </c>
      <c r="B1125" t="s">
        <v>51</v>
      </c>
      <c r="C1125" s="8">
        <v>45987</v>
      </c>
      <c r="D1125" t="s">
        <v>321</v>
      </c>
      <c r="E1125" t="s">
        <v>339</v>
      </c>
      <c r="F1125" s="12">
        <v>417409</v>
      </c>
      <c r="G1125" s="12" t="str">
        <f>VLOOKUP(Table2[[#This Row],[MemberID]],Table1[#All],3,0)</f>
        <v>Gold</v>
      </c>
      <c r="H1125" s="13">
        <v>41</v>
      </c>
    </row>
    <row r="1126" spans="1:8">
      <c r="A1126" t="s">
        <v>1458</v>
      </c>
      <c r="B1126" t="s">
        <v>148</v>
      </c>
      <c r="C1126" s="8">
        <v>45942</v>
      </c>
      <c r="D1126" t="s">
        <v>350</v>
      </c>
      <c r="E1126" t="s">
        <v>322</v>
      </c>
      <c r="F1126" s="12">
        <v>270247</v>
      </c>
      <c r="G1126" s="12" t="str">
        <f>VLOOKUP(Table2[[#This Row],[MemberID]],Table1[#All],3,0)</f>
        <v>Gold</v>
      </c>
      <c r="H1126" s="13">
        <v>27</v>
      </c>
    </row>
    <row r="1127" spans="1:8">
      <c r="A1127" t="s">
        <v>1459</v>
      </c>
      <c r="B1127" t="s">
        <v>29</v>
      </c>
      <c r="C1127" s="8">
        <v>46046</v>
      </c>
      <c r="D1127" t="s">
        <v>332</v>
      </c>
      <c r="E1127" t="s">
        <v>339</v>
      </c>
      <c r="F1127" s="12">
        <v>56405</v>
      </c>
      <c r="G1127" s="12" t="str">
        <f>VLOOKUP(Table2[[#This Row],[MemberID]],Table1[#All],3,0)</f>
        <v>Gold</v>
      </c>
      <c r="H1127" s="13">
        <v>5</v>
      </c>
    </row>
    <row r="1128" spans="1:8">
      <c r="A1128" t="s">
        <v>1460</v>
      </c>
      <c r="B1128" t="s">
        <v>102</v>
      </c>
      <c r="C1128" s="8">
        <v>45933</v>
      </c>
      <c r="D1128" t="s">
        <v>330</v>
      </c>
      <c r="E1128" t="s">
        <v>328</v>
      </c>
      <c r="F1128" s="12">
        <v>287495</v>
      </c>
      <c r="G1128" s="12" t="str">
        <f>VLOOKUP(Table2[[#This Row],[MemberID]],Table1[#All],3,0)</f>
        <v>Platinum</v>
      </c>
      <c r="H1128" s="13">
        <v>28</v>
      </c>
    </row>
    <row r="1129" spans="1:8">
      <c r="A1129" t="s">
        <v>1461</v>
      </c>
      <c r="B1129" t="s">
        <v>95</v>
      </c>
      <c r="C1129" s="8">
        <v>46153</v>
      </c>
      <c r="D1129" t="s">
        <v>324</v>
      </c>
      <c r="E1129" t="s">
        <v>325</v>
      </c>
      <c r="F1129" s="12">
        <v>317614</v>
      </c>
      <c r="G1129" s="12" t="str">
        <f>VLOOKUP(Table2[[#This Row],[MemberID]],Table1[#All],3,0)</f>
        <v>Silver</v>
      </c>
      <c r="H1129" s="13">
        <v>31</v>
      </c>
    </row>
    <row r="1130" spans="1:8">
      <c r="A1130" t="s">
        <v>1462</v>
      </c>
      <c r="B1130" t="s">
        <v>272</v>
      </c>
      <c r="C1130" s="8">
        <v>45991</v>
      </c>
      <c r="D1130" t="s">
        <v>342</v>
      </c>
      <c r="E1130" t="s">
        <v>339</v>
      </c>
      <c r="F1130" s="12">
        <v>509097</v>
      </c>
      <c r="G1130" s="12" t="str">
        <f>VLOOKUP(Table2[[#This Row],[MemberID]],Table1[#All],3,0)</f>
        <v>Silver</v>
      </c>
      <c r="H1130" s="13">
        <v>50</v>
      </c>
    </row>
    <row r="1131" spans="1:8">
      <c r="A1131" t="s">
        <v>1463</v>
      </c>
      <c r="B1131" t="s">
        <v>94</v>
      </c>
      <c r="C1131" s="8">
        <v>45944</v>
      </c>
      <c r="D1131" t="s">
        <v>342</v>
      </c>
      <c r="E1131" t="s">
        <v>334</v>
      </c>
      <c r="F1131" s="12">
        <v>484796</v>
      </c>
      <c r="G1131" s="12" t="str">
        <f>VLOOKUP(Table2[[#This Row],[MemberID]],Table1[#All],3,0)</f>
        <v>Silver</v>
      </c>
      <c r="H1131" s="13">
        <v>48</v>
      </c>
    </row>
    <row r="1132" spans="1:8">
      <c r="A1132" t="s">
        <v>1464</v>
      </c>
      <c r="B1132" t="s">
        <v>118</v>
      </c>
      <c r="C1132" s="8">
        <v>46234</v>
      </c>
      <c r="D1132" t="s">
        <v>344</v>
      </c>
      <c r="E1132" t="s">
        <v>325</v>
      </c>
      <c r="F1132" s="12">
        <v>459530</v>
      </c>
      <c r="G1132" s="12" t="str">
        <f>VLOOKUP(Table2[[#This Row],[MemberID]],Table1[#All],3,0)</f>
        <v>Silver</v>
      </c>
      <c r="H1132" s="13">
        <v>45</v>
      </c>
    </row>
    <row r="1133" spans="1:8">
      <c r="A1133" t="s">
        <v>1465</v>
      </c>
      <c r="B1133" t="s">
        <v>245</v>
      </c>
      <c r="C1133" s="8">
        <v>45943</v>
      </c>
      <c r="D1133" t="s">
        <v>321</v>
      </c>
      <c r="E1133" t="s">
        <v>339</v>
      </c>
      <c r="F1133" s="12">
        <v>222595</v>
      </c>
      <c r="G1133" s="12" t="str">
        <f>VLOOKUP(Table2[[#This Row],[MemberID]],Table1[#All],3,0)</f>
        <v>Silver</v>
      </c>
      <c r="H1133" s="13">
        <v>22</v>
      </c>
    </row>
    <row r="1134" spans="1:8">
      <c r="A1134" t="s">
        <v>1466</v>
      </c>
      <c r="B1134" t="s">
        <v>53</v>
      </c>
      <c r="C1134" s="8">
        <v>46156</v>
      </c>
      <c r="D1134" t="s">
        <v>332</v>
      </c>
      <c r="E1134" t="s">
        <v>334</v>
      </c>
      <c r="F1134" s="12">
        <v>127540</v>
      </c>
      <c r="G1134" s="12" t="str">
        <f>VLOOKUP(Table2[[#This Row],[MemberID]],Table1[#All],3,0)</f>
        <v>Silver</v>
      </c>
      <c r="H1134" s="13">
        <v>12</v>
      </c>
    </row>
    <row r="1135" spans="1:8">
      <c r="A1135" t="s">
        <v>1467</v>
      </c>
      <c r="B1135" t="s">
        <v>65</v>
      </c>
      <c r="C1135" s="8">
        <v>46205</v>
      </c>
      <c r="D1135" t="s">
        <v>344</v>
      </c>
      <c r="E1135" t="s">
        <v>322</v>
      </c>
      <c r="F1135" s="12">
        <v>125085</v>
      </c>
      <c r="G1135" s="12" t="str">
        <f>VLOOKUP(Table2[[#This Row],[MemberID]],Table1[#All],3,0)</f>
        <v>Gold</v>
      </c>
      <c r="H1135" s="13">
        <v>12</v>
      </c>
    </row>
    <row r="1136" spans="1:8">
      <c r="A1136" t="s">
        <v>1468</v>
      </c>
      <c r="B1136" t="s">
        <v>180</v>
      </c>
      <c r="C1136" s="8">
        <v>46265</v>
      </c>
      <c r="D1136" t="s">
        <v>332</v>
      </c>
      <c r="E1136" t="s">
        <v>334</v>
      </c>
      <c r="F1136" s="12">
        <v>177574</v>
      </c>
      <c r="G1136" s="12" t="str">
        <f>VLOOKUP(Table2[[#This Row],[MemberID]],Table1[#All],3,0)</f>
        <v>Platinum</v>
      </c>
      <c r="H1136" s="13">
        <v>17</v>
      </c>
    </row>
    <row r="1137" spans="1:8">
      <c r="A1137" t="s">
        <v>1469</v>
      </c>
      <c r="B1137" t="s">
        <v>224</v>
      </c>
      <c r="C1137" s="8">
        <v>46096</v>
      </c>
      <c r="D1137" t="s">
        <v>342</v>
      </c>
      <c r="E1137" t="s">
        <v>322</v>
      </c>
      <c r="F1137" s="12">
        <v>199081</v>
      </c>
      <c r="G1137" s="12" t="str">
        <f>VLOOKUP(Table2[[#This Row],[MemberID]],Table1[#All],3,0)</f>
        <v>Gold</v>
      </c>
      <c r="H1137" s="13">
        <v>19</v>
      </c>
    </row>
    <row r="1138" spans="1:8">
      <c r="A1138" t="s">
        <v>1470</v>
      </c>
      <c r="B1138" t="s">
        <v>281</v>
      </c>
      <c r="C1138" s="8">
        <v>46014</v>
      </c>
      <c r="D1138" t="s">
        <v>324</v>
      </c>
      <c r="E1138" t="s">
        <v>322</v>
      </c>
      <c r="F1138" s="12">
        <v>35529</v>
      </c>
      <c r="G1138" s="12" t="str">
        <f>VLOOKUP(Table2[[#This Row],[MemberID]],Table1[#All],3,0)</f>
        <v>Gold</v>
      </c>
      <c r="H1138" s="13">
        <v>3</v>
      </c>
    </row>
    <row r="1139" spans="1:8">
      <c r="A1139" t="s">
        <v>1471</v>
      </c>
      <c r="B1139" t="s">
        <v>64</v>
      </c>
      <c r="C1139" s="8">
        <v>46145</v>
      </c>
      <c r="D1139" t="s">
        <v>330</v>
      </c>
      <c r="E1139" t="s">
        <v>328</v>
      </c>
      <c r="F1139" s="12">
        <v>157585</v>
      </c>
      <c r="G1139" s="12" t="str">
        <f>VLOOKUP(Table2[[#This Row],[MemberID]],Table1[#All],3,0)</f>
        <v>Silver</v>
      </c>
      <c r="H1139" s="13">
        <v>15</v>
      </c>
    </row>
    <row r="1140" spans="1:8">
      <c r="A1140" t="s">
        <v>1472</v>
      </c>
      <c r="B1140" t="s">
        <v>184</v>
      </c>
      <c r="C1140" s="8">
        <v>46043</v>
      </c>
      <c r="D1140" t="s">
        <v>332</v>
      </c>
      <c r="E1140" t="s">
        <v>339</v>
      </c>
      <c r="F1140" s="12">
        <v>1178406</v>
      </c>
      <c r="G1140" s="12" t="str">
        <f>VLOOKUP(Table2[[#This Row],[MemberID]],Table1[#All],3,0)</f>
        <v>Silver</v>
      </c>
      <c r="H1140" s="13">
        <v>117</v>
      </c>
    </row>
    <row r="1141" spans="1:8">
      <c r="A1141" t="s">
        <v>1473</v>
      </c>
      <c r="B1141" t="s">
        <v>308</v>
      </c>
      <c r="C1141" s="8">
        <v>46029</v>
      </c>
      <c r="D1141" t="s">
        <v>344</v>
      </c>
      <c r="E1141" t="s">
        <v>328</v>
      </c>
      <c r="F1141" s="12">
        <v>397124</v>
      </c>
      <c r="G1141" s="12" t="str">
        <f>VLOOKUP(Table2[[#This Row],[MemberID]],Table1[#All],3,0)</f>
        <v>Silver</v>
      </c>
      <c r="H1141" s="13">
        <v>39</v>
      </c>
    </row>
    <row r="1142" spans="1:8">
      <c r="A1142" t="s">
        <v>1474</v>
      </c>
      <c r="B1142" t="s">
        <v>181</v>
      </c>
      <c r="C1142" s="8">
        <v>45934</v>
      </c>
      <c r="D1142" t="s">
        <v>350</v>
      </c>
      <c r="E1142" t="s">
        <v>325</v>
      </c>
      <c r="F1142" s="12">
        <v>76905</v>
      </c>
      <c r="G1142" s="12" t="str">
        <f>VLOOKUP(Table2[[#This Row],[MemberID]],Table1[#All],3,0)</f>
        <v>Gold</v>
      </c>
      <c r="H1142" s="13">
        <v>7</v>
      </c>
    </row>
    <row r="1143" spans="1:8">
      <c r="A1143" t="s">
        <v>1475</v>
      </c>
      <c r="B1143" t="s">
        <v>310</v>
      </c>
      <c r="C1143" s="8">
        <v>46004</v>
      </c>
      <c r="D1143" t="s">
        <v>342</v>
      </c>
      <c r="E1143" t="s">
        <v>328</v>
      </c>
      <c r="F1143" s="12">
        <v>370056</v>
      </c>
      <c r="G1143" s="12" t="str">
        <f>VLOOKUP(Table2[[#This Row],[MemberID]],Table1[#All],3,0)</f>
        <v>Silver</v>
      </c>
      <c r="H1143" s="13">
        <v>37</v>
      </c>
    </row>
    <row r="1144" spans="1:8">
      <c r="A1144" t="s">
        <v>1476</v>
      </c>
      <c r="B1144" t="s">
        <v>6</v>
      </c>
      <c r="C1144" s="8">
        <v>45972</v>
      </c>
      <c r="D1144" t="s">
        <v>327</v>
      </c>
      <c r="E1144" t="s">
        <v>337</v>
      </c>
      <c r="F1144" s="12">
        <v>700071</v>
      </c>
      <c r="G1144" s="12" t="str">
        <f>VLOOKUP(Table2[[#This Row],[MemberID]],Table1[#All],3,0)</f>
        <v>Silver</v>
      </c>
      <c r="H1144" s="13">
        <v>70</v>
      </c>
    </row>
    <row r="1145" spans="1:8">
      <c r="A1145" t="s">
        <v>1477</v>
      </c>
      <c r="B1145" t="s">
        <v>247</v>
      </c>
      <c r="C1145" s="8">
        <v>46274</v>
      </c>
      <c r="D1145" t="s">
        <v>342</v>
      </c>
      <c r="E1145" t="s">
        <v>334</v>
      </c>
      <c r="F1145" s="12">
        <v>229022</v>
      </c>
      <c r="G1145" s="12" t="str">
        <f>VLOOKUP(Table2[[#This Row],[MemberID]],Table1[#All],3,0)</f>
        <v>Silver</v>
      </c>
      <c r="H1145" s="13">
        <v>22</v>
      </c>
    </row>
    <row r="1146" spans="1:8">
      <c r="A1146" t="s">
        <v>1478</v>
      </c>
      <c r="B1146" t="s">
        <v>102</v>
      </c>
      <c r="C1146" s="8">
        <v>46053</v>
      </c>
      <c r="D1146" t="s">
        <v>324</v>
      </c>
      <c r="E1146" t="s">
        <v>322</v>
      </c>
      <c r="F1146" s="12">
        <v>144942</v>
      </c>
      <c r="G1146" s="12" t="str">
        <f>VLOOKUP(Table2[[#This Row],[MemberID]],Table1[#All],3,0)</f>
        <v>Platinum</v>
      </c>
      <c r="H1146" s="13">
        <v>14</v>
      </c>
    </row>
    <row r="1147" spans="1:8">
      <c r="A1147" t="s">
        <v>1479</v>
      </c>
      <c r="B1147" t="s">
        <v>185</v>
      </c>
      <c r="C1147" s="8">
        <v>46202</v>
      </c>
      <c r="D1147" t="s">
        <v>332</v>
      </c>
      <c r="E1147" t="s">
        <v>328</v>
      </c>
      <c r="F1147" s="12">
        <v>293187</v>
      </c>
      <c r="G1147" s="12" t="str">
        <f>VLOOKUP(Table2[[#This Row],[MemberID]],Table1[#All],3,0)</f>
        <v>Gold</v>
      </c>
      <c r="H1147" s="13">
        <v>29</v>
      </c>
    </row>
    <row r="1148" spans="1:8">
      <c r="A1148" t="s">
        <v>1480</v>
      </c>
      <c r="B1148" t="s">
        <v>93</v>
      </c>
      <c r="C1148" s="8">
        <v>45946</v>
      </c>
      <c r="D1148" t="s">
        <v>324</v>
      </c>
      <c r="E1148" t="s">
        <v>325</v>
      </c>
      <c r="F1148" s="12">
        <v>733902</v>
      </c>
      <c r="G1148" s="12" t="str">
        <f>VLOOKUP(Table2[[#This Row],[MemberID]],Table1[#All],3,0)</f>
        <v>Platinum</v>
      </c>
      <c r="H1148" s="13">
        <v>73</v>
      </c>
    </row>
    <row r="1149" spans="1:8">
      <c r="A1149" t="s">
        <v>1481</v>
      </c>
      <c r="B1149" t="s">
        <v>167</v>
      </c>
      <c r="C1149" s="8">
        <v>46280</v>
      </c>
      <c r="D1149" t="s">
        <v>327</v>
      </c>
      <c r="E1149" t="s">
        <v>325</v>
      </c>
      <c r="F1149" s="12">
        <v>303866</v>
      </c>
      <c r="G1149" s="12" t="str">
        <f>VLOOKUP(Table2[[#This Row],[MemberID]],Table1[#All],3,0)</f>
        <v>Silver</v>
      </c>
      <c r="H1149" s="13">
        <v>30</v>
      </c>
    </row>
    <row r="1150" spans="1:8">
      <c r="A1150" t="s">
        <v>1482</v>
      </c>
      <c r="B1150" t="s">
        <v>236</v>
      </c>
      <c r="C1150" s="8">
        <v>46022</v>
      </c>
      <c r="D1150" t="s">
        <v>321</v>
      </c>
      <c r="E1150" t="s">
        <v>339</v>
      </c>
      <c r="F1150" s="12">
        <v>397252</v>
      </c>
      <c r="G1150" s="12" t="str">
        <f>VLOOKUP(Table2[[#This Row],[MemberID]],Table1[#All],3,0)</f>
        <v>Gold</v>
      </c>
      <c r="H1150" s="13">
        <v>39</v>
      </c>
    </row>
    <row r="1151" spans="1:8">
      <c r="A1151" t="s">
        <v>1483</v>
      </c>
      <c r="B1151" t="s">
        <v>286</v>
      </c>
      <c r="C1151" s="8">
        <v>45944</v>
      </c>
      <c r="D1151" t="s">
        <v>344</v>
      </c>
      <c r="E1151" t="s">
        <v>328</v>
      </c>
      <c r="F1151" s="12">
        <v>638305</v>
      </c>
      <c r="G1151" s="12" t="str">
        <f>VLOOKUP(Table2[[#This Row],[MemberID]],Table1[#All],3,0)</f>
        <v>Silver</v>
      </c>
      <c r="H1151" s="13">
        <v>63</v>
      </c>
    </row>
    <row r="1152" spans="1:8">
      <c r="A1152" t="s">
        <v>1484</v>
      </c>
      <c r="B1152" t="s">
        <v>102</v>
      </c>
      <c r="C1152" s="8">
        <v>45983</v>
      </c>
      <c r="D1152" t="s">
        <v>350</v>
      </c>
      <c r="E1152" t="s">
        <v>334</v>
      </c>
      <c r="F1152" s="12">
        <v>105102</v>
      </c>
      <c r="G1152" s="12" t="str">
        <f>VLOOKUP(Table2[[#This Row],[MemberID]],Table1[#All],3,0)</f>
        <v>Platinum</v>
      </c>
      <c r="H1152" s="13">
        <v>10</v>
      </c>
    </row>
    <row r="1153" spans="1:8">
      <c r="A1153" t="s">
        <v>1485</v>
      </c>
      <c r="B1153" t="s">
        <v>126</v>
      </c>
      <c r="C1153" s="8">
        <v>46219</v>
      </c>
      <c r="D1153" t="s">
        <v>350</v>
      </c>
      <c r="E1153" t="s">
        <v>339</v>
      </c>
      <c r="F1153" s="12">
        <v>293599</v>
      </c>
      <c r="G1153" s="12" t="str">
        <f>VLOOKUP(Table2[[#This Row],[MemberID]],Table1[#All],3,0)</f>
        <v>Silver</v>
      </c>
      <c r="H1153" s="13">
        <v>29</v>
      </c>
    </row>
    <row r="1154" spans="1:8">
      <c r="A1154" t="s">
        <v>1486</v>
      </c>
      <c r="B1154" t="s">
        <v>199</v>
      </c>
      <c r="C1154" s="8">
        <v>46106</v>
      </c>
      <c r="D1154" t="s">
        <v>327</v>
      </c>
      <c r="E1154" t="s">
        <v>328</v>
      </c>
      <c r="F1154" s="12">
        <v>172339</v>
      </c>
      <c r="G1154" s="12" t="str">
        <f>VLOOKUP(Table2[[#This Row],[MemberID]],Table1[#All],3,0)</f>
        <v>Gold</v>
      </c>
      <c r="H1154" s="13">
        <v>17</v>
      </c>
    </row>
    <row r="1155" spans="1:8">
      <c r="A1155" t="s">
        <v>1487</v>
      </c>
      <c r="B1155" t="s">
        <v>128</v>
      </c>
      <c r="C1155" s="8">
        <v>46093</v>
      </c>
      <c r="D1155" t="s">
        <v>330</v>
      </c>
      <c r="E1155" t="s">
        <v>337</v>
      </c>
      <c r="F1155" s="12">
        <v>87485</v>
      </c>
      <c r="G1155" s="12" t="str">
        <f>VLOOKUP(Table2[[#This Row],[MemberID]],Table1[#All],3,0)</f>
        <v>Silver</v>
      </c>
      <c r="H1155" s="13">
        <v>8</v>
      </c>
    </row>
    <row r="1156" spans="1:8">
      <c r="A1156" t="s">
        <v>1488</v>
      </c>
      <c r="B1156" t="s">
        <v>148</v>
      </c>
      <c r="C1156" s="8">
        <v>45955</v>
      </c>
      <c r="D1156" t="s">
        <v>342</v>
      </c>
      <c r="E1156" t="s">
        <v>337</v>
      </c>
      <c r="F1156" s="12">
        <v>285092</v>
      </c>
      <c r="G1156" s="12" t="str">
        <f>VLOOKUP(Table2[[#This Row],[MemberID]],Table1[#All],3,0)</f>
        <v>Gold</v>
      </c>
      <c r="H1156" s="13">
        <v>28</v>
      </c>
    </row>
    <row r="1157" spans="1:8">
      <c r="A1157" t="s">
        <v>1489</v>
      </c>
      <c r="B1157" t="s">
        <v>121</v>
      </c>
      <c r="C1157" s="8">
        <v>46084</v>
      </c>
      <c r="D1157" t="s">
        <v>324</v>
      </c>
      <c r="E1157" t="s">
        <v>328</v>
      </c>
      <c r="F1157" s="12">
        <v>389102</v>
      </c>
      <c r="G1157" s="12" t="str">
        <f>VLOOKUP(Table2[[#This Row],[MemberID]],Table1[#All],3,0)</f>
        <v>Silver</v>
      </c>
      <c r="H1157" s="13">
        <v>38</v>
      </c>
    </row>
    <row r="1158" spans="1:8">
      <c r="A1158" t="s">
        <v>1490</v>
      </c>
      <c r="B1158" t="s">
        <v>247</v>
      </c>
      <c r="C1158" s="8">
        <v>46007</v>
      </c>
      <c r="D1158" t="s">
        <v>350</v>
      </c>
      <c r="E1158" t="s">
        <v>334</v>
      </c>
      <c r="F1158" s="12">
        <v>124272</v>
      </c>
      <c r="G1158" s="12" t="str">
        <f>VLOOKUP(Table2[[#This Row],[MemberID]],Table1[#All],3,0)</f>
        <v>Silver</v>
      </c>
      <c r="H1158" s="13">
        <v>12</v>
      </c>
    </row>
    <row r="1159" spans="1:8">
      <c r="A1159" t="s">
        <v>1491</v>
      </c>
      <c r="B1159" t="s">
        <v>216</v>
      </c>
      <c r="C1159" s="8">
        <v>46200</v>
      </c>
      <c r="D1159" t="s">
        <v>330</v>
      </c>
      <c r="E1159" t="s">
        <v>339</v>
      </c>
      <c r="F1159" s="12">
        <v>25000</v>
      </c>
      <c r="G1159" s="12" t="str">
        <f>VLOOKUP(Table2[[#This Row],[MemberID]],Table1[#All],3,0)</f>
        <v>Silver</v>
      </c>
      <c r="H1159" s="13">
        <v>2</v>
      </c>
    </row>
    <row r="1160" spans="1:8">
      <c r="A1160" t="s">
        <v>1492</v>
      </c>
      <c r="B1160" t="s">
        <v>231</v>
      </c>
      <c r="C1160" s="8">
        <v>46257</v>
      </c>
      <c r="D1160" t="s">
        <v>324</v>
      </c>
      <c r="E1160" t="s">
        <v>328</v>
      </c>
      <c r="F1160" s="12">
        <v>347954</v>
      </c>
      <c r="G1160" s="12" t="str">
        <f>VLOOKUP(Table2[[#This Row],[MemberID]],Table1[#All],3,0)</f>
        <v>Silver</v>
      </c>
      <c r="H1160" s="13">
        <v>34</v>
      </c>
    </row>
    <row r="1161" spans="1:8">
      <c r="A1161" t="s">
        <v>1493</v>
      </c>
      <c r="B1161" t="s">
        <v>218</v>
      </c>
      <c r="C1161" s="8">
        <v>46284</v>
      </c>
      <c r="D1161" t="s">
        <v>342</v>
      </c>
      <c r="E1161" t="s">
        <v>339</v>
      </c>
      <c r="F1161" s="12">
        <v>409568</v>
      </c>
      <c r="G1161" s="12" t="str">
        <f>VLOOKUP(Table2[[#This Row],[MemberID]],Table1[#All],3,0)</f>
        <v>Gold</v>
      </c>
      <c r="H1161" s="13">
        <v>40</v>
      </c>
    </row>
    <row r="1162" spans="1:8">
      <c r="A1162" t="s">
        <v>1494</v>
      </c>
      <c r="B1162" t="s">
        <v>201</v>
      </c>
      <c r="C1162" s="8">
        <v>46254</v>
      </c>
      <c r="D1162" t="s">
        <v>332</v>
      </c>
      <c r="E1162" t="s">
        <v>322</v>
      </c>
      <c r="F1162" s="12">
        <v>324040</v>
      </c>
      <c r="G1162" s="12" t="str">
        <f>VLOOKUP(Table2[[#This Row],[MemberID]],Table1[#All],3,0)</f>
        <v>Platinum</v>
      </c>
      <c r="H1162" s="13">
        <v>32</v>
      </c>
    </row>
    <row r="1163" spans="1:8">
      <c r="A1163" t="s">
        <v>1495</v>
      </c>
      <c r="B1163" t="s">
        <v>149</v>
      </c>
      <c r="C1163" s="8">
        <v>46146</v>
      </c>
      <c r="D1163" t="s">
        <v>342</v>
      </c>
      <c r="E1163" t="s">
        <v>337</v>
      </c>
      <c r="F1163" s="12">
        <v>254066</v>
      </c>
      <c r="G1163" s="12" t="str">
        <f>VLOOKUP(Table2[[#This Row],[MemberID]],Table1[#All],3,0)</f>
        <v>Gold</v>
      </c>
      <c r="H1163" s="13">
        <v>25</v>
      </c>
    </row>
    <row r="1164" spans="1:8">
      <c r="A1164" t="s">
        <v>1496</v>
      </c>
      <c r="B1164" t="s">
        <v>95</v>
      </c>
      <c r="C1164" s="8">
        <v>46251</v>
      </c>
      <c r="D1164" t="s">
        <v>321</v>
      </c>
      <c r="E1164" t="s">
        <v>339</v>
      </c>
      <c r="F1164" s="12">
        <v>255497</v>
      </c>
      <c r="G1164" s="12" t="str">
        <f>VLOOKUP(Table2[[#This Row],[MemberID]],Table1[#All],3,0)</f>
        <v>Silver</v>
      </c>
      <c r="H1164" s="13">
        <v>25</v>
      </c>
    </row>
    <row r="1165" spans="1:8">
      <c r="A1165" t="s">
        <v>1497</v>
      </c>
      <c r="B1165" t="s">
        <v>141</v>
      </c>
      <c r="C1165" s="8">
        <v>46114</v>
      </c>
      <c r="D1165" t="s">
        <v>324</v>
      </c>
      <c r="E1165" t="s">
        <v>328</v>
      </c>
      <c r="F1165" s="12">
        <v>230539</v>
      </c>
      <c r="G1165" s="12" t="str">
        <f>VLOOKUP(Table2[[#This Row],[MemberID]],Table1[#All],3,0)</f>
        <v>Silver</v>
      </c>
      <c r="H1165" s="13">
        <v>23</v>
      </c>
    </row>
    <row r="1166" spans="1:8">
      <c r="A1166" t="s">
        <v>1498</v>
      </c>
      <c r="B1166" t="s">
        <v>126</v>
      </c>
      <c r="C1166" s="8">
        <v>46050</v>
      </c>
      <c r="D1166" t="s">
        <v>350</v>
      </c>
      <c r="E1166" t="s">
        <v>322</v>
      </c>
      <c r="F1166" s="12">
        <v>138456</v>
      </c>
      <c r="G1166" s="12" t="str">
        <f>VLOOKUP(Table2[[#This Row],[MemberID]],Table1[#All],3,0)</f>
        <v>Silver</v>
      </c>
      <c r="H1166" s="13">
        <v>13</v>
      </c>
    </row>
    <row r="1167" spans="1:8">
      <c r="A1167" t="s">
        <v>1499</v>
      </c>
      <c r="B1167" t="s">
        <v>200</v>
      </c>
      <c r="C1167" s="8">
        <v>46112</v>
      </c>
      <c r="D1167" t="s">
        <v>327</v>
      </c>
      <c r="E1167" t="s">
        <v>337</v>
      </c>
      <c r="F1167" s="12">
        <v>156846</v>
      </c>
      <c r="G1167" s="12" t="str">
        <f>VLOOKUP(Table2[[#This Row],[MemberID]],Table1[#All],3,0)</f>
        <v>Silver</v>
      </c>
      <c r="H1167" s="13">
        <v>15</v>
      </c>
    </row>
    <row r="1168" spans="1:8">
      <c r="A1168" t="s">
        <v>1500</v>
      </c>
      <c r="B1168" t="s">
        <v>19</v>
      </c>
      <c r="C1168" s="8">
        <v>46134</v>
      </c>
      <c r="D1168" t="s">
        <v>324</v>
      </c>
      <c r="E1168" t="s">
        <v>328</v>
      </c>
      <c r="F1168" s="12">
        <v>798808</v>
      </c>
      <c r="G1168" s="12" t="str">
        <f>VLOOKUP(Table2[[#This Row],[MemberID]],Table1[#All],3,0)</f>
        <v>Silver</v>
      </c>
      <c r="H1168" s="13">
        <v>79</v>
      </c>
    </row>
    <row r="1169" spans="1:8">
      <c r="A1169" t="s">
        <v>1501</v>
      </c>
      <c r="B1169" t="s">
        <v>245</v>
      </c>
      <c r="C1169" s="8">
        <v>46085</v>
      </c>
      <c r="D1169" t="s">
        <v>350</v>
      </c>
      <c r="E1169" t="s">
        <v>322</v>
      </c>
      <c r="F1169" s="12">
        <v>140753</v>
      </c>
      <c r="G1169" s="12" t="str">
        <f>VLOOKUP(Table2[[#This Row],[MemberID]],Table1[#All],3,0)</f>
        <v>Silver</v>
      </c>
      <c r="H1169" s="13">
        <v>14</v>
      </c>
    </row>
    <row r="1170" spans="1:8">
      <c r="A1170" t="s">
        <v>1502</v>
      </c>
      <c r="B1170" t="s">
        <v>117</v>
      </c>
      <c r="C1170" s="8">
        <v>46188</v>
      </c>
      <c r="D1170" t="s">
        <v>344</v>
      </c>
      <c r="E1170" t="s">
        <v>328</v>
      </c>
      <c r="F1170" s="12">
        <v>557634</v>
      </c>
      <c r="G1170" s="12" t="str">
        <f>VLOOKUP(Table2[[#This Row],[MemberID]],Table1[#All],3,0)</f>
        <v>Silver</v>
      </c>
      <c r="H1170" s="13">
        <v>55</v>
      </c>
    </row>
    <row r="1171" spans="1:8">
      <c r="A1171" t="s">
        <v>1503</v>
      </c>
      <c r="B1171" t="s">
        <v>51</v>
      </c>
      <c r="C1171" s="8">
        <v>45939</v>
      </c>
      <c r="D1171" t="s">
        <v>327</v>
      </c>
      <c r="E1171" t="s">
        <v>322</v>
      </c>
      <c r="F1171" s="12">
        <v>77559</v>
      </c>
      <c r="G1171" s="12" t="str">
        <f>VLOOKUP(Table2[[#This Row],[MemberID]],Table1[#All],3,0)</f>
        <v>Gold</v>
      </c>
      <c r="H1171" s="13">
        <v>7</v>
      </c>
    </row>
    <row r="1172" spans="1:8">
      <c r="A1172" t="s">
        <v>1504</v>
      </c>
      <c r="B1172" t="s">
        <v>107</v>
      </c>
      <c r="C1172" s="8">
        <v>45955</v>
      </c>
      <c r="D1172" t="s">
        <v>344</v>
      </c>
      <c r="E1172" t="s">
        <v>322</v>
      </c>
      <c r="F1172" s="12">
        <v>410555</v>
      </c>
      <c r="G1172" s="12" t="str">
        <f>VLOOKUP(Table2[[#This Row],[MemberID]],Table1[#All],3,0)</f>
        <v>Gold</v>
      </c>
      <c r="H1172" s="13">
        <v>41</v>
      </c>
    </row>
    <row r="1173" spans="1:8">
      <c r="A1173" t="s">
        <v>1505</v>
      </c>
      <c r="B1173" t="s">
        <v>216</v>
      </c>
      <c r="C1173" s="8">
        <v>46251</v>
      </c>
      <c r="D1173" t="s">
        <v>350</v>
      </c>
      <c r="E1173" t="s">
        <v>339</v>
      </c>
      <c r="F1173" s="12">
        <v>561902</v>
      </c>
      <c r="G1173" s="12" t="str">
        <f>VLOOKUP(Table2[[#This Row],[MemberID]],Table1[#All],3,0)</f>
        <v>Silver</v>
      </c>
      <c r="H1173" s="13">
        <v>56</v>
      </c>
    </row>
    <row r="1174" spans="1:8">
      <c r="A1174" t="s">
        <v>1506</v>
      </c>
      <c r="B1174" t="s">
        <v>275</v>
      </c>
      <c r="C1174" s="8">
        <v>46189</v>
      </c>
      <c r="D1174" t="s">
        <v>344</v>
      </c>
      <c r="E1174" t="s">
        <v>325</v>
      </c>
      <c r="F1174" s="12">
        <v>381489</v>
      </c>
      <c r="G1174" s="12" t="str">
        <f>VLOOKUP(Table2[[#This Row],[MemberID]],Table1[#All],3,0)</f>
        <v>Silver</v>
      </c>
      <c r="H1174" s="13">
        <v>38</v>
      </c>
    </row>
    <row r="1175" spans="1:8">
      <c r="A1175" t="s">
        <v>1507</v>
      </c>
      <c r="B1175" t="s">
        <v>30</v>
      </c>
      <c r="C1175" s="8">
        <v>46010</v>
      </c>
      <c r="D1175" t="s">
        <v>350</v>
      </c>
      <c r="E1175" t="s">
        <v>339</v>
      </c>
      <c r="F1175" s="12">
        <v>265283</v>
      </c>
      <c r="G1175" s="12" t="str">
        <f>VLOOKUP(Table2[[#This Row],[MemberID]],Table1[#All],3,0)</f>
        <v>Silver</v>
      </c>
      <c r="H1175" s="13">
        <v>26</v>
      </c>
    </row>
    <row r="1176" spans="1:8">
      <c r="A1176" t="s">
        <v>1508</v>
      </c>
      <c r="B1176" t="s">
        <v>278</v>
      </c>
      <c r="C1176" s="8">
        <v>46067</v>
      </c>
      <c r="D1176" t="s">
        <v>332</v>
      </c>
      <c r="E1176" t="s">
        <v>334</v>
      </c>
      <c r="F1176" s="12">
        <v>287864</v>
      </c>
      <c r="G1176" s="12" t="str">
        <f>VLOOKUP(Table2[[#This Row],[MemberID]],Table1[#All],3,0)</f>
        <v>Silver</v>
      </c>
      <c r="H1176" s="13">
        <v>28</v>
      </c>
    </row>
    <row r="1177" spans="1:8">
      <c r="A1177" t="s">
        <v>1509</v>
      </c>
      <c r="B1177" t="s">
        <v>285</v>
      </c>
      <c r="C1177" s="8">
        <v>46221</v>
      </c>
      <c r="D1177" t="s">
        <v>350</v>
      </c>
      <c r="E1177" t="s">
        <v>328</v>
      </c>
      <c r="F1177" s="12">
        <v>599564</v>
      </c>
      <c r="G1177" s="12" t="str">
        <f>VLOOKUP(Table2[[#This Row],[MemberID]],Table1[#All],3,0)</f>
        <v>Silver</v>
      </c>
      <c r="H1177" s="13">
        <v>59</v>
      </c>
    </row>
    <row r="1178" spans="1:8">
      <c r="A1178" t="s">
        <v>1510</v>
      </c>
      <c r="B1178" t="s">
        <v>18</v>
      </c>
      <c r="C1178" s="8">
        <v>45954</v>
      </c>
      <c r="D1178" t="s">
        <v>344</v>
      </c>
      <c r="E1178" t="s">
        <v>334</v>
      </c>
      <c r="F1178" s="12">
        <v>359368</v>
      </c>
      <c r="G1178" s="12" t="str">
        <f>VLOOKUP(Table2[[#This Row],[MemberID]],Table1[#All],3,0)</f>
        <v>Silver</v>
      </c>
      <c r="H1178" s="13">
        <v>35</v>
      </c>
    </row>
    <row r="1179" spans="1:8">
      <c r="A1179" t="s">
        <v>1511</v>
      </c>
      <c r="B1179" t="s">
        <v>256</v>
      </c>
      <c r="C1179" s="8">
        <v>46255</v>
      </c>
      <c r="D1179" t="s">
        <v>324</v>
      </c>
      <c r="E1179" t="s">
        <v>339</v>
      </c>
      <c r="F1179" s="12">
        <v>500142</v>
      </c>
      <c r="G1179" s="12" t="str">
        <f>VLOOKUP(Table2[[#This Row],[MemberID]],Table1[#All],3,0)</f>
        <v>Gold</v>
      </c>
      <c r="H1179" s="13">
        <v>50</v>
      </c>
    </row>
    <row r="1180" spans="1:8">
      <c r="A1180" t="s">
        <v>1512</v>
      </c>
      <c r="B1180" t="s">
        <v>233</v>
      </c>
      <c r="C1180" s="8">
        <v>46175</v>
      </c>
      <c r="D1180" t="s">
        <v>350</v>
      </c>
      <c r="E1180" t="s">
        <v>339</v>
      </c>
      <c r="F1180" s="12">
        <v>427248</v>
      </c>
      <c r="G1180" s="12" t="str">
        <f>VLOOKUP(Table2[[#This Row],[MemberID]],Table1[#All],3,0)</f>
        <v>Gold</v>
      </c>
      <c r="H1180" s="13">
        <v>42</v>
      </c>
    </row>
    <row r="1181" spans="1:8">
      <c r="A1181" t="s">
        <v>1513</v>
      </c>
      <c r="B1181" t="s">
        <v>140</v>
      </c>
      <c r="C1181" s="8">
        <v>46262</v>
      </c>
      <c r="D1181" t="s">
        <v>324</v>
      </c>
      <c r="E1181" t="s">
        <v>334</v>
      </c>
      <c r="F1181" s="12">
        <v>138157</v>
      </c>
      <c r="G1181" s="12" t="str">
        <f>VLOOKUP(Table2[[#This Row],[MemberID]],Table1[#All],3,0)</f>
        <v>Silver</v>
      </c>
      <c r="H1181" s="13">
        <v>13</v>
      </c>
    </row>
    <row r="1182" spans="1:8">
      <c r="A1182" t="s">
        <v>1514</v>
      </c>
      <c r="B1182" t="s">
        <v>8</v>
      </c>
      <c r="C1182" s="8">
        <v>45954</v>
      </c>
      <c r="D1182" t="s">
        <v>327</v>
      </c>
      <c r="E1182" t="s">
        <v>322</v>
      </c>
      <c r="F1182" s="12">
        <v>467803</v>
      </c>
      <c r="G1182" s="12" t="str">
        <f>VLOOKUP(Table2[[#This Row],[MemberID]],Table1[#All],3,0)</f>
        <v>Gold</v>
      </c>
      <c r="H1182" s="13">
        <v>46</v>
      </c>
    </row>
    <row r="1183" spans="1:8">
      <c r="A1183" t="s">
        <v>1515</v>
      </c>
      <c r="B1183" t="s">
        <v>184</v>
      </c>
      <c r="C1183" s="8">
        <v>46004</v>
      </c>
      <c r="D1183" t="s">
        <v>350</v>
      </c>
      <c r="E1183" t="s">
        <v>339</v>
      </c>
      <c r="F1183" s="12">
        <v>90575</v>
      </c>
      <c r="G1183" s="12" t="str">
        <f>VLOOKUP(Table2[[#This Row],[MemberID]],Table1[#All],3,0)</f>
        <v>Silver</v>
      </c>
      <c r="H1183" s="13">
        <v>9</v>
      </c>
    </row>
    <row r="1184" spans="1:8">
      <c r="A1184" t="s">
        <v>1516</v>
      </c>
      <c r="B1184" t="s">
        <v>47</v>
      </c>
      <c r="C1184" s="8">
        <v>45973</v>
      </c>
      <c r="D1184" t="s">
        <v>350</v>
      </c>
      <c r="E1184" t="s">
        <v>334</v>
      </c>
      <c r="F1184" s="12">
        <v>806181</v>
      </c>
      <c r="G1184" s="12" t="str">
        <f>VLOOKUP(Table2[[#This Row],[MemberID]],Table1[#All],3,0)</f>
        <v>Silver</v>
      </c>
      <c r="H1184" s="13">
        <v>80</v>
      </c>
    </row>
    <row r="1185" spans="1:8">
      <c r="A1185" t="s">
        <v>1517</v>
      </c>
      <c r="B1185" t="s">
        <v>179</v>
      </c>
      <c r="C1185" s="8">
        <v>46171</v>
      </c>
      <c r="D1185" t="s">
        <v>321</v>
      </c>
      <c r="E1185" t="s">
        <v>322</v>
      </c>
      <c r="F1185" s="12">
        <v>340493</v>
      </c>
      <c r="G1185" s="12" t="str">
        <f>VLOOKUP(Table2[[#This Row],[MemberID]],Table1[#All],3,0)</f>
        <v>Gold</v>
      </c>
      <c r="H1185" s="13">
        <v>34</v>
      </c>
    </row>
    <row r="1186" spans="1:8">
      <c r="A1186" t="s">
        <v>1518</v>
      </c>
      <c r="B1186" t="s">
        <v>61</v>
      </c>
      <c r="C1186" s="8">
        <v>46188</v>
      </c>
      <c r="D1186" t="s">
        <v>344</v>
      </c>
      <c r="E1186" t="s">
        <v>322</v>
      </c>
      <c r="F1186" s="12">
        <v>647930</v>
      </c>
      <c r="G1186" s="12" t="str">
        <f>VLOOKUP(Table2[[#This Row],[MemberID]],Table1[#All],3,0)</f>
        <v>Platinum</v>
      </c>
      <c r="H1186" s="13">
        <v>64</v>
      </c>
    </row>
    <row r="1187" spans="1:8">
      <c r="A1187" t="s">
        <v>1519</v>
      </c>
      <c r="B1187" t="s">
        <v>275</v>
      </c>
      <c r="C1187" s="8">
        <v>46214</v>
      </c>
      <c r="D1187" t="s">
        <v>330</v>
      </c>
      <c r="E1187" t="s">
        <v>322</v>
      </c>
      <c r="F1187" s="12">
        <v>380634</v>
      </c>
      <c r="G1187" s="12" t="str">
        <f>VLOOKUP(Table2[[#This Row],[MemberID]],Table1[#All],3,0)</f>
        <v>Silver</v>
      </c>
      <c r="H1187" s="13">
        <v>38</v>
      </c>
    </row>
    <row r="1188" spans="1:8">
      <c r="A1188" t="s">
        <v>1520</v>
      </c>
      <c r="B1188" t="s">
        <v>143</v>
      </c>
      <c r="C1188" s="8">
        <v>46017</v>
      </c>
      <c r="D1188" t="s">
        <v>350</v>
      </c>
      <c r="E1188" t="s">
        <v>325</v>
      </c>
      <c r="F1188" s="12">
        <v>112844</v>
      </c>
      <c r="G1188" s="12" t="str">
        <f>VLOOKUP(Table2[[#This Row],[MemberID]],Table1[#All],3,0)</f>
        <v>Silver</v>
      </c>
      <c r="H1188" s="13">
        <v>11</v>
      </c>
    </row>
    <row r="1189" spans="1:8">
      <c r="A1189" t="s">
        <v>1521</v>
      </c>
      <c r="B1189" t="s">
        <v>231</v>
      </c>
      <c r="C1189" s="8">
        <v>46265</v>
      </c>
      <c r="D1189" t="s">
        <v>350</v>
      </c>
      <c r="E1189" t="s">
        <v>339</v>
      </c>
      <c r="F1189" s="12">
        <v>148454</v>
      </c>
      <c r="G1189" s="12" t="str">
        <f>VLOOKUP(Table2[[#This Row],[MemberID]],Table1[#All],3,0)</f>
        <v>Silver</v>
      </c>
      <c r="H1189" s="13">
        <v>14</v>
      </c>
    </row>
    <row r="1190" spans="1:8">
      <c r="A1190" t="s">
        <v>1522</v>
      </c>
      <c r="B1190" t="s">
        <v>310</v>
      </c>
      <c r="C1190" s="8">
        <v>45993</v>
      </c>
      <c r="D1190" t="s">
        <v>327</v>
      </c>
      <c r="E1190" t="s">
        <v>334</v>
      </c>
      <c r="F1190" s="12">
        <v>520330</v>
      </c>
      <c r="G1190" s="12" t="str">
        <f>VLOOKUP(Table2[[#This Row],[MemberID]],Table1[#All],3,0)</f>
        <v>Silver</v>
      </c>
      <c r="H1190" s="13">
        <v>52</v>
      </c>
    </row>
    <row r="1191" spans="1:8">
      <c r="A1191" t="s">
        <v>1523</v>
      </c>
      <c r="B1191" t="s">
        <v>119</v>
      </c>
      <c r="C1191" s="8">
        <v>45969</v>
      </c>
      <c r="D1191" t="s">
        <v>330</v>
      </c>
      <c r="E1191" t="s">
        <v>328</v>
      </c>
      <c r="F1191" s="12">
        <v>286413</v>
      </c>
      <c r="G1191" s="12" t="str">
        <f>VLOOKUP(Table2[[#This Row],[MemberID]],Table1[#All],3,0)</f>
        <v>Gold</v>
      </c>
      <c r="H1191" s="13">
        <v>28</v>
      </c>
    </row>
    <row r="1192" spans="1:8">
      <c r="A1192" t="s">
        <v>1524</v>
      </c>
      <c r="B1192" t="s">
        <v>148</v>
      </c>
      <c r="C1192" s="8">
        <v>46118</v>
      </c>
      <c r="D1192" t="s">
        <v>344</v>
      </c>
      <c r="E1192" t="s">
        <v>325</v>
      </c>
      <c r="F1192" s="12">
        <v>685934</v>
      </c>
      <c r="G1192" s="12" t="str">
        <f>VLOOKUP(Table2[[#This Row],[MemberID]],Table1[#All],3,0)</f>
        <v>Gold</v>
      </c>
      <c r="H1192" s="13">
        <v>68</v>
      </c>
    </row>
    <row r="1193" spans="1:8">
      <c r="A1193" t="s">
        <v>1525</v>
      </c>
      <c r="B1193" t="s">
        <v>308</v>
      </c>
      <c r="C1193" s="8">
        <v>46077</v>
      </c>
      <c r="D1193" t="s">
        <v>350</v>
      </c>
      <c r="E1193" t="s">
        <v>334</v>
      </c>
      <c r="F1193" s="12">
        <v>41630</v>
      </c>
      <c r="G1193" s="12" t="str">
        <f>VLOOKUP(Table2[[#This Row],[MemberID]],Table1[#All],3,0)</f>
        <v>Silver</v>
      </c>
      <c r="H1193" s="13">
        <v>4</v>
      </c>
    </row>
    <row r="1194" spans="1:8">
      <c r="A1194" t="s">
        <v>1526</v>
      </c>
      <c r="B1194" t="s">
        <v>69</v>
      </c>
      <c r="C1194" s="8">
        <v>46106</v>
      </c>
      <c r="D1194" t="s">
        <v>327</v>
      </c>
      <c r="E1194" t="s">
        <v>337</v>
      </c>
      <c r="F1194" s="12">
        <v>99801</v>
      </c>
      <c r="G1194" s="12" t="str">
        <f>VLOOKUP(Table2[[#This Row],[MemberID]],Table1[#All],3,0)</f>
        <v>Gold</v>
      </c>
      <c r="H1194" s="13">
        <v>9</v>
      </c>
    </row>
    <row r="1195" spans="1:8">
      <c r="A1195" t="s">
        <v>1527</v>
      </c>
      <c r="B1195" t="s">
        <v>117</v>
      </c>
      <c r="C1195" s="8">
        <v>46191</v>
      </c>
      <c r="D1195" t="s">
        <v>344</v>
      </c>
      <c r="E1195" t="s">
        <v>322</v>
      </c>
      <c r="F1195" s="12">
        <v>190613</v>
      </c>
      <c r="G1195" s="12" t="str">
        <f>VLOOKUP(Table2[[#This Row],[MemberID]],Table1[#All],3,0)</f>
        <v>Silver</v>
      </c>
      <c r="H1195" s="13">
        <v>19</v>
      </c>
    </row>
    <row r="1196" spans="1:8">
      <c r="A1196" t="s">
        <v>1528</v>
      </c>
      <c r="B1196" t="s">
        <v>242</v>
      </c>
      <c r="C1196" s="8">
        <v>46282</v>
      </c>
      <c r="D1196" t="s">
        <v>327</v>
      </c>
      <c r="E1196" t="s">
        <v>334</v>
      </c>
      <c r="F1196" s="12">
        <v>649374</v>
      </c>
      <c r="G1196" s="12" t="str">
        <f>VLOOKUP(Table2[[#This Row],[MemberID]],Table1[#All],3,0)</f>
        <v>Silver</v>
      </c>
      <c r="H1196" s="13">
        <v>64</v>
      </c>
    </row>
    <row r="1197" spans="1:8">
      <c r="A1197" t="s">
        <v>1529</v>
      </c>
      <c r="B1197" t="s">
        <v>213</v>
      </c>
      <c r="C1197" s="8">
        <v>46244</v>
      </c>
      <c r="D1197" t="s">
        <v>324</v>
      </c>
      <c r="E1197" t="s">
        <v>334</v>
      </c>
      <c r="F1197" s="12">
        <v>268520</v>
      </c>
      <c r="G1197" s="12" t="str">
        <f>VLOOKUP(Table2[[#This Row],[MemberID]],Table1[#All],3,0)</f>
        <v>Gold</v>
      </c>
      <c r="H1197" s="13">
        <v>26</v>
      </c>
    </row>
    <row r="1198" spans="1:8">
      <c r="A1198" t="s">
        <v>1530</v>
      </c>
      <c r="B1198" t="s">
        <v>288</v>
      </c>
      <c r="C1198" s="8">
        <v>46014</v>
      </c>
      <c r="D1198" t="s">
        <v>344</v>
      </c>
      <c r="E1198" t="s">
        <v>334</v>
      </c>
      <c r="F1198" s="12">
        <v>716989</v>
      </c>
      <c r="G1198" s="12" t="str">
        <f>VLOOKUP(Table2[[#This Row],[MemberID]],Table1[#All],3,0)</f>
        <v>Silver</v>
      </c>
      <c r="H1198" s="13">
        <v>71</v>
      </c>
    </row>
    <row r="1199" spans="1:8">
      <c r="A1199" t="s">
        <v>1531</v>
      </c>
      <c r="B1199" t="s">
        <v>85</v>
      </c>
      <c r="C1199" s="8">
        <v>46142</v>
      </c>
      <c r="D1199" t="s">
        <v>332</v>
      </c>
      <c r="E1199" t="s">
        <v>339</v>
      </c>
      <c r="F1199" s="12">
        <v>718472</v>
      </c>
      <c r="G1199" s="12" t="str">
        <f>VLOOKUP(Table2[[#This Row],[MemberID]],Table1[#All],3,0)</f>
        <v>Silver</v>
      </c>
      <c r="H1199" s="13">
        <v>71</v>
      </c>
    </row>
    <row r="1200" spans="1:8">
      <c r="A1200" t="s">
        <v>1532</v>
      </c>
      <c r="B1200" t="s">
        <v>276</v>
      </c>
      <c r="C1200" s="8">
        <v>46176</v>
      </c>
      <c r="D1200" t="s">
        <v>324</v>
      </c>
      <c r="E1200" t="s">
        <v>328</v>
      </c>
      <c r="F1200" s="12">
        <v>295985</v>
      </c>
      <c r="G1200" s="12" t="str">
        <f>VLOOKUP(Table2[[#This Row],[MemberID]],Table1[#All],3,0)</f>
        <v>Gold</v>
      </c>
      <c r="H1200" s="13">
        <v>29</v>
      </c>
    </row>
    <row r="1201" spans="1:8">
      <c r="A1201" t="s">
        <v>1533</v>
      </c>
      <c r="B1201" t="s">
        <v>68</v>
      </c>
      <c r="C1201" s="8">
        <v>45957</v>
      </c>
      <c r="D1201" t="s">
        <v>321</v>
      </c>
      <c r="E1201" t="s">
        <v>328</v>
      </c>
      <c r="F1201" s="12">
        <v>696782</v>
      </c>
      <c r="G1201" s="12" t="str">
        <f>VLOOKUP(Table2[[#This Row],[MemberID]],Table1[#All],3,0)</f>
        <v>Silver</v>
      </c>
      <c r="H1201" s="13">
        <v>69</v>
      </c>
    </row>
    <row r="1202" spans="1:8">
      <c r="A1202" t="s">
        <v>1534</v>
      </c>
      <c r="B1202" t="s">
        <v>58</v>
      </c>
      <c r="C1202" s="8">
        <v>45964</v>
      </c>
      <c r="D1202" t="s">
        <v>324</v>
      </c>
      <c r="E1202" t="s">
        <v>334</v>
      </c>
      <c r="F1202" s="12">
        <v>349878</v>
      </c>
      <c r="G1202" s="12" t="str">
        <f>VLOOKUP(Table2[[#This Row],[MemberID]],Table1[#All],3,0)</f>
        <v>Silver</v>
      </c>
      <c r="H1202" s="13">
        <v>34</v>
      </c>
    </row>
    <row r="1203" spans="1:8">
      <c r="A1203" t="s">
        <v>1535</v>
      </c>
      <c r="B1203" t="s">
        <v>275</v>
      </c>
      <c r="C1203" s="8">
        <v>46106</v>
      </c>
      <c r="D1203" t="s">
        <v>330</v>
      </c>
      <c r="E1203" t="s">
        <v>334</v>
      </c>
      <c r="F1203" s="12">
        <v>114187</v>
      </c>
      <c r="G1203" s="12" t="str">
        <f>VLOOKUP(Table2[[#This Row],[MemberID]],Table1[#All],3,0)</f>
        <v>Silver</v>
      </c>
      <c r="H1203" s="13">
        <v>11</v>
      </c>
    </row>
    <row r="1204" spans="1:8">
      <c r="A1204" t="s">
        <v>1536</v>
      </c>
      <c r="B1204" t="s">
        <v>129</v>
      </c>
      <c r="C1204" s="8">
        <v>46162</v>
      </c>
      <c r="D1204" t="s">
        <v>342</v>
      </c>
      <c r="E1204" t="s">
        <v>322</v>
      </c>
      <c r="F1204" s="12">
        <v>597198</v>
      </c>
      <c r="G1204" s="12" t="str">
        <f>VLOOKUP(Table2[[#This Row],[MemberID]],Table1[#All],3,0)</f>
        <v>Silver</v>
      </c>
      <c r="H1204" s="13">
        <v>59</v>
      </c>
    </row>
    <row r="1205" spans="1:8">
      <c r="A1205" t="s">
        <v>1537</v>
      </c>
      <c r="B1205" t="s">
        <v>87</v>
      </c>
      <c r="C1205" s="8">
        <v>46171</v>
      </c>
      <c r="D1205" t="s">
        <v>327</v>
      </c>
      <c r="E1205" t="s">
        <v>328</v>
      </c>
      <c r="F1205" s="12">
        <v>500968</v>
      </c>
      <c r="G1205" s="12" t="str">
        <f>VLOOKUP(Table2[[#This Row],[MemberID]],Table1[#All],3,0)</f>
        <v>Gold</v>
      </c>
      <c r="H1205" s="13">
        <v>50</v>
      </c>
    </row>
    <row r="1206" spans="1:8">
      <c r="A1206" t="s">
        <v>1538</v>
      </c>
      <c r="B1206" t="s">
        <v>225</v>
      </c>
      <c r="C1206" s="8">
        <v>46050</v>
      </c>
      <c r="D1206" t="s">
        <v>330</v>
      </c>
      <c r="E1206" t="s">
        <v>337</v>
      </c>
      <c r="F1206" s="12">
        <v>32582</v>
      </c>
      <c r="G1206" s="12" t="str">
        <f>VLOOKUP(Table2[[#This Row],[MemberID]],Table1[#All],3,0)</f>
        <v>Platinum</v>
      </c>
      <c r="H1206" s="13">
        <v>3</v>
      </c>
    </row>
    <row r="1207" spans="1:8">
      <c r="A1207" t="s">
        <v>1539</v>
      </c>
      <c r="B1207" t="s">
        <v>244</v>
      </c>
      <c r="C1207" s="8">
        <v>45959</v>
      </c>
      <c r="D1207" t="s">
        <v>324</v>
      </c>
      <c r="E1207" t="s">
        <v>339</v>
      </c>
      <c r="F1207" s="12">
        <v>155922</v>
      </c>
      <c r="G1207" s="12" t="str">
        <f>VLOOKUP(Table2[[#This Row],[MemberID]],Table1[#All],3,0)</f>
        <v>Silver</v>
      </c>
      <c r="H1207" s="13">
        <v>15</v>
      </c>
    </row>
    <row r="1208" spans="1:8">
      <c r="A1208" t="s">
        <v>1540</v>
      </c>
      <c r="B1208" t="s">
        <v>113</v>
      </c>
      <c r="C1208" s="8">
        <v>46205</v>
      </c>
      <c r="D1208" t="s">
        <v>350</v>
      </c>
      <c r="E1208" t="s">
        <v>334</v>
      </c>
      <c r="F1208" s="12">
        <v>390087</v>
      </c>
      <c r="G1208" s="12" t="str">
        <f>VLOOKUP(Table2[[#This Row],[MemberID]],Table1[#All],3,0)</f>
        <v>Silver</v>
      </c>
      <c r="H1208" s="13">
        <v>39</v>
      </c>
    </row>
    <row r="1209" spans="1:8">
      <c r="A1209" t="s">
        <v>1541</v>
      </c>
      <c r="B1209" t="s">
        <v>40</v>
      </c>
      <c r="C1209" s="8">
        <v>46119</v>
      </c>
      <c r="D1209" t="s">
        <v>324</v>
      </c>
      <c r="E1209" t="s">
        <v>322</v>
      </c>
      <c r="F1209" s="12">
        <v>26583</v>
      </c>
      <c r="G1209" s="12" t="str">
        <f>VLOOKUP(Table2[[#This Row],[MemberID]],Table1[#All],3,0)</f>
        <v>Gold</v>
      </c>
      <c r="H1209" s="13">
        <v>2</v>
      </c>
    </row>
    <row r="1210" spans="1:8">
      <c r="A1210" t="s">
        <v>1542</v>
      </c>
      <c r="B1210" t="s">
        <v>246</v>
      </c>
      <c r="C1210" s="8">
        <v>46277</v>
      </c>
      <c r="D1210" t="s">
        <v>350</v>
      </c>
      <c r="E1210" t="s">
        <v>328</v>
      </c>
      <c r="F1210" s="12">
        <v>340044</v>
      </c>
      <c r="G1210" s="12" t="str">
        <f>VLOOKUP(Table2[[#This Row],[MemberID]],Table1[#All],3,0)</f>
        <v>Gold</v>
      </c>
      <c r="H1210" s="13">
        <v>34</v>
      </c>
    </row>
    <row r="1211" spans="1:8">
      <c r="A1211" t="s">
        <v>1543</v>
      </c>
      <c r="B1211" t="s">
        <v>103</v>
      </c>
      <c r="C1211" s="8">
        <v>46147</v>
      </c>
      <c r="D1211" t="s">
        <v>350</v>
      </c>
      <c r="E1211" t="s">
        <v>325</v>
      </c>
      <c r="F1211" s="12">
        <v>185777</v>
      </c>
      <c r="G1211" s="12" t="str">
        <f>VLOOKUP(Table2[[#This Row],[MemberID]],Table1[#All],3,0)</f>
        <v>Silver</v>
      </c>
      <c r="H1211" s="13">
        <v>18</v>
      </c>
    </row>
    <row r="1212" spans="1:8">
      <c r="A1212" t="s">
        <v>1544</v>
      </c>
      <c r="B1212" t="s">
        <v>141</v>
      </c>
      <c r="C1212" s="8">
        <v>46112</v>
      </c>
      <c r="D1212" t="s">
        <v>330</v>
      </c>
      <c r="E1212" t="s">
        <v>337</v>
      </c>
      <c r="F1212" s="12">
        <v>267564</v>
      </c>
      <c r="G1212" s="12" t="str">
        <f>VLOOKUP(Table2[[#This Row],[MemberID]],Table1[#All],3,0)</f>
        <v>Silver</v>
      </c>
      <c r="H1212" s="13">
        <v>26</v>
      </c>
    </row>
    <row r="1213" spans="1:8">
      <c r="A1213" t="s">
        <v>1545</v>
      </c>
      <c r="B1213" t="s">
        <v>94</v>
      </c>
      <c r="C1213" s="8">
        <v>46247</v>
      </c>
      <c r="D1213" t="s">
        <v>324</v>
      </c>
      <c r="E1213" t="s">
        <v>328</v>
      </c>
      <c r="F1213" s="12">
        <v>284251</v>
      </c>
      <c r="G1213" s="12" t="str">
        <f>VLOOKUP(Table2[[#This Row],[MemberID]],Table1[#All],3,0)</f>
        <v>Silver</v>
      </c>
      <c r="H1213" s="13">
        <v>28</v>
      </c>
    </row>
    <row r="1214" spans="1:8">
      <c r="A1214" t="s">
        <v>1546</v>
      </c>
      <c r="B1214" t="s">
        <v>59</v>
      </c>
      <c r="C1214" s="8">
        <v>46224</v>
      </c>
      <c r="D1214" t="s">
        <v>327</v>
      </c>
      <c r="E1214" t="s">
        <v>325</v>
      </c>
      <c r="F1214" s="12">
        <v>242418</v>
      </c>
      <c r="G1214" s="12" t="str">
        <f>VLOOKUP(Table2[[#This Row],[MemberID]],Table1[#All],3,0)</f>
        <v>Platinum</v>
      </c>
      <c r="H1214" s="13">
        <v>24</v>
      </c>
    </row>
    <row r="1215" spans="1:8">
      <c r="A1215" t="s">
        <v>1547</v>
      </c>
      <c r="B1215" t="s">
        <v>110</v>
      </c>
      <c r="C1215" s="8">
        <v>45974</v>
      </c>
      <c r="D1215" t="s">
        <v>330</v>
      </c>
      <c r="E1215" t="s">
        <v>339</v>
      </c>
      <c r="F1215" s="12">
        <v>263198</v>
      </c>
      <c r="G1215" s="12" t="str">
        <f>VLOOKUP(Table2[[#This Row],[MemberID]],Table1[#All],3,0)</f>
        <v>Silver</v>
      </c>
      <c r="H1215" s="13">
        <v>26</v>
      </c>
    </row>
    <row r="1216" spans="1:8">
      <c r="A1216" t="s">
        <v>1548</v>
      </c>
      <c r="B1216" t="s">
        <v>205</v>
      </c>
      <c r="C1216" s="8">
        <v>46258</v>
      </c>
      <c r="D1216" t="s">
        <v>324</v>
      </c>
      <c r="E1216" t="s">
        <v>334</v>
      </c>
      <c r="F1216" s="12">
        <v>159457</v>
      </c>
      <c r="G1216" s="12" t="str">
        <f>VLOOKUP(Table2[[#This Row],[MemberID]],Table1[#All],3,0)</f>
        <v>Silver</v>
      </c>
      <c r="H1216" s="13">
        <v>15</v>
      </c>
    </row>
    <row r="1217" spans="1:8">
      <c r="A1217" t="s">
        <v>1549</v>
      </c>
      <c r="B1217" t="s">
        <v>293</v>
      </c>
      <c r="C1217" s="8">
        <v>46227</v>
      </c>
      <c r="D1217" t="s">
        <v>344</v>
      </c>
      <c r="E1217" t="s">
        <v>339</v>
      </c>
      <c r="F1217" s="12">
        <v>168277</v>
      </c>
      <c r="G1217" s="12" t="str">
        <f>VLOOKUP(Table2[[#This Row],[MemberID]],Table1[#All],3,0)</f>
        <v>Silver</v>
      </c>
      <c r="H1217" s="13">
        <v>16</v>
      </c>
    </row>
    <row r="1218" spans="1:8">
      <c r="A1218" t="s">
        <v>1550</v>
      </c>
      <c r="B1218" t="s">
        <v>255</v>
      </c>
      <c r="C1218" s="8">
        <v>46036</v>
      </c>
      <c r="D1218" t="s">
        <v>327</v>
      </c>
      <c r="E1218" t="s">
        <v>334</v>
      </c>
      <c r="F1218" s="12">
        <v>319698</v>
      </c>
      <c r="G1218" s="12" t="str">
        <f>VLOOKUP(Table2[[#This Row],[MemberID]],Table1[#All],3,0)</f>
        <v>Silver</v>
      </c>
      <c r="H1218" s="13">
        <v>31</v>
      </c>
    </row>
    <row r="1219" spans="1:8">
      <c r="A1219" t="s">
        <v>1551</v>
      </c>
      <c r="B1219" t="s">
        <v>117</v>
      </c>
      <c r="C1219" s="8">
        <v>46095</v>
      </c>
      <c r="D1219" t="s">
        <v>330</v>
      </c>
      <c r="E1219" t="s">
        <v>325</v>
      </c>
      <c r="F1219" s="12">
        <v>635313</v>
      </c>
      <c r="G1219" s="12" t="str">
        <f>VLOOKUP(Table2[[#This Row],[MemberID]],Table1[#All],3,0)</f>
        <v>Silver</v>
      </c>
      <c r="H1219" s="13">
        <v>63</v>
      </c>
    </row>
    <row r="1220" spans="1:8">
      <c r="A1220" t="s">
        <v>1552</v>
      </c>
      <c r="B1220" t="s">
        <v>310</v>
      </c>
      <c r="C1220" s="8">
        <v>46005</v>
      </c>
      <c r="D1220" t="s">
        <v>327</v>
      </c>
      <c r="E1220" t="s">
        <v>325</v>
      </c>
      <c r="F1220" s="12">
        <v>481541</v>
      </c>
      <c r="G1220" s="12" t="str">
        <f>VLOOKUP(Table2[[#This Row],[MemberID]],Table1[#All],3,0)</f>
        <v>Silver</v>
      </c>
      <c r="H1220" s="13">
        <v>48</v>
      </c>
    </row>
    <row r="1221" spans="1:8">
      <c r="A1221" t="s">
        <v>1553</v>
      </c>
      <c r="B1221" t="s">
        <v>135</v>
      </c>
      <c r="C1221" s="8">
        <v>45941</v>
      </c>
      <c r="D1221" t="s">
        <v>327</v>
      </c>
      <c r="E1221" t="s">
        <v>334</v>
      </c>
      <c r="F1221" s="12">
        <v>182058</v>
      </c>
      <c r="G1221" s="12" t="str">
        <f>VLOOKUP(Table2[[#This Row],[MemberID]],Table1[#All],3,0)</f>
        <v>Silver</v>
      </c>
      <c r="H1221" s="13">
        <v>18</v>
      </c>
    </row>
    <row r="1222" spans="1:8">
      <c r="A1222" t="s">
        <v>1554</v>
      </c>
      <c r="B1222" t="s">
        <v>6</v>
      </c>
      <c r="C1222" s="8">
        <v>46285</v>
      </c>
      <c r="D1222" t="s">
        <v>332</v>
      </c>
      <c r="E1222" t="s">
        <v>337</v>
      </c>
      <c r="F1222" s="12">
        <v>182561</v>
      </c>
      <c r="G1222" s="12" t="str">
        <f>VLOOKUP(Table2[[#This Row],[MemberID]],Table1[#All],3,0)</f>
        <v>Silver</v>
      </c>
      <c r="H1222" s="13">
        <v>18</v>
      </c>
    </row>
    <row r="1223" spans="1:8">
      <c r="A1223" t="s">
        <v>1555</v>
      </c>
      <c r="B1223" t="s">
        <v>217</v>
      </c>
      <c r="C1223" s="8">
        <v>46216</v>
      </c>
      <c r="D1223" t="s">
        <v>332</v>
      </c>
      <c r="E1223" t="s">
        <v>337</v>
      </c>
      <c r="F1223" s="12">
        <v>170607</v>
      </c>
      <c r="G1223" s="12" t="str">
        <f>VLOOKUP(Table2[[#This Row],[MemberID]],Table1[#All],3,0)</f>
        <v>Gold</v>
      </c>
      <c r="H1223" s="13">
        <v>17</v>
      </c>
    </row>
    <row r="1224" spans="1:8">
      <c r="A1224" t="s">
        <v>1556</v>
      </c>
      <c r="B1224" t="s">
        <v>183</v>
      </c>
      <c r="C1224" s="8">
        <v>46063</v>
      </c>
      <c r="D1224" t="s">
        <v>350</v>
      </c>
      <c r="E1224" t="s">
        <v>339</v>
      </c>
      <c r="F1224" s="12">
        <v>179006</v>
      </c>
      <c r="G1224" s="12" t="str">
        <f>VLOOKUP(Table2[[#This Row],[MemberID]],Table1[#All],3,0)</f>
        <v>Gold</v>
      </c>
      <c r="H1224" s="13">
        <v>17</v>
      </c>
    </row>
    <row r="1225" spans="1:8">
      <c r="A1225" t="s">
        <v>1557</v>
      </c>
      <c r="B1225" t="s">
        <v>103</v>
      </c>
      <c r="C1225" s="8">
        <v>46002</v>
      </c>
      <c r="D1225" t="s">
        <v>350</v>
      </c>
      <c r="E1225" t="s">
        <v>334</v>
      </c>
      <c r="F1225" s="12">
        <v>29826</v>
      </c>
      <c r="G1225" s="12" t="str">
        <f>VLOOKUP(Table2[[#This Row],[MemberID]],Table1[#All],3,0)</f>
        <v>Silver</v>
      </c>
      <c r="H1225" s="13">
        <v>2</v>
      </c>
    </row>
    <row r="1226" spans="1:8">
      <c r="A1226" t="s">
        <v>1558</v>
      </c>
      <c r="B1226" t="s">
        <v>51</v>
      </c>
      <c r="C1226" s="8">
        <v>46223</v>
      </c>
      <c r="D1226" t="s">
        <v>332</v>
      </c>
      <c r="E1226" t="s">
        <v>328</v>
      </c>
      <c r="F1226" s="12">
        <v>184214</v>
      </c>
      <c r="G1226" s="12" t="str">
        <f>VLOOKUP(Table2[[#This Row],[MemberID]],Table1[#All],3,0)</f>
        <v>Gold</v>
      </c>
      <c r="H1226" s="13">
        <v>18</v>
      </c>
    </row>
    <row r="1227" spans="1:8">
      <c r="A1227" t="s">
        <v>1559</v>
      </c>
      <c r="B1227" t="s">
        <v>217</v>
      </c>
      <c r="C1227" s="8">
        <v>45950</v>
      </c>
      <c r="D1227" t="s">
        <v>321</v>
      </c>
      <c r="E1227" t="s">
        <v>334</v>
      </c>
      <c r="F1227" s="12">
        <v>81986</v>
      </c>
      <c r="G1227" s="12" t="str">
        <f>VLOOKUP(Table2[[#This Row],[MemberID]],Table1[#All],3,0)</f>
        <v>Gold</v>
      </c>
      <c r="H1227" s="13">
        <v>8</v>
      </c>
    </row>
    <row r="1228" spans="1:8">
      <c r="A1228" t="s">
        <v>1560</v>
      </c>
      <c r="B1228" t="s">
        <v>231</v>
      </c>
      <c r="C1228" s="8">
        <v>46215</v>
      </c>
      <c r="D1228" t="s">
        <v>324</v>
      </c>
      <c r="E1228" t="s">
        <v>328</v>
      </c>
      <c r="F1228" s="12">
        <v>91394</v>
      </c>
      <c r="G1228" s="12" t="str">
        <f>VLOOKUP(Table2[[#This Row],[MemberID]],Table1[#All],3,0)</f>
        <v>Silver</v>
      </c>
      <c r="H1228" s="13">
        <v>9</v>
      </c>
    </row>
    <row r="1229" spans="1:8">
      <c r="A1229" t="s">
        <v>1561</v>
      </c>
      <c r="B1229" t="s">
        <v>171</v>
      </c>
      <c r="C1229" s="8">
        <v>46079</v>
      </c>
      <c r="D1229" t="s">
        <v>324</v>
      </c>
      <c r="E1229" t="s">
        <v>339</v>
      </c>
      <c r="F1229" s="12">
        <v>363393</v>
      </c>
      <c r="G1229" s="12" t="str">
        <f>VLOOKUP(Table2[[#This Row],[MemberID]],Table1[#All],3,0)</f>
        <v>Gold</v>
      </c>
      <c r="H1229" s="13">
        <v>36</v>
      </c>
    </row>
    <row r="1230" spans="1:8">
      <c r="A1230" t="s">
        <v>1562</v>
      </c>
      <c r="B1230" t="s">
        <v>171</v>
      </c>
      <c r="C1230" s="8">
        <v>45975</v>
      </c>
      <c r="D1230" t="s">
        <v>324</v>
      </c>
      <c r="E1230" t="s">
        <v>325</v>
      </c>
      <c r="F1230" s="12">
        <v>537055</v>
      </c>
      <c r="G1230" s="12" t="str">
        <f>VLOOKUP(Table2[[#This Row],[MemberID]],Table1[#All],3,0)</f>
        <v>Gold</v>
      </c>
      <c r="H1230" s="13">
        <v>53</v>
      </c>
    </row>
    <row r="1231" spans="1:8">
      <c r="A1231" t="s">
        <v>1563</v>
      </c>
      <c r="B1231" t="s">
        <v>135</v>
      </c>
      <c r="C1231" s="8">
        <v>46144</v>
      </c>
      <c r="D1231" t="s">
        <v>342</v>
      </c>
      <c r="E1231" t="s">
        <v>328</v>
      </c>
      <c r="F1231" s="12">
        <v>483720</v>
      </c>
      <c r="G1231" s="12" t="str">
        <f>VLOOKUP(Table2[[#This Row],[MemberID]],Table1[#All],3,0)</f>
        <v>Silver</v>
      </c>
      <c r="H1231" s="13">
        <v>48</v>
      </c>
    </row>
    <row r="1232" spans="1:8">
      <c r="A1232" t="s">
        <v>1564</v>
      </c>
      <c r="B1232" t="s">
        <v>105</v>
      </c>
      <c r="C1232" s="8">
        <v>45947</v>
      </c>
      <c r="D1232" t="s">
        <v>321</v>
      </c>
      <c r="E1232" t="s">
        <v>334</v>
      </c>
      <c r="F1232" s="12">
        <v>1168033</v>
      </c>
      <c r="G1232" s="12" t="str">
        <f>VLOOKUP(Table2[[#This Row],[MemberID]],Table1[#All],3,0)</f>
        <v>Silver</v>
      </c>
      <c r="H1232" s="13">
        <v>116</v>
      </c>
    </row>
    <row r="1233" spans="1:8">
      <c r="A1233" t="s">
        <v>1565</v>
      </c>
      <c r="B1233" t="s">
        <v>105</v>
      </c>
      <c r="C1233" s="8">
        <v>46036</v>
      </c>
      <c r="D1233" t="s">
        <v>344</v>
      </c>
      <c r="E1233" t="s">
        <v>339</v>
      </c>
      <c r="F1233" s="12">
        <v>118819</v>
      </c>
      <c r="G1233" s="12" t="str">
        <f>VLOOKUP(Table2[[#This Row],[MemberID]],Table1[#All],3,0)</f>
        <v>Silver</v>
      </c>
      <c r="H1233" s="13">
        <v>11</v>
      </c>
    </row>
    <row r="1234" spans="1:8">
      <c r="A1234" t="s">
        <v>1566</v>
      </c>
      <c r="B1234" t="s">
        <v>126</v>
      </c>
      <c r="C1234" s="8">
        <v>46225</v>
      </c>
      <c r="D1234" t="s">
        <v>332</v>
      </c>
      <c r="E1234" t="s">
        <v>334</v>
      </c>
      <c r="F1234" s="12">
        <v>266306</v>
      </c>
      <c r="G1234" s="12" t="str">
        <f>VLOOKUP(Table2[[#This Row],[MemberID]],Table1[#All],3,0)</f>
        <v>Silver</v>
      </c>
      <c r="H1234" s="13">
        <v>26</v>
      </c>
    </row>
    <row r="1235" spans="1:8">
      <c r="A1235" t="s">
        <v>1567</v>
      </c>
      <c r="B1235" t="s">
        <v>84</v>
      </c>
      <c r="C1235" s="8">
        <v>46094</v>
      </c>
      <c r="D1235" t="s">
        <v>332</v>
      </c>
      <c r="E1235" t="s">
        <v>325</v>
      </c>
      <c r="F1235" s="12">
        <v>358797</v>
      </c>
      <c r="G1235" s="12" t="str">
        <f>VLOOKUP(Table2[[#This Row],[MemberID]],Table1[#All],3,0)</f>
        <v>Silver</v>
      </c>
      <c r="H1235" s="13">
        <v>35</v>
      </c>
    </row>
    <row r="1236" spans="1:8">
      <c r="A1236" t="s">
        <v>1568</v>
      </c>
      <c r="B1236" t="s">
        <v>8</v>
      </c>
      <c r="C1236" s="8">
        <v>46126</v>
      </c>
      <c r="D1236" t="s">
        <v>330</v>
      </c>
      <c r="E1236" t="s">
        <v>325</v>
      </c>
      <c r="F1236" s="12">
        <v>371615</v>
      </c>
      <c r="G1236" s="12" t="str">
        <f>VLOOKUP(Table2[[#This Row],[MemberID]],Table1[#All],3,0)</f>
        <v>Gold</v>
      </c>
      <c r="H1236" s="13">
        <v>37</v>
      </c>
    </row>
    <row r="1237" spans="1:8">
      <c r="A1237" t="s">
        <v>1569</v>
      </c>
      <c r="B1237" t="s">
        <v>140</v>
      </c>
      <c r="C1237" s="8">
        <v>46260</v>
      </c>
      <c r="D1237" t="s">
        <v>324</v>
      </c>
      <c r="E1237" t="s">
        <v>325</v>
      </c>
      <c r="F1237" s="12">
        <v>292837</v>
      </c>
      <c r="G1237" s="12" t="str">
        <f>VLOOKUP(Table2[[#This Row],[MemberID]],Table1[#All],3,0)</f>
        <v>Silver</v>
      </c>
      <c r="H1237" s="13">
        <v>29</v>
      </c>
    </row>
    <row r="1238" spans="1:8">
      <c r="A1238" t="s">
        <v>1570</v>
      </c>
      <c r="B1238" t="s">
        <v>261</v>
      </c>
      <c r="C1238" s="8">
        <v>45969</v>
      </c>
      <c r="D1238" t="s">
        <v>321</v>
      </c>
      <c r="E1238" t="s">
        <v>334</v>
      </c>
      <c r="F1238" s="12">
        <v>518199</v>
      </c>
      <c r="G1238" s="12" t="str">
        <f>VLOOKUP(Table2[[#This Row],[MemberID]],Table1[#All],3,0)</f>
        <v>Silver</v>
      </c>
      <c r="H1238" s="13">
        <v>51</v>
      </c>
    </row>
    <row r="1239" spans="1:8">
      <c r="A1239" t="s">
        <v>1571</v>
      </c>
      <c r="B1239" t="s">
        <v>22</v>
      </c>
      <c r="C1239" s="8">
        <v>46059</v>
      </c>
      <c r="D1239" t="s">
        <v>350</v>
      </c>
      <c r="E1239" t="s">
        <v>322</v>
      </c>
      <c r="F1239" s="12">
        <v>391051</v>
      </c>
      <c r="G1239" s="12" t="str">
        <f>VLOOKUP(Table2[[#This Row],[MemberID]],Table1[#All],3,0)</f>
        <v>Gold</v>
      </c>
      <c r="H1239" s="13">
        <v>39</v>
      </c>
    </row>
    <row r="1240" spans="1:8">
      <c r="A1240" t="s">
        <v>1572</v>
      </c>
      <c r="B1240" t="s">
        <v>229</v>
      </c>
      <c r="C1240" s="8">
        <v>45942</v>
      </c>
      <c r="D1240" t="s">
        <v>344</v>
      </c>
      <c r="E1240" t="s">
        <v>328</v>
      </c>
      <c r="F1240" s="12">
        <v>177790</v>
      </c>
      <c r="G1240" s="12" t="str">
        <f>VLOOKUP(Table2[[#This Row],[MemberID]],Table1[#All],3,0)</f>
        <v>Silver</v>
      </c>
      <c r="H1240" s="13">
        <v>17</v>
      </c>
    </row>
    <row r="1241" spans="1:8">
      <c r="A1241" t="s">
        <v>1573</v>
      </c>
      <c r="B1241" t="s">
        <v>133</v>
      </c>
      <c r="C1241" s="8">
        <v>46257</v>
      </c>
      <c r="D1241" t="s">
        <v>324</v>
      </c>
      <c r="E1241" t="s">
        <v>322</v>
      </c>
      <c r="F1241" s="12">
        <v>704942</v>
      </c>
      <c r="G1241" s="12" t="str">
        <f>VLOOKUP(Table2[[#This Row],[MemberID]],Table1[#All],3,0)</f>
        <v>Gold</v>
      </c>
      <c r="H1241" s="13">
        <v>70</v>
      </c>
    </row>
    <row r="1242" spans="1:8">
      <c r="A1242" t="s">
        <v>1574</v>
      </c>
      <c r="B1242" t="s">
        <v>277</v>
      </c>
      <c r="C1242" s="8">
        <v>45959</v>
      </c>
      <c r="D1242" t="s">
        <v>327</v>
      </c>
      <c r="E1242" t="s">
        <v>322</v>
      </c>
      <c r="F1242" s="12">
        <v>151299</v>
      </c>
      <c r="G1242" s="12" t="str">
        <f>VLOOKUP(Table2[[#This Row],[MemberID]],Table1[#All],3,0)</f>
        <v>Silver</v>
      </c>
      <c r="H1242" s="13">
        <v>15</v>
      </c>
    </row>
    <row r="1243" spans="1:8">
      <c r="A1243" t="s">
        <v>1575</v>
      </c>
      <c r="B1243" t="s">
        <v>204</v>
      </c>
      <c r="C1243" s="8">
        <v>46070</v>
      </c>
      <c r="D1243" t="s">
        <v>321</v>
      </c>
      <c r="E1243" t="s">
        <v>328</v>
      </c>
      <c r="F1243" s="12">
        <v>294371</v>
      </c>
      <c r="G1243" s="12" t="str">
        <f>VLOOKUP(Table2[[#This Row],[MemberID]],Table1[#All],3,0)</f>
        <v>Silver</v>
      </c>
      <c r="H1243" s="13">
        <v>29</v>
      </c>
    </row>
    <row r="1244" spans="1:8">
      <c r="A1244" t="s">
        <v>1576</v>
      </c>
      <c r="B1244" t="s">
        <v>108</v>
      </c>
      <c r="C1244" s="8">
        <v>46133</v>
      </c>
      <c r="D1244" t="s">
        <v>324</v>
      </c>
      <c r="E1244" t="s">
        <v>337</v>
      </c>
      <c r="F1244" s="12">
        <v>106430</v>
      </c>
      <c r="G1244" s="12" t="str">
        <f>VLOOKUP(Table2[[#This Row],[MemberID]],Table1[#All],3,0)</f>
        <v>Platinum</v>
      </c>
      <c r="H1244" s="13">
        <v>10</v>
      </c>
    </row>
    <row r="1245" spans="1:8">
      <c r="A1245" t="s">
        <v>1577</v>
      </c>
      <c r="B1245" t="s">
        <v>75</v>
      </c>
      <c r="C1245" s="8">
        <v>46058</v>
      </c>
      <c r="D1245" t="s">
        <v>344</v>
      </c>
      <c r="E1245" t="s">
        <v>334</v>
      </c>
      <c r="F1245" s="12">
        <v>261726</v>
      </c>
      <c r="G1245" s="12" t="str">
        <f>VLOOKUP(Table2[[#This Row],[MemberID]],Table1[#All],3,0)</f>
        <v>Silver</v>
      </c>
      <c r="H1245" s="13">
        <v>26</v>
      </c>
    </row>
    <row r="1246" spans="1:8">
      <c r="A1246" t="s">
        <v>1578</v>
      </c>
      <c r="B1246" t="s">
        <v>153</v>
      </c>
      <c r="C1246" s="8">
        <v>46171</v>
      </c>
      <c r="D1246" t="s">
        <v>321</v>
      </c>
      <c r="E1246" t="s">
        <v>328</v>
      </c>
      <c r="F1246" s="12">
        <v>144155</v>
      </c>
      <c r="G1246" s="12" t="str">
        <f>VLOOKUP(Table2[[#This Row],[MemberID]],Table1[#All],3,0)</f>
        <v>Silver</v>
      </c>
      <c r="H1246" s="13">
        <v>14</v>
      </c>
    </row>
    <row r="1247" spans="1:8">
      <c r="A1247" t="s">
        <v>1579</v>
      </c>
      <c r="B1247" t="s">
        <v>277</v>
      </c>
      <c r="C1247" s="8">
        <v>45972</v>
      </c>
      <c r="D1247" t="s">
        <v>327</v>
      </c>
      <c r="E1247" t="s">
        <v>337</v>
      </c>
      <c r="F1247" s="12">
        <v>128251</v>
      </c>
      <c r="G1247" s="12" t="str">
        <f>VLOOKUP(Table2[[#This Row],[MemberID]],Table1[#All],3,0)</f>
        <v>Silver</v>
      </c>
      <c r="H1247" s="13">
        <v>12</v>
      </c>
    </row>
    <row r="1248" spans="1:8">
      <c r="A1248" t="s">
        <v>1580</v>
      </c>
      <c r="B1248" t="s">
        <v>222</v>
      </c>
      <c r="C1248" s="8">
        <v>46174</v>
      </c>
      <c r="D1248" t="s">
        <v>344</v>
      </c>
      <c r="E1248" t="s">
        <v>339</v>
      </c>
      <c r="F1248" s="12">
        <v>380884</v>
      </c>
      <c r="G1248" s="12" t="str">
        <f>VLOOKUP(Table2[[#This Row],[MemberID]],Table1[#All],3,0)</f>
        <v>Silver</v>
      </c>
      <c r="H1248" s="13">
        <v>38</v>
      </c>
    </row>
    <row r="1249" spans="1:8">
      <c r="A1249" t="s">
        <v>1581</v>
      </c>
      <c r="B1249" t="s">
        <v>266</v>
      </c>
      <c r="C1249" s="8">
        <v>45991</v>
      </c>
      <c r="D1249" t="s">
        <v>330</v>
      </c>
      <c r="E1249" t="s">
        <v>337</v>
      </c>
      <c r="F1249" s="12">
        <v>127084</v>
      </c>
      <c r="G1249" s="12" t="str">
        <f>VLOOKUP(Table2[[#This Row],[MemberID]],Table1[#All],3,0)</f>
        <v>Silver</v>
      </c>
      <c r="H1249" s="13">
        <v>12</v>
      </c>
    </row>
    <row r="1250" spans="1:8">
      <c r="A1250" t="s">
        <v>1582</v>
      </c>
      <c r="B1250" t="s">
        <v>87</v>
      </c>
      <c r="C1250" s="8">
        <v>46125</v>
      </c>
      <c r="D1250" t="s">
        <v>321</v>
      </c>
      <c r="E1250" t="s">
        <v>339</v>
      </c>
      <c r="F1250" s="12">
        <v>119239</v>
      </c>
      <c r="G1250" s="12" t="str">
        <f>VLOOKUP(Table2[[#This Row],[MemberID]],Table1[#All],3,0)</f>
        <v>Gold</v>
      </c>
      <c r="H1250" s="13">
        <v>11</v>
      </c>
    </row>
    <row r="1251" spans="1:8">
      <c r="A1251" t="s">
        <v>1583</v>
      </c>
      <c r="B1251" t="s">
        <v>121</v>
      </c>
      <c r="C1251" s="8">
        <v>46114</v>
      </c>
      <c r="D1251" t="s">
        <v>330</v>
      </c>
      <c r="E1251" t="s">
        <v>325</v>
      </c>
      <c r="F1251" s="12">
        <v>827899</v>
      </c>
      <c r="G1251" s="12" t="str">
        <f>VLOOKUP(Table2[[#This Row],[MemberID]],Table1[#All],3,0)</f>
        <v>Silver</v>
      </c>
      <c r="H1251" s="13">
        <v>82</v>
      </c>
    </row>
    <row r="1252" spans="1:8">
      <c r="A1252" t="s">
        <v>1584</v>
      </c>
      <c r="B1252" t="s">
        <v>155</v>
      </c>
      <c r="C1252" s="8">
        <v>46100</v>
      </c>
      <c r="D1252" t="s">
        <v>321</v>
      </c>
      <c r="E1252" t="s">
        <v>337</v>
      </c>
      <c r="F1252" s="12">
        <v>61125</v>
      </c>
      <c r="G1252" s="12" t="str">
        <f>VLOOKUP(Table2[[#This Row],[MemberID]],Table1[#All],3,0)</f>
        <v>Platinum</v>
      </c>
      <c r="H1252" s="13">
        <v>6</v>
      </c>
    </row>
    <row r="1253" spans="1:8">
      <c r="A1253" t="s">
        <v>1585</v>
      </c>
      <c r="B1253" t="s">
        <v>34</v>
      </c>
      <c r="C1253" s="8">
        <v>46133</v>
      </c>
      <c r="D1253" t="s">
        <v>344</v>
      </c>
      <c r="E1253" t="s">
        <v>322</v>
      </c>
      <c r="F1253" s="12">
        <v>167035</v>
      </c>
      <c r="G1253" s="12" t="str">
        <f>VLOOKUP(Table2[[#This Row],[MemberID]],Table1[#All],3,0)</f>
        <v>Gold</v>
      </c>
      <c r="H1253" s="13">
        <v>16</v>
      </c>
    </row>
    <row r="1254" spans="1:8">
      <c r="A1254" t="s">
        <v>1586</v>
      </c>
      <c r="B1254" t="s">
        <v>275</v>
      </c>
      <c r="C1254" s="8">
        <v>45933</v>
      </c>
      <c r="D1254" t="s">
        <v>332</v>
      </c>
      <c r="E1254" t="s">
        <v>322</v>
      </c>
      <c r="F1254" s="12">
        <v>711195</v>
      </c>
      <c r="G1254" s="12" t="str">
        <f>VLOOKUP(Table2[[#This Row],[MemberID]],Table1[#All],3,0)</f>
        <v>Silver</v>
      </c>
      <c r="H1254" s="13">
        <v>71</v>
      </c>
    </row>
    <row r="1255" spans="1:8">
      <c r="A1255" t="s">
        <v>1587</v>
      </c>
      <c r="B1255" t="s">
        <v>71</v>
      </c>
      <c r="C1255" s="8">
        <v>46077</v>
      </c>
      <c r="D1255" t="s">
        <v>344</v>
      </c>
      <c r="E1255" t="s">
        <v>322</v>
      </c>
      <c r="F1255" s="12">
        <v>25000</v>
      </c>
      <c r="G1255" s="12" t="str">
        <f>VLOOKUP(Table2[[#This Row],[MemberID]],Table1[#All],3,0)</f>
        <v>Silver</v>
      </c>
      <c r="H1255" s="13">
        <v>2</v>
      </c>
    </row>
    <row r="1256" spans="1:8">
      <c r="A1256" t="s">
        <v>1588</v>
      </c>
      <c r="B1256" t="s">
        <v>121</v>
      </c>
      <c r="C1256" s="8">
        <v>45993</v>
      </c>
      <c r="D1256" t="s">
        <v>344</v>
      </c>
      <c r="E1256" t="s">
        <v>322</v>
      </c>
      <c r="F1256" s="12">
        <v>801636</v>
      </c>
      <c r="G1256" s="12" t="str">
        <f>VLOOKUP(Table2[[#This Row],[MemberID]],Table1[#All],3,0)</f>
        <v>Silver</v>
      </c>
      <c r="H1256" s="13">
        <v>80</v>
      </c>
    </row>
    <row r="1257" spans="1:8">
      <c r="A1257" t="s">
        <v>1589</v>
      </c>
      <c r="B1257" t="s">
        <v>256</v>
      </c>
      <c r="C1257" s="8">
        <v>46243</v>
      </c>
      <c r="D1257" t="s">
        <v>342</v>
      </c>
      <c r="E1257" t="s">
        <v>328</v>
      </c>
      <c r="F1257" s="12">
        <v>59009</v>
      </c>
      <c r="G1257" s="12" t="str">
        <f>VLOOKUP(Table2[[#This Row],[MemberID]],Table1[#All],3,0)</f>
        <v>Gold</v>
      </c>
      <c r="H1257" s="13">
        <v>5</v>
      </c>
    </row>
    <row r="1258" spans="1:8">
      <c r="A1258" t="s">
        <v>1590</v>
      </c>
      <c r="B1258" t="s">
        <v>116</v>
      </c>
      <c r="C1258" s="8">
        <v>46192</v>
      </c>
      <c r="D1258" t="s">
        <v>327</v>
      </c>
      <c r="E1258" t="s">
        <v>322</v>
      </c>
      <c r="F1258" s="12">
        <v>263371</v>
      </c>
      <c r="G1258" s="12" t="str">
        <f>VLOOKUP(Table2[[#This Row],[MemberID]],Table1[#All],3,0)</f>
        <v>Silver</v>
      </c>
      <c r="H1258" s="13">
        <v>26</v>
      </c>
    </row>
    <row r="1259" spans="1:8">
      <c r="A1259" t="s">
        <v>1591</v>
      </c>
      <c r="B1259" t="s">
        <v>85</v>
      </c>
      <c r="C1259" s="8">
        <v>46168</v>
      </c>
      <c r="D1259" t="s">
        <v>344</v>
      </c>
      <c r="E1259" t="s">
        <v>339</v>
      </c>
      <c r="F1259" s="12">
        <v>557517</v>
      </c>
      <c r="G1259" s="12" t="str">
        <f>VLOOKUP(Table2[[#This Row],[MemberID]],Table1[#All],3,0)</f>
        <v>Silver</v>
      </c>
      <c r="H1259" s="13">
        <v>55</v>
      </c>
    </row>
    <row r="1260" spans="1:8">
      <c r="A1260" t="s">
        <v>1592</v>
      </c>
      <c r="B1260" t="s">
        <v>272</v>
      </c>
      <c r="C1260" s="8">
        <v>45953</v>
      </c>
      <c r="D1260" t="s">
        <v>344</v>
      </c>
      <c r="E1260" t="s">
        <v>337</v>
      </c>
      <c r="F1260" s="12">
        <v>708866</v>
      </c>
      <c r="G1260" s="12" t="str">
        <f>VLOOKUP(Table2[[#This Row],[MemberID]],Table1[#All],3,0)</f>
        <v>Silver</v>
      </c>
      <c r="H1260" s="13">
        <v>70</v>
      </c>
    </row>
    <row r="1261" spans="1:8">
      <c r="A1261" t="s">
        <v>1593</v>
      </c>
      <c r="B1261" t="s">
        <v>310</v>
      </c>
      <c r="C1261" s="8">
        <v>46140</v>
      </c>
      <c r="D1261" t="s">
        <v>324</v>
      </c>
      <c r="E1261" t="s">
        <v>339</v>
      </c>
      <c r="F1261" s="12">
        <v>95945</v>
      </c>
      <c r="G1261" s="12" t="str">
        <f>VLOOKUP(Table2[[#This Row],[MemberID]],Table1[#All],3,0)</f>
        <v>Silver</v>
      </c>
      <c r="H1261" s="13">
        <v>9</v>
      </c>
    </row>
    <row r="1262" spans="1:8">
      <c r="A1262" t="s">
        <v>1594</v>
      </c>
      <c r="B1262" t="s">
        <v>213</v>
      </c>
      <c r="C1262" s="8">
        <v>45980</v>
      </c>
      <c r="D1262" t="s">
        <v>342</v>
      </c>
      <c r="E1262" t="s">
        <v>322</v>
      </c>
      <c r="F1262" s="12">
        <v>385666</v>
      </c>
      <c r="G1262" s="12" t="str">
        <f>VLOOKUP(Table2[[#This Row],[MemberID]],Table1[#All],3,0)</f>
        <v>Gold</v>
      </c>
      <c r="H1262" s="13">
        <v>38</v>
      </c>
    </row>
    <row r="1263" spans="1:8">
      <c r="A1263" t="s">
        <v>1595</v>
      </c>
      <c r="B1263" t="s">
        <v>231</v>
      </c>
      <c r="C1263" s="8">
        <v>46267</v>
      </c>
      <c r="D1263" t="s">
        <v>350</v>
      </c>
      <c r="E1263" t="s">
        <v>322</v>
      </c>
      <c r="F1263" s="12">
        <v>82481</v>
      </c>
      <c r="G1263" s="12" t="str">
        <f>VLOOKUP(Table2[[#This Row],[MemberID]],Table1[#All],3,0)</f>
        <v>Silver</v>
      </c>
      <c r="H1263" s="13">
        <v>8</v>
      </c>
    </row>
    <row r="1264" spans="1:8">
      <c r="A1264" t="s">
        <v>1596</v>
      </c>
      <c r="B1264" t="s">
        <v>255</v>
      </c>
      <c r="C1264" s="8">
        <v>46148</v>
      </c>
      <c r="D1264" t="s">
        <v>321</v>
      </c>
      <c r="E1264" t="s">
        <v>325</v>
      </c>
      <c r="F1264" s="12">
        <v>123012</v>
      </c>
      <c r="G1264" s="12" t="str">
        <f>VLOOKUP(Table2[[#This Row],[MemberID]],Table1[#All],3,0)</f>
        <v>Silver</v>
      </c>
      <c r="H1264" s="13">
        <v>12</v>
      </c>
    </row>
    <row r="1265" spans="1:8">
      <c r="A1265" t="s">
        <v>1597</v>
      </c>
      <c r="B1265" t="s">
        <v>233</v>
      </c>
      <c r="C1265" s="8">
        <v>46246</v>
      </c>
      <c r="D1265" t="s">
        <v>321</v>
      </c>
      <c r="E1265" t="s">
        <v>337</v>
      </c>
      <c r="F1265" s="12">
        <v>500237</v>
      </c>
      <c r="G1265" s="12" t="str">
        <f>VLOOKUP(Table2[[#This Row],[MemberID]],Table1[#All],3,0)</f>
        <v>Gold</v>
      </c>
      <c r="H1265" s="13">
        <v>50</v>
      </c>
    </row>
    <row r="1266" spans="1:8">
      <c r="A1266" t="s">
        <v>1598</v>
      </c>
      <c r="B1266" t="s">
        <v>174</v>
      </c>
      <c r="C1266" s="8">
        <v>46261</v>
      </c>
      <c r="D1266" t="s">
        <v>350</v>
      </c>
      <c r="E1266" t="s">
        <v>328</v>
      </c>
      <c r="F1266" s="12">
        <v>138702</v>
      </c>
      <c r="G1266" s="12" t="str">
        <f>VLOOKUP(Table2[[#This Row],[MemberID]],Table1[#All],3,0)</f>
        <v>Silver</v>
      </c>
      <c r="H1266" s="13">
        <v>13</v>
      </c>
    </row>
    <row r="1267" spans="1:8">
      <c r="A1267" t="s">
        <v>1599</v>
      </c>
      <c r="B1267" t="s">
        <v>64</v>
      </c>
      <c r="C1267" s="8">
        <v>46079</v>
      </c>
      <c r="D1267" t="s">
        <v>332</v>
      </c>
      <c r="E1267" t="s">
        <v>339</v>
      </c>
      <c r="F1267" s="12">
        <v>154962</v>
      </c>
      <c r="G1267" s="12" t="str">
        <f>VLOOKUP(Table2[[#This Row],[MemberID]],Table1[#All],3,0)</f>
        <v>Silver</v>
      </c>
      <c r="H1267" s="13">
        <v>15</v>
      </c>
    </row>
    <row r="1268" spans="1:8">
      <c r="A1268" t="s">
        <v>1600</v>
      </c>
      <c r="B1268" t="s">
        <v>233</v>
      </c>
      <c r="C1268" s="8">
        <v>46263</v>
      </c>
      <c r="D1268" t="s">
        <v>327</v>
      </c>
      <c r="E1268" t="s">
        <v>328</v>
      </c>
      <c r="F1268" s="12">
        <v>103345</v>
      </c>
      <c r="G1268" s="12" t="str">
        <f>VLOOKUP(Table2[[#This Row],[MemberID]],Table1[#All],3,0)</f>
        <v>Gold</v>
      </c>
      <c r="H1268" s="13">
        <v>10</v>
      </c>
    </row>
    <row r="1269" spans="1:8">
      <c r="A1269" t="s">
        <v>1601</v>
      </c>
      <c r="B1269" t="s">
        <v>149</v>
      </c>
      <c r="C1269" s="8">
        <v>46286</v>
      </c>
      <c r="D1269" t="s">
        <v>344</v>
      </c>
      <c r="E1269" t="s">
        <v>334</v>
      </c>
      <c r="F1269" s="12">
        <v>47708</v>
      </c>
      <c r="G1269" s="12" t="str">
        <f>VLOOKUP(Table2[[#This Row],[MemberID]],Table1[#All],3,0)</f>
        <v>Gold</v>
      </c>
      <c r="H1269" s="13">
        <v>4</v>
      </c>
    </row>
    <row r="1270" spans="1:8">
      <c r="A1270" t="s">
        <v>1602</v>
      </c>
      <c r="B1270" t="s">
        <v>101</v>
      </c>
      <c r="C1270" s="8">
        <v>46174</v>
      </c>
      <c r="D1270" t="s">
        <v>342</v>
      </c>
      <c r="E1270" t="s">
        <v>325</v>
      </c>
      <c r="F1270" s="12">
        <v>49635</v>
      </c>
      <c r="G1270" s="12" t="str">
        <f>VLOOKUP(Table2[[#This Row],[MemberID]],Table1[#All],3,0)</f>
        <v>Gold</v>
      </c>
      <c r="H1270" s="13">
        <v>4</v>
      </c>
    </row>
    <row r="1271" spans="1:8">
      <c r="A1271" t="s">
        <v>1603</v>
      </c>
      <c r="B1271" t="s">
        <v>255</v>
      </c>
      <c r="C1271" s="8">
        <v>46081</v>
      </c>
      <c r="D1271" t="s">
        <v>344</v>
      </c>
      <c r="E1271" t="s">
        <v>334</v>
      </c>
      <c r="F1271" s="12">
        <v>90613</v>
      </c>
      <c r="G1271" s="12" t="str">
        <f>VLOOKUP(Table2[[#This Row],[MemberID]],Table1[#All],3,0)</f>
        <v>Silver</v>
      </c>
      <c r="H1271" s="13">
        <v>9</v>
      </c>
    </row>
    <row r="1272" spans="1:8">
      <c r="A1272" t="s">
        <v>1604</v>
      </c>
      <c r="B1272" t="s">
        <v>59</v>
      </c>
      <c r="C1272" s="8">
        <v>46134</v>
      </c>
      <c r="D1272" t="s">
        <v>321</v>
      </c>
      <c r="E1272" t="s">
        <v>339</v>
      </c>
      <c r="F1272" s="12">
        <v>162792</v>
      </c>
      <c r="G1272" s="12" t="str">
        <f>VLOOKUP(Table2[[#This Row],[MemberID]],Table1[#All],3,0)</f>
        <v>Platinum</v>
      </c>
      <c r="H1272" s="13">
        <v>16</v>
      </c>
    </row>
    <row r="1273" spans="1:8">
      <c r="A1273" t="s">
        <v>1605</v>
      </c>
      <c r="B1273" t="s">
        <v>199</v>
      </c>
      <c r="C1273" s="8">
        <v>46136</v>
      </c>
      <c r="D1273" t="s">
        <v>324</v>
      </c>
      <c r="E1273" t="s">
        <v>325</v>
      </c>
      <c r="F1273" s="12">
        <v>392796</v>
      </c>
      <c r="G1273" s="12" t="str">
        <f>VLOOKUP(Table2[[#This Row],[MemberID]],Table1[#All],3,0)</f>
        <v>Gold</v>
      </c>
      <c r="H1273" s="13">
        <v>39</v>
      </c>
    </row>
    <row r="1274" spans="1:8">
      <c r="A1274" t="s">
        <v>1606</v>
      </c>
      <c r="B1274" t="s">
        <v>90</v>
      </c>
      <c r="C1274" s="8">
        <v>46288</v>
      </c>
      <c r="D1274" t="s">
        <v>332</v>
      </c>
      <c r="E1274" t="s">
        <v>328</v>
      </c>
      <c r="F1274" s="12">
        <v>370657</v>
      </c>
      <c r="G1274" s="12" t="str">
        <f>VLOOKUP(Table2[[#This Row],[MemberID]],Table1[#All],3,0)</f>
        <v>Silver</v>
      </c>
      <c r="H1274" s="13">
        <v>37</v>
      </c>
    </row>
    <row r="1275" spans="1:8">
      <c r="A1275" t="s">
        <v>1607</v>
      </c>
      <c r="B1275" t="s">
        <v>65</v>
      </c>
      <c r="C1275" s="8">
        <v>46189</v>
      </c>
      <c r="D1275" t="s">
        <v>321</v>
      </c>
      <c r="E1275" t="s">
        <v>328</v>
      </c>
      <c r="F1275" s="12">
        <v>182186</v>
      </c>
      <c r="G1275" s="12" t="str">
        <f>VLOOKUP(Table2[[#This Row],[MemberID]],Table1[#All],3,0)</f>
        <v>Gold</v>
      </c>
      <c r="H1275" s="13">
        <v>18</v>
      </c>
    </row>
    <row r="1276" spans="1:8">
      <c r="A1276" t="s">
        <v>1608</v>
      </c>
      <c r="B1276" t="s">
        <v>230</v>
      </c>
      <c r="C1276" s="8">
        <v>46251</v>
      </c>
      <c r="D1276" t="s">
        <v>324</v>
      </c>
      <c r="E1276" t="s">
        <v>328</v>
      </c>
      <c r="F1276" s="12">
        <v>130766</v>
      </c>
      <c r="G1276" s="12" t="str">
        <f>VLOOKUP(Table2[[#This Row],[MemberID]],Table1[#All],3,0)</f>
        <v>Gold</v>
      </c>
      <c r="H1276" s="13">
        <v>13</v>
      </c>
    </row>
    <row r="1277" spans="1:8">
      <c r="A1277" t="s">
        <v>1609</v>
      </c>
      <c r="B1277" t="s">
        <v>295</v>
      </c>
      <c r="C1277" s="8">
        <v>46192</v>
      </c>
      <c r="D1277" t="s">
        <v>324</v>
      </c>
      <c r="E1277" t="s">
        <v>328</v>
      </c>
      <c r="F1277" s="12">
        <v>84094</v>
      </c>
      <c r="G1277" s="12" t="str">
        <f>VLOOKUP(Table2[[#This Row],[MemberID]],Table1[#All],3,0)</f>
        <v>Silver</v>
      </c>
      <c r="H1277" s="13">
        <v>8</v>
      </c>
    </row>
    <row r="1278" spans="1:8">
      <c r="A1278" t="s">
        <v>1610</v>
      </c>
      <c r="B1278" t="s">
        <v>84</v>
      </c>
      <c r="C1278" s="8">
        <v>46071</v>
      </c>
      <c r="D1278" t="s">
        <v>344</v>
      </c>
      <c r="E1278" t="s">
        <v>339</v>
      </c>
      <c r="F1278" s="12">
        <v>531858</v>
      </c>
      <c r="G1278" s="12" t="str">
        <f>VLOOKUP(Table2[[#This Row],[MemberID]],Table1[#All],3,0)</f>
        <v>Silver</v>
      </c>
      <c r="H1278" s="13">
        <v>53</v>
      </c>
    </row>
    <row r="1279" spans="1:8">
      <c r="A1279" t="s">
        <v>1611</v>
      </c>
      <c r="B1279" t="s">
        <v>301</v>
      </c>
      <c r="C1279" s="8">
        <v>46141</v>
      </c>
      <c r="D1279" t="s">
        <v>327</v>
      </c>
      <c r="E1279" t="s">
        <v>322</v>
      </c>
      <c r="F1279" s="12">
        <v>564013</v>
      </c>
      <c r="G1279" s="12" t="str">
        <f>VLOOKUP(Table2[[#This Row],[MemberID]],Table1[#All],3,0)</f>
        <v>Silver</v>
      </c>
      <c r="H1279" s="13">
        <v>56</v>
      </c>
    </row>
    <row r="1280" spans="1:8">
      <c r="A1280" t="s">
        <v>1612</v>
      </c>
      <c r="B1280" t="s">
        <v>241</v>
      </c>
      <c r="C1280" s="8">
        <v>46254</v>
      </c>
      <c r="D1280" t="s">
        <v>321</v>
      </c>
      <c r="E1280" t="s">
        <v>325</v>
      </c>
      <c r="F1280" s="12">
        <v>151738</v>
      </c>
      <c r="G1280" s="12" t="str">
        <f>VLOOKUP(Table2[[#This Row],[MemberID]],Table1[#All],3,0)</f>
        <v>Gold</v>
      </c>
      <c r="H1280" s="13">
        <v>15</v>
      </c>
    </row>
    <row r="1281" spans="1:8">
      <c r="A1281" t="s">
        <v>1613</v>
      </c>
      <c r="B1281" t="s">
        <v>109</v>
      </c>
      <c r="C1281" s="8">
        <v>46040</v>
      </c>
      <c r="D1281" t="s">
        <v>321</v>
      </c>
      <c r="E1281" t="s">
        <v>322</v>
      </c>
      <c r="F1281" s="12">
        <v>278286</v>
      </c>
      <c r="G1281" s="12" t="str">
        <f>VLOOKUP(Table2[[#This Row],[MemberID]],Table1[#All],3,0)</f>
        <v>Silver</v>
      </c>
      <c r="H1281" s="13">
        <v>27</v>
      </c>
    </row>
    <row r="1282" spans="1:8">
      <c r="A1282" t="s">
        <v>1614</v>
      </c>
      <c r="B1282" t="s">
        <v>39</v>
      </c>
      <c r="C1282" s="8">
        <v>46183</v>
      </c>
      <c r="D1282" t="s">
        <v>321</v>
      </c>
      <c r="E1282" t="s">
        <v>339</v>
      </c>
      <c r="F1282" s="12">
        <v>150330</v>
      </c>
      <c r="G1282" s="12" t="str">
        <f>VLOOKUP(Table2[[#This Row],[MemberID]],Table1[#All],3,0)</f>
        <v>Silver</v>
      </c>
      <c r="H1282" s="13">
        <v>15</v>
      </c>
    </row>
    <row r="1283" spans="1:8">
      <c r="A1283" t="s">
        <v>1615</v>
      </c>
      <c r="B1283" t="s">
        <v>296</v>
      </c>
      <c r="C1283" s="8">
        <v>46269</v>
      </c>
      <c r="D1283" t="s">
        <v>321</v>
      </c>
      <c r="E1283" t="s">
        <v>325</v>
      </c>
      <c r="F1283" s="12">
        <v>298073</v>
      </c>
      <c r="G1283" s="12" t="str">
        <f>VLOOKUP(Table2[[#This Row],[MemberID]],Table1[#All],3,0)</f>
        <v>Silver</v>
      </c>
      <c r="H1283" s="13">
        <v>29</v>
      </c>
    </row>
    <row r="1284" spans="1:8">
      <c r="A1284" t="s">
        <v>1616</v>
      </c>
      <c r="B1284" t="s">
        <v>48</v>
      </c>
      <c r="C1284" s="8">
        <v>46171</v>
      </c>
      <c r="D1284" t="s">
        <v>321</v>
      </c>
      <c r="E1284" t="s">
        <v>339</v>
      </c>
      <c r="F1284" s="12">
        <v>668986</v>
      </c>
      <c r="G1284" s="12" t="str">
        <f>VLOOKUP(Table2[[#This Row],[MemberID]],Table1[#All],3,0)</f>
        <v>Gold</v>
      </c>
      <c r="H1284" s="13">
        <v>66</v>
      </c>
    </row>
    <row r="1285" spans="1:8">
      <c r="A1285" t="s">
        <v>1617</v>
      </c>
      <c r="B1285" t="s">
        <v>36</v>
      </c>
      <c r="C1285" s="8">
        <v>46138</v>
      </c>
      <c r="D1285" t="s">
        <v>332</v>
      </c>
      <c r="E1285" t="s">
        <v>334</v>
      </c>
      <c r="F1285" s="12">
        <v>377574</v>
      </c>
      <c r="G1285" s="12" t="str">
        <f>VLOOKUP(Table2[[#This Row],[MemberID]],Table1[#All],3,0)</f>
        <v>Gold</v>
      </c>
      <c r="H1285" s="13">
        <v>37</v>
      </c>
    </row>
    <row r="1286" spans="1:8">
      <c r="A1286" t="s">
        <v>1618</v>
      </c>
      <c r="B1286" t="s">
        <v>284</v>
      </c>
      <c r="C1286" s="8">
        <v>46121</v>
      </c>
      <c r="D1286" t="s">
        <v>344</v>
      </c>
      <c r="E1286" t="s">
        <v>334</v>
      </c>
      <c r="F1286" s="12">
        <v>308073</v>
      </c>
      <c r="G1286" s="12" t="str">
        <f>VLOOKUP(Table2[[#This Row],[MemberID]],Table1[#All],3,0)</f>
        <v>Silver</v>
      </c>
      <c r="H1286" s="13">
        <v>30</v>
      </c>
    </row>
    <row r="1287" spans="1:8">
      <c r="A1287" t="s">
        <v>1619</v>
      </c>
      <c r="B1287" t="s">
        <v>69</v>
      </c>
      <c r="C1287" s="8">
        <v>46037</v>
      </c>
      <c r="D1287" t="s">
        <v>327</v>
      </c>
      <c r="E1287" t="s">
        <v>337</v>
      </c>
      <c r="F1287" s="12">
        <v>692217</v>
      </c>
      <c r="G1287" s="12" t="str">
        <f>VLOOKUP(Table2[[#This Row],[MemberID]],Table1[#All],3,0)</f>
        <v>Gold</v>
      </c>
      <c r="H1287" s="13">
        <v>69</v>
      </c>
    </row>
    <row r="1288" spans="1:8">
      <c r="A1288" t="s">
        <v>1620</v>
      </c>
      <c r="B1288" t="s">
        <v>176</v>
      </c>
      <c r="C1288" s="8">
        <v>46180</v>
      </c>
      <c r="D1288" t="s">
        <v>342</v>
      </c>
      <c r="E1288" t="s">
        <v>328</v>
      </c>
      <c r="F1288" s="12">
        <v>456136</v>
      </c>
      <c r="G1288" s="12" t="str">
        <f>VLOOKUP(Table2[[#This Row],[MemberID]],Table1[#All],3,0)</f>
        <v>Silver</v>
      </c>
      <c r="H1288" s="13">
        <v>45</v>
      </c>
    </row>
    <row r="1289" spans="1:8">
      <c r="A1289" t="s">
        <v>1621</v>
      </c>
      <c r="B1289" t="s">
        <v>293</v>
      </c>
      <c r="C1289" s="8">
        <v>46073</v>
      </c>
      <c r="D1289" t="s">
        <v>327</v>
      </c>
      <c r="E1289" t="s">
        <v>334</v>
      </c>
      <c r="F1289" s="12">
        <v>189306</v>
      </c>
      <c r="G1289" s="12" t="str">
        <f>VLOOKUP(Table2[[#This Row],[MemberID]],Table1[#All],3,0)</f>
        <v>Silver</v>
      </c>
      <c r="H1289" s="13">
        <v>18</v>
      </c>
    </row>
    <row r="1290" spans="1:8">
      <c r="A1290" t="s">
        <v>1622</v>
      </c>
      <c r="B1290" t="s">
        <v>275</v>
      </c>
      <c r="C1290" s="8">
        <v>46000</v>
      </c>
      <c r="D1290" t="s">
        <v>342</v>
      </c>
      <c r="E1290" t="s">
        <v>325</v>
      </c>
      <c r="F1290" s="12">
        <v>55157</v>
      </c>
      <c r="G1290" s="12" t="str">
        <f>VLOOKUP(Table2[[#This Row],[MemberID]],Table1[#All],3,0)</f>
        <v>Silver</v>
      </c>
      <c r="H1290" s="13">
        <v>5</v>
      </c>
    </row>
    <row r="1291" spans="1:8">
      <c r="A1291" t="s">
        <v>1623</v>
      </c>
      <c r="B1291" t="s">
        <v>134</v>
      </c>
      <c r="C1291" s="8">
        <v>46160</v>
      </c>
      <c r="D1291" t="s">
        <v>350</v>
      </c>
      <c r="E1291" t="s">
        <v>328</v>
      </c>
      <c r="F1291" s="12">
        <v>230039</v>
      </c>
      <c r="G1291" s="12" t="str">
        <f>VLOOKUP(Table2[[#This Row],[MemberID]],Table1[#All],3,0)</f>
        <v>Silver</v>
      </c>
      <c r="H1291" s="13">
        <v>23</v>
      </c>
    </row>
    <row r="1292" spans="1:8">
      <c r="A1292" t="s">
        <v>1624</v>
      </c>
      <c r="B1292" t="s">
        <v>150</v>
      </c>
      <c r="C1292" s="8">
        <v>46069</v>
      </c>
      <c r="D1292" t="s">
        <v>350</v>
      </c>
      <c r="E1292" t="s">
        <v>325</v>
      </c>
      <c r="F1292" s="12">
        <v>297389</v>
      </c>
      <c r="G1292" s="12" t="str">
        <f>VLOOKUP(Table2[[#This Row],[MemberID]],Table1[#All],3,0)</f>
        <v>Gold</v>
      </c>
      <c r="H1292" s="13">
        <v>29</v>
      </c>
    </row>
    <row r="1293" spans="1:8">
      <c r="A1293" t="s">
        <v>1625</v>
      </c>
      <c r="B1293" t="s">
        <v>19</v>
      </c>
      <c r="C1293" s="8">
        <v>46139</v>
      </c>
      <c r="D1293" t="s">
        <v>324</v>
      </c>
      <c r="E1293" t="s">
        <v>322</v>
      </c>
      <c r="F1293" s="12">
        <v>322192</v>
      </c>
      <c r="G1293" s="12" t="str">
        <f>VLOOKUP(Table2[[#This Row],[MemberID]],Table1[#All],3,0)</f>
        <v>Silver</v>
      </c>
      <c r="H1293" s="13">
        <v>32</v>
      </c>
    </row>
    <row r="1294" spans="1:8">
      <c r="A1294" t="s">
        <v>1626</v>
      </c>
      <c r="B1294" t="s">
        <v>111</v>
      </c>
      <c r="C1294" s="8">
        <v>46131</v>
      </c>
      <c r="D1294" t="s">
        <v>324</v>
      </c>
      <c r="E1294" t="s">
        <v>337</v>
      </c>
      <c r="F1294" s="12">
        <v>437507</v>
      </c>
      <c r="G1294" s="12" t="str">
        <f>VLOOKUP(Table2[[#This Row],[MemberID]],Table1[#All],3,0)</f>
        <v>Platinum</v>
      </c>
      <c r="H1294" s="13">
        <v>43</v>
      </c>
    </row>
    <row r="1295" spans="1:8">
      <c r="A1295" t="s">
        <v>1627</v>
      </c>
      <c r="B1295" t="s">
        <v>166</v>
      </c>
      <c r="C1295" s="8">
        <v>46137</v>
      </c>
      <c r="D1295" t="s">
        <v>342</v>
      </c>
      <c r="E1295" t="s">
        <v>334</v>
      </c>
      <c r="F1295" s="12">
        <v>680146</v>
      </c>
      <c r="G1295" s="12" t="str">
        <f>VLOOKUP(Table2[[#This Row],[MemberID]],Table1[#All],3,0)</f>
        <v>Gold</v>
      </c>
      <c r="H1295" s="13">
        <v>68</v>
      </c>
    </row>
    <row r="1296" spans="1:8">
      <c r="A1296" t="s">
        <v>1628</v>
      </c>
      <c r="B1296" t="s">
        <v>259</v>
      </c>
      <c r="C1296" s="8">
        <v>46280</v>
      </c>
      <c r="D1296" t="s">
        <v>332</v>
      </c>
      <c r="E1296" t="s">
        <v>325</v>
      </c>
      <c r="F1296" s="12">
        <v>346399</v>
      </c>
      <c r="G1296" s="12" t="str">
        <f>VLOOKUP(Table2[[#This Row],[MemberID]],Table1[#All],3,0)</f>
        <v>Gold</v>
      </c>
      <c r="H1296" s="13">
        <v>34</v>
      </c>
    </row>
    <row r="1297" spans="1:8">
      <c r="A1297" t="s">
        <v>1629</v>
      </c>
      <c r="B1297" t="s">
        <v>201</v>
      </c>
      <c r="C1297" s="8">
        <v>46258</v>
      </c>
      <c r="D1297" t="s">
        <v>327</v>
      </c>
      <c r="E1297" t="s">
        <v>325</v>
      </c>
      <c r="F1297" s="12">
        <v>312959</v>
      </c>
      <c r="G1297" s="12" t="str">
        <f>VLOOKUP(Table2[[#This Row],[MemberID]],Table1[#All],3,0)</f>
        <v>Platinum</v>
      </c>
      <c r="H1297" s="13">
        <v>31</v>
      </c>
    </row>
    <row r="1298" spans="1:8">
      <c r="A1298" t="s">
        <v>1630</v>
      </c>
      <c r="B1298" t="s">
        <v>130</v>
      </c>
      <c r="C1298" s="8">
        <v>45958</v>
      </c>
      <c r="D1298" t="s">
        <v>342</v>
      </c>
      <c r="E1298" t="s">
        <v>334</v>
      </c>
      <c r="F1298" s="12">
        <v>45171</v>
      </c>
      <c r="G1298" s="12" t="str">
        <f>VLOOKUP(Table2[[#This Row],[MemberID]],Table1[#All],3,0)</f>
        <v>Gold</v>
      </c>
      <c r="H1298" s="13">
        <v>4</v>
      </c>
    </row>
    <row r="1299" spans="1:8">
      <c r="A1299" t="s">
        <v>1631</v>
      </c>
      <c r="B1299" t="s">
        <v>285</v>
      </c>
      <c r="C1299" s="8">
        <v>46020</v>
      </c>
      <c r="D1299" t="s">
        <v>321</v>
      </c>
      <c r="E1299" t="s">
        <v>337</v>
      </c>
      <c r="F1299" s="12">
        <v>32468</v>
      </c>
      <c r="G1299" s="12" t="str">
        <f>VLOOKUP(Table2[[#This Row],[MemberID]],Table1[#All],3,0)</f>
        <v>Silver</v>
      </c>
      <c r="H1299" s="13">
        <v>3</v>
      </c>
    </row>
    <row r="1300" spans="1:8">
      <c r="A1300" t="s">
        <v>1632</v>
      </c>
      <c r="B1300" t="s">
        <v>201</v>
      </c>
      <c r="C1300" s="8">
        <v>46180</v>
      </c>
      <c r="D1300" t="s">
        <v>321</v>
      </c>
      <c r="E1300" t="s">
        <v>322</v>
      </c>
      <c r="F1300" s="12">
        <v>243961</v>
      </c>
      <c r="G1300" s="12" t="str">
        <f>VLOOKUP(Table2[[#This Row],[MemberID]],Table1[#All],3,0)</f>
        <v>Platinum</v>
      </c>
      <c r="H1300" s="13">
        <v>24</v>
      </c>
    </row>
    <row r="1301" spans="1:8">
      <c r="A1301" t="s">
        <v>1633</v>
      </c>
      <c r="B1301" t="s">
        <v>253</v>
      </c>
      <c r="C1301" s="8">
        <v>46224</v>
      </c>
      <c r="D1301" t="s">
        <v>321</v>
      </c>
      <c r="E1301" t="s">
        <v>322</v>
      </c>
      <c r="F1301" s="12">
        <v>360540</v>
      </c>
      <c r="G1301" s="12" t="str">
        <f>VLOOKUP(Table2[[#This Row],[MemberID]],Table1[#All],3,0)</f>
        <v>Silver</v>
      </c>
      <c r="H1301" s="13">
        <v>36</v>
      </c>
    </row>
    <row r="1302" spans="1:8">
      <c r="A1302" t="s">
        <v>1634</v>
      </c>
      <c r="B1302" t="s">
        <v>139</v>
      </c>
      <c r="C1302" s="8">
        <v>46283</v>
      </c>
      <c r="D1302" t="s">
        <v>342</v>
      </c>
      <c r="E1302" t="s">
        <v>334</v>
      </c>
      <c r="F1302" s="12">
        <v>479058</v>
      </c>
      <c r="G1302" s="12" t="str">
        <f>VLOOKUP(Table2[[#This Row],[MemberID]],Table1[#All],3,0)</f>
        <v>Silver</v>
      </c>
      <c r="H1302" s="13">
        <v>47</v>
      </c>
    </row>
    <row r="1303" spans="1:8">
      <c r="A1303" t="s">
        <v>1635</v>
      </c>
      <c r="B1303" t="s">
        <v>68</v>
      </c>
      <c r="C1303" s="8">
        <v>46088</v>
      </c>
      <c r="D1303" t="s">
        <v>344</v>
      </c>
      <c r="E1303" t="s">
        <v>339</v>
      </c>
      <c r="F1303" s="12">
        <v>396987</v>
      </c>
      <c r="G1303" s="12" t="str">
        <f>VLOOKUP(Table2[[#This Row],[MemberID]],Table1[#All],3,0)</f>
        <v>Silver</v>
      </c>
      <c r="H1303" s="13">
        <v>39</v>
      </c>
    </row>
    <row r="1304" spans="1:8">
      <c r="A1304" t="s">
        <v>1636</v>
      </c>
      <c r="B1304" t="s">
        <v>196</v>
      </c>
      <c r="C1304" s="8">
        <v>46142</v>
      </c>
      <c r="D1304" t="s">
        <v>327</v>
      </c>
      <c r="E1304" t="s">
        <v>339</v>
      </c>
      <c r="F1304" s="12">
        <v>526367</v>
      </c>
      <c r="G1304" s="12" t="str">
        <f>VLOOKUP(Table2[[#This Row],[MemberID]],Table1[#All],3,0)</f>
        <v>Gold</v>
      </c>
      <c r="H1304" s="13">
        <v>52</v>
      </c>
    </row>
    <row r="1305" spans="1:8">
      <c r="A1305" t="s">
        <v>1637</v>
      </c>
      <c r="B1305" t="s">
        <v>297</v>
      </c>
      <c r="C1305" s="8">
        <v>46081</v>
      </c>
      <c r="D1305" t="s">
        <v>321</v>
      </c>
      <c r="E1305" t="s">
        <v>325</v>
      </c>
      <c r="F1305" s="12">
        <v>508897</v>
      </c>
      <c r="G1305" s="12" t="str">
        <f>VLOOKUP(Table2[[#This Row],[MemberID]],Table1[#All],3,0)</f>
        <v>Silver</v>
      </c>
      <c r="H1305" s="13">
        <v>50</v>
      </c>
    </row>
    <row r="1306" spans="1:8">
      <c r="A1306" t="s">
        <v>1638</v>
      </c>
      <c r="B1306" t="s">
        <v>144</v>
      </c>
      <c r="C1306" s="8">
        <v>46058</v>
      </c>
      <c r="D1306" t="s">
        <v>330</v>
      </c>
      <c r="E1306" t="s">
        <v>337</v>
      </c>
      <c r="F1306" s="12">
        <v>102650</v>
      </c>
      <c r="G1306" s="12" t="str">
        <f>VLOOKUP(Table2[[#This Row],[MemberID]],Table1[#All],3,0)</f>
        <v>Platinum</v>
      </c>
      <c r="H1306" s="13">
        <v>10</v>
      </c>
    </row>
    <row r="1307" spans="1:8">
      <c r="A1307" t="s">
        <v>1639</v>
      </c>
      <c r="B1307" t="s">
        <v>87</v>
      </c>
      <c r="C1307" s="8">
        <v>46275</v>
      </c>
      <c r="D1307" t="s">
        <v>344</v>
      </c>
      <c r="E1307" t="s">
        <v>322</v>
      </c>
      <c r="F1307" s="12">
        <v>558324</v>
      </c>
      <c r="G1307" s="12" t="str">
        <f>VLOOKUP(Table2[[#This Row],[MemberID]],Table1[#All],3,0)</f>
        <v>Gold</v>
      </c>
      <c r="H1307" s="13">
        <v>55</v>
      </c>
    </row>
    <row r="1308" spans="1:8">
      <c r="A1308" t="s">
        <v>1640</v>
      </c>
      <c r="B1308" t="s">
        <v>259</v>
      </c>
      <c r="C1308" s="8">
        <v>46160</v>
      </c>
      <c r="D1308" t="s">
        <v>332</v>
      </c>
      <c r="E1308" t="s">
        <v>337</v>
      </c>
      <c r="F1308" s="12">
        <v>25000</v>
      </c>
      <c r="G1308" s="12" t="str">
        <f>VLOOKUP(Table2[[#This Row],[MemberID]],Table1[#All],3,0)</f>
        <v>Gold</v>
      </c>
      <c r="H1308" s="13">
        <v>2</v>
      </c>
    </row>
    <row r="1309" spans="1:8">
      <c r="A1309" t="s">
        <v>1641</v>
      </c>
      <c r="B1309" t="s">
        <v>6</v>
      </c>
      <c r="C1309" s="8">
        <v>46156</v>
      </c>
      <c r="D1309" t="s">
        <v>342</v>
      </c>
      <c r="E1309" t="s">
        <v>339</v>
      </c>
      <c r="F1309" s="12">
        <v>645848</v>
      </c>
      <c r="G1309" s="12" t="str">
        <f>VLOOKUP(Table2[[#This Row],[MemberID]],Table1[#All],3,0)</f>
        <v>Silver</v>
      </c>
      <c r="H1309" s="13">
        <v>64</v>
      </c>
    </row>
    <row r="1310" spans="1:8">
      <c r="A1310" t="s">
        <v>1642</v>
      </c>
      <c r="B1310" t="s">
        <v>223</v>
      </c>
      <c r="C1310" s="8">
        <v>46187</v>
      </c>
      <c r="D1310" t="s">
        <v>332</v>
      </c>
      <c r="E1310" t="s">
        <v>337</v>
      </c>
      <c r="F1310" s="12">
        <v>454971</v>
      </c>
      <c r="G1310" s="12" t="str">
        <f>VLOOKUP(Table2[[#This Row],[MemberID]],Table1[#All],3,0)</f>
        <v>Gold</v>
      </c>
      <c r="H1310" s="13">
        <v>45</v>
      </c>
    </row>
    <row r="1311" spans="1:8">
      <c r="A1311" t="s">
        <v>1643</v>
      </c>
      <c r="B1311" t="s">
        <v>217</v>
      </c>
      <c r="C1311" s="8">
        <v>46016</v>
      </c>
      <c r="D1311" t="s">
        <v>350</v>
      </c>
      <c r="E1311" t="s">
        <v>339</v>
      </c>
      <c r="F1311" s="12">
        <v>347470</v>
      </c>
      <c r="G1311" s="12" t="str">
        <f>VLOOKUP(Table2[[#This Row],[MemberID]],Table1[#All],3,0)</f>
        <v>Gold</v>
      </c>
      <c r="H1311" s="13">
        <v>34</v>
      </c>
    </row>
    <row r="1312" spans="1:8">
      <c r="A1312" t="s">
        <v>1644</v>
      </c>
      <c r="B1312" t="s">
        <v>40</v>
      </c>
      <c r="C1312" s="8">
        <v>45968</v>
      </c>
      <c r="D1312" t="s">
        <v>324</v>
      </c>
      <c r="E1312" t="s">
        <v>325</v>
      </c>
      <c r="F1312" s="12">
        <v>459480</v>
      </c>
      <c r="G1312" s="12" t="str">
        <f>VLOOKUP(Table2[[#This Row],[MemberID]],Table1[#All],3,0)</f>
        <v>Gold</v>
      </c>
      <c r="H1312" s="13">
        <v>45</v>
      </c>
    </row>
    <row r="1313" spans="1:8">
      <c r="A1313" t="s">
        <v>1645</v>
      </c>
      <c r="B1313" t="s">
        <v>141</v>
      </c>
      <c r="C1313" s="8">
        <v>46102</v>
      </c>
      <c r="D1313" t="s">
        <v>342</v>
      </c>
      <c r="E1313" t="s">
        <v>328</v>
      </c>
      <c r="F1313" s="12">
        <v>573904</v>
      </c>
      <c r="G1313" s="12" t="str">
        <f>VLOOKUP(Table2[[#This Row],[MemberID]],Table1[#All],3,0)</f>
        <v>Silver</v>
      </c>
      <c r="H1313" s="13">
        <v>57</v>
      </c>
    </row>
    <row r="1314" spans="1:8">
      <c r="A1314" t="s">
        <v>1646</v>
      </c>
      <c r="B1314" t="s">
        <v>212</v>
      </c>
      <c r="C1314" s="8">
        <v>46081</v>
      </c>
      <c r="D1314" t="s">
        <v>321</v>
      </c>
      <c r="E1314" t="s">
        <v>328</v>
      </c>
      <c r="F1314" s="12">
        <v>160917</v>
      </c>
      <c r="G1314" s="12" t="str">
        <f>VLOOKUP(Table2[[#This Row],[MemberID]],Table1[#All],3,0)</f>
        <v>Silver</v>
      </c>
      <c r="H1314" s="13">
        <v>16</v>
      </c>
    </row>
    <row r="1315" spans="1:8">
      <c r="A1315" t="s">
        <v>1647</v>
      </c>
      <c r="B1315" t="s">
        <v>69</v>
      </c>
      <c r="C1315" s="8">
        <v>46175</v>
      </c>
      <c r="D1315" t="s">
        <v>332</v>
      </c>
      <c r="E1315" t="s">
        <v>334</v>
      </c>
      <c r="F1315" s="12">
        <v>237482</v>
      </c>
      <c r="G1315" s="12" t="str">
        <f>VLOOKUP(Table2[[#This Row],[MemberID]],Table1[#All],3,0)</f>
        <v>Gold</v>
      </c>
      <c r="H1315" s="13">
        <v>23</v>
      </c>
    </row>
    <row r="1316" spans="1:8">
      <c r="A1316" t="s">
        <v>1648</v>
      </c>
      <c r="B1316" t="s">
        <v>36</v>
      </c>
      <c r="C1316" s="8">
        <v>46154</v>
      </c>
      <c r="D1316" t="s">
        <v>342</v>
      </c>
      <c r="E1316" t="s">
        <v>328</v>
      </c>
      <c r="F1316" s="12">
        <v>46541</v>
      </c>
      <c r="G1316" s="12" t="str">
        <f>VLOOKUP(Table2[[#This Row],[MemberID]],Table1[#All],3,0)</f>
        <v>Gold</v>
      </c>
      <c r="H1316" s="13">
        <v>4</v>
      </c>
    </row>
    <row r="1317" spans="1:8">
      <c r="A1317" t="s">
        <v>1649</v>
      </c>
      <c r="B1317" t="s">
        <v>237</v>
      </c>
      <c r="C1317" s="8">
        <v>46005</v>
      </c>
      <c r="D1317" t="s">
        <v>350</v>
      </c>
      <c r="E1317" t="s">
        <v>337</v>
      </c>
      <c r="F1317" s="12">
        <v>147077</v>
      </c>
      <c r="G1317" s="12" t="str">
        <f>VLOOKUP(Table2[[#This Row],[MemberID]],Table1[#All],3,0)</f>
        <v>Silver</v>
      </c>
      <c r="H1317" s="13">
        <v>14</v>
      </c>
    </row>
    <row r="1318" spans="1:8">
      <c r="A1318" t="s">
        <v>1650</v>
      </c>
      <c r="B1318" t="s">
        <v>16</v>
      </c>
      <c r="C1318" s="8">
        <v>45943</v>
      </c>
      <c r="D1318" t="s">
        <v>327</v>
      </c>
      <c r="E1318" t="s">
        <v>339</v>
      </c>
      <c r="F1318" s="12">
        <v>336138</v>
      </c>
      <c r="G1318" s="12" t="str">
        <f>VLOOKUP(Table2[[#This Row],[MemberID]],Table1[#All],3,0)</f>
        <v>Gold</v>
      </c>
      <c r="H1318" s="13">
        <v>33</v>
      </c>
    </row>
    <row r="1319" spans="1:8">
      <c r="A1319" t="s">
        <v>1651</v>
      </c>
      <c r="B1319" t="s">
        <v>164</v>
      </c>
      <c r="C1319" s="8">
        <v>46192</v>
      </c>
      <c r="D1319" t="s">
        <v>324</v>
      </c>
      <c r="E1319" t="s">
        <v>337</v>
      </c>
      <c r="F1319" s="12">
        <v>403149</v>
      </c>
      <c r="G1319" s="12" t="str">
        <f>VLOOKUP(Table2[[#This Row],[MemberID]],Table1[#All],3,0)</f>
        <v>Silver</v>
      </c>
      <c r="H1319" s="13">
        <v>40</v>
      </c>
    </row>
    <row r="1320" spans="1:8">
      <c r="A1320" t="s">
        <v>1652</v>
      </c>
      <c r="B1320" t="s">
        <v>224</v>
      </c>
      <c r="C1320" s="8">
        <v>46118</v>
      </c>
      <c r="D1320" t="s">
        <v>327</v>
      </c>
      <c r="E1320" t="s">
        <v>328</v>
      </c>
      <c r="F1320" s="12">
        <v>301928</v>
      </c>
      <c r="G1320" s="12" t="str">
        <f>VLOOKUP(Table2[[#This Row],[MemberID]],Table1[#All],3,0)</f>
        <v>Gold</v>
      </c>
      <c r="H1320" s="13">
        <v>30</v>
      </c>
    </row>
    <row r="1321" spans="1:8">
      <c r="A1321" t="s">
        <v>1653</v>
      </c>
      <c r="B1321" t="s">
        <v>3</v>
      </c>
      <c r="C1321" s="8">
        <v>46190</v>
      </c>
      <c r="D1321" t="s">
        <v>324</v>
      </c>
      <c r="E1321" t="s">
        <v>322</v>
      </c>
      <c r="F1321" s="12">
        <v>143625</v>
      </c>
      <c r="G1321" s="12" t="str">
        <f>VLOOKUP(Table2[[#This Row],[MemberID]],Table1[#All],3,0)</f>
        <v>Silver</v>
      </c>
      <c r="H1321" s="13">
        <v>14</v>
      </c>
    </row>
    <row r="1322" spans="1:8">
      <c r="A1322" t="s">
        <v>1654</v>
      </c>
      <c r="B1322" t="s">
        <v>3</v>
      </c>
      <c r="C1322" s="8">
        <v>46075</v>
      </c>
      <c r="D1322" t="s">
        <v>324</v>
      </c>
      <c r="E1322" t="s">
        <v>339</v>
      </c>
      <c r="F1322" s="12">
        <v>76695</v>
      </c>
      <c r="G1322" s="12" t="str">
        <f>VLOOKUP(Table2[[#This Row],[MemberID]],Table1[#All],3,0)</f>
        <v>Silver</v>
      </c>
      <c r="H1322" s="13">
        <v>7</v>
      </c>
    </row>
    <row r="1323" spans="1:8">
      <c r="A1323" t="s">
        <v>1655</v>
      </c>
      <c r="B1323" t="s">
        <v>255</v>
      </c>
      <c r="C1323" s="8">
        <v>46226</v>
      </c>
      <c r="D1323" t="s">
        <v>321</v>
      </c>
      <c r="E1323" t="s">
        <v>328</v>
      </c>
      <c r="F1323" s="12">
        <v>123371</v>
      </c>
      <c r="G1323" s="12" t="str">
        <f>VLOOKUP(Table2[[#This Row],[MemberID]],Table1[#All],3,0)</f>
        <v>Silver</v>
      </c>
      <c r="H1323" s="13">
        <v>12</v>
      </c>
    </row>
    <row r="1324" spans="1:8">
      <c r="A1324" t="s">
        <v>1656</v>
      </c>
      <c r="B1324" t="s">
        <v>280</v>
      </c>
      <c r="C1324" s="8">
        <v>46280</v>
      </c>
      <c r="D1324" t="s">
        <v>350</v>
      </c>
      <c r="E1324" t="s">
        <v>325</v>
      </c>
      <c r="F1324" s="12">
        <v>300045</v>
      </c>
      <c r="G1324" s="12" t="str">
        <f>VLOOKUP(Table2[[#This Row],[MemberID]],Table1[#All],3,0)</f>
        <v>Silver</v>
      </c>
      <c r="H1324" s="13">
        <v>30</v>
      </c>
    </row>
    <row r="1325" spans="1:8">
      <c r="A1325" t="s">
        <v>1657</v>
      </c>
      <c r="B1325" t="s">
        <v>121</v>
      </c>
      <c r="C1325" s="8">
        <v>46193</v>
      </c>
      <c r="D1325" t="s">
        <v>344</v>
      </c>
      <c r="E1325" t="s">
        <v>337</v>
      </c>
      <c r="F1325" s="12">
        <v>422097</v>
      </c>
      <c r="G1325" s="12" t="str">
        <f>VLOOKUP(Table2[[#This Row],[MemberID]],Table1[#All],3,0)</f>
        <v>Silver</v>
      </c>
      <c r="H1325" s="13">
        <v>42</v>
      </c>
    </row>
    <row r="1326" spans="1:8">
      <c r="A1326" t="s">
        <v>1658</v>
      </c>
      <c r="B1326" t="s">
        <v>176</v>
      </c>
      <c r="C1326" s="8">
        <v>46017</v>
      </c>
      <c r="D1326" t="s">
        <v>344</v>
      </c>
      <c r="E1326" t="s">
        <v>334</v>
      </c>
      <c r="F1326" s="12">
        <v>417379</v>
      </c>
      <c r="G1326" s="12" t="str">
        <f>VLOOKUP(Table2[[#This Row],[MemberID]],Table1[#All],3,0)</f>
        <v>Silver</v>
      </c>
      <c r="H1326" s="13">
        <v>41</v>
      </c>
    </row>
    <row r="1327" spans="1:8">
      <c r="A1327" t="s">
        <v>1659</v>
      </c>
      <c r="B1327" t="s">
        <v>290</v>
      </c>
      <c r="C1327" s="8">
        <v>46157</v>
      </c>
      <c r="D1327" t="s">
        <v>327</v>
      </c>
      <c r="E1327" t="s">
        <v>328</v>
      </c>
      <c r="F1327" s="12">
        <v>300186</v>
      </c>
      <c r="G1327" s="12" t="str">
        <f>VLOOKUP(Table2[[#This Row],[MemberID]],Table1[#All],3,0)</f>
        <v>Silver</v>
      </c>
      <c r="H1327" s="13">
        <v>30</v>
      </c>
    </row>
    <row r="1328" spans="1:8">
      <c r="A1328" t="s">
        <v>1660</v>
      </c>
      <c r="B1328" t="s">
        <v>206</v>
      </c>
      <c r="C1328" s="8">
        <v>46079</v>
      </c>
      <c r="D1328" t="s">
        <v>342</v>
      </c>
      <c r="E1328" t="s">
        <v>337</v>
      </c>
      <c r="F1328" s="12">
        <v>626740</v>
      </c>
      <c r="G1328" s="12" t="str">
        <f>VLOOKUP(Table2[[#This Row],[MemberID]],Table1[#All],3,0)</f>
        <v>Silver</v>
      </c>
      <c r="H1328" s="13">
        <v>62</v>
      </c>
    </row>
    <row r="1329" spans="1:8">
      <c r="A1329" t="s">
        <v>1661</v>
      </c>
      <c r="B1329" t="s">
        <v>56</v>
      </c>
      <c r="C1329" s="8">
        <v>46098</v>
      </c>
      <c r="D1329" t="s">
        <v>324</v>
      </c>
      <c r="E1329" t="s">
        <v>334</v>
      </c>
      <c r="F1329" s="12">
        <v>492665</v>
      </c>
      <c r="G1329" s="12" t="str">
        <f>VLOOKUP(Table2[[#This Row],[MemberID]],Table1[#All],3,0)</f>
        <v>Gold</v>
      </c>
      <c r="H1329" s="13">
        <v>49</v>
      </c>
    </row>
    <row r="1330" spans="1:8">
      <c r="A1330" t="s">
        <v>1662</v>
      </c>
      <c r="B1330" t="s">
        <v>206</v>
      </c>
      <c r="C1330" s="8">
        <v>45983</v>
      </c>
      <c r="D1330" t="s">
        <v>324</v>
      </c>
      <c r="E1330" t="s">
        <v>334</v>
      </c>
      <c r="F1330" s="12">
        <v>241289</v>
      </c>
      <c r="G1330" s="12" t="str">
        <f>VLOOKUP(Table2[[#This Row],[MemberID]],Table1[#All],3,0)</f>
        <v>Silver</v>
      </c>
      <c r="H1330" s="13">
        <v>24</v>
      </c>
    </row>
    <row r="1331" spans="1:8">
      <c r="A1331" t="s">
        <v>1663</v>
      </c>
      <c r="B1331" t="s">
        <v>100</v>
      </c>
      <c r="C1331" s="8">
        <v>46268</v>
      </c>
      <c r="D1331" t="s">
        <v>350</v>
      </c>
      <c r="E1331" t="s">
        <v>337</v>
      </c>
      <c r="F1331" s="12">
        <v>282402</v>
      </c>
      <c r="G1331" s="12" t="str">
        <f>VLOOKUP(Table2[[#This Row],[MemberID]],Table1[#All],3,0)</f>
        <v>Silver</v>
      </c>
      <c r="H1331" s="13">
        <v>28</v>
      </c>
    </row>
    <row r="1332" spans="1:8">
      <c r="A1332" t="s">
        <v>1664</v>
      </c>
      <c r="B1332" t="s">
        <v>196</v>
      </c>
      <c r="C1332" s="8">
        <v>45945</v>
      </c>
      <c r="D1332" t="s">
        <v>321</v>
      </c>
      <c r="E1332" t="s">
        <v>322</v>
      </c>
      <c r="F1332" s="12">
        <v>642243</v>
      </c>
      <c r="G1332" s="12" t="str">
        <f>VLOOKUP(Table2[[#This Row],[MemberID]],Table1[#All],3,0)</f>
        <v>Gold</v>
      </c>
      <c r="H1332" s="13">
        <v>64</v>
      </c>
    </row>
    <row r="1333" spans="1:8">
      <c r="A1333" t="s">
        <v>1665</v>
      </c>
      <c r="B1333" t="s">
        <v>302</v>
      </c>
      <c r="C1333" s="8">
        <v>45941</v>
      </c>
      <c r="D1333" t="s">
        <v>327</v>
      </c>
      <c r="E1333" t="s">
        <v>322</v>
      </c>
      <c r="F1333" s="12">
        <v>412456</v>
      </c>
      <c r="G1333" s="12" t="str">
        <f>VLOOKUP(Table2[[#This Row],[MemberID]],Table1[#All],3,0)</f>
        <v>Gold</v>
      </c>
      <c r="H1333" s="13">
        <v>41</v>
      </c>
    </row>
    <row r="1334" spans="1:8">
      <c r="A1334" t="s">
        <v>1666</v>
      </c>
      <c r="B1334" t="s">
        <v>281</v>
      </c>
      <c r="C1334" s="8">
        <v>46064</v>
      </c>
      <c r="D1334" t="s">
        <v>327</v>
      </c>
      <c r="E1334" t="s">
        <v>328</v>
      </c>
      <c r="F1334" s="12">
        <v>234999</v>
      </c>
      <c r="G1334" s="12" t="str">
        <f>VLOOKUP(Table2[[#This Row],[MemberID]],Table1[#All],3,0)</f>
        <v>Gold</v>
      </c>
      <c r="H1334" s="13">
        <v>23</v>
      </c>
    </row>
    <row r="1335" spans="1:8">
      <c r="A1335" t="s">
        <v>1667</v>
      </c>
      <c r="B1335" t="s">
        <v>162</v>
      </c>
      <c r="C1335" s="8">
        <v>45937</v>
      </c>
      <c r="D1335" t="s">
        <v>342</v>
      </c>
      <c r="E1335" t="s">
        <v>322</v>
      </c>
      <c r="F1335" s="12">
        <v>192902</v>
      </c>
      <c r="G1335" s="12" t="str">
        <f>VLOOKUP(Table2[[#This Row],[MemberID]],Table1[#All],3,0)</f>
        <v>Silver</v>
      </c>
      <c r="H1335" s="13">
        <v>19</v>
      </c>
    </row>
    <row r="1336" spans="1:8">
      <c r="A1336" t="s">
        <v>1668</v>
      </c>
      <c r="B1336" t="s">
        <v>300</v>
      </c>
      <c r="C1336" s="8">
        <v>46214</v>
      </c>
      <c r="D1336" t="s">
        <v>321</v>
      </c>
      <c r="E1336" t="s">
        <v>325</v>
      </c>
      <c r="F1336" s="12">
        <v>237038</v>
      </c>
      <c r="G1336" s="12" t="str">
        <f>VLOOKUP(Table2[[#This Row],[MemberID]],Table1[#All],3,0)</f>
        <v>Gold</v>
      </c>
      <c r="H1336" s="13">
        <v>23</v>
      </c>
    </row>
    <row r="1337" spans="1:8">
      <c r="A1337" t="s">
        <v>1669</v>
      </c>
      <c r="B1337" t="s">
        <v>275</v>
      </c>
      <c r="C1337" s="8">
        <v>46150</v>
      </c>
      <c r="D1337" t="s">
        <v>330</v>
      </c>
      <c r="E1337" t="s">
        <v>328</v>
      </c>
      <c r="F1337" s="12">
        <v>414385</v>
      </c>
      <c r="G1337" s="12" t="str">
        <f>VLOOKUP(Table2[[#This Row],[MemberID]],Table1[#All],3,0)</f>
        <v>Silver</v>
      </c>
      <c r="H1337" s="13">
        <v>41</v>
      </c>
    </row>
    <row r="1338" spans="1:8">
      <c r="A1338" t="s">
        <v>1670</v>
      </c>
      <c r="B1338" t="s">
        <v>81</v>
      </c>
      <c r="C1338" s="8">
        <v>46109</v>
      </c>
      <c r="D1338" t="s">
        <v>342</v>
      </c>
      <c r="E1338" t="s">
        <v>328</v>
      </c>
      <c r="F1338" s="12">
        <v>241023</v>
      </c>
      <c r="G1338" s="12" t="str">
        <f>VLOOKUP(Table2[[#This Row],[MemberID]],Table1[#All],3,0)</f>
        <v>Gold</v>
      </c>
      <c r="H1338" s="13">
        <v>24</v>
      </c>
    </row>
    <row r="1339" spans="1:8">
      <c r="A1339" t="s">
        <v>1671</v>
      </c>
      <c r="B1339" t="s">
        <v>29</v>
      </c>
      <c r="C1339" s="8">
        <v>46023</v>
      </c>
      <c r="D1339" t="s">
        <v>324</v>
      </c>
      <c r="E1339" t="s">
        <v>337</v>
      </c>
      <c r="F1339" s="12">
        <v>315246</v>
      </c>
      <c r="G1339" s="12" t="str">
        <f>VLOOKUP(Table2[[#This Row],[MemberID]],Table1[#All],3,0)</f>
        <v>Gold</v>
      </c>
      <c r="H1339" s="13">
        <v>31</v>
      </c>
    </row>
    <row r="1340" spans="1:8">
      <c r="A1340" t="s">
        <v>1672</v>
      </c>
      <c r="B1340" t="s">
        <v>262</v>
      </c>
      <c r="C1340" s="8">
        <v>46225</v>
      </c>
      <c r="D1340" t="s">
        <v>344</v>
      </c>
      <c r="E1340" t="s">
        <v>339</v>
      </c>
      <c r="F1340" s="12">
        <v>184884</v>
      </c>
      <c r="G1340" s="12" t="str">
        <f>VLOOKUP(Table2[[#This Row],[MemberID]],Table1[#All],3,0)</f>
        <v>Gold</v>
      </c>
      <c r="H1340" s="13">
        <v>18</v>
      </c>
    </row>
    <row r="1341" spans="1:8">
      <c r="A1341" t="s">
        <v>1673</v>
      </c>
      <c r="B1341" t="s">
        <v>167</v>
      </c>
      <c r="C1341" s="8">
        <v>45989</v>
      </c>
      <c r="D1341" t="s">
        <v>332</v>
      </c>
      <c r="E1341" t="s">
        <v>334</v>
      </c>
      <c r="F1341" s="12">
        <v>322658</v>
      </c>
      <c r="G1341" s="12" t="str">
        <f>VLOOKUP(Table2[[#This Row],[MemberID]],Table1[#All],3,0)</f>
        <v>Silver</v>
      </c>
      <c r="H1341" s="13">
        <v>32</v>
      </c>
    </row>
    <row r="1342" spans="1:8">
      <c r="A1342" t="s">
        <v>1674</v>
      </c>
      <c r="B1342" t="s">
        <v>178</v>
      </c>
      <c r="C1342" s="8">
        <v>46138</v>
      </c>
      <c r="D1342" t="s">
        <v>330</v>
      </c>
      <c r="E1342" t="s">
        <v>322</v>
      </c>
      <c r="F1342" s="12">
        <v>199643</v>
      </c>
      <c r="G1342" s="12" t="str">
        <f>VLOOKUP(Table2[[#This Row],[MemberID]],Table1[#All],3,0)</f>
        <v>Silver</v>
      </c>
      <c r="H1342" s="13">
        <v>19</v>
      </c>
    </row>
    <row r="1343" spans="1:8">
      <c r="A1343" t="s">
        <v>1675</v>
      </c>
      <c r="B1343" t="s">
        <v>279</v>
      </c>
      <c r="C1343" s="8">
        <v>45986</v>
      </c>
      <c r="D1343" t="s">
        <v>350</v>
      </c>
      <c r="E1343" t="s">
        <v>334</v>
      </c>
      <c r="F1343" s="12">
        <v>361405</v>
      </c>
      <c r="G1343" s="12" t="str">
        <f>VLOOKUP(Table2[[#This Row],[MemberID]],Table1[#All],3,0)</f>
        <v>Silver</v>
      </c>
      <c r="H1343" s="13">
        <v>36</v>
      </c>
    </row>
    <row r="1344" spans="1:8">
      <c r="A1344" t="s">
        <v>1676</v>
      </c>
      <c r="B1344" t="s">
        <v>40</v>
      </c>
      <c r="C1344" s="8">
        <v>46235</v>
      </c>
      <c r="D1344" t="s">
        <v>332</v>
      </c>
      <c r="E1344" t="s">
        <v>325</v>
      </c>
      <c r="F1344" s="12">
        <v>253583</v>
      </c>
      <c r="G1344" s="12" t="str">
        <f>VLOOKUP(Table2[[#This Row],[MemberID]],Table1[#All],3,0)</f>
        <v>Gold</v>
      </c>
      <c r="H1344" s="13">
        <v>25</v>
      </c>
    </row>
    <row r="1345" spans="1:8">
      <c r="A1345" t="s">
        <v>1677</v>
      </c>
      <c r="B1345" t="s">
        <v>190</v>
      </c>
      <c r="C1345" s="8">
        <v>46130</v>
      </c>
      <c r="D1345" t="s">
        <v>344</v>
      </c>
      <c r="E1345" t="s">
        <v>322</v>
      </c>
      <c r="F1345" s="12">
        <v>119159</v>
      </c>
      <c r="G1345" s="12" t="str">
        <f>VLOOKUP(Table2[[#This Row],[MemberID]],Table1[#All],3,0)</f>
        <v>Silver</v>
      </c>
      <c r="H1345" s="13">
        <v>11</v>
      </c>
    </row>
    <row r="1346" spans="1:8">
      <c r="A1346" t="s">
        <v>1678</v>
      </c>
      <c r="B1346" t="s">
        <v>254</v>
      </c>
      <c r="C1346" s="8">
        <v>46184</v>
      </c>
      <c r="D1346" t="s">
        <v>344</v>
      </c>
      <c r="E1346" t="s">
        <v>322</v>
      </c>
      <c r="F1346" s="12">
        <v>36603</v>
      </c>
      <c r="G1346" s="12" t="str">
        <f>VLOOKUP(Table2[[#This Row],[MemberID]],Table1[#All],3,0)</f>
        <v>Silver</v>
      </c>
      <c r="H1346" s="13">
        <v>3</v>
      </c>
    </row>
    <row r="1347" spans="1:8">
      <c r="A1347" t="s">
        <v>1679</v>
      </c>
      <c r="B1347" t="s">
        <v>179</v>
      </c>
      <c r="C1347" s="8">
        <v>46117</v>
      </c>
      <c r="D1347" t="s">
        <v>344</v>
      </c>
      <c r="E1347" t="s">
        <v>337</v>
      </c>
      <c r="F1347" s="12">
        <v>576790</v>
      </c>
      <c r="G1347" s="12" t="str">
        <f>VLOOKUP(Table2[[#This Row],[MemberID]],Table1[#All],3,0)</f>
        <v>Gold</v>
      </c>
      <c r="H1347" s="13">
        <v>57</v>
      </c>
    </row>
    <row r="1348" spans="1:8">
      <c r="A1348" t="s">
        <v>1680</v>
      </c>
      <c r="B1348" t="s">
        <v>13</v>
      </c>
      <c r="C1348" s="8">
        <v>46111</v>
      </c>
      <c r="D1348" t="s">
        <v>330</v>
      </c>
      <c r="E1348" t="s">
        <v>337</v>
      </c>
      <c r="F1348" s="12">
        <v>490364</v>
      </c>
      <c r="G1348" s="12" t="str">
        <f>VLOOKUP(Table2[[#This Row],[MemberID]],Table1[#All],3,0)</f>
        <v>Silver</v>
      </c>
      <c r="H1348" s="13">
        <v>49</v>
      </c>
    </row>
    <row r="1349" spans="1:8">
      <c r="A1349" t="s">
        <v>1681</v>
      </c>
      <c r="B1349" t="s">
        <v>82</v>
      </c>
      <c r="C1349" s="8">
        <v>46145</v>
      </c>
      <c r="D1349" t="s">
        <v>344</v>
      </c>
      <c r="E1349" t="s">
        <v>328</v>
      </c>
      <c r="F1349" s="12">
        <v>906348</v>
      </c>
      <c r="G1349" s="12" t="str">
        <f>VLOOKUP(Table2[[#This Row],[MemberID]],Table1[#All],3,0)</f>
        <v>Silver</v>
      </c>
      <c r="H1349" s="13">
        <v>90</v>
      </c>
    </row>
    <row r="1350" spans="1:8">
      <c r="A1350" t="s">
        <v>1682</v>
      </c>
      <c r="B1350" t="s">
        <v>8</v>
      </c>
      <c r="C1350" s="8">
        <v>46167</v>
      </c>
      <c r="D1350" t="s">
        <v>324</v>
      </c>
      <c r="E1350" t="s">
        <v>325</v>
      </c>
      <c r="F1350" s="12">
        <v>446326</v>
      </c>
      <c r="G1350" s="12" t="str">
        <f>VLOOKUP(Table2[[#This Row],[MemberID]],Table1[#All],3,0)</f>
        <v>Gold</v>
      </c>
      <c r="H1350" s="13">
        <v>44</v>
      </c>
    </row>
    <row r="1351" spans="1:8">
      <c r="A1351" t="s">
        <v>1683</v>
      </c>
      <c r="B1351" t="s">
        <v>255</v>
      </c>
      <c r="C1351" s="8">
        <v>46291</v>
      </c>
      <c r="D1351" t="s">
        <v>327</v>
      </c>
      <c r="E1351" t="s">
        <v>322</v>
      </c>
      <c r="F1351" s="12">
        <v>323329</v>
      </c>
      <c r="G1351" s="12" t="str">
        <f>VLOOKUP(Table2[[#This Row],[MemberID]],Table1[#All],3,0)</f>
        <v>Silver</v>
      </c>
      <c r="H1351" s="13">
        <v>32</v>
      </c>
    </row>
    <row r="1352" spans="1:8">
      <c r="A1352" t="s">
        <v>1684</v>
      </c>
      <c r="B1352" t="s">
        <v>60</v>
      </c>
      <c r="C1352" s="8">
        <v>46093</v>
      </c>
      <c r="D1352" t="s">
        <v>342</v>
      </c>
      <c r="E1352" t="s">
        <v>325</v>
      </c>
      <c r="F1352" s="12">
        <v>194781</v>
      </c>
      <c r="G1352" s="12" t="str">
        <f>VLOOKUP(Table2[[#This Row],[MemberID]],Table1[#All],3,0)</f>
        <v>Silver</v>
      </c>
      <c r="H1352" s="13">
        <v>19</v>
      </c>
    </row>
    <row r="1353" spans="1:8">
      <c r="A1353" t="s">
        <v>1685</v>
      </c>
      <c r="B1353" t="s">
        <v>262</v>
      </c>
      <c r="C1353" s="8">
        <v>45966</v>
      </c>
      <c r="D1353" t="s">
        <v>321</v>
      </c>
      <c r="E1353" t="s">
        <v>328</v>
      </c>
      <c r="F1353" s="12">
        <v>308461</v>
      </c>
      <c r="G1353" s="12" t="str">
        <f>VLOOKUP(Table2[[#This Row],[MemberID]],Table1[#All],3,0)</f>
        <v>Gold</v>
      </c>
      <c r="H1353" s="13">
        <v>30</v>
      </c>
    </row>
    <row r="1354" spans="1:8">
      <c r="A1354" t="s">
        <v>1686</v>
      </c>
      <c r="B1354" t="s">
        <v>289</v>
      </c>
      <c r="C1354" s="8">
        <v>46217</v>
      </c>
      <c r="D1354" t="s">
        <v>342</v>
      </c>
      <c r="E1354" t="s">
        <v>325</v>
      </c>
      <c r="F1354" s="12">
        <v>390017</v>
      </c>
      <c r="G1354" s="12" t="str">
        <f>VLOOKUP(Table2[[#This Row],[MemberID]],Table1[#All],3,0)</f>
        <v>Silver</v>
      </c>
      <c r="H1354" s="13">
        <v>39</v>
      </c>
    </row>
    <row r="1355" spans="1:8">
      <c r="A1355" t="s">
        <v>1687</v>
      </c>
      <c r="B1355" t="s">
        <v>112</v>
      </c>
      <c r="C1355" s="8">
        <v>45939</v>
      </c>
      <c r="D1355" t="s">
        <v>342</v>
      </c>
      <c r="E1355" t="s">
        <v>322</v>
      </c>
      <c r="F1355" s="12">
        <v>285747</v>
      </c>
      <c r="G1355" s="12" t="str">
        <f>VLOOKUP(Table2[[#This Row],[MemberID]],Table1[#All],3,0)</f>
        <v>Silver</v>
      </c>
      <c r="H1355" s="13">
        <v>28</v>
      </c>
    </row>
    <row r="1356" spans="1:8">
      <c r="A1356" t="s">
        <v>1688</v>
      </c>
      <c r="B1356" t="s">
        <v>146</v>
      </c>
      <c r="C1356" s="8">
        <v>45954</v>
      </c>
      <c r="D1356" t="s">
        <v>324</v>
      </c>
      <c r="E1356" t="s">
        <v>334</v>
      </c>
      <c r="F1356" s="12">
        <v>254375</v>
      </c>
      <c r="G1356" s="12" t="str">
        <f>VLOOKUP(Table2[[#This Row],[MemberID]],Table1[#All],3,0)</f>
        <v>Silver</v>
      </c>
      <c r="H1356" s="13">
        <v>25</v>
      </c>
    </row>
    <row r="1357" spans="1:8">
      <c r="A1357" t="s">
        <v>1689</v>
      </c>
      <c r="B1357" t="s">
        <v>310</v>
      </c>
      <c r="C1357" s="8">
        <v>46280</v>
      </c>
      <c r="D1357" t="s">
        <v>330</v>
      </c>
      <c r="E1357" t="s">
        <v>334</v>
      </c>
      <c r="F1357" s="12">
        <v>580424</v>
      </c>
      <c r="G1357" s="12" t="str">
        <f>VLOOKUP(Table2[[#This Row],[MemberID]],Table1[#All],3,0)</f>
        <v>Silver</v>
      </c>
      <c r="H1357" s="13">
        <v>58</v>
      </c>
    </row>
    <row r="1358" spans="1:8">
      <c r="A1358" t="s">
        <v>1690</v>
      </c>
      <c r="B1358" t="s">
        <v>74</v>
      </c>
      <c r="C1358" s="8">
        <v>46103</v>
      </c>
      <c r="D1358" t="s">
        <v>324</v>
      </c>
      <c r="E1358" t="s">
        <v>339</v>
      </c>
      <c r="F1358" s="12">
        <v>101874</v>
      </c>
      <c r="G1358" s="12" t="str">
        <f>VLOOKUP(Table2[[#This Row],[MemberID]],Table1[#All],3,0)</f>
        <v>Platinum</v>
      </c>
      <c r="H1358" s="13">
        <v>10</v>
      </c>
    </row>
    <row r="1359" spans="1:8">
      <c r="A1359" t="s">
        <v>1691</v>
      </c>
      <c r="B1359" t="s">
        <v>45</v>
      </c>
      <c r="C1359" s="8">
        <v>46217</v>
      </c>
      <c r="D1359" t="s">
        <v>332</v>
      </c>
      <c r="E1359" t="s">
        <v>337</v>
      </c>
      <c r="F1359" s="12">
        <v>338911</v>
      </c>
      <c r="G1359" s="12" t="str">
        <f>VLOOKUP(Table2[[#This Row],[MemberID]],Table1[#All],3,0)</f>
        <v>Silver</v>
      </c>
      <c r="H1359" s="13">
        <v>33</v>
      </c>
    </row>
    <row r="1360" spans="1:8">
      <c r="A1360" t="s">
        <v>1692</v>
      </c>
      <c r="B1360" t="s">
        <v>255</v>
      </c>
      <c r="C1360" s="8">
        <v>46080</v>
      </c>
      <c r="D1360" t="s">
        <v>332</v>
      </c>
      <c r="E1360" t="s">
        <v>339</v>
      </c>
      <c r="F1360" s="12">
        <v>405872</v>
      </c>
      <c r="G1360" s="12" t="str">
        <f>VLOOKUP(Table2[[#This Row],[MemberID]],Table1[#All],3,0)</f>
        <v>Silver</v>
      </c>
      <c r="H1360" s="13">
        <v>40</v>
      </c>
    </row>
    <row r="1361" spans="1:8">
      <c r="A1361" t="s">
        <v>1693</v>
      </c>
      <c r="B1361" t="s">
        <v>240</v>
      </c>
      <c r="C1361" s="8">
        <v>46005</v>
      </c>
      <c r="D1361" t="s">
        <v>344</v>
      </c>
      <c r="E1361" t="s">
        <v>337</v>
      </c>
      <c r="F1361" s="12">
        <v>239705</v>
      </c>
      <c r="G1361" s="12" t="str">
        <f>VLOOKUP(Table2[[#This Row],[MemberID]],Table1[#All],3,0)</f>
        <v>Silver</v>
      </c>
      <c r="H1361" s="13">
        <v>23</v>
      </c>
    </row>
    <row r="1362" spans="1:8">
      <c r="A1362" t="s">
        <v>1694</v>
      </c>
      <c r="B1362" t="s">
        <v>255</v>
      </c>
      <c r="C1362" s="8">
        <v>45995</v>
      </c>
      <c r="D1362" t="s">
        <v>350</v>
      </c>
      <c r="E1362" t="s">
        <v>322</v>
      </c>
      <c r="F1362" s="12">
        <v>260138</v>
      </c>
      <c r="G1362" s="12" t="str">
        <f>VLOOKUP(Table2[[#This Row],[MemberID]],Table1[#All],3,0)</f>
        <v>Silver</v>
      </c>
      <c r="H1362" s="13">
        <v>26</v>
      </c>
    </row>
    <row r="1363" spans="1:8">
      <c r="A1363" t="s">
        <v>1695</v>
      </c>
      <c r="B1363" t="s">
        <v>45</v>
      </c>
      <c r="C1363" s="8">
        <v>46266</v>
      </c>
      <c r="D1363" t="s">
        <v>332</v>
      </c>
      <c r="E1363" t="s">
        <v>328</v>
      </c>
      <c r="F1363" s="12">
        <v>427108</v>
      </c>
      <c r="G1363" s="12" t="str">
        <f>VLOOKUP(Table2[[#This Row],[MemberID]],Table1[#All],3,0)</f>
        <v>Silver</v>
      </c>
      <c r="H1363" s="13">
        <v>42</v>
      </c>
    </row>
    <row r="1364" spans="1:8">
      <c r="A1364" t="s">
        <v>1696</v>
      </c>
      <c r="B1364" t="s">
        <v>48</v>
      </c>
      <c r="C1364" s="8">
        <v>45944</v>
      </c>
      <c r="D1364" t="s">
        <v>332</v>
      </c>
      <c r="E1364" t="s">
        <v>322</v>
      </c>
      <c r="F1364" s="12">
        <v>1152771</v>
      </c>
      <c r="G1364" s="12" t="str">
        <f>VLOOKUP(Table2[[#This Row],[MemberID]],Table1[#All],3,0)</f>
        <v>Gold</v>
      </c>
      <c r="H1364" s="13">
        <v>115</v>
      </c>
    </row>
    <row r="1365" spans="1:8">
      <c r="A1365" t="s">
        <v>1697</v>
      </c>
      <c r="B1365" t="s">
        <v>141</v>
      </c>
      <c r="C1365" s="8">
        <v>46238</v>
      </c>
      <c r="D1365" t="s">
        <v>332</v>
      </c>
      <c r="E1365" t="s">
        <v>337</v>
      </c>
      <c r="F1365" s="12">
        <v>446236</v>
      </c>
      <c r="G1365" s="12" t="str">
        <f>VLOOKUP(Table2[[#This Row],[MemberID]],Table1[#All],3,0)</f>
        <v>Silver</v>
      </c>
      <c r="H1365" s="13">
        <v>44</v>
      </c>
    </row>
    <row r="1366" spans="1:8">
      <c r="A1366" t="s">
        <v>1698</v>
      </c>
      <c r="B1366" t="s">
        <v>266</v>
      </c>
      <c r="C1366" s="8">
        <v>46272</v>
      </c>
      <c r="D1366" t="s">
        <v>321</v>
      </c>
      <c r="E1366" t="s">
        <v>337</v>
      </c>
      <c r="F1366" s="12">
        <v>129854</v>
      </c>
      <c r="G1366" s="12" t="str">
        <f>VLOOKUP(Table2[[#This Row],[MemberID]],Table1[#All],3,0)</f>
        <v>Silver</v>
      </c>
      <c r="H1366" s="13">
        <v>12</v>
      </c>
    </row>
    <row r="1367" spans="1:8">
      <c r="A1367" t="s">
        <v>1699</v>
      </c>
      <c r="B1367" t="s">
        <v>64</v>
      </c>
      <c r="C1367" s="8">
        <v>46120</v>
      </c>
      <c r="D1367" t="s">
        <v>342</v>
      </c>
      <c r="E1367" t="s">
        <v>334</v>
      </c>
      <c r="F1367" s="12">
        <v>160626</v>
      </c>
      <c r="G1367" s="12" t="str">
        <f>VLOOKUP(Table2[[#This Row],[MemberID]],Table1[#All],3,0)</f>
        <v>Silver</v>
      </c>
      <c r="H1367" s="13">
        <v>16</v>
      </c>
    </row>
    <row r="1368" spans="1:8">
      <c r="A1368" t="s">
        <v>1700</v>
      </c>
      <c r="B1368" t="s">
        <v>135</v>
      </c>
      <c r="C1368" s="8">
        <v>46090</v>
      </c>
      <c r="D1368" t="s">
        <v>324</v>
      </c>
      <c r="E1368" t="s">
        <v>325</v>
      </c>
      <c r="F1368" s="12">
        <v>128213</v>
      </c>
      <c r="G1368" s="12" t="str">
        <f>VLOOKUP(Table2[[#This Row],[MemberID]],Table1[#All],3,0)</f>
        <v>Silver</v>
      </c>
      <c r="H1368" s="13">
        <v>12</v>
      </c>
    </row>
    <row r="1369" spans="1:8">
      <c r="A1369" t="s">
        <v>1701</v>
      </c>
      <c r="B1369" t="s">
        <v>256</v>
      </c>
      <c r="C1369" s="8">
        <v>46080</v>
      </c>
      <c r="D1369" t="s">
        <v>344</v>
      </c>
      <c r="E1369" t="s">
        <v>334</v>
      </c>
      <c r="F1369" s="12">
        <v>420952</v>
      </c>
      <c r="G1369" s="12" t="str">
        <f>VLOOKUP(Table2[[#This Row],[MemberID]],Table1[#All],3,0)</f>
        <v>Gold</v>
      </c>
      <c r="H1369" s="13">
        <v>42</v>
      </c>
    </row>
    <row r="1370" spans="1:8">
      <c r="A1370" t="s">
        <v>1702</v>
      </c>
      <c r="B1370" t="s">
        <v>255</v>
      </c>
      <c r="C1370" s="8">
        <v>45967</v>
      </c>
      <c r="D1370" t="s">
        <v>344</v>
      </c>
      <c r="E1370" t="s">
        <v>328</v>
      </c>
      <c r="F1370" s="12">
        <v>297035</v>
      </c>
      <c r="G1370" s="12" t="str">
        <f>VLOOKUP(Table2[[#This Row],[MemberID]],Table1[#All],3,0)</f>
        <v>Silver</v>
      </c>
      <c r="H1370" s="13">
        <v>29</v>
      </c>
    </row>
    <row r="1371" spans="1:8">
      <c r="A1371" t="s">
        <v>1703</v>
      </c>
      <c r="B1371" t="s">
        <v>213</v>
      </c>
      <c r="C1371" s="8">
        <v>46140</v>
      </c>
      <c r="D1371" t="s">
        <v>327</v>
      </c>
      <c r="E1371" t="s">
        <v>322</v>
      </c>
      <c r="F1371" s="12">
        <v>673626</v>
      </c>
      <c r="G1371" s="12" t="str">
        <f>VLOOKUP(Table2[[#This Row],[MemberID]],Table1[#All],3,0)</f>
        <v>Gold</v>
      </c>
      <c r="H1371" s="13">
        <v>67</v>
      </c>
    </row>
    <row r="1372" spans="1:8">
      <c r="A1372" t="s">
        <v>1704</v>
      </c>
      <c r="B1372" t="s">
        <v>196</v>
      </c>
      <c r="C1372" s="8">
        <v>46205</v>
      </c>
      <c r="D1372" t="s">
        <v>344</v>
      </c>
      <c r="E1372" t="s">
        <v>337</v>
      </c>
      <c r="F1372" s="12">
        <v>301452</v>
      </c>
      <c r="G1372" s="12" t="str">
        <f>VLOOKUP(Table2[[#This Row],[MemberID]],Table1[#All],3,0)</f>
        <v>Gold</v>
      </c>
      <c r="H1372" s="13">
        <v>30</v>
      </c>
    </row>
    <row r="1373" spans="1:8">
      <c r="A1373" t="s">
        <v>1705</v>
      </c>
      <c r="B1373" t="s">
        <v>199</v>
      </c>
      <c r="C1373" s="8">
        <v>46147</v>
      </c>
      <c r="D1373" t="s">
        <v>321</v>
      </c>
      <c r="E1373" t="s">
        <v>339</v>
      </c>
      <c r="F1373" s="12">
        <v>322325</v>
      </c>
      <c r="G1373" s="12" t="str">
        <f>VLOOKUP(Table2[[#This Row],[MemberID]],Table1[#All],3,0)</f>
        <v>Gold</v>
      </c>
      <c r="H1373" s="13">
        <v>32</v>
      </c>
    </row>
    <row r="1374" spans="1:8">
      <c r="A1374" t="s">
        <v>1706</v>
      </c>
      <c r="B1374" t="s">
        <v>77</v>
      </c>
      <c r="C1374" s="8">
        <v>46279</v>
      </c>
      <c r="D1374" t="s">
        <v>330</v>
      </c>
      <c r="E1374" t="s">
        <v>337</v>
      </c>
      <c r="F1374" s="12">
        <v>512530</v>
      </c>
      <c r="G1374" s="12" t="str">
        <f>VLOOKUP(Table2[[#This Row],[MemberID]],Table1[#All],3,0)</f>
        <v>Platinum</v>
      </c>
      <c r="H1374" s="13">
        <v>51</v>
      </c>
    </row>
    <row r="1375" spans="1:8">
      <c r="A1375" t="s">
        <v>1707</v>
      </c>
      <c r="B1375" t="s">
        <v>168</v>
      </c>
      <c r="C1375" s="8">
        <v>46206</v>
      </c>
      <c r="D1375" t="s">
        <v>332</v>
      </c>
      <c r="E1375" t="s">
        <v>337</v>
      </c>
      <c r="F1375" s="12">
        <v>158375</v>
      </c>
      <c r="G1375" s="12" t="str">
        <f>VLOOKUP(Table2[[#This Row],[MemberID]],Table1[#All],3,0)</f>
        <v>Silver</v>
      </c>
      <c r="H1375" s="13">
        <v>15</v>
      </c>
    </row>
    <row r="1376" spans="1:8">
      <c r="A1376" t="s">
        <v>1708</v>
      </c>
      <c r="B1376" t="s">
        <v>57</v>
      </c>
      <c r="C1376" s="8">
        <v>46263</v>
      </c>
      <c r="D1376" t="s">
        <v>324</v>
      </c>
      <c r="E1376" t="s">
        <v>328</v>
      </c>
      <c r="F1376" s="12">
        <v>773596</v>
      </c>
      <c r="G1376" s="12" t="str">
        <f>VLOOKUP(Table2[[#This Row],[MemberID]],Table1[#All],3,0)</f>
        <v>Gold</v>
      </c>
      <c r="H1376" s="13">
        <v>77</v>
      </c>
    </row>
    <row r="1377" spans="1:8">
      <c r="A1377" t="s">
        <v>1709</v>
      </c>
      <c r="B1377" t="s">
        <v>303</v>
      </c>
      <c r="C1377" s="8">
        <v>46224</v>
      </c>
      <c r="D1377" t="s">
        <v>342</v>
      </c>
      <c r="E1377" t="s">
        <v>325</v>
      </c>
      <c r="F1377" s="12">
        <v>499770</v>
      </c>
      <c r="G1377" s="12" t="str">
        <f>VLOOKUP(Table2[[#This Row],[MemberID]],Table1[#All],3,0)</f>
        <v>Gold</v>
      </c>
      <c r="H1377" s="13">
        <v>49</v>
      </c>
    </row>
    <row r="1378" spans="1:8">
      <c r="A1378" t="s">
        <v>1710</v>
      </c>
      <c r="B1378" t="s">
        <v>77</v>
      </c>
      <c r="C1378" s="8">
        <v>46192</v>
      </c>
      <c r="D1378" t="s">
        <v>321</v>
      </c>
      <c r="E1378" t="s">
        <v>322</v>
      </c>
      <c r="F1378" s="12">
        <v>242616</v>
      </c>
      <c r="G1378" s="12" t="str">
        <f>VLOOKUP(Table2[[#This Row],[MemberID]],Table1[#All],3,0)</f>
        <v>Platinum</v>
      </c>
      <c r="H1378" s="13">
        <v>24</v>
      </c>
    </row>
    <row r="1379" spans="1:8">
      <c r="A1379" t="s">
        <v>1711</v>
      </c>
      <c r="B1379" t="s">
        <v>134</v>
      </c>
      <c r="C1379" s="8">
        <v>45952</v>
      </c>
      <c r="D1379" t="s">
        <v>332</v>
      </c>
      <c r="E1379" t="s">
        <v>322</v>
      </c>
      <c r="F1379" s="12">
        <v>351945</v>
      </c>
      <c r="G1379" s="12" t="str">
        <f>VLOOKUP(Table2[[#This Row],[MemberID]],Table1[#All],3,0)</f>
        <v>Silver</v>
      </c>
      <c r="H1379" s="13">
        <v>35</v>
      </c>
    </row>
    <row r="1380" spans="1:8">
      <c r="A1380" t="s">
        <v>1712</v>
      </c>
      <c r="B1380" t="s">
        <v>211</v>
      </c>
      <c r="C1380" s="8">
        <v>46055</v>
      </c>
      <c r="D1380" t="s">
        <v>344</v>
      </c>
      <c r="E1380" t="s">
        <v>322</v>
      </c>
      <c r="F1380" s="12">
        <v>150331</v>
      </c>
      <c r="G1380" s="12" t="str">
        <f>VLOOKUP(Table2[[#This Row],[MemberID]],Table1[#All],3,0)</f>
        <v>Platinum</v>
      </c>
      <c r="H1380" s="13">
        <v>15</v>
      </c>
    </row>
    <row r="1381" spans="1:8">
      <c r="A1381" t="s">
        <v>1713</v>
      </c>
      <c r="B1381" t="s">
        <v>200</v>
      </c>
      <c r="C1381" s="8">
        <v>46041</v>
      </c>
      <c r="D1381" t="s">
        <v>324</v>
      </c>
      <c r="E1381" t="s">
        <v>325</v>
      </c>
      <c r="F1381" s="12">
        <v>238229</v>
      </c>
      <c r="G1381" s="12" t="str">
        <f>VLOOKUP(Table2[[#This Row],[MemberID]],Table1[#All],3,0)</f>
        <v>Silver</v>
      </c>
      <c r="H1381" s="13">
        <v>23</v>
      </c>
    </row>
    <row r="1382" spans="1:8">
      <c r="A1382" t="s">
        <v>1714</v>
      </c>
      <c r="B1382" t="s">
        <v>179</v>
      </c>
      <c r="C1382" s="8">
        <v>46022</v>
      </c>
      <c r="D1382" t="s">
        <v>350</v>
      </c>
      <c r="E1382" t="s">
        <v>337</v>
      </c>
      <c r="F1382" s="12">
        <v>226484</v>
      </c>
      <c r="G1382" s="12" t="str">
        <f>VLOOKUP(Table2[[#This Row],[MemberID]],Table1[#All],3,0)</f>
        <v>Gold</v>
      </c>
      <c r="H1382" s="13">
        <v>22</v>
      </c>
    </row>
    <row r="1383" spans="1:8">
      <c r="A1383" t="s">
        <v>1715</v>
      </c>
      <c r="B1383" t="s">
        <v>256</v>
      </c>
      <c r="C1383" s="8">
        <v>45949</v>
      </c>
      <c r="D1383" t="s">
        <v>324</v>
      </c>
      <c r="E1383" t="s">
        <v>337</v>
      </c>
      <c r="F1383" s="12">
        <v>523510</v>
      </c>
      <c r="G1383" s="12" t="str">
        <f>VLOOKUP(Table2[[#This Row],[MemberID]],Table1[#All],3,0)</f>
        <v>Gold</v>
      </c>
      <c r="H1383" s="13">
        <v>52</v>
      </c>
    </row>
    <row r="1384" spans="1:8">
      <c r="A1384" t="s">
        <v>1716</v>
      </c>
      <c r="B1384" t="s">
        <v>81</v>
      </c>
      <c r="C1384" s="8">
        <v>46206</v>
      </c>
      <c r="D1384" t="s">
        <v>332</v>
      </c>
      <c r="E1384" t="s">
        <v>339</v>
      </c>
      <c r="F1384" s="12">
        <v>354224</v>
      </c>
      <c r="G1384" s="12" t="str">
        <f>VLOOKUP(Table2[[#This Row],[MemberID]],Table1[#All],3,0)</f>
        <v>Gold</v>
      </c>
      <c r="H1384" s="13">
        <v>35</v>
      </c>
    </row>
    <row r="1385" spans="1:8">
      <c r="A1385" t="s">
        <v>1717</v>
      </c>
      <c r="B1385" t="s">
        <v>271</v>
      </c>
      <c r="C1385" s="8">
        <v>46053</v>
      </c>
      <c r="D1385" t="s">
        <v>350</v>
      </c>
      <c r="E1385" t="s">
        <v>339</v>
      </c>
      <c r="F1385" s="12">
        <v>305858</v>
      </c>
      <c r="G1385" s="12" t="str">
        <f>VLOOKUP(Table2[[#This Row],[MemberID]],Table1[#All],3,0)</f>
        <v>Silver</v>
      </c>
      <c r="H1385" s="13">
        <v>30</v>
      </c>
    </row>
    <row r="1386" spans="1:8">
      <c r="A1386" t="s">
        <v>1718</v>
      </c>
      <c r="B1386" t="s">
        <v>280</v>
      </c>
      <c r="C1386" s="8">
        <v>46108</v>
      </c>
      <c r="D1386" t="s">
        <v>332</v>
      </c>
      <c r="E1386" t="s">
        <v>325</v>
      </c>
      <c r="F1386" s="12">
        <v>25000</v>
      </c>
      <c r="G1386" s="12" t="str">
        <f>VLOOKUP(Table2[[#This Row],[MemberID]],Table1[#All],3,0)</f>
        <v>Silver</v>
      </c>
      <c r="H1386" s="13">
        <v>2</v>
      </c>
    </row>
    <row r="1387" spans="1:8">
      <c r="A1387" t="s">
        <v>1719</v>
      </c>
      <c r="B1387" t="s">
        <v>154</v>
      </c>
      <c r="C1387" s="8">
        <v>45991</v>
      </c>
      <c r="D1387" t="s">
        <v>321</v>
      </c>
      <c r="E1387" t="s">
        <v>337</v>
      </c>
      <c r="F1387" s="12">
        <v>179171</v>
      </c>
      <c r="G1387" s="12" t="str">
        <f>VLOOKUP(Table2[[#This Row],[MemberID]],Table1[#All],3,0)</f>
        <v>Silver</v>
      </c>
      <c r="H1387" s="13">
        <v>17</v>
      </c>
    </row>
    <row r="1388" spans="1:8">
      <c r="A1388" t="s">
        <v>1720</v>
      </c>
      <c r="B1388" t="s">
        <v>78</v>
      </c>
      <c r="C1388" s="8">
        <v>45942</v>
      </c>
      <c r="D1388" t="s">
        <v>332</v>
      </c>
      <c r="E1388" t="s">
        <v>334</v>
      </c>
      <c r="F1388" s="12">
        <v>623797</v>
      </c>
      <c r="G1388" s="12" t="str">
        <f>VLOOKUP(Table2[[#This Row],[MemberID]],Table1[#All],3,0)</f>
        <v>Gold</v>
      </c>
      <c r="H1388" s="13">
        <v>62</v>
      </c>
    </row>
    <row r="1389" spans="1:8">
      <c r="A1389" t="s">
        <v>1721</v>
      </c>
      <c r="B1389" t="s">
        <v>3</v>
      </c>
      <c r="C1389" s="8">
        <v>46178</v>
      </c>
      <c r="D1389" t="s">
        <v>321</v>
      </c>
      <c r="E1389" t="s">
        <v>328</v>
      </c>
      <c r="F1389" s="12">
        <v>228433</v>
      </c>
      <c r="G1389" s="12" t="str">
        <f>VLOOKUP(Table2[[#This Row],[MemberID]],Table1[#All],3,0)</f>
        <v>Silver</v>
      </c>
      <c r="H1389" s="13">
        <v>22</v>
      </c>
    </row>
    <row r="1390" spans="1:8">
      <c r="A1390" t="s">
        <v>1722</v>
      </c>
      <c r="B1390" t="s">
        <v>123</v>
      </c>
      <c r="C1390" s="8">
        <v>46133</v>
      </c>
      <c r="D1390" t="s">
        <v>321</v>
      </c>
      <c r="E1390" t="s">
        <v>322</v>
      </c>
      <c r="F1390" s="12">
        <v>549244</v>
      </c>
      <c r="G1390" s="12" t="str">
        <f>VLOOKUP(Table2[[#This Row],[MemberID]],Table1[#All],3,0)</f>
        <v>Silver</v>
      </c>
      <c r="H1390" s="13">
        <v>54</v>
      </c>
    </row>
    <row r="1391" spans="1:8">
      <c r="A1391" t="s">
        <v>1723</v>
      </c>
      <c r="B1391" t="s">
        <v>61</v>
      </c>
      <c r="C1391" s="8">
        <v>46046</v>
      </c>
      <c r="D1391" t="s">
        <v>327</v>
      </c>
      <c r="E1391" t="s">
        <v>339</v>
      </c>
      <c r="F1391" s="12">
        <v>464878</v>
      </c>
      <c r="G1391" s="12" t="str">
        <f>VLOOKUP(Table2[[#This Row],[MemberID]],Table1[#All],3,0)</f>
        <v>Platinum</v>
      </c>
      <c r="H1391" s="13">
        <v>46</v>
      </c>
    </row>
    <row r="1392" spans="1:8">
      <c r="A1392" t="s">
        <v>1724</v>
      </c>
      <c r="B1392" t="s">
        <v>306</v>
      </c>
      <c r="C1392" s="8">
        <v>46152</v>
      </c>
      <c r="D1392" t="s">
        <v>327</v>
      </c>
      <c r="E1392" t="s">
        <v>328</v>
      </c>
      <c r="F1392" s="12">
        <v>848924</v>
      </c>
      <c r="G1392" s="12" t="str">
        <f>VLOOKUP(Table2[[#This Row],[MemberID]],Table1[#All],3,0)</f>
        <v>Silver</v>
      </c>
      <c r="H1392" s="13">
        <v>84</v>
      </c>
    </row>
    <row r="1393" spans="1:8">
      <c r="A1393" t="s">
        <v>1725</v>
      </c>
      <c r="B1393" t="s">
        <v>212</v>
      </c>
      <c r="C1393" s="8">
        <v>46082</v>
      </c>
      <c r="D1393" t="s">
        <v>324</v>
      </c>
      <c r="E1393" t="s">
        <v>339</v>
      </c>
      <c r="F1393" s="12">
        <v>471271</v>
      </c>
      <c r="G1393" s="12" t="str">
        <f>VLOOKUP(Table2[[#This Row],[MemberID]],Table1[#All],3,0)</f>
        <v>Silver</v>
      </c>
      <c r="H1393" s="13">
        <v>47</v>
      </c>
    </row>
    <row r="1394" spans="1:8">
      <c r="A1394" t="s">
        <v>1726</v>
      </c>
      <c r="B1394" t="s">
        <v>205</v>
      </c>
      <c r="C1394" s="8">
        <v>46198</v>
      </c>
      <c r="D1394" t="s">
        <v>350</v>
      </c>
      <c r="E1394" t="s">
        <v>334</v>
      </c>
      <c r="F1394" s="12">
        <v>160595</v>
      </c>
      <c r="G1394" s="12" t="str">
        <f>VLOOKUP(Table2[[#This Row],[MemberID]],Table1[#All],3,0)</f>
        <v>Silver</v>
      </c>
      <c r="H1394" s="13">
        <v>16</v>
      </c>
    </row>
    <row r="1395" spans="1:8">
      <c r="A1395" t="s">
        <v>1727</v>
      </c>
      <c r="B1395" t="s">
        <v>265</v>
      </c>
      <c r="C1395" s="8">
        <v>46214</v>
      </c>
      <c r="D1395" t="s">
        <v>344</v>
      </c>
      <c r="E1395" t="s">
        <v>325</v>
      </c>
      <c r="F1395" s="12">
        <v>579555</v>
      </c>
      <c r="G1395" s="12" t="str">
        <f>VLOOKUP(Table2[[#This Row],[MemberID]],Table1[#All],3,0)</f>
        <v>Platinum</v>
      </c>
      <c r="H1395" s="13">
        <v>57</v>
      </c>
    </row>
    <row r="1396" spans="1:8">
      <c r="A1396" t="s">
        <v>1728</v>
      </c>
      <c r="B1396" t="s">
        <v>128</v>
      </c>
      <c r="C1396" s="8">
        <v>46003</v>
      </c>
      <c r="D1396" t="s">
        <v>327</v>
      </c>
      <c r="E1396" t="s">
        <v>337</v>
      </c>
      <c r="F1396" s="12">
        <v>225925</v>
      </c>
      <c r="G1396" s="12" t="str">
        <f>VLOOKUP(Table2[[#This Row],[MemberID]],Table1[#All],3,0)</f>
        <v>Silver</v>
      </c>
      <c r="H1396" s="13">
        <v>22</v>
      </c>
    </row>
    <row r="1397" spans="1:8">
      <c r="A1397" t="s">
        <v>1729</v>
      </c>
      <c r="B1397" t="s">
        <v>153</v>
      </c>
      <c r="C1397" s="8">
        <v>46175</v>
      </c>
      <c r="D1397" t="s">
        <v>332</v>
      </c>
      <c r="E1397" t="s">
        <v>337</v>
      </c>
      <c r="F1397" s="12">
        <v>142470</v>
      </c>
      <c r="G1397" s="12" t="str">
        <f>VLOOKUP(Table2[[#This Row],[MemberID]],Table1[#All],3,0)</f>
        <v>Silver</v>
      </c>
      <c r="H1397" s="13">
        <v>14</v>
      </c>
    </row>
    <row r="1398" spans="1:8">
      <c r="A1398" t="s">
        <v>1730</v>
      </c>
      <c r="B1398" t="s">
        <v>6</v>
      </c>
      <c r="C1398" s="8">
        <v>46101</v>
      </c>
      <c r="D1398" t="s">
        <v>332</v>
      </c>
      <c r="E1398" t="s">
        <v>325</v>
      </c>
      <c r="F1398" s="12">
        <v>507971</v>
      </c>
      <c r="G1398" s="12" t="str">
        <f>VLOOKUP(Table2[[#This Row],[MemberID]],Table1[#All],3,0)</f>
        <v>Silver</v>
      </c>
      <c r="H1398" s="13">
        <v>50</v>
      </c>
    </row>
    <row r="1399" spans="1:8">
      <c r="A1399" t="s">
        <v>1731</v>
      </c>
      <c r="B1399" t="s">
        <v>163</v>
      </c>
      <c r="C1399" s="8">
        <v>46059</v>
      </c>
      <c r="D1399" t="s">
        <v>350</v>
      </c>
      <c r="E1399" t="s">
        <v>322</v>
      </c>
      <c r="F1399" s="12">
        <v>156721</v>
      </c>
      <c r="G1399" s="12" t="str">
        <f>VLOOKUP(Table2[[#This Row],[MemberID]],Table1[#All],3,0)</f>
        <v>Silver</v>
      </c>
      <c r="H1399" s="13">
        <v>15</v>
      </c>
    </row>
    <row r="1400" spans="1:8">
      <c r="A1400" t="s">
        <v>1732</v>
      </c>
      <c r="B1400" t="s">
        <v>106</v>
      </c>
      <c r="C1400" s="8">
        <v>46266</v>
      </c>
      <c r="D1400" t="s">
        <v>350</v>
      </c>
      <c r="E1400" t="s">
        <v>337</v>
      </c>
      <c r="F1400" s="12">
        <v>397724</v>
      </c>
      <c r="G1400" s="12" t="str">
        <f>VLOOKUP(Table2[[#This Row],[MemberID]],Table1[#All],3,0)</f>
        <v>Silver</v>
      </c>
      <c r="H1400" s="13">
        <v>39</v>
      </c>
    </row>
    <row r="1401" spans="1:8">
      <c r="A1401" t="s">
        <v>1733</v>
      </c>
      <c r="B1401" t="s">
        <v>68</v>
      </c>
      <c r="C1401" s="8">
        <v>45940</v>
      </c>
      <c r="D1401" t="s">
        <v>321</v>
      </c>
      <c r="E1401" t="s">
        <v>334</v>
      </c>
      <c r="F1401" s="12">
        <v>289500</v>
      </c>
      <c r="G1401" s="12" t="str">
        <f>VLOOKUP(Table2[[#This Row],[MemberID]],Table1[#All],3,0)</f>
        <v>Silver</v>
      </c>
      <c r="H1401" s="13">
        <v>28</v>
      </c>
    </row>
    <row r="1402" spans="1:8">
      <c r="A1402" t="s">
        <v>1734</v>
      </c>
      <c r="B1402" t="s">
        <v>88</v>
      </c>
      <c r="C1402" s="8">
        <v>46005</v>
      </c>
      <c r="D1402" t="s">
        <v>344</v>
      </c>
      <c r="E1402" t="s">
        <v>334</v>
      </c>
      <c r="F1402" s="12">
        <v>65909</v>
      </c>
      <c r="G1402" s="12" t="str">
        <f>VLOOKUP(Table2[[#This Row],[MemberID]],Table1[#All],3,0)</f>
        <v>Gold</v>
      </c>
      <c r="H1402" s="13">
        <v>6</v>
      </c>
    </row>
    <row r="1403" spans="1:8">
      <c r="A1403" t="s">
        <v>1735</v>
      </c>
      <c r="B1403" t="s">
        <v>235</v>
      </c>
      <c r="C1403" s="8">
        <v>46230</v>
      </c>
      <c r="D1403" t="s">
        <v>350</v>
      </c>
      <c r="E1403" t="s">
        <v>325</v>
      </c>
      <c r="F1403" s="12">
        <v>845810</v>
      </c>
      <c r="G1403" s="12" t="str">
        <f>VLOOKUP(Table2[[#This Row],[MemberID]],Table1[#All],3,0)</f>
        <v>Gold</v>
      </c>
      <c r="H1403" s="13">
        <v>84</v>
      </c>
    </row>
    <row r="1404" spans="1:8">
      <c r="A1404" t="s">
        <v>1736</v>
      </c>
      <c r="B1404" t="s">
        <v>241</v>
      </c>
      <c r="C1404" s="8">
        <v>46075</v>
      </c>
      <c r="D1404" t="s">
        <v>324</v>
      </c>
      <c r="E1404" t="s">
        <v>322</v>
      </c>
      <c r="F1404" s="12">
        <v>286025</v>
      </c>
      <c r="G1404" s="12" t="str">
        <f>VLOOKUP(Table2[[#This Row],[MemberID]],Table1[#All],3,0)</f>
        <v>Gold</v>
      </c>
      <c r="H1404" s="13">
        <v>28</v>
      </c>
    </row>
    <row r="1405" spans="1:8">
      <c r="A1405" t="s">
        <v>1737</v>
      </c>
      <c r="B1405" t="s">
        <v>244</v>
      </c>
      <c r="C1405" s="8">
        <v>46167</v>
      </c>
      <c r="D1405" t="s">
        <v>332</v>
      </c>
      <c r="E1405" t="s">
        <v>337</v>
      </c>
      <c r="F1405" s="12">
        <v>531127</v>
      </c>
      <c r="G1405" s="12" t="str">
        <f>VLOOKUP(Table2[[#This Row],[MemberID]],Table1[#All],3,0)</f>
        <v>Silver</v>
      </c>
      <c r="H1405" s="13">
        <v>53</v>
      </c>
    </row>
    <row r="1406" spans="1:8">
      <c r="A1406" t="s">
        <v>1738</v>
      </c>
      <c r="B1406" t="s">
        <v>183</v>
      </c>
      <c r="C1406" s="8">
        <v>46253</v>
      </c>
      <c r="D1406" t="s">
        <v>344</v>
      </c>
      <c r="E1406" t="s">
        <v>339</v>
      </c>
      <c r="F1406" s="12">
        <v>266963</v>
      </c>
      <c r="G1406" s="12" t="str">
        <f>VLOOKUP(Table2[[#This Row],[MemberID]],Table1[#All],3,0)</f>
        <v>Gold</v>
      </c>
      <c r="H1406" s="13">
        <v>26</v>
      </c>
    </row>
    <row r="1407" spans="1:8">
      <c r="A1407" t="s">
        <v>1739</v>
      </c>
      <c r="B1407" t="s">
        <v>97</v>
      </c>
      <c r="C1407" s="8">
        <v>46000</v>
      </c>
      <c r="D1407" t="s">
        <v>324</v>
      </c>
      <c r="E1407" t="s">
        <v>334</v>
      </c>
      <c r="F1407" s="12">
        <v>149569</v>
      </c>
      <c r="G1407" s="12" t="str">
        <f>VLOOKUP(Table2[[#This Row],[MemberID]],Table1[#All],3,0)</f>
        <v>Silver</v>
      </c>
      <c r="H1407" s="13">
        <v>14</v>
      </c>
    </row>
    <row r="1408" spans="1:8">
      <c r="A1408" t="s">
        <v>1740</v>
      </c>
      <c r="B1408" t="s">
        <v>124</v>
      </c>
      <c r="C1408" s="8">
        <v>46280</v>
      </c>
      <c r="D1408" t="s">
        <v>332</v>
      </c>
      <c r="E1408" t="s">
        <v>328</v>
      </c>
      <c r="F1408" s="12">
        <v>109986</v>
      </c>
      <c r="G1408" s="12" t="str">
        <f>VLOOKUP(Table2[[#This Row],[MemberID]],Table1[#All],3,0)</f>
        <v>Platinum</v>
      </c>
      <c r="H1408" s="13">
        <v>10</v>
      </c>
    </row>
    <row r="1409" spans="1:8">
      <c r="A1409" t="s">
        <v>1741</v>
      </c>
      <c r="B1409" t="s">
        <v>60</v>
      </c>
      <c r="C1409" s="8">
        <v>46213</v>
      </c>
      <c r="D1409" t="s">
        <v>350</v>
      </c>
      <c r="E1409" t="s">
        <v>328</v>
      </c>
      <c r="F1409" s="12">
        <v>113695</v>
      </c>
      <c r="G1409" s="12" t="str">
        <f>VLOOKUP(Table2[[#This Row],[MemberID]],Table1[#All],3,0)</f>
        <v>Silver</v>
      </c>
      <c r="H1409" s="13">
        <v>11</v>
      </c>
    </row>
    <row r="1410" spans="1:8">
      <c r="A1410" t="s">
        <v>1742</v>
      </c>
      <c r="B1410" t="s">
        <v>218</v>
      </c>
      <c r="C1410" s="8">
        <v>46259</v>
      </c>
      <c r="D1410" t="s">
        <v>324</v>
      </c>
      <c r="E1410" t="s">
        <v>322</v>
      </c>
      <c r="F1410" s="12">
        <v>291263</v>
      </c>
      <c r="G1410" s="12" t="str">
        <f>VLOOKUP(Table2[[#This Row],[MemberID]],Table1[#All],3,0)</f>
        <v>Gold</v>
      </c>
      <c r="H1410" s="13">
        <v>29</v>
      </c>
    </row>
    <row r="1411" spans="1:8">
      <c r="A1411" t="s">
        <v>1743</v>
      </c>
      <c r="B1411" t="s">
        <v>300</v>
      </c>
      <c r="C1411" s="8">
        <v>46222</v>
      </c>
      <c r="D1411" t="s">
        <v>321</v>
      </c>
      <c r="E1411" t="s">
        <v>337</v>
      </c>
      <c r="F1411" s="12">
        <v>230895</v>
      </c>
      <c r="G1411" s="12" t="str">
        <f>VLOOKUP(Table2[[#This Row],[MemberID]],Table1[#All],3,0)</f>
        <v>Gold</v>
      </c>
      <c r="H1411" s="13">
        <v>23</v>
      </c>
    </row>
    <row r="1412" spans="1:8">
      <c r="A1412" t="s">
        <v>1744</v>
      </c>
      <c r="B1412" t="s">
        <v>141</v>
      </c>
      <c r="C1412" s="8">
        <v>46063</v>
      </c>
      <c r="D1412" t="s">
        <v>350</v>
      </c>
      <c r="E1412" t="s">
        <v>337</v>
      </c>
      <c r="F1412" s="12">
        <v>487419</v>
      </c>
      <c r="G1412" s="12" t="str">
        <f>VLOOKUP(Table2[[#This Row],[MemberID]],Table1[#All],3,0)</f>
        <v>Silver</v>
      </c>
      <c r="H1412" s="13">
        <v>48</v>
      </c>
    </row>
    <row r="1413" spans="1:8">
      <c r="A1413" t="s">
        <v>1745</v>
      </c>
      <c r="B1413" t="s">
        <v>256</v>
      </c>
      <c r="C1413" s="8">
        <v>45958</v>
      </c>
      <c r="D1413" t="s">
        <v>327</v>
      </c>
      <c r="E1413" t="s">
        <v>339</v>
      </c>
      <c r="F1413" s="12">
        <v>320907</v>
      </c>
      <c r="G1413" s="12" t="str">
        <f>VLOOKUP(Table2[[#This Row],[MemberID]],Table1[#All],3,0)</f>
        <v>Gold</v>
      </c>
      <c r="H1413" s="13">
        <v>32</v>
      </c>
    </row>
    <row r="1414" spans="1:8">
      <c r="A1414" t="s">
        <v>1746</v>
      </c>
      <c r="B1414" t="s">
        <v>280</v>
      </c>
      <c r="C1414" s="8">
        <v>46261</v>
      </c>
      <c r="D1414" t="s">
        <v>344</v>
      </c>
      <c r="E1414" t="s">
        <v>334</v>
      </c>
      <c r="F1414" s="12">
        <v>838078</v>
      </c>
      <c r="G1414" s="12" t="str">
        <f>VLOOKUP(Table2[[#This Row],[MemberID]],Table1[#All],3,0)</f>
        <v>Silver</v>
      </c>
      <c r="H1414" s="13">
        <v>83</v>
      </c>
    </row>
    <row r="1415" spans="1:8">
      <c r="A1415" t="s">
        <v>1747</v>
      </c>
      <c r="B1415" t="s">
        <v>309</v>
      </c>
      <c r="C1415" s="8">
        <v>46139</v>
      </c>
      <c r="D1415" t="s">
        <v>327</v>
      </c>
      <c r="E1415" t="s">
        <v>337</v>
      </c>
      <c r="F1415" s="12">
        <v>160377</v>
      </c>
      <c r="G1415" s="12" t="str">
        <f>VLOOKUP(Table2[[#This Row],[MemberID]],Table1[#All],3,0)</f>
        <v>Gold</v>
      </c>
      <c r="H1415" s="13">
        <v>16</v>
      </c>
    </row>
    <row r="1416" spans="1:8">
      <c r="A1416" t="s">
        <v>1748</v>
      </c>
      <c r="B1416" t="s">
        <v>212</v>
      </c>
      <c r="C1416" s="8">
        <v>45999</v>
      </c>
      <c r="D1416" t="s">
        <v>324</v>
      </c>
      <c r="E1416" t="s">
        <v>322</v>
      </c>
      <c r="F1416" s="12">
        <v>540695</v>
      </c>
      <c r="G1416" s="12" t="str">
        <f>VLOOKUP(Table2[[#This Row],[MemberID]],Table1[#All],3,0)</f>
        <v>Silver</v>
      </c>
      <c r="H1416" s="13">
        <v>54</v>
      </c>
    </row>
    <row r="1417" spans="1:8">
      <c r="A1417" t="s">
        <v>1749</v>
      </c>
      <c r="B1417" t="s">
        <v>91</v>
      </c>
      <c r="C1417" s="8">
        <v>45935</v>
      </c>
      <c r="D1417" t="s">
        <v>350</v>
      </c>
      <c r="E1417" t="s">
        <v>322</v>
      </c>
      <c r="F1417" s="12">
        <v>258580</v>
      </c>
      <c r="G1417" s="12" t="str">
        <f>VLOOKUP(Table2[[#This Row],[MemberID]],Table1[#All],3,0)</f>
        <v>Gold</v>
      </c>
      <c r="H1417" s="13">
        <v>25</v>
      </c>
    </row>
    <row r="1418" spans="1:8">
      <c r="A1418" t="s">
        <v>1750</v>
      </c>
      <c r="B1418" t="s">
        <v>182</v>
      </c>
      <c r="C1418" s="8">
        <v>45989</v>
      </c>
      <c r="D1418" t="s">
        <v>321</v>
      </c>
      <c r="E1418" t="s">
        <v>337</v>
      </c>
      <c r="F1418" s="12">
        <v>911703</v>
      </c>
      <c r="G1418" s="12" t="str">
        <f>VLOOKUP(Table2[[#This Row],[MemberID]],Table1[#All],3,0)</f>
        <v>Silver</v>
      </c>
      <c r="H1418" s="13">
        <v>91</v>
      </c>
    </row>
    <row r="1419" spans="1:8">
      <c r="A1419" t="s">
        <v>1751</v>
      </c>
      <c r="B1419" t="s">
        <v>121</v>
      </c>
      <c r="C1419" s="8">
        <v>46167</v>
      </c>
      <c r="D1419" t="s">
        <v>342</v>
      </c>
      <c r="E1419" t="s">
        <v>328</v>
      </c>
      <c r="F1419" s="12">
        <v>328083</v>
      </c>
      <c r="G1419" s="12" t="str">
        <f>VLOOKUP(Table2[[#This Row],[MemberID]],Table1[#All],3,0)</f>
        <v>Silver</v>
      </c>
      <c r="H1419" s="13">
        <v>32</v>
      </c>
    </row>
    <row r="1420" spans="1:8">
      <c r="A1420" t="s">
        <v>1752</v>
      </c>
      <c r="B1420" t="s">
        <v>256</v>
      </c>
      <c r="C1420" s="8">
        <v>46193</v>
      </c>
      <c r="D1420" t="s">
        <v>321</v>
      </c>
      <c r="E1420" t="s">
        <v>339</v>
      </c>
      <c r="F1420" s="12">
        <v>894094</v>
      </c>
      <c r="G1420" s="12" t="str">
        <f>VLOOKUP(Table2[[#This Row],[MemberID]],Table1[#All],3,0)</f>
        <v>Gold</v>
      </c>
      <c r="H1420" s="13">
        <v>89</v>
      </c>
    </row>
    <row r="1421" spans="1:8">
      <c r="A1421" t="s">
        <v>1753</v>
      </c>
      <c r="B1421" t="s">
        <v>77</v>
      </c>
      <c r="C1421" s="8">
        <v>46205</v>
      </c>
      <c r="D1421" t="s">
        <v>350</v>
      </c>
      <c r="E1421" t="s">
        <v>328</v>
      </c>
      <c r="F1421" s="12">
        <v>695453</v>
      </c>
      <c r="G1421" s="12" t="str">
        <f>VLOOKUP(Table2[[#This Row],[MemberID]],Table1[#All],3,0)</f>
        <v>Platinum</v>
      </c>
      <c r="H1421" s="13">
        <v>69</v>
      </c>
    </row>
    <row r="1422" spans="1:8">
      <c r="A1422" t="s">
        <v>1754</v>
      </c>
      <c r="B1422" t="s">
        <v>57</v>
      </c>
      <c r="C1422" s="8">
        <v>46000</v>
      </c>
      <c r="D1422" t="s">
        <v>342</v>
      </c>
      <c r="E1422" t="s">
        <v>325</v>
      </c>
      <c r="F1422" s="12">
        <v>331089</v>
      </c>
      <c r="G1422" s="12" t="str">
        <f>VLOOKUP(Table2[[#This Row],[MemberID]],Table1[#All],3,0)</f>
        <v>Gold</v>
      </c>
      <c r="H1422" s="13">
        <v>33</v>
      </c>
    </row>
    <row r="1423" spans="1:8">
      <c r="A1423" t="s">
        <v>1755</v>
      </c>
      <c r="B1423" t="s">
        <v>16</v>
      </c>
      <c r="C1423" s="8">
        <v>46126</v>
      </c>
      <c r="D1423" t="s">
        <v>327</v>
      </c>
      <c r="E1423" t="s">
        <v>322</v>
      </c>
      <c r="F1423" s="12">
        <v>121586</v>
      </c>
      <c r="G1423" s="12" t="str">
        <f>VLOOKUP(Table2[[#This Row],[MemberID]],Table1[#All],3,0)</f>
        <v>Gold</v>
      </c>
      <c r="H1423" s="13">
        <v>12</v>
      </c>
    </row>
    <row r="1424" spans="1:8">
      <c r="A1424" t="s">
        <v>1756</v>
      </c>
      <c r="B1424" t="s">
        <v>51</v>
      </c>
      <c r="C1424" s="8">
        <v>46271</v>
      </c>
      <c r="D1424" t="s">
        <v>342</v>
      </c>
      <c r="E1424" t="s">
        <v>339</v>
      </c>
      <c r="F1424" s="12">
        <v>186411</v>
      </c>
      <c r="G1424" s="12" t="str">
        <f>VLOOKUP(Table2[[#This Row],[MemberID]],Table1[#All],3,0)</f>
        <v>Gold</v>
      </c>
      <c r="H1424" s="13">
        <v>18</v>
      </c>
    </row>
    <row r="1425" spans="1:8">
      <c r="A1425" t="s">
        <v>1757</v>
      </c>
      <c r="B1425" t="s">
        <v>247</v>
      </c>
      <c r="C1425" s="8">
        <v>46268</v>
      </c>
      <c r="D1425" t="s">
        <v>324</v>
      </c>
      <c r="E1425" t="s">
        <v>322</v>
      </c>
      <c r="F1425" s="12">
        <v>464704</v>
      </c>
      <c r="G1425" s="12" t="str">
        <f>VLOOKUP(Table2[[#This Row],[MemberID]],Table1[#All],3,0)</f>
        <v>Silver</v>
      </c>
      <c r="H1425" s="13">
        <v>46</v>
      </c>
    </row>
    <row r="1426" spans="1:8">
      <c r="A1426" t="s">
        <v>1758</v>
      </c>
      <c r="B1426" t="s">
        <v>3</v>
      </c>
      <c r="C1426" s="8">
        <v>46046</v>
      </c>
      <c r="D1426" t="s">
        <v>342</v>
      </c>
      <c r="E1426" t="s">
        <v>325</v>
      </c>
      <c r="F1426" s="12">
        <v>27151</v>
      </c>
      <c r="G1426" s="12" t="str">
        <f>VLOOKUP(Table2[[#This Row],[MemberID]],Table1[#All],3,0)</f>
        <v>Silver</v>
      </c>
      <c r="H1426" s="13">
        <v>2</v>
      </c>
    </row>
    <row r="1427" spans="1:8">
      <c r="A1427" t="s">
        <v>1759</v>
      </c>
      <c r="B1427" t="s">
        <v>184</v>
      </c>
      <c r="C1427" s="8">
        <v>46188</v>
      </c>
      <c r="D1427" t="s">
        <v>342</v>
      </c>
      <c r="E1427" t="s">
        <v>322</v>
      </c>
      <c r="F1427" s="12">
        <v>241798</v>
      </c>
      <c r="G1427" s="12" t="str">
        <f>VLOOKUP(Table2[[#This Row],[MemberID]],Table1[#All],3,0)</f>
        <v>Silver</v>
      </c>
      <c r="H1427" s="13">
        <v>24</v>
      </c>
    </row>
    <row r="1428" spans="1:8">
      <c r="A1428" t="s">
        <v>1760</v>
      </c>
      <c r="B1428" t="s">
        <v>278</v>
      </c>
      <c r="C1428" s="8">
        <v>46175</v>
      </c>
      <c r="D1428" t="s">
        <v>330</v>
      </c>
      <c r="E1428" t="s">
        <v>337</v>
      </c>
      <c r="F1428" s="12">
        <v>149311</v>
      </c>
      <c r="G1428" s="12" t="str">
        <f>VLOOKUP(Table2[[#This Row],[MemberID]],Table1[#All],3,0)</f>
        <v>Silver</v>
      </c>
      <c r="H1428" s="13">
        <v>14</v>
      </c>
    </row>
    <row r="1429" spans="1:8">
      <c r="A1429" t="s">
        <v>1761</v>
      </c>
      <c r="B1429" t="s">
        <v>311</v>
      </c>
      <c r="C1429" s="8">
        <v>46127</v>
      </c>
      <c r="D1429" t="s">
        <v>324</v>
      </c>
      <c r="E1429" t="s">
        <v>337</v>
      </c>
      <c r="F1429" s="12">
        <v>157461</v>
      </c>
      <c r="G1429" s="12" t="str">
        <f>VLOOKUP(Table2[[#This Row],[MemberID]],Table1[#All],3,0)</f>
        <v>Silver</v>
      </c>
      <c r="H1429" s="13">
        <v>15</v>
      </c>
    </row>
    <row r="1430" spans="1:8">
      <c r="A1430" t="s">
        <v>1762</v>
      </c>
      <c r="B1430" t="s">
        <v>205</v>
      </c>
      <c r="C1430" s="8">
        <v>46086</v>
      </c>
      <c r="D1430" t="s">
        <v>344</v>
      </c>
      <c r="E1430" t="s">
        <v>322</v>
      </c>
      <c r="F1430" s="12">
        <v>207963</v>
      </c>
      <c r="G1430" s="12" t="str">
        <f>VLOOKUP(Table2[[#This Row],[MemberID]],Table1[#All],3,0)</f>
        <v>Silver</v>
      </c>
      <c r="H1430" s="13">
        <v>20</v>
      </c>
    </row>
    <row r="1431" spans="1:8">
      <c r="A1431" t="s">
        <v>1763</v>
      </c>
      <c r="B1431" t="s">
        <v>199</v>
      </c>
      <c r="C1431" s="8">
        <v>46068</v>
      </c>
      <c r="D1431" t="s">
        <v>321</v>
      </c>
      <c r="E1431" t="s">
        <v>339</v>
      </c>
      <c r="F1431" s="12">
        <v>235951</v>
      </c>
      <c r="G1431" s="12" t="str">
        <f>VLOOKUP(Table2[[#This Row],[MemberID]],Table1[#All],3,0)</f>
        <v>Gold</v>
      </c>
      <c r="H1431" s="13">
        <v>23</v>
      </c>
    </row>
    <row r="1432" spans="1:8">
      <c r="A1432" t="s">
        <v>1764</v>
      </c>
      <c r="B1432" t="s">
        <v>295</v>
      </c>
      <c r="C1432" s="8">
        <v>46135</v>
      </c>
      <c r="D1432" t="s">
        <v>327</v>
      </c>
      <c r="E1432" t="s">
        <v>325</v>
      </c>
      <c r="F1432" s="12">
        <v>615103</v>
      </c>
      <c r="G1432" s="12" t="str">
        <f>VLOOKUP(Table2[[#This Row],[MemberID]],Table1[#All],3,0)</f>
        <v>Silver</v>
      </c>
      <c r="H1432" s="13">
        <v>61</v>
      </c>
    </row>
    <row r="1433" spans="1:8">
      <c r="A1433" t="s">
        <v>1765</v>
      </c>
      <c r="B1433" t="s">
        <v>134</v>
      </c>
      <c r="C1433" s="8">
        <v>46065</v>
      </c>
      <c r="D1433" t="s">
        <v>321</v>
      </c>
      <c r="E1433" t="s">
        <v>325</v>
      </c>
      <c r="F1433" s="12">
        <v>395031</v>
      </c>
      <c r="G1433" s="12" t="str">
        <f>VLOOKUP(Table2[[#This Row],[MemberID]],Table1[#All],3,0)</f>
        <v>Silver</v>
      </c>
      <c r="H1433" s="13">
        <v>39</v>
      </c>
    </row>
    <row r="1434" spans="1:8">
      <c r="A1434" t="s">
        <v>1766</v>
      </c>
      <c r="B1434" t="s">
        <v>272</v>
      </c>
      <c r="C1434" s="8">
        <v>45933</v>
      </c>
      <c r="D1434" t="s">
        <v>330</v>
      </c>
      <c r="E1434" t="s">
        <v>328</v>
      </c>
      <c r="F1434" s="12">
        <v>355169</v>
      </c>
      <c r="G1434" s="12" t="str">
        <f>VLOOKUP(Table2[[#This Row],[MemberID]],Table1[#All],3,0)</f>
        <v>Silver</v>
      </c>
      <c r="H1434" s="13">
        <v>35</v>
      </c>
    </row>
    <row r="1435" spans="1:8">
      <c r="A1435" t="s">
        <v>1767</v>
      </c>
      <c r="B1435" t="s">
        <v>269</v>
      </c>
      <c r="C1435" s="8">
        <v>45982</v>
      </c>
      <c r="D1435" t="s">
        <v>332</v>
      </c>
      <c r="E1435" t="s">
        <v>328</v>
      </c>
      <c r="F1435" s="12">
        <v>399494</v>
      </c>
      <c r="G1435" s="12" t="str">
        <f>VLOOKUP(Table2[[#This Row],[MemberID]],Table1[#All],3,0)</f>
        <v>Platinum</v>
      </c>
      <c r="H1435" s="13">
        <v>39</v>
      </c>
    </row>
    <row r="1436" spans="1:8">
      <c r="A1436" t="s">
        <v>1768</v>
      </c>
      <c r="B1436" t="s">
        <v>82</v>
      </c>
      <c r="C1436" s="8">
        <v>46166</v>
      </c>
      <c r="D1436" t="s">
        <v>327</v>
      </c>
      <c r="E1436" t="s">
        <v>328</v>
      </c>
      <c r="F1436" s="12">
        <v>188379</v>
      </c>
      <c r="G1436" s="12" t="str">
        <f>VLOOKUP(Table2[[#This Row],[MemberID]],Table1[#All],3,0)</f>
        <v>Silver</v>
      </c>
      <c r="H1436" s="13">
        <v>18</v>
      </c>
    </row>
    <row r="1437" spans="1:8">
      <c r="A1437" t="s">
        <v>1769</v>
      </c>
      <c r="B1437" t="s">
        <v>305</v>
      </c>
      <c r="C1437" s="8">
        <v>46264</v>
      </c>
      <c r="D1437" t="s">
        <v>324</v>
      </c>
      <c r="E1437" t="s">
        <v>339</v>
      </c>
      <c r="F1437" s="12">
        <v>193443</v>
      </c>
      <c r="G1437" s="12" t="str">
        <f>VLOOKUP(Table2[[#This Row],[MemberID]],Table1[#All],3,0)</f>
        <v>Silver</v>
      </c>
      <c r="H1437" s="13">
        <v>19</v>
      </c>
    </row>
    <row r="1438" spans="1:8">
      <c r="A1438" t="s">
        <v>1770</v>
      </c>
      <c r="B1438" t="s">
        <v>255</v>
      </c>
      <c r="C1438" s="8">
        <v>46039</v>
      </c>
      <c r="D1438" t="s">
        <v>350</v>
      </c>
      <c r="E1438" t="s">
        <v>325</v>
      </c>
      <c r="F1438" s="12">
        <v>274599</v>
      </c>
      <c r="G1438" s="12" t="str">
        <f>VLOOKUP(Table2[[#This Row],[MemberID]],Table1[#All],3,0)</f>
        <v>Silver</v>
      </c>
      <c r="H1438" s="13">
        <v>27</v>
      </c>
    </row>
    <row r="1439" spans="1:8">
      <c r="A1439" t="s">
        <v>1771</v>
      </c>
      <c r="B1439" t="s">
        <v>130</v>
      </c>
      <c r="C1439" s="8">
        <v>46235</v>
      </c>
      <c r="D1439" t="s">
        <v>321</v>
      </c>
      <c r="E1439" t="s">
        <v>337</v>
      </c>
      <c r="F1439" s="12">
        <v>433413</v>
      </c>
      <c r="G1439" s="12" t="str">
        <f>VLOOKUP(Table2[[#This Row],[MemberID]],Table1[#All],3,0)</f>
        <v>Gold</v>
      </c>
      <c r="H1439" s="13">
        <v>43</v>
      </c>
    </row>
    <row r="1440" spans="1:8">
      <c r="A1440" t="s">
        <v>1772</v>
      </c>
      <c r="B1440" t="s">
        <v>25</v>
      </c>
      <c r="C1440" s="8">
        <v>46240</v>
      </c>
      <c r="D1440" t="s">
        <v>332</v>
      </c>
      <c r="E1440" t="s">
        <v>322</v>
      </c>
      <c r="F1440" s="12">
        <v>239396</v>
      </c>
      <c r="G1440" s="12" t="str">
        <f>VLOOKUP(Table2[[#This Row],[MemberID]],Table1[#All],3,0)</f>
        <v>Silver</v>
      </c>
      <c r="H1440" s="13">
        <v>23</v>
      </c>
    </row>
    <row r="1441" spans="1:8">
      <c r="A1441" t="s">
        <v>1773</v>
      </c>
      <c r="B1441" t="s">
        <v>228</v>
      </c>
      <c r="C1441" s="8">
        <v>46128</v>
      </c>
      <c r="D1441" t="s">
        <v>330</v>
      </c>
      <c r="E1441" t="s">
        <v>325</v>
      </c>
      <c r="F1441" s="12">
        <v>349085</v>
      </c>
      <c r="G1441" s="12" t="str">
        <f>VLOOKUP(Table2[[#This Row],[MemberID]],Table1[#All],3,0)</f>
        <v>Gold</v>
      </c>
      <c r="H1441" s="13">
        <v>34</v>
      </c>
    </row>
    <row r="1442" spans="1:8">
      <c r="A1442" t="s">
        <v>1774</v>
      </c>
      <c r="B1442" t="s">
        <v>284</v>
      </c>
      <c r="C1442" s="8">
        <v>46231</v>
      </c>
      <c r="D1442" t="s">
        <v>342</v>
      </c>
      <c r="E1442" t="s">
        <v>328</v>
      </c>
      <c r="F1442" s="12">
        <v>222976</v>
      </c>
      <c r="G1442" s="12" t="str">
        <f>VLOOKUP(Table2[[#This Row],[MemberID]],Table1[#All],3,0)</f>
        <v>Silver</v>
      </c>
      <c r="H1442" s="13">
        <v>22</v>
      </c>
    </row>
    <row r="1443" spans="1:8">
      <c r="A1443" t="s">
        <v>1775</v>
      </c>
      <c r="B1443" t="s">
        <v>143</v>
      </c>
      <c r="C1443" s="8">
        <v>46162</v>
      </c>
      <c r="D1443" t="s">
        <v>324</v>
      </c>
      <c r="E1443" t="s">
        <v>328</v>
      </c>
      <c r="F1443" s="12">
        <v>330205</v>
      </c>
      <c r="G1443" s="12" t="str">
        <f>VLOOKUP(Table2[[#This Row],[MemberID]],Table1[#All],3,0)</f>
        <v>Silver</v>
      </c>
      <c r="H1443" s="13">
        <v>33</v>
      </c>
    </row>
    <row r="1444" spans="1:8">
      <c r="A1444" t="s">
        <v>1776</v>
      </c>
      <c r="B1444" t="s">
        <v>175</v>
      </c>
      <c r="C1444" s="8">
        <v>46093</v>
      </c>
      <c r="D1444" t="s">
        <v>321</v>
      </c>
      <c r="E1444" t="s">
        <v>325</v>
      </c>
      <c r="F1444" s="12">
        <v>257418</v>
      </c>
      <c r="G1444" s="12" t="str">
        <f>VLOOKUP(Table2[[#This Row],[MemberID]],Table1[#All],3,0)</f>
        <v>Platinum</v>
      </c>
      <c r="H1444" s="13">
        <v>25</v>
      </c>
    </row>
    <row r="1445" spans="1:8">
      <c r="A1445" t="s">
        <v>1777</v>
      </c>
      <c r="B1445" t="s">
        <v>79</v>
      </c>
      <c r="C1445" s="8">
        <v>46289</v>
      </c>
      <c r="D1445" t="s">
        <v>342</v>
      </c>
      <c r="E1445" t="s">
        <v>339</v>
      </c>
      <c r="F1445" s="12">
        <v>245084</v>
      </c>
      <c r="G1445" s="12" t="str">
        <f>VLOOKUP(Table2[[#This Row],[MemberID]],Table1[#All],3,0)</f>
        <v>Silver</v>
      </c>
      <c r="H1445" s="13">
        <v>24</v>
      </c>
    </row>
    <row r="1446" spans="1:8">
      <c r="A1446" t="s">
        <v>1778</v>
      </c>
      <c r="B1446" t="s">
        <v>277</v>
      </c>
      <c r="C1446" s="8">
        <v>46166</v>
      </c>
      <c r="D1446" t="s">
        <v>344</v>
      </c>
      <c r="E1446" t="s">
        <v>325</v>
      </c>
      <c r="F1446" s="12">
        <v>202507</v>
      </c>
      <c r="G1446" s="12" t="str">
        <f>VLOOKUP(Table2[[#This Row],[MemberID]],Table1[#All],3,0)</f>
        <v>Silver</v>
      </c>
      <c r="H1446" s="13">
        <v>20</v>
      </c>
    </row>
    <row r="1447" spans="1:8">
      <c r="A1447" t="s">
        <v>1779</v>
      </c>
      <c r="B1447" t="s">
        <v>242</v>
      </c>
      <c r="C1447" s="8">
        <v>46275</v>
      </c>
      <c r="D1447" t="s">
        <v>321</v>
      </c>
      <c r="E1447" t="s">
        <v>325</v>
      </c>
      <c r="F1447" s="12">
        <v>105873</v>
      </c>
      <c r="G1447" s="12" t="str">
        <f>VLOOKUP(Table2[[#This Row],[MemberID]],Table1[#All],3,0)</f>
        <v>Silver</v>
      </c>
      <c r="H1447" s="13">
        <v>10</v>
      </c>
    </row>
    <row r="1448" spans="1:8">
      <c r="A1448" t="s">
        <v>1780</v>
      </c>
      <c r="B1448" t="s">
        <v>206</v>
      </c>
      <c r="C1448" s="8">
        <v>45995</v>
      </c>
      <c r="D1448" t="s">
        <v>321</v>
      </c>
      <c r="E1448" t="s">
        <v>337</v>
      </c>
      <c r="F1448" s="12">
        <v>176517</v>
      </c>
      <c r="G1448" s="12" t="str">
        <f>VLOOKUP(Table2[[#This Row],[MemberID]],Table1[#All],3,0)</f>
        <v>Silver</v>
      </c>
      <c r="H1448" s="13">
        <v>17</v>
      </c>
    </row>
    <row r="1449" spans="1:8">
      <c r="A1449" t="s">
        <v>1781</v>
      </c>
      <c r="B1449" t="s">
        <v>76</v>
      </c>
      <c r="C1449" s="8">
        <v>45991</v>
      </c>
      <c r="D1449" t="s">
        <v>324</v>
      </c>
      <c r="E1449" t="s">
        <v>334</v>
      </c>
      <c r="F1449" s="12">
        <v>167515</v>
      </c>
      <c r="G1449" s="12" t="str">
        <f>VLOOKUP(Table2[[#This Row],[MemberID]],Table1[#All],3,0)</f>
        <v>Silver</v>
      </c>
      <c r="H1449" s="13">
        <v>16</v>
      </c>
    </row>
    <row r="1450" spans="1:8">
      <c r="A1450" t="s">
        <v>1782</v>
      </c>
      <c r="B1450" t="s">
        <v>267</v>
      </c>
      <c r="C1450" s="8">
        <v>45992</v>
      </c>
      <c r="D1450" t="s">
        <v>350</v>
      </c>
      <c r="E1450" t="s">
        <v>334</v>
      </c>
      <c r="F1450" s="12">
        <v>192098</v>
      </c>
      <c r="G1450" s="12" t="str">
        <f>VLOOKUP(Table2[[#This Row],[MemberID]],Table1[#All],3,0)</f>
        <v>Silver</v>
      </c>
      <c r="H1450" s="13">
        <v>19</v>
      </c>
    </row>
    <row r="1451" spans="1:8">
      <c r="A1451" t="s">
        <v>1783</v>
      </c>
      <c r="B1451" t="s">
        <v>144</v>
      </c>
      <c r="C1451" s="8">
        <v>46033</v>
      </c>
      <c r="D1451" t="s">
        <v>327</v>
      </c>
      <c r="E1451" t="s">
        <v>322</v>
      </c>
      <c r="F1451" s="12">
        <v>258007</v>
      </c>
      <c r="G1451" s="12" t="str">
        <f>VLOOKUP(Table2[[#This Row],[MemberID]],Table1[#All],3,0)</f>
        <v>Platinum</v>
      </c>
      <c r="H1451" s="13">
        <v>25</v>
      </c>
    </row>
    <row r="1452" spans="1:8">
      <c r="A1452" t="s">
        <v>1784</v>
      </c>
      <c r="B1452" t="s">
        <v>168</v>
      </c>
      <c r="C1452" s="8">
        <v>46148</v>
      </c>
      <c r="D1452" t="s">
        <v>342</v>
      </c>
      <c r="E1452" t="s">
        <v>328</v>
      </c>
      <c r="F1452" s="12">
        <v>263670</v>
      </c>
      <c r="G1452" s="12" t="str">
        <f>VLOOKUP(Table2[[#This Row],[MemberID]],Table1[#All],3,0)</f>
        <v>Silver</v>
      </c>
      <c r="H1452" s="13">
        <v>26</v>
      </c>
    </row>
    <row r="1453" spans="1:8">
      <c r="A1453" t="s">
        <v>1785</v>
      </c>
      <c r="B1453" t="s">
        <v>196</v>
      </c>
      <c r="C1453" s="8">
        <v>46157</v>
      </c>
      <c r="D1453" t="s">
        <v>332</v>
      </c>
      <c r="E1453" t="s">
        <v>339</v>
      </c>
      <c r="F1453" s="12">
        <v>100280</v>
      </c>
      <c r="G1453" s="12" t="str">
        <f>VLOOKUP(Table2[[#This Row],[MemberID]],Table1[#All],3,0)</f>
        <v>Gold</v>
      </c>
      <c r="H1453" s="13">
        <v>10</v>
      </c>
    </row>
    <row r="1454" spans="1:8">
      <c r="A1454" t="s">
        <v>1786</v>
      </c>
      <c r="B1454" t="s">
        <v>115</v>
      </c>
      <c r="C1454" s="8">
        <v>46226</v>
      </c>
      <c r="D1454" t="s">
        <v>342</v>
      </c>
      <c r="E1454" t="s">
        <v>325</v>
      </c>
      <c r="F1454" s="12">
        <v>522897</v>
      </c>
      <c r="G1454" s="12" t="str">
        <f>VLOOKUP(Table2[[#This Row],[MemberID]],Table1[#All],3,0)</f>
        <v>Gold</v>
      </c>
      <c r="H1454" s="13">
        <v>52</v>
      </c>
    </row>
    <row r="1455" spans="1:8">
      <c r="A1455" t="s">
        <v>1787</v>
      </c>
      <c r="B1455" t="s">
        <v>97</v>
      </c>
      <c r="C1455" s="8">
        <v>46239</v>
      </c>
      <c r="D1455" t="s">
        <v>330</v>
      </c>
      <c r="E1455" t="s">
        <v>325</v>
      </c>
      <c r="F1455" s="12">
        <v>215512</v>
      </c>
      <c r="G1455" s="12" t="str">
        <f>VLOOKUP(Table2[[#This Row],[MemberID]],Table1[#All],3,0)</f>
        <v>Silver</v>
      </c>
      <c r="H1455" s="13">
        <v>21</v>
      </c>
    </row>
    <row r="1456" spans="1:8">
      <c r="A1456" t="s">
        <v>1788</v>
      </c>
      <c r="B1456" t="s">
        <v>93</v>
      </c>
      <c r="C1456" s="8">
        <v>46154</v>
      </c>
      <c r="D1456" t="s">
        <v>330</v>
      </c>
      <c r="E1456" t="s">
        <v>322</v>
      </c>
      <c r="F1456" s="12">
        <v>28559</v>
      </c>
      <c r="G1456" s="12" t="str">
        <f>VLOOKUP(Table2[[#This Row],[MemberID]],Table1[#All],3,0)</f>
        <v>Platinum</v>
      </c>
      <c r="H1456" s="13">
        <v>2</v>
      </c>
    </row>
    <row r="1457" spans="1:8">
      <c r="A1457" t="s">
        <v>1789</v>
      </c>
      <c r="B1457" t="s">
        <v>237</v>
      </c>
      <c r="C1457" s="8">
        <v>46268</v>
      </c>
      <c r="D1457" t="s">
        <v>350</v>
      </c>
      <c r="E1457" t="s">
        <v>328</v>
      </c>
      <c r="F1457" s="12">
        <v>668772</v>
      </c>
      <c r="G1457" s="12" t="str">
        <f>VLOOKUP(Table2[[#This Row],[MemberID]],Table1[#All],3,0)</f>
        <v>Silver</v>
      </c>
      <c r="H1457" s="13">
        <v>66</v>
      </c>
    </row>
    <row r="1458" spans="1:8">
      <c r="A1458" t="s">
        <v>1790</v>
      </c>
      <c r="B1458" t="s">
        <v>308</v>
      </c>
      <c r="C1458" s="8">
        <v>46089</v>
      </c>
      <c r="D1458" t="s">
        <v>321</v>
      </c>
      <c r="E1458" t="s">
        <v>325</v>
      </c>
      <c r="F1458" s="12">
        <v>25000</v>
      </c>
      <c r="G1458" s="12" t="str">
        <f>VLOOKUP(Table2[[#This Row],[MemberID]],Table1[#All],3,0)</f>
        <v>Silver</v>
      </c>
      <c r="H1458" s="13">
        <v>2</v>
      </c>
    </row>
    <row r="1459" spans="1:8">
      <c r="A1459" t="s">
        <v>1791</v>
      </c>
      <c r="B1459" t="s">
        <v>153</v>
      </c>
      <c r="C1459" s="8">
        <v>46114</v>
      </c>
      <c r="D1459" t="s">
        <v>321</v>
      </c>
      <c r="E1459" t="s">
        <v>339</v>
      </c>
      <c r="F1459" s="12">
        <v>175749</v>
      </c>
      <c r="G1459" s="12" t="str">
        <f>VLOOKUP(Table2[[#This Row],[MemberID]],Table1[#All],3,0)</f>
        <v>Silver</v>
      </c>
      <c r="H1459" s="13">
        <v>17</v>
      </c>
    </row>
    <row r="1460" spans="1:8">
      <c r="A1460" t="s">
        <v>1792</v>
      </c>
      <c r="B1460" t="s">
        <v>153</v>
      </c>
      <c r="C1460" s="8">
        <v>45954</v>
      </c>
      <c r="D1460" t="s">
        <v>342</v>
      </c>
      <c r="E1460" t="s">
        <v>334</v>
      </c>
      <c r="F1460" s="12">
        <v>77622</v>
      </c>
      <c r="G1460" s="12" t="str">
        <f>VLOOKUP(Table2[[#This Row],[MemberID]],Table1[#All],3,0)</f>
        <v>Silver</v>
      </c>
      <c r="H1460" s="13">
        <v>7</v>
      </c>
    </row>
    <row r="1461" spans="1:8">
      <c r="A1461" t="s">
        <v>1793</v>
      </c>
      <c r="B1461" t="s">
        <v>179</v>
      </c>
      <c r="C1461" s="8">
        <v>46053</v>
      </c>
      <c r="D1461" t="s">
        <v>350</v>
      </c>
      <c r="E1461" t="s">
        <v>339</v>
      </c>
      <c r="F1461" s="12">
        <v>355404</v>
      </c>
      <c r="G1461" s="12" t="str">
        <f>VLOOKUP(Table2[[#This Row],[MemberID]],Table1[#All],3,0)</f>
        <v>Gold</v>
      </c>
      <c r="H1461" s="13">
        <v>35</v>
      </c>
    </row>
    <row r="1462" spans="1:8">
      <c r="A1462" t="s">
        <v>1794</v>
      </c>
      <c r="B1462" t="s">
        <v>19</v>
      </c>
      <c r="C1462" s="8">
        <v>45981</v>
      </c>
      <c r="D1462" t="s">
        <v>321</v>
      </c>
      <c r="E1462" t="s">
        <v>339</v>
      </c>
      <c r="F1462" s="12">
        <v>161383</v>
      </c>
      <c r="G1462" s="12" t="str">
        <f>VLOOKUP(Table2[[#This Row],[MemberID]],Table1[#All],3,0)</f>
        <v>Silver</v>
      </c>
      <c r="H1462" s="13">
        <v>16</v>
      </c>
    </row>
    <row r="1463" spans="1:8">
      <c r="A1463" t="s">
        <v>1795</v>
      </c>
      <c r="B1463" t="s">
        <v>237</v>
      </c>
      <c r="C1463" s="8">
        <v>46293</v>
      </c>
      <c r="D1463" t="s">
        <v>332</v>
      </c>
      <c r="E1463" t="s">
        <v>337</v>
      </c>
      <c r="F1463" s="12">
        <v>276918</v>
      </c>
      <c r="G1463" s="12" t="str">
        <f>VLOOKUP(Table2[[#This Row],[MemberID]],Table1[#All],3,0)</f>
        <v>Silver</v>
      </c>
      <c r="H1463" s="13">
        <v>27</v>
      </c>
    </row>
    <row r="1464" spans="1:8">
      <c r="A1464" t="s">
        <v>1796</v>
      </c>
      <c r="B1464" t="s">
        <v>280</v>
      </c>
      <c r="C1464" s="8">
        <v>46076</v>
      </c>
      <c r="D1464" t="s">
        <v>321</v>
      </c>
      <c r="E1464" t="s">
        <v>328</v>
      </c>
      <c r="F1464" s="12">
        <v>25000</v>
      </c>
      <c r="G1464" s="12" t="str">
        <f>VLOOKUP(Table2[[#This Row],[MemberID]],Table1[#All],3,0)</f>
        <v>Silver</v>
      </c>
      <c r="H1464" s="13">
        <v>2</v>
      </c>
    </row>
    <row r="1465" spans="1:8">
      <c r="A1465" t="s">
        <v>1797</v>
      </c>
      <c r="B1465" t="s">
        <v>282</v>
      </c>
      <c r="C1465" s="8">
        <v>46157</v>
      </c>
      <c r="D1465" t="s">
        <v>327</v>
      </c>
      <c r="E1465" t="s">
        <v>337</v>
      </c>
      <c r="F1465" s="12">
        <v>25000</v>
      </c>
      <c r="G1465" s="12" t="str">
        <f>VLOOKUP(Table2[[#This Row],[MemberID]],Table1[#All],3,0)</f>
        <v>Silver</v>
      </c>
      <c r="H1465" s="13">
        <v>2</v>
      </c>
    </row>
    <row r="1466" spans="1:8">
      <c r="A1466" t="s">
        <v>1798</v>
      </c>
      <c r="B1466" t="s">
        <v>215</v>
      </c>
      <c r="C1466" s="8">
        <v>46196</v>
      </c>
      <c r="D1466" t="s">
        <v>342</v>
      </c>
      <c r="E1466" t="s">
        <v>322</v>
      </c>
      <c r="F1466" s="12">
        <v>509810</v>
      </c>
      <c r="G1466" s="12" t="str">
        <f>VLOOKUP(Table2[[#This Row],[MemberID]],Table1[#All],3,0)</f>
        <v>Platinum</v>
      </c>
      <c r="H1466" s="13">
        <v>50</v>
      </c>
    </row>
    <row r="1467" spans="1:8">
      <c r="A1467" t="s">
        <v>1799</v>
      </c>
      <c r="B1467" t="s">
        <v>170</v>
      </c>
      <c r="C1467" s="8">
        <v>45968</v>
      </c>
      <c r="D1467" t="s">
        <v>327</v>
      </c>
      <c r="E1467" t="s">
        <v>339</v>
      </c>
      <c r="F1467" s="12">
        <v>55270</v>
      </c>
      <c r="G1467" s="12" t="str">
        <f>VLOOKUP(Table2[[#This Row],[MemberID]],Table1[#All],3,0)</f>
        <v>Silver</v>
      </c>
      <c r="H1467" s="13">
        <v>5</v>
      </c>
    </row>
    <row r="1468" spans="1:8">
      <c r="A1468" t="s">
        <v>1800</v>
      </c>
      <c r="B1468" t="s">
        <v>112</v>
      </c>
      <c r="C1468" s="8">
        <v>46065</v>
      </c>
      <c r="D1468" t="s">
        <v>330</v>
      </c>
      <c r="E1468" t="s">
        <v>322</v>
      </c>
      <c r="F1468" s="12">
        <v>185448</v>
      </c>
      <c r="G1468" s="12" t="str">
        <f>VLOOKUP(Table2[[#This Row],[MemberID]],Table1[#All],3,0)</f>
        <v>Silver</v>
      </c>
      <c r="H1468" s="13">
        <v>18</v>
      </c>
    </row>
    <row r="1469" spans="1:8">
      <c r="A1469" t="s">
        <v>1801</v>
      </c>
      <c r="B1469" t="s">
        <v>258</v>
      </c>
      <c r="C1469" s="8">
        <v>46005</v>
      </c>
      <c r="D1469" t="s">
        <v>350</v>
      </c>
      <c r="E1469" t="s">
        <v>325</v>
      </c>
      <c r="F1469" s="12">
        <v>423575</v>
      </c>
      <c r="G1469" s="12" t="str">
        <f>VLOOKUP(Table2[[#This Row],[MemberID]],Table1[#All],3,0)</f>
        <v>Silver</v>
      </c>
      <c r="H1469" s="13">
        <v>42</v>
      </c>
    </row>
    <row r="1470" spans="1:8">
      <c r="A1470" t="s">
        <v>1802</v>
      </c>
      <c r="B1470" t="s">
        <v>31</v>
      </c>
      <c r="C1470" s="8">
        <v>46241</v>
      </c>
      <c r="D1470" t="s">
        <v>321</v>
      </c>
      <c r="E1470" t="s">
        <v>325</v>
      </c>
      <c r="F1470" s="12">
        <v>214922</v>
      </c>
      <c r="G1470" s="12" t="str">
        <f>VLOOKUP(Table2[[#This Row],[MemberID]],Table1[#All],3,0)</f>
        <v>Silver</v>
      </c>
      <c r="H1470" s="13">
        <v>21</v>
      </c>
    </row>
    <row r="1471" spans="1:8">
      <c r="A1471" t="s">
        <v>1803</v>
      </c>
      <c r="B1471" t="s">
        <v>276</v>
      </c>
      <c r="C1471" s="8">
        <v>45998</v>
      </c>
      <c r="D1471" t="s">
        <v>327</v>
      </c>
      <c r="E1471" t="s">
        <v>334</v>
      </c>
      <c r="F1471" s="12">
        <v>371923</v>
      </c>
      <c r="G1471" s="12" t="str">
        <f>VLOOKUP(Table2[[#This Row],[MemberID]],Table1[#All],3,0)</f>
        <v>Gold</v>
      </c>
      <c r="H1471" s="13">
        <v>37</v>
      </c>
    </row>
    <row r="1472" spans="1:8">
      <c r="A1472" t="s">
        <v>1804</v>
      </c>
      <c r="B1472" t="s">
        <v>217</v>
      </c>
      <c r="C1472" s="8">
        <v>46210</v>
      </c>
      <c r="D1472" t="s">
        <v>330</v>
      </c>
      <c r="E1472" t="s">
        <v>325</v>
      </c>
      <c r="F1472" s="12">
        <v>212086</v>
      </c>
      <c r="G1472" s="12" t="str">
        <f>VLOOKUP(Table2[[#This Row],[MemberID]],Table1[#All],3,0)</f>
        <v>Gold</v>
      </c>
      <c r="H1472" s="13">
        <v>21</v>
      </c>
    </row>
    <row r="1473" spans="1:8">
      <c r="A1473" t="s">
        <v>1805</v>
      </c>
      <c r="B1473" t="s">
        <v>68</v>
      </c>
      <c r="C1473" s="8">
        <v>46145</v>
      </c>
      <c r="D1473" t="s">
        <v>350</v>
      </c>
      <c r="E1473" t="s">
        <v>325</v>
      </c>
      <c r="F1473" s="12">
        <v>276643</v>
      </c>
      <c r="G1473" s="12" t="str">
        <f>VLOOKUP(Table2[[#This Row],[MemberID]],Table1[#All],3,0)</f>
        <v>Silver</v>
      </c>
      <c r="H1473" s="13">
        <v>27</v>
      </c>
    </row>
    <row r="1474" spans="1:8">
      <c r="A1474" t="s">
        <v>1806</v>
      </c>
      <c r="B1474" t="s">
        <v>164</v>
      </c>
      <c r="C1474" s="8">
        <v>46091</v>
      </c>
      <c r="D1474" t="s">
        <v>344</v>
      </c>
      <c r="E1474" t="s">
        <v>322</v>
      </c>
      <c r="F1474" s="12">
        <v>56212</v>
      </c>
      <c r="G1474" s="12" t="str">
        <f>VLOOKUP(Table2[[#This Row],[MemberID]],Table1[#All],3,0)</f>
        <v>Silver</v>
      </c>
      <c r="H1474" s="13">
        <v>5</v>
      </c>
    </row>
    <row r="1475" spans="1:8">
      <c r="A1475" t="s">
        <v>1807</v>
      </c>
      <c r="B1475" t="s">
        <v>109</v>
      </c>
      <c r="C1475" s="8">
        <v>46001</v>
      </c>
      <c r="D1475" t="s">
        <v>332</v>
      </c>
      <c r="E1475" t="s">
        <v>328</v>
      </c>
      <c r="F1475" s="12">
        <v>352208</v>
      </c>
      <c r="G1475" s="12" t="str">
        <f>VLOOKUP(Table2[[#This Row],[MemberID]],Table1[#All],3,0)</f>
        <v>Silver</v>
      </c>
      <c r="H1475" s="13">
        <v>35</v>
      </c>
    </row>
    <row r="1476" spans="1:8">
      <c r="A1476" t="s">
        <v>1808</v>
      </c>
      <c r="B1476" t="s">
        <v>37</v>
      </c>
      <c r="C1476" s="8">
        <v>46133</v>
      </c>
      <c r="D1476" t="s">
        <v>324</v>
      </c>
      <c r="E1476" t="s">
        <v>337</v>
      </c>
      <c r="F1476" s="12">
        <v>259291</v>
      </c>
      <c r="G1476" s="12" t="str">
        <f>VLOOKUP(Table2[[#This Row],[MemberID]],Table1[#All],3,0)</f>
        <v>Silver</v>
      </c>
      <c r="H1476" s="13">
        <v>25</v>
      </c>
    </row>
    <row r="1477" spans="1:8">
      <c r="A1477" t="s">
        <v>1809</v>
      </c>
      <c r="B1477" t="s">
        <v>217</v>
      </c>
      <c r="C1477" s="8">
        <v>46010</v>
      </c>
      <c r="D1477" t="s">
        <v>350</v>
      </c>
      <c r="E1477" t="s">
        <v>334</v>
      </c>
      <c r="F1477" s="12">
        <v>180938</v>
      </c>
      <c r="G1477" s="12" t="str">
        <f>VLOOKUP(Table2[[#This Row],[MemberID]],Table1[#All],3,0)</f>
        <v>Gold</v>
      </c>
      <c r="H1477" s="13">
        <v>18</v>
      </c>
    </row>
    <row r="1478" spans="1:8">
      <c r="A1478" t="s">
        <v>1810</v>
      </c>
      <c r="B1478" t="s">
        <v>89</v>
      </c>
      <c r="C1478" s="8">
        <v>46111</v>
      </c>
      <c r="D1478" t="s">
        <v>350</v>
      </c>
      <c r="E1478" t="s">
        <v>328</v>
      </c>
      <c r="F1478" s="12">
        <v>199491</v>
      </c>
      <c r="G1478" s="12" t="str">
        <f>VLOOKUP(Table2[[#This Row],[MemberID]],Table1[#All],3,0)</f>
        <v>Platinum</v>
      </c>
      <c r="H1478" s="13">
        <v>19</v>
      </c>
    </row>
    <row r="1479" spans="1:8">
      <c r="A1479" t="s">
        <v>1811</v>
      </c>
      <c r="B1479" t="s">
        <v>291</v>
      </c>
      <c r="C1479" s="8">
        <v>46268</v>
      </c>
      <c r="D1479" t="s">
        <v>344</v>
      </c>
      <c r="E1479" t="s">
        <v>325</v>
      </c>
      <c r="F1479" s="12">
        <v>493787</v>
      </c>
      <c r="G1479" s="12" t="str">
        <f>VLOOKUP(Table2[[#This Row],[MemberID]],Table1[#All],3,0)</f>
        <v>Silver</v>
      </c>
      <c r="H1479" s="13">
        <v>49</v>
      </c>
    </row>
    <row r="1480" spans="1:8">
      <c r="A1480" t="s">
        <v>1812</v>
      </c>
      <c r="B1480" t="s">
        <v>114</v>
      </c>
      <c r="C1480" s="8">
        <v>45960</v>
      </c>
      <c r="D1480" t="s">
        <v>330</v>
      </c>
      <c r="E1480" t="s">
        <v>322</v>
      </c>
      <c r="F1480" s="12">
        <v>274515</v>
      </c>
      <c r="G1480" s="12" t="str">
        <f>VLOOKUP(Table2[[#This Row],[MemberID]],Table1[#All],3,0)</f>
        <v>Platinum</v>
      </c>
      <c r="H1480" s="13">
        <v>27</v>
      </c>
    </row>
    <row r="1481" spans="1:8">
      <c r="A1481" t="s">
        <v>1813</v>
      </c>
      <c r="B1481" t="s">
        <v>110</v>
      </c>
      <c r="C1481" s="8">
        <v>46110</v>
      </c>
      <c r="D1481" t="s">
        <v>330</v>
      </c>
      <c r="E1481" t="s">
        <v>337</v>
      </c>
      <c r="F1481" s="12">
        <v>212596</v>
      </c>
      <c r="G1481" s="12" t="str">
        <f>VLOOKUP(Table2[[#This Row],[MemberID]],Table1[#All],3,0)</f>
        <v>Silver</v>
      </c>
      <c r="H1481" s="13">
        <v>21</v>
      </c>
    </row>
    <row r="1482" spans="1:8">
      <c r="A1482" t="s">
        <v>1814</v>
      </c>
      <c r="B1482" t="s">
        <v>196</v>
      </c>
      <c r="C1482" s="8">
        <v>46255</v>
      </c>
      <c r="D1482" t="s">
        <v>330</v>
      </c>
      <c r="E1482" t="s">
        <v>337</v>
      </c>
      <c r="F1482" s="12">
        <v>605749</v>
      </c>
      <c r="G1482" s="12" t="str">
        <f>VLOOKUP(Table2[[#This Row],[MemberID]],Table1[#All],3,0)</f>
        <v>Gold</v>
      </c>
      <c r="H1482" s="13">
        <v>60</v>
      </c>
    </row>
    <row r="1483" spans="1:8">
      <c r="A1483" t="s">
        <v>1815</v>
      </c>
      <c r="B1483" t="s">
        <v>274</v>
      </c>
      <c r="C1483" s="8">
        <v>45945</v>
      </c>
      <c r="D1483" t="s">
        <v>321</v>
      </c>
      <c r="E1483" t="s">
        <v>339</v>
      </c>
      <c r="F1483" s="12">
        <v>91049</v>
      </c>
      <c r="G1483" s="12" t="str">
        <f>VLOOKUP(Table2[[#This Row],[MemberID]],Table1[#All],3,0)</f>
        <v>Platinum</v>
      </c>
      <c r="H1483" s="13">
        <v>9</v>
      </c>
    </row>
    <row r="1484" spans="1:8">
      <c r="A1484" t="s">
        <v>1816</v>
      </c>
      <c r="B1484" t="s">
        <v>285</v>
      </c>
      <c r="C1484" s="8">
        <v>46123</v>
      </c>
      <c r="D1484" t="s">
        <v>342</v>
      </c>
      <c r="E1484" t="s">
        <v>322</v>
      </c>
      <c r="F1484" s="12">
        <v>195364</v>
      </c>
      <c r="G1484" s="12" t="str">
        <f>VLOOKUP(Table2[[#This Row],[MemberID]],Table1[#All],3,0)</f>
        <v>Silver</v>
      </c>
      <c r="H1484" s="13">
        <v>19</v>
      </c>
    </row>
    <row r="1485" spans="1:8">
      <c r="A1485" t="s">
        <v>1817</v>
      </c>
      <c r="B1485" t="s">
        <v>275</v>
      </c>
      <c r="C1485" s="8">
        <v>45947</v>
      </c>
      <c r="D1485" t="s">
        <v>344</v>
      </c>
      <c r="E1485" t="s">
        <v>334</v>
      </c>
      <c r="F1485" s="12">
        <v>300071</v>
      </c>
      <c r="G1485" s="12" t="str">
        <f>VLOOKUP(Table2[[#This Row],[MemberID]],Table1[#All],3,0)</f>
        <v>Silver</v>
      </c>
      <c r="H1485" s="13">
        <v>30</v>
      </c>
    </row>
    <row r="1486" spans="1:8">
      <c r="A1486" t="s">
        <v>1818</v>
      </c>
      <c r="B1486" t="s">
        <v>67</v>
      </c>
      <c r="C1486" s="8">
        <v>46244</v>
      </c>
      <c r="D1486" t="s">
        <v>327</v>
      </c>
      <c r="E1486" t="s">
        <v>328</v>
      </c>
      <c r="F1486" s="12">
        <v>219014</v>
      </c>
      <c r="G1486" s="12" t="str">
        <f>VLOOKUP(Table2[[#This Row],[MemberID]],Table1[#All],3,0)</f>
        <v>Platinum</v>
      </c>
      <c r="H1486" s="13">
        <v>21</v>
      </c>
    </row>
    <row r="1487" spans="1:8">
      <c r="A1487" t="s">
        <v>1819</v>
      </c>
      <c r="B1487" t="s">
        <v>212</v>
      </c>
      <c r="C1487" s="8">
        <v>46257</v>
      </c>
      <c r="D1487" t="s">
        <v>332</v>
      </c>
      <c r="E1487" t="s">
        <v>337</v>
      </c>
      <c r="F1487" s="12">
        <v>370703</v>
      </c>
      <c r="G1487" s="12" t="str">
        <f>VLOOKUP(Table2[[#This Row],[MemberID]],Table1[#All],3,0)</f>
        <v>Silver</v>
      </c>
      <c r="H1487" s="13">
        <v>37</v>
      </c>
    </row>
    <row r="1488" spans="1:8">
      <c r="A1488" t="s">
        <v>1820</v>
      </c>
      <c r="B1488" t="s">
        <v>107</v>
      </c>
      <c r="C1488" s="8">
        <v>46211</v>
      </c>
      <c r="D1488" t="s">
        <v>350</v>
      </c>
      <c r="E1488" t="s">
        <v>339</v>
      </c>
      <c r="F1488" s="12">
        <v>122671</v>
      </c>
      <c r="G1488" s="12" t="str">
        <f>VLOOKUP(Table2[[#This Row],[MemberID]],Table1[#All],3,0)</f>
        <v>Gold</v>
      </c>
      <c r="H1488" s="13">
        <v>12</v>
      </c>
    </row>
    <row r="1489" spans="1:8">
      <c r="A1489" t="s">
        <v>1821</v>
      </c>
      <c r="B1489" t="s">
        <v>134</v>
      </c>
      <c r="C1489" s="8">
        <v>46051</v>
      </c>
      <c r="D1489" t="s">
        <v>321</v>
      </c>
      <c r="E1489" t="s">
        <v>334</v>
      </c>
      <c r="F1489" s="12">
        <v>529548</v>
      </c>
      <c r="G1489" s="12" t="str">
        <f>VLOOKUP(Table2[[#This Row],[MemberID]],Table1[#All],3,0)</f>
        <v>Silver</v>
      </c>
      <c r="H1489" s="13">
        <v>52</v>
      </c>
    </row>
    <row r="1490" spans="1:8">
      <c r="A1490" t="s">
        <v>1822</v>
      </c>
      <c r="B1490" t="s">
        <v>294</v>
      </c>
      <c r="C1490" s="8">
        <v>46050</v>
      </c>
      <c r="D1490" t="s">
        <v>332</v>
      </c>
      <c r="E1490" t="s">
        <v>337</v>
      </c>
      <c r="F1490" s="12">
        <v>340401</v>
      </c>
      <c r="G1490" s="12" t="str">
        <f>VLOOKUP(Table2[[#This Row],[MemberID]],Table1[#All],3,0)</f>
        <v>Gold</v>
      </c>
      <c r="H1490" s="13">
        <v>34</v>
      </c>
    </row>
    <row r="1491" spans="1:8">
      <c r="A1491" t="s">
        <v>1823</v>
      </c>
      <c r="B1491" t="s">
        <v>166</v>
      </c>
      <c r="C1491" s="8">
        <v>46202</v>
      </c>
      <c r="D1491" t="s">
        <v>321</v>
      </c>
      <c r="E1491" t="s">
        <v>339</v>
      </c>
      <c r="F1491" s="12">
        <v>158146</v>
      </c>
      <c r="G1491" s="12" t="str">
        <f>VLOOKUP(Table2[[#This Row],[MemberID]],Table1[#All],3,0)</f>
        <v>Gold</v>
      </c>
      <c r="H1491" s="13">
        <v>15</v>
      </c>
    </row>
    <row r="1492" spans="1:8">
      <c r="A1492" t="s">
        <v>1824</v>
      </c>
      <c r="B1492" t="s">
        <v>152</v>
      </c>
      <c r="C1492" s="8">
        <v>46115</v>
      </c>
      <c r="D1492" t="s">
        <v>327</v>
      </c>
      <c r="E1492" t="s">
        <v>325</v>
      </c>
      <c r="F1492" s="12">
        <v>25000</v>
      </c>
      <c r="G1492" s="12" t="str">
        <f>VLOOKUP(Table2[[#This Row],[MemberID]],Table1[#All],3,0)</f>
        <v>Silver</v>
      </c>
      <c r="H1492" s="13">
        <v>2</v>
      </c>
    </row>
    <row r="1493" spans="1:8">
      <c r="A1493" t="s">
        <v>1825</v>
      </c>
      <c r="B1493" t="s">
        <v>160</v>
      </c>
      <c r="C1493" s="8">
        <v>46285</v>
      </c>
      <c r="D1493" t="s">
        <v>330</v>
      </c>
      <c r="E1493" t="s">
        <v>334</v>
      </c>
      <c r="F1493" s="12">
        <v>350577</v>
      </c>
      <c r="G1493" s="12" t="str">
        <f>VLOOKUP(Table2[[#This Row],[MemberID]],Table1[#All],3,0)</f>
        <v>Silver</v>
      </c>
      <c r="H1493" s="13">
        <v>35</v>
      </c>
    </row>
    <row r="1494" spans="1:8">
      <c r="A1494" t="s">
        <v>1826</v>
      </c>
      <c r="B1494" t="s">
        <v>257</v>
      </c>
      <c r="C1494" s="8">
        <v>45973</v>
      </c>
      <c r="D1494" t="s">
        <v>350</v>
      </c>
      <c r="E1494" t="s">
        <v>339</v>
      </c>
      <c r="F1494" s="12">
        <v>103567</v>
      </c>
      <c r="G1494" s="12" t="str">
        <f>VLOOKUP(Table2[[#This Row],[MemberID]],Table1[#All],3,0)</f>
        <v>Gold</v>
      </c>
      <c r="H1494" s="13">
        <v>10</v>
      </c>
    </row>
    <row r="1495" spans="1:8">
      <c r="A1495" t="s">
        <v>1827</v>
      </c>
      <c r="B1495" t="s">
        <v>103</v>
      </c>
      <c r="C1495" s="8">
        <v>46189</v>
      </c>
      <c r="D1495" t="s">
        <v>321</v>
      </c>
      <c r="E1495" t="s">
        <v>325</v>
      </c>
      <c r="F1495" s="12">
        <v>153233</v>
      </c>
      <c r="G1495" s="12" t="str">
        <f>VLOOKUP(Table2[[#This Row],[MemberID]],Table1[#All],3,0)</f>
        <v>Silver</v>
      </c>
      <c r="H1495" s="13">
        <v>15</v>
      </c>
    </row>
    <row r="1496" spans="1:8">
      <c r="A1496" t="s">
        <v>1828</v>
      </c>
      <c r="B1496" t="s">
        <v>8</v>
      </c>
      <c r="C1496" s="8">
        <v>45977</v>
      </c>
      <c r="D1496" t="s">
        <v>332</v>
      </c>
      <c r="E1496" t="s">
        <v>322</v>
      </c>
      <c r="F1496" s="12">
        <v>147763</v>
      </c>
      <c r="G1496" s="12" t="str">
        <f>VLOOKUP(Table2[[#This Row],[MemberID]],Table1[#All],3,0)</f>
        <v>Gold</v>
      </c>
      <c r="H1496" s="13">
        <v>14</v>
      </c>
    </row>
    <row r="1497" spans="1:8">
      <c r="A1497" t="s">
        <v>1829</v>
      </c>
      <c r="B1497" t="s">
        <v>48</v>
      </c>
      <c r="C1497" s="8">
        <v>46133</v>
      </c>
      <c r="D1497" t="s">
        <v>327</v>
      </c>
      <c r="E1497" t="s">
        <v>328</v>
      </c>
      <c r="F1497" s="12">
        <v>261643</v>
      </c>
      <c r="G1497" s="12" t="str">
        <f>VLOOKUP(Table2[[#This Row],[MemberID]],Table1[#All],3,0)</f>
        <v>Gold</v>
      </c>
      <c r="H1497" s="13">
        <v>26</v>
      </c>
    </row>
    <row r="1498" spans="1:8">
      <c r="A1498" t="s">
        <v>1830</v>
      </c>
      <c r="B1498" t="s">
        <v>27</v>
      </c>
      <c r="C1498" s="8">
        <v>46215</v>
      </c>
      <c r="D1498" t="s">
        <v>344</v>
      </c>
      <c r="E1498" t="s">
        <v>339</v>
      </c>
      <c r="F1498" s="12">
        <v>98338</v>
      </c>
      <c r="G1498" s="12" t="str">
        <f>VLOOKUP(Table2[[#This Row],[MemberID]],Table1[#All],3,0)</f>
        <v>Silver</v>
      </c>
      <c r="H1498" s="13">
        <v>9</v>
      </c>
    </row>
    <row r="1499" spans="1:8">
      <c r="A1499" t="s">
        <v>1831</v>
      </c>
      <c r="B1499" t="s">
        <v>64</v>
      </c>
      <c r="C1499" s="8">
        <v>46185</v>
      </c>
      <c r="D1499" t="s">
        <v>344</v>
      </c>
      <c r="E1499" t="s">
        <v>322</v>
      </c>
      <c r="F1499" s="12">
        <v>149119</v>
      </c>
      <c r="G1499" s="12" t="str">
        <f>VLOOKUP(Table2[[#This Row],[MemberID]],Table1[#All],3,0)</f>
        <v>Silver</v>
      </c>
      <c r="H1499" s="13">
        <v>14</v>
      </c>
    </row>
    <row r="1500" spans="1:8">
      <c r="A1500" t="s">
        <v>1832</v>
      </c>
      <c r="B1500" t="s">
        <v>36</v>
      </c>
      <c r="C1500" s="8">
        <v>45940</v>
      </c>
      <c r="D1500" t="s">
        <v>321</v>
      </c>
      <c r="E1500" t="s">
        <v>322</v>
      </c>
      <c r="F1500" s="12">
        <v>425560</v>
      </c>
      <c r="G1500" s="12" t="str">
        <f>VLOOKUP(Table2[[#This Row],[MemberID]],Table1[#All],3,0)</f>
        <v>Gold</v>
      </c>
      <c r="H1500" s="13">
        <v>42</v>
      </c>
    </row>
    <row r="1501" spans="1:8">
      <c r="A1501" t="s">
        <v>1833</v>
      </c>
      <c r="B1501" t="s">
        <v>222</v>
      </c>
      <c r="C1501" s="8">
        <v>45998</v>
      </c>
      <c r="D1501" t="s">
        <v>327</v>
      </c>
      <c r="E1501" t="s">
        <v>322</v>
      </c>
      <c r="F1501" s="12">
        <v>510853</v>
      </c>
      <c r="G1501" s="12" t="str">
        <f>VLOOKUP(Table2[[#This Row],[MemberID]],Table1[#All],3,0)</f>
        <v>Silver</v>
      </c>
      <c r="H1501" s="13">
        <v>51</v>
      </c>
    </row>
    <row r="1502" spans="1:8">
      <c r="A1502" t="s">
        <v>1834</v>
      </c>
      <c r="B1502" t="s">
        <v>299</v>
      </c>
      <c r="C1502" s="8">
        <v>46182</v>
      </c>
      <c r="D1502" t="s">
        <v>332</v>
      </c>
      <c r="E1502" t="s">
        <v>328</v>
      </c>
      <c r="F1502" s="12">
        <v>161676</v>
      </c>
      <c r="G1502" s="12" t="str">
        <f>VLOOKUP(Table2[[#This Row],[MemberID]],Table1[#All],3,0)</f>
        <v>Silver</v>
      </c>
      <c r="H1502" s="13">
        <v>16</v>
      </c>
    </row>
    <row r="1503" spans="1:8">
      <c r="A1503" t="s">
        <v>1835</v>
      </c>
      <c r="B1503" t="s">
        <v>255</v>
      </c>
      <c r="C1503" s="8">
        <v>45931</v>
      </c>
      <c r="D1503" t="s">
        <v>350</v>
      </c>
      <c r="E1503" t="s">
        <v>337</v>
      </c>
      <c r="F1503" s="12">
        <v>230500</v>
      </c>
      <c r="G1503" s="12" t="str">
        <f>VLOOKUP(Table2[[#This Row],[MemberID]],Table1[#All],3,0)</f>
        <v>Silver</v>
      </c>
      <c r="H1503" s="13">
        <v>23</v>
      </c>
    </row>
    <row r="1504" spans="1:8">
      <c r="A1504" t="s">
        <v>1836</v>
      </c>
      <c r="B1504" t="s">
        <v>187</v>
      </c>
      <c r="C1504" s="8">
        <v>46205</v>
      </c>
      <c r="D1504" t="s">
        <v>332</v>
      </c>
      <c r="E1504" t="s">
        <v>339</v>
      </c>
      <c r="F1504" s="12">
        <v>651167</v>
      </c>
      <c r="G1504" s="12" t="str">
        <f>VLOOKUP(Table2[[#This Row],[MemberID]],Table1[#All],3,0)</f>
        <v>Silver</v>
      </c>
      <c r="H1504" s="13">
        <v>65</v>
      </c>
    </row>
    <row r="1505" spans="1:8">
      <c r="A1505" t="s">
        <v>1837</v>
      </c>
      <c r="B1505" t="s">
        <v>249</v>
      </c>
      <c r="C1505" s="8">
        <v>46113</v>
      </c>
      <c r="D1505" t="s">
        <v>324</v>
      </c>
      <c r="E1505" t="s">
        <v>334</v>
      </c>
      <c r="F1505" s="12">
        <v>95724</v>
      </c>
      <c r="G1505" s="12" t="str">
        <f>VLOOKUP(Table2[[#This Row],[MemberID]],Table1[#All],3,0)</f>
        <v>Silver</v>
      </c>
      <c r="H1505" s="13">
        <v>9</v>
      </c>
    </row>
    <row r="1506" spans="1:8">
      <c r="A1506" t="s">
        <v>1838</v>
      </c>
      <c r="B1506" t="s">
        <v>212</v>
      </c>
      <c r="C1506" s="8">
        <v>46050</v>
      </c>
      <c r="D1506" t="s">
        <v>327</v>
      </c>
      <c r="E1506" t="s">
        <v>339</v>
      </c>
      <c r="F1506" s="12">
        <v>563809</v>
      </c>
      <c r="G1506" s="12" t="str">
        <f>VLOOKUP(Table2[[#This Row],[MemberID]],Table1[#All],3,0)</f>
        <v>Silver</v>
      </c>
      <c r="H1506" s="13">
        <v>56</v>
      </c>
    </row>
    <row r="1507" spans="1:8">
      <c r="A1507" t="s">
        <v>1839</v>
      </c>
      <c r="B1507" t="s">
        <v>83</v>
      </c>
      <c r="C1507" s="8">
        <v>46197</v>
      </c>
      <c r="D1507" t="s">
        <v>330</v>
      </c>
      <c r="E1507" t="s">
        <v>325</v>
      </c>
      <c r="F1507" s="12">
        <v>223931</v>
      </c>
      <c r="G1507" s="12" t="str">
        <f>VLOOKUP(Table2[[#This Row],[MemberID]],Table1[#All],3,0)</f>
        <v>Gold</v>
      </c>
      <c r="H1507" s="13">
        <v>22</v>
      </c>
    </row>
    <row r="1508" spans="1:8">
      <c r="A1508" t="s">
        <v>1840</v>
      </c>
      <c r="B1508" t="s">
        <v>81</v>
      </c>
      <c r="C1508" s="8">
        <v>46269</v>
      </c>
      <c r="D1508" t="s">
        <v>350</v>
      </c>
      <c r="E1508" t="s">
        <v>337</v>
      </c>
      <c r="F1508" s="12">
        <v>548900</v>
      </c>
      <c r="G1508" s="12" t="str">
        <f>VLOOKUP(Table2[[#This Row],[MemberID]],Table1[#All],3,0)</f>
        <v>Gold</v>
      </c>
      <c r="H1508" s="13">
        <v>54</v>
      </c>
    </row>
    <row r="1509" spans="1:8">
      <c r="A1509" t="s">
        <v>1841</v>
      </c>
      <c r="B1509" t="s">
        <v>136</v>
      </c>
      <c r="C1509" s="8">
        <v>46058</v>
      </c>
      <c r="D1509" t="s">
        <v>344</v>
      </c>
      <c r="E1509" t="s">
        <v>325</v>
      </c>
      <c r="F1509" s="12">
        <v>519768</v>
      </c>
      <c r="G1509" s="12" t="str">
        <f>VLOOKUP(Table2[[#This Row],[MemberID]],Table1[#All],3,0)</f>
        <v>Platinum</v>
      </c>
      <c r="H1509" s="13">
        <v>51</v>
      </c>
    </row>
    <row r="1510" spans="1:8">
      <c r="A1510" t="s">
        <v>1842</v>
      </c>
      <c r="B1510" t="s">
        <v>250</v>
      </c>
      <c r="C1510" s="8">
        <v>46246</v>
      </c>
      <c r="D1510" t="s">
        <v>324</v>
      </c>
      <c r="E1510" t="s">
        <v>334</v>
      </c>
      <c r="F1510" s="12">
        <v>237775</v>
      </c>
      <c r="G1510" s="12" t="str">
        <f>VLOOKUP(Table2[[#This Row],[MemberID]],Table1[#All],3,0)</f>
        <v>Platinum</v>
      </c>
      <c r="H1510" s="13">
        <v>23</v>
      </c>
    </row>
    <row r="1511" spans="1:8">
      <c r="A1511" t="s">
        <v>1843</v>
      </c>
      <c r="B1511" t="s">
        <v>262</v>
      </c>
      <c r="C1511" s="8">
        <v>46285</v>
      </c>
      <c r="D1511" t="s">
        <v>327</v>
      </c>
      <c r="E1511" t="s">
        <v>334</v>
      </c>
      <c r="F1511" s="12">
        <v>649993</v>
      </c>
      <c r="G1511" s="12" t="str">
        <f>VLOOKUP(Table2[[#This Row],[MemberID]],Table1[#All],3,0)</f>
        <v>Gold</v>
      </c>
      <c r="H1511" s="13">
        <v>64</v>
      </c>
    </row>
    <row r="1512" spans="1:8">
      <c r="A1512" t="s">
        <v>1844</v>
      </c>
      <c r="B1512" t="s">
        <v>237</v>
      </c>
      <c r="C1512" s="8">
        <v>45957</v>
      </c>
      <c r="D1512" t="s">
        <v>332</v>
      </c>
      <c r="E1512" t="s">
        <v>334</v>
      </c>
      <c r="F1512" s="12">
        <v>198266</v>
      </c>
      <c r="G1512" s="12" t="str">
        <f>VLOOKUP(Table2[[#This Row],[MemberID]],Table1[#All],3,0)</f>
        <v>Silver</v>
      </c>
      <c r="H1512" s="13">
        <v>19</v>
      </c>
    </row>
    <row r="1513" spans="1:8">
      <c r="A1513" t="s">
        <v>1845</v>
      </c>
      <c r="B1513" t="s">
        <v>19</v>
      </c>
      <c r="C1513" s="8">
        <v>46119</v>
      </c>
      <c r="D1513" t="s">
        <v>327</v>
      </c>
      <c r="E1513" t="s">
        <v>322</v>
      </c>
      <c r="F1513" s="12">
        <v>71585</v>
      </c>
      <c r="G1513" s="12" t="str">
        <f>VLOOKUP(Table2[[#This Row],[MemberID]],Table1[#All],3,0)</f>
        <v>Silver</v>
      </c>
      <c r="H1513" s="13">
        <v>7</v>
      </c>
    </row>
    <row r="1514" spans="1:8">
      <c r="A1514" t="s">
        <v>1846</v>
      </c>
      <c r="B1514" t="s">
        <v>238</v>
      </c>
      <c r="C1514" s="8">
        <v>46034</v>
      </c>
      <c r="D1514" t="s">
        <v>344</v>
      </c>
      <c r="E1514" t="s">
        <v>339</v>
      </c>
      <c r="F1514" s="12">
        <v>321337</v>
      </c>
      <c r="G1514" s="12" t="str">
        <f>VLOOKUP(Table2[[#This Row],[MemberID]],Table1[#All],3,0)</f>
        <v>Silver</v>
      </c>
      <c r="H1514" s="13">
        <v>32</v>
      </c>
    </row>
    <row r="1515" spans="1:8">
      <c r="A1515" t="s">
        <v>1847</v>
      </c>
      <c r="B1515" t="s">
        <v>22</v>
      </c>
      <c r="C1515" s="8">
        <v>46006</v>
      </c>
      <c r="D1515" t="s">
        <v>344</v>
      </c>
      <c r="E1515" t="s">
        <v>334</v>
      </c>
      <c r="F1515" s="12">
        <v>259208</v>
      </c>
      <c r="G1515" s="12" t="str">
        <f>VLOOKUP(Table2[[#This Row],[MemberID]],Table1[#All],3,0)</f>
        <v>Gold</v>
      </c>
      <c r="H1515" s="13">
        <v>25</v>
      </c>
    </row>
    <row r="1516" spans="1:8">
      <c r="A1516" t="s">
        <v>1848</v>
      </c>
      <c r="B1516" t="s">
        <v>150</v>
      </c>
      <c r="C1516" s="8">
        <v>46177</v>
      </c>
      <c r="D1516" t="s">
        <v>327</v>
      </c>
      <c r="E1516" t="s">
        <v>328</v>
      </c>
      <c r="F1516" s="12">
        <v>76987</v>
      </c>
      <c r="G1516" s="12" t="str">
        <f>VLOOKUP(Table2[[#This Row],[MemberID]],Table1[#All],3,0)</f>
        <v>Gold</v>
      </c>
      <c r="H1516" s="13">
        <v>7</v>
      </c>
    </row>
    <row r="1517" spans="1:8">
      <c r="A1517" t="s">
        <v>1849</v>
      </c>
      <c r="B1517" t="s">
        <v>142</v>
      </c>
      <c r="C1517" s="8">
        <v>45958</v>
      </c>
      <c r="D1517" t="s">
        <v>350</v>
      </c>
      <c r="E1517" t="s">
        <v>328</v>
      </c>
      <c r="F1517" s="12">
        <v>172099</v>
      </c>
      <c r="G1517" s="12" t="str">
        <f>VLOOKUP(Table2[[#This Row],[MemberID]],Table1[#All],3,0)</f>
        <v>Silver</v>
      </c>
      <c r="H1517" s="13">
        <v>17</v>
      </c>
    </row>
    <row r="1518" spans="1:8">
      <c r="A1518" t="s">
        <v>1850</v>
      </c>
      <c r="B1518" t="s">
        <v>265</v>
      </c>
      <c r="C1518" s="8">
        <v>46079</v>
      </c>
      <c r="D1518" t="s">
        <v>330</v>
      </c>
      <c r="E1518" t="s">
        <v>328</v>
      </c>
      <c r="F1518" s="12">
        <v>319300</v>
      </c>
      <c r="G1518" s="12" t="str">
        <f>VLOOKUP(Table2[[#This Row],[MemberID]],Table1[#All],3,0)</f>
        <v>Platinum</v>
      </c>
      <c r="H1518" s="13">
        <v>31</v>
      </c>
    </row>
    <row r="1519" spans="1:8">
      <c r="A1519" t="s">
        <v>1851</v>
      </c>
      <c r="B1519" t="s">
        <v>241</v>
      </c>
      <c r="C1519" s="8">
        <v>46258</v>
      </c>
      <c r="D1519" t="s">
        <v>330</v>
      </c>
      <c r="E1519" t="s">
        <v>337</v>
      </c>
      <c r="F1519" s="12">
        <v>161365</v>
      </c>
      <c r="G1519" s="12" t="str">
        <f>VLOOKUP(Table2[[#This Row],[MemberID]],Table1[#All],3,0)</f>
        <v>Gold</v>
      </c>
      <c r="H1519" s="13">
        <v>16</v>
      </c>
    </row>
    <row r="1520" spans="1:8">
      <c r="A1520" t="s">
        <v>1852</v>
      </c>
      <c r="B1520" t="s">
        <v>77</v>
      </c>
      <c r="C1520" s="8">
        <v>46212</v>
      </c>
      <c r="D1520" t="s">
        <v>321</v>
      </c>
      <c r="E1520" t="s">
        <v>339</v>
      </c>
      <c r="F1520" s="12">
        <v>344370</v>
      </c>
      <c r="G1520" s="12" t="str">
        <f>VLOOKUP(Table2[[#This Row],[MemberID]],Table1[#All],3,0)</f>
        <v>Platinum</v>
      </c>
      <c r="H1520" s="13">
        <v>34</v>
      </c>
    </row>
    <row r="1521" spans="1:8">
      <c r="A1521" t="s">
        <v>1853</v>
      </c>
      <c r="B1521" t="s">
        <v>90</v>
      </c>
      <c r="C1521" s="8">
        <v>46046</v>
      </c>
      <c r="D1521" t="s">
        <v>324</v>
      </c>
      <c r="E1521" t="s">
        <v>337</v>
      </c>
      <c r="F1521" s="12">
        <v>120617</v>
      </c>
      <c r="G1521" s="12" t="str">
        <f>VLOOKUP(Table2[[#This Row],[MemberID]],Table1[#All],3,0)</f>
        <v>Silver</v>
      </c>
      <c r="H1521" s="13">
        <v>12</v>
      </c>
    </row>
    <row r="1522" spans="1:8">
      <c r="A1522" t="s">
        <v>1854</v>
      </c>
      <c r="B1522" t="s">
        <v>281</v>
      </c>
      <c r="C1522" s="8">
        <v>46036</v>
      </c>
      <c r="D1522" t="s">
        <v>344</v>
      </c>
      <c r="E1522" t="s">
        <v>337</v>
      </c>
      <c r="F1522" s="12">
        <v>153786</v>
      </c>
      <c r="G1522" s="12" t="str">
        <f>VLOOKUP(Table2[[#This Row],[MemberID]],Table1[#All],3,0)</f>
        <v>Gold</v>
      </c>
      <c r="H1522" s="13">
        <v>15</v>
      </c>
    </row>
    <row r="1523" spans="1:8">
      <c r="A1523" t="s">
        <v>1855</v>
      </c>
      <c r="B1523" t="s">
        <v>228</v>
      </c>
      <c r="C1523" s="8">
        <v>46129</v>
      </c>
      <c r="D1523" t="s">
        <v>324</v>
      </c>
      <c r="E1523" t="s">
        <v>337</v>
      </c>
      <c r="F1523" s="12">
        <v>78780</v>
      </c>
      <c r="G1523" s="12" t="str">
        <f>VLOOKUP(Table2[[#This Row],[MemberID]],Table1[#All],3,0)</f>
        <v>Gold</v>
      </c>
      <c r="H1523" s="13">
        <v>7</v>
      </c>
    </row>
    <row r="1524" spans="1:8">
      <c r="A1524" t="s">
        <v>1856</v>
      </c>
      <c r="B1524" t="s">
        <v>46</v>
      </c>
      <c r="C1524" s="8">
        <v>46103</v>
      </c>
      <c r="D1524" t="s">
        <v>350</v>
      </c>
      <c r="E1524" t="s">
        <v>339</v>
      </c>
      <c r="F1524" s="12">
        <v>352864</v>
      </c>
      <c r="G1524" s="12" t="str">
        <f>VLOOKUP(Table2[[#This Row],[MemberID]],Table1[#All],3,0)</f>
        <v>Silver</v>
      </c>
      <c r="H1524" s="13">
        <v>35</v>
      </c>
    </row>
    <row r="1525" spans="1:8">
      <c r="A1525" t="s">
        <v>1857</v>
      </c>
      <c r="B1525" t="s">
        <v>38</v>
      </c>
      <c r="C1525" s="8">
        <v>46032</v>
      </c>
      <c r="D1525" t="s">
        <v>350</v>
      </c>
      <c r="E1525" t="s">
        <v>339</v>
      </c>
      <c r="F1525" s="12">
        <v>212705</v>
      </c>
      <c r="G1525" s="12" t="str">
        <f>VLOOKUP(Table2[[#This Row],[MemberID]],Table1[#All],3,0)</f>
        <v>Gold</v>
      </c>
      <c r="H1525" s="13">
        <v>21</v>
      </c>
    </row>
    <row r="1526" spans="1:8">
      <c r="A1526" t="s">
        <v>1858</v>
      </c>
      <c r="B1526" t="s">
        <v>75</v>
      </c>
      <c r="C1526" s="8">
        <v>46194</v>
      </c>
      <c r="D1526" t="s">
        <v>327</v>
      </c>
      <c r="E1526" t="s">
        <v>322</v>
      </c>
      <c r="F1526" s="12">
        <v>378080</v>
      </c>
      <c r="G1526" s="12" t="str">
        <f>VLOOKUP(Table2[[#This Row],[MemberID]],Table1[#All],3,0)</f>
        <v>Silver</v>
      </c>
      <c r="H1526" s="13">
        <v>37</v>
      </c>
    </row>
    <row r="1527" spans="1:8">
      <c r="A1527" t="s">
        <v>1859</v>
      </c>
      <c r="B1527" t="s">
        <v>192</v>
      </c>
      <c r="C1527" s="8">
        <v>45948</v>
      </c>
      <c r="D1527" t="s">
        <v>330</v>
      </c>
      <c r="E1527" t="s">
        <v>339</v>
      </c>
      <c r="F1527" s="12">
        <v>384403</v>
      </c>
      <c r="G1527" s="12" t="str">
        <f>VLOOKUP(Table2[[#This Row],[MemberID]],Table1[#All],3,0)</f>
        <v>Silver</v>
      </c>
      <c r="H1527" s="13">
        <v>38</v>
      </c>
    </row>
    <row r="1528" spans="1:8">
      <c r="A1528" t="s">
        <v>1860</v>
      </c>
      <c r="B1528" t="s">
        <v>188</v>
      </c>
      <c r="C1528" s="8">
        <v>46244</v>
      </c>
      <c r="D1528" t="s">
        <v>324</v>
      </c>
      <c r="E1528" t="s">
        <v>337</v>
      </c>
      <c r="F1528" s="12">
        <v>266586</v>
      </c>
      <c r="G1528" s="12" t="str">
        <f>VLOOKUP(Table2[[#This Row],[MemberID]],Table1[#All],3,0)</f>
        <v>Silver</v>
      </c>
      <c r="H1528" s="13">
        <v>26</v>
      </c>
    </row>
    <row r="1529" spans="1:8">
      <c r="A1529" t="s">
        <v>1861</v>
      </c>
      <c r="B1529" t="s">
        <v>212</v>
      </c>
      <c r="C1529" s="8">
        <v>46029</v>
      </c>
      <c r="D1529" t="s">
        <v>344</v>
      </c>
      <c r="E1529" t="s">
        <v>337</v>
      </c>
      <c r="F1529" s="12">
        <v>107588</v>
      </c>
      <c r="G1529" s="12" t="str">
        <f>VLOOKUP(Table2[[#This Row],[MemberID]],Table1[#All],3,0)</f>
        <v>Silver</v>
      </c>
      <c r="H1529" s="13">
        <v>10</v>
      </c>
    </row>
    <row r="1530" spans="1:8">
      <c r="A1530" t="s">
        <v>1862</v>
      </c>
      <c r="B1530" t="s">
        <v>255</v>
      </c>
      <c r="C1530" s="8">
        <v>46148</v>
      </c>
      <c r="D1530" t="s">
        <v>344</v>
      </c>
      <c r="E1530" t="s">
        <v>339</v>
      </c>
      <c r="F1530" s="12">
        <v>836744</v>
      </c>
      <c r="G1530" s="12" t="str">
        <f>VLOOKUP(Table2[[#This Row],[MemberID]],Table1[#All],3,0)</f>
        <v>Silver</v>
      </c>
      <c r="H1530" s="13">
        <v>83</v>
      </c>
    </row>
    <row r="1531" spans="1:8">
      <c r="A1531" t="s">
        <v>1863</v>
      </c>
      <c r="B1531" t="s">
        <v>93</v>
      </c>
      <c r="C1531" s="8">
        <v>46108</v>
      </c>
      <c r="D1531" t="s">
        <v>344</v>
      </c>
      <c r="E1531" t="s">
        <v>322</v>
      </c>
      <c r="F1531" s="12">
        <v>53534</v>
      </c>
      <c r="G1531" s="12" t="str">
        <f>VLOOKUP(Table2[[#This Row],[MemberID]],Table1[#All],3,0)</f>
        <v>Platinum</v>
      </c>
      <c r="H1531" s="13">
        <v>5</v>
      </c>
    </row>
    <row r="1532" spans="1:8">
      <c r="A1532" t="s">
        <v>1864</v>
      </c>
      <c r="B1532" t="s">
        <v>105</v>
      </c>
      <c r="C1532" s="8">
        <v>46265</v>
      </c>
      <c r="D1532" t="s">
        <v>330</v>
      </c>
      <c r="E1532" t="s">
        <v>334</v>
      </c>
      <c r="F1532" s="12">
        <v>299579</v>
      </c>
      <c r="G1532" s="12" t="str">
        <f>VLOOKUP(Table2[[#This Row],[MemberID]],Table1[#All],3,0)</f>
        <v>Silver</v>
      </c>
      <c r="H1532" s="13">
        <v>29</v>
      </c>
    </row>
    <row r="1533" spans="1:8">
      <c r="A1533" t="s">
        <v>1865</v>
      </c>
      <c r="B1533" t="s">
        <v>212</v>
      </c>
      <c r="C1533" s="8">
        <v>46199</v>
      </c>
      <c r="D1533" t="s">
        <v>321</v>
      </c>
      <c r="E1533" t="s">
        <v>339</v>
      </c>
      <c r="F1533" s="12">
        <v>226982</v>
      </c>
      <c r="G1533" s="12" t="str">
        <f>VLOOKUP(Table2[[#This Row],[MemberID]],Table1[#All],3,0)</f>
        <v>Silver</v>
      </c>
      <c r="H1533" s="13">
        <v>22</v>
      </c>
    </row>
    <row r="1534" spans="1:8">
      <c r="A1534" t="s">
        <v>1866</v>
      </c>
      <c r="B1534" t="s">
        <v>200</v>
      </c>
      <c r="C1534" s="8">
        <v>46102</v>
      </c>
      <c r="D1534" t="s">
        <v>324</v>
      </c>
      <c r="E1534" t="s">
        <v>334</v>
      </c>
      <c r="F1534" s="12">
        <v>81889</v>
      </c>
      <c r="G1534" s="12" t="str">
        <f>VLOOKUP(Table2[[#This Row],[MemberID]],Table1[#All],3,0)</f>
        <v>Silver</v>
      </c>
      <c r="H1534" s="13">
        <v>8</v>
      </c>
    </row>
    <row r="1535" spans="1:8">
      <c r="A1535" t="s">
        <v>1867</v>
      </c>
      <c r="B1535" t="s">
        <v>110</v>
      </c>
      <c r="C1535" s="8">
        <v>46057</v>
      </c>
      <c r="D1535" t="s">
        <v>324</v>
      </c>
      <c r="E1535" t="s">
        <v>337</v>
      </c>
      <c r="F1535" s="12">
        <v>463244</v>
      </c>
      <c r="G1535" s="12" t="str">
        <f>VLOOKUP(Table2[[#This Row],[MemberID]],Table1[#All],3,0)</f>
        <v>Silver</v>
      </c>
      <c r="H1535" s="13">
        <v>46</v>
      </c>
    </row>
    <row r="1536" spans="1:8">
      <c r="A1536" t="s">
        <v>1868</v>
      </c>
      <c r="B1536" t="s">
        <v>184</v>
      </c>
      <c r="C1536" s="8">
        <v>46263</v>
      </c>
      <c r="D1536" t="s">
        <v>332</v>
      </c>
      <c r="E1536" t="s">
        <v>339</v>
      </c>
      <c r="F1536" s="12">
        <v>25000</v>
      </c>
      <c r="G1536" s="12" t="str">
        <f>VLOOKUP(Table2[[#This Row],[MemberID]],Table1[#All],3,0)</f>
        <v>Silver</v>
      </c>
      <c r="H1536" s="13">
        <v>2</v>
      </c>
    </row>
    <row r="1537" spans="1:8">
      <c r="A1537" t="s">
        <v>1869</v>
      </c>
      <c r="B1537" t="s">
        <v>261</v>
      </c>
      <c r="C1537" s="8">
        <v>46287</v>
      </c>
      <c r="D1537" t="s">
        <v>350</v>
      </c>
      <c r="E1537" t="s">
        <v>334</v>
      </c>
      <c r="F1537" s="12">
        <v>154822</v>
      </c>
      <c r="G1537" s="12" t="str">
        <f>VLOOKUP(Table2[[#This Row],[MemberID]],Table1[#All],3,0)</f>
        <v>Silver</v>
      </c>
      <c r="H1537" s="13">
        <v>15</v>
      </c>
    </row>
    <row r="1538" spans="1:8">
      <c r="A1538" t="s">
        <v>1870</v>
      </c>
      <c r="B1538" t="s">
        <v>83</v>
      </c>
      <c r="C1538" s="8">
        <v>45965</v>
      </c>
      <c r="D1538" t="s">
        <v>342</v>
      </c>
      <c r="E1538" t="s">
        <v>339</v>
      </c>
      <c r="F1538" s="12">
        <v>507293</v>
      </c>
      <c r="G1538" s="12" t="str">
        <f>VLOOKUP(Table2[[#This Row],[MemberID]],Table1[#All],3,0)</f>
        <v>Gold</v>
      </c>
      <c r="H1538" s="13">
        <v>50</v>
      </c>
    </row>
    <row r="1539" spans="1:8">
      <c r="A1539" t="s">
        <v>1871</v>
      </c>
      <c r="B1539" t="s">
        <v>266</v>
      </c>
      <c r="C1539" s="8">
        <v>45949</v>
      </c>
      <c r="D1539" t="s">
        <v>350</v>
      </c>
      <c r="E1539" t="s">
        <v>325</v>
      </c>
      <c r="F1539" s="12">
        <v>25000</v>
      </c>
      <c r="G1539" s="12" t="str">
        <f>VLOOKUP(Table2[[#This Row],[MemberID]],Table1[#All],3,0)</f>
        <v>Silver</v>
      </c>
      <c r="H1539" s="13">
        <v>2</v>
      </c>
    </row>
    <row r="1540" spans="1:8">
      <c r="A1540" t="s">
        <v>1872</v>
      </c>
      <c r="B1540" t="s">
        <v>279</v>
      </c>
      <c r="C1540" s="8">
        <v>46008</v>
      </c>
      <c r="D1540" t="s">
        <v>330</v>
      </c>
      <c r="E1540" t="s">
        <v>339</v>
      </c>
      <c r="F1540" s="12">
        <v>617574</v>
      </c>
      <c r="G1540" s="12" t="str">
        <f>VLOOKUP(Table2[[#This Row],[MemberID]],Table1[#All],3,0)</f>
        <v>Silver</v>
      </c>
      <c r="H1540" s="13">
        <v>61</v>
      </c>
    </row>
    <row r="1541" spans="1:8">
      <c r="A1541" t="s">
        <v>1873</v>
      </c>
      <c r="B1541" t="s">
        <v>308</v>
      </c>
      <c r="C1541" s="8">
        <v>46282</v>
      </c>
      <c r="D1541" t="s">
        <v>330</v>
      </c>
      <c r="E1541" t="s">
        <v>325</v>
      </c>
      <c r="F1541" s="12">
        <v>158466</v>
      </c>
      <c r="G1541" s="12" t="str">
        <f>VLOOKUP(Table2[[#This Row],[MemberID]],Table1[#All],3,0)</f>
        <v>Silver</v>
      </c>
      <c r="H1541" s="13">
        <v>15</v>
      </c>
    </row>
    <row r="1542" spans="1:8">
      <c r="A1542" t="s">
        <v>1874</v>
      </c>
      <c r="B1542" t="s">
        <v>76</v>
      </c>
      <c r="C1542" s="8">
        <v>46051</v>
      </c>
      <c r="D1542" t="s">
        <v>321</v>
      </c>
      <c r="E1542" t="s">
        <v>334</v>
      </c>
      <c r="F1542" s="12">
        <v>144482</v>
      </c>
      <c r="G1542" s="12" t="str">
        <f>VLOOKUP(Table2[[#This Row],[MemberID]],Table1[#All],3,0)</f>
        <v>Silver</v>
      </c>
      <c r="H1542" s="13">
        <v>14</v>
      </c>
    </row>
    <row r="1543" spans="1:8">
      <c r="A1543" t="s">
        <v>1875</v>
      </c>
      <c r="B1543" t="s">
        <v>230</v>
      </c>
      <c r="C1543" s="8">
        <v>46108</v>
      </c>
      <c r="D1543" t="s">
        <v>327</v>
      </c>
      <c r="E1543" t="s">
        <v>334</v>
      </c>
      <c r="F1543" s="12">
        <v>101811</v>
      </c>
      <c r="G1543" s="12" t="str">
        <f>VLOOKUP(Table2[[#This Row],[MemberID]],Table1[#All],3,0)</f>
        <v>Gold</v>
      </c>
      <c r="H1543" s="13">
        <v>10</v>
      </c>
    </row>
    <row r="1544" spans="1:8">
      <c r="A1544" t="s">
        <v>1876</v>
      </c>
      <c r="B1544" t="s">
        <v>116</v>
      </c>
      <c r="C1544" s="8">
        <v>46224</v>
      </c>
      <c r="D1544" t="s">
        <v>342</v>
      </c>
      <c r="E1544" t="s">
        <v>328</v>
      </c>
      <c r="F1544" s="12">
        <v>507193</v>
      </c>
      <c r="G1544" s="12" t="str">
        <f>VLOOKUP(Table2[[#This Row],[MemberID]],Table1[#All],3,0)</f>
        <v>Silver</v>
      </c>
      <c r="H1544" s="13">
        <v>50</v>
      </c>
    </row>
    <row r="1545" spans="1:8">
      <c r="A1545" t="s">
        <v>1877</v>
      </c>
      <c r="B1545" t="s">
        <v>90</v>
      </c>
      <c r="C1545" s="8">
        <v>46122</v>
      </c>
      <c r="D1545" t="s">
        <v>332</v>
      </c>
      <c r="E1545" t="s">
        <v>325</v>
      </c>
      <c r="F1545" s="12">
        <v>197122</v>
      </c>
      <c r="G1545" s="12" t="str">
        <f>VLOOKUP(Table2[[#This Row],[MemberID]],Table1[#All],3,0)</f>
        <v>Silver</v>
      </c>
      <c r="H1545" s="13">
        <v>19</v>
      </c>
    </row>
    <row r="1546" spans="1:8">
      <c r="A1546" t="s">
        <v>1878</v>
      </c>
      <c r="B1546" t="s">
        <v>126</v>
      </c>
      <c r="C1546" s="8">
        <v>46114</v>
      </c>
      <c r="D1546" t="s">
        <v>321</v>
      </c>
      <c r="E1546" t="s">
        <v>339</v>
      </c>
      <c r="F1546" s="12">
        <v>50403</v>
      </c>
      <c r="G1546" s="12" t="str">
        <f>VLOOKUP(Table2[[#This Row],[MemberID]],Table1[#All],3,0)</f>
        <v>Silver</v>
      </c>
      <c r="H1546" s="13">
        <v>5</v>
      </c>
    </row>
    <row r="1547" spans="1:8">
      <c r="A1547" t="s">
        <v>1879</v>
      </c>
      <c r="B1547" t="s">
        <v>153</v>
      </c>
      <c r="C1547" s="8">
        <v>46287</v>
      </c>
      <c r="D1547" t="s">
        <v>344</v>
      </c>
      <c r="E1547" t="s">
        <v>328</v>
      </c>
      <c r="F1547" s="12">
        <v>253726</v>
      </c>
      <c r="G1547" s="12" t="str">
        <f>VLOOKUP(Table2[[#This Row],[MemberID]],Table1[#All],3,0)</f>
        <v>Silver</v>
      </c>
      <c r="H1547" s="13">
        <v>25</v>
      </c>
    </row>
    <row r="1548" spans="1:8">
      <c r="A1548" t="s">
        <v>1880</v>
      </c>
      <c r="B1548" t="s">
        <v>295</v>
      </c>
      <c r="C1548" s="8">
        <v>46073</v>
      </c>
      <c r="D1548" t="s">
        <v>324</v>
      </c>
      <c r="E1548" t="s">
        <v>337</v>
      </c>
      <c r="F1548" s="12">
        <v>52502</v>
      </c>
      <c r="G1548" s="12" t="str">
        <f>VLOOKUP(Table2[[#This Row],[MemberID]],Table1[#All],3,0)</f>
        <v>Silver</v>
      </c>
      <c r="H1548" s="13">
        <v>5</v>
      </c>
    </row>
    <row r="1549" spans="1:8">
      <c r="A1549" t="s">
        <v>1881</v>
      </c>
      <c r="B1549" t="s">
        <v>117</v>
      </c>
      <c r="C1549" s="8">
        <v>45937</v>
      </c>
      <c r="D1549" t="s">
        <v>330</v>
      </c>
      <c r="E1549" t="s">
        <v>322</v>
      </c>
      <c r="F1549" s="12">
        <v>179697</v>
      </c>
      <c r="G1549" s="12" t="str">
        <f>VLOOKUP(Table2[[#This Row],[MemberID]],Table1[#All],3,0)</f>
        <v>Silver</v>
      </c>
      <c r="H1549" s="13">
        <v>17</v>
      </c>
    </row>
    <row r="1550" spans="1:8">
      <c r="A1550" t="s">
        <v>1882</v>
      </c>
      <c r="B1550" t="s">
        <v>259</v>
      </c>
      <c r="C1550" s="8">
        <v>46211</v>
      </c>
      <c r="D1550" t="s">
        <v>344</v>
      </c>
      <c r="E1550" t="s">
        <v>337</v>
      </c>
      <c r="F1550" s="12">
        <v>237681</v>
      </c>
      <c r="G1550" s="12" t="str">
        <f>VLOOKUP(Table2[[#This Row],[MemberID]],Table1[#All],3,0)</f>
        <v>Gold</v>
      </c>
      <c r="H1550" s="13">
        <v>23</v>
      </c>
    </row>
    <row r="1551" spans="1:8">
      <c r="A1551" t="s">
        <v>1883</v>
      </c>
      <c r="B1551" t="s">
        <v>224</v>
      </c>
      <c r="C1551" s="8">
        <v>46274</v>
      </c>
      <c r="D1551" t="s">
        <v>332</v>
      </c>
      <c r="E1551" t="s">
        <v>325</v>
      </c>
      <c r="F1551" s="12">
        <v>333143</v>
      </c>
      <c r="G1551" s="12" t="str">
        <f>VLOOKUP(Table2[[#This Row],[MemberID]],Table1[#All],3,0)</f>
        <v>Gold</v>
      </c>
      <c r="H1551" s="13">
        <v>33</v>
      </c>
    </row>
    <row r="1552" spans="1:8">
      <c r="A1552" t="s">
        <v>1884</v>
      </c>
      <c r="B1552" t="s">
        <v>254</v>
      </c>
      <c r="C1552" s="8">
        <v>46042</v>
      </c>
      <c r="D1552" t="s">
        <v>350</v>
      </c>
      <c r="E1552" t="s">
        <v>339</v>
      </c>
      <c r="F1552" s="12">
        <v>96677</v>
      </c>
      <c r="G1552" s="12" t="str">
        <f>VLOOKUP(Table2[[#This Row],[MemberID]],Table1[#All],3,0)</f>
        <v>Silver</v>
      </c>
      <c r="H1552" s="13">
        <v>9</v>
      </c>
    </row>
    <row r="1553" spans="1:8">
      <c r="A1553" t="s">
        <v>1885</v>
      </c>
      <c r="B1553" t="s">
        <v>141</v>
      </c>
      <c r="C1553" s="8">
        <v>46129</v>
      </c>
      <c r="D1553" t="s">
        <v>344</v>
      </c>
      <c r="E1553" t="s">
        <v>339</v>
      </c>
      <c r="F1553" s="12">
        <v>304369</v>
      </c>
      <c r="G1553" s="12" t="str">
        <f>VLOOKUP(Table2[[#This Row],[MemberID]],Table1[#All],3,0)</f>
        <v>Silver</v>
      </c>
      <c r="H1553" s="13">
        <v>30</v>
      </c>
    </row>
    <row r="1554" spans="1:8">
      <c r="A1554" t="s">
        <v>1886</v>
      </c>
      <c r="B1554" t="s">
        <v>235</v>
      </c>
      <c r="C1554" s="8">
        <v>45958</v>
      </c>
      <c r="D1554" t="s">
        <v>350</v>
      </c>
      <c r="E1554" t="s">
        <v>325</v>
      </c>
      <c r="F1554" s="12">
        <v>206666</v>
      </c>
      <c r="G1554" s="12" t="str">
        <f>VLOOKUP(Table2[[#This Row],[MemberID]],Table1[#All],3,0)</f>
        <v>Gold</v>
      </c>
      <c r="H1554" s="13">
        <v>20</v>
      </c>
    </row>
    <row r="1555" spans="1:8">
      <c r="A1555" t="s">
        <v>1887</v>
      </c>
      <c r="B1555" t="s">
        <v>259</v>
      </c>
      <c r="C1555" s="8">
        <v>46203</v>
      </c>
      <c r="D1555" t="s">
        <v>327</v>
      </c>
      <c r="E1555" t="s">
        <v>325</v>
      </c>
      <c r="F1555" s="12">
        <v>133852</v>
      </c>
      <c r="G1555" s="12" t="str">
        <f>VLOOKUP(Table2[[#This Row],[MemberID]],Table1[#All],3,0)</f>
        <v>Gold</v>
      </c>
      <c r="H1555" s="13">
        <v>13</v>
      </c>
    </row>
    <row r="1556" spans="1:8">
      <c r="A1556" t="s">
        <v>1888</v>
      </c>
      <c r="B1556" t="s">
        <v>104</v>
      </c>
      <c r="C1556" s="8">
        <v>45973</v>
      </c>
      <c r="D1556" t="s">
        <v>344</v>
      </c>
      <c r="E1556" t="s">
        <v>328</v>
      </c>
      <c r="F1556" s="12">
        <v>357639</v>
      </c>
      <c r="G1556" s="12" t="str">
        <f>VLOOKUP(Table2[[#This Row],[MemberID]],Table1[#All],3,0)</f>
        <v>Gold</v>
      </c>
      <c r="H1556" s="13">
        <v>35</v>
      </c>
    </row>
    <row r="1557" spans="1:8">
      <c r="A1557" t="s">
        <v>1889</v>
      </c>
      <c r="B1557" t="s">
        <v>307</v>
      </c>
      <c r="C1557" s="8">
        <v>46117</v>
      </c>
      <c r="D1557" t="s">
        <v>321</v>
      </c>
      <c r="E1557" t="s">
        <v>328</v>
      </c>
      <c r="F1557" s="12">
        <v>406213</v>
      </c>
      <c r="G1557" s="12" t="str">
        <f>VLOOKUP(Table2[[#This Row],[MemberID]],Table1[#All],3,0)</f>
        <v>Gold</v>
      </c>
      <c r="H1557" s="13">
        <v>40</v>
      </c>
    </row>
    <row r="1558" spans="1:8">
      <c r="A1558" t="s">
        <v>1890</v>
      </c>
      <c r="B1558" t="s">
        <v>105</v>
      </c>
      <c r="C1558" s="8">
        <v>46243</v>
      </c>
      <c r="D1558" t="s">
        <v>332</v>
      </c>
      <c r="E1558" t="s">
        <v>328</v>
      </c>
      <c r="F1558" s="12">
        <v>79963</v>
      </c>
      <c r="G1558" s="12" t="str">
        <f>VLOOKUP(Table2[[#This Row],[MemberID]],Table1[#All],3,0)</f>
        <v>Silver</v>
      </c>
      <c r="H1558" s="13">
        <v>7</v>
      </c>
    </row>
    <row r="1559" spans="1:8">
      <c r="A1559" t="s">
        <v>1891</v>
      </c>
      <c r="B1559" t="s">
        <v>245</v>
      </c>
      <c r="C1559" s="8">
        <v>46092</v>
      </c>
      <c r="D1559" t="s">
        <v>344</v>
      </c>
      <c r="E1559" t="s">
        <v>334</v>
      </c>
      <c r="F1559" s="12">
        <v>289797</v>
      </c>
      <c r="G1559" s="12" t="str">
        <f>VLOOKUP(Table2[[#This Row],[MemberID]],Table1[#All],3,0)</f>
        <v>Silver</v>
      </c>
      <c r="H1559" s="13">
        <v>28</v>
      </c>
    </row>
    <row r="1560" spans="1:8">
      <c r="A1560" t="s">
        <v>1892</v>
      </c>
      <c r="B1560" t="s">
        <v>77</v>
      </c>
      <c r="C1560" s="8">
        <v>46229</v>
      </c>
      <c r="D1560" t="s">
        <v>321</v>
      </c>
      <c r="E1560" t="s">
        <v>322</v>
      </c>
      <c r="F1560" s="12">
        <v>522464</v>
      </c>
      <c r="G1560" s="12" t="str">
        <f>VLOOKUP(Table2[[#This Row],[MemberID]],Table1[#All],3,0)</f>
        <v>Platinum</v>
      </c>
      <c r="H1560" s="13">
        <v>52</v>
      </c>
    </row>
    <row r="1561" spans="1:8">
      <c r="A1561" t="s">
        <v>1893</v>
      </c>
      <c r="B1561" t="s">
        <v>120</v>
      </c>
      <c r="C1561" s="8">
        <v>46015</v>
      </c>
      <c r="D1561" t="s">
        <v>321</v>
      </c>
      <c r="E1561" t="s">
        <v>325</v>
      </c>
      <c r="F1561" s="12">
        <v>532344</v>
      </c>
      <c r="G1561" s="12" t="str">
        <f>VLOOKUP(Table2[[#This Row],[MemberID]],Table1[#All],3,0)</f>
        <v>Gold</v>
      </c>
      <c r="H1561" s="13">
        <v>53</v>
      </c>
    </row>
    <row r="1562" spans="1:8">
      <c r="A1562" t="s">
        <v>1894</v>
      </c>
      <c r="B1562" t="s">
        <v>180</v>
      </c>
      <c r="C1562" s="8">
        <v>46197</v>
      </c>
      <c r="D1562" t="s">
        <v>324</v>
      </c>
      <c r="E1562" t="s">
        <v>337</v>
      </c>
      <c r="F1562" s="12">
        <v>353392</v>
      </c>
      <c r="G1562" s="12" t="str">
        <f>VLOOKUP(Table2[[#This Row],[MemberID]],Table1[#All],3,0)</f>
        <v>Platinum</v>
      </c>
      <c r="H1562" s="13">
        <v>35</v>
      </c>
    </row>
    <row r="1563" spans="1:8">
      <c r="A1563" t="s">
        <v>1895</v>
      </c>
      <c r="B1563" t="s">
        <v>111</v>
      </c>
      <c r="C1563" s="8">
        <v>46146</v>
      </c>
      <c r="D1563" t="s">
        <v>327</v>
      </c>
      <c r="E1563" t="s">
        <v>339</v>
      </c>
      <c r="F1563" s="12">
        <v>100370</v>
      </c>
      <c r="G1563" s="12" t="str">
        <f>VLOOKUP(Table2[[#This Row],[MemberID]],Table1[#All],3,0)</f>
        <v>Platinum</v>
      </c>
      <c r="H1563" s="13">
        <v>10</v>
      </c>
    </row>
    <row r="1564" spans="1:8">
      <c r="A1564" t="s">
        <v>1896</v>
      </c>
      <c r="B1564" t="s">
        <v>25</v>
      </c>
      <c r="C1564" s="8">
        <v>46104</v>
      </c>
      <c r="D1564" t="s">
        <v>321</v>
      </c>
      <c r="E1564" t="s">
        <v>325</v>
      </c>
      <c r="F1564" s="12">
        <v>108588</v>
      </c>
      <c r="G1564" s="12" t="str">
        <f>VLOOKUP(Table2[[#This Row],[MemberID]],Table1[#All],3,0)</f>
        <v>Silver</v>
      </c>
      <c r="H1564" s="13">
        <v>10</v>
      </c>
    </row>
    <row r="1565" spans="1:8">
      <c r="A1565" t="s">
        <v>1897</v>
      </c>
      <c r="B1565" t="s">
        <v>106</v>
      </c>
      <c r="C1565" s="8">
        <v>46143</v>
      </c>
      <c r="D1565" t="s">
        <v>332</v>
      </c>
      <c r="E1565" t="s">
        <v>325</v>
      </c>
      <c r="F1565" s="12">
        <v>63643</v>
      </c>
      <c r="G1565" s="12" t="str">
        <f>VLOOKUP(Table2[[#This Row],[MemberID]],Table1[#All],3,0)</f>
        <v>Silver</v>
      </c>
      <c r="H1565" s="13">
        <v>6</v>
      </c>
    </row>
    <row r="1566" spans="1:8">
      <c r="A1566" t="s">
        <v>1898</v>
      </c>
      <c r="B1566" t="s">
        <v>127</v>
      </c>
      <c r="C1566" s="8">
        <v>45942</v>
      </c>
      <c r="D1566" t="s">
        <v>350</v>
      </c>
      <c r="E1566" t="s">
        <v>339</v>
      </c>
      <c r="F1566" s="12">
        <v>167637</v>
      </c>
      <c r="G1566" s="12" t="str">
        <f>VLOOKUP(Table2[[#This Row],[MemberID]],Table1[#All],3,0)</f>
        <v>Platinum</v>
      </c>
      <c r="H1566" s="13">
        <v>16</v>
      </c>
    </row>
    <row r="1567" spans="1:8">
      <c r="A1567" t="s">
        <v>1899</v>
      </c>
      <c r="B1567" t="s">
        <v>229</v>
      </c>
      <c r="C1567" s="8">
        <v>45981</v>
      </c>
      <c r="D1567" t="s">
        <v>327</v>
      </c>
      <c r="E1567" t="s">
        <v>325</v>
      </c>
      <c r="F1567" s="12">
        <v>86466</v>
      </c>
      <c r="G1567" s="12" t="str">
        <f>VLOOKUP(Table2[[#This Row],[MemberID]],Table1[#All],3,0)</f>
        <v>Silver</v>
      </c>
      <c r="H1567" s="13">
        <v>8</v>
      </c>
    </row>
    <row r="1568" spans="1:8">
      <c r="A1568" t="s">
        <v>1900</v>
      </c>
      <c r="B1568" t="s">
        <v>247</v>
      </c>
      <c r="C1568" s="8">
        <v>46203</v>
      </c>
      <c r="D1568" t="s">
        <v>327</v>
      </c>
      <c r="E1568" t="s">
        <v>325</v>
      </c>
      <c r="F1568" s="12">
        <v>701076</v>
      </c>
      <c r="G1568" s="12" t="str">
        <f>VLOOKUP(Table2[[#This Row],[MemberID]],Table1[#All],3,0)</f>
        <v>Silver</v>
      </c>
      <c r="H1568" s="13">
        <v>70</v>
      </c>
    </row>
    <row r="1569" spans="1:8">
      <c r="A1569" t="s">
        <v>1901</v>
      </c>
      <c r="B1569" t="s">
        <v>145</v>
      </c>
      <c r="C1569" s="8">
        <v>46127</v>
      </c>
      <c r="D1569" t="s">
        <v>324</v>
      </c>
      <c r="E1569" t="s">
        <v>328</v>
      </c>
      <c r="F1569" s="12">
        <v>434796</v>
      </c>
      <c r="G1569" s="12" t="str">
        <f>VLOOKUP(Table2[[#This Row],[MemberID]],Table1[#All],3,0)</f>
        <v>Silver</v>
      </c>
      <c r="H1569" s="13">
        <v>43</v>
      </c>
    </row>
    <row r="1570" spans="1:8">
      <c r="A1570" t="s">
        <v>1902</v>
      </c>
      <c r="B1570" t="s">
        <v>129</v>
      </c>
      <c r="C1570" s="8">
        <v>45936</v>
      </c>
      <c r="D1570" t="s">
        <v>324</v>
      </c>
      <c r="E1570" t="s">
        <v>328</v>
      </c>
      <c r="F1570" s="12">
        <v>488647</v>
      </c>
      <c r="G1570" s="12" t="str">
        <f>VLOOKUP(Table2[[#This Row],[MemberID]],Table1[#All],3,0)</f>
        <v>Silver</v>
      </c>
      <c r="H1570" s="13">
        <v>48</v>
      </c>
    </row>
    <row r="1571" spans="1:8">
      <c r="A1571" t="s">
        <v>1903</v>
      </c>
      <c r="B1571" t="s">
        <v>293</v>
      </c>
      <c r="C1571" s="8">
        <v>45981</v>
      </c>
      <c r="D1571" t="s">
        <v>330</v>
      </c>
      <c r="E1571" t="s">
        <v>339</v>
      </c>
      <c r="F1571" s="12">
        <v>237974</v>
      </c>
      <c r="G1571" s="12" t="str">
        <f>VLOOKUP(Table2[[#This Row],[MemberID]],Table1[#All],3,0)</f>
        <v>Silver</v>
      </c>
      <c r="H1571" s="13">
        <v>23</v>
      </c>
    </row>
    <row r="1572" spans="1:8">
      <c r="A1572" t="s">
        <v>1904</v>
      </c>
      <c r="B1572" t="s">
        <v>94</v>
      </c>
      <c r="C1572" s="8">
        <v>46130</v>
      </c>
      <c r="D1572" t="s">
        <v>327</v>
      </c>
      <c r="E1572" t="s">
        <v>334</v>
      </c>
      <c r="F1572" s="12">
        <v>193597</v>
      </c>
      <c r="G1572" s="12" t="str">
        <f>VLOOKUP(Table2[[#This Row],[MemberID]],Table1[#All],3,0)</f>
        <v>Silver</v>
      </c>
      <c r="H1572" s="13">
        <v>19</v>
      </c>
    </row>
    <row r="1573" spans="1:8">
      <c r="A1573" t="s">
        <v>1905</v>
      </c>
      <c r="B1573" t="s">
        <v>205</v>
      </c>
      <c r="C1573" s="8">
        <v>46177</v>
      </c>
      <c r="D1573" t="s">
        <v>330</v>
      </c>
      <c r="E1573" t="s">
        <v>322</v>
      </c>
      <c r="F1573" s="12">
        <v>91276</v>
      </c>
      <c r="G1573" s="12" t="str">
        <f>VLOOKUP(Table2[[#This Row],[MemberID]],Table1[#All],3,0)</f>
        <v>Silver</v>
      </c>
      <c r="H1573" s="13">
        <v>9</v>
      </c>
    </row>
    <row r="1574" spans="1:8">
      <c r="A1574" t="s">
        <v>1906</v>
      </c>
      <c r="B1574" t="s">
        <v>126</v>
      </c>
      <c r="C1574" s="8">
        <v>46188</v>
      </c>
      <c r="D1574" t="s">
        <v>327</v>
      </c>
      <c r="E1574" t="s">
        <v>325</v>
      </c>
      <c r="F1574" s="12">
        <v>258538</v>
      </c>
      <c r="G1574" s="12" t="str">
        <f>VLOOKUP(Table2[[#This Row],[MemberID]],Table1[#All],3,0)</f>
        <v>Silver</v>
      </c>
      <c r="H1574" s="13">
        <v>25</v>
      </c>
    </row>
    <row r="1575" spans="1:8">
      <c r="A1575" t="s">
        <v>1907</v>
      </c>
      <c r="B1575" t="s">
        <v>254</v>
      </c>
      <c r="C1575" s="8">
        <v>46237</v>
      </c>
      <c r="D1575" t="s">
        <v>342</v>
      </c>
      <c r="E1575" t="s">
        <v>337</v>
      </c>
      <c r="F1575" s="12">
        <v>153414</v>
      </c>
      <c r="G1575" s="12" t="str">
        <f>VLOOKUP(Table2[[#This Row],[MemberID]],Table1[#All],3,0)</f>
        <v>Silver</v>
      </c>
      <c r="H1575" s="13">
        <v>15</v>
      </c>
    </row>
    <row r="1576" spans="1:8">
      <c r="A1576" t="s">
        <v>1908</v>
      </c>
      <c r="B1576" t="s">
        <v>8</v>
      </c>
      <c r="C1576" s="8">
        <v>46202</v>
      </c>
      <c r="D1576" t="s">
        <v>332</v>
      </c>
      <c r="E1576" t="s">
        <v>339</v>
      </c>
      <c r="F1576" s="12">
        <v>156455</v>
      </c>
      <c r="G1576" s="12" t="str">
        <f>VLOOKUP(Table2[[#This Row],[MemberID]],Table1[#All],3,0)</f>
        <v>Gold</v>
      </c>
      <c r="H1576" s="13">
        <v>15</v>
      </c>
    </row>
    <row r="1577" spans="1:8">
      <c r="A1577" t="s">
        <v>1909</v>
      </c>
      <c r="B1577" t="s">
        <v>187</v>
      </c>
      <c r="C1577" s="8">
        <v>45985</v>
      </c>
      <c r="D1577" t="s">
        <v>350</v>
      </c>
      <c r="E1577" t="s">
        <v>325</v>
      </c>
      <c r="F1577" s="12">
        <v>403042</v>
      </c>
      <c r="G1577" s="12" t="str">
        <f>VLOOKUP(Table2[[#This Row],[MemberID]],Table1[#All],3,0)</f>
        <v>Silver</v>
      </c>
      <c r="H1577" s="13">
        <v>40</v>
      </c>
    </row>
    <row r="1578" spans="1:8">
      <c r="A1578" t="s">
        <v>1910</v>
      </c>
      <c r="B1578" t="s">
        <v>6</v>
      </c>
      <c r="C1578" s="8">
        <v>46254</v>
      </c>
      <c r="D1578" t="s">
        <v>324</v>
      </c>
      <c r="E1578" t="s">
        <v>328</v>
      </c>
      <c r="F1578" s="12">
        <v>308457</v>
      </c>
      <c r="G1578" s="12" t="str">
        <f>VLOOKUP(Table2[[#This Row],[MemberID]],Table1[#All],3,0)</f>
        <v>Silver</v>
      </c>
      <c r="H1578" s="13">
        <v>30</v>
      </c>
    </row>
    <row r="1579" spans="1:8">
      <c r="A1579" t="s">
        <v>1911</v>
      </c>
      <c r="B1579" t="s">
        <v>289</v>
      </c>
      <c r="C1579" s="8">
        <v>46204</v>
      </c>
      <c r="D1579" t="s">
        <v>327</v>
      </c>
      <c r="E1579" t="s">
        <v>328</v>
      </c>
      <c r="F1579" s="12">
        <v>132944</v>
      </c>
      <c r="G1579" s="12" t="str">
        <f>VLOOKUP(Table2[[#This Row],[MemberID]],Table1[#All],3,0)</f>
        <v>Silver</v>
      </c>
      <c r="H1579" s="13">
        <v>13</v>
      </c>
    </row>
    <row r="1580" spans="1:8">
      <c r="A1580" t="s">
        <v>1912</v>
      </c>
      <c r="B1580" t="s">
        <v>23</v>
      </c>
      <c r="C1580" s="8">
        <v>46116</v>
      </c>
      <c r="D1580" t="s">
        <v>342</v>
      </c>
      <c r="E1580" t="s">
        <v>325</v>
      </c>
      <c r="F1580" s="12">
        <v>899055</v>
      </c>
      <c r="G1580" s="12" t="str">
        <f>VLOOKUP(Table2[[#This Row],[MemberID]],Table1[#All],3,0)</f>
        <v>Silver</v>
      </c>
      <c r="H1580" s="13">
        <v>89</v>
      </c>
    </row>
    <row r="1581" spans="1:8">
      <c r="A1581" t="s">
        <v>1913</v>
      </c>
      <c r="B1581" t="s">
        <v>6</v>
      </c>
      <c r="C1581" s="8">
        <v>46004</v>
      </c>
      <c r="D1581" t="s">
        <v>332</v>
      </c>
      <c r="E1581" t="s">
        <v>337</v>
      </c>
      <c r="F1581" s="12">
        <v>104030</v>
      </c>
      <c r="G1581" s="12" t="str">
        <f>VLOOKUP(Table2[[#This Row],[MemberID]],Table1[#All],3,0)</f>
        <v>Silver</v>
      </c>
      <c r="H1581" s="13">
        <v>10</v>
      </c>
    </row>
    <row r="1582" spans="1:8">
      <c r="A1582" t="s">
        <v>1914</v>
      </c>
      <c r="B1582" t="s">
        <v>107</v>
      </c>
      <c r="C1582" s="8">
        <v>46179</v>
      </c>
      <c r="D1582" t="s">
        <v>327</v>
      </c>
      <c r="E1582" t="s">
        <v>337</v>
      </c>
      <c r="F1582" s="12">
        <v>249347</v>
      </c>
      <c r="G1582" s="12" t="str">
        <f>VLOOKUP(Table2[[#This Row],[MemberID]],Table1[#All],3,0)</f>
        <v>Gold</v>
      </c>
      <c r="H1582" s="13">
        <v>24</v>
      </c>
    </row>
    <row r="1583" spans="1:8">
      <c r="A1583" t="s">
        <v>1915</v>
      </c>
      <c r="B1583" t="s">
        <v>16</v>
      </c>
      <c r="C1583" s="8">
        <v>45938</v>
      </c>
      <c r="D1583" t="s">
        <v>324</v>
      </c>
      <c r="E1583" t="s">
        <v>339</v>
      </c>
      <c r="F1583" s="12">
        <v>246432</v>
      </c>
      <c r="G1583" s="12" t="str">
        <f>VLOOKUP(Table2[[#This Row],[MemberID]],Table1[#All],3,0)</f>
        <v>Gold</v>
      </c>
      <c r="H1583" s="13">
        <v>24</v>
      </c>
    </row>
    <row r="1584" spans="1:8">
      <c r="A1584" t="s">
        <v>1916</v>
      </c>
      <c r="B1584" t="s">
        <v>42</v>
      </c>
      <c r="C1584" s="8">
        <v>46199</v>
      </c>
      <c r="D1584" t="s">
        <v>350</v>
      </c>
      <c r="E1584" t="s">
        <v>334</v>
      </c>
      <c r="F1584" s="12">
        <v>171178</v>
      </c>
      <c r="G1584" s="12" t="str">
        <f>VLOOKUP(Table2[[#This Row],[MemberID]],Table1[#All],3,0)</f>
        <v>Silver</v>
      </c>
      <c r="H1584" s="13">
        <v>17</v>
      </c>
    </row>
    <row r="1585" spans="1:8">
      <c r="A1585" t="s">
        <v>1917</v>
      </c>
      <c r="B1585" t="s">
        <v>278</v>
      </c>
      <c r="C1585" s="8">
        <v>46247</v>
      </c>
      <c r="D1585" t="s">
        <v>344</v>
      </c>
      <c r="E1585" t="s">
        <v>334</v>
      </c>
      <c r="F1585" s="12">
        <v>369232</v>
      </c>
      <c r="G1585" s="12" t="str">
        <f>VLOOKUP(Table2[[#This Row],[MemberID]],Table1[#All],3,0)</f>
        <v>Silver</v>
      </c>
      <c r="H1585" s="13">
        <v>36</v>
      </c>
    </row>
    <row r="1586" spans="1:8">
      <c r="A1586" t="s">
        <v>1918</v>
      </c>
      <c r="B1586" t="s">
        <v>156</v>
      </c>
      <c r="C1586" s="8">
        <v>46044</v>
      </c>
      <c r="D1586" t="s">
        <v>344</v>
      </c>
      <c r="E1586" t="s">
        <v>334</v>
      </c>
      <c r="F1586" s="12">
        <v>177051</v>
      </c>
      <c r="G1586" s="12" t="str">
        <f>VLOOKUP(Table2[[#This Row],[MemberID]],Table1[#All],3,0)</f>
        <v>Silver</v>
      </c>
      <c r="H1586" s="13">
        <v>17</v>
      </c>
    </row>
    <row r="1587" spans="1:8">
      <c r="A1587" t="s">
        <v>1919</v>
      </c>
      <c r="B1587" t="s">
        <v>293</v>
      </c>
      <c r="C1587" s="8">
        <v>46293</v>
      </c>
      <c r="D1587" t="s">
        <v>321</v>
      </c>
      <c r="E1587" t="s">
        <v>334</v>
      </c>
      <c r="F1587" s="12">
        <v>334745</v>
      </c>
      <c r="G1587" s="12" t="str">
        <f>VLOOKUP(Table2[[#This Row],[MemberID]],Table1[#All],3,0)</f>
        <v>Silver</v>
      </c>
      <c r="H1587" s="13">
        <v>33</v>
      </c>
    </row>
    <row r="1588" spans="1:8">
      <c r="A1588" t="s">
        <v>1920</v>
      </c>
      <c r="B1588" t="s">
        <v>158</v>
      </c>
      <c r="C1588" s="8">
        <v>46104</v>
      </c>
      <c r="D1588" t="s">
        <v>342</v>
      </c>
      <c r="E1588" t="s">
        <v>325</v>
      </c>
      <c r="F1588" s="12">
        <v>140651</v>
      </c>
      <c r="G1588" s="12" t="str">
        <f>VLOOKUP(Table2[[#This Row],[MemberID]],Table1[#All],3,0)</f>
        <v>Silver</v>
      </c>
      <c r="H1588" s="13">
        <v>14</v>
      </c>
    </row>
    <row r="1589" spans="1:8">
      <c r="A1589" t="s">
        <v>1921</v>
      </c>
      <c r="B1589" t="s">
        <v>223</v>
      </c>
      <c r="C1589" s="8">
        <v>45997</v>
      </c>
      <c r="D1589" t="s">
        <v>350</v>
      </c>
      <c r="E1589" t="s">
        <v>325</v>
      </c>
      <c r="F1589" s="12">
        <v>724772</v>
      </c>
      <c r="G1589" s="12" t="str">
        <f>VLOOKUP(Table2[[#This Row],[MemberID]],Table1[#All],3,0)</f>
        <v>Gold</v>
      </c>
      <c r="H1589" s="13">
        <v>72</v>
      </c>
    </row>
    <row r="1590" spans="1:8">
      <c r="A1590" t="s">
        <v>1922</v>
      </c>
      <c r="B1590" t="s">
        <v>167</v>
      </c>
      <c r="C1590" s="8">
        <v>46207</v>
      </c>
      <c r="D1590" t="s">
        <v>324</v>
      </c>
      <c r="E1590" t="s">
        <v>322</v>
      </c>
      <c r="F1590" s="12">
        <v>240696</v>
      </c>
      <c r="G1590" s="12" t="str">
        <f>VLOOKUP(Table2[[#This Row],[MemberID]],Table1[#All],3,0)</f>
        <v>Silver</v>
      </c>
      <c r="H1590" s="13">
        <v>24</v>
      </c>
    </row>
    <row r="1591" spans="1:8">
      <c r="A1591" t="s">
        <v>1923</v>
      </c>
      <c r="B1591" t="s">
        <v>266</v>
      </c>
      <c r="C1591" s="8">
        <v>46227</v>
      </c>
      <c r="D1591" t="s">
        <v>330</v>
      </c>
      <c r="E1591" t="s">
        <v>322</v>
      </c>
      <c r="F1591" s="12">
        <v>352882</v>
      </c>
      <c r="G1591" s="12" t="str">
        <f>VLOOKUP(Table2[[#This Row],[MemberID]],Table1[#All],3,0)</f>
        <v>Silver</v>
      </c>
      <c r="H1591" s="13">
        <v>35</v>
      </c>
    </row>
    <row r="1592" spans="1:8">
      <c r="A1592" t="s">
        <v>1924</v>
      </c>
      <c r="B1592" t="s">
        <v>180</v>
      </c>
      <c r="C1592" s="8">
        <v>46231</v>
      </c>
      <c r="D1592" t="s">
        <v>342</v>
      </c>
      <c r="E1592" t="s">
        <v>339</v>
      </c>
      <c r="F1592" s="12">
        <v>197099</v>
      </c>
      <c r="G1592" s="12" t="str">
        <f>VLOOKUP(Table2[[#This Row],[MemberID]],Table1[#All],3,0)</f>
        <v>Platinum</v>
      </c>
      <c r="H1592" s="13">
        <v>19</v>
      </c>
    </row>
    <row r="1593" spans="1:8">
      <c r="A1593" t="s">
        <v>1925</v>
      </c>
      <c r="B1593" t="s">
        <v>164</v>
      </c>
      <c r="C1593" s="8">
        <v>46010</v>
      </c>
      <c r="D1593" t="s">
        <v>344</v>
      </c>
      <c r="E1593" t="s">
        <v>328</v>
      </c>
      <c r="F1593" s="12">
        <v>565792</v>
      </c>
      <c r="G1593" s="12" t="str">
        <f>VLOOKUP(Table2[[#This Row],[MemberID]],Table1[#All],3,0)</f>
        <v>Silver</v>
      </c>
      <c r="H1593" s="13">
        <v>56</v>
      </c>
    </row>
    <row r="1594" spans="1:8">
      <c r="A1594" t="s">
        <v>1926</v>
      </c>
      <c r="B1594" t="s">
        <v>153</v>
      </c>
      <c r="C1594" s="8">
        <v>46216</v>
      </c>
      <c r="D1594" t="s">
        <v>344</v>
      </c>
      <c r="E1594" t="s">
        <v>322</v>
      </c>
      <c r="F1594" s="12">
        <v>423576</v>
      </c>
      <c r="G1594" s="12" t="str">
        <f>VLOOKUP(Table2[[#This Row],[MemberID]],Table1[#All],3,0)</f>
        <v>Silver</v>
      </c>
      <c r="H1594" s="13">
        <v>42</v>
      </c>
    </row>
    <row r="1595" spans="1:8">
      <c r="A1595" t="s">
        <v>1927</v>
      </c>
      <c r="B1595" t="s">
        <v>214</v>
      </c>
      <c r="C1595" s="8">
        <v>46067</v>
      </c>
      <c r="D1595" t="s">
        <v>344</v>
      </c>
      <c r="E1595" t="s">
        <v>337</v>
      </c>
      <c r="F1595" s="12">
        <v>604654</v>
      </c>
      <c r="G1595" s="12" t="str">
        <f>VLOOKUP(Table2[[#This Row],[MemberID]],Table1[#All],3,0)</f>
        <v>Silver</v>
      </c>
      <c r="H1595" s="13">
        <v>60</v>
      </c>
    </row>
    <row r="1596" spans="1:8">
      <c r="A1596" t="s">
        <v>1928</v>
      </c>
      <c r="B1596" t="s">
        <v>296</v>
      </c>
      <c r="C1596" s="8">
        <v>46181</v>
      </c>
      <c r="D1596" t="s">
        <v>321</v>
      </c>
      <c r="E1596" t="s">
        <v>328</v>
      </c>
      <c r="F1596" s="12">
        <v>235154</v>
      </c>
      <c r="G1596" s="12" t="str">
        <f>VLOOKUP(Table2[[#This Row],[MemberID]],Table1[#All],3,0)</f>
        <v>Silver</v>
      </c>
      <c r="H1596" s="13">
        <v>23</v>
      </c>
    </row>
    <row r="1597" spans="1:8">
      <c r="A1597" t="s">
        <v>1929</v>
      </c>
      <c r="B1597" t="s">
        <v>176</v>
      </c>
      <c r="C1597" s="8">
        <v>46100</v>
      </c>
      <c r="D1597" t="s">
        <v>321</v>
      </c>
      <c r="E1597" t="s">
        <v>325</v>
      </c>
      <c r="F1597" s="12">
        <v>128986</v>
      </c>
      <c r="G1597" s="12" t="str">
        <f>VLOOKUP(Table2[[#This Row],[MemberID]],Table1[#All],3,0)</f>
        <v>Silver</v>
      </c>
      <c r="H1597" s="13">
        <v>12</v>
      </c>
    </row>
    <row r="1598" spans="1:8">
      <c r="A1598" t="s">
        <v>1930</v>
      </c>
      <c r="B1598" t="s">
        <v>68</v>
      </c>
      <c r="C1598" s="8">
        <v>46199</v>
      </c>
      <c r="D1598" t="s">
        <v>332</v>
      </c>
      <c r="E1598" t="s">
        <v>328</v>
      </c>
      <c r="F1598" s="12">
        <v>387162</v>
      </c>
      <c r="G1598" s="12" t="str">
        <f>VLOOKUP(Table2[[#This Row],[MemberID]],Table1[#All],3,0)</f>
        <v>Silver</v>
      </c>
      <c r="H1598" s="13">
        <v>38</v>
      </c>
    </row>
    <row r="1599" spans="1:8">
      <c r="A1599" t="s">
        <v>1931</v>
      </c>
      <c r="B1599" t="s">
        <v>162</v>
      </c>
      <c r="C1599" s="8">
        <v>46204</v>
      </c>
      <c r="D1599" t="s">
        <v>324</v>
      </c>
      <c r="E1599" t="s">
        <v>325</v>
      </c>
      <c r="F1599" s="12">
        <v>216175</v>
      </c>
      <c r="G1599" s="12" t="str">
        <f>VLOOKUP(Table2[[#This Row],[MemberID]],Table1[#All],3,0)</f>
        <v>Silver</v>
      </c>
      <c r="H1599" s="13">
        <v>21</v>
      </c>
    </row>
    <row r="1600" spans="1:8">
      <c r="A1600" t="s">
        <v>1932</v>
      </c>
      <c r="B1600" t="s">
        <v>51</v>
      </c>
      <c r="C1600" s="8">
        <v>46101</v>
      </c>
      <c r="D1600" t="s">
        <v>350</v>
      </c>
      <c r="E1600" t="s">
        <v>322</v>
      </c>
      <c r="F1600" s="12">
        <v>53483</v>
      </c>
      <c r="G1600" s="12" t="str">
        <f>VLOOKUP(Table2[[#This Row],[MemberID]],Table1[#All],3,0)</f>
        <v>Gold</v>
      </c>
      <c r="H1600" s="13">
        <v>5</v>
      </c>
    </row>
    <row r="1601" spans="1:8">
      <c r="A1601" t="s">
        <v>1933</v>
      </c>
      <c r="B1601" t="s">
        <v>240</v>
      </c>
      <c r="C1601" s="8">
        <v>45978</v>
      </c>
      <c r="D1601" t="s">
        <v>324</v>
      </c>
      <c r="E1601" t="s">
        <v>334</v>
      </c>
      <c r="F1601" s="12">
        <v>448992</v>
      </c>
      <c r="G1601" s="12" t="str">
        <f>VLOOKUP(Table2[[#This Row],[MemberID]],Table1[#All],3,0)</f>
        <v>Silver</v>
      </c>
      <c r="H1601" s="13">
        <v>44</v>
      </c>
    </row>
    <row r="1602" spans="1:8">
      <c r="A1602" t="s">
        <v>1934</v>
      </c>
      <c r="B1602" t="s">
        <v>291</v>
      </c>
      <c r="C1602" s="8">
        <v>45991</v>
      </c>
      <c r="D1602" t="s">
        <v>324</v>
      </c>
      <c r="E1602" t="s">
        <v>322</v>
      </c>
      <c r="F1602" s="12">
        <v>135919</v>
      </c>
      <c r="G1602" s="12" t="str">
        <f>VLOOKUP(Table2[[#This Row],[MemberID]],Table1[#All],3,0)</f>
        <v>Silver</v>
      </c>
      <c r="H1602" s="13">
        <v>13</v>
      </c>
    </row>
    <row r="1603" spans="1:8">
      <c r="A1603" t="s">
        <v>1935</v>
      </c>
      <c r="B1603" t="s">
        <v>141</v>
      </c>
      <c r="C1603" s="8">
        <v>46088</v>
      </c>
      <c r="D1603" t="s">
        <v>332</v>
      </c>
      <c r="E1603" t="s">
        <v>334</v>
      </c>
      <c r="F1603" s="12">
        <v>290189</v>
      </c>
      <c r="G1603" s="12" t="str">
        <f>VLOOKUP(Table2[[#This Row],[MemberID]],Table1[#All],3,0)</f>
        <v>Silver</v>
      </c>
      <c r="H1603" s="13">
        <v>29</v>
      </c>
    </row>
    <row r="1604" spans="1:8">
      <c r="A1604" t="s">
        <v>1936</v>
      </c>
      <c r="B1604" t="s">
        <v>205</v>
      </c>
      <c r="C1604" s="8">
        <v>46147</v>
      </c>
      <c r="D1604" t="s">
        <v>330</v>
      </c>
      <c r="E1604" t="s">
        <v>339</v>
      </c>
      <c r="F1604" s="12">
        <v>25000</v>
      </c>
      <c r="G1604" s="12" t="str">
        <f>VLOOKUP(Table2[[#This Row],[MemberID]],Table1[#All],3,0)</f>
        <v>Silver</v>
      </c>
      <c r="H1604" s="13">
        <v>2</v>
      </c>
    </row>
    <row r="1605" spans="1:8">
      <c r="A1605" t="s">
        <v>1937</v>
      </c>
      <c r="B1605" t="s">
        <v>160</v>
      </c>
      <c r="C1605" s="8">
        <v>46238</v>
      </c>
      <c r="D1605" t="s">
        <v>327</v>
      </c>
      <c r="E1605" t="s">
        <v>339</v>
      </c>
      <c r="F1605" s="12">
        <v>140406</v>
      </c>
      <c r="G1605" s="12" t="str">
        <f>VLOOKUP(Table2[[#This Row],[MemberID]],Table1[#All],3,0)</f>
        <v>Silver</v>
      </c>
      <c r="H1605" s="13">
        <v>14</v>
      </c>
    </row>
    <row r="1606" spans="1:8">
      <c r="A1606" t="s">
        <v>1938</v>
      </c>
      <c r="B1606" t="s">
        <v>266</v>
      </c>
      <c r="C1606" s="8">
        <v>45949</v>
      </c>
      <c r="D1606" t="s">
        <v>327</v>
      </c>
      <c r="E1606" t="s">
        <v>322</v>
      </c>
      <c r="F1606" s="12">
        <v>402074</v>
      </c>
      <c r="G1606" s="12" t="str">
        <f>VLOOKUP(Table2[[#This Row],[MemberID]],Table1[#All],3,0)</f>
        <v>Silver</v>
      </c>
      <c r="H1606" s="13">
        <v>40</v>
      </c>
    </row>
    <row r="1607" spans="1:8">
      <c r="A1607" t="s">
        <v>1939</v>
      </c>
      <c r="B1607" t="s">
        <v>150</v>
      </c>
      <c r="C1607" s="8">
        <v>46013</v>
      </c>
      <c r="D1607" t="s">
        <v>344</v>
      </c>
      <c r="E1607" t="s">
        <v>339</v>
      </c>
      <c r="F1607" s="12">
        <v>542163</v>
      </c>
      <c r="G1607" s="12" t="str">
        <f>VLOOKUP(Table2[[#This Row],[MemberID]],Table1[#All],3,0)</f>
        <v>Gold</v>
      </c>
      <c r="H1607" s="13">
        <v>54</v>
      </c>
    </row>
    <row r="1608" spans="1:8">
      <c r="A1608" t="s">
        <v>1940</v>
      </c>
      <c r="B1608" t="s">
        <v>86</v>
      </c>
      <c r="C1608" s="8">
        <v>45999</v>
      </c>
      <c r="D1608" t="s">
        <v>332</v>
      </c>
      <c r="E1608" t="s">
        <v>328</v>
      </c>
      <c r="F1608" s="12">
        <v>87233</v>
      </c>
      <c r="G1608" s="12" t="str">
        <f>VLOOKUP(Table2[[#This Row],[MemberID]],Table1[#All],3,0)</f>
        <v>Silver</v>
      </c>
      <c r="H1608" s="13">
        <v>8</v>
      </c>
    </row>
    <row r="1609" spans="1:8">
      <c r="A1609" t="s">
        <v>1941</v>
      </c>
      <c r="B1609" t="s">
        <v>53</v>
      </c>
      <c r="C1609" s="8">
        <v>46070</v>
      </c>
      <c r="D1609" t="s">
        <v>342</v>
      </c>
      <c r="E1609" t="s">
        <v>334</v>
      </c>
      <c r="F1609" s="12">
        <v>216037</v>
      </c>
      <c r="G1609" s="12" t="str">
        <f>VLOOKUP(Table2[[#This Row],[MemberID]],Table1[#All],3,0)</f>
        <v>Silver</v>
      </c>
      <c r="H1609" s="13">
        <v>21</v>
      </c>
    </row>
    <row r="1610" spans="1:8">
      <c r="A1610" t="s">
        <v>1942</v>
      </c>
      <c r="B1610" t="s">
        <v>118</v>
      </c>
      <c r="C1610" s="8">
        <v>45999</v>
      </c>
      <c r="D1610" t="s">
        <v>332</v>
      </c>
      <c r="E1610" t="s">
        <v>322</v>
      </c>
      <c r="F1610" s="12">
        <v>203140</v>
      </c>
      <c r="G1610" s="12" t="str">
        <f>VLOOKUP(Table2[[#This Row],[MemberID]],Table1[#All],3,0)</f>
        <v>Silver</v>
      </c>
      <c r="H1610" s="13">
        <v>20</v>
      </c>
    </row>
    <row r="1611" spans="1:8">
      <c r="A1611" t="s">
        <v>1943</v>
      </c>
      <c r="B1611" t="s">
        <v>62</v>
      </c>
      <c r="C1611" s="8">
        <v>46281</v>
      </c>
      <c r="D1611" t="s">
        <v>332</v>
      </c>
      <c r="E1611" t="s">
        <v>334</v>
      </c>
      <c r="F1611" s="12">
        <v>493161</v>
      </c>
      <c r="G1611" s="12" t="str">
        <f>VLOOKUP(Table2[[#This Row],[MemberID]],Table1[#All],3,0)</f>
        <v>Silver</v>
      </c>
      <c r="H1611" s="13">
        <v>49</v>
      </c>
    </row>
    <row r="1612" spans="1:8">
      <c r="A1612" t="s">
        <v>1944</v>
      </c>
      <c r="B1612" t="s">
        <v>271</v>
      </c>
      <c r="C1612" s="8">
        <v>46036</v>
      </c>
      <c r="D1612" t="s">
        <v>350</v>
      </c>
      <c r="E1612" t="s">
        <v>337</v>
      </c>
      <c r="F1612" s="12">
        <v>226797</v>
      </c>
      <c r="G1612" s="12" t="str">
        <f>VLOOKUP(Table2[[#This Row],[MemberID]],Table1[#All],3,0)</f>
        <v>Silver</v>
      </c>
      <c r="H1612" s="13">
        <v>22</v>
      </c>
    </row>
    <row r="1613" spans="1:8">
      <c r="A1613" t="s">
        <v>1945</v>
      </c>
      <c r="B1613" t="s">
        <v>214</v>
      </c>
      <c r="C1613" s="8">
        <v>45967</v>
      </c>
      <c r="D1613" t="s">
        <v>324</v>
      </c>
      <c r="E1613" t="s">
        <v>322</v>
      </c>
      <c r="F1613" s="12">
        <v>153160</v>
      </c>
      <c r="G1613" s="12" t="str">
        <f>VLOOKUP(Table2[[#This Row],[MemberID]],Table1[#All],3,0)</f>
        <v>Silver</v>
      </c>
      <c r="H1613" s="13">
        <v>15</v>
      </c>
    </row>
    <row r="1614" spans="1:8">
      <c r="A1614" t="s">
        <v>1946</v>
      </c>
      <c r="B1614" t="s">
        <v>135</v>
      </c>
      <c r="C1614" s="8">
        <v>45965</v>
      </c>
      <c r="D1614" t="s">
        <v>342</v>
      </c>
      <c r="E1614" t="s">
        <v>325</v>
      </c>
      <c r="F1614" s="12">
        <v>390717</v>
      </c>
      <c r="G1614" s="12" t="str">
        <f>VLOOKUP(Table2[[#This Row],[MemberID]],Table1[#All],3,0)</f>
        <v>Silver</v>
      </c>
      <c r="H1614" s="13">
        <v>39</v>
      </c>
    </row>
    <row r="1615" spans="1:8">
      <c r="A1615" t="s">
        <v>1947</v>
      </c>
      <c r="B1615" t="s">
        <v>275</v>
      </c>
      <c r="C1615" s="8">
        <v>46122</v>
      </c>
      <c r="D1615" t="s">
        <v>350</v>
      </c>
      <c r="E1615" t="s">
        <v>325</v>
      </c>
      <c r="F1615" s="12">
        <v>92019</v>
      </c>
      <c r="G1615" s="12" t="str">
        <f>VLOOKUP(Table2[[#This Row],[MemberID]],Table1[#All],3,0)</f>
        <v>Silver</v>
      </c>
      <c r="H1615" s="13">
        <v>9</v>
      </c>
    </row>
    <row r="1616" spans="1:8">
      <c r="A1616" t="s">
        <v>1948</v>
      </c>
      <c r="B1616" t="s">
        <v>39</v>
      </c>
      <c r="C1616" s="8">
        <v>46254</v>
      </c>
      <c r="D1616" t="s">
        <v>324</v>
      </c>
      <c r="E1616" t="s">
        <v>334</v>
      </c>
      <c r="F1616" s="12">
        <v>334429</v>
      </c>
      <c r="G1616" s="12" t="str">
        <f>VLOOKUP(Table2[[#This Row],[MemberID]],Table1[#All],3,0)</f>
        <v>Silver</v>
      </c>
      <c r="H1616" s="13">
        <v>33</v>
      </c>
    </row>
    <row r="1617" spans="1:8">
      <c r="A1617" t="s">
        <v>1949</v>
      </c>
      <c r="B1617" t="s">
        <v>118</v>
      </c>
      <c r="C1617" s="8">
        <v>45934</v>
      </c>
      <c r="D1617" t="s">
        <v>332</v>
      </c>
      <c r="E1617" t="s">
        <v>322</v>
      </c>
      <c r="F1617" s="12">
        <v>450673</v>
      </c>
      <c r="G1617" s="12" t="str">
        <f>VLOOKUP(Table2[[#This Row],[MemberID]],Table1[#All],3,0)</f>
        <v>Silver</v>
      </c>
      <c r="H1617" s="13">
        <v>45</v>
      </c>
    </row>
    <row r="1618" spans="1:8">
      <c r="A1618" t="s">
        <v>1950</v>
      </c>
      <c r="B1618" t="s">
        <v>134</v>
      </c>
      <c r="C1618" s="8">
        <v>46065</v>
      </c>
      <c r="D1618" t="s">
        <v>330</v>
      </c>
      <c r="E1618" t="s">
        <v>334</v>
      </c>
      <c r="F1618" s="12">
        <v>360071</v>
      </c>
      <c r="G1618" s="12" t="str">
        <f>VLOOKUP(Table2[[#This Row],[MemberID]],Table1[#All],3,0)</f>
        <v>Silver</v>
      </c>
      <c r="H1618" s="13">
        <v>36</v>
      </c>
    </row>
    <row r="1619" spans="1:8">
      <c r="A1619" t="s">
        <v>1951</v>
      </c>
      <c r="B1619" t="s">
        <v>259</v>
      </c>
      <c r="C1619" s="8">
        <v>46103</v>
      </c>
      <c r="D1619" t="s">
        <v>350</v>
      </c>
      <c r="E1619" t="s">
        <v>334</v>
      </c>
      <c r="F1619" s="12">
        <v>459826</v>
      </c>
      <c r="G1619" s="12" t="str">
        <f>VLOOKUP(Table2[[#This Row],[MemberID]],Table1[#All],3,0)</f>
        <v>Gold</v>
      </c>
      <c r="H1619" s="13">
        <v>45</v>
      </c>
    </row>
    <row r="1620" spans="1:8">
      <c r="A1620" t="s">
        <v>1952</v>
      </c>
      <c r="B1620" t="s">
        <v>111</v>
      </c>
      <c r="C1620" s="8">
        <v>45944</v>
      </c>
      <c r="D1620" t="s">
        <v>324</v>
      </c>
      <c r="E1620" t="s">
        <v>328</v>
      </c>
      <c r="F1620" s="12">
        <v>53074</v>
      </c>
      <c r="G1620" s="12" t="str">
        <f>VLOOKUP(Table2[[#This Row],[MemberID]],Table1[#All],3,0)</f>
        <v>Platinum</v>
      </c>
      <c r="H1620" s="13">
        <v>5</v>
      </c>
    </row>
    <row r="1621" spans="1:8">
      <c r="A1621" t="s">
        <v>1953</v>
      </c>
      <c r="B1621" t="s">
        <v>139</v>
      </c>
      <c r="C1621" s="8">
        <v>46021</v>
      </c>
      <c r="D1621" t="s">
        <v>321</v>
      </c>
      <c r="E1621" t="s">
        <v>339</v>
      </c>
      <c r="F1621" s="12">
        <v>33372</v>
      </c>
      <c r="G1621" s="12" t="str">
        <f>VLOOKUP(Table2[[#This Row],[MemberID]],Table1[#All],3,0)</f>
        <v>Silver</v>
      </c>
      <c r="H1621" s="13">
        <v>3</v>
      </c>
    </row>
    <row r="1622" spans="1:8">
      <c r="A1622" t="s">
        <v>1954</v>
      </c>
      <c r="B1622" t="s">
        <v>275</v>
      </c>
      <c r="C1622" s="8">
        <v>46044</v>
      </c>
      <c r="D1622" t="s">
        <v>350</v>
      </c>
      <c r="E1622" t="s">
        <v>339</v>
      </c>
      <c r="F1622" s="12">
        <v>225650</v>
      </c>
      <c r="G1622" s="12" t="str">
        <f>VLOOKUP(Table2[[#This Row],[MemberID]],Table1[#All],3,0)</f>
        <v>Silver</v>
      </c>
      <c r="H1622" s="13">
        <v>22</v>
      </c>
    </row>
    <row r="1623" spans="1:8">
      <c r="A1623" t="s">
        <v>1955</v>
      </c>
      <c r="B1623" t="s">
        <v>156</v>
      </c>
      <c r="C1623" s="8">
        <v>46112</v>
      </c>
      <c r="D1623" t="s">
        <v>324</v>
      </c>
      <c r="E1623" t="s">
        <v>339</v>
      </c>
      <c r="F1623" s="12">
        <v>290539</v>
      </c>
      <c r="G1623" s="12" t="str">
        <f>VLOOKUP(Table2[[#This Row],[MemberID]],Table1[#All],3,0)</f>
        <v>Silver</v>
      </c>
      <c r="H1623" s="13">
        <v>29</v>
      </c>
    </row>
    <row r="1624" spans="1:8">
      <c r="A1624" t="s">
        <v>1956</v>
      </c>
      <c r="B1624" t="s">
        <v>15</v>
      </c>
      <c r="C1624" s="8">
        <v>46098</v>
      </c>
      <c r="D1624" t="s">
        <v>332</v>
      </c>
      <c r="E1624" t="s">
        <v>328</v>
      </c>
      <c r="F1624" s="12">
        <v>169427</v>
      </c>
      <c r="G1624" s="12" t="str">
        <f>VLOOKUP(Table2[[#This Row],[MemberID]],Table1[#All],3,0)</f>
        <v>Silver</v>
      </c>
      <c r="H1624" s="13">
        <v>16</v>
      </c>
    </row>
    <row r="1625" spans="1:8">
      <c r="A1625" t="s">
        <v>1957</v>
      </c>
      <c r="B1625" t="s">
        <v>227</v>
      </c>
      <c r="C1625" s="8">
        <v>46288</v>
      </c>
      <c r="D1625" t="s">
        <v>344</v>
      </c>
      <c r="E1625" t="s">
        <v>325</v>
      </c>
      <c r="F1625" s="12">
        <v>135893</v>
      </c>
      <c r="G1625" s="12" t="str">
        <f>VLOOKUP(Table2[[#This Row],[MemberID]],Table1[#All],3,0)</f>
        <v>Silver</v>
      </c>
      <c r="H1625" s="13">
        <v>13</v>
      </c>
    </row>
    <row r="1626" spans="1:8">
      <c r="A1626" t="s">
        <v>1958</v>
      </c>
      <c r="B1626" t="s">
        <v>118</v>
      </c>
      <c r="C1626" s="8">
        <v>46210</v>
      </c>
      <c r="D1626" t="s">
        <v>330</v>
      </c>
      <c r="E1626" t="s">
        <v>328</v>
      </c>
      <c r="F1626" s="12">
        <v>245597</v>
      </c>
      <c r="G1626" s="12" t="str">
        <f>VLOOKUP(Table2[[#This Row],[MemberID]],Table1[#All],3,0)</f>
        <v>Silver</v>
      </c>
      <c r="H1626" s="13">
        <v>24</v>
      </c>
    </row>
    <row r="1627" spans="1:8">
      <c r="A1627" t="s">
        <v>1959</v>
      </c>
      <c r="B1627" t="s">
        <v>247</v>
      </c>
      <c r="C1627" s="8">
        <v>46208</v>
      </c>
      <c r="D1627" t="s">
        <v>327</v>
      </c>
      <c r="E1627" t="s">
        <v>339</v>
      </c>
      <c r="F1627" s="12">
        <v>895526</v>
      </c>
      <c r="G1627" s="12" t="str">
        <f>VLOOKUP(Table2[[#This Row],[MemberID]],Table1[#All],3,0)</f>
        <v>Silver</v>
      </c>
      <c r="H1627" s="13">
        <v>89</v>
      </c>
    </row>
    <row r="1628" spans="1:8">
      <c r="A1628" t="s">
        <v>1960</v>
      </c>
      <c r="B1628" t="s">
        <v>310</v>
      </c>
      <c r="C1628" s="8">
        <v>46223</v>
      </c>
      <c r="D1628" t="s">
        <v>342</v>
      </c>
      <c r="E1628" t="s">
        <v>339</v>
      </c>
      <c r="F1628" s="12">
        <v>522899</v>
      </c>
      <c r="G1628" s="12" t="str">
        <f>VLOOKUP(Table2[[#This Row],[MemberID]],Table1[#All],3,0)</f>
        <v>Silver</v>
      </c>
      <c r="H1628" s="13">
        <v>52</v>
      </c>
    </row>
    <row r="1629" spans="1:8">
      <c r="A1629" t="s">
        <v>1961</v>
      </c>
      <c r="B1629" t="s">
        <v>163</v>
      </c>
      <c r="C1629" s="8">
        <v>45959</v>
      </c>
      <c r="D1629" t="s">
        <v>330</v>
      </c>
      <c r="E1629" t="s">
        <v>334</v>
      </c>
      <c r="F1629" s="12">
        <v>402399</v>
      </c>
      <c r="G1629" s="12" t="str">
        <f>VLOOKUP(Table2[[#This Row],[MemberID]],Table1[#All],3,0)</f>
        <v>Silver</v>
      </c>
      <c r="H1629" s="13">
        <v>40</v>
      </c>
    </row>
    <row r="1630" spans="1:8">
      <c r="A1630" t="s">
        <v>1962</v>
      </c>
      <c r="B1630" t="s">
        <v>29</v>
      </c>
      <c r="C1630" s="8">
        <v>45934</v>
      </c>
      <c r="D1630" t="s">
        <v>350</v>
      </c>
      <c r="E1630" t="s">
        <v>328</v>
      </c>
      <c r="F1630" s="12">
        <v>106858</v>
      </c>
      <c r="G1630" s="12" t="str">
        <f>VLOOKUP(Table2[[#This Row],[MemberID]],Table1[#All],3,0)</f>
        <v>Gold</v>
      </c>
      <c r="H1630" s="13">
        <v>10</v>
      </c>
    </row>
    <row r="1631" spans="1:8">
      <c r="A1631" t="s">
        <v>1963</v>
      </c>
      <c r="B1631" t="s">
        <v>290</v>
      </c>
      <c r="C1631" s="8">
        <v>45970</v>
      </c>
      <c r="D1631" t="s">
        <v>342</v>
      </c>
      <c r="E1631" t="s">
        <v>328</v>
      </c>
      <c r="F1631" s="12">
        <v>720402</v>
      </c>
      <c r="G1631" s="12" t="str">
        <f>VLOOKUP(Table2[[#This Row],[MemberID]],Table1[#All],3,0)</f>
        <v>Silver</v>
      </c>
      <c r="H1631" s="13">
        <v>72</v>
      </c>
    </row>
    <row r="1632" spans="1:8">
      <c r="A1632" t="s">
        <v>1964</v>
      </c>
      <c r="B1632" t="s">
        <v>289</v>
      </c>
      <c r="C1632" s="8">
        <v>46188</v>
      </c>
      <c r="D1632" t="s">
        <v>330</v>
      </c>
      <c r="E1632" t="s">
        <v>328</v>
      </c>
      <c r="F1632" s="12">
        <v>321322</v>
      </c>
      <c r="G1632" s="12" t="str">
        <f>VLOOKUP(Table2[[#This Row],[MemberID]],Table1[#All],3,0)</f>
        <v>Silver</v>
      </c>
      <c r="H1632" s="13">
        <v>32</v>
      </c>
    </row>
    <row r="1633" spans="1:8">
      <c r="A1633" t="s">
        <v>1965</v>
      </c>
      <c r="B1633" t="s">
        <v>250</v>
      </c>
      <c r="C1633" s="8">
        <v>46170</v>
      </c>
      <c r="D1633" t="s">
        <v>342</v>
      </c>
      <c r="E1633" t="s">
        <v>325</v>
      </c>
      <c r="F1633" s="12">
        <v>546536</v>
      </c>
      <c r="G1633" s="12" t="str">
        <f>VLOOKUP(Table2[[#This Row],[MemberID]],Table1[#All],3,0)</f>
        <v>Platinum</v>
      </c>
      <c r="H1633" s="13">
        <v>54</v>
      </c>
    </row>
    <row r="1634" spans="1:8">
      <c r="A1634" t="s">
        <v>1966</v>
      </c>
      <c r="B1634" t="s">
        <v>190</v>
      </c>
      <c r="C1634" s="8">
        <v>46005</v>
      </c>
      <c r="D1634" t="s">
        <v>321</v>
      </c>
      <c r="E1634" t="s">
        <v>339</v>
      </c>
      <c r="F1634" s="12">
        <v>143791</v>
      </c>
      <c r="G1634" s="12" t="str">
        <f>VLOOKUP(Table2[[#This Row],[MemberID]],Table1[#All],3,0)</f>
        <v>Silver</v>
      </c>
      <c r="H1634" s="13">
        <v>14</v>
      </c>
    </row>
    <row r="1635" spans="1:8">
      <c r="A1635" t="s">
        <v>1967</v>
      </c>
      <c r="B1635" t="s">
        <v>40</v>
      </c>
      <c r="C1635" s="8">
        <v>46223</v>
      </c>
      <c r="D1635" t="s">
        <v>330</v>
      </c>
      <c r="E1635" t="s">
        <v>334</v>
      </c>
      <c r="F1635" s="12">
        <v>447464</v>
      </c>
      <c r="G1635" s="12" t="str">
        <f>VLOOKUP(Table2[[#This Row],[MemberID]],Table1[#All],3,0)</f>
        <v>Gold</v>
      </c>
      <c r="H1635" s="13">
        <v>44</v>
      </c>
    </row>
    <row r="1636" spans="1:8">
      <c r="A1636" t="s">
        <v>1968</v>
      </c>
      <c r="B1636" t="s">
        <v>102</v>
      </c>
      <c r="C1636" s="8">
        <v>46234</v>
      </c>
      <c r="D1636" t="s">
        <v>332</v>
      </c>
      <c r="E1636" t="s">
        <v>325</v>
      </c>
      <c r="F1636" s="12">
        <v>185718</v>
      </c>
      <c r="G1636" s="12" t="str">
        <f>VLOOKUP(Table2[[#This Row],[MemberID]],Table1[#All],3,0)</f>
        <v>Platinum</v>
      </c>
      <c r="H1636" s="13">
        <v>18</v>
      </c>
    </row>
    <row r="1637" spans="1:8">
      <c r="A1637" t="s">
        <v>1969</v>
      </c>
      <c r="B1637" t="s">
        <v>214</v>
      </c>
      <c r="C1637" s="8">
        <v>45967</v>
      </c>
      <c r="D1637" t="s">
        <v>344</v>
      </c>
      <c r="E1637" t="s">
        <v>328</v>
      </c>
      <c r="F1637" s="12">
        <v>178154</v>
      </c>
      <c r="G1637" s="12" t="str">
        <f>VLOOKUP(Table2[[#This Row],[MemberID]],Table1[#All],3,0)</f>
        <v>Silver</v>
      </c>
      <c r="H1637" s="13">
        <v>17</v>
      </c>
    </row>
    <row r="1638" spans="1:8">
      <c r="A1638" t="s">
        <v>1970</v>
      </c>
      <c r="B1638" t="s">
        <v>8</v>
      </c>
      <c r="C1638" s="8">
        <v>46255</v>
      </c>
      <c r="D1638" t="s">
        <v>342</v>
      </c>
      <c r="E1638" t="s">
        <v>325</v>
      </c>
      <c r="F1638" s="12">
        <v>152356</v>
      </c>
      <c r="G1638" s="12" t="str">
        <f>VLOOKUP(Table2[[#This Row],[MemberID]],Table1[#All],3,0)</f>
        <v>Gold</v>
      </c>
      <c r="H1638" s="13">
        <v>15</v>
      </c>
    </row>
    <row r="1639" spans="1:8">
      <c r="A1639" t="s">
        <v>1971</v>
      </c>
      <c r="B1639" t="s">
        <v>268</v>
      </c>
      <c r="C1639" s="8">
        <v>46102</v>
      </c>
      <c r="D1639" t="s">
        <v>342</v>
      </c>
      <c r="E1639" t="s">
        <v>322</v>
      </c>
      <c r="F1639" s="12">
        <v>293361</v>
      </c>
      <c r="G1639" s="12" t="str">
        <f>VLOOKUP(Table2[[#This Row],[MemberID]],Table1[#All],3,0)</f>
        <v>Silver</v>
      </c>
      <c r="H1639" s="13">
        <v>29</v>
      </c>
    </row>
    <row r="1640" spans="1:8">
      <c r="A1640" t="s">
        <v>1972</v>
      </c>
      <c r="B1640" t="s">
        <v>118</v>
      </c>
      <c r="C1640" s="8">
        <v>46286</v>
      </c>
      <c r="D1640" t="s">
        <v>344</v>
      </c>
      <c r="E1640" t="s">
        <v>334</v>
      </c>
      <c r="F1640" s="12">
        <v>181551</v>
      </c>
      <c r="G1640" s="12" t="str">
        <f>VLOOKUP(Table2[[#This Row],[MemberID]],Table1[#All],3,0)</f>
        <v>Silver</v>
      </c>
      <c r="H1640" s="13">
        <v>18</v>
      </c>
    </row>
    <row r="1641" spans="1:8">
      <c r="A1641" t="s">
        <v>1973</v>
      </c>
      <c r="B1641" t="s">
        <v>13</v>
      </c>
      <c r="C1641" s="8">
        <v>46268</v>
      </c>
      <c r="D1641" t="s">
        <v>350</v>
      </c>
      <c r="E1641" t="s">
        <v>337</v>
      </c>
      <c r="F1641" s="12">
        <v>338792</v>
      </c>
      <c r="G1641" s="12" t="str">
        <f>VLOOKUP(Table2[[#This Row],[MemberID]],Table1[#All],3,0)</f>
        <v>Silver</v>
      </c>
      <c r="H1641" s="13">
        <v>33</v>
      </c>
    </row>
    <row r="1642" spans="1:8">
      <c r="A1642" t="s">
        <v>1974</v>
      </c>
      <c r="B1642" t="s">
        <v>134</v>
      </c>
      <c r="C1642" s="8">
        <v>45971</v>
      </c>
      <c r="D1642" t="s">
        <v>332</v>
      </c>
      <c r="E1642" t="s">
        <v>337</v>
      </c>
      <c r="F1642" s="12">
        <v>853308</v>
      </c>
      <c r="G1642" s="12" t="str">
        <f>VLOOKUP(Table2[[#This Row],[MemberID]],Table1[#All],3,0)</f>
        <v>Silver</v>
      </c>
      <c r="H1642" s="13">
        <v>85</v>
      </c>
    </row>
    <row r="1643" spans="1:8">
      <c r="A1643" t="s">
        <v>1975</v>
      </c>
      <c r="B1643" t="s">
        <v>246</v>
      </c>
      <c r="C1643" s="8">
        <v>46199</v>
      </c>
      <c r="D1643" t="s">
        <v>324</v>
      </c>
      <c r="E1643" t="s">
        <v>334</v>
      </c>
      <c r="F1643" s="12">
        <v>160457</v>
      </c>
      <c r="G1643" s="12" t="str">
        <f>VLOOKUP(Table2[[#This Row],[MemberID]],Table1[#All],3,0)</f>
        <v>Gold</v>
      </c>
      <c r="H1643" s="13">
        <v>16</v>
      </c>
    </row>
    <row r="1644" spans="1:8">
      <c r="A1644" t="s">
        <v>1976</v>
      </c>
      <c r="B1644" t="s">
        <v>65</v>
      </c>
      <c r="C1644" s="8">
        <v>46236</v>
      </c>
      <c r="D1644" t="s">
        <v>321</v>
      </c>
      <c r="E1644" t="s">
        <v>334</v>
      </c>
      <c r="F1644" s="12">
        <v>217275</v>
      </c>
      <c r="G1644" s="12" t="str">
        <f>VLOOKUP(Table2[[#This Row],[MemberID]],Table1[#All],3,0)</f>
        <v>Gold</v>
      </c>
      <c r="H1644" s="13">
        <v>21</v>
      </c>
    </row>
    <row r="1645" spans="1:8">
      <c r="A1645" t="s">
        <v>1977</v>
      </c>
      <c r="B1645" t="s">
        <v>151</v>
      </c>
      <c r="C1645" s="8">
        <v>45977</v>
      </c>
      <c r="D1645" t="s">
        <v>342</v>
      </c>
      <c r="E1645" t="s">
        <v>337</v>
      </c>
      <c r="F1645" s="12">
        <v>120641</v>
      </c>
      <c r="G1645" s="12" t="str">
        <f>VLOOKUP(Table2[[#This Row],[MemberID]],Table1[#All],3,0)</f>
        <v>Silver</v>
      </c>
      <c r="H1645" s="13">
        <v>12</v>
      </c>
    </row>
    <row r="1646" spans="1:8">
      <c r="A1646" t="s">
        <v>1978</v>
      </c>
      <c r="B1646" t="s">
        <v>280</v>
      </c>
      <c r="C1646" s="8">
        <v>46027</v>
      </c>
      <c r="D1646" t="s">
        <v>342</v>
      </c>
      <c r="E1646" t="s">
        <v>322</v>
      </c>
      <c r="F1646" s="12">
        <v>127997</v>
      </c>
      <c r="G1646" s="12" t="str">
        <f>VLOOKUP(Table2[[#This Row],[MemberID]],Table1[#All],3,0)</f>
        <v>Silver</v>
      </c>
      <c r="H1646" s="13">
        <v>12</v>
      </c>
    </row>
    <row r="1647" spans="1:8">
      <c r="A1647" t="s">
        <v>1979</v>
      </c>
      <c r="B1647" t="s">
        <v>219</v>
      </c>
      <c r="C1647" s="8">
        <v>46254</v>
      </c>
      <c r="D1647" t="s">
        <v>332</v>
      </c>
      <c r="E1647" t="s">
        <v>322</v>
      </c>
      <c r="F1647" s="12">
        <v>278177</v>
      </c>
      <c r="G1647" s="12" t="str">
        <f>VLOOKUP(Table2[[#This Row],[MemberID]],Table1[#All],3,0)</f>
        <v>Silver</v>
      </c>
      <c r="H1647" s="13">
        <v>27</v>
      </c>
    </row>
    <row r="1648" spans="1:8">
      <c r="A1648" t="s">
        <v>1980</v>
      </c>
      <c r="B1648" t="s">
        <v>233</v>
      </c>
      <c r="C1648" s="8">
        <v>45938</v>
      </c>
      <c r="D1648" t="s">
        <v>324</v>
      </c>
      <c r="E1648" t="s">
        <v>325</v>
      </c>
      <c r="F1648" s="12">
        <v>27122</v>
      </c>
      <c r="G1648" s="12" t="str">
        <f>VLOOKUP(Table2[[#This Row],[MemberID]],Table1[#All],3,0)</f>
        <v>Gold</v>
      </c>
      <c r="H1648" s="13">
        <v>2</v>
      </c>
    </row>
    <row r="1649" spans="1:8">
      <c r="A1649" t="s">
        <v>1981</v>
      </c>
      <c r="B1649" t="s">
        <v>16</v>
      </c>
      <c r="C1649" s="8">
        <v>46118</v>
      </c>
      <c r="D1649" t="s">
        <v>342</v>
      </c>
      <c r="E1649" t="s">
        <v>325</v>
      </c>
      <c r="F1649" s="12">
        <v>220289</v>
      </c>
      <c r="G1649" s="12" t="str">
        <f>VLOOKUP(Table2[[#This Row],[MemberID]],Table1[#All],3,0)</f>
        <v>Gold</v>
      </c>
      <c r="H1649" s="13">
        <v>22</v>
      </c>
    </row>
    <row r="1650" spans="1:8">
      <c r="A1650" t="s">
        <v>1982</v>
      </c>
      <c r="B1650" t="s">
        <v>192</v>
      </c>
      <c r="C1650" s="8">
        <v>46053</v>
      </c>
      <c r="D1650" t="s">
        <v>344</v>
      </c>
      <c r="E1650" t="s">
        <v>328</v>
      </c>
      <c r="F1650" s="12">
        <v>452843</v>
      </c>
      <c r="G1650" s="12" t="str">
        <f>VLOOKUP(Table2[[#This Row],[MemberID]],Table1[#All],3,0)</f>
        <v>Silver</v>
      </c>
      <c r="H1650" s="13">
        <v>45</v>
      </c>
    </row>
    <row r="1651" spans="1:8">
      <c r="A1651" t="s">
        <v>1983</v>
      </c>
      <c r="B1651" t="s">
        <v>57</v>
      </c>
      <c r="C1651" s="8">
        <v>46193</v>
      </c>
      <c r="D1651" t="s">
        <v>350</v>
      </c>
      <c r="E1651" t="s">
        <v>322</v>
      </c>
      <c r="F1651" s="12">
        <v>104640</v>
      </c>
      <c r="G1651" s="12" t="str">
        <f>VLOOKUP(Table2[[#This Row],[MemberID]],Table1[#All],3,0)</f>
        <v>Gold</v>
      </c>
      <c r="H1651" s="13">
        <v>10</v>
      </c>
    </row>
    <row r="1652" spans="1:8">
      <c r="A1652" t="s">
        <v>1984</v>
      </c>
      <c r="B1652" t="s">
        <v>8</v>
      </c>
      <c r="C1652" s="8">
        <v>46157</v>
      </c>
      <c r="D1652" t="s">
        <v>327</v>
      </c>
      <c r="E1652" t="s">
        <v>339</v>
      </c>
      <c r="F1652" s="12">
        <v>254089</v>
      </c>
      <c r="G1652" s="12" t="str">
        <f>VLOOKUP(Table2[[#This Row],[MemberID]],Table1[#All],3,0)</f>
        <v>Gold</v>
      </c>
      <c r="H1652" s="13">
        <v>25</v>
      </c>
    </row>
    <row r="1653" spans="1:8">
      <c r="A1653" t="s">
        <v>1985</v>
      </c>
      <c r="B1653" t="s">
        <v>133</v>
      </c>
      <c r="C1653" s="8">
        <v>46173</v>
      </c>
      <c r="D1653" t="s">
        <v>342</v>
      </c>
      <c r="E1653" t="s">
        <v>334</v>
      </c>
      <c r="F1653" s="12">
        <v>410708</v>
      </c>
      <c r="G1653" s="12" t="str">
        <f>VLOOKUP(Table2[[#This Row],[MemberID]],Table1[#All],3,0)</f>
        <v>Gold</v>
      </c>
      <c r="H1653" s="13">
        <v>41</v>
      </c>
    </row>
    <row r="1654" spans="1:8">
      <c r="A1654" t="s">
        <v>1986</v>
      </c>
      <c r="B1654" t="s">
        <v>53</v>
      </c>
      <c r="C1654" s="8">
        <v>46154</v>
      </c>
      <c r="D1654" t="s">
        <v>332</v>
      </c>
      <c r="E1654" t="s">
        <v>337</v>
      </c>
      <c r="F1654" s="12">
        <v>159366</v>
      </c>
      <c r="G1654" s="12" t="str">
        <f>VLOOKUP(Table2[[#This Row],[MemberID]],Table1[#All],3,0)</f>
        <v>Silver</v>
      </c>
      <c r="H1654" s="13">
        <v>15</v>
      </c>
    </row>
    <row r="1655" spans="1:8">
      <c r="A1655" t="s">
        <v>1987</v>
      </c>
      <c r="B1655" t="s">
        <v>301</v>
      </c>
      <c r="C1655" s="8">
        <v>46011</v>
      </c>
      <c r="D1655" t="s">
        <v>344</v>
      </c>
      <c r="E1655" t="s">
        <v>325</v>
      </c>
      <c r="F1655" s="12">
        <v>327313</v>
      </c>
      <c r="G1655" s="12" t="str">
        <f>VLOOKUP(Table2[[#This Row],[MemberID]],Table1[#All],3,0)</f>
        <v>Silver</v>
      </c>
      <c r="H1655" s="13">
        <v>32</v>
      </c>
    </row>
    <row r="1656" spans="1:8">
      <c r="A1656" t="s">
        <v>1988</v>
      </c>
      <c r="B1656" t="s">
        <v>309</v>
      </c>
      <c r="C1656" s="8">
        <v>46070</v>
      </c>
      <c r="D1656" t="s">
        <v>350</v>
      </c>
      <c r="E1656" t="s">
        <v>322</v>
      </c>
      <c r="F1656" s="12">
        <v>285694</v>
      </c>
      <c r="G1656" s="12" t="str">
        <f>VLOOKUP(Table2[[#This Row],[MemberID]],Table1[#All],3,0)</f>
        <v>Gold</v>
      </c>
      <c r="H1656" s="13">
        <v>28</v>
      </c>
    </row>
    <row r="1657" spans="1:8">
      <c r="A1657" t="s">
        <v>1989</v>
      </c>
      <c r="B1657" t="s">
        <v>47</v>
      </c>
      <c r="C1657" s="8">
        <v>46160</v>
      </c>
      <c r="D1657" t="s">
        <v>330</v>
      </c>
      <c r="E1657" t="s">
        <v>339</v>
      </c>
      <c r="F1657" s="12">
        <v>527389</v>
      </c>
      <c r="G1657" s="12" t="str">
        <f>VLOOKUP(Table2[[#This Row],[MemberID]],Table1[#All],3,0)</f>
        <v>Silver</v>
      </c>
      <c r="H1657" s="13">
        <v>52</v>
      </c>
    </row>
    <row r="1658" spans="1:8">
      <c r="A1658" t="s">
        <v>1990</v>
      </c>
      <c r="B1658" t="s">
        <v>126</v>
      </c>
      <c r="C1658" s="8">
        <v>46019</v>
      </c>
      <c r="D1658" t="s">
        <v>350</v>
      </c>
      <c r="E1658" t="s">
        <v>328</v>
      </c>
      <c r="F1658" s="12">
        <v>60643</v>
      </c>
      <c r="G1658" s="12" t="str">
        <f>VLOOKUP(Table2[[#This Row],[MemberID]],Table1[#All],3,0)</f>
        <v>Silver</v>
      </c>
      <c r="H1658" s="13">
        <v>6</v>
      </c>
    </row>
    <row r="1659" spans="1:8">
      <c r="A1659" t="s">
        <v>1991</v>
      </c>
      <c r="B1659" t="s">
        <v>68</v>
      </c>
      <c r="C1659" s="8">
        <v>46173</v>
      </c>
      <c r="D1659" t="s">
        <v>324</v>
      </c>
      <c r="E1659" t="s">
        <v>337</v>
      </c>
      <c r="F1659" s="12">
        <v>946459</v>
      </c>
      <c r="G1659" s="12" t="str">
        <f>VLOOKUP(Table2[[#This Row],[MemberID]],Table1[#All],3,0)</f>
        <v>Silver</v>
      </c>
      <c r="H1659" s="13">
        <v>94</v>
      </c>
    </row>
    <row r="1660" spans="1:8">
      <c r="A1660" t="s">
        <v>1992</v>
      </c>
      <c r="B1660" t="s">
        <v>261</v>
      </c>
      <c r="C1660" s="8">
        <v>46262</v>
      </c>
      <c r="D1660" t="s">
        <v>350</v>
      </c>
      <c r="E1660" t="s">
        <v>322</v>
      </c>
      <c r="F1660" s="12">
        <v>515747</v>
      </c>
      <c r="G1660" s="12" t="str">
        <f>VLOOKUP(Table2[[#This Row],[MemberID]],Table1[#All],3,0)</f>
        <v>Silver</v>
      </c>
      <c r="H1660" s="13">
        <v>51</v>
      </c>
    </row>
    <row r="1661" spans="1:8">
      <c r="A1661" t="s">
        <v>1993</v>
      </c>
      <c r="B1661" t="s">
        <v>65</v>
      </c>
      <c r="C1661" s="8">
        <v>46214</v>
      </c>
      <c r="D1661" t="s">
        <v>324</v>
      </c>
      <c r="E1661" t="s">
        <v>322</v>
      </c>
      <c r="F1661" s="12">
        <v>1128043</v>
      </c>
      <c r="G1661" s="12" t="str">
        <f>VLOOKUP(Table2[[#This Row],[MemberID]],Table1[#All],3,0)</f>
        <v>Gold</v>
      </c>
      <c r="H1661" s="13">
        <v>112</v>
      </c>
    </row>
    <row r="1662" spans="1:8">
      <c r="A1662" t="s">
        <v>1994</v>
      </c>
      <c r="B1662" t="s">
        <v>261</v>
      </c>
      <c r="C1662" s="8">
        <v>46267</v>
      </c>
      <c r="D1662" t="s">
        <v>330</v>
      </c>
      <c r="E1662" t="s">
        <v>339</v>
      </c>
      <c r="F1662" s="12">
        <v>304858</v>
      </c>
      <c r="G1662" s="12" t="str">
        <f>VLOOKUP(Table2[[#This Row],[MemberID]],Table1[#All],3,0)</f>
        <v>Silver</v>
      </c>
      <c r="H1662" s="13">
        <v>30</v>
      </c>
    </row>
    <row r="1663" spans="1:8">
      <c r="A1663" t="s">
        <v>1995</v>
      </c>
      <c r="B1663" t="s">
        <v>199</v>
      </c>
      <c r="C1663" s="8">
        <v>46211</v>
      </c>
      <c r="D1663" t="s">
        <v>324</v>
      </c>
      <c r="E1663" t="s">
        <v>328</v>
      </c>
      <c r="F1663" s="12">
        <v>695083</v>
      </c>
      <c r="G1663" s="12" t="str">
        <f>VLOOKUP(Table2[[#This Row],[MemberID]],Table1[#All],3,0)</f>
        <v>Gold</v>
      </c>
      <c r="H1663" s="13">
        <v>69</v>
      </c>
    </row>
    <row r="1664" spans="1:8">
      <c r="A1664" t="s">
        <v>1996</v>
      </c>
      <c r="B1664" t="s">
        <v>134</v>
      </c>
      <c r="C1664" s="8">
        <v>46273</v>
      </c>
      <c r="D1664" t="s">
        <v>327</v>
      </c>
      <c r="E1664" t="s">
        <v>339</v>
      </c>
      <c r="F1664" s="12">
        <v>29223</v>
      </c>
      <c r="G1664" s="12" t="str">
        <f>VLOOKUP(Table2[[#This Row],[MemberID]],Table1[#All],3,0)</f>
        <v>Silver</v>
      </c>
      <c r="H1664" s="13">
        <v>2</v>
      </c>
    </row>
    <row r="1665" spans="1:8">
      <c r="A1665" t="s">
        <v>1997</v>
      </c>
      <c r="B1665" t="s">
        <v>142</v>
      </c>
      <c r="C1665" s="8">
        <v>46033</v>
      </c>
      <c r="D1665" t="s">
        <v>327</v>
      </c>
      <c r="E1665" t="s">
        <v>325</v>
      </c>
      <c r="F1665" s="12">
        <v>649938</v>
      </c>
      <c r="G1665" s="12" t="str">
        <f>VLOOKUP(Table2[[#This Row],[MemberID]],Table1[#All],3,0)</f>
        <v>Silver</v>
      </c>
      <c r="H1665" s="13">
        <v>64</v>
      </c>
    </row>
    <row r="1666" spans="1:8">
      <c r="A1666" t="s">
        <v>1998</v>
      </c>
      <c r="B1666" t="s">
        <v>115</v>
      </c>
      <c r="C1666" s="8">
        <v>46068</v>
      </c>
      <c r="D1666" t="s">
        <v>342</v>
      </c>
      <c r="E1666" t="s">
        <v>322</v>
      </c>
      <c r="F1666" s="12">
        <v>272582</v>
      </c>
      <c r="G1666" s="12" t="str">
        <f>VLOOKUP(Table2[[#This Row],[MemberID]],Table1[#All],3,0)</f>
        <v>Gold</v>
      </c>
      <c r="H1666" s="13">
        <v>27</v>
      </c>
    </row>
    <row r="1667" spans="1:8">
      <c r="A1667" t="s">
        <v>1999</v>
      </c>
      <c r="B1667" t="s">
        <v>243</v>
      </c>
      <c r="C1667" s="8">
        <v>46010</v>
      </c>
      <c r="D1667" t="s">
        <v>321</v>
      </c>
      <c r="E1667" t="s">
        <v>339</v>
      </c>
      <c r="F1667" s="12">
        <v>558680</v>
      </c>
      <c r="G1667" s="12" t="str">
        <f>VLOOKUP(Table2[[#This Row],[MemberID]],Table1[#All],3,0)</f>
        <v>Silver</v>
      </c>
      <c r="H1667" s="13">
        <v>55</v>
      </c>
    </row>
    <row r="1668" spans="1:8">
      <c r="A1668" t="s">
        <v>2000</v>
      </c>
      <c r="B1668" t="s">
        <v>16</v>
      </c>
      <c r="C1668" s="8">
        <v>45969</v>
      </c>
      <c r="D1668" t="s">
        <v>350</v>
      </c>
      <c r="E1668" t="s">
        <v>328</v>
      </c>
      <c r="F1668" s="12">
        <v>210902</v>
      </c>
      <c r="G1668" s="12" t="str">
        <f>VLOOKUP(Table2[[#This Row],[MemberID]],Table1[#All],3,0)</f>
        <v>Gold</v>
      </c>
      <c r="H1668" s="13">
        <v>21</v>
      </c>
    </row>
    <row r="1669" spans="1:8">
      <c r="A1669" t="s">
        <v>2001</v>
      </c>
      <c r="B1669" t="s">
        <v>170</v>
      </c>
      <c r="C1669" s="8">
        <v>46216</v>
      </c>
      <c r="D1669" t="s">
        <v>342</v>
      </c>
      <c r="E1669" t="s">
        <v>339</v>
      </c>
      <c r="F1669" s="12">
        <v>442343</v>
      </c>
      <c r="G1669" s="12" t="str">
        <f>VLOOKUP(Table2[[#This Row],[MemberID]],Table1[#All],3,0)</f>
        <v>Silver</v>
      </c>
      <c r="H1669" s="13">
        <v>44</v>
      </c>
    </row>
    <row r="1670" spans="1:8">
      <c r="A1670" t="s">
        <v>2002</v>
      </c>
      <c r="B1670" t="s">
        <v>149</v>
      </c>
      <c r="C1670" s="8">
        <v>46290</v>
      </c>
      <c r="D1670" t="s">
        <v>350</v>
      </c>
      <c r="E1670" t="s">
        <v>328</v>
      </c>
      <c r="F1670" s="12">
        <v>230533</v>
      </c>
      <c r="G1670" s="12" t="str">
        <f>VLOOKUP(Table2[[#This Row],[MemberID]],Table1[#All],3,0)</f>
        <v>Gold</v>
      </c>
      <c r="H1670" s="13">
        <v>23</v>
      </c>
    </row>
    <row r="1671" spans="1:8">
      <c r="A1671" t="s">
        <v>2003</v>
      </c>
      <c r="B1671" t="s">
        <v>126</v>
      </c>
      <c r="C1671" s="8">
        <v>45945</v>
      </c>
      <c r="D1671" t="s">
        <v>327</v>
      </c>
      <c r="E1671" t="s">
        <v>339</v>
      </c>
      <c r="F1671" s="12">
        <v>272942</v>
      </c>
      <c r="G1671" s="12" t="str">
        <f>VLOOKUP(Table2[[#This Row],[MemberID]],Table1[#All],3,0)</f>
        <v>Silver</v>
      </c>
      <c r="H1671" s="13">
        <v>27</v>
      </c>
    </row>
    <row r="1672" spans="1:8">
      <c r="A1672" t="s">
        <v>2004</v>
      </c>
      <c r="B1672" t="s">
        <v>237</v>
      </c>
      <c r="C1672" s="8">
        <v>46014</v>
      </c>
      <c r="D1672" t="s">
        <v>342</v>
      </c>
      <c r="E1672" t="s">
        <v>322</v>
      </c>
      <c r="F1672" s="12">
        <v>111231</v>
      </c>
      <c r="G1672" s="12" t="str">
        <f>VLOOKUP(Table2[[#This Row],[MemberID]],Table1[#All],3,0)</f>
        <v>Silver</v>
      </c>
      <c r="H1672" s="13">
        <v>11</v>
      </c>
    </row>
    <row r="1673" spans="1:8">
      <c r="A1673" t="s">
        <v>2005</v>
      </c>
      <c r="B1673" t="s">
        <v>6</v>
      </c>
      <c r="C1673" s="8">
        <v>46204</v>
      </c>
      <c r="D1673" t="s">
        <v>332</v>
      </c>
      <c r="E1673" t="s">
        <v>334</v>
      </c>
      <c r="F1673" s="12">
        <v>78745</v>
      </c>
      <c r="G1673" s="12" t="str">
        <f>VLOOKUP(Table2[[#This Row],[MemberID]],Table1[#All],3,0)</f>
        <v>Silver</v>
      </c>
      <c r="H1673" s="13">
        <v>7</v>
      </c>
    </row>
    <row r="1674" spans="1:8">
      <c r="A1674" t="s">
        <v>2006</v>
      </c>
      <c r="B1674" t="s">
        <v>57</v>
      </c>
      <c r="C1674" s="8">
        <v>46261</v>
      </c>
      <c r="D1674" t="s">
        <v>327</v>
      </c>
      <c r="E1674" t="s">
        <v>334</v>
      </c>
      <c r="F1674" s="12">
        <v>287528</v>
      </c>
      <c r="G1674" s="12" t="str">
        <f>VLOOKUP(Table2[[#This Row],[MemberID]],Table1[#All],3,0)</f>
        <v>Gold</v>
      </c>
      <c r="H1674" s="13">
        <v>28</v>
      </c>
    </row>
    <row r="1675" spans="1:8">
      <c r="A1675" t="s">
        <v>2007</v>
      </c>
      <c r="B1675" t="s">
        <v>233</v>
      </c>
      <c r="C1675" s="8">
        <v>45964</v>
      </c>
      <c r="D1675" t="s">
        <v>350</v>
      </c>
      <c r="E1675" t="s">
        <v>325</v>
      </c>
      <c r="F1675" s="12">
        <v>832872</v>
      </c>
      <c r="G1675" s="12" t="str">
        <f>VLOOKUP(Table2[[#This Row],[MemberID]],Table1[#All],3,0)</f>
        <v>Gold</v>
      </c>
      <c r="H1675" s="13">
        <v>83</v>
      </c>
    </row>
    <row r="1676" spans="1:8">
      <c r="A1676" t="s">
        <v>2008</v>
      </c>
      <c r="B1676" t="s">
        <v>23</v>
      </c>
      <c r="C1676" s="8">
        <v>46095</v>
      </c>
      <c r="D1676" t="s">
        <v>350</v>
      </c>
      <c r="E1676" t="s">
        <v>322</v>
      </c>
      <c r="F1676" s="12">
        <v>416284</v>
      </c>
      <c r="G1676" s="12" t="str">
        <f>VLOOKUP(Table2[[#This Row],[MemberID]],Table1[#All],3,0)</f>
        <v>Silver</v>
      </c>
      <c r="H1676" s="13">
        <v>41</v>
      </c>
    </row>
    <row r="1677" spans="1:8">
      <c r="A1677" t="s">
        <v>2009</v>
      </c>
      <c r="B1677" t="s">
        <v>48</v>
      </c>
      <c r="C1677" s="8">
        <v>45933</v>
      </c>
      <c r="D1677" t="s">
        <v>342</v>
      </c>
      <c r="E1677" t="s">
        <v>322</v>
      </c>
      <c r="F1677" s="12">
        <v>577265</v>
      </c>
      <c r="G1677" s="12" t="str">
        <f>VLOOKUP(Table2[[#This Row],[MemberID]],Table1[#All],3,0)</f>
        <v>Gold</v>
      </c>
      <c r="H1677" s="13">
        <v>57</v>
      </c>
    </row>
    <row r="1678" spans="1:8">
      <c r="A1678" t="s">
        <v>2010</v>
      </c>
      <c r="B1678" t="s">
        <v>204</v>
      </c>
      <c r="C1678" s="8">
        <v>46174</v>
      </c>
      <c r="D1678" t="s">
        <v>321</v>
      </c>
      <c r="E1678" t="s">
        <v>339</v>
      </c>
      <c r="F1678" s="12">
        <v>56301</v>
      </c>
      <c r="G1678" s="12" t="str">
        <f>VLOOKUP(Table2[[#This Row],[MemberID]],Table1[#All],3,0)</f>
        <v>Silver</v>
      </c>
      <c r="H1678" s="13">
        <v>5</v>
      </c>
    </row>
    <row r="1679" spans="1:8">
      <c r="A1679" t="s">
        <v>2011</v>
      </c>
      <c r="B1679" t="s">
        <v>142</v>
      </c>
      <c r="C1679" s="8">
        <v>46202</v>
      </c>
      <c r="D1679" t="s">
        <v>324</v>
      </c>
      <c r="E1679" t="s">
        <v>325</v>
      </c>
      <c r="F1679" s="12">
        <v>80289</v>
      </c>
      <c r="G1679" s="12" t="str">
        <f>VLOOKUP(Table2[[#This Row],[MemberID]],Table1[#All],3,0)</f>
        <v>Silver</v>
      </c>
      <c r="H1679" s="13">
        <v>8</v>
      </c>
    </row>
    <row r="1680" spans="1:8">
      <c r="A1680" t="s">
        <v>2012</v>
      </c>
      <c r="B1680" t="s">
        <v>167</v>
      </c>
      <c r="C1680" s="8">
        <v>45935</v>
      </c>
      <c r="D1680" t="s">
        <v>342</v>
      </c>
      <c r="E1680" t="s">
        <v>337</v>
      </c>
      <c r="F1680" s="12">
        <v>534816</v>
      </c>
      <c r="G1680" s="12" t="str">
        <f>VLOOKUP(Table2[[#This Row],[MemberID]],Table1[#All],3,0)</f>
        <v>Silver</v>
      </c>
      <c r="H1680" s="13">
        <v>53</v>
      </c>
    </row>
    <row r="1681" spans="1:8">
      <c r="A1681" t="s">
        <v>2013</v>
      </c>
      <c r="B1681" t="s">
        <v>139</v>
      </c>
      <c r="C1681" s="8">
        <v>46014</v>
      </c>
      <c r="D1681" t="s">
        <v>324</v>
      </c>
      <c r="E1681" t="s">
        <v>337</v>
      </c>
      <c r="F1681" s="12">
        <v>400625</v>
      </c>
      <c r="G1681" s="12" t="str">
        <f>VLOOKUP(Table2[[#This Row],[MemberID]],Table1[#All],3,0)</f>
        <v>Silver</v>
      </c>
      <c r="H1681" s="13">
        <v>40</v>
      </c>
    </row>
    <row r="1682" spans="1:8">
      <c r="A1682" t="s">
        <v>2014</v>
      </c>
      <c r="B1682" t="s">
        <v>69</v>
      </c>
      <c r="C1682" s="8">
        <v>45986</v>
      </c>
      <c r="D1682" t="s">
        <v>330</v>
      </c>
      <c r="E1682" t="s">
        <v>328</v>
      </c>
      <c r="F1682" s="12">
        <v>413966</v>
      </c>
      <c r="G1682" s="12" t="str">
        <f>VLOOKUP(Table2[[#This Row],[MemberID]],Table1[#All],3,0)</f>
        <v>Gold</v>
      </c>
      <c r="H1682" s="13">
        <v>41</v>
      </c>
    </row>
    <row r="1683" spans="1:8">
      <c r="A1683" t="s">
        <v>2015</v>
      </c>
      <c r="B1683" t="s">
        <v>278</v>
      </c>
      <c r="C1683" s="8">
        <v>46107</v>
      </c>
      <c r="D1683" t="s">
        <v>321</v>
      </c>
      <c r="E1683" t="s">
        <v>325</v>
      </c>
      <c r="F1683" s="12">
        <v>430396</v>
      </c>
      <c r="G1683" s="12" t="str">
        <f>VLOOKUP(Table2[[#This Row],[MemberID]],Table1[#All],3,0)</f>
        <v>Silver</v>
      </c>
      <c r="H1683" s="13">
        <v>43</v>
      </c>
    </row>
    <row r="1684" spans="1:8">
      <c r="A1684" t="s">
        <v>2016</v>
      </c>
      <c r="B1684" t="s">
        <v>259</v>
      </c>
      <c r="C1684" s="8">
        <v>46016</v>
      </c>
      <c r="D1684" t="s">
        <v>321</v>
      </c>
      <c r="E1684" t="s">
        <v>325</v>
      </c>
      <c r="F1684" s="12">
        <v>90370</v>
      </c>
      <c r="G1684" s="12" t="str">
        <f>VLOOKUP(Table2[[#This Row],[MemberID]],Table1[#All],3,0)</f>
        <v>Gold</v>
      </c>
      <c r="H1684" s="13">
        <v>9</v>
      </c>
    </row>
    <row r="1685" spans="1:8">
      <c r="A1685" t="s">
        <v>2017</v>
      </c>
      <c r="B1685" t="s">
        <v>23</v>
      </c>
      <c r="C1685" s="8">
        <v>46236</v>
      </c>
      <c r="D1685" t="s">
        <v>324</v>
      </c>
      <c r="E1685" t="s">
        <v>325</v>
      </c>
      <c r="F1685" s="12">
        <v>43948</v>
      </c>
      <c r="G1685" s="12" t="str">
        <f>VLOOKUP(Table2[[#This Row],[MemberID]],Table1[#All],3,0)</f>
        <v>Silver</v>
      </c>
      <c r="H1685" s="13">
        <v>4</v>
      </c>
    </row>
    <row r="1686" spans="1:8">
      <c r="A1686" t="s">
        <v>2018</v>
      </c>
      <c r="B1686" t="s">
        <v>301</v>
      </c>
      <c r="C1686" s="8">
        <v>46105</v>
      </c>
      <c r="D1686" t="s">
        <v>332</v>
      </c>
      <c r="E1686" t="s">
        <v>322</v>
      </c>
      <c r="F1686" s="12">
        <v>58669</v>
      </c>
      <c r="G1686" s="12" t="str">
        <f>VLOOKUP(Table2[[#This Row],[MemberID]],Table1[#All],3,0)</f>
        <v>Silver</v>
      </c>
      <c r="H1686" s="13">
        <v>5</v>
      </c>
    </row>
    <row r="1687" spans="1:8">
      <c r="A1687" t="s">
        <v>2019</v>
      </c>
      <c r="B1687" t="s">
        <v>280</v>
      </c>
      <c r="C1687" s="8">
        <v>46052</v>
      </c>
      <c r="D1687" t="s">
        <v>342</v>
      </c>
      <c r="E1687" t="s">
        <v>322</v>
      </c>
      <c r="F1687" s="12">
        <v>103655</v>
      </c>
      <c r="G1687" s="12" t="str">
        <f>VLOOKUP(Table2[[#This Row],[MemberID]],Table1[#All],3,0)</f>
        <v>Silver</v>
      </c>
      <c r="H1687" s="13">
        <v>10</v>
      </c>
    </row>
    <row r="1688" spans="1:8">
      <c r="A1688" t="s">
        <v>2020</v>
      </c>
      <c r="B1688" t="s">
        <v>49</v>
      </c>
      <c r="C1688" s="8">
        <v>46242</v>
      </c>
      <c r="D1688" t="s">
        <v>332</v>
      </c>
      <c r="E1688" t="s">
        <v>322</v>
      </c>
      <c r="F1688" s="12">
        <v>64491</v>
      </c>
      <c r="G1688" s="12" t="str">
        <f>VLOOKUP(Table2[[#This Row],[MemberID]],Table1[#All],3,0)</f>
        <v>Silver</v>
      </c>
      <c r="H1688" s="13">
        <v>6</v>
      </c>
    </row>
    <row r="1689" spans="1:8">
      <c r="A1689" t="s">
        <v>2021</v>
      </c>
      <c r="B1689" t="s">
        <v>212</v>
      </c>
      <c r="C1689" s="8">
        <v>46025</v>
      </c>
      <c r="D1689" t="s">
        <v>344</v>
      </c>
      <c r="E1689" t="s">
        <v>339</v>
      </c>
      <c r="F1689" s="12">
        <v>290723</v>
      </c>
      <c r="G1689" s="12" t="str">
        <f>VLOOKUP(Table2[[#This Row],[MemberID]],Table1[#All],3,0)</f>
        <v>Silver</v>
      </c>
      <c r="H1689" s="13">
        <v>29</v>
      </c>
    </row>
    <row r="1690" spans="1:8">
      <c r="A1690" t="s">
        <v>2022</v>
      </c>
      <c r="B1690" t="s">
        <v>103</v>
      </c>
      <c r="C1690" s="8">
        <v>46016</v>
      </c>
      <c r="D1690" t="s">
        <v>321</v>
      </c>
      <c r="E1690" t="s">
        <v>334</v>
      </c>
      <c r="F1690" s="12">
        <v>97346</v>
      </c>
      <c r="G1690" s="12" t="str">
        <f>VLOOKUP(Table2[[#This Row],[MemberID]],Table1[#All],3,0)</f>
        <v>Silver</v>
      </c>
      <c r="H1690" s="13">
        <v>9</v>
      </c>
    </row>
    <row r="1691" spans="1:8">
      <c r="A1691" t="s">
        <v>2023</v>
      </c>
      <c r="B1691" t="s">
        <v>111</v>
      </c>
      <c r="C1691" s="8">
        <v>45998</v>
      </c>
      <c r="D1691" t="s">
        <v>332</v>
      </c>
      <c r="E1691" t="s">
        <v>339</v>
      </c>
      <c r="F1691" s="12">
        <v>123631</v>
      </c>
      <c r="G1691" s="12" t="str">
        <f>VLOOKUP(Table2[[#This Row],[MemberID]],Table1[#All],3,0)</f>
        <v>Platinum</v>
      </c>
      <c r="H1691" s="13">
        <v>12</v>
      </c>
    </row>
    <row r="1692" spans="1:8">
      <c r="A1692" t="s">
        <v>2024</v>
      </c>
      <c r="B1692" t="s">
        <v>266</v>
      </c>
      <c r="C1692" s="8">
        <v>45980</v>
      </c>
      <c r="D1692" t="s">
        <v>321</v>
      </c>
      <c r="E1692" t="s">
        <v>339</v>
      </c>
      <c r="F1692" s="12">
        <v>157823</v>
      </c>
      <c r="G1692" s="12" t="str">
        <f>VLOOKUP(Table2[[#This Row],[MemberID]],Table1[#All],3,0)</f>
        <v>Silver</v>
      </c>
      <c r="H1692" s="13">
        <v>15</v>
      </c>
    </row>
    <row r="1693" spans="1:8">
      <c r="A1693" t="s">
        <v>2025</v>
      </c>
      <c r="B1693" t="s">
        <v>195</v>
      </c>
      <c r="C1693" s="8">
        <v>45933</v>
      </c>
      <c r="D1693" t="s">
        <v>324</v>
      </c>
      <c r="E1693" t="s">
        <v>328</v>
      </c>
      <c r="F1693" s="12">
        <v>195952</v>
      </c>
      <c r="G1693" s="12" t="str">
        <f>VLOOKUP(Table2[[#This Row],[MemberID]],Table1[#All],3,0)</f>
        <v>Gold</v>
      </c>
      <c r="H1693" s="13">
        <v>19</v>
      </c>
    </row>
    <row r="1694" spans="1:8">
      <c r="A1694" t="s">
        <v>2026</v>
      </c>
      <c r="B1694" t="s">
        <v>22</v>
      </c>
      <c r="C1694" s="8">
        <v>46259</v>
      </c>
      <c r="D1694" t="s">
        <v>344</v>
      </c>
      <c r="E1694" t="s">
        <v>322</v>
      </c>
      <c r="F1694" s="12">
        <v>169706</v>
      </c>
      <c r="G1694" s="12" t="str">
        <f>VLOOKUP(Table2[[#This Row],[MemberID]],Table1[#All],3,0)</f>
        <v>Gold</v>
      </c>
      <c r="H1694" s="13">
        <v>16</v>
      </c>
    </row>
    <row r="1695" spans="1:8">
      <c r="A1695" t="s">
        <v>2027</v>
      </c>
      <c r="B1695" t="s">
        <v>200</v>
      </c>
      <c r="C1695" s="8">
        <v>46221</v>
      </c>
      <c r="D1695" t="s">
        <v>344</v>
      </c>
      <c r="E1695" t="s">
        <v>325</v>
      </c>
      <c r="F1695" s="12">
        <v>203600</v>
      </c>
      <c r="G1695" s="12" t="str">
        <f>VLOOKUP(Table2[[#This Row],[MemberID]],Table1[#All],3,0)</f>
        <v>Silver</v>
      </c>
      <c r="H1695" s="13">
        <v>20</v>
      </c>
    </row>
    <row r="1696" spans="1:8">
      <c r="A1696" t="s">
        <v>2028</v>
      </c>
      <c r="B1696" t="s">
        <v>23</v>
      </c>
      <c r="C1696" s="8">
        <v>45995</v>
      </c>
      <c r="D1696" t="s">
        <v>324</v>
      </c>
      <c r="E1696" t="s">
        <v>339</v>
      </c>
      <c r="F1696" s="12">
        <v>716588</v>
      </c>
      <c r="G1696" s="12" t="str">
        <f>VLOOKUP(Table2[[#This Row],[MemberID]],Table1[#All],3,0)</f>
        <v>Silver</v>
      </c>
      <c r="H1696" s="13">
        <v>71</v>
      </c>
    </row>
    <row r="1697" spans="1:8">
      <c r="A1697" t="s">
        <v>2029</v>
      </c>
      <c r="B1697" t="s">
        <v>198</v>
      </c>
      <c r="C1697" s="8">
        <v>46270</v>
      </c>
      <c r="D1697" t="s">
        <v>321</v>
      </c>
      <c r="E1697" t="s">
        <v>339</v>
      </c>
      <c r="F1697" s="12">
        <v>250716</v>
      </c>
      <c r="G1697" s="12" t="str">
        <f>VLOOKUP(Table2[[#This Row],[MemberID]],Table1[#All],3,0)</f>
        <v>Silver</v>
      </c>
      <c r="H1697" s="13">
        <v>25</v>
      </c>
    </row>
    <row r="1698" spans="1:8">
      <c r="A1698" t="s">
        <v>2030</v>
      </c>
      <c r="B1698" t="s">
        <v>51</v>
      </c>
      <c r="C1698" s="8">
        <v>46004</v>
      </c>
      <c r="D1698" t="s">
        <v>324</v>
      </c>
      <c r="E1698" t="s">
        <v>325</v>
      </c>
      <c r="F1698" s="12">
        <v>357245</v>
      </c>
      <c r="G1698" s="12" t="str">
        <f>VLOOKUP(Table2[[#This Row],[MemberID]],Table1[#All],3,0)</f>
        <v>Gold</v>
      </c>
      <c r="H1698" s="13">
        <v>35</v>
      </c>
    </row>
    <row r="1699" spans="1:8">
      <c r="A1699" t="s">
        <v>2031</v>
      </c>
      <c r="B1699" t="s">
        <v>74</v>
      </c>
      <c r="C1699" s="8">
        <v>46062</v>
      </c>
      <c r="D1699" t="s">
        <v>350</v>
      </c>
      <c r="E1699" t="s">
        <v>322</v>
      </c>
      <c r="F1699" s="12">
        <v>139824</v>
      </c>
      <c r="G1699" s="12" t="str">
        <f>VLOOKUP(Table2[[#This Row],[MemberID]],Table1[#All],3,0)</f>
        <v>Platinum</v>
      </c>
      <c r="H1699" s="13">
        <v>13</v>
      </c>
    </row>
    <row r="1700" spans="1:8">
      <c r="A1700" t="s">
        <v>2032</v>
      </c>
      <c r="B1700" t="s">
        <v>94</v>
      </c>
      <c r="C1700" s="8">
        <v>46129</v>
      </c>
      <c r="D1700" t="s">
        <v>342</v>
      </c>
      <c r="E1700" t="s">
        <v>337</v>
      </c>
      <c r="F1700" s="12">
        <v>361838</v>
      </c>
      <c r="G1700" s="12" t="str">
        <f>VLOOKUP(Table2[[#This Row],[MemberID]],Table1[#All],3,0)</f>
        <v>Silver</v>
      </c>
      <c r="H1700" s="13">
        <v>36</v>
      </c>
    </row>
    <row r="1701" spans="1:8">
      <c r="A1701" t="s">
        <v>2033</v>
      </c>
      <c r="B1701" t="s">
        <v>312</v>
      </c>
      <c r="C1701" s="8">
        <v>46139</v>
      </c>
      <c r="D1701" t="s">
        <v>344</v>
      </c>
      <c r="E1701" t="s">
        <v>334</v>
      </c>
      <c r="F1701" s="12">
        <v>129648</v>
      </c>
      <c r="G1701" s="12" t="str">
        <f>VLOOKUP(Table2[[#This Row],[MemberID]],Table1[#All],3,0)</f>
        <v>Gold</v>
      </c>
      <c r="H1701" s="13">
        <v>12</v>
      </c>
    </row>
    <row r="1702" spans="1:8">
      <c r="A1702" t="s">
        <v>2034</v>
      </c>
      <c r="B1702" t="s">
        <v>302</v>
      </c>
      <c r="C1702" s="8">
        <v>46262</v>
      </c>
      <c r="D1702" t="s">
        <v>324</v>
      </c>
      <c r="E1702" t="s">
        <v>339</v>
      </c>
      <c r="F1702" s="12">
        <v>103691</v>
      </c>
      <c r="G1702" s="12" t="str">
        <f>VLOOKUP(Table2[[#This Row],[MemberID]],Table1[#All],3,0)</f>
        <v>Gold</v>
      </c>
      <c r="H1702" s="13">
        <v>10</v>
      </c>
    </row>
    <row r="1703" spans="1:8">
      <c r="A1703" t="s">
        <v>2035</v>
      </c>
      <c r="B1703" t="s">
        <v>25</v>
      </c>
      <c r="C1703" s="8">
        <v>46290</v>
      </c>
      <c r="D1703" t="s">
        <v>342</v>
      </c>
      <c r="E1703" t="s">
        <v>337</v>
      </c>
      <c r="F1703" s="12">
        <v>25329</v>
      </c>
      <c r="G1703" s="12" t="str">
        <f>VLOOKUP(Table2[[#This Row],[MemberID]],Table1[#All],3,0)</f>
        <v>Silver</v>
      </c>
      <c r="H1703" s="13">
        <v>2</v>
      </c>
    </row>
    <row r="1704" spans="1:8">
      <c r="A1704" t="s">
        <v>2036</v>
      </c>
      <c r="B1704" t="s">
        <v>200</v>
      </c>
      <c r="C1704" s="8">
        <v>46225</v>
      </c>
      <c r="D1704" t="s">
        <v>350</v>
      </c>
      <c r="E1704" t="s">
        <v>334</v>
      </c>
      <c r="F1704" s="12">
        <v>383836</v>
      </c>
      <c r="G1704" s="12" t="str">
        <f>VLOOKUP(Table2[[#This Row],[MemberID]],Table1[#All],3,0)</f>
        <v>Silver</v>
      </c>
      <c r="H1704" s="13">
        <v>38</v>
      </c>
    </row>
    <row r="1705" spans="1:8">
      <c r="A1705" t="s">
        <v>2037</v>
      </c>
      <c r="B1705" t="s">
        <v>28</v>
      </c>
      <c r="C1705" s="8">
        <v>45984</v>
      </c>
      <c r="D1705" t="s">
        <v>330</v>
      </c>
      <c r="E1705" t="s">
        <v>328</v>
      </c>
      <c r="F1705" s="12">
        <v>228872</v>
      </c>
      <c r="G1705" s="12" t="str">
        <f>VLOOKUP(Table2[[#This Row],[MemberID]],Table1[#All],3,0)</f>
        <v>Gold</v>
      </c>
      <c r="H1705" s="13">
        <v>22</v>
      </c>
    </row>
    <row r="1706" spans="1:8">
      <c r="A1706" t="s">
        <v>2038</v>
      </c>
      <c r="B1706" t="s">
        <v>259</v>
      </c>
      <c r="C1706" s="8">
        <v>46065</v>
      </c>
      <c r="D1706" t="s">
        <v>350</v>
      </c>
      <c r="E1706" t="s">
        <v>339</v>
      </c>
      <c r="F1706" s="12">
        <v>121775</v>
      </c>
      <c r="G1706" s="12" t="str">
        <f>VLOOKUP(Table2[[#This Row],[MemberID]],Table1[#All],3,0)</f>
        <v>Gold</v>
      </c>
      <c r="H1706" s="13">
        <v>12</v>
      </c>
    </row>
    <row r="1707" spans="1:8">
      <c r="A1707" t="s">
        <v>2039</v>
      </c>
      <c r="B1707" t="s">
        <v>51</v>
      </c>
      <c r="C1707" s="8">
        <v>46107</v>
      </c>
      <c r="D1707" t="s">
        <v>330</v>
      </c>
      <c r="E1707" t="s">
        <v>337</v>
      </c>
      <c r="F1707" s="12">
        <v>161822</v>
      </c>
      <c r="G1707" s="12" t="str">
        <f>VLOOKUP(Table2[[#This Row],[MemberID]],Table1[#All],3,0)</f>
        <v>Gold</v>
      </c>
      <c r="H1707" s="13">
        <v>16</v>
      </c>
    </row>
    <row r="1708" spans="1:8">
      <c r="A1708" t="s">
        <v>2040</v>
      </c>
      <c r="B1708" t="s">
        <v>275</v>
      </c>
      <c r="C1708" s="8">
        <v>46233</v>
      </c>
      <c r="D1708" t="s">
        <v>321</v>
      </c>
      <c r="E1708" t="s">
        <v>325</v>
      </c>
      <c r="F1708" s="12">
        <v>498452</v>
      </c>
      <c r="G1708" s="12" t="str">
        <f>VLOOKUP(Table2[[#This Row],[MemberID]],Table1[#All],3,0)</f>
        <v>Silver</v>
      </c>
      <c r="H1708" s="13">
        <v>49</v>
      </c>
    </row>
    <row r="1709" spans="1:8">
      <c r="A1709" t="s">
        <v>2041</v>
      </c>
      <c r="B1709" t="s">
        <v>186</v>
      </c>
      <c r="C1709" s="8">
        <v>45933</v>
      </c>
      <c r="D1709" t="s">
        <v>344</v>
      </c>
      <c r="E1709" t="s">
        <v>339</v>
      </c>
      <c r="F1709" s="12">
        <v>587060</v>
      </c>
      <c r="G1709" s="12" t="str">
        <f>VLOOKUP(Table2[[#This Row],[MemberID]],Table1[#All],3,0)</f>
        <v>Silver</v>
      </c>
      <c r="H1709" s="13">
        <v>58</v>
      </c>
    </row>
    <row r="1710" spans="1:8">
      <c r="A1710" t="s">
        <v>2042</v>
      </c>
      <c r="B1710" t="s">
        <v>49</v>
      </c>
      <c r="C1710" s="8">
        <v>46041</v>
      </c>
      <c r="D1710" t="s">
        <v>350</v>
      </c>
      <c r="E1710" t="s">
        <v>339</v>
      </c>
      <c r="F1710" s="12">
        <v>25079</v>
      </c>
      <c r="G1710" s="12" t="str">
        <f>VLOOKUP(Table2[[#This Row],[MemberID]],Table1[#All],3,0)</f>
        <v>Silver</v>
      </c>
      <c r="H1710" s="13">
        <v>2</v>
      </c>
    </row>
    <row r="1711" spans="1:8">
      <c r="A1711" t="s">
        <v>2043</v>
      </c>
      <c r="B1711" t="s">
        <v>240</v>
      </c>
      <c r="C1711" s="8">
        <v>45960</v>
      </c>
      <c r="D1711" t="s">
        <v>342</v>
      </c>
      <c r="E1711" t="s">
        <v>339</v>
      </c>
      <c r="F1711" s="12">
        <v>99263</v>
      </c>
      <c r="G1711" s="12" t="str">
        <f>VLOOKUP(Table2[[#This Row],[MemberID]],Table1[#All],3,0)</f>
        <v>Silver</v>
      </c>
      <c r="H1711" s="13">
        <v>9</v>
      </c>
    </row>
    <row r="1712" spans="1:8">
      <c r="A1712" t="s">
        <v>2044</v>
      </c>
      <c r="B1712" t="s">
        <v>115</v>
      </c>
      <c r="C1712" s="8">
        <v>46199</v>
      </c>
      <c r="D1712" t="s">
        <v>342</v>
      </c>
      <c r="E1712" t="s">
        <v>334</v>
      </c>
      <c r="F1712" s="12">
        <v>816514</v>
      </c>
      <c r="G1712" s="12" t="str">
        <f>VLOOKUP(Table2[[#This Row],[MemberID]],Table1[#All],3,0)</f>
        <v>Gold</v>
      </c>
      <c r="H1712" s="13">
        <v>81</v>
      </c>
    </row>
    <row r="1713" spans="1:8">
      <c r="A1713" t="s">
        <v>2045</v>
      </c>
      <c r="B1713" t="s">
        <v>90</v>
      </c>
      <c r="C1713" s="8">
        <v>46138</v>
      </c>
      <c r="D1713" t="s">
        <v>332</v>
      </c>
      <c r="E1713" t="s">
        <v>325</v>
      </c>
      <c r="F1713" s="12">
        <v>393909</v>
      </c>
      <c r="G1713" s="12" t="str">
        <f>VLOOKUP(Table2[[#This Row],[MemberID]],Table1[#All],3,0)</f>
        <v>Silver</v>
      </c>
      <c r="H1713" s="13">
        <v>39</v>
      </c>
    </row>
    <row r="1714" spans="1:8">
      <c r="A1714" t="s">
        <v>2046</v>
      </c>
      <c r="B1714" t="s">
        <v>154</v>
      </c>
      <c r="C1714" s="8">
        <v>46218</v>
      </c>
      <c r="D1714" t="s">
        <v>330</v>
      </c>
      <c r="E1714" t="s">
        <v>337</v>
      </c>
      <c r="F1714" s="12">
        <v>70741</v>
      </c>
      <c r="G1714" s="12" t="str">
        <f>VLOOKUP(Table2[[#This Row],[MemberID]],Table1[#All],3,0)</f>
        <v>Silver</v>
      </c>
      <c r="H1714" s="13">
        <v>7</v>
      </c>
    </row>
    <row r="1715" spans="1:8">
      <c r="A1715" t="s">
        <v>2047</v>
      </c>
      <c r="B1715" t="s">
        <v>173</v>
      </c>
      <c r="C1715" s="8">
        <v>46000</v>
      </c>
      <c r="D1715" t="s">
        <v>332</v>
      </c>
      <c r="E1715" t="s">
        <v>339</v>
      </c>
      <c r="F1715" s="12">
        <v>217733</v>
      </c>
      <c r="G1715" s="12" t="str">
        <f>VLOOKUP(Table2[[#This Row],[MemberID]],Table1[#All],3,0)</f>
        <v>Gold</v>
      </c>
      <c r="H1715" s="13">
        <v>21</v>
      </c>
    </row>
    <row r="1716" spans="1:8">
      <c r="A1716" t="s">
        <v>2048</v>
      </c>
      <c r="B1716" t="s">
        <v>249</v>
      </c>
      <c r="C1716" s="8">
        <v>46127</v>
      </c>
      <c r="D1716" t="s">
        <v>344</v>
      </c>
      <c r="E1716" t="s">
        <v>322</v>
      </c>
      <c r="F1716" s="12">
        <v>171903</v>
      </c>
      <c r="G1716" s="12" t="str">
        <f>VLOOKUP(Table2[[#This Row],[MemberID]],Table1[#All],3,0)</f>
        <v>Silver</v>
      </c>
      <c r="H1716" s="13">
        <v>17</v>
      </c>
    </row>
    <row r="1717" spans="1:8">
      <c r="A1717" t="s">
        <v>2049</v>
      </c>
      <c r="B1717" t="s">
        <v>94</v>
      </c>
      <c r="C1717" s="8">
        <v>46088</v>
      </c>
      <c r="D1717" t="s">
        <v>321</v>
      </c>
      <c r="E1717" t="s">
        <v>334</v>
      </c>
      <c r="F1717" s="12">
        <v>278459</v>
      </c>
      <c r="G1717" s="12" t="str">
        <f>VLOOKUP(Table2[[#This Row],[MemberID]],Table1[#All],3,0)</f>
        <v>Silver</v>
      </c>
      <c r="H1717" s="13">
        <v>27</v>
      </c>
    </row>
    <row r="1718" spans="1:8">
      <c r="A1718" t="s">
        <v>2050</v>
      </c>
      <c r="B1718" t="s">
        <v>262</v>
      </c>
      <c r="C1718" s="8">
        <v>46004</v>
      </c>
      <c r="D1718" t="s">
        <v>332</v>
      </c>
      <c r="E1718" t="s">
        <v>328</v>
      </c>
      <c r="F1718" s="12">
        <v>229968</v>
      </c>
      <c r="G1718" s="12" t="str">
        <f>VLOOKUP(Table2[[#This Row],[MemberID]],Table1[#All],3,0)</f>
        <v>Gold</v>
      </c>
      <c r="H1718" s="13">
        <v>22</v>
      </c>
    </row>
    <row r="1719" spans="1:8">
      <c r="A1719" t="s">
        <v>2051</v>
      </c>
      <c r="B1719" t="s">
        <v>205</v>
      </c>
      <c r="C1719" s="8">
        <v>46263</v>
      </c>
      <c r="D1719" t="s">
        <v>324</v>
      </c>
      <c r="E1719" t="s">
        <v>325</v>
      </c>
      <c r="F1719" s="12">
        <v>165177</v>
      </c>
      <c r="G1719" s="12" t="str">
        <f>VLOOKUP(Table2[[#This Row],[MemberID]],Table1[#All],3,0)</f>
        <v>Silver</v>
      </c>
      <c r="H1719" s="13">
        <v>16</v>
      </c>
    </row>
    <row r="1720" spans="1:8">
      <c r="A1720" t="s">
        <v>2052</v>
      </c>
      <c r="B1720" t="s">
        <v>249</v>
      </c>
      <c r="C1720" s="8">
        <v>46291</v>
      </c>
      <c r="D1720" t="s">
        <v>321</v>
      </c>
      <c r="E1720" t="s">
        <v>339</v>
      </c>
      <c r="F1720" s="12">
        <v>260256</v>
      </c>
      <c r="G1720" s="12" t="str">
        <f>VLOOKUP(Table2[[#This Row],[MemberID]],Table1[#All],3,0)</f>
        <v>Silver</v>
      </c>
      <c r="H1720" s="13">
        <v>26</v>
      </c>
    </row>
    <row r="1721" spans="1:8">
      <c r="A1721" t="s">
        <v>2053</v>
      </c>
      <c r="B1721" t="s">
        <v>102</v>
      </c>
      <c r="C1721" s="8">
        <v>45989</v>
      </c>
      <c r="D1721" t="s">
        <v>324</v>
      </c>
      <c r="E1721" t="s">
        <v>337</v>
      </c>
      <c r="F1721" s="12">
        <v>368987</v>
      </c>
      <c r="G1721" s="12" t="str">
        <f>VLOOKUP(Table2[[#This Row],[MemberID]],Table1[#All],3,0)</f>
        <v>Platinum</v>
      </c>
      <c r="H1721" s="13">
        <v>36</v>
      </c>
    </row>
    <row r="1722" spans="1:8">
      <c r="A1722" t="s">
        <v>2054</v>
      </c>
      <c r="B1722" t="s">
        <v>237</v>
      </c>
      <c r="C1722" s="8">
        <v>46116</v>
      </c>
      <c r="D1722" t="s">
        <v>342</v>
      </c>
      <c r="E1722" t="s">
        <v>339</v>
      </c>
      <c r="F1722" s="12">
        <v>551972</v>
      </c>
      <c r="G1722" s="12" t="str">
        <f>VLOOKUP(Table2[[#This Row],[MemberID]],Table1[#All],3,0)</f>
        <v>Silver</v>
      </c>
      <c r="H1722" s="13">
        <v>55</v>
      </c>
    </row>
    <row r="1723" spans="1:8">
      <c r="A1723" t="s">
        <v>2055</v>
      </c>
      <c r="B1723" t="s">
        <v>252</v>
      </c>
      <c r="C1723" s="8">
        <v>45985</v>
      </c>
      <c r="D1723" t="s">
        <v>327</v>
      </c>
      <c r="E1723" t="s">
        <v>339</v>
      </c>
      <c r="F1723" s="12">
        <v>187096</v>
      </c>
      <c r="G1723" s="12" t="str">
        <f>VLOOKUP(Table2[[#This Row],[MemberID]],Table1[#All],3,0)</f>
        <v>Silver</v>
      </c>
      <c r="H1723" s="13">
        <v>18</v>
      </c>
    </row>
    <row r="1724" spans="1:8">
      <c r="A1724" t="s">
        <v>2056</v>
      </c>
      <c r="B1724" t="s">
        <v>164</v>
      </c>
      <c r="C1724" s="8">
        <v>46215</v>
      </c>
      <c r="D1724" t="s">
        <v>324</v>
      </c>
      <c r="E1724" t="s">
        <v>328</v>
      </c>
      <c r="F1724" s="12">
        <v>117379</v>
      </c>
      <c r="G1724" s="12" t="str">
        <f>VLOOKUP(Table2[[#This Row],[MemberID]],Table1[#All],3,0)</f>
        <v>Silver</v>
      </c>
      <c r="H1724" s="13">
        <v>11</v>
      </c>
    </row>
    <row r="1725" spans="1:8">
      <c r="A1725" t="s">
        <v>2057</v>
      </c>
      <c r="B1725" t="s">
        <v>161</v>
      </c>
      <c r="C1725" s="8">
        <v>46038</v>
      </c>
      <c r="D1725" t="s">
        <v>324</v>
      </c>
      <c r="E1725" t="s">
        <v>337</v>
      </c>
      <c r="F1725" s="12">
        <v>631491</v>
      </c>
      <c r="G1725" s="12" t="str">
        <f>VLOOKUP(Table2[[#This Row],[MemberID]],Table1[#All],3,0)</f>
        <v>Gold</v>
      </c>
      <c r="H1725" s="13">
        <v>63</v>
      </c>
    </row>
    <row r="1726" spans="1:8">
      <c r="A1726" t="s">
        <v>2058</v>
      </c>
      <c r="B1726" t="s">
        <v>260</v>
      </c>
      <c r="C1726" s="8">
        <v>46043</v>
      </c>
      <c r="D1726" t="s">
        <v>324</v>
      </c>
      <c r="E1726" t="s">
        <v>334</v>
      </c>
      <c r="F1726" s="12">
        <v>286225</v>
      </c>
      <c r="G1726" s="12" t="str">
        <f>VLOOKUP(Table2[[#This Row],[MemberID]],Table1[#All],3,0)</f>
        <v>Silver</v>
      </c>
      <c r="H1726" s="13">
        <v>28</v>
      </c>
    </row>
    <row r="1727" spans="1:8">
      <c r="A1727" t="s">
        <v>2059</v>
      </c>
      <c r="B1727" t="s">
        <v>256</v>
      </c>
      <c r="C1727" s="8">
        <v>46200</v>
      </c>
      <c r="D1727" t="s">
        <v>324</v>
      </c>
      <c r="E1727" t="s">
        <v>325</v>
      </c>
      <c r="F1727" s="12">
        <v>386184</v>
      </c>
      <c r="G1727" s="12" t="str">
        <f>VLOOKUP(Table2[[#This Row],[MemberID]],Table1[#All],3,0)</f>
        <v>Gold</v>
      </c>
      <c r="H1727" s="13">
        <v>38</v>
      </c>
    </row>
    <row r="1728" spans="1:8">
      <c r="A1728" t="s">
        <v>2060</v>
      </c>
      <c r="B1728" t="s">
        <v>41</v>
      </c>
      <c r="C1728" s="8">
        <v>46106</v>
      </c>
      <c r="D1728" t="s">
        <v>342</v>
      </c>
      <c r="E1728" t="s">
        <v>339</v>
      </c>
      <c r="F1728" s="12">
        <v>543334</v>
      </c>
      <c r="G1728" s="12" t="str">
        <f>VLOOKUP(Table2[[#This Row],[MemberID]],Table1[#All],3,0)</f>
        <v>Gold</v>
      </c>
      <c r="H1728" s="13">
        <v>54</v>
      </c>
    </row>
    <row r="1729" spans="1:8">
      <c r="A1729" t="s">
        <v>2061</v>
      </c>
      <c r="B1729" t="s">
        <v>89</v>
      </c>
      <c r="C1729" s="8">
        <v>45948</v>
      </c>
      <c r="D1729" t="s">
        <v>342</v>
      </c>
      <c r="E1729" t="s">
        <v>337</v>
      </c>
      <c r="F1729" s="12">
        <v>473329</v>
      </c>
      <c r="G1729" s="12" t="str">
        <f>VLOOKUP(Table2[[#This Row],[MemberID]],Table1[#All],3,0)</f>
        <v>Platinum</v>
      </c>
      <c r="H1729" s="13">
        <v>47</v>
      </c>
    </row>
    <row r="1730" spans="1:8">
      <c r="A1730" t="s">
        <v>2062</v>
      </c>
      <c r="B1730" t="s">
        <v>126</v>
      </c>
      <c r="C1730" s="8">
        <v>46204</v>
      </c>
      <c r="D1730" t="s">
        <v>344</v>
      </c>
      <c r="E1730" t="s">
        <v>328</v>
      </c>
      <c r="F1730" s="12">
        <v>234249</v>
      </c>
      <c r="G1730" s="12" t="str">
        <f>VLOOKUP(Table2[[#This Row],[MemberID]],Table1[#All],3,0)</f>
        <v>Silver</v>
      </c>
      <c r="H1730" s="13">
        <v>23</v>
      </c>
    </row>
    <row r="1731" spans="1:8">
      <c r="A1731" t="s">
        <v>2063</v>
      </c>
      <c r="B1731" t="s">
        <v>251</v>
      </c>
      <c r="C1731" s="8">
        <v>46176</v>
      </c>
      <c r="D1731" t="s">
        <v>321</v>
      </c>
      <c r="E1731" t="s">
        <v>328</v>
      </c>
      <c r="F1731" s="12">
        <v>362708</v>
      </c>
      <c r="G1731" s="12" t="str">
        <f>VLOOKUP(Table2[[#This Row],[MemberID]],Table1[#All],3,0)</f>
        <v>Gold</v>
      </c>
      <c r="H1731" s="13">
        <v>36</v>
      </c>
    </row>
    <row r="1732" spans="1:8">
      <c r="A1732" t="s">
        <v>2064</v>
      </c>
      <c r="B1732" t="s">
        <v>257</v>
      </c>
      <c r="C1732" s="8">
        <v>46008</v>
      </c>
      <c r="D1732" t="s">
        <v>321</v>
      </c>
      <c r="E1732" t="s">
        <v>334</v>
      </c>
      <c r="F1732" s="12">
        <v>107701</v>
      </c>
      <c r="G1732" s="12" t="str">
        <f>VLOOKUP(Table2[[#This Row],[MemberID]],Table1[#All],3,0)</f>
        <v>Gold</v>
      </c>
      <c r="H1732" s="13">
        <v>10</v>
      </c>
    </row>
    <row r="1733" spans="1:8">
      <c r="A1733" t="s">
        <v>2065</v>
      </c>
      <c r="B1733" t="s">
        <v>197</v>
      </c>
      <c r="C1733" s="8">
        <v>46174</v>
      </c>
      <c r="D1733" t="s">
        <v>327</v>
      </c>
      <c r="E1733" t="s">
        <v>334</v>
      </c>
      <c r="F1733" s="12">
        <v>359828</v>
      </c>
      <c r="G1733" s="12" t="str">
        <f>VLOOKUP(Table2[[#This Row],[MemberID]],Table1[#All],3,0)</f>
        <v>Silver</v>
      </c>
      <c r="H1733" s="13">
        <v>35</v>
      </c>
    </row>
    <row r="1734" spans="1:8">
      <c r="A1734" t="s">
        <v>2066</v>
      </c>
      <c r="B1734" t="s">
        <v>129</v>
      </c>
      <c r="C1734" s="8">
        <v>46058</v>
      </c>
      <c r="D1734" t="s">
        <v>342</v>
      </c>
      <c r="E1734" t="s">
        <v>334</v>
      </c>
      <c r="F1734" s="12">
        <v>342186</v>
      </c>
      <c r="G1734" s="12" t="str">
        <f>VLOOKUP(Table2[[#This Row],[MemberID]],Table1[#All],3,0)</f>
        <v>Silver</v>
      </c>
      <c r="H1734" s="13">
        <v>34</v>
      </c>
    </row>
    <row r="1735" spans="1:8">
      <c r="A1735" t="s">
        <v>2067</v>
      </c>
      <c r="B1735" t="s">
        <v>253</v>
      </c>
      <c r="C1735" s="8">
        <v>46215</v>
      </c>
      <c r="D1735" t="s">
        <v>342</v>
      </c>
      <c r="E1735" t="s">
        <v>325</v>
      </c>
      <c r="F1735" s="12">
        <v>105750</v>
      </c>
      <c r="G1735" s="12" t="str">
        <f>VLOOKUP(Table2[[#This Row],[MemberID]],Table1[#All],3,0)</f>
        <v>Silver</v>
      </c>
      <c r="H1735" s="13">
        <v>10</v>
      </c>
    </row>
    <row r="1736" spans="1:8">
      <c r="A1736" t="s">
        <v>2068</v>
      </c>
      <c r="B1736" t="s">
        <v>148</v>
      </c>
      <c r="C1736" s="8">
        <v>46250</v>
      </c>
      <c r="D1736" t="s">
        <v>344</v>
      </c>
      <c r="E1736" t="s">
        <v>339</v>
      </c>
      <c r="F1736" s="12">
        <v>259984</v>
      </c>
      <c r="G1736" s="12" t="str">
        <f>VLOOKUP(Table2[[#This Row],[MemberID]],Table1[#All],3,0)</f>
        <v>Gold</v>
      </c>
      <c r="H1736" s="13">
        <v>25</v>
      </c>
    </row>
    <row r="1737" spans="1:8">
      <c r="A1737" t="s">
        <v>2069</v>
      </c>
      <c r="B1737" t="s">
        <v>104</v>
      </c>
      <c r="C1737" s="8">
        <v>46165</v>
      </c>
      <c r="D1737" t="s">
        <v>321</v>
      </c>
      <c r="E1737" t="s">
        <v>339</v>
      </c>
      <c r="F1737" s="12">
        <v>73572</v>
      </c>
      <c r="G1737" s="12" t="str">
        <f>VLOOKUP(Table2[[#This Row],[MemberID]],Table1[#All],3,0)</f>
        <v>Gold</v>
      </c>
      <c r="H1737" s="13">
        <v>7</v>
      </c>
    </row>
    <row r="1738" spans="1:8">
      <c r="A1738" t="s">
        <v>2070</v>
      </c>
      <c r="B1738" t="s">
        <v>6</v>
      </c>
      <c r="C1738" s="8">
        <v>46095</v>
      </c>
      <c r="D1738" t="s">
        <v>330</v>
      </c>
      <c r="E1738" t="s">
        <v>337</v>
      </c>
      <c r="F1738" s="12">
        <v>584340</v>
      </c>
      <c r="G1738" s="12" t="str">
        <f>VLOOKUP(Table2[[#This Row],[MemberID]],Table1[#All],3,0)</f>
        <v>Silver</v>
      </c>
      <c r="H1738" s="13">
        <v>58</v>
      </c>
    </row>
    <row r="1739" spans="1:8">
      <c r="A1739" t="s">
        <v>2071</v>
      </c>
      <c r="B1739" t="s">
        <v>84</v>
      </c>
      <c r="C1739" s="8">
        <v>46025</v>
      </c>
      <c r="D1739" t="s">
        <v>321</v>
      </c>
      <c r="E1739" t="s">
        <v>328</v>
      </c>
      <c r="F1739" s="12">
        <v>239007</v>
      </c>
      <c r="G1739" s="12" t="str">
        <f>VLOOKUP(Table2[[#This Row],[MemberID]],Table1[#All],3,0)</f>
        <v>Silver</v>
      </c>
      <c r="H1739" s="13">
        <v>23</v>
      </c>
    </row>
    <row r="1740" spans="1:8">
      <c r="A1740" t="s">
        <v>2072</v>
      </c>
      <c r="B1740" t="s">
        <v>135</v>
      </c>
      <c r="C1740" s="8">
        <v>46157</v>
      </c>
      <c r="D1740" t="s">
        <v>330</v>
      </c>
      <c r="E1740" t="s">
        <v>325</v>
      </c>
      <c r="F1740" s="12">
        <v>363102</v>
      </c>
      <c r="G1740" s="12" t="str">
        <f>VLOOKUP(Table2[[#This Row],[MemberID]],Table1[#All],3,0)</f>
        <v>Silver</v>
      </c>
      <c r="H1740" s="13">
        <v>36</v>
      </c>
    </row>
    <row r="1741" spans="1:8">
      <c r="A1741" t="s">
        <v>2073</v>
      </c>
      <c r="B1741" t="s">
        <v>154</v>
      </c>
      <c r="C1741" s="8">
        <v>46224</v>
      </c>
      <c r="D1741" t="s">
        <v>321</v>
      </c>
      <c r="E1741" t="s">
        <v>322</v>
      </c>
      <c r="F1741" s="12">
        <v>252774</v>
      </c>
      <c r="G1741" s="12" t="str">
        <f>VLOOKUP(Table2[[#This Row],[MemberID]],Table1[#All],3,0)</f>
        <v>Silver</v>
      </c>
      <c r="H1741" s="13">
        <v>25</v>
      </c>
    </row>
    <row r="1742" spans="1:8">
      <c r="A1742" t="s">
        <v>2074</v>
      </c>
      <c r="B1742" t="s">
        <v>256</v>
      </c>
      <c r="C1742" s="8">
        <v>46119</v>
      </c>
      <c r="D1742" t="s">
        <v>342</v>
      </c>
      <c r="E1742" t="s">
        <v>339</v>
      </c>
      <c r="F1742" s="12">
        <v>180852</v>
      </c>
      <c r="G1742" s="12" t="str">
        <f>VLOOKUP(Table2[[#This Row],[MemberID]],Table1[#All],3,0)</f>
        <v>Gold</v>
      </c>
      <c r="H1742" s="13">
        <v>18</v>
      </c>
    </row>
    <row r="1743" spans="1:8">
      <c r="A1743" t="s">
        <v>2075</v>
      </c>
      <c r="B1743" t="s">
        <v>48</v>
      </c>
      <c r="C1743" s="8">
        <v>46045</v>
      </c>
      <c r="D1743" t="s">
        <v>344</v>
      </c>
      <c r="E1743" t="s">
        <v>334</v>
      </c>
      <c r="F1743" s="12">
        <v>223073</v>
      </c>
      <c r="G1743" s="12" t="str">
        <f>VLOOKUP(Table2[[#This Row],[MemberID]],Table1[#All],3,0)</f>
        <v>Gold</v>
      </c>
      <c r="H1743" s="13">
        <v>22</v>
      </c>
    </row>
    <row r="1744" spans="1:8">
      <c r="A1744" t="s">
        <v>2076</v>
      </c>
      <c r="B1744" t="s">
        <v>284</v>
      </c>
      <c r="C1744" s="8">
        <v>46159</v>
      </c>
      <c r="D1744" t="s">
        <v>342</v>
      </c>
      <c r="E1744" t="s">
        <v>328</v>
      </c>
      <c r="F1744" s="12">
        <v>146379</v>
      </c>
      <c r="G1744" s="12" t="str">
        <f>VLOOKUP(Table2[[#This Row],[MemberID]],Table1[#All],3,0)</f>
        <v>Silver</v>
      </c>
      <c r="H1744" s="13">
        <v>14</v>
      </c>
    </row>
    <row r="1745" spans="1:8">
      <c r="A1745" t="s">
        <v>2077</v>
      </c>
      <c r="B1745" t="s">
        <v>96</v>
      </c>
      <c r="C1745" s="8">
        <v>46133</v>
      </c>
      <c r="D1745" t="s">
        <v>327</v>
      </c>
      <c r="E1745" t="s">
        <v>339</v>
      </c>
      <c r="F1745" s="12">
        <v>444150</v>
      </c>
      <c r="G1745" s="12" t="str">
        <f>VLOOKUP(Table2[[#This Row],[MemberID]],Table1[#All],3,0)</f>
        <v>Silver</v>
      </c>
      <c r="H1745" s="13">
        <v>44</v>
      </c>
    </row>
    <row r="1746" spans="1:8">
      <c r="A1746" t="s">
        <v>2078</v>
      </c>
      <c r="B1746" t="s">
        <v>127</v>
      </c>
      <c r="C1746" s="8">
        <v>46021</v>
      </c>
      <c r="D1746" t="s">
        <v>327</v>
      </c>
      <c r="E1746" t="s">
        <v>322</v>
      </c>
      <c r="F1746" s="12">
        <v>362020</v>
      </c>
      <c r="G1746" s="12" t="str">
        <f>VLOOKUP(Table2[[#This Row],[MemberID]],Table1[#All],3,0)</f>
        <v>Platinum</v>
      </c>
      <c r="H1746" s="13">
        <v>36</v>
      </c>
    </row>
    <row r="1747" spans="1:8">
      <c r="A1747" t="s">
        <v>2079</v>
      </c>
      <c r="B1747" t="s">
        <v>52</v>
      </c>
      <c r="C1747" s="8">
        <v>46173</v>
      </c>
      <c r="D1747" t="s">
        <v>324</v>
      </c>
      <c r="E1747" t="s">
        <v>322</v>
      </c>
      <c r="F1747" s="12">
        <v>314468</v>
      </c>
      <c r="G1747" s="12" t="str">
        <f>VLOOKUP(Table2[[#This Row],[MemberID]],Table1[#All],3,0)</f>
        <v>Gold</v>
      </c>
      <c r="H1747" s="13">
        <v>31</v>
      </c>
    </row>
    <row r="1748" spans="1:8">
      <c r="A1748" t="s">
        <v>2080</v>
      </c>
      <c r="B1748" t="s">
        <v>105</v>
      </c>
      <c r="C1748" s="8">
        <v>45991</v>
      </c>
      <c r="D1748" t="s">
        <v>330</v>
      </c>
      <c r="E1748" t="s">
        <v>328</v>
      </c>
      <c r="F1748" s="12">
        <v>331313</v>
      </c>
      <c r="G1748" s="12" t="str">
        <f>VLOOKUP(Table2[[#This Row],[MemberID]],Table1[#All],3,0)</f>
        <v>Silver</v>
      </c>
      <c r="H1748" s="13">
        <v>33</v>
      </c>
    </row>
    <row r="1749" spans="1:8">
      <c r="A1749" t="s">
        <v>2081</v>
      </c>
      <c r="B1749" t="s">
        <v>267</v>
      </c>
      <c r="C1749" s="8">
        <v>46278</v>
      </c>
      <c r="D1749" t="s">
        <v>332</v>
      </c>
      <c r="E1749" t="s">
        <v>334</v>
      </c>
      <c r="F1749" s="12">
        <v>251529</v>
      </c>
      <c r="G1749" s="12" t="str">
        <f>VLOOKUP(Table2[[#This Row],[MemberID]],Table1[#All],3,0)</f>
        <v>Silver</v>
      </c>
      <c r="H1749" s="13">
        <v>25</v>
      </c>
    </row>
    <row r="1750" spans="1:8">
      <c r="A1750" t="s">
        <v>2082</v>
      </c>
      <c r="B1750" t="s">
        <v>211</v>
      </c>
      <c r="C1750" s="8">
        <v>46228</v>
      </c>
      <c r="D1750" t="s">
        <v>321</v>
      </c>
      <c r="E1750" t="s">
        <v>337</v>
      </c>
      <c r="F1750" s="12">
        <v>208130</v>
      </c>
      <c r="G1750" s="12" t="str">
        <f>VLOOKUP(Table2[[#This Row],[MemberID]],Table1[#All],3,0)</f>
        <v>Platinum</v>
      </c>
      <c r="H1750" s="13">
        <v>20</v>
      </c>
    </row>
    <row r="1751" spans="1:8">
      <c r="A1751" t="s">
        <v>2083</v>
      </c>
      <c r="B1751" t="s">
        <v>232</v>
      </c>
      <c r="C1751" s="8">
        <v>46221</v>
      </c>
      <c r="D1751" t="s">
        <v>330</v>
      </c>
      <c r="E1751" t="s">
        <v>339</v>
      </c>
      <c r="F1751" s="12">
        <v>46851</v>
      </c>
      <c r="G1751" s="12" t="str">
        <f>VLOOKUP(Table2[[#This Row],[MemberID]],Table1[#All],3,0)</f>
        <v>Silver</v>
      </c>
      <c r="H1751" s="13">
        <v>4</v>
      </c>
    </row>
    <row r="1752" spans="1:8">
      <c r="A1752" t="s">
        <v>2084</v>
      </c>
      <c r="B1752" t="s">
        <v>160</v>
      </c>
      <c r="C1752" s="8">
        <v>45984</v>
      </c>
      <c r="D1752" t="s">
        <v>332</v>
      </c>
      <c r="E1752" t="s">
        <v>337</v>
      </c>
      <c r="F1752" s="12">
        <v>42599</v>
      </c>
      <c r="G1752" s="12" t="str">
        <f>VLOOKUP(Table2[[#This Row],[MemberID]],Table1[#All],3,0)</f>
        <v>Silver</v>
      </c>
      <c r="H1752" s="13">
        <v>4</v>
      </c>
    </row>
    <row r="1753" spans="1:8">
      <c r="A1753" t="s">
        <v>2085</v>
      </c>
      <c r="B1753" t="s">
        <v>273</v>
      </c>
      <c r="C1753" s="8">
        <v>46076</v>
      </c>
      <c r="D1753" t="s">
        <v>330</v>
      </c>
      <c r="E1753" t="s">
        <v>325</v>
      </c>
      <c r="F1753" s="12">
        <v>447129</v>
      </c>
      <c r="G1753" s="12" t="str">
        <f>VLOOKUP(Table2[[#This Row],[MemberID]],Table1[#All],3,0)</f>
        <v>Silver</v>
      </c>
      <c r="H1753" s="13">
        <v>44</v>
      </c>
    </row>
    <row r="1754" spans="1:8">
      <c r="A1754" t="s">
        <v>2086</v>
      </c>
      <c r="B1754" t="s">
        <v>207</v>
      </c>
      <c r="C1754" s="8">
        <v>46106</v>
      </c>
      <c r="D1754" t="s">
        <v>332</v>
      </c>
      <c r="E1754" t="s">
        <v>334</v>
      </c>
      <c r="F1754" s="12">
        <v>177754</v>
      </c>
      <c r="G1754" s="12" t="str">
        <f>VLOOKUP(Table2[[#This Row],[MemberID]],Table1[#All],3,0)</f>
        <v>Gold</v>
      </c>
      <c r="H1754" s="13">
        <v>17</v>
      </c>
    </row>
    <row r="1755" spans="1:8">
      <c r="A1755" t="s">
        <v>2087</v>
      </c>
      <c r="B1755" t="s">
        <v>67</v>
      </c>
      <c r="C1755" s="8">
        <v>46101</v>
      </c>
      <c r="D1755" t="s">
        <v>321</v>
      </c>
      <c r="E1755" t="s">
        <v>339</v>
      </c>
      <c r="F1755" s="12">
        <v>361661</v>
      </c>
      <c r="G1755" s="12" t="str">
        <f>VLOOKUP(Table2[[#This Row],[MemberID]],Table1[#All],3,0)</f>
        <v>Platinum</v>
      </c>
      <c r="H1755" s="13">
        <v>36</v>
      </c>
    </row>
    <row r="1756" spans="1:8">
      <c r="A1756" t="s">
        <v>2088</v>
      </c>
      <c r="B1756" t="s">
        <v>294</v>
      </c>
      <c r="C1756" s="8">
        <v>46076</v>
      </c>
      <c r="D1756" t="s">
        <v>321</v>
      </c>
      <c r="E1756" t="s">
        <v>339</v>
      </c>
      <c r="F1756" s="12">
        <v>203572</v>
      </c>
      <c r="G1756" s="12" t="str">
        <f>VLOOKUP(Table2[[#This Row],[MemberID]],Table1[#All],3,0)</f>
        <v>Gold</v>
      </c>
      <c r="H1756" s="13">
        <v>20</v>
      </c>
    </row>
    <row r="1757" spans="1:8">
      <c r="A1757" t="s">
        <v>2089</v>
      </c>
      <c r="B1757" t="s">
        <v>240</v>
      </c>
      <c r="C1757" s="8">
        <v>46245</v>
      </c>
      <c r="D1757" t="s">
        <v>321</v>
      </c>
      <c r="E1757" t="s">
        <v>339</v>
      </c>
      <c r="F1757" s="12">
        <v>189623</v>
      </c>
      <c r="G1757" s="12" t="str">
        <f>VLOOKUP(Table2[[#This Row],[MemberID]],Table1[#All],3,0)</f>
        <v>Silver</v>
      </c>
      <c r="H1757" s="13">
        <v>18</v>
      </c>
    </row>
    <row r="1758" spans="1:8">
      <c r="A1758" t="s">
        <v>2090</v>
      </c>
      <c r="B1758" t="s">
        <v>52</v>
      </c>
      <c r="C1758" s="8">
        <v>46033</v>
      </c>
      <c r="D1758" t="s">
        <v>344</v>
      </c>
      <c r="E1758" t="s">
        <v>334</v>
      </c>
      <c r="F1758" s="12">
        <v>272778</v>
      </c>
      <c r="G1758" s="12" t="str">
        <f>VLOOKUP(Table2[[#This Row],[MemberID]],Table1[#All],3,0)</f>
        <v>Gold</v>
      </c>
      <c r="H1758" s="13">
        <v>27</v>
      </c>
    </row>
    <row r="1759" spans="1:8">
      <c r="A1759" t="s">
        <v>2091</v>
      </c>
      <c r="B1759" t="s">
        <v>97</v>
      </c>
      <c r="C1759" s="8">
        <v>46091</v>
      </c>
      <c r="D1759" t="s">
        <v>350</v>
      </c>
      <c r="E1759" t="s">
        <v>325</v>
      </c>
      <c r="F1759" s="12">
        <v>261131</v>
      </c>
      <c r="G1759" s="12" t="str">
        <f>VLOOKUP(Table2[[#This Row],[MemberID]],Table1[#All],3,0)</f>
        <v>Silver</v>
      </c>
      <c r="H1759" s="13">
        <v>26</v>
      </c>
    </row>
    <row r="1760" spans="1:8">
      <c r="A1760" t="s">
        <v>2092</v>
      </c>
      <c r="B1760" t="s">
        <v>207</v>
      </c>
      <c r="C1760" s="8">
        <v>46287</v>
      </c>
      <c r="D1760" t="s">
        <v>344</v>
      </c>
      <c r="E1760" t="s">
        <v>334</v>
      </c>
      <c r="F1760" s="12">
        <v>160001</v>
      </c>
      <c r="G1760" s="12" t="str">
        <f>VLOOKUP(Table2[[#This Row],[MemberID]],Table1[#All],3,0)</f>
        <v>Gold</v>
      </c>
      <c r="H1760" s="13">
        <v>16</v>
      </c>
    </row>
    <row r="1761" spans="1:8">
      <c r="A1761" t="s">
        <v>2093</v>
      </c>
      <c r="B1761" t="s">
        <v>178</v>
      </c>
      <c r="C1761" s="8">
        <v>46007</v>
      </c>
      <c r="D1761" t="s">
        <v>327</v>
      </c>
      <c r="E1761" t="s">
        <v>325</v>
      </c>
      <c r="F1761" s="12">
        <v>191174</v>
      </c>
      <c r="G1761" s="12" t="str">
        <f>VLOOKUP(Table2[[#This Row],[MemberID]],Table1[#All],3,0)</f>
        <v>Silver</v>
      </c>
      <c r="H1761" s="13">
        <v>19</v>
      </c>
    </row>
    <row r="1762" spans="1:8">
      <c r="A1762" t="s">
        <v>2094</v>
      </c>
      <c r="B1762" t="s">
        <v>217</v>
      </c>
      <c r="C1762" s="8">
        <v>46212</v>
      </c>
      <c r="D1762" t="s">
        <v>324</v>
      </c>
      <c r="E1762" t="s">
        <v>334</v>
      </c>
      <c r="F1762" s="12">
        <v>152751</v>
      </c>
      <c r="G1762" s="12" t="str">
        <f>VLOOKUP(Table2[[#This Row],[MemberID]],Table1[#All],3,0)</f>
        <v>Gold</v>
      </c>
      <c r="H1762" s="13">
        <v>15</v>
      </c>
    </row>
    <row r="1763" spans="1:8">
      <c r="A1763" t="s">
        <v>2095</v>
      </c>
      <c r="B1763" t="s">
        <v>46</v>
      </c>
      <c r="C1763" s="8">
        <v>46105</v>
      </c>
      <c r="D1763" t="s">
        <v>321</v>
      </c>
      <c r="E1763" t="s">
        <v>328</v>
      </c>
      <c r="F1763" s="12">
        <v>89251</v>
      </c>
      <c r="G1763" s="12" t="str">
        <f>VLOOKUP(Table2[[#This Row],[MemberID]],Table1[#All],3,0)</f>
        <v>Silver</v>
      </c>
      <c r="H1763" s="13">
        <v>8</v>
      </c>
    </row>
    <row r="1764" spans="1:8">
      <c r="A1764" t="s">
        <v>2096</v>
      </c>
      <c r="B1764" t="s">
        <v>269</v>
      </c>
      <c r="C1764" s="8">
        <v>46287</v>
      </c>
      <c r="D1764" t="s">
        <v>327</v>
      </c>
      <c r="E1764" t="s">
        <v>339</v>
      </c>
      <c r="F1764" s="12">
        <v>50516</v>
      </c>
      <c r="G1764" s="12" t="str">
        <f>VLOOKUP(Table2[[#This Row],[MemberID]],Table1[#All],3,0)</f>
        <v>Platinum</v>
      </c>
      <c r="H1764" s="13">
        <v>5</v>
      </c>
    </row>
    <row r="1765" spans="1:8">
      <c r="A1765" t="s">
        <v>2097</v>
      </c>
      <c r="B1765" t="s">
        <v>63</v>
      </c>
      <c r="C1765" s="8">
        <v>46094</v>
      </c>
      <c r="D1765" t="s">
        <v>327</v>
      </c>
      <c r="E1765" t="s">
        <v>325</v>
      </c>
      <c r="F1765" s="12">
        <v>145721</v>
      </c>
      <c r="G1765" s="12" t="str">
        <f>VLOOKUP(Table2[[#This Row],[MemberID]],Table1[#All],3,0)</f>
        <v>Gold</v>
      </c>
      <c r="H1765" s="13">
        <v>14</v>
      </c>
    </row>
    <row r="1766" spans="1:8">
      <c r="A1766" t="s">
        <v>2098</v>
      </c>
      <c r="B1766" t="s">
        <v>122</v>
      </c>
      <c r="C1766" s="8">
        <v>45978</v>
      </c>
      <c r="D1766" t="s">
        <v>327</v>
      </c>
      <c r="E1766" t="s">
        <v>322</v>
      </c>
      <c r="F1766" s="12">
        <v>230314</v>
      </c>
      <c r="G1766" s="12" t="str">
        <f>VLOOKUP(Table2[[#This Row],[MemberID]],Table1[#All],3,0)</f>
        <v>Gold</v>
      </c>
      <c r="H1766" s="13">
        <v>23</v>
      </c>
    </row>
    <row r="1767" spans="1:8">
      <c r="A1767" t="s">
        <v>2099</v>
      </c>
      <c r="B1767" t="s">
        <v>229</v>
      </c>
      <c r="C1767" s="8">
        <v>46202</v>
      </c>
      <c r="D1767" t="s">
        <v>324</v>
      </c>
      <c r="E1767" t="s">
        <v>334</v>
      </c>
      <c r="F1767" s="12">
        <v>71847</v>
      </c>
      <c r="G1767" s="12" t="str">
        <f>VLOOKUP(Table2[[#This Row],[MemberID]],Table1[#All],3,0)</f>
        <v>Silver</v>
      </c>
      <c r="H1767" s="13">
        <v>7</v>
      </c>
    </row>
    <row r="1768" spans="1:8">
      <c r="A1768" t="s">
        <v>2100</v>
      </c>
      <c r="B1768" t="s">
        <v>30</v>
      </c>
      <c r="C1768" s="8">
        <v>46097</v>
      </c>
      <c r="D1768" t="s">
        <v>342</v>
      </c>
      <c r="E1768" t="s">
        <v>322</v>
      </c>
      <c r="F1768" s="12">
        <v>462542</v>
      </c>
      <c r="G1768" s="12" t="str">
        <f>VLOOKUP(Table2[[#This Row],[MemberID]],Table1[#All],3,0)</f>
        <v>Silver</v>
      </c>
      <c r="H1768" s="13">
        <v>46</v>
      </c>
    </row>
    <row r="1769" spans="1:8">
      <c r="A1769" t="s">
        <v>2101</v>
      </c>
      <c r="B1769" t="s">
        <v>141</v>
      </c>
      <c r="C1769" s="8">
        <v>46030</v>
      </c>
      <c r="D1769" t="s">
        <v>342</v>
      </c>
      <c r="E1769" t="s">
        <v>337</v>
      </c>
      <c r="F1769" s="12">
        <v>157825</v>
      </c>
      <c r="G1769" s="12" t="str">
        <f>VLOOKUP(Table2[[#This Row],[MemberID]],Table1[#All],3,0)</f>
        <v>Silver</v>
      </c>
      <c r="H1769" s="13">
        <v>15</v>
      </c>
    </row>
    <row r="1770" spans="1:8">
      <c r="A1770" t="s">
        <v>2102</v>
      </c>
      <c r="B1770" t="s">
        <v>272</v>
      </c>
      <c r="C1770" s="8">
        <v>46251</v>
      </c>
      <c r="D1770" t="s">
        <v>330</v>
      </c>
      <c r="E1770" t="s">
        <v>334</v>
      </c>
      <c r="F1770" s="12">
        <v>574418</v>
      </c>
      <c r="G1770" s="12" t="str">
        <f>VLOOKUP(Table2[[#This Row],[MemberID]],Table1[#All],3,0)</f>
        <v>Silver</v>
      </c>
      <c r="H1770" s="13">
        <v>57</v>
      </c>
    </row>
    <row r="1771" spans="1:8">
      <c r="A1771" t="s">
        <v>2103</v>
      </c>
      <c r="B1771" t="s">
        <v>245</v>
      </c>
      <c r="C1771" s="8">
        <v>46085</v>
      </c>
      <c r="D1771" t="s">
        <v>330</v>
      </c>
      <c r="E1771" t="s">
        <v>339</v>
      </c>
      <c r="F1771" s="12">
        <v>209345</v>
      </c>
      <c r="G1771" s="12" t="str">
        <f>VLOOKUP(Table2[[#This Row],[MemberID]],Table1[#All],3,0)</f>
        <v>Silver</v>
      </c>
      <c r="H1771" s="13">
        <v>20</v>
      </c>
    </row>
    <row r="1772" spans="1:8">
      <c r="A1772" t="s">
        <v>2104</v>
      </c>
      <c r="B1772" t="s">
        <v>69</v>
      </c>
      <c r="C1772" s="8">
        <v>45956</v>
      </c>
      <c r="D1772" t="s">
        <v>330</v>
      </c>
      <c r="E1772" t="s">
        <v>337</v>
      </c>
      <c r="F1772" s="12">
        <v>140560</v>
      </c>
      <c r="G1772" s="12" t="str">
        <f>VLOOKUP(Table2[[#This Row],[MemberID]],Table1[#All],3,0)</f>
        <v>Gold</v>
      </c>
      <c r="H1772" s="13">
        <v>14</v>
      </c>
    </row>
    <row r="1773" spans="1:8">
      <c r="A1773" t="s">
        <v>2105</v>
      </c>
      <c r="B1773" t="s">
        <v>296</v>
      </c>
      <c r="C1773" s="8">
        <v>45981</v>
      </c>
      <c r="D1773" t="s">
        <v>344</v>
      </c>
      <c r="E1773" t="s">
        <v>322</v>
      </c>
      <c r="F1773" s="12">
        <v>411176</v>
      </c>
      <c r="G1773" s="12" t="str">
        <f>VLOOKUP(Table2[[#This Row],[MemberID]],Table1[#All],3,0)</f>
        <v>Silver</v>
      </c>
      <c r="H1773" s="13">
        <v>41</v>
      </c>
    </row>
    <row r="1774" spans="1:8">
      <c r="A1774" t="s">
        <v>2106</v>
      </c>
      <c r="B1774" t="s">
        <v>174</v>
      </c>
      <c r="C1774" s="8">
        <v>46107</v>
      </c>
      <c r="D1774" t="s">
        <v>330</v>
      </c>
      <c r="E1774" t="s">
        <v>325</v>
      </c>
      <c r="F1774" s="12">
        <v>126866</v>
      </c>
      <c r="G1774" s="12" t="str">
        <f>VLOOKUP(Table2[[#This Row],[MemberID]],Table1[#All],3,0)</f>
        <v>Silver</v>
      </c>
      <c r="H1774" s="13">
        <v>12</v>
      </c>
    </row>
    <row r="1775" spans="1:8">
      <c r="A1775" t="s">
        <v>2107</v>
      </c>
      <c r="B1775" t="s">
        <v>117</v>
      </c>
      <c r="C1775" s="8">
        <v>46172</v>
      </c>
      <c r="D1775" t="s">
        <v>327</v>
      </c>
      <c r="E1775" t="s">
        <v>325</v>
      </c>
      <c r="F1775" s="12">
        <v>106904</v>
      </c>
      <c r="G1775" s="12" t="str">
        <f>VLOOKUP(Table2[[#This Row],[MemberID]],Table1[#All],3,0)</f>
        <v>Silver</v>
      </c>
      <c r="H1775" s="13">
        <v>10</v>
      </c>
    </row>
    <row r="1776" spans="1:8">
      <c r="A1776" t="s">
        <v>2108</v>
      </c>
      <c r="B1776" t="s">
        <v>62</v>
      </c>
      <c r="C1776" s="8">
        <v>46143</v>
      </c>
      <c r="D1776" t="s">
        <v>321</v>
      </c>
      <c r="E1776" t="s">
        <v>325</v>
      </c>
      <c r="F1776" s="12">
        <v>283638</v>
      </c>
      <c r="G1776" s="12" t="str">
        <f>VLOOKUP(Table2[[#This Row],[MemberID]],Table1[#All],3,0)</f>
        <v>Silver</v>
      </c>
      <c r="H1776" s="13">
        <v>28</v>
      </c>
    </row>
    <row r="1777" spans="1:8">
      <c r="A1777" t="s">
        <v>2109</v>
      </c>
      <c r="B1777" t="s">
        <v>135</v>
      </c>
      <c r="C1777" s="8">
        <v>46097</v>
      </c>
      <c r="D1777" t="s">
        <v>324</v>
      </c>
      <c r="E1777" t="s">
        <v>339</v>
      </c>
      <c r="F1777" s="12">
        <v>330366</v>
      </c>
      <c r="G1777" s="12" t="str">
        <f>VLOOKUP(Table2[[#This Row],[MemberID]],Table1[#All],3,0)</f>
        <v>Silver</v>
      </c>
      <c r="H1777" s="13">
        <v>33</v>
      </c>
    </row>
    <row r="1778" spans="1:8">
      <c r="A1778" t="s">
        <v>2110</v>
      </c>
      <c r="B1778" t="s">
        <v>111</v>
      </c>
      <c r="C1778" s="8">
        <v>45958</v>
      </c>
      <c r="D1778" t="s">
        <v>330</v>
      </c>
      <c r="E1778" t="s">
        <v>325</v>
      </c>
      <c r="F1778" s="12">
        <v>77278</v>
      </c>
      <c r="G1778" s="12" t="str">
        <f>VLOOKUP(Table2[[#This Row],[MemberID]],Table1[#All],3,0)</f>
        <v>Platinum</v>
      </c>
      <c r="H1778" s="13">
        <v>7</v>
      </c>
    </row>
    <row r="1779" spans="1:8">
      <c r="A1779" t="s">
        <v>2111</v>
      </c>
      <c r="B1779" t="s">
        <v>37</v>
      </c>
      <c r="C1779" s="8">
        <v>46104</v>
      </c>
      <c r="D1779" t="s">
        <v>330</v>
      </c>
      <c r="E1779" t="s">
        <v>334</v>
      </c>
      <c r="F1779" s="12">
        <v>499884</v>
      </c>
      <c r="G1779" s="12" t="str">
        <f>VLOOKUP(Table2[[#This Row],[MemberID]],Table1[#All],3,0)</f>
        <v>Silver</v>
      </c>
      <c r="H1779" s="13">
        <v>49</v>
      </c>
    </row>
    <row r="1780" spans="1:8">
      <c r="A1780" t="s">
        <v>2112</v>
      </c>
      <c r="B1780" t="s">
        <v>255</v>
      </c>
      <c r="C1780" s="8">
        <v>46002</v>
      </c>
      <c r="D1780" t="s">
        <v>330</v>
      </c>
      <c r="E1780" t="s">
        <v>339</v>
      </c>
      <c r="F1780" s="12">
        <v>297842</v>
      </c>
      <c r="G1780" s="12" t="str">
        <f>VLOOKUP(Table2[[#This Row],[MemberID]],Table1[#All],3,0)</f>
        <v>Silver</v>
      </c>
      <c r="H1780" s="13">
        <v>29</v>
      </c>
    </row>
    <row r="1781" spans="1:8">
      <c r="A1781" t="s">
        <v>2113</v>
      </c>
      <c r="B1781" t="s">
        <v>67</v>
      </c>
      <c r="C1781" s="8">
        <v>46219</v>
      </c>
      <c r="D1781" t="s">
        <v>324</v>
      </c>
      <c r="E1781" t="s">
        <v>325</v>
      </c>
      <c r="F1781" s="12">
        <v>181304</v>
      </c>
      <c r="G1781" s="12" t="str">
        <f>VLOOKUP(Table2[[#This Row],[MemberID]],Table1[#All],3,0)</f>
        <v>Platinum</v>
      </c>
      <c r="H1781" s="13">
        <v>18</v>
      </c>
    </row>
    <row r="1782" spans="1:8">
      <c r="A1782" t="s">
        <v>2114</v>
      </c>
      <c r="B1782" t="s">
        <v>211</v>
      </c>
      <c r="C1782" s="8">
        <v>46236</v>
      </c>
      <c r="D1782" t="s">
        <v>350</v>
      </c>
      <c r="E1782" t="s">
        <v>334</v>
      </c>
      <c r="F1782" s="12">
        <v>496901</v>
      </c>
      <c r="G1782" s="12" t="str">
        <f>VLOOKUP(Table2[[#This Row],[MemberID]],Table1[#All],3,0)</f>
        <v>Platinum</v>
      </c>
      <c r="H1782" s="13">
        <v>49</v>
      </c>
    </row>
    <row r="1783" spans="1:8">
      <c r="A1783" t="s">
        <v>2115</v>
      </c>
      <c r="B1783" t="s">
        <v>110</v>
      </c>
      <c r="C1783" s="8">
        <v>45975</v>
      </c>
      <c r="D1783" t="s">
        <v>342</v>
      </c>
      <c r="E1783" t="s">
        <v>328</v>
      </c>
      <c r="F1783" s="12">
        <v>664776</v>
      </c>
      <c r="G1783" s="12" t="str">
        <f>VLOOKUP(Table2[[#This Row],[MemberID]],Table1[#All],3,0)</f>
        <v>Silver</v>
      </c>
      <c r="H1783" s="13">
        <v>66</v>
      </c>
    </row>
    <row r="1784" spans="1:8">
      <c r="A1784" t="s">
        <v>2116</v>
      </c>
      <c r="B1784" t="s">
        <v>190</v>
      </c>
      <c r="C1784" s="8">
        <v>46245</v>
      </c>
      <c r="D1784" t="s">
        <v>344</v>
      </c>
      <c r="E1784" t="s">
        <v>328</v>
      </c>
      <c r="F1784" s="12">
        <v>335246</v>
      </c>
      <c r="G1784" s="12" t="str">
        <f>VLOOKUP(Table2[[#This Row],[MemberID]],Table1[#All],3,0)</f>
        <v>Silver</v>
      </c>
      <c r="H1784" s="13">
        <v>33</v>
      </c>
    </row>
    <row r="1785" spans="1:8">
      <c r="A1785" t="s">
        <v>2117</v>
      </c>
      <c r="B1785" t="s">
        <v>219</v>
      </c>
      <c r="C1785" s="8">
        <v>46265</v>
      </c>
      <c r="D1785" t="s">
        <v>344</v>
      </c>
      <c r="E1785" t="s">
        <v>337</v>
      </c>
      <c r="F1785" s="12">
        <v>561991</v>
      </c>
      <c r="G1785" s="12" t="str">
        <f>VLOOKUP(Table2[[#This Row],[MemberID]],Table1[#All],3,0)</f>
        <v>Silver</v>
      </c>
      <c r="H1785" s="13">
        <v>56</v>
      </c>
    </row>
    <row r="1786" spans="1:8">
      <c r="A1786" t="s">
        <v>2118</v>
      </c>
      <c r="B1786" t="s">
        <v>258</v>
      </c>
      <c r="C1786" s="8">
        <v>46257</v>
      </c>
      <c r="D1786" t="s">
        <v>350</v>
      </c>
      <c r="E1786" t="s">
        <v>328</v>
      </c>
      <c r="F1786" s="12">
        <v>165588</v>
      </c>
      <c r="G1786" s="12" t="str">
        <f>VLOOKUP(Table2[[#This Row],[MemberID]],Table1[#All],3,0)</f>
        <v>Silver</v>
      </c>
      <c r="H1786" s="13">
        <v>16</v>
      </c>
    </row>
    <row r="1787" spans="1:8">
      <c r="A1787" t="s">
        <v>2119</v>
      </c>
      <c r="B1787" t="s">
        <v>12</v>
      </c>
      <c r="C1787" s="8">
        <v>45942</v>
      </c>
      <c r="D1787" t="s">
        <v>332</v>
      </c>
      <c r="E1787" t="s">
        <v>334</v>
      </c>
      <c r="F1787" s="12">
        <v>436776</v>
      </c>
      <c r="G1787" s="12" t="str">
        <f>VLOOKUP(Table2[[#This Row],[MemberID]],Table1[#All],3,0)</f>
        <v>Silver</v>
      </c>
      <c r="H1787" s="13">
        <v>43</v>
      </c>
    </row>
    <row r="1788" spans="1:8">
      <c r="A1788" t="s">
        <v>2120</v>
      </c>
      <c r="B1788" t="s">
        <v>6</v>
      </c>
      <c r="C1788" s="8">
        <v>46270</v>
      </c>
      <c r="D1788" t="s">
        <v>350</v>
      </c>
      <c r="E1788" t="s">
        <v>325</v>
      </c>
      <c r="F1788" s="12">
        <v>99470</v>
      </c>
      <c r="G1788" s="12" t="str">
        <f>VLOOKUP(Table2[[#This Row],[MemberID]],Table1[#All],3,0)</f>
        <v>Silver</v>
      </c>
      <c r="H1788" s="13">
        <v>9</v>
      </c>
    </row>
    <row r="1789" spans="1:8">
      <c r="A1789" t="s">
        <v>2121</v>
      </c>
      <c r="B1789" t="s">
        <v>185</v>
      </c>
      <c r="C1789" s="8">
        <v>46232</v>
      </c>
      <c r="D1789" t="s">
        <v>342</v>
      </c>
      <c r="E1789" t="s">
        <v>325</v>
      </c>
      <c r="F1789" s="12">
        <v>390232</v>
      </c>
      <c r="G1789" s="12" t="str">
        <f>VLOOKUP(Table2[[#This Row],[MemberID]],Table1[#All],3,0)</f>
        <v>Gold</v>
      </c>
      <c r="H1789" s="13">
        <v>39</v>
      </c>
    </row>
    <row r="1790" spans="1:8">
      <c r="A1790" t="s">
        <v>2122</v>
      </c>
      <c r="B1790" t="s">
        <v>46</v>
      </c>
      <c r="C1790" s="8">
        <v>46155</v>
      </c>
      <c r="D1790" t="s">
        <v>344</v>
      </c>
      <c r="E1790" t="s">
        <v>325</v>
      </c>
      <c r="F1790" s="12">
        <v>103159</v>
      </c>
      <c r="G1790" s="12" t="str">
        <f>VLOOKUP(Table2[[#This Row],[MemberID]],Table1[#All],3,0)</f>
        <v>Silver</v>
      </c>
      <c r="H1790" s="13">
        <v>10</v>
      </c>
    </row>
    <row r="1791" spans="1:8">
      <c r="A1791" t="s">
        <v>2123</v>
      </c>
      <c r="B1791" t="s">
        <v>255</v>
      </c>
      <c r="C1791" s="8">
        <v>46023</v>
      </c>
      <c r="D1791" t="s">
        <v>321</v>
      </c>
      <c r="E1791" t="s">
        <v>339</v>
      </c>
      <c r="F1791" s="12">
        <v>309787</v>
      </c>
      <c r="G1791" s="12" t="str">
        <f>VLOOKUP(Table2[[#This Row],[MemberID]],Table1[#All],3,0)</f>
        <v>Silver</v>
      </c>
      <c r="H1791" s="13">
        <v>30</v>
      </c>
    </row>
    <row r="1792" spans="1:8">
      <c r="A1792" t="s">
        <v>2124</v>
      </c>
      <c r="B1792" t="s">
        <v>274</v>
      </c>
      <c r="C1792" s="8">
        <v>45957</v>
      </c>
      <c r="D1792" t="s">
        <v>350</v>
      </c>
      <c r="E1792" t="s">
        <v>328</v>
      </c>
      <c r="F1792" s="12">
        <v>594339</v>
      </c>
      <c r="G1792" s="12" t="str">
        <f>VLOOKUP(Table2[[#This Row],[MemberID]],Table1[#All],3,0)</f>
        <v>Platinum</v>
      </c>
      <c r="H1792" s="13">
        <v>59</v>
      </c>
    </row>
    <row r="1793" spans="1:8">
      <c r="A1793" t="s">
        <v>2125</v>
      </c>
      <c r="B1793" t="s">
        <v>308</v>
      </c>
      <c r="C1793" s="8">
        <v>46035</v>
      </c>
      <c r="D1793" t="s">
        <v>332</v>
      </c>
      <c r="E1793" t="s">
        <v>334</v>
      </c>
      <c r="F1793" s="12">
        <v>256328</v>
      </c>
      <c r="G1793" s="12" t="str">
        <f>VLOOKUP(Table2[[#This Row],[MemberID]],Table1[#All],3,0)</f>
        <v>Silver</v>
      </c>
      <c r="H1793" s="13">
        <v>25</v>
      </c>
    </row>
    <row r="1794" spans="1:8">
      <c r="A1794" t="s">
        <v>2126</v>
      </c>
      <c r="B1794" t="s">
        <v>199</v>
      </c>
      <c r="C1794" s="8">
        <v>46116</v>
      </c>
      <c r="D1794" t="s">
        <v>324</v>
      </c>
      <c r="E1794" t="s">
        <v>328</v>
      </c>
      <c r="F1794" s="12">
        <v>767311</v>
      </c>
      <c r="G1794" s="12" t="str">
        <f>VLOOKUP(Table2[[#This Row],[MemberID]],Table1[#All],3,0)</f>
        <v>Gold</v>
      </c>
      <c r="H1794" s="13">
        <v>76</v>
      </c>
    </row>
    <row r="1795" spans="1:8">
      <c r="A1795" t="s">
        <v>2127</v>
      </c>
      <c r="B1795" t="s">
        <v>161</v>
      </c>
      <c r="C1795" s="8">
        <v>46211</v>
      </c>
      <c r="D1795" t="s">
        <v>327</v>
      </c>
      <c r="E1795" t="s">
        <v>337</v>
      </c>
      <c r="F1795" s="12">
        <v>123872</v>
      </c>
      <c r="G1795" s="12" t="str">
        <f>VLOOKUP(Table2[[#This Row],[MemberID]],Table1[#All],3,0)</f>
        <v>Gold</v>
      </c>
      <c r="H1795" s="13">
        <v>12</v>
      </c>
    </row>
    <row r="1796" spans="1:8">
      <c r="A1796" t="s">
        <v>2128</v>
      </c>
      <c r="B1796" t="s">
        <v>280</v>
      </c>
      <c r="C1796" s="8">
        <v>45942</v>
      </c>
      <c r="D1796" t="s">
        <v>324</v>
      </c>
      <c r="E1796" t="s">
        <v>325</v>
      </c>
      <c r="F1796" s="12">
        <v>721287</v>
      </c>
      <c r="G1796" s="12" t="str">
        <f>VLOOKUP(Table2[[#This Row],[MemberID]],Table1[#All],3,0)</f>
        <v>Silver</v>
      </c>
      <c r="H1796" s="13">
        <v>72</v>
      </c>
    </row>
    <row r="1797" spans="1:8">
      <c r="A1797" t="s">
        <v>2129</v>
      </c>
      <c r="B1797" t="s">
        <v>202</v>
      </c>
      <c r="C1797" s="8">
        <v>45979</v>
      </c>
      <c r="D1797" t="s">
        <v>342</v>
      </c>
      <c r="E1797" t="s">
        <v>325</v>
      </c>
      <c r="F1797" s="12">
        <v>239988</v>
      </c>
      <c r="G1797" s="12" t="str">
        <f>VLOOKUP(Table2[[#This Row],[MemberID]],Table1[#All],3,0)</f>
        <v>Silver</v>
      </c>
      <c r="H1797" s="13">
        <v>23</v>
      </c>
    </row>
    <row r="1798" spans="1:8">
      <c r="A1798" t="s">
        <v>2130</v>
      </c>
      <c r="B1798" t="s">
        <v>199</v>
      </c>
      <c r="C1798" s="8">
        <v>45992</v>
      </c>
      <c r="D1798" t="s">
        <v>321</v>
      </c>
      <c r="E1798" t="s">
        <v>334</v>
      </c>
      <c r="F1798" s="12">
        <v>258521</v>
      </c>
      <c r="G1798" s="12" t="str">
        <f>VLOOKUP(Table2[[#This Row],[MemberID]],Table1[#All],3,0)</f>
        <v>Gold</v>
      </c>
      <c r="H1798" s="13">
        <v>25</v>
      </c>
    </row>
    <row r="1799" spans="1:8">
      <c r="A1799" t="s">
        <v>2131</v>
      </c>
      <c r="B1799" t="s">
        <v>22</v>
      </c>
      <c r="C1799" s="8">
        <v>46214</v>
      </c>
      <c r="D1799" t="s">
        <v>330</v>
      </c>
      <c r="E1799" t="s">
        <v>339</v>
      </c>
      <c r="F1799" s="12">
        <v>574473</v>
      </c>
      <c r="G1799" s="12" t="str">
        <f>VLOOKUP(Table2[[#This Row],[MemberID]],Table1[#All],3,0)</f>
        <v>Gold</v>
      </c>
      <c r="H1799" s="13">
        <v>57</v>
      </c>
    </row>
    <row r="1800" spans="1:8">
      <c r="A1800" t="s">
        <v>2132</v>
      </c>
      <c r="B1800" t="s">
        <v>212</v>
      </c>
      <c r="C1800" s="8">
        <v>46261</v>
      </c>
      <c r="D1800" t="s">
        <v>327</v>
      </c>
      <c r="E1800" t="s">
        <v>325</v>
      </c>
      <c r="F1800" s="12">
        <v>432784</v>
      </c>
      <c r="G1800" s="12" t="str">
        <f>VLOOKUP(Table2[[#This Row],[MemberID]],Table1[#All],3,0)</f>
        <v>Silver</v>
      </c>
      <c r="H1800" s="13">
        <v>43</v>
      </c>
    </row>
    <row r="1801" spans="1:8">
      <c r="A1801" t="s">
        <v>2133</v>
      </c>
      <c r="B1801" t="s">
        <v>51</v>
      </c>
      <c r="C1801" s="8">
        <v>46129</v>
      </c>
      <c r="D1801" t="s">
        <v>327</v>
      </c>
      <c r="E1801" t="s">
        <v>334</v>
      </c>
      <c r="F1801" s="12">
        <v>318622</v>
      </c>
      <c r="G1801" s="12" t="str">
        <f>VLOOKUP(Table2[[#This Row],[MemberID]],Table1[#All],3,0)</f>
        <v>Gold</v>
      </c>
      <c r="H1801" s="13">
        <v>31</v>
      </c>
    </row>
    <row r="1802" spans="1:8">
      <c r="A1802" t="s">
        <v>2134</v>
      </c>
      <c r="B1802" t="s">
        <v>290</v>
      </c>
      <c r="C1802" s="8">
        <v>46047</v>
      </c>
      <c r="D1802" t="s">
        <v>324</v>
      </c>
      <c r="E1802" t="s">
        <v>328</v>
      </c>
      <c r="F1802" s="12">
        <v>168477</v>
      </c>
      <c r="G1802" s="12" t="str">
        <f>VLOOKUP(Table2[[#This Row],[MemberID]],Table1[#All],3,0)</f>
        <v>Silver</v>
      </c>
      <c r="H1802" s="13">
        <v>16</v>
      </c>
    </row>
    <row r="1803" spans="1:8">
      <c r="A1803" t="s">
        <v>2135</v>
      </c>
      <c r="B1803" t="s">
        <v>280</v>
      </c>
      <c r="C1803" s="8">
        <v>46247</v>
      </c>
      <c r="D1803" t="s">
        <v>350</v>
      </c>
      <c r="E1803" t="s">
        <v>337</v>
      </c>
      <c r="F1803" s="12">
        <v>146785</v>
      </c>
      <c r="G1803" s="12" t="str">
        <f>VLOOKUP(Table2[[#This Row],[MemberID]],Table1[#All],3,0)</f>
        <v>Silver</v>
      </c>
      <c r="H1803" s="13">
        <v>14</v>
      </c>
    </row>
    <row r="1804" spans="1:8">
      <c r="A1804" t="s">
        <v>2136</v>
      </c>
      <c r="B1804" t="s">
        <v>261</v>
      </c>
      <c r="C1804" s="8">
        <v>45992</v>
      </c>
      <c r="D1804" t="s">
        <v>342</v>
      </c>
      <c r="E1804" t="s">
        <v>339</v>
      </c>
      <c r="F1804" s="12">
        <v>450343</v>
      </c>
      <c r="G1804" s="12" t="str">
        <f>VLOOKUP(Table2[[#This Row],[MemberID]],Table1[#All],3,0)</f>
        <v>Silver</v>
      </c>
      <c r="H1804" s="13">
        <v>45</v>
      </c>
    </row>
    <row r="1805" spans="1:8">
      <c r="A1805" t="s">
        <v>2137</v>
      </c>
      <c r="B1805" t="s">
        <v>38</v>
      </c>
      <c r="C1805" s="8">
        <v>46009</v>
      </c>
      <c r="D1805" t="s">
        <v>342</v>
      </c>
      <c r="E1805" t="s">
        <v>328</v>
      </c>
      <c r="F1805" s="12">
        <v>328979</v>
      </c>
      <c r="G1805" s="12" t="str">
        <f>VLOOKUP(Table2[[#This Row],[MemberID]],Table1[#All],3,0)</f>
        <v>Gold</v>
      </c>
      <c r="H1805" s="13">
        <v>32</v>
      </c>
    </row>
    <row r="1806" spans="1:8">
      <c r="A1806" t="s">
        <v>2138</v>
      </c>
      <c r="B1806" t="s">
        <v>157</v>
      </c>
      <c r="C1806" s="8">
        <v>46132</v>
      </c>
      <c r="D1806" t="s">
        <v>330</v>
      </c>
      <c r="E1806" t="s">
        <v>325</v>
      </c>
      <c r="F1806" s="12">
        <v>167020</v>
      </c>
      <c r="G1806" s="12" t="str">
        <f>VLOOKUP(Table2[[#This Row],[MemberID]],Table1[#All],3,0)</f>
        <v>Silver</v>
      </c>
      <c r="H1806" s="13">
        <v>16</v>
      </c>
    </row>
    <row r="1807" spans="1:8">
      <c r="A1807" t="s">
        <v>2139</v>
      </c>
      <c r="B1807" t="s">
        <v>226</v>
      </c>
      <c r="C1807" s="8">
        <v>46100</v>
      </c>
      <c r="D1807" t="s">
        <v>330</v>
      </c>
      <c r="E1807" t="s">
        <v>337</v>
      </c>
      <c r="F1807" s="12">
        <v>201670</v>
      </c>
      <c r="G1807" s="12" t="str">
        <f>VLOOKUP(Table2[[#This Row],[MemberID]],Table1[#All],3,0)</f>
        <v>Silver</v>
      </c>
      <c r="H1807" s="13">
        <v>20</v>
      </c>
    </row>
    <row r="1808" spans="1:8">
      <c r="A1808" t="s">
        <v>2140</v>
      </c>
      <c r="B1808" t="s">
        <v>108</v>
      </c>
      <c r="C1808" s="8">
        <v>46085</v>
      </c>
      <c r="D1808" t="s">
        <v>350</v>
      </c>
      <c r="E1808" t="s">
        <v>334</v>
      </c>
      <c r="F1808" s="12">
        <v>227157</v>
      </c>
      <c r="G1808" s="12" t="str">
        <f>VLOOKUP(Table2[[#This Row],[MemberID]],Table1[#All],3,0)</f>
        <v>Platinum</v>
      </c>
      <c r="H1808" s="13">
        <v>22</v>
      </c>
    </row>
    <row r="1809" spans="1:8">
      <c r="A1809" t="s">
        <v>2141</v>
      </c>
      <c r="B1809" t="s">
        <v>310</v>
      </c>
      <c r="C1809" s="8">
        <v>46040</v>
      </c>
      <c r="D1809" t="s">
        <v>324</v>
      </c>
      <c r="E1809" t="s">
        <v>325</v>
      </c>
      <c r="F1809" s="12">
        <v>460947</v>
      </c>
      <c r="G1809" s="12" t="str">
        <f>VLOOKUP(Table2[[#This Row],[MemberID]],Table1[#All],3,0)</f>
        <v>Silver</v>
      </c>
      <c r="H1809" s="13">
        <v>46</v>
      </c>
    </row>
    <row r="1810" spans="1:8">
      <c r="A1810" t="s">
        <v>2142</v>
      </c>
      <c r="B1810" t="s">
        <v>224</v>
      </c>
      <c r="C1810" s="8">
        <v>46095</v>
      </c>
      <c r="D1810" t="s">
        <v>327</v>
      </c>
      <c r="E1810" t="s">
        <v>339</v>
      </c>
      <c r="F1810" s="12">
        <v>513033</v>
      </c>
      <c r="G1810" s="12" t="str">
        <f>VLOOKUP(Table2[[#This Row],[MemberID]],Table1[#All],3,0)</f>
        <v>Gold</v>
      </c>
      <c r="H1810" s="13">
        <v>51</v>
      </c>
    </row>
    <row r="1811" spans="1:8">
      <c r="A1811" t="s">
        <v>2143</v>
      </c>
      <c r="B1811" t="s">
        <v>39</v>
      </c>
      <c r="C1811" s="8">
        <v>45965</v>
      </c>
      <c r="D1811" t="s">
        <v>321</v>
      </c>
      <c r="E1811" t="s">
        <v>325</v>
      </c>
      <c r="F1811" s="12">
        <v>178421</v>
      </c>
      <c r="G1811" s="12" t="str">
        <f>VLOOKUP(Table2[[#This Row],[MemberID]],Table1[#All],3,0)</f>
        <v>Silver</v>
      </c>
      <c r="H1811" s="13">
        <v>17</v>
      </c>
    </row>
    <row r="1812" spans="1:8">
      <c r="A1812" t="s">
        <v>2144</v>
      </c>
      <c r="B1812" t="s">
        <v>80</v>
      </c>
      <c r="C1812" s="8">
        <v>45966</v>
      </c>
      <c r="D1812" t="s">
        <v>321</v>
      </c>
      <c r="E1812" t="s">
        <v>322</v>
      </c>
      <c r="F1812" s="12">
        <v>552803</v>
      </c>
      <c r="G1812" s="12" t="str">
        <f>VLOOKUP(Table2[[#This Row],[MemberID]],Table1[#All],3,0)</f>
        <v>Silver</v>
      </c>
      <c r="H1812" s="13">
        <v>55</v>
      </c>
    </row>
    <row r="1813" spans="1:8">
      <c r="A1813" t="s">
        <v>2145</v>
      </c>
      <c r="B1813" t="s">
        <v>200</v>
      </c>
      <c r="C1813" s="8">
        <v>46084</v>
      </c>
      <c r="D1813" t="s">
        <v>324</v>
      </c>
      <c r="E1813" t="s">
        <v>339</v>
      </c>
      <c r="F1813" s="12">
        <v>54040</v>
      </c>
      <c r="G1813" s="12" t="str">
        <f>VLOOKUP(Table2[[#This Row],[MemberID]],Table1[#All],3,0)</f>
        <v>Silver</v>
      </c>
      <c r="H1813" s="13">
        <v>5</v>
      </c>
    </row>
    <row r="1814" spans="1:8">
      <c r="A1814" t="s">
        <v>2146</v>
      </c>
      <c r="B1814" t="s">
        <v>129</v>
      </c>
      <c r="C1814" s="8">
        <v>46176</v>
      </c>
      <c r="D1814" t="s">
        <v>330</v>
      </c>
      <c r="E1814" t="s">
        <v>328</v>
      </c>
      <c r="F1814" s="12">
        <v>442176</v>
      </c>
      <c r="G1814" s="12" t="str">
        <f>VLOOKUP(Table2[[#This Row],[MemberID]],Table1[#All],3,0)</f>
        <v>Silver</v>
      </c>
      <c r="H1814" s="13">
        <v>44</v>
      </c>
    </row>
    <row r="1815" spans="1:8">
      <c r="A1815" t="s">
        <v>2147</v>
      </c>
      <c r="B1815" t="s">
        <v>281</v>
      </c>
      <c r="C1815" s="8">
        <v>46010</v>
      </c>
      <c r="D1815" t="s">
        <v>344</v>
      </c>
      <c r="E1815" t="s">
        <v>337</v>
      </c>
      <c r="F1815" s="12">
        <v>202989</v>
      </c>
      <c r="G1815" s="12" t="str">
        <f>VLOOKUP(Table2[[#This Row],[MemberID]],Table1[#All],3,0)</f>
        <v>Gold</v>
      </c>
      <c r="H1815" s="13">
        <v>20</v>
      </c>
    </row>
    <row r="1816" spans="1:8">
      <c r="A1816" t="s">
        <v>2148</v>
      </c>
      <c r="B1816" t="s">
        <v>16</v>
      </c>
      <c r="C1816" s="8">
        <v>46275</v>
      </c>
      <c r="D1816" t="s">
        <v>324</v>
      </c>
      <c r="E1816" t="s">
        <v>339</v>
      </c>
      <c r="F1816" s="12">
        <v>317846</v>
      </c>
      <c r="G1816" s="12" t="str">
        <f>VLOOKUP(Table2[[#This Row],[MemberID]],Table1[#All],3,0)</f>
        <v>Gold</v>
      </c>
      <c r="H1816" s="13">
        <v>31</v>
      </c>
    </row>
    <row r="1817" spans="1:8">
      <c r="A1817" t="s">
        <v>2149</v>
      </c>
      <c r="B1817" t="s">
        <v>164</v>
      </c>
      <c r="C1817" s="8">
        <v>45951</v>
      </c>
      <c r="D1817" t="s">
        <v>332</v>
      </c>
      <c r="E1817" t="s">
        <v>334</v>
      </c>
      <c r="F1817" s="12">
        <v>168265</v>
      </c>
      <c r="G1817" s="12" t="str">
        <f>VLOOKUP(Table2[[#This Row],[MemberID]],Table1[#All],3,0)</f>
        <v>Silver</v>
      </c>
      <c r="H1817" s="13">
        <v>16</v>
      </c>
    </row>
    <row r="1818" spans="1:8">
      <c r="A1818" t="s">
        <v>2150</v>
      </c>
      <c r="B1818" t="s">
        <v>263</v>
      </c>
      <c r="C1818" s="8">
        <v>46127</v>
      </c>
      <c r="D1818" t="s">
        <v>321</v>
      </c>
      <c r="E1818" t="s">
        <v>322</v>
      </c>
      <c r="F1818" s="12">
        <v>317609</v>
      </c>
      <c r="G1818" s="12" t="str">
        <f>VLOOKUP(Table2[[#This Row],[MemberID]],Table1[#All],3,0)</f>
        <v>Gold</v>
      </c>
      <c r="H1818" s="13">
        <v>31</v>
      </c>
    </row>
    <row r="1819" spans="1:8">
      <c r="A1819" t="s">
        <v>2151</v>
      </c>
      <c r="B1819" t="s">
        <v>261</v>
      </c>
      <c r="C1819" s="8">
        <v>46257</v>
      </c>
      <c r="D1819" t="s">
        <v>342</v>
      </c>
      <c r="E1819" t="s">
        <v>337</v>
      </c>
      <c r="F1819" s="12">
        <v>368161</v>
      </c>
      <c r="G1819" s="12" t="str">
        <f>VLOOKUP(Table2[[#This Row],[MemberID]],Table1[#All],3,0)</f>
        <v>Silver</v>
      </c>
      <c r="H1819" s="13">
        <v>36</v>
      </c>
    </row>
    <row r="1820" spans="1:8">
      <c r="A1820" t="s">
        <v>2152</v>
      </c>
      <c r="B1820" t="s">
        <v>64</v>
      </c>
      <c r="C1820" s="8">
        <v>46054</v>
      </c>
      <c r="D1820" t="s">
        <v>321</v>
      </c>
      <c r="E1820" t="s">
        <v>322</v>
      </c>
      <c r="F1820" s="12">
        <v>145769</v>
      </c>
      <c r="G1820" s="12" t="str">
        <f>VLOOKUP(Table2[[#This Row],[MemberID]],Table1[#All],3,0)</f>
        <v>Silver</v>
      </c>
      <c r="H1820" s="13">
        <v>14</v>
      </c>
    </row>
    <row r="1821" spans="1:8">
      <c r="A1821" t="s">
        <v>2153</v>
      </c>
      <c r="B1821" t="s">
        <v>255</v>
      </c>
      <c r="C1821" s="8">
        <v>46143</v>
      </c>
      <c r="D1821" t="s">
        <v>321</v>
      </c>
      <c r="E1821" t="s">
        <v>337</v>
      </c>
      <c r="F1821" s="12">
        <v>599847</v>
      </c>
      <c r="G1821" s="12" t="str">
        <f>VLOOKUP(Table2[[#This Row],[MemberID]],Table1[#All],3,0)</f>
        <v>Silver</v>
      </c>
      <c r="H1821" s="13">
        <v>59</v>
      </c>
    </row>
    <row r="1822" spans="1:8">
      <c r="A1822" t="s">
        <v>2154</v>
      </c>
      <c r="B1822" t="s">
        <v>170</v>
      </c>
      <c r="C1822" s="8">
        <v>45939</v>
      </c>
      <c r="D1822" t="s">
        <v>332</v>
      </c>
      <c r="E1822" t="s">
        <v>337</v>
      </c>
      <c r="F1822" s="12">
        <v>372720</v>
      </c>
      <c r="G1822" s="12" t="str">
        <f>VLOOKUP(Table2[[#This Row],[MemberID]],Table1[#All],3,0)</f>
        <v>Silver</v>
      </c>
      <c r="H1822" s="13">
        <v>37</v>
      </c>
    </row>
    <row r="1823" spans="1:8">
      <c r="A1823" t="s">
        <v>2155</v>
      </c>
      <c r="B1823" t="s">
        <v>6</v>
      </c>
      <c r="C1823" s="8">
        <v>46251</v>
      </c>
      <c r="D1823" t="s">
        <v>321</v>
      </c>
      <c r="E1823" t="s">
        <v>339</v>
      </c>
      <c r="F1823" s="12">
        <v>221743</v>
      </c>
      <c r="G1823" s="12" t="str">
        <f>VLOOKUP(Table2[[#This Row],[MemberID]],Table1[#All],3,0)</f>
        <v>Silver</v>
      </c>
      <c r="H1823" s="13">
        <v>22</v>
      </c>
    </row>
    <row r="1824" spans="1:8">
      <c r="A1824" t="s">
        <v>2156</v>
      </c>
      <c r="B1824" t="s">
        <v>298</v>
      </c>
      <c r="C1824" s="8">
        <v>46207</v>
      </c>
      <c r="D1824" t="s">
        <v>344</v>
      </c>
      <c r="E1824" t="s">
        <v>322</v>
      </c>
      <c r="F1824" s="12">
        <v>114479</v>
      </c>
      <c r="G1824" s="12" t="str">
        <f>VLOOKUP(Table2[[#This Row],[MemberID]],Table1[#All],3,0)</f>
        <v>Gold</v>
      </c>
      <c r="H1824" s="13">
        <v>11</v>
      </c>
    </row>
    <row r="1825" spans="1:8">
      <c r="A1825" t="s">
        <v>2157</v>
      </c>
      <c r="B1825" t="s">
        <v>118</v>
      </c>
      <c r="C1825" s="8">
        <v>46119</v>
      </c>
      <c r="D1825" t="s">
        <v>321</v>
      </c>
      <c r="E1825" t="s">
        <v>328</v>
      </c>
      <c r="F1825" s="12">
        <v>594660</v>
      </c>
      <c r="G1825" s="12" t="str">
        <f>VLOOKUP(Table2[[#This Row],[MemberID]],Table1[#All],3,0)</f>
        <v>Silver</v>
      </c>
      <c r="H1825" s="13">
        <v>59</v>
      </c>
    </row>
    <row r="1826" spans="1:8">
      <c r="A1826" t="s">
        <v>2158</v>
      </c>
      <c r="B1826" t="s">
        <v>150</v>
      </c>
      <c r="C1826" s="8">
        <v>46291</v>
      </c>
      <c r="D1826" t="s">
        <v>332</v>
      </c>
      <c r="E1826" t="s">
        <v>334</v>
      </c>
      <c r="F1826" s="12">
        <v>359423</v>
      </c>
      <c r="G1826" s="12" t="str">
        <f>VLOOKUP(Table2[[#This Row],[MemberID]],Table1[#All],3,0)</f>
        <v>Gold</v>
      </c>
      <c r="H1826" s="13">
        <v>35</v>
      </c>
    </row>
    <row r="1827" spans="1:8">
      <c r="A1827" t="s">
        <v>2159</v>
      </c>
      <c r="B1827" t="s">
        <v>214</v>
      </c>
      <c r="C1827" s="8">
        <v>46170</v>
      </c>
      <c r="D1827" t="s">
        <v>344</v>
      </c>
      <c r="E1827" t="s">
        <v>334</v>
      </c>
      <c r="F1827" s="12">
        <v>356426</v>
      </c>
      <c r="G1827" s="12" t="str">
        <f>VLOOKUP(Table2[[#This Row],[MemberID]],Table1[#All],3,0)</f>
        <v>Silver</v>
      </c>
      <c r="H1827" s="13">
        <v>35</v>
      </c>
    </row>
    <row r="1828" spans="1:8">
      <c r="A1828" t="s">
        <v>2160</v>
      </c>
      <c r="B1828" t="s">
        <v>34</v>
      </c>
      <c r="C1828" s="8">
        <v>46035</v>
      </c>
      <c r="D1828" t="s">
        <v>324</v>
      </c>
      <c r="E1828" t="s">
        <v>328</v>
      </c>
      <c r="F1828" s="12">
        <v>259514</v>
      </c>
      <c r="G1828" s="12" t="str">
        <f>VLOOKUP(Table2[[#This Row],[MemberID]],Table1[#All],3,0)</f>
        <v>Gold</v>
      </c>
      <c r="H1828" s="13">
        <v>25</v>
      </c>
    </row>
    <row r="1829" spans="1:8">
      <c r="A1829" t="s">
        <v>2161</v>
      </c>
      <c r="B1829" t="s">
        <v>134</v>
      </c>
      <c r="C1829" s="8">
        <v>46287</v>
      </c>
      <c r="D1829" t="s">
        <v>342</v>
      </c>
      <c r="E1829" t="s">
        <v>322</v>
      </c>
      <c r="F1829" s="12">
        <v>148016</v>
      </c>
      <c r="G1829" s="12" t="str">
        <f>VLOOKUP(Table2[[#This Row],[MemberID]],Table1[#All],3,0)</f>
        <v>Silver</v>
      </c>
      <c r="H1829" s="13">
        <v>14</v>
      </c>
    </row>
    <row r="1830" spans="1:8">
      <c r="A1830" t="s">
        <v>2162</v>
      </c>
      <c r="B1830" t="s">
        <v>102</v>
      </c>
      <c r="C1830" s="8">
        <v>45999</v>
      </c>
      <c r="D1830" t="s">
        <v>327</v>
      </c>
      <c r="E1830" t="s">
        <v>322</v>
      </c>
      <c r="F1830" s="12">
        <v>349081</v>
      </c>
      <c r="G1830" s="12" t="str">
        <f>VLOOKUP(Table2[[#This Row],[MemberID]],Table1[#All],3,0)</f>
        <v>Platinum</v>
      </c>
      <c r="H1830" s="13">
        <v>34</v>
      </c>
    </row>
    <row r="1831" spans="1:8">
      <c r="A1831" t="s">
        <v>2163</v>
      </c>
      <c r="B1831" t="s">
        <v>246</v>
      </c>
      <c r="C1831" s="8">
        <v>46198</v>
      </c>
      <c r="D1831" t="s">
        <v>342</v>
      </c>
      <c r="E1831" t="s">
        <v>322</v>
      </c>
      <c r="F1831" s="12">
        <v>625381</v>
      </c>
      <c r="G1831" s="12" t="str">
        <f>VLOOKUP(Table2[[#This Row],[MemberID]],Table1[#All],3,0)</f>
        <v>Gold</v>
      </c>
      <c r="H1831" s="13">
        <v>62</v>
      </c>
    </row>
    <row r="1832" spans="1:8">
      <c r="A1832" t="s">
        <v>2164</v>
      </c>
      <c r="B1832" t="s">
        <v>233</v>
      </c>
      <c r="C1832" s="8">
        <v>46206</v>
      </c>
      <c r="D1832" t="s">
        <v>332</v>
      </c>
      <c r="E1832" t="s">
        <v>337</v>
      </c>
      <c r="F1832" s="12">
        <v>385958</v>
      </c>
      <c r="G1832" s="12" t="str">
        <f>VLOOKUP(Table2[[#This Row],[MemberID]],Table1[#All],3,0)</f>
        <v>Gold</v>
      </c>
      <c r="H1832" s="13">
        <v>38</v>
      </c>
    </row>
    <row r="1833" spans="1:8">
      <c r="A1833" t="s">
        <v>2165</v>
      </c>
      <c r="B1833" t="s">
        <v>299</v>
      </c>
      <c r="C1833" s="8">
        <v>46090</v>
      </c>
      <c r="D1833" t="s">
        <v>332</v>
      </c>
      <c r="E1833" t="s">
        <v>325</v>
      </c>
      <c r="F1833" s="12">
        <v>27299</v>
      </c>
      <c r="G1833" s="12" t="str">
        <f>VLOOKUP(Table2[[#This Row],[MemberID]],Table1[#All],3,0)</f>
        <v>Silver</v>
      </c>
      <c r="H1833" s="13">
        <v>2</v>
      </c>
    </row>
    <row r="1834" spans="1:8">
      <c r="A1834" t="s">
        <v>2166</v>
      </c>
      <c r="B1834" t="s">
        <v>69</v>
      </c>
      <c r="C1834" s="8">
        <v>46019</v>
      </c>
      <c r="D1834" t="s">
        <v>321</v>
      </c>
      <c r="E1834" t="s">
        <v>339</v>
      </c>
      <c r="F1834" s="12">
        <v>61365</v>
      </c>
      <c r="G1834" s="12" t="str">
        <f>VLOOKUP(Table2[[#This Row],[MemberID]],Table1[#All],3,0)</f>
        <v>Gold</v>
      </c>
      <c r="H1834" s="13">
        <v>6</v>
      </c>
    </row>
    <row r="1835" spans="1:8">
      <c r="A1835" t="s">
        <v>2167</v>
      </c>
      <c r="B1835" t="s">
        <v>153</v>
      </c>
      <c r="C1835" s="8">
        <v>45935</v>
      </c>
      <c r="D1835" t="s">
        <v>350</v>
      </c>
      <c r="E1835" t="s">
        <v>337</v>
      </c>
      <c r="F1835" s="12">
        <v>63209</v>
      </c>
      <c r="G1835" s="12" t="str">
        <f>VLOOKUP(Table2[[#This Row],[MemberID]],Table1[#All],3,0)</f>
        <v>Silver</v>
      </c>
      <c r="H1835" s="13">
        <v>6</v>
      </c>
    </row>
    <row r="1836" spans="1:8">
      <c r="A1836" t="s">
        <v>2168</v>
      </c>
      <c r="B1836" t="s">
        <v>140</v>
      </c>
      <c r="C1836" s="8">
        <v>46262</v>
      </c>
      <c r="D1836" t="s">
        <v>350</v>
      </c>
      <c r="E1836" t="s">
        <v>339</v>
      </c>
      <c r="F1836" s="12">
        <v>616900</v>
      </c>
      <c r="G1836" s="12" t="str">
        <f>VLOOKUP(Table2[[#This Row],[MemberID]],Table1[#All],3,0)</f>
        <v>Silver</v>
      </c>
      <c r="H1836" s="13">
        <v>61</v>
      </c>
    </row>
    <row r="1837" spans="1:8">
      <c r="A1837" t="s">
        <v>2169</v>
      </c>
      <c r="B1837" t="s">
        <v>77</v>
      </c>
      <c r="C1837" s="8">
        <v>46211</v>
      </c>
      <c r="D1837" t="s">
        <v>330</v>
      </c>
      <c r="E1837" t="s">
        <v>339</v>
      </c>
      <c r="F1837" s="12">
        <v>167619</v>
      </c>
      <c r="G1837" s="12" t="str">
        <f>VLOOKUP(Table2[[#This Row],[MemberID]],Table1[#All],3,0)</f>
        <v>Platinum</v>
      </c>
      <c r="H1837" s="13">
        <v>16</v>
      </c>
    </row>
    <row r="1838" spans="1:8">
      <c r="A1838" t="s">
        <v>2170</v>
      </c>
      <c r="B1838" t="s">
        <v>199</v>
      </c>
      <c r="C1838" s="8">
        <v>45947</v>
      </c>
      <c r="D1838" t="s">
        <v>327</v>
      </c>
      <c r="E1838" t="s">
        <v>325</v>
      </c>
      <c r="F1838" s="12">
        <v>687886</v>
      </c>
      <c r="G1838" s="12" t="str">
        <f>VLOOKUP(Table2[[#This Row],[MemberID]],Table1[#All],3,0)</f>
        <v>Gold</v>
      </c>
      <c r="H1838" s="13">
        <v>68</v>
      </c>
    </row>
    <row r="1839" spans="1:8">
      <c r="A1839" t="s">
        <v>2171</v>
      </c>
      <c r="B1839" t="s">
        <v>256</v>
      </c>
      <c r="C1839" s="8">
        <v>46219</v>
      </c>
      <c r="D1839" t="s">
        <v>324</v>
      </c>
      <c r="E1839" t="s">
        <v>322</v>
      </c>
      <c r="F1839" s="12">
        <v>256647</v>
      </c>
      <c r="G1839" s="12" t="str">
        <f>VLOOKUP(Table2[[#This Row],[MemberID]],Table1[#All],3,0)</f>
        <v>Gold</v>
      </c>
      <c r="H1839" s="13">
        <v>25</v>
      </c>
    </row>
    <row r="1840" spans="1:8">
      <c r="A1840" t="s">
        <v>2172</v>
      </c>
      <c r="B1840" t="s">
        <v>69</v>
      </c>
      <c r="C1840" s="8">
        <v>46071</v>
      </c>
      <c r="D1840" t="s">
        <v>324</v>
      </c>
      <c r="E1840" t="s">
        <v>322</v>
      </c>
      <c r="F1840" s="12">
        <v>206134</v>
      </c>
      <c r="G1840" s="12" t="str">
        <f>VLOOKUP(Table2[[#This Row],[MemberID]],Table1[#All],3,0)</f>
        <v>Gold</v>
      </c>
      <c r="H1840" s="13">
        <v>20</v>
      </c>
    </row>
    <row r="1841" spans="1:8">
      <c r="A1841" t="s">
        <v>2173</v>
      </c>
      <c r="B1841" t="s">
        <v>140</v>
      </c>
      <c r="C1841" s="8">
        <v>45935</v>
      </c>
      <c r="D1841" t="s">
        <v>330</v>
      </c>
      <c r="E1841" t="s">
        <v>334</v>
      </c>
      <c r="F1841" s="12">
        <v>72550</v>
      </c>
      <c r="G1841" s="12" t="str">
        <f>VLOOKUP(Table2[[#This Row],[MemberID]],Table1[#All],3,0)</f>
        <v>Silver</v>
      </c>
      <c r="H1841" s="13">
        <v>7</v>
      </c>
    </row>
    <row r="1842" spans="1:8">
      <c r="A1842" t="s">
        <v>2174</v>
      </c>
      <c r="B1842" t="s">
        <v>205</v>
      </c>
      <c r="C1842" s="8">
        <v>46157</v>
      </c>
      <c r="D1842" t="s">
        <v>324</v>
      </c>
      <c r="E1842" t="s">
        <v>334</v>
      </c>
      <c r="F1842" s="12">
        <v>295185</v>
      </c>
      <c r="G1842" s="12" t="str">
        <f>VLOOKUP(Table2[[#This Row],[MemberID]],Table1[#All],3,0)</f>
        <v>Silver</v>
      </c>
      <c r="H1842" s="13">
        <v>29</v>
      </c>
    </row>
    <row r="1843" spans="1:8">
      <c r="A1843" t="s">
        <v>2175</v>
      </c>
      <c r="B1843" t="s">
        <v>207</v>
      </c>
      <c r="C1843" s="8">
        <v>46186</v>
      </c>
      <c r="D1843" t="s">
        <v>327</v>
      </c>
      <c r="E1843" t="s">
        <v>325</v>
      </c>
      <c r="F1843" s="12">
        <v>88805</v>
      </c>
      <c r="G1843" s="12" t="str">
        <f>VLOOKUP(Table2[[#This Row],[MemberID]],Table1[#All],3,0)</f>
        <v>Gold</v>
      </c>
      <c r="H1843" s="13">
        <v>8</v>
      </c>
    </row>
    <row r="1844" spans="1:8">
      <c r="A1844" t="s">
        <v>2176</v>
      </c>
      <c r="B1844" t="s">
        <v>105</v>
      </c>
      <c r="C1844" s="8">
        <v>45988</v>
      </c>
      <c r="D1844" t="s">
        <v>342</v>
      </c>
      <c r="E1844" t="s">
        <v>334</v>
      </c>
      <c r="F1844" s="12">
        <v>335661</v>
      </c>
      <c r="G1844" s="12" t="str">
        <f>VLOOKUP(Table2[[#This Row],[MemberID]],Table1[#All],3,0)</f>
        <v>Silver</v>
      </c>
      <c r="H1844" s="13">
        <v>33</v>
      </c>
    </row>
    <row r="1845" spans="1:8">
      <c r="A1845" t="s">
        <v>2177</v>
      </c>
      <c r="B1845" t="s">
        <v>185</v>
      </c>
      <c r="C1845" s="8">
        <v>46177</v>
      </c>
      <c r="D1845" t="s">
        <v>332</v>
      </c>
      <c r="E1845" t="s">
        <v>334</v>
      </c>
      <c r="F1845" s="12">
        <v>34242</v>
      </c>
      <c r="G1845" s="12" t="str">
        <f>VLOOKUP(Table2[[#This Row],[MemberID]],Table1[#All],3,0)</f>
        <v>Gold</v>
      </c>
      <c r="H1845" s="13">
        <v>3</v>
      </c>
    </row>
    <row r="1846" spans="1:8">
      <c r="A1846" t="s">
        <v>2178</v>
      </c>
      <c r="B1846" t="s">
        <v>230</v>
      </c>
      <c r="C1846" s="8">
        <v>46132</v>
      </c>
      <c r="D1846" t="s">
        <v>350</v>
      </c>
      <c r="E1846" t="s">
        <v>322</v>
      </c>
      <c r="F1846" s="12">
        <v>432399</v>
      </c>
      <c r="G1846" s="12" t="str">
        <f>VLOOKUP(Table2[[#This Row],[MemberID]],Table1[#All],3,0)</f>
        <v>Gold</v>
      </c>
      <c r="H1846" s="13">
        <v>43</v>
      </c>
    </row>
    <row r="1847" spans="1:8">
      <c r="A1847" t="s">
        <v>2179</v>
      </c>
      <c r="B1847" t="s">
        <v>178</v>
      </c>
      <c r="C1847" s="8">
        <v>46213</v>
      </c>
      <c r="D1847" t="s">
        <v>324</v>
      </c>
      <c r="E1847" t="s">
        <v>339</v>
      </c>
      <c r="F1847" s="12">
        <v>436413</v>
      </c>
      <c r="G1847" s="12" t="str">
        <f>VLOOKUP(Table2[[#This Row],[MemberID]],Table1[#All],3,0)</f>
        <v>Silver</v>
      </c>
      <c r="H1847" s="13">
        <v>43</v>
      </c>
    </row>
    <row r="1848" spans="1:8">
      <c r="A1848" t="s">
        <v>2180</v>
      </c>
      <c r="B1848" t="s">
        <v>198</v>
      </c>
      <c r="C1848" s="8">
        <v>45934</v>
      </c>
      <c r="D1848" t="s">
        <v>344</v>
      </c>
      <c r="E1848" t="s">
        <v>325</v>
      </c>
      <c r="F1848" s="12">
        <v>132021</v>
      </c>
      <c r="G1848" s="12" t="str">
        <f>VLOOKUP(Table2[[#This Row],[MemberID]],Table1[#All],3,0)</f>
        <v>Silver</v>
      </c>
      <c r="H1848" s="13">
        <v>13</v>
      </c>
    </row>
    <row r="1849" spans="1:8">
      <c r="A1849" t="s">
        <v>2181</v>
      </c>
      <c r="B1849" t="s">
        <v>121</v>
      </c>
      <c r="C1849" s="8">
        <v>46282</v>
      </c>
      <c r="D1849" t="s">
        <v>324</v>
      </c>
      <c r="E1849" t="s">
        <v>337</v>
      </c>
      <c r="F1849" s="12">
        <v>160002</v>
      </c>
      <c r="G1849" s="12" t="str">
        <f>VLOOKUP(Table2[[#This Row],[MemberID]],Table1[#All],3,0)</f>
        <v>Silver</v>
      </c>
      <c r="H1849" s="13">
        <v>16</v>
      </c>
    </row>
    <row r="1850" spans="1:8">
      <c r="A1850" t="s">
        <v>2182</v>
      </c>
      <c r="B1850" t="s">
        <v>135</v>
      </c>
      <c r="C1850" s="8">
        <v>46287</v>
      </c>
      <c r="D1850" t="s">
        <v>342</v>
      </c>
      <c r="E1850" t="s">
        <v>328</v>
      </c>
      <c r="F1850" s="12">
        <v>337400</v>
      </c>
      <c r="G1850" s="12" t="str">
        <f>VLOOKUP(Table2[[#This Row],[MemberID]],Table1[#All],3,0)</f>
        <v>Silver</v>
      </c>
      <c r="H1850" s="13">
        <v>33</v>
      </c>
    </row>
    <row r="1851" spans="1:8">
      <c r="A1851" t="s">
        <v>2183</v>
      </c>
      <c r="B1851" t="s">
        <v>304</v>
      </c>
      <c r="C1851" s="8">
        <v>46083</v>
      </c>
      <c r="D1851" t="s">
        <v>332</v>
      </c>
      <c r="E1851" t="s">
        <v>328</v>
      </c>
      <c r="F1851" s="12">
        <v>406519</v>
      </c>
      <c r="G1851" s="12" t="str">
        <f>VLOOKUP(Table2[[#This Row],[MemberID]],Table1[#All],3,0)</f>
        <v>Silver</v>
      </c>
      <c r="H1851" s="13">
        <v>40</v>
      </c>
    </row>
    <row r="1852" spans="1:8">
      <c r="A1852" t="s">
        <v>2184</v>
      </c>
      <c r="B1852" t="s">
        <v>122</v>
      </c>
      <c r="C1852" s="8">
        <v>46231</v>
      </c>
      <c r="D1852" t="s">
        <v>324</v>
      </c>
      <c r="E1852" t="s">
        <v>322</v>
      </c>
      <c r="F1852" s="12">
        <v>94991</v>
      </c>
      <c r="G1852" s="12" t="str">
        <f>VLOOKUP(Table2[[#This Row],[MemberID]],Table1[#All],3,0)</f>
        <v>Gold</v>
      </c>
      <c r="H1852" s="13">
        <v>9</v>
      </c>
    </row>
    <row r="1853" spans="1:8">
      <c r="A1853" t="s">
        <v>2185</v>
      </c>
      <c r="B1853" t="s">
        <v>144</v>
      </c>
      <c r="C1853" s="8">
        <v>46150</v>
      </c>
      <c r="D1853" t="s">
        <v>321</v>
      </c>
      <c r="E1853" t="s">
        <v>325</v>
      </c>
      <c r="F1853" s="12">
        <v>191610</v>
      </c>
      <c r="G1853" s="12" t="str">
        <f>VLOOKUP(Table2[[#This Row],[MemberID]],Table1[#All],3,0)</f>
        <v>Platinum</v>
      </c>
      <c r="H1853" s="13">
        <v>19</v>
      </c>
    </row>
    <row r="1854" spans="1:8">
      <c r="A1854" t="s">
        <v>2186</v>
      </c>
      <c r="B1854" t="s">
        <v>38</v>
      </c>
      <c r="C1854" s="8">
        <v>45970</v>
      </c>
      <c r="D1854" t="s">
        <v>342</v>
      </c>
      <c r="E1854" t="s">
        <v>339</v>
      </c>
      <c r="F1854" s="12">
        <v>154099</v>
      </c>
      <c r="G1854" s="12" t="str">
        <f>VLOOKUP(Table2[[#This Row],[MemberID]],Table1[#All],3,0)</f>
        <v>Gold</v>
      </c>
      <c r="H1854" s="13">
        <v>15</v>
      </c>
    </row>
    <row r="1855" spans="1:8">
      <c r="A1855" t="s">
        <v>2187</v>
      </c>
      <c r="B1855" t="s">
        <v>134</v>
      </c>
      <c r="C1855" s="8">
        <v>45948</v>
      </c>
      <c r="D1855" t="s">
        <v>350</v>
      </c>
      <c r="E1855" t="s">
        <v>322</v>
      </c>
      <c r="F1855" s="12">
        <v>170285</v>
      </c>
      <c r="G1855" s="12" t="str">
        <f>VLOOKUP(Table2[[#This Row],[MemberID]],Table1[#All],3,0)</f>
        <v>Silver</v>
      </c>
      <c r="H1855" s="13">
        <v>17</v>
      </c>
    </row>
    <row r="1856" spans="1:8">
      <c r="A1856" t="s">
        <v>2188</v>
      </c>
      <c r="B1856" t="s">
        <v>149</v>
      </c>
      <c r="C1856" s="8">
        <v>45994</v>
      </c>
      <c r="D1856" t="s">
        <v>324</v>
      </c>
      <c r="E1856" t="s">
        <v>325</v>
      </c>
      <c r="F1856" s="12">
        <v>121435</v>
      </c>
      <c r="G1856" s="12" t="str">
        <f>VLOOKUP(Table2[[#This Row],[MemberID]],Table1[#All],3,0)</f>
        <v>Gold</v>
      </c>
      <c r="H1856" s="13">
        <v>12</v>
      </c>
    </row>
    <row r="1857" spans="1:8">
      <c r="A1857" t="s">
        <v>2189</v>
      </c>
      <c r="B1857" t="s">
        <v>153</v>
      </c>
      <c r="C1857" s="8">
        <v>45969</v>
      </c>
      <c r="D1857" t="s">
        <v>321</v>
      </c>
      <c r="E1857" t="s">
        <v>334</v>
      </c>
      <c r="F1857" s="12">
        <v>603088</v>
      </c>
      <c r="G1857" s="12" t="str">
        <f>VLOOKUP(Table2[[#This Row],[MemberID]],Table1[#All],3,0)</f>
        <v>Silver</v>
      </c>
      <c r="H1857" s="13">
        <v>60</v>
      </c>
    </row>
    <row r="1858" spans="1:8">
      <c r="A1858" t="s">
        <v>2190</v>
      </c>
      <c r="B1858" t="s">
        <v>105</v>
      </c>
      <c r="C1858" s="8">
        <v>46291</v>
      </c>
      <c r="D1858" t="s">
        <v>324</v>
      </c>
      <c r="E1858" t="s">
        <v>334</v>
      </c>
      <c r="F1858" s="12">
        <v>560696</v>
      </c>
      <c r="G1858" s="12" t="str">
        <f>VLOOKUP(Table2[[#This Row],[MemberID]],Table1[#All],3,0)</f>
        <v>Silver</v>
      </c>
      <c r="H1858" s="13">
        <v>56</v>
      </c>
    </row>
    <row r="1859" spans="1:8">
      <c r="A1859" t="s">
        <v>2191</v>
      </c>
      <c r="B1859" t="s">
        <v>281</v>
      </c>
      <c r="C1859" s="8">
        <v>46225</v>
      </c>
      <c r="D1859" t="s">
        <v>350</v>
      </c>
      <c r="E1859" t="s">
        <v>325</v>
      </c>
      <c r="F1859" s="12">
        <v>290481</v>
      </c>
      <c r="G1859" s="12" t="str">
        <f>VLOOKUP(Table2[[#This Row],[MemberID]],Table1[#All],3,0)</f>
        <v>Gold</v>
      </c>
      <c r="H1859" s="13">
        <v>29</v>
      </c>
    </row>
    <row r="1860" spans="1:8">
      <c r="A1860" t="s">
        <v>2192</v>
      </c>
      <c r="B1860" t="s">
        <v>273</v>
      </c>
      <c r="C1860" s="8">
        <v>46163</v>
      </c>
      <c r="D1860" t="s">
        <v>344</v>
      </c>
      <c r="E1860" t="s">
        <v>322</v>
      </c>
      <c r="F1860" s="12">
        <v>62500</v>
      </c>
      <c r="G1860" s="12" t="str">
        <f>VLOOKUP(Table2[[#This Row],[MemberID]],Table1[#All],3,0)</f>
        <v>Silver</v>
      </c>
      <c r="H1860" s="13">
        <v>6</v>
      </c>
    </row>
    <row r="1861" spans="1:8">
      <c r="A1861" t="s">
        <v>2193</v>
      </c>
      <c r="B1861" t="s">
        <v>62</v>
      </c>
      <c r="C1861" s="8">
        <v>45954</v>
      </c>
      <c r="D1861" t="s">
        <v>324</v>
      </c>
      <c r="E1861" t="s">
        <v>337</v>
      </c>
      <c r="F1861" s="12">
        <v>199306</v>
      </c>
      <c r="G1861" s="12" t="str">
        <f>VLOOKUP(Table2[[#This Row],[MemberID]],Table1[#All],3,0)</f>
        <v>Silver</v>
      </c>
      <c r="H1861" s="13">
        <v>19</v>
      </c>
    </row>
    <row r="1862" spans="1:8">
      <c r="A1862" t="s">
        <v>2194</v>
      </c>
      <c r="B1862" t="s">
        <v>126</v>
      </c>
      <c r="C1862" s="8">
        <v>46200</v>
      </c>
      <c r="D1862" t="s">
        <v>321</v>
      </c>
      <c r="E1862" t="s">
        <v>322</v>
      </c>
      <c r="F1862" s="12">
        <v>56511</v>
      </c>
      <c r="G1862" s="12" t="str">
        <f>VLOOKUP(Table2[[#This Row],[MemberID]],Table1[#All],3,0)</f>
        <v>Silver</v>
      </c>
      <c r="H1862" s="13">
        <v>5</v>
      </c>
    </row>
    <row r="1863" spans="1:8">
      <c r="A1863" t="s">
        <v>2195</v>
      </c>
      <c r="B1863" t="s">
        <v>118</v>
      </c>
      <c r="C1863" s="8">
        <v>46074</v>
      </c>
      <c r="D1863" t="s">
        <v>342</v>
      </c>
      <c r="E1863" t="s">
        <v>322</v>
      </c>
      <c r="F1863" s="12">
        <v>245343</v>
      </c>
      <c r="G1863" s="12" t="str">
        <f>VLOOKUP(Table2[[#This Row],[MemberID]],Table1[#All],3,0)</f>
        <v>Silver</v>
      </c>
      <c r="H1863" s="13">
        <v>24</v>
      </c>
    </row>
    <row r="1864" spans="1:8">
      <c r="A1864" t="s">
        <v>2196</v>
      </c>
      <c r="B1864" t="s">
        <v>294</v>
      </c>
      <c r="C1864" s="8">
        <v>46090</v>
      </c>
      <c r="D1864" t="s">
        <v>321</v>
      </c>
      <c r="E1864" t="s">
        <v>328</v>
      </c>
      <c r="F1864" s="12">
        <v>159611</v>
      </c>
      <c r="G1864" s="12" t="str">
        <f>VLOOKUP(Table2[[#This Row],[MemberID]],Table1[#All],3,0)</f>
        <v>Gold</v>
      </c>
      <c r="H1864" s="13">
        <v>15</v>
      </c>
    </row>
    <row r="1865" spans="1:8">
      <c r="A1865" t="s">
        <v>2197</v>
      </c>
      <c r="B1865" t="s">
        <v>3</v>
      </c>
      <c r="C1865" s="8">
        <v>46028</v>
      </c>
      <c r="D1865" t="s">
        <v>350</v>
      </c>
      <c r="E1865" t="s">
        <v>322</v>
      </c>
      <c r="F1865" s="12">
        <v>457921</v>
      </c>
      <c r="G1865" s="12" t="str">
        <f>VLOOKUP(Table2[[#This Row],[MemberID]],Table1[#All],3,0)</f>
        <v>Silver</v>
      </c>
      <c r="H1865" s="13">
        <v>45</v>
      </c>
    </row>
    <row r="1866" spans="1:8">
      <c r="A1866" t="s">
        <v>2198</v>
      </c>
      <c r="B1866" t="s">
        <v>87</v>
      </c>
      <c r="C1866" s="8">
        <v>46263</v>
      </c>
      <c r="D1866" t="s">
        <v>327</v>
      </c>
      <c r="E1866" t="s">
        <v>334</v>
      </c>
      <c r="F1866" s="12">
        <v>145556</v>
      </c>
      <c r="G1866" s="12" t="str">
        <f>VLOOKUP(Table2[[#This Row],[MemberID]],Table1[#All],3,0)</f>
        <v>Gold</v>
      </c>
      <c r="H1866" s="13">
        <v>14</v>
      </c>
    </row>
    <row r="1867" spans="1:8">
      <c r="A1867" t="s">
        <v>2199</v>
      </c>
      <c r="B1867" t="s">
        <v>41</v>
      </c>
      <c r="C1867" s="8">
        <v>46261</v>
      </c>
      <c r="D1867" t="s">
        <v>350</v>
      </c>
      <c r="E1867" t="s">
        <v>322</v>
      </c>
      <c r="F1867" s="12">
        <v>393648</v>
      </c>
      <c r="G1867" s="12" t="str">
        <f>VLOOKUP(Table2[[#This Row],[MemberID]],Table1[#All],3,0)</f>
        <v>Gold</v>
      </c>
      <c r="H1867" s="13">
        <v>39</v>
      </c>
    </row>
    <row r="1868" spans="1:8">
      <c r="A1868" t="s">
        <v>2200</v>
      </c>
      <c r="B1868" t="s">
        <v>57</v>
      </c>
      <c r="C1868" s="8">
        <v>46009</v>
      </c>
      <c r="D1868" t="s">
        <v>321</v>
      </c>
      <c r="E1868" t="s">
        <v>334</v>
      </c>
      <c r="F1868" s="12">
        <v>274379</v>
      </c>
      <c r="G1868" s="12" t="str">
        <f>VLOOKUP(Table2[[#This Row],[MemberID]],Table1[#All],3,0)</f>
        <v>Gold</v>
      </c>
      <c r="H1868" s="13">
        <v>27</v>
      </c>
    </row>
    <row r="1869" spans="1:8">
      <c r="A1869" t="s">
        <v>2201</v>
      </c>
      <c r="B1869" t="s">
        <v>201</v>
      </c>
      <c r="C1869" s="8">
        <v>46126</v>
      </c>
      <c r="D1869" t="s">
        <v>324</v>
      </c>
      <c r="E1869" t="s">
        <v>325</v>
      </c>
      <c r="F1869" s="12">
        <v>119065</v>
      </c>
      <c r="G1869" s="12" t="str">
        <f>VLOOKUP(Table2[[#This Row],[MemberID]],Table1[#All],3,0)</f>
        <v>Platinum</v>
      </c>
      <c r="H1869" s="13">
        <v>11</v>
      </c>
    </row>
    <row r="1870" spans="1:8">
      <c r="A1870" t="s">
        <v>2202</v>
      </c>
      <c r="B1870" t="s">
        <v>263</v>
      </c>
      <c r="C1870" s="8">
        <v>46280</v>
      </c>
      <c r="D1870" t="s">
        <v>324</v>
      </c>
      <c r="E1870" t="s">
        <v>325</v>
      </c>
      <c r="F1870" s="12">
        <v>25000</v>
      </c>
      <c r="G1870" s="12" t="str">
        <f>VLOOKUP(Table2[[#This Row],[MemberID]],Table1[#All],3,0)</f>
        <v>Gold</v>
      </c>
      <c r="H1870" s="13">
        <v>2</v>
      </c>
    </row>
    <row r="1871" spans="1:8">
      <c r="A1871" t="s">
        <v>2203</v>
      </c>
      <c r="B1871" t="s">
        <v>46</v>
      </c>
      <c r="C1871" s="8">
        <v>46123</v>
      </c>
      <c r="D1871" t="s">
        <v>350</v>
      </c>
      <c r="E1871" t="s">
        <v>328</v>
      </c>
      <c r="F1871" s="12">
        <v>702833</v>
      </c>
      <c r="G1871" s="12" t="str">
        <f>VLOOKUP(Table2[[#This Row],[MemberID]],Table1[#All],3,0)</f>
        <v>Silver</v>
      </c>
      <c r="H1871" s="13">
        <v>70</v>
      </c>
    </row>
    <row r="1872" spans="1:8">
      <c r="A1872" t="s">
        <v>2204</v>
      </c>
      <c r="B1872" t="s">
        <v>178</v>
      </c>
      <c r="C1872" s="8">
        <v>46045</v>
      </c>
      <c r="D1872" t="s">
        <v>324</v>
      </c>
      <c r="E1872" t="s">
        <v>328</v>
      </c>
      <c r="F1872" s="12">
        <v>149195</v>
      </c>
      <c r="G1872" s="12" t="str">
        <f>VLOOKUP(Table2[[#This Row],[MemberID]],Table1[#All],3,0)</f>
        <v>Silver</v>
      </c>
      <c r="H1872" s="13">
        <v>14</v>
      </c>
    </row>
    <row r="1873" spans="1:8">
      <c r="A1873" t="s">
        <v>2205</v>
      </c>
      <c r="B1873" t="s">
        <v>214</v>
      </c>
      <c r="C1873" s="8">
        <v>46293</v>
      </c>
      <c r="D1873" t="s">
        <v>344</v>
      </c>
      <c r="E1873" t="s">
        <v>339</v>
      </c>
      <c r="F1873" s="12">
        <v>232302</v>
      </c>
      <c r="G1873" s="12" t="str">
        <f>VLOOKUP(Table2[[#This Row],[MemberID]],Table1[#All],3,0)</f>
        <v>Silver</v>
      </c>
      <c r="H1873" s="13">
        <v>23</v>
      </c>
    </row>
    <row r="1874" spans="1:8">
      <c r="A1874" t="s">
        <v>2206</v>
      </c>
      <c r="B1874" t="s">
        <v>252</v>
      </c>
      <c r="C1874" s="8">
        <v>46233</v>
      </c>
      <c r="D1874" t="s">
        <v>332</v>
      </c>
      <c r="E1874" t="s">
        <v>328</v>
      </c>
      <c r="F1874" s="12">
        <v>317904</v>
      </c>
      <c r="G1874" s="12" t="str">
        <f>VLOOKUP(Table2[[#This Row],[MemberID]],Table1[#All],3,0)</f>
        <v>Silver</v>
      </c>
      <c r="H1874" s="13">
        <v>31</v>
      </c>
    </row>
    <row r="1875" spans="1:8">
      <c r="A1875" t="s">
        <v>2207</v>
      </c>
      <c r="B1875" t="s">
        <v>215</v>
      </c>
      <c r="C1875" s="8">
        <v>46049</v>
      </c>
      <c r="D1875" t="s">
        <v>332</v>
      </c>
      <c r="E1875" t="s">
        <v>328</v>
      </c>
      <c r="F1875" s="12">
        <v>56107</v>
      </c>
      <c r="G1875" s="12" t="str">
        <f>VLOOKUP(Table2[[#This Row],[MemberID]],Table1[#All],3,0)</f>
        <v>Platinum</v>
      </c>
      <c r="H1875" s="13">
        <v>5</v>
      </c>
    </row>
    <row r="1876" spans="1:8">
      <c r="A1876" t="s">
        <v>2208</v>
      </c>
      <c r="B1876" t="s">
        <v>245</v>
      </c>
      <c r="C1876" s="8">
        <v>46142</v>
      </c>
      <c r="D1876" t="s">
        <v>342</v>
      </c>
      <c r="E1876" t="s">
        <v>325</v>
      </c>
      <c r="F1876" s="12">
        <v>231343</v>
      </c>
      <c r="G1876" s="12" t="str">
        <f>VLOOKUP(Table2[[#This Row],[MemberID]],Table1[#All],3,0)</f>
        <v>Silver</v>
      </c>
      <c r="H1876" s="13">
        <v>23</v>
      </c>
    </row>
    <row r="1877" spans="1:8">
      <c r="A1877" t="s">
        <v>2209</v>
      </c>
      <c r="B1877" t="s">
        <v>26</v>
      </c>
      <c r="C1877" s="8">
        <v>45979</v>
      </c>
      <c r="D1877" t="s">
        <v>327</v>
      </c>
      <c r="E1877" t="s">
        <v>325</v>
      </c>
      <c r="F1877" s="12">
        <v>238057</v>
      </c>
      <c r="G1877" s="12" t="str">
        <f>VLOOKUP(Table2[[#This Row],[MemberID]],Table1[#All],3,0)</f>
        <v>Silver</v>
      </c>
      <c r="H1877" s="13">
        <v>23</v>
      </c>
    </row>
    <row r="1878" spans="1:8">
      <c r="A1878" t="s">
        <v>2210</v>
      </c>
      <c r="B1878" t="s">
        <v>240</v>
      </c>
      <c r="C1878" s="8">
        <v>46283</v>
      </c>
      <c r="D1878" t="s">
        <v>324</v>
      </c>
      <c r="E1878" t="s">
        <v>325</v>
      </c>
      <c r="F1878" s="12">
        <v>198873</v>
      </c>
      <c r="G1878" s="12" t="str">
        <f>VLOOKUP(Table2[[#This Row],[MemberID]],Table1[#All],3,0)</f>
        <v>Silver</v>
      </c>
      <c r="H1878" s="13">
        <v>19</v>
      </c>
    </row>
    <row r="1879" spans="1:8">
      <c r="A1879" t="s">
        <v>2211</v>
      </c>
      <c r="B1879" t="s">
        <v>67</v>
      </c>
      <c r="C1879" s="8">
        <v>45939</v>
      </c>
      <c r="D1879" t="s">
        <v>327</v>
      </c>
      <c r="E1879" t="s">
        <v>334</v>
      </c>
      <c r="F1879" s="12">
        <v>288862</v>
      </c>
      <c r="G1879" s="12" t="str">
        <f>VLOOKUP(Table2[[#This Row],[MemberID]],Table1[#All],3,0)</f>
        <v>Platinum</v>
      </c>
      <c r="H1879" s="13">
        <v>28</v>
      </c>
    </row>
    <row r="1880" spans="1:8">
      <c r="A1880" t="s">
        <v>2212</v>
      </c>
      <c r="B1880" t="s">
        <v>150</v>
      </c>
      <c r="C1880" s="8">
        <v>46198</v>
      </c>
      <c r="D1880" t="s">
        <v>330</v>
      </c>
      <c r="E1880" t="s">
        <v>334</v>
      </c>
      <c r="F1880" s="12">
        <v>374293</v>
      </c>
      <c r="G1880" s="12" t="str">
        <f>VLOOKUP(Table2[[#This Row],[MemberID]],Table1[#All],3,0)</f>
        <v>Gold</v>
      </c>
      <c r="H1880" s="13">
        <v>37</v>
      </c>
    </row>
    <row r="1881" spans="1:8">
      <c r="A1881" t="s">
        <v>2213</v>
      </c>
      <c r="B1881" t="s">
        <v>109</v>
      </c>
      <c r="C1881" s="8">
        <v>45977</v>
      </c>
      <c r="D1881" t="s">
        <v>342</v>
      </c>
      <c r="E1881" t="s">
        <v>322</v>
      </c>
      <c r="F1881" s="12">
        <v>683744</v>
      </c>
      <c r="G1881" s="12" t="str">
        <f>VLOOKUP(Table2[[#This Row],[MemberID]],Table1[#All],3,0)</f>
        <v>Silver</v>
      </c>
      <c r="H1881" s="13">
        <v>68</v>
      </c>
    </row>
    <row r="1882" spans="1:8">
      <c r="A1882" t="s">
        <v>2214</v>
      </c>
      <c r="B1882" t="s">
        <v>257</v>
      </c>
      <c r="C1882" s="8">
        <v>46051</v>
      </c>
      <c r="D1882" t="s">
        <v>321</v>
      </c>
      <c r="E1882" t="s">
        <v>328</v>
      </c>
      <c r="F1882" s="12">
        <v>146396</v>
      </c>
      <c r="G1882" s="12" t="str">
        <f>VLOOKUP(Table2[[#This Row],[MemberID]],Table1[#All],3,0)</f>
        <v>Gold</v>
      </c>
      <c r="H1882" s="13">
        <v>14</v>
      </c>
    </row>
    <row r="1883" spans="1:8">
      <c r="A1883" t="s">
        <v>2215</v>
      </c>
      <c r="B1883" t="s">
        <v>275</v>
      </c>
      <c r="C1883" s="8">
        <v>46034</v>
      </c>
      <c r="D1883" t="s">
        <v>327</v>
      </c>
      <c r="E1883" t="s">
        <v>328</v>
      </c>
      <c r="F1883" s="12">
        <v>482786</v>
      </c>
      <c r="G1883" s="12" t="str">
        <f>VLOOKUP(Table2[[#This Row],[MemberID]],Table1[#All],3,0)</f>
        <v>Silver</v>
      </c>
      <c r="H1883" s="13">
        <v>48</v>
      </c>
    </row>
    <row r="1884" spans="1:8">
      <c r="A1884" t="s">
        <v>2216</v>
      </c>
      <c r="B1884" t="s">
        <v>36</v>
      </c>
      <c r="C1884" s="8">
        <v>46217</v>
      </c>
      <c r="D1884" t="s">
        <v>327</v>
      </c>
      <c r="E1884" t="s">
        <v>322</v>
      </c>
      <c r="F1884" s="12">
        <v>426666</v>
      </c>
      <c r="G1884" s="12" t="str">
        <f>VLOOKUP(Table2[[#This Row],[MemberID]],Table1[#All],3,0)</f>
        <v>Gold</v>
      </c>
      <c r="H1884" s="13">
        <v>42</v>
      </c>
    </row>
    <row r="1885" spans="1:8">
      <c r="A1885" t="s">
        <v>2217</v>
      </c>
      <c r="B1885" t="s">
        <v>167</v>
      </c>
      <c r="C1885" s="8">
        <v>46108</v>
      </c>
      <c r="D1885" t="s">
        <v>321</v>
      </c>
      <c r="E1885" t="s">
        <v>328</v>
      </c>
      <c r="F1885" s="12">
        <v>648486</v>
      </c>
      <c r="G1885" s="12" t="str">
        <f>VLOOKUP(Table2[[#This Row],[MemberID]],Table1[#All],3,0)</f>
        <v>Silver</v>
      </c>
      <c r="H1885" s="13">
        <v>64</v>
      </c>
    </row>
    <row r="1886" spans="1:8">
      <c r="A1886" t="s">
        <v>2218</v>
      </c>
      <c r="B1886" t="s">
        <v>153</v>
      </c>
      <c r="C1886" s="8">
        <v>45988</v>
      </c>
      <c r="D1886" t="s">
        <v>332</v>
      </c>
      <c r="E1886" t="s">
        <v>325</v>
      </c>
      <c r="F1886" s="12">
        <v>249862</v>
      </c>
      <c r="G1886" s="12" t="str">
        <f>VLOOKUP(Table2[[#This Row],[MemberID]],Table1[#All],3,0)</f>
        <v>Silver</v>
      </c>
      <c r="H1886" s="13">
        <v>24</v>
      </c>
    </row>
    <row r="1887" spans="1:8">
      <c r="A1887" t="s">
        <v>2219</v>
      </c>
      <c r="B1887" t="s">
        <v>26</v>
      </c>
      <c r="C1887" s="8">
        <v>46009</v>
      </c>
      <c r="D1887" t="s">
        <v>321</v>
      </c>
      <c r="E1887" t="s">
        <v>322</v>
      </c>
      <c r="F1887" s="12">
        <v>160733</v>
      </c>
      <c r="G1887" s="12" t="str">
        <f>VLOOKUP(Table2[[#This Row],[MemberID]],Table1[#All],3,0)</f>
        <v>Silver</v>
      </c>
      <c r="H1887" s="13">
        <v>16</v>
      </c>
    </row>
    <row r="1888" spans="1:8">
      <c r="A1888" t="s">
        <v>2220</v>
      </c>
      <c r="B1888" t="s">
        <v>90</v>
      </c>
      <c r="C1888" s="8">
        <v>45972</v>
      </c>
      <c r="D1888" t="s">
        <v>344</v>
      </c>
      <c r="E1888" t="s">
        <v>322</v>
      </c>
      <c r="F1888" s="12">
        <v>937968</v>
      </c>
      <c r="G1888" s="12" t="str">
        <f>VLOOKUP(Table2[[#This Row],[MemberID]],Table1[#All],3,0)</f>
        <v>Silver</v>
      </c>
      <c r="H1888" s="13">
        <v>93</v>
      </c>
    </row>
    <row r="1889" spans="1:8">
      <c r="A1889" t="s">
        <v>2221</v>
      </c>
      <c r="B1889" t="s">
        <v>3</v>
      </c>
      <c r="C1889" s="8">
        <v>46080</v>
      </c>
      <c r="D1889" t="s">
        <v>324</v>
      </c>
      <c r="E1889" t="s">
        <v>325</v>
      </c>
      <c r="F1889" s="12">
        <v>125791</v>
      </c>
      <c r="G1889" s="12" t="str">
        <f>VLOOKUP(Table2[[#This Row],[MemberID]],Table1[#All],3,0)</f>
        <v>Silver</v>
      </c>
      <c r="H1889" s="13">
        <v>12</v>
      </c>
    </row>
    <row r="1890" spans="1:8">
      <c r="A1890" t="s">
        <v>2222</v>
      </c>
      <c r="B1890" t="s">
        <v>220</v>
      </c>
      <c r="C1890" s="8">
        <v>46199</v>
      </c>
      <c r="D1890" t="s">
        <v>344</v>
      </c>
      <c r="E1890" t="s">
        <v>334</v>
      </c>
      <c r="F1890" s="12">
        <v>215710</v>
      </c>
      <c r="G1890" s="12" t="str">
        <f>VLOOKUP(Table2[[#This Row],[MemberID]],Table1[#All],3,0)</f>
        <v>Gold</v>
      </c>
      <c r="H1890" s="13">
        <v>21</v>
      </c>
    </row>
    <row r="1891" spans="1:8">
      <c r="A1891" t="s">
        <v>2223</v>
      </c>
      <c r="B1891" t="s">
        <v>305</v>
      </c>
      <c r="C1891" s="8">
        <v>45978</v>
      </c>
      <c r="D1891" t="s">
        <v>342</v>
      </c>
      <c r="E1891" t="s">
        <v>339</v>
      </c>
      <c r="F1891" s="12">
        <v>86530</v>
      </c>
      <c r="G1891" s="12" t="str">
        <f>VLOOKUP(Table2[[#This Row],[MemberID]],Table1[#All],3,0)</f>
        <v>Silver</v>
      </c>
      <c r="H1891" s="13">
        <v>8</v>
      </c>
    </row>
    <row r="1892" spans="1:8">
      <c r="A1892" t="s">
        <v>2224</v>
      </c>
      <c r="B1892" t="s">
        <v>131</v>
      </c>
      <c r="C1892" s="8">
        <v>46083</v>
      </c>
      <c r="D1892" t="s">
        <v>330</v>
      </c>
      <c r="E1892" t="s">
        <v>322</v>
      </c>
      <c r="F1892" s="12">
        <v>123710</v>
      </c>
      <c r="G1892" s="12" t="str">
        <f>VLOOKUP(Table2[[#This Row],[MemberID]],Table1[#All],3,0)</f>
        <v>Silver</v>
      </c>
      <c r="H1892" s="13">
        <v>12</v>
      </c>
    </row>
    <row r="1893" spans="1:8">
      <c r="A1893" t="s">
        <v>2225</v>
      </c>
      <c r="B1893" t="s">
        <v>217</v>
      </c>
      <c r="C1893" s="8">
        <v>46118</v>
      </c>
      <c r="D1893" t="s">
        <v>330</v>
      </c>
      <c r="E1893" t="s">
        <v>328</v>
      </c>
      <c r="F1893" s="12">
        <v>232348</v>
      </c>
      <c r="G1893" s="12" t="str">
        <f>VLOOKUP(Table2[[#This Row],[MemberID]],Table1[#All],3,0)</f>
        <v>Gold</v>
      </c>
      <c r="H1893" s="13">
        <v>23</v>
      </c>
    </row>
    <row r="1894" spans="1:8">
      <c r="A1894" t="s">
        <v>2226</v>
      </c>
      <c r="B1894" t="s">
        <v>258</v>
      </c>
      <c r="C1894" s="8">
        <v>45947</v>
      </c>
      <c r="D1894" t="s">
        <v>327</v>
      </c>
      <c r="E1894" t="s">
        <v>322</v>
      </c>
      <c r="F1894" s="12">
        <v>207032</v>
      </c>
      <c r="G1894" s="12" t="str">
        <f>VLOOKUP(Table2[[#This Row],[MemberID]],Table1[#All],3,0)</f>
        <v>Silver</v>
      </c>
      <c r="H1894" s="13">
        <v>20</v>
      </c>
    </row>
    <row r="1895" spans="1:8">
      <c r="A1895" t="s">
        <v>2227</v>
      </c>
      <c r="B1895" t="s">
        <v>135</v>
      </c>
      <c r="C1895" s="8">
        <v>46133</v>
      </c>
      <c r="D1895" t="s">
        <v>327</v>
      </c>
      <c r="E1895" t="s">
        <v>337</v>
      </c>
      <c r="F1895" s="12">
        <v>221835</v>
      </c>
      <c r="G1895" s="12" t="str">
        <f>VLOOKUP(Table2[[#This Row],[MemberID]],Table1[#All],3,0)</f>
        <v>Silver</v>
      </c>
      <c r="H1895" s="13">
        <v>22</v>
      </c>
    </row>
    <row r="1896" spans="1:8">
      <c r="A1896" t="s">
        <v>2228</v>
      </c>
      <c r="B1896" t="s">
        <v>117</v>
      </c>
      <c r="C1896" s="8">
        <v>46090</v>
      </c>
      <c r="D1896" t="s">
        <v>327</v>
      </c>
      <c r="E1896" t="s">
        <v>322</v>
      </c>
      <c r="F1896" s="12">
        <v>284061</v>
      </c>
      <c r="G1896" s="12" t="str">
        <f>VLOOKUP(Table2[[#This Row],[MemberID]],Table1[#All],3,0)</f>
        <v>Silver</v>
      </c>
      <c r="H1896" s="13">
        <v>28</v>
      </c>
    </row>
    <row r="1897" spans="1:8">
      <c r="A1897" t="s">
        <v>2229</v>
      </c>
      <c r="B1897" t="s">
        <v>286</v>
      </c>
      <c r="C1897" s="8">
        <v>46126</v>
      </c>
      <c r="D1897" t="s">
        <v>324</v>
      </c>
      <c r="E1897" t="s">
        <v>339</v>
      </c>
      <c r="F1897" s="12">
        <v>209028</v>
      </c>
      <c r="G1897" s="12" t="str">
        <f>VLOOKUP(Table2[[#This Row],[MemberID]],Table1[#All],3,0)</f>
        <v>Silver</v>
      </c>
      <c r="H1897" s="13">
        <v>20</v>
      </c>
    </row>
    <row r="1898" spans="1:8">
      <c r="A1898" t="s">
        <v>2230</v>
      </c>
      <c r="B1898" t="s">
        <v>99</v>
      </c>
      <c r="C1898" s="8">
        <v>46212</v>
      </c>
      <c r="D1898" t="s">
        <v>344</v>
      </c>
      <c r="E1898" t="s">
        <v>337</v>
      </c>
      <c r="F1898" s="12">
        <v>210903</v>
      </c>
      <c r="G1898" s="12" t="str">
        <f>VLOOKUP(Table2[[#This Row],[MemberID]],Table1[#All],3,0)</f>
        <v>Platinum</v>
      </c>
      <c r="H1898" s="13">
        <v>21</v>
      </c>
    </row>
    <row r="1899" spans="1:8">
      <c r="A1899" t="s">
        <v>2231</v>
      </c>
      <c r="B1899" t="s">
        <v>248</v>
      </c>
      <c r="C1899" s="8">
        <v>46069</v>
      </c>
      <c r="D1899" t="s">
        <v>350</v>
      </c>
      <c r="E1899" t="s">
        <v>337</v>
      </c>
      <c r="F1899" s="12">
        <v>253662</v>
      </c>
      <c r="G1899" s="12" t="str">
        <f>VLOOKUP(Table2[[#This Row],[MemberID]],Table1[#All],3,0)</f>
        <v>Gold</v>
      </c>
      <c r="H1899" s="13">
        <v>25</v>
      </c>
    </row>
    <row r="1900" spans="1:8">
      <c r="A1900" t="s">
        <v>2232</v>
      </c>
      <c r="B1900" t="s">
        <v>57</v>
      </c>
      <c r="C1900" s="8">
        <v>45952</v>
      </c>
      <c r="D1900" t="s">
        <v>327</v>
      </c>
      <c r="E1900" t="s">
        <v>339</v>
      </c>
      <c r="F1900" s="12">
        <v>364239</v>
      </c>
      <c r="G1900" s="12" t="str">
        <f>VLOOKUP(Table2[[#This Row],[MemberID]],Table1[#All],3,0)</f>
        <v>Gold</v>
      </c>
      <c r="H1900" s="13">
        <v>36</v>
      </c>
    </row>
    <row r="1901" spans="1:8">
      <c r="A1901" t="s">
        <v>2233</v>
      </c>
      <c r="B1901" t="s">
        <v>248</v>
      </c>
      <c r="C1901" s="8">
        <v>46076</v>
      </c>
      <c r="D1901" t="s">
        <v>330</v>
      </c>
      <c r="E1901" t="s">
        <v>328</v>
      </c>
      <c r="F1901" s="12">
        <v>84827</v>
      </c>
      <c r="G1901" s="12" t="str">
        <f>VLOOKUP(Table2[[#This Row],[MemberID]],Table1[#All],3,0)</f>
        <v>Gold</v>
      </c>
      <c r="H1901" s="13">
        <v>8</v>
      </c>
    </row>
    <row r="1902" spans="1:8">
      <c r="A1902" t="s">
        <v>2234</v>
      </c>
      <c r="B1902" t="s">
        <v>205</v>
      </c>
      <c r="C1902" s="8">
        <v>46084</v>
      </c>
      <c r="D1902" t="s">
        <v>344</v>
      </c>
      <c r="E1902" t="s">
        <v>325</v>
      </c>
      <c r="F1902" s="12">
        <v>195004</v>
      </c>
      <c r="G1902" s="12" t="str">
        <f>VLOOKUP(Table2[[#This Row],[MemberID]],Table1[#All],3,0)</f>
        <v>Silver</v>
      </c>
      <c r="H1902" s="13">
        <v>19</v>
      </c>
    </row>
    <row r="1903" spans="1:8">
      <c r="A1903" t="s">
        <v>2235</v>
      </c>
      <c r="B1903" t="s">
        <v>135</v>
      </c>
      <c r="C1903" s="8">
        <v>46019</v>
      </c>
      <c r="D1903" t="s">
        <v>324</v>
      </c>
      <c r="E1903" t="s">
        <v>325</v>
      </c>
      <c r="F1903" s="12">
        <v>396916</v>
      </c>
      <c r="G1903" s="12" t="str">
        <f>VLOOKUP(Table2[[#This Row],[MemberID]],Table1[#All],3,0)</f>
        <v>Silver</v>
      </c>
      <c r="H1903" s="13">
        <v>39</v>
      </c>
    </row>
    <row r="1904" spans="1:8">
      <c r="A1904" t="s">
        <v>2236</v>
      </c>
      <c r="B1904" t="s">
        <v>231</v>
      </c>
      <c r="C1904" s="8">
        <v>45965</v>
      </c>
      <c r="D1904" t="s">
        <v>342</v>
      </c>
      <c r="E1904" t="s">
        <v>328</v>
      </c>
      <c r="F1904" s="12">
        <v>341768</v>
      </c>
      <c r="G1904" s="12" t="str">
        <f>VLOOKUP(Table2[[#This Row],[MemberID]],Table1[#All],3,0)</f>
        <v>Silver</v>
      </c>
      <c r="H1904" s="13">
        <v>34</v>
      </c>
    </row>
    <row r="1905" spans="1:8">
      <c r="A1905" t="s">
        <v>2237</v>
      </c>
      <c r="B1905" t="s">
        <v>259</v>
      </c>
      <c r="C1905" s="8">
        <v>46243</v>
      </c>
      <c r="D1905" t="s">
        <v>324</v>
      </c>
      <c r="E1905" t="s">
        <v>334</v>
      </c>
      <c r="F1905" s="12">
        <v>559404</v>
      </c>
      <c r="G1905" s="12" t="str">
        <f>VLOOKUP(Table2[[#This Row],[MemberID]],Table1[#All],3,0)</f>
        <v>Gold</v>
      </c>
      <c r="H1905" s="13">
        <v>55</v>
      </c>
    </row>
    <row r="1906" spans="1:8">
      <c r="A1906" t="s">
        <v>2238</v>
      </c>
      <c r="B1906" t="s">
        <v>313</v>
      </c>
      <c r="C1906" s="8">
        <v>46142</v>
      </c>
      <c r="D1906" t="s">
        <v>327</v>
      </c>
      <c r="E1906" t="s">
        <v>337</v>
      </c>
      <c r="F1906" s="12">
        <v>666272</v>
      </c>
      <c r="G1906" s="12" t="str">
        <f>VLOOKUP(Table2[[#This Row],[MemberID]],Table1[#All],3,0)</f>
        <v>Silver</v>
      </c>
      <c r="H1906" s="13">
        <v>66</v>
      </c>
    </row>
    <row r="1907" spans="1:8">
      <c r="A1907" t="s">
        <v>2239</v>
      </c>
      <c r="B1907" t="s">
        <v>236</v>
      </c>
      <c r="C1907" s="8">
        <v>46096</v>
      </c>
      <c r="D1907" t="s">
        <v>321</v>
      </c>
      <c r="E1907" t="s">
        <v>322</v>
      </c>
      <c r="F1907" s="12">
        <v>297551</v>
      </c>
      <c r="G1907" s="12" t="str">
        <f>VLOOKUP(Table2[[#This Row],[MemberID]],Table1[#All],3,0)</f>
        <v>Gold</v>
      </c>
      <c r="H1907" s="13">
        <v>29</v>
      </c>
    </row>
    <row r="1908" spans="1:8">
      <c r="A1908" t="s">
        <v>2240</v>
      </c>
      <c r="B1908" t="s">
        <v>267</v>
      </c>
      <c r="C1908" s="8">
        <v>46043</v>
      </c>
      <c r="D1908" t="s">
        <v>342</v>
      </c>
      <c r="E1908" t="s">
        <v>328</v>
      </c>
      <c r="F1908" s="12">
        <v>381556</v>
      </c>
      <c r="G1908" s="12" t="str">
        <f>VLOOKUP(Table2[[#This Row],[MemberID]],Table1[#All],3,0)</f>
        <v>Silver</v>
      </c>
      <c r="H1908" s="13">
        <v>38</v>
      </c>
    </row>
    <row r="1909" spans="1:8">
      <c r="A1909" t="s">
        <v>2241</v>
      </c>
      <c r="B1909" t="s">
        <v>272</v>
      </c>
      <c r="C1909" s="8">
        <v>45958</v>
      </c>
      <c r="D1909" t="s">
        <v>330</v>
      </c>
      <c r="E1909" t="s">
        <v>322</v>
      </c>
      <c r="F1909" s="12">
        <v>330988</v>
      </c>
      <c r="G1909" s="12" t="str">
        <f>VLOOKUP(Table2[[#This Row],[MemberID]],Table1[#All],3,0)</f>
        <v>Silver</v>
      </c>
      <c r="H1909" s="13">
        <v>33</v>
      </c>
    </row>
    <row r="1910" spans="1:8">
      <c r="A1910" t="s">
        <v>2242</v>
      </c>
      <c r="B1910" t="s">
        <v>130</v>
      </c>
      <c r="C1910" s="8">
        <v>45969</v>
      </c>
      <c r="D1910" t="s">
        <v>342</v>
      </c>
      <c r="E1910" t="s">
        <v>334</v>
      </c>
      <c r="F1910" s="12">
        <v>194967</v>
      </c>
      <c r="G1910" s="12" t="str">
        <f>VLOOKUP(Table2[[#This Row],[MemberID]],Table1[#All],3,0)</f>
        <v>Gold</v>
      </c>
      <c r="H1910" s="13">
        <v>19</v>
      </c>
    </row>
    <row r="1911" spans="1:8">
      <c r="A1911" t="s">
        <v>2243</v>
      </c>
      <c r="B1911" t="s">
        <v>257</v>
      </c>
      <c r="C1911" s="8">
        <v>46062</v>
      </c>
      <c r="D1911" t="s">
        <v>344</v>
      </c>
      <c r="E1911" t="s">
        <v>337</v>
      </c>
      <c r="F1911" s="12">
        <v>324427</v>
      </c>
      <c r="G1911" s="12" t="str">
        <f>VLOOKUP(Table2[[#This Row],[MemberID]],Table1[#All],3,0)</f>
        <v>Gold</v>
      </c>
      <c r="H1911" s="13">
        <v>32</v>
      </c>
    </row>
    <row r="1912" spans="1:8">
      <c r="A1912" t="s">
        <v>2244</v>
      </c>
      <c r="B1912" t="s">
        <v>86</v>
      </c>
      <c r="C1912" s="8">
        <v>46262</v>
      </c>
      <c r="D1912" t="s">
        <v>342</v>
      </c>
      <c r="E1912" t="s">
        <v>325</v>
      </c>
      <c r="F1912" s="12">
        <v>319221</v>
      </c>
      <c r="G1912" s="12" t="str">
        <f>VLOOKUP(Table2[[#This Row],[MemberID]],Table1[#All],3,0)</f>
        <v>Silver</v>
      </c>
      <c r="H1912" s="13">
        <v>31</v>
      </c>
    </row>
    <row r="1913" spans="1:8">
      <c r="A1913" t="s">
        <v>2245</v>
      </c>
      <c r="B1913" t="s">
        <v>65</v>
      </c>
      <c r="C1913" s="8">
        <v>46041</v>
      </c>
      <c r="D1913" t="s">
        <v>327</v>
      </c>
      <c r="E1913" t="s">
        <v>322</v>
      </c>
      <c r="F1913" s="12">
        <v>309544</v>
      </c>
      <c r="G1913" s="12" t="str">
        <f>VLOOKUP(Table2[[#This Row],[MemberID]],Table1[#All],3,0)</f>
        <v>Gold</v>
      </c>
      <c r="H1913" s="13">
        <v>30</v>
      </c>
    </row>
    <row r="1914" spans="1:8">
      <c r="A1914" t="s">
        <v>2246</v>
      </c>
      <c r="B1914" t="s">
        <v>201</v>
      </c>
      <c r="C1914" s="8">
        <v>46067</v>
      </c>
      <c r="D1914" t="s">
        <v>332</v>
      </c>
      <c r="E1914" t="s">
        <v>334</v>
      </c>
      <c r="F1914" s="12">
        <v>228063</v>
      </c>
      <c r="G1914" s="12" t="str">
        <f>VLOOKUP(Table2[[#This Row],[MemberID]],Table1[#All],3,0)</f>
        <v>Platinum</v>
      </c>
      <c r="H1914" s="13">
        <v>22</v>
      </c>
    </row>
    <row r="1915" spans="1:8">
      <c r="A1915" t="s">
        <v>2247</v>
      </c>
      <c r="B1915" t="s">
        <v>192</v>
      </c>
      <c r="C1915" s="8">
        <v>46017</v>
      </c>
      <c r="D1915" t="s">
        <v>344</v>
      </c>
      <c r="E1915" t="s">
        <v>334</v>
      </c>
      <c r="F1915" s="12">
        <v>107651</v>
      </c>
      <c r="G1915" s="12" t="str">
        <f>VLOOKUP(Table2[[#This Row],[MemberID]],Table1[#All],3,0)</f>
        <v>Silver</v>
      </c>
      <c r="H1915" s="13">
        <v>10</v>
      </c>
    </row>
    <row r="1916" spans="1:8">
      <c r="A1916" t="s">
        <v>2248</v>
      </c>
      <c r="B1916" t="s">
        <v>298</v>
      </c>
      <c r="C1916" s="8">
        <v>46157</v>
      </c>
      <c r="D1916" t="s">
        <v>321</v>
      </c>
      <c r="E1916" t="s">
        <v>322</v>
      </c>
      <c r="F1916" s="12">
        <v>310668</v>
      </c>
      <c r="G1916" s="12" t="str">
        <f>VLOOKUP(Table2[[#This Row],[MemberID]],Table1[#All],3,0)</f>
        <v>Gold</v>
      </c>
      <c r="H1916" s="13">
        <v>31</v>
      </c>
    </row>
    <row r="1917" spans="1:8">
      <c r="A1917" t="s">
        <v>2249</v>
      </c>
      <c r="B1917" t="s">
        <v>64</v>
      </c>
      <c r="C1917" s="8">
        <v>46012</v>
      </c>
      <c r="D1917" t="s">
        <v>321</v>
      </c>
      <c r="E1917" t="s">
        <v>339</v>
      </c>
      <c r="F1917" s="12">
        <v>685359</v>
      </c>
      <c r="G1917" s="12" t="str">
        <f>VLOOKUP(Table2[[#This Row],[MemberID]],Table1[#All],3,0)</f>
        <v>Silver</v>
      </c>
      <c r="H1917" s="13">
        <v>68</v>
      </c>
    </row>
    <row r="1918" spans="1:8">
      <c r="A1918" t="s">
        <v>2250</v>
      </c>
      <c r="B1918" t="s">
        <v>124</v>
      </c>
      <c r="C1918" s="8">
        <v>46071</v>
      </c>
      <c r="D1918" t="s">
        <v>324</v>
      </c>
      <c r="E1918" t="s">
        <v>325</v>
      </c>
      <c r="F1918" s="12">
        <v>490387</v>
      </c>
      <c r="G1918" s="12" t="str">
        <f>VLOOKUP(Table2[[#This Row],[MemberID]],Table1[#All],3,0)</f>
        <v>Platinum</v>
      </c>
      <c r="H1918" s="13">
        <v>49</v>
      </c>
    </row>
    <row r="1919" spans="1:8">
      <c r="A1919" t="s">
        <v>2251</v>
      </c>
      <c r="B1919" t="s">
        <v>164</v>
      </c>
      <c r="C1919" s="8">
        <v>46082</v>
      </c>
      <c r="D1919" t="s">
        <v>330</v>
      </c>
      <c r="E1919" t="s">
        <v>339</v>
      </c>
      <c r="F1919" s="12">
        <v>91742</v>
      </c>
      <c r="G1919" s="12" t="str">
        <f>VLOOKUP(Table2[[#This Row],[MemberID]],Table1[#All],3,0)</f>
        <v>Silver</v>
      </c>
      <c r="H1919" s="13">
        <v>9</v>
      </c>
    </row>
    <row r="1920" spans="1:8">
      <c r="A1920" t="s">
        <v>2252</v>
      </c>
      <c r="B1920" t="s">
        <v>217</v>
      </c>
      <c r="C1920" s="8">
        <v>46162</v>
      </c>
      <c r="D1920" t="s">
        <v>321</v>
      </c>
      <c r="E1920" t="s">
        <v>325</v>
      </c>
      <c r="F1920" s="12">
        <v>295981</v>
      </c>
      <c r="G1920" s="12" t="str">
        <f>VLOOKUP(Table2[[#This Row],[MemberID]],Table1[#All],3,0)</f>
        <v>Gold</v>
      </c>
      <c r="H1920" s="13">
        <v>29</v>
      </c>
    </row>
    <row r="1921" spans="1:8">
      <c r="A1921" t="s">
        <v>2253</v>
      </c>
      <c r="B1921" t="s">
        <v>241</v>
      </c>
      <c r="C1921" s="8">
        <v>45954</v>
      </c>
      <c r="D1921" t="s">
        <v>327</v>
      </c>
      <c r="E1921" t="s">
        <v>334</v>
      </c>
      <c r="F1921" s="12">
        <v>38674</v>
      </c>
      <c r="G1921" s="12" t="str">
        <f>VLOOKUP(Table2[[#This Row],[MemberID]],Table1[#All],3,0)</f>
        <v>Gold</v>
      </c>
      <c r="H1921" s="13">
        <v>3</v>
      </c>
    </row>
    <row r="1922" spans="1:8">
      <c r="A1922" t="s">
        <v>2254</v>
      </c>
      <c r="B1922" t="s">
        <v>280</v>
      </c>
      <c r="C1922" s="8">
        <v>46178</v>
      </c>
      <c r="D1922" t="s">
        <v>327</v>
      </c>
      <c r="E1922" t="s">
        <v>334</v>
      </c>
      <c r="F1922" s="12">
        <v>253505</v>
      </c>
      <c r="G1922" s="12" t="str">
        <f>VLOOKUP(Table2[[#This Row],[MemberID]],Table1[#All],3,0)</f>
        <v>Silver</v>
      </c>
      <c r="H1922" s="13">
        <v>25</v>
      </c>
    </row>
    <row r="1923" spans="1:8">
      <c r="A1923" t="s">
        <v>2255</v>
      </c>
      <c r="B1923" t="s">
        <v>122</v>
      </c>
      <c r="C1923" s="8">
        <v>45942</v>
      </c>
      <c r="D1923" t="s">
        <v>342</v>
      </c>
      <c r="E1923" t="s">
        <v>328</v>
      </c>
      <c r="F1923" s="12">
        <v>482873</v>
      </c>
      <c r="G1923" s="12" t="str">
        <f>VLOOKUP(Table2[[#This Row],[MemberID]],Table1[#All],3,0)</f>
        <v>Gold</v>
      </c>
      <c r="H1923" s="13">
        <v>48</v>
      </c>
    </row>
    <row r="1924" spans="1:8">
      <c r="A1924" t="s">
        <v>2256</v>
      </c>
      <c r="B1924" t="s">
        <v>135</v>
      </c>
      <c r="C1924" s="8">
        <v>46215</v>
      </c>
      <c r="D1924" t="s">
        <v>332</v>
      </c>
      <c r="E1924" t="s">
        <v>339</v>
      </c>
      <c r="F1924" s="12">
        <v>185038</v>
      </c>
      <c r="G1924" s="12" t="str">
        <f>VLOOKUP(Table2[[#This Row],[MemberID]],Table1[#All],3,0)</f>
        <v>Silver</v>
      </c>
      <c r="H1924" s="13">
        <v>18</v>
      </c>
    </row>
    <row r="1925" spans="1:8">
      <c r="A1925" t="s">
        <v>2257</v>
      </c>
      <c r="B1925" t="s">
        <v>103</v>
      </c>
      <c r="C1925" s="8">
        <v>46161</v>
      </c>
      <c r="D1925" t="s">
        <v>344</v>
      </c>
      <c r="E1925" t="s">
        <v>334</v>
      </c>
      <c r="F1925" s="12">
        <v>209555</v>
      </c>
      <c r="G1925" s="12" t="str">
        <f>VLOOKUP(Table2[[#This Row],[MemberID]],Table1[#All],3,0)</f>
        <v>Silver</v>
      </c>
      <c r="H1925" s="13">
        <v>20</v>
      </c>
    </row>
    <row r="1926" spans="1:8">
      <c r="A1926" t="s">
        <v>2258</v>
      </c>
      <c r="B1926" t="s">
        <v>128</v>
      </c>
      <c r="C1926" s="8">
        <v>46088</v>
      </c>
      <c r="D1926" t="s">
        <v>324</v>
      </c>
      <c r="E1926" t="s">
        <v>328</v>
      </c>
      <c r="F1926" s="12">
        <v>231390</v>
      </c>
      <c r="G1926" s="12" t="str">
        <f>VLOOKUP(Table2[[#This Row],[MemberID]],Table1[#All],3,0)</f>
        <v>Silver</v>
      </c>
      <c r="H1926" s="13">
        <v>23</v>
      </c>
    </row>
    <row r="1927" spans="1:8">
      <c r="A1927" t="s">
        <v>2259</v>
      </c>
      <c r="B1927" t="s">
        <v>183</v>
      </c>
      <c r="C1927" s="8">
        <v>46224</v>
      </c>
      <c r="D1927" t="s">
        <v>350</v>
      </c>
      <c r="E1927" t="s">
        <v>328</v>
      </c>
      <c r="F1927" s="12">
        <v>100573</v>
      </c>
      <c r="G1927" s="12" t="str">
        <f>VLOOKUP(Table2[[#This Row],[MemberID]],Table1[#All],3,0)</f>
        <v>Gold</v>
      </c>
      <c r="H1927" s="13">
        <v>10</v>
      </c>
    </row>
    <row r="1928" spans="1:8">
      <c r="A1928" t="s">
        <v>2260</v>
      </c>
      <c r="B1928" t="s">
        <v>117</v>
      </c>
      <c r="C1928" s="8">
        <v>46007</v>
      </c>
      <c r="D1928" t="s">
        <v>350</v>
      </c>
      <c r="E1928" t="s">
        <v>322</v>
      </c>
      <c r="F1928" s="12">
        <v>341328</v>
      </c>
      <c r="G1928" s="12" t="str">
        <f>VLOOKUP(Table2[[#This Row],[MemberID]],Table1[#All],3,0)</f>
        <v>Silver</v>
      </c>
      <c r="H1928" s="13">
        <v>34</v>
      </c>
    </row>
    <row r="1929" spans="1:8">
      <c r="A1929" t="s">
        <v>2261</v>
      </c>
      <c r="B1929" t="s">
        <v>62</v>
      </c>
      <c r="C1929" s="8">
        <v>45952</v>
      </c>
      <c r="D1929" t="s">
        <v>344</v>
      </c>
      <c r="E1929" t="s">
        <v>322</v>
      </c>
      <c r="F1929" s="12">
        <v>177139</v>
      </c>
      <c r="G1929" s="12" t="str">
        <f>VLOOKUP(Table2[[#This Row],[MemberID]],Table1[#All],3,0)</f>
        <v>Silver</v>
      </c>
      <c r="H1929" s="13">
        <v>17</v>
      </c>
    </row>
    <row r="1930" spans="1:8">
      <c r="A1930" t="s">
        <v>2262</v>
      </c>
      <c r="B1930" t="s">
        <v>31</v>
      </c>
      <c r="C1930" s="8">
        <v>45989</v>
      </c>
      <c r="D1930" t="s">
        <v>327</v>
      </c>
      <c r="E1930" t="s">
        <v>325</v>
      </c>
      <c r="F1930" s="12">
        <v>65196</v>
      </c>
      <c r="G1930" s="12" t="str">
        <f>VLOOKUP(Table2[[#This Row],[MemberID]],Table1[#All],3,0)</f>
        <v>Silver</v>
      </c>
      <c r="H1930" s="13">
        <v>6</v>
      </c>
    </row>
    <row r="1931" spans="1:8">
      <c r="A1931" t="s">
        <v>2263</v>
      </c>
      <c r="B1931" t="s">
        <v>201</v>
      </c>
      <c r="C1931" s="8">
        <v>45971</v>
      </c>
      <c r="D1931" t="s">
        <v>350</v>
      </c>
      <c r="E1931" t="s">
        <v>334</v>
      </c>
      <c r="F1931" s="12">
        <v>101616</v>
      </c>
      <c r="G1931" s="12" t="str">
        <f>VLOOKUP(Table2[[#This Row],[MemberID]],Table1[#All],3,0)</f>
        <v>Platinum</v>
      </c>
      <c r="H1931" s="13">
        <v>10</v>
      </c>
    </row>
    <row r="1932" spans="1:8">
      <c r="A1932" t="s">
        <v>2264</v>
      </c>
      <c r="B1932" t="s">
        <v>117</v>
      </c>
      <c r="C1932" s="8">
        <v>46094</v>
      </c>
      <c r="D1932" t="s">
        <v>324</v>
      </c>
      <c r="E1932" t="s">
        <v>322</v>
      </c>
      <c r="F1932" s="12">
        <v>95542</v>
      </c>
      <c r="G1932" s="12" t="str">
        <f>VLOOKUP(Table2[[#This Row],[MemberID]],Table1[#All],3,0)</f>
        <v>Silver</v>
      </c>
      <c r="H1932" s="13">
        <v>9</v>
      </c>
    </row>
    <row r="1933" spans="1:8">
      <c r="A1933" t="s">
        <v>2265</v>
      </c>
      <c r="B1933" t="s">
        <v>84</v>
      </c>
      <c r="C1933" s="8">
        <v>46046</v>
      </c>
      <c r="D1933" t="s">
        <v>324</v>
      </c>
      <c r="E1933" t="s">
        <v>337</v>
      </c>
      <c r="F1933" s="12">
        <v>531008</v>
      </c>
      <c r="G1933" s="12" t="str">
        <f>VLOOKUP(Table2[[#This Row],[MemberID]],Table1[#All],3,0)</f>
        <v>Silver</v>
      </c>
      <c r="H1933" s="13">
        <v>53</v>
      </c>
    </row>
    <row r="1934" spans="1:8">
      <c r="A1934" t="s">
        <v>2266</v>
      </c>
      <c r="B1934" t="s">
        <v>255</v>
      </c>
      <c r="C1934" s="8">
        <v>46112</v>
      </c>
      <c r="D1934" t="s">
        <v>330</v>
      </c>
      <c r="E1934" t="s">
        <v>328</v>
      </c>
      <c r="F1934" s="12">
        <v>95151</v>
      </c>
      <c r="G1934" s="12" t="str">
        <f>VLOOKUP(Table2[[#This Row],[MemberID]],Table1[#All],3,0)</f>
        <v>Silver</v>
      </c>
      <c r="H1934" s="13">
        <v>9</v>
      </c>
    </row>
    <row r="1935" spans="1:8">
      <c r="A1935" t="s">
        <v>2267</v>
      </c>
      <c r="B1935" t="s">
        <v>244</v>
      </c>
      <c r="C1935" s="8">
        <v>46278</v>
      </c>
      <c r="D1935" t="s">
        <v>327</v>
      </c>
      <c r="E1935" t="s">
        <v>339</v>
      </c>
      <c r="F1935" s="12">
        <v>456728</v>
      </c>
      <c r="G1935" s="12" t="str">
        <f>VLOOKUP(Table2[[#This Row],[MemberID]],Table1[#All],3,0)</f>
        <v>Silver</v>
      </c>
      <c r="H1935" s="13">
        <v>45</v>
      </c>
    </row>
    <row r="1936" spans="1:8">
      <c r="A1936" t="s">
        <v>2268</v>
      </c>
      <c r="B1936" t="s">
        <v>263</v>
      </c>
      <c r="C1936" s="8">
        <v>46221</v>
      </c>
      <c r="D1936" t="s">
        <v>327</v>
      </c>
      <c r="E1936" t="s">
        <v>334</v>
      </c>
      <c r="F1936" s="12">
        <v>283977</v>
      </c>
      <c r="G1936" s="12" t="str">
        <f>VLOOKUP(Table2[[#This Row],[MemberID]],Table1[#All],3,0)</f>
        <v>Gold</v>
      </c>
      <c r="H1936" s="13">
        <v>28</v>
      </c>
    </row>
    <row r="1937" spans="1:8">
      <c r="A1937" t="s">
        <v>2269</v>
      </c>
      <c r="B1937" t="s">
        <v>109</v>
      </c>
      <c r="C1937" s="8">
        <v>46050</v>
      </c>
      <c r="D1937" t="s">
        <v>332</v>
      </c>
      <c r="E1937" t="s">
        <v>337</v>
      </c>
      <c r="F1937" s="12">
        <v>821335</v>
      </c>
      <c r="G1937" s="12" t="str">
        <f>VLOOKUP(Table2[[#This Row],[MemberID]],Table1[#All],3,0)</f>
        <v>Silver</v>
      </c>
      <c r="H1937" s="13">
        <v>82</v>
      </c>
    </row>
    <row r="1938" spans="1:8">
      <c r="A1938" t="s">
        <v>2270</v>
      </c>
      <c r="B1938" t="s">
        <v>67</v>
      </c>
      <c r="C1938" s="8">
        <v>46194</v>
      </c>
      <c r="D1938" t="s">
        <v>350</v>
      </c>
      <c r="E1938" t="s">
        <v>334</v>
      </c>
      <c r="F1938" s="12">
        <v>397838</v>
      </c>
      <c r="G1938" s="12" t="str">
        <f>VLOOKUP(Table2[[#This Row],[MemberID]],Table1[#All],3,0)</f>
        <v>Platinum</v>
      </c>
      <c r="H1938" s="13">
        <v>39</v>
      </c>
    </row>
    <row r="1939" spans="1:8">
      <c r="A1939" t="s">
        <v>2271</v>
      </c>
      <c r="B1939" t="s">
        <v>294</v>
      </c>
      <c r="C1939" s="8">
        <v>46183</v>
      </c>
      <c r="D1939" t="s">
        <v>342</v>
      </c>
      <c r="E1939" t="s">
        <v>325</v>
      </c>
      <c r="F1939" s="12">
        <v>25000</v>
      </c>
      <c r="G1939" s="12" t="str">
        <f>VLOOKUP(Table2[[#This Row],[MemberID]],Table1[#All],3,0)</f>
        <v>Gold</v>
      </c>
      <c r="H1939" s="13">
        <v>2</v>
      </c>
    </row>
    <row r="1940" spans="1:8">
      <c r="A1940" t="s">
        <v>2272</v>
      </c>
      <c r="B1940" t="s">
        <v>94</v>
      </c>
      <c r="C1940" s="8">
        <v>46197</v>
      </c>
      <c r="D1940" t="s">
        <v>350</v>
      </c>
      <c r="E1940" t="s">
        <v>337</v>
      </c>
      <c r="F1940" s="12">
        <v>1110195</v>
      </c>
      <c r="G1940" s="12" t="str">
        <f>VLOOKUP(Table2[[#This Row],[MemberID]],Table1[#All],3,0)</f>
        <v>Silver</v>
      </c>
      <c r="H1940" s="13">
        <v>111</v>
      </c>
    </row>
    <row r="1941" spans="1:8">
      <c r="A1941" t="s">
        <v>2273</v>
      </c>
      <c r="B1941" t="s">
        <v>58</v>
      </c>
      <c r="C1941" s="8">
        <v>46191</v>
      </c>
      <c r="D1941" t="s">
        <v>330</v>
      </c>
      <c r="E1941" t="s">
        <v>322</v>
      </c>
      <c r="F1941" s="12">
        <v>292413</v>
      </c>
      <c r="G1941" s="12" t="str">
        <f>VLOOKUP(Table2[[#This Row],[MemberID]],Table1[#All],3,0)</f>
        <v>Silver</v>
      </c>
      <c r="H1941" s="13">
        <v>29</v>
      </c>
    </row>
    <row r="1942" spans="1:8">
      <c r="A1942" t="s">
        <v>2274</v>
      </c>
      <c r="B1942" t="s">
        <v>256</v>
      </c>
      <c r="C1942" s="8">
        <v>46195</v>
      </c>
      <c r="D1942" t="s">
        <v>342</v>
      </c>
      <c r="E1942" t="s">
        <v>339</v>
      </c>
      <c r="F1942" s="12">
        <v>1014042</v>
      </c>
      <c r="G1942" s="12" t="str">
        <f>VLOOKUP(Table2[[#This Row],[MemberID]],Table1[#All],3,0)</f>
        <v>Gold</v>
      </c>
      <c r="H1942" s="13">
        <v>101</v>
      </c>
    </row>
    <row r="1943" spans="1:8">
      <c r="A1943" t="s">
        <v>2275</v>
      </c>
      <c r="B1943" t="s">
        <v>231</v>
      </c>
      <c r="C1943" s="8">
        <v>46008</v>
      </c>
      <c r="D1943" t="s">
        <v>327</v>
      </c>
      <c r="E1943" t="s">
        <v>325</v>
      </c>
      <c r="F1943" s="12">
        <v>191258</v>
      </c>
      <c r="G1943" s="12" t="str">
        <f>VLOOKUP(Table2[[#This Row],[MemberID]],Table1[#All],3,0)</f>
        <v>Silver</v>
      </c>
      <c r="H1943" s="13">
        <v>19</v>
      </c>
    </row>
    <row r="1944" spans="1:8">
      <c r="A1944" t="s">
        <v>2276</v>
      </c>
      <c r="B1944" t="s">
        <v>8</v>
      </c>
      <c r="C1944" s="8">
        <v>46229</v>
      </c>
      <c r="D1944" t="s">
        <v>350</v>
      </c>
      <c r="E1944" t="s">
        <v>328</v>
      </c>
      <c r="F1944" s="12">
        <v>212854</v>
      </c>
      <c r="G1944" s="12" t="str">
        <f>VLOOKUP(Table2[[#This Row],[MemberID]],Table1[#All],3,0)</f>
        <v>Gold</v>
      </c>
      <c r="H1944" s="13">
        <v>21</v>
      </c>
    </row>
    <row r="1945" spans="1:8">
      <c r="A1945" t="s">
        <v>2277</v>
      </c>
      <c r="B1945" t="s">
        <v>277</v>
      </c>
      <c r="C1945" s="8">
        <v>45987</v>
      </c>
      <c r="D1945" t="s">
        <v>332</v>
      </c>
      <c r="E1945" t="s">
        <v>334</v>
      </c>
      <c r="F1945" s="12">
        <v>25000</v>
      </c>
      <c r="G1945" s="12" t="str">
        <f>VLOOKUP(Table2[[#This Row],[MemberID]],Table1[#All],3,0)</f>
        <v>Silver</v>
      </c>
      <c r="H1945" s="13">
        <v>2</v>
      </c>
    </row>
    <row r="1946" spans="1:8">
      <c r="A1946" t="s">
        <v>2278</v>
      </c>
      <c r="B1946" t="s">
        <v>102</v>
      </c>
      <c r="C1946" s="8">
        <v>45945</v>
      </c>
      <c r="D1946" t="s">
        <v>330</v>
      </c>
      <c r="E1946" t="s">
        <v>325</v>
      </c>
      <c r="F1946" s="12">
        <v>140386</v>
      </c>
      <c r="G1946" s="12" t="str">
        <f>VLOOKUP(Table2[[#This Row],[MemberID]],Table1[#All],3,0)</f>
        <v>Platinum</v>
      </c>
      <c r="H1946" s="13">
        <v>14</v>
      </c>
    </row>
    <row r="1947" spans="1:8">
      <c r="A1947" t="s">
        <v>2279</v>
      </c>
      <c r="B1947" t="s">
        <v>258</v>
      </c>
      <c r="C1947" s="8">
        <v>46142</v>
      </c>
      <c r="D1947" t="s">
        <v>332</v>
      </c>
      <c r="E1947" t="s">
        <v>328</v>
      </c>
      <c r="F1947" s="12">
        <v>189911</v>
      </c>
      <c r="G1947" s="12" t="str">
        <f>VLOOKUP(Table2[[#This Row],[MemberID]],Table1[#All],3,0)</f>
        <v>Silver</v>
      </c>
      <c r="H1947" s="13">
        <v>18</v>
      </c>
    </row>
    <row r="1948" spans="1:8">
      <c r="A1948" t="s">
        <v>2280</v>
      </c>
      <c r="B1948" t="s">
        <v>288</v>
      </c>
      <c r="C1948" s="8">
        <v>46030</v>
      </c>
      <c r="D1948" t="s">
        <v>350</v>
      </c>
      <c r="E1948" t="s">
        <v>322</v>
      </c>
      <c r="F1948" s="12">
        <v>149825</v>
      </c>
      <c r="G1948" s="12" t="str">
        <f>VLOOKUP(Table2[[#This Row],[MemberID]],Table1[#All],3,0)</f>
        <v>Silver</v>
      </c>
      <c r="H1948" s="13">
        <v>14</v>
      </c>
    </row>
    <row r="1949" spans="1:8">
      <c r="A1949" t="s">
        <v>2281</v>
      </c>
      <c r="B1949" t="s">
        <v>136</v>
      </c>
      <c r="C1949" s="8">
        <v>46199</v>
      </c>
      <c r="D1949" t="s">
        <v>344</v>
      </c>
      <c r="E1949" t="s">
        <v>328</v>
      </c>
      <c r="F1949" s="12">
        <v>426362</v>
      </c>
      <c r="G1949" s="12" t="str">
        <f>VLOOKUP(Table2[[#This Row],[MemberID]],Table1[#All],3,0)</f>
        <v>Platinum</v>
      </c>
      <c r="H1949" s="13">
        <v>42</v>
      </c>
    </row>
    <row r="1950" spans="1:8">
      <c r="A1950" t="s">
        <v>2282</v>
      </c>
      <c r="B1950" t="s">
        <v>293</v>
      </c>
      <c r="C1950" s="8">
        <v>45945</v>
      </c>
      <c r="D1950" t="s">
        <v>342</v>
      </c>
      <c r="E1950" t="s">
        <v>328</v>
      </c>
      <c r="F1950" s="12">
        <v>314282</v>
      </c>
      <c r="G1950" s="12" t="str">
        <f>VLOOKUP(Table2[[#This Row],[MemberID]],Table1[#All],3,0)</f>
        <v>Silver</v>
      </c>
      <c r="H1950" s="13">
        <v>31</v>
      </c>
    </row>
    <row r="1951" spans="1:8">
      <c r="A1951" t="s">
        <v>2283</v>
      </c>
      <c r="B1951" t="s">
        <v>88</v>
      </c>
      <c r="C1951" s="8">
        <v>46219</v>
      </c>
      <c r="D1951" t="s">
        <v>330</v>
      </c>
      <c r="E1951" t="s">
        <v>337</v>
      </c>
      <c r="F1951" s="12">
        <v>192224</v>
      </c>
      <c r="G1951" s="12" t="str">
        <f>VLOOKUP(Table2[[#This Row],[MemberID]],Table1[#All],3,0)</f>
        <v>Gold</v>
      </c>
      <c r="H1951" s="13">
        <v>19</v>
      </c>
    </row>
    <row r="1952" spans="1:8">
      <c r="A1952" t="s">
        <v>2284</v>
      </c>
      <c r="B1952" t="s">
        <v>70</v>
      </c>
      <c r="C1952" s="8">
        <v>46265</v>
      </c>
      <c r="D1952" t="s">
        <v>321</v>
      </c>
      <c r="E1952" t="s">
        <v>325</v>
      </c>
      <c r="F1952" s="12">
        <v>33578</v>
      </c>
      <c r="G1952" s="12" t="str">
        <f>VLOOKUP(Table2[[#This Row],[MemberID]],Table1[#All],3,0)</f>
        <v>Silver</v>
      </c>
      <c r="H1952" s="13">
        <v>3</v>
      </c>
    </row>
    <row r="1953" spans="1:8">
      <c r="A1953" t="s">
        <v>2285</v>
      </c>
      <c r="B1953" t="s">
        <v>113</v>
      </c>
      <c r="C1953" s="8">
        <v>46205</v>
      </c>
      <c r="D1953" t="s">
        <v>327</v>
      </c>
      <c r="E1953" t="s">
        <v>325</v>
      </c>
      <c r="F1953" s="12">
        <v>621941</v>
      </c>
      <c r="G1953" s="12" t="str">
        <f>VLOOKUP(Table2[[#This Row],[MemberID]],Table1[#All],3,0)</f>
        <v>Silver</v>
      </c>
      <c r="H1953" s="13">
        <v>62</v>
      </c>
    </row>
    <row r="1954" spans="1:8">
      <c r="A1954" t="s">
        <v>2286</v>
      </c>
      <c r="B1954" t="s">
        <v>102</v>
      </c>
      <c r="C1954" s="8">
        <v>46233</v>
      </c>
      <c r="D1954" t="s">
        <v>342</v>
      </c>
      <c r="E1954" t="s">
        <v>337</v>
      </c>
      <c r="F1954" s="12">
        <v>204504</v>
      </c>
      <c r="G1954" s="12" t="str">
        <f>VLOOKUP(Table2[[#This Row],[MemberID]],Table1[#All],3,0)</f>
        <v>Platinum</v>
      </c>
      <c r="H1954" s="13">
        <v>20</v>
      </c>
    </row>
    <row r="1955" spans="1:8">
      <c r="A1955" t="s">
        <v>2287</v>
      </c>
      <c r="B1955" t="s">
        <v>164</v>
      </c>
      <c r="C1955" s="8">
        <v>46291</v>
      </c>
      <c r="D1955" t="s">
        <v>327</v>
      </c>
      <c r="E1955" t="s">
        <v>339</v>
      </c>
      <c r="F1955" s="12">
        <v>259763</v>
      </c>
      <c r="G1955" s="12" t="str">
        <f>VLOOKUP(Table2[[#This Row],[MemberID]],Table1[#All],3,0)</f>
        <v>Silver</v>
      </c>
      <c r="H1955" s="13">
        <v>25</v>
      </c>
    </row>
    <row r="1956" spans="1:8">
      <c r="A1956" t="s">
        <v>2288</v>
      </c>
      <c r="B1956" t="s">
        <v>270</v>
      </c>
      <c r="C1956" s="8">
        <v>46180</v>
      </c>
      <c r="D1956" t="s">
        <v>342</v>
      </c>
      <c r="E1956" t="s">
        <v>322</v>
      </c>
      <c r="F1956" s="12">
        <v>442173</v>
      </c>
      <c r="G1956" s="12" t="str">
        <f>VLOOKUP(Table2[[#This Row],[MemberID]],Table1[#All],3,0)</f>
        <v>Gold</v>
      </c>
      <c r="H1956" s="13">
        <v>44</v>
      </c>
    </row>
    <row r="1957" spans="1:8">
      <c r="A1957" t="s">
        <v>2289</v>
      </c>
      <c r="B1957" t="s">
        <v>106</v>
      </c>
      <c r="C1957" s="8">
        <v>45978</v>
      </c>
      <c r="D1957" t="s">
        <v>321</v>
      </c>
      <c r="E1957" t="s">
        <v>337</v>
      </c>
      <c r="F1957" s="12">
        <v>1144657</v>
      </c>
      <c r="G1957" s="12" t="str">
        <f>VLOOKUP(Table2[[#This Row],[MemberID]],Table1[#All],3,0)</f>
        <v>Silver</v>
      </c>
      <c r="H1957" s="13">
        <v>114</v>
      </c>
    </row>
    <row r="1958" spans="1:8">
      <c r="A1958" t="s">
        <v>2290</v>
      </c>
      <c r="B1958" t="s">
        <v>109</v>
      </c>
      <c r="C1958" s="8">
        <v>46259</v>
      </c>
      <c r="D1958" t="s">
        <v>350</v>
      </c>
      <c r="E1958" t="s">
        <v>322</v>
      </c>
      <c r="F1958" s="12">
        <v>429629</v>
      </c>
      <c r="G1958" s="12" t="str">
        <f>VLOOKUP(Table2[[#This Row],[MemberID]],Table1[#All],3,0)</f>
        <v>Silver</v>
      </c>
      <c r="H1958" s="13">
        <v>42</v>
      </c>
    </row>
    <row r="1959" spans="1:8">
      <c r="A1959" t="s">
        <v>2291</v>
      </c>
      <c r="B1959" t="s">
        <v>294</v>
      </c>
      <c r="C1959" s="8">
        <v>46198</v>
      </c>
      <c r="D1959" t="s">
        <v>342</v>
      </c>
      <c r="E1959" t="s">
        <v>322</v>
      </c>
      <c r="F1959" s="12">
        <v>167830</v>
      </c>
      <c r="G1959" s="12" t="str">
        <f>VLOOKUP(Table2[[#This Row],[MemberID]],Table1[#All],3,0)</f>
        <v>Gold</v>
      </c>
      <c r="H1959" s="13">
        <v>16</v>
      </c>
    </row>
    <row r="1960" spans="1:8">
      <c r="A1960" t="s">
        <v>2292</v>
      </c>
      <c r="B1960" t="s">
        <v>284</v>
      </c>
      <c r="C1960" s="8">
        <v>46078</v>
      </c>
      <c r="D1960" t="s">
        <v>350</v>
      </c>
      <c r="E1960" t="s">
        <v>337</v>
      </c>
      <c r="F1960" s="12">
        <v>514686</v>
      </c>
      <c r="G1960" s="12" t="str">
        <f>VLOOKUP(Table2[[#This Row],[MemberID]],Table1[#All],3,0)</f>
        <v>Silver</v>
      </c>
      <c r="H1960" s="13">
        <v>51</v>
      </c>
    </row>
    <row r="1961" spans="1:8">
      <c r="A1961" t="s">
        <v>2293</v>
      </c>
      <c r="B1961" t="s">
        <v>278</v>
      </c>
      <c r="C1961" s="8">
        <v>46285</v>
      </c>
      <c r="D1961" t="s">
        <v>342</v>
      </c>
      <c r="E1961" t="s">
        <v>328</v>
      </c>
      <c r="F1961" s="12">
        <v>592472</v>
      </c>
      <c r="G1961" s="12" t="str">
        <f>VLOOKUP(Table2[[#This Row],[MemberID]],Table1[#All],3,0)</f>
        <v>Silver</v>
      </c>
      <c r="H1961" s="13">
        <v>59</v>
      </c>
    </row>
    <row r="1962" spans="1:8">
      <c r="A1962" t="s">
        <v>2294</v>
      </c>
      <c r="B1962" t="s">
        <v>135</v>
      </c>
      <c r="C1962" s="8">
        <v>46006</v>
      </c>
      <c r="D1962" t="s">
        <v>324</v>
      </c>
      <c r="E1962" t="s">
        <v>334</v>
      </c>
      <c r="F1962" s="12">
        <v>181568</v>
      </c>
      <c r="G1962" s="12" t="str">
        <f>VLOOKUP(Table2[[#This Row],[MemberID]],Table1[#All],3,0)</f>
        <v>Silver</v>
      </c>
      <c r="H1962" s="13">
        <v>18</v>
      </c>
    </row>
    <row r="1963" spans="1:8">
      <c r="A1963" t="s">
        <v>2295</v>
      </c>
      <c r="B1963" t="s">
        <v>36</v>
      </c>
      <c r="C1963" s="8">
        <v>46097</v>
      </c>
      <c r="D1963" t="s">
        <v>350</v>
      </c>
      <c r="E1963" t="s">
        <v>339</v>
      </c>
      <c r="F1963" s="12">
        <v>259427</v>
      </c>
      <c r="G1963" s="12" t="str">
        <f>VLOOKUP(Table2[[#This Row],[MemberID]],Table1[#All],3,0)</f>
        <v>Gold</v>
      </c>
      <c r="H1963" s="13">
        <v>25</v>
      </c>
    </row>
    <row r="1964" spans="1:8">
      <c r="A1964" t="s">
        <v>2296</v>
      </c>
      <c r="B1964" t="s">
        <v>292</v>
      </c>
      <c r="C1964" s="8">
        <v>45994</v>
      </c>
      <c r="D1964" t="s">
        <v>330</v>
      </c>
      <c r="E1964" t="s">
        <v>339</v>
      </c>
      <c r="F1964" s="12">
        <v>105686</v>
      </c>
      <c r="G1964" s="12" t="str">
        <f>VLOOKUP(Table2[[#This Row],[MemberID]],Table1[#All],3,0)</f>
        <v>Silver</v>
      </c>
      <c r="H1964" s="13">
        <v>10</v>
      </c>
    </row>
    <row r="1965" spans="1:8">
      <c r="A1965" t="s">
        <v>2297</v>
      </c>
      <c r="B1965" t="s">
        <v>218</v>
      </c>
      <c r="C1965" s="8">
        <v>46153</v>
      </c>
      <c r="D1965" t="s">
        <v>332</v>
      </c>
      <c r="E1965" t="s">
        <v>322</v>
      </c>
      <c r="F1965" s="12">
        <v>373116</v>
      </c>
      <c r="G1965" s="12" t="str">
        <f>VLOOKUP(Table2[[#This Row],[MemberID]],Table1[#All],3,0)</f>
        <v>Gold</v>
      </c>
      <c r="H1965" s="13">
        <v>37</v>
      </c>
    </row>
    <row r="1966" spans="1:8">
      <c r="A1966" t="s">
        <v>2298</v>
      </c>
      <c r="B1966" t="s">
        <v>65</v>
      </c>
      <c r="C1966" s="8">
        <v>46151</v>
      </c>
      <c r="D1966" t="s">
        <v>350</v>
      </c>
      <c r="E1966" t="s">
        <v>334</v>
      </c>
      <c r="F1966" s="12">
        <v>243639</v>
      </c>
      <c r="G1966" s="12" t="str">
        <f>VLOOKUP(Table2[[#This Row],[MemberID]],Table1[#All],3,0)</f>
        <v>Gold</v>
      </c>
      <c r="H1966" s="13">
        <v>24</v>
      </c>
    </row>
    <row r="1967" spans="1:8">
      <c r="A1967" t="s">
        <v>2299</v>
      </c>
      <c r="B1967" t="s">
        <v>253</v>
      </c>
      <c r="C1967" s="8">
        <v>46234</v>
      </c>
      <c r="D1967" t="s">
        <v>321</v>
      </c>
      <c r="E1967" t="s">
        <v>334</v>
      </c>
      <c r="F1967" s="12">
        <v>25000</v>
      </c>
      <c r="G1967" s="12" t="str">
        <f>VLOOKUP(Table2[[#This Row],[MemberID]],Table1[#All],3,0)</f>
        <v>Silver</v>
      </c>
      <c r="H1967" s="13">
        <v>2</v>
      </c>
    </row>
    <row r="1968" spans="1:8">
      <c r="A1968" t="s">
        <v>2300</v>
      </c>
      <c r="B1968" t="s">
        <v>141</v>
      </c>
      <c r="C1968" s="8">
        <v>46081</v>
      </c>
      <c r="D1968" t="s">
        <v>321</v>
      </c>
      <c r="E1968" t="s">
        <v>322</v>
      </c>
      <c r="F1968" s="12">
        <v>563106</v>
      </c>
      <c r="G1968" s="12" t="str">
        <f>VLOOKUP(Table2[[#This Row],[MemberID]],Table1[#All],3,0)</f>
        <v>Silver</v>
      </c>
      <c r="H1968" s="13">
        <v>56</v>
      </c>
    </row>
    <row r="1969" spans="1:8">
      <c r="A1969" t="s">
        <v>2301</v>
      </c>
      <c r="B1969" t="s">
        <v>206</v>
      </c>
      <c r="C1969" s="8">
        <v>45935</v>
      </c>
      <c r="D1969" t="s">
        <v>330</v>
      </c>
      <c r="E1969" t="s">
        <v>322</v>
      </c>
      <c r="F1969" s="12">
        <v>155091</v>
      </c>
      <c r="G1969" s="12" t="str">
        <f>VLOOKUP(Table2[[#This Row],[MemberID]],Table1[#All],3,0)</f>
        <v>Silver</v>
      </c>
      <c r="H1969" s="13">
        <v>15</v>
      </c>
    </row>
    <row r="1970" spans="1:8">
      <c r="A1970" t="s">
        <v>2302</v>
      </c>
      <c r="B1970" t="s">
        <v>130</v>
      </c>
      <c r="C1970" s="8">
        <v>46018</v>
      </c>
      <c r="D1970" t="s">
        <v>332</v>
      </c>
      <c r="E1970" t="s">
        <v>328</v>
      </c>
      <c r="F1970" s="12">
        <v>178586</v>
      </c>
      <c r="G1970" s="12" t="str">
        <f>VLOOKUP(Table2[[#This Row],[MemberID]],Table1[#All],3,0)</f>
        <v>Gold</v>
      </c>
      <c r="H1970" s="13">
        <v>17</v>
      </c>
    </row>
    <row r="1971" spans="1:8">
      <c r="A1971" t="s">
        <v>2303</v>
      </c>
      <c r="B1971" t="s">
        <v>240</v>
      </c>
      <c r="C1971" s="8">
        <v>46252</v>
      </c>
      <c r="D1971" t="s">
        <v>330</v>
      </c>
      <c r="E1971" t="s">
        <v>322</v>
      </c>
      <c r="F1971" s="12">
        <v>249939</v>
      </c>
      <c r="G1971" s="12" t="str">
        <f>VLOOKUP(Table2[[#This Row],[MemberID]],Table1[#All],3,0)</f>
        <v>Silver</v>
      </c>
      <c r="H1971" s="13">
        <v>24</v>
      </c>
    </row>
    <row r="1972" spans="1:8">
      <c r="A1972" t="s">
        <v>2304</v>
      </c>
      <c r="B1972" t="s">
        <v>111</v>
      </c>
      <c r="C1972" s="8">
        <v>46238</v>
      </c>
      <c r="D1972" t="s">
        <v>324</v>
      </c>
      <c r="E1972" t="s">
        <v>337</v>
      </c>
      <c r="F1972" s="12">
        <v>363811</v>
      </c>
      <c r="G1972" s="12" t="str">
        <f>VLOOKUP(Table2[[#This Row],[MemberID]],Table1[#All],3,0)</f>
        <v>Platinum</v>
      </c>
      <c r="H1972" s="13">
        <v>36</v>
      </c>
    </row>
    <row r="1973" spans="1:8">
      <c r="A1973" t="s">
        <v>2305</v>
      </c>
      <c r="B1973" t="s">
        <v>52</v>
      </c>
      <c r="C1973" s="8">
        <v>46089</v>
      </c>
      <c r="D1973" t="s">
        <v>332</v>
      </c>
      <c r="E1973" t="s">
        <v>339</v>
      </c>
      <c r="F1973" s="12">
        <v>280249</v>
      </c>
      <c r="G1973" s="12" t="str">
        <f>VLOOKUP(Table2[[#This Row],[MemberID]],Table1[#All],3,0)</f>
        <v>Gold</v>
      </c>
      <c r="H1973" s="13">
        <v>28</v>
      </c>
    </row>
    <row r="1974" spans="1:8">
      <c r="A1974" t="s">
        <v>2306</v>
      </c>
      <c r="B1974" t="s">
        <v>211</v>
      </c>
      <c r="C1974" s="8">
        <v>46186</v>
      </c>
      <c r="D1974" t="s">
        <v>342</v>
      </c>
      <c r="E1974" t="s">
        <v>337</v>
      </c>
      <c r="F1974" s="12">
        <v>395669</v>
      </c>
      <c r="G1974" s="12" t="str">
        <f>VLOOKUP(Table2[[#This Row],[MemberID]],Table1[#All],3,0)</f>
        <v>Platinum</v>
      </c>
      <c r="H1974" s="13">
        <v>39</v>
      </c>
    </row>
    <row r="1975" spans="1:8">
      <c r="A1975" t="s">
        <v>2307</v>
      </c>
      <c r="B1975" t="s">
        <v>87</v>
      </c>
      <c r="C1975" s="8">
        <v>46185</v>
      </c>
      <c r="D1975" t="s">
        <v>321</v>
      </c>
      <c r="E1975" t="s">
        <v>322</v>
      </c>
      <c r="F1975" s="12">
        <v>721837</v>
      </c>
      <c r="G1975" s="12" t="str">
        <f>VLOOKUP(Table2[[#This Row],[MemberID]],Table1[#All],3,0)</f>
        <v>Gold</v>
      </c>
      <c r="H1975" s="13">
        <v>72</v>
      </c>
    </row>
    <row r="1976" spans="1:8">
      <c r="A1976" t="s">
        <v>2308</v>
      </c>
      <c r="B1976" t="s">
        <v>119</v>
      </c>
      <c r="C1976" s="8">
        <v>46162</v>
      </c>
      <c r="D1976" t="s">
        <v>324</v>
      </c>
      <c r="E1976" t="s">
        <v>328</v>
      </c>
      <c r="F1976" s="12">
        <v>363306</v>
      </c>
      <c r="G1976" s="12" t="str">
        <f>VLOOKUP(Table2[[#This Row],[MemberID]],Table1[#All],3,0)</f>
        <v>Gold</v>
      </c>
      <c r="H1976" s="13">
        <v>36</v>
      </c>
    </row>
    <row r="1977" spans="1:8">
      <c r="A1977" t="s">
        <v>2309</v>
      </c>
      <c r="B1977" t="s">
        <v>120</v>
      </c>
      <c r="C1977" s="8">
        <v>46091</v>
      </c>
      <c r="D1977" t="s">
        <v>332</v>
      </c>
      <c r="E1977" t="s">
        <v>322</v>
      </c>
      <c r="F1977" s="12">
        <v>404170</v>
      </c>
      <c r="G1977" s="12" t="str">
        <f>VLOOKUP(Table2[[#This Row],[MemberID]],Table1[#All],3,0)</f>
        <v>Gold</v>
      </c>
      <c r="H1977" s="13">
        <v>40</v>
      </c>
    </row>
    <row r="1978" spans="1:8">
      <c r="A1978" t="s">
        <v>2310</v>
      </c>
      <c r="B1978" t="s">
        <v>200</v>
      </c>
      <c r="C1978" s="8">
        <v>45935</v>
      </c>
      <c r="D1978" t="s">
        <v>350</v>
      </c>
      <c r="E1978" t="s">
        <v>325</v>
      </c>
      <c r="F1978" s="12">
        <v>212216</v>
      </c>
      <c r="G1978" s="12" t="str">
        <f>VLOOKUP(Table2[[#This Row],[MemberID]],Table1[#All],3,0)</f>
        <v>Silver</v>
      </c>
      <c r="H1978" s="13">
        <v>21</v>
      </c>
    </row>
    <row r="1979" spans="1:8">
      <c r="A1979" t="s">
        <v>2311</v>
      </c>
      <c r="B1979" t="s">
        <v>110</v>
      </c>
      <c r="C1979" s="8">
        <v>46263</v>
      </c>
      <c r="D1979" t="s">
        <v>350</v>
      </c>
      <c r="E1979" t="s">
        <v>325</v>
      </c>
      <c r="F1979" s="12">
        <v>231102</v>
      </c>
      <c r="G1979" s="12" t="str">
        <f>VLOOKUP(Table2[[#This Row],[MemberID]],Table1[#All],3,0)</f>
        <v>Silver</v>
      </c>
      <c r="H1979" s="13">
        <v>23</v>
      </c>
    </row>
    <row r="1980" spans="1:8">
      <c r="A1980" t="s">
        <v>2312</v>
      </c>
      <c r="B1980" t="s">
        <v>213</v>
      </c>
      <c r="C1980" s="8">
        <v>46029</v>
      </c>
      <c r="D1980" t="s">
        <v>342</v>
      </c>
      <c r="E1980" t="s">
        <v>322</v>
      </c>
      <c r="F1980" s="12">
        <v>320457</v>
      </c>
      <c r="G1980" s="12" t="str">
        <f>VLOOKUP(Table2[[#This Row],[MemberID]],Table1[#All],3,0)</f>
        <v>Gold</v>
      </c>
      <c r="H1980" s="13">
        <v>32</v>
      </c>
    </row>
    <row r="1981" spans="1:8">
      <c r="A1981" t="s">
        <v>2313</v>
      </c>
      <c r="B1981" t="s">
        <v>232</v>
      </c>
      <c r="C1981" s="8">
        <v>45944</v>
      </c>
      <c r="D1981" t="s">
        <v>324</v>
      </c>
      <c r="E1981" t="s">
        <v>339</v>
      </c>
      <c r="F1981" s="12">
        <v>676195</v>
      </c>
      <c r="G1981" s="12" t="str">
        <f>VLOOKUP(Table2[[#This Row],[MemberID]],Table1[#All],3,0)</f>
        <v>Silver</v>
      </c>
      <c r="H1981" s="13">
        <v>67</v>
      </c>
    </row>
    <row r="1982" spans="1:8">
      <c r="A1982" t="s">
        <v>2314</v>
      </c>
      <c r="B1982" t="s">
        <v>303</v>
      </c>
      <c r="C1982" s="8">
        <v>46245</v>
      </c>
      <c r="D1982" t="s">
        <v>324</v>
      </c>
      <c r="E1982" t="s">
        <v>334</v>
      </c>
      <c r="F1982" s="12">
        <v>568580</v>
      </c>
      <c r="G1982" s="12" t="str">
        <f>VLOOKUP(Table2[[#This Row],[MemberID]],Table1[#All],3,0)</f>
        <v>Gold</v>
      </c>
      <c r="H1982" s="13">
        <v>56</v>
      </c>
    </row>
    <row r="1983" spans="1:8">
      <c r="A1983" t="s">
        <v>2315</v>
      </c>
      <c r="B1983" t="s">
        <v>212</v>
      </c>
      <c r="C1983" s="8">
        <v>46202</v>
      </c>
      <c r="D1983" t="s">
        <v>350</v>
      </c>
      <c r="E1983" t="s">
        <v>325</v>
      </c>
      <c r="F1983" s="12">
        <v>236943</v>
      </c>
      <c r="G1983" s="12" t="str">
        <f>VLOOKUP(Table2[[#This Row],[MemberID]],Table1[#All],3,0)</f>
        <v>Silver</v>
      </c>
      <c r="H1983" s="13">
        <v>23</v>
      </c>
    </row>
    <row r="1984" spans="1:8">
      <c r="A1984" t="s">
        <v>2316</v>
      </c>
      <c r="B1984" t="s">
        <v>293</v>
      </c>
      <c r="C1984" s="8">
        <v>46222</v>
      </c>
      <c r="D1984" t="s">
        <v>342</v>
      </c>
      <c r="E1984" t="s">
        <v>322</v>
      </c>
      <c r="F1984" s="12">
        <v>163787</v>
      </c>
      <c r="G1984" s="12" t="str">
        <f>VLOOKUP(Table2[[#This Row],[MemberID]],Table1[#All],3,0)</f>
        <v>Silver</v>
      </c>
      <c r="H1984" s="13">
        <v>16</v>
      </c>
    </row>
    <row r="1985" spans="1:8">
      <c r="A1985" t="s">
        <v>2317</v>
      </c>
      <c r="B1985" t="s">
        <v>278</v>
      </c>
      <c r="C1985" s="8">
        <v>46046</v>
      </c>
      <c r="D1985" t="s">
        <v>327</v>
      </c>
      <c r="E1985" t="s">
        <v>334</v>
      </c>
      <c r="F1985" s="12">
        <v>534634</v>
      </c>
      <c r="G1985" s="12" t="str">
        <f>VLOOKUP(Table2[[#This Row],[MemberID]],Table1[#All],3,0)</f>
        <v>Silver</v>
      </c>
      <c r="H1985" s="13">
        <v>53</v>
      </c>
    </row>
    <row r="1986" spans="1:8">
      <c r="A1986" t="s">
        <v>2318</v>
      </c>
      <c r="B1986" t="s">
        <v>130</v>
      </c>
      <c r="C1986" s="8">
        <v>46287</v>
      </c>
      <c r="D1986" t="s">
        <v>324</v>
      </c>
      <c r="E1986" t="s">
        <v>337</v>
      </c>
      <c r="F1986" s="12">
        <v>151925</v>
      </c>
      <c r="G1986" s="12" t="str">
        <f>VLOOKUP(Table2[[#This Row],[MemberID]],Table1[#All],3,0)</f>
        <v>Gold</v>
      </c>
      <c r="H1986" s="13">
        <v>15</v>
      </c>
    </row>
    <row r="1987" spans="1:8">
      <c r="A1987" t="s">
        <v>2319</v>
      </c>
      <c r="B1987" t="s">
        <v>240</v>
      </c>
      <c r="C1987" s="8">
        <v>46275</v>
      </c>
      <c r="D1987" t="s">
        <v>324</v>
      </c>
      <c r="E1987" t="s">
        <v>339</v>
      </c>
      <c r="F1987" s="12">
        <v>530480</v>
      </c>
      <c r="G1987" s="12" t="str">
        <f>VLOOKUP(Table2[[#This Row],[MemberID]],Table1[#All],3,0)</f>
        <v>Silver</v>
      </c>
      <c r="H1987" s="13">
        <v>53</v>
      </c>
    </row>
    <row r="1988" spans="1:8">
      <c r="A1988" t="s">
        <v>2320</v>
      </c>
      <c r="B1988" t="s">
        <v>309</v>
      </c>
      <c r="C1988" s="8">
        <v>46154</v>
      </c>
      <c r="D1988" t="s">
        <v>332</v>
      </c>
      <c r="E1988" t="s">
        <v>337</v>
      </c>
      <c r="F1988" s="12">
        <v>890592</v>
      </c>
      <c r="G1988" s="12" t="str">
        <f>VLOOKUP(Table2[[#This Row],[MemberID]],Table1[#All],3,0)</f>
        <v>Gold</v>
      </c>
      <c r="H1988" s="13">
        <v>89</v>
      </c>
    </row>
    <row r="1989" spans="1:8">
      <c r="A1989" t="s">
        <v>2321</v>
      </c>
      <c r="B1989" t="s">
        <v>156</v>
      </c>
      <c r="C1989" s="8">
        <v>46198</v>
      </c>
      <c r="D1989" t="s">
        <v>327</v>
      </c>
      <c r="E1989" t="s">
        <v>337</v>
      </c>
      <c r="F1989" s="12">
        <v>573787</v>
      </c>
      <c r="G1989" s="12" t="str">
        <f>VLOOKUP(Table2[[#This Row],[MemberID]],Table1[#All],3,0)</f>
        <v>Silver</v>
      </c>
      <c r="H1989" s="13">
        <v>57</v>
      </c>
    </row>
    <row r="1990" spans="1:8">
      <c r="A1990" t="s">
        <v>2322</v>
      </c>
      <c r="B1990" t="s">
        <v>303</v>
      </c>
      <c r="C1990" s="8">
        <v>46146</v>
      </c>
      <c r="D1990" t="s">
        <v>324</v>
      </c>
      <c r="E1990" t="s">
        <v>322</v>
      </c>
      <c r="F1990" s="12">
        <v>420218</v>
      </c>
      <c r="G1990" s="12" t="str">
        <f>VLOOKUP(Table2[[#This Row],[MemberID]],Table1[#All],3,0)</f>
        <v>Gold</v>
      </c>
      <c r="H1990" s="13">
        <v>42</v>
      </c>
    </row>
    <row r="1991" spans="1:8">
      <c r="A1991" t="s">
        <v>2323</v>
      </c>
      <c r="B1991" t="s">
        <v>27</v>
      </c>
      <c r="C1991" s="8">
        <v>46218</v>
      </c>
      <c r="D1991" t="s">
        <v>327</v>
      </c>
      <c r="E1991" t="s">
        <v>337</v>
      </c>
      <c r="F1991" s="12">
        <v>856111</v>
      </c>
      <c r="G1991" s="12" t="str">
        <f>VLOOKUP(Table2[[#This Row],[MemberID]],Table1[#All],3,0)</f>
        <v>Silver</v>
      </c>
      <c r="H1991" s="13">
        <v>85</v>
      </c>
    </row>
    <row r="1992" spans="1:8">
      <c r="A1992" t="s">
        <v>2324</v>
      </c>
      <c r="B1992" t="s">
        <v>262</v>
      </c>
      <c r="C1992" s="8">
        <v>46243</v>
      </c>
      <c r="D1992" t="s">
        <v>332</v>
      </c>
      <c r="E1992" t="s">
        <v>328</v>
      </c>
      <c r="F1992" s="12">
        <v>1550689</v>
      </c>
      <c r="G1992" s="12" t="str">
        <f>VLOOKUP(Table2[[#This Row],[MemberID]],Table1[#All],3,0)</f>
        <v>Gold</v>
      </c>
      <c r="H1992" s="13">
        <v>155</v>
      </c>
    </row>
    <row r="1993" spans="1:8">
      <c r="A1993" t="s">
        <v>2325</v>
      </c>
      <c r="B1993" t="s">
        <v>141</v>
      </c>
      <c r="C1993" s="8">
        <v>45986</v>
      </c>
      <c r="D1993" t="s">
        <v>321</v>
      </c>
      <c r="E1993" t="s">
        <v>322</v>
      </c>
      <c r="F1993" s="12">
        <v>178823</v>
      </c>
      <c r="G1993" s="12" t="str">
        <f>VLOOKUP(Table2[[#This Row],[MemberID]],Table1[#All],3,0)</f>
        <v>Silver</v>
      </c>
      <c r="H1993" s="13">
        <v>17</v>
      </c>
    </row>
    <row r="1994" spans="1:8">
      <c r="A1994" t="s">
        <v>2326</v>
      </c>
      <c r="B1994" t="s">
        <v>105</v>
      </c>
      <c r="C1994" s="8">
        <v>46110</v>
      </c>
      <c r="D1994" t="s">
        <v>324</v>
      </c>
      <c r="E1994" t="s">
        <v>339</v>
      </c>
      <c r="F1994" s="12">
        <v>732843</v>
      </c>
      <c r="G1994" s="12" t="str">
        <f>VLOOKUP(Table2[[#This Row],[MemberID]],Table1[#All],3,0)</f>
        <v>Silver</v>
      </c>
      <c r="H1994" s="13">
        <v>73</v>
      </c>
    </row>
    <row r="1995" spans="1:8">
      <c r="A1995" t="s">
        <v>2327</v>
      </c>
      <c r="B1995" t="s">
        <v>259</v>
      </c>
      <c r="C1995" s="8">
        <v>46153</v>
      </c>
      <c r="D1995" t="s">
        <v>344</v>
      </c>
      <c r="E1995" t="s">
        <v>334</v>
      </c>
      <c r="F1995" s="12">
        <v>251392</v>
      </c>
      <c r="G1995" s="12" t="str">
        <f>VLOOKUP(Table2[[#This Row],[MemberID]],Table1[#All],3,0)</f>
        <v>Gold</v>
      </c>
      <c r="H1995" s="13">
        <v>25</v>
      </c>
    </row>
    <row r="1996" spans="1:8">
      <c r="A1996" t="s">
        <v>2328</v>
      </c>
      <c r="B1996" t="s">
        <v>233</v>
      </c>
      <c r="C1996" s="8">
        <v>46001</v>
      </c>
      <c r="D1996" t="s">
        <v>350</v>
      </c>
      <c r="E1996" t="s">
        <v>328</v>
      </c>
      <c r="F1996" s="12">
        <v>578462</v>
      </c>
      <c r="G1996" s="12" t="str">
        <f>VLOOKUP(Table2[[#This Row],[MemberID]],Table1[#All],3,0)</f>
        <v>Gold</v>
      </c>
      <c r="H1996" s="13">
        <v>57</v>
      </c>
    </row>
    <row r="1997" spans="1:8">
      <c r="A1997" t="s">
        <v>2329</v>
      </c>
      <c r="B1997" t="s">
        <v>90</v>
      </c>
      <c r="C1997" s="8">
        <v>45985</v>
      </c>
      <c r="D1997" t="s">
        <v>342</v>
      </c>
      <c r="E1997" t="s">
        <v>339</v>
      </c>
      <c r="F1997" s="12">
        <v>137210</v>
      </c>
      <c r="G1997" s="12" t="str">
        <f>VLOOKUP(Table2[[#This Row],[MemberID]],Table1[#All],3,0)</f>
        <v>Silver</v>
      </c>
      <c r="H1997" s="13">
        <v>13</v>
      </c>
    </row>
    <row r="1998" spans="1:8">
      <c r="A1998" t="s">
        <v>2330</v>
      </c>
      <c r="B1998" t="s">
        <v>68</v>
      </c>
      <c r="C1998" s="8">
        <v>45987</v>
      </c>
      <c r="D1998" t="s">
        <v>332</v>
      </c>
      <c r="E1998" t="s">
        <v>339</v>
      </c>
      <c r="F1998" s="12">
        <v>259100</v>
      </c>
      <c r="G1998" s="12" t="str">
        <f>VLOOKUP(Table2[[#This Row],[MemberID]],Table1[#All],3,0)</f>
        <v>Silver</v>
      </c>
      <c r="H1998" s="13">
        <v>25</v>
      </c>
    </row>
    <row r="1999" spans="1:8">
      <c r="A1999" t="s">
        <v>2331</v>
      </c>
      <c r="B1999" t="s">
        <v>241</v>
      </c>
      <c r="C1999" s="8">
        <v>46212</v>
      </c>
      <c r="D1999" t="s">
        <v>327</v>
      </c>
      <c r="E1999" t="s">
        <v>322</v>
      </c>
      <c r="F1999" s="12">
        <v>276249</v>
      </c>
      <c r="G1999" s="12" t="str">
        <f>VLOOKUP(Table2[[#This Row],[MemberID]],Table1[#All],3,0)</f>
        <v>Gold</v>
      </c>
      <c r="H1999" s="13">
        <v>27</v>
      </c>
    </row>
    <row r="2000" spans="1:8">
      <c r="A2000" t="s">
        <v>2332</v>
      </c>
      <c r="B2000" t="s">
        <v>266</v>
      </c>
      <c r="C2000" s="8">
        <v>46019</v>
      </c>
      <c r="D2000" t="s">
        <v>344</v>
      </c>
      <c r="E2000" t="s">
        <v>334</v>
      </c>
      <c r="F2000" s="12">
        <v>351137</v>
      </c>
      <c r="G2000" s="12" t="str">
        <f>VLOOKUP(Table2[[#This Row],[MemberID]],Table1[#All],3,0)</f>
        <v>Silver</v>
      </c>
      <c r="H2000" s="13">
        <v>35</v>
      </c>
    </row>
    <row r="2001" spans="1:8">
      <c r="A2001" t="s">
        <v>2333</v>
      </c>
      <c r="B2001" t="s">
        <v>43</v>
      </c>
      <c r="C2001" s="8">
        <v>46099</v>
      </c>
      <c r="D2001" t="s">
        <v>342</v>
      </c>
      <c r="E2001" t="s">
        <v>339</v>
      </c>
      <c r="F2001" s="12">
        <v>509549</v>
      </c>
      <c r="G2001" s="12" t="str">
        <f>VLOOKUP(Table2[[#This Row],[MemberID]],Table1[#All],3,0)</f>
        <v>Silver</v>
      </c>
      <c r="H2001" s="13">
        <v>50</v>
      </c>
    </row>
    <row r="2002" spans="1:8">
      <c r="A2002" t="s">
        <v>2334</v>
      </c>
      <c r="B2002" t="s">
        <v>63</v>
      </c>
      <c r="C2002" s="8">
        <v>46105</v>
      </c>
      <c r="D2002" t="s">
        <v>350</v>
      </c>
      <c r="E2002" t="s">
        <v>334</v>
      </c>
      <c r="F2002" s="12">
        <v>358002</v>
      </c>
      <c r="G2002" s="12" t="str">
        <f>VLOOKUP(Table2[[#This Row],[MemberID]],Table1[#All],3,0)</f>
        <v>Gold</v>
      </c>
      <c r="H2002" s="13">
        <v>35</v>
      </c>
    </row>
    <row r="2003" spans="1:8">
      <c r="A2003" t="s">
        <v>2335</v>
      </c>
      <c r="B2003" t="s">
        <v>289</v>
      </c>
      <c r="C2003" s="8">
        <v>45937</v>
      </c>
      <c r="D2003" t="s">
        <v>350</v>
      </c>
      <c r="E2003" t="s">
        <v>339</v>
      </c>
      <c r="F2003" s="12">
        <v>727424</v>
      </c>
      <c r="G2003" s="12" t="str">
        <f>VLOOKUP(Table2[[#This Row],[MemberID]],Table1[#All],3,0)</f>
        <v>Silver</v>
      </c>
      <c r="H2003" s="13">
        <v>72</v>
      </c>
    </row>
    <row r="2004" spans="1:8">
      <c r="A2004" t="s">
        <v>2336</v>
      </c>
      <c r="B2004" t="s">
        <v>237</v>
      </c>
      <c r="C2004" s="8">
        <v>46212</v>
      </c>
      <c r="D2004" t="s">
        <v>332</v>
      </c>
      <c r="E2004" t="s">
        <v>322</v>
      </c>
      <c r="F2004" s="12">
        <v>255860</v>
      </c>
      <c r="G2004" s="12" t="str">
        <f>VLOOKUP(Table2[[#This Row],[MemberID]],Table1[#All],3,0)</f>
        <v>Silver</v>
      </c>
      <c r="H2004" s="13">
        <v>25</v>
      </c>
    </row>
    <row r="2005" spans="1:8">
      <c r="A2005" t="s">
        <v>2337</v>
      </c>
      <c r="B2005" t="s">
        <v>301</v>
      </c>
      <c r="C2005" s="8">
        <v>46150</v>
      </c>
      <c r="D2005" t="s">
        <v>327</v>
      </c>
      <c r="E2005" t="s">
        <v>334</v>
      </c>
      <c r="F2005" s="12">
        <v>211764</v>
      </c>
      <c r="G2005" s="12" t="str">
        <f>VLOOKUP(Table2[[#This Row],[MemberID]],Table1[#All],3,0)</f>
        <v>Silver</v>
      </c>
      <c r="H2005" s="13">
        <v>21</v>
      </c>
    </row>
    <row r="2006" spans="1:8">
      <c r="A2006" t="s">
        <v>2338</v>
      </c>
      <c r="B2006" t="s">
        <v>87</v>
      </c>
      <c r="C2006" s="8">
        <v>46064</v>
      </c>
      <c r="D2006" t="s">
        <v>327</v>
      </c>
      <c r="E2006" t="s">
        <v>339</v>
      </c>
      <c r="F2006" s="12">
        <v>71345</v>
      </c>
      <c r="G2006" s="12" t="str">
        <f>VLOOKUP(Table2[[#This Row],[MemberID]],Table1[#All],3,0)</f>
        <v>Gold</v>
      </c>
      <c r="H2006" s="13">
        <v>7</v>
      </c>
    </row>
    <row r="2007" spans="1:8">
      <c r="A2007" t="s">
        <v>2339</v>
      </c>
      <c r="B2007" t="s">
        <v>265</v>
      </c>
      <c r="C2007" s="8">
        <v>46234</v>
      </c>
      <c r="D2007" t="s">
        <v>330</v>
      </c>
      <c r="E2007" t="s">
        <v>325</v>
      </c>
      <c r="F2007" s="12">
        <v>445718</v>
      </c>
      <c r="G2007" s="12" t="str">
        <f>VLOOKUP(Table2[[#This Row],[MemberID]],Table1[#All],3,0)</f>
        <v>Platinum</v>
      </c>
      <c r="H2007" s="13">
        <v>44</v>
      </c>
    </row>
    <row r="2008" spans="1:8">
      <c r="A2008" t="s">
        <v>2340</v>
      </c>
      <c r="B2008" t="s">
        <v>253</v>
      </c>
      <c r="C2008" s="8">
        <v>46051</v>
      </c>
      <c r="D2008" t="s">
        <v>350</v>
      </c>
      <c r="E2008" t="s">
        <v>337</v>
      </c>
      <c r="F2008" s="12">
        <v>125419</v>
      </c>
      <c r="G2008" s="12" t="str">
        <f>VLOOKUP(Table2[[#This Row],[MemberID]],Table1[#All],3,0)</f>
        <v>Silver</v>
      </c>
      <c r="H2008" s="13">
        <v>12</v>
      </c>
    </row>
    <row r="2009" spans="1:8">
      <c r="A2009" t="s">
        <v>2341</v>
      </c>
      <c r="B2009" t="s">
        <v>294</v>
      </c>
      <c r="C2009" s="8">
        <v>46291</v>
      </c>
      <c r="D2009" t="s">
        <v>324</v>
      </c>
      <c r="E2009" t="s">
        <v>339</v>
      </c>
      <c r="F2009" s="12">
        <v>147270</v>
      </c>
      <c r="G2009" s="12" t="str">
        <f>VLOOKUP(Table2[[#This Row],[MemberID]],Table1[#All],3,0)</f>
        <v>Gold</v>
      </c>
      <c r="H2009" s="13">
        <v>14</v>
      </c>
    </row>
    <row r="2010" spans="1:8">
      <c r="A2010" t="s">
        <v>2342</v>
      </c>
      <c r="B2010" t="s">
        <v>83</v>
      </c>
      <c r="C2010" s="8">
        <v>46002</v>
      </c>
      <c r="D2010" t="s">
        <v>324</v>
      </c>
      <c r="E2010" t="s">
        <v>328</v>
      </c>
      <c r="F2010" s="12">
        <v>234692</v>
      </c>
      <c r="G2010" s="12" t="str">
        <f>VLOOKUP(Table2[[#This Row],[MemberID]],Table1[#All],3,0)</f>
        <v>Gold</v>
      </c>
      <c r="H2010" s="13">
        <v>23</v>
      </c>
    </row>
    <row r="2011" spans="1:8">
      <c r="A2011" t="s">
        <v>2343</v>
      </c>
      <c r="B2011" t="s">
        <v>179</v>
      </c>
      <c r="C2011" s="8">
        <v>46043</v>
      </c>
      <c r="D2011" t="s">
        <v>321</v>
      </c>
      <c r="E2011" t="s">
        <v>328</v>
      </c>
      <c r="F2011" s="12">
        <v>208087</v>
      </c>
      <c r="G2011" s="12" t="str">
        <f>VLOOKUP(Table2[[#This Row],[MemberID]],Table1[#All],3,0)</f>
        <v>Gold</v>
      </c>
      <c r="H2011" s="13">
        <v>20</v>
      </c>
    </row>
    <row r="2012" spans="1:8">
      <c r="A2012" t="s">
        <v>2344</v>
      </c>
      <c r="B2012" t="s">
        <v>141</v>
      </c>
      <c r="C2012" s="8">
        <v>46266</v>
      </c>
      <c r="D2012" t="s">
        <v>324</v>
      </c>
      <c r="E2012" t="s">
        <v>328</v>
      </c>
      <c r="F2012" s="12">
        <v>191727</v>
      </c>
      <c r="G2012" s="12" t="str">
        <f>VLOOKUP(Table2[[#This Row],[MemberID]],Table1[#All],3,0)</f>
        <v>Silver</v>
      </c>
      <c r="H2012" s="13">
        <v>19</v>
      </c>
    </row>
    <row r="2013" spans="1:8">
      <c r="A2013" t="s">
        <v>2345</v>
      </c>
      <c r="B2013" t="s">
        <v>221</v>
      </c>
      <c r="C2013" s="8">
        <v>46235</v>
      </c>
      <c r="D2013" t="s">
        <v>342</v>
      </c>
      <c r="E2013" t="s">
        <v>328</v>
      </c>
      <c r="F2013" s="12">
        <v>232150</v>
      </c>
      <c r="G2013" s="12" t="str">
        <f>VLOOKUP(Table2[[#This Row],[MemberID]],Table1[#All],3,0)</f>
        <v>Platinum</v>
      </c>
      <c r="H2013" s="13">
        <v>23</v>
      </c>
    </row>
    <row r="2014" spans="1:8">
      <c r="A2014" t="s">
        <v>2346</v>
      </c>
      <c r="B2014" t="s">
        <v>201</v>
      </c>
      <c r="C2014" s="8">
        <v>46158</v>
      </c>
      <c r="D2014" t="s">
        <v>327</v>
      </c>
      <c r="E2014" t="s">
        <v>337</v>
      </c>
      <c r="F2014" s="12">
        <v>146016</v>
      </c>
      <c r="G2014" s="12" t="str">
        <f>VLOOKUP(Table2[[#This Row],[MemberID]],Table1[#All],3,0)</f>
        <v>Platinum</v>
      </c>
      <c r="H2014" s="13">
        <v>14</v>
      </c>
    </row>
    <row r="2015" spans="1:8">
      <c r="A2015" t="s">
        <v>2347</v>
      </c>
      <c r="B2015" t="s">
        <v>262</v>
      </c>
      <c r="C2015" s="8">
        <v>45968</v>
      </c>
      <c r="D2015" t="s">
        <v>342</v>
      </c>
      <c r="E2015" t="s">
        <v>339</v>
      </c>
      <c r="F2015" s="12">
        <v>359091</v>
      </c>
      <c r="G2015" s="12" t="str">
        <f>VLOOKUP(Table2[[#This Row],[MemberID]],Table1[#All],3,0)</f>
        <v>Gold</v>
      </c>
      <c r="H2015" s="13">
        <v>35</v>
      </c>
    </row>
    <row r="2016" spans="1:8">
      <c r="A2016" t="s">
        <v>2348</v>
      </c>
      <c r="B2016" t="s">
        <v>225</v>
      </c>
      <c r="C2016" s="8">
        <v>45958</v>
      </c>
      <c r="D2016" t="s">
        <v>330</v>
      </c>
      <c r="E2016" t="s">
        <v>339</v>
      </c>
      <c r="F2016" s="12">
        <v>242794</v>
      </c>
      <c r="G2016" s="12" t="str">
        <f>VLOOKUP(Table2[[#This Row],[MemberID]],Table1[#All],3,0)</f>
        <v>Platinum</v>
      </c>
      <c r="H2016" s="13">
        <v>24</v>
      </c>
    </row>
    <row r="2017" spans="1:8">
      <c r="A2017" t="s">
        <v>2349</v>
      </c>
      <c r="B2017" t="s">
        <v>131</v>
      </c>
      <c r="C2017" s="8">
        <v>46212</v>
      </c>
      <c r="D2017" t="s">
        <v>321</v>
      </c>
      <c r="E2017" t="s">
        <v>328</v>
      </c>
      <c r="F2017" s="12">
        <v>371410</v>
      </c>
      <c r="G2017" s="12" t="str">
        <f>VLOOKUP(Table2[[#This Row],[MemberID]],Table1[#All],3,0)</f>
        <v>Silver</v>
      </c>
      <c r="H2017" s="13">
        <v>37</v>
      </c>
    </row>
    <row r="2018" spans="1:8">
      <c r="A2018" t="s">
        <v>2350</v>
      </c>
      <c r="B2018" t="s">
        <v>47</v>
      </c>
      <c r="C2018" s="8">
        <v>46214</v>
      </c>
      <c r="D2018" t="s">
        <v>342</v>
      </c>
      <c r="E2018" t="s">
        <v>337</v>
      </c>
      <c r="F2018" s="12">
        <v>57274</v>
      </c>
      <c r="G2018" s="12" t="str">
        <f>VLOOKUP(Table2[[#This Row],[MemberID]],Table1[#All],3,0)</f>
        <v>Silver</v>
      </c>
      <c r="H2018" s="13">
        <v>5</v>
      </c>
    </row>
    <row r="2019" spans="1:8">
      <c r="A2019" t="s">
        <v>2351</v>
      </c>
      <c r="B2019" t="s">
        <v>118</v>
      </c>
      <c r="C2019" s="8">
        <v>46033</v>
      </c>
      <c r="D2019" t="s">
        <v>324</v>
      </c>
      <c r="E2019" t="s">
        <v>339</v>
      </c>
      <c r="F2019" s="12">
        <v>601630</v>
      </c>
      <c r="G2019" s="12" t="str">
        <f>VLOOKUP(Table2[[#This Row],[MemberID]],Table1[#All],3,0)</f>
        <v>Silver</v>
      </c>
      <c r="H2019" s="13">
        <v>60</v>
      </c>
    </row>
    <row r="2020" spans="1:8">
      <c r="A2020" t="s">
        <v>2352</v>
      </c>
      <c r="B2020" t="s">
        <v>240</v>
      </c>
      <c r="C2020" s="8">
        <v>46172</v>
      </c>
      <c r="D2020" t="s">
        <v>350</v>
      </c>
      <c r="E2020" t="s">
        <v>322</v>
      </c>
      <c r="F2020" s="12">
        <v>67818</v>
      </c>
      <c r="G2020" s="12" t="str">
        <f>VLOOKUP(Table2[[#This Row],[MemberID]],Table1[#All],3,0)</f>
        <v>Silver</v>
      </c>
      <c r="H2020" s="13">
        <v>6</v>
      </c>
    </row>
    <row r="2021" spans="1:8">
      <c r="A2021" t="s">
        <v>2353</v>
      </c>
      <c r="B2021" t="s">
        <v>206</v>
      </c>
      <c r="C2021" s="8">
        <v>45956</v>
      </c>
      <c r="D2021" t="s">
        <v>344</v>
      </c>
      <c r="E2021" t="s">
        <v>328</v>
      </c>
      <c r="F2021" s="12">
        <v>754792</v>
      </c>
      <c r="G2021" s="12" t="str">
        <f>VLOOKUP(Table2[[#This Row],[MemberID]],Table1[#All],3,0)</f>
        <v>Silver</v>
      </c>
      <c r="H2021" s="13">
        <v>75</v>
      </c>
    </row>
    <row r="2022" spans="1:8">
      <c r="A2022" t="s">
        <v>2354</v>
      </c>
      <c r="B2022" t="s">
        <v>303</v>
      </c>
      <c r="C2022" s="8">
        <v>46287</v>
      </c>
      <c r="D2022" t="s">
        <v>321</v>
      </c>
      <c r="E2022" t="s">
        <v>339</v>
      </c>
      <c r="F2022" s="12">
        <v>258688</v>
      </c>
      <c r="G2022" s="12" t="str">
        <f>VLOOKUP(Table2[[#This Row],[MemberID]],Table1[#All],3,0)</f>
        <v>Gold</v>
      </c>
      <c r="H2022" s="13">
        <v>25</v>
      </c>
    </row>
    <row r="2023" spans="1:8">
      <c r="A2023" t="s">
        <v>2355</v>
      </c>
      <c r="B2023" t="s">
        <v>244</v>
      </c>
      <c r="C2023" s="8">
        <v>46241</v>
      </c>
      <c r="D2023" t="s">
        <v>332</v>
      </c>
      <c r="E2023" t="s">
        <v>328</v>
      </c>
      <c r="F2023" s="12">
        <v>998271</v>
      </c>
      <c r="G2023" s="12" t="str">
        <f>VLOOKUP(Table2[[#This Row],[MemberID]],Table1[#All],3,0)</f>
        <v>Silver</v>
      </c>
      <c r="H2023" s="13">
        <v>99</v>
      </c>
    </row>
    <row r="2024" spans="1:8">
      <c r="A2024" t="s">
        <v>2356</v>
      </c>
      <c r="B2024" t="s">
        <v>255</v>
      </c>
      <c r="C2024" s="8">
        <v>45935</v>
      </c>
      <c r="D2024" t="s">
        <v>332</v>
      </c>
      <c r="E2024" t="s">
        <v>328</v>
      </c>
      <c r="F2024" s="12">
        <v>315672</v>
      </c>
      <c r="G2024" s="12" t="str">
        <f>VLOOKUP(Table2[[#This Row],[MemberID]],Table1[#All],3,0)</f>
        <v>Silver</v>
      </c>
      <c r="H2024" s="13">
        <v>31</v>
      </c>
    </row>
    <row r="2025" spans="1:8">
      <c r="A2025" t="s">
        <v>2357</v>
      </c>
      <c r="B2025" t="s">
        <v>156</v>
      </c>
      <c r="C2025" s="8">
        <v>45985</v>
      </c>
      <c r="D2025" t="s">
        <v>344</v>
      </c>
      <c r="E2025" t="s">
        <v>328</v>
      </c>
      <c r="F2025" s="12">
        <v>94661</v>
      </c>
      <c r="G2025" s="12" t="str">
        <f>VLOOKUP(Table2[[#This Row],[MemberID]],Table1[#All],3,0)</f>
        <v>Silver</v>
      </c>
      <c r="H2025" s="13">
        <v>9</v>
      </c>
    </row>
    <row r="2026" spans="1:8">
      <c r="A2026" t="s">
        <v>2358</v>
      </c>
      <c r="B2026" t="s">
        <v>87</v>
      </c>
      <c r="C2026" s="8">
        <v>46287</v>
      </c>
      <c r="D2026" t="s">
        <v>330</v>
      </c>
      <c r="E2026" t="s">
        <v>325</v>
      </c>
      <c r="F2026" s="12">
        <v>253029</v>
      </c>
      <c r="G2026" s="12" t="str">
        <f>VLOOKUP(Table2[[#This Row],[MemberID]],Table1[#All],3,0)</f>
        <v>Gold</v>
      </c>
      <c r="H2026" s="13">
        <v>25</v>
      </c>
    </row>
    <row r="2027" spans="1:8">
      <c r="A2027" t="s">
        <v>2359</v>
      </c>
      <c r="B2027" t="s">
        <v>311</v>
      </c>
      <c r="C2027" s="8">
        <v>46061</v>
      </c>
      <c r="D2027" t="s">
        <v>324</v>
      </c>
      <c r="E2027" t="s">
        <v>322</v>
      </c>
      <c r="F2027" s="12">
        <v>372824</v>
      </c>
      <c r="G2027" s="12" t="str">
        <f>VLOOKUP(Table2[[#This Row],[MemberID]],Table1[#All],3,0)</f>
        <v>Silver</v>
      </c>
      <c r="H2027" s="13">
        <v>37</v>
      </c>
    </row>
    <row r="2028" spans="1:8">
      <c r="A2028" t="s">
        <v>2360</v>
      </c>
      <c r="B2028" t="s">
        <v>87</v>
      </c>
      <c r="C2028" s="8">
        <v>46037</v>
      </c>
      <c r="D2028" t="s">
        <v>327</v>
      </c>
      <c r="E2028" t="s">
        <v>334</v>
      </c>
      <c r="F2028" s="12">
        <v>196690</v>
      </c>
      <c r="G2028" s="12" t="str">
        <f>VLOOKUP(Table2[[#This Row],[MemberID]],Table1[#All],3,0)</f>
        <v>Gold</v>
      </c>
      <c r="H2028" s="13">
        <v>19</v>
      </c>
    </row>
    <row r="2029" spans="1:8">
      <c r="A2029" t="s">
        <v>2361</v>
      </c>
      <c r="B2029" t="s">
        <v>23</v>
      </c>
      <c r="C2029" s="8">
        <v>46158</v>
      </c>
      <c r="D2029" t="s">
        <v>342</v>
      </c>
      <c r="E2029" t="s">
        <v>322</v>
      </c>
      <c r="F2029" s="12">
        <v>201374</v>
      </c>
      <c r="G2029" s="12" t="str">
        <f>VLOOKUP(Table2[[#This Row],[MemberID]],Table1[#All],3,0)</f>
        <v>Silver</v>
      </c>
      <c r="H2029" s="13">
        <v>20</v>
      </c>
    </row>
    <row r="2030" spans="1:8">
      <c r="A2030" t="s">
        <v>2362</v>
      </c>
      <c r="B2030" t="s">
        <v>141</v>
      </c>
      <c r="C2030" s="8">
        <v>46103</v>
      </c>
      <c r="D2030" t="s">
        <v>324</v>
      </c>
      <c r="E2030" t="s">
        <v>337</v>
      </c>
      <c r="F2030" s="12">
        <v>122164</v>
      </c>
      <c r="G2030" s="12" t="str">
        <f>VLOOKUP(Table2[[#This Row],[MemberID]],Table1[#All],3,0)</f>
        <v>Silver</v>
      </c>
      <c r="H2030" s="13">
        <v>12</v>
      </c>
    </row>
    <row r="2031" spans="1:8">
      <c r="A2031" t="s">
        <v>2363</v>
      </c>
      <c r="B2031" t="s">
        <v>46</v>
      </c>
      <c r="C2031" s="8">
        <v>46190</v>
      </c>
      <c r="D2031" t="s">
        <v>344</v>
      </c>
      <c r="E2031" t="s">
        <v>337</v>
      </c>
      <c r="F2031" s="12">
        <v>126042</v>
      </c>
      <c r="G2031" s="12" t="str">
        <f>VLOOKUP(Table2[[#This Row],[MemberID]],Table1[#All],3,0)</f>
        <v>Silver</v>
      </c>
      <c r="H2031" s="13">
        <v>12</v>
      </c>
    </row>
    <row r="2032" spans="1:8">
      <c r="A2032" t="s">
        <v>2364</v>
      </c>
      <c r="B2032" t="s">
        <v>199</v>
      </c>
      <c r="C2032" s="8">
        <v>46282</v>
      </c>
      <c r="D2032" t="s">
        <v>350</v>
      </c>
      <c r="E2032" t="s">
        <v>325</v>
      </c>
      <c r="F2032" s="12">
        <v>454515</v>
      </c>
      <c r="G2032" s="12" t="str">
        <f>VLOOKUP(Table2[[#This Row],[MemberID]],Table1[#All],3,0)</f>
        <v>Gold</v>
      </c>
      <c r="H2032" s="13">
        <v>45</v>
      </c>
    </row>
    <row r="2033" spans="1:8">
      <c r="A2033" t="s">
        <v>2365</v>
      </c>
      <c r="B2033" t="s">
        <v>224</v>
      </c>
      <c r="C2033" s="8">
        <v>46246</v>
      </c>
      <c r="D2033" t="s">
        <v>330</v>
      </c>
      <c r="E2033" t="s">
        <v>328</v>
      </c>
      <c r="F2033" s="12">
        <v>378031</v>
      </c>
      <c r="G2033" s="12" t="str">
        <f>VLOOKUP(Table2[[#This Row],[MemberID]],Table1[#All],3,0)</f>
        <v>Gold</v>
      </c>
      <c r="H2033" s="13">
        <v>37</v>
      </c>
    </row>
    <row r="2034" spans="1:8">
      <c r="A2034" t="s">
        <v>2366</v>
      </c>
      <c r="B2034" t="s">
        <v>84</v>
      </c>
      <c r="C2034" s="8">
        <v>46007</v>
      </c>
      <c r="D2034" t="s">
        <v>324</v>
      </c>
      <c r="E2034" t="s">
        <v>325</v>
      </c>
      <c r="F2034" s="12">
        <v>1063983</v>
      </c>
      <c r="G2034" s="12" t="str">
        <f>VLOOKUP(Table2[[#This Row],[MemberID]],Table1[#All],3,0)</f>
        <v>Silver</v>
      </c>
      <c r="H2034" s="13">
        <v>106</v>
      </c>
    </row>
    <row r="2035" spans="1:8">
      <c r="A2035" t="s">
        <v>2367</v>
      </c>
      <c r="B2035" t="s">
        <v>310</v>
      </c>
      <c r="C2035" s="8">
        <v>46210</v>
      </c>
      <c r="D2035" t="s">
        <v>332</v>
      </c>
      <c r="E2035" t="s">
        <v>325</v>
      </c>
      <c r="F2035" s="12">
        <v>25000</v>
      </c>
      <c r="G2035" s="12" t="str">
        <f>VLOOKUP(Table2[[#This Row],[MemberID]],Table1[#All],3,0)</f>
        <v>Silver</v>
      </c>
      <c r="H2035" s="13">
        <v>2</v>
      </c>
    </row>
    <row r="2036" spans="1:8">
      <c r="A2036" t="s">
        <v>2368</v>
      </c>
      <c r="B2036" t="s">
        <v>134</v>
      </c>
      <c r="C2036" s="8">
        <v>46142</v>
      </c>
      <c r="D2036" t="s">
        <v>330</v>
      </c>
      <c r="E2036" t="s">
        <v>339</v>
      </c>
      <c r="F2036" s="12">
        <v>424601</v>
      </c>
      <c r="G2036" s="12" t="str">
        <f>VLOOKUP(Table2[[#This Row],[MemberID]],Table1[#All],3,0)</f>
        <v>Silver</v>
      </c>
      <c r="H2036" s="13">
        <v>42</v>
      </c>
    </row>
    <row r="2037" spans="1:8">
      <c r="A2037" t="s">
        <v>2369</v>
      </c>
      <c r="B2037" t="s">
        <v>47</v>
      </c>
      <c r="C2037" s="8">
        <v>46053</v>
      </c>
      <c r="D2037" t="s">
        <v>324</v>
      </c>
      <c r="E2037" t="s">
        <v>325</v>
      </c>
      <c r="F2037" s="12">
        <v>220633</v>
      </c>
      <c r="G2037" s="12" t="str">
        <f>VLOOKUP(Table2[[#This Row],[MemberID]],Table1[#All],3,0)</f>
        <v>Silver</v>
      </c>
      <c r="H2037" s="13">
        <v>22</v>
      </c>
    </row>
    <row r="2038" spans="1:8">
      <c r="A2038" t="s">
        <v>2370</v>
      </c>
      <c r="B2038" t="s">
        <v>147</v>
      </c>
      <c r="C2038" s="8">
        <v>46197</v>
      </c>
      <c r="D2038" t="s">
        <v>327</v>
      </c>
      <c r="E2038" t="s">
        <v>325</v>
      </c>
      <c r="F2038" s="12">
        <v>371620</v>
      </c>
      <c r="G2038" s="12" t="str">
        <f>VLOOKUP(Table2[[#This Row],[MemberID]],Table1[#All],3,0)</f>
        <v>Silver</v>
      </c>
      <c r="H2038" s="13">
        <v>37</v>
      </c>
    </row>
    <row r="2039" spans="1:8">
      <c r="A2039" t="s">
        <v>2371</v>
      </c>
      <c r="B2039" t="s">
        <v>167</v>
      </c>
      <c r="C2039" s="8">
        <v>46191</v>
      </c>
      <c r="D2039" t="s">
        <v>321</v>
      </c>
      <c r="E2039" t="s">
        <v>325</v>
      </c>
      <c r="F2039" s="12">
        <v>110335</v>
      </c>
      <c r="G2039" s="12" t="str">
        <f>VLOOKUP(Table2[[#This Row],[MemberID]],Table1[#All],3,0)</f>
        <v>Silver</v>
      </c>
      <c r="H2039" s="13">
        <v>11</v>
      </c>
    </row>
    <row r="2040" spans="1:8">
      <c r="A2040" t="s">
        <v>2372</v>
      </c>
      <c r="B2040" t="s">
        <v>110</v>
      </c>
      <c r="C2040" s="8">
        <v>46150</v>
      </c>
      <c r="D2040" t="s">
        <v>327</v>
      </c>
      <c r="E2040" t="s">
        <v>328</v>
      </c>
      <c r="F2040" s="12">
        <v>25000</v>
      </c>
      <c r="G2040" s="12" t="str">
        <f>VLOOKUP(Table2[[#This Row],[MemberID]],Table1[#All],3,0)</f>
        <v>Silver</v>
      </c>
      <c r="H2040" s="13">
        <v>2</v>
      </c>
    </row>
    <row r="2041" spans="1:8">
      <c r="A2041" t="s">
        <v>2373</v>
      </c>
      <c r="B2041" t="s">
        <v>186</v>
      </c>
      <c r="C2041" s="8">
        <v>46036</v>
      </c>
      <c r="D2041" t="s">
        <v>327</v>
      </c>
      <c r="E2041" t="s">
        <v>325</v>
      </c>
      <c r="F2041" s="12">
        <v>384807</v>
      </c>
      <c r="G2041" s="12" t="str">
        <f>VLOOKUP(Table2[[#This Row],[MemberID]],Table1[#All],3,0)</f>
        <v>Silver</v>
      </c>
      <c r="H2041" s="13">
        <v>38</v>
      </c>
    </row>
    <row r="2042" spans="1:8">
      <c r="A2042" t="s">
        <v>2374</v>
      </c>
      <c r="B2042" t="s">
        <v>301</v>
      </c>
      <c r="C2042" s="8">
        <v>46118</v>
      </c>
      <c r="D2042" t="s">
        <v>327</v>
      </c>
      <c r="E2042" t="s">
        <v>337</v>
      </c>
      <c r="F2042" s="12">
        <v>361991</v>
      </c>
      <c r="G2042" s="12" t="str">
        <f>VLOOKUP(Table2[[#This Row],[MemberID]],Table1[#All],3,0)</f>
        <v>Silver</v>
      </c>
      <c r="H2042" s="13">
        <v>36</v>
      </c>
    </row>
    <row r="2043" spans="1:8">
      <c r="A2043" t="s">
        <v>2375</v>
      </c>
      <c r="B2043" t="s">
        <v>205</v>
      </c>
      <c r="C2043" s="8">
        <v>46077</v>
      </c>
      <c r="D2043" t="s">
        <v>321</v>
      </c>
      <c r="E2043" t="s">
        <v>339</v>
      </c>
      <c r="F2043" s="12">
        <v>355896</v>
      </c>
      <c r="G2043" s="12" t="str">
        <f>VLOOKUP(Table2[[#This Row],[MemberID]],Table1[#All],3,0)</f>
        <v>Silver</v>
      </c>
      <c r="H2043" s="13">
        <v>35</v>
      </c>
    </row>
    <row r="2044" spans="1:8">
      <c r="A2044" t="s">
        <v>2376</v>
      </c>
      <c r="B2044" t="s">
        <v>69</v>
      </c>
      <c r="C2044" s="8">
        <v>46178</v>
      </c>
      <c r="D2044" t="s">
        <v>330</v>
      </c>
      <c r="E2044" t="s">
        <v>328</v>
      </c>
      <c r="F2044" s="12">
        <v>74997</v>
      </c>
      <c r="G2044" s="12" t="str">
        <f>VLOOKUP(Table2[[#This Row],[MemberID]],Table1[#All],3,0)</f>
        <v>Gold</v>
      </c>
      <c r="H2044" s="13">
        <v>7</v>
      </c>
    </row>
    <row r="2045" spans="1:8">
      <c r="A2045" t="s">
        <v>2377</v>
      </c>
      <c r="B2045" t="s">
        <v>247</v>
      </c>
      <c r="C2045" s="8">
        <v>46038</v>
      </c>
      <c r="D2045" t="s">
        <v>327</v>
      </c>
      <c r="E2045" t="s">
        <v>328</v>
      </c>
      <c r="F2045" s="12">
        <v>311076</v>
      </c>
      <c r="G2045" s="12" t="str">
        <f>VLOOKUP(Table2[[#This Row],[MemberID]],Table1[#All],3,0)</f>
        <v>Silver</v>
      </c>
      <c r="H2045" s="13">
        <v>31</v>
      </c>
    </row>
    <row r="2046" spans="1:8">
      <c r="A2046" t="s">
        <v>2378</v>
      </c>
      <c r="B2046" t="s">
        <v>235</v>
      </c>
      <c r="C2046" s="8">
        <v>46261</v>
      </c>
      <c r="D2046" t="s">
        <v>321</v>
      </c>
      <c r="E2046" t="s">
        <v>322</v>
      </c>
      <c r="F2046" s="12">
        <v>259014</v>
      </c>
      <c r="G2046" s="12" t="str">
        <f>VLOOKUP(Table2[[#This Row],[MemberID]],Table1[#All],3,0)</f>
        <v>Gold</v>
      </c>
      <c r="H2046" s="13">
        <v>25</v>
      </c>
    </row>
    <row r="2047" spans="1:8">
      <c r="A2047" t="s">
        <v>2379</v>
      </c>
      <c r="B2047" t="s">
        <v>90</v>
      </c>
      <c r="C2047" s="8">
        <v>46203</v>
      </c>
      <c r="D2047" t="s">
        <v>332</v>
      </c>
      <c r="E2047" t="s">
        <v>322</v>
      </c>
      <c r="F2047" s="12">
        <v>295915</v>
      </c>
      <c r="G2047" s="12" t="str">
        <f>VLOOKUP(Table2[[#This Row],[MemberID]],Table1[#All],3,0)</f>
        <v>Silver</v>
      </c>
      <c r="H2047" s="13">
        <v>29</v>
      </c>
    </row>
    <row r="2048" spans="1:8">
      <c r="A2048" t="s">
        <v>2380</v>
      </c>
      <c r="B2048" t="s">
        <v>61</v>
      </c>
      <c r="C2048" s="8">
        <v>46031</v>
      </c>
      <c r="D2048" t="s">
        <v>324</v>
      </c>
      <c r="E2048" t="s">
        <v>328</v>
      </c>
      <c r="F2048" s="12">
        <v>518297</v>
      </c>
      <c r="G2048" s="12" t="str">
        <f>VLOOKUP(Table2[[#This Row],[MemberID]],Table1[#All],3,0)</f>
        <v>Platinum</v>
      </c>
      <c r="H2048" s="13">
        <v>51</v>
      </c>
    </row>
    <row r="2049" spans="1:8">
      <c r="A2049" t="s">
        <v>2381</v>
      </c>
      <c r="B2049" t="s">
        <v>118</v>
      </c>
      <c r="C2049" s="8">
        <v>46086</v>
      </c>
      <c r="D2049" t="s">
        <v>330</v>
      </c>
      <c r="E2049" t="s">
        <v>325</v>
      </c>
      <c r="F2049" s="12">
        <v>227826</v>
      </c>
      <c r="G2049" s="12" t="str">
        <f>VLOOKUP(Table2[[#This Row],[MemberID]],Table1[#All],3,0)</f>
        <v>Silver</v>
      </c>
      <c r="H2049" s="13">
        <v>22</v>
      </c>
    </row>
    <row r="2050" spans="1:8">
      <c r="A2050" t="s">
        <v>2382</v>
      </c>
      <c r="B2050" t="s">
        <v>125</v>
      </c>
      <c r="C2050" s="8">
        <v>46212</v>
      </c>
      <c r="D2050" t="s">
        <v>321</v>
      </c>
      <c r="E2050" t="s">
        <v>322</v>
      </c>
      <c r="F2050" s="12">
        <v>362635</v>
      </c>
      <c r="G2050" s="12" t="str">
        <f>VLOOKUP(Table2[[#This Row],[MemberID]],Table1[#All],3,0)</f>
        <v>Silver</v>
      </c>
      <c r="H2050" s="13">
        <v>36</v>
      </c>
    </row>
    <row r="2051" spans="1:8">
      <c r="A2051" t="s">
        <v>2383</v>
      </c>
      <c r="B2051" t="s">
        <v>100</v>
      </c>
      <c r="C2051" s="8">
        <v>46205</v>
      </c>
      <c r="D2051" t="s">
        <v>342</v>
      </c>
      <c r="E2051" t="s">
        <v>322</v>
      </c>
      <c r="F2051" s="12">
        <v>208951</v>
      </c>
      <c r="G2051" s="12" t="str">
        <f>VLOOKUP(Table2[[#This Row],[MemberID]],Table1[#All],3,0)</f>
        <v>Silver</v>
      </c>
      <c r="H2051" s="13">
        <v>20</v>
      </c>
    </row>
    <row r="2052" spans="1:8">
      <c r="A2052" t="s">
        <v>2384</v>
      </c>
      <c r="B2052" t="s">
        <v>46</v>
      </c>
      <c r="C2052" s="8">
        <v>46089</v>
      </c>
      <c r="D2052" t="s">
        <v>350</v>
      </c>
      <c r="E2052" t="s">
        <v>328</v>
      </c>
      <c r="F2052" s="12">
        <v>308229</v>
      </c>
      <c r="G2052" s="12" t="str">
        <f>VLOOKUP(Table2[[#This Row],[MemberID]],Table1[#All],3,0)</f>
        <v>Silver</v>
      </c>
      <c r="H2052" s="13">
        <v>30</v>
      </c>
    </row>
    <row r="2053" spans="1:8">
      <c r="A2053" t="s">
        <v>2385</v>
      </c>
      <c r="B2053" t="s">
        <v>115</v>
      </c>
      <c r="C2053" s="8">
        <v>45936</v>
      </c>
      <c r="D2053" t="s">
        <v>350</v>
      </c>
      <c r="E2053" t="s">
        <v>325</v>
      </c>
      <c r="F2053" s="12">
        <v>235227</v>
      </c>
      <c r="G2053" s="12" t="str">
        <f>VLOOKUP(Table2[[#This Row],[MemberID]],Table1[#All],3,0)</f>
        <v>Gold</v>
      </c>
      <c r="H2053" s="13">
        <v>23</v>
      </c>
    </row>
    <row r="2054" spans="1:8">
      <c r="A2054" t="s">
        <v>2386</v>
      </c>
      <c r="B2054" t="s">
        <v>62</v>
      </c>
      <c r="C2054" s="8">
        <v>46252</v>
      </c>
      <c r="D2054" t="s">
        <v>324</v>
      </c>
      <c r="E2054" t="s">
        <v>337</v>
      </c>
      <c r="F2054" s="12">
        <v>243343</v>
      </c>
      <c r="G2054" s="12" t="str">
        <f>VLOOKUP(Table2[[#This Row],[MemberID]],Table1[#All],3,0)</f>
        <v>Silver</v>
      </c>
      <c r="H2054" s="13">
        <v>24</v>
      </c>
    </row>
    <row r="2055" spans="1:8">
      <c r="A2055" t="s">
        <v>2387</v>
      </c>
      <c r="B2055" t="s">
        <v>118</v>
      </c>
      <c r="C2055" s="8">
        <v>46202</v>
      </c>
      <c r="D2055" t="s">
        <v>330</v>
      </c>
      <c r="E2055" t="s">
        <v>325</v>
      </c>
      <c r="F2055" s="12">
        <v>675473</v>
      </c>
      <c r="G2055" s="12" t="str">
        <f>VLOOKUP(Table2[[#This Row],[MemberID]],Table1[#All],3,0)</f>
        <v>Silver</v>
      </c>
      <c r="H2055" s="13">
        <v>67</v>
      </c>
    </row>
    <row r="2056" spans="1:8">
      <c r="A2056" t="s">
        <v>2388</v>
      </c>
      <c r="B2056" t="s">
        <v>166</v>
      </c>
      <c r="C2056" s="8">
        <v>46100</v>
      </c>
      <c r="D2056" t="s">
        <v>327</v>
      </c>
      <c r="E2056" t="s">
        <v>334</v>
      </c>
      <c r="F2056" s="12">
        <v>43707</v>
      </c>
      <c r="G2056" s="12" t="str">
        <f>VLOOKUP(Table2[[#This Row],[MemberID]],Table1[#All],3,0)</f>
        <v>Gold</v>
      </c>
      <c r="H2056" s="13">
        <v>4</v>
      </c>
    </row>
    <row r="2057" spans="1:8">
      <c r="A2057" t="s">
        <v>2389</v>
      </c>
      <c r="B2057" t="s">
        <v>164</v>
      </c>
      <c r="C2057" s="8">
        <v>46019</v>
      </c>
      <c r="D2057" t="s">
        <v>342</v>
      </c>
      <c r="E2057" t="s">
        <v>325</v>
      </c>
      <c r="F2057" s="12">
        <v>528333</v>
      </c>
      <c r="G2057" s="12" t="str">
        <f>VLOOKUP(Table2[[#This Row],[MemberID]],Table1[#All],3,0)</f>
        <v>Silver</v>
      </c>
      <c r="H2057" s="13">
        <v>52</v>
      </c>
    </row>
    <row r="2058" spans="1:8">
      <c r="A2058" t="s">
        <v>2390</v>
      </c>
      <c r="B2058" t="s">
        <v>8</v>
      </c>
      <c r="C2058" s="8">
        <v>46081</v>
      </c>
      <c r="D2058" t="s">
        <v>327</v>
      </c>
      <c r="E2058" t="s">
        <v>334</v>
      </c>
      <c r="F2058" s="12">
        <v>314354</v>
      </c>
      <c r="G2058" s="12" t="str">
        <f>VLOOKUP(Table2[[#This Row],[MemberID]],Table1[#All],3,0)</f>
        <v>Gold</v>
      </c>
      <c r="H2058" s="13">
        <v>31</v>
      </c>
    </row>
    <row r="2059" spans="1:8">
      <c r="A2059" t="s">
        <v>2391</v>
      </c>
      <c r="B2059" t="s">
        <v>23</v>
      </c>
      <c r="C2059" s="8">
        <v>45963</v>
      </c>
      <c r="D2059" t="s">
        <v>321</v>
      </c>
      <c r="E2059" t="s">
        <v>325</v>
      </c>
      <c r="F2059" s="12">
        <v>273075</v>
      </c>
      <c r="G2059" s="12" t="str">
        <f>VLOOKUP(Table2[[#This Row],[MemberID]],Table1[#All],3,0)</f>
        <v>Silver</v>
      </c>
      <c r="H2059" s="13">
        <v>27</v>
      </c>
    </row>
    <row r="2060" spans="1:8">
      <c r="A2060" t="s">
        <v>2392</v>
      </c>
      <c r="B2060" t="s">
        <v>65</v>
      </c>
      <c r="C2060" s="8">
        <v>45954</v>
      </c>
      <c r="D2060" t="s">
        <v>332</v>
      </c>
      <c r="E2060" t="s">
        <v>322</v>
      </c>
      <c r="F2060" s="12">
        <v>162564</v>
      </c>
      <c r="G2060" s="12" t="str">
        <f>VLOOKUP(Table2[[#This Row],[MemberID]],Table1[#All],3,0)</f>
        <v>Gold</v>
      </c>
      <c r="H2060" s="13">
        <v>16</v>
      </c>
    </row>
    <row r="2061" spans="1:8">
      <c r="A2061" t="s">
        <v>2393</v>
      </c>
      <c r="B2061" t="s">
        <v>125</v>
      </c>
      <c r="C2061" s="8">
        <v>46001</v>
      </c>
      <c r="D2061" t="s">
        <v>332</v>
      </c>
      <c r="E2061" t="s">
        <v>328</v>
      </c>
      <c r="F2061" s="12">
        <v>710223</v>
      </c>
      <c r="G2061" s="12" t="str">
        <f>VLOOKUP(Table2[[#This Row],[MemberID]],Table1[#All],3,0)</f>
        <v>Silver</v>
      </c>
      <c r="H2061" s="13">
        <v>71</v>
      </c>
    </row>
    <row r="2062" spans="1:8">
      <c r="A2062" t="s">
        <v>2394</v>
      </c>
      <c r="B2062" t="s">
        <v>244</v>
      </c>
      <c r="C2062" s="8">
        <v>45946</v>
      </c>
      <c r="D2062" t="s">
        <v>327</v>
      </c>
      <c r="E2062" t="s">
        <v>325</v>
      </c>
      <c r="F2062" s="12">
        <v>361244</v>
      </c>
      <c r="G2062" s="12" t="str">
        <f>VLOOKUP(Table2[[#This Row],[MemberID]],Table1[#All],3,0)</f>
        <v>Silver</v>
      </c>
      <c r="H2062" s="13">
        <v>36</v>
      </c>
    </row>
    <row r="2063" spans="1:8">
      <c r="A2063" t="s">
        <v>2395</v>
      </c>
      <c r="B2063" t="s">
        <v>126</v>
      </c>
      <c r="C2063" s="8">
        <v>46069</v>
      </c>
      <c r="D2063" t="s">
        <v>350</v>
      </c>
      <c r="E2063" t="s">
        <v>322</v>
      </c>
      <c r="F2063" s="12">
        <v>742863</v>
      </c>
      <c r="G2063" s="12" t="str">
        <f>VLOOKUP(Table2[[#This Row],[MemberID]],Table1[#All],3,0)</f>
        <v>Silver</v>
      </c>
      <c r="H2063" s="13">
        <v>74</v>
      </c>
    </row>
    <row r="2064" spans="1:8">
      <c r="A2064" t="s">
        <v>2396</v>
      </c>
      <c r="B2064" t="s">
        <v>206</v>
      </c>
      <c r="C2064" s="8">
        <v>46095</v>
      </c>
      <c r="D2064" t="s">
        <v>344</v>
      </c>
      <c r="E2064" t="s">
        <v>328</v>
      </c>
      <c r="F2064" s="12">
        <v>2041534</v>
      </c>
      <c r="G2064" s="12" t="str">
        <f>VLOOKUP(Table2[[#This Row],[MemberID]],Table1[#All],3,0)</f>
        <v>Silver</v>
      </c>
      <c r="H2064" s="13">
        <v>204</v>
      </c>
    </row>
    <row r="2065" spans="1:8">
      <c r="A2065" t="s">
        <v>2397</v>
      </c>
      <c r="B2065" t="s">
        <v>92</v>
      </c>
      <c r="C2065" s="8">
        <v>46130</v>
      </c>
      <c r="D2065" t="s">
        <v>327</v>
      </c>
      <c r="E2065" t="s">
        <v>325</v>
      </c>
      <c r="F2065" s="12">
        <v>128573</v>
      </c>
      <c r="G2065" s="12" t="str">
        <f>VLOOKUP(Table2[[#This Row],[MemberID]],Table1[#All],3,0)</f>
        <v>Silver</v>
      </c>
      <c r="H2065" s="13">
        <v>12</v>
      </c>
    </row>
    <row r="2066" spans="1:8">
      <c r="A2066" t="s">
        <v>2398</v>
      </c>
      <c r="B2066" t="s">
        <v>50</v>
      </c>
      <c r="C2066" s="8">
        <v>45955</v>
      </c>
      <c r="D2066" t="s">
        <v>330</v>
      </c>
      <c r="E2066" t="s">
        <v>325</v>
      </c>
      <c r="F2066" s="12">
        <v>478493</v>
      </c>
      <c r="G2066" s="12" t="str">
        <f>VLOOKUP(Table2[[#This Row],[MemberID]],Table1[#All],3,0)</f>
        <v>Silver</v>
      </c>
      <c r="H2066" s="13">
        <v>47</v>
      </c>
    </row>
    <row r="2067" spans="1:8">
      <c r="A2067" t="s">
        <v>2399</v>
      </c>
      <c r="B2067" t="s">
        <v>208</v>
      </c>
      <c r="C2067" s="8">
        <v>46005</v>
      </c>
      <c r="D2067" t="s">
        <v>344</v>
      </c>
      <c r="E2067" t="s">
        <v>334</v>
      </c>
      <c r="F2067" s="12">
        <v>326036</v>
      </c>
      <c r="G2067" s="12" t="str">
        <f>VLOOKUP(Table2[[#This Row],[MemberID]],Table1[#All],3,0)</f>
        <v>Gold</v>
      </c>
      <c r="H2067" s="13">
        <v>32</v>
      </c>
    </row>
    <row r="2068" spans="1:8">
      <c r="A2068" t="s">
        <v>2400</v>
      </c>
      <c r="B2068" t="s">
        <v>59</v>
      </c>
      <c r="C2068" s="8">
        <v>45975</v>
      </c>
      <c r="D2068" t="s">
        <v>342</v>
      </c>
      <c r="E2068" t="s">
        <v>334</v>
      </c>
      <c r="F2068" s="12">
        <v>479271</v>
      </c>
      <c r="G2068" s="12" t="str">
        <f>VLOOKUP(Table2[[#This Row],[MemberID]],Table1[#All],3,0)</f>
        <v>Platinum</v>
      </c>
      <c r="H2068" s="13">
        <v>47</v>
      </c>
    </row>
    <row r="2069" spans="1:8">
      <c r="A2069" t="s">
        <v>2401</v>
      </c>
      <c r="B2069" t="s">
        <v>168</v>
      </c>
      <c r="C2069" s="8">
        <v>45967</v>
      </c>
      <c r="D2069" t="s">
        <v>350</v>
      </c>
      <c r="E2069" t="s">
        <v>322</v>
      </c>
      <c r="F2069" s="12">
        <v>200997</v>
      </c>
      <c r="G2069" s="12" t="str">
        <f>VLOOKUP(Table2[[#This Row],[MemberID]],Table1[#All],3,0)</f>
        <v>Silver</v>
      </c>
      <c r="H2069" s="13">
        <v>20</v>
      </c>
    </row>
    <row r="2070" spans="1:8">
      <c r="A2070" t="s">
        <v>2402</v>
      </c>
      <c r="B2070" t="s">
        <v>154</v>
      </c>
      <c r="C2070" s="8">
        <v>46186</v>
      </c>
      <c r="D2070" t="s">
        <v>321</v>
      </c>
      <c r="E2070" t="s">
        <v>334</v>
      </c>
      <c r="F2070" s="12">
        <v>107034</v>
      </c>
      <c r="G2070" s="12" t="str">
        <f>VLOOKUP(Table2[[#This Row],[MemberID]],Table1[#All],3,0)</f>
        <v>Silver</v>
      </c>
      <c r="H2070" s="13">
        <v>10</v>
      </c>
    </row>
    <row r="2071" spans="1:8">
      <c r="A2071" t="s">
        <v>2403</v>
      </c>
      <c r="B2071" t="s">
        <v>102</v>
      </c>
      <c r="C2071" s="8">
        <v>46181</v>
      </c>
      <c r="D2071" t="s">
        <v>327</v>
      </c>
      <c r="E2071" t="s">
        <v>339</v>
      </c>
      <c r="F2071" s="12">
        <v>557078</v>
      </c>
      <c r="G2071" s="12" t="str">
        <f>VLOOKUP(Table2[[#This Row],[MemberID]],Table1[#All],3,0)</f>
        <v>Platinum</v>
      </c>
      <c r="H2071" s="13">
        <v>55</v>
      </c>
    </row>
    <row r="2072" spans="1:8">
      <c r="A2072" t="s">
        <v>2404</v>
      </c>
      <c r="B2072" t="s">
        <v>16</v>
      </c>
      <c r="C2072" s="8">
        <v>45994</v>
      </c>
      <c r="D2072" t="s">
        <v>321</v>
      </c>
      <c r="E2072" t="s">
        <v>334</v>
      </c>
      <c r="F2072" s="12">
        <v>198164</v>
      </c>
      <c r="G2072" s="12" t="str">
        <f>VLOOKUP(Table2[[#This Row],[MemberID]],Table1[#All],3,0)</f>
        <v>Gold</v>
      </c>
      <c r="H2072" s="13">
        <v>19</v>
      </c>
    </row>
    <row r="2073" spans="1:8">
      <c r="A2073" t="s">
        <v>2405</v>
      </c>
      <c r="B2073" t="s">
        <v>235</v>
      </c>
      <c r="C2073" s="8">
        <v>46187</v>
      </c>
      <c r="D2073" t="s">
        <v>342</v>
      </c>
      <c r="E2073" t="s">
        <v>328</v>
      </c>
      <c r="F2073" s="12">
        <v>402264</v>
      </c>
      <c r="G2073" s="12" t="str">
        <f>VLOOKUP(Table2[[#This Row],[MemberID]],Table1[#All],3,0)</f>
        <v>Gold</v>
      </c>
      <c r="H2073" s="13">
        <v>40</v>
      </c>
    </row>
    <row r="2074" spans="1:8">
      <c r="A2074" t="s">
        <v>2406</v>
      </c>
      <c r="B2074" t="s">
        <v>164</v>
      </c>
      <c r="C2074" s="8">
        <v>46096</v>
      </c>
      <c r="D2074" t="s">
        <v>344</v>
      </c>
      <c r="E2074" t="s">
        <v>337</v>
      </c>
      <c r="F2074" s="12">
        <v>304080</v>
      </c>
      <c r="G2074" s="12" t="str">
        <f>VLOOKUP(Table2[[#This Row],[MemberID]],Table1[#All],3,0)</f>
        <v>Silver</v>
      </c>
      <c r="H2074" s="13">
        <v>30</v>
      </c>
    </row>
    <row r="2075" spans="1:8">
      <c r="A2075" t="s">
        <v>2407</v>
      </c>
      <c r="B2075" t="s">
        <v>153</v>
      </c>
      <c r="C2075" s="8">
        <v>46243</v>
      </c>
      <c r="D2075" t="s">
        <v>332</v>
      </c>
      <c r="E2075" t="s">
        <v>334</v>
      </c>
      <c r="F2075" s="12">
        <v>106760</v>
      </c>
      <c r="G2075" s="12" t="str">
        <f>VLOOKUP(Table2[[#This Row],[MemberID]],Table1[#All],3,0)</f>
        <v>Silver</v>
      </c>
      <c r="H2075" s="13">
        <v>10</v>
      </c>
    </row>
    <row r="2076" spans="1:8">
      <c r="A2076" t="s">
        <v>2408</v>
      </c>
      <c r="B2076" t="s">
        <v>310</v>
      </c>
      <c r="C2076" s="8">
        <v>45977</v>
      </c>
      <c r="D2076" t="s">
        <v>330</v>
      </c>
      <c r="E2076" t="s">
        <v>339</v>
      </c>
      <c r="F2076" s="12">
        <v>356737</v>
      </c>
      <c r="G2076" s="12" t="str">
        <f>VLOOKUP(Table2[[#This Row],[MemberID]],Table1[#All],3,0)</f>
        <v>Silver</v>
      </c>
      <c r="H2076" s="13">
        <v>35</v>
      </c>
    </row>
    <row r="2077" spans="1:8">
      <c r="A2077" t="s">
        <v>2409</v>
      </c>
      <c r="B2077" t="s">
        <v>69</v>
      </c>
      <c r="C2077" s="8">
        <v>46287</v>
      </c>
      <c r="D2077" t="s">
        <v>324</v>
      </c>
      <c r="E2077" t="s">
        <v>328</v>
      </c>
      <c r="F2077" s="12">
        <v>290019</v>
      </c>
      <c r="G2077" s="12" t="str">
        <f>VLOOKUP(Table2[[#This Row],[MemberID]],Table1[#All],3,0)</f>
        <v>Gold</v>
      </c>
      <c r="H2077" s="13">
        <v>29</v>
      </c>
    </row>
    <row r="2078" spans="1:8">
      <c r="A2078" t="s">
        <v>2410</v>
      </c>
      <c r="B2078" t="s">
        <v>301</v>
      </c>
      <c r="C2078" s="8">
        <v>46124</v>
      </c>
      <c r="D2078" t="s">
        <v>327</v>
      </c>
      <c r="E2078" t="s">
        <v>334</v>
      </c>
      <c r="F2078" s="12">
        <v>489751</v>
      </c>
      <c r="G2078" s="12" t="str">
        <f>VLOOKUP(Table2[[#This Row],[MemberID]],Table1[#All],3,0)</f>
        <v>Silver</v>
      </c>
      <c r="H2078" s="13">
        <v>48</v>
      </c>
    </row>
    <row r="2079" spans="1:8">
      <c r="A2079" t="s">
        <v>2411</v>
      </c>
      <c r="B2079" t="s">
        <v>142</v>
      </c>
      <c r="C2079" s="8">
        <v>46222</v>
      </c>
      <c r="D2079" t="s">
        <v>321</v>
      </c>
      <c r="E2079" t="s">
        <v>328</v>
      </c>
      <c r="F2079" s="12">
        <v>390883</v>
      </c>
      <c r="G2079" s="12" t="str">
        <f>VLOOKUP(Table2[[#This Row],[MemberID]],Table1[#All],3,0)</f>
        <v>Silver</v>
      </c>
      <c r="H2079" s="13">
        <v>39</v>
      </c>
    </row>
    <row r="2080" spans="1:8">
      <c r="A2080" t="s">
        <v>2412</v>
      </c>
      <c r="B2080" t="s">
        <v>90</v>
      </c>
      <c r="C2080" s="8">
        <v>46180</v>
      </c>
      <c r="D2080" t="s">
        <v>344</v>
      </c>
      <c r="E2080" t="s">
        <v>322</v>
      </c>
      <c r="F2080" s="12">
        <v>345366</v>
      </c>
      <c r="G2080" s="12" t="str">
        <f>VLOOKUP(Table2[[#This Row],[MemberID]],Table1[#All],3,0)</f>
        <v>Silver</v>
      </c>
      <c r="H2080" s="13">
        <v>34</v>
      </c>
    </row>
    <row r="2081" spans="1:8">
      <c r="A2081" t="s">
        <v>2413</v>
      </c>
      <c r="B2081" t="s">
        <v>96</v>
      </c>
      <c r="C2081" s="8">
        <v>46125</v>
      </c>
      <c r="D2081" t="s">
        <v>327</v>
      </c>
      <c r="E2081" t="s">
        <v>325</v>
      </c>
      <c r="F2081" s="12">
        <v>252010</v>
      </c>
      <c r="G2081" s="12" t="str">
        <f>VLOOKUP(Table2[[#This Row],[MemberID]],Table1[#All],3,0)</f>
        <v>Silver</v>
      </c>
      <c r="H2081" s="13">
        <v>25</v>
      </c>
    </row>
    <row r="2082" spans="1:8">
      <c r="A2082" t="s">
        <v>2414</v>
      </c>
      <c r="B2082" t="s">
        <v>190</v>
      </c>
      <c r="C2082" s="8">
        <v>46153</v>
      </c>
      <c r="D2082" t="s">
        <v>342</v>
      </c>
      <c r="E2082" t="s">
        <v>322</v>
      </c>
      <c r="F2082" s="12">
        <v>184896</v>
      </c>
      <c r="G2082" s="12" t="str">
        <f>VLOOKUP(Table2[[#This Row],[MemberID]],Table1[#All],3,0)</f>
        <v>Silver</v>
      </c>
      <c r="H2082" s="13">
        <v>18</v>
      </c>
    </row>
    <row r="2083" spans="1:8">
      <c r="A2083" t="s">
        <v>2415</v>
      </c>
      <c r="B2083" t="s">
        <v>294</v>
      </c>
      <c r="C2083" s="8">
        <v>46032</v>
      </c>
      <c r="D2083" t="s">
        <v>327</v>
      </c>
      <c r="E2083" t="s">
        <v>328</v>
      </c>
      <c r="F2083" s="12">
        <v>554706</v>
      </c>
      <c r="G2083" s="12" t="str">
        <f>VLOOKUP(Table2[[#This Row],[MemberID]],Table1[#All],3,0)</f>
        <v>Gold</v>
      </c>
      <c r="H2083" s="13">
        <v>55</v>
      </c>
    </row>
    <row r="2084" spans="1:8">
      <c r="A2084" t="s">
        <v>2416</v>
      </c>
      <c r="B2084" t="s">
        <v>202</v>
      </c>
      <c r="C2084" s="8">
        <v>46266</v>
      </c>
      <c r="D2084" t="s">
        <v>332</v>
      </c>
      <c r="E2084" t="s">
        <v>334</v>
      </c>
      <c r="F2084" s="12">
        <v>691211</v>
      </c>
      <c r="G2084" s="12" t="str">
        <f>VLOOKUP(Table2[[#This Row],[MemberID]],Table1[#All],3,0)</f>
        <v>Silver</v>
      </c>
      <c r="H2084" s="13">
        <v>69</v>
      </c>
    </row>
    <row r="2085" spans="1:8">
      <c r="A2085" t="s">
        <v>2417</v>
      </c>
      <c r="B2085" t="s">
        <v>287</v>
      </c>
      <c r="C2085" s="8">
        <v>46014</v>
      </c>
      <c r="D2085" t="s">
        <v>344</v>
      </c>
      <c r="E2085" t="s">
        <v>328</v>
      </c>
      <c r="F2085" s="12">
        <v>544074</v>
      </c>
      <c r="G2085" s="12" t="str">
        <f>VLOOKUP(Table2[[#This Row],[MemberID]],Table1[#All],3,0)</f>
        <v>Gold</v>
      </c>
      <c r="H2085" s="13">
        <v>54</v>
      </c>
    </row>
    <row r="2086" spans="1:8">
      <c r="A2086" t="s">
        <v>2418</v>
      </c>
      <c r="B2086" t="s">
        <v>122</v>
      </c>
      <c r="C2086" s="8">
        <v>46261</v>
      </c>
      <c r="D2086" t="s">
        <v>321</v>
      </c>
      <c r="E2086" t="s">
        <v>328</v>
      </c>
      <c r="F2086" s="12">
        <v>749109</v>
      </c>
      <c r="G2086" s="12" t="str">
        <f>VLOOKUP(Table2[[#This Row],[MemberID]],Table1[#All],3,0)</f>
        <v>Gold</v>
      </c>
      <c r="H2086" s="13">
        <v>74</v>
      </c>
    </row>
    <row r="2087" spans="1:8">
      <c r="A2087" t="s">
        <v>2419</v>
      </c>
      <c r="B2087" t="s">
        <v>285</v>
      </c>
      <c r="C2087" s="8">
        <v>46102</v>
      </c>
      <c r="D2087" t="s">
        <v>342</v>
      </c>
      <c r="E2087" t="s">
        <v>339</v>
      </c>
      <c r="F2087" s="12">
        <v>182085</v>
      </c>
      <c r="G2087" s="12" t="str">
        <f>VLOOKUP(Table2[[#This Row],[MemberID]],Table1[#All],3,0)</f>
        <v>Silver</v>
      </c>
      <c r="H2087" s="13">
        <v>18</v>
      </c>
    </row>
    <row r="2088" spans="1:8">
      <c r="A2088" t="s">
        <v>2420</v>
      </c>
      <c r="B2088" t="s">
        <v>231</v>
      </c>
      <c r="C2088" s="8">
        <v>46208</v>
      </c>
      <c r="D2088" t="s">
        <v>350</v>
      </c>
      <c r="E2088" t="s">
        <v>328</v>
      </c>
      <c r="F2088" s="12">
        <v>1003252</v>
      </c>
      <c r="G2088" s="12" t="str">
        <f>VLOOKUP(Table2[[#This Row],[MemberID]],Table1[#All],3,0)</f>
        <v>Silver</v>
      </c>
      <c r="H2088" s="13">
        <v>100</v>
      </c>
    </row>
    <row r="2089" spans="1:8">
      <c r="A2089" t="s">
        <v>2421</v>
      </c>
      <c r="B2089" t="s">
        <v>118</v>
      </c>
      <c r="C2089" s="8">
        <v>46049</v>
      </c>
      <c r="D2089" t="s">
        <v>332</v>
      </c>
      <c r="E2089" t="s">
        <v>337</v>
      </c>
      <c r="F2089" s="12">
        <v>84133</v>
      </c>
      <c r="G2089" s="12" t="str">
        <f>VLOOKUP(Table2[[#This Row],[MemberID]],Table1[#All],3,0)</f>
        <v>Silver</v>
      </c>
      <c r="H2089" s="13">
        <v>8</v>
      </c>
    </row>
    <row r="2090" spans="1:8">
      <c r="A2090" t="s">
        <v>2422</v>
      </c>
      <c r="B2090" t="s">
        <v>127</v>
      </c>
      <c r="C2090" s="8">
        <v>46154</v>
      </c>
      <c r="D2090" t="s">
        <v>321</v>
      </c>
      <c r="E2090" t="s">
        <v>337</v>
      </c>
      <c r="F2090" s="12">
        <v>225433</v>
      </c>
      <c r="G2090" s="12" t="str">
        <f>VLOOKUP(Table2[[#This Row],[MemberID]],Table1[#All],3,0)</f>
        <v>Platinum</v>
      </c>
      <c r="H2090" s="13">
        <v>22</v>
      </c>
    </row>
    <row r="2091" spans="1:8">
      <c r="A2091" t="s">
        <v>2423</v>
      </c>
      <c r="B2091" t="s">
        <v>210</v>
      </c>
      <c r="C2091" s="8">
        <v>46177</v>
      </c>
      <c r="D2091" t="s">
        <v>324</v>
      </c>
      <c r="E2091" t="s">
        <v>328</v>
      </c>
      <c r="F2091" s="12">
        <v>171754</v>
      </c>
      <c r="G2091" s="12" t="str">
        <f>VLOOKUP(Table2[[#This Row],[MemberID]],Table1[#All],3,0)</f>
        <v>Silver</v>
      </c>
      <c r="H2091" s="13">
        <v>17</v>
      </c>
    </row>
    <row r="2092" spans="1:8">
      <c r="A2092" t="s">
        <v>2424</v>
      </c>
      <c r="B2092" t="s">
        <v>101</v>
      </c>
      <c r="C2092" s="8">
        <v>45965</v>
      </c>
      <c r="D2092" t="s">
        <v>324</v>
      </c>
      <c r="E2092" t="s">
        <v>322</v>
      </c>
      <c r="F2092" s="12">
        <v>510286</v>
      </c>
      <c r="G2092" s="12" t="str">
        <f>VLOOKUP(Table2[[#This Row],[MemberID]],Table1[#All],3,0)</f>
        <v>Gold</v>
      </c>
      <c r="H2092" s="13">
        <v>51</v>
      </c>
    </row>
    <row r="2093" spans="1:8">
      <c r="A2093" t="s">
        <v>2425</v>
      </c>
      <c r="B2093" t="s">
        <v>72</v>
      </c>
      <c r="C2093" s="8">
        <v>46026</v>
      </c>
      <c r="D2093" t="s">
        <v>324</v>
      </c>
      <c r="E2093" t="s">
        <v>322</v>
      </c>
      <c r="F2093" s="12">
        <v>240874</v>
      </c>
      <c r="G2093" s="12" t="str">
        <f>VLOOKUP(Table2[[#This Row],[MemberID]],Table1[#All],3,0)</f>
        <v>Silver</v>
      </c>
      <c r="H2093" s="13">
        <v>24</v>
      </c>
    </row>
    <row r="2094" spans="1:8">
      <c r="A2094" t="s">
        <v>2426</v>
      </c>
      <c r="B2094" t="s">
        <v>109</v>
      </c>
      <c r="C2094" s="8">
        <v>46147</v>
      </c>
      <c r="D2094" t="s">
        <v>350</v>
      </c>
      <c r="E2094" t="s">
        <v>325</v>
      </c>
      <c r="F2094" s="12">
        <v>160380</v>
      </c>
      <c r="G2094" s="12" t="str">
        <f>VLOOKUP(Table2[[#This Row],[MemberID]],Table1[#All],3,0)</f>
        <v>Silver</v>
      </c>
      <c r="H2094" s="13">
        <v>16</v>
      </c>
    </row>
    <row r="2095" spans="1:8">
      <c r="A2095" t="s">
        <v>2427</v>
      </c>
      <c r="B2095" t="s">
        <v>274</v>
      </c>
      <c r="C2095" s="8">
        <v>45987</v>
      </c>
      <c r="D2095" t="s">
        <v>327</v>
      </c>
      <c r="E2095" t="s">
        <v>328</v>
      </c>
      <c r="F2095" s="12">
        <v>214039</v>
      </c>
      <c r="G2095" s="12" t="str">
        <f>VLOOKUP(Table2[[#This Row],[MemberID]],Table1[#All],3,0)</f>
        <v>Platinum</v>
      </c>
      <c r="H2095" s="13">
        <v>21</v>
      </c>
    </row>
    <row r="2096" spans="1:8">
      <c r="A2096" t="s">
        <v>2428</v>
      </c>
      <c r="B2096" t="s">
        <v>67</v>
      </c>
      <c r="C2096" s="8">
        <v>46103</v>
      </c>
      <c r="D2096" t="s">
        <v>321</v>
      </c>
      <c r="E2096" t="s">
        <v>337</v>
      </c>
      <c r="F2096" s="12">
        <v>328404</v>
      </c>
      <c r="G2096" s="12" t="str">
        <f>VLOOKUP(Table2[[#This Row],[MemberID]],Table1[#All],3,0)</f>
        <v>Platinum</v>
      </c>
      <c r="H2096" s="13">
        <v>32</v>
      </c>
    </row>
    <row r="2097" spans="1:8">
      <c r="A2097" t="s">
        <v>2429</v>
      </c>
      <c r="B2097" t="s">
        <v>88</v>
      </c>
      <c r="C2097" s="8">
        <v>46214</v>
      </c>
      <c r="D2097" t="s">
        <v>332</v>
      </c>
      <c r="E2097" t="s">
        <v>334</v>
      </c>
      <c r="F2097" s="12">
        <v>47566</v>
      </c>
      <c r="G2097" s="12" t="str">
        <f>VLOOKUP(Table2[[#This Row],[MemberID]],Table1[#All],3,0)</f>
        <v>Gold</v>
      </c>
      <c r="H2097" s="13">
        <v>4</v>
      </c>
    </row>
    <row r="2098" spans="1:8">
      <c r="A2098" t="s">
        <v>2430</v>
      </c>
      <c r="B2098" t="s">
        <v>31</v>
      </c>
      <c r="C2098" s="8">
        <v>46269</v>
      </c>
      <c r="D2098" t="s">
        <v>332</v>
      </c>
      <c r="E2098" t="s">
        <v>325</v>
      </c>
      <c r="F2098" s="12">
        <v>98129</v>
      </c>
      <c r="G2098" s="12" t="str">
        <f>VLOOKUP(Table2[[#This Row],[MemberID]],Table1[#All],3,0)</f>
        <v>Silver</v>
      </c>
      <c r="H2098" s="13">
        <v>9</v>
      </c>
    </row>
    <row r="2099" spans="1:8">
      <c r="A2099" t="s">
        <v>2431</v>
      </c>
      <c r="B2099" t="s">
        <v>223</v>
      </c>
      <c r="C2099" s="8">
        <v>46217</v>
      </c>
      <c r="D2099" t="s">
        <v>330</v>
      </c>
      <c r="E2099" t="s">
        <v>325</v>
      </c>
      <c r="F2099" s="12">
        <v>519913</v>
      </c>
      <c r="G2099" s="12" t="str">
        <f>VLOOKUP(Table2[[#This Row],[MemberID]],Table1[#All],3,0)</f>
        <v>Gold</v>
      </c>
      <c r="H2099" s="13">
        <v>51</v>
      </c>
    </row>
    <row r="2100" spans="1:8">
      <c r="A2100" t="s">
        <v>2432</v>
      </c>
      <c r="B2100" t="s">
        <v>266</v>
      </c>
      <c r="C2100" s="8">
        <v>46205</v>
      </c>
      <c r="D2100" t="s">
        <v>350</v>
      </c>
      <c r="E2100" t="s">
        <v>337</v>
      </c>
      <c r="F2100" s="12">
        <v>39962</v>
      </c>
      <c r="G2100" s="12" t="str">
        <f>VLOOKUP(Table2[[#This Row],[MemberID]],Table1[#All],3,0)</f>
        <v>Silver</v>
      </c>
      <c r="H2100" s="13">
        <v>3</v>
      </c>
    </row>
    <row r="2101" spans="1:8">
      <c r="A2101" t="s">
        <v>2433</v>
      </c>
      <c r="B2101" t="s">
        <v>249</v>
      </c>
      <c r="C2101" s="8">
        <v>46207</v>
      </c>
      <c r="D2101" t="s">
        <v>321</v>
      </c>
      <c r="E2101" t="s">
        <v>322</v>
      </c>
      <c r="F2101" s="12">
        <v>826783</v>
      </c>
      <c r="G2101" s="12" t="str">
        <f>VLOOKUP(Table2[[#This Row],[MemberID]],Table1[#All],3,0)</f>
        <v>Silver</v>
      </c>
      <c r="H2101" s="13">
        <v>82</v>
      </c>
    </row>
    <row r="2102" spans="1:8">
      <c r="A2102" t="s">
        <v>2434</v>
      </c>
      <c r="B2102" t="s">
        <v>100</v>
      </c>
      <c r="C2102" s="8">
        <v>45981</v>
      </c>
      <c r="D2102" t="s">
        <v>324</v>
      </c>
      <c r="E2102" t="s">
        <v>328</v>
      </c>
      <c r="F2102" s="12">
        <v>158437</v>
      </c>
      <c r="G2102" s="12" t="str">
        <f>VLOOKUP(Table2[[#This Row],[MemberID]],Table1[#All],3,0)</f>
        <v>Silver</v>
      </c>
      <c r="H2102" s="13">
        <v>15</v>
      </c>
    </row>
    <row r="2103" spans="1:8">
      <c r="A2103" t="s">
        <v>2435</v>
      </c>
      <c r="B2103" t="s">
        <v>296</v>
      </c>
      <c r="C2103" s="8">
        <v>45986</v>
      </c>
      <c r="D2103" t="s">
        <v>342</v>
      </c>
      <c r="E2103" t="s">
        <v>334</v>
      </c>
      <c r="F2103" s="12">
        <v>650234</v>
      </c>
      <c r="G2103" s="12" t="str">
        <f>VLOOKUP(Table2[[#This Row],[MemberID]],Table1[#All],3,0)</f>
        <v>Silver</v>
      </c>
      <c r="H2103" s="13">
        <v>65</v>
      </c>
    </row>
    <row r="2104" spans="1:8">
      <c r="A2104" t="s">
        <v>2436</v>
      </c>
      <c r="B2104" t="s">
        <v>256</v>
      </c>
      <c r="C2104" s="8">
        <v>45950</v>
      </c>
      <c r="D2104" t="s">
        <v>321</v>
      </c>
      <c r="E2104" t="s">
        <v>337</v>
      </c>
      <c r="F2104" s="12">
        <v>575069</v>
      </c>
      <c r="G2104" s="12" t="str">
        <f>VLOOKUP(Table2[[#This Row],[MemberID]],Table1[#All],3,0)</f>
        <v>Gold</v>
      </c>
      <c r="H2104" s="13">
        <v>57</v>
      </c>
    </row>
    <row r="2105" spans="1:8">
      <c r="A2105" t="s">
        <v>2437</v>
      </c>
      <c r="B2105" t="s">
        <v>29</v>
      </c>
      <c r="C2105" s="8">
        <v>46003</v>
      </c>
      <c r="D2105" t="s">
        <v>344</v>
      </c>
      <c r="E2105" t="s">
        <v>322</v>
      </c>
      <c r="F2105" s="12">
        <v>63341</v>
      </c>
      <c r="G2105" s="12" t="str">
        <f>VLOOKUP(Table2[[#This Row],[MemberID]],Table1[#All],3,0)</f>
        <v>Gold</v>
      </c>
      <c r="H2105" s="13">
        <v>6</v>
      </c>
    </row>
    <row r="2106" spans="1:8">
      <c r="A2106" t="s">
        <v>2438</v>
      </c>
      <c r="B2106" t="s">
        <v>108</v>
      </c>
      <c r="C2106" s="8">
        <v>45978</v>
      </c>
      <c r="D2106" t="s">
        <v>327</v>
      </c>
      <c r="E2106" t="s">
        <v>334</v>
      </c>
      <c r="F2106" s="12">
        <v>99491</v>
      </c>
      <c r="G2106" s="12" t="str">
        <f>VLOOKUP(Table2[[#This Row],[MemberID]],Table1[#All],3,0)</f>
        <v>Platinum</v>
      </c>
      <c r="H2106" s="13">
        <v>9</v>
      </c>
    </row>
    <row r="2107" spans="1:8">
      <c r="A2107" t="s">
        <v>2439</v>
      </c>
      <c r="B2107" t="s">
        <v>93</v>
      </c>
      <c r="C2107" s="8">
        <v>46002</v>
      </c>
      <c r="D2107" t="s">
        <v>342</v>
      </c>
      <c r="E2107" t="s">
        <v>339</v>
      </c>
      <c r="F2107" s="12">
        <v>298060</v>
      </c>
      <c r="G2107" s="12" t="str">
        <f>VLOOKUP(Table2[[#This Row],[MemberID]],Table1[#All],3,0)</f>
        <v>Platinum</v>
      </c>
      <c r="H2107" s="13">
        <v>29</v>
      </c>
    </row>
    <row r="2108" spans="1:8">
      <c r="A2108" t="s">
        <v>2440</v>
      </c>
      <c r="B2108" t="s">
        <v>259</v>
      </c>
      <c r="C2108" s="8">
        <v>46203</v>
      </c>
      <c r="D2108" t="s">
        <v>330</v>
      </c>
      <c r="E2108" t="s">
        <v>325</v>
      </c>
      <c r="F2108" s="12">
        <v>175461</v>
      </c>
      <c r="G2108" s="12" t="str">
        <f>VLOOKUP(Table2[[#This Row],[MemberID]],Table1[#All],3,0)</f>
        <v>Gold</v>
      </c>
      <c r="H2108" s="13">
        <v>17</v>
      </c>
    </row>
    <row r="2109" spans="1:8">
      <c r="A2109" t="s">
        <v>2441</v>
      </c>
      <c r="B2109" t="s">
        <v>164</v>
      </c>
      <c r="C2109" s="8">
        <v>45947</v>
      </c>
      <c r="D2109" t="s">
        <v>327</v>
      </c>
      <c r="E2109" t="s">
        <v>325</v>
      </c>
      <c r="F2109" s="12">
        <v>345132</v>
      </c>
      <c r="G2109" s="12" t="str">
        <f>VLOOKUP(Table2[[#This Row],[MemberID]],Table1[#All],3,0)</f>
        <v>Silver</v>
      </c>
      <c r="H2109" s="13">
        <v>34</v>
      </c>
    </row>
    <row r="2110" spans="1:8">
      <c r="A2110" t="s">
        <v>2442</v>
      </c>
      <c r="B2110" t="s">
        <v>202</v>
      </c>
      <c r="C2110" s="8">
        <v>46211</v>
      </c>
      <c r="D2110" t="s">
        <v>344</v>
      </c>
      <c r="E2110" t="s">
        <v>322</v>
      </c>
      <c r="F2110" s="12">
        <v>746493</v>
      </c>
      <c r="G2110" s="12" t="str">
        <f>VLOOKUP(Table2[[#This Row],[MemberID]],Table1[#All],3,0)</f>
        <v>Silver</v>
      </c>
      <c r="H2110" s="13">
        <v>74</v>
      </c>
    </row>
    <row r="2111" spans="1:8">
      <c r="A2111" t="s">
        <v>2443</v>
      </c>
      <c r="B2111" t="s">
        <v>287</v>
      </c>
      <c r="C2111" s="8">
        <v>46225</v>
      </c>
      <c r="D2111" t="s">
        <v>344</v>
      </c>
      <c r="E2111" t="s">
        <v>334</v>
      </c>
      <c r="F2111" s="12">
        <v>615460</v>
      </c>
      <c r="G2111" s="12" t="str">
        <f>VLOOKUP(Table2[[#This Row],[MemberID]],Table1[#All],3,0)</f>
        <v>Gold</v>
      </c>
      <c r="H2111" s="13">
        <v>61</v>
      </c>
    </row>
    <row r="2112" spans="1:8">
      <c r="A2112" t="s">
        <v>2444</v>
      </c>
      <c r="B2112" t="s">
        <v>127</v>
      </c>
      <c r="C2112" s="8">
        <v>46122</v>
      </c>
      <c r="D2112" t="s">
        <v>332</v>
      </c>
      <c r="E2112" t="s">
        <v>339</v>
      </c>
      <c r="F2112" s="12">
        <v>466992</v>
      </c>
      <c r="G2112" s="12" t="str">
        <f>VLOOKUP(Table2[[#This Row],[MemberID]],Table1[#All],3,0)</f>
        <v>Platinum</v>
      </c>
      <c r="H2112" s="13">
        <v>46</v>
      </c>
    </row>
    <row r="2113" spans="1:8">
      <c r="A2113" t="s">
        <v>2445</v>
      </c>
      <c r="B2113" t="s">
        <v>153</v>
      </c>
      <c r="C2113" s="8">
        <v>45990</v>
      </c>
      <c r="D2113" t="s">
        <v>342</v>
      </c>
      <c r="E2113" t="s">
        <v>322</v>
      </c>
      <c r="F2113" s="12">
        <v>680035</v>
      </c>
      <c r="G2113" s="12" t="str">
        <f>VLOOKUP(Table2[[#This Row],[MemberID]],Table1[#All],3,0)</f>
        <v>Silver</v>
      </c>
      <c r="H2113" s="13">
        <v>68</v>
      </c>
    </row>
    <row r="2114" spans="1:8">
      <c r="A2114" t="s">
        <v>2446</v>
      </c>
      <c r="B2114" t="s">
        <v>100</v>
      </c>
      <c r="C2114" s="8">
        <v>46261</v>
      </c>
      <c r="D2114" t="s">
        <v>332</v>
      </c>
      <c r="E2114" t="s">
        <v>334</v>
      </c>
      <c r="F2114" s="12">
        <v>154152</v>
      </c>
      <c r="G2114" s="12" t="str">
        <f>VLOOKUP(Table2[[#This Row],[MemberID]],Table1[#All],3,0)</f>
        <v>Silver</v>
      </c>
      <c r="H2114" s="13">
        <v>15</v>
      </c>
    </row>
    <row r="2115" spans="1:8">
      <c r="A2115" t="s">
        <v>2447</v>
      </c>
      <c r="B2115" t="s">
        <v>307</v>
      </c>
      <c r="C2115" s="8">
        <v>46141</v>
      </c>
      <c r="D2115" t="s">
        <v>327</v>
      </c>
      <c r="E2115" t="s">
        <v>322</v>
      </c>
      <c r="F2115" s="12">
        <v>161401</v>
      </c>
      <c r="G2115" s="12" t="str">
        <f>VLOOKUP(Table2[[#This Row],[MemberID]],Table1[#All],3,0)</f>
        <v>Gold</v>
      </c>
      <c r="H2115" s="13">
        <v>16</v>
      </c>
    </row>
    <row r="2116" spans="1:8">
      <c r="A2116" t="s">
        <v>2448</v>
      </c>
      <c r="B2116" t="s">
        <v>311</v>
      </c>
      <c r="C2116" s="8">
        <v>46053</v>
      </c>
      <c r="D2116" t="s">
        <v>324</v>
      </c>
      <c r="E2116" t="s">
        <v>339</v>
      </c>
      <c r="F2116" s="12">
        <v>25000</v>
      </c>
      <c r="G2116" s="12" t="str">
        <f>VLOOKUP(Table2[[#This Row],[MemberID]],Table1[#All],3,0)</f>
        <v>Silver</v>
      </c>
      <c r="H2116" s="13">
        <v>2</v>
      </c>
    </row>
    <row r="2117" spans="1:8">
      <c r="A2117" t="s">
        <v>2449</v>
      </c>
      <c r="B2117" t="s">
        <v>196</v>
      </c>
      <c r="C2117" s="8">
        <v>45978</v>
      </c>
      <c r="D2117" t="s">
        <v>332</v>
      </c>
      <c r="E2117" t="s">
        <v>337</v>
      </c>
      <c r="F2117" s="12">
        <v>187936</v>
      </c>
      <c r="G2117" s="12" t="str">
        <f>VLOOKUP(Table2[[#This Row],[MemberID]],Table1[#All],3,0)</f>
        <v>Gold</v>
      </c>
      <c r="H2117" s="13">
        <v>18</v>
      </c>
    </row>
    <row r="2118" spans="1:8">
      <c r="A2118" t="s">
        <v>2450</v>
      </c>
      <c r="B2118" t="s">
        <v>100</v>
      </c>
      <c r="C2118" s="8">
        <v>46147</v>
      </c>
      <c r="D2118" t="s">
        <v>332</v>
      </c>
      <c r="E2118" t="s">
        <v>322</v>
      </c>
      <c r="F2118" s="12">
        <v>250590</v>
      </c>
      <c r="G2118" s="12" t="str">
        <f>VLOOKUP(Table2[[#This Row],[MemberID]],Table1[#All],3,0)</f>
        <v>Silver</v>
      </c>
      <c r="H2118" s="13">
        <v>25</v>
      </c>
    </row>
    <row r="2119" spans="1:8">
      <c r="A2119" t="s">
        <v>2451</v>
      </c>
      <c r="B2119" t="s">
        <v>188</v>
      </c>
      <c r="C2119" s="8">
        <v>46088</v>
      </c>
      <c r="D2119" t="s">
        <v>327</v>
      </c>
      <c r="E2119" t="s">
        <v>337</v>
      </c>
      <c r="F2119" s="12">
        <v>311941</v>
      </c>
      <c r="G2119" s="12" t="str">
        <f>VLOOKUP(Table2[[#This Row],[MemberID]],Table1[#All],3,0)</f>
        <v>Silver</v>
      </c>
      <c r="H2119" s="13">
        <v>31</v>
      </c>
    </row>
    <row r="2120" spans="1:8">
      <c r="A2120" t="s">
        <v>2452</v>
      </c>
      <c r="B2120" t="s">
        <v>272</v>
      </c>
      <c r="C2120" s="8">
        <v>46116</v>
      </c>
      <c r="D2120" t="s">
        <v>330</v>
      </c>
      <c r="E2120" t="s">
        <v>325</v>
      </c>
      <c r="F2120" s="12">
        <v>63285</v>
      </c>
      <c r="G2120" s="12" t="str">
        <f>VLOOKUP(Table2[[#This Row],[MemberID]],Table1[#All],3,0)</f>
        <v>Silver</v>
      </c>
      <c r="H2120" s="13">
        <v>6</v>
      </c>
    </row>
    <row r="2121" spans="1:8">
      <c r="A2121" t="s">
        <v>2453</v>
      </c>
      <c r="B2121" t="s">
        <v>105</v>
      </c>
      <c r="C2121" s="8">
        <v>46206</v>
      </c>
      <c r="D2121" t="s">
        <v>350</v>
      </c>
      <c r="E2121" t="s">
        <v>334</v>
      </c>
      <c r="F2121" s="12">
        <v>334480</v>
      </c>
      <c r="G2121" s="12" t="str">
        <f>VLOOKUP(Table2[[#This Row],[MemberID]],Table1[#All],3,0)</f>
        <v>Silver</v>
      </c>
      <c r="H2121" s="13">
        <v>33</v>
      </c>
    </row>
    <row r="2122" spans="1:8">
      <c r="A2122" t="s">
        <v>2454</v>
      </c>
      <c r="B2122" t="s">
        <v>293</v>
      </c>
      <c r="C2122" s="8">
        <v>46042</v>
      </c>
      <c r="D2122" t="s">
        <v>330</v>
      </c>
      <c r="E2122" t="s">
        <v>334</v>
      </c>
      <c r="F2122" s="12">
        <v>326273</v>
      </c>
      <c r="G2122" s="12" t="str">
        <f>VLOOKUP(Table2[[#This Row],[MemberID]],Table1[#All],3,0)</f>
        <v>Silver</v>
      </c>
      <c r="H2122" s="13">
        <v>32</v>
      </c>
    </row>
    <row r="2123" spans="1:8">
      <c r="A2123" t="s">
        <v>2455</v>
      </c>
      <c r="B2123" t="s">
        <v>239</v>
      </c>
      <c r="C2123" s="8">
        <v>46232</v>
      </c>
      <c r="D2123" t="s">
        <v>321</v>
      </c>
      <c r="E2123" t="s">
        <v>325</v>
      </c>
      <c r="F2123" s="12">
        <v>108806</v>
      </c>
      <c r="G2123" s="12" t="str">
        <f>VLOOKUP(Table2[[#This Row],[MemberID]],Table1[#All],3,0)</f>
        <v>Silver</v>
      </c>
      <c r="H2123" s="13">
        <v>10</v>
      </c>
    </row>
    <row r="2124" spans="1:8">
      <c r="A2124" t="s">
        <v>2456</v>
      </c>
      <c r="B2124" t="s">
        <v>195</v>
      </c>
      <c r="C2124" s="8">
        <v>46163</v>
      </c>
      <c r="D2124" t="s">
        <v>332</v>
      </c>
      <c r="E2124" t="s">
        <v>339</v>
      </c>
      <c r="F2124" s="12">
        <v>405925</v>
      </c>
      <c r="G2124" s="12" t="str">
        <f>VLOOKUP(Table2[[#This Row],[MemberID]],Table1[#All],3,0)</f>
        <v>Gold</v>
      </c>
      <c r="H2124" s="13">
        <v>40</v>
      </c>
    </row>
    <row r="2125" spans="1:8">
      <c r="A2125" t="s">
        <v>2457</v>
      </c>
      <c r="B2125" t="s">
        <v>303</v>
      </c>
      <c r="C2125" s="8">
        <v>45942</v>
      </c>
      <c r="D2125" t="s">
        <v>327</v>
      </c>
      <c r="E2125" t="s">
        <v>325</v>
      </c>
      <c r="F2125" s="12">
        <v>41426</v>
      </c>
      <c r="G2125" s="12" t="str">
        <f>VLOOKUP(Table2[[#This Row],[MemberID]],Table1[#All],3,0)</f>
        <v>Gold</v>
      </c>
      <c r="H2125" s="13">
        <v>4</v>
      </c>
    </row>
    <row r="2126" spans="1:8">
      <c r="A2126" t="s">
        <v>2458</v>
      </c>
      <c r="B2126" t="s">
        <v>255</v>
      </c>
      <c r="C2126" s="8">
        <v>46127</v>
      </c>
      <c r="D2126" t="s">
        <v>327</v>
      </c>
      <c r="E2126" t="s">
        <v>325</v>
      </c>
      <c r="F2126" s="12">
        <v>130222</v>
      </c>
      <c r="G2126" s="12" t="str">
        <f>VLOOKUP(Table2[[#This Row],[MemberID]],Table1[#All],3,0)</f>
        <v>Silver</v>
      </c>
      <c r="H2126" s="13">
        <v>13</v>
      </c>
    </row>
    <row r="2127" spans="1:8">
      <c r="A2127" t="s">
        <v>2459</v>
      </c>
      <c r="B2127" t="s">
        <v>238</v>
      </c>
      <c r="C2127" s="8">
        <v>46060</v>
      </c>
      <c r="D2127" t="s">
        <v>344</v>
      </c>
      <c r="E2127" t="s">
        <v>325</v>
      </c>
      <c r="F2127" s="12">
        <v>735420</v>
      </c>
      <c r="G2127" s="12" t="str">
        <f>VLOOKUP(Table2[[#This Row],[MemberID]],Table1[#All],3,0)</f>
        <v>Silver</v>
      </c>
      <c r="H2127" s="13">
        <v>73</v>
      </c>
    </row>
    <row r="2128" spans="1:8">
      <c r="A2128" t="s">
        <v>2460</v>
      </c>
      <c r="B2128" t="s">
        <v>240</v>
      </c>
      <c r="C2128" s="8">
        <v>46211</v>
      </c>
      <c r="D2128" t="s">
        <v>324</v>
      </c>
      <c r="E2128" t="s">
        <v>339</v>
      </c>
      <c r="F2128" s="12">
        <v>769650</v>
      </c>
      <c r="G2128" s="12" t="str">
        <f>VLOOKUP(Table2[[#This Row],[MemberID]],Table1[#All],3,0)</f>
        <v>Silver</v>
      </c>
      <c r="H2128" s="13">
        <v>76</v>
      </c>
    </row>
    <row r="2129" spans="1:8">
      <c r="A2129" t="s">
        <v>2461</v>
      </c>
      <c r="B2129" t="s">
        <v>79</v>
      </c>
      <c r="C2129" s="8">
        <v>45954</v>
      </c>
      <c r="D2129" t="s">
        <v>332</v>
      </c>
      <c r="E2129" t="s">
        <v>334</v>
      </c>
      <c r="F2129" s="12">
        <v>303953</v>
      </c>
      <c r="G2129" s="12" t="str">
        <f>VLOOKUP(Table2[[#This Row],[MemberID]],Table1[#All],3,0)</f>
        <v>Silver</v>
      </c>
      <c r="H2129" s="13">
        <v>30</v>
      </c>
    </row>
    <row r="2130" spans="1:8">
      <c r="A2130" t="s">
        <v>2462</v>
      </c>
      <c r="B2130" t="s">
        <v>167</v>
      </c>
      <c r="C2130" s="8">
        <v>46259</v>
      </c>
      <c r="D2130" t="s">
        <v>330</v>
      </c>
      <c r="E2130" t="s">
        <v>322</v>
      </c>
      <c r="F2130" s="12">
        <v>178176</v>
      </c>
      <c r="G2130" s="12" t="str">
        <f>VLOOKUP(Table2[[#This Row],[MemberID]],Table1[#All],3,0)</f>
        <v>Silver</v>
      </c>
      <c r="H2130" s="13">
        <v>17</v>
      </c>
    </row>
    <row r="2131" spans="1:8">
      <c r="A2131" t="s">
        <v>2463</v>
      </c>
      <c r="B2131" t="s">
        <v>167</v>
      </c>
      <c r="C2131" s="8">
        <v>46195</v>
      </c>
      <c r="D2131" t="s">
        <v>327</v>
      </c>
      <c r="E2131" t="s">
        <v>339</v>
      </c>
      <c r="F2131" s="12">
        <v>207984</v>
      </c>
      <c r="G2131" s="12" t="str">
        <f>VLOOKUP(Table2[[#This Row],[MemberID]],Table1[#All],3,0)</f>
        <v>Silver</v>
      </c>
      <c r="H2131" s="13">
        <v>20</v>
      </c>
    </row>
    <row r="2132" spans="1:8">
      <c r="A2132" t="s">
        <v>2464</v>
      </c>
      <c r="B2132" t="s">
        <v>29</v>
      </c>
      <c r="C2132" s="8">
        <v>46145</v>
      </c>
      <c r="D2132" t="s">
        <v>321</v>
      </c>
      <c r="E2132" t="s">
        <v>334</v>
      </c>
      <c r="F2132" s="12">
        <v>93602</v>
      </c>
      <c r="G2132" s="12" t="str">
        <f>VLOOKUP(Table2[[#This Row],[MemberID]],Table1[#All],3,0)</f>
        <v>Gold</v>
      </c>
      <c r="H2132" s="13">
        <v>9</v>
      </c>
    </row>
    <row r="2133" spans="1:8">
      <c r="A2133" t="s">
        <v>2465</v>
      </c>
      <c r="B2133" t="s">
        <v>61</v>
      </c>
      <c r="C2133" s="8">
        <v>46196</v>
      </c>
      <c r="D2133" t="s">
        <v>350</v>
      </c>
      <c r="E2133" t="s">
        <v>334</v>
      </c>
      <c r="F2133" s="12">
        <v>290027</v>
      </c>
      <c r="G2133" s="12" t="str">
        <f>VLOOKUP(Table2[[#This Row],[MemberID]],Table1[#All],3,0)</f>
        <v>Platinum</v>
      </c>
      <c r="H2133" s="13">
        <v>29</v>
      </c>
    </row>
    <row r="2134" spans="1:8">
      <c r="A2134" t="s">
        <v>2466</v>
      </c>
      <c r="B2134" t="s">
        <v>247</v>
      </c>
      <c r="C2134" s="8">
        <v>46226</v>
      </c>
      <c r="D2134" t="s">
        <v>324</v>
      </c>
      <c r="E2134" t="s">
        <v>337</v>
      </c>
      <c r="F2134" s="12">
        <v>74305</v>
      </c>
      <c r="G2134" s="12" t="str">
        <f>VLOOKUP(Table2[[#This Row],[MemberID]],Table1[#All],3,0)</f>
        <v>Silver</v>
      </c>
      <c r="H2134" s="13">
        <v>7</v>
      </c>
    </row>
    <row r="2135" spans="1:8">
      <c r="A2135" t="s">
        <v>2467</v>
      </c>
      <c r="B2135" t="s">
        <v>106</v>
      </c>
      <c r="C2135" s="8">
        <v>46204</v>
      </c>
      <c r="D2135" t="s">
        <v>332</v>
      </c>
      <c r="E2135" t="s">
        <v>328</v>
      </c>
      <c r="F2135" s="12">
        <v>874440</v>
      </c>
      <c r="G2135" s="12" t="str">
        <f>VLOOKUP(Table2[[#This Row],[MemberID]],Table1[#All],3,0)</f>
        <v>Silver</v>
      </c>
      <c r="H2135" s="13">
        <v>87</v>
      </c>
    </row>
    <row r="2136" spans="1:8">
      <c r="A2136" t="s">
        <v>2468</v>
      </c>
      <c r="B2136" t="s">
        <v>107</v>
      </c>
      <c r="C2136" s="8">
        <v>46164</v>
      </c>
      <c r="D2136" t="s">
        <v>344</v>
      </c>
      <c r="E2136" t="s">
        <v>325</v>
      </c>
      <c r="F2136" s="12">
        <v>214341</v>
      </c>
      <c r="G2136" s="12" t="str">
        <f>VLOOKUP(Table2[[#This Row],[MemberID]],Table1[#All],3,0)</f>
        <v>Gold</v>
      </c>
      <c r="H2136" s="13">
        <v>21</v>
      </c>
    </row>
    <row r="2137" spans="1:8">
      <c r="A2137" t="s">
        <v>2469</v>
      </c>
      <c r="B2137" t="s">
        <v>255</v>
      </c>
      <c r="C2137" s="8">
        <v>46180</v>
      </c>
      <c r="D2137" t="s">
        <v>332</v>
      </c>
      <c r="E2137" t="s">
        <v>328</v>
      </c>
      <c r="F2137" s="12">
        <v>521084</v>
      </c>
      <c r="G2137" s="12" t="str">
        <f>VLOOKUP(Table2[[#This Row],[MemberID]],Table1[#All],3,0)</f>
        <v>Silver</v>
      </c>
      <c r="H2137" s="13">
        <v>52</v>
      </c>
    </row>
    <row r="2138" spans="1:8">
      <c r="A2138" t="s">
        <v>2470</v>
      </c>
      <c r="B2138" t="s">
        <v>154</v>
      </c>
      <c r="C2138" s="8">
        <v>46216</v>
      </c>
      <c r="D2138" t="s">
        <v>344</v>
      </c>
      <c r="E2138" t="s">
        <v>322</v>
      </c>
      <c r="F2138" s="12">
        <v>52957</v>
      </c>
      <c r="G2138" s="12" t="str">
        <f>VLOOKUP(Table2[[#This Row],[MemberID]],Table1[#All],3,0)</f>
        <v>Silver</v>
      </c>
      <c r="H2138" s="13">
        <v>5</v>
      </c>
    </row>
    <row r="2139" spans="1:8">
      <c r="A2139" t="s">
        <v>2471</v>
      </c>
      <c r="B2139" t="s">
        <v>287</v>
      </c>
      <c r="C2139" s="8">
        <v>45965</v>
      </c>
      <c r="D2139" t="s">
        <v>327</v>
      </c>
      <c r="E2139" t="s">
        <v>339</v>
      </c>
      <c r="F2139" s="12">
        <v>127475</v>
      </c>
      <c r="G2139" s="12" t="str">
        <f>VLOOKUP(Table2[[#This Row],[MemberID]],Table1[#All],3,0)</f>
        <v>Gold</v>
      </c>
      <c r="H2139" s="13">
        <v>12</v>
      </c>
    </row>
    <row r="2140" spans="1:8">
      <c r="A2140" t="s">
        <v>2472</v>
      </c>
      <c r="B2140" t="s">
        <v>129</v>
      </c>
      <c r="C2140" s="8">
        <v>46142</v>
      </c>
      <c r="D2140" t="s">
        <v>321</v>
      </c>
      <c r="E2140" t="s">
        <v>325</v>
      </c>
      <c r="F2140" s="12">
        <v>204637</v>
      </c>
      <c r="G2140" s="12" t="str">
        <f>VLOOKUP(Table2[[#This Row],[MemberID]],Table1[#All],3,0)</f>
        <v>Silver</v>
      </c>
      <c r="H2140" s="13">
        <v>20</v>
      </c>
    </row>
    <row r="2141" spans="1:8">
      <c r="A2141" t="s">
        <v>2473</v>
      </c>
      <c r="B2141" t="s">
        <v>105</v>
      </c>
      <c r="C2141" s="8">
        <v>46246</v>
      </c>
      <c r="D2141" t="s">
        <v>350</v>
      </c>
      <c r="E2141" t="s">
        <v>328</v>
      </c>
      <c r="F2141" s="12">
        <v>211668</v>
      </c>
      <c r="G2141" s="12" t="str">
        <f>VLOOKUP(Table2[[#This Row],[MemberID]],Table1[#All],3,0)</f>
        <v>Silver</v>
      </c>
      <c r="H2141" s="13">
        <v>21</v>
      </c>
    </row>
    <row r="2142" spans="1:8">
      <c r="A2142" t="s">
        <v>2474</v>
      </c>
      <c r="B2142" t="s">
        <v>231</v>
      </c>
      <c r="C2142" s="8">
        <v>46089</v>
      </c>
      <c r="D2142" t="s">
        <v>350</v>
      </c>
      <c r="E2142" t="s">
        <v>325</v>
      </c>
      <c r="F2142" s="12">
        <v>33904</v>
      </c>
      <c r="G2142" s="12" t="str">
        <f>VLOOKUP(Table2[[#This Row],[MemberID]],Table1[#All],3,0)</f>
        <v>Silver</v>
      </c>
      <c r="H2142" s="13">
        <v>3</v>
      </c>
    </row>
    <row r="2143" spans="1:8">
      <c r="A2143" t="s">
        <v>2475</v>
      </c>
      <c r="B2143" t="s">
        <v>265</v>
      </c>
      <c r="C2143" s="8">
        <v>45974</v>
      </c>
      <c r="D2143" t="s">
        <v>321</v>
      </c>
      <c r="E2143" t="s">
        <v>337</v>
      </c>
      <c r="F2143" s="12">
        <v>307648</v>
      </c>
      <c r="G2143" s="12" t="str">
        <f>VLOOKUP(Table2[[#This Row],[MemberID]],Table1[#All],3,0)</f>
        <v>Platinum</v>
      </c>
      <c r="H2143" s="13">
        <v>30</v>
      </c>
    </row>
    <row r="2144" spans="1:8">
      <c r="A2144" t="s">
        <v>2476</v>
      </c>
      <c r="B2144" t="s">
        <v>255</v>
      </c>
      <c r="C2144" s="8">
        <v>46075</v>
      </c>
      <c r="D2144" t="s">
        <v>344</v>
      </c>
      <c r="E2144" t="s">
        <v>328</v>
      </c>
      <c r="F2144" s="12">
        <v>1119932</v>
      </c>
      <c r="G2144" s="12" t="str">
        <f>VLOOKUP(Table2[[#This Row],[MemberID]],Table1[#All],3,0)</f>
        <v>Silver</v>
      </c>
      <c r="H2144" s="13">
        <v>111</v>
      </c>
    </row>
    <row r="2145" spans="1:8">
      <c r="A2145" t="s">
        <v>2477</v>
      </c>
      <c r="B2145" t="s">
        <v>22</v>
      </c>
      <c r="C2145" s="8">
        <v>46269</v>
      </c>
      <c r="D2145" t="s">
        <v>344</v>
      </c>
      <c r="E2145" t="s">
        <v>328</v>
      </c>
      <c r="F2145" s="12">
        <v>274026</v>
      </c>
      <c r="G2145" s="12" t="str">
        <f>VLOOKUP(Table2[[#This Row],[MemberID]],Table1[#All],3,0)</f>
        <v>Gold</v>
      </c>
      <c r="H2145" s="13">
        <v>27</v>
      </c>
    </row>
    <row r="2146" spans="1:8">
      <c r="A2146" t="s">
        <v>2478</v>
      </c>
      <c r="B2146" t="s">
        <v>57</v>
      </c>
      <c r="C2146" s="8">
        <v>46257</v>
      </c>
      <c r="D2146" t="s">
        <v>332</v>
      </c>
      <c r="E2146" t="s">
        <v>334</v>
      </c>
      <c r="F2146" s="12">
        <v>64558</v>
      </c>
      <c r="G2146" s="12" t="str">
        <f>VLOOKUP(Table2[[#This Row],[MemberID]],Table1[#All],3,0)</f>
        <v>Gold</v>
      </c>
      <c r="H2146" s="13">
        <v>6</v>
      </c>
    </row>
    <row r="2147" spans="1:8">
      <c r="A2147" t="s">
        <v>2479</v>
      </c>
      <c r="B2147" t="s">
        <v>127</v>
      </c>
      <c r="C2147" s="8">
        <v>46200</v>
      </c>
      <c r="D2147" t="s">
        <v>327</v>
      </c>
      <c r="E2147" t="s">
        <v>322</v>
      </c>
      <c r="F2147" s="12">
        <v>710201</v>
      </c>
      <c r="G2147" s="12" t="str">
        <f>VLOOKUP(Table2[[#This Row],[MemberID]],Table1[#All],3,0)</f>
        <v>Platinum</v>
      </c>
      <c r="H2147" s="13">
        <v>71</v>
      </c>
    </row>
    <row r="2148" spans="1:8">
      <c r="A2148" t="s">
        <v>2480</v>
      </c>
      <c r="B2148" t="s">
        <v>205</v>
      </c>
      <c r="C2148" s="8">
        <v>46058</v>
      </c>
      <c r="D2148" t="s">
        <v>350</v>
      </c>
      <c r="E2148" t="s">
        <v>337</v>
      </c>
      <c r="F2148" s="12">
        <v>153018</v>
      </c>
      <c r="G2148" s="12" t="str">
        <f>VLOOKUP(Table2[[#This Row],[MemberID]],Table1[#All],3,0)</f>
        <v>Silver</v>
      </c>
      <c r="H2148" s="13">
        <v>15</v>
      </c>
    </row>
    <row r="2149" spans="1:8">
      <c r="A2149" t="s">
        <v>2481</v>
      </c>
      <c r="B2149" t="s">
        <v>69</v>
      </c>
      <c r="C2149" s="8">
        <v>45962</v>
      </c>
      <c r="D2149" t="s">
        <v>350</v>
      </c>
      <c r="E2149" t="s">
        <v>339</v>
      </c>
      <c r="F2149" s="12">
        <v>330392</v>
      </c>
      <c r="G2149" s="12" t="str">
        <f>VLOOKUP(Table2[[#This Row],[MemberID]],Table1[#All],3,0)</f>
        <v>Gold</v>
      </c>
      <c r="H2149" s="13">
        <v>33</v>
      </c>
    </row>
    <row r="2150" spans="1:8">
      <c r="A2150" t="s">
        <v>2482</v>
      </c>
      <c r="B2150" t="s">
        <v>19</v>
      </c>
      <c r="C2150" s="8">
        <v>46284</v>
      </c>
      <c r="D2150" t="s">
        <v>327</v>
      </c>
      <c r="E2150" t="s">
        <v>328</v>
      </c>
      <c r="F2150" s="12">
        <v>817739</v>
      </c>
      <c r="G2150" s="12" t="str">
        <f>VLOOKUP(Table2[[#This Row],[MemberID]],Table1[#All],3,0)</f>
        <v>Silver</v>
      </c>
      <c r="H2150" s="13">
        <v>81</v>
      </c>
    </row>
    <row r="2151" spans="1:8">
      <c r="A2151" t="s">
        <v>2483</v>
      </c>
      <c r="B2151" t="s">
        <v>181</v>
      </c>
      <c r="C2151" s="8">
        <v>46015</v>
      </c>
      <c r="D2151" t="s">
        <v>330</v>
      </c>
      <c r="E2151" t="s">
        <v>322</v>
      </c>
      <c r="F2151" s="12">
        <v>1075877</v>
      </c>
      <c r="G2151" s="12" t="str">
        <f>VLOOKUP(Table2[[#This Row],[MemberID]],Table1[#All],3,0)</f>
        <v>Gold</v>
      </c>
      <c r="H2151" s="13">
        <v>107</v>
      </c>
    </row>
    <row r="2152" spans="1:8">
      <c r="A2152" t="s">
        <v>2484</v>
      </c>
      <c r="B2152" t="s">
        <v>214</v>
      </c>
      <c r="C2152" s="8">
        <v>46259</v>
      </c>
      <c r="D2152" t="s">
        <v>332</v>
      </c>
      <c r="E2152" t="s">
        <v>337</v>
      </c>
      <c r="F2152" s="12">
        <v>221123</v>
      </c>
      <c r="G2152" s="12" t="str">
        <f>VLOOKUP(Table2[[#This Row],[MemberID]],Table1[#All],3,0)</f>
        <v>Silver</v>
      </c>
      <c r="H2152" s="13">
        <v>22</v>
      </c>
    </row>
    <row r="2153" spans="1:8">
      <c r="A2153" t="s">
        <v>2485</v>
      </c>
      <c r="B2153" t="s">
        <v>81</v>
      </c>
      <c r="C2153" s="8">
        <v>45996</v>
      </c>
      <c r="D2153" t="s">
        <v>330</v>
      </c>
      <c r="E2153" t="s">
        <v>322</v>
      </c>
      <c r="F2153" s="12">
        <v>265173</v>
      </c>
      <c r="G2153" s="12" t="str">
        <f>VLOOKUP(Table2[[#This Row],[MemberID]],Table1[#All],3,0)</f>
        <v>Gold</v>
      </c>
      <c r="H2153" s="13">
        <v>26</v>
      </c>
    </row>
    <row r="2154" spans="1:8">
      <c r="A2154" t="s">
        <v>2486</v>
      </c>
      <c r="B2154" t="s">
        <v>240</v>
      </c>
      <c r="C2154" s="8">
        <v>46025</v>
      </c>
      <c r="D2154" t="s">
        <v>350</v>
      </c>
      <c r="E2154" t="s">
        <v>322</v>
      </c>
      <c r="F2154" s="12">
        <v>910604</v>
      </c>
      <c r="G2154" s="12" t="str">
        <f>VLOOKUP(Table2[[#This Row],[MemberID]],Table1[#All],3,0)</f>
        <v>Silver</v>
      </c>
      <c r="H2154" s="13">
        <v>91</v>
      </c>
    </row>
    <row r="2155" spans="1:8">
      <c r="A2155" t="s">
        <v>2487</v>
      </c>
      <c r="B2155" t="s">
        <v>184</v>
      </c>
      <c r="C2155" s="8">
        <v>46282</v>
      </c>
      <c r="D2155" t="s">
        <v>327</v>
      </c>
      <c r="E2155" t="s">
        <v>325</v>
      </c>
      <c r="F2155" s="12">
        <v>768598</v>
      </c>
      <c r="G2155" s="12" t="str">
        <f>VLOOKUP(Table2[[#This Row],[MemberID]],Table1[#All],3,0)</f>
        <v>Silver</v>
      </c>
      <c r="H2155" s="13">
        <v>76</v>
      </c>
    </row>
    <row r="2156" spans="1:8">
      <c r="A2156" t="s">
        <v>2488</v>
      </c>
      <c r="B2156" t="s">
        <v>282</v>
      </c>
      <c r="C2156" s="8">
        <v>46002</v>
      </c>
      <c r="D2156" t="s">
        <v>342</v>
      </c>
      <c r="E2156" t="s">
        <v>334</v>
      </c>
      <c r="F2156" s="12">
        <v>209510</v>
      </c>
      <c r="G2156" s="12" t="str">
        <f>VLOOKUP(Table2[[#This Row],[MemberID]],Table1[#All],3,0)</f>
        <v>Silver</v>
      </c>
      <c r="H2156" s="13">
        <v>20</v>
      </c>
    </row>
    <row r="2157" spans="1:8">
      <c r="A2157" t="s">
        <v>2489</v>
      </c>
      <c r="B2157" t="s">
        <v>161</v>
      </c>
      <c r="C2157" s="8">
        <v>46106</v>
      </c>
      <c r="D2157" t="s">
        <v>324</v>
      </c>
      <c r="E2157" t="s">
        <v>325</v>
      </c>
      <c r="F2157" s="12">
        <v>151225</v>
      </c>
      <c r="G2157" s="12" t="str">
        <f>VLOOKUP(Table2[[#This Row],[MemberID]],Table1[#All],3,0)</f>
        <v>Gold</v>
      </c>
      <c r="H2157" s="13">
        <v>15</v>
      </c>
    </row>
    <row r="2158" spans="1:8">
      <c r="A2158" t="s">
        <v>2490</v>
      </c>
      <c r="B2158" t="s">
        <v>280</v>
      </c>
      <c r="C2158" s="8">
        <v>45955</v>
      </c>
      <c r="D2158" t="s">
        <v>350</v>
      </c>
      <c r="E2158" t="s">
        <v>334</v>
      </c>
      <c r="F2158" s="12">
        <v>353147</v>
      </c>
      <c r="G2158" s="12" t="str">
        <f>VLOOKUP(Table2[[#This Row],[MemberID]],Table1[#All],3,0)</f>
        <v>Silver</v>
      </c>
      <c r="H2158" s="13">
        <v>35</v>
      </c>
    </row>
    <row r="2159" spans="1:8">
      <c r="A2159" t="s">
        <v>2491</v>
      </c>
      <c r="B2159" t="s">
        <v>175</v>
      </c>
      <c r="C2159" s="8">
        <v>46099</v>
      </c>
      <c r="D2159" t="s">
        <v>324</v>
      </c>
      <c r="E2159" t="s">
        <v>337</v>
      </c>
      <c r="F2159" s="12">
        <v>520661</v>
      </c>
      <c r="G2159" s="12" t="str">
        <f>VLOOKUP(Table2[[#This Row],[MemberID]],Table1[#All],3,0)</f>
        <v>Platinum</v>
      </c>
      <c r="H2159" s="13">
        <v>52</v>
      </c>
    </row>
    <row r="2160" spans="1:8">
      <c r="A2160" t="s">
        <v>2492</v>
      </c>
      <c r="B2160" t="s">
        <v>121</v>
      </c>
      <c r="C2160" s="8">
        <v>46044</v>
      </c>
      <c r="D2160" t="s">
        <v>350</v>
      </c>
      <c r="E2160" t="s">
        <v>328</v>
      </c>
      <c r="F2160" s="12">
        <v>246258</v>
      </c>
      <c r="G2160" s="12" t="str">
        <f>VLOOKUP(Table2[[#This Row],[MemberID]],Table1[#All],3,0)</f>
        <v>Silver</v>
      </c>
      <c r="H2160" s="13">
        <v>24</v>
      </c>
    </row>
    <row r="2161" spans="1:8">
      <c r="A2161" t="s">
        <v>2493</v>
      </c>
      <c r="B2161" t="s">
        <v>94</v>
      </c>
      <c r="C2161" s="8">
        <v>46125</v>
      </c>
      <c r="D2161" t="s">
        <v>350</v>
      </c>
      <c r="E2161" t="s">
        <v>328</v>
      </c>
      <c r="F2161" s="12">
        <v>266183</v>
      </c>
      <c r="G2161" s="12" t="str">
        <f>VLOOKUP(Table2[[#This Row],[MemberID]],Table1[#All],3,0)</f>
        <v>Silver</v>
      </c>
      <c r="H2161" s="13">
        <v>26</v>
      </c>
    </row>
    <row r="2162" spans="1:8">
      <c r="A2162" t="s">
        <v>2494</v>
      </c>
      <c r="B2162" t="s">
        <v>311</v>
      </c>
      <c r="C2162" s="8">
        <v>46289</v>
      </c>
      <c r="D2162" t="s">
        <v>327</v>
      </c>
      <c r="E2162" t="s">
        <v>337</v>
      </c>
      <c r="F2162" s="12">
        <v>410414</v>
      </c>
      <c r="G2162" s="12" t="str">
        <f>VLOOKUP(Table2[[#This Row],[MemberID]],Table1[#All],3,0)</f>
        <v>Silver</v>
      </c>
      <c r="H2162" s="13">
        <v>41</v>
      </c>
    </row>
    <row r="2163" spans="1:8">
      <c r="A2163" t="s">
        <v>2495</v>
      </c>
      <c r="B2163" t="s">
        <v>231</v>
      </c>
      <c r="C2163" s="8">
        <v>46062</v>
      </c>
      <c r="D2163" t="s">
        <v>332</v>
      </c>
      <c r="E2163" t="s">
        <v>322</v>
      </c>
      <c r="F2163" s="12">
        <v>363734</v>
      </c>
      <c r="G2163" s="12" t="str">
        <f>VLOOKUP(Table2[[#This Row],[MemberID]],Table1[#All],3,0)</f>
        <v>Silver</v>
      </c>
      <c r="H2163" s="13">
        <v>36</v>
      </c>
    </row>
    <row r="2164" spans="1:8">
      <c r="A2164" t="s">
        <v>2496</v>
      </c>
      <c r="B2164" t="s">
        <v>231</v>
      </c>
      <c r="C2164" s="8">
        <v>46141</v>
      </c>
      <c r="D2164" t="s">
        <v>324</v>
      </c>
      <c r="E2164" t="s">
        <v>325</v>
      </c>
      <c r="F2164" s="12">
        <v>468038</v>
      </c>
      <c r="G2164" s="12" t="str">
        <f>VLOOKUP(Table2[[#This Row],[MemberID]],Table1[#All],3,0)</f>
        <v>Silver</v>
      </c>
      <c r="H2164" s="13">
        <v>46</v>
      </c>
    </row>
    <row r="2165" spans="1:8">
      <c r="A2165" t="s">
        <v>2497</v>
      </c>
      <c r="B2165" t="s">
        <v>23</v>
      </c>
      <c r="C2165" s="8">
        <v>46260</v>
      </c>
      <c r="D2165" t="s">
        <v>344</v>
      </c>
      <c r="E2165" t="s">
        <v>322</v>
      </c>
      <c r="F2165" s="12">
        <v>619724</v>
      </c>
      <c r="G2165" s="12" t="str">
        <f>VLOOKUP(Table2[[#This Row],[MemberID]],Table1[#All],3,0)</f>
        <v>Silver</v>
      </c>
      <c r="H2165" s="13">
        <v>61</v>
      </c>
    </row>
    <row r="2166" spans="1:8">
      <c r="A2166" t="s">
        <v>2498</v>
      </c>
      <c r="B2166" t="s">
        <v>164</v>
      </c>
      <c r="C2166" s="8">
        <v>46129</v>
      </c>
      <c r="D2166" t="s">
        <v>332</v>
      </c>
      <c r="E2166" t="s">
        <v>337</v>
      </c>
      <c r="F2166" s="12">
        <v>453111</v>
      </c>
      <c r="G2166" s="12" t="str">
        <f>VLOOKUP(Table2[[#This Row],[MemberID]],Table1[#All],3,0)</f>
        <v>Silver</v>
      </c>
      <c r="H2166" s="13">
        <v>45</v>
      </c>
    </row>
    <row r="2167" spans="1:8">
      <c r="A2167" t="s">
        <v>2499</v>
      </c>
      <c r="B2167" t="s">
        <v>47</v>
      </c>
      <c r="C2167" s="8">
        <v>46277</v>
      </c>
      <c r="D2167" t="s">
        <v>330</v>
      </c>
      <c r="E2167" t="s">
        <v>325</v>
      </c>
      <c r="F2167" s="12">
        <v>226424</v>
      </c>
      <c r="G2167" s="12" t="str">
        <f>VLOOKUP(Table2[[#This Row],[MemberID]],Table1[#All],3,0)</f>
        <v>Silver</v>
      </c>
      <c r="H2167" s="13">
        <v>22</v>
      </c>
    </row>
    <row r="2168" spans="1:8">
      <c r="A2168" t="s">
        <v>2500</v>
      </c>
      <c r="B2168" t="s">
        <v>148</v>
      </c>
      <c r="C2168" s="8">
        <v>45941</v>
      </c>
      <c r="D2168" t="s">
        <v>344</v>
      </c>
      <c r="E2168" t="s">
        <v>337</v>
      </c>
      <c r="F2168" s="12">
        <v>300279</v>
      </c>
      <c r="G2168" s="12" t="str">
        <f>VLOOKUP(Table2[[#This Row],[MemberID]],Table1[#All],3,0)</f>
        <v>Gold</v>
      </c>
      <c r="H2168" s="13">
        <v>30</v>
      </c>
    </row>
    <row r="2169" spans="1:8">
      <c r="A2169" t="s">
        <v>2501</v>
      </c>
      <c r="B2169" t="s">
        <v>185</v>
      </c>
      <c r="C2169" s="8">
        <v>46050</v>
      </c>
      <c r="D2169" t="s">
        <v>342</v>
      </c>
      <c r="E2169" t="s">
        <v>334</v>
      </c>
      <c r="F2169" s="12">
        <v>215942</v>
      </c>
      <c r="G2169" s="12" t="str">
        <f>VLOOKUP(Table2[[#This Row],[MemberID]],Table1[#All],3,0)</f>
        <v>Gold</v>
      </c>
      <c r="H2169" s="13">
        <v>21</v>
      </c>
    </row>
    <row r="2170" spans="1:8">
      <c r="A2170" t="s">
        <v>2502</v>
      </c>
      <c r="B2170" t="s">
        <v>284</v>
      </c>
      <c r="C2170" s="8">
        <v>46149</v>
      </c>
      <c r="D2170" t="s">
        <v>327</v>
      </c>
      <c r="E2170" t="s">
        <v>325</v>
      </c>
      <c r="F2170" s="12">
        <v>425149</v>
      </c>
      <c r="G2170" s="12" t="str">
        <f>VLOOKUP(Table2[[#This Row],[MemberID]],Table1[#All],3,0)</f>
        <v>Silver</v>
      </c>
      <c r="H2170" s="13">
        <v>42</v>
      </c>
    </row>
    <row r="2171" spans="1:8">
      <c r="A2171" t="s">
        <v>2503</v>
      </c>
      <c r="B2171" t="s">
        <v>311</v>
      </c>
      <c r="C2171" s="8">
        <v>45993</v>
      </c>
      <c r="D2171" t="s">
        <v>330</v>
      </c>
      <c r="E2171" t="s">
        <v>325</v>
      </c>
      <c r="F2171" s="12">
        <v>189673</v>
      </c>
      <c r="G2171" s="12" t="str">
        <f>VLOOKUP(Table2[[#This Row],[MemberID]],Table1[#All],3,0)</f>
        <v>Silver</v>
      </c>
      <c r="H2171" s="13">
        <v>18</v>
      </c>
    </row>
    <row r="2172" spans="1:8">
      <c r="A2172" t="s">
        <v>2504</v>
      </c>
      <c r="B2172" t="s">
        <v>51</v>
      </c>
      <c r="C2172" s="8">
        <v>46194</v>
      </c>
      <c r="D2172" t="s">
        <v>330</v>
      </c>
      <c r="E2172" t="s">
        <v>337</v>
      </c>
      <c r="F2172" s="12">
        <v>161562</v>
      </c>
      <c r="G2172" s="12" t="str">
        <f>VLOOKUP(Table2[[#This Row],[MemberID]],Table1[#All],3,0)</f>
        <v>Gold</v>
      </c>
      <c r="H2172" s="13">
        <v>16</v>
      </c>
    </row>
    <row r="2173" spans="1:8">
      <c r="A2173" t="s">
        <v>2505</v>
      </c>
      <c r="B2173" t="s">
        <v>152</v>
      </c>
      <c r="C2173" s="8">
        <v>46168</v>
      </c>
      <c r="D2173" t="s">
        <v>344</v>
      </c>
      <c r="E2173" t="s">
        <v>322</v>
      </c>
      <c r="F2173" s="12">
        <v>214975</v>
      </c>
      <c r="G2173" s="12" t="str">
        <f>VLOOKUP(Table2[[#This Row],[MemberID]],Table1[#All],3,0)</f>
        <v>Silver</v>
      </c>
      <c r="H2173" s="13">
        <v>21</v>
      </c>
    </row>
    <row r="2174" spans="1:8">
      <c r="A2174" t="s">
        <v>2506</v>
      </c>
      <c r="B2174" t="s">
        <v>230</v>
      </c>
      <c r="C2174" s="8">
        <v>46187</v>
      </c>
      <c r="D2174" t="s">
        <v>324</v>
      </c>
      <c r="E2174" t="s">
        <v>322</v>
      </c>
      <c r="F2174" s="12">
        <v>490422</v>
      </c>
      <c r="G2174" s="12" t="str">
        <f>VLOOKUP(Table2[[#This Row],[MemberID]],Table1[#All],3,0)</f>
        <v>Gold</v>
      </c>
      <c r="H2174" s="13">
        <v>49</v>
      </c>
    </row>
    <row r="2175" spans="1:8">
      <c r="A2175" t="s">
        <v>2507</v>
      </c>
      <c r="B2175" t="s">
        <v>211</v>
      </c>
      <c r="C2175" s="8">
        <v>45976</v>
      </c>
      <c r="D2175" t="s">
        <v>330</v>
      </c>
      <c r="E2175" t="s">
        <v>328</v>
      </c>
      <c r="F2175" s="12">
        <v>170107</v>
      </c>
      <c r="G2175" s="12" t="str">
        <f>VLOOKUP(Table2[[#This Row],[MemberID]],Table1[#All],3,0)</f>
        <v>Platinum</v>
      </c>
      <c r="H2175" s="13">
        <v>17</v>
      </c>
    </row>
    <row r="2176" spans="1:8">
      <c r="A2176" t="s">
        <v>2508</v>
      </c>
      <c r="B2176" t="s">
        <v>90</v>
      </c>
      <c r="C2176" s="8">
        <v>46007</v>
      </c>
      <c r="D2176" t="s">
        <v>330</v>
      </c>
      <c r="E2176" t="s">
        <v>328</v>
      </c>
      <c r="F2176" s="12">
        <v>142348</v>
      </c>
      <c r="G2176" s="12" t="str">
        <f>VLOOKUP(Table2[[#This Row],[MemberID]],Table1[#All],3,0)</f>
        <v>Silver</v>
      </c>
      <c r="H2176" s="13">
        <v>14</v>
      </c>
    </row>
    <row r="2177" spans="1:8">
      <c r="A2177" t="s">
        <v>2509</v>
      </c>
      <c r="B2177" t="s">
        <v>135</v>
      </c>
      <c r="C2177" s="8">
        <v>46250</v>
      </c>
      <c r="D2177" t="s">
        <v>332</v>
      </c>
      <c r="E2177" t="s">
        <v>322</v>
      </c>
      <c r="F2177" s="12">
        <v>39850</v>
      </c>
      <c r="G2177" s="12" t="str">
        <f>VLOOKUP(Table2[[#This Row],[MemberID]],Table1[#All],3,0)</f>
        <v>Silver</v>
      </c>
      <c r="H2177" s="13">
        <v>3</v>
      </c>
    </row>
    <row r="2178" spans="1:8">
      <c r="A2178" t="s">
        <v>2510</v>
      </c>
      <c r="B2178" t="s">
        <v>220</v>
      </c>
      <c r="C2178" s="8">
        <v>46188</v>
      </c>
      <c r="D2178" t="s">
        <v>330</v>
      </c>
      <c r="E2178" t="s">
        <v>328</v>
      </c>
      <c r="F2178" s="12">
        <v>30548</v>
      </c>
      <c r="G2178" s="12" t="str">
        <f>VLOOKUP(Table2[[#This Row],[MemberID]],Table1[#All],3,0)</f>
        <v>Gold</v>
      </c>
      <c r="H2178" s="13">
        <v>3</v>
      </c>
    </row>
    <row r="2179" spans="1:8">
      <c r="A2179" t="s">
        <v>2511</v>
      </c>
      <c r="B2179" t="s">
        <v>124</v>
      </c>
      <c r="C2179" s="8">
        <v>46112</v>
      </c>
      <c r="D2179" t="s">
        <v>330</v>
      </c>
      <c r="E2179" t="s">
        <v>328</v>
      </c>
      <c r="F2179" s="12">
        <v>299059</v>
      </c>
      <c r="G2179" s="12" t="str">
        <f>VLOOKUP(Table2[[#This Row],[MemberID]],Table1[#All],3,0)</f>
        <v>Platinum</v>
      </c>
      <c r="H2179" s="13">
        <v>29</v>
      </c>
    </row>
    <row r="2180" spans="1:8">
      <c r="A2180" t="s">
        <v>2512</v>
      </c>
      <c r="B2180" t="s">
        <v>16</v>
      </c>
      <c r="C2180" s="8">
        <v>46202</v>
      </c>
      <c r="D2180" t="s">
        <v>324</v>
      </c>
      <c r="E2180" t="s">
        <v>328</v>
      </c>
      <c r="F2180" s="12">
        <v>61359</v>
      </c>
      <c r="G2180" s="12" t="str">
        <f>VLOOKUP(Table2[[#This Row],[MemberID]],Table1[#All],3,0)</f>
        <v>Gold</v>
      </c>
      <c r="H2180" s="13">
        <v>6</v>
      </c>
    </row>
    <row r="2181" spans="1:8">
      <c r="A2181" t="s">
        <v>2513</v>
      </c>
      <c r="B2181" t="s">
        <v>69</v>
      </c>
      <c r="C2181" s="8">
        <v>46050</v>
      </c>
      <c r="D2181" t="s">
        <v>344</v>
      </c>
      <c r="E2181" t="s">
        <v>322</v>
      </c>
      <c r="F2181" s="12">
        <v>786056</v>
      </c>
      <c r="G2181" s="12" t="str">
        <f>VLOOKUP(Table2[[#This Row],[MemberID]],Table1[#All],3,0)</f>
        <v>Gold</v>
      </c>
      <c r="H2181" s="13">
        <v>78</v>
      </c>
    </row>
    <row r="2182" spans="1:8">
      <c r="A2182" t="s">
        <v>2514</v>
      </c>
      <c r="B2182" t="s">
        <v>128</v>
      </c>
      <c r="C2182" s="8">
        <v>46286</v>
      </c>
      <c r="D2182" t="s">
        <v>327</v>
      </c>
      <c r="E2182" t="s">
        <v>328</v>
      </c>
      <c r="F2182" s="12">
        <v>284102</v>
      </c>
      <c r="G2182" s="12" t="str">
        <f>VLOOKUP(Table2[[#This Row],[MemberID]],Table1[#All],3,0)</f>
        <v>Silver</v>
      </c>
      <c r="H2182" s="13">
        <v>28</v>
      </c>
    </row>
    <row r="2183" spans="1:8">
      <c r="A2183" t="s">
        <v>2515</v>
      </c>
      <c r="B2183" t="s">
        <v>77</v>
      </c>
      <c r="C2183" s="8">
        <v>46279</v>
      </c>
      <c r="D2183" t="s">
        <v>342</v>
      </c>
      <c r="E2183" t="s">
        <v>339</v>
      </c>
      <c r="F2183" s="12">
        <v>273971</v>
      </c>
      <c r="G2183" s="12" t="str">
        <f>VLOOKUP(Table2[[#This Row],[MemberID]],Table1[#All],3,0)</f>
        <v>Platinum</v>
      </c>
      <c r="H2183" s="13">
        <v>27</v>
      </c>
    </row>
    <row r="2184" spans="1:8">
      <c r="A2184" t="s">
        <v>2516</v>
      </c>
      <c r="B2184" t="s">
        <v>179</v>
      </c>
      <c r="C2184" s="8">
        <v>46002</v>
      </c>
      <c r="D2184" t="s">
        <v>321</v>
      </c>
      <c r="E2184" t="s">
        <v>328</v>
      </c>
      <c r="F2184" s="12">
        <v>371657</v>
      </c>
      <c r="G2184" s="12" t="str">
        <f>VLOOKUP(Table2[[#This Row],[MemberID]],Table1[#All],3,0)</f>
        <v>Gold</v>
      </c>
      <c r="H2184" s="13">
        <v>37</v>
      </c>
    </row>
    <row r="2185" spans="1:8">
      <c r="A2185" t="s">
        <v>2517</v>
      </c>
      <c r="B2185" t="s">
        <v>102</v>
      </c>
      <c r="C2185" s="8">
        <v>46292</v>
      </c>
      <c r="D2185" t="s">
        <v>324</v>
      </c>
      <c r="E2185" t="s">
        <v>339</v>
      </c>
      <c r="F2185" s="12">
        <v>192574</v>
      </c>
      <c r="G2185" s="12" t="str">
        <f>VLOOKUP(Table2[[#This Row],[MemberID]],Table1[#All],3,0)</f>
        <v>Platinum</v>
      </c>
      <c r="H2185" s="13">
        <v>19</v>
      </c>
    </row>
    <row r="2186" spans="1:8">
      <c r="A2186" t="s">
        <v>2518</v>
      </c>
      <c r="B2186" t="s">
        <v>259</v>
      </c>
      <c r="C2186" s="8">
        <v>46174</v>
      </c>
      <c r="D2186" t="s">
        <v>324</v>
      </c>
      <c r="E2186" t="s">
        <v>325</v>
      </c>
      <c r="F2186" s="12">
        <v>434312</v>
      </c>
      <c r="G2186" s="12" t="str">
        <f>VLOOKUP(Table2[[#This Row],[MemberID]],Table1[#All],3,0)</f>
        <v>Gold</v>
      </c>
      <c r="H2186" s="13">
        <v>43</v>
      </c>
    </row>
    <row r="2187" spans="1:8">
      <c r="A2187" t="s">
        <v>2519</v>
      </c>
      <c r="B2187" t="s">
        <v>224</v>
      </c>
      <c r="C2187" s="8">
        <v>46264</v>
      </c>
      <c r="D2187" t="s">
        <v>330</v>
      </c>
      <c r="E2187" t="s">
        <v>339</v>
      </c>
      <c r="F2187" s="12">
        <v>73889</v>
      </c>
      <c r="G2187" s="12" t="str">
        <f>VLOOKUP(Table2[[#This Row],[MemberID]],Table1[#All],3,0)</f>
        <v>Gold</v>
      </c>
      <c r="H2187" s="13">
        <v>7</v>
      </c>
    </row>
    <row r="2188" spans="1:8">
      <c r="A2188" t="s">
        <v>2520</v>
      </c>
      <c r="B2188" t="s">
        <v>211</v>
      </c>
      <c r="C2188" s="8">
        <v>46051</v>
      </c>
      <c r="D2188" t="s">
        <v>332</v>
      </c>
      <c r="E2188" t="s">
        <v>334</v>
      </c>
      <c r="F2188" s="12">
        <v>484374</v>
      </c>
      <c r="G2188" s="12" t="str">
        <f>VLOOKUP(Table2[[#This Row],[MemberID]],Table1[#All],3,0)</f>
        <v>Platinum</v>
      </c>
      <c r="H2188" s="13">
        <v>48</v>
      </c>
    </row>
    <row r="2189" spans="1:8">
      <c r="A2189" t="s">
        <v>2521</v>
      </c>
      <c r="B2189" t="s">
        <v>211</v>
      </c>
      <c r="C2189" s="8">
        <v>45957</v>
      </c>
      <c r="D2189" t="s">
        <v>330</v>
      </c>
      <c r="E2189" t="s">
        <v>322</v>
      </c>
      <c r="F2189" s="12">
        <v>114310</v>
      </c>
      <c r="G2189" s="12" t="str">
        <f>VLOOKUP(Table2[[#This Row],[MemberID]],Table1[#All],3,0)</f>
        <v>Platinum</v>
      </c>
      <c r="H2189" s="13">
        <v>11</v>
      </c>
    </row>
    <row r="2190" spans="1:8">
      <c r="A2190" t="s">
        <v>2522</v>
      </c>
      <c r="B2190" t="s">
        <v>190</v>
      </c>
      <c r="C2190" s="8">
        <v>45982</v>
      </c>
      <c r="D2190" t="s">
        <v>330</v>
      </c>
      <c r="E2190" t="s">
        <v>339</v>
      </c>
      <c r="F2190" s="12">
        <v>520208</v>
      </c>
      <c r="G2190" s="12" t="str">
        <f>VLOOKUP(Table2[[#This Row],[MemberID]],Table1[#All],3,0)</f>
        <v>Silver</v>
      </c>
      <c r="H2190" s="13">
        <v>52</v>
      </c>
    </row>
    <row r="2191" spans="1:8">
      <c r="A2191" t="s">
        <v>2523</v>
      </c>
      <c r="B2191" t="s">
        <v>18</v>
      </c>
      <c r="C2191" s="8">
        <v>46140</v>
      </c>
      <c r="D2191" t="s">
        <v>342</v>
      </c>
      <c r="E2191" t="s">
        <v>328</v>
      </c>
      <c r="F2191" s="12">
        <v>254776</v>
      </c>
      <c r="G2191" s="12" t="str">
        <f>VLOOKUP(Table2[[#This Row],[MemberID]],Table1[#All],3,0)</f>
        <v>Silver</v>
      </c>
      <c r="H2191" s="13">
        <v>25</v>
      </c>
    </row>
    <row r="2192" spans="1:8">
      <c r="A2192" t="s">
        <v>2524</v>
      </c>
      <c r="B2192" t="s">
        <v>280</v>
      </c>
      <c r="C2192" s="8">
        <v>46086</v>
      </c>
      <c r="D2192" t="s">
        <v>350</v>
      </c>
      <c r="E2192" t="s">
        <v>334</v>
      </c>
      <c r="F2192" s="12">
        <v>722372</v>
      </c>
      <c r="G2192" s="12" t="str">
        <f>VLOOKUP(Table2[[#This Row],[MemberID]],Table1[#All],3,0)</f>
        <v>Silver</v>
      </c>
      <c r="H2192" s="13">
        <v>72</v>
      </c>
    </row>
    <row r="2193" spans="1:8">
      <c r="A2193" t="s">
        <v>2525</v>
      </c>
      <c r="B2193" t="s">
        <v>126</v>
      </c>
      <c r="C2193" s="8">
        <v>46027</v>
      </c>
      <c r="D2193" t="s">
        <v>321</v>
      </c>
      <c r="E2193" t="s">
        <v>339</v>
      </c>
      <c r="F2193" s="12">
        <v>130824</v>
      </c>
      <c r="G2193" s="12" t="str">
        <f>VLOOKUP(Table2[[#This Row],[MemberID]],Table1[#All],3,0)</f>
        <v>Silver</v>
      </c>
      <c r="H2193" s="13">
        <v>13</v>
      </c>
    </row>
    <row r="2194" spans="1:8">
      <c r="A2194" t="s">
        <v>2526</v>
      </c>
      <c r="B2194" t="s">
        <v>77</v>
      </c>
      <c r="C2194" s="8">
        <v>46271</v>
      </c>
      <c r="D2194" t="s">
        <v>330</v>
      </c>
      <c r="E2194" t="s">
        <v>328</v>
      </c>
      <c r="F2194" s="12">
        <v>257431</v>
      </c>
      <c r="G2194" s="12" t="str">
        <f>VLOOKUP(Table2[[#This Row],[MemberID]],Table1[#All],3,0)</f>
        <v>Platinum</v>
      </c>
      <c r="H2194" s="13">
        <v>25</v>
      </c>
    </row>
    <row r="2195" spans="1:8">
      <c r="A2195" t="s">
        <v>2527</v>
      </c>
      <c r="B2195" t="s">
        <v>141</v>
      </c>
      <c r="C2195" s="8">
        <v>46171</v>
      </c>
      <c r="D2195" t="s">
        <v>344</v>
      </c>
      <c r="E2195" t="s">
        <v>337</v>
      </c>
      <c r="F2195" s="12">
        <v>250102</v>
      </c>
      <c r="G2195" s="12" t="str">
        <f>VLOOKUP(Table2[[#This Row],[MemberID]],Table1[#All],3,0)</f>
        <v>Silver</v>
      </c>
      <c r="H2195" s="13">
        <v>25</v>
      </c>
    </row>
    <row r="2196" spans="1:8">
      <c r="A2196" t="s">
        <v>2528</v>
      </c>
      <c r="B2196" t="s">
        <v>217</v>
      </c>
      <c r="C2196" s="8">
        <v>46042</v>
      </c>
      <c r="D2196" t="s">
        <v>342</v>
      </c>
      <c r="E2196" t="s">
        <v>337</v>
      </c>
      <c r="F2196" s="12">
        <v>317590</v>
      </c>
      <c r="G2196" s="12" t="str">
        <f>VLOOKUP(Table2[[#This Row],[MemberID]],Table1[#All],3,0)</f>
        <v>Gold</v>
      </c>
      <c r="H2196" s="13">
        <v>31</v>
      </c>
    </row>
    <row r="2197" spans="1:8">
      <c r="A2197" t="s">
        <v>2529</v>
      </c>
      <c r="B2197" t="s">
        <v>271</v>
      </c>
      <c r="C2197" s="8">
        <v>45976</v>
      </c>
      <c r="D2197" t="s">
        <v>324</v>
      </c>
      <c r="E2197" t="s">
        <v>334</v>
      </c>
      <c r="F2197" s="12">
        <v>555820</v>
      </c>
      <c r="G2197" s="12" t="str">
        <f>VLOOKUP(Table2[[#This Row],[MemberID]],Table1[#All],3,0)</f>
        <v>Silver</v>
      </c>
      <c r="H2197" s="13">
        <v>55</v>
      </c>
    </row>
    <row r="2198" spans="1:8">
      <c r="A2198" t="s">
        <v>2530</v>
      </c>
      <c r="B2198" t="s">
        <v>106</v>
      </c>
      <c r="C2198" s="8">
        <v>46095</v>
      </c>
      <c r="D2198" t="s">
        <v>330</v>
      </c>
      <c r="E2198" t="s">
        <v>337</v>
      </c>
      <c r="F2198" s="12">
        <v>174494</v>
      </c>
      <c r="G2198" s="12" t="str">
        <f>VLOOKUP(Table2[[#This Row],[MemberID]],Table1[#All],3,0)</f>
        <v>Silver</v>
      </c>
      <c r="H2198" s="13">
        <v>17</v>
      </c>
    </row>
    <row r="2199" spans="1:8">
      <c r="A2199" t="s">
        <v>2531</v>
      </c>
      <c r="B2199" t="s">
        <v>244</v>
      </c>
      <c r="C2199" s="8">
        <v>46251</v>
      </c>
      <c r="D2199" t="s">
        <v>350</v>
      </c>
      <c r="E2199" t="s">
        <v>339</v>
      </c>
      <c r="F2199" s="12">
        <v>663448</v>
      </c>
      <c r="G2199" s="12" t="str">
        <f>VLOOKUP(Table2[[#This Row],[MemberID]],Table1[#All],3,0)</f>
        <v>Silver</v>
      </c>
      <c r="H2199" s="13">
        <v>66</v>
      </c>
    </row>
    <row r="2200" spans="1:8">
      <c r="A2200" t="s">
        <v>2532</v>
      </c>
      <c r="B2200" t="s">
        <v>118</v>
      </c>
      <c r="C2200" s="8">
        <v>46270</v>
      </c>
      <c r="D2200" t="s">
        <v>350</v>
      </c>
      <c r="E2200" t="s">
        <v>328</v>
      </c>
      <c r="F2200" s="12">
        <v>69441</v>
      </c>
      <c r="G2200" s="12" t="str">
        <f>VLOOKUP(Table2[[#This Row],[MemberID]],Table1[#All],3,0)</f>
        <v>Silver</v>
      </c>
      <c r="H2200" s="13">
        <v>6</v>
      </c>
    </row>
    <row r="2201" spans="1:8">
      <c r="A2201" t="s">
        <v>2533</v>
      </c>
      <c r="B2201" t="s">
        <v>310</v>
      </c>
      <c r="C2201" s="8">
        <v>46119</v>
      </c>
      <c r="D2201" t="s">
        <v>324</v>
      </c>
      <c r="E2201" t="s">
        <v>322</v>
      </c>
      <c r="F2201" s="12">
        <v>324171</v>
      </c>
      <c r="G2201" s="12" t="str">
        <f>VLOOKUP(Table2[[#This Row],[MemberID]],Table1[#All],3,0)</f>
        <v>Silver</v>
      </c>
      <c r="H2201" s="13">
        <v>32</v>
      </c>
    </row>
    <row r="2202" spans="1:8">
      <c r="A2202" t="s">
        <v>2534</v>
      </c>
      <c r="B2202" t="s">
        <v>130</v>
      </c>
      <c r="C2202" s="8">
        <v>45946</v>
      </c>
      <c r="D2202" t="s">
        <v>332</v>
      </c>
      <c r="E2202" t="s">
        <v>337</v>
      </c>
      <c r="F2202" s="12">
        <v>599266</v>
      </c>
      <c r="G2202" s="12" t="str">
        <f>VLOOKUP(Table2[[#This Row],[MemberID]],Table1[#All],3,0)</f>
        <v>Gold</v>
      </c>
      <c r="H2202" s="13">
        <v>59</v>
      </c>
    </row>
    <row r="2203" spans="1:8">
      <c r="A2203" t="s">
        <v>2535</v>
      </c>
      <c r="B2203" t="s">
        <v>213</v>
      </c>
      <c r="C2203" s="8">
        <v>46034</v>
      </c>
      <c r="D2203" t="s">
        <v>342</v>
      </c>
      <c r="E2203" t="s">
        <v>325</v>
      </c>
      <c r="F2203" s="12">
        <v>265306</v>
      </c>
      <c r="G2203" s="12" t="str">
        <f>VLOOKUP(Table2[[#This Row],[MemberID]],Table1[#All],3,0)</f>
        <v>Gold</v>
      </c>
      <c r="H2203" s="13">
        <v>26</v>
      </c>
    </row>
    <row r="2204" spans="1:8">
      <c r="A2204" t="s">
        <v>2536</v>
      </c>
      <c r="B2204" t="s">
        <v>148</v>
      </c>
      <c r="C2204" s="8">
        <v>46258</v>
      </c>
      <c r="D2204" t="s">
        <v>324</v>
      </c>
      <c r="E2204" t="s">
        <v>339</v>
      </c>
      <c r="F2204" s="12">
        <v>283282</v>
      </c>
      <c r="G2204" s="12" t="str">
        <f>VLOOKUP(Table2[[#This Row],[MemberID]],Table1[#All],3,0)</f>
        <v>Gold</v>
      </c>
      <c r="H2204" s="13">
        <v>28</v>
      </c>
    </row>
    <row r="2205" spans="1:8">
      <c r="A2205" t="s">
        <v>2537</v>
      </c>
      <c r="B2205" t="s">
        <v>86</v>
      </c>
      <c r="C2205" s="8">
        <v>46061</v>
      </c>
      <c r="D2205" t="s">
        <v>330</v>
      </c>
      <c r="E2205" t="s">
        <v>334</v>
      </c>
      <c r="F2205" s="12">
        <v>237784</v>
      </c>
      <c r="G2205" s="12" t="str">
        <f>VLOOKUP(Table2[[#This Row],[MemberID]],Table1[#All],3,0)</f>
        <v>Silver</v>
      </c>
      <c r="H2205" s="13">
        <v>23</v>
      </c>
    </row>
    <row r="2206" spans="1:8">
      <c r="A2206" t="s">
        <v>2538</v>
      </c>
      <c r="B2206" t="s">
        <v>69</v>
      </c>
      <c r="C2206" s="8">
        <v>45952</v>
      </c>
      <c r="D2206" t="s">
        <v>324</v>
      </c>
      <c r="E2206" t="s">
        <v>337</v>
      </c>
      <c r="F2206" s="12">
        <v>646757</v>
      </c>
      <c r="G2206" s="12" t="str">
        <f>VLOOKUP(Table2[[#This Row],[MemberID]],Table1[#All],3,0)</f>
        <v>Gold</v>
      </c>
      <c r="H2206" s="13">
        <v>64</v>
      </c>
    </row>
    <row r="2207" spans="1:8">
      <c r="A2207" t="s">
        <v>2539</v>
      </c>
      <c r="B2207" t="s">
        <v>39</v>
      </c>
      <c r="C2207" s="8">
        <v>46092</v>
      </c>
      <c r="D2207" t="s">
        <v>350</v>
      </c>
      <c r="E2207" t="s">
        <v>325</v>
      </c>
      <c r="F2207" s="12">
        <v>321240</v>
      </c>
      <c r="G2207" s="12" t="str">
        <f>VLOOKUP(Table2[[#This Row],[MemberID]],Table1[#All],3,0)</f>
        <v>Silver</v>
      </c>
      <c r="H2207" s="13">
        <v>32</v>
      </c>
    </row>
    <row r="2208" spans="1:8">
      <c r="A2208" t="s">
        <v>2540</v>
      </c>
      <c r="B2208" t="s">
        <v>259</v>
      </c>
      <c r="C2208" s="8">
        <v>46107</v>
      </c>
      <c r="D2208" t="s">
        <v>344</v>
      </c>
      <c r="E2208" t="s">
        <v>337</v>
      </c>
      <c r="F2208" s="12">
        <v>216286</v>
      </c>
      <c r="G2208" s="12" t="str">
        <f>VLOOKUP(Table2[[#This Row],[MemberID]],Table1[#All],3,0)</f>
        <v>Gold</v>
      </c>
      <c r="H2208" s="13">
        <v>21</v>
      </c>
    </row>
    <row r="2209" spans="1:8">
      <c r="A2209" t="s">
        <v>2541</v>
      </c>
      <c r="B2209" t="s">
        <v>241</v>
      </c>
      <c r="C2209" s="8">
        <v>46023</v>
      </c>
      <c r="D2209" t="s">
        <v>330</v>
      </c>
      <c r="E2209" t="s">
        <v>337</v>
      </c>
      <c r="F2209" s="12">
        <v>219277</v>
      </c>
      <c r="G2209" s="12" t="str">
        <f>VLOOKUP(Table2[[#This Row],[MemberID]],Table1[#All],3,0)</f>
        <v>Gold</v>
      </c>
      <c r="H2209" s="13">
        <v>21</v>
      </c>
    </row>
    <row r="2210" spans="1:8">
      <c r="A2210" t="s">
        <v>2542</v>
      </c>
      <c r="B2210" t="s">
        <v>98</v>
      </c>
      <c r="C2210" s="8">
        <v>46132</v>
      </c>
      <c r="D2210" t="s">
        <v>327</v>
      </c>
      <c r="E2210" t="s">
        <v>322</v>
      </c>
      <c r="F2210" s="12">
        <v>81293</v>
      </c>
      <c r="G2210" s="12" t="str">
        <f>VLOOKUP(Table2[[#This Row],[MemberID]],Table1[#All],3,0)</f>
        <v>Silver</v>
      </c>
      <c r="H2210" s="13">
        <v>8</v>
      </c>
    </row>
    <row r="2211" spans="1:8">
      <c r="A2211" t="s">
        <v>2543</v>
      </c>
      <c r="B2211" t="s">
        <v>277</v>
      </c>
      <c r="C2211" s="8">
        <v>46255</v>
      </c>
      <c r="D2211" t="s">
        <v>344</v>
      </c>
      <c r="E2211" t="s">
        <v>337</v>
      </c>
      <c r="F2211" s="12">
        <v>403892</v>
      </c>
      <c r="G2211" s="12" t="str">
        <f>VLOOKUP(Table2[[#This Row],[MemberID]],Table1[#All],3,0)</f>
        <v>Silver</v>
      </c>
      <c r="H2211" s="13">
        <v>40</v>
      </c>
    </row>
    <row r="2212" spans="1:8">
      <c r="A2212" t="s">
        <v>2544</v>
      </c>
      <c r="B2212" t="s">
        <v>269</v>
      </c>
      <c r="C2212" s="8">
        <v>46228</v>
      </c>
      <c r="D2212" t="s">
        <v>344</v>
      </c>
      <c r="E2212" t="s">
        <v>328</v>
      </c>
      <c r="F2212" s="12">
        <v>363234</v>
      </c>
      <c r="G2212" s="12" t="str">
        <f>VLOOKUP(Table2[[#This Row],[MemberID]],Table1[#All],3,0)</f>
        <v>Platinum</v>
      </c>
      <c r="H2212" s="13">
        <v>36</v>
      </c>
    </row>
    <row r="2213" spans="1:8">
      <c r="A2213" t="s">
        <v>2545</v>
      </c>
      <c r="B2213" t="s">
        <v>6</v>
      </c>
      <c r="C2213" s="8">
        <v>46233</v>
      </c>
      <c r="D2213" t="s">
        <v>327</v>
      </c>
      <c r="E2213" t="s">
        <v>322</v>
      </c>
      <c r="F2213" s="12">
        <v>62732</v>
      </c>
      <c r="G2213" s="12" t="str">
        <f>VLOOKUP(Table2[[#This Row],[MemberID]],Table1[#All],3,0)</f>
        <v>Silver</v>
      </c>
      <c r="H2213" s="13">
        <v>6</v>
      </c>
    </row>
    <row r="2214" spans="1:8">
      <c r="A2214" t="s">
        <v>2546</v>
      </c>
      <c r="B2214" t="s">
        <v>202</v>
      </c>
      <c r="C2214" s="8">
        <v>46197</v>
      </c>
      <c r="D2214" t="s">
        <v>321</v>
      </c>
      <c r="E2214" t="s">
        <v>325</v>
      </c>
      <c r="F2214" s="12">
        <v>799269</v>
      </c>
      <c r="G2214" s="12" t="str">
        <f>VLOOKUP(Table2[[#This Row],[MemberID]],Table1[#All],3,0)</f>
        <v>Silver</v>
      </c>
      <c r="H2214" s="13">
        <v>79</v>
      </c>
    </row>
    <row r="2215" spans="1:8">
      <c r="A2215" t="s">
        <v>2547</v>
      </c>
      <c r="B2215" t="s">
        <v>225</v>
      </c>
      <c r="C2215" s="8">
        <v>46005</v>
      </c>
      <c r="D2215" t="s">
        <v>321</v>
      </c>
      <c r="E2215" t="s">
        <v>322</v>
      </c>
      <c r="F2215" s="12">
        <v>186879</v>
      </c>
      <c r="G2215" s="12" t="str">
        <f>VLOOKUP(Table2[[#This Row],[MemberID]],Table1[#All],3,0)</f>
        <v>Platinum</v>
      </c>
      <c r="H2215" s="13">
        <v>18</v>
      </c>
    </row>
    <row r="2216" spans="1:8">
      <c r="A2216" t="s">
        <v>2548</v>
      </c>
      <c r="B2216" t="s">
        <v>61</v>
      </c>
      <c r="C2216" s="8">
        <v>46076</v>
      </c>
      <c r="D2216" t="s">
        <v>342</v>
      </c>
      <c r="E2216" t="s">
        <v>334</v>
      </c>
      <c r="F2216" s="12">
        <v>266275</v>
      </c>
      <c r="G2216" s="12" t="str">
        <f>VLOOKUP(Table2[[#This Row],[MemberID]],Table1[#All],3,0)</f>
        <v>Platinum</v>
      </c>
      <c r="H2216" s="13">
        <v>26</v>
      </c>
    </row>
    <row r="2217" spans="1:8">
      <c r="A2217" t="s">
        <v>2549</v>
      </c>
      <c r="B2217" t="s">
        <v>258</v>
      </c>
      <c r="C2217" s="8">
        <v>46269</v>
      </c>
      <c r="D2217" t="s">
        <v>321</v>
      </c>
      <c r="E2217" t="s">
        <v>337</v>
      </c>
      <c r="F2217" s="12">
        <v>328727</v>
      </c>
      <c r="G2217" s="12" t="str">
        <f>VLOOKUP(Table2[[#This Row],[MemberID]],Table1[#All],3,0)</f>
        <v>Silver</v>
      </c>
      <c r="H2217" s="13">
        <v>32</v>
      </c>
    </row>
    <row r="2218" spans="1:8">
      <c r="A2218" t="s">
        <v>2550</v>
      </c>
      <c r="B2218" t="s">
        <v>310</v>
      </c>
      <c r="C2218" s="8">
        <v>46270</v>
      </c>
      <c r="D2218" t="s">
        <v>344</v>
      </c>
      <c r="E2218" t="s">
        <v>337</v>
      </c>
      <c r="F2218" s="12">
        <v>39389</v>
      </c>
      <c r="G2218" s="12" t="str">
        <f>VLOOKUP(Table2[[#This Row],[MemberID]],Table1[#All],3,0)</f>
        <v>Silver</v>
      </c>
      <c r="H2218" s="13">
        <v>3</v>
      </c>
    </row>
    <row r="2219" spans="1:8">
      <c r="A2219" t="s">
        <v>2551</v>
      </c>
      <c r="B2219" t="s">
        <v>51</v>
      </c>
      <c r="C2219" s="8">
        <v>46111</v>
      </c>
      <c r="D2219" t="s">
        <v>327</v>
      </c>
      <c r="E2219" t="s">
        <v>337</v>
      </c>
      <c r="F2219" s="12">
        <v>386673</v>
      </c>
      <c r="G2219" s="12" t="str">
        <f>VLOOKUP(Table2[[#This Row],[MemberID]],Table1[#All],3,0)</f>
        <v>Gold</v>
      </c>
      <c r="H2219" s="13">
        <v>38</v>
      </c>
    </row>
    <row r="2220" spans="1:8">
      <c r="A2220" t="s">
        <v>2552</v>
      </c>
      <c r="B2220" t="s">
        <v>259</v>
      </c>
      <c r="C2220" s="8">
        <v>46276</v>
      </c>
      <c r="D2220" t="s">
        <v>330</v>
      </c>
      <c r="E2220" t="s">
        <v>337</v>
      </c>
      <c r="F2220" s="12">
        <v>321489</v>
      </c>
      <c r="G2220" s="12" t="str">
        <f>VLOOKUP(Table2[[#This Row],[MemberID]],Table1[#All],3,0)</f>
        <v>Gold</v>
      </c>
      <c r="H2220" s="13">
        <v>32</v>
      </c>
    </row>
    <row r="2221" spans="1:8">
      <c r="A2221" t="s">
        <v>2553</v>
      </c>
      <c r="B2221" t="s">
        <v>246</v>
      </c>
      <c r="C2221" s="8">
        <v>45949</v>
      </c>
      <c r="D2221" t="s">
        <v>321</v>
      </c>
      <c r="E2221" t="s">
        <v>325</v>
      </c>
      <c r="F2221" s="12">
        <v>302168</v>
      </c>
      <c r="G2221" s="12" t="str">
        <f>VLOOKUP(Table2[[#This Row],[MemberID]],Table1[#All],3,0)</f>
        <v>Gold</v>
      </c>
      <c r="H2221" s="13">
        <v>30</v>
      </c>
    </row>
    <row r="2222" spans="1:8">
      <c r="A2222" t="s">
        <v>2554</v>
      </c>
      <c r="B2222" t="s">
        <v>294</v>
      </c>
      <c r="C2222" s="8">
        <v>46040</v>
      </c>
      <c r="D2222" t="s">
        <v>330</v>
      </c>
      <c r="E2222" t="s">
        <v>325</v>
      </c>
      <c r="F2222" s="12">
        <v>377722</v>
      </c>
      <c r="G2222" s="12" t="str">
        <f>VLOOKUP(Table2[[#This Row],[MemberID]],Table1[#All],3,0)</f>
        <v>Gold</v>
      </c>
      <c r="H2222" s="13">
        <v>37</v>
      </c>
    </row>
    <row r="2223" spans="1:8">
      <c r="A2223" t="s">
        <v>2555</v>
      </c>
      <c r="B2223" t="s">
        <v>126</v>
      </c>
      <c r="C2223" s="8">
        <v>46234</v>
      </c>
      <c r="D2223" t="s">
        <v>327</v>
      </c>
      <c r="E2223" t="s">
        <v>337</v>
      </c>
      <c r="F2223" s="12">
        <v>194775</v>
      </c>
      <c r="G2223" s="12" t="str">
        <f>VLOOKUP(Table2[[#This Row],[MemberID]],Table1[#All],3,0)</f>
        <v>Silver</v>
      </c>
      <c r="H2223" s="13">
        <v>19</v>
      </c>
    </row>
    <row r="2224" spans="1:8">
      <c r="A2224" t="s">
        <v>2556</v>
      </c>
      <c r="B2224" t="s">
        <v>309</v>
      </c>
      <c r="C2224" s="8">
        <v>46063</v>
      </c>
      <c r="D2224" t="s">
        <v>324</v>
      </c>
      <c r="E2224" t="s">
        <v>337</v>
      </c>
      <c r="F2224" s="12">
        <v>149849</v>
      </c>
      <c r="G2224" s="12" t="str">
        <f>VLOOKUP(Table2[[#This Row],[MemberID]],Table1[#All],3,0)</f>
        <v>Gold</v>
      </c>
      <c r="H2224" s="13">
        <v>14</v>
      </c>
    </row>
    <row r="2225" spans="1:8">
      <c r="A2225" t="s">
        <v>2557</v>
      </c>
      <c r="B2225" t="s">
        <v>301</v>
      </c>
      <c r="C2225" s="8">
        <v>46233</v>
      </c>
      <c r="D2225" t="s">
        <v>344</v>
      </c>
      <c r="E2225" t="s">
        <v>328</v>
      </c>
      <c r="F2225" s="12">
        <v>287710</v>
      </c>
      <c r="G2225" s="12" t="str">
        <f>VLOOKUP(Table2[[#This Row],[MemberID]],Table1[#All],3,0)</f>
        <v>Silver</v>
      </c>
      <c r="H2225" s="13">
        <v>28</v>
      </c>
    </row>
    <row r="2226" spans="1:8">
      <c r="A2226" t="s">
        <v>2558</v>
      </c>
      <c r="B2226" t="s">
        <v>83</v>
      </c>
      <c r="C2226" s="8">
        <v>46225</v>
      </c>
      <c r="D2226" t="s">
        <v>327</v>
      </c>
      <c r="E2226" t="s">
        <v>339</v>
      </c>
      <c r="F2226" s="12">
        <v>472739</v>
      </c>
      <c r="G2226" s="12" t="str">
        <f>VLOOKUP(Table2[[#This Row],[MemberID]],Table1[#All],3,0)</f>
        <v>Gold</v>
      </c>
      <c r="H2226" s="13">
        <v>47</v>
      </c>
    </row>
    <row r="2227" spans="1:8">
      <c r="A2227" t="s">
        <v>2559</v>
      </c>
      <c r="B2227" t="s">
        <v>97</v>
      </c>
      <c r="C2227" s="8">
        <v>46094</v>
      </c>
      <c r="D2227" t="s">
        <v>324</v>
      </c>
      <c r="E2227" t="s">
        <v>337</v>
      </c>
      <c r="F2227" s="12">
        <v>367242</v>
      </c>
      <c r="G2227" s="12" t="str">
        <f>VLOOKUP(Table2[[#This Row],[MemberID]],Table1[#All],3,0)</f>
        <v>Silver</v>
      </c>
      <c r="H2227" s="13">
        <v>36</v>
      </c>
    </row>
    <row r="2228" spans="1:8">
      <c r="A2228" t="s">
        <v>2560</v>
      </c>
      <c r="B2228" t="s">
        <v>244</v>
      </c>
      <c r="C2228" s="8">
        <v>46226</v>
      </c>
      <c r="D2228" t="s">
        <v>327</v>
      </c>
      <c r="E2228" t="s">
        <v>334</v>
      </c>
      <c r="F2228" s="12">
        <v>235947</v>
      </c>
      <c r="G2228" s="12" t="str">
        <f>VLOOKUP(Table2[[#This Row],[MemberID]],Table1[#All],3,0)</f>
        <v>Silver</v>
      </c>
      <c r="H2228" s="13">
        <v>23</v>
      </c>
    </row>
    <row r="2229" spans="1:8">
      <c r="A2229" t="s">
        <v>2561</v>
      </c>
      <c r="B2229" t="s">
        <v>31</v>
      </c>
      <c r="C2229" s="8">
        <v>46070</v>
      </c>
      <c r="D2229" t="s">
        <v>330</v>
      </c>
      <c r="E2229" t="s">
        <v>339</v>
      </c>
      <c r="F2229" s="12">
        <v>475662</v>
      </c>
      <c r="G2229" s="12" t="str">
        <f>VLOOKUP(Table2[[#This Row],[MemberID]],Table1[#All],3,0)</f>
        <v>Silver</v>
      </c>
      <c r="H2229" s="13">
        <v>47</v>
      </c>
    </row>
    <row r="2230" spans="1:8">
      <c r="A2230" t="s">
        <v>2562</v>
      </c>
      <c r="B2230" t="s">
        <v>128</v>
      </c>
      <c r="C2230" s="8">
        <v>45947</v>
      </c>
      <c r="D2230" t="s">
        <v>350</v>
      </c>
      <c r="E2230" t="s">
        <v>339</v>
      </c>
      <c r="F2230" s="12">
        <v>309825</v>
      </c>
      <c r="G2230" s="12" t="str">
        <f>VLOOKUP(Table2[[#This Row],[MemberID]],Table1[#All],3,0)</f>
        <v>Silver</v>
      </c>
      <c r="H2230" s="13">
        <v>30</v>
      </c>
    </row>
    <row r="2231" spans="1:8">
      <c r="A2231" t="s">
        <v>2563</v>
      </c>
      <c r="B2231" t="s">
        <v>308</v>
      </c>
      <c r="C2231" s="8">
        <v>46053</v>
      </c>
      <c r="D2231" t="s">
        <v>342</v>
      </c>
      <c r="E2231" t="s">
        <v>328</v>
      </c>
      <c r="F2231" s="12">
        <v>496252</v>
      </c>
      <c r="G2231" s="12" t="str">
        <f>VLOOKUP(Table2[[#This Row],[MemberID]],Table1[#All],3,0)</f>
        <v>Silver</v>
      </c>
      <c r="H2231" s="13">
        <v>49</v>
      </c>
    </row>
    <row r="2232" spans="1:8">
      <c r="A2232" t="s">
        <v>2564</v>
      </c>
      <c r="B2232" t="s">
        <v>52</v>
      </c>
      <c r="C2232" s="8">
        <v>45963</v>
      </c>
      <c r="D2232" t="s">
        <v>321</v>
      </c>
      <c r="E2232" t="s">
        <v>322</v>
      </c>
      <c r="F2232" s="12">
        <v>158627</v>
      </c>
      <c r="G2232" s="12" t="str">
        <f>VLOOKUP(Table2[[#This Row],[MemberID]],Table1[#All],3,0)</f>
        <v>Gold</v>
      </c>
      <c r="H2232" s="13">
        <v>15</v>
      </c>
    </row>
    <row r="2233" spans="1:8">
      <c r="A2233" t="s">
        <v>2565</v>
      </c>
      <c r="B2233" t="s">
        <v>22</v>
      </c>
      <c r="C2233" s="8">
        <v>46041</v>
      </c>
      <c r="D2233" t="s">
        <v>330</v>
      </c>
      <c r="E2233" t="s">
        <v>334</v>
      </c>
      <c r="F2233" s="12">
        <v>251016</v>
      </c>
      <c r="G2233" s="12" t="str">
        <f>VLOOKUP(Table2[[#This Row],[MemberID]],Table1[#All],3,0)</f>
        <v>Gold</v>
      </c>
      <c r="H2233" s="13">
        <v>25</v>
      </c>
    </row>
    <row r="2234" spans="1:8">
      <c r="A2234" t="s">
        <v>2566</v>
      </c>
      <c r="B2234" t="s">
        <v>135</v>
      </c>
      <c r="C2234" s="8">
        <v>45999</v>
      </c>
      <c r="D2234" t="s">
        <v>324</v>
      </c>
      <c r="E2234" t="s">
        <v>337</v>
      </c>
      <c r="F2234" s="12">
        <v>147216</v>
      </c>
      <c r="G2234" s="12" t="str">
        <f>VLOOKUP(Table2[[#This Row],[MemberID]],Table1[#All],3,0)</f>
        <v>Silver</v>
      </c>
      <c r="H2234" s="13">
        <v>14</v>
      </c>
    </row>
    <row r="2235" spans="1:8">
      <c r="A2235" t="s">
        <v>2567</v>
      </c>
      <c r="B2235" t="s">
        <v>252</v>
      </c>
      <c r="C2235" s="8">
        <v>46012</v>
      </c>
      <c r="D2235" t="s">
        <v>321</v>
      </c>
      <c r="E2235" t="s">
        <v>325</v>
      </c>
      <c r="F2235" s="12">
        <v>568761</v>
      </c>
      <c r="G2235" s="12" t="str">
        <f>VLOOKUP(Table2[[#This Row],[MemberID]],Table1[#All],3,0)</f>
        <v>Silver</v>
      </c>
      <c r="H2235" s="13">
        <v>56</v>
      </c>
    </row>
    <row r="2236" spans="1:8">
      <c r="A2236" t="s">
        <v>2568</v>
      </c>
      <c r="B2236" t="s">
        <v>126</v>
      </c>
      <c r="C2236" s="8">
        <v>45950</v>
      </c>
      <c r="D2236" t="s">
        <v>342</v>
      </c>
      <c r="E2236" t="s">
        <v>322</v>
      </c>
      <c r="F2236" s="12">
        <v>254149</v>
      </c>
      <c r="G2236" s="12" t="str">
        <f>VLOOKUP(Table2[[#This Row],[MemberID]],Table1[#All],3,0)</f>
        <v>Silver</v>
      </c>
      <c r="H2236" s="13">
        <v>25</v>
      </c>
    </row>
    <row r="2237" spans="1:8">
      <c r="A2237" t="s">
        <v>2569</v>
      </c>
      <c r="B2237" t="s">
        <v>221</v>
      </c>
      <c r="C2237" s="8">
        <v>46275</v>
      </c>
      <c r="D2237" t="s">
        <v>332</v>
      </c>
      <c r="E2237" t="s">
        <v>325</v>
      </c>
      <c r="F2237" s="12">
        <v>278849</v>
      </c>
      <c r="G2237" s="12" t="str">
        <f>VLOOKUP(Table2[[#This Row],[MemberID]],Table1[#All],3,0)</f>
        <v>Platinum</v>
      </c>
      <c r="H2237" s="13">
        <v>27</v>
      </c>
    </row>
    <row r="2238" spans="1:8">
      <c r="A2238" t="s">
        <v>2570</v>
      </c>
      <c r="B2238" t="s">
        <v>89</v>
      </c>
      <c r="C2238" s="8">
        <v>46208</v>
      </c>
      <c r="D2238" t="s">
        <v>344</v>
      </c>
      <c r="E2238" t="s">
        <v>339</v>
      </c>
      <c r="F2238" s="12">
        <v>91402</v>
      </c>
      <c r="G2238" s="12" t="str">
        <f>VLOOKUP(Table2[[#This Row],[MemberID]],Table1[#All],3,0)</f>
        <v>Platinum</v>
      </c>
      <c r="H2238" s="13">
        <v>9</v>
      </c>
    </row>
    <row r="2239" spans="1:8">
      <c r="A2239" t="s">
        <v>2571</v>
      </c>
      <c r="B2239" t="s">
        <v>150</v>
      </c>
      <c r="C2239" s="8">
        <v>45932</v>
      </c>
      <c r="D2239" t="s">
        <v>344</v>
      </c>
      <c r="E2239" t="s">
        <v>337</v>
      </c>
      <c r="F2239" s="12">
        <v>494079</v>
      </c>
      <c r="G2239" s="12" t="str">
        <f>VLOOKUP(Table2[[#This Row],[MemberID]],Table1[#All],3,0)</f>
        <v>Gold</v>
      </c>
      <c r="H2239" s="13">
        <v>49</v>
      </c>
    </row>
    <row r="2240" spans="1:8">
      <c r="A2240" t="s">
        <v>2572</v>
      </c>
      <c r="B2240" t="s">
        <v>153</v>
      </c>
      <c r="C2240" s="8">
        <v>46260</v>
      </c>
      <c r="D2240" t="s">
        <v>350</v>
      </c>
      <c r="E2240" t="s">
        <v>339</v>
      </c>
      <c r="F2240" s="12">
        <v>216522</v>
      </c>
      <c r="G2240" s="12" t="str">
        <f>VLOOKUP(Table2[[#This Row],[MemberID]],Table1[#All],3,0)</f>
        <v>Silver</v>
      </c>
      <c r="H2240" s="13">
        <v>21</v>
      </c>
    </row>
    <row r="2241" spans="1:8">
      <c r="A2241" t="s">
        <v>2573</v>
      </c>
      <c r="B2241" t="s">
        <v>287</v>
      </c>
      <c r="C2241" s="8">
        <v>46182</v>
      </c>
      <c r="D2241" t="s">
        <v>330</v>
      </c>
      <c r="E2241" t="s">
        <v>322</v>
      </c>
      <c r="F2241" s="12">
        <v>152282</v>
      </c>
      <c r="G2241" s="12" t="str">
        <f>VLOOKUP(Table2[[#This Row],[MemberID]],Table1[#All],3,0)</f>
        <v>Gold</v>
      </c>
      <c r="H2241" s="13">
        <v>15</v>
      </c>
    </row>
    <row r="2242" spans="1:8">
      <c r="A2242" t="s">
        <v>2574</v>
      </c>
      <c r="B2242" t="s">
        <v>108</v>
      </c>
      <c r="C2242" s="8">
        <v>46283</v>
      </c>
      <c r="D2242" t="s">
        <v>350</v>
      </c>
      <c r="E2242" t="s">
        <v>337</v>
      </c>
      <c r="F2242" s="12">
        <v>234328</v>
      </c>
      <c r="G2242" s="12" t="str">
        <f>VLOOKUP(Table2[[#This Row],[MemberID]],Table1[#All],3,0)</f>
        <v>Platinum</v>
      </c>
      <c r="H2242" s="13">
        <v>23</v>
      </c>
    </row>
    <row r="2243" spans="1:8">
      <c r="A2243" t="s">
        <v>2575</v>
      </c>
      <c r="B2243" t="s">
        <v>294</v>
      </c>
      <c r="C2243" s="8">
        <v>46235</v>
      </c>
      <c r="D2243" t="s">
        <v>332</v>
      </c>
      <c r="E2243" t="s">
        <v>322</v>
      </c>
      <c r="F2243" s="12">
        <v>814605</v>
      </c>
      <c r="G2243" s="12" t="str">
        <f>VLOOKUP(Table2[[#This Row],[MemberID]],Table1[#All],3,0)</f>
        <v>Gold</v>
      </c>
      <c r="H2243" s="13">
        <v>81</v>
      </c>
    </row>
    <row r="2244" spans="1:8">
      <c r="A2244" t="s">
        <v>2576</v>
      </c>
      <c r="B2244" t="s">
        <v>309</v>
      </c>
      <c r="C2244" s="8">
        <v>45959</v>
      </c>
      <c r="D2244" t="s">
        <v>342</v>
      </c>
      <c r="E2244" t="s">
        <v>334</v>
      </c>
      <c r="F2244" s="12">
        <v>381334</v>
      </c>
      <c r="G2244" s="12" t="str">
        <f>VLOOKUP(Table2[[#This Row],[MemberID]],Table1[#All],3,0)</f>
        <v>Gold</v>
      </c>
      <c r="H2244" s="13">
        <v>38</v>
      </c>
    </row>
    <row r="2245" spans="1:8">
      <c r="A2245" t="s">
        <v>2577</v>
      </c>
      <c r="B2245" t="s">
        <v>217</v>
      </c>
      <c r="C2245" s="8">
        <v>45985</v>
      </c>
      <c r="D2245" t="s">
        <v>327</v>
      </c>
      <c r="E2245" t="s">
        <v>337</v>
      </c>
      <c r="F2245" s="12">
        <v>182058</v>
      </c>
      <c r="G2245" s="12" t="str">
        <f>VLOOKUP(Table2[[#This Row],[MemberID]],Table1[#All],3,0)</f>
        <v>Gold</v>
      </c>
      <c r="H2245" s="13">
        <v>18</v>
      </c>
    </row>
    <row r="2246" spans="1:8">
      <c r="A2246" t="s">
        <v>2578</v>
      </c>
      <c r="B2246" t="s">
        <v>310</v>
      </c>
      <c r="C2246" s="8">
        <v>46002</v>
      </c>
      <c r="D2246" t="s">
        <v>330</v>
      </c>
      <c r="E2246" t="s">
        <v>322</v>
      </c>
      <c r="F2246" s="12">
        <v>105910</v>
      </c>
      <c r="G2246" s="12" t="str">
        <f>VLOOKUP(Table2[[#This Row],[MemberID]],Table1[#All],3,0)</f>
        <v>Silver</v>
      </c>
      <c r="H2246" s="13">
        <v>10</v>
      </c>
    </row>
    <row r="2247" spans="1:8">
      <c r="A2247" t="s">
        <v>2579</v>
      </c>
      <c r="B2247" t="s">
        <v>81</v>
      </c>
      <c r="C2247" s="8">
        <v>46259</v>
      </c>
      <c r="D2247" t="s">
        <v>332</v>
      </c>
      <c r="E2247" t="s">
        <v>334</v>
      </c>
      <c r="F2247" s="12">
        <v>186176</v>
      </c>
      <c r="G2247" s="12" t="str">
        <f>VLOOKUP(Table2[[#This Row],[MemberID]],Table1[#All],3,0)</f>
        <v>Gold</v>
      </c>
      <c r="H2247" s="13">
        <v>18</v>
      </c>
    </row>
    <row r="2248" spans="1:8">
      <c r="A2248" t="s">
        <v>2580</v>
      </c>
      <c r="B2248" t="s">
        <v>92</v>
      </c>
      <c r="C2248" s="8">
        <v>46014</v>
      </c>
      <c r="D2248" t="s">
        <v>330</v>
      </c>
      <c r="E2248" t="s">
        <v>339</v>
      </c>
      <c r="F2248" s="12">
        <v>256658</v>
      </c>
      <c r="G2248" s="12" t="str">
        <f>VLOOKUP(Table2[[#This Row],[MemberID]],Table1[#All],3,0)</f>
        <v>Silver</v>
      </c>
      <c r="H2248" s="13">
        <v>25</v>
      </c>
    </row>
    <row r="2249" spans="1:8">
      <c r="A2249" t="s">
        <v>2581</v>
      </c>
      <c r="B2249" t="s">
        <v>252</v>
      </c>
      <c r="C2249" s="8">
        <v>46248</v>
      </c>
      <c r="D2249" t="s">
        <v>330</v>
      </c>
      <c r="E2249" t="s">
        <v>339</v>
      </c>
      <c r="F2249" s="12">
        <v>238371</v>
      </c>
      <c r="G2249" s="12" t="str">
        <f>VLOOKUP(Table2[[#This Row],[MemberID]],Table1[#All],3,0)</f>
        <v>Silver</v>
      </c>
      <c r="H2249" s="13">
        <v>23</v>
      </c>
    </row>
    <row r="2250" spans="1:8">
      <c r="A2250" t="s">
        <v>2582</v>
      </c>
      <c r="B2250" t="s">
        <v>78</v>
      </c>
      <c r="C2250" s="8">
        <v>46164</v>
      </c>
      <c r="D2250" t="s">
        <v>344</v>
      </c>
      <c r="E2250" t="s">
        <v>339</v>
      </c>
      <c r="F2250" s="12">
        <v>52125</v>
      </c>
      <c r="G2250" s="12" t="str">
        <f>VLOOKUP(Table2[[#This Row],[MemberID]],Table1[#All],3,0)</f>
        <v>Gold</v>
      </c>
      <c r="H2250" s="13">
        <v>5</v>
      </c>
    </row>
    <row r="2251" spans="1:8">
      <c r="A2251" t="s">
        <v>2583</v>
      </c>
      <c r="B2251" t="s">
        <v>182</v>
      </c>
      <c r="C2251" s="8">
        <v>46007</v>
      </c>
      <c r="D2251" t="s">
        <v>350</v>
      </c>
      <c r="E2251" t="s">
        <v>328</v>
      </c>
      <c r="F2251" s="12">
        <v>66866</v>
      </c>
      <c r="G2251" s="12" t="str">
        <f>VLOOKUP(Table2[[#This Row],[MemberID]],Table1[#All],3,0)</f>
        <v>Silver</v>
      </c>
      <c r="H2251" s="13">
        <v>6</v>
      </c>
    </row>
    <row r="2252" spans="1:8">
      <c r="A2252" t="s">
        <v>2584</v>
      </c>
      <c r="B2252" t="s">
        <v>252</v>
      </c>
      <c r="C2252" s="8">
        <v>46263</v>
      </c>
      <c r="D2252" t="s">
        <v>342</v>
      </c>
      <c r="E2252" t="s">
        <v>334</v>
      </c>
      <c r="F2252" s="12">
        <v>258859</v>
      </c>
      <c r="G2252" s="12" t="str">
        <f>VLOOKUP(Table2[[#This Row],[MemberID]],Table1[#All],3,0)</f>
        <v>Silver</v>
      </c>
      <c r="H2252" s="13">
        <v>25</v>
      </c>
    </row>
    <row r="2253" spans="1:8">
      <c r="A2253" t="s">
        <v>2585</v>
      </c>
      <c r="B2253" t="s">
        <v>257</v>
      </c>
      <c r="C2253" s="8">
        <v>46020</v>
      </c>
      <c r="D2253" t="s">
        <v>324</v>
      </c>
      <c r="E2253" t="s">
        <v>337</v>
      </c>
      <c r="F2253" s="12">
        <v>54446</v>
      </c>
      <c r="G2253" s="12" t="str">
        <f>VLOOKUP(Table2[[#This Row],[MemberID]],Table1[#All],3,0)</f>
        <v>Gold</v>
      </c>
      <c r="H2253" s="13">
        <v>5</v>
      </c>
    </row>
    <row r="2254" spans="1:8">
      <c r="A2254" t="s">
        <v>2586</v>
      </c>
      <c r="B2254" t="s">
        <v>199</v>
      </c>
      <c r="C2254" s="8">
        <v>46186</v>
      </c>
      <c r="D2254" t="s">
        <v>332</v>
      </c>
      <c r="E2254" t="s">
        <v>328</v>
      </c>
      <c r="F2254" s="12">
        <v>88752</v>
      </c>
      <c r="G2254" s="12" t="str">
        <f>VLOOKUP(Table2[[#This Row],[MemberID]],Table1[#All],3,0)</f>
        <v>Gold</v>
      </c>
      <c r="H2254" s="13">
        <v>8</v>
      </c>
    </row>
    <row r="2255" spans="1:8">
      <c r="A2255" t="s">
        <v>2587</v>
      </c>
      <c r="B2255" t="s">
        <v>194</v>
      </c>
      <c r="C2255" s="8">
        <v>46033</v>
      </c>
      <c r="D2255" t="s">
        <v>344</v>
      </c>
      <c r="E2255" t="s">
        <v>337</v>
      </c>
      <c r="F2255" s="12">
        <v>380495</v>
      </c>
      <c r="G2255" s="12" t="str">
        <f>VLOOKUP(Table2[[#This Row],[MemberID]],Table1[#All],3,0)</f>
        <v>Silver</v>
      </c>
      <c r="H2255" s="13">
        <v>38</v>
      </c>
    </row>
    <row r="2256" spans="1:8">
      <c r="A2256" t="s">
        <v>2588</v>
      </c>
      <c r="B2256" t="s">
        <v>106</v>
      </c>
      <c r="C2256" s="8">
        <v>45998</v>
      </c>
      <c r="D2256" t="s">
        <v>330</v>
      </c>
      <c r="E2256" t="s">
        <v>328</v>
      </c>
      <c r="F2256" s="12">
        <v>114511</v>
      </c>
      <c r="G2256" s="12" t="str">
        <f>VLOOKUP(Table2[[#This Row],[MemberID]],Table1[#All],3,0)</f>
        <v>Silver</v>
      </c>
      <c r="H2256" s="13">
        <v>11</v>
      </c>
    </row>
    <row r="2257" spans="1:8">
      <c r="A2257" t="s">
        <v>2589</v>
      </c>
      <c r="B2257" t="s">
        <v>164</v>
      </c>
      <c r="C2257" s="8">
        <v>46246</v>
      </c>
      <c r="D2257" t="s">
        <v>324</v>
      </c>
      <c r="E2257" t="s">
        <v>325</v>
      </c>
      <c r="F2257" s="12">
        <v>185091</v>
      </c>
      <c r="G2257" s="12" t="str">
        <f>VLOOKUP(Table2[[#This Row],[MemberID]],Table1[#All],3,0)</f>
        <v>Silver</v>
      </c>
      <c r="H2257" s="13">
        <v>18</v>
      </c>
    </row>
    <row r="2258" spans="1:8">
      <c r="A2258" t="s">
        <v>2590</v>
      </c>
      <c r="B2258" t="s">
        <v>245</v>
      </c>
      <c r="C2258" s="8">
        <v>46009</v>
      </c>
      <c r="D2258" t="s">
        <v>330</v>
      </c>
      <c r="E2258" t="s">
        <v>334</v>
      </c>
      <c r="F2258" s="12">
        <v>73933</v>
      </c>
      <c r="G2258" s="12" t="str">
        <f>VLOOKUP(Table2[[#This Row],[MemberID]],Table1[#All],3,0)</f>
        <v>Silver</v>
      </c>
      <c r="H2258" s="13">
        <v>7</v>
      </c>
    </row>
    <row r="2259" spans="1:8">
      <c r="A2259" t="s">
        <v>2591</v>
      </c>
      <c r="B2259" t="s">
        <v>134</v>
      </c>
      <c r="C2259" s="8">
        <v>46026</v>
      </c>
      <c r="D2259" t="s">
        <v>321</v>
      </c>
      <c r="E2259" t="s">
        <v>322</v>
      </c>
      <c r="F2259" s="12">
        <v>278715</v>
      </c>
      <c r="G2259" s="12" t="str">
        <f>VLOOKUP(Table2[[#This Row],[MemberID]],Table1[#All],3,0)</f>
        <v>Silver</v>
      </c>
      <c r="H2259" s="13">
        <v>27</v>
      </c>
    </row>
    <row r="2260" spans="1:8">
      <c r="A2260" t="s">
        <v>2592</v>
      </c>
      <c r="B2260" t="s">
        <v>171</v>
      </c>
      <c r="C2260" s="8">
        <v>46126</v>
      </c>
      <c r="D2260" t="s">
        <v>332</v>
      </c>
      <c r="E2260" t="s">
        <v>337</v>
      </c>
      <c r="F2260" s="12">
        <v>190726</v>
      </c>
      <c r="G2260" s="12" t="str">
        <f>VLOOKUP(Table2[[#This Row],[MemberID]],Table1[#All],3,0)</f>
        <v>Gold</v>
      </c>
      <c r="H2260" s="13">
        <v>19</v>
      </c>
    </row>
    <row r="2261" spans="1:8">
      <c r="A2261" t="s">
        <v>2593</v>
      </c>
      <c r="B2261" t="s">
        <v>197</v>
      </c>
      <c r="C2261" s="8">
        <v>46054</v>
      </c>
      <c r="D2261" t="s">
        <v>324</v>
      </c>
      <c r="E2261" t="s">
        <v>328</v>
      </c>
      <c r="F2261" s="12">
        <v>463591</v>
      </c>
      <c r="G2261" s="12" t="str">
        <f>VLOOKUP(Table2[[#This Row],[MemberID]],Table1[#All],3,0)</f>
        <v>Silver</v>
      </c>
      <c r="H2261" s="13">
        <v>46</v>
      </c>
    </row>
    <row r="2262" spans="1:8">
      <c r="A2262" t="s">
        <v>2594</v>
      </c>
      <c r="B2262" t="s">
        <v>48</v>
      </c>
      <c r="C2262" s="8">
        <v>46172</v>
      </c>
      <c r="D2262" t="s">
        <v>350</v>
      </c>
      <c r="E2262" t="s">
        <v>337</v>
      </c>
      <c r="F2262" s="12">
        <v>203803</v>
      </c>
      <c r="G2262" s="12" t="str">
        <f>VLOOKUP(Table2[[#This Row],[MemberID]],Table1[#All],3,0)</f>
        <v>Gold</v>
      </c>
      <c r="H2262" s="13">
        <v>20</v>
      </c>
    </row>
    <row r="2263" spans="1:8">
      <c r="A2263" t="s">
        <v>2595</v>
      </c>
      <c r="B2263" t="s">
        <v>237</v>
      </c>
      <c r="C2263" s="8">
        <v>46018</v>
      </c>
      <c r="D2263" t="s">
        <v>327</v>
      </c>
      <c r="E2263" t="s">
        <v>339</v>
      </c>
      <c r="F2263" s="12">
        <v>53147</v>
      </c>
      <c r="G2263" s="12" t="str">
        <f>VLOOKUP(Table2[[#This Row],[MemberID]],Table1[#All],3,0)</f>
        <v>Silver</v>
      </c>
      <c r="H2263" s="13">
        <v>5</v>
      </c>
    </row>
    <row r="2264" spans="1:8">
      <c r="A2264" t="s">
        <v>2596</v>
      </c>
      <c r="B2264" t="s">
        <v>185</v>
      </c>
      <c r="C2264" s="8">
        <v>46237</v>
      </c>
      <c r="D2264" t="s">
        <v>332</v>
      </c>
      <c r="E2264" t="s">
        <v>334</v>
      </c>
      <c r="F2264" s="12">
        <v>467059</v>
      </c>
      <c r="G2264" s="12" t="str">
        <f>VLOOKUP(Table2[[#This Row],[MemberID]],Table1[#All],3,0)</f>
        <v>Gold</v>
      </c>
      <c r="H2264" s="13">
        <v>46</v>
      </c>
    </row>
    <row r="2265" spans="1:8">
      <c r="A2265" t="s">
        <v>2597</v>
      </c>
      <c r="B2265" t="s">
        <v>102</v>
      </c>
      <c r="C2265" s="8">
        <v>46073</v>
      </c>
      <c r="D2265" t="s">
        <v>342</v>
      </c>
      <c r="E2265" t="s">
        <v>339</v>
      </c>
      <c r="F2265" s="12">
        <v>69347</v>
      </c>
      <c r="G2265" s="12" t="str">
        <f>VLOOKUP(Table2[[#This Row],[MemberID]],Table1[#All],3,0)</f>
        <v>Platinum</v>
      </c>
      <c r="H2265" s="13">
        <v>6</v>
      </c>
    </row>
    <row r="2266" spans="1:8">
      <c r="A2266" t="s">
        <v>2598</v>
      </c>
      <c r="B2266" t="s">
        <v>59</v>
      </c>
      <c r="C2266" s="8">
        <v>46002</v>
      </c>
      <c r="D2266" t="s">
        <v>330</v>
      </c>
      <c r="E2266" t="s">
        <v>325</v>
      </c>
      <c r="F2266" s="12">
        <v>93651</v>
      </c>
      <c r="G2266" s="12" t="str">
        <f>VLOOKUP(Table2[[#This Row],[MemberID]],Table1[#All],3,0)</f>
        <v>Platinum</v>
      </c>
      <c r="H2266" s="13">
        <v>9</v>
      </c>
    </row>
    <row r="2267" spans="1:8">
      <c r="A2267" t="s">
        <v>2599</v>
      </c>
      <c r="B2267" t="s">
        <v>33</v>
      </c>
      <c r="C2267" s="8">
        <v>46272</v>
      </c>
      <c r="D2267" t="s">
        <v>324</v>
      </c>
      <c r="E2267" t="s">
        <v>322</v>
      </c>
      <c r="F2267" s="12">
        <v>143985</v>
      </c>
      <c r="G2267" s="12" t="str">
        <f>VLOOKUP(Table2[[#This Row],[MemberID]],Table1[#All],3,0)</f>
        <v>Silver</v>
      </c>
      <c r="H2267" s="13">
        <v>14</v>
      </c>
    </row>
    <row r="2268" spans="1:8">
      <c r="A2268" t="s">
        <v>2600</v>
      </c>
      <c r="B2268" t="s">
        <v>184</v>
      </c>
      <c r="C2268" s="8">
        <v>46177</v>
      </c>
      <c r="D2268" t="s">
        <v>350</v>
      </c>
      <c r="E2268" t="s">
        <v>339</v>
      </c>
      <c r="F2268" s="12">
        <v>261405</v>
      </c>
      <c r="G2268" s="12" t="str">
        <f>VLOOKUP(Table2[[#This Row],[MemberID]],Table1[#All],3,0)</f>
        <v>Silver</v>
      </c>
      <c r="H2268" s="13">
        <v>26</v>
      </c>
    </row>
    <row r="2269" spans="1:8">
      <c r="A2269" t="s">
        <v>2601</v>
      </c>
      <c r="B2269" t="s">
        <v>163</v>
      </c>
      <c r="C2269" s="8">
        <v>46005</v>
      </c>
      <c r="D2269" t="s">
        <v>344</v>
      </c>
      <c r="E2269" t="s">
        <v>337</v>
      </c>
      <c r="F2269" s="12">
        <v>783677</v>
      </c>
      <c r="G2269" s="12" t="str">
        <f>VLOOKUP(Table2[[#This Row],[MemberID]],Table1[#All],3,0)</f>
        <v>Silver</v>
      </c>
      <c r="H2269" s="13">
        <v>78</v>
      </c>
    </row>
    <row r="2270" spans="1:8">
      <c r="A2270" t="s">
        <v>2602</v>
      </c>
      <c r="B2270" t="s">
        <v>252</v>
      </c>
      <c r="C2270" s="8">
        <v>46286</v>
      </c>
      <c r="D2270" t="s">
        <v>332</v>
      </c>
      <c r="E2270" t="s">
        <v>325</v>
      </c>
      <c r="F2270" s="12">
        <v>343997</v>
      </c>
      <c r="G2270" s="12" t="str">
        <f>VLOOKUP(Table2[[#This Row],[MemberID]],Table1[#All],3,0)</f>
        <v>Silver</v>
      </c>
      <c r="H2270" s="13">
        <v>34</v>
      </c>
    </row>
    <row r="2271" spans="1:8">
      <c r="A2271" t="s">
        <v>2603</v>
      </c>
      <c r="B2271" t="s">
        <v>148</v>
      </c>
      <c r="C2271" s="8">
        <v>46045</v>
      </c>
      <c r="D2271" t="s">
        <v>350</v>
      </c>
      <c r="E2271" t="s">
        <v>328</v>
      </c>
      <c r="F2271" s="12">
        <v>383008</v>
      </c>
      <c r="G2271" s="12" t="str">
        <f>VLOOKUP(Table2[[#This Row],[MemberID]],Table1[#All],3,0)</f>
        <v>Gold</v>
      </c>
      <c r="H2271" s="13">
        <v>38</v>
      </c>
    </row>
    <row r="2272" spans="1:8">
      <c r="A2272" t="s">
        <v>2604</v>
      </c>
      <c r="B2272" t="s">
        <v>232</v>
      </c>
      <c r="C2272" s="8">
        <v>46049</v>
      </c>
      <c r="D2272" t="s">
        <v>330</v>
      </c>
      <c r="E2272" t="s">
        <v>337</v>
      </c>
      <c r="F2272" s="12">
        <v>161572</v>
      </c>
      <c r="G2272" s="12" t="str">
        <f>VLOOKUP(Table2[[#This Row],[MemberID]],Table1[#All],3,0)</f>
        <v>Silver</v>
      </c>
      <c r="H2272" s="13">
        <v>16</v>
      </c>
    </row>
    <row r="2273" spans="1:8">
      <c r="A2273" t="s">
        <v>2605</v>
      </c>
      <c r="B2273" t="s">
        <v>184</v>
      </c>
      <c r="C2273" s="8">
        <v>46146</v>
      </c>
      <c r="D2273" t="s">
        <v>327</v>
      </c>
      <c r="E2273" t="s">
        <v>322</v>
      </c>
      <c r="F2273" s="12">
        <v>149956</v>
      </c>
      <c r="G2273" s="12" t="str">
        <f>VLOOKUP(Table2[[#This Row],[MemberID]],Table1[#All],3,0)</f>
        <v>Silver</v>
      </c>
      <c r="H2273" s="13">
        <v>14</v>
      </c>
    </row>
    <row r="2274" spans="1:8">
      <c r="A2274" t="s">
        <v>2606</v>
      </c>
      <c r="B2274" t="s">
        <v>262</v>
      </c>
      <c r="C2274" s="8">
        <v>46154</v>
      </c>
      <c r="D2274" t="s">
        <v>332</v>
      </c>
      <c r="E2274" t="s">
        <v>337</v>
      </c>
      <c r="F2274" s="12">
        <v>135570</v>
      </c>
      <c r="G2274" s="12" t="str">
        <f>VLOOKUP(Table2[[#This Row],[MemberID]],Table1[#All],3,0)</f>
        <v>Gold</v>
      </c>
      <c r="H2274" s="13">
        <v>13</v>
      </c>
    </row>
    <row r="2275" spans="1:8">
      <c r="A2275" t="s">
        <v>2607</v>
      </c>
      <c r="B2275" t="s">
        <v>211</v>
      </c>
      <c r="C2275" s="8">
        <v>45961</v>
      </c>
      <c r="D2275" t="s">
        <v>344</v>
      </c>
      <c r="E2275" t="s">
        <v>334</v>
      </c>
      <c r="F2275" s="12">
        <v>318150</v>
      </c>
      <c r="G2275" s="12" t="str">
        <f>VLOOKUP(Table2[[#This Row],[MemberID]],Table1[#All],3,0)</f>
        <v>Platinum</v>
      </c>
      <c r="H2275" s="13">
        <v>31</v>
      </c>
    </row>
    <row r="2276" spans="1:8">
      <c r="A2276" t="s">
        <v>2608</v>
      </c>
      <c r="B2276" t="s">
        <v>6</v>
      </c>
      <c r="C2276" s="8">
        <v>46066</v>
      </c>
      <c r="D2276" t="s">
        <v>327</v>
      </c>
      <c r="E2276" t="s">
        <v>339</v>
      </c>
      <c r="F2276" s="12">
        <v>263762</v>
      </c>
      <c r="G2276" s="12" t="str">
        <f>VLOOKUP(Table2[[#This Row],[MemberID]],Table1[#All],3,0)</f>
        <v>Silver</v>
      </c>
      <c r="H2276" s="13">
        <v>26</v>
      </c>
    </row>
    <row r="2277" spans="1:8">
      <c r="A2277" t="s">
        <v>2609</v>
      </c>
      <c r="B2277" t="s">
        <v>303</v>
      </c>
      <c r="C2277" s="8">
        <v>45982</v>
      </c>
      <c r="D2277" t="s">
        <v>330</v>
      </c>
      <c r="E2277" t="s">
        <v>334</v>
      </c>
      <c r="F2277" s="12">
        <v>281126</v>
      </c>
      <c r="G2277" s="12" t="str">
        <f>VLOOKUP(Table2[[#This Row],[MemberID]],Table1[#All],3,0)</f>
        <v>Gold</v>
      </c>
      <c r="H2277" s="13">
        <v>28</v>
      </c>
    </row>
    <row r="2278" spans="1:8">
      <c r="A2278" t="s">
        <v>2610</v>
      </c>
      <c r="B2278" t="s">
        <v>6</v>
      </c>
      <c r="C2278" s="8">
        <v>46053</v>
      </c>
      <c r="D2278" t="s">
        <v>332</v>
      </c>
      <c r="E2278" t="s">
        <v>328</v>
      </c>
      <c r="F2278" s="12">
        <v>136475</v>
      </c>
      <c r="G2278" s="12" t="str">
        <f>VLOOKUP(Table2[[#This Row],[MemberID]],Table1[#All],3,0)</f>
        <v>Silver</v>
      </c>
      <c r="H2278" s="13">
        <v>13</v>
      </c>
    </row>
    <row r="2279" spans="1:8">
      <c r="A2279" t="s">
        <v>2611</v>
      </c>
      <c r="B2279" t="s">
        <v>188</v>
      </c>
      <c r="C2279" s="8">
        <v>46134</v>
      </c>
      <c r="D2279" t="s">
        <v>330</v>
      </c>
      <c r="E2279" t="s">
        <v>325</v>
      </c>
      <c r="F2279" s="12">
        <v>634678</v>
      </c>
      <c r="G2279" s="12" t="str">
        <f>VLOOKUP(Table2[[#This Row],[MemberID]],Table1[#All],3,0)</f>
        <v>Silver</v>
      </c>
      <c r="H2279" s="13">
        <v>63</v>
      </c>
    </row>
    <row r="2280" spans="1:8">
      <c r="A2280" t="s">
        <v>2612</v>
      </c>
      <c r="B2280" t="s">
        <v>127</v>
      </c>
      <c r="C2280" s="8">
        <v>46093</v>
      </c>
      <c r="D2280" t="s">
        <v>350</v>
      </c>
      <c r="E2280" t="s">
        <v>337</v>
      </c>
      <c r="F2280" s="12">
        <v>265179</v>
      </c>
      <c r="G2280" s="12" t="str">
        <f>VLOOKUP(Table2[[#This Row],[MemberID]],Table1[#All],3,0)</f>
        <v>Platinum</v>
      </c>
      <c r="H2280" s="13">
        <v>26</v>
      </c>
    </row>
    <row r="2281" spans="1:8">
      <c r="A2281" t="s">
        <v>2613</v>
      </c>
      <c r="B2281" t="s">
        <v>196</v>
      </c>
      <c r="C2281" s="8">
        <v>46063</v>
      </c>
      <c r="D2281" t="s">
        <v>342</v>
      </c>
      <c r="E2281" t="s">
        <v>325</v>
      </c>
      <c r="F2281" s="12">
        <v>390847</v>
      </c>
      <c r="G2281" s="12" t="str">
        <f>VLOOKUP(Table2[[#This Row],[MemberID]],Table1[#All],3,0)</f>
        <v>Gold</v>
      </c>
      <c r="H2281" s="13">
        <v>39</v>
      </c>
    </row>
    <row r="2282" spans="1:8">
      <c r="A2282" t="s">
        <v>2614</v>
      </c>
      <c r="B2282" t="s">
        <v>256</v>
      </c>
      <c r="C2282" s="8">
        <v>46226</v>
      </c>
      <c r="D2282" t="s">
        <v>327</v>
      </c>
      <c r="E2282" t="s">
        <v>322</v>
      </c>
      <c r="F2282" s="12">
        <v>73857</v>
      </c>
      <c r="G2282" s="12" t="str">
        <f>VLOOKUP(Table2[[#This Row],[MemberID]],Table1[#All],3,0)</f>
        <v>Gold</v>
      </c>
      <c r="H2282" s="13">
        <v>7</v>
      </c>
    </row>
    <row r="2283" spans="1:8">
      <c r="A2283" t="s">
        <v>2615</v>
      </c>
      <c r="B2283" t="s">
        <v>229</v>
      </c>
      <c r="C2283" s="8">
        <v>46236</v>
      </c>
      <c r="D2283" t="s">
        <v>342</v>
      </c>
      <c r="E2283" t="s">
        <v>328</v>
      </c>
      <c r="F2283" s="12">
        <v>41069</v>
      </c>
      <c r="G2283" s="12" t="str">
        <f>VLOOKUP(Table2[[#This Row],[MemberID]],Table1[#All],3,0)</f>
        <v>Silver</v>
      </c>
      <c r="H2283" s="13">
        <v>4</v>
      </c>
    </row>
    <row r="2284" spans="1:8">
      <c r="A2284" t="s">
        <v>2616</v>
      </c>
      <c r="B2284" t="s">
        <v>84</v>
      </c>
      <c r="C2284" s="8">
        <v>46260</v>
      </c>
      <c r="D2284" t="s">
        <v>332</v>
      </c>
      <c r="E2284" t="s">
        <v>339</v>
      </c>
      <c r="F2284" s="12">
        <v>459173</v>
      </c>
      <c r="G2284" s="12" t="str">
        <f>VLOOKUP(Table2[[#This Row],[MemberID]],Table1[#All],3,0)</f>
        <v>Silver</v>
      </c>
      <c r="H2284" s="13">
        <v>45</v>
      </c>
    </row>
    <row r="2285" spans="1:8">
      <c r="A2285" t="s">
        <v>2617</v>
      </c>
      <c r="B2285" t="s">
        <v>87</v>
      </c>
      <c r="C2285" s="8">
        <v>46053</v>
      </c>
      <c r="D2285" t="s">
        <v>327</v>
      </c>
      <c r="E2285" t="s">
        <v>334</v>
      </c>
      <c r="F2285" s="12">
        <v>703342</v>
      </c>
      <c r="G2285" s="12" t="str">
        <f>VLOOKUP(Table2[[#This Row],[MemberID]],Table1[#All],3,0)</f>
        <v>Gold</v>
      </c>
      <c r="H2285" s="13">
        <v>70</v>
      </c>
    </row>
    <row r="2286" spans="1:8">
      <c r="A2286" t="s">
        <v>2618</v>
      </c>
      <c r="B2286" t="s">
        <v>310</v>
      </c>
      <c r="C2286" s="8">
        <v>46122</v>
      </c>
      <c r="D2286" t="s">
        <v>342</v>
      </c>
      <c r="E2286" t="s">
        <v>334</v>
      </c>
      <c r="F2286" s="12">
        <v>188027</v>
      </c>
      <c r="G2286" s="12" t="str">
        <f>VLOOKUP(Table2[[#This Row],[MemberID]],Table1[#All],3,0)</f>
        <v>Silver</v>
      </c>
      <c r="H2286" s="13">
        <v>18</v>
      </c>
    </row>
    <row r="2287" spans="1:8">
      <c r="A2287" t="s">
        <v>2619</v>
      </c>
      <c r="B2287" t="s">
        <v>209</v>
      </c>
      <c r="C2287" s="8">
        <v>46058</v>
      </c>
      <c r="D2287" t="s">
        <v>332</v>
      </c>
      <c r="E2287" t="s">
        <v>325</v>
      </c>
      <c r="F2287" s="12">
        <v>594273</v>
      </c>
      <c r="G2287" s="12" t="str">
        <f>VLOOKUP(Table2[[#This Row],[MemberID]],Table1[#All],3,0)</f>
        <v>Gold</v>
      </c>
      <c r="H2287" s="13">
        <v>59</v>
      </c>
    </row>
    <row r="2288" spans="1:8">
      <c r="A2288" t="s">
        <v>2620</v>
      </c>
      <c r="B2288" t="s">
        <v>200</v>
      </c>
      <c r="C2288" s="8">
        <v>45941</v>
      </c>
      <c r="D2288" t="s">
        <v>332</v>
      </c>
      <c r="E2288" t="s">
        <v>322</v>
      </c>
      <c r="F2288" s="12">
        <v>128571</v>
      </c>
      <c r="G2288" s="12" t="str">
        <f>VLOOKUP(Table2[[#This Row],[MemberID]],Table1[#All],3,0)</f>
        <v>Silver</v>
      </c>
      <c r="H2288" s="13">
        <v>12</v>
      </c>
    </row>
    <row r="2289" spans="1:8">
      <c r="A2289" t="s">
        <v>2621</v>
      </c>
      <c r="B2289" t="s">
        <v>153</v>
      </c>
      <c r="C2289" s="8">
        <v>46104</v>
      </c>
      <c r="D2289" t="s">
        <v>342</v>
      </c>
      <c r="E2289" t="s">
        <v>325</v>
      </c>
      <c r="F2289" s="12">
        <v>305102</v>
      </c>
      <c r="G2289" s="12" t="str">
        <f>VLOOKUP(Table2[[#This Row],[MemberID]],Table1[#All],3,0)</f>
        <v>Silver</v>
      </c>
      <c r="H2289" s="13">
        <v>30</v>
      </c>
    </row>
    <row r="2290" spans="1:8">
      <c r="A2290" t="s">
        <v>2622</v>
      </c>
      <c r="B2290" t="s">
        <v>90</v>
      </c>
      <c r="C2290" s="8">
        <v>46077</v>
      </c>
      <c r="D2290" t="s">
        <v>344</v>
      </c>
      <c r="E2290" t="s">
        <v>339</v>
      </c>
      <c r="F2290" s="12">
        <v>274438</v>
      </c>
      <c r="G2290" s="12" t="str">
        <f>VLOOKUP(Table2[[#This Row],[MemberID]],Table1[#All],3,0)</f>
        <v>Silver</v>
      </c>
      <c r="H2290" s="13">
        <v>27</v>
      </c>
    </row>
    <row r="2291" spans="1:8">
      <c r="A2291" t="s">
        <v>2623</v>
      </c>
      <c r="B2291" t="s">
        <v>101</v>
      </c>
      <c r="C2291" s="8">
        <v>46106</v>
      </c>
      <c r="D2291" t="s">
        <v>321</v>
      </c>
      <c r="E2291" t="s">
        <v>328</v>
      </c>
      <c r="F2291" s="12">
        <v>114821</v>
      </c>
      <c r="G2291" s="12" t="str">
        <f>VLOOKUP(Table2[[#This Row],[MemberID]],Table1[#All],3,0)</f>
        <v>Gold</v>
      </c>
      <c r="H2291" s="13">
        <v>11</v>
      </c>
    </row>
    <row r="2292" spans="1:8">
      <c r="A2292" t="s">
        <v>2624</v>
      </c>
      <c r="B2292" t="s">
        <v>75</v>
      </c>
      <c r="C2292" s="8">
        <v>46029</v>
      </c>
      <c r="D2292" t="s">
        <v>350</v>
      </c>
      <c r="E2292" t="s">
        <v>339</v>
      </c>
      <c r="F2292" s="12">
        <v>199420</v>
      </c>
      <c r="G2292" s="12" t="str">
        <f>VLOOKUP(Table2[[#This Row],[MemberID]],Table1[#All],3,0)</f>
        <v>Silver</v>
      </c>
      <c r="H2292" s="13">
        <v>19</v>
      </c>
    </row>
    <row r="2293" spans="1:8">
      <c r="A2293" t="s">
        <v>2625</v>
      </c>
      <c r="B2293" t="s">
        <v>109</v>
      </c>
      <c r="C2293" s="8">
        <v>45967</v>
      </c>
      <c r="D2293" t="s">
        <v>330</v>
      </c>
      <c r="E2293" t="s">
        <v>325</v>
      </c>
      <c r="F2293" s="12">
        <v>244709</v>
      </c>
      <c r="G2293" s="12" t="str">
        <f>VLOOKUP(Table2[[#This Row],[MemberID]],Table1[#All],3,0)</f>
        <v>Silver</v>
      </c>
      <c r="H2293" s="13">
        <v>24</v>
      </c>
    </row>
    <row r="2294" spans="1:8">
      <c r="A2294" t="s">
        <v>2626</v>
      </c>
      <c r="B2294" t="s">
        <v>183</v>
      </c>
      <c r="C2294" s="8">
        <v>46138</v>
      </c>
      <c r="D2294" t="s">
        <v>344</v>
      </c>
      <c r="E2294" t="s">
        <v>337</v>
      </c>
      <c r="F2294" s="12">
        <v>455807</v>
      </c>
      <c r="G2294" s="12" t="str">
        <f>VLOOKUP(Table2[[#This Row],[MemberID]],Table1[#All],3,0)</f>
        <v>Gold</v>
      </c>
      <c r="H2294" s="13">
        <v>45</v>
      </c>
    </row>
    <row r="2295" spans="1:8">
      <c r="A2295" t="s">
        <v>2627</v>
      </c>
      <c r="B2295" t="s">
        <v>306</v>
      </c>
      <c r="C2295" s="8">
        <v>46143</v>
      </c>
      <c r="D2295" t="s">
        <v>332</v>
      </c>
      <c r="E2295" t="s">
        <v>334</v>
      </c>
      <c r="F2295" s="12">
        <v>505689</v>
      </c>
      <c r="G2295" s="12" t="str">
        <f>VLOOKUP(Table2[[#This Row],[MemberID]],Table1[#All],3,0)</f>
        <v>Silver</v>
      </c>
      <c r="H2295" s="13">
        <v>50</v>
      </c>
    </row>
    <row r="2296" spans="1:8">
      <c r="A2296" t="s">
        <v>2628</v>
      </c>
      <c r="B2296" t="s">
        <v>59</v>
      </c>
      <c r="C2296" s="8">
        <v>46213</v>
      </c>
      <c r="D2296" t="s">
        <v>350</v>
      </c>
      <c r="E2296" t="s">
        <v>339</v>
      </c>
      <c r="F2296" s="12">
        <v>406556</v>
      </c>
      <c r="G2296" s="12" t="str">
        <f>VLOOKUP(Table2[[#This Row],[MemberID]],Table1[#All],3,0)</f>
        <v>Platinum</v>
      </c>
      <c r="H2296" s="13">
        <v>40</v>
      </c>
    </row>
    <row r="2297" spans="1:8">
      <c r="A2297" t="s">
        <v>2629</v>
      </c>
      <c r="B2297" t="s">
        <v>262</v>
      </c>
      <c r="C2297" s="8">
        <v>46059</v>
      </c>
      <c r="D2297" t="s">
        <v>321</v>
      </c>
      <c r="E2297" t="s">
        <v>322</v>
      </c>
      <c r="F2297" s="12">
        <v>519649</v>
      </c>
      <c r="G2297" s="12" t="str">
        <f>VLOOKUP(Table2[[#This Row],[MemberID]],Table1[#All],3,0)</f>
        <v>Gold</v>
      </c>
      <c r="H2297" s="13">
        <v>51</v>
      </c>
    </row>
    <row r="2298" spans="1:8">
      <c r="A2298" t="s">
        <v>2630</v>
      </c>
      <c r="B2298" t="s">
        <v>191</v>
      </c>
      <c r="C2298" s="8">
        <v>46236</v>
      </c>
      <c r="D2298" t="s">
        <v>344</v>
      </c>
      <c r="E2298" t="s">
        <v>328</v>
      </c>
      <c r="F2298" s="12">
        <v>454673</v>
      </c>
      <c r="G2298" s="12" t="str">
        <f>VLOOKUP(Table2[[#This Row],[MemberID]],Table1[#All],3,0)</f>
        <v>Gold</v>
      </c>
      <c r="H2298" s="13">
        <v>45</v>
      </c>
    </row>
    <row r="2299" spans="1:8">
      <c r="A2299" t="s">
        <v>2631</v>
      </c>
      <c r="B2299" t="s">
        <v>60</v>
      </c>
      <c r="C2299" s="8">
        <v>46140</v>
      </c>
      <c r="D2299" t="s">
        <v>342</v>
      </c>
      <c r="E2299" t="s">
        <v>328</v>
      </c>
      <c r="F2299" s="12">
        <v>174946</v>
      </c>
      <c r="G2299" s="12" t="str">
        <f>VLOOKUP(Table2[[#This Row],[MemberID]],Table1[#All],3,0)</f>
        <v>Silver</v>
      </c>
      <c r="H2299" s="13">
        <v>17</v>
      </c>
    </row>
    <row r="2300" spans="1:8">
      <c r="A2300" t="s">
        <v>2632</v>
      </c>
      <c r="B2300" t="s">
        <v>143</v>
      </c>
      <c r="C2300" s="8">
        <v>45976</v>
      </c>
      <c r="D2300" t="s">
        <v>350</v>
      </c>
      <c r="E2300" t="s">
        <v>339</v>
      </c>
      <c r="F2300" s="12">
        <v>83165</v>
      </c>
      <c r="G2300" s="12" t="str">
        <f>VLOOKUP(Table2[[#This Row],[MemberID]],Table1[#All],3,0)</f>
        <v>Silver</v>
      </c>
      <c r="H2300" s="13">
        <v>8</v>
      </c>
    </row>
    <row r="2301" spans="1:8">
      <c r="A2301" t="s">
        <v>2633</v>
      </c>
      <c r="B2301" t="s">
        <v>276</v>
      </c>
      <c r="C2301" s="8">
        <v>45937</v>
      </c>
      <c r="D2301" t="s">
        <v>332</v>
      </c>
      <c r="E2301" t="s">
        <v>328</v>
      </c>
      <c r="F2301" s="12">
        <v>233447</v>
      </c>
      <c r="G2301" s="12" t="str">
        <f>VLOOKUP(Table2[[#This Row],[MemberID]],Table1[#All],3,0)</f>
        <v>Gold</v>
      </c>
      <c r="H2301" s="13">
        <v>23</v>
      </c>
    </row>
    <row r="2302" spans="1:8">
      <c r="A2302" t="s">
        <v>2634</v>
      </c>
      <c r="B2302" t="s">
        <v>294</v>
      </c>
      <c r="C2302" s="8">
        <v>46174</v>
      </c>
      <c r="D2302" t="s">
        <v>327</v>
      </c>
      <c r="E2302" t="s">
        <v>328</v>
      </c>
      <c r="F2302" s="12">
        <v>258913</v>
      </c>
      <c r="G2302" s="12" t="str">
        <f>VLOOKUP(Table2[[#This Row],[MemberID]],Table1[#All],3,0)</f>
        <v>Gold</v>
      </c>
      <c r="H2302" s="13">
        <v>25</v>
      </c>
    </row>
    <row r="2303" spans="1:8">
      <c r="A2303" t="s">
        <v>2635</v>
      </c>
      <c r="B2303" t="s">
        <v>154</v>
      </c>
      <c r="C2303" s="8">
        <v>46137</v>
      </c>
      <c r="D2303" t="s">
        <v>332</v>
      </c>
      <c r="E2303" t="s">
        <v>322</v>
      </c>
      <c r="F2303" s="12">
        <v>861276</v>
      </c>
      <c r="G2303" s="12" t="str">
        <f>VLOOKUP(Table2[[#This Row],[MemberID]],Table1[#All],3,0)</f>
        <v>Silver</v>
      </c>
      <c r="H2303" s="13">
        <v>86</v>
      </c>
    </row>
    <row r="2304" spans="1:8">
      <c r="A2304" t="s">
        <v>2636</v>
      </c>
      <c r="B2304" t="s">
        <v>259</v>
      </c>
      <c r="C2304" s="8">
        <v>46069</v>
      </c>
      <c r="D2304" t="s">
        <v>324</v>
      </c>
      <c r="E2304" t="s">
        <v>322</v>
      </c>
      <c r="F2304" s="12">
        <v>76961</v>
      </c>
      <c r="G2304" s="12" t="str">
        <f>VLOOKUP(Table2[[#This Row],[MemberID]],Table1[#All],3,0)</f>
        <v>Gold</v>
      </c>
      <c r="H2304" s="13">
        <v>7</v>
      </c>
    </row>
    <row r="2305" spans="1:8">
      <c r="A2305" t="s">
        <v>2637</v>
      </c>
      <c r="B2305" t="s">
        <v>214</v>
      </c>
      <c r="C2305" s="8">
        <v>46266</v>
      </c>
      <c r="D2305" t="s">
        <v>321</v>
      </c>
      <c r="E2305" t="s">
        <v>322</v>
      </c>
      <c r="F2305" s="12">
        <v>822663</v>
      </c>
      <c r="G2305" s="12" t="str">
        <f>VLOOKUP(Table2[[#This Row],[MemberID]],Table1[#All],3,0)</f>
        <v>Silver</v>
      </c>
      <c r="H2305" s="13">
        <v>82</v>
      </c>
    </row>
    <row r="2306" spans="1:8">
      <c r="A2306" t="s">
        <v>2638</v>
      </c>
      <c r="B2306" t="s">
        <v>112</v>
      </c>
      <c r="C2306" s="8">
        <v>46019</v>
      </c>
      <c r="D2306" t="s">
        <v>321</v>
      </c>
      <c r="E2306" t="s">
        <v>322</v>
      </c>
      <c r="F2306" s="12">
        <v>262135</v>
      </c>
      <c r="G2306" s="12" t="str">
        <f>VLOOKUP(Table2[[#This Row],[MemberID]],Table1[#All],3,0)</f>
        <v>Silver</v>
      </c>
      <c r="H2306" s="13">
        <v>26</v>
      </c>
    </row>
    <row r="2307" spans="1:8">
      <c r="A2307" t="s">
        <v>2639</v>
      </c>
      <c r="B2307" t="s">
        <v>92</v>
      </c>
      <c r="C2307" s="8">
        <v>46231</v>
      </c>
      <c r="D2307" t="s">
        <v>350</v>
      </c>
      <c r="E2307" t="s">
        <v>337</v>
      </c>
      <c r="F2307" s="12">
        <v>153428</v>
      </c>
      <c r="G2307" s="12" t="str">
        <f>VLOOKUP(Table2[[#This Row],[MemberID]],Table1[#All],3,0)</f>
        <v>Silver</v>
      </c>
      <c r="H2307" s="13">
        <v>15</v>
      </c>
    </row>
    <row r="2308" spans="1:8">
      <c r="A2308" t="s">
        <v>2640</v>
      </c>
      <c r="B2308" t="s">
        <v>103</v>
      </c>
      <c r="C2308" s="8">
        <v>45935</v>
      </c>
      <c r="D2308" t="s">
        <v>321</v>
      </c>
      <c r="E2308" t="s">
        <v>328</v>
      </c>
      <c r="F2308" s="12">
        <v>200135</v>
      </c>
      <c r="G2308" s="12" t="str">
        <f>VLOOKUP(Table2[[#This Row],[MemberID]],Table1[#All],3,0)</f>
        <v>Silver</v>
      </c>
      <c r="H2308" s="13">
        <v>20</v>
      </c>
    </row>
    <row r="2309" spans="1:8">
      <c r="A2309" t="s">
        <v>2641</v>
      </c>
      <c r="B2309" t="s">
        <v>51</v>
      </c>
      <c r="C2309" s="8">
        <v>46205</v>
      </c>
      <c r="D2309" t="s">
        <v>344</v>
      </c>
      <c r="E2309" t="s">
        <v>337</v>
      </c>
      <c r="F2309" s="12">
        <v>88904</v>
      </c>
      <c r="G2309" s="12" t="str">
        <f>VLOOKUP(Table2[[#This Row],[MemberID]],Table1[#All],3,0)</f>
        <v>Gold</v>
      </c>
      <c r="H2309" s="13">
        <v>8</v>
      </c>
    </row>
    <row r="2310" spans="1:8">
      <c r="A2310" t="s">
        <v>2642</v>
      </c>
      <c r="B2310" t="s">
        <v>65</v>
      </c>
      <c r="C2310" s="8">
        <v>45956</v>
      </c>
      <c r="D2310" t="s">
        <v>324</v>
      </c>
      <c r="E2310" t="s">
        <v>325</v>
      </c>
      <c r="F2310" s="12">
        <v>320521</v>
      </c>
      <c r="G2310" s="12" t="str">
        <f>VLOOKUP(Table2[[#This Row],[MemberID]],Table1[#All],3,0)</f>
        <v>Gold</v>
      </c>
      <c r="H2310" s="13">
        <v>32</v>
      </c>
    </row>
    <row r="2311" spans="1:8">
      <c r="A2311" t="s">
        <v>2643</v>
      </c>
      <c r="B2311" t="s">
        <v>182</v>
      </c>
      <c r="C2311" s="8">
        <v>46116</v>
      </c>
      <c r="D2311" t="s">
        <v>342</v>
      </c>
      <c r="E2311" t="s">
        <v>337</v>
      </c>
      <c r="F2311" s="12">
        <v>155805</v>
      </c>
      <c r="G2311" s="12" t="str">
        <f>VLOOKUP(Table2[[#This Row],[MemberID]],Table1[#All],3,0)</f>
        <v>Silver</v>
      </c>
      <c r="H2311" s="13">
        <v>15</v>
      </c>
    </row>
    <row r="2312" spans="1:8">
      <c r="A2312" t="s">
        <v>2644</v>
      </c>
      <c r="B2312" t="s">
        <v>184</v>
      </c>
      <c r="C2312" s="8">
        <v>46241</v>
      </c>
      <c r="D2312" t="s">
        <v>342</v>
      </c>
      <c r="E2312" t="s">
        <v>328</v>
      </c>
      <c r="F2312" s="12">
        <v>124872</v>
      </c>
      <c r="G2312" s="12" t="str">
        <f>VLOOKUP(Table2[[#This Row],[MemberID]],Table1[#All],3,0)</f>
        <v>Silver</v>
      </c>
      <c r="H2312" s="13">
        <v>12</v>
      </c>
    </row>
    <row r="2313" spans="1:8">
      <c r="A2313" t="s">
        <v>2645</v>
      </c>
      <c r="B2313" t="s">
        <v>169</v>
      </c>
      <c r="C2313" s="8">
        <v>45968</v>
      </c>
      <c r="D2313" t="s">
        <v>344</v>
      </c>
      <c r="E2313" t="s">
        <v>328</v>
      </c>
      <c r="F2313" s="12">
        <v>447557</v>
      </c>
      <c r="G2313" s="12" t="str">
        <f>VLOOKUP(Table2[[#This Row],[MemberID]],Table1[#All],3,0)</f>
        <v>Gold</v>
      </c>
      <c r="H2313" s="13">
        <v>44</v>
      </c>
    </row>
    <row r="2314" spans="1:8">
      <c r="A2314" t="s">
        <v>2646</v>
      </c>
      <c r="B2314" t="s">
        <v>27</v>
      </c>
      <c r="C2314" s="8">
        <v>45993</v>
      </c>
      <c r="D2314" t="s">
        <v>332</v>
      </c>
      <c r="E2314" t="s">
        <v>334</v>
      </c>
      <c r="F2314" s="12">
        <v>256891</v>
      </c>
      <c r="G2314" s="12" t="str">
        <f>VLOOKUP(Table2[[#This Row],[MemberID]],Table1[#All],3,0)</f>
        <v>Silver</v>
      </c>
      <c r="H2314" s="13">
        <v>25</v>
      </c>
    </row>
    <row r="2315" spans="1:8">
      <c r="A2315" t="s">
        <v>2647</v>
      </c>
      <c r="B2315" t="s">
        <v>29</v>
      </c>
      <c r="C2315" s="8">
        <v>46202</v>
      </c>
      <c r="D2315" t="s">
        <v>330</v>
      </c>
      <c r="E2315" t="s">
        <v>325</v>
      </c>
      <c r="F2315" s="12">
        <v>144531</v>
      </c>
      <c r="G2315" s="12" t="str">
        <f>VLOOKUP(Table2[[#This Row],[MemberID]],Table1[#All],3,0)</f>
        <v>Gold</v>
      </c>
      <c r="H2315" s="13">
        <v>14</v>
      </c>
    </row>
    <row r="2316" spans="1:8">
      <c r="A2316" t="s">
        <v>2648</v>
      </c>
      <c r="B2316" t="s">
        <v>135</v>
      </c>
      <c r="C2316" s="8">
        <v>46174</v>
      </c>
      <c r="D2316" t="s">
        <v>324</v>
      </c>
      <c r="E2316" t="s">
        <v>334</v>
      </c>
      <c r="F2316" s="12">
        <v>246394</v>
      </c>
      <c r="G2316" s="12" t="str">
        <f>VLOOKUP(Table2[[#This Row],[MemberID]],Table1[#All],3,0)</f>
        <v>Silver</v>
      </c>
      <c r="H2316" s="13">
        <v>24</v>
      </c>
    </row>
    <row r="2317" spans="1:8">
      <c r="A2317" t="s">
        <v>2649</v>
      </c>
      <c r="B2317" t="s">
        <v>129</v>
      </c>
      <c r="C2317" s="8">
        <v>46081</v>
      </c>
      <c r="D2317" t="s">
        <v>344</v>
      </c>
      <c r="E2317" t="s">
        <v>334</v>
      </c>
      <c r="F2317" s="12">
        <v>46480</v>
      </c>
      <c r="G2317" s="12" t="str">
        <f>VLOOKUP(Table2[[#This Row],[MemberID]],Table1[#All],3,0)</f>
        <v>Silver</v>
      </c>
      <c r="H2317" s="13">
        <v>4</v>
      </c>
    </row>
    <row r="2318" spans="1:8">
      <c r="A2318" t="s">
        <v>2650</v>
      </c>
      <c r="B2318" t="s">
        <v>153</v>
      </c>
      <c r="C2318" s="8">
        <v>46269</v>
      </c>
      <c r="D2318" t="s">
        <v>330</v>
      </c>
      <c r="E2318" t="s">
        <v>325</v>
      </c>
      <c r="F2318" s="12">
        <v>916888</v>
      </c>
      <c r="G2318" s="12" t="str">
        <f>VLOOKUP(Table2[[#This Row],[MemberID]],Table1[#All],3,0)</f>
        <v>Silver</v>
      </c>
      <c r="H2318" s="13">
        <v>91</v>
      </c>
    </row>
    <row r="2319" spans="1:8">
      <c r="A2319" t="s">
        <v>2651</v>
      </c>
      <c r="B2319" t="s">
        <v>47</v>
      </c>
      <c r="C2319" s="8">
        <v>46161</v>
      </c>
      <c r="D2319" t="s">
        <v>350</v>
      </c>
      <c r="E2319" t="s">
        <v>325</v>
      </c>
      <c r="F2319" s="12">
        <v>537768</v>
      </c>
      <c r="G2319" s="12" t="str">
        <f>VLOOKUP(Table2[[#This Row],[MemberID]],Table1[#All],3,0)</f>
        <v>Silver</v>
      </c>
      <c r="H2319" s="13">
        <v>53</v>
      </c>
    </row>
    <row r="2320" spans="1:8">
      <c r="A2320" t="s">
        <v>2652</v>
      </c>
      <c r="B2320" t="s">
        <v>150</v>
      </c>
      <c r="C2320" s="8">
        <v>46032</v>
      </c>
      <c r="D2320" t="s">
        <v>330</v>
      </c>
      <c r="E2320" t="s">
        <v>334</v>
      </c>
      <c r="F2320" s="12">
        <v>589379</v>
      </c>
      <c r="G2320" s="12" t="str">
        <f>VLOOKUP(Table2[[#This Row],[MemberID]],Table1[#All],3,0)</f>
        <v>Gold</v>
      </c>
      <c r="H2320" s="13">
        <v>58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901"/>
  <sheetViews>
    <sheetView workbookViewId="0">
      <selection activeCell="F2" sqref="F2"/>
    </sheetView>
  </sheetViews>
  <sheetFormatPr baseColWidth="10" defaultColWidth="8.83203125" defaultRowHeight="15"/>
  <cols>
    <col min="1" max="1" width="14.83203125" customWidth="1"/>
    <col min="2" max="2" width="12" customWidth="1"/>
    <col min="3" max="3" width="10.1640625" style="16" bestFit="1" customWidth="1"/>
    <col min="4" max="4" width="11" customWidth="1"/>
    <col min="5" max="5" width="38.5" bestFit="1" customWidth="1"/>
    <col min="6" max="6" width="16.33203125" style="18" customWidth="1"/>
    <col min="7" max="7" width="9.83203125" bestFit="1" customWidth="1"/>
  </cols>
  <sheetData>
    <row r="1" spans="1:8" ht="16">
      <c r="A1" s="14" t="s">
        <v>2653</v>
      </c>
      <c r="B1" s="14" t="s">
        <v>0</v>
      </c>
      <c r="C1" s="15" t="s">
        <v>315</v>
      </c>
      <c r="D1" s="14" t="s">
        <v>2654</v>
      </c>
      <c r="E1" s="14" t="s">
        <v>2655</v>
      </c>
      <c r="F1" s="17" t="s">
        <v>2656</v>
      </c>
      <c r="G1" s="14" t="s">
        <v>2657</v>
      </c>
      <c r="H1" s="14" t="s">
        <v>3661</v>
      </c>
    </row>
    <row r="2" spans="1:8" ht="16">
      <c r="A2" s="14" t="s">
        <v>2658</v>
      </c>
      <c r="B2" s="14" t="s">
        <v>30</v>
      </c>
      <c r="C2" s="15">
        <v>46259</v>
      </c>
      <c r="D2" s="14" t="s">
        <v>2659</v>
      </c>
      <c r="E2" s="14" t="s">
        <v>2660</v>
      </c>
      <c r="F2" s="17">
        <v>3500</v>
      </c>
      <c r="G2" s="14" t="s">
        <v>2661</v>
      </c>
      <c r="H2" s="14"/>
    </row>
    <row r="3" spans="1:8" ht="16">
      <c r="A3" s="14" t="s">
        <v>2662</v>
      </c>
      <c r="B3" s="14" t="s">
        <v>93</v>
      </c>
      <c r="C3" s="15">
        <v>46253</v>
      </c>
      <c r="D3" s="14" t="s">
        <v>2663</v>
      </c>
      <c r="E3" s="14" t="s">
        <v>3630</v>
      </c>
      <c r="F3" s="17">
        <v>1500</v>
      </c>
      <c r="G3" s="14" t="s">
        <v>2661</v>
      </c>
      <c r="H3" s="14"/>
    </row>
    <row r="4" spans="1:8" ht="16">
      <c r="A4" s="14" t="s">
        <v>2664</v>
      </c>
      <c r="B4" s="14" t="s">
        <v>214</v>
      </c>
      <c r="C4" s="15">
        <v>46259</v>
      </c>
      <c r="D4" s="14" t="s">
        <v>2665</v>
      </c>
      <c r="E4" s="14" t="s">
        <v>2666</v>
      </c>
      <c r="F4" s="17">
        <v>2500</v>
      </c>
      <c r="G4" s="14" t="s">
        <v>2661</v>
      </c>
      <c r="H4" s="14"/>
    </row>
    <row r="5" spans="1:8" ht="16">
      <c r="A5" s="14" t="s">
        <v>2667</v>
      </c>
      <c r="B5" s="14" t="s">
        <v>70</v>
      </c>
      <c r="C5" s="15">
        <v>45932</v>
      </c>
      <c r="D5" s="14" t="s">
        <v>2668</v>
      </c>
      <c r="E5" s="14" t="s">
        <v>2669</v>
      </c>
      <c r="F5" s="17">
        <v>4000</v>
      </c>
      <c r="G5" s="14" t="s">
        <v>2661</v>
      </c>
      <c r="H5" s="14"/>
    </row>
    <row r="6" spans="1:8" ht="16">
      <c r="A6" s="14" t="s">
        <v>2670</v>
      </c>
      <c r="B6" s="14" t="s">
        <v>221</v>
      </c>
      <c r="C6" s="15">
        <v>46033</v>
      </c>
      <c r="D6" s="14" t="s">
        <v>2671</v>
      </c>
      <c r="E6" s="14" t="s">
        <v>2672</v>
      </c>
      <c r="F6" s="17">
        <v>3000</v>
      </c>
      <c r="G6" s="14" t="s">
        <v>2661</v>
      </c>
      <c r="H6" s="14"/>
    </row>
    <row r="7" spans="1:8" ht="16">
      <c r="A7" s="14" t="s">
        <v>2673</v>
      </c>
      <c r="B7" s="14" t="s">
        <v>280</v>
      </c>
      <c r="C7" s="15">
        <v>46091</v>
      </c>
      <c r="D7" s="14" t="s">
        <v>2674</v>
      </c>
      <c r="E7" s="14" t="s">
        <v>2675</v>
      </c>
      <c r="F7" s="17">
        <v>20000</v>
      </c>
      <c r="G7" s="14" t="s">
        <v>2676</v>
      </c>
      <c r="H7" s="14"/>
    </row>
    <row r="8" spans="1:8" ht="16">
      <c r="A8" s="14" t="s">
        <v>2677</v>
      </c>
      <c r="B8" s="14" t="s">
        <v>179</v>
      </c>
      <c r="C8" s="15">
        <v>45973</v>
      </c>
      <c r="D8" s="14" t="s">
        <v>2663</v>
      </c>
      <c r="E8" s="14" t="s">
        <v>3630</v>
      </c>
      <c r="F8" s="17">
        <v>1500</v>
      </c>
      <c r="G8" s="14" t="s">
        <v>2661</v>
      </c>
      <c r="H8" s="14"/>
    </row>
    <row r="9" spans="1:8" ht="16">
      <c r="A9" s="14" t="s">
        <v>2678</v>
      </c>
      <c r="B9" s="14" t="s">
        <v>80</v>
      </c>
      <c r="C9" s="15">
        <v>46011</v>
      </c>
      <c r="D9" s="14" t="s">
        <v>2668</v>
      </c>
      <c r="E9" s="14" t="s">
        <v>2669</v>
      </c>
      <c r="F9" s="17">
        <v>4000</v>
      </c>
      <c r="G9" s="14" t="s">
        <v>2661</v>
      </c>
      <c r="H9" s="14"/>
    </row>
    <row r="10" spans="1:8" ht="16">
      <c r="A10" s="14" t="s">
        <v>2679</v>
      </c>
      <c r="B10" s="14" t="s">
        <v>62</v>
      </c>
      <c r="C10" s="15">
        <v>46195</v>
      </c>
      <c r="D10" s="14" t="s">
        <v>2674</v>
      </c>
      <c r="E10" s="14" t="s">
        <v>2675</v>
      </c>
      <c r="F10" s="17">
        <v>20000</v>
      </c>
      <c r="G10" s="14" t="s">
        <v>2661</v>
      </c>
      <c r="H10" s="14"/>
    </row>
    <row r="11" spans="1:8" ht="16">
      <c r="A11" s="14" t="s">
        <v>2680</v>
      </c>
      <c r="B11" s="14" t="s">
        <v>293</v>
      </c>
      <c r="C11" s="15">
        <v>46235</v>
      </c>
      <c r="D11" s="14" t="s">
        <v>2665</v>
      </c>
      <c r="E11" s="14" t="s">
        <v>2666</v>
      </c>
      <c r="F11" s="17">
        <v>2500</v>
      </c>
      <c r="G11" s="14" t="s">
        <v>2661</v>
      </c>
      <c r="H11" s="14"/>
    </row>
    <row r="12" spans="1:8" ht="16">
      <c r="A12" s="14" t="s">
        <v>2681</v>
      </c>
      <c r="B12" s="14" t="s">
        <v>61</v>
      </c>
      <c r="C12" s="15">
        <v>46094</v>
      </c>
      <c r="D12" s="14" t="s">
        <v>2682</v>
      </c>
      <c r="E12" s="14" t="s">
        <v>2683</v>
      </c>
      <c r="F12" s="17">
        <v>6000</v>
      </c>
      <c r="G12" s="14" t="s">
        <v>2661</v>
      </c>
      <c r="H12" s="14"/>
    </row>
    <row r="13" spans="1:8" ht="16">
      <c r="A13" s="14" t="s">
        <v>2684</v>
      </c>
      <c r="B13" s="14" t="s">
        <v>190</v>
      </c>
      <c r="C13" s="15">
        <v>46175</v>
      </c>
      <c r="D13" s="14" t="s">
        <v>2685</v>
      </c>
      <c r="E13" s="14" t="s">
        <v>2686</v>
      </c>
      <c r="F13" s="17">
        <v>5000</v>
      </c>
      <c r="G13" s="14" t="s">
        <v>2661</v>
      </c>
      <c r="H13" s="14"/>
    </row>
    <row r="14" spans="1:8" ht="16">
      <c r="A14" s="14" t="s">
        <v>2687</v>
      </c>
      <c r="B14" s="14" t="s">
        <v>230</v>
      </c>
      <c r="C14" s="15">
        <v>46064</v>
      </c>
      <c r="D14" s="14" t="s">
        <v>2688</v>
      </c>
      <c r="E14" s="14" t="s">
        <v>2689</v>
      </c>
      <c r="F14" s="17">
        <v>8000</v>
      </c>
      <c r="G14" s="14" t="s">
        <v>2661</v>
      </c>
      <c r="H14" s="14"/>
    </row>
    <row r="15" spans="1:8" ht="16">
      <c r="A15" s="14" t="s">
        <v>2690</v>
      </c>
      <c r="B15" s="14" t="s">
        <v>63</v>
      </c>
      <c r="C15" s="15">
        <v>46282</v>
      </c>
      <c r="D15" s="14" t="s">
        <v>2674</v>
      </c>
      <c r="E15" s="14" t="s">
        <v>2675</v>
      </c>
      <c r="F15" s="17">
        <v>20000</v>
      </c>
      <c r="G15" s="14" t="s">
        <v>2676</v>
      </c>
      <c r="H15" s="14"/>
    </row>
    <row r="16" spans="1:8" ht="16">
      <c r="A16" s="14" t="s">
        <v>2691</v>
      </c>
      <c r="B16" s="14" t="s">
        <v>81</v>
      </c>
      <c r="C16" s="15">
        <v>46098</v>
      </c>
      <c r="D16" s="14" t="s">
        <v>2692</v>
      </c>
      <c r="E16" s="14" t="s">
        <v>2693</v>
      </c>
      <c r="F16" s="17">
        <v>10000</v>
      </c>
      <c r="G16" s="14" t="s">
        <v>2661</v>
      </c>
      <c r="H16" s="14"/>
    </row>
    <row r="17" spans="1:8" ht="16">
      <c r="A17" s="14" t="s">
        <v>2694</v>
      </c>
      <c r="B17" s="14" t="s">
        <v>108</v>
      </c>
      <c r="C17" s="15">
        <v>46032</v>
      </c>
      <c r="D17" s="14" t="s">
        <v>2682</v>
      </c>
      <c r="E17" s="14" t="s">
        <v>2683</v>
      </c>
      <c r="F17" s="17">
        <v>6000</v>
      </c>
      <c r="G17" s="14" t="s">
        <v>2661</v>
      </c>
      <c r="H17" s="14"/>
    </row>
    <row r="18" spans="1:8" ht="16">
      <c r="A18" s="14" t="s">
        <v>2695</v>
      </c>
      <c r="B18" s="14" t="s">
        <v>179</v>
      </c>
      <c r="C18" s="15">
        <v>46143</v>
      </c>
      <c r="D18" s="14" t="s">
        <v>2671</v>
      </c>
      <c r="E18" s="14" t="s">
        <v>2672</v>
      </c>
      <c r="F18" s="17">
        <v>3000</v>
      </c>
      <c r="G18" s="14" t="s">
        <v>2661</v>
      </c>
      <c r="H18" s="14"/>
    </row>
    <row r="19" spans="1:8" ht="16">
      <c r="A19" s="14" t="s">
        <v>2696</v>
      </c>
      <c r="B19" s="14" t="s">
        <v>83</v>
      </c>
      <c r="C19" s="15">
        <v>46024</v>
      </c>
      <c r="D19" s="14" t="s">
        <v>2663</v>
      </c>
      <c r="E19" s="14" t="s">
        <v>3630</v>
      </c>
      <c r="F19" s="17">
        <v>1500</v>
      </c>
      <c r="G19" s="14" t="s">
        <v>2661</v>
      </c>
      <c r="H19" s="14"/>
    </row>
    <row r="20" spans="1:8" ht="16">
      <c r="A20" s="14" t="s">
        <v>2697</v>
      </c>
      <c r="B20" s="14" t="s">
        <v>45</v>
      </c>
      <c r="C20" s="15">
        <v>46124</v>
      </c>
      <c r="D20" s="14" t="s">
        <v>2674</v>
      </c>
      <c r="E20" s="14" t="s">
        <v>2675</v>
      </c>
      <c r="F20" s="17">
        <v>20000</v>
      </c>
      <c r="G20" s="14" t="s">
        <v>2676</v>
      </c>
      <c r="H20" s="14"/>
    </row>
    <row r="21" spans="1:8" ht="16">
      <c r="A21" s="14" t="s">
        <v>2698</v>
      </c>
      <c r="B21" s="14" t="s">
        <v>194</v>
      </c>
      <c r="C21" s="15">
        <v>46045</v>
      </c>
      <c r="D21" s="14" t="s">
        <v>2671</v>
      </c>
      <c r="E21" s="14" t="s">
        <v>2672</v>
      </c>
      <c r="F21" s="17">
        <v>3000</v>
      </c>
      <c r="G21" s="14" t="s">
        <v>2661</v>
      </c>
      <c r="H21" s="14"/>
    </row>
    <row r="22" spans="1:8" ht="16">
      <c r="A22" s="14" t="s">
        <v>2699</v>
      </c>
      <c r="B22" s="14" t="s">
        <v>58</v>
      </c>
      <c r="C22" s="15">
        <v>45942</v>
      </c>
      <c r="D22" s="14" t="s">
        <v>2688</v>
      </c>
      <c r="E22" s="14" t="s">
        <v>2689</v>
      </c>
      <c r="F22" s="17">
        <v>8000</v>
      </c>
      <c r="G22" s="14" t="s">
        <v>2676</v>
      </c>
      <c r="H22" s="14"/>
    </row>
    <row r="23" spans="1:8" ht="16">
      <c r="A23" s="14" t="s">
        <v>2700</v>
      </c>
      <c r="B23" s="14" t="s">
        <v>106</v>
      </c>
      <c r="C23" s="15">
        <v>46262</v>
      </c>
      <c r="D23" s="14" t="s">
        <v>2692</v>
      </c>
      <c r="E23" s="14" t="s">
        <v>2693</v>
      </c>
      <c r="F23" s="17">
        <v>10000</v>
      </c>
      <c r="G23" s="14" t="s">
        <v>2676</v>
      </c>
      <c r="H23" s="14"/>
    </row>
    <row r="24" spans="1:8" ht="16">
      <c r="A24" s="14" t="s">
        <v>2701</v>
      </c>
      <c r="B24" s="14" t="s">
        <v>148</v>
      </c>
      <c r="C24" s="15">
        <v>46251</v>
      </c>
      <c r="D24" s="14" t="s">
        <v>2685</v>
      </c>
      <c r="E24" s="14" t="s">
        <v>2686</v>
      </c>
      <c r="F24" s="17">
        <v>5000</v>
      </c>
      <c r="G24" s="14" t="s">
        <v>2661</v>
      </c>
      <c r="H24" s="14"/>
    </row>
    <row r="25" spans="1:8" ht="16">
      <c r="A25" s="14" t="s">
        <v>2702</v>
      </c>
      <c r="B25" s="14" t="s">
        <v>263</v>
      </c>
      <c r="C25" s="15">
        <v>45976</v>
      </c>
      <c r="D25" s="14" t="s">
        <v>2685</v>
      </c>
      <c r="E25" s="14" t="s">
        <v>2686</v>
      </c>
      <c r="F25" s="17">
        <v>5000</v>
      </c>
      <c r="G25" s="14" t="s">
        <v>2661</v>
      </c>
      <c r="H25" s="14"/>
    </row>
    <row r="26" spans="1:8" ht="16">
      <c r="A26" s="14" t="s">
        <v>2703</v>
      </c>
      <c r="B26" s="14" t="s">
        <v>3</v>
      </c>
      <c r="C26" s="15">
        <v>46032</v>
      </c>
      <c r="D26" s="14" t="s">
        <v>2668</v>
      </c>
      <c r="E26" s="14" t="s">
        <v>2669</v>
      </c>
      <c r="F26" s="17">
        <v>4000</v>
      </c>
      <c r="G26" s="14" t="s">
        <v>2661</v>
      </c>
      <c r="H26" s="14"/>
    </row>
    <row r="27" spans="1:8" ht="16">
      <c r="A27" s="14" t="s">
        <v>2704</v>
      </c>
      <c r="B27" s="14" t="s">
        <v>146</v>
      </c>
      <c r="C27" s="15">
        <v>46290</v>
      </c>
      <c r="D27" s="14" t="s">
        <v>2665</v>
      </c>
      <c r="E27" s="14" t="s">
        <v>2666</v>
      </c>
      <c r="F27" s="17">
        <v>2500</v>
      </c>
      <c r="G27" s="14" t="s">
        <v>2661</v>
      </c>
      <c r="H27" s="14"/>
    </row>
    <row r="28" spans="1:8" ht="16">
      <c r="A28" s="14" t="s">
        <v>2705</v>
      </c>
      <c r="B28" s="14" t="s">
        <v>220</v>
      </c>
      <c r="C28" s="15">
        <v>45956</v>
      </c>
      <c r="D28" s="14" t="s">
        <v>2663</v>
      </c>
      <c r="E28" s="14" t="s">
        <v>3630</v>
      </c>
      <c r="F28" s="17">
        <v>1500</v>
      </c>
      <c r="G28" s="14" t="s">
        <v>2661</v>
      </c>
      <c r="H28" s="14"/>
    </row>
    <row r="29" spans="1:8" ht="16">
      <c r="A29" s="14" t="s">
        <v>2706</v>
      </c>
      <c r="B29" s="14" t="s">
        <v>114</v>
      </c>
      <c r="C29" s="15">
        <v>46247</v>
      </c>
      <c r="D29" s="14" t="s">
        <v>2668</v>
      </c>
      <c r="E29" s="14" t="s">
        <v>2669</v>
      </c>
      <c r="F29" s="17">
        <v>4000</v>
      </c>
      <c r="G29" s="14" t="s">
        <v>2661</v>
      </c>
      <c r="H29" s="14"/>
    </row>
    <row r="30" spans="1:8" ht="16">
      <c r="A30" s="14" t="s">
        <v>2707</v>
      </c>
      <c r="B30" s="14" t="s">
        <v>191</v>
      </c>
      <c r="C30" s="15">
        <v>46238</v>
      </c>
      <c r="D30" s="14" t="s">
        <v>2665</v>
      </c>
      <c r="E30" s="14" t="s">
        <v>2666</v>
      </c>
      <c r="F30" s="17">
        <v>2500</v>
      </c>
      <c r="G30" s="14" t="s">
        <v>2661</v>
      </c>
      <c r="H30" s="14"/>
    </row>
    <row r="31" spans="1:8" ht="16">
      <c r="A31" s="14" t="s">
        <v>2708</v>
      </c>
      <c r="B31" s="14" t="s">
        <v>115</v>
      </c>
      <c r="C31" s="15">
        <v>46007</v>
      </c>
      <c r="D31" s="14" t="s">
        <v>2663</v>
      </c>
      <c r="E31" s="14" t="s">
        <v>3630</v>
      </c>
      <c r="F31" s="17">
        <v>1500</v>
      </c>
      <c r="G31" s="14" t="s">
        <v>2661</v>
      </c>
      <c r="H31" s="14"/>
    </row>
    <row r="32" spans="1:8" ht="16">
      <c r="A32" s="14" t="s">
        <v>2709</v>
      </c>
      <c r="B32" s="14" t="s">
        <v>118</v>
      </c>
      <c r="C32" s="15">
        <v>46119</v>
      </c>
      <c r="D32" s="14" t="s">
        <v>2685</v>
      </c>
      <c r="E32" s="14" t="s">
        <v>2686</v>
      </c>
      <c r="F32" s="17">
        <v>5000</v>
      </c>
      <c r="G32" s="14" t="s">
        <v>2661</v>
      </c>
      <c r="H32" s="14"/>
    </row>
    <row r="33" spans="1:8" ht="16">
      <c r="A33" s="14" t="s">
        <v>2710</v>
      </c>
      <c r="B33" s="14" t="s">
        <v>35</v>
      </c>
      <c r="C33" s="15">
        <v>46221</v>
      </c>
      <c r="D33" s="14" t="s">
        <v>2674</v>
      </c>
      <c r="E33" s="14" t="s">
        <v>2675</v>
      </c>
      <c r="F33" s="17">
        <v>20000</v>
      </c>
      <c r="G33" s="14" t="s">
        <v>2661</v>
      </c>
      <c r="H33" s="14"/>
    </row>
    <row r="34" spans="1:8" ht="16">
      <c r="A34" s="14" t="s">
        <v>2711</v>
      </c>
      <c r="B34" s="14" t="s">
        <v>166</v>
      </c>
      <c r="C34" s="15">
        <v>45938</v>
      </c>
      <c r="D34" s="14" t="s">
        <v>2674</v>
      </c>
      <c r="E34" s="14" t="s">
        <v>2675</v>
      </c>
      <c r="F34" s="17">
        <v>20000</v>
      </c>
      <c r="G34" s="14" t="s">
        <v>2676</v>
      </c>
      <c r="H34" s="14"/>
    </row>
    <row r="35" spans="1:8" ht="16">
      <c r="A35" s="14" t="s">
        <v>2712</v>
      </c>
      <c r="B35" s="14" t="s">
        <v>310</v>
      </c>
      <c r="C35" s="15">
        <v>46153</v>
      </c>
      <c r="D35" s="14" t="s">
        <v>2682</v>
      </c>
      <c r="E35" s="14" t="s">
        <v>2683</v>
      </c>
      <c r="F35" s="17">
        <v>6000</v>
      </c>
      <c r="G35" s="14" t="s">
        <v>2661</v>
      </c>
      <c r="H35" s="14"/>
    </row>
    <row r="36" spans="1:8" ht="16">
      <c r="A36" s="14" t="s">
        <v>2713</v>
      </c>
      <c r="B36" s="14" t="s">
        <v>284</v>
      </c>
      <c r="C36" s="15">
        <v>46275</v>
      </c>
      <c r="D36" s="14" t="s">
        <v>2674</v>
      </c>
      <c r="E36" s="14" t="s">
        <v>2675</v>
      </c>
      <c r="F36" s="17">
        <v>20000</v>
      </c>
      <c r="G36" s="14" t="s">
        <v>2661</v>
      </c>
      <c r="H36" s="14"/>
    </row>
    <row r="37" spans="1:8" ht="16">
      <c r="A37" s="14" t="s">
        <v>2714</v>
      </c>
      <c r="B37" s="14" t="s">
        <v>167</v>
      </c>
      <c r="C37" s="15">
        <v>45991</v>
      </c>
      <c r="D37" s="14" t="s">
        <v>2663</v>
      </c>
      <c r="E37" s="14" t="s">
        <v>3630</v>
      </c>
      <c r="F37" s="17">
        <v>1500</v>
      </c>
      <c r="G37" s="14" t="s">
        <v>2661</v>
      </c>
      <c r="H37" s="14"/>
    </row>
    <row r="38" spans="1:8" ht="16">
      <c r="A38" s="14" t="s">
        <v>2715</v>
      </c>
      <c r="B38" s="14" t="s">
        <v>311</v>
      </c>
      <c r="C38" s="15">
        <v>46035</v>
      </c>
      <c r="D38" s="14" t="s">
        <v>2663</v>
      </c>
      <c r="E38" s="14" t="s">
        <v>3630</v>
      </c>
      <c r="F38" s="17">
        <v>1500</v>
      </c>
      <c r="G38" s="14" t="s">
        <v>2661</v>
      </c>
      <c r="H38" s="14"/>
    </row>
    <row r="39" spans="1:8" ht="16">
      <c r="A39" s="14" t="s">
        <v>2716</v>
      </c>
      <c r="B39" s="14" t="s">
        <v>146</v>
      </c>
      <c r="C39" s="15">
        <v>46067</v>
      </c>
      <c r="D39" s="14" t="s">
        <v>2688</v>
      </c>
      <c r="E39" s="14" t="s">
        <v>2689</v>
      </c>
      <c r="F39" s="17">
        <v>8000</v>
      </c>
      <c r="G39" s="14" t="s">
        <v>2661</v>
      </c>
      <c r="H39" s="14"/>
    </row>
    <row r="40" spans="1:8" ht="16">
      <c r="A40" s="14" t="s">
        <v>2717</v>
      </c>
      <c r="B40" s="14" t="s">
        <v>176</v>
      </c>
      <c r="C40" s="15">
        <v>46184</v>
      </c>
      <c r="D40" s="14" t="s">
        <v>2692</v>
      </c>
      <c r="E40" s="14" t="s">
        <v>2693</v>
      </c>
      <c r="F40" s="17">
        <v>10000</v>
      </c>
      <c r="G40" s="14" t="s">
        <v>2661</v>
      </c>
      <c r="H40" s="14"/>
    </row>
    <row r="41" spans="1:8" ht="16">
      <c r="A41" s="14" t="s">
        <v>2718</v>
      </c>
      <c r="B41" s="14" t="s">
        <v>146</v>
      </c>
      <c r="C41" s="15">
        <v>45997</v>
      </c>
      <c r="D41" s="14" t="s">
        <v>2685</v>
      </c>
      <c r="E41" s="14" t="s">
        <v>2686</v>
      </c>
      <c r="F41" s="17">
        <v>5000</v>
      </c>
      <c r="G41" s="14" t="s">
        <v>2661</v>
      </c>
      <c r="H41" s="14"/>
    </row>
    <row r="42" spans="1:8" ht="16">
      <c r="A42" s="14" t="s">
        <v>2719</v>
      </c>
      <c r="B42" s="14" t="s">
        <v>188</v>
      </c>
      <c r="C42" s="15">
        <v>46036</v>
      </c>
      <c r="D42" s="14" t="s">
        <v>2674</v>
      </c>
      <c r="E42" s="14" t="s">
        <v>2675</v>
      </c>
      <c r="F42" s="17">
        <v>20000</v>
      </c>
      <c r="G42" s="14" t="s">
        <v>2676</v>
      </c>
      <c r="H42" s="14"/>
    </row>
    <row r="43" spans="1:8" ht="16">
      <c r="A43" s="14" t="s">
        <v>2720</v>
      </c>
      <c r="B43" s="14" t="s">
        <v>230</v>
      </c>
      <c r="C43" s="15">
        <v>46041</v>
      </c>
      <c r="D43" s="14" t="s">
        <v>2659</v>
      </c>
      <c r="E43" s="14" t="s">
        <v>2660</v>
      </c>
      <c r="F43" s="17">
        <v>3500</v>
      </c>
      <c r="G43" s="14" t="s">
        <v>2661</v>
      </c>
      <c r="H43" s="14"/>
    </row>
    <row r="44" spans="1:8" ht="16">
      <c r="A44" s="14" t="s">
        <v>2721</v>
      </c>
      <c r="B44" s="14" t="s">
        <v>132</v>
      </c>
      <c r="C44" s="15">
        <v>46277</v>
      </c>
      <c r="D44" s="14" t="s">
        <v>2685</v>
      </c>
      <c r="E44" s="14" t="s">
        <v>2686</v>
      </c>
      <c r="F44" s="17">
        <v>5000</v>
      </c>
      <c r="G44" s="14" t="s">
        <v>2661</v>
      </c>
      <c r="H44" s="14"/>
    </row>
    <row r="45" spans="1:8" ht="16">
      <c r="A45" s="14" t="s">
        <v>2722</v>
      </c>
      <c r="B45" s="14" t="s">
        <v>254</v>
      </c>
      <c r="C45" s="15">
        <v>46145</v>
      </c>
      <c r="D45" s="14" t="s">
        <v>2668</v>
      </c>
      <c r="E45" s="14" t="s">
        <v>2669</v>
      </c>
      <c r="F45" s="17">
        <v>4000</v>
      </c>
      <c r="G45" s="14" t="s">
        <v>2661</v>
      </c>
      <c r="H45" s="14"/>
    </row>
    <row r="46" spans="1:8" ht="16">
      <c r="A46" s="14" t="s">
        <v>2723</v>
      </c>
      <c r="B46" s="14" t="s">
        <v>69</v>
      </c>
      <c r="C46" s="15">
        <v>46140</v>
      </c>
      <c r="D46" s="14" t="s">
        <v>2688</v>
      </c>
      <c r="E46" s="14" t="s">
        <v>2689</v>
      </c>
      <c r="F46" s="17">
        <v>8000</v>
      </c>
      <c r="G46" s="14" t="s">
        <v>2661</v>
      </c>
      <c r="H46" s="14"/>
    </row>
    <row r="47" spans="1:8" ht="16">
      <c r="A47" s="14" t="s">
        <v>2724</v>
      </c>
      <c r="B47" s="14" t="s">
        <v>211</v>
      </c>
      <c r="C47" s="15">
        <v>45945</v>
      </c>
      <c r="D47" s="14" t="s">
        <v>2665</v>
      </c>
      <c r="E47" s="14" t="s">
        <v>2666</v>
      </c>
      <c r="F47" s="17">
        <v>2500</v>
      </c>
      <c r="G47" s="14" t="s">
        <v>2661</v>
      </c>
      <c r="H47" s="14"/>
    </row>
    <row r="48" spans="1:8" ht="16">
      <c r="A48" s="14" t="s">
        <v>2725</v>
      </c>
      <c r="B48" s="14" t="s">
        <v>83</v>
      </c>
      <c r="C48" s="15">
        <v>46065</v>
      </c>
      <c r="D48" s="14" t="s">
        <v>2688</v>
      </c>
      <c r="E48" s="14" t="s">
        <v>2689</v>
      </c>
      <c r="F48" s="17">
        <v>8000</v>
      </c>
      <c r="G48" s="14" t="s">
        <v>2661</v>
      </c>
      <c r="H48" s="14"/>
    </row>
    <row r="49" spans="1:8" ht="16">
      <c r="A49" s="14" t="s">
        <v>2726</v>
      </c>
      <c r="B49" s="14" t="s">
        <v>88</v>
      </c>
      <c r="C49" s="15">
        <v>46247</v>
      </c>
      <c r="D49" s="14" t="s">
        <v>2668</v>
      </c>
      <c r="E49" s="14" t="s">
        <v>2669</v>
      </c>
      <c r="F49" s="17">
        <v>4000</v>
      </c>
      <c r="G49" s="14" t="s">
        <v>2661</v>
      </c>
      <c r="H49" s="14"/>
    </row>
    <row r="50" spans="1:8" ht="16">
      <c r="A50" s="14" t="s">
        <v>2727</v>
      </c>
      <c r="B50" s="14" t="s">
        <v>309</v>
      </c>
      <c r="C50" s="15">
        <v>46058</v>
      </c>
      <c r="D50" s="14" t="s">
        <v>2659</v>
      </c>
      <c r="E50" s="14" t="s">
        <v>2660</v>
      </c>
      <c r="F50" s="17">
        <v>3500</v>
      </c>
      <c r="G50" s="14" t="s">
        <v>2661</v>
      </c>
      <c r="H50" s="14"/>
    </row>
    <row r="51" spans="1:8" ht="16">
      <c r="A51" s="14" t="s">
        <v>2728</v>
      </c>
      <c r="B51" s="14" t="s">
        <v>216</v>
      </c>
      <c r="C51" s="15">
        <v>46229</v>
      </c>
      <c r="D51" s="14" t="s">
        <v>2674</v>
      </c>
      <c r="E51" s="14" t="s">
        <v>2675</v>
      </c>
      <c r="F51" s="17">
        <v>20000</v>
      </c>
      <c r="G51" s="14" t="s">
        <v>2661</v>
      </c>
      <c r="H51" s="14"/>
    </row>
    <row r="52" spans="1:8" ht="16">
      <c r="A52" s="14" t="s">
        <v>2729</v>
      </c>
      <c r="B52" s="14" t="s">
        <v>103</v>
      </c>
      <c r="C52" s="15">
        <v>45974</v>
      </c>
      <c r="D52" s="14" t="s">
        <v>2692</v>
      </c>
      <c r="E52" s="14" t="s">
        <v>2693</v>
      </c>
      <c r="F52" s="17">
        <v>10000</v>
      </c>
      <c r="G52" s="14" t="s">
        <v>2661</v>
      </c>
      <c r="H52" s="14"/>
    </row>
    <row r="53" spans="1:8" ht="16">
      <c r="A53" s="14" t="s">
        <v>2730</v>
      </c>
      <c r="B53" s="14" t="s">
        <v>114</v>
      </c>
      <c r="C53" s="15">
        <v>46171</v>
      </c>
      <c r="D53" s="14" t="s">
        <v>2659</v>
      </c>
      <c r="E53" s="14" t="s">
        <v>2660</v>
      </c>
      <c r="F53" s="17">
        <v>3500</v>
      </c>
      <c r="G53" s="14" t="s">
        <v>2661</v>
      </c>
      <c r="H53" s="14"/>
    </row>
    <row r="54" spans="1:8" ht="16">
      <c r="A54" s="14" t="s">
        <v>2731</v>
      </c>
      <c r="B54" s="14" t="s">
        <v>58</v>
      </c>
      <c r="C54" s="15">
        <v>46096</v>
      </c>
      <c r="D54" s="14" t="s">
        <v>2671</v>
      </c>
      <c r="E54" s="14" t="s">
        <v>2672</v>
      </c>
      <c r="F54" s="17">
        <v>3000</v>
      </c>
      <c r="G54" s="14" t="s">
        <v>2661</v>
      </c>
      <c r="H54" s="14"/>
    </row>
    <row r="55" spans="1:8" ht="16">
      <c r="A55" s="14" t="s">
        <v>2732</v>
      </c>
      <c r="B55" s="14" t="s">
        <v>192</v>
      </c>
      <c r="C55" s="15">
        <v>46282</v>
      </c>
      <c r="D55" s="14" t="s">
        <v>2668</v>
      </c>
      <c r="E55" s="14" t="s">
        <v>2669</v>
      </c>
      <c r="F55" s="17">
        <v>4000</v>
      </c>
      <c r="G55" s="14" t="s">
        <v>2661</v>
      </c>
      <c r="H55" s="14"/>
    </row>
    <row r="56" spans="1:8" ht="16">
      <c r="A56" s="14" t="s">
        <v>2733</v>
      </c>
      <c r="B56" s="14" t="s">
        <v>64</v>
      </c>
      <c r="C56" s="15">
        <v>46127</v>
      </c>
      <c r="D56" s="14" t="s">
        <v>2674</v>
      </c>
      <c r="E56" s="14" t="s">
        <v>2675</v>
      </c>
      <c r="F56" s="17">
        <v>20000</v>
      </c>
      <c r="G56" s="14" t="s">
        <v>2661</v>
      </c>
      <c r="H56" s="14"/>
    </row>
    <row r="57" spans="1:8" ht="16">
      <c r="A57" s="14" t="s">
        <v>2734</v>
      </c>
      <c r="B57" s="14" t="s">
        <v>25</v>
      </c>
      <c r="C57" s="15">
        <v>46236</v>
      </c>
      <c r="D57" s="14" t="s">
        <v>2688</v>
      </c>
      <c r="E57" s="14" t="s">
        <v>2689</v>
      </c>
      <c r="F57" s="17">
        <v>8000</v>
      </c>
      <c r="G57" s="14" t="s">
        <v>2661</v>
      </c>
      <c r="H57" s="14"/>
    </row>
    <row r="58" spans="1:8" ht="16">
      <c r="A58" s="14" t="s">
        <v>2735</v>
      </c>
      <c r="B58" s="14" t="s">
        <v>224</v>
      </c>
      <c r="C58" s="15">
        <v>45968</v>
      </c>
      <c r="D58" s="14" t="s">
        <v>2682</v>
      </c>
      <c r="E58" s="14" t="s">
        <v>2683</v>
      </c>
      <c r="F58" s="17">
        <v>6000</v>
      </c>
      <c r="G58" s="14" t="s">
        <v>2661</v>
      </c>
      <c r="H58" s="14"/>
    </row>
    <row r="59" spans="1:8" ht="16">
      <c r="A59" s="14" t="s">
        <v>2736</v>
      </c>
      <c r="B59" s="14" t="s">
        <v>266</v>
      </c>
      <c r="C59" s="15">
        <v>46216</v>
      </c>
      <c r="D59" s="14" t="s">
        <v>2685</v>
      </c>
      <c r="E59" s="14" t="s">
        <v>2686</v>
      </c>
      <c r="F59" s="17">
        <v>5000</v>
      </c>
      <c r="G59" s="14" t="s">
        <v>2661</v>
      </c>
      <c r="H59" s="14"/>
    </row>
    <row r="60" spans="1:8" ht="16">
      <c r="A60" s="14" t="s">
        <v>2737</v>
      </c>
      <c r="B60" s="14" t="s">
        <v>161</v>
      </c>
      <c r="C60" s="15">
        <v>45957</v>
      </c>
      <c r="D60" s="14" t="s">
        <v>2682</v>
      </c>
      <c r="E60" s="14" t="s">
        <v>2683</v>
      </c>
      <c r="F60" s="17">
        <v>6000</v>
      </c>
      <c r="G60" s="14" t="s">
        <v>2661</v>
      </c>
      <c r="H60" s="14"/>
    </row>
    <row r="61" spans="1:8" ht="16">
      <c r="A61" s="14" t="s">
        <v>2738</v>
      </c>
      <c r="B61" s="14" t="s">
        <v>304</v>
      </c>
      <c r="C61" s="15">
        <v>46051</v>
      </c>
      <c r="D61" s="14" t="s">
        <v>2665</v>
      </c>
      <c r="E61" s="14" t="s">
        <v>2666</v>
      </c>
      <c r="F61" s="17">
        <v>2500</v>
      </c>
      <c r="G61" s="14" t="s">
        <v>2661</v>
      </c>
      <c r="H61" s="14"/>
    </row>
    <row r="62" spans="1:8" ht="16">
      <c r="A62" s="14" t="s">
        <v>2739</v>
      </c>
      <c r="B62" s="14" t="s">
        <v>229</v>
      </c>
      <c r="C62" s="15">
        <v>46112</v>
      </c>
      <c r="D62" s="14" t="s">
        <v>2663</v>
      </c>
      <c r="E62" s="14" t="s">
        <v>3630</v>
      </c>
      <c r="F62" s="17">
        <v>1500</v>
      </c>
      <c r="G62" s="14" t="s">
        <v>2676</v>
      </c>
      <c r="H62" s="14"/>
    </row>
    <row r="63" spans="1:8" ht="16">
      <c r="A63" s="14" t="s">
        <v>2740</v>
      </c>
      <c r="B63" s="14" t="s">
        <v>171</v>
      </c>
      <c r="C63" s="15">
        <v>46274</v>
      </c>
      <c r="D63" s="14" t="s">
        <v>2665</v>
      </c>
      <c r="E63" s="14" t="s">
        <v>2666</v>
      </c>
      <c r="F63" s="17">
        <v>2500</v>
      </c>
      <c r="G63" s="14" t="s">
        <v>2676</v>
      </c>
      <c r="H63" s="14"/>
    </row>
    <row r="64" spans="1:8" ht="16">
      <c r="A64" s="14" t="s">
        <v>2741</v>
      </c>
      <c r="B64" s="14" t="s">
        <v>151</v>
      </c>
      <c r="C64" s="15">
        <v>45954</v>
      </c>
      <c r="D64" s="14" t="s">
        <v>2685</v>
      </c>
      <c r="E64" s="14" t="s">
        <v>2686</v>
      </c>
      <c r="F64" s="17">
        <v>5000</v>
      </c>
      <c r="G64" s="14" t="s">
        <v>2661</v>
      </c>
      <c r="H64" s="14"/>
    </row>
    <row r="65" spans="1:8" ht="16">
      <c r="A65" s="14" t="s">
        <v>2742</v>
      </c>
      <c r="B65" s="14" t="s">
        <v>116</v>
      </c>
      <c r="C65" s="15">
        <v>46060</v>
      </c>
      <c r="D65" s="14" t="s">
        <v>2671</v>
      </c>
      <c r="E65" s="14" t="s">
        <v>2672</v>
      </c>
      <c r="F65" s="17">
        <v>3000</v>
      </c>
      <c r="G65" s="14" t="s">
        <v>2676</v>
      </c>
      <c r="H65" s="14"/>
    </row>
    <row r="66" spans="1:8" ht="16">
      <c r="A66" s="14" t="s">
        <v>2743</v>
      </c>
      <c r="B66" s="14" t="s">
        <v>46</v>
      </c>
      <c r="C66" s="15">
        <v>46248</v>
      </c>
      <c r="D66" s="14" t="s">
        <v>2685</v>
      </c>
      <c r="E66" s="14" t="s">
        <v>2686</v>
      </c>
      <c r="F66" s="17">
        <v>5000</v>
      </c>
      <c r="G66" s="14" t="s">
        <v>2661</v>
      </c>
      <c r="H66" s="14"/>
    </row>
    <row r="67" spans="1:8" ht="16">
      <c r="A67" s="14" t="s">
        <v>2744</v>
      </c>
      <c r="B67" s="14" t="s">
        <v>28</v>
      </c>
      <c r="C67" s="15">
        <v>46085</v>
      </c>
      <c r="D67" s="14" t="s">
        <v>2692</v>
      </c>
      <c r="E67" s="14" t="s">
        <v>2693</v>
      </c>
      <c r="F67" s="17">
        <v>10000</v>
      </c>
      <c r="G67" s="14" t="s">
        <v>2661</v>
      </c>
      <c r="H67" s="14"/>
    </row>
    <row r="68" spans="1:8" ht="16">
      <c r="A68" s="14" t="s">
        <v>2745</v>
      </c>
      <c r="B68" s="14" t="s">
        <v>285</v>
      </c>
      <c r="C68" s="15">
        <v>46274</v>
      </c>
      <c r="D68" s="14" t="s">
        <v>2682</v>
      </c>
      <c r="E68" s="14" t="s">
        <v>2683</v>
      </c>
      <c r="F68" s="17">
        <v>6000</v>
      </c>
      <c r="G68" s="14" t="s">
        <v>2661</v>
      </c>
      <c r="H68" s="14"/>
    </row>
    <row r="69" spans="1:8" ht="16">
      <c r="A69" s="14" t="s">
        <v>2746</v>
      </c>
      <c r="B69" s="14" t="s">
        <v>222</v>
      </c>
      <c r="C69" s="15">
        <v>45998</v>
      </c>
      <c r="D69" s="14" t="s">
        <v>2668</v>
      </c>
      <c r="E69" s="14" t="s">
        <v>2669</v>
      </c>
      <c r="F69" s="17">
        <v>4000</v>
      </c>
      <c r="G69" s="14" t="s">
        <v>2676</v>
      </c>
      <c r="H69" s="14"/>
    </row>
    <row r="70" spans="1:8" ht="16">
      <c r="A70" s="14" t="s">
        <v>2747</v>
      </c>
      <c r="B70" s="14" t="s">
        <v>98</v>
      </c>
      <c r="C70" s="15">
        <v>45952</v>
      </c>
      <c r="D70" s="14" t="s">
        <v>2671</v>
      </c>
      <c r="E70" s="14" t="s">
        <v>2672</v>
      </c>
      <c r="F70" s="17">
        <v>3000</v>
      </c>
      <c r="G70" s="14" t="s">
        <v>2676</v>
      </c>
      <c r="H70" s="14"/>
    </row>
    <row r="71" spans="1:8" ht="16">
      <c r="A71" s="14" t="s">
        <v>2748</v>
      </c>
      <c r="B71" s="14" t="s">
        <v>136</v>
      </c>
      <c r="C71" s="15">
        <v>46022</v>
      </c>
      <c r="D71" s="14" t="s">
        <v>2674</v>
      </c>
      <c r="E71" s="14" t="s">
        <v>2675</v>
      </c>
      <c r="F71" s="17">
        <v>20000</v>
      </c>
      <c r="G71" s="14" t="s">
        <v>2661</v>
      </c>
      <c r="H71" s="14"/>
    </row>
    <row r="72" spans="1:8" ht="16">
      <c r="A72" s="14" t="s">
        <v>2749</v>
      </c>
      <c r="B72" s="14" t="s">
        <v>136</v>
      </c>
      <c r="C72" s="15">
        <v>46017</v>
      </c>
      <c r="D72" s="14" t="s">
        <v>2688</v>
      </c>
      <c r="E72" s="14" t="s">
        <v>2689</v>
      </c>
      <c r="F72" s="17">
        <v>8000</v>
      </c>
      <c r="G72" s="14" t="s">
        <v>2676</v>
      </c>
      <c r="H72" s="14"/>
    </row>
    <row r="73" spans="1:8" ht="16">
      <c r="A73" s="14" t="s">
        <v>2750</v>
      </c>
      <c r="B73" s="14" t="s">
        <v>237</v>
      </c>
      <c r="C73" s="15">
        <v>46183</v>
      </c>
      <c r="D73" s="14" t="s">
        <v>2659</v>
      </c>
      <c r="E73" s="14" t="s">
        <v>2660</v>
      </c>
      <c r="F73" s="17">
        <v>3500</v>
      </c>
      <c r="G73" s="14" t="s">
        <v>2661</v>
      </c>
      <c r="H73" s="14"/>
    </row>
    <row r="74" spans="1:8" ht="16">
      <c r="A74" s="14" t="s">
        <v>2751</v>
      </c>
      <c r="B74" s="14" t="s">
        <v>284</v>
      </c>
      <c r="C74" s="15">
        <v>46170</v>
      </c>
      <c r="D74" s="14" t="s">
        <v>2671</v>
      </c>
      <c r="E74" s="14" t="s">
        <v>2672</v>
      </c>
      <c r="F74" s="17">
        <v>3000</v>
      </c>
      <c r="G74" s="14" t="s">
        <v>2661</v>
      </c>
      <c r="H74" s="14"/>
    </row>
    <row r="75" spans="1:8" ht="16">
      <c r="A75" s="14" t="s">
        <v>2752</v>
      </c>
      <c r="B75" s="14" t="s">
        <v>64</v>
      </c>
      <c r="C75" s="15">
        <v>45976</v>
      </c>
      <c r="D75" s="14" t="s">
        <v>2668</v>
      </c>
      <c r="E75" s="14" t="s">
        <v>2669</v>
      </c>
      <c r="F75" s="17">
        <v>4000</v>
      </c>
      <c r="G75" s="14" t="s">
        <v>2661</v>
      </c>
      <c r="H75" s="14"/>
    </row>
    <row r="76" spans="1:8" ht="16">
      <c r="A76" s="14" t="s">
        <v>2753</v>
      </c>
      <c r="B76" s="14" t="s">
        <v>288</v>
      </c>
      <c r="C76" s="15">
        <v>46202</v>
      </c>
      <c r="D76" s="14" t="s">
        <v>2671</v>
      </c>
      <c r="E76" s="14" t="s">
        <v>2672</v>
      </c>
      <c r="F76" s="17">
        <v>3000</v>
      </c>
      <c r="G76" s="14" t="s">
        <v>2661</v>
      </c>
      <c r="H76" s="14"/>
    </row>
    <row r="77" spans="1:8" ht="16">
      <c r="A77" s="14" t="s">
        <v>2754</v>
      </c>
      <c r="B77" s="14" t="s">
        <v>10</v>
      </c>
      <c r="C77" s="15">
        <v>46003</v>
      </c>
      <c r="D77" s="14" t="s">
        <v>2692</v>
      </c>
      <c r="E77" s="14" t="s">
        <v>2693</v>
      </c>
      <c r="F77" s="17">
        <v>10000</v>
      </c>
      <c r="G77" s="14" t="s">
        <v>2661</v>
      </c>
      <c r="H77" s="14"/>
    </row>
    <row r="78" spans="1:8" ht="16">
      <c r="A78" s="14" t="s">
        <v>2755</v>
      </c>
      <c r="B78" s="14" t="s">
        <v>157</v>
      </c>
      <c r="C78" s="15">
        <v>45990</v>
      </c>
      <c r="D78" s="14" t="s">
        <v>2663</v>
      </c>
      <c r="E78" s="14" t="s">
        <v>3630</v>
      </c>
      <c r="F78" s="17">
        <v>1500</v>
      </c>
      <c r="G78" s="14" t="s">
        <v>2661</v>
      </c>
      <c r="H78" s="14"/>
    </row>
    <row r="79" spans="1:8" ht="16">
      <c r="A79" s="14" t="s">
        <v>2756</v>
      </c>
      <c r="B79" s="14" t="s">
        <v>30</v>
      </c>
      <c r="C79" s="15">
        <v>45953</v>
      </c>
      <c r="D79" s="14" t="s">
        <v>2688</v>
      </c>
      <c r="E79" s="14" t="s">
        <v>2689</v>
      </c>
      <c r="F79" s="17">
        <v>8000</v>
      </c>
      <c r="G79" s="14" t="s">
        <v>2661</v>
      </c>
      <c r="H79" s="14"/>
    </row>
    <row r="80" spans="1:8" ht="16">
      <c r="A80" s="14" t="s">
        <v>2757</v>
      </c>
      <c r="B80" s="14" t="s">
        <v>266</v>
      </c>
      <c r="C80" s="15">
        <v>46186</v>
      </c>
      <c r="D80" s="14" t="s">
        <v>2688</v>
      </c>
      <c r="E80" s="14" t="s">
        <v>2689</v>
      </c>
      <c r="F80" s="17">
        <v>8000</v>
      </c>
      <c r="G80" s="14" t="s">
        <v>2661</v>
      </c>
      <c r="H80" s="14"/>
    </row>
    <row r="81" spans="1:8" ht="16">
      <c r="A81" s="14" t="s">
        <v>2758</v>
      </c>
      <c r="B81" s="14" t="s">
        <v>283</v>
      </c>
      <c r="C81" s="15">
        <v>46115</v>
      </c>
      <c r="D81" s="14" t="s">
        <v>2663</v>
      </c>
      <c r="E81" s="14" t="s">
        <v>3630</v>
      </c>
      <c r="F81" s="17">
        <v>1500</v>
      </c>
      <c r="G81" s="14" t="s">
        <v>2661</v>
      </c>
      <c r="H81" s="14"/>
    </row>
    <row r="82" spans="1:8" ht="16">
      <c r="A82" s="14" t="s">
        <v>2759</v>
      </c>
      <c r="B82" s="14" t="s">
        <v>15</v>
      </c>
      <c r="C82" s="15">
        <v>46075</v>
      </c>
      <c r="D82" s="14" t="s">
        <v>2668</v>
      </c>
      <c r="E82" s="14" t="s">
        <v>2669</v>
      </c>
      <c r="F82" s="17">
        <v>4000</v>
      </c>
      <c r="G82" s="14" t="s">
        <v>2661</v>
      </c>
      <c r="H82" s="14"/>
    </row>
    <row r="83" spans="1:8" ht="16">
      <c r="A83" s="14" t="s">
        <v>2760</v>
      </c>
      <c r="B83" s="14" t="s">
        <v>212</v>
      </c>
      <c r="C83" s="15">
        <v>46244</v>
      </c>
      <c r="D83" s="14" t="s">
        <v>2668</v>
      </c>
      <c r="E83" s="14" t="s">
        <v>2669</v>
      </c>
      <c r="F83" s="17">
        <v>4000</v>
      </c>
      <c r="G83" s="14" t="s">
        <v>2661</v>
      </c>
      <c r="H83" s="14"/>
    </row>
    <row r="84" spans="1:8" ht="16">
      <c r="A84" s="14" t="s">
        <v>2761</v>
      </c>
      <c r="B84" s="14" t="s">
        <v>96</v>
      </c>
      <c r="C84" s="15">
        <v>46195</v>
      </c>
      <c r="D84" s="14" t="s">
        <v>2665</v>
      </c>
      <c r="E84" s="14" t="s">
        <v>2666</v>
      </c>
      <c r="F84" s="17">
        <v>2500</v>
      </c>
      <c r="G84" s="14" t="s">
        <v>2661</v>
      </c>
      <c r="H84" s="14"/>
    </row>
    <row r="85" spans="1:8" ht="16">
      <c r="A85" s="14" t="s">
        <v>2762</v>
      </c>
      <c r="B85" s="14" t="s">
        <v>246</v>
      </c>
      <c r="C85" s="15">
        <v>46154</v>
      </c>
      <c r="D85" s="14" t="s">
        <v>2682</v>
      </c>
      <c r="E85" s="14" t="s">
        <v>2683</v>
      </c>
      <c r="F85" s="17">
        <v>6000</v>
      </c>
      <c r="G85" s="14" t="s">
        <v>2661</v>
      </c>
      <c r="H85" s="14"/>
    </row>
    <row r="86" spans="1:8" ht="16">
      <c r="A86" s="14" t="s">
        <v>2763</v>
      </c>
      <c r="B86" s="14" t="s">
        <v>25</v>
      </c>
      <c r="C86" s="15">
        <v>46092</v>
      </c>
      <c r="D86" s="14" t="s">
        <v>2692</v>
      </c>
      <c r="E86" s="14" t="s">
        <v>2693</v>
      </c>
      <c r="F86" s="17">
        <v>10000</v>
      </c>
      <c r="G86" s="14" t="s">
        <v>2661</v>
      </c>
      <c r="H86" s="14"/>
    </row>
    <row r="87" spans="1:8" ht="16">
      <c r="A87" s="14" t="s">
        <v>2764</v>
      </c>
      <c r="B87" s="14" t="s">
        <v>288</v>
      </c>
      <c r="C87" s="15">
        <v>46008</v>
      </c>
      <c r="D87" s="14" t="s">
        <v>2668</v>
      </c>
      <c r="E87" s="14" t="s">
        <v>2669</v>
      </c>
      <c r="F87" s="17">
        <v>4000</v>
      </c>
      <c r="G87" s="14" t="s">
        <v>2676</v>
      </c>
      <c r="H87" s="14"/>
    </row>
    <row r="88" spans="1:8" ht="16">
      <c r="A88" s="14" t="s">
        <v>2765</v>
      </c>
      <c r="B88" s="14" t="s">
        <v>313</v>
      </c>
      <c r="C88" s="15">
        <v>46267</v>
      </c>
      <c r="D88" s="14" t="s">
        <v>2671</v>
      </c>
      <c r="E88" s="14" t="s">
        <v>2672</v>
      </c>
      <c r="F88" s="17">
        <v>3000</v>
      </c>
      <c r="G88" s="14" t="s">
        <v>2661</v>
      </c>
      <c r="H88" s="14"/>
    </row>
    <row r="89" spans="1:8" ht="16">
      <c r="A89" s="14" t="s">
        <v>2766</v>
      </c>
      <c r="B89" s="14" t="s">
        <v>70</v>
      </c>
      <c r="C89" s="15">
        <v>45958</v>
      </c>
      <c r="D89" s="14" t="s">
        <v>2674</v>
      </c>
      <c r="E89" s="14" t="s">
        <v>2675</v>
      </c>
      <c r="F89" s="17">
        <v>20000</v>
      </c>
      <c r="G89" s="14" t="s">
        <v>2661</v>
      </c>
      <c r="H89" s="14"/>
    </row>
    <row r="90" spans="1:8" ht="16">
      <c r="A90" s="14" t="s">
        <v>2767</v>
      </c>
      <c r="B90" s="14" t="s">
        <v>114</v>
      </c>
      <c r="C90" s="15">
        <v>46007</v>
      </c>
      <c r="D90" s="14" t="s">
        <v>2663</v>
      </c>
      <c r="E90" s="14" t="s">
        <v>3630</v>
      </c>
      <c r="F90" s="17">
        <v>1500</v>
      </c>
      <c r="G90" s="14" t="s">
        <v>2661</v>
      </c>
      <c r="H90" s="14"/>
    </row>
    <row r="91" spans="1:8" ht="16">
      <c r="A91" s="14" t="s">
        <v>2768</v>
      </c>
      <c r="B91" s="14" t="s">
        <v>103</v>
      </c>
      <c r="C91" s="15">
        <v>46048</v>
      </c>
      <c r="D91" s="14" t="s">
        <v>2682</v>
      </c>
      <c r="E91" s="14" t="s">
        <v>2683</v>
      </c>
      <c r="F91" s="17">
        <v>6000</v>
      </c>
      <c r="G91" s="14" t="s">
        <v>2661</v>
      </c>
      <c r="H91" s="14"/>
    </row>
    <row r="92" spans="1:8" ht="16">
      <c r="A92" s="14" t="s">
        <v>2769</v>
      </c>
      <c r="B92" s="14" t="s">
        <v>275</v>
      </c>
      <c r="C92" s="15">
        <v>45949</v>
      </c>
      <c r="D92" s="14" t="s">
        <v>2659</v>
      </c>
      <c r="E92" s="14" t="s">
        <v>2660</v>
      </c>
      <c r="F92" s="17">
        <v>3500</v>
      </c>
      <c r="G92" s="14" t="s">
        <v>2661</v>
      </c>
      <c r="H92" s="14"/>
    </row>
    <row r="93" spans="1:8" ht="16">
      <c r="A93" s="14" t="s">
        <v>2770</v>
      </c>
      <c r="B93" s="14" t="s">
        <v>60</v>
      </c>
      <c r="C93" s="15">
        <v>46064</v>
      </c>
      <c r="D93" s="14" t="s">
        <v>2663</v>
      </c>
      <c r="E93" s="14" t="s">
        <v>3630</v>
      </c>
      <c r="F93" s="17">
        <v>1500</v>
      </c>
      <c r="G93" s="14" t="s">
        <v>2661</v>
      </c>
      <c r="H93" s="14"/>
    </row>
    <row r="94" spans="1:8" ht="16">
      <c r="A94" s="14" t="s">
        <v>2771</v>
      </c>
      <c r="B94" s="14" t="s">
        <v>210</v>
      </c>
      <c r="C94" s="15">
        <v>46292</v>
      </c>
      <c r="D94" s="14" t="s">
        <v>2674</v>
      </c>
      <c r="E94" s="14" t="s">
        <v>2675</v>
      </c>
      <c r="F94" s="17">
        <v>20000</v>
      </c>
      <c r="G94" s="14" t="s">
        <v>2661</v>
      </c>
      <c r="H94" s="14"/>
    </row>
    <row r="95" spans="1:8" ht="16">
      <c r="A95" s="14" t="s">
        <v>2772</v>
      </c>
      <c r="B95" s="14" t="s">
        <v>34</v>
      </c>
      <c r="C95" s="15">
        <v>46154</v>
      </c>
      <c r="D95" s="14" t="s">
        <v>2659</v>
      </c>
      <c r="E95" s="14" t="s">
        <v>2660</v>
      </c>
      <c r="F95" s="17">
        <v>3500</v>
      </c>
      <c r="G95" s="14" t="s">
        <v>2661</v>
      </c>
      <c r="H95" s="14"/>
    </row>
    <row r="96" spans="1:8" ht="16">
      <c r="A96" s="14" t="s">
        <v>2773</v>
      </c>
      <c r="B96" s="14" t="s">
        <v>269</v>
      </c>
      <c r="C96" s="15">
        <v>46184</v>
      </c>
      <c r="D96" s="14" t="s">
        <v>2692</v>
      </c>
      <c r="E96" s="14" t="s">
        <v>2693</v>
      </c>
      <c r="F96" s="17">
        <v>10000</v>
      </c>
      <c r="G96" s="14" t="s">
        <v>2661</v>
      </c>
      <c r="H96" s="14"/>
    </row>
    <row r="97" spans="1:8" ht="16">
      <c r="A97" s="14" t="s">
        <v>2774</v>
      </c>
      <c r="B97" s="14" t="s">
        <v>274</v>
      </c>
      <c r="C97" s="15">
        <v>46157</v>
      </c>
      <c r="D97" s="14" t="s">
        <v>2685</v>
      </c>
      <c r="E97" s="14" t="s">
        <v>2686</v>
      </c>
      <c r="F97" s="17">
        <v>5000</v>
      </c>
      <c r="G97" s="14" t="s">
        <v>2661</v>
      </c>
      <c r="H97" s="14"/>
    </row>
    <row r="98" spans="1:8" ht="16">
      <c r="A98" s="14" t="s">
        <v>2775</v>
      </c>
      <c r="B98" s="14" t="s">
        <v>189</v>
      </c>
      <c r="C98" s="15">
        <v>46218</v>
      </c>
      <c r="D98" s="14" t="s">
        <v>2659</v>
      </c>
      <c r="E98" s="14" t="s">
        <v>2660</v>
      </c>
      <c r="F98" s="17">
        <v>3500</v>
      </c>
      <c r="G98" s="14" t="s">
        <v>2661</v>
      </c>
      <c r="H98" s="14"/>
    </row>
    <row r="99" spans="1:8" ht="16">
      <c r="A99" s="14" t="s">
        <v>2776</v>
      </c>
      <c r="B99" s="14" t="s">
        <v>297</v>
      </c>
      <c r="C99" s="15">
        <v>46165</v>
      </c>
      <c r="D99" s="14" t="s">
        <v>2674</v>
      </c>
      <c r="E99" s="14" t="s">
        <v>2675</v>
      </c>
      <c r="F99" s="17">
        <v>20000</v>
      </c>
      <c r="G99" s="14" t="s">
        <v>2661</v>
      </c>
      <c r="H99" s="14"/>
    </row>
    <row r="100" spans="1:8" ht="16">
      <c r="A100" s="14" t="s">
        <v>2777</v>
      </c>
      <c r="B100" s="14" t="s">
        <v>230</v>
      </c>
      <c r="C100" s="15">
        <v>45988</v>
      </c>
      <c r="D100" s="14" t="s">
        <v>2659</v>
      </c>
      <c r="E100" s="14" t="s">
        <v>2660</v>
      </c>
      <c r="F100" s="17">
        <v>3500</v>
      </c>
      <c r="G100" s="14" t="s">
        <v>2661</v>
      </c>
      <c r="H100" s="14"/>
    </row>
    <row r="101" spans="1:8" ht="16">
      <c r="A101" s="14" t="s">
        <v>2778</v>
      </c>
      <c r="B101" s="14" t="s">
        <v>244</v>
      </c>
      <c r="C101" s="15">
        <v>45994</v>
      </c>
      <c r="D101" s="14" t="s">
        <v>2692</v>
      </c>
      <c r="E101" s="14" t="s">
        <v>2693</v>
      </c>
      <c r="F101" s="17">
        <v>10000</v>
      </c>
      <c r="G101" s="14" t="s">
        <v>2661</v>
      </c>
      <c r="H101" s="14"/>
    </row>
    <row r="102" spans="1:8" ht="16">
      <c r="A102" s="14" t="s">
        <v>2779</v>
      </c>
      <c r="B102" s="14" t="s">
        <v>73</v>
      </c>
      <c r="C102" s="15">
        <v>45978</v>
      </c>
      <c r="D102" s="14" t="s">
        <v>2665</v>
      </c>
      <c r="E102" s="14" t="s">
        <v>2666</v>
      </c>
      <c r="F102" s="17">
        <v>2500</v>
      </c>
      <c r="G102" s="14" t="s">
        <v>2661</v>
      </c>
      <c r="H102" s="14"/>
    </row>
    <row r="103" spans="1:8" ht="16">
      <c r="A103" s="14" t="s">
        <v>2780</v>
      </c>
      <c r="B103" s="14" t="s">
        <v>36</v>
      </c>
      <c r="C103" s="15">
        <v>46076</v>
      </c>
      <c r="D103" s="14" t="s">
        <v>2671</v>
      </c>
      <c r="E103" s="14" t="s">
        <v>2672</v>
      </c>
      <c r="F103" s="17">
        <v>3000</v>
      </c>
      <c r="G103" s="14" t="s">
        <v>2661</v>
      </c>
      <c r="H103" s="14"/>
    </row>
    <row r="104" spans="1:8" ht="16">
      <c r="A104" s="14" t="s">
        <v>2781</v>
      </c>
      <c r="B104" s="14" t="s">
        <v>101</v>
      </c>
      <c r="C104" s="15">
        <v>46017</v>
      </c>
      <c r="D104" s="14" t="s">
        <v>2663</v>
      </c>
      <c r="E104" s="14" t="s">
        <v>3630</v>
      </c>
      <c r="F104" s="17">
        <v>1500</v>
      </c>
      <c r="G104" s="14" t="s">
        <v>2676</v>
      </c>
      <c r="H104" s="14"/>
    </row>
    <row r="105" spans="1:8" ht="16">
      <c r="A105" s="14" t="s">
        <v>2782</v>
      </c>
      <c r="B105" s="14" t="s">
        <v>257</v>
      </c>
      <c r="C105" s="15">
        <v>46070</v>
      </c>
      <c r="D105" s="14" t="s">
        <v>2692</v>
      </c>
      <c r="E105" s="14" t="s">
        <v>2693</v>
      </c>
      <c r="F105" s="17">
        <v>10000</v>
      </c>
      <c r="G105" s="14" t="s">
        <v>2676</v>
      </c>
      <c r="H105" s="14"/>
    </row>
    <row r="106" spans="1:8" ht="16">
      <c r="A106" s="14" t="s">
        <v>2783</v>
      </c>
      <c r="B106" s="14" t="s">
        <v>249</v>
      </c>
      <c r="C106" s="15">
        <v>46270</v>
      </c>
      <c r="D106" s="14" t="s">
        <v>2665</v>
      </c>
      <c r="E106" s="14" t="s">
        <v>2666</v>
      </c>
      <c r="F106" s="17">
        <v>2500</v>
      </c>
      <c r="G106" s="14" t="s">
        <v>2676</v>
      </c>
      <c r="H106" s="14"/>
    </row>
    <row r="107" spans="1:8" ht="16">
      <c r="A107" s="14" t="s">
        <v>2784</v>
      </c>
      <c r="B107" s="14" t="s">
        <v>141</v>
      </c>
      <c r="C107" s="15">
        <v>46039</v>
      </c>
      <c r="D107" s="14" t="s">
        <v>2692</v>
      </c>
      <c r="E107" s="14" t="s">
        <v>2693</v>
      </c>
      <c r="F107" s="17">
        <v>10000</v>
      </c>
      <c r="G107" s="14" t="s">
        <v>2676</v>
      </c>
      <c r="H107" s="14"/>
    </row>
    <row r="108" spans="1:8" ht="16">
      <c r="A108" s="14" t="s">
        <v>2785</v>
      </c>
      <c r="B108" s="14" t="s">
        <v>124</v>
      </c>
      <c r="C108" s="15">
        <v>45933</v>
      </c>
      <c r="D108" s="14" t="s">
        <v>2659</v>
      </c>
      <c r="E108" s="14" t="s">
        <v>2660</v>
      </c>
      <c r="F108" s="17">
        <v>3500</v>
      </c>
      <c r="G108" s="14" t="s">
        <v>2676</v>
      </c>
      <c r="H108" s="14"/>
    </row>
    <row r="109" spans="1:8" ht="16">
      <c r="A109" s="14" t="s">
        <v>2786</v>
      </c>
      <c r="B109" s="14" t="s">
        <v>78</v>
      </c>
      <c r="C109" s="15">
        <v>46223</v>
      </c>
      <c r="D109" s="14" t="s">
        <v>2692</v>
      </c>
      <c r="E109" s="14" t="s">
        <v>2693</v>
      </c>
      <c r="F109" s="17">
        <v>10000</v>
      </c>
      <c r="G109" s="14" t="s">
        <v>2661</v>
      </c>
      <c r="H109" s="14"/>
    </row>
    <row r="110" spans="1:8" ht="16">
      <c r="A110" s="14" t="s">
        <v>2787</v>
      </c>
      <c r="B110" s="14" t="s">
        <v>237</v>
      </c>
      <c r="C110" s="15">
        <v>46144</v>
      </c>
      <c r="D110" s="14" t="s">
        <v>2692</v>
      </c>
      <c r="E110" s="14" t="s">
        <v>2693</v>
      </c>
      <c r="F110" s="17">
        <v>10000</v>
      </c>
      <c r="G110" s="14" t="s">
        <v>2661</v>
      </c>
      <c r="H110" s="14"/>
    </row>
    <row r="111" spans="1:8" ht="16">
      <c r="A111" s="14" t="s">
        <v>2788</v>
      </c>
      <c r="B111" s="14" t="s">
        <v>81</v>
      </c>
      <c r="C111" s="15">
        <v>46057</v>
      </c>
      <c r="D111" s="14" t="s">
        <v>2668</v>
      </c>
      <c r="E111" s="14" t="s">
        <v>2669</v>
      </c>
      <c r="F111" s="17">
        <v>4000</v>
      </c>
      <c r="G111" s="14" t="s">
        <v>2661</v>
      </c>
      <c r="H111" s="14"/>
    </row>
    <row r="112" spans="1:8" ht="16">
      <c r="A112" s="14" t="s">
        <v>2789</v>
      </c>
      <c r="B112" s="14" t="s">
        <v>139</v>
      </c>
      <c r="C112" s="15">
        <v>46277</v>
      </c>
      <c r="D112" s="14" t="s">
        <v>2688</v>
      </c>
      <c r="E112" s="14" t="s">
        <v>2689</v>
      </c>
      <c r="F112" s="17">
        <v>8000</v>
      </c>
      <c r="G112" s="14" t="s">
        <v>2661</v>
      </c>
      <c r="H112" s="14"/>
    </row>
    <row r="113" spans="1:8" ht="16">
      <c r="A113" s="14" t="s">
        <v>2790</v>
      </c>
      <c r="B113" s="14" t="s">
        <v>43</v>
      </c>
      <c r="C113" s="15">
        <v>46099</v>
      </c>
      <c r="D113" s="14" t="s">
        <v>2665</v>
      </c>
      <c r="E113" s="14" t="s">
        <v>2666</v>
      </c>
      <c r="F113" s="17">
        <v>2500</v>
      </c>
      <c r="G113" s="14" t="s">
        <v>2661</v>
      </c>
      <c r="H113" s="14"/>
    </row>
    <row r="114" spans="1:8" ht="16">
      <c r="A114" s="14" t="s">
        <v>2791</v>
      </c>
      <c r="B114" s="14" t="s">
        <v>215</v>
      </c>
      <c r="C114" s="15">
        <v>46076</v>
      </c>
      <c r="D114" s="14" t="s">
        <v>2674</v>
      </c>
      <c r="E114" s="14" t="s">
        <v>2675</v>
      </c>
      <c r="F114" s="17">
        <v>20000</v>
      </c>
      <c r="G114" s="14" t="s">
        <v>2661</v>
      </c>
      <c r="H114" s="14"/>
    </row>
    <row r="115" spans="1:8" ht="16">
      <c r="A115" s="14" t="s">
        <v>2792</v>
      </c>
      <c r="B115" s="14" t="s">
        <v>268</v>
      </c>
      <c r="C115" s="15">
        <v>46132</v>
      </c>
      <c r="D115" s="14" t="s">
        <v>2671</v>
      </c>
      <c r="E115" s="14" t="s">
        <v>2672</v>
      </c>
      <c r="F115" s="17">
        <v>3000</v>
      </c>
      <c r="G115" s="14" t="s">
        <v>2661</v>
      </c>
      <c r="H115" s="14"/>
    </row>
    <row r="116" spans="1:8" ht="16">
      <c r="A116" s="14" t="s">
        <v>2793</v>
      </c>
      <c r="B116" s="14" t="s">
        <v>62</v>
      </c>
      <c r="C116" s="15">
        <v>46233</v>
      </c>
      <c r="D116" s="14" t="s">
        <v>2663</v>
      </c>
      <c r="E116" s="14" t="s">
        <v>3630</v>
      </c>
      <c r="F116" s="17">
        <v>1500</v>
      </c>
      <c r="G116" s="14" t="s">
        <v>2661</v>
      </c>
      <c r="H116" s="14"/>
    </row>
    <row r="117" spans="1:8" ht="16">
      <c r="A117" s="14" t="s">
        <v>2794</v>
      </c>
      <c r="B117" s="14" t="s">
        <v>62</v>
      </c>
      <c r="C117" s="15">
        <v>46096</v>
      </c>
      <c r="D117" s="14" t="s">
        <v>2659</v>
      </c>
      <c r="E117" s="14" t="s">
        <v>2660</v>
      </c>
      <c r="F117" s="17">
        <v>3500</v>
      </c>
      <c r="G117" s="14" t="s">
        <v>2661</v>
      </c>
      <c r="H117" s="14"/>
    </row>
    <row r="118" spans="1:8" ht="16">
      <c r="A118" s="14" t="s">
        <v>2795</v>
      </c>
      <c r="B118" s="14" t="s">
        <v>293</v>
      </c>
      <c r="C118" s="15">
        <v>45945</v>
      </c>
      <c r="D118" s="14" t="s">
        <v>2663</v>
      </c>
      <c r="E118" s="14" t="s">
        <v>3630</v>
      </c>
      <c r="F118" s="17">
        <v>1500</v>
      </c>
      <c r="G118" s="14" t="s">
        <v>2661</v>
      </c>
      <c r="H118" s="14"/>
    </row>
    <row r="119" spans="1:8" ht="16">
      <c r="A119" s="14" t="s">
        <v>2796</v>
      </c>
      <c r="B119" s="14" t="s">
        <v>307</v>
      </c>
      <c r="C119" s="15">
        <v>46166</v>
      </c>
      <c r="D119" s="14" t="s">
        <v>2682</v>
      </c>
      <c r="E119" s="14" t="s">
        <v>2683</v>
      </c>
      <c r="F119" s="17">
        <v>6000</v>
      </c>
      <c r="G119" s="14" t="s">
        <v>2661</v>
      </c>
      <c r="H119" s="14"/>
    </row>
    <row r="120" spans="1:8" ht="16">
      <c r="A120" s="14" t="s">
        <v>2797</v>
      </c>
      <c r="B120" s="14" t="s">
        <v>102</v>
      </c>
      <c r="C120" s="15">
        <v>46163</v>
      </c>
      <c r="D120" s="14" t="s">
        <v>2665</v>
      </c>
      <c r="E120" s="14" t="s">
        <v>2666</v>
      </c>
      <c r="F120" s="17">
        <v>2500</v>
      </c>
      <c r="G120" s="14" t="s">
        <v>2661</v>
      </c>
      <c r="H120" s="14"/>
    </row>
    <row r="121" spans="1:8" ht="16">
      <c r="A121" s="14" t="s">
        <v>2798</v>
      </c>
      <c r="B121" s="14" t="s">
        <v>126</v>
      </c>
      <c r="C121" s="15">
        <v>46235</v>
      </c>
      <c r="D121" s="14" t="s">
        <v>2659</v>
      </c>
      <c r="E121" s="14" t="s">
        <v>2660</v>
      </c>
      <c r="F121" s="17">
        <v>3500</v>
      </c>
      <c r="G121" s="14" t="s">
        <v>2661</v>
      </c>
      <c r="H121" s="14"/>
    </row>
    <row r="122" spans="1:8" ht="16">
      <c r="A122" s="14" t="s">
        <v>2799</v>
      </c>
      <c r="B122" s="14" t="s">
        <v>305</v>
      </c>
      <c r="C122" s="15">
        <v>46099</v>
      </c>
      <c r="D122" s="14" t="s">
        <v>2674</v>
      </c>
      <c r="E122" s="14" t="s">
        <v>2675</v>
      </c>
      <c r="F122" s="17">
        <v>20000</v>
      </c>
      <c r="G122" s="14" t="s">
        <v>2661</v>
      </c>
      <c r="H122" s="14"/>
    </row>
    <row r="123" spans="1:8" ht="16">
      <c r="A123" s="14" t="s">
        <v>2800</v>
      </c>
      <c r="B123" s="14" t="s">
        <v>51</v>
      </c>
      <c r="C123" s="15">
        <v>46266</v>
      </c>
      <c r="D123" s="14" t="s">
        <v>2674</v>
      </c>
      <c r="E123" s="14" t="s">
        <v>2675</v>
      </c>
      <c r="F123" s="17">
        <v>20000</v>
      </c>
      <c r="G123" s="14" t="s">
        <v>2676</v>
      </c>
      <c r="H123" s="14"/>
    </row>
    <row r="124" spans="1:8" ht="16">
      <c r="A124" s="14" t="s">
        <v>2801</v>
      </c>
      <c r="B124" s="14" t="s">
        <v>65</v>
      </c>
      <c r="C124" s="15">
        <v>46162</v>
      </c>
      <c r="D124" s="14" t="s">
        <v>2688</v>
      </c>
      <c r="E124" s="14" t="s">
        <v>2689</v>
      </c>
      <c r="F124" s="17">
        <v>8000</v>
      </c>
      <c r="G124" s="14" t="s">
        <v>2661</v>
      </c>
      <c r="H124" s="14"/>
    </row>
    <row r="125" spans="1:8" ht="16">
      <c r="A125" s="14" t="s">
        <v>2802</v>
      </c>
      <c r="B125" s="14" t="s">
        <v>259</v>
      </c>
      <c r="C125" s="15">
        <v>46222</v>
      </c>
      <c r="D125" s="14" t="s">
        <v>2668</v>
      </c>
      <c r="E125" s="14" t="s">
        <v>2669</v>
      </c>
      <c r="F125" s="17">
        <v>4000</v>
      </c>
      <c r="G125" s="14" t="s">
        <v>2661</v>
      </c>
      <c r="H125" s="14"/>
    </row>
    <row r="126" spans="1:8" ht="16">
      <c r="A126" s="14" t="s">
        <v>2803</v>
      </c>
      <c r="B126" s="14" t="s">
        <v>178</v>
      </c>
      <c r="C126" s="15">
        <v>46039</v>
      </c>
      <c r="D126" s="14" t="s">
        <v>2663</v>
      </c>
      <c r="E126" s="14" t="s">
        <v>3630</v>
      </c>
      <c r="F126" s="17">
        <v>1500</v>
      </c>
      <c r="G126" s="14" t="s">
        <v>2661</v>
      </c>
      <c r="H126" s="14"/>
    </row>
    <row r="127" spans="1:8" ht="16">
      <c r="A127" s="14" t="s">
        <v>2804</v>
      </c>
      <c r="B127" s="14" t="s">
        <v>62</v>
      </c>
      <c r="C127" s="15">
        <v>46260</v>
      </c>
      <c r="D127" s="14" t="s">
        <v>2659</v>
      </c>
      <c r="E127" s="14" t="s">
        <v>2660</v>
      </c>
      <c r="F127" s="17">
        <v>3500</v>
      </c>
      <c r="G127" s="14" t="s">
        <v>2661</v>
      </c>
      <c r="H127" s="14"/>
    </row>
    <row r="128" spans="1:8" ht="16">
      <c r="A128" s="14" t="s">
        <v>2805</v>
      </c>
      <c r="B128" s="14" t="s">
        <v>49</v>
      </c>
      <c r="C128" s="15">
        <v>46096</v>
      </c>
      <c r="D128" s="14" t="s">
        <v>2663</v>
      </c>
      <c r="E128" s="14" t="s">
        <v>3630</v>
      </c>
      <c r="F128" s="17">
        <v>1500</v>
      </c>
      <c r="G128" s="14" t="s">
        <v>2661</v>
      </c>
      <c r="H128" s="14"/>
    </row>
    <row r="129" spans="1:8" ht="16">
      <c r="A129" s="14" t="s">
        <v>2806</v>
      </c>
      <c r="B129" s="14" t="s">
        <v>225</v>
      </c>
      <c r="C129" s="15">
        <v>45967</v>
      </c>
      <c r="D129" s="14" t="s">
        <v>2671</v>
      </c>
      <c r="E129" s="14" t="s">
        <v>2672</v>
      </c>
      <c r="F129" s="17">
        <v>3000</v>
      </c>
      <c r="G129" s="14" t="s">
        <v>2676</v>
      </c>
      <c r="H129" s="14"/>
    </row>
    <row r="130" spans="1:8" ht="16">
      <c r="A130" s="14" t="s">
        <v>2807</v>
      </c>
      <c r="B130" s="14" t="s">
        <v>23</v>
      </c>
      <c r="C130" s="15">
        <v>46239</v>
      </c>
      <c r="D130" s="14" t="s">
        <v>2663</v>
      </c>
      <c r="E130" s="14" t="s">
        <v>3630</v>
      </c>
      <c r="F130" s="17">
        <v>1500</v>
      </c>
      <c r="G130" s="14" t="s">
        <v>2661</v>
      </c>
      <c r="H130" s="14"/>
    </row>
    <row r="131" spans="1:8" ht="16">
      <c r="A131" s="14" t="s">
        <v>2808</v>
      </c>
      <c r="B131" s="14" t="s">
        <v>77</v>
      </c>
      <c r="C131" s="15">
        <v>45978</v>
      </c>
      <c r="D131" s="14" t="s">
        <v>2688</v>
      </c>
      <c r="E131" s="14" t="s">
        <v>2689</v>
      </c>
      <c r="F131" s="17">
        <v>8000</v>
      </c>
      <c r="G131" s="14" t="s">
        <v>2661</v>
      </c>
      <c r="H131" s="14"/>
    </row>
    <row r="132" spans="1:8" ht="16">
      <c r="A132" s="14" t="s">
        <v>2809</v>
      </c>
      <c r="B132" s="14" t="s">
        <v>303</v>
      </c>
      <c r="C132" s="15">
        <v>46061</v>
      </c>
      <c r="D132" s="14" t="s">
        <v>2682</v>
      </c>
      <c r="E132" s="14" t="s">
        <v>2683</v>
      </c>
      <c r="F132" s="17">
        <v>6000</v>
      </c>
      <c r="G132" s="14" t="s">
        <v>2661</v>
      </c>
      <c r="H132" s="14"/>
    </row>
    <row r="133" spans="1:8" ht="16">
      <c r="A133" s="14" t="s">
        <v>2810</v>
      </c>
      <c r="B133" s="14" t="s">
        <v>37</v>
      </c>
      <c r="C133" s="15">
        <v>46053</v>
      </c>
      <c r="D133" s="14" t="s">
        <v>2692</v>
      </c>
      <c r="E133" s="14" t="s">
        <v>2693</v>
      </c>
      <c r="F133" s="17">
        <v>10000</v>
      </c>
      <c r="G133" s="14" t="s">
        <v>2661</v>
      </c>
      <c r="H133" s="14"/>
    </row>
    <row r="134" spans="1:8" ht="16">
      <c r="A134" s="14" t="s">
        <v>2811</v>
      </c>
      <c r="B134" s="14" t="s">
        <v>274</v>
      </c>
      <c r="C134" s="15">
        <v>45976</v>
      </c>
      <c r="D134" s="14" t="s">
        <v>2688</v>
      </c>
      <c r="E134" s="14" t="s">
        <v>2689</v>
      </c>
      <c r="F134" s="17">
        <v>8000</v>
      </c>
      <c r="G134" s="14" t="s">
        <v>2661</v>
      </c>
      <c r="H134" s="14"/>
    </row>
    <row r="135" spans="1:8" ht="16">
      <c r="A135" s="14" t="s">
        <v>2812</v>
      </c>
      <c r="B135" s="14" t="s">
        <v>275</v>
      </c>
      <c r="C135" s="15">
        <v>46037</v>
      </c>
      <c r="D135" s="14" t="s">
        <v>2671</v>
      </c>
      <c r="E135" s="14" t="s">
        <v>2672</v>
      </c>
      <c r="F135" s="17">
        <v>3000</v>
      </c>
      <c r="G135" s="14" t="s">
        <v>2661</v>
      </c>
      <c r="H135" s="14"/>
    </row>
    <row r="136" spans="1:8" ht="16">
      <c r="A136" s="14" t="s">
        <v>2813</v>
      </c>
      <c r="B136" s="14" t="s">
        <v>207</v>
      </c>
      <c r="C136" s="15">
        <v>46129</v>
      </c>
      <c r="D136" s="14" t="s">
        <v>2674</v>
      </c>
      <c r="E136" s="14" t="s">
        <v>2675</v>
      </c>
      <c r="F136" s="17">
        <v>20000</v>
      </c>
      <c r="G136" s="14" t="s">
        <v>2661</v>
      </c>
      <c r="H136" s="14"/>
    </row>
    <row r="137" spans="1:8" ht="16">
      <c r="A137" s="14" t="s">
        <v>2814</v>
      </c>
      <c r="B137" s="14" t="s">
        <v>286</v>
      </c>
      <c r="C137" s="15">
        <v>46076</v>
      </c>
      <c r="D137" s="14" t="s">
        <v>2663</v>
      </c>
      <c r="E137" s="14" t="s">
        <v>3630</v>
      </c>
      <c r="F137" s="17">
        <v>1500</v>
      </c>
      <c r="G137" s="14" t="s">
        <v>2661</v>
      </c>
      <c r="H137" s="14"/>
    </row>
    <row r="138" spans="1:8" ht="16">
      <c r="A138" s="14" t="s">
        <v>2815</v>
      </c>
      <c r="B138" s="14" t="s">
        <v>252</v>
      </c>
      <c r="C138" s="15">
        <v>45992</v>
      </c>
      <c r="D138" s="14" t="s">
        <v>2688</v>
      </c>
      <c r="E138" s="14" t="s">
        <v>2689</v>
      </c>
      <c r="F138" s="17">
        <v>8000</v>
      </c>
      <c r="G138" s="14" t="s">
        <v>2661</v>
      </c>
      <c r="H138" s="14"/>
    </row>
    <row r="139" spans="1:8" ht="16">
      <c r="A139" s="14" t="s">
        <v>2816</v>
      </c>
      <c r="B139" s="14" t="s">
        <v>99</v>
      </c>
      <c r="C139" s="15">
        <v>46182</v>
      </c>
      <c r="D139" s="14" t="s">
        <v>2668</v>
      </c>
      <c r="E139" s="14" t="s">
        <v>2669</v>
      </c>
      <c r="F139" s="17">
        <v>4000</v>
      </c>
      <c r="G139" s="14" t="s">
        <v>2661</v>
      </c>
      <c r="H139" s="14"/>
    </row>
    <row r="140" spans="1:8" ht="16">
      <c r="A140" s="14" t="s">
        <v>2817</v>
      </c>
      <c r="B140" s="14" t="s">
        <v>136</v>
      </c>
      <c r="C140" s="15">
        <v>46089</v>
      </c>
      <c r="D140" s="14" t="s">
        <v>2663</v>
      </c>
      <c r="E140" s="14" t="s">
        <v>3630</v>
      </c>
      <c r="F140" s="17">
        <v>1500</v>
      </c>
      <c r="G140" s="14" t="s">
        <v>2676</v>
      </c>
      <c r="H140" s="14"/>
    </row>
    <row r="141" spans="1:8" ht="16">
      <c r="A141" s="14" t="s">
        <v>2818</v>
      </c>
      <c r="B141" s="14" t="s">
        <v>278</v>
      </c>
      <c r="C141" s="15">
        <v>45998</v>
      </c>
      <c r="D141" s="14" t="s">
        <v>2685</v>
      </c>
      <c r="E141" s="14" t="s">
        <v>2686</v>
      </c>
      <c r="F141" s="17">
        <v>5000</v>
      </c>
      <c r="G141" s="14" t="s">
        <v>2661</v>
      </c>
      <c r="H141" s="14"/>
    </row>
    <row r="142" spans="1:8" ht="16">
      <c r="A142" s="14" t="s">
        <v>2819</v>
      </c>
      <c r="B142" s="14" t="s">
        <v>232</v>
      </c>
      <c r="C142" s="15">
        <v>46271</v>
      </c>
      <c r="D142" s="14" t="s">
        <v>2674</v>
      </c>
      <c r="E142" s="14" t="s">
        <v>2675</v>
      </c>
      <c r="F142" s="17">
        <v>20000</v>
      </c>
      <c r="G142" s="14" t="s">
        <v>2661</v>
      </c>
      <c r="H142" s="14"/>
    </row>
    <row r="143" spans="1:8" ht="16">
      <c r="A143" s="14" t="s">
        <v>2820</v>
      </c>
      <c r="B143" s="14" t="s">
        <v>42</v>
      </c>
      <c r="C143" s="15">
        <v>46119</v>
      </c>
      <c r="D143" s="14" t="s">
        <v>2682</v>
      </c>
      <c r="E143" s="14" t="s">
        <v>2683</v>
      </c>
      <c r="F143" s="17">
        <v>6000</v>
      </c>
      <c r="G143" s="14" t="s">
        <v>2676</v>
      </c>
      <c r="H143" s="14"/>
    </row>
    <row r="144" spans="1:8" ht="16">
      <c r="A144" s="14" t="s">
        <v>2821</v>
      </c>
      <c r="B144" s="14" t="s">
        <v>10</v>
      </c>
      <c r="C144" s="15">
        <v>46033</v>
      </c>
      <c r="D144" s="14" t="s">
        <v>2665</v>
      </c>
      <c r="E144" s="14" t="s">
        <v>2666</v>
      </c>
      <c r="F144" s="17">
        <v>2500</v>
      </c>
      <c r="G144" s="14" t="s">
        <v>2661</v>
      </c>
      <c r="H144" s="14"/>
    </row>
    <row r="145" spans="1:8" ht="16">
      <c r="A145" s="14" t="s">
        <v>2822</v>
      </c>
      <c r="B145" s="14" t="s">
        <v>69</v>
      </c>
      <c r="C145" s="15">
        <v>46159</v>
      </c>
      <c r="D145" s="14" t="s">
        <v>2668</v>
      </c>
      <c r="E145" s="14" t="s">
        <v>2669</v>
      </c>
      <c r="F145" s="17">
        <v>4000</v>
      </c>
      <c r="G145" s="14" t="s">
        <v>2661</v>
      </c>
      <c r="H145" s="14"/>
    </row>
    <row r="146" spans="1:8" ht="16">
      <c r="A146" s="14" t="s">
        <v>2823</v>
      </c>
      <c r="B146" s="14" t="s">
        <v>146</v>
      </c>
      <c r="C146" s="15">
        <v>46174</v>
      </c>
      <c r="D146" s="14" t="s">
        <v>2668</v>
      </c>
      <c r="E146" s="14" t="s">
        <v>2669</v>
      </c>
      <c r="F146" s="17">
        <v>4000</v>
      </c>
      <c r="G146" s="14" t="s">
        <v>2661</v>
      </c>
      <c r="H146" s="14"/>
    </row>
    <row r="147" spans="1:8" ht="16">
      <c r="A147" s="14" t="s">
        <v>2824</v>
      </c>
      <c r="B147" s="14" t="s">
        <v>133</v>
      </c>
      <c r="C147" s="15">
        <v>46219</v>
      </c>
      <c r="D147" s="14" t="s">
        <v>2663</v>
      </c>
      <c r="E147" s="14" t="s">
        <v>3630</v>
      </c>
      <c r="F147" s="17">
        <v>1500</v>
      </c>
      <c r="G147" s="14" t="s">
        <v>2676</v>
      </c>
      <c r="H147" s="14"/>
    </row>
    <row r="148" spans="1:8" ht="16">
      <c r="A148" s="14" t="s">
        <v>2825</v>
      </c>
      <c r="B148" s="14" t="s">
        <v>114</v>
      </c>
      <c r="C148" s="15">
        <v>46147</v>
      </c>
      <c r="D148" s="14" t="s">
        <v>2682</v>
      </c>
      <c r="E148" s="14" t="s">
        <v>2683</v>
      </c>
      <c r="F148" s="17">
        <v>6000</v>
      </c>
      <c r="G148" s="14" t="s">
        <v>2661</v>
      </c>
      <c r="H148" s="14"/>
    </row>
    <row r="149" spans="1:8" ht="16">
      <c r="A149" s="14" t="s">
        <v>2826</v>
      </c>
      <c r="B149" s="14" t="s">
        <v>65</v>
      </c>
      <c r="C149" s="15">
        <v>46147</v>
      </c>
      <c r="D149" s="14" t="s">
        <v>2674</v>
      </c>
      <c r="E149" s="14" t="s">
        <v>2675</v>
      </c>
      <c r="F149" s="17">
        <v>20000</v>
      </c>
      <c r="G149" s="14" t="s">
        <v>2661</v>
      </c>
      <c r="H149" s="14"/>
    </row>
    <row r="150" spans="1:8" ht="16">
      <c r="A150" s="14" t="s">
        <v>2827</v>
      </c>
      <c r="B150" s="14" t="s">
        <v>81</v>
      </c>
      <c r="C150" s="15">
        <v>46245</v>
      </c>
      <c r="D150" s="14" t="s">
        <v>2668</v>
      </c>
      <c r="E150" s="14" t="s">
        <v>2669</v>
      </c>
      <c r="F150" s="17">
        <v>4000</v>
      </c>
      <c r="G150" s="14" t="s">
        <v>2661</v>
      </c>
      <c r="H150" s="14"/>
    </row>
    <row r="151" spans="1:8" ht="16">
      <c r="A151" s="14" t="s">
        <v>2828</v>
      </c>
      <c r="B151" s="14" t="s">
        <v>146</v>
      </c>
      <c r="C151" s="15">
        <v>46153</v>
      </c>
      <c r="D151" s="14" t="s">
        <v>2659</v>
      </c>
      <c r="E151" s="14" t="s">
        <v>2660</v>
      </c>
      <c r="F151" s="17">
        <v>3500</v>
      </c>
      <c r="G151" s="14" t="s">
        <v>2661</v>
      </c>
      <c r="H151" s="14"/>
    </row>
    <row r="152" spans="1:8" ht="16">
      <c r="A152" s="14" t="s">
        <v>2829</v>
      </c>
      <c r="B152" s="14" t="s">
        <v>222</v>
      </c>
      <c r="C152" s="15">
        <v>45978</v>
      </c>
      <c r="D152" s="14" t="s">
        <v>2692</v>
      </c>
      <c r="E152" s="14" t="s">
        <v>2693</v>
      </c>
      <c r="F152" s="17">
        <v>10000</v>
      </c>
      <c r="G152" s="14" t="s">
        <v>2661</v>
      </c>
      <c r="H152" s="14"/>
    </row>
    <row r="153" spans="1:8" ht="16">
      <c r="A153" s="14" t="s">
        <v>2830</v>
      </c>
      <c r="B153" s="14" t="s">
        <v>49</v>
      </c>
      <c r="C153" s="15">
        <v>46193</v>
      </c>
      <c r="D153" s="14" t="s">
        <v>2688</v>
      </c>
      <c r="E153" s="14" t="s">
        <v>2689</v>
      </c>
      <c r="F153" s="17">
        <v>8000</v>
      </c>
      <c r="G153" s="14" t="s">
        <v>2661</v>
      </c>
      <c r="H153" s="14"/>
    </row>
    <row r="154" spans="1:8" ht="16">
      <c r="A154" s="14" t="s">
        <v>2831</v>
      </c>
      <c r="B154" s="14" t="s">
        <v>158</v>
      </c>
      <c r="C154" s="15">
        <v>46168</v>
      </c>
      <c r="D154" s="14" t="s">
        <v>2659</v>
      </c>
      <c r="E154" s="14" t="s">
        <v>2660</v>
      </c>
      <c r="F154" s="17">
        <v>3500</v>
      </c>
      <c r="G154" s="14" t="s">
        <v>2661</v>
      </c>
      <c r="H154" s="14"/>
    </row>
    <row r="155" spans="1:8" ht="16">
      <c r="A155" s="14" t="s">
        <v>2832</v>
      </c>
      <c r="B155" s="14" t="s">
        <v>125</v>
      </c>
      <c r="C155" s="15">
        <v>46262</v>
      </c>
      <c r="D155" s="14" t="s">
        <v>2671</v>
      </c>
      <c r="E155" s="14" t="s">
        <v>2672</v>
      </c>
      <c r="F155" s="17">
        <v>3000</v>
      </c>
      <c r="G155" s="14" t="s">
        <v>2661</v>
      </c>
      <c r="H155" s="14"/>
    </row>
    <row r="156" spans="1:8" ht="16">
      <c r="A156" s="14" t="s">
        <v>2833</v>
      </c>
      <c r="B156" s="14" t="s">
        <v>228</v>
      </c>
      <c r="C156" s="15">
        <v>46184</v>
      </c>
      <c r="D156" s="14" t="s">
        <v>2671</v>
      </c>
      <c r="E156" s="14" t="s">
        <v>2672</v>
      </c>
      <c r="F156" s="17">
        <v>3000</v>
      </c>
      <c r="G156" s="14" t="s">
        <v>2676</v>
      </c>
      <c r="H156" s="14"/>
    </row>
    <row r="157" spans="1:8" ht="16">
      <c r="A157" s="14" t="s">
        <v>2834</v>
      </c>
      <c r="B157" s="14" t="s">
        <v>190</v>
      </c>
      <c r="C157" s="15">
        <v>46253</v>
      </c>
      <c r="D157" s="14" t="s">
        <v>2692</v>
      </c>
      <c r="E157" s="14" t="s">
        <v>2693</v>
      </c>
      <c r="F157" s="17">
        <v>10000</v>
      </c>
      <c r="G157" s="14" t="s">
        <v>2676</v>
      </c>
      <c r="H157" s="14"/>
    </row>
    <row r="158" spans="1:8" ht="16">
      <c r="A158" s="14" t="s">
        <v>2835</v>
      </c>
      <c r="B158" s="14" t="s">
        <v>85</v>
      </c>
      <c r="C158" s="15">
        <v>45973</v>
      </c>
      <c r="D158" s="14" t="s">
        <v>2663</v>
      </c>
      <c r="E158" s="14" t="s">
        <v>3630</v>
      </c>
      <c r="F158" s="17">
        <v>1500</v>
      </c>
      <c r="G158" s="14" t="s">
        <v>2661</v>
      </c>
      <c r="H158" s="14"/>
    </row>
    <row r="159" spans="1:8" ht="16">
      <c r="A159" s="14" t="s">
        <v>2836</v>
      </c>
      <c r="B159" s="14" t="s">
        <v>222</v>
      </c>
      <c r="C159" s="15">
        <v>46170</v>
      </c>
      <c r="D159" s="14" t="s">
        <v>2685</v>
      </c>
      <c r="E159" s="14" t="s">
        <v>2686</v>
      </c>
      <c r="F159" s="17">
        <v>5000</v>
      </c>
      <c r="G159" s="14" t="s">
        <v>2661</v>
      </c>
      <c r="H159" s="14"/>
    </row>
    <row r="160" spans="1:8" ht="16">
      <c r="A160" s="14" t="s">
        <v>2837</v>
      </c>
      <c r="B160" s="14" t="s">
        <v>39</v>
      </c>
      <c r="C160" s="15">
        <v>45971</v>
      </c>
      <c r="D160" s="14" t="s">
        <v>2668</v>
      </c>
      <c r="E160" s="14" t="s">
        <v>2669</v>
      </c>
      <c r="F160" s="17">
        <v>4000</v>
      </c>
      <c r="G160" s="14" t="s">
        <v>2661</v>
      </c>
      <c r="H160" s="14"/>
    </row>
    <row r="161" spans="1:8" ht="16">
      <c r="A161" s="14" t="s">
        <v>2838</v>
      </c>
      <c r="B161" s="14" t="s">
        <v>283</v>
      </c>
      <c r="C161" s="15">
        <v>46084</v>
      </c>
      <c r="D161" s="14" t="s">
        <v>2682</v>
      </c>
      <c r="E161" s="14" t="s">
        <v>2683</v>
      </c>
      <c r="F161" s="17">
        <v>6000</v>
      </c>
      <c r="G161" s="14" t="s">
        <v>2661</v>
      </c>
      <c r="H161" s="14"/>
    </row>
    <row r="162" spans="1:8" ht="16">
      <c r="A162" s="14" t="s">
        <v>2839</v>
      </c>
      <c r="B162" s="14" t="s">
        <v>96</v>
      </c>
      <c r="C162" s="15">
        <v>45996</v>
      </c>
      <c r="D162" s="14" t="s">
        <v>2685</v>
      </c>
      <c r="E162" s="14" t="s">
        <v>2686</v>
      </c>
      <c r="F162" s="17">
        <v>5000</v>
      </c>
      <c r="G162" s="14" t="s">
        <v>2661</v>
      </c>
      <c r="H162" s="14"/>
    </row>
    <row r="163" spans="1:8" ht="16">
      <c r="A163" s="14" t="s">
        <v>2840</v>
      </c>
      <c r="B163" s="14" t="s">
        <v>300</v>
      </c>
      <c r="C163" s="15">
        <v>46058</v>
      </c>
      <c r="D163" s="14" t="s">
        <v>2659</v>
      </c>
      <c r="E163" s="14" t="s">
        <v>2660</v>
      </c>
      <c r="F163" s="17">
        <v>3500</v>
      </c>
      <c r="G163" s="14" t="s">
        <v>2676</v>
      </c>
      <c r="H163" s="14"/>
    </row>
    <row r="164" spans="1:8" ht="16">
      <c r="A164" s="14" t="s">
        <v>2841</v>
      </c>
      <c r="B164" s="14" t="s">
        <v>127</v>
      </c>
      <c r="C164" s="15">
        <v>46149</v>
      </c>
      <c r="D164" s="14" t="s">
        <v>2659</v>
      </c>
      <c r="E164" s="14" t="s">
        <v>2660</v>
      </c>
      <c r="F164" s="17">
        <v>3500</v>
      </c>
      <c r="G164" s="14" t="s">
        <v>2661</v>
      </c>
      <c r="H164" s="14"/>
    </row>
    <row r="165" spans="1:8" ht="16">
      <c r="A165" s="14" t="s">
        <v>2842</v>
      </c>
      <c r="B165" s="14" t="s">
        <v>274</v>
      </c>
      <c r="C165" s="15">
        <v>46222</v>
      </c>
      <c r="D165" s="14" t="s">
        <v>2682</v>
      </c>
      <c r="E165" s="14" t="s">
        <v>2683</v>
      </c>
      <c r="F165" s="17">
        <v>6000</v>
      </c>
      <c r="G165" s="14" t="s">
        <v>2661</v>
      </c>
      <c r="H165" s="14"/>
    </row>
    <row r="166" spans="1:8" ht="16">
      <c r="A166" s="14" t="s">
        <v>2843</v>
      </c>
      <c r="B166" s="14" t="s">
        <v>277</v>
      </c>
      <c r="C166" s="15">
        <v>46213</v>
      </c>
      <c r="D166" s="14" t="s">
        <v>2682</v>
      </c>
      <c r="E166" s="14" t="s">
        <v>2683</v>
      </c>
      <c r="F166" s="17">
        <v>6000</v>
      </c>
      <c r="G166" s="14" t="s">
        <v>2661</v>
      </c>
      <c r="H166" s="14"/>
    </row>
    <row r="167" spans="1:8" ht="16">
      <c r="A167" s="14" t="s">
        <v>2844</v>
      </c>
      <c r="B167" s="14" t="s">
        <v>74</v>
      </c>
      <c r="C167" s="15">
        <v>45954</v>
      </c>
      <c r="D167" s="14" t="s">
        <v>2671</v>
      </c>
      <c r="E167" s="14" t="s">
        <v>2672</v>
      </c>
      <c r="F167" s="17">
        <v>3000</v>
      </c>
      <c r="G167" s="14" t="s">
        <v>2676</v>
      </c>
      <c r="H167" s="14"/>
    </row>
    <row r="168" spans="1:8" ht="16">
      <c r="A168" s="14" t="s">
        <v>2845</v>
      </c>
      <c r="B168" s="14" t="s">
        <v>306</v>
      </c>
      <c r="C168" s="15">
        <v>45986</v>
      </c>
      <c r="D168" s="14" t="s">
        <v>2665</v>
      </c>
      <c r="E168" s="14" t="s">
        <v>2666</v>
      </c>
      <c r="F168" s="17">
        <v>2500</v>
      </c>
      <c r="G168" s="14" t="s">
        <v>2676</v>
      </c>
      <c r="H168" s="14"/>
    </row>
    <row r="169" spans="1:8" ht="16">
      <c r="A169" s="14" t="s">
        <v>2846</v>
      </c>
      <c r="B169" s="14" t="s">
        <v>23</v>
      </c>
      <c r="C169" s="15">
        <v>46148</v>
      </c>
      <c r="D169" s="14" t="s">
        <v>2685</v>
      </c>
      <c r="E169" s="14" t="s">
        <v>2686</v>
      </c>
      <c r="F169" s="17">
        <v>5000</v>
      </c>
      <c r="G169" s="14" t="s">
        <v>2661</v>
      </c>
      <c r="H169" s="14"/>
    </row>
    <row r="170" spans="1:8" ht="16">
      <c r="A170" s="14" t="s">
        <v>2847</v>
      </c>
      <c r="B170" s="14" t="s">
        <v>104</v>
      </c>
      <c r="C170" s="15">
        <v>45979</v>
      </c>
      <c r="D170" s="14" t="s">
        <v>2671</v>
      </c>
      <c r="E170" s="14" t="s">
        <v>2672</v>
      </c>
      <c r="F170" s="17">
        <v>3000</v>
      </c>
      <c r="G170" s="14" t="s">
        <v>2661</v>
      </c>
      <c r="H170" s="14"/>
    </row>
    <row r="171" spans="1:8" ht="16">
      <c r="A171" s="14" t="s">
        <v>2848</v>
      </c>
      <c r="B171" s="14" t="s">
        <v>109</v>
      </c>
      <c r="C171" s="15">
        <v>46269</v>
      </c>
      <c r="D171" s="14" t="s">
        <v>2659</v>
      </c>
      <c r="E171" s="14" t="s">
        <v>2660</v>
      </c>
      <c r="F171" s="17">
        <v>3500</v>
      </c>
      <c r="G171" s="14" t="s">
        <v>2676</v>
      </c>
      <c r="H171" s="14"/>
    </row>
    <row r="172" spans="1:8" ht="16">
      <c r="A172" s="14" t="s">
        <v>2849</v>
      </c>
      <c r="B172" s="14" t="s">
        <v>28</v>
      </c>
      <c r="C172" s="15">
        <v>46060</v>
      </c>
      <c r="D172" s="14" t="s">
        <v>2659</v>
      </c>
      <c r="E172" s="14" t="s">
        <v>2660</v>
      </c>
      <c r="F172" s="17">
        <v>3500</v>
      </c>
      <c r="G172" s="14" t="s">
        <v>2661</v>
      </c>
      <c r="H172" s="14"/>
    </row>
    <row r="173" spans="1:8" ht="16">
      <c r="A173" s="14" t="s">
        <v>2850</v>
      </c>
      <c r="B173" s="14" t="s">
        <v>257</v>
      </c>
      <c r="C173" s="15">
        <v>46061</v>
      </c>
      <c r="D173" s="14" t="s">
        <v>2674</v>
      </c>
      <c r="E173" s="14" t="s">
        <v>2675</v>
      </c>
      <c r="F173" s="17">
        <v>20000</v>
      </c>
      <c r="G173" s="14" t="s">
        <v>2676</v>
      </c>
      <c r="H173" s="14"/>
    </row>
    <row r="174" spans="1:8" ht="16">
      <c r="A174" s="14" t="s">
        <v>2851</v>
      </c>
      <c r="B174" s="14" t="s">
        <v>35</v>
      </c>
      <c r="C174" s="15">
        <v>45972</v>
      </c>
      <c r="D174" s="14" t="s">
        <v>2685</v>
      </c>
      <c r="E174" s="14" t="s">
        <v>2686</v>
      </c>
      <c r="F174" s="17">
        <v>5000</v>
      </c>
      <c r="G174" s="14" t="s">
        <v>2676</v>
      </c>
      <c r="H174" s="14"/>
    </row>
    <row r="175" spans="1:8" ht="16">
      <c r="A175" s="14" t="s">
        <v>2852</v>
      </c>
      <c r="B175" s="14" t="s">
        <v>40</v>
      </c>
      <c r="C175" s="15">
        <v>45939</v>
      </c>
      <c r="D175" s="14" t="s">
        <v>2663</v>
      </c>
      <c r="E175" s="14" t="s">
        <v>3630</v>
      </c>
      <c r="F175" s="17">
        <v>1500</v>
      </c>
      <c r="G175" s="14" t="s">
        <v>2661</v>
      </c>
      <c r="H175" s="14"/>
    </row>
    <row r="176" spans="1:8" ht="16">
      <c r="A176" s="14" t="s">
        <v>2853</v>
      </c>
      <c r="B176" s="14" t="s">
        <v>118</v>
      </c>
      <c r="C176" s="15">
        <v>46269</v>
      </c>
      <c r="D176" s="14" t="s">
        <v>2688</v>
      </c>
      <c r="E176" s="14" t="s">
        <v>2689</v>
      </c>
      <c r="F176" s="17">
        <v>8000</v>
      </c>
      <c r="G176" s="14" t="s">
        <v>2661</v>
      </c>
      <c r="H176" s="14"/>
    </row>
    <row r="177" spans="1:8" ht="16">
      <c r="A177" s="14" t="s">
        <v>2854</v>
      </c>
      <c r="B177" s="14" t="s">
        <v>166</v>
      </c>
      <c r="C177" s="15">
        <v>46022</v>
      </c>
      <c r="D177" s="14" t="s">
        <v>2685</v>
      </c>
      <c r="E177" s="14" t="s">
        <v>2686</v>
      </c>
      <c r="F177" s="17">
        <v>5000</v>
      </c>
      <c r="G177" s="14" t="s">
        <v>2661</v>
      </c>
      <c r="H177" s="14"/>
    </row>
    <row r="178" spans="1:8" ht="16">
      <c r="A178" s="14" t="s">
        <v>2855</v>
      </c>
      <c r="B178" s="14" t="s">
        <v>274</v>
      </c>
      <c r="C178" s="15">
        <v>46132</v>
      </c>
      <c r="D178" s="14" t="s">
        <v>2688</v>
      </c>
      <c r="E178" s="14" t="s">
        <v>2689</v>
      </c>
      <c r="F178" s="17">
        <v>8000</v>
      </c>
      <c r="G178" s="14" t="s">
        <v>2661</v>
      </c>
      <c r="H178" s="14"/>
    </row>
    <row r="179" spans="1:8" ht="16">
      <c r="A179" s="14" t="s">
        <v>2856</v>
      </c>
      <c r="B179" s="14" t="s">
        <v>243</v>
      </c>
      <c r="C179" s="15">
        <v>45973</v>
      </c>
      <c r="D179" s="14" t="s">
        <v>2671</v>
      </c>
      <c r="E179" s="14" t="s">
        <v>2672</v>
      </c>
      <c r="F179" s="17">
        <v>3000</v>
      </c>
      <c r="G179" s="14" t="s">
        <v>2661</v>
      </c>
      <c r="H179" s="14"/>
    </row>
    <row r="180" spans="1:8" ht="16">
      <c r="A180" s="14" t="s">
        <v>2857</v>
      </c>
      <c r="B180" s="14" t="s">
        <v>304</v>
      </c>
      <c r="C180" s="15">
        <v>46291</v>
      </c>
      <c r="D180" s="14" t="s">
        <v>2685</v>
      </c>
      <c r="E180" s="14" t="s">
        <v>2686</v>
      </c>
      <c r="F180" s="17">
        <v>5000</v>
      </c>
      <c r="G180" s="14" t="s">
        <v>2661</v>
      </c>
      <c r="H180" s="14"/>
    </row>
    <row r="181" spans="1:8" ht="16">
      <c r="A181" s="14" t="s">
        <v>2858</v>
      </c>
      <c r="B181" s="14" t="s">
        <v>307</v>
      </c>
      <c r="C181" s="15">
        <v>46091</v>
      </c>
      <c r="D181" s="14" t="s">
        <v>2674</v>
      </c>
      <c r="E181" s="14" t="s">
        <v>2675</v>
      </c>
      <c r="F181" s="17">
        <v>20000</v>
      </c>
      <c r="G181" s="14" t="s">
        <v>2676</v>
      </c>
      <c r="H181" s="14"/>
    </row>
    <row r="182" spans="1:8" ht="16">
      <c r="A182" s="14" t="s">
        <v>2859</v>
      </c>
      <c r="B182" s="14" t="s">
        <v>148</v>
      </c>
      <c r="C182" s="15">
        <v>46163</v>
      </c>
      <c r="D182" s="14" t="s">
        <v>2685</v>
      </c>
      <c r="E182" s="14" t="s">
        <v>2686</v>
      </c>
      <c r="F182" s="17">
        <v>5000</v>
      </c>
      <c r="G182" s="14" t="s">
        <v>2661</v>
      </c>
      <c r="H182" s="14"/>
    </row>
    <row r="183" spans="1:8" ht="16">
      <c r="A183" s="14" t="s">
        <v>2860</v>
      </c>
      <c r="B183" s="14" t="s">
        <v>210</v>
      </c>
      <c r="C183" s="15">
        <v>46250</v>
      </c>
      <c r="D183" s="14" t="s">
        <v>2688</v>
      </c>
      <c r="E183" s="14" t="s">
        <v>2689</v>
      </c>
      <c r="F183" s="17">
        <v>8000</v>
      </c>
      <c r="G183" s="14" t="s">
        <v>2661</v>
      </c>
      <c r="H183" s="14"/>
    </row>
    <row r="184" spans="1:8" ht="16">
      <c r="A184" s="14" t="s">
        <v>2861</v>
      </c>
      <c r="B184" s="14" t="s">
        <v>52</v>
      </c>
      <c r="C184" s="15">
        <v>46105</v>
      </c>
      <c r="D184" s="14" t="s">
        <v>2685</v>
      </c>
      <c r="E184" s="14" t="s">
        <v>2686</v>
      </c>
      <c r="F184" s="17">
        <v>5000</v>
      </c>
      <c r="G184" s="14" t="s">
        <v>2661</v>
      </c>
      <c r="H184" s="14"/>
    </row>
    <row r="185" spans="1:8" ht="16">
      <c r="A185" s="14" t="s">
        <v>2862</v>
      </c>
      <c r="B185" s="14" t="s">
        <v>253</v>
      </c>
      <c r="C185" s="15">
        <v>46039</v>
      </c>
      <c r="D185" s="14" t="s">
        <v>2663</v>
      </c>
      <c r="E185" s="14" t="s">
        <v>3630</v>
      </c>
      <c r="F185" s="17">
        <v>1500</v>
      </c>
      <c r="G185" s="14" t="s">
        <v>2661</v>
      </c>
      <c r="H185" s="14"/>
    </row>
    <row r="186" spans="1:8" ht="16">
      <c r="A186" s="14" t="s">
        <v>2863</v>
      </c>
      <c r="B186" s="14" t="s">
        <v>288</v>
      </c>
      <c r="C186" s="15">
        <v>45971</v>
      </c>
      <c r="D186" s="14" t="s">
        <v>2659</v>
      </c>
      <c r="E186" s="14" t="s">
        <v>2660</v>
      </c>
      <c r="F186" s="17">
        <v>3500</v>
      </c>
      <c r="G186" s="14" t="s">
        <v>2676</v>
      </c>
      <c r="H186" s="14"/>
    </row>
    <row r="187" spans="1:8" ht="16">
      <c r="A187" s="14" t="s">
        <v>2864</v>
      </c>
      <c r="B187" s="14" t="s">
        <v>235</v>
      </c>
      <c r="C187" s="15">
        <v>46063</v>
      </c>
      <c r="D187" s="14" t="s">
        <v>2671</v>
      </c>
      <c r="E187" s="14" t="s">
        <v>2672</v>
      </c>
      <c r="F187" s="17">
        <v>3000</v>
      </c>
      <c r="G187" s="14" t="s">
        <v>2661</v>
      </c>
      <c r="H187" s="14"/>
    </row>
    <row r="188" spans="1:8" ht="16">
      <c r="A188" s="14" t="s">
        <v>2865</v>
      </c>
      <c r="B188" s="14" t="s">
        <v>107</v>
      </c>
      <c r="C188" s="15">
        <v>46153</v>
      </c>
      <c r="D188" s="14" t="s">
        <v>2692</v>
      </c>
      <c r="E188" s="14" t="s">
        <v>2693</v>
      </c>
      <c r="F188" s="17">
        <v>10000</v>
      </c>
      <c r="G188" s="14" t="s">
        <v>2676</v>
      </c>
      <c r="H188" s="14"/>
    </row>
    <row r="189" spans="1:8" ht="16">
      <c r="A189" s="14" t="s">
        <v>2866</v>
      </c>
      <c r="B189" s="14" t="s">
        <v>296</v>
      </c>
      <c r="C189" s="15">
        <v>45940</v>
      </c>
      <c r="D189" s="14" t="s">
        <v>2685</v>
      </c>
      <c r="E189" s="14" t="s">
        <v>2686</v>
      </c>
      <c r="F189" s="17">
        <v>5000</v>
      </c>
      <c r="G189" s="14" t="s">
        <v>2661</v>
      </c>
      <c r="H189" s="14"/>
    </row>
    <row r="190" spans="1:8" ht="16">
      <c r="A190" s="14" t="s">
        <v>2867</v>
      </c>
      <c r="B190" s="14" t="s">
        <v>72</v>
      </c>
      <c r="C190" s="15">
        <v>46133</v>
      </c>
      <c r="D190" s="14" t="s">
        <v>2692</v>
      </c>
      <c r="E190" s="14" t="s">
        <v>2693</v>
      </c>
      <c r="F190" s="17">
        <v>10000</v>
      </c>
      <c r="G190" s="14" t="s">
        <v>2661</v>
      </c>
      <c r="H190" s="14"/>
    </row>
    <row r="191" spans="1:8" ht="16">
      <c r="A191" s="14" t="s">
        <v>2868</v>
      </c>
      <c r="B191" s="14" t="s">
        <v>206</v>
      </c>
      <c r="C191" s="15">
        <v>45937</v>
      </c>
      <c r="D191" s="14" t="s">
        <v>2688</v>
      </c>
      <c r="E191" s="14" t="s">
        <v>2689</v>
      </c>
      <c r="F191" s="17">
        <v>8000</v>
      </c>
      <c r="G191" s="14" t="s">
        <v>2661</v>
      </c>
      <c r="H191" s="14"/>
    </row>
    <row r="192" spans="1:8" ht="16">
      <c r="A192" s="14" t="s">
        <v>2869</v>
      </c>
      <c r="B192" s="14" t="s">
        <v>68</v>
      </c>
      <c r="C192" s="15">
        <v>46266</v>
      </c>
      <c r="D192" s="14" t="s">
        <v>2671</v>
      </c>
      <c r="E192" s="14" t="s">
        <v>2672</v>
      </c>
      <c r="F192" s="17">
        <v>3000</v>
      </c>
      <c r="G192" s="14" t="s">
        <v>2661</v>
      </c>
      <c r="H192" s="14"/>
    </row>
    <row r="193" spans="1:8" ht="16">
      <c r="A193" s="14" t="s">
        <v>2870</v>
      </c>
      <c r="B193" s="14" t="s">
        <v>104</v>
      </c>
      <c r="C193" s="15">
        <v>46166</v>
      </c>
      <c r="D193" s="14" t="s">
        <v>2659</v>
      </c>
      <c r="E193" s="14" t="s">
        <v>2660</v>
      </c>
      <c r="F193" s="17">
        <v>3500</v>
      </c>
      <c r="G193" s="14" t="s">
        <v>2661</v>
      </c>
      <c r="H193" s="14"/>
    </row>
    <row r="194" spans="1:8" ht="16">
      <c r="A194" s="14" t="s">
        <v>2871</v>
      </c>
      <c r="B194" s="14" t="s">
        <v>154</v>
      </c>
      <c r="C194" s="15">
        <v>46267</v>
      </c>
      <c r="D194" s="14" t="s">
        <v>2692</v>
      </c>
      <c r="E194" s="14" t="s">
        <v>2693</v>
      </c>
      <c r="F194" s="17">
        <v>10000</v>
      </c>
      <c r="G194" s="14" t="s">
        <v>2676</v>
      </c>
      <c r="H194" s="14"/>
    </row>
    <row r="195" spans="1:8" ht="16">
      <c r="A195" s="14" t="s">
        <v>2872</v>
      </c>
      <c r="B195" s="14" t="s">
        <v>23</v>
      </c>
      <c r="C195" s="15">
        <v>46180</v>
      </c>
      <c r="D195" s="14" t="s">
        <v>2659</v>
      </c>
      <c r="E195" s="14" t="s">
        <v>2660</v>
      </c>
      <c r="F195" s="17">
        <v>3500</v>
      </c>
      <c r="G195" s="14" t="s">
        <v>2661</v>
      </c>
      <c r="H195" s="14"/>
    </row>
    <row r="196" spans="1:8" ht="16">
      <c r="A196" s="14" t="s">
        <v>2873</v>
      </c>
      <c r="B196" s="14" t="s">
        <v>236</v>
      </c>
      <c r="C196" s="15">
        <v>46247</v>
      </c>
      <c r="D196" s="14" t="s">
        <v>2671</v>
      </c>
      <c r="E196" s="14" t="s">
        <v>2672</v>
      </c>
      <c r="F196" s="17">
        <v>3000</v>
      </c>
      <c r="G196" s="14" t="s">
        <v>2676</v>
      </c>
      <c r="H196" s="14"/>
    </row>
    <row r="197" spans="1:8" ht="16">
      <c r="A197" s="14" t="s">
        <v>2874</v>
      </c>
      <c r="B197" s="14" t="s">
        <v>161</v>
      </c>
      <c r="C197" s="15">
        <v>46115</v>
      </c>
      <c r="D197" s="14" t="s">
        <v>2688</v>
      </c>
      <c r="E197" s="14" t="s">
        <v>2689</v>
      </c>
      <c r="F197" s="17">
        <v>8000</v>
      </c>
      <c r="G197" s="14" t="s">
        <v>2661</v>
      </c>
      <c r="H197" s="14"/>
    </row>
    <row r="198" spans="1:8" ht="16">
      <c r="A198" s="14" t="s">
        <v>2875</v>
      </c>
      <c r="B198" s="14" t="s">
        <v>231</v>
      </c>
      <c r="C198" s="15">
        <v>46085</v>
      </c>
      <c r="D198" s="14" t="s">
        <v>2665</v>
      </c>
      <c r="E198" s="14" t="s">
        <v>2666</v>
      </c>
      <c r="F198" s="17">
        <v>2500</v>
      </c>
      <c r="G198" s="14" t="s">
        <v>2661</v>
      </c>
      <c r="H198" s="14"/>
    </row>
    <row r="199" spans="1:8" ht="16">
      <c r="A199" s="14" t="s">
        <v>2876</v>
      </c>
      <c r="B199" s="14" t="s">
        <v>261</v>
      </c>
      <c r="C199" s="15">
        <v>45995</v>
      </c>
      <c r="D199" s="14" t="s">
        <v>2674</v>
      </c>
      <c r="E199" s="14" t="s">
        <v>2675</v>
      </c>
      <c r="F199" s="17">
        <v>20000</v>
      </c>
      <c r="G199" s="14" t="s">
        <v>2661</v>
      </c>
      <c r="H199" s="14"/>
    </row>
    <row r="200" spans="1:8" ht="16">
      <c r="A200" s="14" t="s">
        <v>2877</v>
      </c>
      <c r="B200" s="14" t="s">
        <v>209</v>
      </c>
      <c r="C200" s="15">
        <v>45938</v>
      </c>
      <c r="D200" s="14" t="s">
        <v>2682</v>
      </c>
      <c r="E200" s="14" t="s">
        <v>2683</v>
      </c>
      <c r="F200" s="17">
        <v>6000</v>
      </c>
      <c r="G200" s="14" t="s">
        <v>2661</v>
      </c>
      <c r="H200" s="14"/>
    </row>
    <row r="201" spans="1:8" ht="16">
      <c r="A201" s="14" t="s">
        <v>2878</v>
      </c>
      <c r="B201" s="14" t="s">
        <v>136</v>
      </c>
      <c r="C201" s="15">
        <v>45988</v>
      </c>
      <c r="D201" s="14" t="s">
        <v>2671</v>
      </c>
      <c r="E201" s="14" t="s">
        <v>2672</v>
      </c>
      <c r="F201" s="17">
        <v>3000</v>
      </c>
      <c r="G201" s="14" t="s">
        <v>2661</v>
      </c>
      <c r="H201" s="14"/>
    </row>
    <row r="202" spans="1:8" ht="16">
      <c r="A202" s="14" t="s">
        <v>2879</v>
      </c>
      <c r="B202" s="14" t="s">
        <v>207</v>
      </c>
      <c r="C202" s="15">
        <v>46287</v>
      </c>
      <c r="D202" s="14" t="s">
        <v>2688</v>
      </c>
      <c r="E202" s="14" t="s">
        <v>2689</v>
      </c>
      <c r="F202" s="17">
        <v>8000</v>
      </c>
      <c r="G202" s="14" t="s">
        <v>2661</v>
      </c>
      <c r="H202" s="14"/>
    </row>
    <row r="203" spans="1:8" ht="16">
      <c r="A203" s="14" t="s">
        <v>2880</v>
      </c>
      <c r="B203" s="14" t="s">
        <v>175</v>
      </c>
      <c r="C203" s="15">
        <v>45944</v>
      </c>
      <c r="D203" s="14" t="s">
        <v>2674</v>
      </c>
      <c r="E203" s="14" t="s">
        <v>2675</v>
      </c>
      <c r="F203" s="17">
        <v>20000</v>
      </c>
      <c r="G203" s="14" t="s">
        <v>2661</v>
      </c>
      <c r="H203" s="14"/>
    </row>
    <row r="204" spans="1:8" ht="16">
      <c r="A204" s="14" t="s">
        <v>2881</v>
      </c>
      <c r="B204" s="14" t="s">
        <v>270</v>
      </c>
      <c r="C204" s="15">
        <v>46177</v>
      </c>
      <c r="D204" s="14" t="s">
        <v>2685</v>
      </c>
      <c r="E204" s="14" t="s">
        <v>2686</v>
      </c>
      <c r="F204" s="17">
        <v>5000</v>
      </c>
      <c r="G204" s="14" t="s">
        <v>2661</v>
      </c>
      <c r="H204" s="14"/>
    </row>
    <row r="205" spans="1:8" ht="16">
      <c r="A205" s="14" t="s">
        <v>2882</v>
      </c>
      <c r="B205" s="14" t="s">
        <v>72</v>
      </c>
      <c r="C205" s="15">
        <v>46263</v>
      </c>
      <c r="D205" s="14" t="s">
        <v>2659</v>
      </c>
      <c r="E205" s="14" t="s">
        <v>2660</v>
      </c>
      <c r="F205" s="17">
        <v>3500</v>
      </c>
      <c r="G205" s="14" t="s">
        <v>2661</v>
      </c>
      <c r="H205" s="14"/>
    </row>
    <row r="206" spans="1:8" ht="16">
      <c r="A206" s="14" t="s">
        <v>2883</v>
      </c>
      <c r="B206" s="14" t="s">
        <v>246</v>
      </c>
      <c r="C206" s="15">
        <v>46154</v>
      </c>
      <c r="D206" s="14" t="s">
        <v>2688</v>
      </c>
      <c r="E206" s="14" t="s">
        <v>2689</v>
      </c>
      <c r="F206" s="17">
        <v>8000</v>
      </c>
      <c r="G206" s="14" t="s">
        <v>2676</v>
      </c>
      <c r="H206" s="14"/>
    </row>
    <row r="207" spans="1:8" ht="16">
      <c r="A207" s="14" t="s">
        <v>2884</v>
      </c>
      <c r="B207" s="14" t="s">
        <v>232</v>
      </c>
      <c r="C207" s="15">
        <v>46028</v>
      </c>
      <c r="D207" s="14" t="s">
        <v>2671</v>
      </c>
      <c r="E207" s="14" t="s">
        <v>2672</v>
      </c>
      <c r="F207" s="17">
        <v>3000</v>
      </c>
      <c r="G207" s="14" t="s">
        <v>2661</v>
      </c>
      <c r="H207" s="14"/>
    </row>
    <row r="208" spans="1:8" ht="16">
      <c r="A208" s="14" t="s">
        <v>2885</v>
      </c>
      <c r="B208" s="14" t="s">
        <v>62</v>
      </c>
      <c r="C208" s="15">
        <v>46085</v>
      </c>
      <c r="D208" s="14" t="s">
        <v>2692</v>
      </c>
      <c r="E208" s="14" t="s">
        <v>2693</v>
      </c>
      <c r="F208" s="17">
        <v>10000</v>
      </c>
      <c r="G208" s="14" t="s">
        <v>2661</v>
      </c>
      <c r="H208" s="14"/>
    </row>
    <row r="209" spans="1:8" ht="16">
      <c r="A209" s="14" t="s">
        <v>2886</v>
      </c>
      <c r="B209" s="14" t="s">
        <v>16</v>
      </c>
      <c r="C209" s="15">
        <v>46006</v>
      </c>
      <c r="D209" s="14" t="s">
        <v>2659</v>
      </c>
      <c r="E209" s="14" t="s">
        <v>2660</v>
      </c>
      <c r="F209" s="17">
        <v>3500</v>
      </c>
      <c r="G209" s="14" t="s">
        <v>2661</v>
      </c>
      <c r="H209" s="14"/>
    </row>
    <row r="210" spans="1:8" ht="16">
      <c r="A210" s="14" t="s">
        <v>2887</v>
      </c>
      <c r="B210" s="14" t="s">
        <v>23</v>
      </c>
      <c r="C210" s="15">
        <v>46147</v>
      </c>
      <c r="D210" s="14" t="s">
        <v>2682</v>
      </c>
      <c r="E210" s="14" t="s">
        <v>2683</v>
      </c>
      <c r="F210" s="17">
        <v>6000</v>
      </c>
      <c r="G210" s="14" t="s">
        <v>2661</v>
      </c>
      <c r="H210" s="14"/>
    </row>
    <row r="211" spans="1:8" ht="16">
      <c r="A211" s="14" t="s">
        <v>2888</v>
      </c>
      <c r="B211" s="14" t="s">
        <v>175</v>
      </c>
      <c r="C211" s="15">
        <v>45990</v>
      </c>
      <c r="D211" s="14" t="s">
        <v>2663</v>
      </c>
      <c r="E211" s="14" t="s">
        <v>3630</v>
      </c>
      <c r="F211" s="17">
        <v>1500</v>
      </c>
      <c r="G211" s="14" t="s">
        <v>2661</v>
      </c>
      <c r="H211" s="14"/>
    </row>
    <row r="212" spans="1:8" ht="16">
      <c r="A212" s="14" t="s">
        <v>2889</v>
      </c>
      <c r="B212" s="14" t="s">
        <v>74</v>
      </c>
      <c r="C212" s="15">
        <v>46009</v>
      </c>
      <c r="D212" s="14" t="s">
        <v>2685</v>
      </c>
      <c r="E212" s="14" t="s">
        <v>2686</v>
      </c>
      <c r="F212" s="17">
        <v>5000</v>
      </c>
      <c r="G212" s="14" t="s">
        <v>2661</v>
      </c>
      <c r="H212" s="14"/>
    </row>
    <row r="213" spans="1:8" ht="16">
      <c r="A213" s="14" t="s">
        <v>2890</v>
      </c>
      <c r="B213" s="14" t="s">
        <v>50</v>
      </c>
      <c r="C213" s="15">
        <v>46179</v>
      </c>
      <c r="D213" s="14" t="s">
        <v>2674</v>
      </c>
      <c r="E213" s="14" t="s">
        <v>2675</v>
      </c>
      <c r="F213" s="17">
        <v>20000</v>
      </c>
      <c r="G213" s="14" t="s">
        <v>2661</v>
      </c>
      <c r="H213" s="14"/>
    </row>
    <row r="214" spans="1:8" ht="16">
      <c r="A214" s="14" t="s">
        <v>2891</v>
      </c>
      <c r="B214" s="14" t="s">
        <v>145</v>
      </c>
      <c r="C214" s="15">
        <v>45941</v>
      </c>
      <c r="D214" s="14" t="s">
        <v>2665</v>
      </c>
      <c r="E214" s="14" t="s">
        <v>2666</v>
      </c>
      <c r="F214" s="17">
        <v>2500</v>
      </c>
      <c r="G214" s="14" t="s">
        <v>2661</v>
      </c>
      <c r="H214" s="14"/>
    </row>
    <row r="215" spans="1:8" ht="16">
      <c r="A215" s="14" t="s">
        <v>2892</v>
      </c>
      <c r="B215" s="14" t="s">
        <v>210</v>
      </c>
      <c r="C215" s="15">
        <v>46230</v>
      </c>
      <c r="D215" s="14" t="s">
        <v>2671</v>
      </c>
      <c r="E215" s="14" t="s">
        <v>2672</v>
      </c>
      <c r="F215" s="17">
        <v>3000</v>
      </c>
      <c r="G215" s="14" t="s">
        <v>2661</v>
      </c>
      <c r="H215" s="14"/>
    </row>
    <row r="216" spans="1:8" ht="16">
      <c r="A216" s="14" t="s">
        <v>2893</v>
      </c>
      <c r="B216" s="14" t="s">
        <v>81</v>
      </c>
      <c r="C216" s="15">
        <v>46034</v>
      </c>
      <c r="D216" s="14" t="s">
        <v>2663</v>
      </c>
      <c r="E216" s="14" t="s">
        <v>3630</v>
      </c>
      <c r="F216" s="17">
        <v>1500</v>
      </c>
      <c r="G216" s="14" t="s">
        <v>2661</v>
      </c>
      <c r="H216" s="14"/>
    </row>
    <row r="217" spans="1:8" ht="16">
      <c r="A217" s="14" t="s">
        <v>2894</v>
      </c>
      <c r="B217" s="14" t="s">
        <v>49</v>
      </c>
      <c r="C217" s="15">
        <v>46222</v>
      </c>
      <c r="D217" s="14" t="s">
        <v>2671</v>
      </c>
      <c r="E217" s="14" t="s">
        <v>2672</v>
      </c>
      <c r="F217" s="17">
        <v>3000</v>
      </c>
      <c r="G217" s="14" t="s">
        <v>2661</v>
      </c>
      <c r="H217" s="14"/>
    </row>
    <row r="218" spans="1:8" ht="16">
      <c r="A218" s="14" t="s">
        <v>2895</v>
      </c>
      <c r="B218" s="14" t="s">
        <v>310</v>
      </c>
      <c r="C218" s="15">
        <v>45957</v>
      </c>
      <c r="D218" s="14" t="s">
        <v>2688</v>
      </c>
      <c r="E218" s="14" t="s">
        <v>2689</v>
      </c>
      <c r="F218" s="17">
        <v>8000</v>
      </c>
      <c r="G218" s="14" t="s">
        <v>2661</v>
      </c>
      <c r="H218" s="14"/>
    </row>
    <row r="219" spans="1:8" ht="16">
      <c r="A219" s="14" t="s">
        <v>2896</v>
      </c>
      <c r="B219" s="14" t="s">
        <v>162</v>
      </c>
      <c r="C219" s="15">
        <v>45935</v>
      </c>
      <c r="D219" s="14" t="s">
        <v>2674</v>
      </c>
      <c r="E219" s="14" t="s">
        <v>2675</v>
      </c>
      <c r="F219" s="17">
        <v>20000</v>
      </c>
      <c r="G219" s="14" t="s">
        <v>2661</v>
      </c>
      <c r="H219" s="14"/>
    </row>
    <row r="220" spans="1:8" ht="16">
      <c r="A220" s="14" t="s">
        <v>2897</v>
      </c>
      <c r="B220" s="14" t="s">
        <v>128</v>
      </c>
      <c r="C220" s="15">
        <v>46253</v>
      </c>
      <c r="D220" s="14" t="s">
        <v>2682</v>
      </c>
      <c r="E220" s="14" t="s">
        <v>2683</v>
      </c>
      <c r="F220" s="17">
        <v>6000</v>
      </c>
      <c r="G220" s="14" t="s">
        <v>2661</v>
      </c>
      <c r="H220" s="14"/>
    </row>
    <row r="221" spans="1:8" ht="16">
      <c r="A221" s="14" t="s">
        <v>2898</v>
      </c>
      <c r="B221" s="14" t="s">
        <v>91</v>
      </c>
      <c r="C221" s="15">
        <v>46143</v>
      </c>
      <c r="D221" s="14" t="s">
        <v>2659</v>
      </c>
      <c r="E221" s="14" t="s">
        <v>2660</v>
      </c>
      <c r="F221" s="17">
        <v>3500</v>
      </c>
      <c r="G221" s="14" t="s">
        <v>2661</v>
      </c>
      <c r="H221" s="14"/>
    </row>
    <row r="222" spans="1:8" ht="16">
      <c r="A222" s="14" t="s">
        <v>2899</v>
      </c>
      <c r="B222" s="14" t="s">
        <v>18</v>
      </c>
      <c r="C222" s="15">
        <v>46227</v>
      </c>
      <c r="D222" s="14" t="s">
        <v>2665</v>
      </c>
      <c r="E222" s="14" t="s">
        <v>2666</v>
      </c>
      <c r="F222" s="17">
        <v>2500</v>
      </c>
      <c r="G222" s="14" t="s">
        <v>2676</v>
      </c>
      <c r="H222" s="14"/>
    </row>
    <row r="223" spans="1:8" ht="16">
      <c r="A223" s="14" t="s">
        <v>2900</v>
      </c>
      <c r="B223" s="14" t="s">
        <v>178</v>
      </c>
      <c r="C223" s="15">
        <v>46214</v>
      </c>
      <c r="D223" s="14" t="s">
        <v>2665</v>
      </c>
      <c r="E223" s="14" t="s">
        <v>2666</v>
      </c>
      <c r="F223" s="17">
        <v>2500</v>
      </c>
      <c r="G223" s="14" t="s">
        <v>2661</v>
      </c>
      <c r="H223" s="14"/>
    </row>
    <row r="224" spans="1:8" ht="16">
      <c r="A224" s="14" t="s">
        <v>2901</v>
      </c>
      <c r="B224" s="14" t="s">
        <v>263</v>
      </c>
      <c r="C224" s="15">
        <v>45949</v>
      </c>
      <c r="D224" s="14" t="s">
        <v>2674</v>
      </c>
      <c r="E224" s="14" t="s">
        <v>2675</v>
      </c>
      <c r="F224" s="17">
        <v>20000</v>
      </c>
      <c r="G224" s="14" t="s">
        <v>2661</v>
      </c>
      <c r="H224" s="14"/>
    </row>
    <row r="225" spans="1:8" ht="16">
      <c r="A225" s="14" t="s">
        <v>2902</v>
      </c>
      <c r="B225" s="14" t="s">
        <v>287</v>
      </c>
      <c r="C225" s="15">
        <v>46135</v>
      </c>
      <c r="D225" s="14" t="s">
        <v>2692</v>
      </c>
      <c r="E225" s="14" t="s">
        <v>2693</v>
      </c>
      <c r="F225" s="17">
        <v>10000</v>
      </c>
      <c r="G225" s="14" t="s">
        <v>2661</v>
      </c>
      <c r="H225" s="14"/>
    </row>
    <row r="226" spans="1:8" ht="16">
      <c r="A226" s="14" t="s">
        <v>2903</v>
      </c>
      <c r="B226" s="14" t="s">
        <v>165</v>
      </c>
      <c r="C226" s="15">
        <v>46193</v>
      </c>
      <c r="D226" s="14" t="s">
        <v>2682</v>
      </c>
      <c r="E226" s="14" t="s">
        <v>2683</v>
      </c>
      <c r="F226" s="17">
        <v>6000</v>
      </c>
      <c r="G226" s="14" t="s">
        <v>2676</v>
      </c>
      <c r="H226" s="14"/>
    </row>
    <row r="227" spans="1:8" ht="16">
      <c r="A227" s="14" t="s">
        <v>2904</v>
      </c>
      <c r="B227" s="14" t="s">
        <v>198</v>
      </c>
      <c r="C227" s="15">
        <v>46244</v>
      </c>
      <c r="D227" s="14" t="s">
        <v>2659</v>
      </c>
      <c r="E227" s="14" t="s">
        <v>2660</v>
      </c>
      <c r="F227" s="17">
        <v>3500</v>
      </c>
      <c r="G227" s="14" t="s">
        <v>2661</v>
      </c>
      <c r="H227" s="14"/>
    </row>
    <row r="228" spans="1:8" ht="16">
      <c r="A228" s="14" t="s">
        <v>2905</v>
      </c>
      <c r="B228" s="14" t="s">
        <v>268</v>
      </c>
      <c r="C228" s="15">
        <v>46049</v>
      </c>
      <c r="D228" s="14" t="s">
        <v>2682</v>
      </c>
      <c r="E228" s="14" t="s">
        <v>2683</v>
      </c>
      <c r="F228" s="17">
        <v>6000</v>
      </c>
      <c r="G228" s="14" t="s">
        <v>2661</v>
      </c>
      <c r="H228" s="14"/>
    </row>
    <row r="229" spans="1:8" ht="16">
      <c r="A229" s="14" t="s">
        <v>2906</v>
      </c>
      <c r="B229" s="14" t="s">
        <v>230</v>
      </c>
      <c r="C229" s="15">
        <v>46201</v>
      </c>
      <c r="D229" s="14" t="s">
        <v>2685</v>
      </c>
      <c r="E229" s="14" t="s">
        <v>2686</v>
      </c>
      <c r="F229" s="17">
        <v>5000</v>
      </c>
      <c r="G229" s="14" t="s">
        <v>2661</v>
      </c>
      <c r="H229" s="14"/>
    </row>
    <row r="230" spans="1:8" ht="16">
      <c r="A230" s="14" t="s">
        <v>2907</v>
      </c>
      <c r="B230" s="14" t="s">
        <v>197</v>
      </c>
      <c r="C230" s="15">
        <v>46147</v>
      </c>
      <c r="D230" s="14" t="s">
        <v>2659</v>
      </c>
      <c r="E230" s="14" t="s">
        <v>2660</v>
      </c>
      <c r="F230" s="17">
        <v>3500</v>
      </c>
      <c r="G230" s="14" t="s">
        <v>2676</v>
      </c>
      <c r="H230" s="14"/>
    </row>
    <row r="231" spans="1:8" ht="16">
      <c r="A231" s="14" t="s">
        <v>2908</v>
      </c>
      <c r="B231" s="14" t="s">
        <v>289</v>
      </c>
      <c r="C231" s="15">
        <v>46092</v>
      </c>
      <c r="D231" s="14" t="s">
        <v>2665</v>
      </c>
      <c r="E231" s="14" t="s">
        <v>2666</v>
      </c>
      <c r="F231" s="17">
        <v>2500</v>
      </c>
      <c r="G231" s="14" t="s">
        <v>2676</v>
      </c>
      <c r="H231" s="14"/>
    </row>
    <row r="232" spans="1:8" ht="16">
      <c r="A232" s="14" t="s">
        <v>2909</v>
      </c>
      <c r="B232" s="14" t="s">
        <v>265</v>
      </c>
      <c r="C232" s="15">
        <v>45963</v>
      </c>
      <c r="D232" s="14" t="s">
        <v>2659</v>
      </c>
      <c r="E232" s="14" t="s">
        <v>2660</v>
      </c>
      <c r="F232" s="17">
        <v>3500</v>
      </c>
      <c r="G232" s="14" t="s">
        <v>2661</v>
      </c>
      <c r="H232" s="14"/>
    </row>
    <row r="233" spans="1:8" ht="16">
      <c r="A233" s="14" t="s">
        <v>2910</v>
      </c>
      <c r="B233" s="14" t="s">
        <v>207</v>
      </c>
      <c r="C233" s="15">
        <v>46262</v>
      </c>
      <c r="D233" s="14" t="s">
        <v>2688</v>
      </c>
      <c r="E233" s="14" t="s">
        <v>2689</v>
      </c>
      <c r="F233" s="17">
        <v>8000</v>
      </c>
      <c r="G233" s="14" t="s">
        <v>2661</v>
      </c>
      <c r="H233" s="14"/>
    </row>
    <row r="234" spans="1:8" ht="16">
      <c r="A234" s="14" t="s">
        <v>2911</v>
      </c>
      <c r="B234" s="14" t="s">
        <v>241</v>
      </c>
      <c r="C234" s="15">
        <v>46173</v>
      </c>
      <c r="D234" s="14" t="s">
        <v>2692</v>
      </c>
      <c r="E234" s="14" t="s">
        <v>2693</v>
      </c>
      <c r="F234" s="17">
        <v>10000</v>
      </c>
      <c r="G234" s="14" t="s">
        <v>2661</v>
      </c>
      <c r="H234" s="14"/>
    </row>
    <row r="235" spans="1:8" ht="16">
      <c r="A235" s="14" t="s">
        <v>2912</v>
      </c>
      <c r="B235" s="14" t="s">
        <v>233</v>
      </c>
      <c r="C235" s="15">
        <v>46184</v>
      </c>
      <c r="D235" s="14" t="s">
        <v>2688</v>
      </c>
      <c r="E235" s="14" t="s">
        <v>2689</v>
      </c>
      <c r="F235" s="17">
        <v>8000</v>
      </c>
      <c r="G235" s="14" t="s">
        <v>2676</v>
      </c>
      <c r="H235" s="14"/>
    </row>
    <row r="236" spans="1:8" ht="16">
      <c r="A236" s="14" t="s">
        <v>2913</v>
      </c>
      <c r="B236" s="14" t="s">
        <v>33</v>
      </c>
      <c r="C236" s="15">
        <v>46261</v>
      </c>
      <c r="D236" s="14" t="s">
        <v>2688</v>
      </c>
      <c r="E236" s="14" t="s">
        <v>2689</v>
      </c>
      <c r="F236" s="17">
        <v>8000</v>
      </c>
      <c r="G236" s="14" t="s">
        <v>2661</v>
      </c>
      <c r="H236" s="14"/>
    </row>
    <row r="237" spans="1:8" ht="16">
      <c r="A237" s="14" t="s">
        <v>2914</v>
      </c>
      <c r="B237" s="14" t="s">
        <v>63</v>
      </c>
      <c r="C237" s="15">
        <v>46160</v>
      </c>
      <c r="D237" s="14" t="s">
        <v>2671</v>
      </c>
      <c r="E237" s="14" t="s">
        <v>2672</v>
      </c>
      <c r="F237" s="17">
        <v>3000</v>
      </c>
      <c r="G237" s="14" t="s">
        <v>2661</v>
      </c>
      <c r="H237" s="14"/>
    </row>
    <row r="238" spans="1:8" ht="16">
      <c r="A238" s="14" t="s">
        <v>2915</v>
      </c>
      <c r="B238" s="14" t="s">
        <v>206</v>
      </c>
      <c r="C238" s="15">
        <v>45941</v>
      </c>
      <c r="D238" s="14" t="s">
        <v>2659</v>
      </c>
      <c r="E238" s="14" t="s">
        <v>2660</v>
      </c>
      <c r="F238" s="17">
        <v>3500</v>
      </c>
      <c r="G238" s="14" t="s">
        <v>2661</v>
      </c>
      <c r="H238" s="14"/>
    </row>
    <row r="239" spans="1:8" ht="16">
      <c r="A239" s="14" t="s">
        <v>2916</v>
      </c>
      <c r="B239" s="14" t="s">
        <v>244</v>
      </c>
      <c r="C239" s="15">
        <v>46078</v>
      </c>
      <c r="D239" s="14" t="s">
        <v>2668</v>
      </c>
      <c r="E239" s="14" t="s">
        <v>2669</v>
      </c>
      <c r="F239" s="17">
        <v>4000</v>
      </c>
      <c r="G239" s="14" t="s">
        <v>2661</v>
      </c>
      <c r="H239" s="14"/>
    </row>
    <row r="240" spans="1:8" ht="16">
      <c r="A240" s="14" t="s">
        <v>2917</v>
      </c>
      <c r="B240" s="14" t="s">
        <v>271</v>
      </c>
      <c r="C240" s="15">
        <v>46171</v>
      </c>
      <c r="D240" s="14" t="s">
        <v>2671</v>
      </c>
      <c r="E240" s="14" t="s">
        <v>2672</v>
      </c>
      <c r="F240" s="17">
        <v>3000</v>
      </c>
      <c r="G240" s="14" t="s">
        <v>2661</v>
      </c>
      <c r="H240" s="14"/>
    </row>
    <row r="241" spans="1:8" ht="16">
      <c r="A241" s="14" t="s">
        <v>2918</v>
      </c>
      <c r="B241" s="14" t="s">
        <v>63</v>
      </c>
      <c r="C241" s="15">
        <v>46155</v>
      </c>
      <c r="D241" s="14" t="s">
        <v>2692</v>
      </c>
      <c r="E241" s="14" t="s">
        <v>2693</v>
      </c>
      <c r="F241" s="17">
        <v>10000</v>
      </c>
      <c r="G241" s="14" t="s">
        <v>2661</v>
      </c>
      <c r="H241" s="14"/>
    </row>
    <row r="242" spans="1:8" ht="16">
      <c r="A242" s="14" t="s">
        <v>2919</v>
      </c>
      <c r="B242" s="14" t="s">
        <v>171</v>
      </c>
      <c r="C242" s="15">
        <v>46190</v>
      </c>
      <c r="D242" s="14" t="s">
        <v>2685</v>
      </c>
      <c r="E242" s="14" t="s">
        <v>2686</v>
      </c>
      <c r="F242" s="17">
        <v>5000</v>
      </c>
      <c r="G242" s="14" t="s">
        <v>2661</v>
      </c>
      <c r="H242" s="14"/>
    </row>
    <row r="243" spans="1:8" ht="16">
      <c r="A243" s="14" t="s">
        <v>2920</v>
      </c>
      <c r="B243" s="14" t="s">
        <v>31</v>
      </c>
      <c r="C243" s="15">
        <v>46231</v>
      </c>
      <c r="D243" s="14" t="s">
        <v>2674</v>
      </c>
      <c r="E243" s="14" t="s">
        <v>2675</v>
      </c>
      <c r="F243" s="17">
        <v>20000</v>
      </c>
      <c r="G243" s="14" t="s">
        <v>2661</v>
      </c>
      <c r="H243" s="14"/>
    </row>
    <row r="244" spans="1:8" ht="16">
      <c r="A244" s="14" t="s">
        <v>2921</v>
      </c>
      <c r="B244" s="14" t="s">
        <v>257</v>
      </c>
      <c r="C244" s="15">
        <v>46239</v>
      </c>
      <c r="D244" s="14" t="s">
        <v>2692</v>
      </c>
      <c r="E244" s="14" t="s">
        <v>2693</v>
      </c>
      <c r="F244" s="17">
        <v>10000</v>
      </c>
      <c r="G244" s="14" t="s">
        <v>2661</v>
      </c>
      <c r="H244" s="14"/>
    </row>
    <row r="245" spans="1:8" ht="16">
      <c r="A245" s="14" t="s">
        <v>2922</v>
      </c>
      <c r="B245" s="14" t="s">
        <v>135</v>
      </c>
      <c r="C245" s="15">
        <v>45998</v>
      </c>
      <c r="D245" s="14" t="s">
        <v>2682</v>
      </c>
      <c r="E245" s="14" t="s">
        <v>2683</v>
      </c>
      <c r="F245" s="17">
        <v>6000</v>
      </c>
      <c r="G245" s="14" t="s">
        <v>2661</v>
      </c>
      <c r="H245" s="14"/>
    </row>
    <row r="246" spans="1:8" ht="16">
      <c r="A246" s="14" t="s">
        <v>2923</v>
      </c>
      <c r="B246" s="14" t="s">
        <v>262</v>
      </c>
      <c r="C246" s="15">
        <v>46130</v>
      </c>
      <c r="D246" s="14" t="s">
        <v>2682</v>
      </c>
      <c r="E246" s="14" t="s">
        <v>2683</v>
      </c>
      <c r="F246" s="17">
        <v>6000</v>
      </c>
      <c r="G246" s="14" t="s">
        <v>2661</v>
      </c>
      <c r="H246" s="14"/>
    </row>
    <row r="247" spans="1:8" ht="16">
      <c r="A247" s="14" t="s">
        <v>2924</v>
      </c>
      <c r="B247" s="14" t="s">
        <v>280</v>
      </c>
      <c r="C247" s="15">
        <v>46275</v>
      </c>
      <c r="D247" s="14" t="s">
        <v>2663</v>
      </c>
      <c r="E247" s="14" t="s">
        <v>3630</v>
      </c>
      <c r="F247" s="17">
        <v>1500</v>
      </c>
      <c r="G247" s="14" t="s">
        <v>2661</v>
      </c>
      <c r="H247" s="14"/>
    </row>
    <row r="248" spans="1:8" ht="16">
      <c r="A248" s="14" t="s">
        <v>2925</v>
      </c>
      <c r="B248" s="14" t="s">
        <v>178</v>
      </c>
      <c r="C248" s="15">
        <v>46172</v>
      </c>
      <c r="D248" s="14" t="s">
        <v>2671</v>
      </c>
      <c r="E248" s="14" t="s">
        <v>2672</v>
      </c>
      <c r="F248" s="17">
        <v>3000</v>
      </c>
      <c r="G248" s="14" t="s">
        <v>2661</v>
      </c>
      <c r="H248" s="14"/>
    </row>
    <row r="249" spans="1:8" ht="16">
      <c r="A249" s="14" t="s">
        <v>2926</v>
      </c>
      <c r="B249" s="14" t="s">
        <v>222</v>
      </c>
      <c r="C249" s="15">
        <v>46249</v>
      </c>
      <c r="D249" s="14" t="s">
        <v>2663</v>
      </c>
      <c r="E249" s="14" t="s">
        <v>3630</v>
      </c>
      <c r="F249" s="17">
        <v>1500</v>
      </c>
      <c r="G249" s="14" t="s">
        <v>2661</v>
      </c>
      <c r="H249" s="14"/>
    </row>
    <row r="250" spans="1:8" ht="16">
      <c r="A250" s="14" t="s">
        <v>2927</v>
      </c>
      <c r="B250" s="14" t="s">
        <v>245</v>
      </c>
      <c r="C250" s="15">
        <v>46075</v>
      </c>
      <c r="D250" s="14" t="s">
        <v>2685</v>
      </c>
      <c r="E250" s="14" t="s">
        <v>2686</v>
      </c>
      <c r="F250" s="17">
        <v>5000</v>
      </c>
      <c r="G250" s="14" t="s">
        <v>2661</v>
      </c>
      <c r="H250" s="14"/>
    </row>
    <row r="251" spans="1:8" ht="16">
      <c r="A251" s="14" t="s">
        <v>2928</v>
      </c>
      <c r="B251" s="14" t="s">
        <v>74</v>
      </c>
      <c r="C251" s="15">
        <v>46272</v>
      </c>
      <c r="D251" s="14" t="s">
        <v>2692</v>
      </c>
      <c r="E251" s="14" t="s">
        <v>2693</v>
      </c>
      <c r="F251" s="17">
        <v>10000</v>
      </c>
      <c r="G251" s="14" t="s">
        <v>2661</v>
      </c>
      <c r="H251" s="14"/>
    </row>
    <row r="252" spans="1:8" ht="16">
      <c r="A252" s="14" t="s">
        <v>2929</v>
      </c>
      <c r="B252" s="14" t="s">
        <v>157</v>
      </c>
      <c r="C252" s="15">
        <v>45997</v>
      </c>
      <c r="D252" s="14" t="s">
        <v>2685</v>
      </c>
      <c r="E252" s="14" t="s">
        <v>2686</v>
      </c>
      <c r="F252" s="17">
        <v>5000</v>
      </c>
      <c r="G252" s="14" t="s">
        <v>2661</v>
      </c>
      <c r="H252" s="14"/>
    </row>
    <row r="253" spans="1:8" ht="16">
      <c r="A253" s="14" t="s">
        <v>2930</v>
      </c>
      <c r="B253" s="14" t="s">
        <v>234</v>
      </c>
      <c r="C253" s="15">
        <v>46033</v>
      </c>
      <c r="D253" s="14" t="s">
        <v>2665</v>
      </c>
      <c r="E253" s="14" t="s">
        <v>2666</v>
      </c>
      <c r="F253" s="17">
        <v>2500</v>
      </c>
      <c r="G253" s="14" t="s">
        <v>2661</v>
      </c>
      <c r="H253" s="14"/>
    </row>
    <row r="254" spans="1:8" ht="16">
      <c r="A254" s="14" t="s">
        <v>2931</v>
      </c>
      <c r="B254" s="14" t="s">
        <v>298</v>
      </c>
      <c r="C254" s="15">
        <v>46241</v>
      </c>
      <c r="D254" s="14" t="s">
        <v>2671</v>
      </c>
      <c r="E254" s="14" t="s">
        <v>2672</v>
      </c>
      <c r="F254" s="17">
        <v>3000</v>
      </c>
      <c r="G254" s="14" t="s">
        <v>2661</v>
      </c>
      <c r="H254" s="14"/>
    </row>
    <row r="255" spans="1:8" ht="16">
      <c r="A255" s="14" t="s">
        <v>2932</v>
      </c>
      <c r="B255" s="14" t="s">
        <v>118</v>
      </c>
      <c r="C255" s="15">
        <v>45982</v>
      </c>
      <c r="D255" s="14" t="s">
        <v>2685</v>
      </c>
      <c r="E255" s="14" t="s">
        <v>2686</v>
      </c>
      <c r="F255" s="17">
        <v>5000</v>
      </c>
      <c r="G255" s="14" t="s">
        <v>2661</v>
      </c>
      <c r="H255" s="14"/>
    </row>
    <row r="256" spans="1:8" ht="16">
      <c r="A256" s="14" t="s">
        <v>2933</v>
      </c>
      <c r="B256" s="14" t="s">
        <v>259</v>
      </c>
      <c r="C256" s="15">
        <v>46183</v>
      </c>
      <c r="D256" s="14" t="s">
        <v>2674</v>
      </c>
      <c r="E256" s="14" t="s">
        <v>2675</v>
      </c>
      <c r="F256" s="17">
        <v>20000</v>
      </c>
      <c r="G256" s="14" t="s">
        <v>2661</v>
      </c>
      <c r="H256" s="14"/>
    </row>
    <row r="257" spans="1:8" ht="16">
      <c r="A257" s="14" t="s">
        <v>2934</v>
      </c>
      <c r="B257" s="14" t="s">
        <v>191</v>
      </c>
      <c r="C257" s="15">
        <v>46051</v>
      </c>
      <c r="D257" s="14" t="s">
        <v>2668</v>
      </c>
      <c r="E257" s="14" t="s">
        <v>2669</v>
      </c>
      <c r="F257" s="17">
        <v>4000</v>
      </c>
      <c r="G257" s="14" t="s">
        <v>2661</v>
      </c>
      <c r="H257" s="14"/>
    </row>
    <row r="258" spans="1:8" ht="16">
      <c r="A258" s="14" t="s">
        <v>2935</v>
      </c>
      <c r="B258" s="14" t="s">
        <v>212</v>
      </c>
      <c r="C258" s="15">
        <v>46216</v>
      </c>
      <c r="D258" s="14" t="s">
        <v>2665</v>
      </c>
      <c r="E258" s="14" t="s">
        <v>2666</v>
      </c>
      <c r="F258" s="17">
        <v>2500</v>
      </c>
      <c r="G258" s="14" t="s">
        <v>2661</v>
      </c>
      <c r="H258" s="14"/>
    </row>
    <row r="259" spans="1:8" ht="16">
      <c r="A259" s="14" t="s">
        <v>2936</v>
      </c>
      <c r="B259" s="14" t="s">
        <v>220</v>
      </c>
      <c r="C259" s="15">
        <v>45940</v>
      </c>
      <c r="D259" s="14" t="s">
        <v>2665</v>
      </c>
      <c r="E259" s="14" t="s">
        <v>2666</v>
      </c>
      <c r="F259" s="17">
        <v>2500</v>
      </c>
      <c r="G259" s="14" t="s">
        <v>2661</v>
      </c>
      <c r="H259" s="14"/>
    </row>
    <row r="260" spans="1:8" ht="16">
      <c r="A260" s="14" t="s">
        <v>2937</v>
      </c>
      <c r="B260" s="14" t="s">
        <v>172</v>
      </c>
      <c r="C260" s="15">
        <v>46064</v>
      </c>
      <c r="D260" s="14" t="s">
        <v>2665</v>
      </c>
      <c r="E260" s="14" t="s">
        <v>2666</v>
      </c>
      <c r="F260" s="17">
        <v>2500</v>
      </c>
      <c r="G260" s="14" t="s">
        <v>2661</v>
      </c>
      <c r="H260" s="14"/>
    </row>
    <row r="261" spans="1:8" ht="16">
      <c r="A261" s="14" t="s">
        <v>2938</v>
      </c>
      <c r="B261" s="14" t="s">
        <v>83</v>
      </c>
      <c r="C261" s="15">
        <v>46277</v>
      </c>
      <c r="D261" s="14" t="s">
        <v>2692</v>
      </c>
      <c r="E261" s="14" t="s">
        <v>2693</v>
      </c>
      <c r="F261" s="17">
        <v>10000</v>
      </c>
      <c r="G261" s="14" t="s">
        <v>2661</v>
      </c>
      <c r="H261" s="14"/>
    </row>
    <row r="262" spans="1:8" ht="16">
      <c r="A262" s="14" t="s">
        <v>2939</v>
      </c>
      <c r="B262" s="14" t="s">
        <v>194</v>
      </c>
      <c r="C262" s="15">
        <v>46020</v>
      </c>
      <c r="D262" s="14" t="s">
        <v>2692</v>
      </c>
      <c r="E262" s="14" t="s">
        <v>2693</v>
      </c>
      <c r="F262" s="17">
        <v>10000</v>
      </c>
      <c r="G262" s="14" t="s">
        <v>2676</v>
      </c>
      <c r="H262" s="14"/>
    </row>
    <row r="263" spans="1:8" ht="16">
      <c r="A263" s="14" t="s">
        <v>2940</v>
      </c>
      <c r="B263" s="14" t="s">
        <v>28</v>
      </c>
      <c r="C263" s="15">
        <v>45947</v>
      </c>
      <c r="D263" s="14" t="s">
        <v>2688</v>
      </c>
      <c r="E263" s="14" t="s">
        <v>2689</v>
      </c>
      <c r="F263" s="17">
        <v>8000</v>
      </c>
      <c r="G263" s="14" t="s">
        <v>2661</v>
      </c>
      <c r="H263" s="14"/>
    </row>
    <row r="264" spans="1:8" ht="16">
      <c r="A264" s="14" t="s">
        <v>2941</v>
      </c>
      <c r="B264" s="14" t="s">
        <v>264</v>
      </c>
      <c r="C264" s="15">
        <v>46103</v>
      </c>
      <c r="D264" s="14" t="s">
        <v>2665</v>
      </c>
      <c r="E264" s="14" t="s">
        <v>2666</v>
      </c>
      <c r="F264" s="17">
        <v>2500</v>
      </c>
      <c r="G264" s="14" t="s">
        <v>2661</v>
      </c>
      <c r="H264" s="14"/>
    </row>
    <row r="265" spans="1:8" ht="16">
      <c r="A265" s="14" t="s">
        <v>2942</v>
      </c>
      <c r="B265" s="14" t="s">
        <v>50</v>
      </c>
      <c r="C265" s="15">
        <v>45989</v>
      </c>
      <c r="D265" s="14" t="s">
        <v>2665</v>
      </c>
      <c r="E265" s="14" t="s">
        <v>2666</v>
      </c>
      <c r="F265" s="17">
        <v>2500</v>
      </c>
      <c r="G265" s="14" t="s">
        <v>2676</v>
      </c>
      <c r="H265" s="14"/>
    </row>
    <row r="266" spans="1:8" ht="16">
      <c r="A266" s="14" t="s">
        <v>2943</v>
      </c>
      <c r="B266" s="14" t="s">
        <v>299</v>
      </c>
      <c r="C266" s="15">
        <v>46047</v>
      </c>
      <c r="D266" s="14" t="s">
        <v>2692</v>
      </c>
      <c r="E266" s="14" t="s">
        <v>2693</v>
      </c>
      <c r="F266" s="17">
        <v>10000</v>
      </c>
      <c r="G266" s="14" t="s">
        <v>2661</v>
      </c>
      <c r="H266" s="14"/>
    </row>
    <row r="267" spans="1:8" ht="16">
      <c r="A267" s="14" t="s">
        <v>2944</v>
      </c>
      <c r="B267" s="14" t="s">
        <v>75</v>
      </c>
      <c r="C267" s="15">
        <v>46218</v>
      </c>
      <c r="D267" s="14" t="s">
        <v>2665</v>
      </c>
      <c r="E267" s="14" t="s">
        <v>2666</v>
      </c>
      <c r="F267" s="17">
        <v>2500</v>
      </c>
      <c r="G267" s="14" t="s">
        <v>2661</v>
      </c>
      <c r="H267" s="14"/>
    </row>
    <row r="268" spans="1:8" ht="16">
      <c r="A268" s="14" t="s">
        <v>2945</v>
      </c>
      <c r="B268" s="14" t="s">
        <v>292</v>
      </c>
      <c r="C268" s="15">
        <v>46180</v>
      </c>
      <c r="D268" s="14" t="s">
        <v>2663</v>
      </c>
      <c r="E268" s="14" t="s">
        <v>3630</v>
      </c>
      <c r="F268" s="17">
        <v>1500</v>
      </c>
      <c r="G268" s="14" t="s">
        <v>2661</v>
      </c>
      <c r="H268" s="14"/>
    </row>
    <row r="269" spans="1:8" ht="16">
      <c r="A269" s="14" t="s">
        <v>2946</v>
      </c>
      <c r="B269" s="14" t="s">
        <v>218</v>
      </c>
      <c r="C269" s="15">
        <v>46105</v>
      </c>
      <c r="D269" s="14" t="s">
        <v>2668</v>
      </c>
      <c r="E269" s="14" t="s">
        <v>2669</v>
      </c>
      <c r="F269" s="17">
        <v>4000</v>
      </c>
      <c r="G269" s="14" t="s">
        <v>2661</v>
      </c>
      <c r="H269" s="14"/>
    </row>
    <row r="270" spans="1:8" ht="16">
      <c r="A270" s="14" t="s">
        <v>2947</v>
      </c>
      <c r="B270" s="14" t="s">
        <v>58</v>
      </c>
      <c r="C270" s="15">
        <v>45954</v>
      </c>
      <c r="D270" s="14" t="s">
        <v>2668</v>
      </c>
      <c r="E270" s="14" t="s">
        <v>2669</v>
      </c>
      <c r="F270" s="17">
        <v>4000</v>
      </c>
      <c r="G270" s="14" t="s">
        <v>2676</v>
      </c>
      <c r="H270" s="14"/>
    </row>
    <row r="271" spans="1:8" ht="16">
      <c r="A271" s="14" t="s">
        <v>2948</v>
      </c>
      <c r="B271" s="14" t="s">
        <v>299</v>
      </c>
      <c r="C271" s="15">
        <v>46067</v>
      </c>
      <c r="D271" s="14" t="s">
        <v>2682</v>
      </c>
      <c r="E271" s="14" t="s">
        <v>2683</v>
      </c>
      <c r="F271" s="17">
        <v>6000</v>
      </c>
      <c r="G271" s="14" t="s">
        <v>2661</v>
      </c>
      <c r="H271" s="14"/>
    </row>
    <row r="272" spans="1:8" ht="16">
      <c r="A272" s="14" t="s">
        <v>2949</v>
      </c>
      <c r="B272" s="14" t="s">
        <v>195</v>
      </c>
      <c r="C272" s="15">
        <v>46284</v>
      </c>
      <c r="D272" s="14" t="s">
        <v>2668</v>
      </c>
      <c r="E272" s="14" t="s">
        <v>2669</v>
      </c>
      <c r="F272" s="17">
        <v>4000</v>
      </c>
      <c r="G272" s="14" t="s">
        <v>2676</v>
      </c>
      <c r="H272" s="14"/>
    </row>
    <row r="273" spans="1:8" ht="16">
      <c r="A273" s="14" t="s">
        <v>2950</v>
      </c>
      <c r="B273" s="14" t="s">
        <v>15</v>
      </c>
      <c r="C273" s="15">
        <v>46240</v>
      </c>
      <c r="D273" s="14" t="s">
        <v>2671</v>
      </c>
      <c r="E273" s="14" t="s">
        <v>2672</v>
      </c>
      <c r="F273" s="17">
        <v>3000</v>
      </c>
      <c r="G273" s="14" t="s">
        <v>2661</v>
      </c>
      <c r="H273" s="14"/>
    </row>
    <row r="274" spans="1:8" ht="16">
      <c r="A274" s="14" t="s">
        <v>2951</v>
      </c>
      <c r="B274" s="14" t="s">
        <v>213</v>
      </c>
      <c r="C274" s="15">
        <v>46292</v>
      </c>
      <c r="D274" s="14" t="s">
        <v>2692</v>
      </c>
      <c r="E274" s="14" t="s">
        <v>2693</v>
      </c>
      <c r="F274" s="17">
        <v>10000</v>
      </c>
      <c r="G274" s="14" t="s">
        <v>2661</v>
      </c>
      <c r="H274" s="14"/>
    </row>
    <row r="275" spans="1:8" ht="16">
      <c r="A275" s="14" t="s">
        <v>2952</v>
      </c>
      <c r="B275" s="14" t="s">
        <v>117</v>
      </c>
      <c r="C275" s="15">
        <v>46155</v>
      </c>
      <c r="D275" s="14" t="s">
        <v>2674</v>
      </c>
      <c r="E275" s="14" t="s">
        <v>2675</v>
      </c>
      <c r="F275" s="17">
        <v>20000</v>
      </c>
      <c r="G275" s="14" t="s">
        <v>2661</v>
      </c>
      <c r="H275" s="14"/>
    </row>
    <row r="276" spans="1:8" ht="16">
      <c r="A276" s="14" t="s">
        <v>2953</v>
      </c>
      <c r="B276" s="14" t="s">
        <v>159</v>
      </c>
      <c r="C276" s="15">
        <v>45987</v>
      </c>
      <c r="D276" s="14" t="s">
        <v>2663</v>
      </c>
      <c r="E276" s="14" t="s">
        <v>3630</v>
      </c>
      <c r="F276" s="17">
        <v>1500</v>
      </c>
      <c r="G276" s="14" t="s">
        <v>2661</v>
      </c>
      <c r="H276" s="14"/>
    </row>
    <row r="277" spans="1:8" ht="16">
      <c r="A277" s="14" t="s">
        <v>2954</v>
      </c>
      <c r="B277" s="14" t="s">
        <v>203</v>
      </c>
      <c r="C277" s="15">
        <v>46243</v>
      </c>
      <c r="D277" s="14" t="s">
        <v>2663</v>
      </c>
      <c r="E277" s="14" t="s">
        <v>3630</v>
      </c>
      <c r="F277" s="17">
        <v>1500</v>
      </c>
      <c r="G277" s="14" t="s">
        <v>2676</v>
      </c>
      <c r="H277" s="14"/>
    </row>
    <row r="278" spans="1:8" ht="16">
      <c r="A278" s="14" t="s">
        <v>2955</v>
      </c>
      <c r="B278" s="14" t="s">
        <v>183</v>
      </c>
      <c r="C278" s="15">
        <v>45983</v>
      </c>
      <c r="D278" s="14" t="s">
        <v>2671</v>
      </c>
      <c r="E278" s="14" t="s">
        <v>2672</v>
      </c>
      <c r="F278" s="17">
        <v>3000</v>
      </c>
      <c r="G278" s="14" t="s">
        <v>2676</v>
      </c>
      <c r="H278" s="14"/>
    </row>
    <row r="279" spans="1:8" ht="16">
      <c r="A279" s="14" t="s">
        <v>2956</v>
      </c>
      <c r="B279" s="14" t="s">
        <v>255</v>
      </c>
      <c r="C279" s="15">
        <v>45952</v>
      </c>
      <c r="D279" s="14" t="s">
        <v>2674</v>
      </c>
      <c r="E279" s="14" t="s">
        <v>2675</v>
      </c>
      <c r="F279" s="17">
        <v>20000</v>
      </c>
      <c r="G279" s="14" t="s">
        <v>2676</v>
      </c>
      <c r="H279" s="14"/>
    </row>
    <row r="280" spans="1:8" ht="16">
      <c r="A280" s="14" t="s">
        <v>2957</v>
      </c>
      <c r="B280" s="14" t="s">
        <v>277</v>
      </c>
      <c r="C280" s="15">
        <v>45984</v>
      </c>
      <c r="D280" s="14" t="s">
        <v>2671</v>
      </c>
      <c r="E280" s="14" t="s">
        <v>2672</v>
      </c>
      <c r="F280" s="17">
        <v>3000</v>
      </c>
      <c r="G280" s="14" t="s">
        <v>2661</v>
      </c>
      <c r="H280" s="14"/>
    </row>
    <row r="281" spans="1:8" ht="16">
      <c r="A281" s="14" t="s">
        <v>2958</v>
      </c>
      <c r="B281" s="14" t="s">
        <v>226</v>
      </c>
      <c r="C281" s="15">
        <v>46253</v>
      </c>
      <c r="D281" s="14" t="s">
        <v>2668</v>
      </c>
      <c r="E281" s="14" t="s">
        <v>2669</v>
      </c>
      <c r="F281" s="17">
        <v>4000</v>
      </c>
      <c r="G281" s="14" t="s">
        <v>2661</v>
      </c>
      <c r="H281" s="14"/>
    </row>
    <row r="282" spans="1:8" ht="16">
      <c r="A282" s="14" t="s">
        <v>2959</v>
      </c>
      <c r="B282" s="14" t="s">
        <v>61</v>
      </c>
      <c r="C282" s="15">
        <v>46036</v>
      </c>
      <c r="D282" s="14" t="s">
        <v>2692</v>
      </c>
      <c r="E282" s="14" t="s">
        <v>2693</v>
      </c>
      <c r="F282" s="17">
        <v>10000</v>
      </c>
      <c r="G282" s="14" t="s">
        <v>2661</v>
      </c>
      <c r="H282" s="14"/>
    </row>
    <row r="283" spans="1:8" ht="16">
      <c r="A283" s="14" t="s">
        <v>2960</v>
      </c>
      <c r="B283" s="14" t="s">
        <v>72</v>
      </c>
      <c r="C283" s="15">
        <v>46011</v>
      </c>
      <c r="D283" s="14" t="s">
        <v>2671</v>
      </c>
      <c r="E283" s="14" t="s">
        <v>2672</v>
      </c>
      <c r="F283" s="17">
        <v>3000</v>
      </c>
      <c r="G283" s="14" t="s">
        <v>2661</v>
      </c>
      <c r="H283" s="14"/>
    </row>
    <row r="284" spans="1:8" ht="16">
      <c r="A284" s="14" t="s">
        <v>2961</v>
      </c>
      <c r="B284" s="14" t="s">
        <v>173</v>
      </c>
      <c r="C284" s="15">
        <v>46293</v>
      </c>
      <c r="D284" s="14" t="s">
        <v>2663</v>
      </c>
      <c r="E284" s="14" t="s">
        <v>3630</v>
      </c>
      <c r="F284" s="17">
        <v>1500</v>
      </c>
      <c r="G284" s="14" t="s">
        <v>2661</v>
      </c>
      <c r="H284" s="14"/>
    </row>
    <row r="285" spans="1:8" ht="16">
      <c r="A285" s="14" t="s">
        <v>2962</v>
      </c>
      <c r="B285" s="14" t="s">
        <v>84</v>
      </c>
      <c r="C285" s="15">
        <v>46190</v>
      </c>
      <c r="D285" s="14" t="s">
        <v>2671</v>
      </c>
      <c r="E285" s="14" t="s">
        <v>2672</v>
      </c>
      <c r="F285" s="17">
        <v>3000</v>
      </c>
      <c r="G285" s="14" t="s">
        <v>2661</v>
      </c>
      <c r="H285" s="14"/>
    </row>
    <row r="286" spans="1:8" ht="16">
      <c r="A286" s="14" t="s">
        <v>2963</v>
      </c>
      <c r="B286" s="14" t="s">
        <v>154</v>
      </c>
      <c r="C286" s="15">
        <v>45981</v>
      </c>
      <c r="D286" s="14" t="s">
        <v>2659</v>
      </c>
      <c r="E286" s="14" t="s">
        <v>2660</v>
      </c>
      <c r="F286" s="17">
        <v>3500</v>
      </c>
      <c r="G286" s="14" t="s">
        <v>2661</v>
      </c>
      <c r="H286" s="14"/>
    </row>
    <row r="287" spans="1:8" ht="16">
      <c r="A287" s="14" t="s">
        <v>2964</v>
      </c>
      <c r="B287" s="14" t="s">
        <v>178</v>
      </c>
      <c r="C287" s="15">
        <v>46262</v>
      </c>
      <c r="D287" s="14" t="s">
        <v>2685</v>
      </c>
      <c r="E287" s="14" t="s">
        <v>2686</v>
      </c>
      <c r="F287" s="17">
        <v>5000</v>
      </c>
      <c r="G287" s="14" t="s">
        <v>2661</v>
      </c>
      <c r="H287" s="14"/>
    </row>
    <row r="288" spans="1:8" ht="16">
      <c r="A288" s="14" t="s">
        <v>2965</v>
      </c>
      <c r="B288" s="14" t="s">
        <v>190</v>
      </c>
      <c r="C288" s="15">
        <v>46102</v>
      </c>
      <c r="D288" s="14" t="s">
        <v>2671</v>
      </c>
      <c r="E288" s="14" t="s">
        <v>2672</v>
      </c>
      <c r="F288" s="17">
        <v>3000</v>
      </c>
      <c r="G288" s="14" t="s">
        <v>2661</v>
      </c>
      <c r="H288" s="14"/>
    </row>
    <row r="289" spans="1:8" ht="16">
      <c r="A289" s="14" t="s">
        <v>2966</v>
      </c>
      <c r="B289" s="14" t="s">
        <v>128</v>
      </c>
      <c r="C289" s="15">
        <v>45993</v>
      </c>
      <c r="D289" s="14" t="s">
        <v>2663</v>
      </c>
      <c r="E289" s="14" t="s">
        <v>3630</v>
      </c>
      <c r="F289" s="17">
        <v>1500</v>
      </c>
      <c r="G289" s="14" t="s">
        <v>2661</v>
      </c>
      <c r="H289" s="14"/>
    </row>
    <row r="290" spans="1:8" ht="16">
      <c r="A290" s="14" t="s">
        <v>2967</v>
      </c>
      <c r="B290" s="14" t="s">
        <v>154</v>
      </c>
      <c r="C290" s="15">
        <v>46155</v>
      </c>
      <c r="D290" s="14" t="s">
        <v>2668</v>
      </c>
      <c r="E290" s="14" t="s">
        <v>2669</v>
      </c>
      <c r="F290" s="17">
        <v>4000</v>
      </c>
      <c r="G290" s="14" t="s">
        <v>2661</v>
      </c>
      <c r="H290" s="14"/>
    </row>
    <row r="291" spans="1:8" ht="16">
      <c r="A291" s="14" t="s">
        <v>2968</v>
      </c>
      <c r="B291" s="14" t="s">
        <v>93</v>
      </c>
      <c r="C291" s="15">
        <v>45934</v>
      </c>
      <c r="D291" s="14" t="s">
        <v>2659</v>
      </c>
      <c r="E291" s="14" t="s">
        <v>2660</v>
      </c>
      <c r="F291" s="17">
        <v>3500</v>
      </c>
      <c r="G291" s="14" t="s">
        <v>2661</v>
      </c>
      <c r="H291" s="14"/>
    </row>
    <row r="292" spans="1:8" ht="16">
      <c r="A292" s="14" t="s">
        <v>2969</v>
      </c>
      <c r="B292" s="14" t="s">
        <v>259</v>
      </c>
      <c r="C292" s="15">
        <v>46173</v>
      </c>
      <c r="D292" s="14" t="s">
        <v>2668</v>
      </c>
      <c r="E292" s="14" t="s">
        <v>2669</v>
      </c>
      <c r="F292" s="17">
        <v>4000</v>
      </c>
      <c r="G292" s="14" t="s">
        <v>2661</v>
      </c>
      <c r="H292" s="14"/>
    </row>
    <row r="293" spans="1:8" ht="16">
      <c r="A293" s="14" t="s">
        <v>2970</v>
      </c>
      <c r="B293" s="14" t="s">
        <v>43</v>
      </c>
      <c r="C293" s="15">
        <v>46077</v>
      </c>
      <c r="D293" s="14" t="s">
        <v>2665</v>
      </c>
      <c r="E293" s="14" t="s">
        <v>2666</v>
      </c>
      <c r="F293" s="17">
        <v>2500</v>
      </c>
      <c r="G293" s="14" t="s">
        <v>2676</v>
      </c>
      <c r="H293" s="14"/>
    </row>
    <row r="294" spans="1:8" ht="16">
      <c r="A294" s="14" t="s">
        <v>2971</v>
      </c>
      <c r="B294" s="14" t="s">
        <v>164</v>
      </c>
      <c r="C294" s="15">
        <v>46018</v>
      </c>
      <c r="D294" s="14" t="s">
        <v>2665</v>
      </c>
      <c r="E294" s="14" t="s">
        <v>2666</v>
      </c>
      <c r="F294" s="17">
        <v>2500</v>
      </c>
      <c r="G294" s="14" t="s">
        <v>2661</v>
      </c>
      <c r="H294" s="14"/>
    </row>
    <row r="295" spans="1:8" ht="16">
      <c r="A295" s="14" t="s">
        <v>2972</v>
      </c>
      <c r="B295" s="14" t="s">
        <v>193</v>
      </c>
      <c r="C295" s="15">
        <v>46067</v>
      </c>
      <c r="D295" s="14" t="s">
        <v>2665</v>
      </c>
      <c r="E295" s="14" t="s">
        <v>2666</v>
      </c>
      <c r="F295" s="17">
        <v>2500</v>
      </c>
      <c r="G295" s="14" t="s">
        <v>2661</v>
      </c>
      <c r="H295" s="14"/>
    </row>
    <row r="296" spans="1:8" ht="16">
      <c r="A296" s="14" t="s">
        <v>2973</v>
      </c>
      <c r="B296" s="14" t="s">
        <v>106</v>
      </c>
      <c r="C296" s="15">
        <v>46143</v>
      </c>
      <c r="D296" s="14" t="s">
        <v>2682</v>
      </c>
      <c r="E296" s="14" t="s">
        <v>2683</v>
      </c>
      <c r="F296" s="17">
        <v>6000</v>
      </c>
      <c r="G296" s="14" t="s">
        <v>2661</v>
      </c>
      <c r="H296" s="14"/>
    </row>
    <row r="297" spans="1:8" ht="16">
      <c r="A297" s="14" t="s">
        <v>2974</v>
      </c>
      <c r="B297" s="14" t="s">
        <v>209</v>
      </c>
      <c r="C297" s="15">
        <v>46253</v>
      </c>
      <c r="D297" s="14" t="s">
        <v>2665</v>
      </c>
      <c r="E297" s="14" t="s">
        <v>2666</v>
      </c>
      <c r="F297" s="17">
        <v>2500</v>
      </c>
      <c r="G297" s="14" t="s">
        <v>2661</v>
      </c>
      <c r="H297" s="14"/>
    </row>
    <row r="298" spans="1:8" ht="16">
      <c r="A298" s="14" t="s">
        <v>2975</v>
      </c>
      <c r="B298" s="14" t="s">
        <v>200</v>
      </c>
      <c r="C298" s="15">
        <v>46008</v>
      </c>
      <c r="D298" s="14" t="s">
        <v>2671</v>
      </c>
      <c r="E298" s="14" t="s">
        <v>2672</v>
      </c>
      <c r="F298" s="17">
        <v>3000</v>
      </c>
      <c r="G298" s="14" t="s">
        <v>2676</v>
      </c>
      <c r="H298" s="14"/>
    </row>
    <row r="299" spans="1:8" ht="16">
      <c r="A299" s="14" t="s">
        <v>2976</v>
      </c>
      <c r="B299" s="14" t="s">
        <v>310</v>
      </c>
      <c r="C299" s="15">
        <v>46146</v>
      </c>
      <c r="D299" s="14" t="s">
        <v>2685</v>
      </c>
      <c r="E299" s="14" t="s">
        <v>2686</v>
      </c>
      <c r="F299" s="17">
        <v>5000</v>
      </c>
      <c r="G299" s="14" t="s">
        <v>2661</v>
      </c>
      <c r="H299" s="14"/>
    </row>
    <row r="300" spans="1:8" ht="16">
      <c r="A300" s="14" t="s">
        <v>2977</v>
      </c>
      <c r="B300" s="14" t="s">
        <v>293</v>
      </c>
      <c r="C300" s="15">
        <v>46001</v>
      </c>
      <c r="D300" s="14" t="s">
        <v>2659</v>
      </c>
      <c r="E300" s="14" t="s">
        <v>2660</v>
      </c>
      <c r="F300" s="17">
        <v>3500</v>
      </c>
      <c r="G300" s="14" t="s">
        <v>2661</v>
      </c>
      <c r="H300" s="14"/>
    </row>
    <row r="301" spans="1:8" ht="16">
      <c r="A301" s="14" t="s">
        <v>2978</v>
      </c>
      <c r="B301" s="14" t="s">
        <v>277</v>
      </c>
      <c r="C301" s="15">
        <v>46142</v>
      </c>
      <c r="D301" s="14" t="s">
        <v>2659</v>
      </c>
      <c r="E301" s="14" t="s">
        <v>2660</v>
      </c>
      <c r="F301" s="17">
        <v>3500</v>
      </c>
      <c r="G301" s="14" t="s">
        <v>2661</v>
      </c>
      <c r="H301" s="14"/>
    </row>
    <row r="302" spans="1:8" ht="16">
      <c r="A302" s="14" t="s">
        <v>2979</v>
      </c>
      <c r="B302" s="14" t="s">
        <v>34</v>
      </c>
      <c r="C302" s="15">
        <v>46165</v>
      </c>
      <c r="D302" s="14" t="s">
        <v>2692</v>
      </c>
      <c r="E302" s="14" t="s">
        <v>2693</v>
      </c>
      <c r="F302" s="17">
        <v>10000</v>
      </c>
      <c r="G302" s="14" t="s">
        <v>2676</v>
      </c>
      <c r="H302" s="14"/>
    </row>
    <row r="303" spans="1:8" ht="16">
      <c r="A303" s="14" t="s">
        <v>2980</v>
      </c>
      <c r="B303" s="14" t="s">
        <v>287</v>
      </c>
      <c r="C303" s="15">
        <v>46280</v>
      </c>
      <c r="D303" s="14" t="s">
        <v>2663</v>
      </c>
      <c r="E303" s="14" t="s">
        <v>3630</v>
      </c>
      <c r="F303" s="17">
        <v>1500</v>
      </c>
      <c r="G303" s="14" t="s">
        <v>2661</v>
      </c>
      <c r="H303" s="14"/>
    </row>
    <row r="304" spans="1:8" ht="16">
      <c r="A304" s="14" t="s">
        <v>2981</v>
      </c>
      <c r="B304" s="14" t="s">
        <v>226</v>
      </c>
      <c r="C304" s="15">
        <v>45946</v>
      </c>
      <c r="D304" s="14" t="s">
        <v>2674</v>
      </c>
      <c r="E304" s="14" t="s">
        <v>2675</v>
      </c>
      <c r="F304" s="17">
        <v>20000</v>
      </c>
      <c r="G304" s="14" t="s">
        <v>2661</v>
      </c>
      <c r="H304" s="14"/>
    </row>
    <row r="305" spans="1:8" ht="16">
      <c r="A305" s="14" t="s">
        <v>2982</v>
      </c>
      <c r="B305" s="14" t="s">
        <v>66</v>
      </c>
      <c r="C305" s="15">
        <v>46005</v>
      </c>
      <c r="D305" s="14" t="s">
        <v>2671</v>
      </c>
      <c r="E305" s="14" t="s">
        <v>2672</v>
      </c>
      <c r="F305" s="17">
        <v>3000</v>
      </c>
      <c r="G305" s="14" t="s">
        <v>2661</v>
      </c>
      <c r="H305" s="14"/>
    </row>
    <row r="306" spans="1:8" ht="16">
      <c r="A306" s="14" t="s">
        <v>2983</v>
      </c>
      <c r="B306" s="14" t="s">
        <v>141</v>
      </c>
      <c r="C306" s="15">
        <v>46195</v>
      </c>
      <c r="D306" s="14" t="s">
        <v>2665</v>
      </c>
      <c r="E306" s="14" t="s">
        <v>2666</v>
      </c>
      <c r="F306" s="17">
        <v>2500</v>
      </c>
      <c r="G306" s="14" t="s">
        <v>2661</v>
      </c>
      <c r="H306" s="14"/>
    </row>
    <row r="307" spans="1:8" ht="16">
      <c r="A307" s="14" t="s">
        <v>2984</v>
      </c>
      <c r="B307" s="14" t="s">
        <v>116</v>
      </c>
      <c r="C307" s="15">
        <v>45974</v>
      </c>
      <c r="D307" s="14" t="s">
        <v>2659</v>
      </c>
      <c r="E307" s="14" t="s">
        <v>2660</v>
      </c>
      <c r="F307" s="17">
        <v>3500</v>
      </c>
      <c r="G307" s="14" t="s">
        <v>2661</v>
      </c>
      <c r="H307" s="14"/>
    </row>
    <row r="308" spans="1:8" ht="16">
      <c r="A308" s="14" t="s">
        <v>2985</v>
      </c>
      <c r="B308" s="14" t="s">
        <v>228</v>
      </c>
      <c r="C308" s="15">
        <v>46092</v>
      </c>
      <c r="D308" s="14" t="s">
        <v>2671</v>
      </c>
      <c r="E308" s="14" t="s">
        <v>2672</v>
      </c>
      <c r="F308" s="17">
        <v>3000</v>
      </c>
      <c r="G308" s="14" t="s">
        <v>2661</v>
      </c>
      <c r="H308" s="14"/>
    </row>
    <row r="309" spans="1:8" ht="16">
      <c r="A309" s="14" t="s">
        <v>2986</v>
      </c>
      <c r="B309" s="14" t="s">
        <v>54</v>
      </c>
      <c r="C309" s="15">
        <v>46015</v>
      </c>
      <c r="D309" s="14" t="s">
        <v>2668</v>
      </c>
      <c r="E309" s="14" t="s">
        <v>2669</v>
      </c>
      <c r="F309" s="17">
        <v>4000</v>
      </c>
      <c r="G309" s="14" t="s">
        <v>2661</v>
      </c>
      <c r="H309" s="14"/>
    </row>
    <row r="310" spans="1:8" ht="16">
      <c r="A310" s="14" t="s">
        <v>2987</v>
      </c>
      <c r="B310" s="14" t="s">
        <v>170</v>
      </c>
      <c r="C310" s="15">
        <v>45962</v>
      </c>
      <c r="D310" s="14" t="s">
        <v>2665</v>
      </c>
      <c r="E310" s="14" t="s">
        <v>2666</v>
      </c>
      <c r="F310" s="17">
        <v>2500</v>
      </c>
      <c r="G310" s="14" t="s">
        <v>2661</v>
      </c>
      <c r="H310" s="14"/>
    </row>
    <row r="311" spans="1:8" ht="16">
      <c r="A311" s="14" t="s">
        <v>2988</v>
      </c>
      <c r="B311" s="14" t="s">
        <v>275</v>
      </c>
      <c r="C311" s="15">
        <v>45949</v>
      </c>
      <c r="D311" s="14" t="s">
        <v>2692</v>
      </c>
      <c r="E311" s="14" t="s">
        <v>2693</v>
      </c>
      <c r="F311" s="17">
        <v>10000</v>
      </c>
      <c r="G311" s="14" t="s">
        <v>2661</v>
      </c>
      <c r="H311" s="14"/>
    </row>
    <row r="312" spans="1:8" ht="16">
      <c r="A312" s="14" t="s">
        <v>2989</v>
      </c>
      <c r="B312" s="14" t="s">
        <v>304</v>
      </c>
      <c r="C312" s="15">
        <v>46225</v>
      </c>
      <c r="D312" s="14" t="s">
        <v>2668</v>
      </c>
      <c r="E312" s="14" t="s">
        <v>2669</v>
      </c>
      <c r="F312" s="17">
        <v>4000</v>
      </c>
      <c r="G312" s="14" t="s">
        <v>2661</v>
      </c>
      <c r="H312" s="14"/>
    </row>
    <row r="313" spans="1:8" ht="16">
      <c r="A313" s="14" t="s">
        <v>2990</v>
      </c>
      <c r="B313" s="14" t="s">
        <v>133</v>
      </c>
      <c r="C313" s="15">
        <v>46254</v>
      </c>
      <c r="D313" s="14" t="s">
        <v>2692</v>
      </c>
      <c r="E313" s="14" t="s">
        <v>2693</v>
      </c>
      <c r="F313" s="17">
        <v>10000</v>
      </c>
      <c r="G313" s="14" t="s">
        <v>2676</v>
      </c>
      <c r="H313" s="14"/>
    </row>
    <row r="314" spans="1:8" ht="16">
      <c r="A314" s="14" t="s">
        <v>2991</v>
      </c>
      <c r="B314" s="14" t="s">
        <v>276</v>
      </c>
      <c r="C314" s="15">
        <v>46082</v>
      </c>
      <c r="D314" s="14" t="s">
        <v>2674</v>
      </c>
      <c r="E314" s="14" t="s">
        <v>2675</v>
      </c>
      <c r="F314" s="17">
        <v>20000</v>
      </c>
      <c r="G314" s="14" t="s">
        <v>2661</v>
      </c>
      <c r="H314" s="14"/>
    </row>
    <row r="315" spans="1:8" ht="16">
      <c r="A315" s="14" t="s">
        <v>2992</v>
      </c>
      <c r="B315" s="14" t="s">
        <v>56</v>
      </c>
      <c r="C315" s="15">
        <v>46136</v>
      </c>
      <c r="D315" s="14" t="s">
        <v>2668</v>
      </c>
      <c r="E315" s="14" t="s">
        <v>2669</v>
      </c>
      <c r="F315" s="17">
        <v>4000</v>
      </c>
      <c r="G315" s="14" t="s">
        <v>2676</v>
      </c>
      <c r="H315" s="14"/>
    </row>
    <row r="316" spans="1:8" ht="16">
      <c r="A316" s="14" t="s">
        <v>2993</v>
      </c>
      <c r="B316" s="14" t="s">
        <v>199</v>
      </c>
      <c r="C316" s="15">
        <v>46086</v>
      </c>
      <c r="D316" s="14" t="s">
        <v>2659</v>
      </c>
      <c r="E316" s="14" t="s">
        <v>2660</v>
      </c>
      <c r="F316" s="17">
        <v>3500</v>
      </c>
      <c r="G316" s="14" t="s">
        <v>2661</v>
      </c>
      <c r="H316" s="14"/>
    </row>
    <row r="317" spans="1:8" ht="16">
      <c r="A317" s="14" t="s">
        <v>2994</v>
      </c>
      <c r="B317" s="14" t="s">
        <v>94</v>
      </c>
      <c r="C317" s="15">
        <v>46107</v>
      </c>
      <c r="D317" s="14" t="s">
        <v>2682</v>
      </c>
      <c r="E317" s="14" t="s">
        <v>2683</v>
      </c>
      <c r="F317" s="17">
        <v>6000</v>
      </c>
      <c r="G317" s="14" t="s">
        <v>2661</v>
      </c>
      <c r="H317" s="14"/>
    </row>
    <row r="318" spans="1:8" ht="16">
      <c r="A318" s="14" t="s">
        <v>2995</v>
      </c>
      <c r="B318" s="14" t="s">
        <v>160</v>
      </c>
      <c r="C318" s="15">
        <v>46074</v>
      </c>
      <c r="D318" s="14" t="s">
        <v>2685</v>
      </c>
      <c r="E318" s="14" t="s">
        <v>2686</v>
      </c>
      <c r="F318" s="17">
        <v>5000</v>
      </c>
      <c r="G318" s="14" t="s">
        <v>2676</v>
      </c>
      <c r="H318" s="14"/>
    </row>
    <row r="319" spans="1:8" ht="16">
      <c r="A319" s="14" t="s">
        <v>2996</v>
      </c>
      <c r="B319" s="14" t="s">
        <v>172</v>
      </c>
      <c r="C319" s="15">
        <v>46243</v>
      </c>
      <c r="D319" s="14" t="s">
        <v>2665</v>
      </c>
      <c r="E319" s="14" t="s">
        <v>2666</v>
      </c>
      <c r="F319" s="17">
        <v>2500</v>
      </c>
      <c r="G319" s="14" t="s">
        <v>2661</v>
      </c>
      <c r="H319" s="14"/>
    </row>
    <row r="320" spans="1:8" ht="16">
      <c r="A320" s="14" t="s">
        <v>2997</v>
      </c>
      <c r="B320" s="14" t="s">
        <v>201</v>
      </c>
      <c r="C320" s="15">
        <v>46289</v>
      </c>
      <c r="D320" s="14" t="s">
        <v>2659</v>
      </c>
      <c r="E320" s="14" t="s">
        <v>2660</v>
      </c>
      <c r="F320" s="17">
        <v>3500</v>
      </c>
      <c r="G320" s="14" t="s">
        <v>2661</v>
      </c>
      <c r="H320" s="14"/>
    </row>
    <row r="321" spans="1:8" ht="16">
      <c r="A321" s="14" t="s">
        <v>2998</v>
      </c>
      <c r="B321" s="14" t="s">
        <v>122</v>
      </c>
      <c r="C321" s="15">
        <v>46159</v>
      </c>
      <c r="D321" s="14" t="s">
        <v>2659</v>
      </c>
      <c r="E321" s="14" t="s">
        <v>2660</v>
      </c>
      <c r="F321" s="17">
        <v>3500</v>
      </c>
      <c r="G321" s="14" t="s">
        <v>2661</v>
      </c>
      <c r="H321" s="14"/>
    </row>
    <row r="322" spans="1:8" ht="16">
      <c r="A322" s="14" t="s">
        <v>2999</v>
      </c>
      <c r="B322" s="14" t="s">
        <v>215</v>
      </c>
      <c r="C322" s="15">
        <v>46209</v>
      </c>
      <c r="D322" s="14" t="s">
        <v>2668</v>
      </c>
      <c r="E322" s="14" t="s">
        <v>2669</v>
      </c>
      <c r="F322" s="17">
        <v>4000</v>
      </c>
      <c r="G322" s="14" t="s">
        <v>2676</v>
      </c>
      <c r="H322" s="14"/>
    </row>
    <row r="323" spans="1:8" ht="16">
      <c r="A323" s="14" t="s">
        <v>3000</v>
      </c>
      <c r="B323" s="14" t="s">
        <v>62</v>
      </c>
      <c r="C323" s="15">
        <v>46247</v>
      </c>
      <c r="D323" s="14" t="s">
        <v>2692</v>
      </c>
      <c r="E323" s="14" t="s">
        <v>2693</v>
      </c>
      <c r="F323" s="17">
        <v>10000</v>
      </c>
      <c r="G323" s="14" t="s">
        <v>2661</v>
      </c>
      <c r="H323" s="14"/>
    </row>
    <row r="324" spans="1:8" ht="16">
      <c r="A324" s="14" t="s">
        <v>3001</v>
      </c>
      <c r="B324" s="14" t="s">
        <v>105</v>
      </c>
      <c r="C324" s="15">
        <v>46288</v>
      </c>
      <c r="D324" s="14" t="s">
        <v>2668</v>
      </c>
      <c r="E324" s="14" t="s">
        <v>2669</v>
      </c>
      <c r="F324" s="17">
        <v>4000</v>
      </c>
      <c r="G324" s="14" t="s">
        <v>2661</v>
      </c>
      <c r="H324" s="14"/>
    </row>
    <row r="325" spans="1:8" ht="16">
      <c r="A325" s="14" t="s">
        <v>3002</v>
      </c>
      <c r="B325" s="14" t="s">
        <v>171</v>
      </c>
      <c r="C325" s="15">
        <v>46263</v>
      </c>
      <c r="D325" s="14" t="s">
        <v>2682</v>
      </c>
      <c r="E325" s="14" t="s">
        <v>2683</v>
      </c>
      <c r="F325" s="17">
        <v>6000</v>
      </c>
      <c r="G325" s="14" t="s">
        <v>2661</v>
      </c>
      <c r="H325" s="14"/>
    </row>
    <row r="326" spans="1:8" ht="16">
      <c r="A326" s="14" t="s">
        <v>3003</v>
      </c>
      <c r="B326" s="14" t="s">
        <v>286</v>
      </c>
      <c r="C326" s="15">
        <v>46032</v>
      </c>
      <c r="D326" s="14" t="s">
        <v>2659</v>
      </c>
      <c r="E326" s="14" t="s">
        <v>2660</v>
      </c>
      <c r="F326" s="17">
        <v>3500</v>
      </c>
      <c r="G326" s="14" t="s">
        <v>2661</v>
      </c>
      <c r="H326" s="14"/>
    </row>
    <row r="327" spans="1:8" ht="16">
      <c r="A327" s="14" t="s">
        <v>3004</v>
      </c>
      <c r="B327" s="14" t="s">
        <v>199</v>
      </c>
      <c r="C327" s="15">
        <v>45974</v>
      </c>
      <c r="D327" s="14" t="s">
        <v>2688</v>
      </c>
      <c r="E327" s="14" t="s">
        <v>2689</v>
      </c>
      <c r="F327" s="17">
        <v>8000</v>
      </c>
      <c r="G327" s="14" t="s">
        <v>2661</v>
      </c>
      <c r="H327" s="14"/>
    </row>
    <row r="328" spans="1:8" ht="16">
      <c r="A328" s="14" t="s">
        <v>3005</v>
      </c>
      <c r="B328" s="14" t="s">
        <v>295</v>
      </c>
      <c r="C328" s="15">
        <v>46206</v>
      </c>
      <c r="D328" s="14" t="s">
        <v>2659</v>
      </c>
      <c r="E328" s="14" t="s">
        <v>2660</v>
      </c>
      <c r="F328" s="17">
        <v>3500</v>
      </c>
      <c r="G328" s="14" t="s">
        <v>2661</v>
      </c>
      <c r="H328" s="14"/>
    </row>
    <row r="329" spans="1:8" ht="16">
      <c r="A329" s="14" t="s">
        <v>3006</v>
      </c>
      <c r="B329" s="14" t="s">
        <v>45</v>
      </c>
      <c r="C329" s="15">
        <v>46130</v>
      </c>
      <c r="D329" s="14" t="s">
        <v>2674</v>
      </c>
      <c r="E329" s="14" t="s">
        <v>2675</v>
      </c>
      <c r="F329" s="17">
        <v>20000</v>
      </c>
      <c r="G329" s="14" t="s">
        <v>2661</v>
      </c>
      <c r="H329" s="14"/>
    </row>
    <row r="330" spans="1:8" ht="16">
      <c r="A330" s="14" t="s">
        <v>3007</v>
      </c>
      <c r="B330" s="14" t="s">
        <v>273</v>
      </c>
      <c r="C330" s="15">
        <v>46197</v>
      </c>
      <c r="D330" s="14" t="s">
        <v>2671</v>
      </c>
      <c r="E330" s="14" t="s">
        <v>2672</v>
      </c>
      <c r="F330" s="17">
        <v>3000</v>
      </c>
      <c r="G330" s="14" t="s">
        <v>2676</v>
      </c>
      <c r="H330" s="14"/>
    </row>
    <row r="331" spans="1:8" ht="16">
      <c r="A331" s="14" t="s">
        <v>3008</v>
      </c>
      <c r="B331" s="14" t="s">
        <v>204</v>
      </c>
      <c r="C331" s="15">
        <v>46076</v>
      </c>
      <c r="D331" s="14" t="s">
        <v>2663</v>
      </c>
      <c r="E331" s="14" t="s">
        <v>3630</v>
      </c>
      <c r="F331" s="17">
        <v>1500</v>
      </c>
      <c r="G331" s="14" t="s">
        <v>2661</v>
      </c>
      <c r="H331" s="14"/>
    </row>
    <row r="332" spans="1:8" ht="16">
      <c r="A332" s="14" t="s">
        <v>3009</v>
      </c>
      <c r="B332" s="14" t="s">
        <v>288</v>
      </c>
      <c r="C332" s="15">
        <v>45978</v>
      </c>
      <c r="D332" s="14" t="s">
        <v>2674</v>
      </c>
      <c r="E332" s="14" t="s">
        <v>2675</v>
      </c>
      <c r="F332" s="17">
        <v>20000</v>
      </c>
      <c r="G332" s="14" t="s">
        <v>2676</v>
      </c>
      <c r="H332" s="14"/>
    </row>
    <row r="333" spans="1:8" ht="16">
      <c r="A333" s="14" t="s">
        <v>3010</v>
      </c>
      <c r="B333" s="14" t="s">
        <v>217</v>
      </c>
      <c r="C333" s="15">
        <v>46213</v>
      </c>
      <c r="D333" s="14" t="s">
        <v>2674</v>
      </c>
      <c r="E333" s="14" t="s">
        <v>2675</v>
      </c>
      <c r="F333" s="17">
        <v>20000</v>
      </c>
      <c r="G333" s="14" t="s">
        <v>2661</v>
      </c>
      <c r="H333" s="14"/>
    </row>
    <row r="334" spans="1:8" ht="16">
      <c r="A334" s="14" t="s">
        <v>3011</v>
      </c>
      <c r="B334" s="14" t="s">
        <v>141</v>
      </c>
      <c r="C334" s="15">
        <v>46197</v>
      </c>
      <c r="D334" s="14" t="s">
        <v>2674</v>
      </c>
      <c r="E334" s="14" t="s">
        <v>2675</v>
      </c>
      <c r="F334" s="17">
        <v>20000</v>
      </c>
      <c r="G334" s="14" t="s">
        <v>2661</v>
      </c>
      <c r="H334" s="14"/>
    </row>
    <row r="335" spans="1:8" ht="16">
      <c r="A335" s="14" t="s">
        <v>3012</v>
      </c>
      <c r="B335" s="14" t="s">
        <v>298</v>
      </c>
      <c r="C335" s="15">
        <v>46256</v>
      </c>
      <c r="D335" s="14" t="s">
        <v>2682</v>
      </c>
      <c r="E335" s="14" t="s">
        <v>2683</v>
      </c>
      <c r="F335" s="17">
        <v>6000</v>
      </c>
      <c r="G335" s="14" t="s">
        <v>2661</v>
      </c>
      <c r="H335" s="14"/>
    </row>
    <row r="336" spans="1:8" ht="16">
      <c r="A336" s="14" t="s">
        <v>3013</v>
      </c>
      <c r="B336" s="14" t="s">
        <v>154</v>
      </c>
      <c r="C336" s="15">
        <v>45942</v>
      </c>
      <c r="D336" s="14" t="s">
        <v>2682</v>
      </c>
      <c r="E336" s="14" t="s">
        <v>2683</v>
      </c>
      <c r="F336" s="17">
        <v>6000</v>
      </c>
      <c r="G336" s="14" t="s">
        <v>2661</v>
      </c>
      <c r="H336" s="14"/>
    </row>
    <row r="337" spans="1:8" ht="16">
      <c r="A337" s="14" t="s">
        <v>3014</v>
      </c>
      <c r="B337" s="14" t="s">
        <v>231</v>
      </c>
      <c r="C337" s="15">
        <v>46207</v>
      </c>
      <c r="D337" s="14" t="s">
        <v>2665</v>
      </c>
      <c r="E337" s="14" t="s">
        <v>2666</v>
      </c>
      <c r="F337" s="17">
        <v>2500</v>
      </c>
      <c r="G337" s="14" t="s">
        <v>2676</v>
      </c>
      <c r="H337" s="14"/>
    </row>
    <row r="338" spans="1:8" ht="16">
      <c r="A338" s="14" t="s">
        <v>3015</v>
      </c>
      <c r="B338" s="14" t="s">
        <v>59</v>
      </c>
      <c r="C338" s="15">
        <v>46063</v>
      </c>
      <c r="D338" s="14" t="s">
        <v>2688</v>
      </c>
      <c r="E338" s="14" t="s">
        <v>2689</v>
      </c>
      <c r="F338" s="17">
        <v>8000</v>
      </c>
      <c r="G338" s="14" t="s">
        <v>2661</v>
      </c>
      <c r="H338" s="14"/>
    </row>
    <row r="339" spans="1:8" ht="16">
      <c r="A339" s="14" t="s">
        <v>3016</v>
      </c>
      <c r="B339" s="14" t="s">
        <v>71</v>
      </c>
      <c r="C339" s="15">
        <v>46086</v>
      </c>
      <c r="D339" s="14" t="s">
        <v>2659</v>
      </c>
      <c r="E339" s="14" t="s">
        <v>2660</v>
      </c>
      <c r="F339" s="17">
        <v>3500</v>
      </c>
      <c r="G339" s="14" t="s">
        <v>2661</v>
      </c>
      <c r="H339" s="14"/>
    </row>
    <row r="340" spans="1:8" ht="16">
      <c r="A340" s="14" t="s">
        <v>3017</v>
      </c>
      <c r="B340" s="14" t="s">
        <v>234</v>
      </c>
      <c r="C340" s="15">
        <v>46189</v>
      </c>
      <c r="D340" s="14" t="s">
        <v>2692</v>
      </c>
      <c r="E340" s="14" t="s">
        <v>2693</v>
      </c>
      <c r="F340" s="17">
        <v>10000</v>
      </c>
      <c r="G340" s="14" t="s">
        <v>2661</v>
      </c>
      <c r="H340" s="14"/>
    </row>
    <row r="341" spans="1:8" ht="16">
      <c r="A341" s="14" t="s">
        <v>3018</v>
      </c>
      <c r="B341" s="14" t="s">
        <v>105</v>
      </c>
      <c r="C341" s="15">
        <v>45961</v>
      </c>
      <c r="D341" s="14" t="s">
        <v>2685</v>
      </c>
      <c r="E341" s="14" t="s">
        <v>2686</v>
      </c>
      <c r="F341" s="17">
        <v>5000</v>
      </c>
      <c r="G341" s="14" t="s">
        <v>2661</v>
      </c>
      <c r="H341" s="14"/>
    </row>
    <row r="342" spans="1:8" ht="16">
      <c r="A342" s="14" t="s">
        <v>3019</v>
      </c>
      <c r="B342" s="14" t="s">
        <v>229</v>
      </c>
      <c r="C342" s="15">
        <v>46063</v>
      </c>
      <c r="D342" s="14" t="s">
        <v>2685</v>
      </c>
      <c r="E342" s="14" t="s">
        <v>2686</v>
      </c>
      <c r="F342" s="17">
        <v>5000</v>
      </c>
      <c r="G342" s="14" t="s">
        <v>2676</v>
      </c>
      <c r="H342" s="14"/>
    </row>
    <row r="343" spans="1:8" ht="16">
      <c r="A343" s="14" t="s">
        <v>3020</v>
      </c>
      <c r="B343" s="14" t="s">
        <v>305</v>
      </c>
      <c r="C343" s="15">
        <v>46112</v>
      </c>
      <c r="D343" s="14" t="s">
        <v>2685</v>
      </c>
      <c r="E343" s="14" t="s">
        <v>2686</v>
      </c>
      <c r="F343" s="17">
        <v>5000</v>
      </c>
      <c r="G343" s="14" t="s">
        <v>2661</v>
      </c>
      <c r="H343" s="14"/>
    </row>
    <row r="344" spans="1:8" ht="16">
      <c r="A344" s="14" t="s">
        <v>3021</v>
      </c>
      <c r="B344" s="14" t="s">
        <v>46</v>
      </c>
      <c r="C344" s="15">
        <v>45955</v>
      </c>
      <c r="D344" s="14" t="s">
        <v>2665</v>
      </c>
      <c r="E344" s="14" t="s">
        <v>2666</v>
      </c>
      <c r="F344" s="17">
        <v>2500</v>
      </c>
      <c r="G344" s="14" t="s">
        <v>2661</v>
      </c>
      <c r="H344" s="14"/>
    </row>
    <row r="345" spans="1:8" ht="16">
      <c r="A345" s="14" t="s">
        <v>3022</v>
      </c>
      <c r="B345" s="14" t="s">
        <v>169</v>
      </c>
      <c r="C345" s="15">
        <v>46160</v>
      </c>
      <c r="D345" s="14" t="s">
        <v>2682</v>
      </c>
      <c r="E345" s="14" t="s">
        <v>2683</v>
      </c>
      <c r="F345" s="17">
        <v>6000</v>
      </c>
      <c r="G345" s="14" t="s">
        <v>2661</v>
      </c>
      <c r="H345" s="14"/>
    </row>
    <row r="346" spans="1:8" ht="16">
      <c r="A346" s="14" t="s">
        <v>3023</v>
      </c>
      <c r="B346" s="14" t="s">
        <v>201</v>
      </c>
      <c r="C346" s="15">
        <v>46224</v>
      </c>
      <c r="D346" s="14" t="s">
        <v>2668</v>
      </c>
      <c r="E346" s="14" t="s">
        <v>2669</v>
      </c>
      <c r="F346" s="17">
        <v>4000</v>
      </c>
      <c r="G346" s="14" t="s">
        <v>2661</v>
      </c>
      <c r="H346" s="14"/>
    </row>
    <row r="347" spans="1:8" ht="16">
      <c r="A347" s="14" t="s">
        <v>3024</v>
      </c>
      <c r="B347" s="14" t="s">
        <v>167</v>
      </c>
      <c r="C347" s="15">
        <v>46163</v>
      </c>
      <c r="D347" s="14" t="s">
        <v>2665</v>
      </c>
      <c r="E347" s="14" t="s">
        <v>2666</v>
      </c>
      <c r="F347" s="17">
        <v>2500</v>
      </c>
      <c r="G347" s="14" t="s">
        <v>2661</v>
      </c>
      <c r="H347" s="14"/>
    </row>
    <row r="348" spans="1:8" ht="16">
      <c r="A348" s="14" t="s">
        <v>3025</v>
      </c>
      <c r="B348" s="14" t="s">
        <v>80</v>
      </c>
      <c r="C348" s="15">
        <v>46051</v>
      </c>
      <c r="D348" s="14" t="s">
        <v>2682</v>
      </c>
      <c r="E348" s="14" t="s">
        <v>2683</v>
      </c>
      <c r="F348" s="17">
        <v>6000</v>
      </c>
      <c r="G348" s="14" t="s">
        <v>2676</v>
      </c>
      <c r="H348" s="14"/>
    </row>
    <row r="349" spans="1:8" ht="16">
      <c r="A349" s="14" t="s">
        <v>3026</v>
      </c>
      <c r="B349" s="14" t="s">
        <v>171</v>
      </c>
      <c r="C349" s="15">
        <v>46220</v>
      </c>
      <c r="D349" s="14" t="s">
        <v>2671</v>
      </c>
      <c r="E349" s="14" t="s">
        <v>2672</v>
      </c>
      <c r="F349" s="17">
        <v>3000</v>
      </c>
      <c r="G349" s="14" t="s">
        <v>2676</v>
      </c>
      <c r="H349" s="14"/>
    </row>
    <row r="350" spans="1:8" ht="16">
      <c r="A350" s="14" t="s">
        <v>3027</v>
      </c>
      <c r="B350" s="14" t="s">
        <v>155</v>
      </c>
      <c r="C350" s="15">
        <v>46235</v>
      </c>
      <c r="D350" s="14" t="s">
        <v>2663</v>
      </c>
      <c r="E350" s="14" t="s">
        <v>3630</v>
      </c>
      <c r="F350" s="17">
        <v>1500</v>
      </c>
      <c r="G350" s="14" t="s">
        <v>2661</v>
      </c>
      <c r="H350" s="14"/>
    </row>
    <row r="351" spans="1:8" ht="16">
      <c r="A351" s="14" t="s">
        <v>3028</v>
      </c>
      <c r="B351" s="14" t="s">
        <v>35</v>
      </c>
      <c r="C351" s="15">
        <v>46110</v>
      </c>
      <c r="D351" s="14" t="s">
        <v>2665</v>
      </c>
      <c r="E351" s="14" t="s">
        <v>2666</v>
      </c>
      <c r="F351" s="17">
        <v>2500</v>
      </c>
      <c r="G351" s="14" t="s">
        <v>2661</v>
      </c>
      <c r="H351" s="14"/>
    </row>
    <row r="352" spans="1:8" ht="16">
      <c r="A352" s="14" t="s">
        <v>3029</v>
      </c>
      <c r="B352" s="14" t="s">
        <v>193</v>
      </c>
      <c r="C352" s="15">
        <v>46076</v>
      </c>
      <c r="D352" s="14" t="s">
        <v>2674</v>
      </c>
      <c r="E352" s="14" t="s">
        <v>2675</v>
      </c>
      <c r="F352" s="17">
        <v>20000</v>
      </c>
      <c r="G352" s="14" t="s">
        <v>2676</v>
      </c>
      <c r="H352" s="14"/>
    </row>
    <row r="353" spans="1:8" ht="16">
      <c r="A353" s="14" t="s">
        <v>3030</v>
      </c>
      <c r="B353" s="14" t="s">
        <v>184</v>
      </c>
      <c r="C353" s="15">
        <v>46275</v>
      </c>
      <c r="D353" s="14" t="s">
        <v>2692</v>
      </c>
      <c r="E353" s="14" t="s">
        <v>2693</v>
      </c>
      <c r="F353" s="17">
        <v>10000</v>
      </c>
      <c r="G353" s="14" t="s">
        <v>2661</v>
      </c>
      <c r="H353" s="14"/>
    </row>
    <row r="354" spans="1:8" ht="16">
      <c r="A354" s="14" t="s">
        <v>3031</v>
      </c>
      <c r="B354" s="14" t="s">
        <v>245</v>
      </c>
      <c r="C354" s="15">
        <v>46124</v>
      </c>
      <c r="D354" s="14" t="s">
        <v>2688</v>
      </c>
      <c r="E354" s="14" t="s">
        <v>2689</v>
      </c>
      <c r="F354" s="17">
        <v>8000</v>
      </c>
      <c r="G354" s="14" t="s">
        <v>2676</v>
      </c>
      <c r="H354" s="14"/>
    </row>
    <row r="355" spans="1:8" ht="16">
      <c r="A355" s="14" t="s">
        <v>3032</v>
      </c>
      <c r="B355" s="14" t="s">
        <v>44</v>
      </c>
      <c r="C355" s="15">
        <v>46057</v>
      </c>
      <c r="D355" s="14" t="s">
        <v>2668</v>
      </c>
      <c r="E355" s="14" t="s">
        <v>2669</v>
      </c>
      <c r="F355" s="17">
        <v>4000</v>
      </c>
      <c r="G355" s="14" t="s">
        <v>2661</v>
      </c>
      <c r="H355" s="14"/>
    </row>
    <row r="356" spans="1:8" ht="16">
      <c r="A356" s="14" t="s">
        <v>3033</v>
      </c>
      <c r="B356" s="14" t="s">
        <v>8</v>
      </c>
      <c r="C356" s="15">
        <v>46098</v>
      </c>
      <c r="D356" s="14" t="s">
        <v>2659</v>
      </c>
      <c r="E356" s="14" t="s">
        <v>2660</v>
      </c>
      <c r="F356" s="17">
        <v>3500</v>
      </c>
      <c r="G356" s="14" t="s">
        <v>2676</v>
      </c>
      <c r="H356" s="14"/>
    </row>
    <row r="357" spans="1:8" ht="16">
      <c r="A357" s="14" t="s">
        <v>3034</v>
      </c>
      <c r="B357" s="14" t="s">
        <v>158</v>
      </c>
      <c r="C357" s="15">
        <v>46229</v>
      </c>
      <c r="D357" s="14" t="s">
        <v>2665</v>
      </c>
      <c r="E357" s="14" t="s">
        <v>2666</v>
      </c>
      <c r="F357" s="17">
        <v>2500</v>
      </c>
      <c r="G357" s="14" t="s">
        <v>2661</v>
      </c>
      <c r="H357" s="14"/>
    </row>
    <row r="358" spans="1:8" ht="16">
      <c r="A358" s="14" t="s">
        <v>3035</v>
      </c>
      <c r="B358" s="14" t="s">
        <v>141</v>
      </c>
      <c r="C358" s="15">
        <v>46115</v>
      </c>
      <c r="D358" s="14" t="s">
        <v>2663</v>
      </c>
      <c r="E358" s="14" t="s">
        <v>3630</v>
      </c>
      <c r="F358" s="17">
        <v>1500</v>
      </c>
      <c r="G358" s="14" t="s">
        <v>2661</v>
      </c>
      <c r="H358" s="14"/>
    </row>
    <row r="359" spans="1:8" ht="16">
      <c r="A359" s="14" t="s">
        <v>3036</v>
      </c>
      <c r="B359" s="14" t="s">
        <v>21</v>
      </c>
      <c r="C359" s="15">
        <v>45981</v>
      </c>
      <c r="D359" s="14" t="s">
        <v>2692</v>
      </c>
      <c r="E359" s="14" t="s">
        <v>2693</v>
      </c>
      <c r="F359" s="17">
        <v>10000</v>
      </c>
      <c r="G359" s="14" t="s">
        <v>2661</v>
      </c>
      <c r="H359" s="14"/>
    </row>
    <row r="360" spans="1:8" ht="16">
      <c r="A360" s="14" t="s">
        <v>3037</v>
      </c>
      <c r="B360" s="14" t="s">
        <v>222</v>
      </c>
      <c r="C360" s="15">
        <v>46148</v>
      </c>
      <c r="D360" s="14" t="s">
        <v>2692</v>
      </c>
      <c r="E360" s="14" t="s">
        <v>2693</v>
      </c>
      <c r="F360" s="17">
        <v>10000</v>
      </c>
      <c r="G360" s="14" t="s">
        <v>2661</v>
      </c>
      <c r="H360" s="14"/>
    </row>
    <row r="361" spans="1:8" ht="16">
      <c r="A361" s="14" t="s">
        <v>3038</v>
      </c>
      <c r="B361" s="14" t="s">
        <v>250</v>
      </c>
      <c r="C361" s="15">
        <v>45972</v>
      </c>
      <c r="D361" s="14" t="s">
        <v>2688</v>
      </c>
      <c r="E361" s="14" t="s">
        <v>2689</v>
      </c>
      <c r="F361" s="17">
        <v>8000</v>
      </c>
      <c r="G361" s="14" t="s">
        <v>2661</v>
      </c>
      <c r="H361" s="14"/>
    </row>
    <row r="362" spans="1:8" ht="16">
      <c r="A362" s="14" t="s">
        <v>3039</v>
      </c>
      <c r="B362" s="14" t="s">
        <v>125</v>
      </c>
      <c r="C362" s="15">
        <v>45962</v>
      </c>
      <c r="D362" s="14" t="s">
        <v>2682</v>
      </c>
      <c r="E362" s="14" t="s">
        <v>2683</v>
      </c>
      <c r="F362" s="17">
        <v>6000</v>
      </c>
      <c r="G362" s="14" t="s">
        <v>2661</v>
      </c>
      <c r="H362" s="14"/>
    </row>
    <row r="363" spans="1:8" ht="16">
      <c r="A363" s="14" t="s">
        <v>3040</v>
      </c>
      <c r="B363" s="14" t="s">
        <v>37</v>
      </c>
      <c r="C363" s="15">
        <v>45997</v>
      </c>
      <c r="D363" s="14" t="s">
        <v>2665</v>
      </c>
      <c r="E363" s="14" t="s">
        <v>2666</v>
      </c>
      <c r="F363" s="17">
        <v>2500</v>
      </c>
      <c r="G363" s="14" t="s">
        <v>2661</v>
      </c>
      <c r="H363" s="14"/>
    </row>
    <row r="364" spans="1:8" ht="16">
      <c r="A364" s="14" t="s">
        <v>3041</v>
      </c>
      <c r="B364" s="14" t="s">
        <v>90</v>
      </c>
      <c r="C364" s="15">
        <v>46040</v>
      </c>
      <c r="D364" s="14" t="s">
        <v>2685</v>
      </c>
      <c r="E364" s="14" t="s">
        <v>2686</v>
      </c>
      <c r="F364" s="17">
        <v>5000</v>
      </c>
      <c r="G364" s="14" t="s">
        <v>2661</v>
      </c>
      <c r="H364" s="14"/>
    </row>
    <row r="365" spans="1:8" ht="16">
      <c r="A365" s="14" t="s">
        <v>3042</v>
      </c>
      <c r="B365" s="14" t="s">
        <v>293</v>
      </c>
      <c r="C365" s="15">
        <v>45970</v>
      </c>
      <c r="D365" s="14" t="s">
        <v>2682</v>
      </c>
      <c r="E365" s="14" t="s">
        <v>2683</v>
      </c>
      <c r="F365" s="17">
        <v>6000</v>
      </c>
      <c r="G365" s="14" t="s">
        <v>2661</v>
      </c>
      <c r="H365" s="14"/>
    </row>
    <row r="366" spans="1:8" ht="16">
      <c r="A366" s="14" t="s">
        <v>3043</v>
      </c>
      <c r="B366" s="14" t="s">
        <v>170</v>
      </c>
      <c r="C366" s="15">
        <v>46277</v>
      </c>
      <c r="D366" s="14" t="s">
        <v>2663</v>
      </c>
      <c r="E366" s="14" t="s">
        <v>3630</v>
      </c>
      <c r="F366" s="17">
        <v>1500</v>
      </c>
      <c r="G366" s="14" t="s">
        <v>2676</v>
      </c>
      <c r="H366" s="14"/>
    </row>
    <row r="367" spans="1:8" ht="16">
      <c r="A367" s="14" t="s">
        <v>3044</v>
      </c>
      <c r="B367" s="14" t="s">
        <v>48</v>
      </c>
      <c r="C367" s="15">
        <v>46137</v>
      </c>
      <c r="D367" s="14" t="s">
        <v>2659</v>
      </c>
      <c r="E367" s="14" t="s">
        <v>2660</v>
      </c>
      <c r="F367" s="17">
        <v>3500</v>
      </c>
      <c r="G367" s="14" t="s">
        <v>2676</v>
      </c>
      <c r="H367" s="14"/>
    </row>
    <row r="368" spans="1:8" ht="16">
      <c r="A368" s="14" t="s">
        <v>3045</v>
      </c>
      <c r="B368" s="14" t="s">
        <v>282</v>
      </c>
      <c r="C368" s="15">
        <v>46217</v>
      </c>
      <c r="D368" s="14" t="s">
        <v>2659</v>
      </c>
      <c r="E368" s="14" t="s">
        <v>2660</v>
      </c>
      <c r="F368" s="17">
        <v>3500</v>
      </c>
      <c r="G368" s="14" t="s">
        <v>2676</v>
      </c>
      <c r="H368" s="14"/>
    </row>
    <row r="369" spans="1:8" ht="16">
      <c r="A369" s="14" t="s">
        <v>3046</v>
      </c>
      <c r="B369" s="14" t="s">
        <v>162</v>
      </c>
      <c r="C369" s="15">
        <v>46133</v>
      </c>
      <c r="D369" s="14" t="s">
        <v>2682</v>
      </c>
      <c r="E369" s="14" t="s">
        <v>2683</v>
      </c>
      <c r="F369" s="17">
        <v>6000</v>
      </c>
      <c r="G369" s="14" t="s">
        <v>2661</v>
      </c>
      <c r="H369" s="14"/>
    </row>
    <row r="370" spans="1:8" ht="16">
      <c r="A370" s="14" t="s">
        <v>3047</v>
      </c>
      <c r="B370" s="14" t="s">
        <v>10</v>
      </c>
      <c r="C370" s="15">
        <v>46230</v>
      </c>
      <c r="D370" s="14" t="s">
        <v>2659</v>
      </c>
      <c r="E370" s="14" t="s">
        <v>2660</v>
      </c>
      <c r="F370" s="17">
        <v>3500</v>
      </c>
      <c r="G370" s="14" t="s">
        <v>2661</v>
      </c>
      <c r="H370" s="14"/>
    </row>
    <row r="371" spans="1:8" ht="16">
      <c r="A371" s="14" t="s">
        <v>3048</v>
      </c>
      <c r="B371" s="14" t="s">
        <v>96</v>
      </c>
      <c r="C371" s="15">
        <v>46256</v>
      </c>
      <c r="D371" s="14" t="s">
        <v>2659</v>
      </c>
      <c r="E371" s="14" t="s">
        <v>2660</v>
      </c>
      <c r="F371" s="17">
        <v>3500</v>
      </c>
      <c r="G371" s="14" t="s">
        <v>2661</v>
      </c>
      <c r="H371" s="14"/>
    </row>
    <row r="372" spans="1:8" ht="16">
      <c r="A372" s="14" t="s">
        <v>3049</v>
      </c>
      <c r="B372" s="14" t="s">
        <v>13</v>
      </c>
      <c r="C372" s="15">
        <v>46156</v>
      </c>
      <c r="D372" s="14" t="s">
        <v>2665</v>
      </c>
      <c r="E372" s="14" t="s">
        <v>2666</v>
      </c>
      <c r="F372" s="17">
        <v>2500</v>
      </c>
      <c r="G372" s="14" t="s">
        <v>2661</v>
      </c>
      <c r="H372" s="14"/>
    </row>
    <row r="373" spans="1:8" ht="16">
      <c r="A373" s="14" t="s">
        <v>3050</v>
      </c>
      <c r="B373" s="14" t="s">
        <v>143</v>
      </c>
      <c r="C373" s="15">
        <v>46144</v>
      </c>
      <c r="D373" s="14" t="s">
        <v>2663</v>
      </c>
      <c r="E373" s="14" t="s">
        <v>3630</v>
      </c>
      <c r="F373" s="17">
        <v>1500</v>
      </c>
      <c r="G373" s="14" t="s">
        <v>2661</v>
      </c>
      <c r="H373" s="14"/>
    </row>
    <row r="374" spans="1:8" ht="16">
      <c r="A374" s="14" t="s">
        <v>3051</v>
      </c>
      <c r="B374" s="14" t="s">
        <v>101</v>
      </c>
      <c r="C374" s="15">
        <v>46004</v>
      </c>
      <c r="D374" s="14" t="s">
        <v>2671</v>
      </c>
      <c r="E374" s="14" t="s">
        <v>2672</v>
      </c>
      <c r="F374" s="17">
        <v>3000</v>
      </c>
      <c r="G374" s="14" t="s">
        <v>2676</v>
      </c>
      <c r="H374" s="14"/>
    </row>
    <row r="375" spans="1:8" ht="16">
      <c r="A375" s="14" t="s">
        <v>3052</v>
      </c>
      <c r="B375" s="14" t="s">
        <v>41</v>
      </c>
      <c r="C375" s="15">
        <v>45996</v>
      </c>
      <c r="D375" s="14" t="s">
        <v>2674</v>
      </c>
      <c r="E375" s="14" t="s">
        <v>2675</v>
      </c>
      <c r="F375" s="17">
        <v>20000</v>
      </c>
      <c r="G375" s="14" t="s">
        <v>2661</v>
      </c>
      <c r="H375" s="14"/>
    </row>
    <row r="376" spans="1:8" ht="16">
      <c r="A376" s="14" t="s">
        <v>3053</v>
      </c>
      <c r="B376" s="14" t="s">
        <v>135</v>
      </c>
      <c r="C376" s="15">
        <v>46165</v>
      </c>
      <c r="D376" s="14" t="s">
        <v>2692</v>
      </c>
      <c r="E376" s="14" t="s">
        <v>2693</v>
      </c>
      <c r="F376" s="17">
        <v>10000</v>
      </c>
      <c r="G376" s="14" t="s">
        <v>2661</v>
      </c>
      <c r="H376" s="14"/>
    </row>
    <row r="377" spans="1:8" ht="16">
      <c r="A377" s="14" t="s">
        <v>3054</v>
      </c>
      <c r="B377" s="14" t="s">
        <v>210</v>
      </c>
      <c r="C377" s="15">
        <v>46291</v>
      </c>
      <c r="D377" s="14" t="s">
        <v>2685</v>
      </c>
      <c r="E377" s="14" t="s">
        <v>2686</v>
      </c>
      <c r="F377" s="17">
        <v>5000</v>
      </c>
      <c r="G377" s="14" t="s">
        <v>2676</v>
      </c>
      <c r="H377" s="14"/>
    </row>
    <row r="378" spans="1:8" ht="16">
      <c r="A378" s="14" t="s">
        <v>3055</v>
      </c>
      <c r="B378" s="14" t="s">
        <v>237</v>
      </c>
      <c r="C378" s="15">
        <v>46201</v>
      </c>
      <c r="D378" s="14" t="s">
        <v>2659</v>
      </c>
      <c r="E378" s="14" t="s">
        <v>2660</v>
      </c>
      <c r="F378" s="17">
        <v>3500</v>
      </c>
      <c r="G378" s="14" t="s">
        <v>2661</v>
      </c>
      <c r="H378" s="14"/>
    </row>
    <row r="379" spans="1:8" ht="16">
      <c r="A379" s="14" t="s">
        <v>3056</v>
      </c>
      <c r="B379" s="14" t="s">
        <v>97</v>
      </c>
      <c r="C379" s="15">
        <v>46286</v>
      </c>
      <c r="D379" s="14" t="s">
        <v>2674</v>
      </c>
      <c r="E379" s="14" t="s">
        <v>2675</v>
      </c>
      <c r="F379" s="17">
        <v>20000</v>
      </c>
      <c r="G379" s="14" t="s">
        <v>2661</v>
      </c>
      <c r="H379" s="14"/>
    </row>
    <row r="380" spans="1:8" ht="16">
      <c r="A380" s="14" t="s">
        <v>3057</v>
      </c>
      <c r="B380" s="14" t="s">
        <v>251</v>
      </c>
      <c r="C380" s="15">
        <v>46164</v>
      </c>
      <c r="D380" s="14" t="s">
        <v>2685</v>
      </c>
      <c r="E380" s="14" t="s">
        <v>2686</v>
      </c>
      <c r="F380" s="17">
        <v>5000</v>
      </c>
      <c r="G380" s="14" t="s">
        <v>2661</v>
      </c>
      <c r="H380" s="14"/>
    </row>
    <row r="381" spans="1:8" ht="16">
      <c r="A381" s="14" t="s">
        <v>3058</v>
      </c>
      <c r="B381" s="14" t="s">
        <v>192</v>
      </c>
      <c r="C381" s="15">
        <v>45947</v>
      </c>
      <c r="D381" s="14" t="s">
        <v>2692</v>
      </c>
      <c r="E381" s="14" t="s">
        <v>2693</v>
      </c>
      <c r="F381" s="17">
        <v>10000</v>
      </c>
      <c r="G381" s="14" t="s">
        <v>2661</v>
      </c>
      <c r="H381" s="14"/>
    </row>
    <row r="382" spans="1:8" ht="16">
      <c r="A382" s="14" t="s">
        <v>3059</v>
      </c>
      <c r="B382" s="14" t="s">
        <v>277</v>
      </c>
      <c r="C382" s="15">
        <v>46217</v>
      </c>
      <c r="D382" s="14" t="s">
        <v>2659</v>
      </c>
      <c r="E382" s="14" t="s">
        <v>2660</v>
      </c>
      <c r="F382" s="17">
        <v>3500</v>
      </c>
      <c r="G382" s="14" t="s">
        <v>2661</v>
      </c>
      <c r="H382" s="14"/>
    </row>
    <row r="383" spans="1:8" ht="16">
      <c r="A383" s="14" t="s">
        <v>3060</v>
      </c>
      <c r="B383" s="14" t="s">
        <v>273</v>
      </c>
      <c r="C383" s="15">
        <v>45991</v>
      </c>
      <c r="D383" s="14" t="s">
        <v>2685</v>
      </c>
      <c r="E383" s="14" t="s">
        <v>2686</v>
      </c>
      <c r="F383" s="17">
        <v>5000</v>
      </c>
      <c r="G383" s="14" t="s">
        <v>2676</v>
      </c>
      <c r="H383" s="14"/>
    </row>
    <row r="384" spans="1:8" ht="16">
      <c r="A384" s="14" t="s">
        <v>3061</v>
      </c>
      <c r="B384" s="14" t="s">
        <v>257</v>
      </c>
      <c r="C384" s="15">
        <v>46140</v>
      </c>
      <c r="D384" s="14" t="s">
        <v>2674</v>
      </c>
      <c r="E384" s="14" t="s">
        <v>2675</v>
      </c>
      <c r="F384" s="17">
        <v>20000</v>
      </c>
      <c r="G384" s="14" t="s">
        <v>2661</v>
      </c>
      <c r="H384" s="14"/>
    </row>
    <row r="385" spans="1:8" ht="16">
      <c r="A385" s="14" t="s">
        <v>3062</v>
      </c>
      <c r="B385" s="14" t="s">
        <v>192</v>
      </c>
      <c r="C385" s="15">
        <v>45992</v>
      </c>
      <c r="D385" s="14" t="s">
        <v>2659</v>
      </c>
      <c r="E385" s="14" t="s">
        <v>2660</v>
      </c>
      <c r="F385" s="17">
        <v>3500</v>
      </c>
      <c r="G385" s="14" t="s">
        <v>2661</v>
      </c>
      <c r="H385" s="14"/>
    </row>
    <row r="386" spans="1:8" ht="16">
      <c r="A386" s="14" t="s">
        <v>3063</v>
      </c>
      <c r="B386" s="14" t="s">
        <v>66</v>
      </c>
      <c r="C386" s="15">
        <v>46223</v>
      </c>
      <c r="D386" s="14" t="s">
        <v>2682</v>
      </c>
      <c r="E386" s="14" t="s">
        <v>2683</v>
      </c>
      <c r="F386" s="17">
        <v>6000</v>
      </c>
      <c r="G386" s="14" t="s">
        <v>2661</v>
      </c>
      <c r="H386" s="14"/>
    </row>
    <row r="387" spans="1:8" ht="16">
      <c r="A387" s="14" t="s">
        <v>3064</v>
      </c>
      <c r="B387" s="14" t="s">
        <v>223</v>
      </c>
      <c r="C387" s="15">
        <v>45951</v>
      </c>
      <c r="D387" s="14" t="s">
        <v>2674</v>
      </c>
      <c r="E387" s="14" t="s">
        <v>2675</v>
      </c>
      <c r="F387" s="17">
        <v>20000</v>
      </c>
      <c r="G387" s="14" t="s">
        <v>2676</v>
      </c>
      <c r="H387" s="14"/>
    </row>
    <row r="388" spans="1:8" ht="16">
      <c r="A388" s="14" t="s">
        <v>3065</v>
      </c>
      <c r="B388" s="14" t="s">
        <v>91</v>
      </c>
      <c r="C388" s="15">
        <v>46009</v>
      </c>
      <c r="D388" s="14" t="s">
        <v>2659</v>
      </c>
      <c r="E388" s="14" t="s">
        <v>2660</v>
      </c>
      <c r="F388" s="17">
        <v>3500</v>
      </c>
      <c r="G388" s="14" t="s">
        <v>2661</v>
      </c>
      <c r="H388" s="14"/>
    </row>
    <row r="389" spans="1:8" ht="16">
      <c r="A389" s="14" t="s">
        <v>3066</v>
      </c>
      <c r="B389" s="14" t="s">
        <v>240</v>
      </c>
      <c r="C389" s="15">
        <v>46121</v>
      </c>
      <c r="D389" s="14" t="s">
        <v>2685</v>
      </c>
      <c r="E389" s="14" t="s">
        <v>2686</v>
      </c>
      <c r="F389" s="17">
        <v>5000</v>
      </c>
      <c r="G389" s="14" t="s">
        <v>2661</v>
      </c>
      <c r="H389" s="14"/>
    </row>
    <row r="390" spans="1:8" ht="16">
      <c r="A390" s="14" t="s">
        <v>3067</v>
      </c>
      <c r="B390" s="14" t="s">
        <v>237</v>
      </c>
      <c r="C390" s="15">
        <v>46122</v>
      </c>
      <c r="D390" s="14" t="s">
        <v>2668</v>
      </c>
      <c r="E390" s="14" t="s">
        <v>2669</v>
      </c>
      <c r="F390" s="17">
        <v>4000</v>
      </c>
      <c r="G390" s="14" t="s">
        <v>2661</v>
      </c>
      <c r="H390" s="14"/>
    </row>
    <row r="391" spans="1:8" ht="16">
      <c r="A391" s="14" t="s">
        <v>3068</v>
      </c>
      <c r="B391" s="14" t="s">
        <v>43</v>
      </c>
      <c r="C391" s="15">
        <v>46081</v>
      </c>
      <c r="D391" s="14" t="s">
        <v>2674</v>
      </c>
      <c r="E391" s="14" t="s">
        <v>2675</v>
      </c>
      <c r="F391" s="17">
        <v>20000</v>
      </c>
      <c r="G391" s="14" t="s">
        <v>2661</v>
      </c>
      <c r="H391" s="14"/>
    </row>
    <row r="392" spans="1:8" ht="16">
      <c r="A392" s="14" t="s">
        <v>3069</v>
      </c>
      <c r="B392" s="14" t="s">
        <v>46</v>
      </c>
      <c r="C392" s="15">
        <v>45945</v>
      </c>
      <c r="D392" s="14" t="s">
        <v>2668</v>
      </c>
      <c r="E392" s="14" t="s">
        <v>2669</v>
      </c>
      <c r="F392" s="17">
        <v>4000</v>
      </c>
      <c r="G392" s="14" t="s">
        <v>2661</v>
      </c>
      <c r="H392" s="14"/>
    </row>
    <row r="393" spans="1:8" ht="16">
      <c r="A393" s="14" t="s">
        <v>3070</v>
      </c>
      <c r="B393" s="14" t="s">
        <v>150</v>
      </c>
      <c r="C393" s="15">
        <v>46003</v>
      </c>
      <c r="D393" s="14" t="s">
        <v>2671</v>
      </c>
      <c r="E393" s="14" t="s">
        <v>2672</v>
      </c>
      <c r="F393" s="17">
        <v>3000</v>
      </c>
      <c r="G393" s="14" t="s">
        <v>2676</v>
      </c>
      <c r="H393" s="14"/>
    </row>
    <row r="394" spans="1:8" ht="16">
      <c r="A394" s="14" t="s">
        <v>3071</v>
      </c>
      <c r="B394" s="14" t="s">
        <v>78</v>
      </c>
      <c r="C394" s="15">
        <v>46146</v>
      </c>
      <c r="D394" s="14" t="s">
        <v>2668</v>
      </c>
      <c r="E394" s="14" t="s">
        <v>2669</v>
      </c>
      <c r="F394" s="17">
        <v>4000</v>
      </c>
      <c r="G394" s="14" t="s">
        <v>2661</v>
      </c>
      <c r="H394" s="14"/>
    </row>
    <row r="395" spans="1:8" ht="16">
      <c r="A395" s="14" t="s">
        <v>3072</v>
      </c>
      <c r="B395" s="14" t="s">
        <v>124</v>
      </c>
      <c r="C395" s="15">
        <v>46087</v>
      </c>
      <c r="D395" s="14" t="s">
        <v>2685</v>
      </c>
      <c r="E395" s="14" t="s">
        <v>2686</v>
      </c>
      <c r="F395" s="17">
        <v>5000</v>
      </c>
      <c r="G395" s="14" t="s">
        <v>2661</v>
      </c>
      <c r="H395" s="14"/>
    </row>
    <row r="396" spans="1:8" ht="16">
      <c r="A396" s="14" t="s">
        <v>3073</v>
      </c>
      <c r="B396" s="14" t="s">
        <v>203</v>
      </c>
      <c r="C396" s="15">
        <v>46041</v>
      </c>
      <c r="D396" s="14" t="s">
        <v>2682</v>
      </c>
      <c r="E396" s="14" t="s">
        <v>2683</v>
      </c>
      <c r="F396" s="17">
        <v>6000</v>
      </c>
      <c r="G396" s="14" t="s">
        <v>2661</v>
      </c>
      <c r="H396" s="14"/>
    </row>
    <row r="397" spans="1:8" ht="16">
      <c r="A397" s="14" t="s">
        <v>3074</v>
      </c>
      <c r="B397" s="14" t="s">
        <v>163</v>
      </c>
      <c r="C397" s="15">
        <v>46181</v>
      </c>
      <c r="D397" s="14" t="s">
        <v>2663</v>
      </c>
      <c r="E397" s="14" t="s">
        <v>3630</v>
      </c>
      <c r="F397" s="17">
        <v>1500</v>
      </c>
      <c r="G397" s="14" t="s">
        <v>2661</v>
      </c>
      <c r="H397" s="14"/>
    </row>
    <row r="398" spans="1:8" ht="16">
      <c r="A398" s="14" t="s">
        <v>3075</v>
      </c>
      <c r="B398" s="14" t="s">
        <v>299</v>
      </c>
      <c r="C398" s="15">
        <v>45993</v>
      </c>
      <c r="D398" s="14" t="s">
        <v>2685</v>
      </c>
      <c r="E398" s="14" t="s">
        <v>2686</v>
      </c>
      <c r="F398" s="17">
        <v>5000</v>
      </c>
      <c r="G398" s="14" t="s">
        <v>2676</v>
      </c>
      <c r="H398" s="14"/>
    </row>
    <row r="399" spans="1:8" ht="16">
      <c r="A399" s="14" t="s">
        <v>3076</v>
      </c>
      <c r="B399" s="14" t="s">
        <v>307</v>
      </c>
      <c r="C399" s="15">
        <v>46109</v>
      </c>
      <c r="D399" s="14" t="s">
        <v>2659</v>
      </c>
      <c r="E399" s="14" t="s">
        <v>2660</v>
      </c>
      <c r="F399" s="17">
        <v>3500</v>
      </c>
      <c r="G399" s="14" t="s">
        <v>2661</v>
      </c>
      <c r="H399" s="14"/>
    </row>
    <row r="400" spans="1:8" ht="16">
      <c r="A400" s="14" t="s">
        <v>3077</v>
      </c>
      <c r="B400" s="14" t="s">
        <v>246</v>
      </c>
      <c r="C400" s="15">
        <v>45953</v>
      </c>
      <c r="D400" s="14" t="s">
        <v>2674</v>
      </c>
      <c r="E400" s="14" t="s">
        <v>2675</v>
      </c>
      <c r="F400" s="17">
        <v>20000</v>
      </c>
      <c r="G400" s="14" t="s">
        <v>2661</v>
      </c>
      <c r="H400" s="14"/>
    </row>
    <row r="401" spans="1:8" ht="16">
      <c r="A401" s="14" t="s">
        <v>3078</v>
      </c>
      <c r="B401" s="14" t="s">
        <v>53</v>
      </c>
      <c r="C401" s="15">
        <v>46177</v>
      </c>
      <c r="D401" s="14" t="s">
        <v>2688</v>
      </c>
      <c r="E401" s="14" t="s">
        <v>2689</v>
      </c>
      <c r="F401" s="17">
        <v>8000</v>
      </c>
      <c r="G401" s="14" t="s">
        <v>2676</v>
      </c>
      <c r="H401" s="14"/>
    </row>
    <row r="402" spans="1:8" ht="16">
      <c r="A402" s="14" t="s">
        <v>3079</v>
      </c>
      <c r="B402" s="14" t="s">
        <v>25</v>
      </c>
      <c r="C402" s="15">
        <v>46089</v>
      </c>
      <c r="D402" s="14" t="s">
        <v>2671</v>
      </c>
      <c r="E402" s="14" t="s">
        <v>2672</v>
      </c>
      <c r="F402" s="17">
        <v>3000</v>
      </c>
      <c r="G402" s="14" t="s">
        <v>2676</v>
      </c>
      <c r="H402" s="14"/>
    </row>
    <row r="403" spans="1:8" ht="16">
      <c r="A403" s="14" t="s">
        <v>3080</v>
      </c>
      <c r="B403" s="14" t="s">
        <v>208</v>
      </c>
      <c r="C403" s="15">
        <v>46162</v>
      </c>
      <c r="D403" s="14" t="s">
        <v>2668</v>
      </c>
      <c r="E403" s="14" t="s">
        <v>2669</v>
      </c>
      <c r="F403" s="17">
        <v>4000</v>
      </c>
      <c r="G403" s="14" t="s">
        <v>2661</v>
      </c>
      <c r="H403" s="14"/>
    </row>
    <row r="404" spans="1:8" ht="16">
      <c r="A404" s="14" t="s">
        <v>3081</v>
      </c>
      <c r="B404" s="14" t="s">
        <v>286</v>
      </c>
      <c r="C404" s="15">
        <v>46124</v>
      </c>
      <c r="D404" s="14" t="s">
        <v>2692</v>
      </c>
      <c r="E404" s="14" t="s">
        <v>2693</v>
      </c>
      <c r="F404" s="17">
        <v>10000</v>
      </c>
      <c r="G404" s="14" t="s">
        <v>2661</v>
      </c>
      <c r="H404" s="14"/>
    </row>
    <row r="405" spans="1:8" ht="16">
      <c r="A405" s="14" t="s">
        <v>3082</v>
      </c>
      <c r="B405" s="14" t="s">
        <v>73</v>
      </c>
      <c r="C405" s="15">
        <v>46241</v>
      </c>
      <c r="D405" s="14" t="s">
        <v>2665</v>
      </c>
      <c r="E405" s="14" t="s">
        <v>2666</v>
      </c>
      <c r="F405" s="17">
        <v>2500</v>
      </c>
      <c r="G405" s="14" t="s">
        <v>2661</v>
      </c>
      <c r="H405" s="14"/>
    </row>
    <row r="406" spans="1:8" ht="16">
      <c r="A406" s="14" t="s">
        <v>3083</v>
      </c>
      <c r="B406" s="14" t="s">
        <v>278</v>
      </c>
      <c r="C406" s="15">
        <v>46001</v>
      </c>
      <c r="D406" s="14" t="s">
        <v>2671</v>
      </c>
      <c r="E406" s="14" t="s">
        <v>2672</v>
      </c>
      <c r="F406" s="17">
        <v>3000</v>
      </c>
      <c r="G406" s="14" t="s">
        <v>2676</v>
      </c>
      <c r="H406" s="14"/>
    </row>
    <row r="407" spans="1:8" ht="16">
      <c r="A407" s="14" t="s">
        <v>3084</v>
      </c>
      <c r="B407" s="14" t="s">
        <v>219</v>
      </c>
      <c r="C407" s="15">
        <v>46256</v>
      </c>
      <c r="D407" s="14" t="s">
        <v>2685</v>
      </c>
      <c r="E407" s="14" t="s">
        <v>2686</v>
      </c>
      <c r="F407" s="17">
        <v>5000</v>
      </c>
      <c r="G407" s="14" t="s">
        <v>2661</v>
      </c>
      <c r="H407" s="14"/>
    </row>
    <row r="408" spans="1:8" ht="16">
      <c r="A408" s="14" t="s">
        <v>3085</v>
      </c>
      <c r="B408" s="14" t="s">
        <v>249</v>
      </c>
      <c r="C408" s="15">
        <v>46161</v>
      </c>
      <c r="D408" s="14" t="s">
        <v>2674</v>
      </c>
      <c r="E408" s="14" t="s">
        <v>2675</v>
      </c>
      <c r="F408" s="17">
        <v>20000</v>
      </c>
      <c r="G408" s="14" t="s">
        <v>2661</v>
      </c>
      <c r="H408" s="14"/>
    </row>
    <row r="409" spans="1:8" ht="16">
      <c r="A409" s="14" t="s">
        <v>3086</v>
      </c>
      <c r="B409" s="14" t="s">
        <v>93</v>
      </c>
      <c r="C409" s="15">
        <v>46007</v>
      </c>
      <c r="D409" s="14" t="s">
        <v>2663</v>
      </c>
      <c r="E409" s="14" t="s">
        <v>3630</v>
      </c>
      <c r="F409" s="17">
        <v>1500</v>
      </c>
      <c r="G409" s="14" t="s">
        <v>2661</v>
      </c>
      <c r="H409" s="14"/>
    </row>
    <row r="410" spans="1:8" ht="16">
      <c r="A410" s="14" t="s">
        <v>3087</v>
      </c>
      <c r="B410" s="14" t="s">
        <v>18</v>
      </c>
      <c r="C410" s="15">
        <v>45976</v>
      </c>
      <c r="D410" s="14" t="s">
        <v>2659</v>
      </c>
      <c r="E410" s="14" t="s">
        <v>2660</v>
      </c>
      <c r="F410" s="17">
        <v>3500</v>
      </c>
      <c r="G410" s="14" t="s">
        <v>2676</v>
      </c>
      <c r="H410" s="14"/>
    </row>
    <row r="411" spans="1:8" ht="16">
      <c r="A411" s="14" t="s">
        <v>3088</v>
      </c>
      <c r="B411" s="14" t="s">
        <v>81</v>
      </c>
      <c r="C411" s="15">
        <v>46271</v>
      </c>
      <c r="D411" s="14" t="s">
        <v>2663</v>
      </c>
      <c r="E411" s="14" t="s">
        <v>3630</v>
      </c>
      <c r="F411" s="17">
        <v>1500</v>
      </c>
      <c r="G411" s="14" t="s">
        <v>2676</v>
      </c>
      <c r="H411" s="14"/>
    </row>
    <row r="412" spans="1:8" ht="16">
      <c r="A412" s="14" t="s">
        <v>3089</v>
      </c>
      <c r="B412" s="14" t="s">
        <v>108</v>
      </c>
      <c r="C412" s="15">
        <v>46140</v>
      </c>
      <c r="D412" s="14" t="s">
        <v>2659</v>
      </c>
      <c r="E412" s="14" t="s">
        <v>2660</v>
      </c>
      <c r="F412" s="17">
        <v>3500</v>
      </c>
      <c r="G412" s="14" t="s">
        <v>2661</v>
      </c>
      <c r="H412" s="14"/>
    </row>
    <row r="413" spans="1:8" ht="16">
      <c r="A413" s="14" t="s">
        <v>3090</v>
      </c>
      <c r="B413" s="14" t="s">
        <v>307</v>
      </c>
      <c r="C413" s="15">
        <v>46050</v>
      </c>
      <c r="D413" s="14" t="s">
        <v>2671</v>
      </c>
      <c r="E413" s="14" t="s">
        <v>2672</v>
      </c>
      <c r="F413" s="17">
        <v>3000</v>
      </c>
      <c r="G413" s="14" t="s">
        <v>2661</v>
      </c>
      <c r="H413" s="14"/>
    </row>
    <row r="414" spans="1:8" ht="16">
      <c r="A414" s="14" t="s">
        <v>3091</v>
      </c>
      <c r="B414" s="14" t="s">
        <v>116</v>
      </c>
      <c r="C414" s="15">
        <v>46104</v>
      </c>
      <c r="D414" s="14" t="s">
        <v>2688</v>
      </c>
      <c r="E414" s="14" t="s">
        <v>2689</v>
      </c>
      <c r="F414" s="17">
        <v>8000</v>
      </c>
      <c r="G414" s="14" t="s">
        <v>2676</v>
      </c>
      <c r="H414" s="14"/>
    </row>
    <row r="415" spans="1:8" ht="16">
      <c r="A415" s="14" t="s">
        <v>3092</v>
      </c>
      <c r="B415" s="14" t="s">
        <v>42</v>
      </c>
      <c r="C415" s="15">
        <v>45954</v>
      </c>
      <c r="D415" s="14" t="s">
        <v>2671</v>
      </c>
      <c r="E415" s="14" t="s">
        <v>2672</v>
      </c>
      <c r="F415" s="17">
        <v>3000</v>
      </c>
      <c r="G415" s="14" t="s">
        <v>2661</v>
      </c>
      <c r="H415" s="14"/>
    </row>
    <row r="416" spans="1:8" ht="16">
      <c r="A416" s="14" t="s">
        <v>3093</v>
      </c>
      <c r="B416" s="14" t="s">
        <v>278</v>
      </c>
      <c r="C416" s="15">
        <v>46073</v>
      </c>
      <c r="D416" s="14" t="s">
        <v>2668</v>
      </c>
      <c r="E416" s="14" t="s">
        <v>2669</v>
      </c>
      <c r="F416" s="17">
        <v>4000</v>
      </c>
      <c r="G416" s="14" t="s">
        <v>2661</v>
      </c>
      <c r="H416" s="14"/>
    </row>
    <row r="417" spans="1:8" ht="16">
      <c r="A417" s="14" t="s">
        <v>3094</v>
      </c>
      <c r="B417" s="14" t="s">
        <v>103</v>
      </c>
      <c r="C417" s="15">
        <v>46015</v>
      </c>
      <c r="D417" s="14" t="s">
        <v>2665</v>
      </c>
      <c r="E417" s="14" t="s">
        <v>2666</v>
      </c>
      <c r="F417" s="17">
        <v>2500</v>
      </c>
      <c r="G417" s="14" t="s">
        <v>2661</v>
      </c>
      <c r="H417" s="14"/>
    </row>
    <row r="418" spans="1:8" ht="16">
      <c r="A418" s="14" t="s">
        <v>3095</v>
      </c>
      <c r="B418" s="14" t="s">
        <v>218</v>
      </c>
      <c r="C418" s="15">
        <v>46223</v>
      </c>
      <c r="D418" s="14" t="s">
        <v>2668</v>
      </c>
      <c r="E418" s="14" t="s">
        <v>2669</v>
      </c>
      <c r="F418" s="17">
        <v>4000</v>
      </c>
      <c r="G418" s="14" t="s">
        <v>2661</v>
      </c>
      <c r="H418" s="14"/>
    </row>
    <row r="419" spans="1:8" ht="16">
      <c r="A419" s="14" t="s">
        <v>3096</v>
      </c>
      <c r="B419" s="14" t="s">
        <v>287</v>
      </c>
      <c r="C419" s="15">
        <v>46218</v>
      </c>
      <c r="D419" s="14" t="s">
        <v>2688</v>
      </c>
      <c r="E419" s="14" t="s">
        <v>2689</v>
      </c>
      <c r="F419" s="17">
        <v>8000</v>
      </c>
      <c r="G419" s="14" t="s">
        <v>2661</v>
      </c>
      <c r="H419" s="14"/>
    </row>
    <row r="420" spans="1:8" ht="16">
      <c r="A420" s="14" t="s">
        <v>3097</v>
      </c>
      <c r="B420" s="14" t="s">
        <v>143</v>
      </c>
      <c r="C420" s="15">
        <v>46260</v>
      </c>
      <c r="D420" s="14" t="s">
        <v>2688</v>
      </c>
      <c r="E420" s="14" t="s">
        <v>2689</v>
      </c>
      <c r="F420" s="17">
        <v>8000</v>
      </c>
      <c r="G420" s="14" t="s">
        <v>2676</v>
      </c>
      <c r="H420" s="14"/>
    </row>
    <row r="421" spans="1:8" ht="16">
      <c r="A421" s="14" t="s">
        <v>3098</v>
      </c>
      <c r="B421" s="14" t="s">
        <v>204</v>
      </c>
      <c r="C421" s="15">
        <v>45974</v>
      </c>
      <c r="D421" s="14" t="s">
        <v>2674</v>
      </c>
      <c r="E421" s="14" t="s">
        <v>2675</v>
      </c>
      <c r="F421" s="17">
        <v>20000</v>
      </c>
      <c r="G421" s="14" t="s">
        <v>2661</v>
      </c>
      <c r="H421" s="14"/>
    </row>
    <row r="422" spans="1:8" ht="16">
      <c r="A422" s="14" t="s">
        <v>3099</v>
      </c>
      <c r="B422" s="14" t="s">
        <v>81</v>
      </c>
      <c r="C422" s="15">
        <v>46247</v>
      </c>
      <c r="D422" s="14" t="s">
        <v>2668</v>
      </c>
      <c r="E422" s="14" t="s">
        <v>2669</v>
      </c>
      <c r="F422" s="17">
        <v>4000</v>
      </c>
      <c r="G422" s="14" t="s">
        <v>2676</v>
      </c>
      <c r="H422" s="14"/>
    </row>
    <row r="423" spans="1:8" ht="16">
      <c r="A423" s="14" t="s">
        <v>3100</v>
      </c>
      <c r="B423" s="14" t="s">
        <v>212</v>
      </c>
      <c r="C423" s="15">
        <v>46226</v>
      </c>
      <c r="D423" s="14" t="s">
        <v>2665</v>
      </c>
      <c r="E423" s="14" t="s">
        <v>2666</v>
      </c>
      <c r="F423" s="17">
        <v>2500</v>
      </c>
      <c r="G423" s="14" t="s">
        <v>2661</v>
      </c>
      <c r="H423" s="14"/>
    </row>
    <row r="424" spans="1:8" ht="16">
      <c r="A424" s="14" t="s">
        <v>3101</v>
      </c>
      <c r="B424" s="14" t="s">
        <v>232</v>
      </c>
      <c r="C424" s="15">
        <v>46222</v>
      </c>
      <c r="D424" s="14" t="s">
        <v>2688</v>
      </c>
      <c r="E424" s="14" t="s">
        <v>2689</v>
      </c>
      <c r="F424" s="17">
        <v>8000</v>
      </c>
      <c r="G424" s="14" t="s">
        <v>2676</v>
      </c>
      <c r="H424" s="14"/>
    </row>
    <row r="425" spans="1:8" ht="16">
      <c r="A425" s="14" t="s">
        <v>3102</v>
      </c>
      <c r="B425" s="14" t="s">
        <v>277</v>
      </c>
      <c r="C425" s="15">
        <v>46027</v>
      </c>
      <c r="D425" s="14" t="s">
        <v>2692</v>
      </c>
      <c r="E425" s="14" t="s">
        <v>2693</v>
      </c>
      <c r="F425" s="17">
        <v>10000</v>
      </c>
      <c r="G425" s="14" t="s">
        <v>2661</v>
      </c>
      <c r="H425" s="14"/>
    </row>
    <row r="426" spans="1:8" ht="16">
      <c r="A426" s="14" t="s">
        <v>3103</v>
      </c>
      <c r="B426" s="14" t="s">
        <v>176</v>
      </c>
      <c r="C426" s="15">
        <v>46188</v>
      </c>
      <c r="D426" s="14" t="s">
        <v>2692</v>
      </c>
      <c r="E426" s="14" t="s">
        <v>2693</v>
      </c>
      <c r="F426" s="17">
        <v>10000</v>
      </c>
      <c r="G426" s="14" t="s">
        <v>2661</v>
      </c>
      <c r="H426" s="14"/>
    </row>
    <row r="427" spans="1:8" ht="16">
      <c r="A427" s="14" t="s">
        <v>3104</v>
      </c>
      <c r="B427" s="14" t="s">
        <v>263</v>
      </c>
      <c r="C427" s="15">
        <v>45992</v>
      </c>
      <c r="D427" s="14" t="s">
        <v>2663</v>
      </c>
      <c r="E427" s="14" t="s">
        <v>3630</v>
      </c>
      <c r="F427" s="17">
        <v>1500</v>
      </c>
      <c r="G427" s="14" t="s">
        <v>2676</v>
      </c>
      <c r="H427" s="14"/>
    </row>
    <row r="428" spans="1:8" ht="16">
      <c r="A428" s="14" t="s">
        <v>3105</v>
      </c>
      <c r="B428" s="14" t="s">
        <v>160</v>
      </c>
      <c r="C428" s="15">
        <v>46023</v>
      </c>
      <c r="D428" s="14" t="s">
        <v>2671</v>
      </c>
      <c r="E428" s="14" t="s">
        <v>2672</v>
      </c>
      <c r="F428" s="17">
        <v>3000</v>
      </c>
      <c r="G428" s="14" t="s">
        <v>2661</v>
      </c>
      <c r="H428" s="14"/>
    </row>
    <row r="429" spans="1:8" ht="16">
      <c r="A429" s="14" t="s">
        <v>3106</v>
      </c>
      <c r="B429" s="14" t="s">
        <v>247</v>
      </c>
      <c r="C429" s="15">
        <v>46071</v>
      </c>
      <c r="D429" s="14" t="s">
        <v>2668</v>
      </c>
      <c r="E429" s="14" t="s">
        <v>2669</v>
      </c>
      <c r="F429" s="17">
        <v>4000</v>
      </c>
      <c r="G429" s="14" t="s">
        <v>2661</v>
      </c>
      <c r="H429" s="14"/>
    </row>
    <row r="430" spans="1:8" ht="16">
      <c r="A430" s="14" t="s">
        <v>3107</v>
      </c>
      <c r="B430" s="14" t="s">
        <v>143</v>
      </c>
      <c r="C430" s="15">
        <v>46056</v>
      </c>
      <c r="D430" s="14" t="s">
        <v>2663</v>
      </c>
      <c r="E430" s="14" t="s">
        <v>3630</v>
      </c>
      <c r="F430" s="17">
        <v>1500</v>
      </c>
      <c r="G430" s="14" t="s">
        <v>2676</v>
      </c>
      <c r="H430" s="14"/>
    </row>
    <row r="431" spans="1:8" ht="16">
      <c r="A431" s="14" t="s">
        <v>3108</v>
      </c>
      <c r="B431" s="14" t="s">
        <v>64</v>
      </c>
      <c r="C431" s="15">
        <v>46158</v>
      </c>
      <c r="D431" s="14" t="s">
        <v>2692</v>
      </c>
      <c r="E431" s="14" t="s">
        <v>2693</v>
      </c>
      <c r="F431" s="17">
        <v>10000</v>
      </c>
      <c r="G431" s="14" t="s">
        <v>2661</v>
      </c>
      <c r="H431" s="14"/>
    </row>
    <row r="432" spans="1:8" ht="16">
      <c r="A432" s="14" t="s">
        <v>3109</v>
      </c>
      <c r="B432" s="14" t="s">
        <v>164</v>
      </c>
      <c r="C432" s="15">
        <v>46204</v>
      </c>
      <c r="D432" s="14" t="s">
        <v>2668</v>
      </c>
      <c r="E432" s="14" t="s">
        <v>2669</v>
      </c>
      <c r="F432" s="17">
        <v>4000</v>
      </c>
      <c r="G432" s="14" t="s">
        <v>2676</v>
      </c>
      <c r="H432" s="14"/>
    </row>
    <row r="433" spans="1:8" ht="16">
      <c r="A433" s="14" t="s">
        <v>3110</v>
      </c>
      <c r="B433" s="14" t="s">
        <v>137</v>
      </c>
      <c r="C433" s="15">
        <v>46095</v>
      </c>
      <c r="D433" s="14" t="s">
        <v>2685</v>
      </c>
      <c r="E433" s="14" t="s">
        <v>2686</v>
      </c>
      <c r="F433" s="17">
        <v>5000</v>
      </c>
      <c r="G433" s="14" t="s">
        <v>2661</v>
      </c>
      <c r="H433" s="14"/>
    </row>
    <row r="434" spans="1:8" ht="16">
      <c r="A434" s="14" t="s">
        <v>3111</v>
      </c>
      <c r="B434" s="14" t="s">
        <v>210</v>
      </c>
      <c r="C434" s="15">
        <v>46232</v>
      </c>
      <c r="D434" s="14" t="s">
        <v>2665</v>
      </c>
      <c r="E434" s="14" t="s">
        <v>2666</v>
      </c>
      <c r="F434" s="17">
        <v>2500</v>
      </c>
      <c r="G434" s="14" t="s">
        <v>2661</v>
      </c>
      <c r="H434" s="14"/>
    </row>
    <row r="435" spans="1:8" ht="16">
      <c r="A435" s="14" t="s">
        <v>3112</v>
      </c>
      <c r="B435" s="14" t="s">
        <v>96</v>
      </c>
      <c r="C435" s="15">
        <v>46182</v>
      </c>
      <c r="D435" s="14" t="s">
        <v>2668</v>
      </c>
      <c r="E435" s="14" t="s">
        <v>2669</v>
      </c>
      <c r="F435" s="17">
        <v>4000</v>
      </c>
      <c r="G435" s="14" t="s">
        <v>2661</v>
      </c>
      <c r="H435" s="14"/>
    </row>
    <row r="436" spans="1:8" ht="16">
      <c r="A436" s="14" t="s">
        <v>3113</v>
      </c>
      <c r="B436" s="14" t="s">
        <v>173</v>
      </c>
      <c r="C436" s="15">
        <v>46105</v>
      </c>
      <c r="D436" s="14" t="s">
        <v>2663</v>
      </c>
      <c r="E436" s="14" t="s">
        <v>3630</v>
      </c>
      <c r="F436" s="17">
        <v>1500</v>
      </c>
      <c r="G436" s="14" t="s">
        <v>2661</v>
      </c>
      <c r="H436" s="14"/>
    </row>
    <row r="437" spans="1:8" ht="16">
      <c r="A437" s="14" t="s">
        <v>3114</v>
      </c>
      <c r="B437" s="14" t="s">
        <v>113</v>
      </c>
      <c r="C437" s="15">
        <v>46023</v>
      </c>
      <c r="D437" s="14" t="s">
        <v>2668</v>
      </c>
      <c r="E437" s="14" t="s">
        <v>2669</v>
      </c>
      <c r="F437" s="17">
        <v>4000</v>
      </c>
      <c r="G437" s="14" t="s">
        <v>2661</v>
      </c>
      <c r="H437" s="14"/>
    </row>
    <row r="438" spans="1:8" ht="16">
      <c r="A438" s="14" t="s">
        <v>3115</v>
      </c>
      <c r="B438" s="14" t="s">
        <v>309</v>
      </c>
      <c r="C438" s="15">
        <v>45943</v>
      </c>
      <c r="D438" s="14" t="s">
        <v>2682</v>
      </c>
      <c r="E438" s="14" t="s">
        <v>2683</v>
      </c>
      <c r="F438" s="17">
        <v>6000</v>
      </c>
      <c r="G438" s="14" t="s">
        <v>2676</v>
      </c>
      <c r="H438" s="14"/>
    </row>
    <row r="439" spans="1:8" ht="16">
      <c r="A439" s="14" t="s">
        <v>3116</v>
      </c>
      <c r="B439" s="14" t="s">
        <v>60</v>
      </c>
      <c r="C439" s="15">
        <v>46093</v>
      </c>
      <c r="D439" s="14" t="s">
        <v>2665</v>
      </c>
      <c r="E439" s="14" t="s">
        <v>2666</v>
      </c>
      <c r="F439" s="17">
        <v>2500</v>
      </c>
      <c r="G439" s="14" t="s">
        <v>2661</v>
      </c>
      <c r="H439" s="14"/>
    </row>
    <row r="440" spans="1:8" ht="16">
      <c r="A440" s="14" t="s">
        <v>3117</v>
      </c>
      <c r="B440" s="14" t="s">
        <v>230</v>
      </c>
      <c r="C440" s="15">
        <v>46062</v>
      </c>
      <c r="D440" s="14" t="s">
        <v>2668</v>
      </c>
      <c r="E440" s="14" t="s">
        <v>2669</v>
      </c>
      <c r="F440" s="17">
        <v>4000</v>
      </c>
      <c r="G440" s="14" t="s">
        <v>2661</v>
      </c>
      <c r="H440" s="14"/>
    </row>
    <row r="441" spans="1:8" ht="16">
      <c r="A441" s="14" t="s">
        <v>3118</v>
      </c>
      <c r="B441" s="14" t="s">
        <v>135</v>
      </c>
      <c r="C441" s="15">
        <v>45989</v>
      </c>
      <c r="D441" s="14" t="s">
        <v>2692</v>
      </c>
      <c r="E441" s="14" t="s">
        <v>2693</v>
      </c>
      <c r="F441" s="17">
        <v>10000</v>
      </c>
      <c r="G441" s="14" t="s">
        <v>2661</v>
      </c>
      <c r="H441" s="14"/>
    </row>
    <row r="442" spans="1:8" ht="16">
      <c r="A442" s="14" t="s">
        <v>3119</v>
      </c>
      <c r="B442" s="14" t="s">
        <v>267</v>
      </c>
      <c r="C442" s="15">
        <v>46208</v>
      </c>
      <c r="D442" s="14" t="s">
        <v>2671</v>
      </c>
      <c r="E442" s="14" t="s">
        <v>2672</v>
      </c>
      <c r="F442" s="17">
        <v>3000</v>
      </c>
      <c r="G442" s="14" t="s">
        <v>2661</v>
      </c>
      <c r="H442" s="14"/>
    </row>
    <row r="443" spans="1:8" ht="16">
      <c r="A443" s="14" t="s">
        <v>3120</v>
      </c>
      <c r="B443" s="14" t="s">
        <v>209</v>
      </c>
      <c r="C443" s="15">
        <v>46077</v>
      </c>
      <c r="D443" s="14" t="s">
        <v>2668</v>
      </c>
      <c r="E443" s="14" t="s">
        <v>2669</v>
      </c>
      <c r="F443" s="17">
        <v>4000</v>
      </c>
      <c r="G443" s="14" t="s">
        <v>2661</v>
      </c>
      <c r="H443" s="14"/>
    </row>
    <row r="444" spans="1:8" ht="16">
      <c r="A444" s="14" t="s">
        <v>3121</v>
      </c>
      <c r="B444" s="14" t="s">
        <v>307</v>
      </c>
      <c r="C444" s="15">
        <v>46024</v>
      </c>
      <c r="D444" s="14" t="s">
        <v>2671</v>
      </c>
      <c r="E444" s="14" t="s">
        <v>2672</v>
      </c>
      <c r="F444" s="17">
        <v>3000</v>
      </c>
      <c r="G444" s="14" t="s">
        <v>2661</v>
      </c>
      <c r="H444" s="14"/>
    </row>
    <row r="445" spans="1:8" ht="16">
      <c r="A445" s="14" t="s">
        <v>3122</v>
      </c>
      <c r="B445" s="14" t="s">
        <v>52</v>
      </c>
      <c r="C445" s="15">
        <v>45976</v>
      </c>
      <c r="D445" s="14" t="s">
        <v>2668</v>
      </c>
      <c r="E445" s="14" t="s">
        <v>2669</v>
      </c>
      <c r="F445" s="17">
        <v>4000</v>
      </c>
      <c r="G445" s="14" t="s">
        <v>2661</v>
      </c>
      <c r="H445" s="14"/>
    </row>
    <row r="446" spans="1:8" ht="16">
      <c r="A446" s="14" t="s">
        <v>3123</v>
      </c>
      <c r="B446" s="14" t="s">
        <v>157</v>
      </c>
      <c r="C446" s="15">
        <v>46088</v>
      </c>
      <c r="D446" s="14" t="s">
        <v>2682</v>
      </c>
      <c r="E446" s="14" t="s">
        <v>2683</v>
      </c>
      <c r="F446" s="17">
        <v>6000</v>
      </c>
      <c r="G446" s="14" t="s">
        <v>2661</v>
      </c>
      <c r="H446" s="14"/>
    </row>
    <row r="447" spans="1:8" ht="16">
      <c r="A447" s="14" t="s">
        <v>3124</v>
      </c>
      <c r="B447" s="14" t="s">
        <v>65</v>
      </c>
      <c r="C447" s="15">
        <v>46278</v>
      </c>
      <c r="D447" s="14" t="s">
        <v>2674</v>
      </c>
      <c r="E447" s="14" t="s">
        <v>2675</v>
      </c>
      <c r="F447" s="17">
        <v>20000</v>
      </c>
      <c r="G447" s="14" t="s">
        <v>2661</v>
      </c>
      <c r="H447" s="14"/>
    </row>
    <row r="448" spans="1:8" ht="16">
      <c r="A448" s="14" t="s">
        <v>3125</v>
      </c>
      <c r="B448" s="14" t="s">
        <v>267</v>
      </c>
      <c r="C448" s="15">
        <v>45961</v>
      </c>
      <c r="D448" s="14" t="s">
        <v>2685</v>
      </c>
      <c r="E448" s="14" t="s">
        <v>2686</v>
      </c>
      <c r="F448" s="17">
        <v>5000</v>
      </c>
      <c r="G448" s="14" t="s">
        <v>2676</v>
      </c>
      <c r="H448" s="14"/>
    </row>
    <row r="449" spans="1:8" ht="16">
      <c r="A449" s="14" t="s">
        <v>3126</v>
      </c>
      <c r="B449" s="14" t="s">
        <v>264</v>
      </c>
      <c r="C449" s="15">
        <v>46097</v>
      </c>
      <c r="D449" s="14" t="s">
        <v>2688</v>
      </c>
      <c r="E449" s="14" t="s">
        <v>2689</v>
      </c>
      <c r="F449" s="17">
        <v>8000</v>
      </c>
      <c r="G449" s="14" t="s">
        <v>2661</v>
      </c>
      <c r="H449" s="14"/>
    </row>
    <row r="450" spans="1:8" ht="16">
      <c r="A450" s="14" t="s">
        <v>3127</v>
      </c>
      <c r="B450" s="14" t="s">
        <v>243</v>
      </c>
      <c r="C450" s="15">
        <v>45944</v>
      </c>
      <c r="D450" s="14" t="s">
        <v>2682</v>
      </c>
      <c r="E450" s="14" t="s">
        <v>2683</v>
      </c>
      <c r="F450" s="17">
        <v>6000</v>
      </c>
      <c r="G450" s="14" t="s">
        <v>2661</v>
      </c>
      <c r="H450" s="14"/>
    </row>
    <row r="451" spans="1:8" ht="16">
      <c r="A451" s="14" t="s">
        <v>3128</v>
      </c>
      <c r="B451" s="14" t="s">
        <v>168</v>
      </c>
      <c r="C451" s="15">
        <v>46083</v>
      </c>
      <c r="D451" s="14" t="s">
        <v>2674</v>
      </c>
      <c r="E451" s="14" t="s">
        <v>2675</v>
      </c>
      <c r="F451" s="17">
        <v>20000</v>
      </c>
      <c r="G451" s="14" t="s">
        <v>2661</v>
      </c>
      <c r="H451" s="14"/>
    </row>
    <row r="452" spans="1:8" ht="16">
      <c r="A452" s="14" t="s">
        <v>3129</v>
      </c>
      <c r="B452" s="14" t="s">
        <v>287</v>
      </c>
      <c r="C452" s="15">
        <v>45981</v>
      </c>
      <c r="D452" s="14" t="s">
        <v>2685</v>
      </c>
      <c r="E452" s="14" t="s">
        <v>2686</v>
      </c>
      <c r="F452" s="17">
        <v>5000</v>
      </c>
      <c r="G452" s="14" t="s">
        <v>2661</v>
      </c>
      <c r="H452" s="14"/>
    </row>
    <row r="453" spans="1:8" ht="16">
      <c r="A453" s="14" t="s">
        <v>3130</v>
      </c>
      <c r="B453" s="14" t="s">
        <v>237</v>
      </c>
      <c r="C453" s="15">
        <v>46003</v>
      </c>
      <c r="D453" s="14" t="s">
        <v>2663</v>
      </c>
      <c r="E453" s="14" t="s">
        <v>3630</v>
      </c>
      <c r="F453" s="17">
        <v>1500</v>
      </c>
      <c r="G453" s="14" t="s">
        <v>2661</v>
      </c>
      <c r="H453" s="14"/>
    </row>
    <row r="454" spans="1:8" ht="16">
      <c r="A454" s="14" t="s">
        <v>3131</v>
      </c>
      <c r="B454" s="14" t="s">
        <v>143</v>
      </c>
      <c r="C454" s="15">
        <v>46096</v>
      </c>
      <c r="D454" s="14" t="s">
        <v>2688</v>
      </c>
      <c r="E454" s="14" t="s">
        <v>2689</v>
      </c>
      <c r="F454" s="17">
        <v>8000</v>
      </c>
      <c r="G454" s="14" t="s">
        <v>2661</v>
      </c>
      <c r="H454" s="14"/>
    </row>
    <row r="455" spans="1:8" ht="16">
      <c r="A455" s="14" t="s">
        <v>3132</v>
      </c>
      <c r="B455" s="14" t="s">
        <v>196</v>
      </c>
      <c r="C455" s="15">
        <v>46123</v>
      </c>
      <c r="D455" s="14" t="s">
        <v>2668</v>
      </c>
      <c r="E455" s="14" t="s">
        <v>2669</v>
      </c>
      <c r="F455" s="17">
        <v>4000</v>
      </c>
      <c r="G455" s="14" t="s">
        <v>2661</v>
      </c>
      <c r="H455" s="14"/>
    </row>
    <row r="456" spans="1:8" ht="16">
      <c r="A456" s="14" t="s">
        <v>3133</v>
      </c>
      <c r="B456" s="14" t="s">
        <v>254</v>
      </c>
      <c r="C456" s="15">
        <v>45957</v>
      </c>
      <c r="D456" s="14" t="s">
        <v>2685</v>
      </c>
      <c r="E456" s="14" t="s">
        <v>2686</v>
      </c>
      <c r="F456" s="17">
        <v>5000</v>
      </c>
      <c r="G456" s="14" t="s">
        <v>2661</v>
      </c>
      <c r="H456" s="14"/>
    </row>
    <row r="457" spans="1:8" ht="16">
      <c r="A457" s="14" t="s">
        <v>3134</v>
      </c>
      <c r="B457" s="14" t="s">
        <v>53</v>
      </c>
      <c r="C457" s="15">
        <v>46053</v>
      </c>
      <c r="D457" s="14" t="s">
        <v>2688</v>
      </c>
      <c r="E457" s="14" t="s">
        <v>2689</v>
      </c>
      <c r="F457" s="17">
        <v>8000</v>
      </c>
      <c r="G457" s="14" t="s">
        <v>2676</v>
      </c>
      <c r="H457" s="14"/>
    </row>
    <row r="458" spans="1:8" ht="16">
      <c r="A458" s="14" t="s">
        <v>3135</v>
      </c>
      <c r="B458" s="14" t="s">
        <v>276</v>
      </c>
      <c r="C458" s="15">
        <v>46231</v>
      </c>
      <c r="D458" s="14" t="s">
        <v>2665</v>
      </c>
      <c r="E458" s="14" t="s">
        <v>2666</v>
      </c>
      <c r="F458" s="17">
        <v>2500</v>
      </c>
      <c r="G458" s="14" t="s">
        <v>2661</v>
      </c>
      <c r="H458" s="14"/>
    </row>
    <row r="459" spans="1:8" ht="16">
      <c r="A459" s="14" t="s">
        <v>3136</v>
      </c>
      <c r="B459" s="14" t="s">
        <v>193</v>
      </c>
      <c r="C459" s="15">
        <v>46183</v>
      </c>
      <c r="D459" s="14" t="s">
        <v>2671</v>
      </c>
      <c r="E459" s="14" t="s">
        <v>2672</v>
      </c>
      <c r="F459" s="17">
        <v>3000</v>
      </c>
      <c r="G459" s="14" t="s">
        <v>2676</v>
      </c>
      <c r="H459" s="14"/>
    </row>
    <row r="460" spans="1:8" ht="16">
      <c r="A460" s="14" t="s">
        <v>3137</v>
      </c>
      <c r="B460" s="14" t="s">
        <v>214</v>
      </c>
      <c r="C460" s="15">
        <v>46189</v>
      </c>
      <c r="D460" s="14" t="s">
        <v>2685</v>
      </c>
      <c r="E460" s="14" t="s">
        <v>2686</v>
      </c>
      <c r="F460" s="17">
        <v>5000</v>
      </c>
      <c r="G460" s="14" t="s">
        <v>2661</v>
      </c>
      <c r="H460" s="14"/>
    </row>
    <row r="461" spans="1:8" ht="16">
      <c r="A461" s="14" t="s">
        <v>3138</v>
      </c>
      <c r="B461" s="14" t="s">
        <v>165</v>
      </c>
      <c r="C461" s="15">
        <v>45989</v>
      </c>
      <c r="D461" s="14" t="s">
        <v>2685</v>
      </c>
      <c r="E461" s="14" t="s">
        <v>2686</v>
      </c>
      <c r="F461" s="17">
        <v>5000</v>
      </c>
      <c r="G461" s="14" t="s">
        <v>2661</v>
      </c>
      <c r="H461" s="14"/>
    </row>
    <row r="462" spans="1:8" ht="16">
      <c r="A462" s="14" t="s">
        <v>3139</v>
      </c>
      <c r="B462" s="14" t="s">
        <v>288</v>
      </c>
      <c r="C462" s="15">
        <v>45962</v>
      </c>
      <c r="D462" s="14" t="s">
        <v>2659</v>
      </c>
      <c r="E462" s="14" t="s">
        <v>2660</v>
      </c>
      <c r="F462" s="17">
        <v>3500</v>
      </c>
      <c r="G462" s="14" t="s">
        <v>2661</v>
      </c>
      <c r="H462" s="14"/>
    </row>
    <row r="463" spans="1:8" ht="16">
      <c r="A463" s="14" t="s">
        <v>3140</v>
      </c>
      <c r="B463" s="14" t="s">
        <v>108</v>
      </c>
      <c r="C463" s="15">
        <v>46168</v>
      </c>
      <c r="D463" s="14" t="s">
        <v>2671</v>
      </c>
      <c r="E463" s="14" t="s">
        <v>2672</v>
      </c>
      <c r="F463" s="17">
        <v>3000</v>
      </c>
      <c r="G463" s="14" t="s">
        <v>2676</v>
      </c>
      <c r="H463" s="14"/>
    </row>
    <row r="464" spans="1:8" ht="16">
      <c r="A464" s="14" t="s">
        <v>3141</v>
      </c>
      <c r="B464" s="14" t="s">
        <v>289</v>
      </c>
      <c r="C464" s="15">
        <v>46139</v>
      </c>
      <c r="D464" s="14" t="s">
        <v>2668</v>
      </c>
      <c r="E464" s="14" t="s">
        <v>2669</v>
      </c>
      <c r="F464" s="17">
        <v>4000</v>
      </c>
      <c r="G464" s="14" t="s">
        <v>2661</v>
      </c>
      <c r="H464" s="14"/>
    </row>
    <row r="465" spans="1:8" ht="16">
      <c r="A465" s="14" t="s">
        <v>3142</v>
      </c>
      <c r="B465" s="14" t="s">
        <v>305</v>
      </c>
      <c r="C465" s="15">
        <v>46178</v>
      </c>
      <c r="D465" s="14" t="s">
        <v>2671</v>
      </c>
      <c r="E465" s="14" t="s">
        <v>2672</v>
      </c>
      <c r="F465" s="17">
        <v>3000</v>
      </c>
      <c r="G465" s="14" t="s">
        <v>2661</v>
      </c>
      <c r="H465" s="14"/>
    </row>
    <row r="466" spans="1:8" ht="16">
      <c r="A466" s="14" t="s">
        <v>3143</v>
      </c>
      <c r="B466" s="14" t="s">
        <v>147</v>
      </c>
      <c r="C466" s="15">
        <v>46139</v>
      </c>
      <c r="D466" s="14" t="s">
        <v>2692</v>
      </c>
      <c r="E466" s="14" t="s">
        <v>2693</v>
      </c>
      <c r="F466" s="17">
        <v>10000</v>
      </c>
      <c r="G466" s="14" t="s">
        <v>2661</v>
      </c>
      <c r="H466" s="14"/>
    </row>
    <row r="467" spans="1:8" ht="16">
      <c r="A467" s="14" t="s">
        <v>3144</v>
      </c>
      <c r="B467" s="14" t="s">
        <v>122</v>
      </c>
      <c r="C467" s="15">
        <v>45940</v>
      </c>
      <c r="D467" s="14" t="s">
        <v>2692</v>
      </c>
      <c r="E467" s="14" t="s">
        <v>2693</v>
      </c>
      <c r="F467" s="17">
        <v>10000</v>
      </c>
      <c r="G467" s="14" t="s">
        <v>2661</v>
      </c>
      <c r="H467" s="14"/>
    </row>
    <row r="468" spans="1:8" ht="16">
      <c r="A468" s="14" t="s">
        <v>3145</v>
      </c>
      <c r="B468" s="14" t="s">
        <v>202</v>
      </c>
      <c r="C468" s="15">
        <v>46214</v>
      </c>
      <c r="D468" s="14" t="s">
        <v>2665</v>
      </c>
      <c r="E468" s="14" t="s">
        <v>2666</v>
      </c>
      <c r="F468" s="17">
        <v>2500</v>
      </c>
      <c r="G468" s="14" t="s">
        <v>2676</v>
      </c>
      <c r="H468" s="14"/>
    </row>
    <row r="469" spans="1:8" ht="16">
      <c r="A469" s="14" t="s">
        <v>3146</v>
      </c>
      <c r="B469" s="14" t="s">
        <v>251</v>
      </c>
      <c r="C469" s="15">
        <v>46276</v>
      </c>
      <c r="D469" s="14" t="s">
        <v>2692</v>
      </c>
      <c r="E469" s="14" t="s">
        <v>2693</v>
      </c>
      <c r="F469" s="17">
        <v>10000</v>
      </c>
      <c r="G469" s="14" t="s">
        <v>2661</v>
      </c>
      <c r="H469" s="14"/>
    </row>
    <row r="470" spans="1:8" ht="16">
      <c r="A470" s="14" t="s">
        <v>3147</v>
      </c>
      <c r="B470" s="14" t="s">
        <v>155</v>
      </c>
      <c r="C470" s="15">
        <v>46057</v>
      </c>
      <c r="D470" s="14" t="s">
        <v>2685</v>
      </c>
      <c r="E470" s="14" t="s">
        <v>2686</v>
      </c>
      <c r="F470" s="17">
        <v>5000</v>
      </c>
      <c r="G470" s="14" t="s">
        <v>2676</v>
      </c>
      <c r="H470" s="14"/>
    </row>
    <row r="471" spans="1:8" ht="16">
      <c r="A471" s="14" t="s">
        <v>3148</v>
      </c>
      <c r="B471" s="14" t="s">
        <v>3</v>
      </c>
      <c r="C471" s="15">
        <v>46264</v>
      </c>
      <c r="D471" s="14" t="s">
        <v>2682</v>
      </c>
      <c r="E471" s="14" t="s">
        <v>2683</v>
      </c>
      <c r="F471" s="17">
        <v>6000</v>
      </c>
      <c r="G471" s="14" t="s">
        <v>2661</v>
      </c>
      <c r="H471" s="14"/>
    </row>
    <row r="472" spans="1:8" ht="16">
      <c r="A472" s="14" t="s">
        <v>3149</v>
      </c>
      <c r="B472" s="14" t="s">
        <v>113</v>
      </c>
      <c r="C472" s="15">
        <v>46086</v>
      </c>
      <c r="D472" s="14" t="s">
        <v>2688</v>
      </c>
      <c r="E472" s="14" t="s">
        <v>2689</v>
      </c>
      <c r="F472" s="17">
        <v>8000</v>
      </c>
      <c r="G472" s="14" t="s">
        <v>2676</v>
      </c>
      <c r="H472" s="14"/>
    </row>
    <row r="473" spans="1:8" ht="16">
      <c r="A473" s="14" t="s">
        <v>3150</v>
      </c>
      <c r="B473" s="14" t="s">
        <v>195</v>
      </c>
      <c r="C473" s="15">
        <v>46139</v>
      </c>
      <c r="D473" s="14" t="s">
        <v>2659</v>
      </c>
      <c r="E473" s="14" t="s">
        <v>2660</v>
      </c>
      <c r="F473" s="17">
        <v>3500</v>
      </c>
      <c r="G473" s="14" t="s">
        <v>2661</v>
      </c>
      <c r="H473" s="14"/>
    </row>
    <row r="474" spans="1:8" ht="16">
      <c r="A474" s="14" t="s">
        <v>3151</v>
      </c>
      <c r="B474" s="14" t="s">
        <v>286</v>
      </c>
      <c r="C474" s="15">
        <v>45973</v>
      </c>
      <c r="D474" s="14" t="s">
        <v>2692</v>
      </c>
      <c r="E474" s="14" t="s">
        <v>2693</v>
      </c>
      <c r="F474" s="17">
        <v>10000</v>
      </c>
      <c r="G474" s="14" t="s">
        <v>2676</v>
      </c>
      <c r="H474" s="14"/>
    </row>
    <row r="475" spans="1:8" ht="16">
      <c r="A475" s="14" t="s">
        <v>3152</v>
      </c>
      <c r="B475" s="14" t="s">
        <v>162</v>
      </c>
      <c r="C475" s="15">
        <v>46035</v>
      </c>
      <c r="D475" s="14" t="s">
        <v>2668</v>
      </c>
      <c r="E475" s="14" t="s">
        <v>2669</v>
      </c>
      <c r="F475" s="17">
        <v>4000</v>
      </c>
      <c r="G475" s="14" t="s">
        <v>2661</v>
      </c>
      <c r="H475" s="14"/>
    </row>
    <row r="476" spans="1:8" ht="16">
      <c r="A476" s="14" t="s">
        <v>3153</v>
      </c>
      <c r="B476" s="14" t="s">
        <v>23</v>
      </c>
      <c r="C476" s="15">
        <v>46122</v>
      </c>
      <c r="D476" s="14" t="s">
        <v>2665</v>
      </c>
      <c r="E476" s="14" t="s">
        <v>2666</v>
      </c>
      <c r="F476" s="17">
        <v>2500</v>
      </c>
      <c r="G476" s="14" t="s">
        <v>2676</v>
      </c>
      <c r="H476" s="14"/>
    </row>
    <row r="477" spans="1:8" ht="16">
      <c r="A477" s="14" t="s">
        <v>3154</v>
      </c>
      <c r="B477" s="14" t="s">
        <v>187</v>
      </c>
      <c r="C477" s="15">
        <v>46017</v>
      </c>
      <c r="D477" s="14" t="s">
        <v>2682</v>
      </c>
      <c r="E477" s="14" t="s">
        <v>2683</v>
      </c>
      <c r="F477" s="17">
        <v>6000</v>
      </c>
      <c r="G477" s="14" t="s">
        <v>2661</v>
      </c>
      <c r="H477" s="14"/>
    </row>
    <row r="478" spans="1:8" ht="16">
      <c r="A478" s="14" t="s">
        <v>3155</v>
      </c>
      <c r="B478" s="14" t="s">
        <v>202</v>
      </c>
      <c r="C478" s="15">
        <v>46206</v>
      </c>
      <c r="D478" s="14" t="s">
        <v>2659</v>
      </c>
      <c r="E478" s="14" t="s">
        <v>2660</v>
      </c>
      <c r="F478" s="17">
        <v>3500</v>
      </c>
      <c r="G478" s="14" t="s">
        <v>2661</v>
      </c>
      <c r="H478" s="14"/>
    </row>
    <row r="479" spans="1:8" ht="16">
      <c r="A479" s="14" t="s">
        <v>3156</v>
      </c>
      <c r="B479" s="14" t="s">
        <v>13</v>
      </c>
      <c r="C479" s="15">
        <v>46215</v>
      </c>
      <c r="D479" s="14" t="s">
        <v>2682</v>
      </c>
      <c r="E479" s="14" t="s">
        <v>2683</v>
      </c>
      <c r="F479" s="17">
        <v>6000</v>
      </c>
      <c r="G479" s="14" t="s">
        <v>2661</v>
      </c>
      <c r="H479" s="14"/>
    </row>
    <row r="480" spans="1:8" ht="16">
      <c r="A480" s="14" t="s">
        <v>3157</v>
      </c>
      <c r="B480" s="14" t="s">
        <v>220</v>
      </c>
      <c r="C480" s="15">
        <v>45952</v>
      </c>
      <c r="D480" s="14" t="s">
        <v>2659</v>
      </c>
      <c r="E480" s="14" t="s">
        <v>2660</v>
      </c>
      <c r="F480" s="17">
        <v>3500</v>
      </c>
      <c r="G480" s="14" t="s">
        <v>2661</v>
      </c>
      <c r="H480" s="14"/>
    </row>
    <row r="481" spans="1:8" ht="16">
      <c r="A481" s="14" t="s">
        <v>3158</v>
      </c>
      <c r="B481" s="14" t="s">
        <v>253</v>
      </c>
      <c r="C481" s="15">
        <v>46168</v>
      </c>
      <c r="D481" s="14" t="s">
        <v>2685</v>
      </c>
      <c r="E481" s="14" t="s">
        <v>2686</v>
      </c>
      <c r="F481" s="17">
        <v>5000</v>
      </c>
      <c r="G481" s="14" t="s">
        <v>2676</v>
      </c>
      <c r="H481" s="14"/>
    </row>
    <row r="482" spans="1:8" ht="16">
      <c r="A482" s="14" t="s">
        <v>3159</v>
      </c>
      <c r="B482" s="14" t="s">
        <v>8</v>
      </c>
      <c r="C482" s="15">
        <v>46079</v>
      </c>
      <c r="D482" s="14" t="s">
        <v>2659</v>
      </c>
      <c r="E482" s="14" t="s">
        <v>2660</v>
      </c>
      <c r="F482" s="17">
        <v>3500</v>
      </c>
      <c r="G482" s="14" t="s">
        <v>2661</v>
      </c>
      <c r="H482" s="14"/>
    </row>
    <row r="483" spans="1:8" ht="16">
      <c r="A483" s="14" t="s">
        <v>3160</v>
      </c>
      <c r="B483" s="14" t="s">
        <v>25</v>
      </c>
      <c r="C483" s="15">
        <v>45931</v>
      </c>
      <c r="D483" s="14" t="s">
        <v>2688</v>
      </c>
      <c r="E483" s="14" t="s">
        <v>2689</v>
      </c>
      <c r="F483" s="17">
        <v>8000</v>
      </c>
      <c r="G483" s="14" t="s">
        <v>2661</v>
      </c>
      <c r="H483" s="14"/>
    </row>
    <row r="484" spans="1:8" ht="16">
      <c r="A484" s="14" t="s">
        <v>3161</v>
      </c>
      <c r="B484" s="14" t="s">
        <v>141</v>
      </c>
      <c r="C484" s="15">
        <v>46177</v>
      </c>
      <c r="D484" s="14" t="s">
        <v>2663</v>
      </c>
      <c r="E484" s="14" t="s">
        <v>3630</v>
      </c>
      <c r="F484" s="17">
        <v>1500</v>
      </c>
      <c r="G484" s="14" t="s">
        <v>2661</v>
      </c>
      <c r="H484" s="14"/>
    </row>
    <row r="485" spans="1:8" ht="16">
      <c r="A485" s="14" t="s">
        <v>3162</v>
      </c>
      <c r="B485" s="14" t="s">
        <v>73</v>
      </c>
      <c r="C485" s="15">
        <v>46237</v>
      </c>
      <c r="D485" s="14" t="s">
        <v>2674</v>
      </c>
      <c r="E485" s="14" t="s">
        <v>2675</v>
      </c>
      <c r="F485" s="17">
        <v>20000</v>
      </c>
      <c r="G485" s="14" t="s">
        <v>2661</v>
      </c>
      <c r="H485" s="14"/>
    </row>
    <row r="486" spans="1:8" ht="16">
      <c r="A486" s="14" t="s">
        <v>3163</v>
      </c>
      <c r="B486" s="14" t="s">
        <v>280</v>
      </c>
      <c r="C486" s="15">
        <v>46279</v>
      </c>
      <c r="D486" s="14" t="s">
        <v>2668</v>
      </c>
      <c r="E486" s="14" t="s">
        <v>2669</v>
      </c>
      <c r="F486" s="17">
        <v>4000</v>
      </c>
      <c r="G486" s="14" t="s">
        <v>2661</v>
      </c>
      <c r="H486" s="14"/>
    </row>
    <row r="487" spans="1:8" ht="16">
      <c r="A487" s="14" t="s">
        <v>3164</v>
      </c>
      <c r="B487" s="14" t="s">
        <v>31</v>
      </c>
      <c r="C487" s="15">
        <v>46110</v>
      </c>
      <c r="D487" s="14" t="s">
        <v>2685</v>
      </c>
      <c r="E487" s="14" t="s">
        <v>2686</v>
      </c>
      <c r="F487" s="17">
        <v>5000</v>
      </c>
      <c r="G487" s="14" t="s">
        <v>2661</v>
      </c>
      <c r="H487" s="14"/>
    </row>
    <row r="488" spans="1:8" ht="16">
      <c r="A488" s="14" t="s">
        <v>3165</v>
      </c>
      <c r="B488" s="14" t="s">
        <v>203</v>
      </c>
      <c r="C488" s="15">
        <v>46230</v>
      </c>
      <c r="D488" s="14" t="s">
        <v>2671</v>
      </c>
      <c r="E488" s="14" t="s">
        <v>2672</v>
      </c>
      <c r="F488" s="17">
        <v>3000</v>
      </c>
      <c r="G488" s="14" t="s">
        <v>2676</v>
      </c>
      <c r="H488" s="14"/>
    </row>
    <row r="489" spans="1:8" ht="16">
      <c r="A489" s="14" t="s">
        <v>3166</v>
      </c>
      <c r="B489" s="14" t="s">
        <v>77</v>
      </c>
      <c r="C489" s="15">
        <v>46075</v>
      </c>
      <c r="D489" s="14" t="s">
        <v>2668</v>
      </c>
      <c r="E489" s="14" t="s">
        <v>2669</v>
      </c>
      <c r="F489" s="17">
        <v>4000</v>
      </c>
      <c r="G489" s="14" t="s">
        <v>2661</v>
      </c>
      <c r="H489" s="14"/>
    </row>
    <row r="490" spans="1:8" ht="16">
      <c r="A490" s="14" t="s">
        <v>3167</v>
      </c>
      <c r="B490" s="14" t="s">
        <v>65</v>
      </c>
      <c r="C490" s="15">
        <v>46013</v>
      </c>
      <c r="D490" s="14" t="s">
        <v>2685</v>
      </c>
      <c r="E490" s="14" t="s">
        <v>2686</v>
      </c>
      <c r="F490" s="17">
        <v>5000</v>
      </c>
      <c r="G490" s="14" t="s">
        <v>2676</v>
      </c>
      <c r="H490" s="14"/>
    </row>
    <row r="491" spans="1:8" ht="16">
      <c r="A491" s="14" t="s">
        <v>3168</v>
      </c>
      <c r="B491" s="14" t="s">
        <v>74</v>
      </c>
      <c r="C491" s="15">
        <v>46219</v>
      </c>
      <c r="D491" s="14" t="s">
        <v>2685</v>
      </c>
      <c r="E491" s="14" t="s">
        <v>2686</v>
      </c>
      <c r="F491" s="17">
        <v>5000</v>
      </c>
      <c r="G491" s="14" t="s">
        <v>2661</v>
      </c>
      <c r="H491" s="14"/>
    </row>
    <row r="492" spans="1:8" ht="16">
      <c r="A492" s="14" t="s">
        <v>3169</v>
      </c>
      <c r="B492" s="14" t="s">
        <v>36</v>
      </c>
      <c r="C492" s="15">
        <v>46084</v>
      </c>
      <c r="D492" s="14" t="s">
        <v>2685</v>
      </c>
      <c r="E492" s="14" t="s">
        <v>2686</v>
      </c>
      <c r="F492" s="17">
        <v>5000</v>
      </c>
      <c r="G492" s="14" t="s">
        <v>2661</v>
      </c>
      <c r="H492" s="14"/>
    </row>
    <row r="493" spans="1:8" ht="16">
      <c r="A493" s="14" t="s">
        <v>3170</v>
      </c>
      <c r="B493" s="14" t="s">
        <v>272</v>
      </c>
      <c r="C493" s="15">
        <v>46133</v>
      </c>
      <c r="D493" s="14" t="s">
        <v>2659</v>
      </c>
      <c r="E493" s="14" t="s">
        <v>2660</v>
      </c>
      <c r="F493" s="17">
        <v>3500</v>
      </c>
      <c r="G493" s="14" t="s">
        <v>2661</v>
      </c>
      <c r="H493" s="14"/>
    </row>
    <row r="494" spans="1:8" ht="16">
      <c r="A494" s="14" t="s">
        <v>3171</v>
      </c>
      <c r="B494" s="14" t="s">
        <v>85</v>
      </c>
      <c r="C494" s="15">
        <v>46002</v>
      </c>
      <c r="D494" s="14" t="s">
        <v>2682</v>
      </c>
      <c r="E494" s="14" t="s">
        <v>2683</v>
      </c>
      <c r="F494" s="17">
        <v>6000</v>
      </c>
      <c r="G494" s="14" t="s">
        <v>2676</v>
      </c>
      <c r="H494" s="14"/>
    </row>
    <row r="495" spans="1:8" ht="16">
      <c r="A495" s="14" t="s">
        <v>3172</v>
      </c>
      <c r="B495" s="14" t="s">
        <v>312</v>
      </c>
      <c r="C495" s="15">
        <v>46074</v>
      </c>
      <c r="D495" s="14" t="s">
        <v>2663</v>
      </c>
      <c r="E495" s="14" t="s">
        <v>3630</v>
      </c>
      <c r="F495" s="17">
        <v>1500</v>
      </c>
      <c r="G495" s="14" t="s">
        <v>2661</v>
      </c>
      <c r="H495" s="14"/>
    </row>
    <row r="496" spans="1:8" ht="16">
      <c r="A496" s="14" t="s">
        <v>3173</v>
      </c>
      <c r="B496" s="14" t="s">
        <v>253</v>
      </c>
      <c r="C496" s="15">
        <v>46038</v>
      </c>
      <c r="D496" s="14" t="s">
        <v>2682</v>
      </c>
      <c r="E496" s="14" t="s">
        <v>2683</v>
      </c>
      <c r="F496" s="17">
        <v>6000</v>
      </c>
      <c r="G496" s="14" t="s">
        <v>2676</v>
      </c>
      <c r="H496" s="14"/>
    </row>
    <row r="497" spans="1:8" ht="16">
      <c r="A497" s="14" t="s">
        <v>3174</v>
      </c>
      <c r="B497" s="14" t="s">
        <v>241</v>
      </c>
      <c r="C497" s="15">
        <v>46189</v>
      </c>
      <c r="D497" s="14" t="s">
        <v>2674</v>
      </c>
      <c r="E497" s="14" t="s">
        <v>2675</v>
      </c>
      <c r="F497" s="17">
        <v>20000</v>
      </c>
      <c r="G497" s="14" t="s">
        <v>2661</v>
      </c>
      <c r="H497" s="14"/>
    </row>
    <row r="498" spans="1:8" ht="16">
      <c r="A498" s="14" t="s">
        <v>3175</v>
      </c>
      <c r="B498" s="14" t="s">
        <v>127</v>
      </c>
      <c r="C498" s="15">
        <v>46280</v>
      </c>
      <c r="D498" s="14" t="s">
        <v>2665</v>
      </c>
      <c r="E498" s="14" t="s">
        <v>2666</v>
      </c>
      <c r="F498" s="17">
        <v>2500</v>
      </c>
      <c r="G498" s="14" t="s">
        <v>2661</v>
      </c>
      <c r="H498" s="14"/>
    </row>
    <row r="499" spans="1:8" ht="16">
      <c r="A499" s="14" t="s">
        <v>3176</v>
      </c>
      <c r="B499" s="14" t="s">
        <v>97</v>
      </c>
      <c r="C499" s="15">
        <v>46256</v>
      </c>
      <c r="D499" s="14" t="s">
        <v>2692</v>
      </c>
      <c r="E499" s="14" t="s">
        <v>2693</v>
      </c>
      <c r="F499" s="17">
        <v>10000</v>
      </c>
      <c r="G499" s="14" t="s">
        <v>2661</v>
      </c>
      <c r="H499" s="14"/>
    </row>
    <row r="500" spans="1:8" ht="16">
      <c r="A500" s="14" t="s">
        <v>3177</v>
      </c>
      <c r="B500" s="14" t="s">
        <v>178</v>
      </c>
      <c r="C500" s="15">
        <v>46293</v>
      </c>
      <c r="D500" s="14" t="s">
        <v>2668</v>
      </c>
      <c r="E500" s="14" t="s">
        <v>2669</v>
      </c>
      <c r="F500" s="17">
        <v>4000</v>
      </c>
      <c r="G500" s="14" t="s">
        <v>2661</v>
      </c>
      <c r="H500" s="14"/>
    </row>
    <row r="501" spans="1:8" ht="16">
      <c r="A501" s="14" t="s">
        <v>3178</v>
      </c>
      <c r="B501" s="14" t="s">
        <v>63</v>
      </c>
      <c r="C501" s="15">
        <v>46070</v>
      </c>
      <c r="D501" s="14" t="s">
        <v>2685</v>
      </c>
      <c r="E501" s="14" t="s">
        <v>2686</v>
      </c>
      <c r="F501" s="17">
        <v>5000</v>
      </c>
      <c r="G501" s="14" t="s">
        <v>2661</v>
      </c>
      <c r="H501" s="14"/>
    </row>
    <row r="502" spans="1:8" ht="16">
      <c r="A502" s="14" t="s">
        <v>3179</v>
      </c>
      <c r="B502" s="14" t="s">
        <v>50</v>
      </c>
      <c r="C502" s="15">
        <v>46270</v>
      </c>
      <c r="D502" s="14" t="s">
        <v>2665</v>
      </c>
      <c r="E502" s="14" t="s">
        <v>2666</v>
      </c>
      <c r="F502" s="17">
        <v>2500</v>
      </c>
      <c r="G502" s="14" t="s">
        <v>2661</v>
      </c>
      <c r="H502" s="14"/>
    </row>
    <row r="503" spans="1:8" ht="16">
      <c r="A503" s="14" t="s">
        <v>3180</v>
      </c>
      <c r="B503" s="14" t="s">
        <v>112</v>
      </c>
      <c r="C503" s="15">
        <v>46105</v>
      </c>
      <c r="D503" s="14" t="s">
        <v>2663</v>
      </c>
      <c r="E503" s="14" t="s">
        <v>3630</v>
      </c>
      <c r="F503" s="17">
        <v>1500</v>
      </c>
      <c r="G503" s="14" t="s">
        <v>2661</v>
      </c>
      <c r="H503" s="14"/>
    </row>
    <row r="504" spans="1:8" ht="16">
      <c r="A504" s="14" t="s">
        <v>3181</v>
      </c>
      <c r="B504" s="14" t="s">
        <v>76</v>
      </c>
      <c r="C504" s="15">
        <v>46166</v>
      </c>
      <c r="D504" s="14" t="s">
        <v>2674</v>
      </c>
      <c r="E504" s="14" t="s">
        <v>2675</v>
      </c>
      <c r="F504" s="17">
        <v>20000</v>
      </c>
      <c r="G504" s="14" t="s">
        <v>2676</v>
      </c>
      <c r="H504" s="14"/>
    </row>
    <row r="505" spans="1:8" ht="16">
      <c r="A505" s="14" t="s">
        <v>3182</v>
      </c>
      <c r="B505" s="14" t="s">
        <v>227</v>
      </c>
      <c r="C505" s="15">
        <v>46099</v>
      </c>
      <c r="D505" s="14" t="s">
        <v>2663</v>
      </c>
      <c r="E505" s="14" t="s">
        <v>3630</v>
      </c>
      <c r="F505" s="17">
        <v>1500</v>
      </c>
      <c r="G505" s="14" t="s">
        <v>2661</v>
      </c>
      <c r="H505" s="14"/>
    </row>
    <row r="506" spans="1:8" ht="16">
      <c r="A506" s="14" t="s">
        <v>3183</v>
      </c>
      <c r="B506" s="14" t="s">
        <v>134</v>
      </c>
      <c r="C506" s="15">
        <v>46285</v>
      </c>
      <c r="D506" s="14" t="s">
        <v>2663</v>
      </c>
      <c r="E506" s="14" t="s">
        <v>3630</v>
      </c>
      <c r="F506" s="17">
        <v>1500</v>
      </c>
      <c r="G506" s="14" t="s">
        <v>2661</v>
      </c>
      <c r="H506" s="14"/>
    </row>
    <row r="507" spans="1:8" ht="16">
      <c r="A507" s="14" t="s">
        <v>3184</v>
      </c>
      <c r="B507" s="14" t="s">
        <v>8</v>
      </c>
      <c r="C507" s="15">
        <v>46261</v>
      </c>
      <c r="D507" s="14" t="s">
        <v>2685</v>
      </c>
      <c r="E507" s="14" t="s">
        <v>2686</v>
      </c>
      <c r="F507" s="17">
        <v>5000</v>
      </c>
      <c r="G507" s="14" t="s">
        <v>2661</v>
      </c>
      <c r="H507" s="14"/>
    </row>
    <row r="508" spans="1:8" ht="16">
      <c r="A508" s="14" t="s">
        <v>3185</v>
      </c>
      <c r="B508" s="14" t="s">
        <v>129</v>
      </c>
      <c r="C508" s="15">
        <v>46242</v>
      </c>
      <c r="D508" s="14" t="s">
        <v>2665</v>
      </c>
      <c r="E508" s="14" t="s">
        <v>2666</v>
      </c>
      <c r="F508" s="17">
        <v>2500</v>
      </c>
      <c r="G508" s="14" t="s">
        <v>2661</v>
      </c>
      <c r="H508" s="14"/>
    </row>
    <row r="509" spans="1:8" ht="16">
      <c r="A509" s="14" t="s">
        <v>3186</v>
      </c>
      <c r="B509" s="14" t="s">
        <v>21</v>
      </c>
      <c r="C509" s="15">
        <v>45933</v>
      </c>
      <c r="D509" s="14" t="s">
        <v>2668</v>
      </c>
      <c r="E509" s="14" t="s">
        <v>2669</v>
      </c>
      <c r="F509" s="17">
        <v>4000</v>
      </c>
      <c r="G509" s="14" t="s">
        <v>2661</v>
      </c>
      <c r="H509" s="14"/>
    </row>
    <row r="510" spans="1:8" ht="16">
      <c r="A510" s="14" t="s">
        <v>3187</v>
      </c>
      <c r="B510" s="14" t="s">
        <v>64</v>
      </c>
      <c r="C510" s="15">
        <v>46275</v>
      </c>
      <c r="D510" s="14" t="s">
        <v>2659</v>
      </c>
      <c r="E510" s="14" t="s">
        <v>2660</v>
      </c>
      <c r="F510" s="17">
        <v>3500</v>
      </c>
      <c r="G510" s="14" t="s">
        <v>2661</v>
      </c>
      <c r="H510" s="14"/>
    </row>
    <row r="511" spans="1:8" ht="16">
      <c r="A511" s="14" t="s">
        <v>3188</v>
      </c>
      <c r="B511" s="14" t="s">
        <v>154</v>
      </c>
      <c r="C511" s="15">
        <v>46142</v>
      </c>
      <c r="D511" s="14" t="s">
        <v>2665</v>
      </c>
      <c r="E511" s="14" t="s">
        <v>2666</v>
      </c>
      <c r="F511" s="17">
        <v>2500</v>
      </c>
      <c r="G511" s="14" t="s">
        <v>2676</v>
      </c>
      <c r="H511" s="14"/>
    </row>
    <row r="512" spans="1:8" ht="16">
      <c r="A512" s="14" t="s">
        <v>3189</v>
      </c>
      <c r="B512" s="14" t="s">
        <v>73</v>
      </c>
      <c r="C512" s="15">
        <v>46287</v>
      </c>
      <c r="D512" s="14" t="s">
        <v>2674</v>
      </c>
      <c r="E512" s="14" t="s">
        <v>2675</v>
      </c>
      <c r="F512" s="17">
        <v>20000</v>
      </c>
      <c r="G512" s="14" t="s">
        <v>2661</v>
      </c>
      <c r="H512" s="14"/>
    </row>
    <row r="513" spans="1:8" ht="16">
      <c r="A513" s="14" t="s">
        <v>3190</v>
      </c>
      <c r="B513" s="14" t="s">
        <v>139</v>
      </c>
      <c r="C513" s="15">
        <v>46132</v>
      </c>
      <c r="D513" s="14" t="s">
        <v>2685</v>
      </c>
      <c r="E513" s="14" t="s">
        <v>2686</v>
      </c>
      <c r="F513" s="17">
        <v>5000</v>
      </c>
      <c r="G513" s="14" t="s">
        <v>2676</v>
      </c>
      <c r="H513" s="14"/>
    </row>
    <row r="514" spans="1:8" ht="16">
      <c r="A514" s="14" t="s">
        <v>3191</v>
      </c>
      <c r="B514" s="14" t="s">
        <v>152</v>
      </c>
      <c r="C514" s="15">
        <v>45972</v>
      </c>
      <c r="D514" s="14" t="s">
        <v>2682</v>
      </c>
      <c r="E514" s="14" t="s">
        <v>2683</v>
      </c>
      <c r="F514" s="17">
        <v>6000</v>
      </c>
      <c r="G514" s="14" t="s">
        <v>2661</v>
      </c>
      <c r="H514" s="14"/>
    </row>
    <row r="515" spans="1:8" ht="16">
      <c r="A515" s="14" t="s">
        <v>3192</v>
      </c>
      <c r="B515" s="14" t="s">
        <v>140</v>
      </c>
      <c r="C515" s="15">
        <v>46206</v>
      </c>
      <c r="D515" s="14" t="s">
        <v>2682</v>
      </c>
      <c r="E515" s="14" t="s">
        <v>2683</v>
      </c>
      <c r="F515" s="17">
        <v>6000</v>
      </c>
      <c r="G515" s="14" t="s">
        <v>2661</v>
      </c>
      <c r="H515" s="14"/>
    </row>
    <row r="516" spans="1:8" ht="16">
      <c r="A516" s="14" t="s">
        <v>3193</v>
      </c>
      <c r="B516" s="14" t="s">
        <v>208</v>
      </c>
      <c r="C516" s="15">
        <v>46274</v>
      </c>
      <c r="D516" s="14" t="s">
        <v>2682</v>
      </c>
      <c r="E516" s="14" t="s">
        <v>2683</v>
      </c>
      <c r="F516" s="17">
        <v>6000</v>
      </c>
      <c r="G516" s="14" t="s">
        <v>2661</v>
      </c>
      <c r="H516" s="14"/>
    </row>
    <row r="517" spans="1:8" ht="16">
      <c r="A517" s="14" t="s">
        <v>3194</v>
      </c>
      <c r="B517" s="14" t="s">
        <v>93</v>
      </c>
      <c r="C517" s="15">
        <v>46275</v>
      </c>
      <c r="D517" s="14" t="s">
        <v>2674</v>
      </c>
      <c r="E517" s="14" t="s">
        <v>2675</v>
      </c>
      <c r="F517" s="17">
        <v>20000</v>
      </c>
      <c r="G517" s="14" t="s">
        <v>2661</v>
      </c>
      <c r="H517" s="14"/>
    </row>
    <row r="518" spans="1:8" ht="16">
      <c r="A518" s="14" t="s">
        <v>3195</v>
      </c>
      <c r="B518" s="14" t="s">
        <v>263</v>
      </c>
      <c r="C518" s="15">
        <v>46111</v>
      </c>
      <c r="D518" s="14" t="s">
        <v>2663</v>
      </c>
      <c r="E518" s="14" t="s">
        <v>3630</v>
      </c>
      <c r="F518" s="17">
        <v>1500</v>
      </c>
      <c r="G518" s="14" t="s">
        <v>2661</v>
      </c>
      <c r="H518" s="14"/>
    </row>
    <row r="519" spans="1:8" ht="16">
      <c r="A519" s="14" t="s">
        <v>3196</v>
      </c>
      <c r="B519" s="14" t="s">
        <v>109</v>
      </c>
      <c r="C519" s="15">
        <v>46238</v>
      </c>
      <c r="D519" s="14" t="s">
        <v>2674</v>
      </c>
      <c r="E519" s="14" t="s">
        <v>2675</v>
      </c>
      <c r="F519" s="17">
        <v>20000</v>
      </c>
      <c r="G519" s="14" t="s">
        <v>2661</v>
      </c>
      <c r="H519" s="14"/>
    </row>
    <row r="520" spans="1:8" ht="16">
      <c r="A520" s="14" t="s">
        <v>3197</v>
      </c>
      <c r="B520" s="14" t="s">
        <v>62</v>
      </c>
      <c r="C520" s="15">
        <v>46129</v>
      </c>
      <c r="D520" s="14" t="s">
        <v>2671</v>
      </c>
      <c r="E520" s="14" t="s">
        <v>2672</v>
      </c>
      <c r="F520" s="17">
        <v>3000</v>
      </c>
      <c r="G520" s="14" t="s">
        <v>2661</v>
      </c>
      <c r="H520" s="14"/>
    </row>
    <row r="521" spans="1:8" ht="16">
      <c r="A521" s="14" t="s">
        <v>3198</v>
      </c>
      <c r="B521" s="14" t="s">
        <v>306</v>
      </c>
      <c r="C521" s="15">
        <v>46287</v>
      </c>
      <c r="D521" s="14" t="s">
        <v>2659</v>
      </c>
      <c r="E521" s="14" t="s">
        <v>2660</v>
      </c>
      <c r="F521" s="17">
        <v>3500</v>
      </c>
      <c r="G521" s="14" t="s">
        <v>2661</v>
      </c>
      <c r="H521" s="14"/>
    </row>
    <row r="522" spans="1:8" ht="16">
      <c r="A522" s="14" t="s">
        <v>3199</v>
      </c>
      <c r="B522" s="14" t="s">
        <v>250</v>
      </c>
      <c r="C522" s="15">
        <v>45994</v>
      </c>
      <c r="D522" s="14" t="s">
        <v>2685</v>
      </c>
      <c r="E522" s="14" t="s">
        <v>2686</v>
      </c>
      <c r="F522" s="17">
        <v>5000</v>
      </c>
      <c r="G522" s="14" t="s">
        <v>2661</v>
      </c>
      <c r="H522" s="14"/>
    </row>
    <row r="523" spans="1:8" ht="16">
      <c r="A523" s="14" t="s">
        <v>3200</v>
      </c>
      <c r="B523" s="14" t="s">
        <v>81</v>
      </c>
      <c r="C523" s="15">
        <v>46120</v>
      </c>
      <c r="D523" s="14" t="s">
        <v>2685</v>
      </c>
      <c r="E523" s="14" t="s">
        <v>2686</v>
      </c>
      <c r="F523" s="17">
        <v>5000</v>
      </c>
      <c r="G523" s="14" t="s">
        <v>2661</v>
      </c>
      <c r="H523" s="14"/>
    </row>
    <row r="524" spans="1:8" ht="16">
      <c r="A524" s="14" t="s">
        <v>3201</v>
      </c>
      <c r="B524" s="14" t="s">
        <v>66</v>
      </c>
      <c r="C524" s="15">
        <v>46158</v>
      </c>
      <c r="D524" s="14" t="s">
        <v>2663</v>
      </c>
      <c r="E524" s="14" t="s">
        <v>3630</v>
      </c>
      <c r="F524" s="17">
        <v>1500</v>
      </c>
      <c r="G524" s="14" t="s">
        <v>2661</v>
      </c>
      <c r="H524" s="14"/>
    </row>
    <row r="525" spans="1:8" ht="16">
      <c r="A525" s="14" t="s">
        <v>3202</v>
      </c>
      <c r="B525" s="14" t="s">
        <v>72</v>
      </c>
      <c r="C525" s="15">
        <v>46044</v>
      </c>
      <c r="D525" s="14" t="s">
        <v>2685</v>
      </c>
      <c r="E525" s="14" t="s">
        <v>2686</v>
      </c>
      <c r="F525" s="17">
        <v>5000</v>
      </c>
      <c r="G525" s="14" t="s">
        <v>2661</v>
      </c>
      <c r="H525" s="14"/>
    </row>
    <row r="526" spans="1:8" ht="16">
      <c r="A526" s="14" t="s">
        <v>3203</v>
      </c>
      <c r="B526" s="14" t="s">
        <v>112</v>
      </c>
      <c r="C526" s="15">
        <v>46074</v>
      </c>
      <c r="D526" s="14" t="s">
        <v>2668</v>
      </c>
      <c r="E526" s="14" t="s">
        <v>2669</v>
      </c>
      <c r="F526" s="17">
        <v>4000</v>
      </c>
      <c r="G526" s="14" t="s">
        <v>2661</v>
      </c>
      <c r="H526" s="14"/>
    </row>
    <row r="527" spans="1:8" ht="16">
      <c r="A527" s="14" t="s">
        <v>3204</v>
      </c>
      <c r="B527" s="14" t="s">
        <v>84</v>
      </c>
      <c r="C527" s="15">
        <v>46029</v>
      </c>
      <c r="D527" s="14" t="s">
        <v>2671</v>
      </c>
      <c r="E527" s="14" t="s">
        <v>2672</v>
      </c>
      <c r="F527" s="17">
        <v>3000</v>
      </c>
      <c r="G527" s="14" t="s">
        <v>2661</v>
      </c>
      <c r="H527" s="14"/>
    </row>
    <row r="528" spans="1:8" ht="16">
      <c r="A528" s="14" t="s">
        <v>3205</v>
      </c>
      <c r="B528" s="14" t="s">
        <v>35</v>
      </c>
      <c r="C528" s="15">
        <v>46245</v>
      </c>
      <c r="D528" s="14" t="s">
        <v>2668</v>
      </c>
      <c r="E528" s="14" t="s">
        <v>2669</v>
      </c>
      <c r="F528" s="17">
        <v>4000</v>
      </c>
      <c r="G528" s="14" t="s">
        <v>2661</v>
      </c>
      <c r="H528" s="14"/>
    </row>
    <row r="529" spans="1:8" ht="16">
      <c r="A529" s="14" t="s">
        <v>3206</v>
      </c>
      <c r="B529" s="14" t="s">
        <v>115</v>
      </c>
      <c r="C529" s="15">
        <v>46044</v>
      </c>
      <c r="D529" s="14" t="s">
        <v>2659</v>
      </c>
      <c r="E529" s="14" t="s">
        <v>2660</v>
      </c>
      <c r="F529" s="17">
        <v>3500</v>
      </c>
      <c r="G529" s="14" t="s">
        <v>2661</v>
      </c>
      <c r="H529" s="14"/>
    </row>
    <row r="530" spans="1:8" ht="16">
      <c r="A530" s="14" t="s">
        <v>3207</v>
      </c>
      <c r="B530" s="14" t="s">
        <v>82</v>
      </c>
      <c r="C530" s="15">
        <v>46183</v>
      </c>
      <c r="D530" s="14" t="s">
        <v>2665</v>
      </c>
      <c r="E530" s="14" t="s">
        <v>2666</v>
      </c>
      <c r="F530" s="17">
        <v>2500</v>
      </c>
      <c r="G530" s="14" t="s">
        <v>2661</v>
      </c>
      <c r="H530" s="14"/>
    </row>
    <row r="531" spans="1:8" ht="16">
      <c r="A531" s="14" t="s">
        <v>3208</v>
      </c>
      <c r="B531" s="14" t="s">
        <v>284</v>
      </c>
      <c r="C531" s="15">
        <v>45949</v>
      </c>
      <c r="D531" s="14" t="s">
        <v>2674</v>
      </c>
      <c r="E531" s="14" t="s">
        <v>2675</v>
      </c>
      <c r="F531" s="17">
        <v>20000</v>
      </c>
      <c r="G531" s="14" t="s">
        <v>2661</v>
      </c>
      <c r="H531" s="14"/>
    </row>
    <row r="532" spans="1:8" ht="16">
      <c r="A532" s="14" t="s">
        <v>3209</v>
      </c>
      <c r="B532" s="14" t="s">
        <v>43</v>
      </c>
      <c r="C532" s="15">
        <v>46183</v>
      </c>
      <c r="D532" s="14" t="s">
        <v>2685</v>
      </c>
      <c r="E532" s="14" t="s">
        <v>2686</v>
      </c>
      <c r="F532" s="17">
        <v>5000</v>
      </c>
      <c r="G532" s="14" t="s">
        <v>2676</v>
      </c>
      <c r="H532" s="14"/>
    </row>
    <row r="533" spans="1:8" ht="16">
      <c r="A533" s="14" t="s">
        <v>3210</v>
      </c>
      <c r="B533" s="14" t="s">
        <v>148</v>
      </c>
      <c r="C533" s="15">
        <v>46038</v>
      </c>
      <c r="D533" s="14" t="s">
        <v>2663</v>
      </c>
      <c r="E533" s="14" t="s">
        <v>3630</v>
      </c>
      <c r="F533" s="17">
        <v>1500</v>
      </c>
      <c r="G533" s="14" t="s">
        <v>2661</v>
      </c>
      <c r="H533" s="14"/>
    </row>
    <row r="534" spans="1:8" ht="16">
      <c r="A534" s="14" t="s">
        <v>3211</v>
      </c>
      <c r="B534" s="14" t="s">
        <v>63</v>
      </c>
      <c r="C534" s="15">
        <v>46031</v>
      </c>
      <c r="D534" s="14" t="s">
        <v>2663</v>
      </c>
      <c r="E534" s="14" t="s">
        <v>3630</v>
      </c>
      <c r="F534" s="17">
        <v>1500</v>
      </c>
      <c r="G534" s="14" t="s">
        <v>2661</v>
      </c>
      <c r="H534" s="14"/>
    </row>
    <row r="535" spans="1:8" ht="16">
      <c r="A535" s="14" t="s">
        <v>3212</v>
      </c>
      <c r="B535" s="14" t="s">
        <v>22</v>
      </c>
      <c r="C535" s="15">
        <v>45987</v>
      </c>
      <c r="D535" s="14" t="s">
        <v>2659</v>
      </c>
      <c r="E535" s="14" t="s">
        <v>2660</v>
      </c>
      <c r="F535" s="17">
        <v>3500</v>
      </c>
      <c r="G535" s="14" t="s">
        <v>2661</v>
      </c>
      <c r="H535" s="14"/>
    </row>
    <row r="536" spans="1:8" ht="16">
      <c r="A536" s="14" t="s">
        <v>3213</v>
      </c>
      <c r="B536" s="14" t="s">
        <v>216</v>
      </c>
      <c r="C536" s="15">
        <v>46222</v>
      </c>
      <c r="D536" s="14" t="s">
        <v>2665</v>
      </c>
      <c r="E536" s="14" t="s">
        <v>2666</v>
      </c>
      <c r="F536" s="17">
        <v>2500</v>
      </c>
      <c r="G536" s="14" t="s">
        <v>2676</v>
      </c>
      <c r="H536" s="14"/>
    </row>
    <row r="537" spans="1:8" ht="16">
      <c r="A537" s="14" t="s">
        <v>3214</v>
      </c>
      <c r="B537" s="14" t="s">
        <v>107</v>
      </c>
      <c r="C537" s="15">
        <v>46183</v>
      </c>
      <c r="D537" s="14" t="s">
        <v>2692</v>
      </c>
      <c r="E537" s="14" t="s">
        <v>2693</v>
      </c>
      <c r="F537" s="17">
        <v>10000</v>
      </c>
      <c r="G537" s="14" t="s">
        <v>2661</v>
      </c>
      <c r="H537" s="14"/>
    </row>
    <row r="538" spans="1:8" ht="16">
      <c r="A538" s="14" t="s">
        <v>3215</v>
      </c>
      <c r="B538" s="14" t="s">
        <v>166</v>
      </c>
      <c r="C538" s="15">
        <v>46213</v>
      </c>
      <c r="D538" s="14" t="s">
        <v>2682</v>
      </c>
      <c r="E538" s="14" t="s">
        <v>2683</v>
      </c>
      <c r="F538" s="17">
        <v>6000</v>
      </c>
      <c r="G538" s="14" t="s">
        <v>2661</v>
      </c>
      <c r="H538" s="14"/>
    </row>
    <row r="539" spans="1:8" ht="16">
      <c r="A539" s="14" t="s">
        <v>3216</v>
      </c>
      <c r="B539" s="14" t="s">
        <v>139</v>
      </c>
      <c r="C539" s="15">
        <v>46268</v>
      </c>
      <c r="D539" s="14" t="s">
        <v>2668</v>
      </c>
      <c r="E539" s="14" t="s">
        <v>2669</v>
      </c>
      <c r="F539" s="17">
        <v>4000</v>
      </c>
      <c r="G539" s="14" t="s">
        <v>2676</v>
      </c>
      <c r="H539" s="14"/>
    </row>
    <row r="540" spans="1:8" ht="16">
      <c r="A540" s="14" t="s">
        <v>3217</v>
      </c>
      <c r="B540" s="14" t="s">
        <v>106</v>
      </c>
      <c r="C540" s="15">
        <v>46275</v>
      </c>
      <c r="D540" s="14" t="s">
        <v>2682</v>
      </c>
      <c r="E540" s="14" t="s">
        <v>2683</v>
      </c>
      <c r="F540" s="17">
        <v>6000</v>
      </c>
      <c r="G540" s="14" t="s">
        <v>2676</v>
      </c>
      <c r="H540" s="14"/>
    </row>
    <row r="541" spans="1:8" ht="16">
      <c r="A541" s="14" t="s">
        <v>3218</v>
      </c>
      <c r="B541" s="14" t="s">
        <v>176</v>
      </c>
      <c r="C541" s="15">
        <v>46220</v>
      </c>
      <c r="D541" s="14" t="s">
        <v>2665</v>
      </c>
      <c r="E541" s="14" t="s">
        <v>2666</v>
      </c>
      <c r="F541" s="17">
        <v>2500</v>
      </c>
      <c r="G541" s="14" t="s">
        <v>2661</v>
      </c>
      <c r="H541" s="14"/>
    </row>
    <row r="542" spans="1:8" ht="16">
      <c r="A542" s="14" t="s">
        <v>3219</v>
      </c>
      <c r="B542" s="14" t="s">
        <v>108</v>
      </c>
      <c r="C542" s="15">
        <v>45964</v>
      </c>
      <c r="D542" s="14" t="s">
        <v>2692</v>
      </c>
      <c r="E542" s="14" t="s">
        <v>2693</v>
      </c>
      <c r="F542" s="17">
        <v>10000</v>
      </c>
      <c r="G542" s="14" t="s">
        <v>2676</v>
      </c>
      <c r="H542" s="14"/>
    </row>
    <row r="543" spans="1:8" ht="16">
      <c r="A543" s="14" t="s">
        <v>3220</v>
      </c>
      <c r="B543" s="14" t="s">
        <v>162</v>
      </c>
      <c r="C543" s="15">
        <v>45996</v>
      </c>
      <c r="D543" s="14" t="s">
        <v>2659</v>
      </c>
      <c r="E543" s="14" t="s">
        <v>2660</v>
      </c>
      <c r="F543" s="17">
        <v>3500</v>
      </c>
      <c r="G543" s="14" t="s">
        <v>2661</v>
      </c>
      <c r="H543" s="14"/>
    </row>
    <row r="544" spans="1:8" ht="16">
      <c r="A544" s="14" t="s">
        <v>3221</v>
      </c>
      <c r="B544" s="14" t="s">
        <v>80</v>
      </c>
      <c r="C544" s="15">
        <v>45996</v>
      </c>
      <c r="D544" s="14" t="s">
        <v>2659</v>
      </c>
      <c r="E544" s="14" t="s">
        <v>2660</v>
      </c>
      <c r="F544" s="17">
        <v>3500</v>
      </c>
      <c r="G544" s="14" t="s">
        <v>2661</v>
      </c>
      <c r="H544" s="14"/>
    </row>
    <row r="545" spans="1:8" ht="16">
      <c r="A545" s="14" t="s">
        <v>3222</v>
      </c>
      <c r="B545" s="14" t="s">
        <v>123</v>
      </c>
      <c r="C545" s="15">
        <v>46222</v>
      </c>
      <c r="D545" s="14" t="s">
        <v>2668</v>
      </c>
      <c r="E545" s="14" t="s">
        <v>2669</v>
      </c>
      <c r="F545" s="17">
        <v>4000</v>
      </c>
      <c r="G545" s="14" t="s">
        <v>2661</v>
      </c>
      <c r="H545" s="14"/>
    </row>
    <row r="546" spans="1:8" ht="16">
      <c r="A546" s="14" t="s">
        <v>3223</v>
      </c>
      <c r="B546" s="14" t="s">
        <v>255</v>
      </c>
      <c r="C546" s="15">
        <v>46198</v>
      </c>
      <c r="D546" s="14" t="s">
        <v>2665</v>
      </c>
      <c r="E546" s="14" t="s">
        <v>2666</v>
      </c>
      <c r="F546" s="17">
        <v>2500</v>
      </c>
      <c r="G546" s="14" t="s">
        <v>2661</v>
      </c>
      <c r="H546" s="14"/>
    </row>
    <row r="547" spans="1:8" ht="16">
      <c r="A547" s="14" t="s">
        <v>3224</v>
      </c>
      <c r="B547" s="14" t="s">
        <v>27</v>
      </c>
      <c r="C547" s="15">
        <v>46029</v>
      </c>
      <c r="D547" s="14" t="s">
        <v>2685</v>
      </c>
      <c r="E547" s="14" t="s">
        <v>2686</v>
      </c>
      <c r="F547" s="17">
        <v>5000</v>
      </c>
      <c r="G547" s="14" t="s">
        <v>2661</v>
      </c>
      <c r="H547" s="14"/>
    </row>
    <row r="548" spans="1:8" ht="16">
      <c r="A548" s="14" t="s">
        <v>3225</v>
      </c>
      <c r="B548" s="14" t="s">
        <v>173</v>
      </c>
      <c r="C548" s="15">
        <v>46285</v>
      </c>
      <c r="D548" s="14" t="s">
        <v>2665</v>
      </c>
      <c r="E548" s="14" t="s">
        <v>2666</v>
      </c>
      <c r="F548" s="17">
        <v>2500</v>
      </c>
      <c r="G548" s="14" t="s">
        <v>2676</v>
      </c>
      <c r="H548" s="14"/>
    </row>
    <row r="549" spans="1:8" ht="16">
      <c r="A549" s="14" t="s">
        <v>3226</v>
      </c>
      <c r="B549" s="14" t="s">
        <v>45</v>
      </c>
      <c r="C549" s="15">
        <v>46245</v>
      </c>
      <c r="D549" s="14" t="s">
        <v>2692</v>
      </c>
      <c r="E549" s="14" t="s">
        <v>2693</v>
      </c>
      <c r="F549" s="17">
        <v>10000</v>
      </c>
      <c r="G549" s="14" t="s">
        <v>2661</v>
      </c>
      <c r="H549" s="14"/>
    </row>
    <row r="550" spans="1:8" ht="16">
      <c r="A550" s="14" t="s">
        <v>3227</v>
      </c>
      <c r="B550" s="14" t="s">
        <v>26</v>
      </c>
      <c r="C550" s="15">
        <v>46279</v>
      </c>
      <c r="D550" s="14" t="s">
        <v>2682</v>
      </c>
      <c r="E550" s="14" t="s">
        <v>2683</v>
      </c>
      <c r="F550" s="17">
        <v>6000</v>
      </c>
      <c r="G550" s="14" t="s">
        <v>2676</v>
      </c>
      <c r="H550" s="14"/>
    </row>
    <row r="551" spans="1:8" ht="16">
      <c r="A551" s="14" t="s">
        <v>3228</v>
      </c>
      <c r="B551" s="14" t="s">
        <v>173</v>
      </c>
      <c r="C551" s="15">
        <v>46163</v>
      </c>
      <c r="D551" s="14" t="s">
        <v>2659</v>
      </c>
      <c r="E551" s="14" t="s">
        <v>2660</v>
      </c>
      <c r="F551" s="17">
        <v>3500</v>
      </c>
      <c r="G551" s="14" t="s">
        <v>2661</v>
      </c>
      <c r="H551" s="14"/>
    </row>
    <row r="552" spans="1:8" ht="16">
      <c r="A552" s="14" t="s">
        <v>3229</v>
      </c>
      <c r="B552" s="14" t="s">
        <v>292</v>
      </c>
      <c r="C552" s="15">
        <v>46149</v>
      </c>
      <c r="D552" s="14" t="s">
        <v>2692</v>
      </c>
      <c r="E552" s="14" t="s">
        <v>2693</v>
      </c>
      <c r="F552" s="17">
        <v>10000</v>
      </c>
      <c r="G552" s="14" t="s">
        <v>2661</v>
      </c>
      <c r="H552" s="14"/>
    </row>
    <row r="553" spans="1:8" ht="16">
      <c r="A553" s="14" t="s">
        <v>3230</v>
      </c>
      <c r="B553" s="14" t="s">
        <v>137</v>
      </c>
      <c r="C553" s="15">
        <v>46096</v>
      </c>
      <c r="D553" s="14" t="s">
        <v>2692</v>
      </c>
      <c r="E553" s="14" t="s">
        <v>2693</v>
      </c>
      <c r="F553" s="17">
        <v>10000</v>
      </c>
      <c r="G553" s="14" t="s">
        <v>2661</v>
      </c>
      <c r="H553" s="14"/>
    </row>
    <row r="554" spans="1:8" ht="16">
      <c r="A554" s="14" t="s">
        <v>3231</v>
      </c>
      <c r="B554" s="14" t="s">
        <v>111</v>
      </c>
      <c r="C554" s="15">
        <v>46139</v>
      </c>
      <c r="D554" s="14" t="s">
        <v>2668</v>
      </c>
      <c r="E554" s="14" t="s">
        <v>2669</v>
      </c>
      <c r="F554" s="17">
        <v>4000</v>
      </c>
      <c r="G554" s="14" t="s">
        <v>2661</v>
      </c>
      <c r="H554" s="14"/>
    </row>
    <row r="555" spans="1:8" ht="16">
      <c r="A555" s="14" t="s">
        <v>3232</v>
      </c>
      <c r="B555" s="14" t="s">
        <v>201</v>
      </c>
      <c r="C555" s="15">
        <v>45993</v>
      </c>
      <c r="D555" s="14" t="s">
        <v>2688</v>
      </c>
      <c r="E555" s="14" t="s">
        <v>2689</v>
      </c>
      <c r="F555" s="17">
        <v>8000</v>
      </c>
      <c r="G555" s="14" t="s">
        <v>2676</v>
      </c>
      <c r="H555" s="14"/>
    </row>
    <row r="556" spans="1:8" ht="16">
      <c r="A556" s="14" t="s">
        <v>3233</v>
      </c>
      <c r="B556" s="14" t="s">
        <v>216</v>
      </c>
      <c r="C556" s="15">
        <v>46169</v>
      </c>
      <c r="D556" s="14" t="s">
        <v>2692</v>
      </c>
      <c r="E556" s="14" t="s">
        <v>2693</v>
      </c>
      <c r="F556" s="17">
        <v>10000</v>
      </c>
      <c r="G556" s="14" t="s">
        <v>2661</v>
      </c>
      <c r="H556" s="14"/>
    </row>
    <row r="557" spans="1:8" ht="16">
      <c r="A557" s="14" t="s">
        <v>3234</v>
      </c>
      <c r="B557" s="14" t="s">
        <v>155</v>
      </c>
      <c r="C557" s="15">
        <v>46116</v>
      </c>
      <c r="D557" s="14" t="s">
        <v>2659</v>
      </c>
      <c r="E557" s="14" t="s">
        <v>2660</v>
      </c>
      <c r="F557" s="17">
        <v>3500</v>
      </c>
      <c r="G557" s="14" t="s">
        <v>2676</v>
      </c>
      <c r="H557" s="14"/>
    </row>
    <row r="558" spans="1:8" ht="16">
      <c r="A558" s="14" t="s">
        <v>3235</v>
      </c>
      <c r="B558" s="14" t="s">
        <v>253</v>
      </c>
      <c r="C558" s="15">
        <v>45953</v>
      </c>
      <c r="D558" s="14" t="s">
        <v>2663</v>
      </c>
      <c r="E558" s="14" t="s">
        <v>3630</v>
      </c>
      <c r="F558" s="17">
        <v>1500</v>
      </c>
      <c r="G558" s="14" t="s">
        <v>2661</v>
      </c>
      <c r="H558" s="14"/>
    </row>
    <row r="559" spans="1:8" ht="16">
      <c r="A559" s="14" t="s">
        <v>3236</v>
      </c>
      <c r="B559" s="14" t="s">
        <v>260</v>
      </c>
      <c r="C559" s="15">
        <v>45955</v>
      </c>
      <c r="D559" s="14" t="s">
        <v>2674</v>
      </c>
      <c r="E559" s="14" t="s">
        <v>2675</v>
      </c>
      <c r="F559" s="17">
        <v>20000</v>
      </c>
      <c r="G559" s="14" t="s">
        <v>2661</v>
      </c>
      <c r="H559" s="14"/>
    </row>
    <row r="560" spans="1:8" ht="16">
      <c r="A560" s="14" t="s">
        <v>3237</v>
      </c>
      <c r="B560" s="14" t="s">
        <v>287</v>
      </c>
      <c r="C560" s="15">
        <v>46146</v>
      </c>
      <c r="D560" s="14" t="s">
        <v>2682</v>
      </c>
      <c r="E560" s="14" t="s">
        <v>2683</v>
      </c>
      <c r="F560" s="17">
        <v>6000</v>
      </c>
      <c r="G560" s="14" t="s">
        <v>2676</v>
      </c>
      <c r="H560" s="14"/>
    </row>
    <row r="561" spans="1:8" ht="16">
      <c r="A561" s="14" t="s">
        <v>3238</v>
      </c>
      <c r="B561" s="14" t="s">
        <v>227</v>
      </c>
      <c r="C561" s="15">
        <v>46160</v>
      </c>
      <c r="D561" s="14" t="s">
        <v>2663</v>
      </c>
      <c r="E561" s="14" t="s">
        <v>3630</v>
      </c>
      <c r="F561" s="17">
        <v>1500</v>
      </c>
      <c r="G561" s="14" t="s">
        <v>2661</v>
      </c>
      <c r="H561" s="14"/>
    </row>
    <row r="562" spans="1:8" ht="16">
      <c r="A562" s="14" t="s">
        <v>3239</v>
      </c>
      <c r="B562" s="14" t="s">
        <v>297</v>
      </c>
      <c r="C562" s="15">
        <v>45933</v>
      </c>
      <c r="D562" s="14" t="s">
        <v>2682</v>
      </c>
      <c r="E562" s="14" t="s">
        <v>2683</v>
      </c>
      <c r="F562" s="17">
        <v>6000</v>
      </c>
      <c r="G562" s="14" t="s">
        <v>2661</v>
      </c>
      <c r="H562" s="14"/>
    </row>
    <row r="563" spans="1:8" ht="16">
      <c r="A563" s="14" t="s">
        <v>3240</v>
      </c>
      <c r="B563" s="14" t="s">
        <v>154</v>
      </c>
      <c r="C563" s="15">
        <v>46030</v>
      </c>
      <c r="D563" s="14" t="s">
        <v>2671</v>
      </c>
      <c r="E563" s="14" t="s">
        <v>2672</v>
      </c>
      <c r="F563" s="17">
        <v>3000</v>
      </c>
      <c r="G563" s="14" t="s">
        <v>2661</v>
      </c>
      <c r="H563" s="14"/>
    </row>
    <row r="564" spans="1:8" ht="16">
      <c r="A564" s="14" t="s">
        <v>3241</v>
      </c>
      <c r="B564" s="14" t="s">
        <v>205</v>
      </c>
      <c r="C564" s="15">
        <v>45972</v>
      </c>
      <c r="D564" s="14" t="s">
        <v>2671</v>
      </c>
      <c r="E564" s="14" t="s">
        <v>2672</v>
      </c>
      <c r="F564" s="17">
        <v>3000</v>
      </c>
      <c r="G564" s="14" t="s">
        <v>2676</v>
      </c>
      <c r="H564" s="14"/>
    </row>
    <row r="565" spans="1:8" ht="16">
      <c r="A565" s="14" t="s">
        <v>3242</v>
      </c>
      <c r="B565" s="14" t="s">
        <v>148</v>
      </c>
      <c r="C565" s="15">
        <v>45943</v>
      </c>
      <c r="D565" s="14" t="s">
        <v>2674</v>
      </c>
      <c r="E565" s="14" t="s">
        <v>2675</v>
      </c>
      <c r="F565" s="17">
        <v>20000</v>
      </c>
      <c r="G565" s="14" t="s">
        <v>2661</v>
      </c>
      <c r="H565" s="14"/>
    </row>
    <row r="566" spans="1:8" ht="16">
      <c r="A566" s="14" t="s">
        <v>3243</v>
      </c>
      <c r="B566" s="14" t="s">
        <v>193</v>
      </c>
      <c r="C566" s="15">
        <v>46284</v>
      </c>
      <c r="D566" s="14" t="s">
        <v>2685</v>
      </c>
      <c r="E566" s="14" t="s">
        <v>2686</v>
      </c>
      <c r="F566" s="17">
        <v>5000</v>
      </c>
      <c r="G566" s="14" t="s">
        <v>2661</v>
      </c>
      <c r="H566" s="14"/>
    </row>
    <row r="567" spans="1:8" ht="16">
      <c r="A567" s="14" t="s">
        <v>3244</v>
      </c>
      <c r="B567" s="14" t="s">
        <v>117</v>
      </c>
      <c r="C567" s="15">
        <v>45969</v>
      </c>
      <c r="D567" s="14" t="s">
        <v>2663</v>
      </c>
      <c r="E567" s="14" t="s">
        <v>3630</v>
      </c>
      <c r="F567" s="17">
        <v>1500</v>
      </c>
      <c r="G567" s="14" t="s">
        <v>2661</v>
      </c>
      <c r="H567" s="14"/>
    </row>
    <row r="568" spans="1:8" ht="16">
      <c r="A568" s="14" t="s">
        <v>3245</v>
      </c>
      <c r="B568" s="14" t="s">
        <v>89</v>
      </c>
      <c r="C568" s="15">
        <v>46031</v>
      </c>
      <c r="D568" s="14" t="s">
        <v>2685</v>
      </c>
      <c r="E568" s="14" t="s">
        <v>2686</v>
      </c>
      <c r="F568" s="17">
        <v>5000</v>
      </c>
      <c r="G568" s="14" t="s">
        <v>2661</v>
      </c>
      <c r="H568" s="14"/>
    </row>
    <row r="569" spans="1:8" ht="16">
      <c r="A569" s="14" t="s">
        <v>3246</v>
      </c>
      <c r="B569" s="14" t="s">
        <v>160</v>
      </c>
      <c r="C569" s="15">
        <v>46099</v>
      </c>
      <c r="D569" s="14" t="s">
        <v>2663</v>
      </c>
      <c r="E569" s="14" t="s">
        <v>3630</v>
      </c>
      <c r="F569" s="17">
        <v>1500</v>
      </c>
      <c r="G569" s="14" t="s">
        <v>2661</v>
      </c>
      <c r="H569" s="14"/>
    </row>
    <row r="570" spans="1:8" ht="16">
      <c r="A570" s="14" t="s">
        <v>3247</v>
      </c>
      <c r="B570" s="14" t="s">
        <v>35</v>
      </c>
      <c r="C570" s="15">
        <v>45963</v>
      </c>
      <c r="D570" s="14" t="s">
        <v>2682</v>
      </c>
      <c r="E570" s="14" t="s">
        <v>2683</v>
      </c>
      <c r="F570" s="17">
        <v>6000</v>
      </c>
      <c r="G570" s="14" t="s">
        <v>2661</v>
      </c>
      <c r="H570" s="14"/>
    </row>
    <row r="571" spans="1:8" ht="16">
      <c r="A571" s="14" t="s">
        <v>3248</v>
      </c>
      <c r="B571" s="14" t="s">
        <v>68</v>
      </c>
      <c r="C571" s="15">
        <v>45945</v>
      </c>
      <c r="D571" s="14" t="s">
        <v>2682</v>
      </c>
      <c r="E571" s="14" t="s">
        <v>2683</v>
      </c>
      <c r="F571" s="17">
        <v>6000</v>
      </c>
      <c r="G571" s="14" t="s">
        <v>2661</v>
      </c>
      <c r="H571" s="14"/>
    </row>
    <row r="572" spans="1:8" ht="16">
      <c r="A572" s="14" t="s">
        <v>3249</v>
      </c>
      <c r="B572" s="14" t="s">
        <v>176</v>
      </c>
      <c r="C572" s="15">
        <v>46152</v>
      </c>
      <c r="D572" s="14" t="s">
        <v>2688</v>
      </c>
      <c r="E572" s="14" t="s">
        <v>2689</v>
      </c>
      <c r="F572" s="17">
        <v>8000</v>
      </c>
      <c r="G572" s="14" t="s">
        <v>2661</v>
      </c>
      <c r="H572" s="14"/>
    </row>
    <row r="573" spans="1:8" ht="16">
      <c r="A573" s="14" t="s">
        <v>3250</v>
      </c>
      <c r="B573" s="14" t="s">
        <v>81</v>
      </c>
      <c r="C573" s="15">
        <v>46234</v>
      </c>
      <c r="D573" s="14" t="s">
        <v>2659</v>
      </c>
      <c r="E573" s="14" t="s">
        <v>2660</v>
      </c>
      <c r="F573" s="17">
        <v>3500</v>
      </c>
      <c r="G573" s="14" t="s">
        <v>2661</v>
      </c>
      <c r="H573" s="14"/>
    </row>
    <row r="574" spans="1:8" ht="16">
      <c r="A574" s="14" t="s">
        <v>3251</v>
      </c>
      <c r="B574" s="14" t="s">
        <v>275</v>
      </c>
      <c r="C574" s="15">
        <v>46059</v>
      </c>
      <c r="D574" s="14" t="s">
        <v>2685</v>
      </c>
      <c r="E574" s="14" t="s">
        <v>2686</v>
      </c>
      <c r="F574" s="17">
        <v>5000</v>
      </c>
      <c r="G574" s="14" t="s">
        <v>2661</v>
      </c>
      <c r="H574" s="14"/>
    </row>
    <row r="575" spans="1:8" ht="16">
      <c r="A575" s="14" t="s">
        <v>3252</v>
      </c>
      <c r="B575" s="14" t="s">
        <v>207</v>
      </c>
      <c r="C575" s="15">
        <v>45986</v>
      </c>
      <c r="D575" s="14" t="s">
        <v>2671</v>
      </c>
      <c r="E575" s="14" t="s">
        <v>2672</v>
      </c>
      <c r="F575" s="17">
        <v>3000</v>
      </c>
      <c r="G575" s="14" t="s">
        <v>2661</v>
      </c>
      <c r="H575" s="14"/>
    </row>
    <row r="576" spans="1:8" ht="16">
      <c r="A576" s="14" t="s">
        <v>3253</v>
      </c>
      <c r="B576" s="14" t="s">
        <v>290</v>
      </c>
      <c r="C576" s="15">
        <v>46053</v>
      </c>
      <c r="D576" s="14" t="s">
        <v>2688</v>
      </c>
      <c r="E576" s="14" t="s">
        <v>2689</v>
      </c>
      <c r="F576" s="17">
        <v>8000</v>
      </c>
      <c r="G576" s="14" t="s">
        <v>2661</v>
      </c>
      <c r="H576" s="14"/>
    </row>
    <row r="577" spans="1:8" ht="16">
      <c r="A577" s="14" t="s">
        <v>3254</v>
      </c>
      <c r="B577" s="14" t="s">
        <v>166</v>
      </c>
      <c r="C577" s="15">
        <v>45958</v>
      </c>
      <c r="D577" s="14" t="s">
        <v>2663</v>
      </c>
      <c r="E577" s="14" t="s">
        <v>3630</v>
      </c>
      <c r="F577" s="17">
        <v>1500</v>
      </c>
      <c r="G577" s="14" t="s">
        <v>2661</v>
      </c>
      <c r="H577" s="14"/>
    </row>
    <row r="578" spans="1:8" ht="16">
      <c r="A578" s="14" t="s">
        <v>3255</v>
      </c>
      <c r="B578" s="14" t="s">
        <v>250</v>
      </c>
      <c r="C578" s="15">
        <v>46197</v>
      </c>
      <c r="D578" s="14" t="s">
        <v>2671</v>
      </c>
      <c r="E578" s="14" t="s">
        <v>2672</v>
      </c>
      <c r="F578" s="17">
        <v>3000</v>
      </c>
      <c r="G578" s="14" t="s">
        <v>2661</v>
      </c>
      <c r="H578" s="14"/>
    </row>
    <row r="579" spans="1:8" ht="16">
      <c r="A579" s="14" t="s">
        <v>3256</v>
      </c>
      <c r="B579" s="14" t="s">
        <v>290</v>
      </c>
      <c r="C579" s="15">
        <v>45968</v>
      </c>
      <c r="D579" s="14" t="s">
        <v>2688</v>
      </c>
      <c r="E579" s="14" t="s">
        <v>2689</v>
      </c>
      <c r="F579" s="17">
        <v>8000</v>
      </c>
      <c r="G579" s="14" t="s">
        <v>2676</v>
      </c>
      <c r="H579" s="14"/>
    </row>
    <row r="580" spans="1:8" ht="16">
      <c r="A580" s="14" t="s">
        <v>3257</v>
      </c>
      <c r="B580" s="14" t="s">
        <v>123</v>
      </c>
      <c r="C580" s="15">
        <v>46248</v>
      </c>
      <c r="D580" s="14" t="s">
        <v>2682</v>
      </c>
      <c r="E580" s="14" t="s">
        <v>2683</v>
      </c>
      <c r="F580" s="17">
        <v>6000</v>
      </c>
      <c r="G580" s="14" t="s">
        <v>2661</v>
      </c>
      <c r="H580" s="14"/>
    </row>
    <row r="581" spans="1:8" ht="16">
      <c r="A581" s="14" t="s">
        <v>3258</v>
      </c>
      <c r="B581" s="14" t="s">
        <v>237</v>
      </c>
      <c r="C581" s="15">
        <v>45979</v>
      </c>
      <c r="D581" s="14" t="s">
        <v>2692</v>
      </c>
      <c r="E581" s="14" t="s">
        <v>2693</v>
      </c>
      <c r="F581" s="17">
        <v>10000</v>
      </c>
      <c r="G581" s="14" t="s">
        <v>2661</v>
      </c>
      <c r="H581" s="14"/>
    </row>
    <row r="582" spans="1:8" ht="16">
      <c r="A582" s="14" t="s">
        <v>3259</v>
      </c>
      <c r="B582" s="14" t="s">
        <v>284</v>
      </c>
      <c r="C582" s="15">
        <v>46227</v>
      </c>
      <c r="D582" s="14" t="s">
        <v>2665</v>
      </c>
      <c r="E582" s="14" t="s">
        <v>2666</v>
      </c>
      <c r="F582" s="17">
        <v>2500</v>
      </c>
      <c r="G582" s="14" t="s">
        <v>2661</v>
      </c>
      <c r="H582" s="14"/>
    </row>
    <row r="583" spans="1:8" ht="16">
      <c r="A583" s="14" t="s">
        <v>3260</v>
      </c>
      <c r="B583" s="14" t="s">
        <v>218</v>
      </c>
      <c r="C583" s="15">
        <v>45974</v>
      </c>
      <c r="D583" s="14" t="s">
        <v>2668</v>
      </c>
      <c r="E583" s="14" t="s">
        <v>2669</v>
      </c>
      <c r="F583" s="17">
        <v>4000</v>
      </c>
      <c r="G583" s="14" t="s">
        <v>2661</v>
      </c>
      <c r="H583" s="14"/>
    </row>
    <row r="584" spans="1:8" ht="16">
      <c r="A584" s="14" t="s">
        <v>3261</v>
      </c>
      <c r="B584" s="14" t="s">
        <v>76</v>
      </c>
      <c r="C584" s="15">
        <v>45948</v>
      </c>
      <c r="D584" s="14" t="s">
        <v>2665</v>
      </c>
      <c r="E584" s="14" t="s">
        <v>2666</v>
      </c>
      <c r="F584" s="17">
        <v>2500</v>
      </c>
      <c r="G584" s="14" t="s">
        <v>2661</v>
      </c>
      <c r="H584" s="14"/>
    </row>
    <row r="585" spans="1:8" ht="16">
      <c r="A585" s="14" t="s">
        <v>3262</v>
      </c>
      <c r="B585" s="14" t="s">
        <v>135</v>
      </c>
      <c r="C585" s="15">
        <v>46091</v>
      </c>
      <c r="D585" s="14" t="s">
        <v>2682</v>
      </c>
      <c r="E585" s="14" t="s">
        <v>2683</v>
      </c>
      <c r="F585" s="17">
        <v>6000</v>
      </c>
      <c r="G585" s="14" t="s">
        <v>2661</v>
      </c>
      <c r="H585" s="14"/>
    </row>
    <row r="586" spans="1:8" ht="16">
      <c r="A586" s="14" t="s">
        <v>3263</v>
      </c>
      <c r="B586" s="14" t="s">
        <v>81</v>
      </c>
      <c r="C586" s="15">
        <v>45996</v>
      </c>
      <c r="D586" s="14" t="s">
        <v>2682</v>
      </c>
      <c r="E586" s="14" t="s">
        <v>2683</v>
      </c>
      <c r="F586" s="17">
        <v>6000</v>
      </c>
      <c r="G586" s="14" t="s">
        <v>2661</v>
      </c>
      <c r="H586" s="14"/>
    </row>
    <row r="587" spans="1:8" ht="16">
      <c r="A587" s="14" t="s">
        <v>3264</v>
      </c>
      <c r="B587" s="14" t="s">
        <v>147</v>
      </c>
      <c r="C587" s="15">
        <v>46157</v>
      </c>
      <c r="D587" s="14" t="s">
        <v>2692</v>
      </c>
      <c r="E587" s="14" t="s">
        <v>2693</v>
      </c>
      <c r="F587" s="17">
        <v>10000</v>
      </c>
      <c r="G587" s="14" t="s">
        <v>2661</v>
      </c>
      <c r="H587" s="14"/>
    </row>
    <row r="588" spans="1:8" ht="16">
      <c r="A588" s="14" t="s">
        <v>3265</v>
      </c>
      <c r="B588" s="14" t="s">
        <v>204</v>
      </c>
      <c r="C588" s="15">
        <v>46085</v>
      </c>
      <c r="D588" s="14" t="s">
        <v>2668</v>
      </c>
      <c r="E588" s="14" t="s">
        <v>2669</v>
      </c>
      <c r="F588" s="17">
        <v>4000</v>
      </c>
      <c r="G588" s="14" t="s">
        <v>2676</v>
      </c>
      <c r="H588" s="14"/>
    </row>
    <row r="589" spans="1:8" ht="16">
      <c r="A589" s="14" t="s">
        <v>3266</v>
      </c>
      <c r="B589" s="14" t="s">
        <v>152</v>
      </c>
      <c r="C589" s="15">
        <v>46251</v>
      </c>
      <c r="D589" s="14" t="s">
        <v>2668</v>
      </c>
      <c r="E589" s="14" t="s">
        <v>2669</v>
      </c>
      <c r="F589" s="17">
        <v>4000</v>
      </c>
      <c r="G589" s="14" t="s">
        <v>2661</v>
      </c>
      <c r="H589" s="14"/>
    </row>
    <row r="590" spans="1:8" ht="16">
      <c r="A590" s="14" t="s">
        <v>3267</v>
      </c>
      <c r="B590" s="14" t="s">
        <v>312</v>
      </c>
      <c r="C590" s="15">
        <v>45964</v>
      </c>
      <c r="D590" s="14" t="s">
        <v>2682</v>
      </c>
      <c r="E590" s="14" t="s">
        <v>2683</v>
      </c>
      <c r="F590" s="17">
        <v>6000</v>
      </c>
      <c r="G590" s="14" t="s">
        <v>2661</v>
      </c>
      <c r="H590" s="14"/>
    </row>
    <row r="591" spans="1:8" ht="16">
      <c r="A591" s="14" t="s">
        <v>3268</v>
      </c>
      <c r="B591" s="14" t="s">
        <v>234</v>
      </c>
      <c r="C591" s="15">
        <v>46277</v>
      </c>
      <c r="D591" s="14" t="s">
        <v>2668</v>
      </c>
      <c r="E591" s="14" t="s">
        <v>2669</v>
      </c>
      <c r="F591" s="17">
        <v>4000</v>
      </c>
      <c r="G591" s="14" t="s">
        <v>2661</v>
      </c>
      <c r="H591" s="14"/>
    </row>
    <row r="592" spans="1:8" ht="16">
      <c r="A592" s="14" t="s">
        <v>3269</v>
      </c>
      <c r="B592" s="14" t="s">
        <v>50</v>
      </c>
      <c r="C592" s="15">
        <v>46217</v>
      </c>
      <c r="D592" s="14" t="s">
        <v>2688</v>
      </c>
      <c r="E592" s="14" t="s">
        <v>2689</v>
      </c>
      <c r="F592" s="17">
        <v>8000</v>
      </c>
      <c r="G592" s="14" t="s">
        <v>2661</v>
      </c>
      <c r="H592" s="14"/>
    </row>
    <row r="593" spans="1:8" ht="16">
      <c r="A593" s="14" t="s">
        <v>3270</v>
      </c>
      <c r="B593" s="14" t="s">
        <v>209</v>
      </c>
      <c r="C593" s="15">
        <v>46081</v>
      </c>
      <c r="D593" s="14" t="s">
        <v>2688</v>
      </c>
      <c r="E593" s="14" t="s">
        <v>2689</v>
      </c>
      <c r="F593" s="17">
        <v>8000</v>
      </c>
      <c r="G593" s="14" t="s">
        <v>2661</v>
      </c>
      <c r="H593" s="14"/>
    </row>
    <row r="594" spans="1:8" ht="16">
      <c r="A594" s="14" t="s">
        <v>3271</v>
      </c>
      <c r="B594" s="14" t="s">
        <v>12</v>
      </c>
      <c r="C594" s="15">
        <v>46136</v>
      </c>
      <c r="D594" s="14" t="s">
        <v>2685</v>
      </c>
      <c r="E594" s="14" t="s">
        <v>2686</v>
      </c>
      <c r="F594" s="17">
        <v>5000</v>
      </c>
      <c r="G594" s="14" t="s">
        <v>2661</v>
      </c>
      <c r="H594" s="14"/>
    </row>
    <row r="595" spans="1:8" ht="16">
      <c r="A595" s="14" t="s">
        <v>3272</v>
      </c>
      <c r="B595" s="14" t="s">
        <v>67</v>
      </c>
      <c r="C595" s="15">
        <v>46247</v>
      </c>
      <c r="D595" s="14" t="s">
        <v>2665</v>
      </c>
      <c r="E595" s="14" t="s">
        <v>2666</v>
      </c>
      <c r="F595" s="17">
        <v>2500</v>
      </c>
      <c r="G595" s="14" t="s">
        <v>2661</v>
      </c>
      <c r="H595" s="14"/>
    </row>
    <row r="596" spans="1:8" ht="16">
      <c r="A596" s="14" t="s">
        <v>3273</v>
      </c>
      <c r="B596" s="14" t="s">
        <v>84</v>
      </c>
      <c r="C596" s="15">
        <v>46050</v>
      </c>
      <c r="D596" s="14" t="s">
        <v>2668</v>
      </c>
      <c r="E596" s="14" t="s">
        <v>2669</v>
      </c>
      <c r="F596" s="17">
        <v>4000</v>
      </c>
      <c r="G596" s="14" t="s">
        <v>2676</v>
      </c>
      <c r="H596" s="14"/>
    </row>
    <row r="597" spans="1:8" ht="16">
      <c r="A597" s="14" t="s">
        <v>3274</v>
      </c>
      <c r="B597" s="14" t="s">
        <v>234</v>
      </c>
      <c r="C597" s="15">
        <v>46268</v>
      </c>
      <c r="D597" s="14" t="s">
        <v>2663</v>
      </c>
      <c r="E597" s="14" t="s">
        <v>3630</v>
      </c>
      <c r="F597" s="17">
        <v>1500</v>
      </c>
      <c r="G597" s="14" t="s">
        <v>2676</v>
      </c>
      <c r="H597" s="14"/>
    </row>
    <row r="598" spans="1:8" ht="16">
      <c r="A598" s="14" t="s">
        <v>3275</v>
      </c>
      <c r="B598" s="14" t="s">
        <v>150</v>
      </c>
      <c r="C598" s="15">
        <v>45936</v>
      </c>
      <c r="D598" s="14" t="s">
        <v>2688</v>
      </c>
      <c r="E598" s="14" t="s">
        <v>2689</v>
      </c>
      <c r="F598" s="17">
        <v>8000</v>
      </c>
      <c r="G598" s="14" t="s">
        <v>2661</v>
      </c>
      <c r="H598" s="14"/>
    </row>
    <row r="599" spans="1:8" ht="16">
      <c r="A599" s="14" t="s">
        <v>3276</v>
      </c>
      <c r="B599" s="14" t="s">
        <v>237</v>
      </c>
      <c r="C599" s="15">
        <v>46127</v>
      </c>
      <c r="D599" s="14" t="s">
        <v>2682</v>
      </c>
      <c r="E599" s="14" t="s">
        <v>2683</v>
      </c>
      <c r="F599" s="17">
        <v>6000</v>
      </c>
      <c r="G599" s="14" t="s">
        <v>2661</v>
      </c>
      <c r="H599" s="14"/>
    </row>
    <row r="600" spans="1:8" ht="16">
      <c r="A600" s="14" t="s">
        <v>3277</v>
      </c>
      <c r="B600" s="14" t="s">
        <v>80</v>
      </c>
      <c r="C600" s="15">
        <v>46150</v>
      </c>
      <c r="D600" s="14" t="s">
        <v>2692</v>
      </c>
      <c r="E600" s="14" t="s">
        <v>2693</v>
      </c>
      <c r="F600" s="17">
        <v>10000</v>
      </c>
      <c r="G600" s="14" t="s">
        <v>2676</v>
      </c>
      <c r="H600" s="14"/>
    </row>
    <row r="601" spans="1:8" ht="16">
      <c r="A601" s="14" t="s">
        <v>3278</v>
      </c>
      <c r="B601" s="14" t="s">
        <v>207</v>
      </c>
      <c r="C601" s="15">
        <v>46248</v>
      </c>
      <c r="D601" s="14" t="s">
        <v>2682</v>
      </c>
      <c r="E601" s="14" t="s">
        <v>2683</v>
      </c>
      <c r="F601" s="17">
        <v>6000</v>
      </c>
      <c r="G601" s="14" t="s">
        <v>2661</v>
      </c>
      <c r="H601" s="14"/>
    </row>
    <row r="602" spans="1:8" ht="16">
      <c r="A602" s="14" t="s">
        <v>3279</v>
      </c>
      <c r="B602" s="14" t="s">
        <v>260</v>
      </c>
      <c r="C602" s="15">
        <v>46104</v>
      </c>
      <c r="D602" s="14" t="s">
        <v>2692</v>
      </c>
      <c r="E602" s="14" t="s">
        <v>2693</v>
      </c>
      <c r="F602" s="17">
        <v>10000</v>
      </c>
      <c r="G602" s="14" t="s">
        <v>2661</v>
      </c>
      <c r="H602" s="14"/>
    </row>
    <row r="603" spans="1:8" ht="16">
      <c r="A603" s="14" t="s">
        <v>3280</v>
      </c>
      <c r="B603" s="14" t="s">
        <v>178</v>
      </c>
      <c r="C603" s="15">
        <v>46163</v>
      </c>
      <c r="D603" s="14" t="s">
        <v>2685</v>
      </c>
      <c r="E603" s="14" t="s">
        <v>2686</v>
      </c>
      <c r="F603" s="17">
        <v>5000</v>
      </c>
      <c r="G603" s="14" t="s">
        <v>2676</v>
      </c>
      <c r="H603" s="14"/>
    </row>
    <row r="604" spans="1:8" ht="16">
      <c r="A604" s="14" t="s">
        <v>3281</v>
      </c>
      <c r="B604" s="14" t="s">
        <v>43</v>
      </c>
      <c r="C604" s="15">
        <v>46099</v>
      </c>
      <c r="D604" s="14" t="s">
        <v>2692</v>
      </c>
      <c r="E604" s="14" t="s">
        <v>2693</v>
      </c>
      <c r="F604" s="17">
        <v>10000</v>
      </c>
      <c r="G604" s="14" t="s">
        <v>2676</v>
      </c>
      <c r="H604" s="14"/>
    </row>
    <row r="605" spans="1:8" ht="16">
      <c r="A605" s="14" t="s">
        <v>3282</v>
      </c>
      <c r="B605" s="14" t="s">
        <v>93</v>
      </c>
      <c r="C605" s="15">
        <v>46029</v>
      </c>
      <c r="D605" s="14" t="s">
        <v>2665</v>
      </c>
      <c r="E605" s="14" t="s">
        <v>2666</v>
      </c>
      <c r="F605" s="17">
        <v>2500</v>
      </c>
      <c r="G605" s="14" t="s">
        <v>2661</v>
      </c>
      <c r="H605" s="14"/>
    </row>
    <row r="606" spans="1:8" ht="16">
      <c r="A606" s="14" t="s">
        <v>3283</v>
      </c>
      <c r="B606" s="14" t="s">
        <v>89</v>
      </c>
      <c r="C606" s="15">
        <v>45983</v>
      </c>
      <c r="D606" s="14" t="s">
        <v>2674</v>
      </c>
      <c r="E606" s="14" t="s">
        <v>2675</v>
      </c>
      <c r="F606" s="17">
        <v>20000</v>
      </c>
      <c r="G606" s="14" t="s">
        <v>2661</v>
      </c>
      <c r="H606" s="14"/>
    </row>
    <row r="607" spans="1:8" ht="16">
      <c r="A607" s="14" t="s">
        <v>3284</v>
      </c>
      <c r="B607" s="14" t="s">
        <v>184</v>
      </c>
      <c r="C607" s="15">
        <v>46235</v>
      </c>
      <c r="D607" s="14" t="s">
        <v>2688</v>
      </c>
      <c r="E607" s="14" t="s">
        <v>2689</v>
      </c>
      <c r="F607" s="17">
        <v>8000</v>
      </c>
      <c r="G607" s="14" t="s">
        <v>2661</v>
      </c>
      <c r="H607" s="14"/>
    </row>
    <row r="608" spans="1:8" ht="16">
      <c r="A608" s="14" t="s">
        <v>3285</v>
      </c>
      <c r="B608" s="14" t="s">
        <v>106</v>
      </c>
      <c r="C608" s="15">
        <v>46234</v>
      </c>
      <c r="D608" s="14" t="s">
        <v>2668</v>
      </c>
      <c r="E608" s="14" t="s">
        <v>2669</v>
      </c>
      <c r="F608" s="17">
        <v>4000</v>
      </c>
      <c r="G608" s="14" t="s">
        <v>2661</v>
      </c>
      <c r="H608" s="14"/>
    </row>
    <row r="609" spans="1:8" ht="16">
      <c r="A609" s="14" t="s">
        <v>3286</v>
      </c>
      <c r="B609" s="14" t="s">
        <v>280</v>
      </c>
      <c r="C609" s="15">
        <v>46224</v>
      </c>
      <c r="D609" s="14" t="s">
        <v>2685</v>
      </c>
      <c r="E609" s="14" t="s">
        <v>2686</v>
      </c>
      <c r="F609" s="17">
        <v>5000</v>
      </c>
      <c r="G609" s="14" t="s">
        <v>2661</v>
      </c>
      <c r="H609" s="14"/>
    </row>
    <row r="610" spans="1:8" ht="16">
      <c r="A610" s="14" t="s">
        <v>3287</v>
      </c>
      <c r="B610" s="14" t="s">
        <v>112</v>
      </c>
      <c r="C610" s="15">
        <v>46257</v>
      </c>
      <c r="D610" s="14" t="s">
        <v>2688</v>
      </c>
      <c r="E610" s="14" t="s">
        <v>2689</v>
      </c>
      <c r="F610" s="17">
        <v>8000</v>
      </c>
      <c r="G610" s="14" t="s">
        <v>2676</v>
      </c>
      <c r="H610" s="14"/>
    </row>
    <row r="611" spans="1:8" ht="16">
      <c r="A611" s="14" t="s">
        <v>3288</v>
      </c>
      <c r="B611" s="14" t="s">
        <v>194</v>
      </c>
      <c r="C611" s="15">
        <v>46062</v>
      </c>
      <c r="D611" s="14" t="s">
        <v>2688</v>
      </c>
      <c r="E611" s="14" t="s">
        <v>2689</v>
      </c>
      <c r="F611" s="17">
        <v>8000</v>
      </c>
      <c r="G611" s="14" t="s">
        <v>2661</v>
      </c>
      <c r="H611" s="14"/>
    </row>
    <row r="612" spans="1:8" ht="16">
      <c r="A612" s="14" t="s">
        <v>3289</v>
      </c>
      <c r="B612" s="14" t="s">
        <v>256</v>
      </c>
      <c r="C612" s="15">
        <v>46146</v>
      </c>
      <c r="D612" s="14" t="s">
        <v>2659</v>
      </c>
      <c r="E612" s="14" t="s">
        <v>2660</v>
      </c>
      <c r="F612" s="17">
        <v>3500</v>
      </c>
      <c r="G612" s="14" t="s">
        <v>2661</v>
      </c>
      <c r="H612" s="14"/>
    </row>
    <row r="613" spans="1:8" ht="16">
      <c r="A613" s="14" t="s">
        <v>3290</v>
      </c>
      <c r="B613" s="14" t="s">
        <v>192</v>
      </c>
      <c r="C613" s="15">
        <v>46248</v>
      </c>
      <c r="D613" s="14" t="s">
        <v>2692</v>
      </c>
      <c r="E613" s="14" t="s">
        <v>2693</v>
      </c>
      <c r="F613" s="17">
        <v>10000</v>
      </c>
      <c r="G613" s="14" t="s">
        <v>2661</v>
      </c>
      <c r="H613" s="14"/>
    </row>
    <row r="614" spans="1:8" ht="16">
      <c r="A614" s="14" t="s">
        <v>3291</v>
      </c>
      <c r="B614" s="14" t="s">
        <v>47</v>
      </c>
      <c r="C614" s="15">
        <v>46026</v>
      </c>
      <c r="D614" s="14" t="s">
        <v>2674</v>
      </c>
      <c r="E614" s="14" t="s">
        <v>2675</v>
      </c>
      <c r="F614" s="17">
        <v>20000</v>
      </c>
      <c r="G614" s="14" t="s">
        <v>2661</v>
      </c>
      <c r="H614" s="14"/>
    </row>
    <row r="615" spans="1:8" ht="16">
      <c r="A615" s="14" t="s">
        <v>3292</v>
      </c>
      <c r="B615" s="14" t="s">
        <v>71</v>
      </c>
      <c r="C615" s="15">
        <v>46001</v>
      </c>
      <c r="D615" s="14" t="s">
        <v>2663</v>
      </c>
      <c r="E615" s="14" t="s">
        <v>3630</v>
      </c>
      <c r="F615" s="17">
        <v>1500</v>
      </c>
      <c r="G615" s="14" t="s">
        <v>2661</v>
      </c>
      <c r="H615" s="14"/>
    </row>
    <row r="616" spans="1:8" ht="16">
      <c r="A616" s="14" t="s">
        <v>3293</v>
      </c>
      <c r="B616" s="14" t="s">
        <v>181</v>
      </c>
      <c r="C616" s="15">
        <v>45961</v>
      </c>
      <c r="D616" s="14" t="s">
        <v>2659</v>
      </c>
      <c r="E616" s="14" t="s">
        <v>2660</v>
      </c>
      <c r="F616" s="17">
        <v>3500</v>
      </c>
      <c r="G616" s="14" t="s">
        <v>2661</v>
      </c>
      <c r="H616" s="14"/>
    </row>
    <row r="617" spans="1:8" ht="16">
      <c r="A617" s="14" t="s">
        <v>3294</v>
      </c>
      <c r="B617" s="14" t="s">
        <v>100</v>
      </c>
      <c r="C617" s="15">
        <v>46090</v>
      </c>
      <c r="D617" s="14" t="s">
        <v>2671</v>
      </c>
      <c r="E617" s="14" t="s">
        <v>2672</v>
      </c>
      <c r="F617" s="17">
        <v>3000</v>
      </c>
      <c r="G617" s="14" t="s">
        <v>2676</v>
      </c>
      <c r="H617" s="14"/>
    </row>
    <row r="618" spans="1:8" ht="16">
      <c r="A618" s="14" t="s">
        <v>3295</v>
      </c>
      <c r="B618" s="14" t="s">
        <v>310</v>
      </c>
      <c r="C618" s="15">
        <v>46154</v>
      </c>
      <c r="D618" s="14" t="s">
        <v>2668</v>
      </c>
      <c r="E618" s="14" t="s">
        <v>2669</v>
      </c>
      <c r="F618" s="17">
        <v>4000</v>
      </c>
      <c r="G618" s="14" t="s">
        <v>2676</v>
      </c>
      <c r="H618" s="14"/>
    </row>
    <row r="619" spans="1:8" ht="16">
      <c r="A619" s="14" t="s">
        <v>3296</v>
      </c>
      <c r="B619" s="14" t="s">
        <v>161</v>
      </c>
      <c r="C619" s="15">
        <v>46264</v>
      </c>
      <c r="D619" s="14" t="s">
        <v>2659</v>
      </c>
      <c r="E619" s="14" t="s">
        <v>2660</v>
      </c>
      <c r="F619" s="17">
        <v>3500</v>
      </c>
      <c r="G619" s="14" t="s">
        <v>2661</v>
      </c>
      <c r="H619" s="14"/>
    </row>
    <row r="620" spans="1:8" ht="16">
      <c r="A620" s="14" t="s">
        <v>3297</v>
      </c>
      <c r="B620" s="14" t="s">
        <v>174</v>
      </c>
      <c r="C620" s="15">
        <v>46090</v>
      </c>
      <c r="D620" s="14" t="s">
        <v>2685</v>
      </c>
      <c r="E620" s="14" t="s">
        <v>2686</v>
      </c>
      <c r="F620" s="17">
        <v>5000</v>
      </c>
      <c r="G620" s="14" t="s">
        <v>2676</v>
      </c>
      <c r="H620" s="14"/>
    </row>
    <row r="621" spans="1:8" ht="16">
      <c r="A621" s="14" t="s">
        <v>3298</v>
      </c>
      <c r="B621" s="14" t="s">
        <v>164</v>
      </c>
      <c r="C621" s="15">
        <v>46208</v>
      </c>
      <c r="D621" s="14" t="s">
        <v>2692</v>
      </c>
      <c r="E621" s="14" t="s">
        <v>2693</v>
      </c>
      <c r="F621" s="17">
        <v>10000</v>
      </c>
      <c r="G621" s="14" t="s">
        <v>2661</v>
      </c>
      <c r="H621" s="14"/>
    </row>
    <row r="622" spans="1:8" ht="16">
      <c r="A622" s="14" t="s">
        <v>3299</v>
      </c>
      <c r="B622" s="14" t="s">
        <v>190</v>
      </c>
      <c r="C622" s="15">
        <v>46006</v>
      </c>
      <c r="D622" s="14" t="s">
        <v>2685</v>
      </c>
      <c r="E622" s="14" t="s">
        <v>2686</v>
      </c>
      <c r="F622" s="17">
        <v>5000</v>
      </c>
      <c r="G622" s="14" t="s">
        <v>2661</v>
      </c>
      <c r="H622" s="14"/>
    </row>
    <row r="623" spans="1:8" ht="16">
      <c r="A623" s="14" t="s">
        <v>3300</v>
      </c>
      <c r="B623" s="14" t="s">
        <v>259</v>
      </c>
      <c r="C623" s="15">
        <v>46089</v>
      </c>
      <c r="D623" s="14" t="s">
        <v>2688</v>
      </c>
      <c r="E623" s="14" t="s">
        <v>2689</v>
      </c>
      <c r="F623" s="17">
        <v>8000</v>
      </c>
      <c r="G623" s="14" t="s">
        <v>2676</v>
      </c>
      <c r="H623" s="14"/>
    </row>
    <row r="624" spans="1:8" ht="16">
      <c r="A624" s="14" t="s">
        <v>3301</v>
      </c>
      <c r="B624" s="14" t="s">
        <v>156</v>
      </c>
      <c r="C624" s="15">
        <v>46106</v>
      </c>
      <c r="D624" s="14" t="s">
        <v>2674</v>
      </c>
      <c r="E624" s="14" t="s">
        <v>2675</v>
      </c>
      <c r="F624" s="17">
        <v>20000</v>
      </c>
      <c r="G624" s="14" t="s">
        <v>2661</v>
      </c>
      <c r="H624" s="14"/>
    </row>
    <row r="625" spans="1:8" ht="16">
      <c r="A625" s="14" t="s">
        <v>3302</v>
      </c>
      <c r="B625" s="14" t="s">
        <v>214</v>
      </c>
      <c r="C625" s="15">
        <v>46119</v>
      </c>
      <c r="D625" s="14" t="s">
        <v>2659</v>
      </c>
      <c r="E625" s="14" t="s">
        <v>2660</v>
      </c>
      <c r="F625" s="17">
        <v>3500</v>
      </c>
      <c r="G625" s="14" t="s">
        <v>2661</v>
      </c>
      <c r="H625" s="14"/>
    </row>
    <row r="626" spans="1:8" ht="16">
      <c r="A626" s="14" t="s">
        <v>3303</v>
      </c>
      <c r="B626" s="14" t="s">
        <v>8</v>
      </c>
      <c r="C626" s="15">
        <v>46196</v>
      </c>
      <c r="D626" s="14" t="s">
        <v>2682</v>
      </c>
      <c r="E626" s="14" t="s">
        <v>2683</v>
      </c>
      <c r="F626" s="17">
        <v>6000</v>
      </c>
      <c r="G626" s="14" t="s">
        <v>2676</v>
      </c>
      <c r="H626" s="14"/>
    </row>
    <row r="627" spans="1:8" ht="16">
      <c r="A627" s="14" t="s">
        <v>3304</v>
      </c>
      <c r="B627" s="14" t="s">
        <v>148</v>
      </c>
      <c r="C627" s="15">
        <v>46267</v>
      </c>
      <c r="D627" s="14" t="s">
        <v>2665</v>
      </c>
      <c r="E627" s="14" t="s">
        <v>2666</v>
      </c>
      <c r="F627" s="17">
        <v>2500</v>
      </c>
      <c r="G627" s="14" t="s">
        <v>2661</v>
      </c>
      <c r="H627" s="14"/>
    </row>
    <row r="628" spans="1:8" ht="16">
      <c r="A628" s="14" t="s">
        <v>3305</v>
      </c>
      <c r="B628" s="14" t="s">
        <v>84</v>
      </c>
      <c r="C628" s="15">
        <v>45960</v>
      </c>
      <c r="D628" s="14" t="s">
        <v>2682</v>
      </c>
      <c r="E628" s="14" t="s">
        <v>2683</v>
      </c>
      <c r="F628" s="17">
        <v>6000</v>
      </c>
      <c r="G628" s="14" t="s">
        <v>2661</v>
      </c>
      <c r="H628" s="14"/>
    </row>
    <row r="629" spans="1:8" ht="16">
      <c r="A629" s="14" t="s">
        <v>3306</v>
      </c>
      <c r="B629" s="14" t="s">
        <v>193</v>
      </c>
      <c r="C629" s="15">
        <v>46190</v>
      </c>
      <c r="D629" s="14" t="s">
        <v>2685</v>
      </c>
      <c r="E629" s="14" t="s">
        <v>2686</v>
      </c>
      <c r="F629" s="17">
        <v>5000</v>
      </c>
      <c r="G629" s="14" t="s">
        <v>2676</v>
      </c>
      <c r="H629" s="14"/>
    </row>
    <row r="630" spans="1:8" ht="16">
      <c r="A630" s="14" t="s">
        <v>3307</v>
      </c>
      <c r="B630" s="14" t="s">
        <v>267</v>
      </c>
      <c r="C630" s="15">
        <v>45958</v>
      </c>
      <c r="D630" s="14" t="s">
        <v>2674</v>
      </c>
      <c r="E630" s="14" t="s">
        <v>2675</v>
      </c>
      <c r="F630" s="17">
        <v>20000</v>
      </c>
      <c r="G630" s="14" t="s">
        <v>2661</v>
      </c>
      <c r="H630" s="14"/>
    </row>
    <row r="631" spans="1:8" ht="16">
      <c r="A631" s="14" t="s">
        <v>3308</v>
      </c>
      <c r="B631" s="14" t="s">
        <v>39</v>
      </c>
      <c r="C631" s="15">
        <v>46107</v>
      </c>
      <c r="D631" s="14" t="s">
        <v>2692</v>
      </c>
      <c r="E631" s="14" t="s">
        <v>2693</v>
      </c>
      <c r="F631" s="17">
        <v>10000</v>
      </c>
      <c r="G631" s="14" t="s">
        <v>2661</v>
      </c>
      <c r="H631" s="14"/>
    </row>
    <row r="632" spans="1:8" ht="16">
      <c r="A632" s="14" t="s">
        <v>3309</v>
      </c>
      <c r="B632" s="14" t="s">
        <v>156</v>
      </c>
      <c r="C632" s="15">
        <v>46033</v>
      </c>
      <c r="D632" s="14" t="s">
        <v>2692</v>
      </c>
      <c r="E632" s="14" t="s">
        <v>2693</v>
      </c>
      <c r="F632" s="17">
        <v>10000</v>
      </c>
      <c r="G632" s="14" t="s">
        <v>2661</v>
      </c>
      <c r="H632" s="14"/>
    </row>
    <row r="633" spans="1:8" ht="16">
      <c r="A633" s="14" t="s">
        <v>3310</v>
      </c>
      <c r="B633" s="14" t="s">
        <v>104</v>
      </c>
      <c r="C633" s="15">
        <v>45966</v>
      </c>
      <c r="D633" s="14" t="s">
        <v>2671</v>
      </c>
      <c r="E633" s="14" t="s">
        <v>2672</v>
      </c>
      <c r="F633" s="17">
        <v>3000</v>
      </c>
      <c r="G633" s="14" t="s">
        <v>2661</v>
      </c>
      <c r="H633" s="14"/>
    </row>
    <row r="634" spans="1:8" ht="16">
      <c r="A634" s="14" t="s">
        <v>3311</v>
      </c>
      <c r="B634" s="14" t="s">
        <v>184</v>
      </c>
      <c r="C634" s="15">
        <v>46027</v>
      </c>
      <c r="D634" s="14" t="s">
        <v>2668</v>
      </c>
      <c r="E634" s="14" t="s">
        <v>2669</v>
      </c>
      <c r="F634" s="17">
        <v>4000</v>
      </c>
      <c r="G634" s="14" t="s">
        <v>2661</v>
      </c>
      <c r="H634" s="14"/>
    </row>
    <row r="635" spans="1:8" ht="16">
      <c r="A635" s="14" t="s">
        <v>3312</v>
      </c>
      <c r="B635" s="14" t="s">
        <v>263</v>
      </c>
      <c r="C635" s="15">
        <v>46286</v>
      </c>
      <c r="D635" s="14" t="s">
        <v>2665</v>
      </c>
      <c r="E635" s="14" t="s">
        <v>2666</v>
      </c>
      <c r="F635" s="17">
        <v>2500</v>
      </c>
      <c r="G635" s="14" t="s">
        <v>2661</v>
      </c>
      <c r="H635" s="14"/>
    </row>
    <row r="636" spans="1:8" ht="16">
      <c r="A636" s="14" t="s">
        <v>3313</v>
      </c>
      <c r="B636" s="14" t="s">
        <v>10</v>
      </c>
      <c r="C636" s="15">
        <v>46238</v>
      </c>
      <c r="D636" s="14" t="s">
        <v>2682</v>
      </c>
      <c r="E636" s="14" t="s">
        <v>2683</v>
      </c>
      <c r="F636" s="17">
        <v>6000</v>
      </c>
      <c r="G636" s="14" t="s">
        <v>2661</v>
      </c>
      <c r="H636" s="14"/>
    </row>
    <row r="637" spans="1:8" ht="16">
      <c r="A637" s="14" t="s">
        <v>3314</v>
      </c>
      <c r="B637" s="14" t="s">
        <v>56</v>
      </c>
      <c r="C637" s="15">
        <v>46227</v>
      </c>
      <c r="D637" s="14" t="s">
        <v>2674</v>
      </c>
      <c r="E637" s="14" t="s">
        <v>2675</v>
      </c>
      <c r="F637" s="17">
        <v>20000</v>
      </c>
      <c r="G637" s="14" t="s">
        <v>2676</v>
      </c>
      <c r="H637" s="14"/>
    </row>
    <row r="638" spans="1:8" ht="16">
      <c r="A638" s="14" t="s">
        <v>3315</v>
      </c>
      <c r="B638" s="14" t="s">
        <v>113</v>
      </c>
      <c r="C638" s="15">
        <v>46102</v>
      </c>
      <c r="D638" s="14" t="s">
        <v>2692</v>
      </c>
      <c r="E638" s="14" t="s">
        <v>2693</v>
      </c>
      <c r="F638" s="17">
        <v>10000</v>
      </c>
      <c r="G638" s="14" t="s">
        <v>2676</v>
      </c>
      <c r="H638" s="14"/>
    </row>
    <row r="639" spans="1:8" ht="16">
      <c r="A639" s="14" t="s">
        <v>3316</v>
      </c>
      <c r="B639" s="14" t="s">
        <v>154</v>
      </c>
      <c r="C639" s="15">
        <v>46084</v>
      </c>
      <c r="D639" s="14" t="s">
        <v>2688</v>
      </c>
      <c r="E639" s="14" t="s">
        <v>2689</v>
      </c>
      <c r="F639" s="17">
        <v>8000</v>
      </c>
      <c r="G639" s="14" t="s">
        <v>2661</v>
      </c>
      <c r="H639" s="14"/>
    </row>
    <row r="640" spans="1:8" ht="16">
      <c r="A640" s="14" t="s">
        <v>3317</v>
      </c>
      <c r="B640" s="14" t="s">
        <v>54</v>
      </c>
      <c r="C640" s="15">
        <v>46099</v>
      </c>
      <c r="D640" s="14" t="s">
        <v>2671</v>
      </c>
      <c r="E640" s="14" t="s">
        <v>2672</v>
      </c>
      <c r="F640" s="17">
        <v>3000</v>
      </c>
      <c r="G640" s="14" t="s">
        <v>2661</v>
      </c>
      <c r="H640" s="14"/>
    </row>
    <row r="641" spans="1:8" ht="16">
      <c r="A641" s="14" t="s">
        <v>3318</v>
      </c>
      <c r="B641" s="14" t="s">
        <v>162</v>
      </c>
      <c r="C641" s="15">
        <v>45984</v>
      </c>
      <c r="D641" s="14" t="s">
        <v>2663</v>
      </c>
      <c r="E641" s="14" t="s">
        <v>3630</v>
      </c>
      <c r="F641" s="17">
        <v>1500</v>
      </c>
      <c r="G641" s="14" t="s">
        <v>2661</v>
      </c>
      <c r="H641" s="14"/>
    </row>
    <row r="642" spans="1:8" ht="16">
      <c r="A642" s="14" t="s">
        <v>3319</v>
      </c>
      <c r="B642" s="14" t="s">
        <v>240</v>
      </c>
      <c r="C642" s="15">
        <v>45952</v>
      </c>
      <c r="D642" s="14" t="s">
        <v>2685</v>
      </c>
      <c r="E642" s="14" t="s">
        <v>2686</v>
      </c>
      <c r="F642" s="17">
        <v>5000</v>
      </c>
      <c r="G642" s="14" t="s">
        <v>2661</v>
      </c>
      <c r="H642" s="14"/>
    </row>
    <row r="643" spans="1:8" ht="16">
      <c r="A643" s="14" t="s">
        <v>3320</v>
      </c>
      <c r="B643" s="14" t="s">
        <v>252</v>
      </c>
      <c r="C643" s="15">
        <v>46043</v>
      </c>
      <c r="D643" s="14" t="s">
        <v>2663</v>
      </c>
      <c r="E643" s="14" t="s">
        <v>3630</v>
      </c>
      <c r="F643" s="17">
        <v>1500</v>
      </c>
      <c r="G643" s="14" t="s">
        <v>2661</v>
      </c>
      <c r="H643" s="14"/>
    </row>
    <row r="644" spans="1:8" ht="16">
      <c r="A644" s="14" t="s">
        <v>3321</v>
      </c>
      <c r="B644" s="14" t="s">
        <v>297</v>
      </c>
      <c r="C644" s="15">
        <v>46258</v>
      </c>
      <c r="D644" s="14" t="s">
        <v>2668</v>
      </c>
      <c r="E644" s="14" t="s">
        <v>2669</v>
      </c>
      <c r="F644" s="17">
        <v>4000</v>
      </c>
      <c r="G644" s="14" t="s">
        <v>2661</v>
      </c>
      <c r="H644" s="14"/>
    </row>
    <row r="645" spans="1:8" ht="16">
      <c r="A645" s="14" t="s">
        <v>3322</v>
      </c>
      <c r="B645" s="14" t="s">
        <v>149</v>
      </c>
      <c r="C645" s="15">
        <v>46285</v>
      </c>
      <c r="D645" s="14" t="s">
        <v>2685</v>
      </c>
      <c r="E645" s="14" t="s">
        <v>2686</v>
      </c>
      <c r="F645" s="17">
        <v>5000</v>
      </c>
      <c r="G645" s="14" t="s">
        <v>2661</v>
      </c>
      <c r="H645" s="14"/>
    </row>
    <row r="646" spans="1:8" ht="16">
      <c r="A646" s="14" t="s">
        <v>3323</v>
      </c>
      <c r="B646" s="14" t="s">
        <v>255</v>
      </c>
      <c r="C646" s="15">
        <v>46169</v>
      </c>
      <c r="D646" s="14" t="s">
        <v>2682</v>
      </c>
      <c r="E646" s="14" t="s">
        <v>2683</v>
      </c>
      <c r="F646" s="17">
        <v>6000</v>
      </c>
      <c r="G646" s="14" t="s">
        <v>2676</v>
      </c>
      <c r="H646" s="14"/>
    </row>
    <row r="647" spans="1:8" ht="16">
      <c r="A647" s="14" t="s">
        <v>3324</v>
      </c>
      <c r="B647" s="14" t="s">
        <v>40</v>
      </c>
      <c r="C647" s="15">
        <v>46040</v>
      </c>
      <c r="D647" s="14" t="s">
        <v>2674</v>
      </c>
      <c r="E647" s="14" t="s">
        <v>2675</v>
      </c>
      <c r="F647" s="17">
        <v>20000</v>
      </c>
      <c r="G647" s="14" t="s">
        <v>2661</v>
      </c>
      <c r="H647" s="14"/>
    </row>
    <row r="648" spans="1:8" ht="16">
      <c r="A648" s="14" t="s">
        <v>3325</v>
      </c>
      <c r="B648" s="14" t="s">
        <v>302</v>
      </c>
      <c r="C648" s="15">
        <v>46177</v>
      </c>
      <c r="D648" s="14" t="s">
        <v>2692</v>
      </c>
      <c r="E648" s="14" t="s">
        <v>2693</v>
      </c>
      <c r="F648" s="17">
        <v>10000</v>
      </c>
      <c r="G648" s="14" t="s">
        <v>2661</v>
      </c>
      <c r="H648" s="14"/>
    </row>
    <row r="649" spans="1:8" ht="16">
      <c r="A649" s="14" t="s">
        <v>3326</v>
      </c>
      <c r="B649" s="14" t="s">
        <v>77</v>
      </c>
      <c r="C649" s="15">
        <v>46123</v>
      </c>
      <c r="D649" s="14" t="s">
        <v>2688</v>
      </c>
      <c r="E649" s="14" t="s">
        <v>2689</v>
      </c>
      <c r="F649" s="17">
        <v>8000</v>
      </c>
      <c r="G649" s="14" t="s">
        <v>2661</v>
      </c>
      <c r="H649" s="14"/>
    </row>
    <row r="650" spans="1:8" ht="16">
      <c r="A650" s="14" t="s">
        <v>3327</v>
      </c>
      <c r="B650" s="14" t="s">
        <v>100</v>
      </c>
      <c r="C650" s="15">
        <v>46135</v>
      </c>
      <c r="D650" s="14" t="s">
        <v>2682</v>
      </c>
      <c r="E650" s="14" t="s">
        <v>2683</v>
      </c>
      <c r="F650" s="17">
        <v>6000</v>
      </c>
      <c r="G650" s="14" t="s">
        <v>2661</v>
      </c>
      <c r="H650" s="14"/>
    </row>
    <row r="651" spans="1:8" ht="16">
      <c r="A651" s="14" t="s">
        <v>3328</v>
      </c>
      <c r="B651" s="14" t="s">
        <v>245</v>
      </c>
      <c r="C651" s="15">
        <v>45934</v>
      </c>
      <c r="D651" s="14" t="s">
        <v>2668</v>
      </c>
      <c r="E651" s="14" t="s">
        <v>2669</v>
      </c>
      <c r="F651" s="17">
        <v>4000</v>
      </c>
      <c r="G651" s="14" t="s">
        <v>2661</v>
      </c>
      <c r="H651" s="14"/>
    </row>
    <row r="652" spans="1:8" ht="16">
      <c r="A652" s="14" t="s">
        <v>3329</v>
      </c>
      <c r="B652" s="14" t="s">
        <v>80</v>
      </c>
      <c r="C652" s="15">
        <v>45936</v>
      </c>
      <c r="D652" s="14" t="s">
        <v>2682</v>
      </c>
      <c r="E652" s="14" t="s">
        <v>2683</v>
      </c>
      <c r="F652" s="17">
        <v>6000</v>
      </c>
      <c r="G652" s="14" t="s">
        <v>2661</v>
      </c>
      <c r="H652" s="14"/>
    </row>
    <row r="653" spans="1:8" ht="16">
      <c r="A653" s="14" t="s">
        <v>3330</v>
      </c>
      <c r="B653" s="14" t="s">
        <v>271</v>
      </c>
      <c r="C653" s="15">
        <v>46114</v>
      </c>
      <c r="D653" s="14" t="s">
        <v>2685</v>
      </c>
      <c r="E653" s="14" t="s">
        <v>2686</v>
      </c>
      <c r="F653" s="17">
        <v>5000</v>
      </c>
      <c r="G653" s="14" t="s">
        <v>2661</v>
      </c>
      <c r="H653" s="14"/>
    </row>
    <row r="654" spans="1:8" ht="16">
      <c r="A654" s="14" t="s">
        <v>3331</v>
      </c>
      <c r="B654" s="14" t="s">
        <v>266</v>
      </c>
      <c r="C654" s="15">
        <v>46215</v>
      </c>
      <c r="D654" s="14" t="s">
        <v>2674</v>
      </c>
      <c r="E654" s="14" t="s">
        <v>2675</v>
      </c>
      <c r="F654" s="17">
        <v>20000</v>
      </c>
      <c r="G654" s="14" t="s">
        <v>2661</v>
      </c>
      <c r="H654" s="14"/>
    </row>
    <row r="655" spans="1:8" ht="16">
      <c r="A655" s="14" t="s">
        <v>3332</v>
      </c>
      <c r="B655" s="14" t="s">
        <v>45</v>
      </c>
      <c r="C655" s="15">
        <v>46003</v>
      </c>
      <c r="D655" s="14" t="s">
        <v>2665</v>
      </c>
      <c r="E655" s="14" t="s">
        <v>2666</v>
      </c>
      <c r="F655" s="17">
        <v>2500</v>
      </c>
      <c r="G655" s="14" t="s">
        <v>2661</v>
      </c>
      <c r="H655" s="14"/>
    </row>
    <row r="656" spans="1:8" ht="16">
      <c r="A656" s="14" t="s">
        <v>3333</v>
      </c>
      <c r="B656" s="14" t="s">
        <v>250</v>
      </c>
      <c r="C656" s="15">
        <v>46156</v>
      </c>
      <c r="D656" s="14" t="s">
        <v>2668</v>
      </c>
      <c r="E656" s="14" t="s">
        <v>2669</v>
      </c>
      <c r="F656" s="17">
        <v>4000</v>
      </c>
      <c r="G656" s="14" t="s">
        <v>2661</v>
      </c>
      <c r="H656" s="14"/>
    </row>
    <row r="657" spans="1:8" ht="16">
      <c r="A657" s="14" t="s">
        <v>3334</v>
      </c>
      <c r="B657" s="14" t="s">
        <v>126</v>
      </c>
      <c r="C657" s="15">
        <v>46254</v>
      </c>
      <c r="D657" s="14" t="s">
        <v>2692</v>
      </c>
      <c r="E657" s="14" t="s">
        <v>2693</v>
      </c>
      <c r="F657" s="17">
        <v>10000</v>
      </c>
      <c r="G657" s="14" t="s">
        <v>2676</v>
      </c>
      <c r="H657" s="14"/>
    </row>
    <row r="658" spans="1:8" ht="16">
      <c r="A658" s="14" t="s">
        <v>3335</v>
      </c>
      <c r="B658" s="14" t="s">
        <v>66</v>
      </c>
      <c r="C658" s="15">
        <v>46115</v>
      </c>
      <c r="D658" s="14" t="s">
        <v>2685</v>
      </c>
      <c r="E658" s="14" t="s">
        <v>2686</v>
      </c>
      <c r="F658" s="17">
        <v>5000</v>
      </c>
      <c r="G658" s="14" t="s">
        <v>2661</v>
      </c>
      <c r="H658" s="14"/>
    </row>
    <row r="659" spans="1:8" ht="16">
      <c r="A659" s="14" t="s">
        <v>3336</v>
      </c>
      <c r="B659" s="14" t="s">
        <v>304</v>
      </c>
      <c r="C659" s="15">
        <v>45946</v>
      </c>
      <c r="D659" s="14" t="s">
        <v>2688</v>
      </c>
      <c r="E659" s="14" t="s">
        <v>2689</v>
      </c>
      <c r="F659" s="17">
        <v>8000</v>
      </c>
      <c r="G659" s="14" t="s">
        <v>2661</v>
      </c>
      <c r="H659" s="14"/>
    </row>
    <row r="660" spans="1:8" ht="16">
      <c r="A660" s="14" t="s">
        <v>3337</v>
      </c>
      <c r="B660" s="14" t="s">
        <v>266</v>
      </c>
      <c r="C660" s="15">
        <v>46032</v>
      </c>
      <c r="D660" s="14" t="s">
        <v>2682</v>
      </c>
      <c r="E660" s="14" t="s">
        <v>2683</v>
      </c>
      <c r="F660" s="17">
        <v>6000</v>
      </c>
      <c r="G660" s="14" t="s">
        <v>2661</v>
      </c>
      <c r="H660" s="14"/>
    </row>
    <row r="661" spans="1:8" ht="16">
      <c r="A661" s="14" t="s">
        <v>3338</v>
      </c>
      <c r="B661" s="14" t="s">
        <v>196</v>
      </c>
      <c r="C661" s="15">
        <v>46020</v>
      </c>
      <c r="D661" s="14" t="s">
        <v>2692</v>
      </c>
      <c r="E661" s="14" t="s">
        <v>2693</v>
      </c>
      <c r="F661" s="17">
        <v>10000</v>
      </c>
      <c r="G661" s="14" t="s">
        <v>2661</v>
      </c>
      <c r="H661" s="14"/>
    </row>
    <row r="662" spans="1:8" ht="16">
      <c r="A662" s="14" t="s">
        <v>3339</v>
      </c>
      <c r="B662" s="14" t="s">
        <v>182</v>
      </c>
      <c r="C662" s="15">
        <v>46065</v>
      </c>
      <c r="D662" s="14" t="s">
        <v>2674</v>
      </c>
      <c r="E662" s="14" t="s">
        <v>2675</v>
      </c>
      <c r="F662" s="17">
        <v>20000</v>
      </c>
      <c r="G662" s="14" t="s">
        <v>2661</v>
      </c>
      <c r="H662" s="14"/>
    </row>
    <row r="663" spans="1:8" ht="16">
      <c r="A663" s="14" t="s">
        <v>3340</v>
      </c>
      <c r="B663" s="14" t="s">
        <v>216</v>
      </c>
      <c r="C663" s="15">
        <v>46104</v>
      </c>
      <c r="D663" s="14" t="s">
        <v>2665</v>
      </c>
      <c r="E663" s="14" t="s">
        <v>2666</v>
      </c>
      <c r="F663" s="17">
        <v>2500</v>
      </c>
      <c r="G663" s="14" t="s">
        <v>2676</v>
      </c>
      <c r="H663" s="14"/>
    </row>
    <row r="664" spans="1:8" ht="16">
      <c r="A664" s="14" t="s">
        <v>3341</v>
      </c>
      <c r="B664" s="14" t="s">
        <v>49</v>
      </c>
      <c r="C664" s="15">
        <v>46056</v>
      </c>
      <c r="D664" s="14" t="s">
        <v>2668</v>
      </c>
      <c r="E664" s="14" t="s">
        <v>2669</v>
      </c>
      <c r="F664" s="17">
        <v>4000</v>
      </c>
      <c r="G664" s="14" t="s">
        <v>2661</v>
      </c>
      <c r="H664" s="14"/>
    </row>
    <row r="665" spans="1:8" ht="16">
      <c r="A665" s="14" t="s">
        <v>3342</v>
      </c>
      <c r="B665" s="14" t="s">
        <v>73</v>
      </c>
      <c r="C665" s="15">
        <v>46031</v>
      </c>
      <c r="D665" s="14" t="s">
        <v>2688</v>
      </c>
      <c r="E665" s="14" t="s">
        <v>2689</v>
      </c>
      <c r="F665" s="17">
        <v>8000</v>
      </c>
      <c r="G665" s="14" t="s">
        <v>2661</v>
      </c>
      <c r="H665" s="14"/>
    </row>
    <row r="666" spans="1:8" ht="16">
      <c r="A666" s="14" t="s">
        <v>3343</v>
      </c>
      <c r="B666" s="14" t="s">
        <v>245</v>
      </c>
      <c r="C666" s="15">
        <v>46021</v>
      </c>
      <c r="D666" s="14" t="s">
        <v>2674</v>
      </c>
      <c r="E666" s="14" t="s">
        <v>2675</v>
      </c>
      <c r="F666" s="17">
        <v>20000</v>
      </c>
      <c r="G666" s="14" t="s">
        <v>2661</v>
      </c>
      <c r="H666" s="14"/>
    </row>
    <row r="667" spans="1:8" ht="16">
      <c r="A667" s="14" t="s">
        <v>3344</v>
      </c>
      <c r="B667" s="14" t="s">
        <v>65</v>
      </c>
      <c r="C667" s="15">
        <v>45982</v>
      </c>
      <c r="D667" s="14" t="s">
        <v>2668</v>
      </c>
      <c r="E667" s="14" t="s">
        <v>2669</v>
      </c>
      <c r="F667" s="17">
        <v>4000</v>
      </c>
      <c r="G667" s="14" t="s">
        <v>2661</v>
      </c>
      <c r="H667" s="14"/>
    </row>
    <row r="668" spans="1:8" ht="16">
      <c r="A668" s="14" t="s">
        <v>3345</v>
      </c>
      <c r="B668" s="14" t="s">
        <v>27</v>
      </c>
      <c r="C668" s="15">
        <v>46277</v>
      </c>
      <c r="D668" s="14" t="s">
        <v>2671</v>
      </c>
      <c r="E668" s="14" t="s">
        <v>2672</v>
      </c>
      <c r="F668" s="17">
        <v>3000</v>
      </c>
      <c r="G668" s="14" t="s">
        <v>2661</v>
      </c>
      <c r="H668" s="14"/>
    </row>
    <row r="669" spans="1:8" ht="16">
      <c r="A669" s="14" t="s">
        <v>3346</v>
      </c>
      <c r="B669" s="14" t="s">
        <v>76</v>
      </c>
      <c r="C669" s="15">
        <v>46125</v>
      </c>
      <c r="D669" s="14" t="s">
        <v>2671</v>
      </c>
      <c r="E669" s="14" t="s">
        <v>2672</v>
      </c>
      <c r="F669" s="17">
        <v>3000</v>
      </c>
      <c r="G669" s="14" t="s">
        <v>2661</v>
      </c>
      <c r="H669" s="14"/>
    </row>
    <row r="670" spans="1:8" ht="16">
      <c r="A670" s="14" t="s">
        <v>3347</v>
      </c>
      <c r="B670" s="14" t="s">
        <v>266</v>
      </c>
      <c r="C670" s="15">
        <v>46104</v>
      </c>
      <c r="D670" s="14" t="s">
        <v>2688</v>
      </c>
      <c r="E670" s="14" t="s">
        <v>2689</v>
      </c>
      <c r="F670" s="17">
        <v>8000</v>
      </c>
      <c r="G670" s="14" t="s">
        <v>2661</v>
      </c>
      <c r="H670" s="14"/>
    </row>
    <row r="671" spans="1:8" ht="16">
      <c r="A671" s="14" t="s">
        <v>3348</v>
      </c>
      <c r="B671" s="14" t="s">
        <v>300</v>
      </c>
      <c r="C671" s="15">
        <v>46087</v>
      </c>
      <c r="D671" s="14" t="s">
        <v>2674</v>
      </c>
      <c r="E671" s="14" t="s">
        <v>2675</v>
      </c>
      <c r="F671" s="17">
        <v>20000</v>
      </c>
      <c r="G671" s="14" t="s">
        <v>2661</v>
      </c>
      <c r="H671" s="14"/>
    </row>
    <row r="672" spans="1:8" ht="16">
      <c r="A672" s="14" t="s">
        <v>3349</v>
      </c>
      <c r="B672" s="14" t="s">
        <v>226</v>
      </c>
      <c r="C672" s="15">
        <v>46053</v>
      </c>
      <c r="D672" s="14" t="s">
        <v>2665</v>
      </c>
      <c r="E672" s="14" t="s">
        <v>2666</v>
      </c>
      <c r="F672" s="17">
        <v>2500</v>
      </c>
      <c r="G672" s="14" t="s">
        <v>2661</v>
      </c>
      <c r="H672" s="14"/>
    </row>
    <row r="673" spans="1:8" ht="16">
      <c r="A673" s="14" t="s">
        <v>3350</v>
      </c>
      <c r="B673" s="14" t="s">
        <v>276</v>
      </c>
      <c r="C673" s="15">
        <v>46121</v>
      </c>
      <c r="D673" s="14" t="s">
        <v>2685</v>
      </c>
      <c r="E673" s="14" t="s">
        <v>2686</v>
      </c>
      <c r="F673" s="17">
        <v>5000</v>
      </c>
      <c r="G673" s="14" t="s">
        <v>2661</v>
      </c>
      <c r="H673" s="14"/>
    </row>
    <row r="674" spans="1:8" ht="16">
      <c r="A674" s="14" t="s">
        <v>3351</v>
      </c>
      <c r="B674" s="14" t="s">
        <v>123</v>
      </c>
      <c r="C674" s="15">
        <v>46200</v>
      </c>
      <c r="D674" s="14" t="s">
        <v>2692</v>
      </c>
      <c r="E674" s="14" t="s">
        <v>2693</v>
      </c>
      <c r="F674" s="17">
        <v>10000</v>
      </c>
      <c r="G674" s="14" t="s">
        <v>2676</v>
      </c>
      <c r="H674" s="14"/>
    </row>
    <row r="675" spans="1:8" ht="16">
      <c r="A675" s="14" t="s">
        <v>3352</v>
      </c>
      <c r="B675" s="14" t="s">
        <v>150</v>
      </c>
      <c r="C675" s="15">
        <v>46153</v>
      </c>
      <c r="D675" s="14" t="s">
        <v>2665</v>
      </c>
      <c r="E675" s="14" t="s">
        <v>2666</v>
      </c>
      <c r="F675" s="17">
        <v>2500</v>
      </c>
      <c r="G675" s="14" t="s">
        <v>2661</v>
      </c>
      <c r="H675" s="14"/>
    </row>
    <row r="676" spans="1:8" ht="16">
      <c r="A676" s="14" t="s">
        <v>3353</v>
      </c>
      <c r="B676" s="14" t="s">
        <v>8</v>
      </c>
      <c r="C676" s="15">
        <v>45991</v>
      </c>
      <c r="D676" s="14" t="s">
        <v>2659</v>
      </c>
      <c r="E676" s="14" t="s">
        <v>2660</v>
      </c>
      <c r="F676" s="17">
        <v>3500</v>
      </c>
      <c r="G676" s="14" t="s">
        <v>2661</v>
      </c>
      <c r="H676" s="14"/>
    </row>
    <row r="677" spans="1:8" ht="16">
      <c r="A677" s="14" t="s">
        <v>3354</v>
      </c>
      <c r="B677" s="14" t="s">
        <v>293</v>
      </c>
      <c r="C677" s="15">
        <v>45997</v>
      </c>
      <c r="D677" s="14" t="s">
        <v>2659</v>
      </c>
      <c r="E677" s="14" t="s">
        <v>2660</v>
      </c>
      <c r="F677" s="17">
        <v>3500</v>
      </c>
      <c r="G677" s="14" t="s">
        <v>2661</v>
      </c>
      <c r="H677" s="14"/>
    </row>
    <row r="678" spans="1:8" ht="16">
      <c r="A678" s="14" t="s">
        <v>3355</v>
      </c>
      <c r="B678" s="14" t="s">
        <v>102</v>
      </c>
      <c r="C678" s="15">
        <v>46029</v>
      </c>
      <c r="D678" s="14" t="s">
        <v>2659</v>
      </c>
      <c r="E678" s="14" t="s">
        <v>2660</v>
      </c>
      <c r="F678" s="17">
        <v>3500</v>
      </c>
      <c r="G678" s="14" t="s">
        <v>2676</v>
      </c>
      <c r="H678" s="14"/>
    </row>
    <row r="679" spans="1:8" ht="16">
      <c r="A679" s="14" t="s">
        <v>3356</v>
      </c>
      <c r="B679" s="14" t="s">
        <v>197</v>
      </c>
      <c r="C679" s="15">
        <v>46124</v>
      </c>
      <c r="D679" s="14" t="s">
        <v>2685</v>
      </c>
      <c r="E679" s="14" t="s">
        <v>2686</v>
      </c>
      <c r="F679" s="17">
        <v>5000</v>
      </c>
      <c r="G679" s="14" t="s">
        <v>2661</v>
      </c>
      <c r="H679" s="14"/>
    </row>
    <row r="680" spans="1:8" ht="16">
      <c r="A680" s="14" t="s">
        <v>3357</v>
      </c>
      <c r="B680" s="14" t="s">
        <v>141</v>
      </c>
      <c r="C680" s="15">
        <v>46093</v>
      </c>
      <c r="D680" s="14" t="s">
        <v>2685</v>
      </c>
      <c r="E680" s="14" t="s">
        <v>2686</v>
      </c>
      <c r="F680" s="17">
        <v>5000</v>
      </c>
      <c r="G680" s="14" t="s">
        <v>2676</v>
      </c>
      <c r="H680" s="14"/>
    </row>
    <row r="681" spans="1:8" ht="16">
      <c r="A681" s="14" t="s">
        <v>3358</v>
      </c>
      <c r="B681" s="14" t="s">
        <v>249</v>
      </c>
      <c r="C681" s="15">
        <v>46150</v>
      </c>
      <c r="D681" s="14" t="s">
        <v>2668</v>
      </c>
      <c r="E681" s="14" t="s">
        <v>2669</v>
      </c>
      <c r="F681" s="17">
        <v>4000</v>
      </c>
      <c r="G681" s="14" t="s">
        <v>2661</v>
      </c>
      <c r="H681" s="14"/>
    </row>
    <row r="682" spans="1:8" ht="16">
      <c r="A682" s="14" t="s">
        <v>3359</v>
      </c>
      <c r="B682" s="14" t="s">
        <v>71</v>
      </c>
      <c r="C682" s="15">
        <v>45954</v>
      </c>
      <c r="D682" s="14" t="s">
        <v>2692</v>
      </c>
      <c r="E682" s="14" t="s">
        <v>2693</v>
      </c>
      <c r="F682" s="17">
        <v>10000</v>
      </c>
      <c r="G682" s="14" t="s">
        <v>2676</v>
      </c>
      <c r="H682" s="14"/>
    </row>
    <row r="683" spans="1:8" ht="16">
      <c r="A683" s="14" t="s">
        <v>3360</v>
      </c>
      <c r="B683" s="14" t="s">
        <v>102</v>
      </c>
      <c r="C683" s="15">
        <v>46231</v>
      </c>
      <c r="D683" s="14" t="s">
        <v>2674</v>
      </c>
      <c r="E683" s="14" t="s">
        <v>2675</v>
      </c>
      <c r="F683" s="17">
        <v>20000</v>
      </c>
      <c r="G683" s="14" t="s">
        <v>2661</v>
      </c>
      <c r="H683" s="14"/>
    </row>
    <row r="684" spans="1:8" ht="16">
      <c r="A684" s="14" t="s">
        <v>3361</v>
      </c>
      <c r="B684" s="14" t="s">
        <v>28</v>
      </c>
      <c r="C684" s="15">
        <v>46205</v>
      </c>
      <c r="D684" s="14" t="s">
        <v>2685</v>
      </c>
      <c r="E684" s="14" t="s">
        <v>2686</v>
      </c>
      <c r="F684" s="17">
        <v>5000</v>
      </c>
      <c r="G684" s="14" t="s">
        <v>2661</v>
      </c>
      <c r="H684" s="14"/>
    </row>
    <row r="685" spans="1:8" ht="16">
      <c r="A685" s="14" t="s">
        <v>3362</v>
      </c>
      <c r="B685" s="14" t="s">
        <v>206</v>
      </c>
      <c r="C685" s="15">
        <v>46007</v>
      </c>
      <c r="D685" s="14" t="s">
        <v>2685</v>
      </c>
      <c r="E685" s="14" t="s">
        <v>2686</v>
      </c>
      <c r="F685" s="17">
        <v>5000</v>
      </c>
      <c r="G685" s="14" t="s">
        <v>2661</v>
      </c>
      <c r="H685" s="14"/>
    </row>
    <row r="686" spans="1:8" ht="16">
      <c r="A686" s="14" t="s">
        <v>3363</v>
      </c>
      <c r="B686" s="14" t="s">
        <v>261</v>
      </c>
      <c r="C686" s="15">
        <v>46057</v>
      </c>
      <c r="D686" s="14" t="s">
        <v>2685</v>
      </c>
      <c r="E686" s="14" t="s">
        <v>2686</v>
      </c>
      <c r="F686" s="17">
        <v>5000</v>
      </c>
      <c r="G686" s="14" t="s">
        <v>2661</v>
      </c>
      <c r="H686" s="14"/>
    </row>
    <row r="687" spans="1:8" ht="16">
      <c r="A687" s="14" t="s">
        <v>3364</v>
      </c>
      <c r="B687" s="14" t="s">
        <v>73</v>
      </c>
      <c r="C687" s="15">
        <v>46253</v>
      </c>
      <c r="D687" s="14" t="s">
        <v>2685</v>
      </c>
      <c r="E687" s="14" t="s">
        <v>2686</v>
      </c>
      <c r="F687" s="17">
        <v>5000</v>
      </c>
      <c r="G687" s="14" t="s">
        <v>2661</v>
      </c>
      <c r="H687" s="14"/>
    </row>
    <row r="688" spans="1:8" ht="16">
      <c r="A688" s="14" t="s">
        <v>3365</v>
      </c>
      <c r="B688" s="14" t="s">
        <v>113</v>
      </c>
      <c r="C688" s="15">
        <v>45995</v>
      </c>
      <c r="D688" s="14" t="s">
        <v>2685</v>
      </c>
      <c r="E688" s="14" t="s">
        <v>2686</v>
      </c>
      <c r="F688" s="17">
        <v>5000</v>
      </c>
      <c r="G688" s="14" t="s">
        <v>2676</v>
      </c>
      <c r="H688" s="14"/>
    </row>
    <row r="689" spans="1:8" ht="16">
      <c r="A689" s="14" t="s">
        <v>3366</v>
      </c>
      <c r="B689" s="14" t="s">
        <v>275</v>
      </c>
      <c r="C689" s="15">
        <v>46230</v>
      </c>
      <c r="D689" s="14" t="s">
        <v>2671</v>
      </c>
      <c r="E689" s="14" t="s">
        <v>2672</v>
      </c>
      <c r="F689" s="17">
        <v>3000</v>
      </c>
      <c r="G689" s="14" t="s">
        <v>2661</v>
      </c>
      <c r="H689" s="14"/>
    </row>
    <row r="690" spans="1:8" ht="16">
      <c r="A690" s="14" t="s">
        <v>3367</v>
      </c>
      <c r="B690" s="14" t="s">
        <v>269</v>
      </c>
      <c r="C690" s="15">
        <v>46038</v>
      </c>
      <c r="D690" s="14" t="s">
        <v>2692</v>
      </c>
      <c r="E690" s="14" t="s">
        <v>2693</v>
      </c>
      <c r="F690" s="17">
        <v>10000</v>
      </c>
      <c r="G690" s="14" t="s">
        <v>2661</v>
      </c>
      <c r="H690" s="14"/>
    </row>
    <row r="691" spans="1:8" ht="16">
      <c r="A691" s="14" t="s">
        <v>3368</v>
      </c>
      <c r="B691" s="14" t="s">
        <v>48</v>
      </c>
      <c r="C691" s="15">
        <v>46171</v>
      </c>
      <c r="D691" s="14" t="s">
        <v>2659</v>
      </c>
      <c r="E691" s="14" t="s">
        <v>2660</v>
      </c>
      <c r="F691" s="17">
        <v>3500</v>
      </c>
      <c r="G691" s="14" t="s">
        <v>2676</v>
      </c>
      <c r="H691" s="14"/>
    </row>
    <row r="692" spans="1:8" ht="16">
      <c r="A692" s="14" t="s">
        <v>3369</v>
      </c>
      <c r="B692" s="14" t="s">
        <v>101</v>
      </c>
      <c r="C692" s="15">
        <v>45964</v>
      </c>
      <c r="D692" s="14" t="s">
        <v>2665</v>
      </c>
      <c r="E692" s="14" t="s">
        <v>2666</v>
      </c>
      <c r="F692" s="17">
        <v>2500</v>
      </c>
      <c r="G692" s="14" t="s">
        <v>2661</v>
      </c>
      <c r="H692" s="14"/>
    </row>
    <row r="693" spans="1:8" ht="16">
      <c r="A693" s="14" t="s">
        <v>3370</v>
      </c>
      <c r="B693" s="14" t="s">
        <v>228</v>
      </c>
      <c r="C693" s="15">
        <v>46191</v>
      </c>
      <c r="D693" s="14" t="s">
        <v>2659</v>
      </c>
      <c r="E693" s="14" t="s">
        <v>2660</v>
      </c>
      <c r="F693" s="17">
        <v>3500</v>
      </c>
      <c r="G693" s="14" t="s">
        <v>2661</v>
      </c>
      <c r="H693" s="14"/>
    </row>
    <row r="694" spans="1:8" ht="16">
      <c r="A694" s="14" t="s">
        <v>3371</v>
      </c>
      <c r="B694" s="14" t="s">
        <v>103</v>
      </c>
      <c r="C694" s="15">
        <v>46261</v>
      </c>
      <c r="D694" s="14" t="s">
        <v>2674</v>
      </c>
      <c r="E694" s="14" t="s">
        <v>2675</v>
      </c>
      <c r="F694" s="17">
        <v>20000</v>
      </c>
      <c r="G694" s="14" t="s">
        <v>2676</v>
      </c>
      <c r="H694" s="14"/>
    </row>
    <row r="695" spans="1:8" ht="16">
      <c r="A695" s="14" t="s">
        <v>3372</v>
      </c>
      <c r="B695" s="14" t="s">
        <v>33</v>
      </c>
      <c r="C695" s="15">
        <v>46122</v>
      </c>
      <c r="D695" s="14" t="s">
        <v>2665</v>
      </c>
      <c r="E695" s="14" t="s">
        <v>2666</v>
      </c>
      <c r="F695" s="17">
        <v>2500</v>
      </c>
      <c r="G695" s="14" t="s">
        <v>2661</v>
      </c>
      <c r="H695" s="14"/>
    </row>
    <row r="696" spans="1:8" ht="16">
      <c r="A696" s="14" t="s">
        <v>3373</v>
      </c>
      <c r="B696" s="14" t="s">
        <v>155</v>
      </c>
      <c r="C696" s="15">
        <v>46196</v>
      </c>
      <c r="D696" s="14" t="s">
        <v>2671</v>
      </c>
      <c r="E696" s="14" t="s">
        <v>2672</v>
      </c>
      <c r="F696" s="17">
        <v>3000</v>
      </c>
      <c r="G696" s="14" t="s">
        <v>2661</v>
      </c>
      <c r="H696" s="14"/>
    </row>
    <row r="697" spans="1:8" ht="16">
      <c r="A697" s="14" t="s">
        <v>3374</v>
      </c>
      <c r="B697" s="14" t="s">
        <v>223</v>
      </c>
      <c r="C697" s="15">
        <v>46022</v>
      </c>
      <c r="D697" s="14" t="s">
        <v>2668</v>
      </c>
      <c r="E697" s="14" t="s">
        <v>2669</v>
      </c>
      <c r="F697" s="17">
        <v>4000</v>
      </c>
      <c r="G697" s="14" t="s">
        <v>2661</v>
      </c>
      <c r="H697" s="14"/>
    </row>
    <row r="698" spans="1:8" ht="16">
      <c r="A698" s="14" t="s">
        <v>3375</v>
      </c>
      <c r="B698" s="14" t="s">
        <v>100</v>
      </c>
      <c r="C698" s="15">
        <v>46122</v>
      </c>
      <c r="D698" s="14" t="s">
        <v>2685</v>
      </c>
      <c r="E698" s="14" t="s">
        <v>2686</v>
      </c>
      <c r="F698" s="17">
        <v>5000</v>
      </c>
      <c r="G698" s="14" t="s">
        <v>2676</v>
      </c>
      <c r="H698" s="14"/>
    </row>
    <row r="699" spans="1:8" ht="16">
      <c r="A699" s="14" t="s">
        <v>3376</v>
      </c>
      <c r="B699" s="14" t="s">
        <v>192</v>
      </c>
      <c r="C699" s="15">
        <v>46286</v>
      </c>
      <c r="D699" s="14" t="s">
        <v>2663</v>
      </c>
      <c r="E699" s="14" t="s">
        <v>3630</v>
      </c>
      <c r="F699" s="17">
        <v>1500</v>
      </c>
      <c r="G699" s="14" t="s">
        <v>2661</v>
      </c>
      <c r="H699" s="14"/>
    </row>
    <row r="700" spans="1:8" ht="16">
      <c r="A700" s="14" t="s">
        <v>3377</v>
      </c>
      <c r="B700" s="14" t="s">
        <v>34</v>
      </c>
      <c r="C700" s="15">
        <v>46184</v>
      </c>
      <c r="D700" s="14" t="s">
        <v>2692</v>
      </c>
      <c r="E700" s="14" t="s">
        <v>2693</v>
      </c>
      <c r="F700" s="17">
        <v>10000</v>
      </c>
      <c r="G700" s="14" t="s">
        <v>2661</v>
      </c>
      <c r="H700" s="14"/>
    </row>
    <row r="701" spans="1:8" ht="16">
      <c r="A701" s="14" t="s">
        <v>3378</v>
      </c>
      <c r="B701" s="14" t="s">
        <v>289</v>
      </c>
      <c r="C701" s="15">
        <v>46068</v>
      </c>
      <c r="D701" s="14" t="s">
        <v>2692</v>
      </c>
      <c r="E701" s="14" t="s">
        <v>2693</v>
      </c>
      <c r="F701" s="17">
        <v>10000</v>
      </c>
      <c r="G701" s="14" t="s">
        <v>2676</v>
      </c>
      <c r="H701" s="14"/>
    </row>
    <row r="702" spans="1:8" ht="16">
      <c r="A702" s="14" t="s">
        <v>3379</v>
      </c>
      <c r="B702" s="14" t="s">
        <v>50</v>
      </c>
      <c r="C702" s="15">
        <v>46136</v>
      </c>
      <c r="D702" s="14" t="s">
        <v>2688</v>
      </c>
      <c r="E702" s="14" t="s">
        <v>2689</v>
      </c>
      <c r="F702" s="17">
        <v>8000</v>
      </c>
      <c r="G702" s="14" t="s">
        <v>2676</v>
      </c>
      <c r="H702" s="14"/>
    </row>
    <row r="703" spans="1:8" ht="16">
      <c r="A703" s="14" t="s">
        <v>3380</v>
      </c>
      <c r="B703" s="14" t="s">
        <v>240</v>
      </c>
      <c r="C703" s="15">
        <v>46263</v>
      </c>
      <c r="D703" s="14" t="s">
        <v>2682</v>
      </c>
      <c r="E703" s="14" t="s">
        <v>2683</v>
      </c>
      <c r="F703" s="17">
        <v>6000</v>
      </c>
      <c r="G703" s="14" t="s">
        <v>2661</v>
      </c>
      <c r="H703" s="14"/>
    </row>
    <row r="704" spans="1:8" ht="16">
      <c r="A704" s="14" t="s">
        <v>3381</v>
      </c>
      <c r="B704" s="14" t="s">
        <v>200</v>
      </c>
      <c r="C704" s="15">
        <v>46037</v>
      </c>
      <c r="D704" s="14" t="s">
        <v>2663</v>
      </c>
      <c r="E704" s="14" t="s">
        <v>3630</v>
      </c>
      <c r="F704" s="17">
        <v>1500</v>
      </c>
      <c r="G704" s="14" t="s">
        <v>2661</v>
      </c>
      <c r="H704" s="14"/>
    </row>
    <row r="705" spans="1:8" ht="16">
      <c r="A705" s="14" t="s">
        <v>3382</v>
      </c>
      <c r="B705" s="14" t="s">
        <v>213</v>
      </c>
      <c r="C705" s="15">
        <v>46034</v>
      </c>
      <c r="D705" s="14" t="s">
        <v>2688</v>
      </c>
      <c r="E705" s="14" t="s">
        <v>2689</v>
      </c>
      <c r="F705" s="17">
        <v>8000</v>
      </c>
      <c r="G705" s="14" t="s">
        <v>2661</v>
      </c>
      <c r="H705" s="14"/>
    </row>
    <row r="706" spans="1:8" ht="16">
      <c r="A706" s="14" t="s">
        <v>3383</v>
      </c>
      <c r="B706" s="14" t="s">
        <v>238</v>
      </c>
      <c r="C706" s="15">
        <v>46051</v>
      </c>
      <c r="D706" s="14" t="s">
        <v>2682</v>
      </c>
      <c r="E706" s="14" t="s">
        <v>2683</v>
      </c>
      <c r="F706" s="17">
        <v>6000</v>
      </c>
      <c r="G706" s="14" t="s">
        <v>2661</v>
      </c>
      <c r="H706" s="14"/>
    </row>
    <row r="707" spans="1:8" ht="16">
      <c r="A707" s="14" t="s">
        <v>3384</v>
      </c>
      <c r="B707" s="14" t="s">
        <v>188</v>
      </c>
      <c r="C707" s="15">
        <v>46042</v>
      </c>
      <c r="D707" s="14" t="s">
        <v>2663</v>
      </c>
      <c r="E707" s="14" t="s">
        <v>3630</v>
      </c>
      <c r="F707" s="17">
        <v>1500</v>
      </c>
      <c r="G707" s="14" t="s">
        <v>2661</v>
      </c>
      <c r="H707" s="14"/>
    </row>
    <row r="708" spans="1:8" ht="16">
      <c r="A708" s="14" t="s">
        <v>3385</v>
      </c>
      <c r="B708" s="14" t="s">
        <v>242</v>
      </c>
      <c r="C708" s="15">
        <v>46148</v>
      </c>
      <c r="D708" s="14" t="s">
        <v>2663</v>
      </c>
      <c r="E708" s="14" t="s">
        <v>3630</v>
      </c>
      <c r="F708" s="17">
        <v>1500</v>
      </c>
      <c r="G708" s="14" t="s">
        <v>2661</v>
      </c>
      <c r="H708" s="14"/>
    </row>
    <row r="709" spans="1:8" ht="16">
      <c r="A709" s="14" t="s">
        <v>3386</v>
      </c>
      <c r="B709" s="14" t="s">
        <v>270</v>
      </c>
      <c r="C709" s="15">
        <v>46223</v>
      </c>
      <c r="D709" s="14" t="s">
        <v>2663</v>
      </c>
      <c r="E709" s="14" t="s">
        <v>3630</v>
      </c>
      <c r="F709" s="17">
        <v>1500</v>
      </c>
      <c r="G709" s="14" t="s">
        <v>2661</v>
      </c>
      <c r="H709" s="14"/>
    </row>
    <row r="710" spans="1:8" ht="16">
      <c r="A710" s="14" t="s">
        <v>3387</v>
      </c>
      <c r="B710" s="14" t="s">
        <v>98</v>
      </c>
      <c r="C710" s="15">
        <v>46122</v>
      </c>
      <c r="D710" s="14" t="s">
        <v>2685</v>
      </c>
      <c r="E710" s="14" t="s">
        <v>2686</v>
      </c>
      <c r="F710" s="17">
        <v>5000</v>
      </c>
      <c r="G710" s="14" t="s">
        <v>2661</v>
      </c>
      <c r="H710" s="14"/>
    </row>
    <row r="711" spans="1:8" ht="16">
      <c r="A711" s="14" t="s">
        <v>3388</v>
      </c>
      <c r="B711" s="14" t="s">
        <v>191</v>
      </c>
      <c r="C711" s="15">
        <v>46212</v>
      </c>
      <c r="D711" s="14" t="s">
        <v>2663</v>
      </c>
      <c r="E711" s="14" t="s">
        <v>3630</v>
      </c>
      <c r="F711" s="17">
        <v>1500</v>
      </c>
      <c r="G711" s="14" t="s">
        <v>2661</v>
      </c>
      <c r="H711" s="14"/>
    </row>
    <row r="712" spans="1:8" ht="16">
      <c r="A712" s="14" t="s">
        <v>3389</v>
      </c>
      <c r="B712" s="14" t="s">
        <v>96</v>
      </c>
      <c r="C712" s="15">
        <v>45999</v>
      </c>
      <c r="D712" s="14" t="s">
        <v>2671</v>
      </c>
      <c r="E712" s="14" t="s">
        <v>2672</v>
      </c>
      <c r="F712" s="17">
        <v>3000</v>
      </c>
      <c r="G712" s="14" t="s">
        <v>2661</v>
      </c>
      <c r="H712" s="14"/>
    </row>
    <row r="713" spans="1:8" ht="16">
      <c r="A713" s="14" t="s">
        <v>3390</v>
      </c>
      <c r="B713" s="14" t="s">
        <v>228</v>
      </c>
      <c r="C713" s="15">
        <v>46082</v>
      </c>
      <c r="D713" s="14" t="s">
        <v>2668</v>
      </c>
      <c r="E713" s="14" t="s">
        <v>2669</v>
      </c>
      <c r="F713" s="17">
        <v>4000</v>
      </c>
      <c r="G713" s="14" t="s">
        <v>2661</v>
      </c>
      <c r="H713" s="14"/>
    </row>
    <row r="714" spans="1:8" ht="16">
      <c r="A714" s="14" t="s">
        <v>3391</v>
      </c>
      <c r="B714" s="14" t="s">
        <v>216</v>
      </c>
      <c r="C714" s="15">
        <v>46196</v>
      </c>
      <c r="D714" s="14" t="s">
        <v>2671</v>
      </c>
      <c r="E714" s="14" t="s">
        <v>2672</v>
      </c>
      <c r="F714" s="17">
        <v>3000</v>
      </c>
      <c r="G714" s="14" t="s">
        <v>2661</v>
      </c>
      <c r="H714" s="14"/>
    </row>
    <row r="715" spans="1:8" ht="16">
      <c r="A715" s="14" t="s">
        <v>3392</v>
      </c>
      <c r="B715" s="14" t="s">
        <v>12</v>
      </c>
      <c r="C715" s="15">
        <v>46048</v>
      </c>
      <c r="D715" s="14" t="s">
        <v>2688</v>
      </c>
      <c r="E715" s="14" t="s">
        <v>2689</v>
      </c>
      <c r="F715" s="17">
        <v>8000</v>
      </c>
      <c r="G715" s="14" t="s">
        <v>2676</v>
      </c>
      <c r="H715" s="14"/>
    </row>
    <row r="716" spans="1:8" ht="16">
      <c r="A716" s="14" t="s">
        <v>3393</v>
      </c>
      <c r="B716" s="14" t="s">
        <v>48</v>
      </c>
      <c r="C716" s="15">
        <v>45952</v>
      </c>
      <c r="D716" s="14" t="s">
        <v>2688</v>
      </c>
      <c r="E716" s="14" t="s">
        <v>2689</v>
      </c>
      <c r="F716" s="17">
        <v>8000</v>
      </c>
      <c r="G716" s="14" t="s">
        <v>2661</v>
      </c>
      <c r="H716" s="14"/>
    </row>
    <row r="717" spans="1:8" ht="16">
      <c r="A717" s="14" t="s">
        <v>3394</v>
      </c>
      <c r="B717" s="14" t="s">
        <v>103</v>
      </c>
      <c r="C717" s="15">
        <v>46193</v>
      </c>
      <c r="D717" s="14" t="s">
        <v>2659</v>
      </c>
      <c r="E717" s="14" t="s">
        <v>2660</v>
      </c>
      <c r="F717" s="17">
        <v>3500</v>
      </c>
      <c r="G717" s="14" t="s">
        <v>2676</v>
      </c>
      <c r="H717" s="14"/>
    </row>
    <row r="718" spans="1:8" ht="16">
      <c r="A718" s="14" t="s">
        <v>3395</v>
      </c>
      <c r="B718" s="14" t="s">
        <v>172</v>
      </c>
      <c r="C718" s="15">
        <v>46103</v>
      </c>
      <c r="D718" s="14" t="s">
        <v>2659</v>
      </c>
      <c r="E718" s="14" t="s">
        <v>2660</v>
      </c>
      <c r="F718" s="17">
        <v>3500</v>
      </c>
      <c r="G718" s="14" t="s">
        <v>2661</v>
      </c>
      <c r="H718" s="14"/>
    </row>
    <row r="719" spans="1:8" ht="16">
      <c r="A719" s="14" t="s">
        <v>3396</v>
      </c>
      <c r="B719" s="14" t="s">
        <v>75</v>
      </c>
      <c r="C719" s="15">
        <v>46161</v>
      </c>
      <c r="D719" s="14" t="s">
        <v>2659</v>
      </c>
      <c r="E719" s="14" t="s">
        <v>2660</v>
      </c>
      <c r="F719" s="17">
        <v>3500</v>
      </c>
      <c r="G719" s="14" t="s">
        <v>2661</v>
      </c>
      <c r="H719" s="14"/>
    </row>
    <row r="720" spans="1:8" ht="16">
      <c r="A720" s="14" t="s">
        <v>3397</v>
      </c>
      <c r="B720" s="14" t="s">
        <v>268</v>
      </c>
      <c r="C720" s="15">
        <v>46152</v>
      </c>
      <c r="D720" s="14" t="s">
        <v>2688</v>
      </c>
      <c r="E720" s="14" t="s">
        <v>2689</v>
      </c>
      <c r="F720" s="17">
        <v>8000</v>
      </c>
      <c r="G720" s="14" t="s">
        <v>2661</v>
      </c>
      <c r="H720" s="14"/>
    </row>
    <row r="721" spans="1:8" ht="16">
      <c r="A721" s="14" t="s">
        <v>3398</v>
      </c>
      <c r="B721" s="14" t="s">
        <v>120</v>
      </c>
      <c r="C721" s="15">
        <v>46119</v>
      </c>
      <c r="D721" s="14" t="s">
        <v>2668</v>
      </c>
      <c r="E721" s="14" t="s">
        <v>2669</v>
      </c>
      <c r="F721" s="17">
        <v>4000</v>
      </c>
      <c r="G721" s="14" t="s">
        <v>2661</v>
      </c>
      <c r="H721" s="14"/>
    </row>
    <row r="722" spans="1:8" ht="16">
      <c r="A722" s="14" t="s">
        <v>3399</v>
      </c>
      <c r="B722" s="14" t="s">
        <v>199</v>
      </c>
      <c r="C722" s="15">
        <v>46093</v>
      </c>
      <c r="D722" s="14" t="s">
        <v>2659</v>
      </c>
      <c r="E722" s="14" t="s">
        <v>2660</v>
      </c>
      <c r="F722" s="17">
        <v>3500</v>
      </c>
      <c r="G722" s="14" t="s">
        <v>2661</v>
      </c>
      <c r="H722" s="14"/>
    </row>
    <row r="723" spans="1:8" ht="16">
      <c r="A723" s="14" t="s">
        <v>3400</v>
      </c>
      <c r="B723" s="14" t="s">
        <v>280</v>
      </c>
      <c r="C723" s="15">
        <v>46126</v>
      </c>
      <c r="D723" s="14" t="s">
        <v>2692</v>
      </c>
      <c r="E723" s="14" t="s">
        <v>2693</v>
      </c>
      <c r="F723" s="17">
        <v>10000</v>
      </c>
      <c r="G723" s="14" t="s">
        <v>2661</v>
      </c>
      <c r="H723" s="14"/>
    </row>
    <row r="724" spans="1:8" ht="16">
      <c r="A724" s="14" t="s">
        <v>3401</v>
      </c>
      <c r="B724" s="14" t="s">
        <v>215</v>
      </c>
      <c r="C724" s="15">
        <v>46022</v>
      </c>
      <c r="D724" s="14" t="s">
        <v>2685</v>
      </c>
      <c r="E724" s="14" t="s">
        <v>2686</v>
      </c>
      <c r="F724" s="17">
        <v>5000</v>
      </c>
      <c r="G724" s="14" t="s">
        <v>2661</v>
      </c>
      <c r="H724" s="14"/>
    </row>
    <row r="725" spans="1:8" ht="16">
      <c r="A725" s="14" t="s">
        <v>3402</v>
      </c>
      <c r="B725" s="14" t="s">
        <v>16</v>
      </c>
      <c r="C725" s="15">
        <v>46050</v>
      </c>
      <c r="D725" s="14" t="s">
        <v>2668</v>
      </c>
      <c r="E725" s="14" t="s">
        <v>2669</v>
      </c>
      <c r="F725" s="17">
        <v>4000</v>
      </c>
      <c r="G725" s="14" t="s">
        <v>2661</v>
      </c>
      <c r="H725" s="14"/>
    </row>
    <row r="726" spans="1:8" ht="16">
      <c r="A726" s="14" t="s">
        <v>3403</v>
      </c>
      <c r="B726" s="14" t="s">
        <v>234</v>
      </c>
      <c r="C726" s="15">
        <v>46261</v>
      </c>
      <c r="D726" s="14" t="s">
        <v>2692</v>
      </c>
      <c r="E726" s="14" t="s">
        <v>2693</v>
      </c>
      <c r="F726" s="17">
        <v>10000</v>
      </c>
      <c r="G726" s="14" t="s">
        <v>2661</v>
      </c>
      <c r="H726" s="14"/>
    </row>
    <row r="727" spans="1:8" ht="16">
      <c r="A727" s="14" t="s">
        <v>3404</v>
      </c>
      <c r="B727" s="14" t="s">
        <v>284</v>
      </c>
      <c r="C727" s="15">
        <v>46114</v>
      </c>
      <c r="D727" s="14" t="s">
        <v>2688</v>
      </c>
      <c r="E727" s="14" t="s">
        <v>2689</v>
      </c>
      <c r="F727" s="17">
        <v>8000</v>
      </c>
      <c r="G727" s="14" t="s">
        <v>2661</v>
      </c>
      <c r="H727" s="14"/>
    </row>
    <row r="728" spans="1:8" ht="16">
      <c r="A728" s="14" t="s">
        <v>3405</v>
      </c>
      <c r="B728" s="14" t="s">
        <v>291</v>
      </c>
      <c r="C728" s="15">
        <v>46081</v>
      </c>
      <c r="D728" s="14" t="s">
        <v>2663</v>
      </c>
      <c r="E728" s="14" t="s">
        <v>3630</v>
      </c>
      <c r="F728" s="17">
        <v>1500</v>
      </c>
      <c r="G728" s="14" t="s">
        <v>2676</v>
      </c>
      <c r="H728" s="14"/>
    </row>
    <row r="729" spans="1:8" ht="16">
      <c r="A729" s="14" t="s">
        <v>3406</v>
      </c>
      <c r="B729" s="14" t="s">
        <v>224</v>
      </c>
      <c r="C729" s="15">
        <v>46193</v>
      </c>
      <c r="D729" s="14" t="s">
        <v>2682</v>
      </c>
      <c r="E729" s="14" t="s">
        <v>2683</v>
      </c>
      <c r="F729" s="17">
        <v>6000</v>
      </c>
      <c r="G729" s="14" t="s">
        <v>2676</v>
      </c>
      <c r="H729" s="14"/>
    </row>
    <row r="730" spans="1:8" ht="16">
      <c r="A730" s="14" t="s">
        <v>3407</v>
      </c>
      <c r="B730" s="14" t="s">
        <v>128</v>
      </c>
      <c r="C730" s="15">
        <v>46260</v>
      </c>
      <c r="D730" s="14" t="s">
        <v>2668</v>
      </c>
      <c r="E730" s="14" t="s">
        <v>2669</v>
      </c>
      <c r="F730" s="17">
        <v>4000</v>
      </c>
      <c r="G730" s="14" t="s">
        <v>2661</v>
      </c>
      <c r="H730" s="14"/>
    </row>
    <row r="731" spans="1:8" ht="16">
      <c r="A731" s="14" t="s">
        <v>3408</v>
      </c>
      <c r="B731" s="14" t="s">
        <v>46</v>
      </c>
      <c r="C731" s="15">
        <v>46072</v>
      </c>
      <c r="D731" s="14" t="s">
        <v>2668</v>
      </c>
      <c r="E731" s="14" t="s">
        <v>2669</v>
      </c>
      <c r="F731" s="17">
        <v>4000</v>
      </c>
      <c r="G731" s="14" t="s">
        <v>2661</v>
      </c>
      <c r="H731" s="14"/>
    </row>
    <row r="732" spans="1:8" ht="16">
      <c r="A732" s="14" t="s">
        <v>3409</v>
      </c>
      <c r="B732" s="14" t="s">
        <v>159</v>
      </c>
      <c r="C732" s="15">
        <v>45981</v>
      </c>
      <c r="D732" s="14" t="s">
        <v>2671</v>
      </c>
      <c r="E732" s="14" t="s">
        <v>2672</v>
      </c>
      <c r="F732" s="17">
        <v>3000</v>
      </c>
      <c r="G732" s="14" t="s">
        <v>2661</v>
      </c>
      <c r="H732" s="14"/>
    </row>
    <row r="733" spans="1:8" ht="16">
      <c r="A733" s="14" t="s">
        <v>3410</v>
      </c>
      <c r="B733" s="14" t="s">
        <v>224</v>
      </c>
      <c r="C733" s="15">
        <v>45967</v>
      </c>
      <c r="D733" s="14" t="s">
        <v>2692</v>
      </c>
      <c r="E733" s="14" t="s">
        <v>2693</v>
      </c>
      <c r="F733" s="17">
        <v>10000</v>
      </c>
      <c r="G733" s="14" t="s">
        <v>2661</v>
      </c>
      <c r="H733" s="14"/>
    </row>
    <row r="734" spans="1:8" ht="16">
      <c r="A734" s="14" t="s">
        <v>3411</v>
      </c>
      <c r="B734" s="14" t="s">
        <v>111</v>
      </c>
      <c r="C734" s="15">
        <v>45950</v>
      </c>
      <c r="D734" s="14" t="s">
        <v>2659</v>
      </c>
      <c r="E734" s="14" t="s">
        <v>2660</v>
      </c>
      <c r="F734" s="17">
        <v>3500</v>
      </c>
      <c r="G734" s="14" t="s">
        <v>2676</v>
      </c>
      <c r="H734" s="14"/>
    </row>
    <row r="735" spans="1:8" ht="16">
      <c r="A735" s="14" t="s">
        <v>3412</v>
      </c>
      <c r="B735" s="14" t="s">
        <v>297</v>
      </c>
      <c r="C735" s="15">
        <v>46033</v>
      </c>
      <c r="D735" s="14" t="s">
        <v>2659</v>
      </c>
      <c r="E735" s="14" t="s">
        <v>2660</v>
      </c>
      <c r="F735" s="17">
        <v>3500</v>
      </c>
      <c r="G735" s="14" t="s">
        <v>2661</v>
      </c>
      <c r="H735" s="14"/>
    </row>
    <row r="736" spans="1:8" ht="16">
      <c r="A736" s="14" t="s">
        <v>3413</v>
      </c>
      <c r="B736" s="14" t="s">
        <v>110</v>
      </c>
      <c r="C736" s="15">
        <v>46031</v>
      </c>
      <c r="D736" s="14" t="s">
        <v>2685</v>
      </c>
      <c r="E736" s="14" t="s">
        <v>2686</v>
      </c>
      <c r="F736" s="17">
        <v>5000</v>
      </c>
      <c r="G736" s="14" t="s">
        <v>2661</v>
      </c>
      <c r="H736" s="14"/>
    </row>
    <row r="737" spans="1:8" ht="16">
      <c r="A737" s="14" t="s">
        <v>3414</v>
      </c>
      <c r="B737" s="14" t="s">
        <v>143</v>
      </c>
      <c r="C737" s="15">
        <v>46059</v>
      </c>
      <c r="D737" s="14" t="s">
        <v>2674</v>
      </c>
      <c r="E737" s="14" t="s">
        <v>2675</v>
      </c>
      <c r="F737" s="17">
        <v>20000</v>
      </c>
      <c r="G737" s="14" t="s">
        <v>2661</v>
      </c>
      <c r="H737" s="14"/>
    </row>
    <row r="738" spans="1:8" ht="16">
      <c r="A738" s="14" t="s">
        <v>3415</v>
      </c>
      <c r="B738" s="14" t="s">
        <v>92</v>
      </c>
      <c r="C738" s="15">
        <v>46280</v>
      </c>
      <c r="D738" s="14" t="s">
        <v>2663</v>
      </c>
      <c r="E738" s="14" t="s">
        <v>3630</v>
      </c>
      <c r="F738" s="17">
        <v>1500</v>
      </c>
      <c r="G738" s="14" t="s">
        <v>2661</v>
      </c>
      <c r="H738" s="14"/>
    </row>
    <row r="739" spans="1:8" ht="16">
      <c r="A739" s="14" t="s">
        <v>3416</v>
      </c>
      <c r="B739" s="14" t="s">
        <v>28</v>
      </c>
      <c r="C739" s="15">
        <v>46028</v>
      </c>
      <c r="D739" s="14" t="s">
        <v>2659</v>
      </c>
      <c r="E739" s="14" t="s">
        <v>2660</v>
      </c>
      <c r="F739" s="17">
        <v>3500</v>
      </c>
      <c r="G739" s="14" t="s">
        <v>2676</v>
      </c>
      <c r="H739" s="14"/>
    </row>
    <row r="740" spans="1:8" ht="16">
      <c r="A740" s="14" t="s">
        <v>3417</v>
      </c>
      <c r="B740" s="14" t="s">
        <v>184</v>
      </c>
      <c r="C740" s="15">
        <v>46001</v>
      </c>
      <c r="D740" s="14" t="s">
        <v>2663</v>
      </c>
      <c r="E740" s="14" t="s">
        <v>3630</v>
      </c>
      <c r="F740" s="17">
        <v>1500</v>
      </c>
      <c r="G740" s="14" t="s">
        <v>2676</v>
      </c>
      <c r="H740" s="14"/>
    </row>
    <row r="741" spans="1:8" ht="16">
      <c r="A741" s="14" t="s">
        <v>3418</v>
      </c>
      <c r="B741" s="14" t="s">
        <v>309</v>
      </c>
      <c r="C741" s="15">
        <v>46064</v>
      </c>
      <c r="D741" s="14" t="s">
        <v>2665</v>
      </c>
      <c r="E741" s="14" t="s">
        <v>2666</v>
      </c>
      <c r="F741" s="17">
        <v>2500</v>
      </c>
      <c r="G741" s="14" t="s">
        <v>2661</v>
      </c>
      <c r="H741" s="14"/>
    </row>
    <row r="742" spans="1:8" ht="16">
      <c r="A742" s="14" t="s">
        <v>3419</v>
      </c>
      <c r="B742" s="14" t="s">
        <v>241</v>
      </c>
      <c r="C742" s="15">
        <v>46084</v>
      </c>
      <c r="D742" s="14" t="s">
        <v>2665</v>
      </c>
      <c r="E742" s="14" t="s">
        <v>2666</v>
      </c>
      <c r="F742" s="17">
        <v>2500</v>
      </c>
      <c r="G742" s="14" t="s">
        <v>2661</v>
      </c>
      <c r="H742" s="14"/>
    </row>
    <row r="743" spans="1:8" ht="16">
      <c r="A743" s="14" t="s">
        <v>3420</v>
      </c>
      <c r="B743" s="14" t="s">
        <v>59</v>
      </c>
      <c r="C743" s="15">
        <v>46108</v>
      </c>
      <c r="D743" s="14" t="s">
        <v>2665</v>
      </c>
      <c r="E743" s="14" t="s">
        <v>2666</v>
      </c>
      <c r="F743" s="17">
        <v>2500</v>
      </c>
      <c r="G743" s="14" t="s">
        <v>2661</v>
      </c>
      <c r="H743" s="14"/>
    </row>
    <row r="744" spans="1:8" ht="16">
      <c r="A744" s="14" t="s">
        <v>3421</v>
      </c>
      <c r="B744" s="14" t="s">
        <v>189</v>
      </c>
      <c r="C744" s="15">
        <v>46138</v>
      </c>
      <c r="D744" s="14" t="s">
        <v>2663</v>
      </c>
      <c r="E744" s="14" t="s">
        <v>3630</v>
      </c>
      <c r="F744" s="17">
        <v>1500</v>
      </c>
      <c r="G744" s="14" t="s">
        <v>2676</v>
      </c>
      <c r="H744" s="14"/>
    </row>
    <row r="745" spans="1:8" ht="16">
      <c r="A745" s="14" t="s">
        <v>3422</v>
      </c>
      <c r="B745" s="14" t="s">
        <v>223</v>
      </c>
      <c r="C745" s="15">
        <v>46266</v>
      </c>
      <c r="D745" s="14" t="s">
        <v>2659</v>
      </c>
      <c r="E745" s="14" t="s">
        <v>2660</v>
      </c>
      <c r="F745" s="17">
        <v>3500</v>
      </c>
      <c r="G745" s="14" t="s">
        <v>2661</v>
      </c>
      <c r="H745" s="14"/>
    </row>
    <row r="746" spans="1:8" ht="16">
      <c r="A746" s="14" t="s">
        <v>3423</v>
      </c>
      <c r="B746" s="14" t="s">
        <v>209</v>
      </c>
      <c r="C746" s="15">
        <v>46172</v>
      </c>
      <c r="D746" s="14" t="s">
        <v>2688</v>
      </c>
      <c r="E746" s="14" t="s">
        <v>2689</v>
      </c>
      <c r="F746" s="17">
        <v>8000</v>
      </c>
      <c r="G746" s="14" t="s">
        <v>2676</v>
      </c>
      <c r="H746" s="14"/>
    </row>
    <row r="747" spans="1:8" ht="16">
      <c r="A747" s="14" t="s">
        <v>3424</v>
      </c>
      <c r="B747" s="14" t="s">
        <v>107</v>
      </c>
      <c r="C747" s="15">
        <v>46007</v>
      </c>
      <c r="D747" s="14" t="s">
        <v>2674</v>
      </c>
      <c r="E747" s="14" t="s">
        <v>2675</v>
      </c>
      <c r="F747" s="17">
        <v>20000</v>
      </c>
      <c r="G747" s="14" t="s">
        <v>2661</v>
      </c>
      <c r="H747" s="14"/>
    </row>
    <row r="748" spans="1:8" ht="16">
      <c r="A748" s="14" t="s">
        <v>3425</v>
      </c>
      <c r="B748" s="14" t="s">
        <v>41</v>
      </c>
      <c r="C748" s="15">
        <v>46047</v>
      </c>
      <c r="D748" s="14" t="s">
        <v>2688</v>
      </c>
      <c r="E748" s="14" t="s">
        <v>2689</v>
      </c>
      <c r="F748" s="17">
        <v>8000</v>
      </c>
      <c r="G748" s="14" t="s">
        <v>2661</v>
      </c>
      <c r="H748" s="14"/>
    </row>
    <row r="749" spans="1:8" ht="16">
      <c r="A749" s="14" t="s">
        <v>3426</v>
      </c>
      <c r="B749" s="14" t="s">
        <v>23</v>
      </c>
      <c r="C749" s="15">
        <v>46038</v>
      </c>
      <c r="D749" s="14" t="s">
        <v>2688</v>
      </c>
      <c r="E749" s="14" t="s">
        <v>2689</v>
      </c>
      <c r="F749" s="17">
        <v>8000</v>
      </c>
      <c r="G749" s="14" t="s">
        <v>2661</v>
      </c>
      <c r="H749" s="14"/>
    </row>
    <row r="750" spans="1:8" ht="16">
      <c r="A750" s="14" t="s">
        <v>3427</v>
      </c>
      <c r="B750" s="14" t="s">
        <v>222</v>
      </c>
      <c r="C750" s="15">
        <v>46050</v>
      </c>
      <c r="D750" s="14" t="s">
        <v>2671</v>
      </c>
      <c r="E750" s="14" t="s">
        <v>2672</v>
      </c>
      <c r="F750" s="17">
        <v>3000</v>
      </c>
      <c r="G750" s="14" t="s">
        <v>2676</v>
      </c>
      <c r="H750" s="14"/>
    </row>
    <row r="751" spans="1:8" ht="16">
      <c r="A751" s="14" t="s">
        <v>3428</v>
      </c>
      <c r="B751" s="14" t="s">
        <v>131</v>
      </c>
      <c r="C751" s="15">
        <v>46231</v>
      </c>
      <c r="D751" s="14" t="s">
        <v>2692</v>
      </c>
      <c r="E751" s="14" t="s">
        <v>2693</v>
      </c>
      <c r="F751" s="17">
        <v>10000</v>
      </c>
      <c r="G751" s="14" t="s">
        <v>2676</v>
      </c>
      <c r="H751" s="14"/>
    </row>
    <row r="752" spans="1:8" ht="16">
      <c r="A752" s="14" t="s">
        <v>3429</v>
      </c>
      <c r="B752" s="14" t="s">
        <v>236</v>
      </c>
      <c r="C752" s="15">
        <v>46170</v>
      </c>
      <c r="D752" s="14" t="s">
        <v>2692</v>
      </c>
      <c r="E752" s="14" t="s">
        <v>2693</v>
      </c>
      <c r="F752" s="17">
        <v>10000</v>
      </c>
      <c r="G752" s="14" t="s">
        <v>2661</v>
      </c>
      <c r="H752" s="14"/>
    </row>
    <row r="753" spans="1:8" ht="16">
      <c r="A753" s="14" t="s">
        <v>3430</v>
      </c>
      <c r="B753" s="14" t="s">
        <v>264</v>
      </c>
      <c r="C753" s="15">
        <v>46105</v>
      </c>
      <c r="D753" s="14" t="s">
        <v>2665</v>
      </c>
      <c r="E753" s="14" t="s">
        <v>2666</v>
      </c>
      <c r="F753" s="17">
        <v>2500</v>
      </c>
      <c r="G753" s="14" t="s">
        <v>2661</v>
      </c>
      <c r="H753" s="14"/>
    </row>
    <row r="754" spans="1:8" ht="16">
      <c r="A754" s="14" t="s">
        <v>3431</v>
      </c>
      <c r="B754" s="14" t="s">
        <v>96</v>
      </c>
      <c r="C754" s="15">
        <v>46091</v>
      </c>
      <c r="D754" s="14" t="s">
        <v>2685</v>
      </c>
      <c r="E754" s="14" t="s">
        <v>2686</v>
      </c>
      <c r="F754" s="17">
        <v>5000</v>
      </c>
      <c r="G754" s="14" t="s">
        <v>2661</v>
      </c>
      <c r="H754" s="14"/>
    </row>
    <row r="755" spans="1:8" ht="16">
      <c r="A755" s="14" t="s">
        <v>3432</v>
      </c>
      <c r="B755" s="14" t="s">
        <v>119</v>
      </c>
      <c r="C755" s="15">
        <v>46150</v>
      </c>
      <c r="D755" s="14" t="s">
        <v>2692</v>
      </c>
      <c r="E755" s="14" t="s">
        <v>2693</v>
      </c>
      <c r="F755" s="17">
        <v>10000</v>
      </c>
      <c r="G755" s="14" t="s">
        <v>2661</v>
      </c>
      <c r="H755" s="14"/>
    </row>
    <row r="756" spans="1:8" ht="16">
      <c r="A756" s="14" t="s">
        <v>3433</v>
      </c>
      <c r="B756" s="14" t="s">
        <v>274</v>
      </c>
      <c r="C756" s="15">
        <v>46038</v>
      </c>
      <c r="D756" s="14" t="s">
        <v>2692</v>
      </c>
      <c r="E756" s="14" t="s">
        <v>2693</v>
      </c>
      <c r="F756" s="17">
        <v>10000</v>
      </c>
      <c r="G756" s="14" t="s">
        <v>2661</v>
      </c>
      <c r="H756" s="14"/>
    </row>
    <row r="757" spans="1:8" ht="16">
      <c r="A757" s="14" t="s">
        <v>3434</v>
      </c>
      <c r="B757" s="14" t="s">
        <v>279</v>
      </c>
      <c r="C757" s="15">
        <v>46161</v>
      </c>
      <c r="D757" s="14" t="s">
        <v>2674</v>
      </c>
      <c r="E757" s="14" t="s">
        <v>2675</v>
      </c>
      <c r="F757" s="17">
        <v>20000</v>
      </c>
      <c r="G757" s="14" t="s">
        <v>2676</v>
      </c>
      <c r="H757" s="14"/>
    </row>
    <row r="758" spans="1:8" ht="16">
      <c r="A758" s="14" t="s">
        <v>3435</v>
      </c>
      <c r="B758" s="14" t="s">
        <v>273</v>
      </c>
      <c r="C758" s="15">
        <v>45946</v>
      </c>
      <c r="D758" s="14" t="s">
        <v>2671</v>
      </c>
      <c r="E758" s="14" t="s">
        <v>2672</v>
      </c>
      <c r="F758" s="17">
        <v>3000</v>
      </c>
      <c r="G758" s="14" t="s">
        <v>2661</v>
      </c>
      <c r="H758" s="14"/>
    </row>
    <row r="759" spans="1:8" ht="16">
      <c r="A759" s="14" t="s">
        <v>3436</v>
      </c>
      <c r="B759" s="14" t="s">
        <v>53</v>
      </c>
      <c r="C759" s="15">
        <v>46002</v>
      </c>
      <c r="D759" s="14" t="s">
        <v>2685</v>
      </c>
      <c r="E759" s="14" t="s">
        <v>2686</v>
      </c>
      <c r="F759" s="17">
        <v>5000</v>
      </c>
      <c r="G759" s="14" t="s">
        <v>2676</v>
      </c>
      <c r="H759" s="14"/>
    </row>
    <row r="760" spans="1:8" ht="16">
      <c r="A760" s="14" t="s">
        <v>3437</v>
      </c>
      <c r="B760" s="14" t="s">
        <v>115</v>
      </c>
      <c r="C760" s="15">
        <v>45996</v>
      </c>
      <c r="D760" s="14" t="s">
        <v>2668</v>
      </c>
      <c r="E760" s="14" t="s">
        <v>2669</v>
      </c>
      <c r="F760" s="17">
        <v>4000</v>
      </c>
      <c r="G760" s="14" t="s">
        <v>2661</v>
      </c>
      <c r="H760" s="14"/>
    </row>
    <row r="761" spans="1:8" ht="16">
      <c r="A761" s="14" t="s">
        <v>3438</v>
      </c>
      <c r="B761" s="14" t="s">
        <v>110</v>
      </c>
      <c r="C761" s="15">
        <v>45935</v>
      </c>
      <c r="D761" s="14" t="s">
        <v>2668</v>
      </c>
      <c r="E761" s="14" t="s">
        <v>2669</v>
      </c>
      <c r="F761" s="17">
        <v>4000</v>
      </c>
      <c r="G761" s="14" t="s">
        <v>2661</v>
      </c>
      <c r="H761" s="14"/>
    </row>
    <row r="762" spans="1:8" ht="16">
      <c r="A762" s="14" t="s">
        <v>3439</v>
      </c>
      <c r="B762" s="14" t="s">
        <v>102</v>
      </c>
      <c r="C762" s="15">
        <v>46268</v>
      </c>
      <c r="D762" s="14" t="s">
        <v>2663</v>
      </c>
      <c r="E762" s="14" t="s">
        <v>3630</v>
      </c>
      <c r="F762" s="17">
        <v>1500</v>
      </c>
      <c r="G762" s="14" t="s">
        <v>2661</v>
      </c>
      <c r="H762" s="14"/>
    </row>
    <row r="763" spans="1:8" ht="16">
      <c r="A763" s="14" t="s">
        <v>3440</v>
      </c>
      <c r="B763" s="14" t="s">
        <v>37</v>
      </c>
      <c r="C763" s="15">
        <v>46104</v>
      </c>
      <c r="D763" s="14" t="s">
        <v>2665</v>
      </c>
      <c r="E763" s="14" t="s">
        <v>2666</v>
      </c>
      <c r="F763" s="17">
        <v>2500</v>
      </c>
      <c r="G763" s="14" t="s">
        <v>2661</v>
      </c>
      <c r="H763" s="14"/>
    </row>
    <row r="764" spans="1:8" ht="16">
      <c r="A764" s="14" t="s">
        <v>3441</v>
      </c>
      <c r="B764" s="14" t="s">
        <v>146</v>
      </c>
      <c r="C764" s="15">
        <v>46145</v>
      </c>
      <c r="D764" s="14" t="s">
        <v>2688</v>
      </c>
      <c r="E764" s="14" t="s">
        <v>2689</v>
      </c>
      <c r="F764" s="17">
        <v>8000</v>
      </c>
      <c r="G764" s="14" t="s">
        <v>2661</v>
      </c>
      <c r="H764" s="14"/>
    </row>
    <row r="765" spans="1:8" ht="16">
      <c r="A765" s="14" t="s">
        <v>3442</v>
      </c>
      <c r="B765" s="14" t="s">
        <v>300</v>
      </c>
      <c r="C765" s="15">
        <v>46282</v>
      </c>
      <c r="D765" s="14" t="s">
        <v>2685</v>
      </c>
      <c r="E765" s="14" t="s">
        <v>2686</v>
      </c>
      <c r="F765" s="17">
        <v>5000</v>
      </c>
      <c r="G765" s="14" t="s">
        <v>2661</v>
      </c>
      <c r="H765" s="14"/>
    </row>
    <row r="766" spans="1:8" ht="16">
      <c r="A766" s="14" t="s">
        <v>3443</v>
      </c>
      <c r="B766" s="14" t="s">
        <v>104</v>
      </c>
      <c r="C766" s="15">
        <v>46284</v>
      </c>
      <c r="D766" s="14" t="s">
        <v>2659</v>
      </c>
      <c r="E766" s="14" t="s">
        <v>2660</v>
      </c>
      <c r="F766" s="17">
        <v>3500</v>
      </c>
      <c r="G766" s="14" t="s">
        <v>2676</v>
      </c>
      <c r="H766" s="14"/>
    </row>
    <row r="767" spans="1:8" ht="16">
      <c r="A767" s="14" t="s">
        <v>3444</v>
      </c>
      <c r="B767" s="14" t="s">
        <v>22</v>
      </c>
      <c r="C767" s="15">
        <v>46084</v>
      </c>
      <c r="D767" s="14" t="s">
        <v>2659</v>
      </c>
      <c r="E767" s="14" t="s">
        <v>2660</v>
      </c>
      <c r="F767" s="17">
        <v>3500</v>
      </c>
      <c r="G767" s="14" t="s">
        <v>2661</v>
      </c>
      <c r="H767" s="14"/>
    </row>
    <row r="768" spans="1:8" ht="16">
      <c r="A768" s="14" t="s">
        <v>3445</v>
      </c>
      <c r="B768" s="14" t="s">
        <v>103</v>
      </c>
      <c r="C768" s="15">
        <v>46231</v>
      </c>
      <c r="D768" s="14" t="s">
        <v>2688</v>
      </c>
      <c r="E768" s="14" t="s">
        <v>2689</v>
      </c>
      <c r="F768" s="17">
        <v>8000</v>
      </c>
      <c r="G768" s="14" t="s">
        <v>2661</v>
      </c>
      <c r="H768" s="14"/>
    </row>
    <row r="769" spans="1:8" ht="16">
      <c r="A769" s="14" t="s">
        <v>3446</v>
      </c>
      <c r="B769" s="14" t="s">
        <v>157</v>
      </c>
      <c r="C769" s="15">
        <v>46221</v>
      </c>
      <c r="D769" s="14" t="s">
        <v>2692</v>
      </c>
      <c r="E769" s="14" t="s">
        <v>2693</v>
      </c>
      <c r="F769" s="17">
        <v>10000</v>
      </c>
      <c r="G769" s="14" t="s">
        <v>2661</v>
      </c>
      <c r="H769" s="14"/>
    </row>
    <row r="770" spans="1:8" ht="16">
      <c r="A770" s="14" t="s">
        <v>3447</v>
      </c>
      <c r="B770" s="14" t="s">
        <v>44</v>
      </c>
      <c r="C770" s="15">
        <v>46002</v>
      </c>
      <c r="D770" s="14" t="s">
        <v>2663</v>
      </c>
      <c r="E770" s="14" t="s">
        <v>3630</v>
      </c>
      <c r="F770" s="17">
        <v>1500</v>
      </c>
      <c r="G770" s="14" t="s">
        <v>2661</v>
      </c>
      <c r="H770" s="14"/>
    </row>
    <row r="771" spans="1:8" ht="16">
      <c r="A771" s="14" t="s">
        <v>3448</v>
      </c>
      <c r="B771" s="14" t="s">
        <v>293</v>
      </c>
      <c r="C771" s="15">
        <v>46100</v>
      </c>
      <c r="D771" s="14" t="s">
        <v>2668</v>
      </c>
      <c r="E771" s="14" t="s">
        <v>2669</v>
      </c>
      <c r="F771" s="17">
        <v>4000</v>
      </c>
      <c r="G771" s="14" t="s">
        <v>2676</v>
      </c>
      <c r="H771" s="14"/>
    </row>
    <row r="772" spans="1:8" ht="16">
      <c r="A772" s="14" t="s">
        <v>3449</v>
      </c>
      <c r="B772" s="14" t="s">
        <v>267</v>
      </c>
      <c r="C772" s="15">
        <v>46253</v>
      </c>
      <c r="D772" s="14" t="s">
        <v>2668</v>
      </c>
      <c r="E772" s="14" t="s">
        <v>2669</v>
      </c>
      <c r="F772" s="17">
        <v>4000</v>
      </c>
      <c r="G772" s="14" t="s">
        <v>2676</v>
      </c>
      <c r="H772" s="14"/>
    </row>
    <row r="773" spans="1:8" ht="16">
      <c r="A773" s="14" t="s">
        <v>3450</v>
      </c>
      <c r="B773" s="14" t="s">
        <v>189</v>
      </c>
      <c r="C773" s="15">
        <v>46242</v>
      </c>
      <c r="D773" s="14" t="s">
        <v>2685</v>
      </c>
      <c r="E773" s="14" t="s">
        <v>2686</v>
      </c>
      <c r="F773" s="17">
        <v>5000</v>
      </c>
      <c r="G773" s="14" t="s">
        <v>2676</v>
      </c>
      <c r="H773" s="14"/>
    </row>
    <row r="774" spans="1:8" ht="16">
      <c r="A774" s="14" t="s">
        <v>3451</v>
      </c>
      <c r="B774" s="14" t="s">
        <v>76</v>
      </c>
      <c r="C774" s="15">
        <v>46131</v>
      </c>
      <c r="D774" s="14" t="s">
        <v>2671</v>
      </c>
      <c r="E774" s="14" t="s">
        <v>2672</v>
      </c>
      <c r="F774" s="17">
        <v>3000</v>
      </c>
      <c r="G774" s="14" t="s">
        <v>2661</v>
      </c>
      <c r="H774" s="14"/>
    </row>
    <row r="775" spans="1:8" ht="16">
      <c r="A775" s="14" t="s">
        <v>3452</v>
      </c>
      <c r="B775" s="14" t="s">
        <v>234</v>
      </c>
      <c r="C775" s="15">
        <v>46035</v>
      </c>
      <c r="D775" s="14" t="s">
        <v>2688</v>
      </c>
      <c r="E775" s="14" t="s">
        <v>2689</v>
      </c>
      <c r="F775" s="17">
        <v>8000</v>
      </c>
      <c r="G775" s="14" t="s">
        <v>2661</v>
      </c>
      <c r="H775" s="14"/>
    </row>
    <row r="776" spans="1:8" ht="16">
      <c r="A776" s="14" t="s">
        <v>3453</v>
      </c>
      <c r="B776" s="14" t="s">
        <v>72</v>
      </c>
      <c r="C776" s="15">
        <v>45963</v>
      </c>
      <c r="D776" s="14" t="s">
        <v>2692</v>
      </c>
      <c r="E776" s="14" t="s">
        <v>2693</v>
      </c>
      <c r="F776" s="17">
        <v>10000</v>
      </c>
      <c r="G776" s="14" t="s">
        <v>2676</v>
      </c>
      <c r="H776" s="14"/>
    </row>
    <row r="777" spans="1:8" ht="16">
      <c r="A777" s="14" t="s">
        <v>3454</v>
      </c>
      <c r="B777" s="14" t="s">
        <v>63</v>
      </c>
      <c r="C777" s="15">
        <v>46128</v>
      </c>
      <c r="D777" s="14" t="s">
        <v>2674</v>
      </c>
      <c r="E777" s="14" t="s">
        <v>2675</v>
      </c>
      <c r="F777" s="17">
        <v>20000</v>
      </c>
      <c r="G777" s="14" t="s">
        <v>2661</v>
      </c>
      <c r="H777" s="14"/>
    </row>
    <row r="778" spans="1:8" ht="16">
      <c r="A778" s="14" t="s">
        <v>3455</v>
      </c>
      <c r="B778" s="14" t="s">
        <v>35</v>
      </c>
      <c r="C778" s="15">
        <v>46174</v>
      </c>
      <c r="D778" s="14" t="s">
        <v>2663</v>
      </c>
      <c r="E778" s="14" t="s">
        <v>3630</v>
      </c>
      <c r="F778" s="17">
        <v>1500</v>
      </c>
      <c r="G778" s="14" t="s">
        <v>2661</v>
      </c>
      <c r="H778" s="14"/>
    </row>
    <row r="779" spans="1:8" ht="16">
      <c r="A779" s="14" t="s">
        <v>3456</v>
      </c>
      <c r="B779" s="14" t="s">
        <v>184</v>
      </c>
      <c r="C779" s="15">
        <v>46099</v>
      </c>
      <c r="D779" s="14" t="s">
        <v>2682</v>
      </c>
      <c r="E779" s="14" t="s">
        <v>2683</v>
      </c>
      <c r="F779" s="17">
        <v>6000</v>
      </c>
      <c r="G779" s="14" t="s">
        <v>2676</v>
      </c>
      <c r="H779" s="14"/>
    </row>
    <row r="780" spans="1:8" ht="16">
      <c r="A780" s="14" t="s">
        <v>3457</v>
      </c>
      <c r="B780" s="14" t="s">
        <v>161</v>
      </c>
      <c r="C780" s="15">
        <v>46162</v>
      </c>
      <c r="D780" s="14" t="s">
        <v>2674</v>
      </c>
      <c r="E780" s="14" t="s">
        <v>2675</v>
      </c>
      <c r="F780" s="17">
        <v>20000</v>
      </c>
      <c r="G780" s="14" t="s">
        <v>2661</v>
      </c>
      <c r="H780" s="14"/>
    </row>
    <row r="781" spans="1:8" ht="16">
      <c r="A781" s="14" t="s">
        <v>3458</v>
      </c>
      <c r="B781" s="14" t="s">
        <v>36</v>
      </c>
      <c r="C781" s="15">
        <v>45978</v>
      </c>
      <c r="D781" s="14" t="s">
        <v>2665</v>
      </c>
      <c r="E781" s="14" t="s">
        <v>2666</v>
      </c>
      <c r="F781" s="17">
        <v>2500</v>
      </c>
      <c r="G781" s="14" t="s">
        <v>2661</v>
      </c>
      <c r="H781" s="14"/>
    </row>
    <row r="782" spans="1:8" ht="16">
      <c r="A782" s="14" t="s">
        <v>3459</v>
      </c>
      <c r="B782" s="14" t="s">
        <v>28</v>
      </c>
      <c r="C782" s="15">
        <v>45984</v>
      </c>
      <c r="D782" s="14" t="s">
        <v>2674</v>
      </c>
      <c r="E782" s="14" t="s">
        <v>2675</v>
      </c>
      <c r="F782" s="17">
        <v>20000</v>
      </c>
      <c r="G782" s="14" t="s">
        <v>2676</v>
      </c>
      <c r="H782" s="14"/>
    </row>
    <row r="783" spans="1:8" ht="16">
      <c r="A783" s="14" t="s">
        <v>3460</v>
      </c>
      <c r="B783" s="14" t="s">
        <v>272</v>
      </c>
      <c r="C783" s="15">
        <v>46021</v>
      </c>
      <c r="D783" s="14" t="s">
        <v>2663</v>
      </c>
      <c r="E783" s="14" t="s">
        <v>3630</v>
      </c>
      <c r="F783" s="17">
        <v>1500</v>
      </c>
      <c r="G783" s="14" t="s">
        <v>2661</v>
      </c>
      <c r="H783" s="14"/>
    </row>
    <row r="784" spans="1:8" ht="16">
      <c r="A784" s="14" t="s">
        <v>3461</v>
      </c>
      <c r="B784" s="14" t="s">
        <v>180</v>
      </c>
      <c r="C784" s="15">
        <v>46283</v>
      </c>
      <c r="D784" s="14" t="s">
        <v>2682</v>
      </c>
      <c r="E784" s="14" t="s">
        <v>2683</v>
      </c>
      <c r="F784" s="17">
        <v>6000</v>
      </c>
      <c r="G784" s="14" t="s">
        <v>2676</v>
      </c>
      <c r="H784" s="14"/>
    </row>
    <row r="785" spans="1:8" ht="16">
      <c r="A785" s="14" t="s">
        <v>3462</v>
      </c>
      <c r="B785" s="14" t="s">
        <v>171</v>
      </c>
      <c r="C785" s="15">
        <v>46181</v>
      </c>
      <c r="D785" s="14" t="s">
        <v>2682</v>
      </c>
      <c r="E785" s="14" t="s">
        <v>2683</v>
      </c>
      <c r="F785" s="17">
        <v>6000</v>
      </c>
      <c r="G785" s="14" t="s">
        <v>2661</v>
      </c>
      <c r="H785" s="14"/>
    </row>
    <row r="786" spans="1:8" ht="16">
      <c r="A786" s="14" t="s">
        <v>3463</v>
      </c>
      <c r="B786" s="14" t="s">
        <v>232</v>
      </c>
      <c r="C786" s="15">
        <v>46026</v>
      </c>
      <c r="D786" s="14" t="s">
        <v>2674</v>
      </c>
      <c r="E786" s="14" t="s">
        <v>2675</v>
      </c>
      <c r="F786" s="17">
        <v>20000</v>
      </c>
      <c r="G786" s="14" t="s">
        <v>2661</v>
      </c>
      <c r="H786" s="14"/>
    </row>
    <row r="787" spans="1:8" ht="16">
      <c r="A787" s="14" t="s">
        <v>3464</v>
      </c>
      <c r="B787" s="14" t="s">
        <v>131</v>
      </c>
      <c r="C787" s="15">
        <v>45966</v>
      </c>
      <c r="D787" s="14" t="s">
        <v>2688</v>
      </c>
      <c r="E787" s="14" t="s">
        <v>2689</v>
      </c>
      <c r="F787" s="17">
        <v>8000</v>
      </c>
      <c r="G787" s="14" t="s">
        <v>2661</v>
      </c>
      <c r="H787" s="14"/>
    </row>
    <row r="788" spans="1:8" ht="16">
      <c r="A788" s="14" t="s">
        <v>3465</v>
      </c>
      <c r="B788" s="14" t="s">
        <v>197</v>
      </c>
      <c r="C788" s="15">
        <v>46076</v>
      </c>
      <c r="D788" s="14" t="s">
        <v>2692</v>
      </c>
      <c r="E788" s="14" t="s">
        <v>2693</v>
      </c>
      <c r="F788" s="17">
        <v>10000</v>
      </c>
      <c r="G788" s="14" t="s">
        <v>2661</v>
      </c>
      <c r="H788" s="14"/>
    </row>
    <row r="789" spans="1:8" ht="16">
      <c r="A789" s="14" t="s">
        <v>3466</v>
      </c>
      <c r="B789" s="14" t="s">
        <v>61</v>
      </c>
      <c r="C789" s="15">
        <v>46050</v>
      </c>
      <c r="D789" s="14" t="s">
        <v>2659</v>
      </c>
      <c r="E789" s="14" t="s">
        <v>2660</v>
      </c>
      <c r="F789" s="17">
        <v>3500</v>
      </c>
      <c r="G789" s="14" t="s">
        <v>2661</v>
      </c>
      <c r="H789" s="14"/>
    </row>
    <row r="790" spans="1:8" ht="16">
      <c r="A790" s="14" t="s">
        <v>3467</v>
      </c>
      <c r="B790" s="14" t="s">
        <v>85</v>
      </c>
      <c r="C790" s="15">
        <v>46268</v>
      </c>
      <c r="D790" s="14" t="s">
        <v>2663</v>
      </c>
      <c r="E790" s="14" t="s">
        <v>3630</v>
      </c>
      <c r="F790" s="17">
        <v>1500</v>
      </c>
      <c r="G790" s="14" t="s">
        <v>2676</v>
      </c>
      <c r="H790" s="14"/>
    </row>
    <row r="791" spans="1:8" ht="16">
      <c r="A791" s="14" t="s">
        <v>3468</v>
      </c>
      <c r="B791" s="14" t="s">
        <v>21</v>
      </c>
      <c r="C791" s="15">
        <v>45966</v>
      </c>
      <c r="D791" s="14" t="s">
        <v>2659</v>
      </c>
      <c r="E791" s="14" t="s">
        <v>2660</v>
      </c>
      <c r="F791" s="17">
        <v>3500</v>
      </c>
      <c r="G791" s="14" t="s">
        <v>2661</v>
      </c>
      <c r="H791" s="14"/>
    </row>
    <row r="792" spans="1:8" ht="16">
      <c r="A792" s="14" t="s">
        <v>3469</v>
      </c>
      <c r="B792" s="14" t="s">
        <v>42</v>
      </c>
      <c r="C792" s="15">
        <v>45960</v>
      </c>
      <c r="D792" s="14" t="s">
        <v>2685</v>
      </c>
      <c r="E792" s="14" t="s">
        <v>2686</v>
      </c>
      <c r="F792" s="17">
        <v>5000</v>
      </c>
      <c r="G792" s="14" t="s">
        <v>2661</v>
      </c>
      <c r="H792" s="14"/>
    </row>
    <row r="793" spans="1:8" ht="16">
      <c r="A793" s="14" t="s">
        <v>3470</v>
      </c>
      <c r="B793" s="14" t="s">
        <v>61</v>
      </c>
      <c r="C793" s="15">
        <v>46196</v>
      </c>
      <c r="D793" s="14" t="s">
        <v>2659</v>
      </c>
      <c r="E793" s="14" t="s">
        <v>2660</v>
      </c>
      <c r="F793" s="17">
        <v>3500</v>
      </c>
      <c r="G793" s="14" t="s">
        <v>2661</v>
      </c>
      <c r="H793" s="14"/>
    </row>
    <row r="794" spans="1:8" ht="16">
      <c r="A794" s="14" t="s">
        <v>3471</v>
      </c>
      <c r="B794" s="14" t="s">
        <v>169</v>
      </c>
      <c r="C794" s="15">
        <v>46018</v>
      </c>
      <c r="D794" s="14" t="s">
        <v>2663</v>
      </c>
      <c r="E794" s="14" t="s">
        <v>3630</v>
      </c>
      <c r="F794" s="17">
        <v>1500</v>
      </c>
      <c r="G794" s="14" t="s">
        <v>2661</v>
      </c>
      <c r="H794" s="14"/>
    </row>
    <row r="795" spans="1:8" ht="16">
      <c r="A795" s="14" t="s">
        <v>3472</v>
      </c>
      <c r="B795" s="14" t="s">
        <v>43</v>
      </c>
      <c r="C795" s="15">
        <v>46141</v>
      </c>
      <c r="D795" s="14" t="s">
        <v>2692</v>
      </c>
      <c r="E795" s="14" t="s">
        <v>2693</v>
      </c>
      <c r="F795" s="17">
        <v>10000</v>
      </c>
      <c r="G795" s="14" t="s">
        <v>2661</v>
      </c>
      <c r="H795" s="14"/>
    </row>
    <row r="796" spans="1:8" ht="16">
      <c r="A796" s="14" t="s">
        <v>3473</v>
      </c>
      <c r="B796" s="14" t="s">
        <v>304</v>
      </c>
      <c r="C796" s="15">
        <v>46011</v>
      </c>
      <c r="D796" s="14" t="s">
        <v>2688</v>
      </c>
      <c r="E796" s="14" t="s">
        <v>2689</v>
      </c>
      <c r="F796" s="17">
        <v>8000</v>
      </c>
      <c r="G796" s="14" t="s">
        <v>2661</v>
      </c>
      <c r="H796" s="14"/>
    </row>
    <row r="797" spans="1:8" ht="16">
      <c r="A797" s="14" t="s">
        <v>3474</v>
      </c>
      <c r="B797" s="14" t="s">
        <v>40</v>
      </c>
      <c r="C797" s="15">
        <v>45997</v>
      </c>
      <c r="D797" s="14" t="s">
        <v>2665</v>
      </c>
      <c r="E797" s="14" t="s">
        <v>2666</v>
      </c>
      <c r="F797" s="17">
        <v>2500</v>
      </c>
      <c r="G797" s="14" t="s">
        <v>2676</v>
      </c>
      <c r="H797" s="14"/>
    </row>
    <row r="798" spans="1:8" ht="16">
      <c r="A798" s="14" t="s">
        <v>3475</v>
      </c>
      <c r="B798" s="14" t="s">
        <v>307</v>
      </c>
      <c r="C798" s="15">
        <v>46145</v>
      </c>
      <c r="D798" s="14" t="s">
        <v>2668</v>
      </c>
      <c r="E798" s="14" t="s">
        <v>2669</v>
      </c>
      <c r="F798" s="17">
        <v>4000</v>
      </c>
      <c r="G798" s="14" t="s">
        <v>2661</v>
      </c>
      <c r="H798" s="14"/>
    </row>
    <row r="799" spans="1:8" ht="16">
      <c r="A799" s="14" t="s">
        <v>3476</v>
      </c>
      <c r="B799" s="14" t="s">
        <v>106</v>
      </c>
      <c r="C799" s="15">
        <v>45966</v>
      </c>
      <c r="D799" s="14" t="s">
        <v>2674</v>
      </c>
      <c r="E799" s="14" t="s">
        <v>2675</v>
      </c>
      <c r="F799" s="17">
        <v>20000</v>
      </c>
      <c r="G799" s="14" t="s">
        <v>2661</v>
      </c>
      <c r="H799" s="14"/>
    </row>
    <row r="800" spans="1:8" ht="16">
      <c r="A800" s="14" t="s">
        <v>3477</v>
      </c>
      <c r="B800" s="14" t="s">
        <v>51</v>
      </c>
      <c r="C800" s="15">
        <v>46036</v>
      </c>
      <c r="D800" s="14" t="s">
        <v>2671</v>
      </c>
      <c r="E800" s="14" t="s">
        <v>2672</v>
      </c>
      <c r="F800" s="17">
        <v>3000</v>
      </c>
      <c r="G800" s="14" t="s">
        <v>2661</v>
      </c>
      <c r="H800" s="14"/>
    </row>
    <row r="801" spans="1:8" ht="16">
      <c r="A801" s="14" t="s">
        <v>3478</v>
      </c>
      <c r="B801" s="14" t="s">
        <v>54</v>
      </c>
      <c r="C801" s="15">
        <v>46036</v>
      </c>
      <c r="D801" s="14" t="s">
        <v>2665</v>
      </c>
      <c r="E801" s="14" t="s">
        <v>2666</v>
      </c>
      <c r="F801" s="17">
        <v>2500</v>
      </c>
      <c r="G801" s="14" t="s">
        <v>2661</v>
      </c>
      <c r="H801" s="14"/>
    </row>
    <row r="802" spans="1:8" ht="16">
      <c r="A802" s="14" t="s">
        <v>3479</v>
      </c>
      <c r="B802" s="14" t="s">
        <v>229</v>
      </c>
      <c r="C802" s="15">
        <v>46152</v>
      </c>
      <c r="D802" s="14" t="s">
        <v>2688</v>
      </c>
      <c r="E802" s="14" t="s">
        <v>2689</v>
      </c>
      <c r="F802" s="17">
        <v>8000</v>
      </c>
      <c r="G802" s="14" t="s">
        <v>2661</v>
      </c>
      <c r="H802" s="14"/>
    </row>
    <row r="803" spans="1:8" ht="16">
      <c r="A803" s="14" t="s">
        <v>3480</v>
      </c>
      <c r="B803" s="14" t="s">
        <v>310</v>
      </c>
      <c r="C803" s="15">
        <v>46012</v>
      </c>
      <c r="D803" s="14" t="s">
        <v>2685</v>
      </c>
      <c r="E803" s="14" t="s">
        <v>2686</v>
      </c>
      <c r="F803" s="17">
        <v>5000</v>
      </c>
      <c r="G803" s="14" t="s">
        <v>2676</v>
      </c>
      <c r="H803" s="14"/>
    </row>
    <row r="804" spans="1:8" ht="16">
      <c r="A804" s="14" t="s">
        <v>3481</v>
      </c>
      <c r="B804" s="14" t="s">
        <v>144</v>
      </c>
      <c r="C804" s="15">
        <v>46225</v>
      </c>
      <c r="D804" s="14" t="s">
        <v>2682</v>
      </c>
      <c r="E804" s="14" t="s">
        <v>2683</v>
      </c>
      <c r="F804" s="17">
        <v>6000</v>
      </c>
      <c r="G804" s="14" t="s">
        <v>2661</v>
      </c>
      <c r="H804" s="14"/>
    </row>
    <row r="805" spans="1:8" ht="16">
      <c r="A805" s="14" t="s">
        <v>3482</v>
      </c>
      <c r="B805" s="14" t="s">
        <v>299</v>
      </c>
      <c r="C805" s="15">
        <v>46231</v>
      </c>
      <c r="D805" s="14" t="s">
        <v>2682</v>
      </c>
      <c r="E805" s="14" t="s">
        <v>2683</v>
      </c>
      <c r="F805" s="17">
        <v>6000</v>
      </c>
      <c r="G805" s="14" t="s">
        <v>2661</v>
      </c>
      <c r="H805" s="14"/>
    </row>
    <row r="806" spans="1:8" ht="16">
      <c r="A806" s="14" t="s">
        <v>3483</v>
      </c>
      <c r="B806" s="14" t="s">
        <v>238</v>
      </c>
      <c r="C806" s="15">
        <v>46188</v>
      </c>
      <c r="D806" s="14" t="s">
        <v>2674</v>
      </c>
      <c r="E806" s="14" t="s">
        <v>2675</v>
      </c>
      <c r="F806" s="17">
        <v>20000</v>
      </c>
      <c r="G806" s="14" t="s">
        <v>2661</v>
      </c>
      <c r="H806" s="14"/>
    </row>
    <row r="807" spans="1:8" ht="16">
      <c r="A807" s="14" t="s">
        <v>3484</v>
      </c>
      <c r="B807" s="14" t="s">
        <v>50</v>
      </c>
      <c r="C807" s="15">
        <v>46072</v>
      </c>
      <c r="D807" s="14" t="s">
        <v>2692</v>
      </c>
      <c r="E807" s="14" t="s">
        <v>2693</v>
      </c>
      <c r="F807" s="17">
        <v>10000</v>
      </c>
      <c r="G807" s="14" t="s">
        <v>2661</v>
      </c>
      <c r="H807" s="14"/>
    </row>
    <row r="808" spans="1:8" ht="16">
      <c r="A808" s="14" t="s">
        <v>3485</v>
      </c>
      <c r="B808" s="14" t="s">
        <v>161</v>
      </c>
      <c r="C808" s="15">
        <v>45934</v>
      </c>
      <c r="D808" s="14" t="s">
        <v>2685</v>
      </c>
      <c r="E808" s="14" t="s">
        <v>2686</v>
      </c>
      <c r="F808" s="17">
        <v>5000</v>
      </c>
      <c r="G808" s="14" t="s">
        <v>2661</v>
      </c>
      <c r="H808" s="14"/>
    </row>
    <row r="809" spans="1:8" ht="16">
      <c r="A809" s="14" t="s">
        <v>3486</v>
      </c>
      <c r="B809" s="14" t="s">
        <v>57</v>
      </c>
      <c r="C809" s="15">
        <v>46159</v>
      </c>
      <c r="D809" s="14" t="s">
        <v>2665</v>
      </c>
      <c r="E809" s="14" t="s">
        <v>2666</v>
      </c>
      <c r="F809" s="17">
        <v>2500</v>
      </c>
      <c r="G809" s="14" t="s">
        <v>2661</v>
      </c>
      <c r="H809" s="14"/>
    </row>
    <row r="810" spans="1:8" ht="16">
      <c r="A810" s="14" t="s">
        <v>3487</v>
      </c>
      <c r="B810" s="14" t="s">
        <v>37</v>
      </c>
      <c r="C810" s="15">
        <v>46135</v>
      </c>
      <c r="D810" s="14" t="s">
        <v>2692</v>
      </c>
      <c r="E810" s="14" t="s">
        <v>2693</v>
      </c>
      <c r="F810" s="17">
        <v>10000</v>
      </c>
      <c r="G810" s="14" t="s">
        <v>2676</v>
      </c>
      <c r="H810" s="14"/>
    </row>
    <row r="811" spans="1:8" ht="16">
      <c r="A811" s="14" t="s">
        <v>3488</v>
      </c>
      <c r="B811" s="14" t="s">
        <v>274</v>
      </c>
      <c r="C811" s="15">
        <v>46057</v>
      </c>
      <c r="D811" s="14" t="s">
        <v>2665</v>
      </c>
      <c r="E811" s="14" t="s">
        <v>2666</v>
      </c>
      <c r="F811" s="17">
        <v>2500</v>
      </c>
      <c r="G811" s="14" t="s">
        <v>2676</v>
      </c>
      <c r="H811" s="14"/>
    </row>
    <row r="812" spans="1:8" ht="16">
      <c r="A812" s="14" t="s">
        <v>3489</v>
      </c>
      <c r="B812" s="14" t="s">
        <v>291</v>
      </c>
      <c r="C812" s="15">
        <v>46099</v>
      </c>
      <c r="D812" s="14" t="s">
        <v>2663</v>
      </c>
      <c r="E812" s="14" t="s">
        <v>3630</v>
      </c>
      <c r="F812" s="17">
        <v>1500</v>
      </c>
      <c r="G812" s="14" t="s">
        <v>2676</v>
      </c>
      <c r="H812" s="14"/>
    </row>
    <row r="813" spans="1:8" ht="16">
      <c r="A813" s="14" t="s">
        <v>3490</v>
      </c>
      <c r="B813" s="14" t="s">
        <v>145</v>
      </c>
      <c r="C813" s="15">
        <v>46182</v>
      </c>
      <c r="D813" s="14" t="s">
        <v>2674</v>
      </c>
      <c r="E813" s="14" t="s">
        <v>2675</v>
      </c>
      <c r="F813" s="17">
        <v>20000</v>
      </c>
      <c r="G813" s="14" t="s">
        <v>2661</v>
      </c>
      <c r="H813" s="14"/>
    </row>
    <row r="814" spans="1:8" ht="16">
      <c r="A814" s="14" t="s">
        <v>3491</v>
      </c>
      <c r="B814" s="14" t="s">
        <v>226</v>
      </c>
      <c r="C814" s="15">
        <v>46167</v>
      </c>
      <c r="D814" s="14" t="s">
        <v>2685</v>
      </c>
      <c r="E814" s="14" t="s">
        <v>2686</v>
      </c>
      <c r="F814" s="17">
        <v>5000</v>
      </c>
      <c r="G814" s="14" t="s">
        <v>2676</v>
      </c>
      <c r="H814" s="14"/>
    </row>
    <row r="815" spans="1:8" ht="16">
      <c r="A815" s="14" t="s">
        <v>3492</v>
      </c>
      <c r="B815" s="14" t="s">
        <v>148</v>
      </c>
      <c r="C815" s="15">
        <v>45951</v>
      </c>
      <c r="D815" s="14" t="s">
        <v>2659</v>
      </c>
      <c r="E815" s="14" t="s">
        <v>2660</v>
      </c>
      <c r="F815" s="17">
        <v>3500</v>
      </c>
      <c r="G815" s="14" t="s">
        <v>2661</v>
      </c>
      <c r="H815" s="14"/>
    </row>
    <row r="816" spans="1:8" ht="16">
      <c r="A816" s="14" t="s">
        <v>3493</v>
      </c>
      <c r="B816" s="14" t="s">
        <v>217</v>
      </c>
      <c r="C816" s="15">
        <v>46078</v>
      </c>
      <c r="D816" s="14" t="s">
        <v>2682</v>
      </c>
      <c r="E816" s="14" t="s">
        <v>2683</v>
      </c>
      <c r="F816" s="17">
        <v>6000</v>
      </c>
      <c r="G816" s="14" t="s">
        <v>2661</v>
      </c>
      <c r="H816" s="14"/>
    </row>
    <row r="817" spans="1:8" ht="16">
      <c r="A817" s="14" t="s">
        <v>3494</v>
      </c>
      <c r="B817" s="14" t="s">
        <v>46</v>
      </c>
      <c r="C817" s="15">
        <v>46108</v>
      </c>
      <c r="D817" s="14" t="s">
        <v>2688</v>
      </c>
      <c r="E817" s="14" t="s">
        <v>2689</v>
      </c>
      <c r="F817" s="17">
        <v>8000</v>
      </c>
      <c r="G817" s="14" t="s">
        <v>2661</v>
      </c>
      <c r="H817" s="14"/>
    </row>
    <row r="818" spans="1:8" ht="16">
      <c r="A818" s="14" t="s">
        <v>3495</v>
      </c>
      <c r="B818" s="14" t="s">
        <v>116</v>
      </c>
      <c r="C818" s="15">
        <v>46131</v>
      </c>
      <c r="D818" s="14" t="s">
        <v>2668</v>
      </c>
      <c r="E818" s="14" t="s">
        <v>2669</v>
      </c>
      <c r="F818" s="17">
        <v>4000</v>
      </c>
      <c r="G818" s="14" t="s">
        <v>2676</v>
      </c>
      <c r="H818" s="14"/>
    </row>
    <row r="819" spans="1:8" ht="16">
      <c r="A819" s="14" t="s">
        <v>3496</v>
      </c>
      <c r="B819" s="14" t="s">
        <v>199</v>
      </c>
      <c r="C819" s="15">
        <v>46020</v>
      </c>
      <c r="D819" s="14" t="s">
        <v>2674</v>
      </c>
      <c r="E819" s="14" t="s">
        <v>2675</v>
      </c>
      <c r="F819" s="17">
        <v>20000</v>
      </c>
      <c r="G819" s="14" t="s">
        <v>2661</v>
      </c>
      <c r="H819" s="14"/>
    </row>
    <row r="820" spans="1:8" ht="16">
      <c r="A820" s="14" t="s">
        <v>3497</v>
      </c>
      <c r="B820" s="14" t="s">
        <v>52</v>
      </c>
      <c r="C820" s="15">
        <v>46058</v>
      </c>
      <c r="D820" s="14" t="s">
        <v>2665</v>
      </c>
      <c r="E820" s="14" t="s">
        <v>2666</v>
      </c>
      <c r="F820" s="17">
        <v>2500</v>
      </c>
      <c r="G820" s="14" t="s">
        <v>2661</v>
      </c>
      <c r="H820" s="14"/>
    </row>
    <row r="821" spans="1:8" ht="16">
      <c r="A821" s="14" t="s">
        <v>3498</v>
      </c>
      <c r="B821" s="14" t="s">
        <v>239</v>
      </c>
      <c r="C821" s="15">
        <v>46247</v>
      </c>
      <c r="D821" s="14" t="s">
        <v>2671</v>
      </c>
      <c r="E821" s="14" t="s">
        <v>2672</v>
      </c>
      <c r="F821" s="17">
        <v>3000</v>
      </c>
      <c r="G821" s="14" t="s">
        <v>2661</v>
      </c>
      <c r="H821" s="14"/>
    </row>
    <row r="822" spans="1:8" ht="16">
      <c r="A822" s="14" t="s">
        <v>3499</v>
      </c>
      <c r="B822" s="14" t="s">
        <v>300</v>
      </c>
      <c r="C822" s="15">
        <v>46165</v>
      </c>
      <c r="D822" s="14" t="s">
        <v>2688</v>
      </c>
      <c r="E822" s="14" t="s">
        <v>2689</v>
      </c>
      <c r="F822" s="17">
        <v>8000</v>
      </c>
      <c r="G822" s="14" t="s">
        <v>2661</v>
      </c>
      <c r="H822" s="14"/>
    </row>
    <row r="823" spans="1:8" ht="16">
      <c r="A823" s="14" t="s">
        <v>3500</v>
      </c>
      <c r="B823" s="14" t="s">
        <v>188</v>
      </c>
      <c r="C823" s="15">
        <v>46268</v>
      </c>
      <c r="D823" s="14" t="s">
        <v>2671</v>
      </c>
      <c r="E823" s="14" t="s">
        <v>2672</v>
      </c>
      <c r="F823" s="17">
        <v>3000</v>
      </c>
      <c r="G823" s="14" t="s">
        <v>2661</v>
      </c>
      <c r="H823" s="14"/>
    </row>
    <row r="824" spans="1:8" ht="16">
      <c r="A824" s="14" t="s">
        <v>3501</v>
      </c>
      <c r="B824" s="14" t="s">
        <v>79</v>
      </c>
      <c r="C824" s="15">
        <v>46288</v>
      </c>
      <c r="D824" s="14" t="s">
        <v>2668</v>
      </c>
      <c r="E824" s="14" t="s">
        <v>2669</v>
      </c>
      <c r="F824" s="17">
        <v>4000</v>
      </c>
      <c r="G824" s="14" t="s">
        <v>2676</v>
      </c>
      <c r="H824" s="14"/>
    </row>
    <row r="825" spans="1:8" ht="16">
      <c r="A825" s="14" t="s">
        <v>3502</v>
      </c>
      <c r="B825" s="14" t="s">
        <v>196</v>
      </c>
      <c r="C825" s="15">
        <v>45979</v>
      </c>
      <c r="D825" s="14" t="s">
        <v>2692</v>
      </c>
      <c r="E825" s="14" t="s">
        <v>2693</v>
      </c>
      <c r="F825" s="17">
        <v>10000</v>
      </c>
      <c r="G825" s="14" t="s">
        <v>2661</v>
      </c>
      <c r="H825" s="14"/>
    </row>
    <row r="826" spans="1:8" ht="16">
      <c r="A826" s="14" t="s">
        <v>3503</v>
      </c>
      <c r="B826" s="14" t="s">
        <v>26</v>
      </c>
      <c r="C826" s="15">
        <v>46288</v>
      </c>
      <c r="D826" s="14" t="s">
        <v>2674</v>
      </c>
      <c r="E826" s="14" t="s">
        <v>2675</v>
      </c>
      <c r="F826" s="17">
        <v>20000</v>
      </c>
      <c r="G826" s="14" t="s">
        <v>2661</v>
      </c>
      <c r="H826" s="14"/>
    </row>
    <row r="827" spans="1:8" ht="16">
      <c r="A827" s="14" t="s">
        <v>3504</v>
      </c>
      <c r="B827" s="14" t="s">
        <v>246</v>
      </c>
      <c r="C827" s="15">
        <v>46053</v>
      </c>
      <c r="D827" s="14" t="s">
        <v>2663</v>
      </c>
      <c r="E827" s="14" t="s">
        <v>3630</v>
      </c>
      <c r="F827" s="17">
        <v>1500</v>
      </c>
      <c r="G827" s="14" t="s">
        <v>2661</v>
      </c>
      <c r="H827" s="14"/>
    </row>
    <row r="828" spans="1:8" ht="16">
      <c r="A828" s="14" t="s">
        <v>3505</v>
      </c>
      <c r="B828" s="14" t="s">
        <v>76</v>
      </c>
      <c r="C828" s="15">
        <v>46071</v>
      </c>
      <c r="D828" s="14" t="s">
        <v>2692</v>
      </c>
      <c r="E828" s="14" t="s">
        <v>2693</v>
      </c>
      <c r="F828" s="17">
        <v>10000</v>
      </c>
      <c r="G828" s="14" t="s">
        <v>2676</v>
      </c>
      <c r="H828" s="14"/>
    </row>
    <row r="829" spans="1:8" ht="16">
      <c r="A829" s="14" t="s">
        <v>3506</v>
      </c>
      <c r="B829" s="14" t="s">
        <v>68</v>
      </c>
      <c r="C829" s="15">
        <v>46080</v>
      </c>
      <c r="D829" s="14" t="s">
        <v>2668</v>
      </c>
      <c r="E829" s="14" t="s">
        <v>2669</v>
      </c>
      <c r="F829" s="17">
        <v>4000</v>
      </c>
      <c r="G829" s="14" t="s">
        <v>2661</v>
      </c>
      <c r="H829" s="14"/>
    </row>
    <row r="830" spans="1:8" ht="16">
      <c r="A830" s="14" t="s">
        <v>3507</v>
      </c>
      <c r="B830" s="14" t="s">
        <v>208</v>
      </c>
      <c r="C830" s="15">
        <v>46288</v>
      </c>
      <c r="D830" s="14" t="s">
        <v>2692</v>
      </c>
      <c r="E830" s="14" t="s">
        <v>2693</v>
      </c>
      <c r="F830" s="17">
        <v>10000</v>
      </c>
      <c r="G830" s="14" t="s">
        <v>2661</v>
      </c>
      <c r="H830" s="14"/>
    </row>
    <row r="831" spans="1:8" ht="16">
      <c r="A831" s="14" t="s">
        <v>3508</v>
      </c>
      <c r="B831" s="14" t="s">
        <v>233</v>
      </c>
      <c r="C831" s="15">
        <v>46183</v>
      </c>
      <c r="D831" s="14" t="s">
        <v>2671</v>
      </c>
      <c r="E831" s="14" t="s">
        <v>2672</v>
      </c>
      <c r="F831" s="17">
        <v>3000</v>
      </c>
      <c r="G831" s="14" t="s">
        <v>2661</v>
      </c>
      <c r="H831" s="14"/>
    </row>
    <row r="832" spans="1:8" ht="16">
      <c r="A832" s="14" t="s">
        <v>3509</v>
      </c>
      <c r="B832" s="14" t="s">
        <v>186</v>
      </c>
      <c r="C832" s="15">
        <v>46214</v>
      </c>
      <c r="D832" s="14" t="s">
        <v>2668</v>
      </c>
      <c r="E832" s="14" t="s">
        <v>2669</v>
      </c>
      <c r="F832" s="17">
        <v>4000</v>
      </c>
      <c r="G832" s="14" t="s">
        <v>2661</v>
      </c>
      <c r="H832" s="14"/>
    </row>
    <row r="833" spans="1:8" ht="16">
      <c r="A833" s="14" t="s">
        <v>3510</v>
      </c>
      <c r="B833" s="14" t="s">
        <v>165</v>
      </c>
      <c r="C833" s="15">
        <v>46119</v>
      </c>
      <c r="D833" s="14" t="s">
        <v>2668</v>
      </c>
      <c r="E833" s="14" t="s">
        <v>2669</v>
      </c>
      <c r="F833" s="17">
        <v>4000</v>
      </c>
      <c r="G833" s="14" t="s">
        <v>2661</v>
      </c>
      <c r="H833" s="14"/>
    </row>
    <row r="834" spans="1:8" ht="16">
      <c r="A834" s="14" t="s">
        <v>3511</v>
      </c>
      <c r="B834" s="14" t="s">
        <v>151</v>
      </c>
      <c r="C834" s="15">
        <v>45984</v>
      </c>
      <c r="D834" s="14" t="s">
        <v>2668</v>
      </c>
      <c r="E834" s="14" t="s">
        <v>2669</v>
      </c>
      <c r="F834" s="17">
        <v>4000</v>
      </c>
      <c r="G834" s="14" t="s">
        <v>2676</v>
      </c>
      <c r="H834" s="14"/>
    </row>
    <row r="835" spans="1:8" ht="16">
      <c r="A835" s="14" t="s">
        <v>3512</v>
      </c>
      <c r="B835" s="14" t="s">
        <v>144</v>
      </c>
      <c r="C835" s="15">
        <v>46097</v>
      </c>
      <c r="D835" s="14" t="s">
        <v>2685</v>
      </c>
      <c r="E835" s="14" t="s">
        <v>2686</v>
      </c>
      <c r="F835" s="17">
        <v>5000</v>
      </c>
      <c r="G835" s="14" t="s">
        <v>2661</v>
      </c>
      <c r="H835" s="14"/>
    </row>
    <row r="836" spans="1:8" ht="16">
      <c r="A836" s="14" t="s">
        <v>3513</v>
      </c>
      <c r="B836" s="14" t="s">
        <v>69</v>
      </c>
      <c r="C836" s="15">
        <v>46161</v>
      </c>
      <c r="D836" s="14" t="s">
        <v>2692</v>
      </c>
      <c r="E836" s="14" t="s">
        <v>2693</v>
      </c>
      <c r="F836" s="17">
        <v>10000</v>
      </c>
      <c r="G836" s="14" t="s">
        <v>2661</v>
      </c>
      <c r="H836" s="14"/>
    </row>
    <row r="837" spans="1:8" ht="16">
      <c r="A837" s="14" t="s">
        <v>3514</v>
      </c>
      <c r="B837" s="14" t="s">
        <v>220</v>
      </c>
      <c r="C837" s="15">
        <v>46060</v>
      </c>
      <c r="D837" s="14" t="s">
        <v>2671</v>
      </c>
      <c r="E837" s="14" t="s">
        <v>2672</v>
      </c>
      <c r="F837" s="17">
        <v>3000</v>
      </c>
      <c r="G837" s="14" t="s">
        <v>2661</v>
      </c>
      <c r="H837" s="14"/>
    </row>
    <row r="838" spans="1:8" ht="16">
      <c r="A838" s="14" t="s">
        <v>3515</v>
      </c>
      <c r="B838" s="14" t="s">
        <v>59</v>
      </c>
      <c r="C838" s="15">
        <v>46190</v>
      </c>
      <c r="D838" s="14" t="s">
        <v>2659</v>
      </c>
      <c r="E838" s="14" t="s">
        <v>2660</v>
      </c>
      <c r="F838" s="17">
        <v>3500</v>
      </c>
      <c r="G838" s="14" t="s">
        <v>2661</v>
      </c>
      <c r="H838" s="14"/>
    </row>
    <row r="839" spans="1:8" ht="16">
      <c r="A839" s="14" t="s">
        <v>3516</v>
      </c>
      <c r="B839" s="14" t="s">
        <v>204</v>
      </c>
      <c r="C839" s="15">
        <v>46167</v>
      </c>
      <c r="D839" s="14" t="s">
        <v>2659</v>
      </c>
      <c r="E839" s="14" t="s">
        <v>2660</v>
      </c>
      <c r="F839" s="17">
        <v>3500</v>
      </c>
      <c r="G839" s="14" t="s">
        <v>2661</v>
      </c>
      <c r="H839" s="14"/>
    </row>
    <row r="840" spans="1:8" ht="16">
      <c r="A840" s="14" t="s">
        <v>3517</v>
      </c>
      <c r="B840" s="14" t="s">
        <v>176</v>
      </c>
      <c r="C840" s="15">
        <v>45968</v>
      </c>
      <c r="D840" s="14" t="s">
        <v>2663</v>
      </c>
      <c r="E840" s="14" t="s">
        <v>3630</v>
      </c>
      <c r="F840" s="17">
        <v>1500</v>
      </c>
      <c r="G840" s="14" t="s">
        <v>2661</v>
      </c>
      <c r="H840" s="14"/>
    </row>
    <row r="841" spans="1:8" ht="16">
      <c r="A841" s="14" t="s">
        <v>3518</v>
      </c>
      <c r="B841" s="14" t="s">
        <v>266</v>
      </c>
      <c r="C841" s="15">
        <v>46126</v>
      </c>
      <c r="D841" s="14" t="s">
        <v>2692</v>
      </c>
      <c r="E841" s="14" t="s">
        <v>2693</v>
      </c>
      <c r="F841" s="17">
        <v>10000</v>
      </c>
      <c r="G841" s="14" t="s">
        <v>2661</v>
      </c>
      <c r="H841" s="14"/>
    </row>
    <row r="842" spans="1:8" ht="16">
      <c r="A842" s="14" t="s">
        <v>3519</v>
      </c>
      <c r="B842" s="14" t="s">
        <v>95</v>
      </c>
      <c r="C842" s="15">
        <v>46135</v>
      </c>
      <c r="D842" s="14" t="s">
        <v>2692</v>
      </c>
      <c r="E842" s="14" t="s">
        <v>2693</v>
      </c>
      <c r="F842" s="17">
        <v>10000</v>
      </c>
      <c r="G842" s="14" t="s">
        <v>2661</v>
      </c>
      <c r="H842" s="14"/>
    </row>
    <row r="843" spans="1:8" ht="16">
      <c r="A843" s="14" t="s">
        <v>3520</v>
      </c>
      <c r="B843" s="14" t="s">
        <v>291</v>
      </c>
      <c r="C843" s="15">
        <v>46134</v>
      </c>
      <c r="D843" s="14" t="s">
        <v>2671</v>
      </c>
      <c r="E843" s="14" t="s">
        <v>2672</v>
      </c>
      <c r="F843" s="17">
        <v>3000</v>
      </c>
      <c r="G843" s="14" t="s">
        <v>2661</v>
      </c>
      <c r="H843" s="14"/>
    </row>
    <row r="844" spans="1:8" ht="16">
      <c r="A844" s="14" t="s">
        <v>3521</v>
      </c>
      <c r="B844" s="14" t="s">
        <v>36</v>
      </c>
      <c r="C844" s="15">
        <v>45936</v>
      </c>
      <c r="D844" s="14" t="s">
        <v>2674</v>
      </c>
      <c r="E844" s="14" t="s">
        <v>2675</v>
      </c>
      <c r="F844" s="17">
        <v>20000</v>
      </c>
      <c r="G844" s="14" t="s">
        <v>2661</v>
      </c>
      <c r="H844" s="14"/>
    </row>
    <row r="845" spans="1:8" ht="16">
      <c r="A845" s="14" t="s">
        <v>3522</v>
      </c>
      <c r="B845" s="14" t="s">
        <v>103</v>
      </c>
      <c r="C845" s="15">
        <v>45989</v>
      </c>
      <c r="D845" s="14" t="s">
        <v>2665</v>
      </c>
      <c r="E845" s="14" t="s">
        <v>2666</v>
      </c>
      <c r="F845" s="17">
        <v>2500</v>
      </c>
      <c r="G845" s="14" t="s">
        <v>2661</v>
      </c>
      <c r="H845" s="14"/>
    </row>
    <row r="846" spans="1:8" ht="16">
      <c r="A846" s="14" t="s">
        <v>3523</v>
      </c>
      <c r="B846" s="14" t="s">
        <v>164</v>
      </c>
      <c r="C846" s="15">
        <v>46098</v>
      </c>
      <c r="D846" s="14" t="s">
        <v>2659</v>
      </c>
      <c r="E846" s="14" t="s">
        <v>2660</v>
      </c>
      <c r="F846" s="17">
        <v>3500</v>
      </c>
      <c r="G846" s="14" t="s">
        <v>2661</v>
      </c>
      <c r="H846" s="14"/>
    </row>
    <row r="847" spans="1:8" ht="16">
      <c r="A847" s="14" t="s">
        <v>3524</v>
      </c>
      <c r="B847" s="14" t="s">
        <v>222</v>
      </c>
      <c r="C847" s="15">
        <v>46179</v>
      </c>
      <c r="D847" s="14" t="s">
        <v>2665</v>
      </c>
      <c r="E847" s="14" t="s">
        <v>2666</v>
      </c>
      <c r="F847" s="17">
        <v>2500</v>
      </c>
      <c r="G847" s="14" t="s">
        <v>2661</v>
      </c>
      <c r="H847" s="14"/>
    </row>
    <row r="848" spans="1:8" ht="16">
      <c r="A848" s="14" t="s">
        <v>3525</v>
      </c>
      <c r="B848" s="14" t="s">
        <v>177</v>
      </c>
      <c r="C848" s="15">
        <v>45965</v>
      </c>
      <c r="D848" s="14" t="s">
        <v>2668</v>
      </c>
      <c r="E848" s="14" t="s">
        <v>2669</v>
      </c>
      <c r="F848" s="17">
        <v>4000</v>
      </c>
      <c r="G848" s="14" t="s">
        <v>2661</v>
      </c>
      <c r="H848" s="14"/>
    </row>
    <row r="849" spans="1:8" ht="16">
      <c r="A849" s="14" t="s">
        <v>3526</v>
      </c>
      <c r="B849" s="14" t="s">
        <v>241</v>
      </c>
      <c r="C849" s="15">
        <v>46211</v>
      </c>
      <c r="D849" s="14" t="s">
        <v>2671</v>
      </c>
      <c r="E849" s="14" t="s">
        <v>2672</v>
      </c>
      <c r="F849" s="17">
        <v>3000</v>
      </c>
      <c r="G849" s="14" t="s">
        <v>2661</v>
      </c>
      <c r="H849" s="14"/>
    </row>
    <row r="850" spans="1:8" ht="16">
      <c r="A850" s="14" t="s">
        <v>3527</v>
      </c>
      <c r="B850" s="14" t="s">
        <v>187</v>
      </c>
      <c r="C850" s="15">
        <v>46155</v>
      </c>
      <c r="D850" s="14" t="s">
        <v>2692</v>
      </c>
      <c r="E850" s="14" t="s">
        <v>2693</v>
      </c>
      <c r="F850" s="17">
        <v>10000</v>
      </c>
      <c r="G850" s="14" t="s">
        <v>2661</v>
      </c>
      <c r="H850" s="14"/>
    </row>
    <row r="851" spans="1:8" ht="16">
      <c r="A851" s="14" t="s">
        <v>3528</v>
      </c>
      <c r="B851" s="14" t="s">
        <v>97</v>
      </c>
      <c r="C851" s="15">
        <v>46172</v>
      </c>
      <c r="D851" s="14" t="s">
        <v>2688</v>
      </c>
      <c r="E851" s="14" t="s">
        <v>2689</v>
      </c>
      <c r="F851" s="17">
        <v>8000</v>
      </c>
      <c r="G851" s="14" t="s">
        <v>2661</v>
      </c>
      <c r="H851" s="14"/>
    </row>
    <row r="852" spans="1:8" ht="16">
      <c r="A852" s="14" t="s">
        <v>3529</v>
      </c>
      <c r="B852" s="14" t="s">
        <v>197</v>
      </c>
      <c r="C852" s="15">
        <v>46013</v>
      </c>
      <c r="D852" s="14" t="s">
        <v>2688</v>
      </c>
      <c r="E852" s="14" t="s">
        <v>2689</v>
      </c>
      <c r="F852" s="17">
        <v>8000</v>
      </c>
      <c r="G852" s="14" t="s">
        <v>2661</v>
      </c>
      <c r="H852" s="14"/>
    </row>
    <row r="853" spans="1:8" ht="16">
      <c r="A853" s="14" t="s">
        <v>3530</v>
      </c>
      <c r="B853" s="14" t="s">
        <v>235</v>
      </c>
      <c r="C853" s="15">
        <v>45940</v>
      </c>
      <c r="D853" s="14" t="s">
        <v>2659</v>
      </c>
      <c r="E853" s="14" t="s">
        <v>2660</v>
      </c>
      <c r="F853" s="17">
        <v>3500</v>
      </c>
      <c r="G853" s="14" t="s">
        <v>2676</v>
      </c>
      <c r="H853" s="14"/>
    </row>
    <row r="854" spans="1:8" ht="16">
      <c r="A854" s="14" t="s">
        <v>3531</v>
      </c>
      <c r="B854" s="14" t="s">
        <v>87</v>
      </c>
      <c r="C854" s="15">
        <v>45982</v>
      </c>
      <c r="D854" s="14" t="s">
        <v>2685</v>
      </c>
      <c r="E854" s="14" t="s">
        <v>2686</v>
      </c>
      <c r="F854" s="17">
        <v>5000</v>
      </c>
      <c r="G854" s="14" t="s">
        <v>2661</v>
      </c>
      <c r="H854" s="14"/>
    </row>
    <row r="855" spans="1:8" ht="16">
      <c r="A855" s="14" t="s">
        <v>3532</v>
      </c>
      <c r="B855" s="14" t="s">
        <v>176</v>
      </c>
      <c r="C855" s="15">
        <v>46081</v>
      </c>
      <c r="D855" s="14" t="s">
        <v>2671</v>
      </c>
      <c r="E855" s="14" t="s">
        <v>2672</v>
      </c>
      <c r="F855" s="17">
        <v>3000</v>
      </c>
      <c r="G855" s="14" t="s">
        <v>2661</v>
      </c>
      <c r="H855" s="14"/>
    </row>
    <row r="856" spans="1:8" ht="16">
      <c r="A856" s="14" t="s">
        <v>3533</v>
      </c>
      <c r="B856" s="14" t="s">
        <v>235</v>
      </c>
      <c r="C856" s="15">
        <v>46204</v>
      </c>
      <c r="D856" s="14" t="s">
        <v>2685</v>
      </c>
      <c r="E856" s="14" t="s">
        <v>2686</v>
      </c>
      <c r="F856" s="17">
        <v>5000</v>
      </c>
      <c r="G856" s="14" t="s">
        <v>2661</v>
      </c>
      <c r="H856" s="14"/>
    </row>
    <row r="857" spans="1:8" ht="16">
      <c r="A857" s="14" t="s">
        <v>3534</v>
      </c>
      <c r="B857" s="14" t="s">
        <v>26</v>
      </c>
      <c r="C857" s="15">
        <v>46017</v>
      </c>
      <c r="D857" s="14" t="s">
        <v>2671</v>
      </c>
      <c r="E857" s="14" t="s">
        <v>2672</v>
      </c>
      <c r="F857" s="17">
        <v>3000</v>
      </c>
      <c r="G857" s="14" t="s">
        <v>2661</v>
      </c>
      <c r="H857" s="14"/>
    </row>
    <row r="858" spans="1:8" ht="16">
      <c r="A858" s="14" t="s">
        <v>3535</v>
      </c>
      <c r="B858" s="14" t="s">
        <v>280</v>
      </c>
      <c r="C858" s="15">
        <v>46274</v>
      </c>
      <c r="D858" s="14" t="s">
        <v>2659</v>
      </c>
      <c r="E858" s="14" t="s">
        <v>2660</v>
      </c>
      <c r="F858" s="17">
        <v>3500</v>
      </c>
      <c r="G858" s="14" t="s">
        <v>2661</v>
      </c>
      <c r="H858" s="14"/>
    </row>
    <row r="859" spans="1:8" ht="16">
      <c r="A859" s="14" t="s">
        <v>3536</v>
      </c>
      <c r="B859" s="14" t="s">
        <v>227</v>
      </c>
      <c r="C859" s="15">
        <v>46277</v>
      </c>
      <c r="D859" s="14" t="s">
        <v>2692</v>
      </c>
      <c r="E859" s="14" t="s">
        <v>2693</v>
      </c>
      <c r="F859" s="17">
        <v>10000</v>
      </c>
      <c r="G859" s="14" t="s">
        <v>2661</v>
      </c>
      <c r="H859" s="14"/>
    </row>
    <row r="860" spans="1:8" ht="16">
      <c r="A860" s="14" t="s">
        <v>3537</v>
      </c>
      <c r="B860" s="14" t="s">
        <v>22</v>
      </c>
      <c r="C860" s="15">
        <v>46009</v>
      </c>
      <c r="D860" s="14" t="s">
        <v>2659</v>
      </c>
      <c r="E860" s="14" t="s">
        <v>2660</v>
      </c>
      <c r="F860" s="17">
        <v>3500</v>
      </c>
      <c r="G860" s="14" t="s">
        <v>2661</v>
      </c>
      <c r="H860" s="14"/>
    </row>
    <row r="861" spans="1:8" ht="16">
      <c r="A861" s="14" t="s">
        <v>3538</v>
      </c>
      <c r="B861" s="14" t="s">
        <v>221</v>
      </c>
      <c r="C861" s="15">
        <v>46114</v>
      </c>
      <c r="D861" s="14" t="s">
        <v>2685</v>
      </c>
      <c r="E861" s="14" t="s">
        <v>2686</v>
      </c>
      <c r="F861" s="17">
        <v>5000</v>
      </c>
      <c r="G861" s="14" t="s">
        <v>2661</v>
      </c>
      <c r="H861" s="14"/>
    </row>
    <row r="862" spans="1:8" ht="16">
      <c r="A862" s="14" t="s">
        <v>3539</v>
      </c>
      <c r="B862" s="14" t="s">
        <v>103</v>
      </c>
      <c r="C862" s="15">
        <v>46041</v>
      </c>
      <c r="D862" s="14" t="s">
        <v>2682</v>
      </c>
      <c r="E862" s="14" t="s">
        <v>2683</v>
      </c>
      <c r="F862" s="17">
        <v>6000</v>
      </c>
      <c r="G862" s="14" t="s">
        <v>2661</v>
      </c>
      <c r="H862" s="14"/>
    </row>
    <row r="863" spans="1:8" ht="16">
      <c r="A863" s="14" t="s">
        <v>3540</v>
      </c>
      <c r="B863" s="14" t="s">
        <v>197</v>
      </c>
      <c r="C863" s="15">
        <v>46276</v>
      </c>
      <c r="D863" s="14" t="s">
        <v>2692</v>
      </c>
      <c r="E863" s="14" t="s">
        <v>2693</v>
      </c>
      <c r="F863" s="17">
        <v>10000</v>
      </c>
      <c r="G863" s="14" t="s">
        <v>2676</v>
      </c>
      <c r="H863" s="14"/>
    </row>
    <row r="864" spans="1:8" ht="16">
      <c r="A864" s="14" t="s">
        <v>3541</v>
      </c>
      <c r="B864" s="14" t="s">
        <v>313</v>
      </c>
      <c r="C864" s="15">
        <v>46041</v>
      </c>
      <c r="D864" s="14" t="s">
        <v>2663</v>
      </c>
      <c r="E864" s="14" t="s">
        <v>3630</v>
      </c>
      <c r="F864" s="17">
        <v>1500</v>
      </c>
      <c r="G864" s="14" t="s">
        <v>2661</v>
      </c>
      <c r="H864" s="14"/>
    </row>
    <row r="865" spans="1:8" ht="16">
      <c r="A865" s="14" t="s">
        <v>3542</v>
      </c>
      <c r="B865" s="14" t="s">
        <v>144</v>
      </c>
      <c r="C865" s="15">
        <v>46287</v>
      </c>
      <c r="D865" s="14" t="s">
        <v>2659</v>
      </c>
      <c r="E865" s="14" t="s">
        <v>2660</v>
      </c>
      <c r="F865" s="17">
        <v>3500</v>
      </c>
      <c r="G865" s="14" t="s">
        <v>2661</v>
      </c>
      <c r="H865" s="14"/>
    </row>
    <row r="866" spans="1:8" ht="16">
      <c r="A866" s="14" t="s">
        <v>3543</v>
      </c>
      <c r="B866" s="14" t="s">
        <v>110</v>
      </c>
      <c r="C866" s="15">
        <v>46256</v>
      </c>
      <c r="D866" s="14" t="s">
        <v>2663</v>
      </c>
      <c r="E866" s="14" t="s">
        <v>3630</v>
      </c>
      <c r="F866" s="17">
        <v>1500</v>
      </c>
      <c r="G866" s="14" t="s">
        <v>2676</v>
      </c>
      <c r="H866" s="14"/>
    </row>
    <row r="867" spans="1:8" ht="16">
      <c r="A867" s="14" t="s">
        <v>3544</v>
      </c>
      <c r="B867" s="14" t="s">
        <v>161</v>
      </c>
      <c r="C867" s="15">
        <v>46259</v>
      </c>
      <c r="D867" s="14" t="s">
        <v>2671</v>
      </c>
      <c r="E867" s="14" t="s">
        <v>2672</v>
      </c>
      <c r="F867" s="17">
        <v>3000</v>
      </c>
      <c r="G867" s="14" t="s">
        <v>2661</v>
      </c>
      <c r="H867" s="14"/>
    </row>
    <row r="868" spans="1:8" ht="16">
      <c r="A868" s="14" t="s">
        <v>3545</v>
      </c>
      <c r="B868" s="14" t="s">
        <v>80</v>
      </c>
      <c r="C868" s="15">
        <v>46130</v>
      </c>
      <c r="D868" s="14" t="s">
        <v>2668</v>
      </c>
      <c r="E868" s="14" t="s">
        <v>2669</v>
      </c>
      <c r="F868" s="17">
        <v>4000</v>
      </c>
      <c r="G868" s="14" t="s">
        <v>2661</v>
      </c>
      <c r="H868" s="14"/>
    </row>
    <row r="869" spans="1:8" ht="16">
      <c r="A869" s="14" t="s">
        <v>3546</v>
      </c>
      <c r="B869" s="14" t="s">
        <v>172</v>
      </c>
      <c r="C869" s="15">
        <v>46158</v>
      </c>
      <c r="D869" s="14" t="s">
        <v>2668</v>
      </c>
      <c r="E869" s="14" t="s">
        <v>2669</v>
      </c>
      <c r="F869" s="17">
        <v>4000</v>
      </c>
      <c r="G869" s="14" t="s">
        <v>2661</v>
      </c>
      <c r="H869" s="14"/>
    </row>
    <row r="870" spans="1:8" ht="16">
      <c r="A870" s="14" t="s">
        <v>3547</v>
      </c>
      <c r="B870" s="14" t="s">
        <v>130</v>
      </c>
      <c r="C870" s="15">
        <v>46237</v>
      </c>
      <c r="D870" s="14" t="s">
        <v>2659</v>
      </c>
      <c r="E870" s="14" t="s">
        <v>2660</v>
      </c>
      <c r="F870" s="17">
        <v>3500</v>
      </c>
      <c r="G870" s="14" t="s">
        <v>2661</v>
      </c>
      <c r="H870" s="14"/>
    </row>
    <row r="871" spans="1:8" ht="16">
      <c r="A871" s="14" t="s">
        <v>3548</v>
      </c>
      <c r="B871" s="14" t="s">
        <v>44</v>
      </c>
      <c r="C871" s="15">
        <v>45955</v>
      </c>
      <c r="D871" s="14" t="s">
        <v>2682</v>
      </c>
      <c r="E871" s="14" t="s">
        <v>2683</v>
      </c>
      <c r="F871" s="17">
        <v>6000</v>
      </c>
      <c r="G871" s="14" t="s">
        <v>2661</v>
      </c>
      <c r="H871" s="14"/>
    </row>
    <row r="872" spans="1:8" ht="16">
      <c r="A872" s="14" t="s">
        <v>3549</v>
      </c>
      <c r="B872" s="14" t="s">
        <v>75</v>
      </c>
      <c r="C872" s="15">
        <v>46034</v>
      </c>
      <c r="D872" s="14" t="s">
        <v>2692</v>
      </c>
      <c r="E872" s="14" t="s">
        <v>2693</v>
      </c>
      <c r="F872" s="17">
        <v>10000</v>
      </c>
      <c r="G872" s="14" t="s">
        <v>2661</v>
      </c>
      <c r="H872" s="14"/>
    </row>
    <row r="873" spans="1:8" ht="16">
      <c r="A873" s="14" t="s">
        <v>3550</v>
      </c>
      <c r="B873" s="14" t="s">
        <v>86</v>
      </c>
      <c r="C873" s="15">
        <v>46122</v>
      </c>
      <c r="D873" s="14" t="s">
        <v>2671</v>
      </c>
      <c r="E873" s="14" t="s">
        <v>2672</v>
      </c>
      <c r="F873" s="17">
        <v>3000</v>
      </c>
      <c r="G873" s="14" t="s">
        <v>2661</v>
      </c>
      <c r="H873" s="14"/>
    </row>
    <row r="874" spans="1:8" ht="16">
      <c r="A874" s="14" t="s">
        <v>3551</v>
      </c>
      <c r="B874" s="14" t="s">
        <v>93</v>
      </c>
      <c r="C874" s="15">
        <v>46033</v>
      </c>
      <c r="D874" s="14" t="s">
        <v>2692</v>
      </c>
      <c r="E874" s="14" t="s">
        <v>2693</v>
      </c>
      <c r="F874" s="17">
        <v>10000</v>
      </c>
      <c r="G874" s="14" t="s">
        <v>2661</v>
      </c>
      <c r="H874" s="14"/>
    </row>
    <row r="875" spans="1:8" ht="16">
      <c r="A875" s="14" t="s">
        <v>3552</v>
      </c>
      <c r="B875" s="14" t="s">
        <v>148</v>
      </c>
      <c r="C875" s="15">
        <v>45939</v>
      </c>
      <c r="D875" s="14" t="s">
        <v>2671</v>
      </c>
      <c r="E875" s="14" t="s">
        <v>2672</v>
      </c>
      <c r="F875" s="17">
        <v>3000</v>
      </c>
      <c r="G875" s="14" t="s">
        <v>2661</v>
      </c>
      <c r="H875" s="14"/>
    </row>
    <row r="876" spans="1:8" ht="16">
      <c r="A876" s="14" t="s">
        <v>3553</v>
      </c>
      <c r="B876" s="14" t="s">
        <v>277</v>
      </c>
      <c r="C876" s="15">
        <v>45945</v>
      </c>
      <c r="D876" s="14" t="s">
        <v>2685</v>
      </c>
      <c r="E876" s="14" t="s">
        <v>2686</v>
      </c>
      <c r="F876" s="17">
        <v>5000</v>
      </c>
      <c r="G876" s="14" t="s">
        <v>2661</v>
      </c>
      <c r="H876" s="14"/>
    </row>
    <row r="877" spans="1:8" ht="16">
      <c r="A877" s="14" t="s">
        <v>3554</v>
      </c>
      <c r="B877" s="14" t="s">
        <v>63</v>
      </c>
      <c r="C877" s="15">
        <v>46103</v>
      </c>
      <c r="D877" s="14" t="s">
        <v>2682</v>
      </c>
      <c r="E877" s="14" t="s">
        <v>2683</v>
      </c>
      <c r="F877" s="17">
        <v>6000</v>
      </c>
      <c r="G877" s="14" t="s">
        <v>2661</v>
      </c>
      <c r="H877" s="14"/>
    </row>
    <row r="878" spans="1:8" ht="16">
      <c r="A878" s="14" t="s">
        <v>3555</v>
      </c>
      <c r="B878" s="14" t="s">
        <v>12</v>
      </c>
      <c r="C878" s="15">
        <v>46279</v>
      </c>
      <c r="D878" s="14" t="s">
        <v>2671</v>
      </c>
      <c r="E878" s="14" t="s">
        <v>2672</v>
      </c>
      <c r="F878" s="17">
        <v>3000</v>
      </c>
      <c r="G878" s="14" t="s">
        <v>2661</v>
      </c>
      <c r="H878" s="14"/>
    </row>
    <row r="879" spans="1:8" ht="16">
      <c r="A879" s="14" t="s">
        <v>3556</v>
      </c>
      <c r="B879" s="14" t="s">
        <v>269</v>
      </c>
      <c r="C879" s="15">
        <v>46043</v>
      </c>
      <c r="D879" s="14" t="s">
        <v>2674</v>
      </c>
      <c r="E879" s="14" t="s">
        <v>2675</v>
      </c>
      <c r="F879" s="17">
        <v>20000</v>
      </c>
      <c r="G879" s="14" t="s">
        <v>2661</v>
      </c>
      <c r="H879" s="14"/>
    </row>
    <row r="880" spans="1:8" ht="16">
      <c r="A880" s="14" t="s">
        <v>3557</v>
      </c>
      <c r="B880" s="14" t="s">
        <v>124</v>
      </c>
      <c r="C880" s="15">
        <v>46271</v>
      </c>
      <c r="D880" s="14" t="s">
        <v>2665</v>
      </c>
      <c r="E880" s="14" t="s">
        <v>2666</v>
      </c>
      <c r="F880" s="17">
        <v>2500</v>
      </c>
      <c r="G880" s="14" t="s">
        <v>2661</v>
      </c>
      <c r="H880" s="14"/>
    </row>
    <row r="881" spans="1:8" ht="16">
      <c r="A881" s="14" t="s">
        <v>3558</v>
      </c>
      <c r="B881" s="14" t="s">
        <v>142</v>
      </c>
      <c r="C881" s="15">
        <v>46016</v>
      </c>
      <c r="D881" s="14" t="s">
        <v>2663</v>
      </c>
      <c r="E881" s="14" t="s">
        <v>3630</v>
      </c>
      <c r="F881" s="17">
        <v>1500</v>
      </c>
      <c r="G881" s="14" t="s">
        <v>2661</v>
      </c>
      <c r="H881" s="14"/>
    </row>
    <row r="882" spans="1:8" ht="16">
      <c r="A882" s="14" t="s">
        <v>3559</v>
      </c>
      <c r="B882" s="14" t="s">
        <v>301</v>
      </c>
      <c r="C882" s="15">
        <v>46143</v>
      </c>
      <c r="D882" s="14" t="s">
        <v>2663</v>
      </c>
      <c r="E882" s="14" t="s">
        <v>3630</v>
      </c>
      <c r="F882" s="17">
        <v>1500</v>
      </c>
      <c r="G882" s="14" t="s">
        <v>2676</v>
      </c>
      <c r="H882" s="14"/>
    </row>
    <row r="883" spans="1:8" ht="16">
      <c r="A883" s="14" t="s">
        <v>3560</v>
      </c>
      <c r="B883" s="14" t="s">
        <v>277</v>
      </c>
      <c r="C883" s="15">
        <v>45986</v>
      </c>
      <c r="D883" s="14" t="s">
        <v>2685</v>
      </c>
      <c r="E883" s="14" t="s">
        <v>2686</v>
      </c>
      <c r="F883" s="17">
        <v>5000</v>
      </c>
      <c r="G883" s="14" t="s">
        <v>2661</v>
      </c>
      <c r="H883" s="14"/>
    </row>
    <row r="884" spans="1:8" ht="16">
      <c r="A884" s="14" t="s">
        <v>3561</v>
      </c>
      <c r="B884" s="14" t="s">
        <v>81</v>
      </c>
      <c r="C884" s="15">
        <v>46096</v>
      </c>
      <c r="D884" s="14" t="s">
        <v>2692</v>
      </c>
      <c r="E884" s="14" t="s">
        <v>2693</v>
      </c>
      <c r="F884" s="17">
        <v>10000</v>
      </c>
      <c r="G884" s="14" t="s">
        <v>2676</v>
      </c>
      <c r="H884" s="14"/>
    </row>
    <row r="885" spans="1:8" ht="16">
      <c r="A885" s="14" t="s">
        <v>3562</v>
      </c>
      <c r="B885" s="14" t="s">
        <v>118</v>
      </c>
      <c r="C885" s="15">
        <v>46251</v>
      </c>
      <c r="D885" s="14" t="s">
        <v>2692</v>
      </c>
      <c r="E885" s="14" t="s">
        <v>2693</v>
      </c>
      <c r="F885" s="17">
        <v>10000</v>
      </c>
      <c r="G885" s="14" t="s">
        <v>2661</v>
      </c>
      <c r="H885" s="14"/>
    </row>
    <row r="886" spans="1:8" ht="16">
      <c r="A886" s="14" t="s">
        <v>3563</v>
      </c>
      <c r="B886" s="14" t="s">
        <v>157</v>
      </c>
      <c r="C886" s="15">
        <v>46250</v>
      </c>
      <c r="D886" s="14" t="s">
        <v>2659</v>
      </c>
      <c r="E886" s="14" t="s">
        <v>2660</v>
      </c>
      <c r="F886" s="17">
        <v>3500</v>
      </c>
      <c r="G886" s="14" t="s">
        <v>2661</v>
      </c>
      <c r="H886" s="14"/>
    </row>
    <row r="887" spans="1:8" ht="16">
      <c r="A887" s="14" t="s">
        <v>3564</v>
      </c>
      <c r="B887" s="14" t="s">
        <v>214</v>
      </c>
      <c r="C887" s="15">
        <v>46208</v>
      </c>
      <c r="D887" s="14" t="s">
        <v>2674</v>
      </c>
      <c r="E887" s="14" t="s">
        <v>2675</v>
      </c>
      <c r="F887" s="17">
        <v>20000</v>
      </c>
      <c r="G887" s="14" t="s">
        <v>2661</v>
      </c>
      <c r="H887" s="14"/>
    </row>
    <row r="888" spans="1:8" ht="16">
      <c r="A888" s="14" t="s">
        <v>3565</v>
      </c>
      <c r="B888" s="14" t="s">
        <v>102</v>
      </c>
      <c r="C888" s="15">
        <v>46150</v>
      </c>
      <c r="D888" s="14" t="s">
        <v>2674</v>
      </c>
      <c r="E888" s="14" t="s">
        <v>2675</v>
      </c>
      <c r="F888" s="17">
        <v>20000</v>
      </c>
      <c r="G888" s="14" t="s">
        <v>2661</v>
      </c>
      <c r="H888" s="14"/>
    </row>
    <row r="889" spans="1:8" ht="16">
      <c r="A889" s="14" t="s">
        <v>3566</v>
      </c>
      <c r="B889" s="14" t="s">
        <v>268</v>
      </c>
      <c r="C889" s="15">
        <v>46049</v>
      </c>
      <c r="D889" s="14" t="s">
        <v>2663</v>
      </c>
      <c r="E889" s="14" t="s">
        <v>3630</v>
      </c>
      <c r="F889" s="17">
        <v>1500</v>
      </c>
      <c r="G889" s="14" t="s">
        <v>2661</v>
      </c>
      <c r="H889" s="14"/>
    </row>
    <row r="890" spans="1:8" ht="16">
      <c r="A890" s="14" t="s">
        <v>3567</v>
      </c>
      <c r="B890" s="14" t="s">
        <v>114</v>
      </c>
      <c r="C890" s="15">
        <v>45985</v>
      </c>
      <c r="D890" s="14" t="s">
        <v>2674</v>
      </c>
      <c r="E890" s="14" t="s">
        <v>2675</v>
      </c>
      <c r="F890" s="17">
        <v>20000</v>
      </c>
      <c r="G890" s="14" t="s">
        <v>2661</v>
      </c>
      <c r="H890" s="14"/>
    </row>
    <row r="891" spans="1:8" ht="16">
      <c r="A891" s="14" t="s">
        <v>3568</v>
      </c>
      <c r="B891" s="14" t="s">
        <v>282</v>
      </c>
      <c r="C891" s="15">
        <v>46096</v>
      </c>
      <c r="D891" s="14" t="s">
        <v>2674</v>
      </c>
      <c r="E891" s="14" t="s">
        <v>2675</v>
      </c>
      <c r="F891" s="17">
        <v>20000</v>
      </c>
      <c r="G891" s="14" t="s">
        <v>2661</v>
      </c>
      <c r="H891" s="14"/>
    </row>
    <row r="892" spans="1:8" ht="16">
      <c r="A892" s="14" t="s">
        <v>3569</v>
      </c>
      <c r="B892" s="14" t="s">
        <v>107</v>
      </c>
      <c r="C892" s="15">
        <v>45938</v>
      </c>
      <c r="D892" s="14" t="s">
        <v>2692</v>
      </c>
      <c r="E892" s="14" t="s">
        <v>2693</v>
      </c>
      <c r="F892" s="17">
        <v>10000</v>
      </c>
      <c r="G892" s="14" t="s">
        <v>2661</v>
      </c>
      <c r="H892" s="14"/>
    </row>
    <row r="893" spans="1:8" ht="16">
      <c r="A893" s="14" t="s">
        <v>3570</v>
      </c>
      <c r="B893" s="14" t="s">
        <v>223</v>
      </c>
      <c r="C893" s="15">
        <v>46265</v>
      </c>
      <c r="D893" s="14" t="s">
        <v>2663</v>
      </c>
      <c r="E893" s="14" t="s">
        <v>3630</v>
      </c>
      <c r="F893" s="17">
        <v>1500</v>
      </c>
      <c r="G893" s="14" t="s">
        <v>2661</v>
      </c>
      <c r="H893" s="14"/>
    </row>
    <row r="894" spans="1:8" ht="16">
      <c r="A894" s="14" t="s">
        <v>3571</v>
      </c>
      <c r="B894" s="14" t="s">
        <v>294</v>
      </c>
      <c r="C894" s="15">
        <v>45937</v>
      </c>
      <c r="D894" s="14" t="s">
        <v>2663</v>
      </c>
      <c r="E894" s="14" t="s">
        <v>3630</v>
      </c>
      <c r="F894" s="17">
        <v>1500</v>
      </c>
      <c r="G894" s="14" t="s">
        <v>2661</v>
      </c>
      <c r="H894" s="14"/>
    </row>
    <row r="895" spans="1:8" ht="16">
      <c r="A895" s="14" t="s">
        <v>3572</v>
      </c>
      <c r="B895" s="14" t="s">
        <v>294</v>
      </c>
      <c r="C895" s="15">
        <v>46039</v>
      </c>
      <c r="D895" s="14" t="s">
        <v>2668</v>
      </c>
      <c r="E895" s="14" t="s">
        <v>2669</v>
      </c>
      <c r="F895" s="17">
        <v>4000</v>
      </c>
      <c r="G895" s="14" t="s">
        <v>2661</v>
      </c>
      <c r="H895" s="14"/>
    </row>
    <row r="896" spans="1:8" ht="16">
      <c r="A896" s="14" t="s">
        <v>3573</v>
      </c>
      <c r="B896" s="14" t="s">
        <v>167</v>
      </c>
      <c r="C896" s="15">
        <v>46043</v>
      </c>
      <c r="D896" s="14" t="s">
        <v>2671</v>
      </c>
      <c r="E896" s="14" t="s">
        <v>2672</v>
      </c>
      <c r="F896" s="17">
        <v>3000</v>
      </c>
      <c r="G896" s="14" t="s">
        <v>2661</v>
      </c>
      <c r="H896" s="14"/>
    </row>
    <row r="897" spans="1:8" ht="16">
      <c r="A897" s="14" t="s">
        <v>3574</v>
      </c>
      <c r="B897" s="14" t="s">
        <v>95</v>
      </c>
      <c r="C897" s="15">
        <v>46267</v>
      </c>
      <c r="D897" s="14" t="s">
        <v>2665</v>
      </c>
      <c r="E897" s="14" t="s">
        <v>2666</v>
      </c>
      <c r="F897" s="17">
        <v>2500</v>
      </c>
      <c r="G897" s="14" t="s">
        <v>2661</v>
      </c>
      <c r="H897" s="14"/>
    </row>
    <row r="898" spans="1:8" ht="16">
      <c r="A898" s="14" t="s">
        <v>3575</v>
      </c>
      <c r="B898" s="14" t="s">
        <v>252</v>
      </c>
      <c r="C898" s="15">
        <v>46263</v>
      </c>
      <c r="D898" s="14" t="s">
        <v>2668</v>
      </c>
      <c r="E898" s="14" t="s">
        <v>2669</v>
      </c>
      <c r="F898" s="17">
        <v>4000</v>
      </c>
      <c r="G898" s="14" t="s">
        <v>2676</v>
      </c>
      <c r="H898" s="14"/>
    </row>
    <row r="899" spans="1:8" ht="16">
      <c r="A899" s="14" t="s">
        <v>3576</v>
      </c>
      <c r="B899" s="14" t="s">
        <v>287</v>
      </c>
      <c r="C899" s="15">
        <v>46119</v>
      </c>
      <c r="D899" s="14" t="s">
        <v>2688</v>
      </c>
      <c r="E899" s="14" t="s">
        <v>2689</v>
      </c>
      <c r="F899" s="17">
        <v>8000</v>
      </c>
      <c r="G899" s="14" t="s">
        <v>2661</v>
      </c>
      <c r="H899" s="14"/>
    </row>
    <row r="900" spans="1:8" ht="16">
      <c r="A900" s="14" t="s">
        <v>3577</v>
      </c>
      <c r="B900" s="14" t="s">
        <v>92</v>
      </c>
      <c r="C900" s="15">
        <v>45965</v>
      </c>
      <c r="D900" s="14" t="s">
        <v>2663</v>
      </c>
      <c r="E900" s="14" t="s">
        <v>3630</v>
      </c>
      <c r="F900" s="17">
        <v>1500</v>
      </c>
      <c r="G900" s="14" t="s">
        <v>2661</v>
      </c>
      <c r="H900" s="14"/>
    </row>
    <row r="901" spans="1:8" ht="16">
      <c r="A901" s="14" t="s">
        <v>3578</v>
      </c>
      <c r="B901" s="14" t="s">
        <v>232</v>
      </c>
      <c r="C901" s="15">
        <v>46141</v>
      </c>
      <c r="D901" s="14" t="s">
        <v>2692</v>
      </c>
      <c r="E901" s="14" t="s">
        <v>2693</v>
      </c>
      <c r="F901" s="17">
        <v>10000</v>
      </c>
      <c r="G901" s="14" t="s">
        <v>2661</v>
      </c>
      <c r="H901" s="14"/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1"/>
  <sheetViews>
    <sheetView topLeftCell="C1" workbookViewId="0">
      <selection activeCell="J1" sqref="J1:J11"/>
    </sheetView>
  </sheetViews>
  <sheetFormatPr baseColWidth="10" defaultColWidth="8.83203125" defaultRowHeight="15"/>
  <cols>
    <col min="1" max="1" width="11" customWidth="1"/>
    <col min="2" max="2" width="34.5" bestFit="1" customWidth="1"/>
    <col min="3" max="3" width="16" customWidth="1"/>
    <col min="4" max="4" width="10.6640625" customWidth="1"/>
    <col min="5" max="5" width="14.6640625" customWidth="1"/>
    <col min="6" max="6" width="12" customWidth="1"/>
    <col min="7" max="7" width="10.1640625" bestFit="1" customWidth="1"/>
    <col min="8" max="8" width="13.5" bestFit="1" customWidth="1"/>
    <col min="10" max="10" width="10.6640625" bestFit="1" customWidth="1"/>
  </cols>
  <sheetData>
    <row r="1" spans="1:10">
      <c r="A1" t="s">
        <v>2654</v>
      </c>
      <c r="B1" t="s">
        <v>2655</v>
      </c>
      <c r="C1" t="s">
        <v>3579</v>
      </c>
      <c r="D1" t="s">
        <v>3580</v>
      </c>
      <c r="E1" t="s">
        <v>3581</v>
      </c>
      <c r="F1" t="s">
        <v>3582</v>
      </c>
      <c r="G1" t="s">
        <v>316</v>
      </c>
      <c r="H1" t="s">
        <v>3660</v>
      </c>
      <c r="I1" t="s">
        <v>3662</v>
      </c>
      <c r="J1" t="s">
        <v>3663</v>
      </c>
    </row>
    <row r="2" spans="1:10">
      <c r="A2" t="s">
        <v>2674</v>
      </c>
      <c r="B2" t="s">
        <v>2675</v>
      </c>
      <c r="C2" s="21">
        <v>20000</v>
      </c>
      <c r="D2" s="21">
        <v>100</v>
      </c>
      <c r="E2" s="21">
        <v>70</v>
      </c>
      <c r="F2" s="21">
        <v>30</v>
      </c>
      <c r="G2" t="s">
        <v>3583</v>
      </c>
      <c r="H2" s="30">
        <f>Table4[[#This Row],[JumlahDitukar]]/Table4[[#This Row],[StokAwal]]</f>
        <v>0.7</v>
      </c>
      <c r="I2" s="31">
        <f>Table4[[#This Row],[JumlahDitukar]]/12</f>
        <v>5.833333333333333</v>
      </c>
      <c r="J2" s="32">
        <f>Table4[[#This Row],[StokTersisa]]/Table4[[#This Row],[kecepatan penukaran]]</f>
        <v>5.1428571428571432</v>
      </c>
    </row>
    <row r="3" spans="1:10">
      <c r="A3" t="s">
        <v>2659</v>
      </c>
      <c r="B3" t="s">
        <v>2660</v>
      </c>
      <c r="C3" s="21">
        <v>3500</v>
      </c>
      <c r="D3" s="21">
        <v>200</v>
      </c>
      <c r="E3" s="21">
        <v>82</v>
      </c>
      <c r="F3" s="21">
        <v>118</v>
      </c>
      <c r="G3" t="s">
        <v>3583</v>
      </c>
      <c r="H3" s="30">
        <f>Table4[[#This Row],[JumlahDitukar]]/Table4[[#This Row],[StokAwal]]</f>
        <v>0.41</v>
      </c>
      <c r="I3" s="31">
        <f>Table4[[#This Row],[JumlahDitukar]]/12</f>
        <v>6.833333333333333</v>
      </c>
      <c r="J3" s="32">
        <f>Table4[[#This Row],[StokTersisa]]/Table4[[#This Row],[kecepatan penukaran]]</f>
        <v>17.26829268292683</v>
      </c>
    </row>
    <row r="4" spans="1:10">
      <c r="A4" t="s">
        <v>2688</v>
      </c>
      <c r="B4" t="s">
        <v>2689</v>
      </c>
      <c r="C4" s="21">
        <v>8000</v>
      </c>
      <c r="D4" s="21">
        <v>150</v>
      </c>
      <c r="E4" s="21">
        <v>59</v>
      </c>
      <c r="F4" s="21">
        <v>91</v>
      </c>
      <c r="G4" t="s">
        <v>3583</v>
      </c>
      <c r="H4" s="30">
        <f>Table4[[#This Row],[JumlahDitukar]]/Table4[[#This Row],[StokAwal]]</f>
        <v>0.39333333333333331</v>
      </c>
      <c r="I4" s="31">
        <f>Table4[[#This Row],[JumlahDitukar]]/12</f>
        <v>4.916666666666667</v>
      </c>
      <c r="J4" s="32">
        <f>Table4[[#This Row],[StokTersisa]]/Table4[[#This Row],[kecepatan penukaran]]</f>
        <v>18.508474576271187</v>
      </c>
    </row>
    <row r="5" spans="1:10">
      <c r="A5" t="s">
        <v>2682</v>
      </c>
      <c r="B5" t="s">
        <v>2683</v>
      </c>
      <c r="C5" s="21">
        <v>6000</v>
      </c>
      <c r="D5" s="21">
        <v>180</v>
      </c>
      <c r="E5" s="21">
        <v>64</v>
      </c>
      <c r="F5" s="21">
        <v>116</v>
      </c>
      <c r="G5" t="s">
        <v>3583</v>
      </c>
      <c r="H5" s="30">
        <f>Table4[[#This Row],[JumlahDitukar]]/Table4[[#This Row],[StokAwal]]</f>
        <v>0.35555555555555557</v>
      </c>
      <c r="I5" s="31">
        <f>Table4[[#This Row],[JumlahDitukar]]/12</f>
        <v>5.333333333333333</v>
      </c>
      <c r="J5" s="32">
        <f>Table4[[#This Row],[StokTersisa]]/Table4[[#This Row],[kecepatan penukaran]]</f>
        <v>21.75</v>
      </c>
    </row>
    <row r="6" spans="1:10">
      <c r="A6" t="s">
        <v>2668</v>
      </c>
      <c r="B6" t="s">
        <v>2669</v>
      </c>
      <c r="C6" s="21">
        <v>4000</v>
      </c>
      <c r="D6" s="21">
        <v>250</v>
      </c>
      <c r="E6" s="21">
        <v>78</v>
      </c>
      <c r="F6" s="21">
        <v>172</v>
      </c>
      <c r="G6" t="s">
        <v>3583</v>
      </c>
      <c r="H6" s="30">
        <f>Table4[[#This Row],[JumlahDitukar]]/Table4[[#This Row],[StokAwal]]</f>
        <v>0.312</v>
      </c>
      <c r="I6" s="31">
        <f>Table4[[#This Row],[JumlahDitukar]]/12</f>
        <v>6.5</v>
      </c>
      <c r="J6" s="32">
        <f>Table4[[#This Row],[StokTersisa]]/Table4[[#This Row],[kecepatan penukaran]]</f>
        <v>26.46153846153846</v>
      </c>
    </row>
    <row r="7" spans="1:10">
      <c r="A7" t="s">
        <v>2692</v>
      </c>
      <c r="B7" t="s">
        <v>2693</v>
      </c>
      <c r="C7" s="21">
        <v>10000</v>
      </c>
      <c r="D7" s="21">
        <v>350</v>
      </c>
      <c r="E7" s="21">
        <v>78</v>
      </c>
      <c r="F7" s="21">
        <v>272</v>
      </c>
      <c r="G7" t="s">
        <v>3583</v>
      </c>
      <c r="H7" s="30">
        <f>Table4[[#This Row],[JumlahDitukar]]/Table4[[#This Row],[StokAwal]]</f>
        <v>0.22285714285714286</v>
      </c>
      <c r="I7" s="31">
        <f>Table4[[#This Row],[JumlahDitukar]]/12</f>
        <v>6.5</v>
      </c>
      <c r="J7" s="32">
        <f>Table4[[#This Row],[StokTersisa]]/Table4[[#This Row],[kecepatan penukaran]]</f>
        <v>41.846153846153847</v>
      </c>
    </row>
    <row r="8" spans="1:10">
      <c r="A8" t="s">
        <v>2671</v>
      </c>
      <c r="B8" t="s">
        <v>2672</v>
      </c>
      <c r="C8" s="21">
        <v>3000</v>
      </c>
      <c r="D8" s="21">
        <v>400</v>
      </c>
      <c r="E8" s="21">
        <v>66</v>
      </c>
      <c r="F8" s="21">
        <v>334</v>
      </c>
      <c r="G8" t="s">
        <v>3583</v>
      </c>
      <c r="H8" s="30">
        <f>Table4[[#This Row],[JumlahDitukar]]/Table4[[#This Row],[StokAwal]]</f>
        <v>0.16500000000000001</v>
      </c>
      <c r="I8" s="31">
        <f>Table4[[#This Row],[JumlahDitukar]]/12</f>
        <v>5.5</v>
      </c>
      <c r="J8" s="32">
        <f>Table4[[#This Row],[StokTersisa]]/Table4[[#This Row],[kecepatan penukaran]]</f>
        <v>60.727272727272727</v>
      </c>
    </row>
    <row r="9" spans="1:10">
      <c r="A9" t="s">
        <v>2685</v>
      </c>
      <c r="B9" t="s">
        <v>2686</v>
      </c>
      <c r="C9" s="21">
        <v>5000</v>
      </c>
      <c r="D9" s="21">
        <v>500</v>
      </c>
      <c r="E9" s="21">
        <v>78</v>
      </c>
      <c r="F9" s="21">
        <v>422</v>
      </c>
      <c r="G9" t="s">
        <v>3583</v>
      </c>
      <c r="H9" s="30">
        <f>Table4[[#This Row],[JumlahDitukar]]/Table4[[#This Row],[StokAwal]]</f>
        <v>0.156</v>
      </c>
      <c r="I9" s="31">
        <f>Table4[[#This Row],[JumlahDitukar]]/12</f>
        <v>6.5</v>
      </c>
      <c r="J9" s="32">
        <f>Table4[[#This Row],[StokTersisa]]/Table4[[#This Row],[kecepatan penukaran]]</f>
        <v>64.92307692307692</v>
      </c>
    </row>
    <row r="10" spans="1:10">
      <c r="A10" t="s">
        <v>2665</v>
      </c>
      <c r="B10" t="s">
        <v>2666</v>
      </c>
      <c r="C10" s="21">
        <v>2500</v>
      </c>
      <c r="D10" s="21">
        <v>600</v>
      </c>
      <c r="E10" s="21">
        <v>68</v>
      </c>
      <c r="F10" s="21">
        <v>532</v>
      </c>
      <c r="G10" t="s">
        <v>3583</v>
      </c>
      <c r="H10" s="30">
        <f>Table4[[#This Row],[JumlahDitukar]]/Table4[[#This Row],[StokAwal]]</f>
        <v>0.11333333333333333</v>
      </c>
      <c r="I10" s="31">
        <f>Table4[[#This Row],[JumlahDitukar]]/12</f>
        <v>5.666666666666667</v>
      </c>
      <c r="J10" s="32">
        <f>Table4[[#This Row],[StokTersisa]]/Table4[[#This Row],[kecepatan penukaran]]</f>
        <v>93.882352941176464</v>
      </c>
    </row>
    <row r="11" spans="1:10">
      <c r="A11" t="s">
        <v>2663</v>
      </c>
      <c r="B11" t="s">
        <v>3630</v>
      </c>
      <c r="C11" s="21">
        <v>1500</v>
      </c>
      <c r="D11" s="21">
        <v>800</v>
      </c>
      <c r="E11" s="21">
        <v>74</v>
      </c>
      <c r="F11" s="21">
        <v>726</v>
      </c>
      <c r="G11" t="s">
        <v>3583</v>
      </c>
      <c r="H11" s="30">
        <f>Table4[[#This Row],[JumlahDitukar]]/Table4[[#This Row],[StokAwal]]</f>
        <v>9.2499999999999999E-2</v>
      </c>
      <c r="I11" s="31">
        <f>Table4[[#This Row],[JumlahDitukar]]/12</f>
        <v>6.166666666666667</v>
      </c>
      <c r="J11" s="32">
        <f>Table4[[#This Row],[StokTersisa]]/Table4[[#This Row],[kecepatan penukaran]]</f>
        <v>117.72972972972973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workbookViewId="0">
      <selection sqref="A1:D11"/>
    </sheetView>
  </sheetViews>
  <sheetFormatPr baseColWidth="10" defaultColWidth="8.83203125" defaultRowHeight="15"/>
  <cols>
    <col min="1" max="1" width="11" customWidth="1"/>
    <col min="2" max="2" width="13.6640625" customWidth="1"/>
    <col min="3" max="3" width="15.5" bestFit="1" customWidth="1"/>
    <col min="5" max="5" width="39.1640625" bestFit="1" customWidth="1"/>
  </cols>
  <sheetData>
    <row r="1" spans="1:5">
      <c r="A1" t="s">
        <v>3584</v>
      </c>
      <c r="B1" t="s">
        <v>3585</v>
      </c>
      <c r="C1" t="s">
        <v>317</v>
      </c>
      <c r="D1" t="s">
        <v>2657</v>
      </c>
      <c r="E1" t="s">
        <v>3586</v>
      </c>
    </row>
    <row r="2" spans="1:5">
      <c r="A2" t="s">
        <v>3587</v>
      </c>
      <c r="B2" t="s">
        <v>3588</v>
      </c>
      <c r="C2" t="s">
        <v>325</v>
      </c>
      <c r="D2" t="s">
        <v>3589</v>
      </c>
      <c r="E2" t="s">
        <v>3590</v>
      </c>
    </row>
    <row r="3" spans="1:5">
      <c r="A3" t="s">
        <v>3591</v>
      </c>
      <c r="B3" t="s">
        <v>3592</v>
      </c>
      <c r="C3" t="s">
        <v>334</v>
      </c>
      <c r="D3" t="s">
        <v>3589</v>
      </c>
      <c r="E3" t="s">
        <v>3593</v>
      </c>
    </row>
    <row r="4" spans="1:5">
      <c r="A4" t="s">
        <v>3594</v>
      </c>
      <c r="B4" t="s">
        <v>3595</v>
      </c>
      <c r="C4" t="s">
        <v>337</v>
      </c>
      <c r="D4" t="s">
        <v>3589</v>
      </c>
      <c r="E4" t="s">
        <v>3596</v>
      </c>
    </row>
    <row r="5" spans="1:5">
      <c r="A5" t="s">
        <v>3597</v>
      </c>
      <c r="B5" t="s">
        <v>3598</v>
      </c>
      <c r="C5" t="s">
        <v>3599</v>
      </c>
      <c r="D5" t="s">
        <v>3589</v>
      </c>
      <c r="E5" t="s">
        <v>3600</v>
      </c>
    </row>
    <row r="6" spans="1:5">
      <c r="A6" t="s">
        <v>3601</v>
      </c>
      <c r="B6" t="s">
        <v>3602</v>
      </c>
      <c r="C6" t="s">
        <v>339</v>
      </c>
      <c r="D6" t="s">
        <v>3589</v>
      </c>
      <c r="E6" t="s">
        <v>3603</v>
      </c>
    </row>
    <row r="7" spans="1:5">
      <c r="A7" t="s">
        <v>3604</v>
      </c>
      <c r="B7" t="s">
        <v>3605</v>
      </c>
      <c r="C7" t="s">
        <v>3606</v>
      </c>
      <c r="D7" t="s">
        <v>3607</v>
      </c>
      <c r="E7" t="s">
        <v>3608</v>
      </c>
    </row>
    <row r="8" spans="1:5">
      <c r="A8" t="s">
        <v>3609</v>
      </c>
      <c r="B8" t="s">
        <v>3610</v>
      </c>
      <c r="C8" t="s">
        <v>339</v>
      </c>
      <c r="D8" t="s">
        <v>3607</v>
      </c>
      <c r="E8" t="s">
        <v>3611</v>
      </c>
    </row>
    <row r="9" spans="1:5">
      <c r="A9" t="s">
        <v>3612</v>
      </c>
      <c r="B9" t="s">
        <v>3613</v>
      </c>
      <c r="C9" t="s">
        <v>328</v>
      </c>
      <c r="D9" t="s">
        <v>3607</v>
      </c>
      <c r="E9" t="s">
        <v>3614</v>
      </c>
    </row>
    <row r="10" spans="1:5">
      <c r="A10" t="s">
        <v>3615</v>
      </c>
      <c r="B10" t="s">
        <v>3616</v>
      </c>
      <c r="C10" t="s">
        <v>325</v>
      </c>
      <c r="D10" t="s">
        <v>3589</v>
      </c>
      <c r="E10" t="s">
        <v>3617</v>
      </c>
    </row>
    <row r="11" spans="1:5">
      <c r="A11" t="s">
        <v>3618</v>
      </c>
      <c r="B11" t="s">
        <v>3619</v>
      </c>
      <c r="C11" t="s">
        <v>337</v>
      </c>
      <c r="D11" t="s">
        <v>3607</v>
      </c>
      <c r="E11" t="s">
        <v>3620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33A7E-39D4-0E45-9FEA-BD99223E7485}">
  <dimension ref="A1:M6850"/>
  <sheetViews>
    <sheetView topLeftCell="A6810" workbookViewId="0">
      <selection sqref="A1:M6850"/>
    </sheetView>
  </sheetViews>
  <sheetFormatPr baseColWidth="10" defaultRowHeight="15"/>
  <cols>
    <col min="1" max="2" width="12.1640625" bestFit="1" customWidth="1"/>
    <col min="3" max="3" width="12" style="8" customWidth="1"/>
    <col min="4" max="4" width="15.6640625" bestFit="1" customWidth="1"/>
    <col min="5" max="5" width="13.33203125" bestFit="1" customWidth="1"/>
    <col min="6" max="6" width="15.83203125" style="12" bestFit="1" customWidth="1"/>
    <col min="7" max="7" width="13.1640625" style="13" bestFit="1" customWidth="1"/>
    <col min="8" max="8" width="15" bestFit="1" customWidth="1"/>
    <col min="9" max="9" width="10.83203125" style="8"/>
    <col min="10" max="10" width="11.1640625" bestFit="1" customWidth="1"/>
    <col min="11" max="11" width="34.5" bestFit="1" customWidth="1"/>
    <col min="12" max="12" width="12.83203125" style="13" bestFit="1" customWidth="1"/>
    <col min="13" max="13" width="9.33203125" bestFit="1" customWidth="1"/>
  </cols>
  <sheetData>
    <row r="1" spans="1:13">
      <c r="A1" t="s">
        <v>314</v>
      </c>
      <c r="B1" t="s">
        <v>0</v>
      </c>
      <c r="C1" s="8" t="s">
        <v>3636</v>
      </c>
      <c r="D1" t="s">
        <v>316</v>
      </c>
      <c r="E1" t="s">
        <v>317</v>
      </c>
      <c r="F1" s="12" t="s">
        <v>318</v>
      </c>
      <c r="G1" s="13" t="s">
        <v>319</v>
      </c>
      <c r="H1" t="s">
        <v>2653</v>
      </c>
      <c r="I1" s="8" t="s">
        <v>3637</v>
      </c>
      <c r="J1" t="s">
        <v>2654</v>
      </c>
      <c r="K1" t="s">
        <v>2655</v>
      </c>
      <c r="L1" s="13" t="s">
        <v>2656</v>
      </c>
      <c r="M1" t="s">
        <v>2657</v>
      </c>
    </row>
    <row r="2" spans="1:13">
      <c r="A2" t="s">
        <v>320</v>
      </c>
      <c r="B2" t="s">
        <v>309</v>
      </c>
      <c r="C2" s="8">
        <v>45952</v>
      </c>
      <c r="D2" t="s">
        <v>321</v>
      </c>
      <c r="E2" t="s">
        <v>322</v>
      </c>
      <c r="F2" s="12">
        <v>279317</v>
      </c>
      <c r="G2" s="13">
        <v>27</v>
      </c>
      <c r="H2" t="s">
        <v>2727</v>
      </c>
      <c r="I2" s="8">
        <v>46058</v>
      </c>
      <c r="J2" t="s">
        <v>2659</v>
      </c>
      <c r="K2" t="s">
        <v>2660</v>
      </c>
      <c r="L2" s="13">
        <v>3500</v>
      </c>
      <c r="M2" t="s">
        <v>2661</v>
      </c>
    </row>
    <row r="3" spans="1:13">
      <c r="A3" t="s">
        <v>320</v>
      </c>
      <c r="B3" t="s">
        <v>309</v>
      </c>
      <c r="C3" s="8">
        <v>45952</v>
      </c>
      <c r="D3" t="s">
        <v>321</v>
      </c>
      <c r="E3" t="s">
        <v>322</v>
      </c>
      <c r="F3" s="12">
        <v>279317</v>
      </c>
      <c r="G3" s="13">
        <v>27</v>
      </c>
      <c r="H3" t="s">
        <v>3115</v>
      </c>
      <c r="I3" s="8">
        <v>45943</v>
      </c>
      <c r="J3" t="s">
        <v>2682</v>
      </c>
      <c r="K3" t="s">
        <v>2683</v>
      </c>
      <c r="L3" s="13">
        <v>6000</v>
      </c>
      <c r="M3" t="s">
        <v>2676</v>
      </c>
    </row>
    <row r="4" spans="1:13">
      <c r="A4" t="s">
        <v>320</v>
      </c>
      <c r="B4" t="s">
        <v>309</v>
      </c>
      <c r="C4" s="8">
        <v>45952</v>
      </c>
      <c r="D4" t="s">
        <v>321</v>
      </c>
      <c r="E4" t="s">
        <v>322</v>
      </c>
      <c r="F4" s="12">
        <v>279317</v>
      </c>
      <c r="G4" s="13">
        <v>27</v>
      </c>
      <c r="H4" t="s">
        <v>3418</v>
      </c>
      <c r="I4" s="8">
        <v>46064</v>
      </c>
      <c r="J4" t="s">
        <v>2665</v>
      </c>
      <c r="K4" t="s">
        <v>2666</v>
      </c>
      <c r="L4" s="13">
        <v>2500</v>
      </c>
      <c r="M4" t="s">
        <v>2661</v>
      </c>
    </row>
    <row r="5" spans="1:13">
      <c r="A5" t="s">
        <v>535</v>
      </c>
      <c r="B5" t="s">
        <v>309</v>
      </c>
      <c r="C5" s="8">
        <v>46212</v>
      </c>
      <c r="D5" t="s">
        <v>350</v>
      </c>
      <c r="E5" t="s">
        <v>337</v>
      </c>
      <c r="F5" s="12">
        <v>179586</v>
      </c>
      <c r="G5" s="13">
        <v>17</v>
      </c>
      <c r="H5" t="s">
        <v>2727</v>
      </c>
      <c r="I5" s="8">
        <v>46058</v>
      </c>
      <c r="J5" t="s">
        <v>2659</v>
      </c>
      <c r="K5" t="s">
        <v>2660</v>
      </c>
      <c r="L5" s="13">
        <v>3500</v>
      </c>
      <c r="M5" t="s">
        <v>2661</v>
      </c>
    </row>
    <row r="6" spans="1:13">
      <c r="A6" t="s">
        <v>535</v>
      </c>
      <c r="B6" t="s">
        <v>309</v>
      </c>
      <c r="C6" s="8">
        <v>46212</v>
      </c>
      <c r="D6" t="s">
        <v>350</v>
      </c>
      <c r="E6" t="s">
        <v>337</v>
      </c>
      <c r="F6" s="12">
        <v>179586</v>
      </c>
      <c r="G6" s="13">
        <v>17</v>
      </c>
      <c r="H6" t="s">
        <v>3115</v>
      </c>
      <c r="I6" s="8">
        <v>45943</v>
      </c>
      <c r="J6" t="s">
        <v>2682</v>
      </c>
      <c r="K6" t="s">
        <v>2683</v>
      </c>
      <c r="L6" s="13">
        <v>6000</v>
      </c>
      <c r="M6" t="s">
        <v>2676</v>
      </c>
    </row>
    <row r="7" spans="1:13">
      <c r="A7" t="s">
        <v>535</v>
      </c>
      <c r="B7" t="s">
        <v>309</v>
      </c>
      <c r="C7" s="8">
        <v>46212</v>
      </c>
      <c r="D7" t="s">
        <v>350</v>
      </c>
      <c r="E7" t="s">
        <v>337</v>
      </c>
      <c r="F7" s="12">
        <v>179586</v>
      </c>
      <c r="G7" s="13">
        <v>17</v>
      </c>
      <c r="H7" t="s">
        <v>3418</v>
      </c>
      <c r="I7" s="8">
        <v>46064</v>
      </c>
      <c r="J7" t="s">
        <v>2665</v>
      </c>
      <c r="K7" t="s">
        <v>2666</v>
      </c>
      <c r="L7" s="13">
        <v>2500</v>
      </c>
      <c r="M7" t="s">
        <v>2661</v>
      </c>
    </row>
    <row r="8" spans="1:13">
      <c r="A8" t="s">
        <v>908</v>
      </c>
      <c r="B8" t="s">
        <v>30</v>
      </c>
      <c r="C8" s="8">
        <v>45956</v>
      </c>
      <c r="D8" t="s">
        <v>342</v>
      </c>
      <c r="E8" t="s">
        <v>334</v>
      </c>
      <c r="F8" s="12">
        <v>117554</v>
      </c>
      <c r="G8" s="13">
        <v>11</v>
      </c>
      <c r="H8" t="s">
        <v>2658</v>
      </c>
      <c r="I8" s="8">
        <v>46259</v>
      </c>
      <c r="J8" t="s">
        <v>2659</v>
      </c>
      <c r="K8" t="s">
        <v>2660</v>
      </c>
      <c r="L8" s="13">
        <v>3500</v>
      </c>
      <c r="M8" t="s">
        <v>2661</v>
      </c>
    </row>
    <row r="9" spans="1:13">
      <c r="A9" t="s">
        <v>908</v>
      </c>
      <c r="B9" t="s">
        <v>30</v>
      </c>
      <c r="C9" s="8">
        <v>45956</v>
      </c>
      <c r="D9" t="s">
        <v>342</v>
      </c>
      <c r="E9" t="s">
        <v>334</v>
      </c>
      <c r="F9" s="12">
        <v>117554</v>
      </c>
      <c r="G9" s="13">
        <v>11</v>
      </c>
      <c r="H9" t="s">
        <v>2756</v>
      </c>
      <c r="I9" s="8">
        <v>45953</v>
      </c>
      <c r="J9" t="s">
        <v>2688</v>
      </c>
      <c r="K9" t="s">
        <v>2689</v>
      </c>
      <c r="L9" s="13">
        <v>8000</v>
      </c>
      <c r="M9" t="s">
        <v>2661</v>
      </c>
    </row>
    <row r="10" spans="1:13">
      <c r="A10" t="s">
        <v>1119</v>
      </c>
      <c r="B10" t="s">
        <v>30</v>
      </c>
      <c r="C10" s="8">
        <v>46120</v>
      </c>
      <c r="D10" t="s">
        <v>324</v>
      </c>
      <c r="E10" t="s">
        <v>337</v>
      </c>
      <c r="F10" s="12">
        <v>739701</v>
      </c>
      <c r="G10" s="13">
        <v>73</v>
      </c>
      <c r="H10" t="s">
        <v>2658</v>
      </c>
      <c r="I10" s="8">
        <v>46259</v>
      </c>
      <c r="J10" t="s">
        <v>2659</v>
      </c>
      <c r="K10" t="s">
        <v>2660</v>
      </c>
      <c r="L10" s="13">
        <v>3500</v>
      </c>
      <c r="M10" t="s">
        <v>2661</v>
      </c>
    </row>
    <row r="11" spans="1:13">
      <c r="A11" t="s">
        <v>1119</v>
      </c>
      <c r="B11" t="s">
        <v>30</v>
      </c>
      <c r="C11" s="8">
        <v>46120</v>
      </c>
      <c r="D11" t="s">
        <v>324</v>
      </c>
      <c r="E11" t="s">
        <v>337</v>
      </c>
      <c r="F11" s="12">
        <v>739701</v>
      </c>
      <c r="G11" s="13">
        <v>73</v>
      </c>
      <c r="H11" t="s">
        <v>2756</v>
      </c>
      <c r="I11" s="8">
        <v>45953</v>
      </c>
      <c r="J11" t="s">
        <v>2688</v>
      </c>
      <c r="K11" t="s">
        <v>2689</v>
      </c>
      <c r="L11" s="13">
        <v>8000</v>
      </c>
      <c r="M11" t="s">
        <v>2661</v>
      </c>
    </row>
    <row r="12" spans="1:13">
      <c r="A12" t="s">
        <v>323</v>
      </c>
      <c r="B12" t="s">
        <v>95</v>
      </c>
      <c r="C12" s="8">
        <v>46085</v>
      </c>
      <c r="D12" t="s">
        <v>324</v>
      </c>
      <c r="E12" t="s">
        <v>325</v>
      </c>
      <c r="F12" s="12">
        <v>231334</v>
      </c>
      <c r="G12" s="13">
        <v>23</v>
      </c>
      <c r="H12" t="s">
        <v>3519</v>
      </c>
      <c r="I12" s="8">
        <v>46135</v>
      </c>
      <c r="J12" t="s">
        <v>2692</v>
      </c>
      <c r="K12" t="s">
        <v>2693</v>
      </c>
      <c r="L12" s="13">
        <v>10000</v>
      </c>
      <c r="M12" t="s">
        <v>2661</v>
      </c>
    </row>
    <row r="13" spans="1:13">
      <c r="A13" t="s">
        <v>323</v>
      </c>
      <c r="B13" t="s">
        <v>95</v>
      </c>
      <c r="C13" s="8">
        <v>46085</v>
      </c>
      <c r="D13" t="s">
        <v>324</v>
      </c>
      <c r="E13" t="s">
        <v>325</v>
      </c>
      <c r="F13" s="12">
        <v>231334</v>
      </c>
      <c r="G13" s="13">
        <v>23</v>
      </c>
      <c r="H13" t="s">
        <v>3574</v>
      </c>
      <c r="I13" s="8">
        <v>46267</v>
      </c>
      <c r="J13" t="s">
        <v>2665</v>
      </c>
      <c r="K13" t="s">
        <v>2666</v>
      </c>
      <c r="L13" s="13">
        <v>2500</v>
      </c>
      <c r="M13" t="s">
        <v>2661</v>
      </c>
    </row>
    <row r="14" spans="1:13">
      <c r="A14" t="s">
        <v>1024</v>
      </c>
      <c r="B14" t="s">
        <v>95</v>
      </c>
      <c r="C14" s="8">
        <v>46115</v>
      </c>
      <c r="D14" t="s">
        <v>324</v>
      </c>
      <c r="E14" t="s">
        <v>328</v>
      </c>
      <c r="F14" s="12">
        <v>130350</v>
      </c>
      <c r="G14" s="13">
        <v>13</v>
      </c>
      <c r="H14" t="s">
        <v>3519</v>
      </c>
      <c r="I14" s="8">
        <v>46135</v>
      </c>
      <c r="J14" t="s">
        <v>2692</v>
      </c>
      <c r="K14" t="s">
        <v>2693</v>
      </c>
      <c r="L14" s="13">
        <v>10000</v>
      </c>
      <c r="M14" t="s">
        <v>2661</v>
      </c>
    </row>
    <row r="15" spans="1:13">
      <c r="A15" t="s">
        <v>1024</v>
      </c>
      <c r="B15" t="s">
        <v>95</v>
      </c>
      <c r="C15" s="8">
        <v>46115</v>
      </c>
      <c r="D15" t="s">
        <v>324</v>
      </c>
      <c r="E15" t="s">
        <v>328</v>
      </c>
      <c r="F15" s="12">
        <v>130350</v>
      </c>
      <c r="G15" s="13">
        <v>13</v>
      </c>
      <c r="H15" t="s">
        <v>3574</v>
      </c>
      <c r="I15" s="8">
        <v>46267</v>
      </c>
      <c r="J15" t="s">
        <v>2665</v>
      </c>
      <c r="K15" t="s">
        <v>2666</v>
      </c>
      <c r="L15" s="13">
        <v>2500</v>
      </c>
      <c r="M15" t="s">
        <v>2661</v>
      </c>
    </row>
    <row r="16" spans="1:13">
      <c r="A16" t="s">
        <v>618</v>
      </c>
      <c r="B16" t="s">
        <v>93</v>
      </c>
      <c r="C16" s="8">
        <v>46105</v>
      </c>
      <c r="D16" t="s">
        <v>332</v>
      </c>
      <c r="E16" t="s">
        <v>334</v>
      </c>
      <c r="F16" s="12">
        <v>329656</v>
      </c>
      <c r="G16" s="13">
        <v>32</v>
      </c>
      <c r="H16" t="s">
        <v>2662</v>
      </c>
      <c r="I16" s="8">
        <v>46253</v>
      </c>
      <c r="J16" t="s">
        <v>2663</v>
      </c>
      <c r="K16" t="s">
        <v>3630</v>
      </c>
      <c r="L16" s="13">
        <v>1500</v>
      </c>
      <c r="M16" t="s">
        <v>2661</v>
      </c>
    </row>
    <row r="17" spans="1:13">
      <c r="A17" t="s">
        <v>618</v>
      </c>
      <c r="B17" t="s">
        <v>93</v>
      </c>
      <c r="C17" s="8">
        <v>46105</v>
      </c>
      <c r="D17" t="s">
        <v>332</v>
      </c>
      <c r="E17" t="s">
        <v>334</v>
      </c>
      <c r="F17" s="12">
        <v>329656</v>
      </c>
      <c r="G17" s="13">
        <v>32</v>
      </c>
      <c r="H17" t="s">
        <v>2968</v>
      </c>
      <c r="I17" s="8">
        <v>45934</v>
      </c>
      <c r="J17" t="s">
        <v>2659</v>
      </c>
      <c r="K17" t="s">
        <v>2660</v>
      </c>
      <c r="L17" s="13">
        <v>3500</v>
      </c>
      <c r="M17" t="s">
        <v>2661</v>
      </c>
    </row>
    <row r="18" spans="1:13">
      <c r="A18" t="s">
        <v>618</v>
      </c>
      <c r="B18" t="s">
        <v>93</v>
      </c>
      <c r="C18" s="8">
        <v>46105</v>
      </c>
      <c r="D18" t="s">
        <v>332</v>
      </c>
      <c r="E18" t="s">
        <v>334</v>
      </c>
      <c r="F18" s="12">
        <v>329656</v>
      </c>
      <c r="G18" s="13">
        <v>32</v>
      </c>
      <c r="H18" t="s">
        <v>3086</v>
      </c>
      <c r="I18" s="8">
        <v>46007</v>
      </c>
      <c r="J18" t="s">
        <v>2663</v>
      </c>
      <c r="K18" t="s">
        <v>3630</v>
      </c>
      <c r="L18" s="13">
        <v>1500</v>
      </c>
      <c r="M18" t="s">
        <v>2661</v>
      </c>
    </row>
    <row r="19" spans="1:13">
      <c r="A19" t="s">
        <v>618</v>
      </c>
      <c r="B19" t="s">
        <v>93</v>
      </c>
      <c r="C19" s="8">
        <v>46105</v>
      </c>
      <c r="D19" t="s">
        <v>332</v>
      </c>
      <c r="E19" t="s">
        <v>334</v>
      </c>
      <c r="F19" s="12">
        <v>329656</v>
      </c>
      <c r="G19" s="13">
        <v>32</v>
      </c>
      <c r="H19" t="s">
        <v>3194</v>
      </c>
      <c r="I19" s="8">
        <v>46275</v>
      </c>
      <c r="J19" t="s">
        <v>2674</v>
      </c>
      <c r="K19" t="s">
        <v>2675</v>
      </c>
      <c r="L19" s="13">
        <v>20000</v>
      </c>
      <c r="M19" t="s">
        <v>2661</v>
      </c>
    </row>
    <row r="20" spans="1:13">
      <c r="A20" t="s">
        <v>618</v>
      </c>
      <c r="B20" t="s">
        <v>93</v>
      </c>
      <c r="C20" s="8">
        <v>46105</v>
      </c>
      <c r="D20" t="s">
        <v>332</v>
      </c>
      <c r="E20" t="s">
        <v>334</v>
      </c>
      <c r="F20" s="12">
        <v>329656</v>
      </c>
      <c r="G20" s="13">
        <v>32</v>
      </c>
      <c r="H20" t="s">
        <v>3282</v>
      </c>
      <c r="I20" s="8">
        <v>46029</v>
      </c>
      <c r="J20" t="s">
        <v>2665</v>
      </c>
      <c r="K20" t="s">
        <v>2666</v>
      </c>
      <c r="L20" s="13">
        <v>2500</v>
      </c>
      <c r="M20" t="s">
        <v>2661</v>
      </c>
    </row>
    <row r="21" spans="1:13">
      <c r="A21" t="s">
        <v>618</v>
      </c>
      <c r="B21" t="s">
        <v>93</v>
      </c>
      <c r="C21" s="8">
        <v>46105</v>
      </c>
      <c r="D21" t="s">
        <v>332</v>
      </c>
      <c r="E21" t="s">
        <v>334</v>
      </c>
      <c r="F21" s="12">
        <v>329656</v>
      </c>
      <c r="G21" s="13">
        <v>32</v>
      </c>
      <c r="H21" t="s">
        <v>3551</v>
      </c>
      <c r="I21" s="8">
        <v>46033</v>
      </c>
      <c r="J21" t="s">
        <v>2692</v>
      </c>
      <c r="K21" t="s">
        <v>2693</v>
      </c>
      <c r="L21" s="13">
        <v>10000</v>
      </c>
      <c r="M21" t="s">
        <v>2661</v>
      </c>
    </row>
    <row r="22" spans="1:13">
      <c r="A22" t="s">
        <v>326</v>
      </c>
      <c r="B22" t="s">
        <v>289</v>
      </c>
      <c r="C22" s="8">
        <v>46141</v>
      </c>
      <c r="D22" t="s">
        <v>327</v>
      </c>
      <c r="E22" t="s">
        <v>328</v>
      </c>
      <c r="F22" s="12">
        <v>586040</v>
      </c>
      <c r="G22" s="13">
        <v>58</v>
      </c>
      <c r="H22" t="s">
        <v>2908</v>
      </c>
      <c r="I22" s="8">
        <v>46092</v>
      </c>
      <c r="J22" t="s">
        <v>2665</v>
      </c>
      <c r="K22" t="s">
        <v>2666</v>
      </c>
      <c r="L22" s="13">
        <v>2500</v>
      </c>
      <c r="M22" t="s">
        <v>2676</v>
      </c>
    </row>
    <row r="23" spans="1:13">
      <c r="A23" t="s">
        <v>326</v>
      </c>
      <c r="B23" t="s">
        <v>289</v>
      </c>
      <c r="C23" s="8">
        <v>46141</v>
      </c>
      <c r="D23" t="s">
        <v>327</v>
      </c>
      <c r="E23" t="s">
        <v>328</v>
      </c>
      <c r="F23" s="12">
        <v>586040</v>
      </c>
      <c r="G23" s="13">
        <v>58</v>
      </c>
      <c r="H23" t="s">
        <v>3141</v>
      </c>
      <c r="I23" s="8">
        <v>46139</v>
      </c>
      <c r="J23" t="s">
        <v>2668</v>
      </c>
      <c r="K23" t="s">
        <v>2669</v>
      </c>
      <c r="L23" s="13">
        <v>4000</v>
      </c>
      <c r="M23" t="s">
        <v>2661</v>
      </c>
    </row>
    <row r="24" spans="1:13">
      <c r="A24" t="s">
        <v>326</v>
      </c>
      <c r="B24" t="s">
        <v>289</v>
      </c>
      <c r="C24" s="8">
        <v>46141</v>
      </c>
      <c r="D24" t="s">
        <v>327</v>
      </c>
      <c r="E24" t="s">
        <v>328</v>
      </c>
      <c r="F24" s="12">
        <v>586040</v>
      </c>
      <c r="G24" s="13">
        <v>58</v>
      </c>
      <c r="H24" t="s">
        <v>3378</v>
      </c>
      <c r="I24" s="8">
        <v>46068</v>
      </c>
      <c r="J24" t="s">
        <v>2692</v>
      </c>
      <c r="K24" t="s">
        <v>2693</v>
      </c>
      <c r="L24" s="13">
        <v>10000</v>
      </c>
      <c r="M24" t="s">
        <v>2676</v>
      </c>
    </row>
    <row r="25" spans="1:13">
      <c r="A25" t="s">
        <v>511</v>
      </c>
      <c r="B25" t="s">
        <v>289</v>
      </c>
      <c r="C25" s="8">
        <v>46281</v>
      </c>
      <c r="D25" t="s">
        <v>327</v>
      </c>
      <c r="E25" t="s">
        <v>322</v>
      </c>
      <c r="F25" s="12">
        <v>92203</v>
      </c>
      <c r="G25" s="13">
        <v>9</v>
      </c>
      <c r="H25" t="s">
        <v>2908</v>
      </c>
      <c r="I25" s="8">
        <v>46092</v>
      </c>
      <c r="J25" t="s">
        <v>2665</v>
      </c>
      <c r="K25" t="s">
        <v>2666</v>
      </c>
      <c r="L25" s="13">
        <v>2500</v>
      </c>
      <c r="M25" t="s">
        <v>2676</v>
      </c>
    </row>
    <row r="26" spans="1:13">
      <c r="A26" t="s">
        <v>511</v>
      </c>
      <c r="B26" t="s">
        <v>289</v>
      </c>
      <c r="C26" s="8">
        <v>46281</v>
      </c>
      <c r="D26" t="s">
        <v>327</v>
      </c>
      <c r="E26" t="s">
        <v>322</v>
      </c>
      <c r="F26" s="12">
        <v>92203</v>
      </c>
      <c r="G26" s="13">
        <v>9</v>
      </c>
      <c r="H26" t="s">
        <v>3141</v>
      </c>
      <c r="I26" s="8">
        <v>46139</v>
      </c>
      <c r="J26" t="s">
        <v>2668</v>
      </c>
      <c r="K26" t="s">
        <v>2669</v>
      </c>
      <c r="L26" s="13">
        <v>4000</v>
      </c>
      <c r="M26" t="s">
        <v>2661</v>
      </c>
    </row>
    <row r="27" spans="1:13">
      <c r="A27" t="s">
        <v>511</v>
      </c>
      <c r="B27" t="s">
        <v>289</v>
      </c>
      <c r="C27" s="8">
        <v>46281</v>
      </c>
      <c r="D27" t="s">
        <v>327</v>
      </c>
      <c r="E27" t="s">
        <v>322</v>
      </c>
      <c r="F27" s="12">
        <v>92203</v>
      </c>
      <c r="G27" s="13">
        <v>9</v>
      </c>
      <c r="H27" t="s">
        <v>3378</v>
      </c>
      <c r="I27" s="8">
        <v>46068</v>
      </c>
      <c r="J27" t="s">
        <v>2692</v>
      </c>
      <c r="K27" t="s">
        <v>2693</v>
      </c>
      <c r="L27" s="13">
        <v>10000</v>
      </c>
      <c r="M27" t="s">
        <v>2676</v>
      </c>
    </row>
    <row r="28" spans="1:13">
      <c r="A28" t="s">
        <v>622</v>
      </c>
      <c r="B28" t="s">
        <v>289</v>
      </c>
      <c r="C28" s="8">
        <v>46016</v>
      </c>
      <c r="D28" t="s">
        <v>327</v>
      </c>
      <c r="E28" t="s">
        <v>334</v>
      </c>
      <c r="F28" s="12">
        <v>224341</v>
      </c>
      <c r="G28" s="13">
        <v>22</v>
      </c>
      <c r="H28" t="s">
        <v>2908</v>
      </c>
      <c r="I28" s="8">
        <v>46092</v>
      </c>
      <c r="J28" t="s">
        <v>2665</v>
      </c>
      <c r="K28" t="s">
        <v>2666</v>
      </c>
      <c r="L28" s="13">
        <v>2500</v>
      </c>
      <c r="M28" t="s">
        <v>2676</v>
      </c>
    </row>
    <row r="29" spans="1:13">
      <c r="A29" t="s">
        <v>622</v>
      </c>
      <c r="B29" t="s">
        <v>289</v>
      </c>
      <c r="C29" s="8">
        <v>46016</v>
      </c>
      <c r="D29" t="s">
        <v>327</v>
      </c>
      <c r="E29" t="s">
        <v>334</v>
      </c>
      <c r="F29" s="12">
        <v>224341</v>
      </c>
      <c r="G29" s="13">
        <v>22</v>
      </c>
      <c r="H29" t="s">
        <v>3141</v>
      </c>
      <c r="I29" s="8">
        <v>46139</v>
      </c>
      <c r="J29" t="s">
        <v>2668</v>
      </c>
      <c r="K29" t="s">
        <v>2669</v>
      </c>
      <c r="L29" s="13">
        <v>4000</v>
      </c>
      <c r="M29" t="s">
        <v>2661</v>
      </c>
    </row>
    <row r="30" spans="1:13">
      <c r="A30" t="s">
        <v>622</v>
      </c>
      <c r="B30" t="s">
        <v>289</v>
      </c>
      <c r="C30" s="8">
        <v>46016</v>
      </c>
      <c r="D30" t="s">
        <v>327</v>
      </c>
      <c r="E30" t="s">
        <v>334</v>
      </c>
      <c r="F30" s="12">
        <v>224341</v>
      </c>
      <c r="G30" s="13">
        <v>22</v>
      </c>
      <c r="H30" t="s">
        <v>3378</v>
      </c>
      <c r="I30" s="8">
        <v>46068</v>
      </c>
      <c r="J30" t="s">
        <v>2692</v>
      </c>
      <c r="K30" t="s">
        <v>2693</v>
      </c>
      <c r="L30" s="13">
        <v>10000</v>
      </c>
      <c r="M30" t="s">
        <v>2676</v>
      </c>
    </row>
    <row r="31" spans="1:13">
      <c r="A31" t="s">
        <v>710</v>
      </c>
      <c r="B31" t="s">
        <v>289</v>
      </c>
      <c r="C31" s="8">
        <v>45983</v>
      </c>
      <c r="D31" t="s">
        <v>330</v>
      </c>
      <c r="E31" t="s">
        <v>328</v>
      </c>
      <c r="F31" s="12">
        <v>239326</v>
      </c>
      <c r="G31" s="13">
        <v>23</v>
      </c>
      <c r="H31" t="s">
        <v>2908</v>
      </c>
      <c r="I31" s="8">
        <v>46092</v>
      </c>
      <c r="J31" t="s">
        <v>2665</v>
      </c>
      <c r="K31" t="s">
        <v>2666</v>
      </c>
      <c r="L31" s="13">
        <v>2500</v>
      </c>
      <c r="M31" t="s">
        <v>2676</v>
      </c>
    </row>
    <row r="32" spans="1:13">
      <c r="A32" t="s">
        <v>710</v>
      </c>
      <c r="B32" t="s">
        <v>289</v>
      </c>
      <c r="C32" s="8">
        <v>45983</v>
      </c>
      <c r="D32" t="s">
        <v>330</v>
      </c>
      <c r="E32" t="s">
        <v>328</v>
      </c>
      <c r="F32" s="12">
        <v>239326</v>
      </c>
      <c r="G32" s="13">
        <v>23</v>
      </c>
      <c r="H32" t="s">
        <v>3141</v>
      </c>
      <c r="I32" s="8">
        <v>46139</v>
      </c>
      <c r="J32" t="s">
        <v>2668</v>
      </c>
      <c r="K32" t="s">
        <v>2669</v>
      </c>
      <c r="L32" s="13">
        <v>4000</v>
      </c>
      <c r="M32" t="s">
        <v>2661</v>
      </c>
    </row>
    <row r="33" spans="1:13">
      <c r="A33" t="s">
        <v>710</v>
      </c>
      <c r="B33" t="s">
        <v>289</v>
      </c>
      <c r="C33" s="8">
        <v>45983</v>
      </c>
      <c r="D33" t="s">
        <v>330</v>
      </c>
      <c r="E33" t="s">
        <v>328</v>
      </c>
      <c r="F33" s="12">
        <v>239326</v>
      </c>
      <c r="G33" s="13">
        <v>23</v>
      </c>
      <c r="H33" t="s">
        <v>3378</v>
      </c>
      <c r="I33" s="8">
        <v>46068</v>
      </c>
      <c r="J33" t="s">
        <v>2692</v>
      </c>
      <c r="K33" t="s">
        <v>2693</v>
      </c>
      <c r="L33" s="13">
        <v>10000</v>
      </c>
      <c r="M33" t="s">
        <v>2676</v>
      </c>
    </row>
    <row r="34" spans="1:13">
      <c r="A34" t="s">
        <v>858</v>
      </c>
      <c r="B34" t="s">
        <v>289</v>
      </c>
      <c r="C34" s="8">
        <v>46281</v>
      </c>
      <c r="D34" t="s">
        <v>324</v>
      </c>
      <c r="E34" t="s">
        <v>334</v>
      </c>
      <c r="F34" s="12">
        <v>314439</v>
      </c>
      <c r="G34" s="13">
        <v>31</v>
      </c>
      <c r="H34" t="s">
        <v>2908</v>
      </c>
      <c r="I34" s="8">
        <v>46092</v>
      </c>
      <c r="J34" t="s">
        <v>2665</v>
      </c>
      <c r="K34" t="s">
        <v>2666</v>
      </c>
      <c r="L34" s="13">
        <v>2500</v>
      </c>
      <c r="M34" t="s">
        <v>2676</v>
      </c>
    </row>
    <row r="35" spans="1:13">
      <c r="A35" t="s">
        <v>858</v>
      </c>
      <c r="B35" t="s">
        <v>289</v>
      </c>
      <c r="C35" s="8">
        <v>46281</v>
      </c>
      <c r="D35" t="s">
        <v>324</v>
      </c>
      <c r="E35" t="s">
        <v>334</v>
      </c>
      <c r="F35" s="12">
        <v>314439</v>
      </c>
      <c r="G35" s="13">
        <v>31</v>
      </c>
      <c r="H35" t="s">
        <v>3141</v>
      </c>
      <c r="I35" s="8">
        <v>46139</v>
      </c>
      <c r="J35" t="s">
        <v>2668</v>
      </c>
      <c r="K35" t="s">
        <v>2669</v>
      </c>
      <c r="L35" s="13">
        <v>4000</v>
      </c>
      <c r="M35" t="s">
        <v>2661</v>
      </c>
    </row>
    <row r="36" spans="1:13">
      <c r="A36" t="s">
        <v>858</v>
      </c>
      <c r="B36" t="s">
        <v>289</v>
      </c>
      <c r="C36" s="8">
        <v>46281</v>
      </c>
      <c r="D36" t="s">
        <v>324</v>
      </c>
      <c r="E36" t="s">
        <v>334</v>
      </c>
      <c r="F36" s="12">
        <v>314439</v>
      </c>
      <c r="G36" s="13">
        <v>31</v>
      </c>
      <c r="H36" t="s">
        <v>3378</v>
      </c>
      <c r="I36" s="8">
        <v>46068</v>
      </c>
      <c r="J36" t="s">
        <v>2692</v>
      </c>
      <c r="K36" t="s">
        <v>2693</v>
      </c>
      <c r="L36" s="13">
        <v>10000</v>
      </c>
      <c r="M36" t="s">
        <v>2676</v>
      </c>
    </row>
    <row r="37" spans="1:13">
      <c r="A37" t="s">
        <v>894</v>
      </c>
      <c r="B37" t="s">
        <v>289</v>
      </c>
      <c r="C37" s="8">
        <v>46075</v>
      </c>
      <c r="D37" t="s">
        <v>327</v>
      </c>
      <c r="E37" t="s">
        <v>325</v>
      </c>
      <c r="F37" s="12">
        <v>519836</v>
      </c>
      <c r="G37" s="13">
        <v>51</v>
      </c>
      <c r="H37" t="s">
        <v>2908</v>
      </c>
      <c r="I37" s="8">
        <v>46092</v>
      </c>
      <c r="J37" t="s">
        <v>2665</v>
      </c>
      <c r="K37" t="s">
        <v>2666</v>
      </c>
      <c r="L37" s="13">
        <v>2500</v>
      </c>
      <c r="M37" t="s">
        <v>2676</v>
      </c>
    </row>
    <row r="38" spans="1:13">
      <c r="A38" t="s">
        <v>894</v>
      </c>
      <c r="B38" t="s">
        <v>289</v>
      </c>
      <c r="C38" s="8">
        <v>46075</v>
      </c>
      <c r="D38" t="s">
        <v>327</v>
      </c>
      <c r="E38" t="s">
        <v>325</v>
      </c>
      <c r="F38" s="12">
        <v>519836</v>
      </c>
      <c r="G38" s="13">
        <v>51</v>
      </c>
      <c r="H38" t="s">
        <v>3141</v>
      </c>
      <c r="I38" s="8">
        <v>46139</v>
      </c>
      <c r="J38" t="s">
        <v>2668</v>
      </c>
      <c r="K38" t="s">
        <v>2669</v>
      </c>
      <c r="L38" s="13">
        <v>4000</v>
      </c>
      <c r="M38" t="s">
        <v>2661</v>
      </c>
    </row>
    <row r="39" spans="1:13">
      <c r="A39" t="s">
        <v>894</v>
      </c>
      <c r="B39" t="s">
        <v>289</v>
      </c>
      <c r="C39" s="8">
        <v>46075</v>
      </c>
      <c r="D39" t="s">
        <v>327</v>
      </c>
      <c r="E39" t="s">
        <v>325</v>
      </c>
      <c r="F39" s="12">
        <v>519836</v>
      </c>
      <c r="G39" s="13">
        <v>51</v>
      </c>
      <c r="H39" t="s">
        <v>3378</v>
      </c>
      <c r="I39" s="8">
        <v>46068</v>
      </c>
      <c r="J39" t="s">
        <v>2692</v>
      </c>
      <c r="K39" t="s">
        <v>2693</v>
      </c>
      <c r="L39" s="13">
        <v>10000</v>
      </c>
      <c r="M39" t="s">
        <v>2676</v>
      </c>
    </row>
    <row r="40" spans="1:13">
      <c r="A40" t="s">
        <v>1127</v>
      </c>
      <c r="B40" t="s">
        <v>214</v>
      </c>
      <c r="C40" s="8">
        <v>46118</v>
      </c>
      <c r="D40" t="s">
        <v>330</v>
      </c>
      <c r="E40" t="s">
        <v>339</v>
      </c>
      <c r="F40" s="12">
        <v>117659</v>
      </c>
      <c r="G40" s="13">
        <v>11</v>
      </c>
      <c r="H40" t="s">
        <v>2664</v>
      </c>
      <c r="I40" s="8">
        <v>46259</v>
      </c>
      <c r="J40" t="s">
        <v>2665</v>
      </c>
      <c r="K40" t="s">
        <v>2666</v>
      </c>
      <c r="L40" s="13">
        <v>2500</v>
      </c>
      <c r="M40" t="s">
        <v>2661</v>
      </c>
    </row>
    <row r="41" spans="1:13">
      <c r="A41" t="s">
        <v>1127</v>
      </c>
      <c r="B41" t="s">
        <v>214</v>
      </c>
      <c r="C41" s="8">
        <v>46118</v>
      </c>
      <c r="D41" t="s">
        <v>330</v>
      </c>
      <c r="E41" t="s">
        <v>339</v>
      </c>
      <c r="F41" s="12">
        <v>117659</v>
      </c>
      <c r="G41" s="13">
        <v>11</v>
      </c>
      <c r="H41" t="s">
        <v>3137</v>
      </c>
      <c r="I41" s="8">
        <v>46189</v>
      </c>
      <c r="J41" t="s">
        <v>2685</v>
      </c>
      <c r="K41" t="s">
        <v>2686</v>
      </c>
      <c r="L41" s="13">
        <v>5000</v>
      </c>
      <c r="M41" t="s">
        <v>2661</v>
      </c>
    </row>
    <row r="42" spans="1:13">
      <c r="A42" t="s">
        <v>1127</v>
      </c>
      <c r="B42" t="s">
        <v>214</v>
      </c>
      <c r="C42" s="8">
        <v>46118</v>
      </c>
      <c r="D42" t="s">
        <v>330</v>
      </c>
      <c r="E42" t="s">
        <v>339</v>
      </c>
      <c r="F42" s="12">
        <v>117659</v>
      </c>
      <c r="G42" s="13">
        <v>11</v>
      </c>
      <c r="H42" t="s">
        <v>3302</v>
      </c>
      <c r="I42" s="8">
        <v>46119</v>
      </c>
      <c r="J42" t="s">
        <v>2659</v>
      </c>
      <c r="K42" t="s">
        <v>2660</v>
      </c>
      <c r="L42" s="13">
        <v>3500</v>
      </c>
      <c r="M42" t="s">
        <v>2661</v>
      </c>
    </row>
    <row r="43" spans="1:13">
      <c r="A43" t="s">
        <v>1127</v>
      </c>
      <c r="B43" t="s">
        <v>214</v>
      </c>
      <c r="C43" s="8">
        <v>46118</v>
      </c>
      <c r="D43" t="s">
        <v>330</v>
      </c>
      <c r="E43" t="s">
        <v>339</v>
      </c>
      <c r="F43" s="12">
        <v>117659</v>
      </c>
      <c r="G43" s="13">
        <v>11</v>
      </c>
      <c r="H43" t="s">
        <v>3564</v>
      </c>
      <c r="I43" s="8">
        <v>46208</v>
      </c>
      <c r="J43" t="s">
        <v>2674</v>
      </c>
      <c r="K43" t="s">
        <v>2675</v>
      </c>
      <c r="L43" s="13">
        <v>20000</v>
      </c>
      <c r="M43" t="s">
        <v>2661</v>
      </c>
    </row>
    <row r="44" spans="1:13">
      <c r="A44" t="s">
        <v>329</v>
      </c>
      <c r="B44" t="s">
        <v>47</v>
      </c>
      <c r="C44" s="8">
        <v>45977</v>
      </c>
      <c r="D44" t="s">
        <v>330</v>
      </c>
      <c r="E44" t="s">
        <v>325</v>
      </c>
      <c r="F44" s="12">
        <v>201461</v>
      </c>
      <c r="G44" s="13">
        <v>20</v>
      </c>
      <c r="H44" t="s">
        <v>3291</v>
      </c>
      <c r="I44" s="8">
        <v>46026</v>
      </c>
      <c r="J44" t="s">
        <v>2674</v>
      </c>
      <c r="K44" t="s">
        <v>2675</v>
      </c>
      <c r="L44" s="13">
        <v>20000</v>
      </c>
      <c r="M44" t="s">
        <v>2661</v>
      </c>
    </row>
    <row r="45" spans="1:13">
      <c r="A45" t="s">
        <v>509</v>
      </c>
      <c r="B45" t="s">
        <v>47</v>
      </c>
      <c r="C45" s="8">
        <v>45957</v>
      </c>
      <c r="D45" t="s">
        <v>321</v>
      </c>
      <c r="E45" t="s">
        <v>334</v>
      </c>
      <c r="F45" s="12">
        <v>203024</v>
      </c>
      <c r="G45" s="13">
        <v>20</v>
      </c>
      <c r="H45" t="s">
        <v>3291</v>
      </c>
      <c r="I45" s="8">
        <v>46026</v>
      </c>
      <c r="J45" t="s">
        <v>2674</v>
      </c>
      <c r="K45" t="s">
        <v>2675</v>
      </c>
      <c r="L45" s="13">
        <v>20000</v>
      </c>
      <c r="M45" t="s">
        <v>2661</v>
      </c>
    </row>
    <row r="46" spans="1:13">
      <c r="A46" t="s">
        <v>672</v>
      </c>
      <c r="B46" t="s">
        <v>47</v>
      </c>
      <c r="C46" s="8">
        <v>46030</v>
      </c>
      <c r="D46" t="s">
        <v>327</v>
      </c>
      <c r="E46" t="s">
        <v>337</v>
      </c>
      <c r="F46" s="12">
        <v>176111</v>
      </c>
      <c r="G46" s="13">
        <v>17</v>
      </c>
      <c r="H46" t="s">
        <v>3291</v>
      </c>
      <c r="I46" s="8">
        <v>46026</v>
      </c>
      <c r="J46" t="s">
        <v>2674</v>
      </c>
      <c r="K46" t="s">
        <v>2675</v>
      </c>
      <c r="L46" s="13">
        <v>20000</v>
      </c>
      <c r="M46" t="s">
        <v>2661</v>
      </c>
    </row>
    <row r="47" spans="1:13">
      <c r="A47" t="s">
        <v>827</v>
      </c>
      <c r="B47" t="s">
        <v>47</v>
      </c>
      <c r="C47" s="8">
        <v>46243</v>
      </c>
      <c r="D47" t="s">
        <v>324</v>
      </c>
      <c r="E47" t="s">
        <v>337</v>
      </c>
      <c r="F47" s="12">
        <v>260947</v>
      </c>
      <c r="G47" s="13">
        <v>26</v>
      </c>
      <c r="H47" t="s">
        <v>3291</v>
      </c>
      <c r="I47" s="8">
        <v>46026</v>
      </c>
      <c r="J47" t="s">
        <v>2674</v>
      </c>
      <c r="K47" t="s">
        <v>2675</v>
      </c>
      <c r="L47" s="13">
        <v>20000</v>
      </c>
      <c r="M47" t="s">
        <v>2661</v>
      </c>
    </row>
    <row r="48" spans="1:13">
      <c r="A48" t="s">
        <v>830</v>
      </c>
      <c r="B48" t="s">
        <v>47</v>
      </c>
      <c r="C48" s="8">
        <v>46201</v>
      </c>
      <c r="D48" t="s">
        <v>332</v>
      </c>
      <c r="E48" t="s">
        <v>328</v>
      </c>
      <c r="F48" s="12">
        <v>74163</v>
      </c>
      <c r="G48" s="13">
        <v>7</v>
      </c>
      <c r="H48" t="s">
        <v>3291</v>
      </c>
      <c r="I48" s="8">
        <v>46026</v>
      </c>
      <c r="J48" t="s">
        <v>2674</v>
      </c>
      <c r="K48" t="s">
        <v>2675</v>
      </c>
      <c r="L48" s="13">
        <v>20000</v>
      </c>
      <c r="M48" t="s">
        <v>2661</v>
      </c>
    </row>
    <row r="49" spans="1:13">
      <c r="A49" t="s">
        <v>924</v>
      </c>
      <c r="B49" t="s">
        <v>47</v>
      </c>
      <c r="C49" s="8">
        <v>46223</v>
      </c>
      <c r="D49" t="s">
        <v>321</v>
      </c>
      <c r="E49" t="s">
        <v>325</v>
      </c>
      <c r="F49" s="12">
        <v>100763</v>
      </c>
      <c r="G49" s="13">
        <v>10</v>
      </c>
      <c r="H49" t="s">
        <v>3291</v>
      </c>
      <c r="I49" s="8">
        <v>46026</v>
      </c>
      <c r="J49" t="s">
        <v>2674</v>
      </c>
      <c r="K49" t="s">
        <v>2675</v>
      </c>
      <c r="L49" s="13">
        <v>20000</v>
      </c>
      <c r="M49" t="s">
        <v>2661</v>
      </c>
    </row>
    <row r="50" spans="1:13">
      <c r="A50" t="s">
        <v>1134</v>
      </c>
      <c r="B50" t="s">
        <v>47</v>
      </c>
      <c r="C50" s="8">
        <v>46033</v>
      </c>
      <c r="D50" t="s">
        <v>350</v>
      </c>
      <c r="E50" t="s">
        <v>334</v>
      </c>
      <c r="F50" s="12">
        <v>73723</v>
      </c>
      <c r="G50" s="13">
        <v>7</v>
      </c>
      <c r="H50" t="s">
        <v>3291</v>
      </c>
      <c r="I50" s="8">
        <v>46026</v>
      </c>
      <c r="J50" t="s">
        <v>2674</v>
      </c>
      <c r="K50" t="s">
        <v>2675</v>
      </c>
      <c r="L50" s="13">
        <v>20000</v>
      </c>
      <c r="M50" t="s">
        <v>2661</v>
      </c>
    </row>
    <row r="51" spans="1:13">
      <c r="A51" t="s">
        <v>1141</v>
      </c>
      <c r="B51" t="s">
        <v>47</v>
      </c>
      <c r="C51" s="8">
        <v>46075</v>
      </c>
      <c r="D51" t="s">
        <v>332</v>
      </c>
      <c r="E51" t="s">
        <v>339</v>
      </c>
      <c r="F51" s="12">
        <v>46963</v>
      </c>
      <c r="G51" s="13">
        <v>4</v>
      </c>
      <c r="H51" t="s">
        <v>3291</v>
      </c>
      <c r="I51" s="8">
        <v>46026</v>
      </c>
      <c r="J51" t="s">
        <v>2674</v>
      </c>
      <c r="K51" t="s">
        <v>2675</v>
      </c>
      <c r="L51" s="13">
        <v>20000</v>
      </c>
      <c r="M51" t="s">
        <v>2661</v>
      </c>
    </row>
    <row r="52" spans="1:13">
      <c r="A52" t="s">
        <v>1153</v>
      </c>
      <c r="B52" t="s">
        <v>47</v>
      </c>
      <c r="C52" s="8">
        <v>46195</v>
      </c>
      <c r="D52" t="s">
        <v>342</v>
      </c>
      <c r="E52" t="s">
        <v>334</v>
      </c>
      <c r="F52" s="12">
        <v>239632</v>
      </c>
      <c r="G52" s="13">
        <v>23</v>
      </c>
      <c r="H52" t="s">
        <v>3291</v>
      </c>
      <c r="I52" s="8">
        <v>46026</v>
      </c>
      <c r="J52" t="s">
        <v>2674</v>
      </c>
      <c r="K52" t="s">
        <v>2675</v>
      </c>
      <c r="L52" s="13">
        <v>20000</v>
      </c>
      <c r="M52" t="s">
        <v>2661</v>
      </c>
    </row>
    <row r="53" spans="1:13">
      <c r="A53" t="s">
        <v>696</v>
      </c>
      <c r="B53" t="s">
        <v>70</v>
      </c>
      <c r="C53" s="8">
        <v>45982</v>
      </c>
      <c r="D53" t="s">
        <v>350</v>
      </c>
      <c r="E53" t="s">
        <v>322</v>
      </c>
      <c r="F53" s="12">
        <v>139947</v>
      </c>
      <c r="G53" s="13">
        <v>13</v>
      </c>
      <c r="H53" t="s">
        <v>2667</v>
      </c>
      <c r="I53" s="8">
        <v>45932</v>
      </c>
      <c r="J53" t="s">
        <v>2668</v>
      </c>
      <c r="K53" t="s">
        <v>2669</v>
      </c>
      <c r="L53" s="13">
        <v>4000</v>
      </c>
      <c r="M53" t="s">
        <v>2661</v>
      </c>
    </row>
    <row r="54" spans="1:13">
      <c r="A54" t="s">
        <v>696</v>
      </c>
      <c r="B54" t="s">
        <v>70</v>
      </c>
      <c r="C54" s="8">
        <v>45982</v>
      </c>
      <c r="D54" t="s">
        <v>350</v>
      </c>
      <c r="E54" t="s">
        <v>322</v>
      </c>
      <c r="F54" s="12">
        <v>139947</v>
      </c>
      <c r="G54" s="13">
        <v>13</v>
      </c>
      <c r="H54" t="s">
        <v>2766</v>
      </c>
      <c r="I54" s="8">
        <v>45958</v>
      </c>
      <c r="J54" t="s">
        <v>2674</v>
      </c>
      <c r="K54" t="s">
        <v>2675</v>
      </c>
      <c r="L54" s="13">
        <v>20000</v>
      </c>
      <c r="M54" t="s">
        <v>2661</v>
      </c>
    </row>
    <row r="55" spans="1:13">
      <c r="A55" t="s">
        <v>825</v>
      </c>
      <c r="B55" t="s">
        <v>70</v>
      </c>
      <c r="C55" s="8">
        <v>46264</v>
      </c>
      <c r="D55" t="s">
        <v>330</v>
      </c>
      <c r="E55" t="s">
        <v>334</v>
      </c>
      <c r="F55" s="12">
        <v>172242</v>
      </c>
      <c r="G55" s="13">
        <v>17</v>
      </c>
      <c r="H55" t="s">
        <v>2667</v>
      </c>
      <c r="I55" s="8">
        <v>45932</v>
      </c>
      <c r="J55" t="s">
        <v>2668</v>
      </c>
      <c r="K55" t="s">
        <v>2669</v>
      </c>
      <c r="L55" s="13">
        <v>4000</v>
      </c>
      <c r="M55" t="s">
        <v>2661</v>
      </c>
    </row>
    <row r="56" spans="1:13">
      <c r="A56" t="s">
        <v>825</v>
      </c>
      <c r="B56" t="s">
        <v>70</v>
      </c>
      <c r="C56" s="8">
        <v>46264</v>
      </c>
      <c r="D56" t="s">
        <v>330</v>
      </c>
      <c r="E56" t="s">
        <v>334</v>
      </c>
      <c r="F56" s="12">
        <v>172242</v>
      </c>
      <c r="G56" s="13">
        <v>17</v>
      </c>
      <c r="H56" t="s">
        <v>2766</v>
      </c>
      <c r="I56" s="8">
        <v>45958</v>
      </c>
      <c r="J56" t="s">
        <v>2674</v>
      </c>
      <c r="K56" t="s">
        <v>2675</v>
      </c>
      <c r="L56" s="13">
        <v>20000</v>
      </c>
      <c r="M56" t="s">
        <v>2661</v>
      </c>
    </row>
    <row r="57" spans="1:13">
      <c r="A57" t="s">
        <v>1083</v>
      </c>
      <c r="B57" t="s">
        <v>70</v>
      </c>
      <c r="C57" s="8">
        <v>46212</v>
      </c>
      <c r="D57" t="s">
        <v>350</v>
      </c>
      <c r="E57" t="s">
        <v>325</v>
      </c>
      <c r="F57" s="12">
        <v>173168</v>
      </c>
      <c r="G57" s="13">
        <v>17</v>
      </c>
      <c r="H57" t="s">
        <v>2667</v>
      </c>
      <c r="I57" s="8">
        <v>45932</v>
      </c>
      <c r="J57" t="s">
        <v>2668</v>
      </c>
      <c r="K57" t="s">
        <v>2669</v>
      </c>
      <c r="L57" s="13">
        <v>4000</v>
      </c>
      <c r="M57" t="s">
        <v>2661</v>
      </c>
    </row>
    <row r="58" spans="1:13">
      <c r="A58" t="s">
        <v>1083</v>
      </c>
      <c r="B58" t="s">
        <v>70</v>
      </c>
      <c r="C58" s="8">
        <v>46212</v>
      </c>
      <c r="D58" t="s">
        <v>350</v>
      </c>
      <c r="E58" t="s">
        <v>325</v>
      </c>
      <c r="F58" s="12">
        <v>173168</v>
      </c>
      <c r="G58" s="13">
        <v>17</v>
      </c>
      <c r="H58" t="s">
        <v>2766</v>
      </c>
      <c r="I58" s="8">
        <v>45958</v>
      </c>
      <c r="J58" t="s">
        <v>2674</v>
      </c>
      <c r="K58" t="s">
        <v>2675</v>
      </c>
      <c r="L58" s="13">
        <v>20000</v>
      </c>
      <c r="M58" t="s">
        <v>2661</v>
      </c>
    </row>
    <row r="59" spans="1:13">
      <c r="A59" t="s">
        <v>331</v>
      </c>
      <c r="B59" t="s">
        <v>147</v>
      </c>
      <c r="C59" s="8">
        <v>46015</v>
      </c>
      <c r="D59" t="s">
        <v>332</v>
      </c>
      <c r="E59" t="s">
        <v>322</v>
      </c>
      <c r="F59" s="12">
        <v>404247</v>
      </c>
      <c r="G59" s="13">
        <v>40</v>
      </c>
      <c r="H59" t="s">
        <v>3143</v>
      </c>
      <c r="I59" s="8">
        <v>46139</v>
      </c>
      <c r="J59" t="s">
        <v>2692</v>
      </c>
      <c r="K59" t="s">
        <v>2693</v>
      </c>
      <c r="L59" s="13">
        <v>10000</v>
      </c>
      <c r="M59" t="s">
        <v>2661</v>
      </c>
    </row>
    <row r="60" spans="1:13">
      <c r="A60" t="s">
        <v>331</v>
      </c>
      <c r="B60" t="s">
        <v>147</v>
      </c>
      <c r="C60" s="8">
        <v>46015</v>
      </c>
      <c r="D60" t="s">
        <v>332</v>
      </c>
      <c r="E60" t="s">
        <v>322</v>
      </c>
      <c r="F60" s="12">
        <v>404247</v>
      </c>
      <c r="G60" s="13">
        <v>40</v>
      </c>
      <c r="H60" t="s">
        <v>3264</v>
      </c>
      <c r="I60" s="8">
        <v>46157</v>
      </c>
      <c r="J60" t="s">
        <v>2692</v>
      </c>
      <c r="K60" t="s">
        <v>2693</v>
      </c>
      <c r="L60" s="13">
        <v>10000</v>
      </c>
      <c r="M60" t="s">
        <v>2661</v>
      </c>
    </row>
    <row r="61" spans="1:13">
      <c r="A61" t="s">
        <v>483</v>
      </c>
      <c r="B61" t="s">
        <v>147</v>
      </c>
      <c r="C61" s="8">
        <v>46282</v>
      </c>
      <c r="D61" t="s">
        <v>350</v>
      </c>
      <c r="E61" t="s">
        <v>334</v>
      </c>
      <c r="F61" s="12">
        <v>415697</v>
      </c>
      <c r="G61" s="13">
        <v>41</v>
      </c>
      <c r="H61" t="s">
        <v>3143</v>
      </c>
      <c r="I61" s="8">
        <v>46139</v>
      </c>
      <c r="J61" t="s">
        <v>2692</v>
      </c>
      <c r="K61" t="s">
        <v>2693</v>
      </c>
      <c r="L61" s="13">
        <v>10000</v>
      </c>
      <c r="M61" t="s">
        <v>2661</v>
      </c>
    </row>
    <row r="62" spans="1:13">
      <c r="A62" t="s">
        <v>483</v>
      </c>
      <c r="B62" t="s">
        <v>147</v>
      </c>
      <c r="C62" s="8">
        <v>46282</v>
      </c>
      <c r="D62" t="s">
        <v>350</v>
      </c>
      <c r="E62" t="s">
        <v>334</v>
      </c>
      <c r="F62" s="12">
        <v>415697</v>
      </c>
      <c r="G62" s="13">
        <v>41</v>
      </c>
      <c r="H62" t="s">
        <v>3264</v>
      </c>
      <c r="I62" s="8">
        <v>46157</v>
      </c>
      <c r="J62" t="s">
        <v>2692</v>
      </c>
      <c r="K62" t="s">
        <v>2693</v>
      </c>
      <c r="L62" s="13">
        <v>10000</v>
      </c>
      <c r="M62" t="s">
        <v>2661</v>
      </c>
    </row>
    <row r="63" spans="1:13">
      <c r="A63" t="s">
        <v>762</v>
      </c>
      <c r="B63" t="s">
        <v>221</v>
      </c>
      <c r="C63" s="8">
        <v>46152</v>
      </c>
      <c r="D63" t="s">
        <v>324</v>
      </c>
      <c r="E63" t="s">
        <v>325</v>
      </c>
      <c r="F63" s="12">
        <v>340378</v>
      </c>
      <c r="G63" s="13">
        <v>34</v>
      </c>
      <c r="H63" t="s">
        <v>2670</v>
      </c>
      <c r="I63" s="8">
        <v>46033</v>
      </c>
      <c r="J63" t="s">
        <v>2671</v>
      </c>
      <c r="K63" t="s">
        <v>2672</v>
      </c>
      <c r="L63" s="13">
        <v>3000</v>
      </c>
      <c r="M63" t="s">
        <v>2661</v>
      </c>
    </row>
    <row r="64" spans="1:13">
      <c r="A64" t="s">
        <v>762</v>
      </c>
      <c r="B64" t="s">
        <v>221</v>
      </c>
      <c r="C64" s="8">
        <v>46152</v>
      </c>
      <c r="D64" t="s">
        <v>324</v>
      </c>
      <c r="E64" t="s">
        <v>325</v>
      </c>
      <c r="F64" s="12">
        <v>340378</v>
      </c>
      <c r="G64" s="13">
        <v>34</v>
      </c>
      <c r="H64" t="s">
        <v>3538</v>
      </c>
      <c r="I64" s="8">
        <v>46114</v>
      </c>
      <c r="J64" t="s">
        <v>2685</v>
      </c>
      <c r="K64" t="s">
        <v>2686</v>
      </c>
      <c r="L64" s="13">
        <v>5000</v>
      </c>
      <c r="M64" t="s">
        <v>2661</v>
      </c>
    </row>
    <row r="65" spans="1:13">
      <c r="A65" t="s">
        <v>333</v>
      </c>
      <c r="B65" t="s">
        <v>174</v>
      </c>
      <c r="C65" s="8">
        <v>46228</v>
      </c>
      <c r="D65" t="s">
        <v>321</v>
      </c>
      <c r="E65" t="s">
        <v>334</v>
      </c>
      <c r="F65" s="12">
        <v>355497</v>
      </c>
      <c r="G65" s="13">
        <v>35</v>
      </c>
      <c r="H65" t="s">
        <v>3297</v>
      </c>
      <c r="I65" s="8">
        <v>46090</v>
      </c>
      <c r="J65" t="s">
        <v>2685</v>
      </c>
      <c r="K65" t="s">
        <v>2686</v>
      </c>
      <c r="L65" s="13">
        <v>5000</v>
      </c>
      <c r="M65" t="s">
        <v>2676</v>
      </c>
    </row>
    <row r="66" spans="1:13">
      <c r="A66" t="s">
        <v>660</v>
      </c>
      <c r="B66" t="s">
        <v>174</v>
      </c>
      <c r="C66" s="8">
        <v>45974</v>
      </c>
      <c r="D66" t="s">
        <v>324</v>
      </c>
      <c r="E66" t="s">
        <v>328</v>
      </c>
      <c r="F66" s="12">
        <v>304574</v>
      </c>
      <c r="G66" s="13">
        <v>30</v>
      </c>
      <c r="H66" t="s">
        <v>3297</v>
      </c>
      <c r="I66" s="8">
        <v>46090</v>
      </c>
      <c r="J66" t="s">
        <v>2685</v>
      </c>
      <c r="K66" t="s">
        <v>2686</v>
      </c>
      <c r="L66" s="13">
        <v>5000</v>
      </c>
      <c r="M66" t="s">
        <v>2676</v>
      </c>
    </row>
    <row r="67" spans="1:13">
      <c r="A67" t="s">
        <v>730</v>
      </c>
      <c r="B67" t="s">
        <v>174</v>
      </c>
      <c r="C67" s="8">
        <v>46060</v>
      </c>
      <c r="D67" t="s">
        <v>330</v>
      </c>
      <c r="E67" t="s">
        <v>322</v>
      </c>
      <c r="F67" s="12">
        <v>135431</v>
      </c>
      <c r="G67" s="13">
        <v>13</v>
      </c>
      <c r="H67" t="s">
        <v>3297</v>
      </c>
      <c r="I67" s="8">
        <v>46090</v>
      </c>
      <c r="J67" t="s">
        <v>2685</v>
      </c>
      <c r="K67" t="s">
        <v>2686</v>
      </c>
      <c r="L67" s="13">
        <v>5000</v>
      </c>
      <c r="M67" t="s">
        <v>2676</v>
      </c>
    </row>
    <row r="68" spans="1:13">
      <c r="A68" t="s">
        <v>731</v>
      </c>
      <c r="B68" t="s">
        <v>174</v>
      </c>
      <c r="C68" s="8">
        <v>46025</v>
      </c>
      <c r="D68" t="s">
        <v>330</v>
      </c>
      <c r="E68" t="s">
        <v>339</v>
      </c>
      <c r="F68" s="12">
        <v>237215</v>
      </c>
      <c r="G68" s="13">
        <v>23</v>
      </c>
      <c r="H68" t="s">
        <v>3297</v>
      </c>
      <c r="I68" s="8">
        <v>46090</v>
      </c>
      <c r="J68" t="s">
        <v>2685</v>
      </c>
      <c r="K68" t="s">
        <v>2686</v>
      </c>
      <c r="L68" s="13">
        <v>5000</v>
      </c>
      <c r="M68" t="s">
        <v>2676</v>
      </c>
    </row>
    <row r="69" spans="1:13">
      <c r="A69" t="s">
        <v>627</v>
      </c>
      <c r="B69" t="s">
        <v>280</v>
      </c>
      <c r="C69" s="8">
        <v>46261</v>
      </c>
      <c r="D69" t="s">
        <v>327</v>
      </c>
      <c r="E69" t="s">
        <v>325</v>
      </c>
      <c r="F69" s="12">
        <v>255551</v>
      </c>
      <c r="G69" s="13">
        <v>25</v>
      </c>
      <c r="H69" t="s">
        <v>2673</v>
      </c>
      <c r="I69" s="8">
        <v>46091</v>
      </c>
      <c r="J69" t="s">
        <v>2674</v>
      </c>
      <c r="K69" t="s">
        <v>2675</v>
      </c>
      <c r="L69" s="13">
        <v>20000</v>
      </c>
      <c r="M69" t="s">
        <v>2676</v>
      </c>
    </row>
    <row r="70" spans="1:13">
      <c r="A70" t="s">
        <v>627</v>
      </c>
      <c r="B70" t="s">
        <v>280</v>
      </c>
      <c r="C70" s="8">
        <v>46261</v>
      </c>
      <c r="D70" t="s">
        <v>327</v>
      </c>
      <c r="E70" t="s">
        <v>325</v>
      </c>
      <c r="F70" s="12">
        <v>255551</v>
      </c>
      <c r="G70" s="13">
        <v>25</v>
      </c>
      <c r="H70" t="s">
        <v>2924</v>
      </c>
      <c r="I70" s="8">
        <v>46275</v>
      </c>
      <c r="J70" t="s">
        <v>2663</v>
      </c>
      <c r="K70" t="s">
        <v>3630</v>
      </c>
      <c r="L70" s="13">
        <v>1500</v>
      </c>
      <c r="M70" t="s">
        <v>2661</v>
      </c>
    </row>
    <row r="71" spans="1:13">
      <c r="A71" t="s">
        <v>627</v>
      </c>
      <c r="B71" t="s">
        <v>280</v>
      </c>
      <c r="C71" s="8">
        <v>46261</v>
      </c>
      <c r="D71" t="s">
        <v>327</v>
      </c>
      <c r="E71" t="s">
        <v>325</v>
      </c>
      <c r="F71" s="12">
        <v>255551</v>
      </c>
      <c r="G71" s="13">
        <v>25</v>
      </c>
      <c r="H71" t="s">
        <v>3163</v>
      </c>
      <c r="I71" s="8">
        <v>46279</v>
      </c>
      <c r="J71" t="s">
        <v>2668</v>
      </c>
      <c r="K71" t="s">
        <v>2669</v>
      </c>
      <c r="L71" s="13">
        <v>4000</v>
      </c>
      <c r="M71" t="s">
        <v>2661</v>
      </c>
    </row>
    <row r="72" spans="1:13">
      <c r="A72" t="s">
        <v>627</v>
      </c>
      <c r="B72" t="s">
        <v>280</v>
      </c>
      <c r="C72" s="8">
        <v>46261</v>
      </c>
      <c r="D72" t="s">
        <v>327</v>
      </c>
      <c r="E72" t="s">
        <v>325</v>
      </c>
      <c r="F72" s="12">
        <v>255551</v>
      </c>
      <c r="G72" s="13">
        <v>25</v>
      </c>
      <c r="H72" t="s">
        <v>3286</v>
      </c>
      <c r="I72" s="8">
        <v>46224</v>
      </c>
      <c r="J72" t="s">
        <v>2685</v>
      </c>
      <c r="K72" t="s">
        <v>2686</v>
      </c>
      <c r="L72" s="13">
        <v>5000</v>
      </c>
      <c r="M72" t="s">
        <v>2661</v>
      </c>
    </row>
    <row r="73" spans="1:13">
      <c r="A73" t="s">
        <v>627</v>
      </c>
      <c r="B73" t="s">
        <v>280</v>
      </c>
      <c r="C73" s="8">
        <v>46261</v>
      </c>
      <c r="D73" t="s">
        <v>327</v>
      </c>
      <c r="E73" t="s">
        <v>325</v>
      </c>
      <c r="F73" s="12">
        <v>255551</v>
      </c>
      <c r="G73" s="13">
        <v>25</v>
      </c>
      <c r="H73" t="s">
        <v>3400</v>
      </c>
      <c r="I73" s="8">
        <v>46126</v>
      </c>
      <c r="J73" t="s">
        <v>2692</v>
      </c>
      <c r="K73" t="s">
        <v>2693</v>
      </c>
      <c r="L73" s="13">
        <v>10000</v>
      </c>
      <c r="M73" t="s">
        <v>2661</v>
      </c>
    </row>
    <row r="74" spans="1:13">
      <c r="A74" t="s">
        <v>627</v>
      </c>
      <c r="B74" t="s">
        <v>280</v>
      </c>
      <c r="C74" s="8">
        <v>46261</v>
      </c>
      <c r="D74" t="s">
        <v>327</v>
      </c>
      <c r="E74" t="s">
        <v>325</v>
      </c>
      <c r="F74" s="12">
        <v>255551</v>
      </c>
      <c r="G74" s="13">
        <v>25</v>
      </c>
      <c r="H74" t="s">
        <v>3535</v>
      </c>
      <c r="I74" s="8">
        <v>46274</v>
      </c>
      <c r="J74" t="s">
        <v>2659</v>
      </c>
      <c r="K74" t="s">
        <v>2660</v>
      </c>
      <c r="L74" s="13">
        <v>3500</v>
      </c>
      <c r="M74" t="s">
        <v>2661</v>
      </c>
    </row>
    <row r="75" spans="1:13">
      <c r="A75" t="s">
        <v>766</v>
      </c>
      <c r="B75" t="s">
        <v>280</v>
      </c>
      <c r="C75" s="8">
        <v>46018</v>
      </c>
      <c r="D75" t="s">
        <v>324</v>
      </c>
      <c r="E75" t="s">
        <v>328</v>
      </c>
      <c r="F75" s="12">
        <v>326544</v>
      </c>
      <c r="G75" s="13">
        <v>32</v>
      </c>
      <c r="H75" t="s">
        <v>2673</v>
      </c>
      <c r="I75" s="8">
        <v>46091</v>
      </c>
      <c r="J75" t="s">
        <v>2674</v>
      </c>
      <c r="K75" t="s">
        <v>2675</v>
      </c>
      <c r="L75" s="13">
        <v>20000</v>
      </c>
      <c r="M75" t="s">
        <v>2676</v>
      </c>
    </row>
    <row r="76" spans="1:13">
      <c r="A76" t="s">
        <v>766</v>
      </c>
      <c r="B76" t="s">
        <v>280</v>
      </c>
      <c r="C76" s="8">
        <v>46018</v>
      </c>
      <c r="D76" t="s">
        <v>324</v>
      </c>
      <c r="E76" t="s">
        <v>328</v>
      </c>
      <c r="F76" s="12">
        <v>326544</v>
      </c>
      <c r="G76" s="13">
        <v>32</v>
      </c>
      <c r="H76" t="s">
        <v>2924</v>
      </c>
      <c r="I76" s="8">
        <v>46275</v>
      </c>
      <c r="J76" t="s">
        <v>2663</v>
      </c>
      <c r="K76" t="s">
        <v>3630</v>
      </c>
      <c r="L76" s="13">
        <v>1500</v>
      </c>
      <c r="M76" t="s">
        <v>2661</v>
      </c>
    </row>
    <row r="77" spans="1:13">
      <c r="A77" t="s">
        <v>766</v>
      </c>
      <c r="B77" t="s">
        <v>280</v>
      </c>
      <c r="C77" s="8">
        <v>46018</v>
      </c>
      <c r="D77" t="s">
        <v>324</v>
      </c>
      <c r="E77" t="s">
        <v>328</v>
      </c>
      <c r="F77" s="12">
        <v>326544</v>
      </c>
      <c r="G77" s="13">
        <v>32</v>
      </c>
      <c r="H77" t="s">
        <v>3163</v>
      </c>
      <c r="I77" s="8">
        <v>46279</v>
      </c>
      <c r="J77" t="s">
        <v>2668</v>
      </c>
      <c r="K77" t="s">
        <v>2669</v>
      </c>
      <c r="L77" s="13">
        <v>4000</v>
      </c>
      <c r="M77" t="s">
        <v>2661</v>
      </c>
    </row>
    <row r="78" spans="1:13">
      <c r="A78" t="s">
        <v>766</v>
      </c>
      <c r="B78" t="s">
        <v>280</v>
      </c>
      <c r="C78" s="8">
        <v>46018</v>
      </c>
      <c r="D78" t="s">
        <v>324</v>
      </c>
      <c r="E78" t="s">
        <v>328</v>
      </c>
      <c r="F78" s="12">
        <v>326544</v>
      </c>
      <c r="G78" s="13">
        <v>32</v>
      </c>
      <c r="H78" t="s">
        <v>3286</v>
      </c>
      <c r="I78" s="8">
        <v>46224</v>
      </c>
      <c r="J78" t="s">
        <v>2685</v>
      </c>
      <c r="K78" t="s">
        <v>2686</v>
      </c>
      <c r="L78" s="13">
        <v>5000</v>
      </c>
      <c r="M78" t="s">
        <v>2661</v>
      </c>
    </row>
    <row r="79" spans="1:13">
      <c r="A79" t="s">
        <v>766</v>
      </c>
      <c r="B79" t="s">
        <v>280</v>
      </c>
      <c r="C79" s="8">
        <v>46018</v>
      </c>
      <c r="D79" t="s">
        <v>324</v>
      </c>
      <c r="E79" t="s">
        <v>328</v>
      </c>
      <c r="F79" s="12">
        <v>326544</v>
      </c>
      <c r="G79" s="13">
        <v>32</v>
      </c>
      <c r="H79" t="s">
        <v>3400</v>
      </c>
      <c r="I79" s="8">
        <v>46126</v>
      </c>
      <c r="J79" t="s">
        <v>2692</v>
      </c>
      <c r="K79" t="s">
        <v>2693</v>
      </c>
      <c r="L79" s="13">
        <v>10000</v>
      </c>
      <c r="M79" t="s">
        <v>2661</v>
      </c>
    </row>
    <row r="80" spans="1:13">
      <c r="A80" t="s">
        <v>766</v>
      </c>
      <c r="B80" t="s">
        <v>280</v>
      </c>
      <c r="C80" s="8">
        <v>46018</v>
      </c>
      <c r="D80" t="s">
        <v>324</v>
      </c>
      <c r="E80" t="s">
        <v>328</v>
      </c>
      <c r="F80" s="12">
        <v>326544</v>
      </c>
      <c r="G80" s="13">
        <v>32</v>
      </c>
      <c r="H80" t="s">
        <v>3535</v>
      </c>
      <c r="I80" s="8">
        <v>46274</v>
      </c>
      <c r="J80" t="s">
        <v>2659</v>
      </c>
      <c r="K80" t="s">
        <v>2660</v>
      </c>
      <c r="L80" s="13">
        <v>3500</v>
      </c>
      <c r="M80" t="s">
        <v>2661</v>
      </c>
    </row>
    <row r="81" spans="1:13">
      <c r="A81" t="s">
        <v>770</v>
      </c>
      <c r="B81" t="s">
        <v>280</v>
      </c>
      <c r="C81" s="8">
        <v>46205</v>
      </c>
      <c r="D81" t="s">
        <v>324</v>
      </c>
      <c r="E81" t="s">
        <v>328</v>
      </c>
      <c r="F81" s="12">
        <v>166865</v>
      </c>
      <c r="G81" s="13">
        <v>16</v>
      </c>
      <c r="H81" t="s">
        <v>2673</v>
      </c>
      <c r="I81" s="8">
        <v>46091</v>
      </c>
      <c r="J81" t="s">
        <v>2674</v>
      </c>
      <c r="K81" t="s">
        <v>2675</v>
      </c>
      <c r="L81" s="13">
        <v>20000</v>
      </c>
      <c r="M81" t="s">
        <v>2676</v>
      </c>
    </row>
    <row r="82" spans="1:13">
      <c r="A82" t="s">
        <v>770</v>
      </c>
      <c r="B82" t="s">
        <v>280</v>
      </c>
      <c r="C82" s="8">
        <v>46205</v>
      </c>
      <c r="D82" t="s">
        <v>324</v>
      </c>
      <c r="E82" t="s">
        <v>328</v>
      </c>
      <c r="F82" s="12">
        <v>166865</v>
      </c>
      <c r="G82" s="13">
        <v>16</v>
      </c>
      <c r="H82" t="s">
        <v>2924</v>
      </c>
      <c r="I82" s="8">
        <v>46275</v>
      </c>
      <c r="J82" t="s">
        <v>2663</v>
      </c>
      <c r="K82" t="s">
        <v>3630</v>
      </c>
      <c r="L82" s="13">
        <v>1500</v>
      </c>
      <c r="M82" t="s">
        <v>2661</v>
      </c>
    </row>
    <row r="83" spans="1:13">
      <c r="A83" t="s">
        <v>770</v>
      </c>
      <c r="B83" t="s">
        <v>280</v>
      </c>
      <c r="C83" s="8">
        <v>46205</v>
      </c>
      <c r="D83" t="s">
        <v>324</v>
      </c>
      <c r="E83" t="s">
        <v>328</v>
      </c>
      <c r="F83" s="12">
        <v>166865</v>
      </c>
      <c r="G83" s="13">
        <v>16</v>
      </c>
      <c r="H83" t="s">
        <v>3163</v>
      </c>
      <c r="I83" s="8">
        <v>46279</v>
      </c>
      <c r="J83" t="s">
        <v>2668</v>
      </c>
      <c r="K83" t="s">
        <v>2669</v>
      </c>
      <c r="L83" s="13">
        <v>4000</v>
      </c>
      <c r="M83" t="s">
        <v>2661</v>
      </c>
    </row>
    <row r="84" spans="1:13">
      <c r="A84" t="s">
        <v>770</v>
      </c>
      <c r="B84" t="s">
        <v>280</v>
      </c>
      <c r="C84" s="8">
        <v>46205</v>
      </c>
      <c r="D84" t="s">
        <v>324</v>
      </c>
      <c r="E84" t="s">
        <v>328</v>
      </c>
      <c r="F84" s="12">
        <v>166865</v>
      </c>
      <c r="G84" s="13">
        <v>16</v>
      </c>
      <c r="H84" t="s">
        <v>3286</v>
      </c>
      <c r="I84" s="8">
        <v>46224</v>
      </c>
      <c r="J84" t="s">
        <v>2685</v>
      </c>
      <c r="K84" t="s">
        <v>2686</v>
      </c>
      <c r="L84" s="13">
        <v>5000</v>
      </c>
      <c r="M84" t="s">
        <v>2661</v>
      </c>
    </row>
    <row r="85" spans="1:13">
      <c r="A85" t="s">
        <v>770</v>
      </c>
      <c r="B85" t="s">
        <v>280</v>
      </c>
      <c r="C85" s="8">
        <v>46205</v>
      </c>
      <c r="D85" t="s">
        <v>324</v>
      </c>
      <c r="E85" t="s">
        <v>328</v>
      </c>
      <c r="F85" s="12">
        <v>166865</v>
      </c>
      <c r="G85" s="13">
        <v>16</v>
      </c>
      <c r="H85" t="s">
        <v>3400</v>
      </c>
      <c r="I85" s="8">
        <v>46126</v>
      </c>
      <c r="J85" t="s">
        <v>2692</v>
      </c>
      <c r="K85" t="s">
        <v>2693</v>
      </c>
      <c r="L85" s="13">
        <v>10000</v>
      </c>
      <c r="M85" t="s">
        <v>2661</v>
      </c>
    </row>
    <row r="86" spans="1:13">
      <c r="A86" t="s">
        <v>770</v>
      </c>
      <c r="B86" t="s">
        <v>280</v>
      </c>
      <c r="C86" s="8">
        <v>46205</v>
      </c>
      <c r="D86" t="s">
        <v>324</v>
      </c>
      <c r="E86" t="s">
        <v>328</v>
      </c>
      <c r="F86" s="12">
        <v>166865</v>
      </c>
      <c r="G86" s="13">
        <v>16</v>
      </c>
      <c r="H86" t="s">
        <v>3535</v>
      </c>
      <c r="I86" s="8">
        <v>46274</v>
      </c>
      <c r="J86" t="s">
        <v>2659</v>
      </c>
      <c r="K86" t="s">
        <v>2660</v>
      </c>
      <c r="L86" s="13">
        <v>3500</v>
      </c>
      <c r="M86" t="s">
        <v>2661</v>
      </c>
    </row>
    <row r="87" spans="1:13">
      <c r="A87" t="s">
        <v>1188</v>
      </c>
      <c r="B87" t="s">
        <v>280</v>
      </c>
      <c r="C87" s="8">
        <v>46227</v>
      </c>
      <c r="D87" t="s">
        <v>327</v>
      </c>
      <c r="E87" t="s">
        <v>337</v>
      </c>
      <c r="F87" s="12">
        <v>25428</v>
      </c>
      <c r="G87" s="13">
        <v>2</v>
      </c>
      <c r="H87" t="s">
        <v>2673</v>
      </c>
      <c r="I87" s="8">
        <v>46091</v>
      </c>
      <c r="J87" t="s">
        <v>2674</v>
      </c>
      <c r="K87" t="s">
        <v>2675</v>
      </c>
      <c r="L87" s="13">
        <v>20000</v>
      </c>
      <c r="M87" t="s">
        <v>2676</v>
      </c>
    </row>
    <row r="88" spans="1:13">
      <c r="A88" t="s">
        <v>1188</v>
      </c>
      <c r="B88" t="s">
        <v>280</v>
      </c>
      <c r="C88" s="8">
        <v>46227</v>
      </c>
      <c r="D88" t="s">
        <v>327</v>
      </c>
      <c r="E88" t="s">
        <v>337</v>
      </c>
      <c r="F88" s="12">
        <v>25428</v>
      </c>
      <c r="G88" s="13">
        <v>2</v>
      </c>
      <c r="H88" t="s">
        <v>2924</v>
      </c>
      <c r="I88" s="8">
        <v>46275</v>
      </c>
      <c r="J88" t="s">
        <v>2663</v>
      </c>
      <c r="K88" t="s">
        <v>3630</v>
      </c>
      <c r="L88" s="13">
        <v>1500</v>
      </c>
      <c r="M88" t="s">
        <v>2661</v>
      </c>
    </row>
    <row r="89" spans="1:13">
      <c r="A89" t="s">
        <v>1188</v>
      </c>
      <c r="B89" t="s">
        <v>280</v>
      </c>
      <c r="C89" s="8">
        <v>46227</v>
      </c>
      <c r="D89" t="s">
        <v>327</v>
      </c>
      <c r="E89" t="s">
        <v>337</v>
      </c>
      <c r="F89" s="12">
        <v>25428</v>
      </c>
      <c r="G89" s="13">
        <v>2</v>
      </c>
      <c r="H89" t="s">
        <v>3163</v>
      </c>
      <c r="I89" s="8">
        <v>46279</v>
      </c>
      <c r="J89" t="s">
        <v>2668</v>
      </c>
      <c r="K89" t="s">
        <v>2669</v>
      </c>
      <c r="L89" s="13">
        <v>4000</v>
      </c>
      <c r="M89" t="s">
        <v>2661</v>
      </c>
    </row>
    <row r="90" spans="1:13">
      <c r="A90" t="s">
        <v>1188</v>
      </c>
      <c r="B90" t="s">
        <v>280</v>
      </c>
      <c r="C90" s="8">
        <v>46227</v>
      </c>
      <c r="D90" t="s">
        <v>327</v>
      </c>
      <c r="E90" t="s">
        <v>337</v>
      </c>
      <c r="F90" s="12">
        <v>25428</v>
      </c>
      <c r="G90" s="13">
        <v>2</v>
      </c>
      <c r="H90" t="s">
        <v>3286</v>
      </c>
      <c r="I90" s="8">
        <v>46224</v>
      </c>
      <c r="J90" t="s">
        <v>2685</v>
      </c>
      <c r="K90" t="s">
        <v>2686</v>
      </c>
      <c r="L90" s="13">
        <v>5000</v>
      </c>
      <c r="M90" t="s">
        <v>2661</v>
      </c>
    </row>
    <row r="91" spans="1:13">
      <c r="A91" t="s">
        <v>1188</v>
      </c>
      <c r="B91" t="s">
        <v>280</v>
      </c>
      <c r="C91" s="8">
        <v>46227</v>
      </c>
      <c r="D91" t="s">
        <v>327</v>
      </c>
      <c r="E91" t="s">
        <v>337</v>
      </c>
      <c r="F91" s="12">
        <v>25428</v>
      </c>
      <c r="G91" s="13">
        <v>2</v>
      </c>
      <c r="H91" t="s">
        <v>3400</v>
      </c>
      <c r="I91" s="8">
        <v>46126</v>
      </c>
      <c r="J91" t="s">
        <v>2692</v>
      </c>
      <c r="K91" t="s">
        <v>2693</v>
      </c>
      <c r="L91" s="13">
        <v>10000</v>
      </c>
      <c r="M91" t="s">
        <v>2661</v>
      </c>
    </row>
    <row r="92" spans="1:13">
      <c r="A92" t="s">
        <v>1188</v>
      </c>
      <c r="B92" t="s">
        <v>280</v>
      </c>
      <c r="C92" s="8">
        <v>46227</v>
      </c>
      <c r="D92" t="s">
        <v>327</v>
      </c>
      <c r="E92" t="s">
        <v>337</v>
      </c>
      <c r="F92" s="12">
        <v>25428</v>
      </c>
      <c r="G92" s="13">
        <v>2</v>
      </c>
      <c r="H92" t="s">
        <v>3535</v>
      </c>
      <c r="I92" s="8">
        <v>46274</v>
      </c>
      <c r="J92" t="s">
        <v>2659</v>
      </c>
      <c r="K92" t="s">
        <v>2660</v>
      </c>
      <c r="L92" s="13">
        <v>3500</v>
      </c>
      <c r="M92" t="s">
        <v>2661</v>
      </c>
    </row>
    <row r="93" spans="1:13">
      <c r="A93" t="s">
        <v>1229</v>
      </c>
      <c r="B93" t="s">
        <v>280</v>
      </c>
      <c r="C93" s="8">
        <v>46020</v>
      </c>
      <c r="D93" t="s">
        <v>350</v>
      </c>
      <c r="E93" t="s">
        <v>328</v>
      </c>
      <c r="F93" s="12">
        <v>393791</v>
      </c>
      <c r="G93" s="13">
        <v>39</v>
      </c>
      <c r="H93" t="s">
        <v>2673</v>
      </c>
      <c r="I93" s="8">
        <v>46091</v>
      </c>
      <c r="J93" t="s">
        <v>2674</v>
      </c>
      <c r="K93" t="s">
        <v>2675</v>
      </c>
      <c r="L93" s="13">
        <v>20000</v>
      </c>
      <c r="M93" t="s">
        <v>2676</v>
      </c>
    </row>
    <row r="94" spans="1:13">
      <c r="A94" t="s">
        <v>1229</v>
      </c>
      <c r="B94" t="s">
        <v>280</v>
      </c>
      <c r="C94" s="8">
        <v>46020</v>
      </c>
      <c r="D94" t="s">
        <v>350</v>
      </c>
      <c r="E94" t="s">
        <v>328</v>
      </c>
      <c r="F94" s="12">
        <v>393791</v>
      </c>
      <c r="G94" s="13">
        <v>39</v>
      </c>
      <c r="H94" t="s">
        <v>2924</v>
      </c>
      <c r="I94" s="8">
        <v>46275</v>
      </c>
      <c r="J94" t="s">
        <v>2663</v>
      </c>
      <c r="K94" t="s">
        <v>3630</v>
      </c>
      <c r="L94" s="13">
        <v>1500</v>
      </c>
      <c r="M94" t="s">
        <v>2661</v>
      </c>
    </row>
    <row r="95" spans="1:13">
      <c r="A95" t="s">
        <v>1229</v>
      </c>
      <c r="B95" t="s">
        <v>280</v>
      </c>
      <c r="C95" s="8">
        <v>46020</v>
      </c>
      <c r="D95" t="s">
        <v>350</v>
      </c>
      <c r="E95" t="s">
        <v>328</v>
      </c>
      <c r="F95" s="12">
        <v>393791</v>
      </c>
      <c r="G95" s="13">
        <v>39</v>
      </c>
      <c r="H95" t="s">
        <v>3163</v>
      </c>
      <c r="I95" s="8">
        <v>46279</v>
      </c>
      <c r="J95" t="s">
        <v>2668</v>
      </c>
      <c r="K95" t="s">
        <v>2669</v>
      </c>
      <c r="L95" s="13">
        <v>4000</v>
      </c>
      <c r="M95" t="s">
        <v>2661</v>
      </c>
    </row>
    <row r="96" spans="1:13">
      <c r="A96" t="s">
        <v>1229</v>
      </c>
      <c r="B96" t="s">
        <v>280</v>
      </c>
      <c r="C96" s="8">
        <v>46020</v>
      </c>
      <c r="D96" t="s">
        <v>350</v>
      </c>
      <c r="E96" t="s">
        <v>328</v>
      </c>
      <c r="F96" s="12">
        <v>393791</v>
      </c>
      <c r="G96" s="13">
        <v>39</v>
      </c>
      <c r="H96" t="s">
        <v>3286</v>
      </c>
      <c r="I96" s="8">
        <v>46224</v>
      </c>
      <c r="J96" t="s">
        <v>2685</v>
      </c>
      <c r="K96" t="s">
        <v>2686</v>
      </c>
      <c r="L96" s="13">
        <v>5000</v>
      </c>
      <c r="M96" t="s">
        <v>2661</v>
      </c>
    </row>
    <row r="97" spans="1:13">
      <c r="A97" t="s">
        <v>1229</v>
      </c>
      <c r="B97" t="s">
        <v>280</v>
      </c>
      <c r="C97" s="8">
        <v>46020</v>
      </c>
      <c r="D97" t="s">
        <v>350</v>
      </c>
      <c r="E97" t="s">
        <v>328</v>
      </c>
      <c r="F97" s="12">
        <v>393791</v>
      </c>
      <c r="G97" s="13">
        <v>39</v>
      </c>
      <c r="H97" t="s">
        <v>3400</v>
      </c>
      <c r="I97" s="8">
        <v>46126</v>
      </c>
      <c r="J97" t="s">
        <v>2692</v>
      </c>
      <c r="K97" t="s">
        <v>2693</v>
      </c>
      <c r="L97" s="13">
        <v>10000</v>
      </c>
      <c r="M97" t="s">
        <v>2661</v>
      </c>
    </row>
    <row r="98" spans="1:13">
      <c r="A98" t="s">
        <v>1229</v>
      </c>
      <c r="B98" t="s">
        <v>280</v>
      </c>
      <c r="C98" s="8">
        <v>46020</v>
      </c>
      <c r="D98" t="s">
        <v>350</v>
      </c>
      <c r="E98" t="s">
        <v>328</v>
      </c>
      <c r="F98" s="12">
        <v>393791</v>
      </c>
      <c r="G98" s="13">
        <v>39</v>
      </c>
      <c r="H98" t="s">
        <v>3535</v>
      </c>
      <c r="I98" s="8">
        <v>46274</v>
      </c>
      <c r="J98" t="s">
        <v>2659</v>
      </c>
      <c r="K98" t="s">
        <v>2660</v>
      </c>
      <c r="L98" s="13">
        <v>3500</v>
      </c>
      <c r="M98" t="s">
        <v>2661</v>
      </c>
    </row>
    <row r="99" spans="1:13">
      <c r="A99" t="s">
        <v>335</v>
      </c>
      <c r="B99" t="s">
        <v>141</v>
      </c>
      <c r="C99" s="8">
        <v>45944</v>
      </c>
      <c r="D99" t="s">
        <v>321</v>
      </c>
      <c r="E99" t="s">
        <v>334</v>
      </c>
      <c r="F99" s="12">
        <v>69450</v>
      </c>
      <c r="G99" s="13">
        <v>6</v>
      </c>
      <c r="H99" t="s">
        <v>2784</v>
      </c>
      <c r="I99" s="8">
        <v>46039</v>
      </c>
      <c r="J99" t="s">
        <v>2692</v>
      </c>
      <c r="K99" t="s">
        <v>2693</v>
      </c>
      <c r="L99" s="13">
        <v>10000</v>
      </c>
      <c r="M99" t="s">
        <v>2676</v>
      </c>
    </row>
    <row r="100" spans="1:13">
      <c r="A100" t="s">
        <v>335</v>
      </c>
      <c r="B100" t="s">
        <v>141</v>
      </c>
      <c r="C100" s="8">
        <v>45944</v>
      </c>
      <c r="D100" t="s">
        <v>321</v>
      </c>
      <c r="E100" t="s">
        <v>334</v>
      </c>
      <c r="F100" s="12">
        <v>69450</v>
      </c>
      <c r="G100" s="13">
        <v>6</v>
      </c>
      <c r="H100" t="s">
        <v>2983</v>
      </c>
      <c r="I100" s="8">
        <v>46195</v>
      </c>
      <c r="J100" t="s">
        <v>2665</v>
      </c>
      <c r="K100" t="s">
        <v>2666</v>
      </c>
      <c r="L100" s="13">
        <v>2500</v>
      </c>
      <c r="M100" t="s">
        <v>2661</v>
      </c>
    </row>
    <row r="101" spans="1:13">
      <c r="A101" t="s">
        <v>335</v>
      </c>
      <c r="B101" t="s">
        <v>141</v>
      </c>
      <c r="C101" s="8">
        <v>45944</v>
      </c>
      <c r="D101" t="s">
        <v>321</v>
      </c>
      <c r="E101" t="s">
        <v>334</v>
      </c>
      <c r="F101" s="12">
        <v>69450</v>
      </c>
      <c r="G101" s="13">
        <v>6</v>
      </c>
      <c r="H101" t="s">
        <v>3011</v>
      </c>
      <c r="I101" s="8">
        <v>46197</v>
      </c>
      <c r="J101" t="s">
        <v>2674</v>
      </c>
      <c r="K101" t="s">
        <v>2675</v>
      </c>
      <c r="L101" s="13">
        <v>20000</v>
      </c>
      <c r="M101" t="s">
        <v>2661</v>
      </c>
    </row>
    <row r="102" spans="1:13">
      <c r="A102" t="s">
        <v>335</v>
      </c>
      <c r="B102" t="s">
        <v>141</v>
      </c>
      <c r="C102" s="8">
        <v>45944</v>
      </c>
      <c r="D102" t="s">
        <v>321</v>
      </c>
      <c r="E102" t="s">
        <v>334</v>
      </c>
      <c r="F102" s="12">
        <v>69450</v>
      </c>
      <c r="G102" s="13">
        <v>6</v>
      </c>
      <c r="H102" t="s">
        <v>3035</v>
      </c>
      <c r="I102" s="8">
        <v>46115</v>
      </c>
      <c r="J102" t="s">
        <v>2663</v>
      </c>
      <c r="K102" t="s">
        <v>3630</v>
      </c>
      <c r="L102" s="13">
        <v>1500</v>
      </c>
      <c r="M102" t="s">
        <v>2661</v>
      </c>
    </row>
    <row r="103" spans="1:13">
      <c r="A103" t="s">
        <v>335</v>
      </c>
      <c r="B103" t="s">
        <v>141</v>
      </c>
      <c r="C103" s="8">
        <v>45944</v>
      </c>
      <c r="D103" t="s">
        <v>321</v>
      </c>
      <c r="E103" t="s">
        <v>334</v>
      </c>
      <c r="F103" s="12">
        <v>69450</v>
      </c>
      <c r="G103" s="13">
        <v>6</v>
      </c>
      <c r="H103" t="s">
        <v>3161</v>
      </c>
      <c r="I103" s="8">
        <v>46177</v>
      </c>
      <c r="J103" t="s">
        <v>2663</v>
      </c>
      <c r="K103" t="s">
        <v>3630</v>
      </c>
      <c r="L103" s="13">
        <v>1500</v>
      </c>
      <c r="M103" t="s">
        <v>2661</v>
      </c>
    </row>
    <row r="104" spans="1:13">
      <c r="A104" t="s">
        <v>335</v>
      </c>
      <c r="B104" t="s">
        <v>141</v>
      </c>
      <c r="C104" s="8">
        <v>45944</v>
      </c>
      <c r="D104" t="s">
        <v>321</v>
      </c>
      <c r="E104" t="s">
        <v>334</v>
      </c>
      <c r="F104" s="12">
        <v>69450</v>
      </c>
      <c r="G104" s="13">
        <v>6</v>
      </c>
      <c r="H104" t="s">
        <v>3357</v>
      </c>
      <c r="I104" s="8">
        <v>46093</v>
      </c>
      <c r="J104" t="s">
        <v>2685</v>
      </c>
      <c r="K104" t="s">
        <v>2686</v>
      </c>
      <c r="L104" s="13">
        <v>5000</v>
      </c>
      <c r="M104" t="s">
        <v>2676</v>
      </c>
    </row>
    <row r="105" spans="1:13">
      <c r="A105" t="s">
        <v>381</v>
      </c>
      <c r="B105" t="s">
        <v>141</v>
      </c>
      <c r="C105" s="8">
        <v>46121</v>
      </c>
      <c r="D105" t="s">
        <v>324</v>
      </c>
      <c r="E105" t="s">
        <v>339</v>
      </c>
      <c r="F105" s="12">
        <v>389207</v>
      </c>
      <c r="G105" s="13">
        <v>38</v>
      </c>
      <c r="H105" t="s">
        <v>2784</v>
      </c>
      <c r="I105" s="8">
        <v>46039</v>
      </c>
      <c r="J105" t="s">
        <v>2692</v>
      </c>
      <c r="K105" t="s">
        <v>2693</v>
      </c>
      <c r="L105" s="13">
        <v>10000</v>
      </c>
      <c r="M105" t="s">
        <v>2676</v>
      </c>
    </row>
    <row r="106" spans="1:13">
      <c r="A106" t="s">
        <v>381</v>
      </c>
      <c r="B106" t="s">
        <v>141</v>
      </c>
      <c r="C106" s="8">
        <v>46121</v>
      </c>
      <c r="D106" t="s">
        <v>324</v>
      </c>
      <c r="E106" t="s">
        <v>339</v>
      </c>
      <c r="F106" s="12">
        <v>389207</v>
      </c>
      <c r="G106" s="13">
        <v>38</v>
      </c>
      <c r="H106" t="s">
        <v>2983</v>
      </c>
      <c r="I106" s="8">
        <v>46195</v>
      </c>
      <c r="J106" t="s">
        <v>2665</v>
      </c>
      <c r="K106" t="s">
        <v>2666</v>
      </c>
      <c r="L106" s="13">
        <v>2500</v>
      </c>
      <c r="M106" t="s">
        <v>2661</v>
      </c>
    </row>
    <row r="107" spans="1:13">
      <c r="A107" t="s">
        <v>381</v>
      </c>
      <c r="B107" t="s">
        <v>141</v>
      </c>
      <c r="C107" s="8">
        <v>46121</v>
      </c>
      <c r="D107" t="s">
        <v>324</v>
      </c>
      <c r="E107" t="s">
        <v>339</v>
      </c>
      <c r="F107" s="12">
        <v>389207</v>
      </c>
      <c r="G107" s="13">
        <v>38</v>
      </c>
      <c r="H107" t="s">
        <v>3011</v>
      </c>
      <c r="I107" s="8">
        <v>46197</v>
      </c>
      <c r="J107" t="s">
        <v>2674</v>
      </c>
      <c r="K107" t="s">
        <v>2675</v>
      </c>
      <c r="L107" s="13">
        <v>20000</v>
      </c>
      <c r="M107" t="s">
        <v>2661</v>
      </c>
    </row>
    <row r="108" spans="1:13">
      <c r="A108" t="s">
        <v>381</v>
      </c>
      <c r="B108" t="s">
        <v>141</v>
      </c>
      <c r="C108" s="8">
        <v>46121</v>
      </c>
      <c r="D108" t="s">
        <v>324</v>
      </c>
      <c r="E108" t="s">
        <v>339</v>
      </c>
      <c r="F108" s="12">
        <v>389207</v>
      </c>
      <c r="G108" s="13">
        <v>38</v>
      </c>
      <c r="H108" t="s">
        <v>3035</v>
      </c>
      <c r="I108" s="8">
        <v>46115</v>
      </c>
      <c r="J108" t="s">
        <v>2663</v>
      </c>
      <c r="K108" t="s">
        <v>3630</v>
      </c>
      <c r="L108" s="13">
        <v>1500</v>
      </c>
      <c r="M108" t="s">
        <v>2661</v>
      </c>
    </row>
    <row r="109" spans="1:13">
      <c r="A109" t="s">
        <v>381</v>
      </c>
      <c r="B109" t="s">
        <v>141</v>
      </c>
      <c r="C109" s="8">
        <v>46121</v>
      </c>
      <c r="D109" t="s">
        <v>324</v>
      </c>
      <c r="E109" t="s">
        <v>339</v>
      </c>
      <c r="F109" s="12">
        <v>389207</v>
      </c>
      <c r="G109" s="13">
        <v>38</v>
      </c>
      <c r="H109" t="s">
        <v>3161</v>
      </c>
      <c r="I109" s="8">
        <v>46177</v>
      </c>
      <c r="J109" t="s">
        <v>2663</v>
      </c>
      <c r="K109" t="s">
        <v>3630</v>
      </c>
      <c r="L109" s="13">
        <v>1500</v>
      </c>
      <c r="M109" t="s">
        <v>2661</v>
      </c>
    </row>
    <row r="110" spans="1:13">
      <c r="A110" t="s">
        <v>381</v>
      </c>
      <c r="B110" t="s">
        <v>141</v>
      </c>
      <c r="C110" s="8">
        <v>46121</v>
      </c>
      <c r="D110" t="s">
        <v>324</v>
      </c>
      <c r="E110" t="s">
        <v>339</v>
      </c>
      <c r="F110" s="12">
        <v>389207</v>
      </c>
      <c r="G110" s="13">
        <v>38</v>
      </c>
      <c r="H110" t="s">
        <v>3357</v>
      </c>
      <c r="I110" s="8">
        <v>46093</v>
      </c>
      <c r="J110" t="s">
        <v>2685</v>
      </c>
      <c r="K110" t="s">
        <v>2686</v>
      </c>
      <c r="L110" s="13">
        <v>5000</v>
      </c>
      <c r="M110" t="s">
        <v>2676</v>
      </c>
    </row>
    <row r="111" spans="1:13">
      <c r="A111" t="s">
        <v>397</v>
      </c>
      <c r="B111" t="s">
        <v>141</v>
      </c>
      <c r="C111" s="8">
        <v>46094</v>
      </c>
      <c r="D111" t="s">
        <v>350</v>
      </c>
      <c r="E111" t="s">
        <v>337</v>
      </c>
      <c r="F111" s="12">
        <v>116870</v>
      </c>
      <c r="G111" s="13">
        <v>11</v>
      </c>
      <c r="H111" t="s">
        <v>2784</v>
      </c>
      <c r="I111" s="8">
        <v>46039</v>
      </c>
      <c r="J111" t="s">
        <v>2692</v>
      </c>
      <c r="K111" t="s">
        <v>2693</v>
      </c>
      <c r="L111" s="13">
        <v>10000</v>
      </c>
      <c r="M111" t="s">
        <v>2676</v>
      </c>
    </row>
    <row r="112" spans="1:13">
      <c r="A112" t="s">
        <v>397</v>
      </c>
      <c r="B112" t="s">
        <v>141</v>
      </c>
      <c r="C112" s="8">
        <v>46094</v>
      </c>
      <c r="D112" t="s">
        <v>350</v>
      </c>
      <c r="E112" t="s">
        <v>337</v>
      </c>
      <c r="F112" s="12">
        <v>116870</v>
      </c>
      <c r="G112" s="13">
        <v>11</v>
      </c>
      <c r="H112" t="s">
        <v>2983</v>
      </c>
      <c r="I112" s="8">
        <v>46195</v>
      </c>
      <c r="J112" t="s">
        <v>2665</v>
      </c>
      <c r="K112" t="s">
        <v>2666</v>
      </c>
      <c r="L112" s="13">
        <v>2500</v>
      </c>
      <c r="M112" t="s">
        <v>2661</v>
      </c>
    </row>
    <row r="113" spans="1:13">
      <c r="A113" t="s">
        <v>397</v>
      </c>
      <c r="B113" t="s">
        <v>141</v>
      </c>
      <c r="C113" s="8">
        <v>46094</v>
      </c>
      <c r="D113" t="s">
        <v>350</v>
      </c>
      <c r="E113" t="s">
        <v>337</v>
      </c>
      <c r="F113" s="12">
        <v>116870</v>
      </c>
      <c r="G113" s="13">
        <v>11</v>
      </c>
      <c r="H113" t="s">
        <v>3011</v>
      </c>
      <c r="I113" s="8">
        <v>46197</v>
      </c>
      <c r="J113" t="s">
        <v>2674</v>
      </c>
      <c r="K113" t="s">
        <v>2675</v>
      </c>
      <c r="L113" s="13">
        <v>20000</v>
      </c>
      <c r="M113" t="s">
        <v>2661</v>
      </c>
    </row>
    <row r="114" spans="1:13">
      <c r="A114" t="s">
        <v>397</v>
      </c>
      <c r="B114" t="s">
        <v>141</v>
      </c>
      <c r="C114" s="8">
        <v>46094</v>
      </c>
      <c r="D114" t="s">
        <v>350</v>
      </c>
      <c r="E114" t="s">
        <v>337</v>
      </c>
      <c r="F114" s="12">
        <v>116870</v>
      </c>
      <c r="G114" s="13">
        <v>11</v>
      </c>
      <c r="H114" t="s">
        <v>3035</v>
      </c>
      <c r="I114" s="8">
        <v>46115</v>
      </c>
      <c r="J114" t="s">
        <v>2663</v>
      </c>
      <c r="K114" t="s">
        <v>3630</v>
      </c>
      <c r="L114" s="13">
        <v>1500</v>
      </c>
      <c r="M114" t="s">
        <v>2661</v>
      </c>
    </row>
    <row r="115" spans="1:13">
      <c r="A115" t="s">
        <v>397</v>
      </c>
      <c r="B115" t="s">
        <v>141</v>
      </c>
      <c r="C115" s="8">
        <v>46094</v>
      </c>
      <c r="D115" t="s">
        <v>350</v>
      </c>
      <c r="E115" t="s">
        <v>337</v>
      </c>
      <c r="F115" s="12">
        <v>116870</v>
      </c>
      <c r="G115" s="13">
        <v>11</v>
      </c>
      <c r="H115" t="s">
        <v>3161</v>
      </c>
      <c r="I115" s="8">
        <v>46177</v>
      </c>
      <c r="J115" t="s">
        <v>2663</v>
      </c>
      <c r="K115" t="s">
        <v>3630</v>
      </c>
      <c r="L115" s="13">
        <v>1500</v>
      </c>
      <c r="M115" t="s">
        <v>2661</v>
      </c>
    </row>
    <row r="116" spans="1:13">
      <c r="A116" t="s">
        <v>397</v>
      </c>
      <c r="B116" t="s">
        <v>141</v>
      </c>
      <c r="C116" s="8">
        <v>46094</v>
      </c>
      <c r="D116" t="s">
        <v>350</v>
      </c>
      <c r="E116" t="s">
        <v>337</v>
      </c>
      <c r="F116" s="12">
        <v>116870</v>
      </c>
      <c r="G116" s="13">
        <v>11</v>
      </c>
      <c r="H116" t="s">
        <v>3357</v>
      </c>
      <c r="I116" s="8">
        <v>46093</v>
      </c>
      <c r="J116" t="s">
        <v>2685</v>
      </c>
      <c r="K116" t="s">
        <v>2686</v>
      </c>
      <c r="L116" s="13">
        <v>5000</v>
      </c>
      <c r="M116" t="s">
        <v>2676</v>
      </c>
    </row>
    <row r="117" spans="1:13">
      <c r="A117" t="s">
        <v>404</v>
      </c>
      <c r="B117" t="s">
        <v>141</v>
      </c>
      <c r="C117" s="8">
        <v>46229</v>
      </c>
      <c r="D117" t="s">
        <v>342</v>
      </c>
      <c r="E117" t="s">
        <v>325</v>
      </c>
      <c r="F117" s="12">
        <v>385430</v>
      </c>
      <c r="G117" s="13">
        <v>38</v>
      </c>
      <c r="H117" t="s">
        <v>2784</v>
      </c>
      <c r="I117" s="8">
        <v>46039</v>
      </c>
      <c r="J117" t="s">
        <v>2692</v>
      </c>
      <c r="K117" t="s">
        <v>2693</v>
      </c>
      <c r="L117" s="13">
        <v>10000</v>
      </c>
      <c r="M117" t="s">
        <v>2676</v>
      </c>
    </row>
    <row r="118" spans="1:13">
      <c r="A118" t="s">
        <v>404</v>
      </c>
      <c r="B118" t="s">
        <v>141</v>
      </c>
      <c r="C118" s="8">
        <v>46229</v>
      </c>
      <c r="D118" t="s">
        <v>342</v>
      </c>
      <c r="E118" t="s">
        <v>325</v>
      </c>
      <c r="F118" s="12">
        <v>385430</v>
      </c>
      <c r="G118" s="13">
        <v>38</v>
      </c>
      <c r="H118" t="s">
        <v>2983</v>
      </c>
      <c r="I118" s="8">
        <v>46195</v>
      </c>
      <c r="J118" t="s">
        <v>2665</v>
      </c>
      <c r="K118" t="s">
        <v>2666</v>
      </c>
      <c r="L118" s="13">
        <v>2500</v>
      </c>
      <c r="M118" t="s">
        <v>2661</v>
      </c>
    </row>
    <row r="119" spans="1:13">
      <c r="A119" t="s">
        <v>404</v>
      </c>
      <c r="B119" t="s">
        <v>141</v>
      </c>
      <c r="C119" s="8">
        <v>46229</v>
      </c>
      <c r="D119" t="s">
        <v>342</v>
      </c>
      <c r="E119" t="s">
        <v>325</v>
      </c>
      <c r="F119" s="12">
        <v>385430</v>
      </c>
      <c r="G119" s="13">
        <v>38</v>
      </c>
      <c r="H119" t="s">
        <v>3011</v>
      </c>
      <c r="I119" s="8">
        <v>46197</v>
      </c>
      <c r="J119" t="s">
        <v>2674</v>
      </c>
      <c r="K119" t="s">
        <v>2675</v>
      </c>
      <c r="L119" s="13">
        <v>20000</v>
      </c>
      <c r="M119" t="s">
        <v>2661</v>
      </c>
    </row>
    <row r="120" spans="1:13">
      <c r="A120" t="s">
        <v>404</v>
      </c>
      <c r="B120" t="s">
        <v>141</v>
      </c>
      <c r="C120" s="8">
        <v>46229</v>
      </c>
      <c r="D120" t="s">
        <v>342</v>
      </c>
      <c r="E120" t="s">
        <v>325</v>
      </c>
      <c r="F120" s="12">
        <v>385430</v>
      </c>
      <c r="G120" s="13">
        <v>38</v>
      </c>
      <c r="H120" t="s">
        <v>3035</v>
      </c>
      <c r="I120" s="8">
        <v>46115</v>
      </c>
      <c r="J120" t="s">
        <v>2663</v>
      </c>
      <c r="K120" t="s">
        <v>3630</v>
      </c>
      <c r="L120" s="13">
        <v>1500</v>
      </c>
      <c r="M120" t="s">
        <v>2661</v>
      </c>
    </row>
    <row r="121" spans="1:13">
      <c r="A121" t="s">
        <v>404</v>
      </c>
      <c r="B121" t="s">
        <v>141</v>
      </c>
      <c r="C121" s="8">
        <v>46229</v>
      </c>
      <c r="D121" t="s">
        <v>342</v>
      </c>
      <c r="E121" t="s">
        <v>325</v>
      </c>
      <c r="F121" s="12">
        <v>385430</v>
      </c>
      <c r="G121" s="13">
        <v>38</v>
      </c>
      <c r="H121" t="s">
        <v>3161</v>
      </c>
      <c r="I121" s="8">
        <v>46177</v>
      </c>
      <c r="J121" t="s">
        <v>2663</v>
      </c>
      <c r="K121" t="s">
        <v>3630</v>
      </c>
      <c r="L121" s="13">
        <v>1500</v>
      </c>
      <c r="M121" t="s">
        <v>2661</v>
      </c>
    </row>
    <row r="122" spans="1:13">
      <c r="A122" t="s">
        <v>404</v>
      </c>
      <c r="B122" t="s">
        <v>141</v>
      </c>
      <c r="C122" s="8">
        <v>46229</v>
      </c>
      <c r="D122" t="s">
        <v>342</v>
      </c>
      <c r="E122" t="s">
        <v>325</v>
      </c>
      <c r="F122" s="12">
        <v>385430</v>
      </c>
      <c r="G122" s="13">
        <v>38</v>
      </c>
      <c r="H122" t="s">
        <v>3357</v>
      </c>
      <c r="I122" s="8">
        <v>46093</v>
      </c>
      <c r="J122" t="s">
        <v>2685</v>
      </c>
      <c r="K122" t="s">
        <v>2686</v>
      </c>
      <c r="L122" s="13">
        <v>5000</v>
      </c>
      <c r="M122" t="s">
        <v>2676</v>
      </c>
    </row>
    <row r="123" spans="1:13">
      <c r="A123" t="s">
        <v>603</v>
      </c>
      <c r="B123" t="s">
        <v>141</v>
      </c>
      <c r="C123" s="8">
        <v>46097</v>
      </c>
      <c r="D123" t="s">
        <v>324</v>
      </c>
      <c r="E123" t="s">
        <v>334</v>
      </c>
      <c r="F123" s="12">
        <v>535984</v>
      </c>
      <c r="G123" s="13">
        <v>53</v>
      </c>
      <c r="H123" t="s">
        <v>2784</v>
      </c>
      <c r="I123" s="8">
        <v>46039</v>
      </c>
      <c r="J123" t="s">
        <v>2692</v>
      </c>
      <c r="K123" t="s">
        <v>2693</v>
      </c>
      <c r="L123" s="13">
        <v>10000</v>
      </c>
      <c r="M123" t="s">
        <v>2676</v>
      </c>
    </row>
    <row r="124" spans="1:13">
      <c r="A124" t="s">
        <v>603</v>
      </c>
      <c r="B124" t="s">
        <v>141</v>
      </c>
      <c r="C124" s="8">
        <v>46097</v>
      </c>
      <c r="D124" t="s">
        <v>324</v>
      </c>
      <c r="E124" t="s">
        <v>334</v>
      </c>
      <c r="F124" s="12">
        <v>535984</v>
      </c>
      <c r="G124" s="13">
        <v>53</v>
      </c>
      <c r="H124" t="s">
        <v>2983</v>
      </c>
      <c r="I124" s="8">
        <v>46195</v>
      </c>
      <c r="J124" t="s">
        <v>2665</v>
      </c>
      <c r="K124" t="s">
        <v>2666</v>
      </c>
      <c r="L124" s="13">
        <v>2500</v>
      </c>
      <c r="M124" t="s">
        <v>2661</v>
      </c>
    </row>
    <row r="125" spans="1:13">
      <c r="A125" t="s">
        <v>603</v>
      </c>
      <c r="B125" t="s">
        <v>141</v>
      </c>
      <c r="C125" s="8">
        <v>46097</v>
      </c>
      <c r="D125" t="s">
        <v>324</v>
      </c>
      <c r="E125" t="s">
        <v>334</v>
      </c>
      <c r="F125" s="12">
        <v>535984</v>
      </c>
      <c r="G125" s="13">
        <v>53</v>
      </c>
      <c r="H125" t="s">
        <v>3011</v>
      </c>
      <c r="I125" s="8">
        <v>46197</v>
      </c>
      <c r="J125" t="s">
        <v>2674</v>
      </c>
      <c r="K125" t="s">
        <v>2675</v>
      </c>
      <c r="L125" s="13">
        <v>20000</v>
      </c>
      <c r="M125" t="s">
        <v>2661</v>
      </c>
    </row>
    <row r="126" spans="1:13">
      <c r="A126" t="s">
        <v>603</v>
      </c>
      <c r="B126" t="s">
        <v>141</v>
      </c>
      <c r="C126" s="8">
        <v>46097</v>
      </c>
      <c r="D126" t="s">
        <v>324</v>
      </c>
      <c r="E126" t="s">
        <v>334</v>
      </c>
      <c r="F126" s="12">
        <v>535984</v>
      </c>
      <c r="G126" s="13">
        <v>53</v>
      </c>
      <c r="H126" t="s">
        <v>3035</v>
      </c>
      <c r="I126" s="8">
        <v>46115</v>
      </c>
      <c r="J126" t="s">
        <v>2663</v>
      </c>
      <c r="K126" t="s">
        <v>3630</v>
      </c>
      <c r="L126" s="13">
        <v>1500</v>
      </c>
      <c r="M126" t="s">
        <v>2661</v>
      </c>
    </row>
    <row r="127" spans="1:13">
      <c r="A127" t="s">
        <v>603</v>
      </c>
      <c r="B127" t="s">
        <v>141</v>
      </c>
      <c r="C127" s="8">
        <v>46097</v>
      </c>
      <c r="D127" t="s">
        <v>324</v>
      </c>
      <c r="E127" t="s">
        <v>334</v>
      </c>
      <c r="F127" s="12">
        <v>535984</v>
      </c>
      <c r="G127" s="13">
        <v>53</v>
      </c>
      <c r="H127" t="s">
        <v>3161</v>
      </c>
      <c r="I127" s="8">
        <v>46177</v>
      </c>
      <c r="J127" t="s">
        <v>2663</v>
      </c>
      <c r="K127" t="s">
        <v>3630</v>
      </c>
      <c r="L127" s="13">
        <v>1500</v>
      </c>
      <c r="M127" t="s">
        <v>2661</v>
      </c>
    </row>
    <row r="128" spans="1:13">
      <c r="A128" t="s">
        <v>603</v>
      </c>
      <c r="B128" t="s">
        <v>141</v>
      </c>
      <c r="C128" s="8">
        <v>46097</v>
      </c>
      <c r="D128" t="s">
        <v>324</v>
      </c>
      <c r="E128" t="s">
        <v>334</v>
      </c>
      <c r="F128" s="12">
        <v>535984</v>
      </c>
      <c r="G128" s="13">
        <v>53</v>
      </c>
      <c r="H128" t="s">
        <v>3357</v>
      </c>
      <c r="I128" s="8">
        <v>46093</v>
      </c>
      <c r="J128" t="s">
        <v>2685</v>
      </c>
      <c r="K128" t="s">
        <v>2686</v>
      </c>
      <c r="L128" s="13">
        <v>5000</v>
      </c>
      <c r="M128" t="s">
        <v>2676</v>
      </c>
    </row>
    <row r="129" spans="1:13">
      <c r="A129" t="s">
        <v>699</v>
      </c>
      <c r="B129" t="s">
        <v>141</v>
      </c>
      <c r="C129" s="8">
        <v>46267</v>
      </c>
      <c r="D129" t="s">
        <v>350</v>
      </c>
      <c r="E129" t="s">
        <v>334</v>
      </c>
      <c r="F129" s="12">
        <v>25000</v>
      </c>
      <c r="G129" s="13">
        <v>2</v>
      </c>
      <c r="H129" t="s">
        <v>2784</v>
      </c>
      <c r="I129" s="8">
        <v>46039</v>
      </c>
      <c r="J129" t="s">
        <v>2692</v>
      </c>
      <c r="K129" t="s">
        <v>2693</v>
      </c>
      <c r="L129" s="13">
        <v>10000</v>
      </c>
      <c r="M129" t="s">
        <v>2676</v>
      </c>
    </row>
    <row r="130" spans="1:13">
      <c r="A130" t="s">
        <v>699</v>
      </c>
      <c r="B130" t="s">
        <v>141</v>
      </c>
      <c r="C130" s="8">
        <v>46267</v>
      </c>
      <c r="D130" t="s">
        <v>350</v>
      </c>
      <c r="E130" t="s">
        <v>334</v>
      </c>
      <c r="F130" s="12">
        <v>25000</v>
      </c>
      <c r="G130" s="13">
        <v>2</v>
      </c>
      <c r="H130" t="s">
        <v>2983</v>
      </c>
      <c r="I130" s="8">
        <v>46195</v>
      </c>
      <c r="J130" t="s">
        <v>2665</v>
      </c>
      <c r="K130" t="s">
        <v>2666</v>
      </c>
      <c r="L130" s="13">
        <v>2500</v>
      </c>
      <c r="M130" t="s">
        <v>2661</v>
      </c>
    </row>
    <row r="131" spans="1:13">
      <c r="A131" t="s">
        <v>699</v>
      </c>
      <c r="B131" t="s">
        <v>141</v>
      </c>
      <c r="C131" s="8">
        <v>46267</v>
      </c>
      <c r="D131" t="s">
        <v>350</v>
      </c>
      <c r="E131" t="s">
        <v>334</v>
      </c>
      <c r="F131" s="12">
        <v>25000</v>
      </c>
      <c r="G131" s="13">
        <v>2</v>
      </c>
      <c r="H131" t="s">
        <v>3011</v>
      </c>
      <c r="I131" s="8">
        <v>46197</v>
      </c>
      <c r="J131" t="s">
        <v>2674</v>
      </c>
      <c r="K131" t="s">
        <v>2675</v>
      </c>
      <c r="L131" s="13">
        <v>20000</v>
      </c>
      <c r="M131" t="s">
        <v>2661</v>
      </c>
    </row>
    <row r="132" spans="1:13">
      <c r="A132" t="s">
        <v>699</v>
      </c>
      <c r="B132" t="s">
        <v>141</v>
      </c>
      <c r="C132" s="8">
        <v>46267</v>
      </c>
      <c r="D132" t="s">
        <v>350</v>
      </c>
      <c r="E132" t="s">
        <v>334</v>
      </c>
      <c r="F132" s="12">
        <v>25000</v>
      </c>
      <c r="G132" s="13">
        <v>2</v>
      </c>
      <c r="H132" t="s">
        <v>3035</v>
      </c>
      <c r="I132" s="8">
        <v>46115</v>
      </c>
      <c r="J132" t="s">
        <v>2663</v>
      </c>
      <c r="K132" t="s">
        <v>3630</v>
      </c>
      <c r="L132" s="13">
        <v>1500</v>
      </c>
      <c r="M132" t="s">
        <v>2661</v>
      </c>
    </row>
    <row r="133" spans="1:13">
      <c r="A133" t="s">
        <v>699</v>
      </c>
      <c r="B133" t="s">
        <v>141</v>
      </c>
      <c r="C133" s="8">
        <v>46267</v>
      </c>
      <c r="D133" t="s">
        <v>350</v>
      </c>
      <c r="E133" t="s">
        <v>334</v>
      </c>
      <c r="F133" s="12">
        <v>25000</v>
      </c>
      <c r="G133" s="13">
        <v>2</v>
      </c>
      <c r="H133" t="s">
        <v>3161</v>
      </c>
      <c r="I133" s="8">
        <v>46177</v>
      </c>
      <c r="J133" t="s">
        <v>2663</v>
      </c>
      <c r="K133" t="s">
        <v>3630</v>
      </c>
      <c r="L133" s="13">
        <v>1500</v>
      </c>
      <c r="M133" t="s">
        <v>2661</v>
      </c>
    </row>
    <row r="134" spans="1:13">
      <c r="A134" t="s">
        <v>699</v>
      </c>
      <c r="B134" t="s">
        <v>141</v>
      </c>
      <c r="C134" s="8">
        <v>46267</v>
      </c>
      <c r="D134" t="s">
        <v>350</v>
      </c>
      <c r="E134" t="s">
        <v>334</v>
      </c>
      <c r="F134" s="12">
        <v>25000</v>
      </c>
      <c r="G134" s="13">
        <v>2</v>
      </c>
      <c r="H134" t="s">
        <v>3357</v>
      </c>
      <c r="I134" s="8">
        <v>46093</v>
      </c>
      <c r="J134" t="s">
        <v>2685</v>
      </c>
      <c r="K134" t="s">
        <v>2686</v>
      </c>
      <c r="L134" s="13">
        <v>5000</v>
      </c>
      <c r="M134" t="s">
        <v>2676</v>
      </c>
    </row>
    <row r="135" spans="1:13">
      <c r="A135" t="s">
        <v>711</v>
      </c>
      <c r="B135" t="s">
        <v>141</v>
      </c>
      <c r="C135" s="8">
        <v>46044</v>
      </c>
      <c r="D135" t="s">
        <v>321</v>
      </c>
      <c r="E135" t="s">
        <v>337</v>
      </c>
      <c r="F135" s="12">
        <v>333492</v>
      </c>
      <c r="G135" s="13">
        <v>33</v>
      </c>
      <c r="H135" t="s">
        <v>2784</v>
      </c>
      <c r="I135" s="8">
        <v>46039</v>
      </c>
      <c r="J135" t="s">
        <v>2692</v>
      </c>
      <c r="K135" t="s">
        <v>2693</v>
      </c>
      <c r="L135" s="13">
        <v>10000</v>
      </c>
      <c r="M135" t="s">
        <v>2676</v>
      </c>
    </row>
    <row r="136" spans="1:13">
      <c r="A136" t="s">
        <v>711</v>
      </c>
      <c r="B136" t="s">
        <v>141</v>
      </c>
      <c r="C136" s="8">
        <v>46044</v>
      </c>
      <c r="D136" t="s">
        <v>321</v>
      </c>
      <c r="E136" t="s">
        <v>337</v>
      </c>
      <c r="F136" s="12">
        <v>333492</v>
      </c>
      <c r="G136" s="13">
        <v>33</v>
      </c>
      <c r="H136" t="s">
        <v>2983</v>
      </c>
      <c r="I136" s="8">
        <v>46195</v>
      </c>
      <c r="J136" t="s">
        <v>2665</v>
      </c>
      <c r="K136" t="s">
        <v>2666</v>
      </c>
      <c r="L136" s="13">
        <v>2500</v>
      </c>
      <c r="M136" t="s">
        <v>2661</v>
      </c>
    </row>
    <row r="137" spans="1:13">
      <c r="A137" t="s">
        <v>711</v>
      </c>
      <c r="B137" t="s">
        <v>141</v>
      </c>
      <c r="C137" s="8">
        <v>46044</v>
      </c>
      <c r="D137" t="s">
        <v>321</v>
      </c>
      <c r="E137" t="s">
        <v>337</v>
      </c>
      <c r="F137" s="12">
        <v>333492</v>
      </c>
      <c r="G137" s="13">
        <v>33</v>
      </c>
      <c r="H137" t="s">
        <v>3011</v>
      </c>
      <c r="I137" s="8">
        <v>46197</v>
      </c>
      <c r="J137" t="s">
        <v>2674</v>
      </c>
      <c r="K137" t="s">
        <v>2675</v>
      </c>
      <c r="L137" s="13">
        <v>20000</v>
      </c>
      <c r="M137" t="s">
        <v>2661</v>
      </c>
    </row>
    <row r="138" spans="1:13">
      <c r="A138" t="s">
        <v>711</v>
      </c>
      <c r="B138" t="s">
        <v>141</v>
      </c>
      <c r="C138" s="8">
        <v>46044</v>
      </c>
      <c r="D138" t="s">
        <v>321</v>
      </c>
      <c r="E138" t="s">
        <v>337</v>
      </c>
      <c r="F138" s="12">
        <v>333492</v>
      </c>
      <c r="G138" s="13">
        <v>33</v>
      </c>
      <c r="H138" t="s">
        <v>3035</v>
      </c>
      <c r="I138" s="8">
        <v>46115</v>
      </c>
      <c r="J138" t="s">
        <v>2663</v>
      </c>
      <c r="K138" t="s">
        <v>3630</v>
      </c>
      <c r="L138" s="13">
        <v>1500</v>
      </c>
      <c r="M138" t="s">
        <v>2661</v>
      </c>
    </row>
    <row r="139" spans="1:13">
      <c r="A139" t="s">
        <v>711</v>
      </c>
      <c r="B139" t="s">
        <v>141</v>
      </c>
      <c r="C139" s="8">
        <v>46044</v>
      </c>
      <c r="D139" t="s">
        <v>321</v>
      </c>
      <c r="E139" t="s">
        <v>337</v>
      </c>
      <c r="F139" s="12">
        <v>333492</v>
      </c>
      <c r="G139" s="13">
        <v>33</v>
      </c>
      <c r="H139" t="s">
        <v>3161</v>
      </c>
      <c r="I139" s="8">
        <v>46177</v>
      </c>
      <c r="J139" t="s">
        <v>2663</v>
      </c>
      <c r="K139" t="s">
        <v>3630</v>
      </c>
      <c r="L139" s="13">
        <v>1500</v>
      </c>
      <c r="M139" t="s">
        <v>2661</v>
      </c>
    </row>
    <row r="140" spans="1:13">
      <c r="A140" t="s">
        <v>711</v>
      </c>
      <c r="B140" t="s">
        <v>141</v>
      </c>
      <c r="C140" s="8">
        <v>46044</v>
      </c>
      <c r="D140" t="s">
        <v>321</v>
      </c>
      <c r="E140" t="s">
        <v>337</v>
      </c>
      <c r="F140" s="12">
        <v>333492</v>
      </c>
      <c r="G140" s="13">
        <v>33</v>
      </c>
      <c r="H140" t="s">
        <v>3357</v>
      </c>
      <c r="I140" s="8">
        <v>46093</v>
      </c>
      <c r="J140" t="s">
        <v>2685</v>
      </c>
      <c r="K140" t="s">
        <v>2686</v>
      </c>
      <c r="L140" s="13">
        <v>5000</v>
      </c>
      <c r="M140" t="s">
        <v>2676</v>
      </c>
    </row>
    <row r="141" spans="1:13">
      <c r="A141" t="s">
        <v>826</v>
      </c>
      <c r="B141" t="s">
        <v>141</v>
      </c>
      <c r="C141" s="8">
        <v>45980</v>
      </c>
      <c r="D141" t="s">
        <v>321</v>
      </c>
      <c r="E141" t="s">
        <v>328</v>
      </c>
      <c r="F141" s="12">
        <v>224888</v>
      </c>
      <c r="G141" s="13">
        <v>22</v>
      </c>
      <c r="H141" t="s">
        <v>2784</v>
      </c>
      <c r="I141" s="8">
        <v>46039</v>
      </c>
      <c r="J141" t="s">
        <v>2692</v>
      </c>
      <c r="K141" t="s">
        <v>2693</v>
      </c>
      <c r="L141" s="13">
        <v>10000</v>
      </c>
      <c r="M141" t="s">
        <v>2676</v>
      </c>
    </row>
    <row r="142" spans="1:13">
      <c r="A142" t="s">
        <v>826</v>
      </c>
      <c r="B142" t="s">
        <v>141</v>
      </c>
      <c r="C142" s="8">
        <v>45980</v>
      </c>
      <c r="D142" t="s">
        <v>321</v>
      </c>
      <c r="E142" t="s">
        <v>328</v>
      </c>
      <c r="F142" s="12">
        <v>224888</v>
      </c>
      <c r="G142" s="13">
        <v>22</v>
      </c>
      <c r="H142" t="s">
        <v>2983</v>
      </c>
      <c r="I142" s="8">
        <v>46195</v>
      </c>
      <c r="J142" t="s">
        <v>2665</v>
      </c>
      <c r="K142" t="s">
        <v>2666</v>
      </c>
      <c r="L142" s="13">
        <v>2500</v>
      </c>
      <c r="M142" t="s">
        <v>2661</v>
      </c>
    </row>
    <row r="143" spans="1:13">
      <c r="A143" t="s">
        <v>826</v>
      </c>
      <c r="B143" t="s">
        <v>141</v>
      </c>
      <c r="C143" s="8">
        <v>45980</v>
      </c>
      <c r="D143" t="s">
        <v>321</v>
      </c>
      <c r="E143" t="s">
        <v>328</v>
      </c>
      <c r="F143" s="12">
        <v>224888</v>
      </c>
      <c r="G143" s="13">
        <v>22</v>
      </c>
      <c r="H143" t="s">
        <v>3011</v>
      </c>
      <c r="I143" s="8">
        <v>46197</v>
      </c>
      <c r="J143" t="s">
        <v>2674</v>
      </c>
      <c r="K143" t="s">
        <v>2675</v>
      </c>
      <c r="L143" s="13">
        <v>20000</v>
      </c>
      <c r="M143" t="s">
        <v>2661</v>
      </c>
    </row>
    <row r="144" spans="1:13">
      <c r="A144" t="s">
        <v>826</v>
      </c>
      <c r="B144" t="s">
        <v>141</v>
      </c>
      <c r="C144" s="8">
        <v>45980</v>
      </c>
      <c r="D144" t="s">
        <v>321</v>
      </c>
      <c r="E144" t="s">
        <v>328</v>
      </c>
      <c r="F144" s="12">
        <v>224888</v>
      </c>
      <c r="G144" s="13">
        <v>22</v>
      </c>
      <c r="H144" t="s">
        <v>3035</v>
      </c>
      <c r="I144" s="8">
        <v>46115</v>
      </c>
      <c r="J144" t="s">
        <v>2663</v>
      </c>
      <c r="K144" t="s">
        <v>3630</v>
      </c>
      <c r="L144" s="13">
        <v>1500</v>
      </c>
      <c r="M144" t="s">
        <v>2661</v>
      </c>
    </row>
    <row r="145" spans="1:13">
      <c r="A145" t="s">
        <v>826</v>
      </c>
      <c r="B145" t="s">
        <v>141</v>
      </c>
      <c r="C145" s="8">
        <v>45980</v>
      </c>
      <c r="D145" t="s">
        <v>321</v>
      </c>
      <c r="E145" t="s">
        <v>328</v>
      </c>
      <c r="F145" s="12">
        <v>224888</v>
      </c>
      <c r="G145" s="13">
        <v>22</v>
      </c>
      <c r="H145" t="s">
        <v>3161</v>
      </c>
      <c r="I145" s="8">
        <v>46177</v>
      </c>
      <c r="J145" t="s">
        <v>2663</v>
      </c>
      <c r="K145" t="s">
        <v>3630</v>
      </c>
      <c r="L145" s="13">
        <v>1500</v>
      </c>
      <c r="M145" t="s">
        <v>2661</v>
      </c>
    </row>
    <row r="146" spans="1:13">
      <c r="A146" t="s">
        <v>826</v>
      </c>
      <c r="B146" t="s">
        <v>141</v>
      </c>
      <c r="C146" s="8">
        <v>45980</v>
      </c>
      <c r="D146" t="s">
        <v>321</v>
      </c>
      <c r="E146" t="s">
        <v>328</v>
      </c>
      <c r="F146" s="12">
        <v>224888</v>
      </c>
      <c r="G146" s="13">
        <v>22</v>
      </c>
      <c r="H146" t="s">
        <v>3357</v>
      </c>
      <c r="I146" s="8">
        <v>46093</v>
      </c>
      <c r="J146" t="s">
        <v>2685</v>
      </c>
      <c r="K146" t="s">
        <v>2686</v>
      </c>
      <c r="L146" s="13">
        <v>5000</v>
      </c>
      <c r="M146" t="s">
        <v>2676</v>
      </c>
    </row>
    <row r="147" spans="1:13">
      <c r="A147" t="s">
        <v>944</v>
      </c>
      <c r="B147" t="s">
        <v>141</v>
      </c>
      <c r="C147" s="8">
        <v>46007</v>
      </c>
      <c r="D147" t="s">
        <v>330</v>
      </c>
      <c r="E147" t="s">
        <v>322</v>
      </c>
      <c r="F147" s="12">
        <v>281272</v>
      </c>
      <c r="G147" s="13">
        <v>28</v>
      </c>
      <c r="H147" t="s">
        <v>2784</v>
      </c>
      <c r="I147" s="8">
        <v>46039</v>
      </c>
      <c r="J147" t="s">
        <v>2692</v>
      </c>
      <c r="K147" t="s">
        <v>2693</v>
      </c>
      <c r="L147" s="13">
        <v>10000</v>
      </c>
      <c r="M147" t="s">
        <v>2676</v>
      </c>
    </row>
    <row r="148" spans="1:13">
      <c r="A148" t="s">
        <v>944</v>
      </c>
      <c r="B148" t="s">
        <v>141</v>
      </c>
      <c r="C148" s="8">
        <v>46007</v>
      </c>
      <c r="D148" t="s">
        <v>330</v>
      </c>
      <c r="E148" t="s">
        <v>322</v>
      </c>
      <c r="F148" s="12">
        <v>281272</v>
      </c>
      <c r="G148" s="13">
        <v>28</v>
      </c>
      <c r="H148" t="s">
        <v>2983</v>
      </c>
      <c r="I148" s="8">
        <v>46195</v>
      </c>
      <c r="J148" t="s">
        <v>2665</v>
      </c>
      <c r="K148" t="s">
        <v>2666</v>
      </c>
      <c r="L148" s="13">
        <v>2500</v>
      </c>
      <c r="M148" t="s">
        <v>2661</v>
      </c>
    </row>
    <row r="149" spans="1:13">
      <c r="A149" t="s">
        <v>944</v>
      </c>
      <c r="B149" t="s">
        <v>141</v>
      </c>
      <c r="C149" s="8">
        <v>46007</v>
      </c>
      <c r="D149" t="s">
        <v>330</v>
      </c>
      <c r="E149" t="s">
        <v>322</v>
      </c>
      <c r="F149" s="12">
        <v>281272</v>
      </c>
      <c r="G149" s="13">
        <v>28</v>
      </c>
      <c r="H149" t="s">
        <v>3011</v>
      </c>
      <c r="I149" s="8">
        <v>46197</v>
      </c>
      <c r="J149" t="s">
        <v>2674</v>
      </c>
      <c r="K149" t="s">
        <v>2675</v>
      </c>
      <c r="L149" s="13">
        <v>20000</v>
      </c>
      <c r="M149" t="s">
        <v>2661</v>
      </c>
    </row>
    <row r="150" spans="1:13">
      <c r="A150" t="s">
        <v>944</v>
      </c>
      <c r="B150" t="s">
        <v>141</v>
      </c>
      <c r="C150" s="8">
        <v>46007</v>
      </c>
      <c r="D150" t="s">
        <v>330</v>
      </c>
      <c r="E150" t="s">
        <v>322</v>
      </c>
      <c r="F150" s="12">
        <v>281272</v>
      </c>
      <c r="G150" s="13">
        <v>28</v>
      </c>
      <c r="H150" t="s">
        <v>3035</v>
      </c>
      <c r="I150" s="8">
        <v>46115</v>
      </c>
      <c r="J150" t="s">
        <v>2663</v>
      </c>
      <c r="K150" t="s">
        <v>3630</v>
      </c>
      <c r="L150" s="13">
        <v>1500</v>
      </c>
      <c r="M150" t="s">
        <v>2661</v>
      </c>
    </row>
    <row r="151" spans="1:13">
      <c r="A151" t="s">
        <v>944</v>
      </c>
      <c r="B151" t="s">
        <v>141</v>
      </c>
      <c r="C151" s="8">
        <v>46007</v>
      </c>
      <c r="D151" t="s">
        <v>330</v>
      </c>
      <c r="E151" t="s">
        <v>322</v>
      </c>
      <c r="F151" s="12">
        <v>281272</v>
      </c>
      <c r="G151" s="13">
        <v>28</v>
      </c>
      <c r="H151" t="s">
        <v>3161</v>
      </c>
      <c r="I151" s="8">
        <v>46177</v>
      </c>
      <c r="J151" t="s">
        <v>2663</v>
      </c>
      <c r="K151" t="s">
        <v>3630</v>
      </c>
      <c r="L151" s="13">
        <v>1500</v>
      </c>
      <c r="M151" t="s">
        <v>2661</v>
      </c>
    </row>
    <row r="152" spans="1:13">
      <c r="A152" t="s">
        <v>944</v>
      </c>
      <c r="B152" t="s">
        <v>141</v>
      </c>
      <c r="C152" s="8">
        <v>46007</v>
      </c>
      <c r="D152" t="s">
        <v>330</v>
      </c>
      <c r="E152" t="s">
        <v>322</v>
      </c>
      <c r="F152" s="12">
        <v>281272</v>
      </c>
      <c r="G152" s="13">
        <v>28</v>
      </c>
      <c r="H152" t="s">
        <v>3357</v>
      </c>
      <c r="I152" s="8">
        <v>46093</v>
      </c>
      <c r="J152" t="s">
        <v>2685</v>
      </c>
      <c r="K152" t="s">
        <v>2686</v>
      </c>
      <c r="L152" s="13">
        <v>5000</v>
      </c>
      <c r="M152" t="s">
        <v>2676</v>
      </c>
    </row>
    <row r="153" spans="1:13">
      <c r="A153" t="s">
        <v>1113</v>
      </c>
      <c r="B153" t="s">
        <v>141</v>
      </c>
      <c r="C153" s="8">
        <v>46063</v>
      </c>
      <c r="D153" t="s">
        <v>332</v>
      </c>
      <c r="E153" t="s">
        <v>325</v>
      </c>
      <c r="F153" s="12">
        <v>122544</v>
      </c>
      <c r="G153" s="13">
        <v>12</v>
      </c>
      <c r="H153" t="s">
        <v>2784</v>
      </c>
      <c r="I153" s="8">
        <v>46039</v>
      </c>
      <c r="J153" t="s">
        <v>2692</v>
      </c>
      <c r="K153" t="s">
        <v>2693</v>
      </c>
      <c r="L153" s="13">
        <v>10000</v>
      </c>
      <c r="M153" t="s">
        <v>2676</v>
      </c>
    </row>
    <row r="154" spans="1:13">
      <c r="A154" t="s">
        <v>1113</v>
      </c>
      <c r="B154" t="s">
        <v>141</v>
      </c>
      <c r="C154" s="8">
        <v>46063</v>
      </c>
      <c r="D154" t="s">
        <v>332</v>
      </c>
      <c r="E154" t="s">
        <v>325</v>
      </c>
      <c r="F154" s="12">
        <v>122544</v>
      </c>
      <c r="G154" s="13">
        <v>12</v>
      </c>
      <c r="H154" t="s">
        <v>2983</v>
      </c>
      <c r="I154" s="8">
        <v>46195</v>
      </c>
      <c r="J154" t="s">
        <v>2665</v>
      </c>
      <c r="K154" t="s">
        <v>2666</v>
      </c>
      <c r="L154" s="13">
        <v>2500</v>
      </c>
      <c r="M154" t="s">
        <v>2661</v>
      </c>
    </row>
    <row r="155" spans="1:13">
      <c r="A155" t="s">
        <v>1113</v>
      </c>
      <c r="B155" t="s">
        <v>141</v>
      </c>
      <c r="C155" s="8">
        <v>46063</v>
      </c>
      <c r="D155" t="s">
        <v>332</v>
      </c>
      <c r="E155" t="s">
        <v>325</v>
      </c>
      <c r="F155" s="12">
        <v>122544</v>
      </c>
      <c r="G155" s="13">
        <v>12</v>
      </c>
      <c r="H155" t="s">
        <v>3011</v>
      </c>
      <c r="I155" s="8">
        <v>46197</v>
      </c>
      <c r="J155" t="s">
        <v>2674</v>
      </c>
      <c r="K155" t="s">
        <v>2675</v>
      </c>
      <c r="L155" s="13">
        <v>20000</v>
      </c>
      <c r="M155" t="s">
        <v>2661</v>
      </c>
    </row>
    <row r="156" spans="1:13">
      <c r="A156" t="s">
        <v>1113</v>
      </c>
      <c r="B156" t="s">
        <v>141</v>
      </c>
      <c r="C156" s="8">
        <v>46063</v>
      </c>
      <c r="D156" t="s">
        <v>332</v>
      </c>
      <c r="E156" t="s">
        <v>325</v>
      </c>
      <c r="F156" s="12">
        <v>122544</v>
      </c>
      <c r="G156" s="13">
        <v>12</v>
      </c>
      <c r="H156" t="s">
        <v>3035</v>
      </c>
      <c r="I156" s="8">
        <v>46115</v>
      </c>
      <c r="J156" t="s">
        <v>2663</v>
      </c>
      <c r="K156" t="s">
        <v>3630</v>
      </c>
      <c r="L156" s="13">
        <v>1500</v>
      </c>
      <c r="M156" t="s">
        <v>2661</v>
      </c>
    </row>
    <row r="157" spans="1:13">
      <c r="A157" t="s">
        <v>1113</v>
      </c>
      <c r="B157" t="s">
        <v>141</v>
      </c>
      <c r="C157" s="8">
        <v>46063</v>
      </c>
      <c r="D157" t="s">
        <v>332</v>
      </c>
      <c r="E157" t="s">
        <v>325</v>
      </c>
      <c r="F157" s="12">
        <v>122544</v>
      </c>
      <c r="G157" s="13">
        <v>12</v>
      </c>
      <c r="H157" t="s">
        <v>3161</v>
      </c>
      <c r="I157" s="8">
        <v>46177</v>
      </c>
      <c r="J157" t="s">
        <v>2663</v>
      </c>
      <c r="K157" t="s">
        <v>3630</v>
      </c>
      <c r="L157" s="13">
        <v>1500</v>
      </c>
      <c r="M157" t="s">
        <v>2661</v>
      </c>
    </row>
    <row r="158" spans="1:13">
      <c r="A158" t="s">
        <v>1113</v>
      </c>
      <c r="B158" t="s">
        <v>141</v>
      </c>
      <c r="C158" s="8">
        <v>46063</v>
      </c>
      <c r="D158" t="s">
        <v>332</v>
      </c>
      <c r="E158" t="s">
        <v>325</v>
      </c>
      <c r="F158" s="12">
        <v>122544</v>
      </c>
      <c r="G158" s="13">
        <v>12</v>
      </c>
      <c r="H158" t="s">
        <v>3357</v>
      </c>
      <c r="I158" s="8">
        <v>46093</v>
      </c>
      <c r="J158" t="s">
        <v>2685</v>
      </c>
      <c r="K158" t="s">
        <v>2686</v>
      </c>
      <c r="L158" s="13">
        <v>5000</v>
      </c>
      <c r="M158" t="s">
        <v>2676</v>
      </c>
    </row>
    <row r="159" spans="1:13">
      <c r="A159" t="s">
        <v>748</v>
      </c>
      <c r="B159" t="s">
        <v>179</v>
      </c>
      <c r="C159" s="8">
        <v>46187</v>
      </c>
      <c r="D159" t="s">
        <v>342</v>
      </c>
      <c r="E159" t="s">
        <v>325</v>
      </c>
      <c r="F159" s="12">
        <v>1366322</v>
      </c>
      <c r="G159" s="13">
        <v>136</v>
      </c>
      <c r="H159" t="s">
        <v>2677</v>
      </c>
      <c r="I159" s="8">
        <v>45973</v>
      </c>
      <c r="J159" t="s">
        <v>2663</v>
      </c>
      <c r="K159" t="s">
        <v>3630</v>
      </c>
      <c r="L159" s="13">
        <v>1500</v>
      </c>
      <c r="M159" t="s">
        <v>2661</v>
      </c>
    </row>
    <row r="160" spans="1:13">
      <c r="A160" t="s">
        <v>748</v>
      </c>
      <c r="B160" t="s">
        <v>179</v>
      </c>
      <c r="C160" s="8">
        <v>46187</v>
      </c>
      <c r="D160" t="s">
        <v>342</v>
      </c>
      <c r="E160" t="s">
        <v>325</v>
      </c>
      <c r="F160" s="12">
        <v>1366322</v>
      </c>
      <c r="G160" s="13">
        <v>136</v>
      </c>
      <c r="H160" t="s">
        <v>2695</v>
      </c>
      <c r="I160" s="8">
        <v>46143</v>
      </c>
      <c r="J160" t="s">
        <v>2671</v>
      </c>
      <c r="K160" t="s">
        <v>2672</v>
      </c>
      <c r="L160" s="13">
        <v>3000</v>
      </c>
      <c r="M160" t="s">
        <v>2661</v>
      </c>
    </row>
    <row r="161" spans="1:13">
      <c r="A161" t="s">
        <v>777</v>
      </c>
      <c r="B161" t="s">
        <v>179</v>
      </c>
      <c r="C161" s="8">
        <v>46036</v>
      </c>
      <c r="D161" t="s">
        <v>327</v>
      </c>
      <c r="E161" t="s">
        <v>325</v>
      </c>
      <c r="F161" s="12">
        <v>194067</v>
      </c>
      <c r="G161" s="13">
        <v>19</v>
      </c>
      <c r="H161" t="s">
        <v>2677</v>
      </c>
      <c r="I161" s="8">
        <v>45973</v>
      </c>
      <c r="J161" t="s">
        <v>2663</v>
      </c>
      <c r="K161" t="s">
        <v>3630</v>
      </c>
      <c r="L161" s="13">
        <v>1500</v>
      </c>
      <c r="M161" t="s">
        <v>2661</v>
      </c>
    </row>
    <row r="162" spans="1:13">
      <c r="A162" t="s">
        <v>777</v>
      </c>
      <c r="B162" t="s">
        <v>179</v>
      </c>
      <c r="C162" s="8">
        <v>46036</v>
      </c>
      <c r="D162" t="s">
        <v>327</v>
      </c>
      <c r="E162" t="s">
        <v>325</v>
      </c>
      <c r="F162" s="12">
        <v>194067</v>
      </c>
      <c r="G162" s="13">
        <v>19</v>
      </c>
      <c r="H162" t="s">
        <v>2695</v>
      </c>
      <c r="I162" s="8">
        <v>46143</v>
      </c>
      <c r="J162" t="s">
        <v>2671</v>
      </c>
      <c r="K162" t="s">
        <v>2672</v>
      </c>
      <c r="L162" s="13">
        <v>3000</v>
      </c>
      <c r="M162" t="s">
        <v>2661</v>
      </c>
    </row>
    <row r="163" spans="1:13">
      <c r="A163" t="s">
        <v>797</v>
      </c>
      <c r="B163" t="s">
        <v>179</v>
      </c>
      <c r="C163" s="8">
        <v>45951</v>
      </c>
      <c r="D163" t="s">
        <v>327</v>
      </c>
      <c r="E163" t="s">
        <v>322</v>
      </c>
      <c r="F163" s="12">
        <v>386891</v>
      </c>
      <c r="G163" s="13">
        <v>38</v>
      </c>
      <c r="H163" t="s">
        <v>2677</v>
      </c>
      <c r="I163" s="8">
        <v>45973</v>
      </c>
      <c r="J163" t="s">
        <v>2663</v>
      </c>
      <c r="K163" t="s">
        <v>3630</v>
      </c>
      <c r="L163" s="13">
        <v>1500</v>
      </c>
      <c r="M163" t="s">
        <v>2661</v>
      </c>
    </row>
    <row r="164" spans="1:13">
      <c r="A164" t="s">
        <v>797</v>
      </c>
      <c r="B164" t="s">
        <v>179</v>
      </c>
      <c r="C164" s="8">
        <v>45951</v>
      </c>
      <c r="D164" t="s">
        <v>327</v>
      </c>
      <c r="E164" t="s">
        <v>322</v>
      </c>
      <c r="F164" s="12">
        <v>386891</v>
      </c>
      <c r="G164" s="13">
        <v>38</v>
      </c>
      <c r="H164" t="s">
        <v>2695</v>
      </c>
      <c r="I164" s="8">
        <v>46143</v>
      </c>
      <c r="J164" t="s">
        <v>2671</v>
      </c>
      <c r="K164" t="s">
        <v>2672</v>
      </c>
      <c r="L164" s="13">
        <v>3000</v>
      </c>
      <c r="M164" t="s">
        <v>2661</v>
      </c>
    </row>
    <row r="165" spans="1:13">
      <c r="A165" t="s">
        <v>840</v>
      </c>
      <c r="B165" t="s">
        <v>179</v>
      </c>
      <c r="C165" s="8">
        <v>45963</v>
      </c>
      <c r="D165" t="s">
        <v>324</v>
      </c>
      <c r="E165" t="s">
        <v>334</v>
      </c>
      <c r="F165" s="12">
        <v>118714</v>
      </c>
      <c r="G165" s="13">
        <v>11</v>
      </c>
      <c r="H165" t="s">
        <v>2677</v>
      </c>
      <c r="I165" s="8">
        <v>45973</v>
      </c>
      <c r="J165" t="s">
        <v>2663</v>
      </c>
      <c r="K165" t="s">
        <v>3630</v>
      </c>
      <c r="L165" s="13">
        <v>1500</v>
      </c>
      <c r="M165" t="s">
        <v>2661</v>
      </c>
    </row>
    <row r="166" spans="1:13">
      <c r="A166" t="s">
        <v>840</v>
      </c>
      <c r="B166" t="s">
        <v>179</v>
      </c>
      <c r="C166" s="8">
        <v>45963</v>
      </c>
      <c r="D166" t="s">
        <v>324</v>
      </c>
      <c r="E166" t="s">
        <v>334</v>
      </c>
      <c r="F166" s="12">
        <v>118714</v>
      </c>
      <c r="G166" s="13">
        <v>11</v>
      </c>
      <c r="H166" t="s">
        <v>2695</v>
      </c>
      <c r="I166" s="8">
        <v>46143</v>
      </c>
      <c r="J166" t="s">
        <v>2671</v>
      </c>
      <c r="K166" t="s">
        <v>2672</v>
      </c>
      <c r="L166" s="13">
        <v>3000</v>
      </c>
      <c r="M166" t="s">
        <v>2661</v>
      </c>
    </row>
    <row r="167" spans="1:13">
      <c r="A167" t="s">
        <v>942</v>
      </c>
      <c r="B167" t="s">
        <v>179</v>
      </c>
      <c r="C167" s="8">
        <v>46050</v>
      </c>
      <c r="D167" t="s">
        <v>344</v>
      </c>
      <c r="E167" t="s">
        <v>337</v>
      </c>
      <c r="F167" s="12">
        <v>328128</v>
      </c>
      <c r="G167" s="13">
        <v>32</v>
      </c>
      <c r="H167" t="s">
        <v>2677</v>
      </c>
      <c r="I167" s="8">
        <v>45973</v>
      </c>
      <c r="J167" t="s">
        <v>2663</v>
      </c>
      <c r="K167" t="s">
        <v>3630</v>
      </c>
      <c r="L167" s="13">
        <v>1500</v>
      </c>
      <c r="M167" t="s">
        <v>2661</v>
      </c>
    </row>
    <row r="168" spans="1:13">
      <c r="A168" t="s">
        <v>942</v>
      </c>
      <c r="B168" t="s">
        <v>179</v>
      </c>
      <c r="C168" s="8">
        <v>46050</v>
      </c>
      <c r="D168" t="s">
        <v>344</v>
      </c>
      <c r="E168" t="s">
        <v>337</v>
      </c>
      <c r="F168" s="12">
        <v>328128</v>
      </c>
      <c r="G168" s="13">
        <v>32</v>
      </c>
      <c r="H168" t="s">
        <v>2695</v>
      </c>
      <c r="I168" s="8">
        <v>46143</v>
      </c>
      <c r="J168" t="s">
        <v>2671</v>
      </c>
      <c r="K168" t="s">
        <v>2672</v>
      </c>
      <c r="L168" s="13">
        <v>3000</v>
      </c>
      <c r="M168" t="s">
        <v>2661</v>
      </c>
    </row>
    <row r="169" spans="1:13">
      <c r="A169" t="s">
        <v>336</v>
      </c>
      <c r="B169" t="s">
        <v>132</v>
      </c>
      <c r="C169" s="8">
        <v>45975</v>
      </c>
      <c r="D169" t="s">
        <v>324</v>
      </c>
      <c r="E169" t="s">
        <v>337</v>
      </c>
      <c r="F169" s="12">
        <v>233276</v>
      </c>
      <c r="G169" s="13">
        <v>23</v>
      </c>
      <c r="H169" t="s">
        <v>2721</v>
      </c>
      <c r="I169" s="8">
        <v>46277</v>
      </c>
      <c r="J169" t="s">
        <v>2685</v>
      </c>
      <c r="K169" t="s">
        <v>2686</v>
      </c>
      <c r="L169" s="13">
        <v>5000</v>
      </c>
      <c r="M169" t="s">
        <v>2661</v>
      </c>
    </row>
    <row r="170" spans="1:13">
      <c r="A170" t="s">
        <v>595</v>
      </c>
      <c r="B170" t="s">
        <v>132</v>
      </c>
      <c r="C170" s="8">
        <v>46251</v>
      </c>
      <c r="D170" t="s">
        <v>321</v>
      </c>
      <c r="E170" t="s">
        <v>328</v>
      </c>
      <c r="F170" s="12">
        <v>184975</v>
      </c>
      <c r="G170" s="13">
        <v>18</v>
      </c>
      <c r="H170" t="s">
        <v>2721</v>
      </c>
      <c r="I170" s="8">
        <v>46277</v>
      </c>
      <c r="J170" t="s">
        <v>2685</v>
      </c>
      <c r="K170" t="s">
        <v>2686</v>
      </c>
      <c r="L170" s="13">
        <v>5000</v>
      </c>
      <c r="M170" t="s">
        <v>2661</v>
      </c>
    </row>
    <row r="171" spans="1:13">
      <c r="A171" t="s">
        <v>1053</v>
      </c>
      <c r="B171" t="s">
        <v>132</v>
      </c>
      <c r="C171" s="8">
        <v>45980</v>
      </c>
      <c r="D171" t="s">
        <v>344</v>
      </c>
      <c r="E171" t="s">
        <v>328</v>
      </c>
      <c r="F171" s="12">
        <v>203158</v>
      </c>
      <c r="G171" s="13">
        <v>20</v>
      </c>
      <c r="H171" t="s">
        <v>2721</v>
      </c>
      <c r="I171" s="8">
        <v>46277</v>
      </c>
      <c r="J171" t="s">
        <v>2685</v>
      </c>
      <c r="K171" t="s">
        <v>2686</v>
      </c>
      <c r="L171" s="13">
        <v>5000</v>
      </c>
      <c r="M171" t="s">
        <v>2661</v>
      </c>
    </row>
    <row r="172" spans="1:13">
      <c r="A172" t="s">
        <v>1234</v>
      </c>
      <c r="B172" t="s">
        <v>132</v>
      </c>
      <c r="C172" s="8">
        <v>46115</v>
      </c>
      <c r="D172" t="s">
        <v>344</v>
      </c>
      <c r="E172" t="s">
        <v>325</v>
      </c>
      <c r="F172" s="12">
        <v>251245</v>
      </c>
      <c r="G172" s="13">
        <v>25</v>
      </c>
      <c r="H172" t="s">
        <v>2721</v>
      </c>
      <c r="I172" s="8">
        <v>46277</v>
      </c>
      <c r="J172" t="s">
        <v>2685</v>
      </c>
      <c r="K172" t="s">
        <v>2686</v>
      </c>
      <c r="L172" s="13">
        <v>5000</v>
      </c>
      <c r="M172" t="s">
        <v>2661</v>
      </c>
    </row>
    <row r="173" spans="1:13">
      <c r="A173" t="s">
        <v>338</v>
      </c>
      <c r="B173" t="s">
        <v>40</v>
      </c>
      <c r="C173" s="8">
        <v>46240</v>
      </c>
      <c r="D173" t="s">
        <v>321</v>
      </c>
      <c r="E173" t="s">
        <v>339</v>
      </c>
      <c r="F173" s="12">
        <v>25000</v>
      </c>
      <c r="G173" s="13">
        <v>2</v>
      </c>
      <c r="H173" t="s">
        <v>2852</v>
      </c>
      <c r="I173" s="8">
        <v>45939</v>
      </c>
      <c r="J173" t="s">
        <v>2663</v>
      </c>
      <c r="K173" t="s">
        <v>3630</v>
      </c>
      <c r="L173" s="13">
        <v>1500</v>
      </c>
      <c r="M173" t="s">
        <v>2661</v>
      </c>
    </row>
    <row r="174" spans="1:13">
      <c r="A174" t="s">
        <v>338</v>
      </c>
      <c r="B174" t="s">
        <v>40</v>
      </c>
      <c r="C174" s="8">
        <v>46240</v>
      </c>
      <c r="D174" t="s">
        <v>321</v>
      </c>
      <c r="E174" t="s">
        <v>339</v>
      </c>
      <c r="F174" s="12">
        <v>25000</v>
      </c>
      <c r="G174" s="13">
        <v>2</v>
      </c>
      <c r="H174" t="s">
        <v>3324</v>
      </c>
      <c r="I174" s="8">
        <v>46040</v>
      </c>
      <c r="J174" t="s">
        <v>2674</v>
      </c>
      <c r="K174" t="s">
        <v>2675</v>
      </c>
      <c r="L174" s="13">
        <v>20000</v>
      </c>
      <c r="M174" t="s">
        <v>2661</v>
      </c>
    </row>
    <row r="175" spans="1:13">
      <c r="A175" t="s">
        <v>338</v>
      </c>
      <c r="B175" t="s">
        <v>40</v>
      </c>
      <c r="C175" s="8">
        <v>46240</v>
      </c>
      <c r="D175" t="s">
        <v>321</v>
      </c>
      <c r="E175" t="s">
        <v>339</v>
      </c>
      <c r="F175" s="12">
        <v>25000</v>
      </c>
      <c r="G175" s="13">
        <v>2</v>
      </c>
      <c r="H175" t="s">
        <v>3474</v>
      </c>
      <c r="I175" s="8">
        <v>45997</v>
      </c>
      <c r="J175" t="s">
        <v>2665</v>
      </c>
      <c r="K175" t="s">
        <v>2666</v>
      </c>
      <c r="L175" s="13">
        <v>2500</v>
      </c>
      <c r="M175" t="s">
        <v>2676</v>
      </c>
    </row>
    <row r="176" spans="1:13">
      <c r="A176" t="s">
        <v>368</v>
      </c>
      <c r="B176" t="s">
        <v>40</v>
      </c>
      <c r="C176" s="8">
        <v>46008</v>
      </c>
      <c r="D176" t="s">
        <v>344</v>
      </c>
      <c r="E176" t="s">
        <v>325</v>
      </c>
      <c r="F176" s="12">
        <v>59073</v>
      </c>
      <c r="G176" s="13">
        <v>5</v>
      </c>
      <c r="H176" t="s">
        <v>2852</v>
      </c>
      <c r="I176" s="8">
        <v>45939</v>
      </c>
      <c r="J176" t="s">
        <v>2663</v>
      </c>
      <c r="K176" t="s">
        <v>3630</v>
      </c>
      <c r="L176" s="13">
        <v>1500</v>
      </c>
      <c r="M176" t="s">
        <v>2661</v>
      </c>
    </row>
    <row r="177" spans="1:13">
      <c r="A177" t="s">
        <v>368</v>
      </c>
      <c r="B177" t="s">
        <v>40</v>
      </c>
      <c r="C177" s="8">
        <v>46008</v>
      </c>
      <c r="D177" t="s">
        <v>344</v>
      </c>
      <c r="E177" t="s">
        <v>325</v>
      </c>
      <c r="F177" s="12">
        <v>59073</v>
      </c>
      <c r="G177" s="13">
        <v>5</v>
      </c>
      <c r="H177" t="s">
        <v>3324</v>
      </c>
      <c r="I177" s="8">
        <v>46040</v>
      </c>
      <c r="J177" t="s">
        <v>2674</v>
      </c>
      <c r="K177" t="s">
        <v>2675</v>
      </c>
      <c r="L177" s="13">
        <v>20000</v>
      </c>
      <c r="M177" t="s">
        <v>2661</v>
      </c>
    </row>
    <row r="178" spans="1:13">
      <c r="A178" t="s">
        <v>368</v>
      </c>
      <c r="B178" t="s">
        <v>40</v>
      </c>
      <c r="C178" s="8">
        <v>46008</v>
      </c>
      <c r="D178" t="s">
        <v>344</v>
      </c>
      <c r="E178" t="s">
        <v>325</v>
      </c>
      <c r="F178" s="12">
        <v>59073</v>
      </c>
      <c r="G178" s="13">
        <v>5</v>
      </c>
      <c r="H178" t="s">
        <v>3474</v>
      </c>
      <c r="I178" s="8">
        <v>45997</v>
      </c>
      <c r="J178" t="s">
        <v>2665</v>
      </c>
      <c r="K178" t="s">
        <v>2666</v>
      </c>
      <c r="L178" s="13">
        <v>2500</v>
      </c>
      <c r="M178" t="s">
        <v>2676</v>
      </c>
    </row>
    <row r="179" spans="1:13">
      <c r="A179" t="s">
        <v>444</v>
      </c>
      <c r="B179" t="s">
        <v>40</v>
      </c>
      <c r="C179" s="8">
        <v>46228</v>
      </c>
      <c r="D179" t="s">
        <v>344</v>
      </c>
      <c r="E179" t="s">
        <v>325</v>
      </c>
      <c r="F179" s="12">
        <v>735437</v>
      </c>
      <c r="G179" s="13">
        <v>73</v>
      </c>
      <c r="H179" t="s">
        <v>2852</v>
      </c>
      <c r="I179" s="8">
        <v>45939</v>
      </c>
      <c r="J179" t="s">
        <v>2663</v>
      </c>
      <c r="K179" t="s">
        <v>3630</v>
      </c>
      <c r="L179" s="13">
        <v>1500</v>
      </c>
      <c r="M179" t="s">
        <v>2661</v>
      </c>
    </row>
    <row r="180" spans="1:13">
      <c r="A180" t="s">
        <v>444</v>
      </c>
      <c r="B180" t="s">
        <v>40</v>
      </c>
      <c r="C180" s="8">
        <v>46228</v>
      </c>
      <c r="D180" t="s">
        <v>344</v>
      </c>
      <c r="E180" t="s">
        <v>325</v>
      </c>
      <c r="F180" s="12">
        <v>735437</v>
      </c>
      <c r="G180" s="13">
        <v>73</v>
      </c>
      <c r="H180" t="s">
        <v>3324</v>
      </c>
      <c r="I180" s="8">
        <v>46040</v>
      </c>
      <c r="J180" t="s">
        <v>2674</v>
      </c>
      <c r="K180" t="s">
        <v>2675</v>
      </c>
      <c r="L180" s="13">
        <v>20000</v>
      </c>
      <c r="M180" t="s">
        <v>2661</v>
      </c>
    </row>
    <row r="181" spans="1:13">
      <c r="A181" t="s">
        <v>444</v>
      </c>
      <c r="B181" t="s">
        <v>40</v>
      </c>
      <c r="C181" s="8">
        <v>46228</v>
      </c>
      <c r="D181" t="s">
        <v>344</v>
      </c>
      <c r="E181" t="s">
        <v>325</v>
      </c>
      <c r="F181" s="12">
        <v>735437</v>
      </c>
      <c r="G181" s="13">
        <v>73</v>
      </c>
      <c r="H181" t="s">
        <v>3474</v>
      </c>
      <c r="I181" s="8">
        <v>45997</v>
      </c>
      <c r="J181" t="s">
        <v>2665</v>
      </c>
      <c r="K181" t="s">
        <v>2666</v>
      </c>
      <c r="L181" s="13">
        <v>2500</v>
      </c>
      <c r="M181" t="s">
        <v>2676</v>
      </c>
    </row>
    <row r="182" spans="1:13">
      <c r="A182" t="s">
        <v>636</v>
      </c>
      <c r="B182" t="s">
        <v>40</v>
      </c>
      <c r="C182" s="8">
        <v>46261</v>
      </c>
      <c r="D182" t="s">
        <v>342</v>
      </c>
      <c r="E182" t="s">
        <v>339</v>
      </c>
      <c r="F182" s="12">
        <v>101188</v>
      </c>
      <c r="G182" s="13">
        <v>10</v>
      </c>
      <c r="H182" t="s">
        <v>2852</v>
      </c>
      <c r="I182" s="8">
        <v>45939</v>
      </c>
      <c r="J182" t="s">
        <v>2663</v>
      </c>
      <c r="K182" t="s">
        <v>3630</v>
      </c>
      <c r="L182" s="13">
        <v>1500</v>
      </c>
      <c r="M182" t="s">
        <v>2661</v>
      </c>
    </row>
    <row r="183" spans="1:13">
      <c r="A183" t="s">
        <v>636</v>
      </c>
      <c r="B183" t="s">
        <v>40</v>
      </c>
      <c r="C183" s="8">
        <v>46261</v>
      </c>
      <c r="D183" t="s">
        <v>342</v>
      </c>
      <c r="E183" t="s">
        <v>339</v>
      </c>
      <c r="F183" s="12">
        <v>101188</v>
      </c>
      <c r="G183" s="13">
        <v>10</v>
      </c>
      <c r="H183" t="s">
        <v>3324</v>
      </c>
      <c r="I183" s="8">
        <v>46040</v>
      </c>
      <c r="J183" t="s">
        <v>2674</v>
      </c>
      <c r="K183" t="s">
        <v>2675</v>
      </c>
      <c r="L183" s="13">
        <v>20000</v>
      </c>
      <c r="M183" t="s">
        <v>2661</v>
      </c>
    </row>
    <row r="184" spans="1:13">
      <c r="A184" t="s">
        <v>636</v>
      </c>
      <c r="B184" t="s">
        <v>40</v>
      </c>
      <c r="C184" s="8">
        <v>46261</v>
      </c>
      <c r="D184" t="s">
        <v>342</v>
      </c>
      <c r="E184" t="s">
        <v>339</v>
      </c>
      <c r="F184" s="12">
        <v>101188</v>
      </c>
      <c r="G184" s="13">
        <v>10</v>
      </c>
      <c r="H184" t="s">
        <v>3474</v>
      </c>
      <c r="I184" s="8">
        <v>45997</v>
      </c>
      <c r="J184" t="s">
        <v>2665</v>
      </c>
      <c r="K184" t="s">
        <v>2666</v>
      </c>
      <c r="L184" s="13">
        <v>2500</v>
      </c>
      <c r="M184" t="s">
        <v>2676</v>
      </c>
    </row>
    <row r="185" spans="1:13">
      <c r="A185" t="s">
        <v>789</v>
      </c>
      <c r="B185" t="s">
        <v>40</v>
      </c>
      <c r="C185" s="8">
        <v>45959</v>
      </c>
      <c r="D185" t="s">
        <v>327</v>
      </c>
      <c r="E185" t="s">
        <v>339</v>
      </c>
      <c r="F185" s="12">
        <v>177017</v>
      </c>
      <c r="G185" s="13">
        <v>17</v>
      </c>
      <c r="H185" t="s">
        <v>2852</v>
      </c>
      <c r="I185" s="8">
        <v>45939</v>
      </c>
      <c r="J185" t="s">
        <v>2663</v>
      </c>
      <c r="K185" t="s">
        <v>3630</v>
      </c>
      <c r="L185" s="13">
        <v>1500</v>
      </c>
      <c r="M185" t="s">
        <v>2661</v>
      </c>
    </row>
    <row r="186" spans="1:13">
      <c r="A186" t="s">
        <v>789</v>
      </c>
      <c r="B186" t="s">
        <v>40</v>
      </c>
      <c r="C186" s="8">
        <v>45959</v>
      </c>
      <c r="D186" t="s">
        <v>327</v>
      </c>
      <c r="E186" t="s">
        <v>339</v>
      </c>
      <c r="F186" s="12">
        <v>177017</v>
      </c>
      <c r="G186" s="13">
        <v>17</v>
      </c>
      <c r="H186" t="s">
        <v>3324</v>
      </c>
      <c r="I186" s="8">
        <v>46040</v>
      </c>
      <c r="J186" t="s">
        <v>2674</v>
      </c>
      <c r="K186" t="s">
        <v>2675</v>
      </c>
      <c r="L186" s="13">
        <v>20000</v>
      </c>
      <c r="M186" t="s">
        <v>2661</v>
      </c>
    </row>
    <row r="187" spans="1:13">
      <c r="A187" t="s">
        <v>789</v>
      </c>
      <c r="B187" t="s">
        <v>40</v>
      </c>
      <c r="C187" s="8">
        <v>45959</v>
      </c>
      <c r="D187" t="s">
        <v>327</v>
      </c>
      <c r="E187" t="s">
        <v>339</v>
      </c>
      <c r="F187" s="12">
        <v>177017</v>
      </c>
      <c r="G187" s="13">
        <v>17</v>
      </c>
      <c r="H187" t="s">
        <v>3474</v>
      </c>
      <c r="I187" s="8">
        <v>45997</v>
      </c>
      <c r="J187" t="s">
        <v>2665</v>
      </c>
      <c r="K187" t="s">
        <v>2666</v>
      </c>
      <c r="L187" s="13">
        <v>2500</v>
      </c>
      <c r="M187" t="s">
        <v>2676</v>
      </c>
    </row>
    <row r="188" spans="1:13">
      <c r="A188" t="s">
        <v>1225</v>
      </c>
      <c r="B188" t="s">
        <v>40</v>
      </c>
      <c r="C188" s="8">
        <v>46162</v>
      </c>
      <c r="D188" t="s">
        <v>344</v>
      </c>
      <c r="E188" t="s">
        <v>322</v>
      </c>
      <c r="F188" s="12">
        <v>192031</v>
      </c>
      <c r="G188" s="13">
        <v>19</v>
      </c>
      <c r="H188" t="s">
        <v>2852</v>
      </c>
      <c r="I188" s="8">
        <v>45939</v>
      </c>
      <c r="J188" t="s">
        <v>2663</v>
      </c>
      <c r="K188" t="s">
        <v>3630</v>
      </c>
      <c r="L188" s="13">
        <v>1500</v>
      </c>
      <c r="M188" t="s">
        <v>2661</v>
      </c>
    </row>
    <row r="189" spans="1:13">
      <c r="A189" t="s">
        <v>1225</v>
      </c>
      <c r="B189" t="s">
        <v>40</v>
      </c>
      <c r="C189" s="8">
        <v>46162</v>
      </c>
      <c r="D189" t="s">
        <v>344</v>
      </c>
      <c r="E189" t="s">
        <v>322</v>
      </c>
      <c r="F189" s="12">
        <v>192031</v>
      </c>
      <c r="G189" s="13">
        <v>19</v>
      </c>
      <c r="H189" t="s">
        <v>3324</v>
      </c>
      <c r="I189" s="8">
        <v>46040</v>
      </c>
      <c r="J189" t="s">
        <v>2674</v>
      </c>
      <c r="K189" t="s">
        <v>2675</v>
      </c>
      <c r="L189" s="13">
        <v>20000</v>
      </c>
      <c r="M189" t="s">
        <v>2661</v>
      </c>
    </row>
    <row r="190" spans="1:13">
      <c r="A190" t="s">
        <v>1225</v>
      </c>
      <c r="B190" t="s">
        <v>40</v>
      </c>
      <c r="C190" s="8">
        <v>46162</v>
      </c>
      <c r="D190" t="s">
        <v>344</v>
      </c>
      <c r="E190" t="s">
        <v>322</v>
      </c>
      <c r="F190" s="12">
        <v>192031</v>
      </c>
      <c r="G190" s="13">
        <v>19</v>
      </c>
      <c r="H190" t="s">
        <v>3474</v>
      </c>
      <c r="I190" s="8">
        <v>45997</v>
      </c>
      <c r="J190" t="s">
        <v>2665</v>
      </c>
      <c r="K190" t="s">
        <v>2666</v>
      </c>
      <c r="L190" s="13">
        <v>2500</v>
      </c>
      <c r="M190" t="s">
        <v>2676</v>
      </c>
    </row>
    <row r="191" spans="1:13">
      <c r="A191" t="s">
        <v>497</v>
      </c>
      <c r="B191" t="s">
        <v>62</v>
      </c>
      <c r="C191" s="8">
        <v>46017</v>
      </c>
      <c r="D191" t="s">
        <v>350</v>
      </c>
      <c r="E191" t="s">
        <v>328</v>
      </c>
      <c r="F191" s="12">
        <v>173271</v>
      </c>
      <c r="G191" s="13">
        <v>17</v>
      </c>
      <c r="H191" t="s">
        <v>2679</v>
      </c>
      <c r="I191" s="8">
        <v>46195</v>
      </c>
      <c r="J191" t="s">
        <v>2674</v>
      </c>
      <c r="K191" t="s">
        <v>2675</v>
      </c>
      <c r="L191" s="13">
        <v>20000</v>
      </c>
      <c r="M191" t="s">
        <v>2661</v>
      </c>
    </row>
    <row r="192" spans="1:13">
      <c r="A192" t="s">
        <v>497</v>
      </c>
      <c r="B192" t="s">
        <v>62</v>
      </c>
      <c r="C192" s="8">
        <v>46017</v>
      </c>
      <c r="D192" t="s">
        <v>350</v>
      </c>
      <c r="E192" t="s">
        <v>328</v>
      </c>
      <c r="F192" s="12">
        <v>173271</v>
      </c>
      <c r="G192" s="13">
        <v>17</v>
      </c>
      <c r="H192" t="s">
        <v>2793</v>
      </c>
      <c r="I192" s="8">
        <v>46233</v>
      </c>
      <c r="J192" t="s">
        <v>2663</v>
      </c>
      <c r="K192" t="s">
        <v>3630</v>
      </c>
      <c r="L192" s="13">
        <v>1500</v>
      </c>
      <c r="M192" t="s">
        <v>2661</v>
      </c>
    </row>
    <row r="193" spans="1:13">
      <c r="A193" t="s">
        <v>497</v>
      </c>
      <c r="B193" t="s">
        <v>62</v>
      </c>
      <c r="C193" s="8">
        <v>46017</v>
      </c>
      <c r="D193" t="s">
        <v>350</v>
      </c>
      <c r="E193" t="s">
        <v>328</v>
      </c>
      <c r="F193" s="12">
        <v>173271</v>
      </c>
      <c r="G193" s="13">
        <v>17</v>
      </c>
      <c r="H193" t="s">
        <v>2794</v>
      </c>
      <c r="I193" s="8">
        <v>46096</v>
      </c>
      <c r="J193" t="s">
        <v>2659</v>
      </c>
      <c r="K193" t="s">
        <v>2660</v>
      </c>
      <c r="L193" s="13">
        <v>3500</v>
      </c>
      <c r="M193" t="s">
        <v>2661</v>
      </c>
    </row>
    <row r="194" spans="1:13">
      <c r="A194" t="s">
        <v>497</v>
      </c>
      <c r="B194" t="s">
        <v>62</v>
      </c>
      <c r="C194" s="8">
        <v>46017</v>
      </c>
      <c r="D194" t="s">
        <v>350</v>
      </c>
      <c r="E194" t="s">
        <v>328</v>
      </c>
      <c r="F194" s="12">
        <v>173271</v>
      </c>
      <c r="G194" s="13">
        <v>17</v>
      </c>
      <c r="H194" t="s">
        <v>2804</v>
      </c>
      <c r="I194" s="8">
        <v>46260</v>
      </c>
      <c r="J194" t="s">
        <v>2659</v>
      </c>
      <c r="K194" t="s">
        <v>2660</v>
      </c>
      <c r="L194" s="13">
        <v>3500</v>
      </c>
      <c r="M194" t="s">
        <v>2661</v>
      </c>
    </row>
    <row r="195" spans="1:13">
      <c r="A195" t="s">
        <v>497</v>
      </c>
      <c r="B195" t="s">
        <v>62</v>
      </c>
      <c r="C195" s="8">
        <v>46017</v>
      </c>
      <c r="D195" t="s">
        <v>350</v>
      </c>
      <c r="E195" t="s">
        <v>328</v>
      </c>
      <c r="F195" s="12">
        <v>173271</v>
      </c>
      <c r="G195" s="13">
        <v>17</v>
      </c>
      <c r="H195" t="s">
        <v>2885</v>
      </c>
      <c r="I195" s="8">
        <v>46085</v>
      </c>
      <c r="J195" t="s">
        <v>2692</v>
      </c>
      <c r="K195" t="s">
        <v>2693</v>
      </c>
      <c r="L195" s="13">
        <v>10000</v>
      </c>
      <c r="M195" t="s">
        <v>2661</v>
      </c>
    </row>
    <row r="196" spans="1:13">
      <c r="A196" t="s">
        <v>497</v>
      </c>
      <c r="B196" t="s">
        <v>62</v>
      </c>
      <c r="C196" s="8">
        <v>46017</v>
      </c>
      <c r="D196" t="s">
        <v>350</v>
      </c>
      <c r="E196" t="s">
        <v>328</v>
      </c>
      <c r="F196" s="12">
        <v>173271</v>
      </c>
      <c r="G196" s="13">
        <v>17</v>
      </c>
      <c r="H196" t="s">
        <v>3000</v>
      </c>
      <c r="I196" s="8">
        <v>46247</v>
      </c>
      <c r="J196" t="s">
        <v>2692</v>
      </c>
      <c r="K196" t="s">
        <v>2693</v>
      </c>
      <c r="L196" s="13">
        <v>10000</v>
      </c>
      <c r="M196" t="s">
        <v>2661</v>
      </c>
    </row>
    <row r="197" spans="1:13">
      <c r="A197" t="s">
        <v>497</v>
      </c>
      <c r="B197" t="s">
        <v>62</v>
      </c>
      <c r="C197" s="8">
        <v>46017</v>
      </c>
      <c r="D197" t="s">
        <v>350</v>
      </c>
      <c r="E197" t="s">
        <v>328</v>
      </c>
      <c r="F197" s="12">
        <v>173271</v>
      </c>
      <c r="G197" s="13">
        <v>17</v>
      </c>
      <c r="H197" t="s">
        <v>3197</v>
      </c>
      <c r="I197" s="8">
        <v>46129</v>
      </c>
      <c r="J197" t="s">
        <v>2671</v>
      </c>
      <c r="K197" t="s">
        <v>2672</v>
      </c>
      <c r="L197" s="13">
        <v>3000</v>
      </c>
      <c r="M197" t="s">
        <v>2661</v>
      </c>
    </row>
    <row r="198" spans="1:13">
      <c r="A198" t="s">
        <v>647</v>
      </c>
      <c r="B198" t="s">
        <v>62</v>
      </c>
      <c r="C198" s="8">
        <v>46038</v>
      </c>
      <c r="D198" t="s">
        <v>332</v>
      </c>
      <c r="E198" t="s">
        <v>339</v>
      </c>
      <c r="F198" s="12">
        <v>101606</v>
      </c>
      <c r="G198" s="13">
        <v>10</v>
      </c>
      <c r="H198" t="s">
        <v>2679</v>
      </c>
      <c r="I198" s="8">
        <v>46195</v>
      </c>
      <c r="J198" t="s">
        <v>2674</v>
      </c>
      <c r="K198" t="s">
        <v>2675</v>
      </c>
      <c r="L198" s="13">
        <v>20000</v>
      </c>
      <c r="M198" t="s">
        <v>2661</v>
      </c>
    </row>
    <row r="199" spans="1:13">
      <c r="A199" t="s">
        <v>647</v>
      </c>
      <c r="B199" t="s">
        <v>62</v>
      </c>
      <c r="C199" s="8">
        <v>46038</v>
      </c>
      <c r="D199" t="s">
        <v>332</v>
      </c>
      <c r="E199" t="s">
        <v>339</v>
      </c>
      <c r="F199" s="12">
        <v>101606</v>
      </c>
      <c r="G199" s="13">
        <v>10</v>
      </c>
      <c r="H199" t="s">
        <v>2793</v>
      </c>
      <c r="I199" s="8">
        <v>46233</v>
      </c>
      <c r="J199" t="s">
        <v>2663</v>
      </c>
      <c r="K199" t="s">
        <v>3630</v>
      </c>
      <c r="L199" s="13">
        <v>1500</v>
      </c>
      <c r="M199" t="s">
        <v>2661</v>
      </c>
    </row>
    <row r="200" spans="1:13">
      <c r="A200" t="s">
        <v>647</v>
      </c>
      <c r="B200" t="s">
        <v>62</v>
      </c>
      <c r="C200" s="8">
        <v>46038</v>
      </c>
      <c r="D200" t="s">
        <v>332</v>
      </c>
      <c r="E200" t="s">
        <v>339</v>
      </c>
      <c r="F200" s="12">
        <v>101606</v>
      </c>
      <c r="G200" s="13">
        <v>10</v>
      </c>
      <c r="H200" t="s">
        <v>2794</v>
      </c>
      <c r="I200" s="8">
        <v>46096</v>
      </c>
      <c r="J200" t="s">
        <v>2659</v>
      </c>
      <c r="K200" t="s">
        <v>2660</v>
      </c>
      <c r="L200" s="13">
        <v>3500</v>
      </c>
      <c r="M200" t="s">
        <v>2661</v>
      </c>
    </row>
    <row r="201" spans="1:13">
      <c r="A201" t="s">
        <v>647</v>
      </c>
      <c r="B201" t="s">
        <v>62</v>
      </c>
      <c r="C201" s="8">
        <v>46038</v>
      </c>
      <c r="D201" t="s">
        <v>332</v>
      </c>
      <c r="E201" t="s">
        <v>339</v>
      </c>
      <c r="F201" s="12">
        <v>101606</v>
      </c>
      <c r="G201" s="13">
        <v>10</v>
      </c>
      <c r="H201" t="s">
        <v>2804</v>
      </c>
      <c r="I201" s="8">
        <v>46260</v>
      </c>
      <c r="J201" t="s">
        <v>2659</v>
      </c>
      <c r="K201" t="s">
        <v>2660</v>
      </c>
      <c r="L201" s="13">
        <v>3500</v>
      </c>
      <c r="M201" t="s">
        <v>2661</v>
      </c>
    </row>
    <row r="202" spans="1:13">
      <c r="A202" t="s">
        <v>647</v>
      </c>
      <c r="B202" t="s">
        <v>62</v>
      </c>
      <c r="C202" s="8">
        <v>46038</v>
      </c>
      <c r="D202" t="s">
        <v>332</v>
      </c>
      <c r="E202" t="s">
        <v>339</v>
      </c>
      <c r="F202" s="12">
        <v>101606</v>
      </c>
      <c r="G202" s="13">
        <v>10</v>
      </c>
      <c r="H202" t="s">
        <v>2885</v>
      </c>
      <c r="I202" s="8">
        <v>46085</v>
      </c>
      <c r="J202" t="s">
        <v>2692</v>
      </c>
      <c r="K202" t="s">
        <v>2693</v>
      </c>
      <c r="L202" s="13">
        <v>10000</v>
      </c>
      <c r="M202" t="s">
        <v>2661</v>
      </c>
    </row>
    <row r="203" spans="1:13">
      <c r="A203" t="s">
        <v>647</v>
      </c>
      <c r="B203" t="s">
        <v>62</v>
      </c>
      <c r="C203" s="8">
        <v>46038</v>
      </c>
      <c r="D203" t="s">
        <v>332</v>
      </c>
      <c r="E203" t="s">
        <v>339</v>
      </c>
      <c r="F203" s="12">
        <v>101606</v>
      </c>
      <c r="G203" s="13">
        <v>10</v>
      </c>
      <c r="H203" t="s">
        <v>3000</v>
      </c>
      <c r="I203" s="8">
        <v>46247</v>
      </c>
      <c r="J203" t="s">
        <v>2692</v>
      </c>
      <c r="K203" t="s">
        <v>2693</v>
      </c>
      <c r="L203" s="13">
        <v>10000</v>
      </c>
      <c r="M203" t="s">
        <v>2661</v>
      </c>
    </row>
    <row r="204" spans="1:13">
      <c r="A204" t="s">
        <v>647</v>
      </c>
      <c r="B204" t="s">
        <v>62</v>
      </c>
      <c r="C204" s="8">
        <v>46038</v>
      </c>
      <c r="D204" t="s">
        <v>332</v>
      </c>
      <c r="E204" t="s">
        <v>339</v>
      </c>
      <c r="F204" s="12">
        <v>101606</v>
      </c>
      <c r="G204" s="13">
        <v>10</v>
      </c>
      <c r="H204" t="s">
        <v>3197</v>
      </c>
      <c r="I204" s="8">
        <v>46129</v>
      </c>
      <c r="J204" t="s">
        <v>2671</v>
      </c>
      <c r="K204" t="s">
        <v>2672</v>
      </c>
      <c r="L204" s="13">
        <v>3000</v>
      </c>
      <c r="M204" t="s">
        <v>2661</v>
      </c>
    </row>
    <row r="205" spans="1:13">
      <c r="A205" t="s">
        <v>706</v>
      </c>
      <c r="B205" t="s">
        <v>62</v>
      </c>
      <c r="C205" s="8">
        <v>45961</v>
      </c>
      <c r="D205" t="s">
        <v>350</v>
      </c>
      <c r="E205" t="s">
        <v>325</v>
      </c>
      <c r="F205" s="12">
        <v>331605</v>
      </c>
      <c r="G205" s="13">
        <v>33</v>
      </c>
      <c r="H205" t="s">
        <v>2679</v>
      </c>
      <c r="I205" s="8">
        <v>46195</v>
      </c>
      <c r="J205" t="s">
        <v>2674</v>
      </c>
      <c r="K205" t="s">
        <v>2675</v>
      </c>
      <c r="L205" s="13">
        <v>20000</v>
      </c>
      <c r="M205" t="s">
        <v>2661</v>
      </c>
    </row>
    <row r="206" spans="1:13">
      <c r="A206" t="s">
        <v>706</v>
      </c>
      <c r="B206" t="s">
        <v>62</v>
      </c>
      <c r="C206" s="8">
        <v>45961</v>
      </c>
      <c r="D206" t="s">
        <v>350</v>
      </c>
      <c r="E206" t="s">
        <v>325</v>
      </c>
      <c r="F206" s="12">
        <v>331605</v>
      </c>
      <c r="G206" s="13">
        <v>33</v>
      </c>
      <c r="H206" t="s">
        <v>2793</v>
      </c>
      <c r="I206" s="8">
        <v>46233</v>
      </c>
      <c r="J206" t="s">
        <v>2663</v>
      </c>
      <c r="K206" t="s">
        <v>3630</v>
      </c>
      <c r="L206" s="13">
        <v>1500</v>
      </c>
      <c r="M206" t="s">
        <v>2661</v>
      </c>
    </row>
    <row r="207" spans="1:13">
      <c r="A207" t="s">
        <v>706</v>
      </c>
      <c r="B207" t="s">
        <v>62</v>
      </c>
      <c r="C207" s="8">
        <v>45961</v>
      </c>
      <c r="D207" t="s">
        <v>350</v>
      </c>
      <c r="E207" t="s">
        <v>325</v>
      </c>
      <c r="F207" s="12">
        <v>331605</v>
      </c>
      <c r="G207" s="13">
        <v>33</v>
      </c>
      <c r="H207" t="s">
        <v>2794</v>
      </c>
      <c r="I207" s="8">
        <v>46096</v>
      </c>
      <c r="J207" t="s">
        <v>2659</v>
      </c>
      <c r="K207" t="s">
        <v>2660</v>
      </c>
      <c r="L207" s="13">
        <v>3500</v>
      </c>
      <c r="M207" t="s">
        <v>2661</v>
      </c>
    </row>
    <row r="208" spans="1:13">
      <c r="A208" t="s">
        <v>706</v>
      </c>
      <c r="B208" t="s">
        <v>62</v>
      </c>
      <c r="C208" s="8">
        <v>45961</v>
      </c>
      <c r="D208" t="s">
        <v>350</v>
      </c>
      <c r="E208" t="s">
        <v>325</v>
      </c>
      <c r="F208" s="12">
        <v>331605</v>
      </c>
      <c r="G208" s="13">
        <v>33</v>
      </c>
      <c r="H208" t="s">
        <v>2804</v>
      </c>
      <c r="I208" s="8">
        <v>46260</v>
      </c>
      <c r="J208" t="s">
        <v>2659</v>
      </c>
      <c r="K208" t="s">
        <v>2660</v>
      </c>
      <c r="L208" s="13">
        <v>3500</v>
      </c>
      <c r="M208" t="s">
        <v>2661</v>
      </c>
    </row>
    <row r="209" spans="1:13">
      <c r="A209" t="s">
        <v>706</v>
      </c>
      <c r="B209" t="s">
        <v>62</v>
      </c>
      <c r="C209" s="8">
        <v>45961</v>
      </c>
      <c r="D209" t="s">
        <v>350</v>
      </c>
      <c r="E209" t="s">
        <v>325</v>
      </c>
      <c r="F209" s="12">
        <v>331605</v>
      </c>
      <c r="G209" s="13">
        <v>33</v>
      </c>
      <c r="H209" t="s">
        <v>2885</v>
      </c>
      <c r="I209" s="8">
        <v>46085</v>
      </c>
      <c r="J209" t="s">
        <v>2692</v>
      </c>
      <c r="K209" t="s">
        <v>2693</v>
      </c>
      <c r="L209" s="13">
        <v>10000</v>
      </c>
      <c r="M209" t="s">
        <v>2661</v>
      </c>
    </row>
    <row r="210" spans="1:13">
      <c r="A210" t="s">
        <v>706</v>
      </c>
      <c r="B210" t="s">
        <v>62</v>
      </c>
      <c r="C210" s="8">
        <v>45961</v>
      </c>
      <c r="D210" t="s">
        <v>350</v>
      </c>
      <c r="E210" t="s">
        <v>325</v>
      </c>
      <c r="F210" s="12">
        <v>331605</v>
      </c>
      <c r="G210" s="13">
        <v>33</v>
      </c>
      <c r="H210" t="s">
        <v>3000</v>
      </c>
      <c r="I210" s="8">
        <v>46247</v>
      </c>
      <c r="J210" t="s">
        <v>2692</v>
      </c>
      <c r="K210" t="s">
        <v>2693</v>
      </c>
      <c r="L210" s="13">
        <v>10000</v>
      </c>
      <c r="M210" t="s">
        <v>2661</v>
      </c>
    </row>
    <row r="211" spans="1:13">
      <c r="A211" t="s">
        <v>706</v>
      </c>
      <c r="B211" t="s">
        <v>62</v>
      </c>
      <c r="C211" s="8">
        <v>45961</v>
      </c>
      <c r="D211" t="s">
        <v>350</v>
      </c>
      <c r="E211" t="s">
        <v>325</v>
      </c>
      <c r="F211" s="12">
        <v>331605</v>
      </c>
      <c r="G211" s="13">
        <v>33</v>
      </c>
      <c r="H211" t="s">
        <v>3197</v>
      </c>
      <c r="I211" s="8">
        <v>46129</v>
      </c>
      <c r="J211" t="s">
        <v>2671</v>
      </c>
      <c r="K211" t="s">
        <v>2672</v>
      </c>
      <c r="L211" s="13">
        <v>3000</v>
      </c>
      <c r="M211" t="s">
        <v>2661</v>
      </c>
    </row>
    <row r="212" spans="1:13">
      <c r="A212" t="s">
        <v>969</v>
      </c>
      <c r="B212" t="s">
        <v>62</v>
      </c>
      <c r="C212" s="8">
        <v>46085</v>
      </c>
      <c r="D212" t="s">
        <v>321</v>
      </c>
      <c r="E212" t="s">
        <v>328</v>
      </c>
      <c r="F212" s="12">
        <v>298153</v>
      </c>
      <c r="G212" s="13">
        <v>29</v>
      </c>
      <c r="H212" t="s">
        <v>2679</v>
      </c>
      <c r="I212" s="8">
        <v>46195</v>
      </c>
      <c r="J212" t="s">
        <v>2674</v>
      </c>
      <c r="K212" t="s">
        <v>2675</v>
      </c>
      <c r="L212" s="13">
        <v>20000</v>
      </c>
      <c r="M212" t="s">
        <v>2661</v>
      </c>
    </row>
    <row r="213" spans="1:13">
      <c r="A213" t="s">
        <v>969</v>
      </c>
      <c r="B213" t="s">
        <v>62</v>
      </c>
      <c r="C213" s="8">
        <v>46085</v>
      </c>
      <c r="D213" t="s">
        <v>321</v>
      </c>
      <c r="E213" t="s">
        <v>328</v>
      </c>
      <c r="F213" s="12">
        <v>298153</v>
      </c>
      <c r="G213" s="13">
        <v>29</v>
      </c>
      <c r="H213" t="s">
        <v>2793</v>
      </c>
      <c r="I213" s="8">
        <v>46233</v>
      </c>
      <c r="J213" t="s">
        <v>2663</v>
      </c>
      <c r="K213" t="s">
        <v>3630</v>
      </c>
      <c r="L213" s="13">
        <v>1500</v>
      </c>
      <c r="M213" t="s">
        <v>2661</v>
      </c>
    </row>
    <row r="214" spans="1:13">
      <c r="A214" t="s">
        <v>969</v>
      </c>
      <c r="B214" t="s">
        <v>62</v>
      </c>
      <c r="C214" s="8">
        <v>46085</v>
      </c>
      <c r="D214" t="s">
        <v>321</v>
      </c>
      <c r="E214" t="s">
        <v>328</v>
      </c>
      <c r="F214" s="12">
        <v>298153</v>
      </c>
      <c r="G214" s="13">
        <v>29</v>
      </c>
      <c r="H214" t="s">
        <v>2794</v>
      </c>
      <c r="I214" s="8">
        <v>46096</v>
      </c>
      <c r="J214" t="s">
        <v>2659</v>
      </c>
      <c r="K214" t="s">
        <v>2660</v>
      </c>
      <c r="L214" s="13">
        <v>3500</v>
      </c>
      <c r="M214" t="s">
        <v>2661</v>
      </c>
    </row>
    <row r="215" spans="1:13">
      <c r="A215" t="s">
        <v>969</v>
      </c>
      <c r="B215" t="s">
        <v>62</v>
      </c>
      <c r="C215" s="8">
        <v>46085</v>
      </c>
      <c r="D215" t="s">
        <v>321</v>
      </c>
      <c r="E215" t="s">
        <v>328</v>
      </c>
      <c r="F215" s="12">
        <v>298153</v>
      </c>
      <c r="G215" s="13">
        <v>29</v>
      </c>
      <c r="H215" t="s">
        <v>2804</v>
      </c>
      <c r="I215" s="8">
        <v>46260</v>
      </c>
      <c r="J215" t="s">
        <v>2659</v>
      </c>
      <c r="K215" t="s">
        <v>2660</v>
      </c>
      <c r="L215" s="13">
        <v>3500</v>
      </c>
      <c r="M215" t="s">
        <v>2661</v>
      </c>
    </row>
    <row r="216" spans="1:13">
      <c r="A216" t="s">
        <v>969</v>
      </c>
      <c r="B216" t="s">
        <v>62</v>
      </c>
      <c r="C216" s="8">
        <v>46085</v>
      </c>
      <c r="D216" t="s">
        <v>321</v>
      </c>
      <c r="E216" t="s">
        <v>328</v>
      </c>
      <c r="F216" s="12">
        <v>298153</v>
      </c>
      <c r="G216" s="13">
        <v>29</v>
      </c>
      <c r="H216" t="s">
        <v>2885</v>
      </c>
      <c r="I216" s="8">
        <v>46085</v>
      </c>
      <c r="J216" t="s">
        <v>2692</v>
      </c>
      <c r="K216" t="s">
        <v>2693</v>
      </c>
      <c r="L216" s="13">
        <v>10000</v>
      </c>
      <c r="M216" t="s">
        <v>2661</v>
      </c>
    </row>
    <row r="217" spans="1:13">
      <c r="A217" t="s">
        <v>969</v>
      </c>
      <c r="B217" t="s">
        <v>62</v>
      </c>
      <c r="C217" s="8">
        <v>46085</v>
      </c>
      <c r="D217" t="s">
        <v>321</v>
      </c>
      <c r="E217" t="s">
        <v>328</v>
      </c>
      <c r="F217" s="12">
        <v>298153</v>
      </c>
      <c r="G217" s="13">
        <v>29</v>
      </c>
      <c r="H217" t="s">
        <v>3000</v>
      </c>
      <c r="I217" s="8">
        <v>46247</v>
      </c>
      <c r="J217" t="s">
        <v>2692</v>
      </c>
      <c r="K217" t="s">
        <v>2693</v>
      </c>
      <c r="L217" s="13">
        <v>10000</v>
      </c>
      <c r="M217" t="s">
        <v>2661</v>
      </c>
    </row>
    <row r="218" spans="1:13">
      <c r="A218" t="s">
        <v>969</v>
      </c>
      <c r="B218" t="s">
        <v>62</v>
      </c>
      <c r="C218" s="8">
        <v>46085</v>
      </c>
      <c r="D218" t="s">
        <v>321</v>
      </c>
      <c r="E218" t="s">
        <v>328</v>
      </c>
      <c r="F218" s="12">
        <v>298153</v>
      </c>
      <c r="G218" s="13">
        <v>29</v>
      </c>
      <c r="H218" t="s">
        <v>3197</v>
      </c>
      <c r="I218" s="8">
        <v>46129</v>
      </c>
      <c r="J218" t="s">
        <v>2671</v>
      </c>
      <c r="K218" t="s">
        <v>2672</v>
      </c>
      <c r="L218" s="13">
        <v>3000</v>
      </c>
      <c r="M218" t="s">
        <v>2661</v>
      </c>
    </row>
    <row r="219" spans="1:13">
      <c r="A219" t="s">
        <v>1101</v>
      </c>
      <c r="B219" t="s">
        <v>62</v>
      </c>
      <c r="C219" s="8">
        <v>46258</v>
      </c>
      <c r="D219" t="s">
        <v>344</v>
      </c>
      <c r="E219" t="s">
        <v>325</v>
      </c>
      <c r="F219" s="12">
        <v>128844</v>
      </c>
      <c r="G219" s="13">
        <v>12</v>
      </c>
      <c r="H219" t="s">
        <v>2679</v>
      </c>
      <c r="I219" s="8">
        <v>46195</v>
      </c>
      <c r="J219" t="s">
        <v>2674</v>
      </c>
      <c r="K219" t="s">
        <v>2675</v>
      </c>
      <c r="L219" s="13">
        <v>20000</v>
      </c>
      <c r="M219" t="s">
        <v>2661</v>
      </c>
    </row>
    <row r="220" spans="1:13">
      <c r="A220" t="s">
        <v>1101</v>
      </c>
      <c r="B220" t="s">
        <v>62</v>
      </c>
      <c r="C220" s="8">
        <v>46258</v>
      </c>
      <c r="D220" t="s">
        <v>344</v>
      </c>
      <c r="E220" t="s">
        <v>325</v>
      </c>
      <c r="F220" s="12">
        <v>128844</v>
      </c>
      <c r="G220" s="13">
        <v>12</v>
      </c>
      <c r="H220" t="s">
        <v>2793</v>
      </c>
      <c r="I220" s="8">
        <v>46233</v>
      </c>
      <c r="J220" t="s">
        <v>2663</v>
      </c>
      <c r="K220" t="s">
        <v>3630</v>
      </c>
      <c r="L220" s="13">
        <v>1500</v>
      </c>
      <c r="M220" t="s">
        <v>2661</v>
      </c>
    </row>
    <row r="221" spans="1:13">
      <c r="A221" t="s">
        <v>1101</v>
      </c>
      <c r="B221" t="s">
        <v>62</v>
      </c>
      <c r="C221" s="8">
        <v>46258</v>
      </c>
      <c r="D221" t="s">
        <v>344</v>
      </c>
      <c r="E221" t="s">
        <v>325</v>
      </c>
      <c r="F221" s="12">
        <v>128844</v>
      </c>
      <c r="G221" s="13">
        <v>12</v>
      </c>
      <c r="H221" t="s">
        <v>2794</v>
      </c>
      <c r="I221" s="8">
        <v>46096</v>
      </c>
      <c r="J221" t="s">
        <v>2659</v>
      </c>
      <c r="K221" t="s">
        <v>2660</v>
      </c>
      <c r="L221" s="13">
        <v>3500</v>
      </c>
      <c r="M221" t="s">
        <v>2661</v>
      </c>
    </row>
    <row r="222" spans="1:13">
      <c r="A222" t="s">
        <v>1101</v>
      </c>
      <c r="B222" t="s">
        <v>62</v>
      </c>
      <c r="C222" s="8">
        <v>46258</v>
      </c>
      <c r="D222" t="s">
        <v>344</v>
      </c>
      <c r="E222" t="s">
        <v>325</v>
      </c>
      <c r="F222" s="12">
        <v>128844</v>
      </c>
      <c r="G222" s="13">
        <v>12</v>
      </c>
      <c r="H222" t="s">
        <v>2804</v>
      </c>
      <c r="I222" s="8">
        <v>46260</v>
      </c>
      <c r="J222" t="s">
        <v>2659</v>
      </c>
      <c r="K222" t="s">
        <v>2660</v>
      </c>
      <c r="L222" s="13">
        <v>3500</v>
      </c>
      <c r="M222" t="s">
        <v>2661</v>
      </c>
    </row>
    <row r="223" spans="1:13">
      <c r="A223" t="s">
        <v>1101</v>
      </c>
      <c r="B223" t="s">
        <v>62</v>
      </c>
      <c r="C223" s="8">
        <v>46258</v>
      </c>
      <c r="D223" t="s">
        <v>344</v>
      </c>
      <c r="E223" t="s">
        <v>325</v>
      </c>
      <c r="F223" s="12">
        <v>128844</v>
      </c>
      <c r="G223" s="13">
        <v>12</v>
      </c>
      <c r="H223" t="s">
        <v>2885</v>
      </c>
      <c r="I223" s="8">
        <v>46085</v>
      </c>
      <c r="J223" t="s">
        <v>2692</v>
      </c>
      <c r="K223" t="s">
        <v>2693</v>
      </c>
      <c r="L223" s="13">
        <v>10000</v>
      </c>
      <c r="M223" t="s">
        <v>2661</v>
      </c>
    </row>
    <row r="224" spans="1:13">
      <c r="A224" t="s">
        <v>1101</v>
      </c>
      <c r="B224" t="s">
        <v>62</v>
      </c>
      <c r="C224" s="8">
        <v>46258</v>
      </c>
      <c r="D224" t="s">
        <v>344</v>
      </c>
      <c r="E224" t="s">
        <v>325</v>
      </c>
      <c r="F224" s="12">
        <v>128844</v>
      </c>
      <c r="G224" s="13">
        <v>12</v>
      </c>
      <c r="H224" t="s">
        <v>3000</v>
      </c>
      <c r="I224" s="8">
        <v>46247</v>
      </c>
      <c r="J224" t="s">
        <v>2692</v>
      </c>
      <c r="K224" t="s">
        <v>2693</v>
      </c>
      <c r="L224" s="13">
        <v>10000</v>
      </c>
      <c r="M224" t="s">
        <v>2661</v>
      </c>
    </row>
    <row r="225" spans="1:13">
      <c r="A225" t="s">
        <v>1101</v>
      </c>
      <c r="B225" t="s">
        <v>62</v>
      </c>
      <c r="C225" s="8">
        <v>46258</v>
      </c>
      <c r="D225" t="s">
        <v>344</v>
      </c>
      <c r="E225" t="s">
        <v>325</v>
      </c>
      <c r="F225" s="12">
        <v>128844</v>
      </c>
      <c r="G225" s="13">
        <v>12</v>
      </c>
      <c r="H225" t="s">
        <v>3197</v>
      </c>
      <c r="I225" s="8">
        <v>46129</v>
      </c>
      <c r="J225" t="s">
        <v>2671</v>
      </c>
      <c r="K225" t="s">
        <v>2672</v>
      </c>
      <c r="L225" s="13">
        <v>3000</v>
      </c>
      <c r="M225" t="s">
        <v>2661</v>
      </c>
    </row>
    <row r="226" spans="1:13">
      <c r="A226" t="s">
        <v>1227</v>
      </c>
      <c r="B226" t="s">
        <v>62</v>
      </c>
      <c r="C226" s="8">
        <v>46163</v>
      </c>
      <c r="D226" t="s">
        <v>342</v>
      </c>
      <c r="E226" t="s">
        <v>337</v>
      </c>
      <c r="F226" s="12">
        <v>210808</v>
      </c>
      <c r="G226" s="13">
        <v>21</v>
      </c>
      <c r="H226" t="s">
        <v>2679</v>
      </c>
      <c r="I226" s="8">
        <v>46195</v>
      </c>
      <c r="J226" t="s">
        <v>2674</v>
      </c>
      <c r="K226" t="s">
        <v>2675</v>
      </c>
      <c r="L226" s="13">
        <v>20000</v>
      </c>
      <c r="M226" t="s">
        <v>2661</v>
      </c>
    </row>
    <row r="227" spans="1:13">
      <c r="A227" t="s">
        <v>1227</v>
      </c>
      <c r="B227" t="s">
        <v>62</v>
      </c>
      <c r="C227" s="8">
        <v>46163</v>
      </c>
      <c r="D227" t="s">
        <v>342</v>
      </c>
      <c r="E227" t="s">
        <v>337</v>
      </c>
      <c r="F227" s="12">
        <v>210808</v>
      </c>
      <c r="G227" s="13">
        <v>21</v>
      </c>
      <c r="H227" t="s">
        <v>2793</v>
      </c>
      <c r="I227" s="8">
        <v>46233</v>
      </c>
      <c r="J227" t="s">
        <v>2663</v>
      </c>
      <c r="K227" t="s">
        <v>3630</v>
      </c>
      <c r="L227" s="13">
        <v>1500</v>
      </c>
      <c r="M227" t="s">
        <v>2661</v>
      </c>
    </row>
    <row r="228" spans="1:13">
      <c r="A228" t="s">
        <v>1227</v>
      </c>
      <c r="B228" t="s">
        <v>62</v>
      </c>
      <c r="C228" s="8">
        <v>46163</v>
      </c>
      <c r="D228" t="s">
        <v>342</v>
      </c>
      <c r="E228" t="s">
        <v>337</v>
      </c>
      <c r="F228" s="12">
        <v>210808</v>
      </c>
      <c r="G228" s="13">
        <v>21</v>
      </c>
      <c r="H228" t="s">
        <v>2794</v>
      </c>
      <c r="I228" s="8">
        <v>46096</v>
      </c>
      <c r="J228" t="s">
        <v>2659</v>
      </c>
      <c r="K228" t="s">
        <v>2660</v>
      </c>
      <c r="L228" s="13">
        <v>3500</v>
      </c>
      <c r="M228" t="s">
        <v>2661</v>
      </c>
    </row>
    <row r="229" spans="1:13">
      <c r="A229" t="s">
        <v>1227</v>
      </c>
      <c r="B229" t="s">
        <v>62</v>
      </c>
      <c r="C229" s="8">
        <v>46163</v>
      </c>
      <c r="D229" t="s">
        <v>342</v>
      </c>
      <c r="E229" t="s">
        <v>337</v>
      </c>
      <c r="F229" s="12">
        <v>210808</v>
      </c>
      <c r="G229" s="13">
        <v>21</v>
      </c>
      <c r="H229" t="s">
        <v>2804</v>
      </c>
      <c r="I229" s="8">
        <v>46260</v>
      </c>
      <c r="J229" t="s">
        <v>2659</v>
      </c>
      <c r="K229" t="s">
        <v>2660</v>
      </c>
      <c r="L229" s="13">
        <v>3500</v>
      </c>
      <c r="M229" t="s">
        <v>2661</v>
      </c>
    </row>
    <row r="230" spans="1:13">
      <c r="A230" t="s">
        <v>1227</v>
      </c>
      <c r="B230" t="s">
        <v>62</v>
      </c>
      <c r="C230" s="8">
        <v>46163</v>
      </c>
      <c r="D230" t="s">
        <v>342</v>
      </c>
      <c r="E230" t="s">
        <v>337</v>
      </c>
      <c r="F230" s="12">
        <v>210808</v>
      </c>
      <c r="G230" s="13">
        <v>21</v>
      </c>
      <c r="H230" t="s">
        <v>2885</v>
      </c>
      <c r="I230" s="8">
        <v>46085</v>
      </c>
      <c r="J230" t="s">
        <v>2692</v>
      </c>
      <c r="K230" t="s">
        <v>2693</v>
      </c>
      <c r="L230" s="13">
        <v>10000</v>
      </c>
      <c r="M230" t="s">
        <v>2661</v>
      </c>
    </row>
    <row r="231" spans="1:13">
      <c r="A231" t="s">
        <v>1227</v>
      </c>
      <c r="B231" t="s">
        <v>62</v>
      </c>
      <c r="C231" s="8">
        <v>46163</v>
      </c>
      <c r="D231" t="s">
        <v>342</v>
      </c>
      <c r="E231" t="s">
        <v>337</v>
      </c>
      <c r="F231" s="12">
        <v>210808</v>
      </c>
      <c r="G231" s="13">
        <v>21</v>
      </c>
      <c r="H231" t="s">
        <v>3000</v>
      </c>
      <c r="I231" s="8">
        <v>46247</v>
      </c>
      <c r="J231" t="s">
        <v>2692</v>
      </c>
      <c r="K231" t="s">
        <v>2693</v>
      </c>
      <c r="L231" s="13">
        <v>10000</v>
      </c>
      <c r="M231" t="s">
        <v>2661</v>
      </c>
    </row>
    <row r="232" spans="1:13">
      <c r="A232" t="s">
        <v>1227</v>
      </c>
      <c r="B232" t="s">
        <v>62</v>
      </c>
      <c r="C232" s="8">
        <v>46163</v>
      </c>
      <c r="D232" t="s">
        <v>342</v>
      </c>
      <c r="E232" t="s">
        <v>337</v>
      </c>
      <c r="F232" s="12">
        <v>210808</v>
      </c>
      <c r="G232" s="13">
        <v>21</v>
      </c>
      <c r="H232" t="s">
        <v>3197</v>
      </c>
      <c r="I232" s="8">
        <v>46129</v>
      </c>
      <c r="J232" t="s">
        <v>2671</v>
      </c>
      <c r="K232" t="s">
        <v>2672</v>
      </c>
      <c r="L232" s="13">
        <v>3000</v>
      </c>
      <c r="M232" t="s">
        <v>2661</v>
      </c>
    </row>
    <row r="233" spans="1:13">
      <c r="A233" t="s">
        <v>340</v>
      </c>
      <c r="B233" t="s">
        <v>8</v>
      </c>
      <c r="C233" s="8">
        <v>46084</v>
      </c>
      <c r="D233" t="s">
        <v>332</v>
      </c>
      <c r="E233" t="s">
        <v>337</v>
      </c>
      <c r="F233" s="12">
        <v>318175</v>
      </c>
      <c r="G233" s="13">
        <v>31</v>
      </c>
      <c r="H233" t="s">
        <v>3033</v>
      </c>
      <c r="I233" s="8">
        <v>46098</v>
      </c>
      <c r="J233" t="s">
        <v>2659</v>
      </c>
      <c r="K233" t="s">
        <v>2660</v>
      </c>
      <c r="L233" s="13">
        <v>3500</v>
      </c>
      <c r="M233" t="s">
        <v>2676</v>
      </c>
    </row>
    <row r="234" spans="1:13">
      <c r="A234" t="s">
        <v>340</v>
      </c>
      <c r="B234" t="s">
        <v>8</v>
      </c>
      <c r="C234" s="8">
        <v>46084</v>
      </c>
      <c r="D234" t="s">
        <v>332</v>
      </c>
      <c r="E234" t="s">
        <v>337</v>
      </c>
      <c r="F234" s="12">
        <v>318175</v>
      </c>
      <c r="G234" s="13">
        <v>31</v>
      </c>
      <c r="H234" t="s">
        <v>3159</v>
      </c>
      <c r="I234" s="8">
        <v>46079</v>
      </c>
      <c r="J234" t="s">
        <v>2659</v>
      </c>
      <c r="K234" t="s">
        <v>2660</v>
      </c>
      <c r="L234" s="13">
        <v>3500</v>
      </c>
      <c r="M234" t="s">
        <v>2661</v>
      </c>
    </row>
    <row r="235" spans="1:13">
      <c r="A235" t="s">
        <v>340</v>
      </c>
      <c r="B235" t="s">
        <v>8</v>
      </c>
      <c r="C235" s="8">
        <v>46084</v>
      </c>
      <c r="D235" t="s">
        <v>332</v>
      </c>
      <c r="E235" t="s">
        <v>337</v>
      </c>
      <c r="F235" s="12">
        <v>318175</v>
      </c>
      <c r="G235" s="13">
        <v>31</v>
      </c>
      <c r="H235" t="s">
        <v>3184</v>
      </c>
      <c r="I235" s="8">
        <v>46261</v>
      </c>
      <c r="J235" t="s">
        <v>2685</v>
      </c>
      <c r="K235" t="s">
        <v>2686</v>
      </c>
      <c r="L235" s="13">
        <v>5000</v>
      </c>
      <c r="M235" t="s">
        <v>2661</v>
      </c>
    </row>
    <row r="236" spans="1:13">
      <c r="A236" t="s">
        <v>340</v>
      </c>
      <c r="B236" t="s">
        <v>8</v>
      </c>
      <c r="C236" s="8">
        <v>46084</v>
      </c>
      <c r="D236" t="s">
        <v>332</v>
      </c>
      <c r="E236" t="s">
        <v>337</v>
      </c>
      <c r="F236" s="12">
        <v>318175</v>
      </c>
      <c r="G236" s="13">
        <v>31</v>
      </c>
      <c r="H236" t="s">
        <v>3303</v>
      </c>
      <c r="I236" s="8">
        <v>46196</v>
      </c>
      <c r="J236" t="s">
        <v>2682</v>
      </c>
      <c r="K236" t="s">
        <v>2683</v>
      </c>
      <c r="L236" s="13">
        <v>6000</v>
      </c>
      <c r="M236" t="s">
        <v>2676</v>
      </c>
    </row>
    <row r="237" spans="1:13">
      <c r="A237" t="s">
        <v>340</v>
      </c>
      <c r="B237" t="s">
        <v>8</v>
      </c>
      <c r="C237" s="8">
        <v>46084</v>
      </c>
      <c r="D237" t="s">
        <v>332</v>
      </c>
      <c r="E237" t="s">
        <v>337</v>
      </c>
      <c r="F237" s="12">
        <v>318175</v>
      </c>
      <c r="G237" s="13">
        <v>31</v>
      </c>
      <c r="H237" t="s">
        <v>3353</v>
      </c>
      <c r="I237" s="8">
        <v>45991</v>
      </c>
      <c r="J237" t="s">
        <v>2659</v>
      </c>
      <c r="K237" t="s">
        <v>2660</v>
      </c>
      <c r="L237" s="13">
        <v>3500</v>
      </c>
      <c r="M237" t="s">
        <v>2661</v>
      </c>
    </row>
    <row r="238" spans="1:13">
      <c r="A238" t="s">
        <v>382</v>
      </c>
      <c r="B238" t="s">
        <v>8</v>
      </c>
      <c r="C238" s="8">
        <v>46020</v>
      </c>
      <c r="D238" t="s">
        <v>342</v>
      </c>
      <c r="E238" t="s">
        <v>339</v>
      </c>
      <c r="F238" s="12">
        <v>273415</v>
      </c>
      <c r="G238" s="13">
        <v>27</v>
      </c>
      <c r="H238" t="s">
        <v>3033</v>
      </c>
      <c r="I238" s="8">
        <v>46098</v>
      </c>
      <c r="J238" t="s">
        <v>2659</v>
      </c>
      <c r="K238" t="s">
        <v>2660</v>
      </c>
      <c r="L238" s="13">
        <v>3500</v>
      </c>
      <c r="M238" t="s">
        <v>2676</v>
      </c>
    </row>
    <row r="239" spans="1:13">
      <c r="A239" t="s">
        <v>382</v>
      </c>
      <c r="B239" t="s">
        <v>8</v>
      </c>
      <c r="C239" s="8">
        <v>46020</v>
      </c>
      <c r="D239" t="s">
        <v>342</v>
      </c>
      <c r="E239" t="s">
        <v>339</v>
      </c>
      <c r="F239" s="12">
        <v>273415</v>
      </c>
      <c r="G239" s="13">
        <v>27</v>
      </c>
      <c r="H239" t="s">
        <v>3159</v>
      </c>
      <c r="I239" s="8">
        <v>46079</v>
      </c>
      <c r="J239" t="s">
        <v>2659</v>
      </c>
      <c r="K239" t="s">
        <v>2660</v>
      </c>
      <c r="L239" s="13">
        <v>3500</v>
      </c>
      <c r="M239" t="s">
        <v>2661</v>
      </c>
    </row>
    <row r="240" spans="1:13">
      <c r="A240" t="s">
        <v>382</v>
      </c>
      <c r="B240" t="s">
        <v>8</v>
      </c>
      <c r="C240" s="8">
        <v>46020</v>
      </c>
      <c r="D240" t="s">
        <v>342</v>
      </c>
      <c r="E240" t="s">
        <v>339</v>
      </c>
      <c r="F240" s="12">
        <v>273415</v>
      </c>
      <c r="G240" s="13">
        <v>27</v>
      </c>
      <c r="H240" t="s">
        <v>3184</v>
      </c>
      <c r="I240" s="8">
        <v>46261</v>
      </c>
      <c r="J240" t="s">
        <v>2685</v>
      </c>
      <c r="K240" t="s">
        <v>2686</v>
      </c>
      <c r="L240" s="13">
        <v>5000</v>
      </c>
      <c r="M240" t="s">
        <v>2661</v>
      </c>
    </row>
    <row r="241" spans="1:13">
      <c r="A241" t="s">
        <v>382</v>
      </c>
      <c r="B241" t="s">
        <v>8</v>
      </c>
      <c r="C241" s="8">
        <v>46020</v>
      </c>
      <c r="D241" t="s">
        <v>342</v>
      </c>
      <c r="E241" t="s">
        <v>339</v>
      </c>
      <c r="F241" s="12">
        <v>273415</v>
      </c>
      <c r="G241" s="13">
        <v>27</v>
      </c>
      <c r="H241" t="s">
        <v>3303</v>
      </c>
      <c r="I241" s="8">
        <v>46196</v>
      </c>
      <c r="J241" t="s">
        <v>2682</v>
      </c>
      <c r="K241" t="s">
        <v>2683</v>
      </c>
      <c r="L241" s="13">
        <v>6000</v>
      </c>
      <c r="M241" t="s">
        <v>2676</v>
      </c>
    </row>
    <row r="242" spans="1:13">
      <c r="A242" t="s">
        <v>382</v>
      </c>
      <c r="B242" t="s">
        <v>8</v>
      </c>
      <c r="C242" s="8">
        <v>46020</v>
      </c>
      <c r="D242" t="s">
        <v>342</v>
      </c>
      <c r="E242" t="s">
        <v>339</v>
      </c>
      <c r="F242" s="12">
        <v>273415</v>
      </c>
      <c r="G242" s="13">
        <v>27</v>
      </c>
      <c r="H242" t="s">
        <v>3353</v>
      </c>
      <c r="I242" s="8">
        <v>45991</v>
      </c>
      <c r="J242" t="s">
        <v>2659</v>
      </c>
      <c r="K242" t="s">
        <v>2660</v>
      </c>
      <c r="L242" s="13">
        <v>3500</v>
      </c>
      <c r="M242" t="s">
        <v>2661</v>
      </c>
    </row>
    <row r="243" spans="1:13">
      <c r="A243" t="s">
        <v>783</v>
      </c>
      <c r="B243" t="s">
        <v>8</v>
      </c>
      <c r="C243" s="8">
        <v>46059</v>
      </c>
      <c r="D243" t="s">
        <v>321</v>
      </c>
      <c r="E243" t="s">
        <v>334</v>
      </c>
      <c r="F243" s="12">
        <v>225635</v>
      </c>
      <c r="G243" s="13">
        <v>22</v>
      </c>
      <c r="H243" t="s">
        <v>3033</v>
      </c>
      <c r="I243" s="8">
        <v>46098</v>
      </c>
      <c r="J243" t="s">
        <v>2659</v>
      </c>
      <c r="K243" t="s">
        <v>2660</v>
      </c>
      <c r="L243" s="13">
        <v>3500</v>
      </c>
      <c r="M243" t="s">
        <v>2676</v>
      </c>
    </row>
    <row r="244" spans="1:13">
      <c r="A244" t="s">
        <v>783</v>
      </c>
      <c r="B244" t="s">
        <v>8</v>
      </c>
      <c r="C244" s="8">
        <v>46059</v>
      </c>
      <c r="D244" t="s">
        <v>321</v>
      </c>
      <c r="E244" t="s">
        <v>334</v>
      </c>
      <c r="F244" s="12">
        <v>225635</v>
      </c>
      <c r="G244" s="13">
        <v>22</v>
      </c>
      <c r="H244" t="s">
        <v>3159</v>
      </c>
      <c r="I244" s="8">
        <v>46079</v>
      </c>
      <c r="J244" t="s">
        <v>2659</v>
      </c>
      <c r="K244" t="s">
        <v>2660</v>
      </c>
      <c r="L244" s="13">
        <v>3500</v>
      </c>
      <c r="M244" t="s">
        <v>2661</v>
      </c>
    </row>
    <row r="245" spans="1:13">
      <c r="A245" t="s">
        <v>783</v>
      </c>
      <c r="B245" t="s">
        <v>8</v>
      </c>
      <c r="C245" s="8">
        <v>46059</v>
      </c>
      <c r="D245" t="s">
        <v>321</v>
      </c>
      <c r="E245" t="s">
        <v>334</v>
      </c>
      <c r="F245" s="12">
        <v>225635</v>
      </c>
      <c r="G245" s="13">
        <v>22</v>
      </c>
      <c r="H245" t="s">
        <v>3184</v>
      </c>
      <c r="I245" s="8">
        <v>46261</v>
      </c>
      <c r="J245" t="s">
        <v>2685</v>
      </c>
      <c r="K245" t="s">
        <v>2686</v>
      </c>
      <c r="L245" s="13">
        <v>5000</v>
      </c>
      <c r="M245" t="s">
        <v>2661</v>
      </c>
    </row>
    <row r="246" spans="1:13">
      <c r="A246" t="s">
        <v>783</v>
      </c>
      <c r="B246" t="s">
        <v>8</v>
      </c>
      <c r="C246" s="8">
        <v>46059</v>
      </c>
      <c r="D246" t="s">
        <v>321</v>
      </c>
      <c r="E246" t="s">
        <v>334</v>
      </c>
      <c r="F246" s="12">
        <v>225635</v>
      </c>
      <c r="G246" s="13">
        <v>22</v>
      </c>
      <c r="H246" t="s">
        <v>3303</v>
      </c>
      <c r="I246" s="8">
        <v>46196</v>
      </c>
      <c r="J246" t="s">
        <v>2682</v>
      </c>
      <c r="K246" t="s">
        <v>2683</v>
      </c>
      <c r="L246" s="13">
        <v>6000</v>
      </c>
      <c r="M246" t="s">
        <v>2676</v>
      </c>
    </row>
    <row r="247" spans="1:13">
      <c r="A247" t="s">
        <v>783</v>
      </c>
      <c r="B247" t="s">
        <v>8</v>
      </c>
      <c r="C247" s="8">
        <v>46059</v>
      </c>
      <c r="D247" t="s">
        <v>321</v>
      </c>
      <c r="E247" t="s">
        <v>334</v>
      </c>
      <c r="F247" s="12">
        <v>225635</v>
      </c>
      <c r="G247" s="13">
        <v>22</v>
      </c>
      <c r="H247" t="s">
        <v>3353</v>
      </c>
      <c r="I247" s="8">
        <v>45991</v>
      </c>
      <c r="J247" t="s">
        <v>2659</v>
      </c>
      <c r="K247" t="s">
        <v>2660</v>
      </c>
      <c r="L247" s="13">
        <v>3500</v>
      </c>
      <c r="M247" t="s">
        <v>2661</v>
      </c>
    </row>
    <row r="248" spans="1:13">
      <c r="A248" t="s">
        <v>860</v>
      </c>
      <c r="B248" t="s">
        <v>8</v>
      </c>
      <c r="C248" s="8">
        <v>46151</v>
      </c>
      <c r="D248" t="s">
        <v>350</v>
      </c>
      <c r="E248" t="s">
        <v>328</v>
      </c>
      <c r="F248" s="12">
        <v>121375</v>
      </c>
      <c r="G248" s="13">
        <v>12</v>
      </c>
      <c r="H248" t="s">
        <v>3033</v>
      </c>
      <c r="I248" s="8">
        <v>46098</v>
      </c>
      <c r="J248" t="s">
        <v>2659</v>
      </c>
      <c r="K248" t="s">
        <v>2660</v>
      </c>
      <c r="L248" s="13">
        <v>3500</v>
      </c>
      <c r="M248" t="s">
        <v>2676</v>
      </c>
    </row>
    <row r="249" spans="1:13">
      <c r="A249" t="s">
        <v>860</v>
      </c>
      <c r="B249" t="s">
        <v>8</v>
      </c>
      <c r="C249" s="8">
        <v>46151</v>
      </c>
      <c r="D249" t="s">
        <v>350</v>
      </c>
      <c r="E249" t="s">
        <v>328</v>
      </c>
      <c r="F249" s="12">
        <v>121375</v>
      </c>
      <c r="G249" s="13">
        <v>12</v>
      </c>
      <c r="H249" t="s">
        <v>3159</v>
      </c>
      <c r="I249" s="8">
        <v>46079</v>
      </c>
      <c r="J249" t="s">
        <v>2659</v>
      </c>
      <c r="K249" t="s">
        <v>2660</v>
      </c>
      <c r="L249" s="13">
        <v>3500</v>
      </c>
      <c r="M249" t="s">
        <v>2661</v>
      </c>
    </row>
    <row r="250" spans="1:13">
      <c r="A250" t="s">
        <v>860</v>
      </c>
      <c r="B250" t="s">
        <v>8</v>
      </c>
      <c r="C250" s="8">
        <v>46151</v>
      </c>
      <c r="D250" t="s">
        <v>350</v>
      </c>
      <c r="E250" t="s">
        <v>328</v>
      </c>
      <c r="F250" s="12">
        <v>121375</v>
      </c>
      <c r="G250" s="13">
        <v>12</v>
      </c>
      <c r="H250" t="s">
        <v>3184</v>
      </c>
      <c r="I250" s="8">
        <v>46261</v>
      </c>
      <c r="J250" t="s">
        <v>2685</v>
      </c>
      <c r="K250" t="s">
        <v>2686</v>
      </c>
      <c r="L250" s="13">
        <v>5000</v>
      </c>
      <c r="M250" t="s">
        <v>2661</v>
      </c>
    </row>
    <row r="251" spans="1:13">
      <c r="A251" t="s">
        <v>860</v>
      </c>
      <c r="B251" t="s">
        <v>8</v>
      </c>
      <c r="C251" s="8">
        <v>46151</v>
      </c>
      <c r="D251" t="s">
        <v>350</v>
      </c>
      <c r="E251" t="s">
        <v>328</v>
      </c>
      <c r="F251" s="12">
        <v>121375</v>
      </c>
      <c r="G251" s="13">
        <v>12</v>
      </c>
      <c r="H251" t="s">
        <v>3303</v>
      </c>
      <c r="I251" s="8">
        <v>46196</v>
      </c>
      <c r="J251" t="s">
        <v>2682</v>
      </c>
      <c r="K251" t="s">
        <v>2683</v>
      </c>
      <c r="L251" s="13">
        <v>6000</v>
      </c>
      <c r="M251" t="s">
        <v>2676</v>
      </c>
    </row>
    <row r="252" spans="1:13">
      <c r="A252" t="s">
        <v>860</v>
      </c>
      <c r="B252" t="s">
        <v>8</v>
      </c>
      <c r="C252" s="8">
        <v>46151</v>
      </c>
      <c r="D252" t="s">
        <v>350</v>
      </c>
      <c r="E252" t="s">
        <v>328</v>
      </c>
      <c r="F252" s="12">
        <v>121375</v>
      </c>
      <c r="G252" s="13">
        <v>12</v>
      </c>
      <c r="H252" t="s">
        <v>3353</v>
      </c>
      <c r="I252" s="8">
        <v>45991</v>
      </c>
      <c r="J252" t="s">
        <v>2659</v>
      </c>
      <c r="K252" t="s">
        <v>2660</v>
      </c>
      <c r="L252" s="13">
        <v>3500</v>
      </c>
      <c r="M252" t="s">
        <v>2661</v>
      </c>
    </row>
    <row r="253" spans="1:13">
      <c r="A253" t="s">
        <v>1073</v>
      </c>
      <c r="B253" t="s">
        <v>8</v>
      </c>
      <c r="C253" s="8">
        <v>46032</v>
      </c>
      <c r="D253" t="s">
        <v>332</v>
      </c>
      <c r="E253" t="s">
        <v>325</v>
      </c>
      <c r="F253" s="12">
        <v>122669</v>
      </c>
      <c r="G253" s="13">
        <v>12</v>
      </c>
      <c r="H253" t="s">
        <v>3033</v>
      </c>
      <c r="I253" s="8">
        <v>46098</v>
      </c>
      <c r="J253" t="s">
        <v>2659</v>
      </c>
      <c r="K253" t="s">
        <v>2660</v>
      </c>
      <c r="L253" s="13">
        <v>3500</v>
      </c>
      <c r="M253" t="s">
        <v>2676</v>
      </c>
    </row>
    <row r="254" spans="1:13">
      <c r="A254" t="s">
        <v>1073</v>
      </c>
      <c r="B254" t="s">
        <v>8</v>
      </c>
      <c r="C254" s="8">
        <v>46032</v>
      </c>
      <c r="D254" t="s">
        <v>332</v>
      </c>
      <c r="E254" t="s">
        <v>325</v>
      </c>
      <c r="F254" s="12">
        <v>122669</v>
      </c>
      <c r="G254" s="13">
        <v>12</v>
      </c>
      <c r="H254" t="s">
        <v>3159</v>
      </c>
      <c r="I254" s="8">
        <v>46079</v>
      </c>
      <c r="J254" t="s">
        <v>2659</v>
      </c>
      <c r="K254" t="s">
        <v>2660</v>
      </c>
      <c r="L254" s="13">
        <v>3500</v>
      </c>
      <c r="M254" t="s">
        <v>2661</v>
      </c>
    </row>
    <row r="255" spans="1:13">
      <c r="A255" t="s">
        <v>1073</v>
      </c>
      <c r="B255" t="s">
        <v>8</v>
      </c>
      <c r="C255" s="8">
        <v>46032</v>
      </c>
      <c r="D255" t="s">
        <v>332</v>
      </c>
      <c r="E255" t="s">
        <v>325</v>
      </c>
      <c r="F255" s="12">
        <v>122669</v>
      </c>
      <c r="G255" s="13">
        <v>12</v>
      </c>
      <c r="H255" t="s">
        <v>3184</v>
      </c>
      <c r="I255" s="8">
        <v>46261</v>
      </c>
      <c r="J255" t="s">
        <v>2685</v>
      </c>
      <c r="K255" t="s">
        <v>2686</v>
      </c>
      <c r="L255" s="13">
        <v>5000</v>
      </c>
      <c r="M255" t="s">
        <v>2661</v>
      </c>
    </row>
    <row r="256" spans="1:13">
      <c r="A256" t="s">
        <v>1073</v>
      </c>
      <c r="B256" t="s">
        <v>8</v>
      </c>
      <c r="C256" s="8">
        <v>46032</v>
      </c>
      <c r="D256" t="s">
        <v>332</v>
      </c>
      <c r="E256" t="s">
        <v>325</v>
      </c>
      <c r="F256" s="12">
        <v>122669</v>
      </c>
      <c r="G256" s="13">
        <v>12</v>
      </c>
      <c r="H256" t="s">
        <v>3303</v>
      </c>
      <c r="I256" s="8">
        <v>46196</v>
      </c>
      <c r="J256" t="s">
        <v>2682</v>
      </c>
      <c r="K256" t="s">
        <v>2683</v>
      </c>
      <c r="L256" s="13">
        <v>6000</v>
      </c>
      <c r="M256" t="s">
        <v>2676</v>
      </c>
    </row>
    <row r="257" spans="1:13">
      <c r="A257" t="s">
        <v>1073</v>
      </c>
      <c r="B257" t="s">
        <v>8</v>
      </c>
      <c r="C257" s="8">
        <v>46032</v>
      </c>
      <c r="D257" t="s">
        <v>332</v>
      </c>
      <c r="E257" t="s">
        <v>325</v>
      </c>
      <c r="F257" s="12">
        <v>122669</v>
      </c>
      <c r="G257" s="13">
        <v>12</v>
      </c>
      <c r="H257" t="s">
        <v>3353</v>
      </c>
      <c r="I257" s="8">
        <v>45991</v>
      </c>
      <c r="J257" t="s">
        <v>2659</v>
      </c>
      <c r="K257" t="s">
        <v>2660</v>
      </c>
      <c r="L257" s="13">
        <v>3500</v>
      </c>
      <c r="M257" t="s">
        <v>2661</v>
      </c>
    </row>
    <row r="258" spans="1:13">
      <c r="A258" t="s">
        <v>1131</v>
      </c>
      <c r="B258" t="s">
        <v>8</v>
      </c>
      <c r="C258" s="8">
        <v>46280</v>
      </c>
      <c r="D258" t="s">
        <v>350</v>
      </c>
      <c r="E258" t="s">
        <v>328</v>
      </c>
      <c r="F258" s="12">
        <v>245974</v>
      </c>
      <c r="G258" s="13">
        <v>24</v>
      </c>
      <c r="H258" t="s">
        <v>3033</v>
      </c>
      <c r="I258" s="8">
        <v>46098</v>
      </c>
      <c r="J258" t="s">
        <v>2659</v>
      </c>
      <c r="K258" t="s">
        <v>2660</v>
      </c>
      <c r="L258" s="13">
        <v>3500</v>
      </c>
      <c r="M258" t="s">
        <v>2676</v>
      </c>
    </row>
    <row r="259" spans="1:13">
      <c r="A259" t="s">
        <v>1131</v>
      </c>
      <c r="B259" t="s">
        <v>8</v>
      </c>
      <c r="C259" s="8">
        <v>46280</v>
      </c>
      <c r="D259" t="s">
        <v>350</v>
      </c>
      <c r="E259" t="s">
        <v>328</v>
      </c>
      <c r="F259" s="12">
        <v>245974</v>
      </c>
      <c r="G259" s="13">
        <v>24</v>
      </c>
      <c r="H259" t="s">
        <v>3159</v>
      </c>
      <c r="I259" s="8">
        <v>46079</v>
      </c>
      <c r="J259" t="s">
        <v>2659</v>
      </c>
      <c r="K259" t="s">
        <v>2660</v>
      </c>
      <c r="L259" s="13">
        <v>3500</v>
      </c>
      <c r="M259" t="s">
        <v>2661</v>
      </c>
    </row>
    <row r="260" spans="1:13">
      <c r="A260" t="s">
        <v>1131</v>
      </c>
      <c r="B260" t="s">
        <v>8</v>
      </c>
      <c r="C260" s="8">
        <v>46280</v>
      </c>
      <c r="D260" t="s">
        <v>350</v>
      </c>
      <c r="E260" t="s">
        <v>328</v>
      </c>
      <c r="F260" s="12">
        <v>245974</v>
      </c>
      <c r="G260" s="13">
        <v>24</v>
      </c>
      <c r="H260" t="s">
        <v>3184</v>
      </c>
      <c r="I260" s="8">
        <v>46261</v>
      </c>
      <c r="J260" t="s">
        <v>2685</v>
      </c>
      <c r="K260" t="s">
        <v>2686</v>
      </c>
      <c r="L260" s="13">
        <v>5000</v>
      </c>
      <c r="M260" t="s">
        <v>2661</v>
      </c>
    </row>
    <row r="261" spans="1:13">
      <c r="A261" t="s">
        <v>1131</v>
      </c>
      <c r="B261" t="s">
        <v>8</v>
      </c>
      <c r="C261" s="8">
        <v>46280</v>
      </c>
      <c r="D261" t="s">
        <v>350</v>
      </c>
      <c r="E261" t="s">
        <v>328</v>
      </c>
      <c r="F261" s="12">
        <v>245974</v>
      </c>
      <c r="G261" s="13">
        <v>24</v>
      </c>
      <c r="H261" t="s">
        <v>3303</v>
      </c>
      <c r="I261" s="8">
        <v>46196</v>
      </c>
      <c r="J261" t="s">
        <v>2682</v>
      </c>
      <c r="K261" t="s">
        <v>2683</v>
      </c>
      <c r="L261" s="13">
        <v>6000</v>
      </c>
      <c r="M261" t="s">
        <v>2676</v>
      </c>
    </row>
    <row r="262" spans="1:13">
      <c r="A262" t="s">
        <v>1131</v>
      </c>
      <c r="B262" t="s">
        <v>8</v>
      </c>
      <c r="C262" s="8">
        <v>46280</v>
      </c>
      <c r="D262" t="s">
        <v>350</v>
      </c>
      <c r="E262" t="s">
        <v>328</v>
      </c>
      <c r="F262" s="12">
        <v>245974</v>
      </c>
      <c r="G262" s="13">
        <v>24</v>
      </c>
      <c r="H262" t="s">
        <v>3353</v>
      </c>
      <c r="I262" s="8">
        <v>45991</v>
      </c>
      <c r="J262" t="s">
        <v>2659</v>
      </c>
      <c r="K262" t="s">
        <v>2660</v>
      </c>
      <c r="L262" s="13">
        <v>3500</v>
      </c>
      <c r="M262" t="s">
        <v>2661</v>
      </c>
    </row>
    <row r="263" spans="1:13">
      <c r="A263" t="s">
        <v>1193</v>
      </c>
      <c r="B263" t="s">
        <v>8</v>
      </c>
      <c r="C263" s="8">
        <v>46016</v>
      </c>
      <c r="D263" t="s">
        <v>324</v>
      </c>
      <c r="E263" t="s">
        <v>322</v>
      </c>
      <c r="F263" s="12">
        <v>453254</v>
      </c>
      <c r="G263" s="13">
        <v>45</v>
      </c>
      <c r="H263" t="s">
        <v>3033</v>
      </c>
      <c r="I263" s="8">
        <v>46098</v>
      </c>
      <c r="J263" t="s">
        <v>2659</v>
      </c>
      <c r="K263" t="s">
        <v>2660</v>
      </c>
      <c r="L263" s="13">
        <v>3500</v>
      </c>
      <c r="M263" t="s">
        <v>2676</v>
      </c>
    </row>
    <row r="264" spans="1:13">
      <c r="A264" t="s">
        <v>1193</v>
      </c>
      <c r="B264" t="s">
        <v>8</v>
      </c>
      <c r="C264" s="8">
        <v>46016</v>
      </c>
      <c r="D264" t="s">
        <v>324</v>
      </c>
      <c r="E264" t="s">
        <v>322</v>
      </c>
      <c r="F264" s="12">
        <v>453254</v>
      </c>
      <c r="G264" s="13">
        <v>45</v>
      </c>
      <c r="H264" t="s">
        <v>3159</v>
      </c>
      <c r="I264" s="8">
        <v>46079</v>
      </c>
      <c r="J264" t="s">
        <v>2659</v>
      </c>
      <c r="K264" t="s">
        <v>2660</v>
      </c>
      <c r="L264" s="13">
        <v>3500</v>
      </c>
      <c r="M264" t="s">
        <v>2661</v>
      </c>
    </row>
    <row r="265" spans="1:13">
      <c r="A265" t="s">
        <v>1193</v>
      </c>
      <c r="B265" t="s">
        <v>8</v>
      </c>
      <c r="C265" s="8">
        <v>46016</v>
      </c>
      <c r="D265" t="s">
        <v>324</v>
      </c>
      <c r="E265" t="s">
        <v>322</v>
      </c>
      <c r="F265" s="12">
        <v>453254</v>
      </c>
      <c r="G265" s="13">
        <v>45</v>
      </c>
      <c r="H265" t="s">
        <v>3184</v>
      </c>
      <c r="I265" s="8">
        <v>46261</v>
      </c>
      <c r="J265" t="s">
        <v>2685</v>
      </c>
      <c r="K265" t="s">
        <v>2686</v>
      </c>
      <c r="L265" s="13">
        <v>5000</v>
      </c>
      <c r="M265" t="s">
        <v>2661</v>
      </c>
    </row>
    <row r="266" spans="1:13">
      <c r="A266" t="s">
        <v>1193</v>
      </c>
      <c r="B266" t="s">
        <v>8</v>
      </c>
      <c r="C266" s="8">
        <v>46016</v>
      </c>
      <c r="D266" t="s">
        <v>324</v>
      </c>
      <c r="E266" t="s">
        <v>322</v>
      </c>
      <c r="F266" s="12">
        <v>453254</v>
      </c>
      <c r="G266" s="13">
        <v>45</v>
      </c>
      <c r="H266" t="s">
        <v>3303</v>
      </c>
      <c r="I266" s="8">
        <v>46196</v>
      </c>
      <c r="J266" t="s">
        <v>2682</v>
      </c>
      <c r="K266" t="s">
        <v>2683</v>
      </c>
      <c r="L266" s="13">
        <v>6000</v>
      </c>
      <c r="M266" t="s">
        <v>2676</v>
      </c>
    </row>
    <row r="267" spans="1:13">
      <c r="A267" t="s">
        <v>1193</v>
      </c>
      <c r="B267" t="s">
        <v>8</v>
      </c>
      <c r="C267" s="8">
        <v>46016</v>
      </c>
      <c r="D267" t="s">
        <v>324</v>
      </c>
      <c r="E267" t="s">
        <v>322</v>
      </c>
      <c r="F267" s="12">
        <v>453254</v>
      </c>
      <c r="G267" s="13">
        <v>45</v>
      </c>
      <c r="H267" t="s">
        <v>3353</v>
      </c>
      <c r="I267" s="8">
        <v>45991</v>
      </c>
      <c r="J267" t="s">
        <v>2659</v>
      </c>
      <c r="K267" t="s">
        <v>2660</v>
      </c>
      <c r="L267" s="13">
        <v>3500</v>
      </c>
      <c r="M267" t="s">
        <v>2661</v>
      </c>
    </row>
    <row r="268" spans="1:13">
      <c r="A268" t="s">
        <v>341</v>
      </c>
      <c r="B268" t="s">
        <v>51</v>
      </c>
      <c r="C268" s="8">
        <v>46115</v>
      </c>
      <c r="D268" t="s">
        <v>342</v>
      </c>
      <c r="E268" t="s">
        <v>339</v>
      </c>
      <c r="F268" s="12">
        <v>548410</v>
      </c>
      <c r="G268" s="13">
        <v>54</v>
      </c>
      <c r="H268" t="s">
        <v>2800</v>
      </c>
      <c r="I268" s="8">
        <v>46266</v>
      </c>
      <c r="J268" t="s">
        <v>2674</v>
      </c>
      <c r="K268" t="s">
        <v>2675</v>
      </c>
      <c r="L268" s="13">
        <v>20000</v>
      </c>
      <c r="M268" t="s">
        <v>2676</v>
      </c>
    </row>
    <row r="269" spans="1:13">
      <c r="A269" t="s">
        <v>341</v>
      </c>
      <c r="B269" t="s">
        <v>51</v>
      </c>
      <c r="C269" s="8">
        <v>46115</v>
      </c>
      <c r="D269" t="s">
        <v>342</v>
      </c>
      <c r="E269" t="s">
        <v>339</v>
      </c>
      <c r="F269" s="12">
        <v>548410</v>
      </c>
      <c r="G269" s="13">
        <v>54</v>
      </c>
      <c r="H269" t="s">
        <v>3477</v>
      </c>
      <c r="I269" s="8">
        <v>46036</v>
      </c>
      <c r="J269" t="s">
        <v>2671</v>
      </c>
      <c r="K269" t="s">
        <v>2672</v>
      </c>
      <c r="L269" s="13">
        <v>3000</v>
      </c>
      <c r="M269" t="s">
        <v>2661</v>
      </c>
    </row>
    <row r="270" spans="1:13">
      <c r="A270" t="s">
        <v>923</v>
      </c>
      <c r="B270" t="s">
        <v>51</v>
      </c>
      <c r="C270" s="8">
        <v>46267</v>
      </c>
      <c r="D270" t="s">
        <v>342</v>
      </c>
      <c r="E270" t="s">
        <v>339</v>
      </c>
      <c r="F270" s="12">
        <v>513128</v>
      </c>
      <c r="G270" s="13">
        <v>51</v>
      </c>
      <c r="H270" t="s">
        <v>2800</v>
      </c>
      <c r="I270" s="8">
        <v>46266</v>
      </c>
      <c r="J270" t="s">
        <v>2674</v>
      </c>
      <c r="K270" t="s">
        <v>2675</v>
      </c>
      <c r="L270" s="13">
        <v>20000</v>
      </c>
      <c r="M270" t="s">
        <v>2676</v>
      </c>
    </row>
    <row r="271" spans="1:13">
      <c r="A271" t="s">
        <v>923</v>
      </c>
      <c r="B271" t="s">
        <v>51</v>
      </c>
      <c r="C271" s="8">
        <v>46267</v>
      </c>
      <c r="D271" t="s">
        <v>342</v>
      </c>
      <c r="E271" t="s">
        <v>339</v>
      </c>
      <c r="F271" s="12">
        <v>513128</v>
      </c>
      <c r="G271" s="13">
        <v>51</v>
      </c>
      <c r="H271" t="s">
        <v>3477</v>
      </c>
      <c r="I271" s="8">
        <v>46036</v>
      </c>
      <c r="J271" t="s">
        <v>2671</v>
      </c>
      <c r="K271" t="s">
        <v>2672</v>
      </c>
      <c r="L271" s="13">
        <v>3000</v>
      </c>
      <c r="M271" t="s">
        <v>2661</v>
      </c>
    </row>
    <row r="272" spans="1:13">
      <c r="A272" t="s">
        <v>945</v>
      </c>
      <c r="B272" t="s">
        <v>51</v>
      </c>
      <c r="C272" s="8">
        <v>46020</v>
      </c>
      <c r="D272" t="s">
        <v>321</v>
      </c>
      <c r="E272" t="s">
        <v>337</v>
      </c>
      <c r="F272" s="12">
        <v>25000</v>
      </c>
      <c r="G272" s="13">
        <v>2</v>
      </c>
      <c r="H272" t="s">
        <v>2800</v>
      </c>
      <c r="I272" s="8">
        <v>46266</v>
      </c>
      <c r="J272" t="s">
        <v>2674</v>
      </c>
      <c r="K272" t="s">
        <v>2675</v>
      </c>
      <c r="L272" s="13">
        <v>20000</v>
      </c>
      <c r="M272" t="s">
        <v>2676</v>
      </c>
    </row>
    <row r="273" spans="1:13">
      <c r="A273" t="s">
        <v>945</v>
      </c>
      <c r="B273" t="s">
        <v>51</v>
      </c>
      <c r="C273" s="8">
        <v>46020</v>
      </c>
      <c r="D273" t="s">
        <v>321</v>
      </c>
      <c r="E273" t="s">
        <v>337</v>
      </c>
      <c r="F273" s="12">
        <v>25000</v>
      </c>
      <c r="G273" s="13">
        <v>2</v>
      </c>
      <c r="H273" t="s">
        <v>3477</v>
      </c>
      <c r="I273" s="8">
        <v>46036</v>
      </c>
      <c r="J273" t="s">
        <v>2671</v>
      </c>
      <c r="K273" t="s">
        <v>2672</v>
      </c>
      <c r="L273" s="13">
        <v>3000</v>
      </c>
      <c r="M273" t="s">
        <v>2661</v>
      </c>
    </row>
    <row r="274" spans="1:13">
      <c r="A274" t="s">
        <v>952</v>
      </c>
      <c r="B274" t="s">
        <v>51</v>
      </c>
      <c r="C274" s="8">
        <v>46171</v>
      </c>
      <c r="D274" t="s">
        <v>344</v>
      </c>
      <c r="E274" t="s">
        <v>337</v>
      </c>
      <c r="F274" s="12">
        <v>194719</v>
      </c>
      <c r="G274" s="13">
        <v>19</v>
      </c>
      <c r="H274" t="s">
        <v>2800</v>
      </c>
      <c r="I274" s="8">
        <v>46266</v>
      </c>
      <c r="J274" t="s">
        <v>2674</v>
      </c>
      <c r="K274" t="s">
        <v>2675</v>
      </c>
      <c r="L274" s="13">
        <v>20000</v>
      </c>
      <c r="M274" t="s">
        <v>2676</v>
      </c>
    </row>
    <row r="275" spans="1:13">
      <c r="A275" t="s">
        <v>952</v>
      </c>
      <c r="B275" t="s">
        <v>51</v>
      </c>
      <c r="C275" s="8">
        <v>46171</v>
      </c>
      <c r="D275" t="s">
        <v>344</v>
      </c>
      <c r="E275" t="s">
        <v>337</v>
      </c>
      <c r="F275" s="12">
        <v>194719</v>
      </c>
      <c r="G275" s="13">
        <v>19</v>
      </c>
      <c r="H275" t="s">
        <v>3477</v>
      </c>
      <c r="I275" s="8">
        <v>46036</v>
      </c>
      <c r="J275" t="s">
        <v>2671</v>
      </c>
      <c r="K275" t="s">
        <v>2672</v>
      </c>
      <c r="L275" s="13">
        <v>3000</v>
      </c>
      <c r="M275" t="s">
        <v>2661</v>
      </c>
    </row>
    <row r="276" spans="1:13">
      <c r="A276" t="s">
        <v>1063</v>
      </c>
      <c r="B276" t="s">
        <v>51</v>
      </c>
      <c r="C276" s="8">
        <v>46209</v>
      </c>
      <c r="D276" t="s">
        <v>344</v>
      </c>
      <c r="E276" t="s">
        <v>325</v>
      </c>
      <c r="F276" s="12">
        <v>383339</v>
      </c>
      <c r="G276" s="13">
        <v>38</v>
      </c>
      <c r="H276" t="s">
        <v>2800</v>
      </c>
      <c r="I276" s="8">
        <v>46266</v>
      </c>
      <c r="J276" t="s">
        <v>2674</v>
      </c>
      <c r="K276" t="s">
        <v>2675</v>
      </c>
      <c r="L276" s="13">
        <v>20000</v>
      </c>
      <c r="M276" t="s">
        <v>2676</v>
      </c>
    </row>
    <row r="277" spans="1:13">
      <c r="A277" t="s">
        <v>1063</v>
      </c>
      <c r="B277" t="s">
        <v>51</v>
      </c>
      <c r="C277" s="8">
        <v>46209</v>
      </c>
      <c r="D277" t="s">
        <v>344</v>
      </c>
      <c r="E277" t="s">
        <v>325</v>
      </c>
      <c r="F277" s="12">
        <v>383339</v>
      </c>
      <c r="G277" s="13">
        <v>38</v>
      </c>
      <c r="H277" t="s">
        <v>3477</v>
      </c>
      <c r="I277" s="8">
        <v>46036</v>
      </c>
      <c r="J277" t="s">
        <v>2671</v>
      </c>
      <c r="K277" t="s">
        <v>2672</v>
      </c>
      <c r="L277" s="13">
        <v>3000</v>
      </c>
      <c r="M277" t="s">
        <v>2661</v>
      </c>
    </row>
    <row r="278" spans="1:13">
      <c r="A278" t="s">
        <v>1177</v>
      </c>
      <c r="B278" t="s">
        <v>51</v>
      </c>
      <c r="C278" s="8">
        <v>45931</v>
      </c>
      <c r="D278" t="s">
        <v>327</v>
      </c>
      <c r="E278" t="s">
        <v>328</v>
      </c>
      <c r="F278" s="12">
        <v>206289</v>
      </c>
      <c r="G278" s="13">
        <v>20</v>
      </c>
      <c r="H278" t="s">
        <v>2800</v>
      </c>
      <c r="I278" s="8">
        <v>46266</v>
      </c>
      <c r="J278" t="s">
        <v>2674</v>
      </c>
      <c r="K278" t="s">
        <v>2675</v>
      </c>
      <c r="L278" s="13">
        <v>20000</v>
      </c>
      <c r="M278" t="s">
        <v>2676</v>
      </c>
    </row>
    <row r="279" spans="1:13">
      <c r="A279" t="s">
        <v>1177</v>
      </c>
      <c r="B279" t="s">
        <v>51</v>
      </c>
      <c r="C279" s="8">
        <v>45931</v>
      </c>
      <c r="D279" t="s">
        <v>327</v>
      </c>
      <c r="E279" t="s">
        <v>328</v>
      </c>
      <c r="F279" s="12">
        <v>206289</v>
      </c>
      <c r="G279" s="13">
        <v>20</v>
      </c>
      <c r="H279" t="s">
        <v>3477</v>
      </c>
      <c r="I279" s="8">
        <v>46036</v>
      </c>
      <c r="J279" t="s">
        <v>2671</v>
      </c>
      <c r="K279" t="s">
        <v>2672</v>
      </c>
      <c r="L279" s="13">
        <v>3000</v>
      </c>
      <c r="M279" t="s">
        <v>2661</v>
      </c>
    </row>
    <row r="280" spans="1:13">
      <c r="A280" t="s">
        <v>1206</v>
      </c>
      <c r="B280" t="s">
        <v>51</v>
      </c>
      <c r="C280" s="8">
        <v>46249</v>
      </c>
      <c r="D280" t="s">
        <v>321</v>
      </c>
      <c r="E280" t="s">
        <v>322</v>
      </c>
      <c r="F280" s="12">
        <v>585925</v>
      </c>
      <c r="G280" s="13">
        <v>58</v>
      </c>
      <c r="H280" t="s">
        <v>2800</v>
      </c>
      <c r="I280" s="8">
        <v>46266</v>
      </c>
      <c r="J280" t="s">
        <v>2674</v>
      </c>
      <c r="K280" t="s">
        <v>2675</v>
      </c>
      <c r="L280" s="13">
        <v>20000</v>
      </c>
      <c r="M280" t="s">
        <v>2676</v>
      </c>
    </row>
    <row r="281" spans="1:13">
      <c r="A281" t="s">
        <v>1206</v>
      </c>
      <c r="B281" t="s">
        <v>51</v>
      </c>
      <c r="C281" s="8">
        <v>46249</v>
      </c>
      <c r="D281" t="s">
        <v>321</v>
      </c>
      <c r="E281" t="s">
        <v>322</v>
      </c>
      <c r="F281" s="12">
        <v>585925</v>
      </c>
      <c r="G281" s="13">
        <v>58</v>
      </c>
      <c r="H281" t="s">
        <v>3477</v>
      </c>
      <c r="I281" s="8">
        <v>46036</v>
      </c>
      <c r="J281" t="s">
        <v>2671</v>
      </c>
      <c r="K281" t="s">
        <v>2672</v>
      </c>
      <c r="L281" s="13">
        <v>3000</v>
      </c>
      <c r="M281" t="s">
        <v>2661</v>
      </c>
    </row>
    <row r="282" spans="1:13">
      <c r="A282" t="s">
        <v>492</v>
      </c>
      <c r="B282" t="s">
        <v>61</v>
      </c>
      <c r="C282" s="8">
        <v>46251</v>
      </c>
      <c r="D282" t="s">
        <v>324</v>
      </c>
      <c r="E282" t="s">
        <v>339</v>
      </c>
      <c r="F282" s="12">
        <v>162611</v>
      </c>
      <c r="G282" s="13">
        <v>16</v>
      </c>
      <c r="H282" t="s">
        <v>2681</v>
      </c>
      <c r="I282" s="8">
        <v>46094</v>
      </c>
      <c r="J282" t="s">
        <v>2682</v>
      </c>
      <c r="K282" t="s">
        <v>2683</v>
      </c>
      <c r="L282" s="13">
        <v>6000</v>
      </c>
      <c r="M282" t="s">
        <v>2661</v>
      </c>
    </row>
    <row r="283" spans="1:13">
      <c r="A283" t="s">
        <v>492</v>
      </c>
      <c r="B283" t="s">
        <v>61</v>
      </c>
      <c r="C283" s="8">
        <v>46251</v>
      </c>
      <c r="D283" t="s">
        <v>324</v>
      </c>
      <c r="E283" t="s">
        <v>339</v>
      </c>
      <c r="F283" s="12">
        <v>162611</v>
      </c>
      <c r="G283" s="13">
        <v>16</v>
      </c>
      <c r="H283" t="s">
        <v>2959</v>
      </c>
      <c r="I283" s="8">
        <v>46036</v>
      </c>
      <c r="J283" t="s">
        <v>2692</v>
      </c>
      <c r="K283" t="s">
        <v>2693</v>
      </c>
      <c r="L283" s="13">
        <v>10000</v>
      </c>
      <c r="M283" t="s">
        <v>2661</v>
      </c>
    </row>
    <row r="284" spans="1:13">
      <c r="A284" t="s">
        <v>492</v>
      </c>
      <c r="B284" t="s">
        <v>61</v>
      </c>
      <c r="C284" s="8">
        <v>46251</v>
      </c>
      <c r="D284" t="s">
        <v>324</v>
      </c>
      <c r="E284" t="s">
        <v>339</v>
      </c>
      <c r="F284" s="12">
        <v>162611</v>
      </c>
      <c r="G284" s="13">
        <v>16</v>
      </c>
      <c r="H284" t="s">
        <v>3466</v>
      </c>
      <c r="I284" s="8">
        <v>46050</v>
      </c>
      <c r="J284" t="s">
        <v>2659</v>
      </c>
      <c r="K284" t="s">
        <v>2660</v>
      </c>
      <c r="L284" s="13">
        <v>3500</v>
      </c>
      <c r="M284" t="s">
        <v>2661</v>
      </c>
    </row>
    <row r="285" spans="1:13">
      <c r="A285" t="s">
        <v>492</v>
      </c>
      <c r="B285" t="s">
        <v>61</v>
      </c>
      <c r="C285" s="8">
        <v>46251</v>
      </c>
      <c r="D285" t="s">
        <v>324</v>
      </c>
      <c r="E285" t="s">
        <v>339</v>
      </c>
      <c r="F285" s="12">
        <v>162611</v>
      </c>
      <c r="G285" s="13">
        <v>16</v>
      </c>
      <c r="H285" t="s">
        <v>3470</v>
      </c>
      <c r="I285" s="8">
        <v>46196</v>
      </c>
      <c r="J285" t="s">
        <v>2659</v>
      </c>
      <c r="K285" t="s">
        <v>2660</v>
      </c>
      <c r="L285" s="13">
        <v>3500</v>
      </c>
      <c r="M285" t="s">
        <v>2661</v>
      </c>
    </row>
    <row r="286" spans="1:13">
      <c r="A286" t="s">
        <v>691</v>
      </c>
      <c r="B286" t="s">
        <v>61</v>
      </c>
      <c r="C286" s="8">
        <v>46015</v>
      </c>
      <c r="D286" t="s">
        <v>350</v>
      </c>
      <c r="E286" t="s">
        <v>334</v>
      </c>
      <c r="F286" s="12">
        <v>305361</v>
      </c>
      <c r="G286" s="13">
        <v>30</v>
      </c>
      <c r="H286" t="s">
        <v>2681</v>
      </c>
      <c r="I286" s="8">
        <v>46094</v>
      </c>
      <c r="J286" t="s">
        <v>2682</v>
      </c>
      <c r="K286" t="s">
        <v>2683</v>
      </c>
      <c r="L286" s="13">
        <v>6000</v>
      </c>
      <c r="M286" t="s">
        <v>2661</v>
      </c>
    </row>
    <row r="287" spans="1:13">
      <c r="A287" t="s">
        <v>691</v>
      </c>
      <c r="B287" t="s">
        <v>61</v>
      </c>
      <c r="C287" s="8">
        <v>46015</v>
      </c>
      <c r="D287" t="s">
        <v>350</v>
      </c>
      <c r="E287" t="s">
        <v>334</v>
      </c>
      <c r="F287" s="12">
        <v>305361</v>
      </c>
      <c r="G287" s="13">
        <v>30</v>
      </c>
      <c r="H287" t="s">
        <v>2959</v>
      </c>
      <c r="I287" s="8">
        <v>46036</v>
      </c>
      <c r="J287" t="s">
        <v>2692</v>
      </c>
      <c r="K287" t="s">
        <v>2693</v>
      </c>
      <c r="L287" s="13">
        <v>10000</v>
      </c>
      <c r="M287" t="s">
        <v>2661</v>
      </c>
    </row>
    <row r="288" spans="1:13">
      <c r="A288" t="s">
        <v>691</v>
      </c>
      <c r="B288" t="s">
        <v>61</v>
      </c>
      <c r="C288" s="8">
        <v>46015</v>
      </c>
      <c r="D288" t="s">
        <v>350</v>
      </c>
      <c r="E288" t="s">
        <v>334</v>
      </c>
      <c r="F288" s="12">
        <v>305361</v>
      </c>
      <c r="G288" s="13">
        <v>30</v>
      </c>
      <c r="H288" t="s">
        <v>3466</v>
      </c>
      <c r="I288" s="8">
        <v>46050</v>
      </c>
      <c r="J288" t="s">
        <v>2659</v>
      </c>
      <c r="K288" t="s">
        <v>2660</v>
      </c>
      <c r="L288" s="13">
        <v>3500</v>
      </c>
      <c r="M288" t="s">
        <v>2661</v>
      </c>
    </row>
    <row r="289" spans="1:13">
      <c r="A289" t="s">
        <v>691</v>
      </c>
      <c r="B289" t="s">
        <v>61</v>
      </c>
      <c r="C289" s="8">
        <v>46015</v>
      </c>
      <c r="D289" t="s">
        <v>350</v>
      </c>
      <c r="E289" t="s">
        <v>334</v>
      </c>
      <c r="F289" s="12">
        <v>305361</v>
      </c>
      <c r="G289" s="13">
        <v>30</v>
      </c>
      <c r="H289" t="s">
        <v>3470</v>
      </c>
      <c r="I289" s="8">
        <v>46196</v>
      </c>
      <c r="J289" t="s">
        <v>2659</v>
      </c>
      <c r="K289" t="s">
        <v>2660</v>
      </c>
      <c r="L289" s="13">
        <v>3500</v>
      </c>
      <c r="M289" t="s">
        <v>2661</v>
      </c>
    </row>
    <row r="290" spans="1:13">
      <c r="A290" t="s">
        <v>987</v>
      </c>
      <c r="B290" t="s">
        <v>61</v>
      </c>
      <c r="C290" s="8">
        <v>46204</v>
      </c>
      <c r="D290" t="s">
        <v>342</v>
      </c>
      <c r="E290" t="s">
        <v>339</v>
      </c>
      <c r="F290" s="12">
        <v>634278</v>
      </c>
      <c r="G290" s="13">
        <v>63</v>
      </c>
      <c r="H290" t="s">
        <v>2681</v>
      </c>
      <c r="I290" s="8">
        <v>46094</v>
      </c>
      <c r="J290" t="s">
        <v>2682</v>
      </c>
      <c r="K290" t="s">
        <v>2683</v>
      </c>
      <c r="L290" s="13">
        <v>6000</v>
      </c>
      <c r="M290" t="s">
        <v>2661</v>
      </c>
    </row>
    <row r="291" spans="1:13">
      <c r="A291" t="s">
        <v>987</v>
      </c>
      <c r="B291" t="s">
        <v>61</v>
      </c>
      <c r="C291" s="8">
        <v>46204</v>
      </c>
      <c r="D291" t="s">
        <v>342</v>
      </c>
      <c r="E291" t="s">
        <v>339</v>
      </c>
      <c r="F291" s="12">
        <v>634278</v>
      </c>
      <c r="G291" s="13">
        <v>63</v>
      </c>
      <c r="H291" t="s">
        <v>2959</v>
      </c>
      <c r="I291" s="8">
        <v>46036</v>
      </c>
      <c r="J291" t="s">
        <v>2692</v>
      </c>
      <c r="K291" t="s">
        <v>2693</v>
      </c>
      <c r="L291" s="13">
        <v>10000</v>
      </c>
      <c r="M291" t="s">
        <v>2661</v>
      </c>
    </row>
    <row r="292" spans="1:13">
      <c r="A292" t="s">
        <v>987</v>
      </c>
      <c r="B292" t="s">
        <v>61</v>
      </c>
      <c r="C292" s="8">
        <v>46204</v>
      </c>
      <c r="D292" t="s">
        <v>342</v>
      </c>
      <c r="E292" t="s">
        <v>339</v>
      </c>
      <c r="F292" s="12">
        <v>634278</v>
      </c>
      <c r="G292" s="13">
        <v>63</v>
      </c>
      <c r="H292" t="s">
        <v>3466</v>
      </c>
      <c r="I292" s="8">
        <v>46050</v>
      </c>
      <c r="J292" t="s">
        <v>2659</v>
      </c>
      <c r="K292" t="s">
        <v>2660</v>
      </c>
      <c r="L292" s="13">
        <v>3500</v>
      </c>
      <c r="M292" t="s">
        <v>2661</v>
      </c>
    </row>
    <row r="293" spans="1:13">
      <c r="A293" t="s">
        <v>987</v>
      </c>
      <c r="B293" t="s">
        <v>61</v>
      </c>
      <c r="C293" s="8">
        <v>46204</v>
      </c>
      <c r="D293" t="s">
        <v>342</v>
      </c>
      <c r="E293" t="s">
        <v>339</v>
      </c>
      <c r="F293" s="12">
        <v>634278</v>
      </c>
      <c r="G293" s="13">
        <v>63</v>
      </c>
      <c r="H293" t="s">
        <v>3470</v>
      </c>
      <c r="I293" s="8">
        <v>46196</v>
      </c>
      <c r="J293" t="s">
        <v>2659</v>
      </c>
      <c r="K293" t="s">
        <v>2660</v>
      </c>
      <c r="L293" s="13">
        <v>3500</v>
      </c>
      <c r="M293" t="s">
        <v>2661</v>
      </c>
    </row>
    <row r="294" spans="1:13">
      <c r="A294" t="s">
        <v>343</v>
      </c>
      <c r="B294" t="s">
        <v>246</v>
      </c>
      <c r="C294" s="8">
        <v>46090</v>
      </c>
      <c r="D294" t="s">
        <v>344</v>
      </c>
      <c r="E294" t="s">
        <v>337</v>
      </c>
      <c r="F294" s="12">
        <v>351666</v>
      </c>
      <c r="G294" s="13">
        <v>35</v>
      </c>
      <c r="H294" t="s">
        <v>2762</v>
      </c>
      <c r="I294" s="8">
        <v>46154</v>
      </c>
      <c r="J294" t="s">
        <v>2682</v>
      </c>
      <c r="K294" t="s">
        <v>2683</v>
      </c>
      <c r="L294" s="13">
        <v>6000</v>
      </c>
      <c r="M294" t="s">
        <v>2661</v>
      </c>
    </row>
    <row r="295" spans="1:13">
      <c r="A295" t="s">
        <v>343</v>
      </c>
      <c r="B295" t="s">
        <v>246</v>
      </c>
      <c r="C295" s="8">
        <v>46090</v>
      </c>
      <c r="D295" t="s">
        <v>344</v>
      </c>
      <c r="E295" t="s">
        <v>337</v>
      </c>
      <c r="F295" s="12">
        <v>351666</v>
      </c>
      <c r="G295" s="13">
        <v>35</v>
      </c>
      <c r="H295" t="s">
        <v>2883</v>
      </c>
      <c r="I295" s="8">
        <v>46154</v>
      </c>
      <c r="J295" t="s">
        <v>2688</v>
      </c>
      <c r="K295" t="s">
        <v>2689</v>
      </c>
      <c r="L295" s="13">
        <v>8000</v>
      </c>
      <c r="M295" t="s">
        <v>2676</v>
      </c>
    </row>
    <row r="296" spans="1:13">
      <c r="A296" t="s">
        <v>343</v>
      </c>
      <c r="B296" t="s">
        <v>246</v>
      </c>
      <c r="C296" s="8">
        <v>46090</v>
      </c>
      <c r="D296" t="s">
        <v>344</v>
      </c>
      <c r="E296" t="s">
        <v>337</v>
      </c>
      <c r="F296" s="12">
        <v>351666</v>
      </c>
      <c r="G296" s="13">
        <v>35</v>
      </c>
      <c r="H296" t="s">
        <v>3077</v>
      </c>
      <c r="I296" s="8">
        <v>45953</v>
      </c>
      <c r="J296" t="s">
        <v>2674</v>
      </c>
      <c r="K296" t="s">
        <v>2675</v>
      </c>
      <c r="L296" s="13">
        <v>20000</v>
      </c>
      <c r="M296" t="s">
        <v>2661</v>
      </c>
    </row>
    <row r="297" spans="1:13">
      <c r="A297" t="s">
        <v>343</v>
      </c>
      <c r="B297" t="s">
        <v>246</v>
      </c>
      <c r="C297" s="8">
        <v>46090</v>
      </c>
      <c r="D297" t="s">
        <v>344</v>
      </c>
      <c r="E297" t="s">
        <v>337</v>
      </c>
      <c r="F297" s="12">
        <v>351666</v>
      </c>
      <c r="G297" s="13">
        <v>35</v>
      </c>
      <c r="H297" t="s">
        <v>3504</v>
      </c>
      <c r="I297" s="8">
        <v>46053</v>
      </c>
      <c r="J297" t="s">
        <v>2663</v>
      </c>
      <c r="K297" t="s">
        <v>3630</v>
      </c>
      <c r="L297" s="13">
        <v>1500</v>
      </c>
      <c r="M297" t="s">
        <v>2661</v>
      </c>
    </row>
    <row r="298" spans="1:13">
      <c r="A298" t="s">
        <v>989</v>
      </c>
      <c r="B298" t="s">
        <v>246</v>
      </c>
      <c r="C298" s="8">
        <v>46004</v>
      </c>
      <c r="D298" t="s">
        <v>342</v>
      </c>
      <c r="E298" t="s">
        <v>339</v>
      </c>
      <c r="F298" s="12">
        <v>341863</v>
      </c>
      <c r="G298" s="13">
        <v>34</v>
      </c>
      <c r="H298" t="s">
        <v>2762</v>
      </c>
      <c r="I298" s="8">
        <v>46154</v>
      </c>
      <c r="J298" t="s">
        <v>2682</v>
      </c>
      <c r="K298" t="s">
        <v>2683</v>
      </c>
      <c r="L298" s="13">
        <v>6000</v>
      </c>
      <c r="M298" t="s">
        <v>2661</v>
      </c>
    </row>
    <row r="299" spans="1:13">
      <c r="A299" t="s">
        <v>989</v>
      </c>
      <c r="B299" t="s">
        <v>246</v>
      </c>
      <c r="C299" s="8">
        <v>46004</v>
      </c>
      <c r="D299" t="s">
        <v>342</v>
      </c>
      <c r="E299" t="s">
        <v>339</v>
      </c>
      <c r="F299" s="12">
        <v>341863</v>
      </c>
      <c r="G299" s="13">
        <v>34</v>
      </c>
      <c r="H299" t="s">
        <v>2883</v>
      </c>
      <c r="I299" s="8">
        <v>46154</v>
      </c>
      <c r="J299" t="s">
        <v>2688</v>
      </c>
      <c r="K299" t="s">
        <v>2689</v>
      </c>
      <c r="L299" s="13">
        <v>8000</v>
      </c>
      <c r="M299" t="s">
        <v>2676</v>
      </c>
    </row>
    <row r="300" spans="1:13">
      <c r="A300" t="s">
        <v>989</v>
      </c>
      <c r="B300" t="s">
        <v>246</v>
      </c>
      <c r="C300" s="8">
        <v>46004</v>
      </c>
      <c r="D300" t="s">
        <v>342</v>
      </c>
      <c r="E300" t="s">
        <v>339</v>
      </c>
      <c r="F300" s="12">
        <v>341863</v>
      </c>
      <c r="G300" s="13">
        <v>34</v>
      </c>
      <c r="H300" t="s">
        <v>3077</v>
      </c>
      <c r="I300" s="8">
        <v>45953</v>
      </c>
      <c r="J300" t="s">
        <v>2674</v>
      </c>
      <c r="K300" t="s">
        <v>2675</v>
      </c>
      <c r="L300" s="13">
        <v>20000</v>
      </c>
      <c r="M300" t="s">
        <v>2661</v>
      </c>
    </row>
    <row r="301" spans="1:13">
      <c r="A301" t="s">
        <v>989</v>
      </c>
      <c r="B301" t="s">
        <v>246</v>
      </c>
      <c r="C301" s="8">
        <v>46004</v>
      </c>
      <c r="D301" t="s">
        <v>342</v>
      </c>
      <c r="E301" t="s">
        <v>339</v>
      </c>
      <c r="F301" s="12">
        <v>341863</v>
      </c>
      <c r="G301" s="13">
        <v>34</v>
      </c>
      <c r="H301" t="s">
        <v>3504</v>
      </c>
      <c r="I301" s="8">
        <v>46053</v>
      </c>
      <c r="J301" t="s">
        <v>2663</v>
      </c>
      <c r="K301" t="s">
        <v>3630</v>
      </c>
      <c r="L301" s="13">
        <v>1500</v>
      </c>
      <c r="M301" t="s">
        <v>2661</v>
      </c>
    </row>
    <row r="302" spans="1:13">
      <c r="A302" t="s">
        <v>1128</v>
      </c>
      <c r="B302" t="s">
        <v>246</v>
      </c>
      <c r="C302" s="8">
        <v>46235</v>
      </c>
      <c r="D302" t="s">
        <v>342</v>
      </c>
      <c r="E302" t="s">
        <v>334</v>
      </c>
      <c r="F302" s="12">
        <v>611810</v>
      </c>
      <c r="G302" s="13">
        <v>61</v>
      </c>
      <c r="H302" t="s">
        <v>2762</v>
      </c>
      <c r="I302" s="8">
        <v>46154</v>
      </c>
      <c r="J302" t="s">
        <v>2682</v>
      </c>
      <c r="K302" t="s">
        <v>2683</v>
      </c>
      <c r="L302" s="13">
        <v>6000</v>
      </c>
      <c r="M302" t="s">
        <v>2661</v>
      </c>
    </row>
    <row r="303" spans="1:13">
      <c r="A303" t="s">
        <v>1128</v>
      </c>
      <c r="B303" t="s">
        <v>246</v>
      </c>
      <c r="C303" s="8">
        <v>46235</v>
      </c>
      <c r="D303" t="s">
        <v>342</v>
      </c>
      <c r="E303" t="s">
        <v>334</v>
      </c>
      <c r="F303" s="12">
        <v>611810</v>
      </c>
      <c r="G303" s="13">
        <v>61</v>
      </c>
      <c r="H303" t="s">
        <v>2883</v>
      </c>
      <c r="I303" s="8">
        <v>46154</v>
      </c>
      <c r="J303" t="s">
        <v>2688</v>
      </c>
      <c r="K303" t="s">
        <v>2689</v>
      </c>
      <c r="L303" s="13">
        <v>8000</v>
      </c>
      <c r="M303" t="s">
        <v>2676</v>
      </c>
    </row>
    <row r="304" spans="1:13">
      <c r="A304" t="s">
        <v>1128</v>
      </c>
      <c r="B304" t="s">
        <v>246</v>
      </c>
      <c r="C304" s="8">
        <v>46235</v>
      </c>
      <c r="D304" t="s">
        <v>342</v>
      </c>
      <c r="E304" t="s">
        <v>334</v>
      </c>
      <c r="F304" s="12">
        <v>611810</v>
      </c>
      <c r="G304" s="13">
        <v>61</v>
      </c>
      <c r="H304" t="s">
        <v>3077</v>
      </c>
      <c r="I304" s="8">
        <v>45953</v>
      </c>
      <c r="J304" t="s">
        <v>2674</v>
      </c>
      <c r="K304" t="s">
        <v>2675</v>
      </c>
      <c r="L304" s="13">
        <v>20000</v>
      </c>
      <c r="M304" t="s">
        <v>2661</v>
      </c>
    </row>
    <row r="305" spans="1:13">
      <c r="A305" t="s">
        <v>1128</v>
      </c>
      <c r="B305" t="s">
        <v>246</v>
      </c>
      <c r="C305" s="8">
        <v>46235</v>
      </c>
      <c r="D305" t="s">
        <v>342</v>
      </c>
      <c r="E305" t="s">
        <v>334</v>
      </c>
      <c r="F305" s="12">
        <v>611810</v>
      </c>
      <c r="G305" s="13">
        <v>61</v>
      </c>
      <c r="H305" t="s">
        <v>3504</v>
      </c>
      <c r="I305" s="8">
        <v>46053</v>
      </c>
      <c r="J305" t="s">
        <v>2663</v>
      </c>
      <c r="K305" t="s">
        <v>3630</v>
      </c>
      <c r="L305" s="13">
        <v>1500</v>
      </c>
      <c r="M305" t="s">
        <v>2661</v>
      </c>
    </row>
    <row r="306" spans="1:13">
      <c r="A306" t="s">
        <v>1204</v>
      </c>
      <c r="B306" t="s">
        <v>246</v>
      </c>
      <c r="C306" s="8">
        <v>46170</v>
      </c>
      <c r="D306" t="s">
        <v>344</v>
      </c>
      <c r="E306" t="s">
        <v>322</v>
      </c>
      <c r="F306" s="12">
        <v>998751</v>
      </c>
      <c r="G306" s="13">
        <v>99</v>
      </c>
      <c r="H306" t="s">
        <v>2762</v>
      </c>
      <c r="I306" s="8">
        <v>46154</v>
      </c>
      <c r="J306" t="s">
        <v>2682</v>
      </c>
      <c r="K306" t="s">
        <v>2683</v>
      </c>
      <c r="L306" s="13">
        <v>6000</v>
      </c>
      <c r="M306" t="s">
        <v>2661</v>
      </c>
    </row>
    <row r="307" spans="1:13">
      <c r="A307" t="s">
        <v>1204</v>
      </c>
      <c r="B307" t="s">
        <v>246</v>
      </c>
      <c r="C307" s="8">
        <v>46170</v>
      </c>
      <c r="D307" t="s">
        <v>344</v>
      </c>
      <c r="E307" t="s">
        <v>322</v>
      </c>
      <c r="F307" s="12">
        <v>998751</v>
      </c>
      <c r="G307" s="13">
        <v>99</v>
      </c>
      <c r="H307" t="s">
        <v>2883</v>
      </c>
      <c r="I307" s="8">
        <v>46154</v>
      </c>
      <c r="J307" t="s">
        <v>2688</v>
      </c>
      <c r="K307" t="s">
        <v>2689</v>
      </c>
      <c r="L307" s="13">
        <v>8000</v>
      </c>
      <c r="M307" t="s">
        <v>2676</v>
      </c>
    </row>
    <row r="308" spans="1:13">
      <c r="A308" t="s">
        <v>1204</v>
      </c>
      <c r="B308" t="s">
        <v>246</v>
      </c>
      <c r="C308" s="8">
        <v>46170</v>
      </c>
      <c r="D308" t="s">
        <v>344</v>
      </c>
      <c r="E308" t="s">
        <v>322</v>
      </c>
      <c r="F308" s="12">
        <v>998751</v>
      </c>
      <c r="G308" s="13">
        <v>99</v>
      </c>
      <c r="H308" t="s">
        <v>3077</v>
      </c>
      <c r="I308" s="8">
        <v>45953</v>
      </c>
      <c r="J308" t="s">
        <v>2674</v>
      </c>
      <c r="K308" t="s">
        <v>2675</v>
      </c>
      <c r="L308" s="13">
        <v>20000</v>
      </c>
      <c r="M308" t="s">
        <v>2661</v>
      </c>
    </row>
    <row r="309" spans="1:13">
      <c r="A309" t="s">
        <v>1204</v>
      </c>
      <c r="B309" t="s">
        <v>246</v>
      </c>
      <c r="C309" s="8">
        <v>46170</v>
      </c>
      <c r="D309" t="s">
        <v>344</v>
      </c>
      <c r="E309" t="s">
        <v>322</v>
      </c>
      <c r="F309" s="12">
        <v>998751</v>
      </c>
      <c r="G309" s="13">
        <v>99</v>
      </c>
      <c r="H309" t="s">
        <v>3504</v>
      </c>
      <c r="I309" s="8">
        <v>46053</v>
      </c>
      <c r="J309" t="s">
        <v>2663</v>
      </c>
      <c r="K309" t="s">
        <v>3630</v>
      </c>
      <c r="L309" s="13">
        <v>1500</v>
      </c>
      <c r="M309" t="s">
        <v>2661</v>
      </c>
    </row>
    <row r="310" spans="1:13">
      <c r="A310" t="s">
        <v>429</v>
      </c>
      <c r="B310" t="s">
        <v>190</v>
      </c>
      <c r="C310" s="8">
        <v>46136</v>
      </c>
      <c r="D310" t="s">
        <v>327</v>
      </c>
      <c r="E310" t="s">
        <v>339</v>
      </c>
      <c r="F310" s="12">
        <v>98620</v>
      </c>
      <c r="G310" s="13">
        <v>9</v>
      </c>
      <c r="H310" t="s">
        <v>2684</v>
      </c>
      <c r="I310" s="8">
        <v>46175</v>
      </c>
      <c r="J310" t="s">
        <v>2685</v>
      </c>
      <c r="K310" t="s">
        <v>2686</v>
      </c>
      <c r="L310" s="13">
        <v>5000</v>
      </c>
      <c r="M310" t="s">
        <v>2661</v>
      </c>
    </row>
    <row r="311" spans="1:13">
      <c r="A311" t="s">
        <v>429</v>
      </c>
      <c r="B311" t="s">
        <v>190</v>
      </c>
      <c r="C311" s="8">
        <v>46136</v>
      </c>
      <c r="D311" t="s">
        <v>327</v>
      </c>
      <c r="E311" t="s">
        <v>339</v>
      </c>
      <c r="F311" s="12">
        <v>98620</v>
      </c>
      <c r="G311" s="13">
        <v>9</v>
      </c>
      <c r="H311" t="s">
        <v>2834</v>
      </c>
      <c r="I311" s="8">
        <v>46253</v>
      </c>
      <c r="J311" t="s">
        <v>2692</v>
      </c>
      <c r="K311" t="s">
        <v>2693</v>
      </c>
      <c r="L311" s="13">
        <v>10000</v>
      </c>
      <c r="M311" t="s">
        <v>2676</v>
      </c>
    </row>
    <row r="312" spans="1:13">
      <c r="A312" t="s">
        <v>429</v>
      </c>
      <c r="B312" t="s">
        <v>190</v>
      </c>
      <c r="C312" s="8">
        <v>46136</v>
      </c>
      <c r="D312" t="s">
        <v>327</v>
      </c>
      <c r="E312" t="s">
        <v>339</v>
      </c>
      <c r="F312" s="12">
        <v>98620</v>
      </c>
      <c r="G312" s="13">
        <v>9</v>
      </c>
      <c r="H312" t="s">
        <v>2965</v>
      </c>
      <c r="I312" s="8">
        <v>46102</v>
      </c>
      <c r="J312" t="s">
        <v>2671</v>
      </c>
      <c r="K312" t="s">
        <v>2672</v>
      </c>
      <c r="L312" s="13">
        <v>3000</v>
      </c>
      <c r="M312" t="s">
        <v>2661</v>
      </c>
    </row>
    <row r="313" spans="1:13">
      <c r="A313" t="s">
        <v>429</v>
      </c>
      <c r="B313" t="s">
        <v>190</v>
      </c>
      <c r="C313" s="8">
        <v>46136</v>
      </c>
      <c r="D313" t="s">
        <v>327</v>
      </c>
      <c r="E313" t="s">
        <v>339</v>
      </c>
      <c r="F313" s="12">
        <v>98620</v>
      </c>
      <c r="G313" s="13">
        <v>9</v>
      </c>
      <c r="H313" t="s">
        <v>3299</v>
      </c>
      <c r="I313" s="8">
        <v>46006</v>
      </c>
      <c r="J313" t="s">
        <v>2685</v>
      </c>
      <c r="K313" t="s">
        <v>2686</v>
      </c>
      <c r="L313" s="13">
        <v>5000</v>
      </c>
      <c r="M313" t="s">
        <v>2661</v>
      </c>
    </row>
    <row r="314" spans="1:13">
      <c r="A314" t="s">
        <v>346</v>
      </c>
      <c r="B314" t="s">
        <v>177</v>
      </c>
      <c r="C314" s="8">
        <v>46206</v>
      </c>
      <c r="D314" t="s">
        <v>330</v>
      </c>
      <c r="E314" t="s">
        <v>334</v>
      </c>
      <c r="F314" s="12">
        <v>32071</v>
      </c>
      <c r="G314" s="13">
        <v>3</v>
      </c>
      <c r="H314" t="s">
        <v>3525</v>
      </c>
      <c r="I314" s="8">
        <v>45965</v>
      </c>
      <c r="J314" t="s">
        <v>2668</v>
      </c>
      <c r="K314" t="s">
        <v>2669</v>
      </c>
      <c r="L314" s="13">
        <v>4000</v>
      </c>
      <c r="M314" t="s">
        <v>2661</v>
      </c>
    </row>
    <row r="315" spans="1:13">
      <c r="A315" t="s">
        <v>352</v>
      </c>
      <c r="B315" t="s">
        <v>177</v>
      </c>
      <c r="C315" s="8">
        <v>45969</v>
      </c>
      <c r="D315" t="s">
        <v>344</v>
      </c>
      <c r="E315" t="s">
        <v>339</v>
      </c>
      <c r="F315" s="12">
        <v>646708</v>
      </c>
      <c r="G315" s="13">
        <v>64</v>
      </c>
      <c r="H315" t="s">
        <v>3525</v>
      </c>
      <c r="I315" s="8">
        <v>45965</v>
      </c>
      <c r="J315" t="s">
        <v>2668</v>
      </c>
      <c r="K315" t="s">
        <v>2669</v>
      </c>
      <c r="L315" s="13">
        <v>4000</v>
      </c>
      <c r="M315" t="s">
        <v>2661</v>
      </c>
    </row>
    <row r="316" spans="1:13">
      <c r="A316" t="s">
        <v>1041</v>
      </c>
      <c r="B316" t="s">
        <v>177</v>
      </c>
      <c r="C316" s="8">
        <v>46251</v>
      </c>
      <c r="D316" t="s">
        <v>342</v>
      </c>
      <c r="E316" t="s">
        <v>337</v>
      </c>
      <c r="F316" s="12">
        <v>166149</v>
      </c>
      <c r="G316" s="13">
        <v>16</v>
      </c>
      <c r="H316" t="s">
        <v>3525</v>
      </c>
      <c r="I316" s="8">
        <v>45965</v>
      </c>
      <c r="J316" t="s">
        <v>2668</v>
      </c>
      <c r="K316" t="s">
        <v>2669</v>
      </c>
      <c r="L316" s="13">
        <v>4000</v>
      </c>
      <c r="M316" t="s">
        <v>2661</v>
      </c>
    </row>
    <row r="317" spans="1:13">
      <c r="A317" t="s">
        <v>1046</v>
      </c>
      <c r="B317" t="s">
        <v>177</v>
      </c>
      <c r="C317" s="8">
        <v>46254</v>
      </c>
      <c r="D317" t="s">
        <v>344</v>
      </c>
      <c r="E317" t="s">
        <v>339</v>
      </c>
      <c r="F317" s="12">
        <v>199776</v>
      </c>
      <c r="G317" s="13">
        <v>19</v>
      </c>
      <c r="H317" t="s">
        <v>3525</v>
      </c>
      <c r="I317" s="8">
        <v>45965</v>
      </c>
      <c r="J317" t="s">
        <v>2668</v>
      </c>
      <c r="K317" t="s">
        <v>2669</v>
      </c>
      <c r="L317" s="13">
        <v>4000</v>
      </c>
      <c r="M317" t="s">
        <v>2661</v>
      </c>
    </row>
    <row r="318" spans="1:13">
      <c r="A318" t="s">
        <v>347</v>
      </c>
      <c r="B318" t="s">
        <v>272</v>
      </c>
      <c r="C318" s="8">
        <v>46007</v>
      </c>
      <c r="D318" t="s">
        <v>321</v>
      </c>
      <c r="E318" t="s">
        <v>325</v>
      </c>
      <c r="F318" s="12">
        <v>148908</v>
      </c>
      <c r="G318" s="13">
        <v>14</v>
      </c>
      <c r="H318" t="s">
        <v>3170</v>
      </c>
      <c r="I318" s="8">
        <v>46133</v>
      </c>
      <c r="J318" t="s">
        <v>2659</v>
      </c>
      <c r="K318" t="s">
        <v>2660</v>
      </c>
      <c r="L318" s="13">
        <v>3500</v>
      </c>
      <c r="M318" t="s">
        <v>2661</v>
      </c>
    </row>
    <row r="319" spans="1:13">
      <c r="A319" t="s">
        <v>347</v>
      </c>
      <c r="B319" t="s">
        <v>272</v>
      </c>
      <c r="C319" s="8">
        <v>46007</v>
      </c>
      <c r="D319" t="s">
        <v>321</v>
      </c>
      <c r="E319" t="s">
        <v>325</v>
      </c>
      <c r="F319" s="12">
        <v>148908</v>
      </c>
      <c r="G319" s="13">
        <v>14</v>
      </c>
      <c r="H319" t="s">
        <v>3460</v>
      </c>
      <c r="I319" s="8">
        <v>46021</v>
      </c>
      <c r="J319" t="s">
        <v>2663</v>
      </c>
      <c r="K319" t="s">
        <v>3630</v>
      </c>
      <c r="L319" s="13">
        <v>1500</v>
      </c>
      <c r="M319" t="s">
        <v>2661</v>
      </c>
    </row>
    <row r="320" spans="1:13">
      <c r="A320" t="s">
        <v>836</v>
      </c>
      <c r="B320" t="s">
        <v>272</v>
      </c>
      <c r="C320" s="8">
        <v>46021</v>
      </c>
      <c r="D320" t="s">
        <v>350</v>
      </c>
      <c r="E320" t="s">
        <v>337</v>
      </c>
      <c r="F320" s="12">
        <v>136201</v>
      </c>
      <c r="G320" s="13">
        <v>13</v>
      </c>
      <c r="H320" t="s">
        <v>3170</v>
      </c>
      <c r="I320" s="8">
        <v>46133</v>
      </c>
      <c r="J320" t="s">
        <v>2659</v>
      </c>
      <c r="K320" t="s">
        <v>2660</v>
      </c>
      <c r="L320" s="13">
        <v>3500</v>
      </c>
      <c r="M320" t="s">
        <v>2661</v>
      </c>
    </row>
    <row r="321" spans="1:13">
      <c r="A321" t="s">
        <v>836</v>
      </c>
      <c r="B321" t="s">
        <v>272</v>
      </c>
      <c r="C321" s="8">
        <v>46021</v>
      </c>
      <c r="D321" t="s">
        <v>350</v>
      </c>
      <c r="E321" t="s">
        <v>337</v>
      </c>
      <c r="F321" s="12">
        <v>136201</v>
      </c>
      <c r="G321" s="13">
        <v>13</v>
      </c>
      <c r="H321" t="s">
        <v>3460</v>
      </c>
      <c r="I321" s="8">
        <v>46021</v>
      </c>
      <c r="J321" t="s">
        <v>2663</v>
      </c>
      <c r="K321" t="s">
        <v>3630</v>
      </c>
      <c r="L321" s="13">
        <v>1500</v>
      </c>
      <c r="M321" t="s">
        <v>2661</v>
      </c>
    </row>
    <row r="322" spans="1:13">
      <c r="A322" t="s">
        <v>553</v>
      </c>
      <c r="B322" t="s">
        <v>81</v>
      </c>
      <c r="C322" s="8">
        <v>46140</v>
      </c>
      <c r="D322" t="s">
        <v>350</v>
      </c>
      <c r="E322" t="s">
        <v>328</v>
      </c>
      <c r="F322" s="12">
        <v>431192</v>
      </c>
      <c r="G322" s="13">
        <v>43</v>
      </c>
      <c r="H322" t="s">
        <v>2691</v>
      </c>
      <c r="I322" s="8">
        <v>46098</v>
      </c>
      <c r="J322" t="s">
        <v>2692</v>
      </c>
      <c r="K322" t="s">
        <v>2693</v>
      </c>
      <c r="L322" s="13">
        <v>10000</v>
      </c>
      <c r="M322" t="s">
        <v>2661</v>
      </c>
    </row>
    <row r="323" spans="1:13">
      <c r="A323" t="s">
        <v>553</v>
      </c>
      <c r="B323" t="s">
        <v>81</v>
      </c>
      <c r="C323" s="8">
        <v>46140</v>
      </c>
      <c r="D323" t="s">
        <v>350</v>
      </c>
      <c r="E323" t="s">
        <v>328</v>
      </c>
      <c r="F323" s="12">
        <v>431192</v>
      </c>
      <c r="G323" s="13">
        <v>43</v>
      </c>
      <c r="H323" t="s">
        <v>2788</v>
      </c>
      <c r="I323" s="8">
        <v>46057</v>
      </c>
      <c r="J323" t="s">
        <v>2668</v>
      </c>
      <c r="K323" t="s">
        <v>2669</v>
      </c>
      <c r="L323" s="13">
        <v>4000</v>
      </c>
      <c r="M323" t="s">
        <v>2661</v>
      </c>
    </row>
    <row r="324" spans="1:13">
      <c r="A324" t="s">
        <v>553</v>
      </c>
      <c r="B324" t="s">
        <v>81</v>
      </c>
      <c r="C324" s="8">
        <v>46140</v>
      </c>
      <c r="D324" t="s">
        <v>350</v>
      </c>
      <c r="E324" t="s">
        <v>328</v>
      </c>
      <c r="F324" s="12">
        <v>431192</v>
      </c>
      <c r="G324" s="13">
        <v>43</v>
      </c>
      <c r="H324" t="s">
        <v>2827</v>
      </c>
      <c r="I324" s="8">
        <v>46245</v>
      </c>
      <c r="J324" t="s">
        <v>2668</v>
      </c>
      <c r="K324" t="s">
        <v>2669</v>
      </c>
      <c r="L324" s="13">
        <v>4000</v>
      </c>
      <c r="M324" t="s">
        <v>2661</v>
      </c>
    </row>
    <row r="325" spans="1:13">
      <c r="A325" t="s">
        <v>553</v>
      </c>
      <c r="B325" t="s">
        <v>81</v>
      </c>
      <c r="C325" s="8">
        <v>46140</v>
      </c>
      <c r="D325" t="s">
        <v>350</v>
      </c>
      <c r="E325" t="s">
        <v>328</v>
      </c>
      <c r="F325" s="12">
        <v>431192</v>
      </c>
      <c r="G325" s="13">
        <v>43</v>
      </c>
      <c r="H325" t="s">
        <v>2893</v>
      </c>
      <c r="I325" s="8">
        <v>46034</v>
      </c>
      <c r="J325" t="s">
        <v>2663</v>
      </c>
      <c r="K325" t="s">
        <v>3630</v>
      </c>
      <c r="L325" s="13">
        <v>1500</v>
      </c>
      <c r="M325" t="s">
        <v>2661</v>
      </c>
    </row>
    <row r="326" spans="1:13">
      <c r="A326" t="s">
        <v>553</v>
      </c>
      <c r="B326" t="s">
        <v>81</v>
      </c>
      <c r="C326" s="8">
        <v>46140</v>
      </c>
      <c r="D326" t="s">
        <v>350</v>
      </c>
      <c r="E326" t="s">
        <v>328</v>
      </c>
      <c r="F326" s="12">
        <v>431192</v>
      </c>
      <c r="G326" s="13">
        <v>43</v>
      </c>
      <c r="H326" t="s">
        <v>3088</v>
      </c>
      <c r="I326" s="8">
        <v>46271</v>
      </c>
      <c r="J326" t="s">
        <v>2663</v>
      </c>
      <c r="K326" t="s">
        <v>3630</v>
      </c>
      <c r="L326" s="13">
        <v>1500</v>
      </c>
      <c r="M326" t="s">
        <v>2676</v>
      </c>
    </row>
    <row r="327" spans="1:13">
      <c r="A327" t="s">
        <v>553</v>
      </c>
      <c r="B327" t="s">
        <v>81</v>
      </c>
      <c r="C327" s="8">
        <v>46140</v>
      </c>
      <c r="D327" t="s">
        <v>350</v>
      </c>
      <c r="E327" t="s">
        <v>328</v>
      </c>
      <c r="F327" s="12">
        <v>431192</v>
      </c>
      <c r="G327" s="13">
        <v>43</v>
      </c>
      <c r="H327" t="s">
        <v>3099</v>
      </c>
      <c r="I327" s="8">
        <v>46247</v>
      </c>
      <c r="J327" t="s">
        <v>2668</v>
      </c>
      <c r="K327" t="s">
        <v>2669</v>
      </c>
      <c r="L327" s="13">
        <v>4000</v>
      </c>
      <c r="M327" t="s">
        <v>2676</v>
      </c>
    </row>
    <row r="328" spans="1:13">
      <c r="A328" t="s">
        <v>553</v>
      </c>
      <c r="B328" t="s">
        <v>81</v>
      </c>
      <c r="C328" s="8">
        <v>46140</v>
      </c>
      <c r="D328" t="s">
        <v>350</v>
      </c>
      <c r="E328" t="s">
        <v>328</v>
      </c>
      <c r="F328" s="12">
        <v>431192</v>
      </c>
      <c r="G328" s="13">
        <v>43</v>
      </c>
      <c r="H328" t="s">
        <v>3200</v>
      </c>
      <c r="I328" s="8">
        <v>46120</v>
      </c>
      <c r="J328" t="s">
        <v>2685</v>
      </c>
      <c r="K328" t="s">
        <v>2686</v>
      </c>
      <c r="L328" s="13">
        <v>5000</v>
      </c>
      <c r="M328" t="s">
        <v>2661</v>
      </c>
    </row>
    <row r="329" spans="1:13">
      <c r="A329" t="s">
        <v>553</v>
      </c>
      <c r="B329" t="s">
        <v>81</v>
      </c>
      <c r="C329" s="8">
        <v>46140</v>
      </c>
      <c r="D329" t="s">
        <v>350</v>
      </c>
      <c r="E329" t="s">
        <v>328</v>
      </c>
      <c r="F329" s="12">
        <v>431192</v>
      </c>
      <c r="G329" s="13">
        <v>43</v>
      </c>
      <c r="H329" t="s">
        <v>3250</v>
      </c>
      <c r="I329" s="8">
        <v>46234</v>
      </c>
      <c r="J329" t="s">
        <v>2659</v>
      </c>
      <c r="K329" t="s">
        <v>2660</v>
      </c>
      <c r="L329" s="13">
        <v>3500</v>
      </c>
      <c r="M329" t="s">
        <v>2661</v>
      </c>
    </row>
    <row r="330" spans="1:13">
      <c r="A330" t="s">
        <v>553</v>
      </c>
      <c r="B330" t="s">
        <v>81</v>
      </c>
      <c r="C330" s="8">
        <v>46140</v>
      </c>
      <c r="D330" t="s">
        <v>350</v>
      </c>
      <c r="E330" t="s">
        <v>328</v>
      </c>
      <c r="F330" s="12">
        <v>431192</v>
      </c>
      <c r="G330" s="13">
        <v>43</v>
      </c>
      <c r="H330" t="s">
        <v>3263</v>
      </c>
      <c r="I330" s="8">
        <v>45996</v>
      </c>
      <c r="J330" t="s">
        <v>2682</v>
      </c>
      <c r="K330" t="s">
        <v>2683</v>
      </c>
      <c r="L330" s="13">
        <v>6000</v>
      </c>
      <c r="M330" t="s">
        <v>2661</v>
      </c>
    </row>
    <row r="331" spans="1:13">
      <c r="A331" t="s">
        <v>553</v>
      </c>
      <c r="B331" t="s">
        <v>81</v>
      </c>
      <c r="C331" s="8">
        <v>46140</v>
      </c>
      <c r="D331" t="s">
        <v>350</v>
      </c>
      <c r="E331" t="s">
        <v>328</v>
      </c>
      <c r="F331" s="12">
        <v>431192</v>
      </c>
      <c r="G331" s="13">
        <v>43</v>
      </c>
      <c r="H331" t="s">
        <v>3561</v>
      </c>
      <c r="I331" s="8">
        <v>46096</v>
      </c>
      <c r="J331" t="s">
        <v>2692</v>
      </c>
      <c r="K331" t="s">
        <v>2693</v>
      </c>
      <c r="L331" s="13">
        <v>10000</v>
      </c>
      <c r="M331" t="s">
        <v>2676</v>
      </c>
    </row>
    <row r="332" spans="1:13">
      <c r="A332" t="s">
        <v>973</v>
      </c>
      <c r="B332" t="s">
        <v>81</v>
      </c>
      <c r="C332" s="8">
        <v>45942</v>
      </c>
      <c r="D332" t="s">
        <v>324</v>
      </c>
      <c r="E332" t="s">
        <v>325</v>
      </c>
      <c r="F332" s="12">
        <v>74764</v>
      </c>
      <c r="G332" s="13">
        <v>7</v>
      </c>
      <c r="H332" t="s">
        <v>2691</v>
      </c>
      <c r="I332" s="8">
        <v>46098</v>
      </c>
      <c r="J332" t="s">
        <v>2692</v>
      </c>
      <c r="K332" t="s">
        <v>2693</v>
      </c>
      <c r="L332" s="13">
        <v>10000</v>
      </c>
      <c r="M332" t="s">
        <v>2661</v>
      </c>
    </row>
    <row r="333" spans="1:13">
      <c r="A333" t="s">
        <v>973</v>
      </c>
      <c r="B333" t="s">
        <v>81</v>
      </c>
      <c r="C333" s="8">
        <v>45942</v>
      </c>
      <c r="D333" t="s">
        <v>324</v>
      </c>
      <c r="E333" t="s">
        <v>325</v>
      </c>
      <c r="F333" s="12">
        <v>74764</v>
      </c>
      <c r="G333" s="13">
        <v>7</v>
      </c>
      <c r="H333" t="s">
        <v>2788</v>
      </c>
      <c r="I333" s="8">
        <v>46057</v>
      </c>
      <c r="J333" t="s">
        <v>2668</v>
      </c>
      <c r="K333" t="s">
        <v>2669</v>
      </c>
      <c r="L333" s="13">
        <v>4000</v>
      </c>
      <c r="M333" t="s">
        <v>2661</v>
      </c>
    </row>
    <row r="334" spans="1:13">
      <c r="A334" t="s">
        <v>973</v>
      </c>
      <c r="B334" t="s">
        <v>81</v>
      </c>
      <c r="C334" s="8">
        <v>45942</v>
      </c>
      <c r="D334" t="s">
        <v>324</v>
      </c>
      <c r="E334" t="s">
        <v>325</v>
      </c>
      <c r="F334" s="12">
        <v>74764</v>
      </c>
      <c r="G334" s="13">
        <v>7</v>
      </c>
      <c r="H334" t="s">
        <v>2827</v>
      </c>
      <c r="I334" s="8">
        <v>46245</v>
      </c>
      <c r="J334" t="s">
        <v>2668</v>
      </c>
      <c r="K334" t="s">
        <v>2669</v>
      </c>
      <c r="L334" s="13">
        <v>4000</v>
      </c>
      <c r="M334" t="s">
        <v>2661</v>
      </c>
    </row>
    <row r="335" spans="1:13">
      <c r="A335" t="s">
        <v>973</v>
      </c>
      <c r="B335" t="s">
        <v>81</v>
      </c>
      <c r="C335" s="8">
        <v>45942</v>
      </c>
      <c r="D335" t="s">
        <v>324</v>
      </c>
      <c r="E335" t="s">
        <v>325</v>
      </c>
      <c r="F335" s="12">
        <v>74764</v>
      </c>
      <c r="G335" s="13">
        <v>7</v>
      </c>
      <c r="H335" t="s">
        <v>2893</v>
      </c>
      <c r="I335" s="8">
        <v>46034</v>
      </c>
      <c r="J335" t="s">
        <v>2663</v>
      </c>
      <c r="K335" t="s">
        <v>3630</v>
      </c>
      <c r="L335" s="13">
        <v>1500</v>
      </c>
      <c r="M335" t="s">
        <v>2661</v>
      </c>
    </row>
    <row r="336" spans="1:13">
      <c r="A336" t="s">
        <v>973</v>
      </c>
      <c r="B336" t="s">
        <v>81</v>
      </c>
      <c r="C336" s="8">
        <v>45942</v>
      </c>
      <c r="D336" t="s">
        <v>324</v>
      </c>
      <c r="E336" t="s">
        <v>325</v>
      </c>
      <c r="F336" s="12">
        <v>74764</v>
      </c>
      <c r="G336" s="13">
        <v>7</v>
      </c>
      <c r="H336" t="s">
        <v>3088</v>
      </c>
      <c r="I336" s="8">
        <v>46271</v>
      </c>
      <c r="J336" t="s">
        <v>2663</v>
      </c>
      <c r="K336" t="s">
        <v>3630</v>
      </c>
      <c r="L336" s="13">
        <v>1500</v>
      </c>
      <c r="M336" t="s">
        <v>2676</v>
      </c>
    </row>
    <row r="337" spans="1:13">
      <c r="A337" t="s">
        <v>973</v>
      </c>
      <c r="B337" t="s">
        <v>81</v>
      </c>
      <c r="C337" s="8">
        <v>45942</v>
      </c>
      <c r="D337" t="s">
        <v>324</v>
      </c>
      <c r="E337" t="s">
        <v>325</v>
      </c>
      <c r="F337" s="12">
        <v>74764</v>
      </c>
      <c r="G337" s="13">
        <v>7</v>
      </c>
      <c r="H337" t="s">
        <v>3099</v>
      </c>
      <c r="I337" s="8">
        <v>46247</v>
      </c>
      <c r="J337" t="s">
        <v>2668</v>
      </c>
      <c r="K337" t="s">
        <v>2669</v>
      </c>
      <c r="L337" s="13">
        <v>4000</v>
      </c>
      <c r="M337" t="s">
        <v>2676</v>
      </c>
    </row>
    <row r="338" spans="1:13">
      <c r="A338" t="s">
        <v>973</v>
      </c>
      <c r="B338" t="s">
        <v>81</v>
      </c>
      <c r="C338" s="8">
        <v>45942</v>
      </c>
      <c r="D338" t="s">
        <v>324</v>
      </c>
      <c r="E338" t="s">
        <v>325</v>
      </c>
      <c r="F338" s="12">
        <v>74764</v>
      </c>
      <c r="G338" s="13">
        <v>7</v>
      </c>
      <c r="H338" t="s">
        <v>3200</v>
      </c>
      <c r="I338" s="8">
        <v>46120</v>
      </c>
      <c r="J338" t="s">
        <v>2685</v>
      </c>
      <c r="K338" t="s">
        <v>2686</v>
      </c>
      <c r="L338" s="13">
        <v>5000</v>
      </c>
      <c r="M338" t="s">
        <v>2661</v>
      </c>
    </row>
    <row r="339" spans="1:13">
      <c r="A339" t="s">
        <v>973</v>
      </c>
      <c r="B339" t="s">
        <v>81</v>
      </c>
      <c r="C339" s="8">
        <v>45942</v>
      </c>
      <c r="D339" t="s">
        <v>324</v>
      </c>
      <c r="E339" t="s">
        <v>325</v>
      </c>
      <c r="F339" s="12">
        <v>74764</v>
      </c>
      <c r="G339" s="13">
        <v>7</v>
      </c>
      <c r="H339" t="s">
        <v>3250</v>
      </c>
      <c r="I339" s="8">
        <v>46234</v>
      </c>
      <c r="J339" t="s">
        <v>2659</v>
      </c>
      <c r="K339" t="s">
        <v>2660</v>
      </c>
      <c r="L339" s="13">
        <v>3500</v>
      </c>
      <c r="M339" t="s">
        <v>2661</v>
      </c>
    </row>
    <row r="340" spans="1:13">
      <c r="A340" t="s">
        <v>973</v>
      </c>
      <c r="B340" t="s">
        <v>81</v>
      </c>
      <c r="C340" s="8">
        <v>45942</v>
      </c>
      <c r="D340" t="s">
        <v>324</v>
      </c>
      <c r="E340" t="s">
        <v>325</v>
      </c>
      <c r="F340" s="12">
        <v>74764</v>
      </c>
      <c r="G340" s="13">
        <v>7</v>
      </c>
      <c r="H340" t="s">
        <v>3263</v>
      </c>
      <c r="I340" s="8">
        <v>45996</v>
      </c>
      <c r="J340" t="s">
        <v>2682</v>
      </c>
      <c r="K340" t="s">
        <v>2683</v>
      </c>
      <c r="L340" s="13">
        <v>6000</v>
      </c>
      <c r="M340" t="s">
        <v>2661</v>
      </c>
    </row>
    <row r="341" spans="1:13">
      <c r="A341" t="s">
        <v>973</v>
      </c>
      <c r="B341" t="s">
        <v>81</v>
      </c>
      <c r="C341" s="8">
        <v>45942</v>
      </c>
      <c r="D341" t="s">
        <v>324</v>
      </c>
      <c r="E341" t="s">
        <v>325</v>
      </c>
      <c r="F341" s="12">
        <v>74764</v>
      </c>
      <c r="G341" s="13">
        <v>7</v>
      </c>
      <c r="H341" t="s">
        <v>3561</v>
      </c>
      <c r="I341" s="8">
        <v>46096</v>
      </c>
      <c r="J341" t="s">
        <v>2692</v>
      </c>
      <c r="K341" t="s">
        <v>2693</v>
      </c>
      <c r="L341" s="13">
        <v>10000</v>
      </c>
      <c r="M341" t="s">
        <v>2676</v>
      </c>
    </row>
    <row r="342" spans="1:13">
      <c r="A342" t="s">
        <v>995</v>
      </c>
      <c r="B342" t="s">
        <v>81</v>
      </c>
      <c r="C342" s="8">
        <v>46126</v>
      </c>
      <c r="D342" t="s">
        <v>321</v>
      </c>
      <c r="E342" t="s">
        <v>325</v>
      </c>
      <c r="F342" s="12">
        <v>89819</v>
      </c>
      <c r="G342" s="13">
        <v>8</v>
      </c>
      <c r="H342" t="s">
        <v>2691</v>
      </c>
      <c r="I342" s="8">
        <v>46098</v>
      </c>
      <c r="J342" t="s">
        <v>2692</v>
      </c>
      <c r="K342" t="s">
        <v>2693</v>
      </c>
      <c r="L342" s="13">
        <v>10000</v>
      </c>
      <c r="M342" t="s">
        <v>2661</v>
      </c>
    </row>
    <row r="343" spans="1:13">
      <c r="A343" t="s">
        <v>995</v>
      </c>
      <c r="B343" t="s">
        <v>81</v>
      </c>
      <c r="C343" s="8">
        <v>46126</v>
      </c>
      <c r="D343" t="s">
        <v>321</v>
      </c>
      <c r="E343" t="s">
        <v>325</v>
      </c>
      <c r="F343" s="12">
        <v>89819</v>
      </c>
      <c r="G343" s="13">
        <v>8</v>
      </c>
      <c r="H343" t="s">
        <v>2788</v>
      </c>
      <c r="I343" s="8">
        <v>46057</v>
      </c>
      <c r="J343" t="s">
        <v>2668</v>
      </c>
      <c r="K343" t="s">
        <v>2669</v>
      </c>
      <c r="L343" s="13">
        <v>4000</v>
      </c>
      <c r="M343" t="s">
        <v>2661</v>
      </c>
    </row>
    <row r="344" spans="1:13">
      <c r="A344" t="s">
        <v>995</v>
      </c>
      <c r="B344" t="s">
        <v>81</v>
      </c>
      <c r="C344" s="8">
        <v>46126</v>
      </c>
      <c r="D344" t="s">
        <v>321</v>
      </c>
      <c r="E344" t="s">
        <v>325</v>
      </c>
      <c r="F344" s="12">
        <v>89819</v>
      </c>
      <c r="G344" s="13">
        <v>8</v>
      </c>
      <c r="H344" t="s">
        <v>2827</v>
      </c>
      <c r="I344" s="8">
        <v>46245</v>
      </c>
      <c r="J344" t="s">
        <v>2668</v>
      </c>
      <c r="K344" t="s">
        <v>2669</v>
      </c>
      <c r="L344" s="13">
        <v>4000</v>
      </c>
      <c r="M344" t="s">
        <v>2661</v>
      </c>
    </row>
    <row r="345" spans="1:13">
      <c r="A345" t="s">
        <v>995</v>
      </c>
      <c r="B345" t="s">
        <v>81</v>
      </c>
      <c r="C345" s="8">
        <v>46126</v>
      </c>
      <c r="D345" t="s">
        <v>321</v>
      </c>
      <c r="E345" t="s">
        <v>325</v>
      </c>
      <c r="F345" s="12">
        <v>89819</v>
      </c>
      <c r="G345" s="13">
        <v>8</v>
      </c>
      <c r="H345" t="s">
        <v>2893</v>
      </c>
      <c r="I345" s="8">
        <v>46034</v>
      </c>
      <c r="J345" t="s">
        <v>2663</v>
      </c>
      <c r="K345" t="s">
        <v>3630</v>
      </c>
      <c r="L345" s="13">
        <v>1500</v>
      </c>
      <c r="M345" t="s">
        <v>2661</v>
      </c>
    </row>
    <row r="346" spans="1:13">
      <c r="A346" t="s">
        <v>995</v>
      </c>
      <c r="B346" t="s">
        <v>81</v>
      </c>
      <c r="C346" s="8">
        <v>46126</v>
      </c>
      <c r="D346" t="s">
        <v>321</v>
      </c>
      <c r="E346" t="s">
        <v>325</v>
      </c>
      <c r="F346" s="12">
        <v>89819</v>
      </c>
      <c r="G346" s="13">
        <v>8</v>
      </c>
      <c r="H346" t="s">
        <v>3088</v>
      </c>
      <c r="I346" s="8">
        <v>46271</v>
      </c>
      <c r="J346" t="s">
        <v>2663</v>
      </c>
      <c r="K346" t="s">
        <v>3630</v>
      </c>
      <c r="L346" s="13">
        <v>1500</v>
      </c>
      <c r="M346" t="s">
        <v>2676</v>
      </c>
    </row>
    <row r="347" spans="1:13">
      <c r="A347" t="s">
        <v>995</v>
      </c>
      <c r="B347" t="s">
        <v>81</v>
      </c>
      <c r="C347" s="8">
        <v>46126</v>
      </c>
      <c r="D347" t="s">
        <v>321</v>
      </c>
      <c r="E347" t="s">
        <v>325</v>
      </c>
      <c r="F347" s="12">
        <v>89819</v>
      </c>
      <c r="G347" s="13">
        <v>8</v>
      </c>
      <c r="H347" t="s">
        <v>3099</v>
      </c>
      <c r="I347" s="8">
        <v>46247</v>
      </c>
      <c r="J347" t="s">
        <v>2668</v>
      </c>
      <c r="K347" t="s">
        <v>2669</v>
      </c>
      <c r="L347" s="13">
        <v>4000</v>
      </c>
      <c r="M347" t="s">
        <v>2676</v>
      </c>
    </row>
    <row r="348" spans="1:13">
      <c r="A348" t="s">
        <v>995</v>
      </c>
      <c r="B348" t="s">
        <v>81</v>
      </c>
      <c r="C348" s="8">
        <v>46126</v>
      </c>
      <c r="D348" t="s">
        <v>321</v>
      </c>
      <c r="E348" t="s">
        <v>325</v>
      </c>
      <c r="F348" s="12">
        <v>89819</v>
      </c>
      <c r="G348" s="13">
        <v>8</v>
      </c>
      <c r="H348" t="s">
        <v>3200</v>
      </c>
      <c r="I348" s="8">
        <v>46120</v>
      </c>
      <c r="J348" t="s">
        <v>2685</v>
      </c>
      <c r="K348" t="s">
        <v>2686</v>
      </c>
      <c r="L348" s="13">
        <v>5000</v>
      </c>
      <c r="M348" t="s">
        <v>2661</v>
      </c>
    </row>
    <row r="349" spans="1:13">
      <c r="A349" t="s">
        <v>995</v>
      </c>
      <c r="B349" t="s">
        <v>81</v>
      </c>
      <c r="C349" s="8">
        <v>46126</v>
      </c>
      <c r="D349" t="s">
        <v>321</v>
      </c>
      <c r="E349" t="s">
        <v>325</v>
      </c>
      <c r="F349" s="12">
        <v>89819</v>
      </c>
      <c r="G349" s="13">
        <v>8</v>
      </c>
      <c r="H349" t="s">
        <v>3250</v>
      </c>
      <c r="I349" s="8">
        <v>46234</v>
      </c>
      <c r="J349" t="s">
        <v>2659</v>
      </c>
      <c r="K349" t="s">
        <v>2660</v>
      </c>
      <c r="L349" s="13">
        <v>3500</v>
      </c>
      <c r="M349" t="s">
        <v>2661</v>
      </c>
    </row>
    <row r="350" spans="1:13">
      <c r="A350" t="s">
        <v>995</v>
      </c>
      <c r="B350" t="s">
        <v>81</v>
      </c>
      <c r="C350" s="8">
        <v>46126</v>
      </c>
      <c r="D350" t="s">
        <v>321</v>
      </c>
      <c r="E350" t="s">
        <v>325</v>
      </c>
      <c r="F350" s="12">
        <v>89819</v>
      </c>
      <c r="G350" s="13">
        <v>8</v>
      </c>
      <c r="H350" t="s">
        <v>3263</v>
      </c>
      <c r="I350" s="8">
        <v>45996</v>
      </c>
      <c r="J350" t="s">
        <v>2682</v>
      </c>
      <c r="K350" t="s">
        <v>2683</v>
      </c>
      <c r="L350" s="13">
        <v>6000</v>
      </c>
      <c r="M350" t="s">
        <v>2661</v>
      </c>
    </row>
    <row r="351" spans="1:13">
      <c r="A351" t="s">
        <v>995</v>
      </c>
      <c r="B351" t="s">
        <v>81</v>
      </c>
      <c r="C351" s="8">
        <v>46126</v>
      </c>
      <c r="D351" t="s">
        <v>321</v>
      </c>
      <c r="E351" t="s">
        <v>325</v>
      </c>
      <c r="F351" s="12">
        <v>89819</v>
      </c>
      <c r="G351" s="13">
        <v>8</v>
      </c>
      <c r="H351" t="s">
        <v>3561</v>
      </c>
      <c r="I351" s="8">
        <v>46096</v>
      </c>
      <c r="J351" t="s">
        <v>2692</v>
      </c>
      <c r="K351" t="s">
        <v>2693</v>
      </c>
      <c r="L351" s="13">
        <v>10000</v>
      </c>
      <c r="M351" t="s">
        <v>2676</v>
      </c>
    </row>
    <row r="352" spans="1:13">
      <c r="A352" t="s">
        <v>348</v>
      </c>
      <c r="B352" t="s">
        <v>287</v>
      </c>
      <c r="C352" s="8">
        <v>45992</v>
      </c>
      <c r="D352" t="s">
        <v>327</v>
      </c>
      <c r="E352" t="s">
        <v>339</v>
      </c>
      <c r="F352" s="12">
        <v>197239</v>
      </c>
      <c r="G352" s="13">
        <v>19</v>
      </c>
      <c r="H352" t="s">
        <v>2902</v>
      </c>
      <c r="I352" s="8">
        <v>46135</v>
      </c>
      <c r="J352" t="s">
        <v>2692</v>
      </c>
      <c r="K352" t="s">
        <v>2693</v>
      </c>
      <c r="L352" s="13">
        <v>10000</v>
      </c>
      <c r="M352" t="s">
        <v>2661</v>
      </c>
    </row>
    <row r="353" spans="1:13">
      <c r="A353" t="s">
        <v>348</v>
      </c>
      <c r="B353" t="s">
        <v>287</v>
      </c>
      <c r="C353" s="8">
        <v>45992</v>
      </c>
      <c r="D353" t="s">
        <v>327</v>
      </c>
      <c r="E353" t="s">
        <v>339</v>
      </c>
      <c r="F353" s="12">
        <v>197239</v>
      </c>
      <c r="G353" s="13">
        <v>19</v>
      </c>
      <c r="H353" t="s">
        <v>2980</v>
      </c>
      <c r="I353" s="8">
        <v>46280</v>
      </c>
      <c r="J353" t="s">
        <v>2663</v>
      </c>
      <c r="K353" t="s">
        <v>3630</v>
      </c>
      <c r="L353" s="13">
        <v>1500</v>
      </c>
      <c r="M353" t="s">
        <v>2661</v>
      </c>
    </row>
    <row r="354" spans="1:13">
      <c r="A354" t="s">
        <v>348</v>
      </c>
      <c r="B354" t="s">
        <v>287</v>
      </c>
      <c r="C354" s="8">
        <v>45992</v>
      </c>
      <c r="D354" t="s">
        <v>327</v>
      </c>
      <c r="E354" t="s">
        <v>339</v>
      </c>
      <c r="F354" s="12">
        <v>197239</v>
      </c>
      <c r="G354" s="13">
        <v>19</v>
      </c>
      <c r="H354" t="s">
        <v>3096</v>
      </c>
      <c r="I354" s="8">
        <v>46218</v>
      </c>
      <c r="J354" t="s">
        <v>2688</v>
      </c>
      <c r="K354" t="s">
        <v>2689</v>
      </c>
      <c r="L354" s="13">
        <v>8000</v>
      </c>
      <c r="M354" t="s">
        <v>2661</v>
      </c>
    </row>
    <row r="355" spans="1:13">
      <c r="A355" t="s">
        <v>348</v>
      </c>
      <c r="B355" t="s">
        <v>287</v>
      </c>
      <c r="C355" s="8">
        <v>45992</v>
      </c>
      <c r="D355" t="s">
        <v>327</v>
      </c>
      <c r="E355" t="s">
        <v>339</v>
      </c>
      <c r="F355" s="12">
        <v>197239</v>
      </c>
      <c r="G355" s="13">
        <v>19</v>
      </c>
      <c r="H355" t="s">
        <v>3129</v>
      </c>
      <c r="I355" s="8">
        <v>45981</v>
      </c>
      <c r="J355" t="s">
        <v>2685</v>
      </c>
      <c r="K355" t="s">
        <v>2686</v>
      </c>
      <c r="L355" s="13">
        <v>5000</v>
      </c>
      <c r="M355" t="s">
        <v>2661</v>
      </c>
    </row>
    <row r="356" spans="1:13">
      <c r="A356" t="s">
        <v>348</v>
      </c>
      <c r="B356" t="s">
        <v>287</v>
      </c>
      <c r="C356" s="8">
        <v>45992</v>
      </c>
      <c r="D356" t="s">
        <v>327</v>
      </c>
      <c r="E356" t="s">
        <v>339</v>
      </c>
      <c r="F356" s="12">
        <v>197239</v>
      </c>
      <c r="G356" s="13">
        <v>19</v>
      </c>
      <c r="H356" t="s">
        <v>3237</v>
      </c>
      <c r="I356" s="8">
        <v>46146</v>
      </c>
      <c r="J356" t="s">
        <v>2682</v>
      </c>
      <c r="K356" t="s">
        <v>2683</v>
      </c>
      <c r="L356" s="13">
        <v>6000</v>
      </c>
      <c r="M356" t="s">
        <v>2676</v>
      </c>
    </row>
    <row r="357" spans="1:13">
      <c r="A357" t="s">
        <v>348</v>
      </c>
      <c r="B357" t="s">
        <v>287</v>
      </c>
      <c r="C357" s="8">
        <v>45992</v>
      </c>
      <c r="D357" t="s">
        <v>327</v>
      </c>
      <c r="E357" t="s">
        <v>339</v>
      </c>
      <c r="F357" s="12">
        <v>197239</v>
      </c>
      <c r="G357" s="13">
        <v>19</v>
      </c>
      <c r="H357" t="s">
        <v>3576</v>
      </c>
      <c r="I357" s="8">
        <v>46119</v>
      </c>
      <c r="J357" t="s">
        <v>2688</v>
      </c>
      <c r="K357" t="s">
        <v>2689</v>
      </c>
      <c r="L357" s="13">
        <v>8000</v>
      </c>
      <c r="M357" t="s">
        <v>2661</v>
      </c>
    </row>
    <row r="358" spans="1:13">
      <c r="A358" t="s">
        <v>496</v>
      </c>
      <c r="B358" t="s">
        <v>287</v>
      </c>
      <c r="C358" s="8">
        <v>46252</v>
      </c>
      <c r="D358" t="s">
        <v>321</v>
      </c>
      <c r="E358" t="s">
        <v>337</v>
      </c>
      <c r="F358" s="12">
        <v>463871</v>
      </c>
      <c r="G358" s="13">
        <v>46</v>
      </c>
      <c r="H358" t="s">
        <v>2902</v>
      </c>
      <c r="I358" s="8">
        <v>46135</v>
      </c>
      <c r="J358" t="s">
        <v>2692</v>
      </c>
      <c r="K358" t="s">
        <v>2693</v>
      </c>
      <c r="L358" s="13">
        <v>10000</v>
      </c>
      <c r="M358" t="s">
        <v>2661</v>
      </c>
    </row>
    <row r="359" spans="1:13">
      <c r="A359" t="s">
        <v>496</v>
      </c>
      <c r="B359" t="s">
        <v>287</v>
      </c>
      <c r="C359" s="8">
        <v>46252</v>
      </c>
      <c r="D359" t="s">
        <v>321</v>
      </c>
      <c r="E359" t="s">
        <v>337</v>
      </c>
      <c r="F359" s="12">
        <v>463871</v>
      </c>
      <c r="G359" s="13">
        <v>46</v>
      </c>
      <c r="H359" t="s">
        <v>2980</v>
      </c>
      <c r="I359" s="8">
        <v>46280</v>
      </c>
      <c r="J359" t="s">
        <v>2663</v>
      </c>
      <c r="K359" t="s">
        <v>3630</v>
      </c>
      <c r="L359" s="13">
        <v>1500</v>
      </c>
      <c r="M359" t="s">
        <v>2661</v>
      </c>
    </row>
    <row r="360" spans="1:13">
      <c r="A360" t="s">
        <v>496</v>
      </c>
      <c r="B360" t="s">
        <v>287</v>
      </c>
      <c r="C360" s="8">
        <v>46252</v>
      </c>
      <c r="D360" t="s">
        <v>321</v>
      </c>
      <c r="E360" t="s">
        <v>337</v>
      </c>
      <c r="F360" s="12">
        <v>463871</v>
      </c>
      <c r="G360" s="13">
        <v>46</v>
      </c>
      <c r="H360" t="s">
        <v>3096</v>
      </c>
      <c r="I360" s="8">
        <v>46218</v>
      </c>
      <c r="J360" t="s">
        <v>2688</v>
      </c>
      <c r="K360" t="s">
        <v>2689</v>
      </c>
      <c r="L360" s="13">
        <v>8000</v>
      </c>
      <c r="M360" t="s">
        <v>2661</v>
      </c>
    </row>
    <row r="361" spans="1:13">
      <c r="A361" t="s">
        <v>496</v>
      </c>
      <c r="B361" t="s">
        <v>287</v>
      </c>
      <c r="C361" s="8">
        <v>46252</v>
      </c>
      <c r="D361" t="s">
        <v>321</v>
      </c>
      <c r="E361" t="s">
        <v>337</v>
      </c>
      <c r="F361" s="12">
        <v>463871</v>
      </c>
      <c r="G361" s="13">
        <v>46</v>
      </c>
      <c r="H361" t="s">
        <v>3129</v>
      </c>
      <c r="I361" s="8">
        <v>45981</v>
      </c>
      <c r="J361" t="s">
        <v>2685</v>
      </c>
      <c r="K361" t="s">
        <v>2686</v>
      </c>
      <c r="L361" s="13">
        <v>5000</v>
      </c>
      <c r="M361" t="s">
        <v>2661</v>
      </c>
    </row>
    <row r="362" spans="1:13">
      <c r="A362" t="s">
        <v>496</v>
      </c>
      <c r="B362" t="s">
        <v>287</v>
      </c>
      <c r="C362" s="8">
        <v>46252</v>
      </c>
      <c r="D362" t="s">
        <v>321</v>
      </c>
      <c r="E362" t="s">
        <v>337</v>
      </c>
      <c r="F362" s="12">
        <v>463871</v>
      </c>
      <c r="G362" s="13">
        <v>46</v>
      </c>
      <c r="H362" t="s">
        <v>3237</v>
      </c>
      <c r="I362" s="8">
        <v>46146</v>
      </c>
      <c r="J362" t="s">
        <v>2682</v>
      </c>
      <c r="K362" t="s">
        <v>2683</v>
      </c>
      <c r="L362" s="13">
        <v>6000</v>
      </c>
      <c r="M362" t="s">
        <v>2676</v>
      </c>
    </row>
    <row r="363" spans="1:13">
      <c r="A363" t="s">
        <v>496</v>
      </c>
      <c r="B363" t="s">
        <v>287</v>
      </c>
      <c r="C363" s="8">
        <v>46252</v>
      </c>
      <c r="D363" t="s">
        <v>321</v>
      </c>
      <c r="E363" t="s">
        <v>337</v>
      </c>
      <c r="F363" s="12">
        <v>463871</v>
      </c>
      <c r="G363" s="13">
        <v>46</v>
      </c>
      <c r="H363" t="s">
        <v>3576</v>
      </c>
      <c r="I363" s="8">
        <v>46119</v>
      </c>
      <c r="J363" t="s">
        <v>2688</v>
      </c>
      <c r="K363" t="s">
        <v>2689</v>
      </c>
      <c r="L363" s="13">
        <v>8000</v>
      </c>
      <c r="M363" t="s">
        <v>2661</v>
      </c>
    </row>
    <row r="364" spans="1:13">
      <c r="A364" t="s">
        <v>616</v>
      </c>
      <c r="B364" t="s">
        <v>287</v>
      </c>
      <c r="C364" s="8">
        <v>46177</v>
      </c>
      <c r="D364" t="s">
        <v>332</v>
      </c>
      <c r="E364" t="s">
        <v>334</v>
      </c>
      <c r="F364" s="12">
        <v>613517</v>
      </c>
      <c r="G364" s="13">
        <v>61</v>
      </c>
      <c r="H364" t="s">
        <v>2902</v>
      </c>
      <c r="I364" s="8">
        <v>46135</v>
      </c>
      <c r="J364" t="s">
        <v>2692</v>
      </c>
      <c r="K364" t="s">
        <v>2693</v>
      </c>
      <c r="L364" s="13">
        <v>10000</v>
      </c>
      <c r="M364" t="s">
        <v>2661</v>
      </c>
    </row>
    <row r="365" spans="1:13">
      <c r="A365" t="s">
        <v>616</v>
      </c>
      <c r="B365" t="s">
        <v>287</v>
      </c>
      <c r="C365" s="8">
        <v>46177</v>
      </c>
      <c r="D365" t="s">
        <v>332</v>
      </c>
      <c r="E365" t="s">
        <v>334</v>
      </c>
      <c r="F365" s="12">
        <v>613517</v>
      </c>
      <c r="G365" s="13">
        <v>61</v>
      </c>
      <c r="H365" t="s">
        <v>2980</v>
      </c>
      <c r="I365" s="8">
        <v>46280</v>
      </c>
      <c r="J365" t="s">
        <v>2663</v>
      </c>
      <c r="K365" t="s">
        <v>3630</v>
      </c>
      <c r="L365" s="13">
        <v>1500</v>
      </c>
      <c r="M365" t="s">
        <v>2661</v>
      </c>
    </row>
    <row r="366" spans="1:13">
      <c r="A366" t="s">
        <v>616</v>
      </c>
      <c r="B366" t="s">
        <v>287</v>
      </c>
      <c r="C366" s="8">
        <v>46177</v>
      </c>
      <c r="D366" t="s">
        <v>332</v>
      </c>
      <c r="E366" t="s">
        <v>334</v>
      </c>
      <c r="F366" s="12">
        <v>613517</v>
      </c>
      <c r="G366" s="13">
        <v>61</v>
      </c>
      <c r="H366" t="s">
        <v>3096</v>
      </c>
      <c r="I366" s="8">
        <v>46218</v>
      </c>
      <c r="J366" t="s">
        <v>2688</v>
      </c>
      <c r="K366" t="s">
        <v>2689</v>
      </c>
      <c r="L366" s="13">
        <v>8000</v>
      </c>
      <c r="M366" t="s">
        <v>2661</v>
      </c>
    </row>
    <row r="367" spans="1:13">
      <c r="A367" t="s">
        <v>616</v>
      </c>
      <c r="B367" t="s">
        <v>287</v>
      </c>
      <c r="C367" s="8">
        <v>46177</v>
      </c>
      <c r="D367" t="s">
        <v>332</v>
      </c>
      <c r="E367" t="s">
        <v>334</v>
      </c>
      <c r="F367" s="12">
        <v>613517</v>
      </c>
      <c r="G367" s="13">
        <v>61</v>
      </c>
      <c r="H367" t="s">
        <v>3129</v>
      </c>
      <c r="I367" s="8">
        <v>45981</v>
      </c>
      <c r="J367" t="s">
        <v>2685</v>
      </c>
      <c r="K367" t="s">
        <v>2686</v>
      </c>
      <c r="L367" s="13">
        <v>5000</v>
      </c>
      <c r="M367" t="s">
        <v>2661</v>
      </c>
    </row>
    <row r="368" spans="1:13">
      <c r="A368" t="s">
        <v>616</v>
      </c>
      <c r="B368" t="s">
        <v>287</v>
      </c>
      <c r="C368" s="8">
        <v>46177</v>
      </c>
      <c r="D368" t="s">
        <v>332</v>
      </c>
      <c r="E368" t="s">
        <v>334</v>
      </c>
      <c r="F368" s="12">
        <v>613517</v>
      </c>
      <c r="G368" s="13">
        <v>61</v>
      </c>
      <c r="H368" t="s">
        <v>3237</v>
      </c>
      <c r="I368" s="8">
        <v>46146</v>
      </c>
      <c r="J368" t="s">
        <v>2682</v>
      </c>
      <c r="K368" t="s">
        <v>2683</v>
      </c>
      <c r="L368" s="13">
        <v>6000</v>
      </c>
      <c r="M368" t="s">
        <v>2676</v>
      </c>
    </row>
    <row r="369" spans="1:13">
      <c r="A369" t="s">
        <v>616</v>
      </c>
      <c r="B369" t="s">
        <v>287</v>
      </c>
      <c r="C369" s="8">
        <v>46177</v>
      </c>
      <c r="D369" t="s">
        <v>332</v>
      </c>
      <c r="E369" t="s">
        <v>334</v>
      </c>
      <c r="F369" s="12">
        <v>613517</v>
      </c>
      <c r="G369" s="13">
        <v>61</v>
      </c>
      <c r="H369" t="s">
        <v>3576</v>
      </c>
      <c r="I369" s="8">
        <v>46119</v>
      </c>
      <c r="J369" t="s">
        <v>2688</v>
      </c>
      <c r="K369" t="s">
        <v>2689</v>
      </c>
      <c r="L369" s="13">
        <v>8000</v>
      </c>
      <c r="M369" t="s">
        <v>2661</v>
      </c>
    </row>
    <row r="370" spans="1:13">
      <c r="A370" t="s">
        <v>349</v>
      </c>
      <c r="B370" t="s">
        <v>218</v>
      </c>
      <c r="C370" s="8">
        <v>46178</v>
      </c>
      <c r="D370" t="s">
        <v>350</v>
      </c>
      <c r="E370" t="s">
        <v>325</v>
      </c>
      <c r="F370" s="12">
        <v>296208</v>
      </c>
      <c r="G370" s="13">
        <v>29</v>
      </c>
      <c r="H370" t="s">
        <v>2946</v>
      </c>
      <c r="I370" s="8">
        <v>46105</v>
      </c>
      <c r="J370" t="s">
        <v>2668</v>
      </c>
      <c r="K370" t="s">
        <v>2669</v>
      </c>
      <c r="L370" s="13">
        <v>4000</v>
      </c>
      <c r="M370" t="s">
        <v>2661</v>
      </c>
    </row>
    <row r="371" spans="1:13">
      <c r="A371" t="s">
        <v>349</v>
      </c>
      <c r="B371" t="s">
        <v>218</v>
      </c>
      <c r="C371" s="8">
        <v>46178</v>
      </c>
      <c r="D371" t="s">
        <v>350</v>
      </c>
      <c r="E371" t="s">
        <v>325</v>
      </c>
      <c r="F371" s="12">
        <v>296208</v>
      </c>
      <c r="G371" s="13">
        <v>29</v>
      </c>
      <c r="H371" t="s">
        <v>3095</v>
      </c>
      <c r="I371" s="8">
        <v>46223</v>
      </c>
      <c r="J371" t="s">
        <v>2668</v>
      </c>
      <c r="K371" t="s">
        <v>2669</v>
      </c>
      <c r="L371" s="13">
        <v>4000</v>
      </c>
      <c r="M371" t="s">
        <v>2661</v>
      </c>
    </row>
    <row r="372" spans="1:13">
      <c r="A372" t="s">
        <v>349</v>
      </c>
      <c r="B372" t="s">
        <v>218</v>
      </c>
      <c r="C372" s="8">
        <v>46178</v>
      </c>
      <c r="D372" t="s">
        <v>350</v>
      </c>
      <c r="E372" t="s">
        <v>325</v>
      </c>
      <c r="F372" s="12">
        <v>296208</v>
      </c>
      <c r="G372" s="13">
        <v>29</v>
      </c>
      <c r="H372" t="s">
        <v>3260</v>
      </c>
      <c r="I372" s="8">
        <v>45974</v>
      </c>
      <c r="J372" t="s">
        <v>2668</v>
      </c>
      <c r="K372" t="s">
        <v>2669</v>
      </c>
      <c r="L372" s="13">
        <v>4000</v>
      </c>
      <c r="M372" t="s">
        <v>2661</v>
      </c>
    </row>
    <row r="373" spans="1:13">
      <c r="A373" t="s">
        <v>1180</v>
      </c>
      <c r="B373" t="s">
        <v>218</v>
      </c>
      <c r="C373" s="8">
        <v>46226</v>
      </c>
      <c r="D373" t="s">
        <v>332</v>
      </c>
      <c r="E373" t="s">
        <v>322</v>
      </c>
      <c r="F373" s="12">
        <v>717855</v>
      </c>
      <c r="G373" s="13">
        <v>71</v>
      </c>
      <c r="H373" t="s">
        <v>2946</v>
      </c>
      <c r="I373" s="8">
        <v>46105</v>
      </c>
      <c r="J373" t="s">
        <v>2668</v>
      </c>
      <c r="K373" t="s">
        <v>2669</v>
      </c>
      <c r="L373" s="13">
        <v>4000</v>
      </c>
      <c r="M373" t="s">
        <v>2661</v>
      </c>
    </row>
    <row r="374" spans="1:13">
      <c r="A374" t="s">
        <v>1180</v>
      </c>
      <c r="B374" t="s">
        <v>218</v>
      </c>
      <c r="C374" s="8">
        <v>46226</v>
      </c>
      <c r="D374" t="s">
        <v>332</v>
      </c>
      <c r="E374" t="s">
        <v>322</v>
      </c>
      <c r="F374" s="12">
        <v>717855</v>
      </c>
      <c r="G374" s="13">
        <v>71</v>
      </c>
      <c r="H374" t="s">
        <v>3095</v>
      </c>
      <c r="I374" s="8">
        <v>46223</v>
      </c>
      <c r="J374" t="s">
        <v>2668</v>
      </c>
      <c r="K374" t="s">
        <v>2669</v>
      </c>
      <c r="L374" s="13">
        <v>4000</v>
      </c>
      <c r="M374" t="s">
        <v>2661</v>
      </c>
    </row>
    <row r="375" spans="1:13">
      <c r="A375" t="s">
        <v>1180</v>
      </c>
      <c r="B375" t="s">
        <v>218</v>
      </c>
      <c r="C375" s="8">
        <v>46226</v>
      </c>
      <c r="D375" t="s">
        <v>332</v>
      </c>
      <c r="E375" t="s">
        <v>322</v>
      </c>
      <c r="F375" s="12">
        <v>717855</v>
      </c>
      <c r="G375" s="13">
        <v>71</v>
      </c>
      <c r="H375" t="s">
        <v>3260</v>
      </c>
      <c r="I375" s="8">
        <v>45974</v>
      </c>
      <c r="J375" t="s">
        <v>2668</v>
      </c>
      <c r="K375" t="s">
        <v>2669</v>
      </c>
      <c r="L375" s="13">
        <v>4000</v>
      </c>
      <c r="M375" t="s">
        <v>2661</v>
      </c>
    </row>
    <row r="376" spans="1:13">
      <c r="A376" t="s">
        <v>351</v>
      </c>
      <c r="B376" t="s">
        <v>261</v>
      </c>
      <c r="C376" s="8">
        <v>45948</v>
      </c>
      <c r="D376" t="s">
        <v>344</v>
      </c>
      <c r="E376" t="s">
        <v>339</v>
      </c>
      <c r="F376" s="12">
        <v>571577</v>
      </c>
      <c r="G376" s="13">
        <v>57</v>
      </c>
      <c r="H376" t="s">
        <v>2876</v>
      </c>
      <c r="I376" s="8">
        <v>45995</v>
      </c>
      <c r="J376" t="s">
        <v>2674</v>
      </c>
      <c r="K376" t="s">
        <v>2675</v>
      </c>
      <c r="L376" s="13">
        <v>20000</v>
      </c>
      <c r="M376" t="s">
        <v>2661</v>
      </c>
    </row>
    <row r="377" spans="1:13">
      <c r="A377" t="s">
        <v>351</v>
      </c>
      <c r="B377" t="s">
        <v>261</v>
      </c>
      <c r="C377" s="8">
        <v>45948</v>
      </c>
      <c r="D377" t="s">
        <v>344</v>
      </c>
      <c r="E377" t="s">
        <v>339</v>
      </c>
      <c r="F377" s="12">
        <v>571577</v>
      </c>
      <c r="G377" s="13">
        <v>57</v>
      </c>
      <c r="H377" t="s">
        <v>3363</v>
      </c>
      <c r="I377" s="8">
        <v>46057</v>
      </c>
      <c r="J377" t="s">
        <v>2685</v>
      </c>
      <c r="K377" t="s">
        <v>2686</v>
      </c>
      <c r="L377" s="13">
        <v>5000</v>
      </c>
      <c r="M377" t="s">
        <v>2661</v>
      </c>
    </row>
    <row r="378" spans="1:13">
      <c r="A378" t="s">
        <v>373</v>
      </c>
      <c r="B378" t="s">
        <v>261</v>
      </c>
      <c r="C378" s="8">
        <v>45997</v>
      </c>
      <c r="D378" t="s">
        <v>332</v>
      </c>
      <c r="E378" t="s">
        <v>337</v>
      </c>
      <c r="F378" s="12">
        <v>567881</v>
      </c>
      <c r="G378" s="13">
        <v>56</v>
      </c>
      <c r="H378" t="s">
        <v>2876</v>
      </c>
      <c r="I378" s="8">
        <v>45995</v>
      </c>
      <c r="J378" t="s">
        <v>2674</v>
      </c>
      <c r="K378" t="s">
        <v>2675</v>
      </c>
      <c r="L378" s="13">
        <v>20000</v>
      </c>
      <c r="M378" t="s">
        <v>2661</v>
      </c>
    </row>
    <row r="379" spans="1:13">
      <c r="A379" t="s">
        <v>373</v>
      </c>
      <c r="B379" t="s">
        <v>261</v>
      </c>
      <c r="C379" s="8">
        <v>45997</v>
      </c>
      <c r="D379" t="s">
        <v>332</v>
      </c>
      <c r="E379" t="s">
        <v>337</v>
      </c>
      <c r="F379" s="12">
        <v>567881</v>
      </c>
      <c r="G379" s="13">
        <v>56</v>
      </c>
      <c r="H379" t="s">
        <v>3363</v>
      </c>
      <c r="I379" s="8">
        <v>46057</v>
      </c>
      <c r="J379" t="s">
        <v>2685</v>
      </c>
      <c r="K379" t="s">
        <v>2686</v>
      </c>
      <c r="L379" s="13">
        <v>5000</v>
      </c>
      <c r="M379" t="s">
        <v>2661</v>
      </c>
    </row>
    <row r="380" spans="1:13">
      <c r="A380" t="s">
        <v>692</v>
      </c>
      <c r="B380" t="s">
        <v>261</v>
      </c>
      <c r="C380" s="8">
        <v>46081</v>
      </c>
      <c r="D380" t="s">
        <v>321</v>
      </c>
      <c r="E380" t="s">
        <v>337</v>
      </c>
      <c r="F380" s="12">
        <v>320098</v>
      </c>
      <c r="G380" s="13">
        <v>32</v>
      </c>
      <c r="H380" t="s">
        <v>2876</v>
      </c>
      <c r="I380" s="8">
        <v>45995</v>
      </c>
      <c r="J380" t="s">
        <v>2674</v>
      </c>
      <c r="K380" t="s">
        <v>2675</v>
      </c>
      <c r="L380" s="13">
        <v>20000</v>
      </c>
      <c r="M380" t="s">
        <v>2661</v>
      </c>
    </row>
    <row r="381" spans="1:13">
      <c r="A381" t="s">
        <v>692</v>
      </c>
      <c r="B381" t="s">
        <v>261</v>
      </c>
      <c r="C381" s="8">
        <v>46081</v>
      </c>
      <c r="D381" t="s">
        <v>321</v>
      </c>
      <c r="E381" t="s">
        <v>337</v>
      </c>
      <c r="F381" s="12">
        <v>320098</v>
      </c>
      <c r="G381" s="13">
        <v>32</v>
      </c>
      <c r="H381" t="s">
        <v>3363</v>
      </c>
      <c r="I381" s="8">
        <v>46057</v>
      </c>
      <c r="J381" t="s">
        <v>2685</v>
      </c>
      <c r="K381" t="s">
        <v>2686</v>
      </c>
      <c r="L381" s="13">
        <v>5000</v>
      </c>
      <c r="M381" t="s">
        <v>2661</v>
      </c>
    </row>
    <row r="382" spans="1:13">
      <c r="A382" t="s">
        <v>851</v>
      </c>
      <c r="B382" t="s">
        <v>261</v>
      </c>
      <c r="C382" s="8">
        <v>45978</v>
      </c>
      <c r="D382" t="s">
        <v>344</v>
      </c>
      <c r="E382" t="s">
        <v>339</v>
      </c>
      <c r="F382" s="12">
        <v>1106114</v>
      </c>
      <c r="G382" s="13">
        <v>110</v>
      </c>
      <c r="H382" t="s">
        <v>2876</v>
      </c>
      <c r="I382" s="8">
        <v>45995</v>
      </c>
      <c r="J382" t="s">
        <v>2674</v>
      </c>
      <c r="K382" t="s">
        <v>2675</v>
      </c>
      <c r="L382" s="13">
        <v>20000</v>
      </c>
      <c r="M382" t="s">
        <v>2661</v>
      </c>
    </row>
    <row r="383" spans="1:13">
      <c r="A383" t="s">
        <v>851</v>
      </c>
      <c r="B383" t="s">
        <v>261</v>
      </c>
      <c r="C383" s="8">
        <v>45978</v>
      </c>
      <c r="D383" t="s">
        <v>344</v>
      </c>
      <c r="E383" t="s">
        <v>339</v>
      </c>
      <c r="F383" s="12">
        <v>1106114</v>
      </c>
      <c r="G383" s="13">
        <v>110</v>
      </c>
      <c r="H383" t="s">
        <v>3363</v>
      </c>
      <c r="I383" s="8">
        <v>46057</v>
      </c>
      <c r="J383" t="s">
        <v>2685</v>
      </c>
      <c r="K383" t="s">
        <v>2686</v>
      </c>
      <c r="L383" s="13">
        <v>5000</v>
      </c>
      <c r="M383" t="s">
        <v>2661</v>
      </c>
    </row>
    <row r="384" spans="1:13">
      <c r="A384" t="s">
        <v>379</v>
      </c>
      <c r="B384" t="s">
        <v>83</v>
      </c>
      <c r="C384" s="8">
        <v>45948</v>
      </c>
      <c r="D384" t="s">
        <v>321</v>
      </c>
      <c r="E384" t="s">
        <v>339</v>
      </c>
      <c r="F384" s="12">
        <v>299150</v>
      </c>
      <c r="G384" s="13">
        <v>29</v>
      </c>
      <c r="H384" t="s">
        <v>2696</v>
      </c>
      <c r="I384" s="8">
        <v>46024</v>
      </c>
      <c r="J384" t="s">
        <v>2663</v>
      </c>
      <c r="K384" t="s">
        <v>3630</v>
      </c>
      <c r="L384" s="13">
        <v>1500</v>
      </c>
      <c r="M384" t="s">
        <v>2661</v>
      </c>
    </row>
    <row r="385" spans="1:13">
      <c r="A385" t="s">
        <v>379</v>
      </c>
      <c r="B385" t="s">
        <v>83</v>
      </c>
      <c r="C385" s="8">
        <v>45948</v>
      </c>
      <c r="D385" t="s">
        <v>321</v>
      </c>
      <c r="E385" t="s">
        <v>339</v>
      </c>
      <c r="F385" s="12">
        <v>299150</v>
      </c>
      <c r="G385" s="13">
        <v>29</v>
      </c>
      <c r="H385" t="s">
        <v>2725</v>
      </c>
      <c r="I385" s="8">
        <v>46065</v>
      </c>
      <c r="J385" t="s">
        <v>2688</v>
      </c>
      <c r="K385" t="s">
        <v>2689</v>
      </c>
      <c r="L385" s="13">
        <v>8000</v>
      </c>
      <c r="M385" t="s">
        <v>2661</v>
      </c>
    </row>
    <row r="386" spans="1:13">
      <c r="A386" t="s">
        <v>379</v>
      </c>
      <c r="B386" t="s">
        <v>83</v>
      </c>
      <c r="C386" s="8">
        <v>45948</v>
      </c>
      <c r="D386" t="s">
        <v>321</v>
      </c>
      <c r="E386" t="s">
        <v>339</v>
      </c>
      <c r="F386" s="12">
        <v>299150</v>
      </c>
      <c r="G386" s="13">
        <v>29</v>
      </c>
      <c r="H386" t="s">
        <v>2938</v>
      </c>
      <c r="I386" s="8">
        <v>46277</v>
      </c>
      <c r="J386" t="s">
        <v>2692</v>
      </c>
      <c r="K386" t="s">
        <v>2693</v>
      </c>
      <c r="L386" s="13">
        <v>10000</v>
      </c>
      <c r="M386" t="s">
        <v>2661</v>
      </c>
    </row>
    <row r="387" spans="1:13">
      <c r="A387" t="s">
        <v>752</v>
      </c>
      <c r="B387" t="s">
        <v>83</v>
      </c>
      <c r="C387" s="8">
        <v>46275</v>
      </c>
      <c r="D387" t="s">
        <v>344</v>
      </c>
      <c r="E387" t="s">
        <v>328</v>
      </c>
      <c r="F387" s="12">
        <v>236389</v>
      </c>
      <c r="G387" s="13">
        <v>23</v>
      </c>
      <c r="H387" t="s">
        <v>2696</v>
      </c>
      <c r="I387" s="8">
        <v>46024</v>
      </c>
      <c r="J387" t="s">
        <v>2663</v>
      </c>
      <c r="K387" t="s">
        <v>3630</v>
      </c>
      <c r="L387" s="13">
        <v>1500</v>
      </c>
      <c r="M387" t="s">
        <v>2661</v>
      </c>
    </row>
    <row r="388" spans="1:13">
      <c r="A388" t="s">
        <v>752</v>
      </c>
      <c r="B388" t="s">
        <v>83</v>
      </c>
      <c r="C388" s="8">
        <v>46275</v>
      </c>
      <c r="D388" t="s">
        <v>344</v>
      </c>
      <c r="E388" t="s">
        <v>328</v>
      </c>
      <c r="F388" s="12">
        <v>236389</v>
      </c>
      <c r="G388" s="13">
        <v>23</v>
      </c>
      <c r="H388" t="s">
        <v>2725</v>
      </c>
      <c r="I388" s="8">
        <v>46065</v>
      </c>
      <c r="J388" t="s">
        <v>2688</v>
      </c>
      <c r="K388" t="s">
        <v>2689</v>
      </c>
      <c r="L388" s="13">
        <v>8000</v>
      </c>
      <c r="M388" t="s">
        <v>2661</v>
      </c>
    </row>
    <row r="389" spans="1:13">
      <c r="A389" t="s">
        <v>752</v>
      </c>
      <c r="B389" t="s">
        <v>83</v>
      </c>
      <c r="C389" s="8">
        <v>46275</v>
      </c>
      <c r="D389" t="s">
        <v>344</v>
      </c>
      <c r="E389" t="s">
        <v>328</v>
      </c>
      <c r="F389" s="12">
        <v>236389</v>
      </c>
      <c r="G389" s="13">
        <v>23</v>
      </c>
      <c r="H389" t="s">
        <v>2938</v>
      </c>
      <c r="I389" s="8">
        <v>46277</v>
      </c>
      <c r="J389" t="s">
        <v>2692</v>
      </c>
      <c r="K389" t="s">
        <v>2693</v>
      </c>
      <c r="L389" s="13">
        <v>10000</v>
      </c>
      <c r="M389" t="s">
        <v>2661</v>
      </c>
    </row>
    <row r="390" spans="1:13">
      <c r="A390" t="s">
        <v>839</v>
      </c>
      <c r="B390" t="s">
        <v>83</v>
      </c>
      <c r="C390" s="8">
        <v>45953</v>
      </c>
      <c r="D390" t="s">
        <v>332</v>
      </c>
      <c r="E390" t="s">
        <v>325</v>
      </c>
      <c r="F390" s="12">
        <v>242860</v>
      </c>
      <c r="G390" s="13">
        <v>24</v>
      </c>
      <c r="H390" t="s">
        <v>2696</v>
      </c>
      <c r="I390" s="8">
        <v>46024</v>
      </c>
      <c r="J390" t="s">
        <v>2663</v>
      </c>
      <c r="K390" t="s">
        <v>3630</v>
      </c>
      <c r="L390" s="13">
        <v>1500</v>
      </c>
      <c r="M390" t="s">
        <v>2661</v>
      </c>
    </row>
    <row r="391" spans="1:13">
      <c r="A391" t="s">
        <v>839</v>
      </c>
      <c r="B391" t="s">
        <v>83</v>
      </c>
      <c r="C391" s="8">
        <v>45953</v>
      </c>
      <c r="D391" t="s">
        <v>332</v>
      </c>
      <c r="E391" t="s">
        <v>325</v>
      </c>
      <c r="F391" s="12">
        <v>242860</v>
      </c>
      <c r="G391" s="13">
        <v>24</v>
      </c>
      <c r="H391" t="s">
        <v>2725</v>
      </c>
      <c r="I391" s="8">
        <v>46065</v>
      </c>
      <c r="J391" t="s">
        <v>2688</v>
      </c>
      <c r="K391" t="s">
        <v>2689</v>
      </c>
      <c r="L391" s="13">
        <v>8000</v>
      </c>
      <c r="M391" t="s">
        <v>2661</v>
      </c>
    </row>
    <row r="392" spans="1:13">
      <c r="A392" t="s">
        <v>839</v>
      </c>
      <c r="B392" t="s">
        <v>83</v>
      </c>
      <c r="C392" s="8">
        <v>45953</v>
      </c>
      <c r="D392" t="s">
        <v>332</v>
      </c>
      <c r="E392" t="s">
        <v>325</v>
      </c>
      <c r="F392" s="12">
        <v>242860</v>
      </c>
      <c r="G392" s="13">
        <v>24</v>
      </c>
      <c r="H392" t="s">
        <v>2938</v>
      </c>
      <c r="I392" s="8">
        <v>46277</v>
      </c>
      <c r="J392" t="s">
        <v>2692</v>
      </c>
      <c r="K392" t="s">
        <v>2693</v>
      </c>
      <c r="L392" s="13">
        <v>10000</v>
      </c>
      <c r="M392" t="s">
        <v>2661</v>
      </c>
    </row>
    <row r="393" spans="1:13">
      <c r="A393" t="s">
        <v>970</v>
      </c>
      <c r="B393" t="s">
        <v>83</v>
      </c>
      <c r="C393" s="8">
        <v>46237</v>
      </c>
      <c r="D393" t="s">
        <v>327</v>
      </c>
      <c r="E393" t="s">
        <v>328</v>
      </c>
      <c r="F393" s="12">
        <v>323278</v>
      </c>
      <c r="G393" s="13">
        <v>32</v>
      </c>
      <c r="H393" t="s">
        <v>2696</v>
      </c>
      <c r="I393" s="8">
        <v>46024</v>
      </c>
      <c r="J393" t="s">
        <v>2663</v>
      </c>
      <c r="K393" t="s">
        <v>3630</v>
      </c>
      <c r="L393" s="13">
        <v>1500</v>
      </c>
      <c r="M393" t="s">
        <v>2661</v>
      </c>
    </row>
    <row r="394" spans="1:13">
      <c r="A394" t="s">
        <v>970</v>
      </c>
      <c r="B394" t="s">
        <v>83</v>
      </c>
      <c r="C394" s="8">
        <v>46237</v>
      </c>
      <c r="D394" t="s">
        <v>327</v>
      </c>
      <c r="E394" t="s">
        <v>328</v>
      </c>
      <c r="F394" s="12">
        <v>323278</v>
      </c>
      <c r="G394" s="13">
        <v>32</v>
      </c>
      <c r="H394" t="s">
        <v>2725</v>
      </c>
      <c r="I394" s="8">
        <v>46065</v>
      </c>
      <c r="J394" t="s">
        <v>2688</v>
      </c>
      <c r="K394" t="s">
        <v>2689</v>
      </c>
      <c r="L394" s="13">
        <v>8000</v>
      </c>
      <c r="M394" t="s">
        <v>2661</v>
      </c>
    </row>
    <row r="395" spans="1:13">
      <c r="A395" t="s">
        <v>970</v>
      </c>
      <c r="B395" t="s">
        <v>83</v>
      </c>
      <c r="C395" s="8">
        <v>46237</v>
      </c>
      <c r="D395" t="s">
        <v>327</v>
      </c>
      <c r="E395" t="s">
        <v>328</v>
      </c>
      <c r="F395" s="12">
        <v>323278</v>
      </c>
      <c r="G395" s="13">
        <v>32</v>
      </c>
      <c r="H395" t="s">
        <v>2938</v>
      </c>
      <c r="I395" s="8">
        <v>46277</v>
      </c>
      <c r="J395" t="s">
        <v>2692</v>
      </c>
      <c r="K395" t="s">
        <v>2693</v>
      </c>
      <c r="L395" s="13">
        <v>10000</v>
      </c>
      <c r="M395" t="s">
        <v>2661</v>
      </c>
    </row>
    <row r="396" spans="1:13">
      <c r="A396" t="s">
        <v>1215</v>
      </c>
      <c r="B396" t="s">
        <v>45</v>
      </c>
      <c r="C396" s="8">
        <v>46235</v>
      </c>
      <c r="D396" t="s">
        <v>342</v>
      </c>
      <c r="E396" t="s">
        <v>334</v>
      </c>
      <c r="F396" s="12">
        <v>110568</v>
      </c>
      <c r="G396" s="13">
        <v>11</v>
      </c>
      <c r="H396" t="s">
        <v>2697</v>
      </c>
      <c r="I396" s="8">
        <v>46124</v>
      </c>
      <c r="J396" t="s">
        <v>2674</v>
      </c>
      <c r="K396" t="s">
        <v>2675</v>
      </c>
      <c r="L396" s="13">
        <v>20000</v>
      </c>
      <c r="M396" t="s">
        <v>2676</v>
      </c>
    </row>
    <row r="397" spans="1:13">
      <c r="A397" t="s">
        <v>1215</v>
      </c>
      <c r="B397" t="s">
        <v>45</v>
      </c>
      <c r="C397" s="8">
        <v>46235</v>
      </c>
      <c r="D397" t="s">
        <v>342</v>
      </c>
      <c r="E397" t="s">
        <v>334</v>
      </c>
      <c r="F397" s="12">
        <v>110568</v>
      </c>
      <c r="G397" s="13">
        <v>11</v>
      </c>
      <c r="H397" t="s">
        <v>3006</v>
      </c>
      <c r="I397" s="8">
        <v>46130</v>
      </c>
      <c r="J397" t="s">
        <v>2674</v>
      </c>
      <c r="K397" t="s">
        <v>2675</v>
      </c>
      <c r="L397" s="13">
        <v>20000</v>
      </c>
      <c r="M397" t="s">
        <v>2661</v>
      </c>
    </row>
    <row r="398" spans="1:13">
      <c r="A398" t="s">
        <v>1215</v>
      </c>
      <c r="B398" t="s">
        <v>45</v>
      </c>
      <c r="C398" s="8">
        <v>46235</v>
      </c>
      <c r="D398" t="s">
        <v>342</v>
      </c>
      <c r="E398" t="s">
        <v>334</v>
      </c>
      <c r="F398" s="12">
        <v>110568</v>
      </c>
      <c r="G398" s="13">
        <v>11</v>
      </c>
      <c r="H398" t="s">
        <v>3226</v>
      </c>
      <c r="I398" s="8">
        <v>46245</v>
      </c>
      <c r="J398" t="s">
        <v>2692</v>
      </c>
      <c r="K398" t="s">
        <v>2693</v>
      </c>
      <c r="L398" s="13">
        <v>10000</v>
      </c>
      <c r="M398" t="s">
        <v>2661</v>
      </c>
    </row>
    <row r="399" spans="1:13">
      <c r="A399" t="s">
        <v>1215</v>
      </c>
      <c r="B399" t="s">
        <v>45</v>
      </c>
      <c r="C399" s="8">
        <v>46235</v>
      </c>
      <c r="D399" t="s">
        <v>342</v>
      </c>
      <c r="E399" t="s">
        <v>334</v>
      </c>
      <c r="F399" s="12">
        <v>110568</v>
      </c>
      <c r="G399" s="13">
        <v>11</v>
      </c>
      <c r="H399" t="s">
        <v>3332</v>
      </c>
      <c r="I399" s="8">
        <v>46003</v>
      </c>
      <c r="J399" t="s">
        <v>2665</v>
      </c>
      <c r="K399" t="s">
        <v>2666</v>
      </c>
      <c r="L399" s="13">
        <v>2500</v>
      </c>
      <c r="M399" t="s">
        <v>2661</v>
      </c>
    </row>
    <row r="400" spans="1:13">
      <c r="A400" t="s">
        <v>353</v>
      </c>
      <c r="B400" t="s">
        <v>231</v>
      </c>
      <c r="C400" s="8">
        <v>46093</v>
      </c>
      <c r="D400" t="s">
        <v>350</v>
      </c>
      <c r="E400" t="s">
        <v>337</v>
      </c>
      <c r="F400" s="12">
        <v>107213</v>
      </c>
      <c r="G400" s="13">
        <v>10</v>
      </c>
      <c r="H400" t="s">
        <v>2875</v>
      </c>
      <c r="I400" s="8">
        <v>46085</v>
      </c>
      <c r="J400" t="s">
        <v>2665</v>
      </c>
      <c r="K400" t="s">
        <v>2666</v>
      </c>
      <c r="L400" s="13">
        <v>2500</v>
      </c>
      <c r="M400" t="s">
        <v>2661</v>
      </c>
    </row>
    <row r="401" spans="1:13">
      <c r="A401" t="s">
        <v>353</v>
      </c>
      <c r="B401" t="s">
        <v>231</v>
      </c>
      <c r="C401" s="8">
        <v>46093</v>
      </c>
      <c r="D401" t="s">
        <v>350</v>
      </c>
      <c r="E401" t="s">
        <v>337</v>
      </c>
      <c r="F401" s="12">
        <v>107213</v>
      </c>
      <c r="G401" s="13">
        <v>10</v>
      </c>
      <c r="H401" t="s">
        <v>3014</v>
      </c>
      <c r="I401" s="8">
        <v>46207</v>
      </c>
      <c r="J401" t="s">
        <v>2665</v>
      </c>
      <c r="K401" t="s">
        <v>2666</v>
      </c>
      <c r="L401" s="13">
        <v>2500</v>
      </c>
      <c r="M401" t="s">
        <v>2676</v>
      </c>
    </row>
    <row r="402" spans="1:13">
      <c r="A402" t="s">
        <v>575</v>
      </c>
      <c r="B402" t="s">
        <v>231</v>
      </c>
      <c r="C402" s="8">
        <v>46054</v>
      </c>
      <c r="D402" t="s">
        <v>350</v>
      </c>
      <c r="E402" t="s">
        <v>325</v>
      </c>
      <c r="F402" s="12">
        <v>465852</v>
      </c>
      <c r="G402" s="13">
        <v>46</v>
      </c>
      <c r="H402" t="s">
        <v>2875</v>
      </c>
      <c r="I402" s="8">
        <v>46085</v>
      </c>
      <c r="J402" t="s">
        <v>2665</v>
      </c>
      <c r="K402" t="s">
        <v>2666</v>
      </c>
      <c r="L402" s="13">
        <v>2500</v>
      </c>
      <c r="M402" t="s">
        <v>2661</v>
      </c>
    </row>
    <row r="403" spans="1:13">
      <c r="A403" t="s">
        <v>575</v>
      </c>
      <c r="B403" t="s">
        <v>231</v>
      </c>
      <c r="C403" s="8">
        <v>46054</v>
      </c>
      <c r="D403" t="s">
        <v>350</v>
      </c>
      <c r="E403" t="s">
        <v>325</v>
      </c>
      <c r="F403" s="12">
        <v>465852</v>
      </c>
      <c r="G403" s="13">
        <v>46</v>
      </c>
      <c r="H403" t="s">
        <v>3014</v>
      </c>
      <c r="I403" s="8">
        <v>46207</v>
      </c>
      <c r="J403" t="s">
        <v>2665</v>
      </c>
      <c r="K403" t="s">
        <v>2666</v>
      </c>
      <c r="L403" s="13">
        <v>2500</v>
      </c>
      <c r="M403" t="s">
        <v>2676</v>
      </c>
    </row>
    <row r="404" spans="1:13">
      <c r="A404" t="s">
        <v>579</v>
      </c>
      <c r="B404" t="s">
        <v>231</v>
      </c>
      <c r="C404" s="8">
        <v>46126</v>
      </c>
      <c r="D404" t="s">
        <v>330</v>
      </c>
      <c r="E404" t="s">
        <v>325</v>
      </c>
      <c r="F404" s="12">
        <v>466070</v>
      </c>
      <c r="G404" s="13">
        <v>46</v>
      </c>
      <c r="H404" t="s">
        <v>2875</v>
      </c>
      <c r="I404" s="8">
        <v>46085</v>
      </c>
      <c r="J404" t="s">
        <v>2665</v>
      </c>
      <c r="K404" t="s">
        <v>2666</v>
      </c>
      <c r="L404" s="13">
        <v>2500</v>
      </c>
      <c r="M404" t="s">
        <v>2661</v>
      </c>
    </row>
    <row r="405" spans="1:13">
      <c r="A405" t="s">
        <v>579</v>
      </c>
      <c r="B405" t="s">
        <v>231</v>
      </c>
      <c r="C405" s="8">
        <v>46126</v>
      </c>
      <c r="D405" t="s">
        <v>330</v>
      </c>
      <c r="E405" t="s">
        <v>325</v>
      </c>
      <c r="F405" s="12">
        <v>466070</v>
      </c>
      <c r="G405" s="13">
        <v>46</v>
      </c>
      <c r="H405" t="s">
        <v>3014</v>
      </c>
      <c r="I405" s="8">
        <v>46207</v>
      </c>
      <c r="J405" t="s">
        <v>2665</v>
      </c>
      <c r="K405" t="s">
        <v>2666</v>
      </c>
      <c r="L405" s="13">
        <v>2500</v>
      </c>
      <c r="M405" t="s">
        <v>2676</v>
      </c>
    </row>
    <row r="406" spans="1:13">
      <c r="A406" t="s">
        <v>736</v>
      </c>
      <c r="B406" t="s">
        <v>231</v>
      </c>
      <c r="C406" s="8">
        <v>46005</v>
      </c>
      <c r="D406" t="s">
        <v>350</v>
      </c>
      <c r="E406" t="s">
        <v>334</v>
      </c>
      <c r="F406" s="12">
        <v>287600</v>
      </c>
      <c r="G406" s="13">
        <v>28</v>
      </c>
      <c r="H406" t="s">
        <v>2875</v>
      </c>
      <c r="I406" s="8">
        <v>46085</v>
      </c>
      <c r="J406" t="s">
        <v>2665</v>
      </c>
      <c r="K406" t="s">
        <v>2666</v>
      </c>
      <c r="L406" s="13">
        <v>2500</v>
      </c>
      <c r="M406" t="s">
        <v>2661</v>
      </c>
    </row>
    <row r="407" spans="1:13">
      <c r="A407" t="s">
        <v>736</v>
      </c>
      <c r="B407" t="s">
        <v>231</v>
      </c>
      <c r="C407" s="8">
        <v>46005</v>
      </c>
      <c r="D407" t="s">
        <v>350</v>
      </c>
      <c r="E407" t="s">
        <v>334</v>
      </c>
      <c r="F407" s="12">
        <v>287600</v>
      </c>
      <c r="G407" s="13">
        <v>28</v>
      </c>
      <c r="H407" t="s">
        <v>3014</v>
      </c>
      <c r="I407" s="8">
        <v>46207</v>
      </c>
      <c r="J407" t="s">
        <v>2665</v>
      </c>
      <c r="K407" t="s">
        <v>2666</v>
      </c>
      <c r="L407" s="13">
        <v>2500</v>
      </c>
      <c r="M407" t="s">
        <v>2676</v>
      </c>
    </row>
    <row r="408" spans="1:13">
      <c r="A408" t="s">
        <v>738</v>
      </c>
      <c r="B408" t="s">
        <v>231</v>
      </c>
      <c r="C408" s="8">
        <v>46090</v>
      </c>
      <c r="D408" t="s">
        <v>327</v>
      </c>
      <c r="E408" t="s">
        <v>325</v>
      </c>
      <c r="F408" s="12">
        <v>798036</v>
      </c>
      <c r="G408" s="13">
        <v>79</v>
      </c>
      <c r="H408" t="s">
        <v>2875</v>
      </c>
      <c r="I408" s="8">
        <v>46085</v>
      </c>
      <c r="J408" t="s">
        <v>2665</v>
      </c>
      <c r="K408" t="s">
        <v>2666</v>
      </c>
      <c r="L408" s="13">
        <v>2500</v>
      </c>
      <c r="M408" t="s">
        <v>2661</v>
      </c>
    </row>
    <row r="409" spans="1:13">
      <c r="A409" t="s">
        <v>738</v>
      </c>
      <c r="B409" t="s">
        <v>231</v>
      </c>
      <c r="C409" s="8">
        <v>46090</v>
      </c>
      <c r="D409" t="s">
        <v>327</v>
      </c>
      <c r="E409" t="s">
        <v>325</v>
      </c>
      <c r="F409" s="12">
        <v>798036</v>
      </c>
      <c r="G409" s="13">
        <v>79</v>
      </c>
      <c r="H409" t="s">
        <v>3014</v>
      </c>
      <c r="I409" s="8">
        <v>46207</v>
      </c>
      <c r="J409" t="s">
        <v>2665</v>
      </c>
      <c r="K409" t="s">
        <v>2666</v>
      </c>
      <c r="L409" s="13">
        <v>2500</v>
      </c>
      <c r="M409" t="s">
        <v>2676</v>
      </c>
    </row>
    <row r="410" spans="1:13">
      <c r="A410" t="s">
        <v>857</v>
      </c>
      <c r="B410" t="s">
        <v>231</v>
      </c>
      <c r="C410" s="8">
        <v>46208</v>
      </c>
      <c r="D410" t="s">
        <v>330</v>
      </c>
      <c r="E410" t="s">
        <v>328</v>
      </c>
      <c r="F410" s="12">
        <v>414971</v>
      </c>
      <c r="G410" s="13">
        <v>41</v>
      </c>
      <c r="H410" t="s">
        <v>2875</v>
      </c>
      <c r="I410" s="8">
        <v>46085</v>
      </c>
      <c r="J410" t="s">
        <v>2665</v>
      </c>
      <c r="K410" t="s">
        <v>2666</v>
      </c>
      <c r="L410" s="13">
        <v>2500</v>
      </c>
      <c r="M410" t="s">
        <v>2661</v>
      </c>
    </row>
    <row r="411" spans="1:13">
      <c r="A411" t="s">
        <v>857</v>
      </c>
      <c r="B411" t="s">
        <v>231</v>
      </c>
      <c r="C411" s="8">
        <v>46208</v>
      </c>
      <c r="D411" t="s">
        <v>330</v>
      </c>
      <c r="E411" t="s">
        <v>328</v>
      </c>
      <c r="F411" s="12">
        <v>414971</v>
      </c>
      <c r="G411" s="13">
        <v>41</v>
      </c>
      <c r="H411" t="s">
        <v>3014</v>
      </c>
      <c r="I411" s="8">
        <v>46207</v>
      </c>
      <c r="J411" t="s">
        <v>2665</v>
      </c>
      <c r="K411" t="s">
        <v>2666</v>
      </c>
      <c r="L411" s="13">
        <v>2500</v>
      </c>
      <c r="M411" t="s">
        <v>2676</v>
      </c>
    </row>
    <row r="412" spans="1:13">
      <c r="A412" t="s">
        <v>979</v>
      </c>
      <c r="B412" t="s">
        <v>231</v>
      </c>
      <c r="C412" s="8">
        <v>45946</v>
      </c>
      <c r="D412" t="s">
        <v>327</v>
      </c>
      <c r="E412" t="s">
        <v>325</v>
      </c>
      <c r="F412" s="12">
        <v>140481</v>
      </c>
      <c r="G412" s="13">
        <v>14</v>
      </c>
      <c r="H412" t="s">
        <v>2875</v>
      </c>
      <c r="I412" s="8">
        <v>46085</v>
      </c>
      <c r="J412" t="s">
        <v>2665</v>
      </c>
      <c r="K412" t="s">
        <v>2666</v>
      </c>
      <c r="L412" s="13">
        <v>2500</v>
      </c>
      <c r="M412" t="s">
        <v>2661</v>
      </c>
    </row>
    <row r="413" spans="1:13">
      <c r="A413" t="s">
        <v>979</v>
      </c>
      <c r="B413" t="s">
        <v>231</v>
      </c>
      <c r="C413" s="8">
        <v>45946</v>
      </c>
      <c r="D413" t="s">
        <v>327</v>
      </c>
      <c r="E413" t="s">
        <v>325</v>
      </c>
      <c r="F413" s="12">
        <v>140481</v>
      </c>
      <c r="G413" s="13">
        <v>14</v>
      </c>
      <c r="H413" t="s">
        <v>3014</v>
      </c>
      <c r="I413" s="8">
        <v>46207</v>
      </c>
      <c r="J413" t="s">
        <v>2665</v>
      </c>
      <c r="K413" t="s">
        <v>2666</v>
      </c>
      <c r="L413" s="13">
        <v>2500</v>
      </c>
      <c r="M413" t="s">
        <v>2676</v>
      </c>
    </row>
    <row r="414" spans="1:13">
      <c r="A414" t="s">
        <v>771</v>
      </c>
      <c r="B414" t="s">
        <v>194</v>
      </c>
      <c r="C414" s="8">
        <v>46133</v>
      </c>
      <c r="D414" t="s">
        <v>332</v>
      </c>
      <c r="E414" t="s">
        <v>339</v>
      </c>
      <c r="F414" s="12">
        <v>137889</v>
      </c>
      <c r="G414" s="13">
        <v>13</v>
      </c>
      <c r="H414" t="s">
        <v>2698</v>
      </c>
      <c r="I414" s="8">
        <v>46045</v>
      </c>
      <c r="J414" t="s">
        <v>2671</v>
      </c>
      <c r="K414" t="s">
        <v>2672</v>
      </c>
      <c r="L414" s="13">
        <v>3000</v>
      </c>
      <c r="M414" t="s">
        <v>2661</v>
      </c>
    </row>
    <row r="415" spans="1:13">
      <c r="A415" t="s">
        <v>771</v>
      </c>
      <c r="B415" t="s">
        <v>194</v>
      </c>
      <c r="C415" s="8">
        <v>46133</v>
      </c>
      <c r="D415" t="s">
        <v>332</v>
      </c>
      <c r="E415" t="s">
        <v>339</v>
      </c>
      <c r="F415" s="12">
        <v>137889</v>
      </c>
      <c r="G415" s="13">
        <v>13</v>
      </c>
      <c r="H415" t="s">
        <v>2939</v>
      </c>
      <c r="I415" s="8">
        <v>46020</v>
      </c>
      <c r="J415" t="s">
        <v>2692</v>
      </c>
      <c r="K415" t="s">
        <v>2693</v>
      </c>
      <c r="L415" s="13">
        <v>10000</v>
      </c>
      <c r="M415" t="s">
        <v>2676</v>
      </c>
    </row>
    <row r="416" spans="1:13">
      <c r="A416" t="s">
        <v>771</v>
      </c>
      <c r="B416" t="s">
        <v>194</v>
      </c>
      <c r="C416" s="8">
        <v>46133</v>
      </c>
      <c r="D416" t="s">
        <v>332</v>
      </c>
      <c r="E416" t="s">
        <v>339</v>
      </c>
      <c r="F416" s="12">
        <v>137889</v>
      </c>
      <c r="G416" s="13">
        <v>13</v>
      </c>
      <c r="H416" t="s">
        <v>3288</v>
      </c>
      <c r="I416" s="8">
        <v>46062</v>
      </c>
      <c r="J416" t="s">
        <v>2688</v>
      </c>
      <c r="K416" t="s">
        <v>2689</v>
      </c>
      <c r="L416" s="13">
        <v>8000</v>
      </c>
      <c r="M416" t="s">
        <v>2661</v>
      </c>
    </row>
    <row r="417" spans="1:13">
      <c r="A417" t="s">
        <v>790</v>
      </c>
      <c r="B417" t="s">
        <v>194</v>
      </c>
      <c r="C417" s="8">
        <v>46217</v>
      </c>
      <c r="D417" t="s">
        <v>327</v>
      </c>
      <c r="E417" t="s">
        <v>334</v>
      </c>
      <c r="F417" s="12">
        <v>324006</v>
      </c>
      <c r="G417" s="13">
        <v>32</v>
      </c>
      <c r="H417" t="s">
        <v>2698</v>
      </c>
      <c r="I417" s="8">
        <v>46045</v>
      </c>
      <c r="J417" t="s">
        <v>2671</v>
      </c>
      <c r="K417" t="s">
        <v>2672</v>
      </c>
      <c r="L417" s="13">
        <v>3000</v>
      </c>
      <c r="M417" t="s">
        <v>2661</v>
      </c>
    </row>
    <row r="418" spans="1:13">
      <c r="A418" t="s">
        <v>790</v>
      </c>
      <c r="B418" t="s">
        <v>194</v>
      </c>
      <c r="C418" s="8">
        <v>46217</v>
      </c>
      <c r="D418" t="s">
        <v>327</v>
      </c>
      <c r="E418" t="s">
        <v>334</v>
      </c>
      <c r="F418" s="12">
        <v>324006</v>
      </c>
      <c r="G418" s="13">
        <v>32</v>
      </c>
      <c r="H418" t="s">
        <v>2939</v>
      </c>
      <c r="I418" s="8">
        <v>46020</v>
      </c>
      <c r="J418" t="s">
        <v>2692</v>
      </c>
      <c r="K418" t="s">
        <v>2693</v>
      </c>
      <c r="L418" s="13">
        <v>10000</v>
      </c>
      <c r="M418" t="s">
        <v>2676</v>
      </c>
    </row>
    <row r="419" spans="1:13">
      <c r="A419" t="s">
        <v>790</v>
      </c>
      <c r="B419" t="s">
        <v>194</v>
      </c>
      <c r="C419" s="8">
        <v>46217</v>
      </c>
      <c r="D419" t="s">
        <v>327</v>
      </c>
      <c r="E419" t="s">
        <v>334</v>
      </c>
      <c r="F419" s="12">
        <v>324006</v>
      </c>
      <c r="G419" s="13">
        <v>32</v>
      </c>
      <c r="H419" t="s">
        <v>3288</v>
      </c>
      <c r="I419" s="8">
        <v>46062</v>
      </c>
      <c r="J419" t="s">
        <v>2688</v>
      </c>
      <c r="K419" t="s">
        <v>2689</v>
      </c>
      <c r="L419" s="13">
        <v>8000</v>
      </c>
      <c r="M419" t="s">
        <v>2661</v>
      </c>
    </row>
    <row r="420" spans="1:13">
      <c r="A420" t="s">
        <v>887</v>
      </c>
      <c r="B420" t="s">
        <v>194</v>
      </c>
      <c r="C420" s="8">
        <v>46212</v>
      </c>
      <c r="D420" t="s">
        <v>324</v>
      </c>
      <c r="E420" t="s">
        <v>337</v>
      </c>
      <c r="F420" s="12">
        <v>30001</v>
      </c>
      <c r="G420" s="13">
        <v>3</v>
      </c>
      <c r="H420" t="s">
        <v>2698</v>
      </c>
      <c r="I420" s="8">
        <v>46045</v>
      </c>
      <c r="J420" t="s">
        <v>2671</v>
      </c>
      <c r="K420" t="s">
        <v>2672</v>
      </c>
      <c r="L420" s="13">
        <v>3000</v>
      </c>
      <c r="M420" t="s">
        <v>2661</v>
      </c>
    </row>
    <row r="421" spans="1:13">
      <c r="A421" t="s">
        <v>887</v>
      </c>
      <c r="B421" t="s">
        <v>194</v>
      </c>
      <c r="C421" s="8">
        <v>46212</v>
      </c>
      <c r="D421" t="s">
        <v>324</v>
      </c>
      <c r="E421" t="s">
        <v>337</v>
      </c>
      <c r="F421" s="12">
        <v>30001</v>
      </c>
      <c r="G421" s="13">
        <v>3</v>
      </c>
      <c r="H421" t="s">
        <v>2939</v>
      </c>
      <c r="I421" s="8">
        <v>46020</v>
      </c>
      <c r="J421" t="s">
        <v>2692</v>
      </c>
      <c r="K421" t="s">
        <v>2693</v>
      </c>
      <c r="L421" s="13">
        <v>10000</v>
      </c>
      <c r="M421" t="s">
        <v>2676</v>
      </c>
    </row>
    <row r="422" spans="1:13">
      <c r="A422" t="s">
        <v>887</v>
      </c>
      <c r="B422" t="s">
        <v>194</v>
      </c>
      <c r="C422" s="8">
        <v>46212</v>
      </c>
      <c r="D422" t="s">
        <v>324</v>
      </c>
      <c r="E422" t="s">
        <v>337</v>
      </c>
      <c r="F422" s="12">
        <v>30001</v>
      </c>
      <c r="G422" s="13">
        <v>3</v>
      </c>
      <c r="H422" t="s">
        <v>3288</v>
      </c>
      <c r="I422" s="8">
        <v>46062</v>
      </c>
      <c r="J422" t="s">
        <v>2688</v>
      </c>
      <c r="K422" t="s">
        <v>2689</v>
      </c>
      <c r="L422" s="13">
        <v>8000</v>
      </c>
      <c r="M422" t="s">
        <v>2661</v>
      </c>
    </row>
    <row r="423" spans="1:13">
      <c r="A423" t="s">
        <v>911</v>
      </c>
      <c r="B423" t="s">
        <v>194</v>
      </c>
      <c r="C423" s="8">
        <v>46072</v>
      </c>
      <c r="D423" t="s">
        <v>330</v>
      </c>
      <c r="E423" t="s">
        <v>339</v>
      </c>
      <c r="F423" s="12">
        <v>52919</v>
      </c>
      <c r="G423" s="13">
        <v>5</v>
      </c>
      <c r="H423" t="s">
        <v>2698</v>
      </c>
      <c r="I423" s="8">
        <v>46045</v>
      </c>
      <c r="J423" t="s">
        <v>2671</v>
      </c>
      <c r="K423" t="s">
        <v>2672</v>
      </c>
      <c r="L423" s="13">
        <v>3000</v>
      </c>
      <c r="M423" t="s">
        <v>2661</v>
      </c>
    </row>
    <row r="424" spans="1:13">
      <c r="A424" t="s">
        <v>911</v>
      </c>
      <c r="B424" t="s">
        <v>194</v>
      </c>
      <c r="C424" s="8">
        <v>46072</v>
      </c>
      <c r="D424" t="s">
        <v>330</v>
      </c>
      <c r="E424" t="s">
        <v>339</v>
      </c>
      <c r="F424" s="12">
        <v>52919</v>
      </c>
      <c r="G424" s="13">
        <v>5</v>
      </c>
      <c r="H424" t="s">
        <v>2939</v>
      </c>
      <c r="I424" s="8">
        <v>46020</v>
      </c>
      <c r="J424" t="s">
        <v>2692</v>
      </c>
      <c r="K424" t="s">
        <v>2693</v>
      </c>
      <c r="L424" s="13">
        <v>10000</v>
      </c>
      <c r="M424" t="s">
        <v>2676</v>
      </c>
    </row>
    <row r="425" spans="1:13">
      <c r="A425" t="s">
        <v>911</v>
      </c>
      <c r="B425" t="s">
        <v>194</v>
      </c>
      <c r="C425" s="8">
        <v>46072</v>
      </c>
      <c r="D425" t="s">
        <v>330</v>
      </c>
      <c r="E425" t="s">
        <v>339</v>
      </c>
      <c r="F425" s="12">
        <v>52919</v>
      </c>
      <c r="G425" s="13">
        <v>5</v>
      </c>
      <c r="H425" t="s">
        <v>3288</v>
      </c>
      <c r="I425" s="8">
        <v>46062</v>
      </c>
      <c r="J425" t="s">
        <v>2688</v>
      </c>
      <c r="K425" t="s">
        <v>2689</v>
      </c>
      <c r="L425" s="13">
        <v>8000</v>
      </c>
      <c r="M425" t="s">
        <v>2661</v>
      </c>
    </row>
    <row r="426" spans="1:13">
      <c r="A426" t="s">
        <v>354</v>
      </c>
      <c r="B426" t="s">
        <v>23</v>
      </c>
      <c r="C426" s="8">
        <v>45953</v>
      </c>
      <c r="D426" t="s">
        <v>324</v>
      </c>
      <c r="E426" t="s">
        <v>325</v>
      </c>
      <c r="F426" s="12">
        <v>396958</v>
      </c>
      <c r="G426" s="13">
        <v>39</v>
      </c>
      <c r="H426" t="s">
        <v>2807</v>
      </c>
      <c r="I426" s="8">
        <v>46239</v>
      </c>
      <c r="J426" t="s">
        <v>2663</v>
      </c>
      <c r="K426" t="s">
        <v>3630</v>
      </c>
      <c r="L426" s="13">
        <v>1500</v>
      </c>
      <c r="M426" t="s">
        <v>2661</v>
      </c>
    </row>
    <row r="427" spans="1:13">
      <c r="A427" t="s">
        <v>354</v>
      </c>
      <c r="B427" t="s">
        <v>23</v>
      </c>
      <c r="C427" s="8">
        <v>45953</v>
      </c>
      <c r="D427" t="s">
        <v>324</v>
      </c>
      <c r="E427" t="s">
        <v>325</v>
      </c>
      <c r="F427" s="12">
        <v>396958</v>
      </c>
      <c r="G427" s="13">
        <v>39</v>
      </c>
      <c r="H427" t="s">
        <v>2846</v>
      </c>
      <c r="I427" s="8">
        <v>46148</v>
      </c>
      <c r="J427" t="s">
        <v>2685</v>
      </c>
      <c r="K427" t="s">
        <v>2686</v>
      </c>
      <c r="L427" s="13">
        <v>5000</v>
      </c>
      <c r="M427" t="s">
        <v>2661</v>
      </c>
    </row>
    <row r="428" spans="1:13">
      <c r="A428" t="s">
        <v>354</v>
      </c>
      <c r="B428" t="s">
        <v>23</v>
      </c>
      <c r="C428" s="8">
        <v>45953</v>
      </c>
      <c r="D428" t="s">
        <v>324</v>
      </c>
      <c r="E428" t="s">
        <v>325</v>
      </c>
      <c r="F428" s="12">
        <v>396958</v>
      </c>
      <c r="G428" s="13">
        <v>39</v>
      </c>
      <c r="H428" t="s">
        <v>2872</v>
      </c>
      <c r="I428" s="8">
        <v>46180</v>
      </c>
      <c r="J428" t="s">
        <v>2659</v>
      </c>
      <c r="K428" t="s">
        <v>2660</v>
      </c>
      <c r="L428" s="13">
        <v>3500</v>
      </c>
      <c r="M428" t="s">
        <v>2661</v>
      </c>
    </row>
    <row r="429" spans="1:13">
      <c r="A429" t="s">
        <v>354</v>
      </c>
      <c r="B429" t="s">
        <v>23</v>
      </c>
      <c r="C429" s="8">
        <v>45953</v>
      </c>
      <c r="D429" t="s">
        <v>324</v>
      </c>
      <c r="E429" t="s">
        <v>325</v>
      </c>
      <c r="F429" s="12">
        <v>396958</v>
      </c>
      <c r="G429" s="13">
        <v>39</v>
      </c>
      <c r="H429" t="s">
        <v>2887</v>
      </c>
      <c r="I429" s="8">
        <v>46147</v>
      </c>
      <c r="J429" t="s">
        <v>2682</v>
      </c>
      <c r="K429" t="s">
        <v>2683</v>
      </c>
      <c r="L429" s="13">
        <v>6000</v>
      </c>
      <c r="M429" t="s">
        <v>2661</v>
      </c>
    </row>
    <row r="430" spans="1:13">
      <c r="A430" t="s">
        <v>354</v>
      </c>
      <c r="B430" t="s">
        <v>23</v>
      </c>
      <c r="C430" s="8">
        <v>45953</v>
      </c>
      <c r="D430" t="s">
        <v>324</v>
      </c>
      <c r="E430" t="s">
        <v>325</v>
      </c>
      <c r="F430" s="12">
        <v>396958</v>
      </c>
      <c r="G430" s="13">
        <v>39</v>
      </c>
      <c r="H430" t="s">
        <v>3153</v>
      </c>
      <c r="I430" s="8">
        <v>46122</v>
      </c>
      <c r="J430" t="s">
        <v>2665</v>
      </c>
      <c r="K430" t="s">
        <v>2666</v>
      </c>
      <c r="L430" s="13">
        <v>2500</v>
      </c>
      <c r="M430" t="s">
        <v>2676</v>
      </c>
    </row>
    <row r="431" spans="1:13">
      <c r="A431" t="s">
        <v>354</v>
      </c>
      <c r="B431" t="s">
        <v>23</v>
      </c>
      <c r="C431" s="8">
        <v>45953</v>
      </c>
      <c r="D431" t="s">
        <v>324</v>
      </c>
      <c r="E431" t="s">
        <v>325</v>
      </c>
      <c r="F431" s="12">
        <v>396958</v>
      </c>
      <c r="G431" s="13">
        <v>39</v>
      </c>
      <c r="H431" t="s">
        <v>3426</v>
      </c>
      <c r="I431" s="8">
        <v>46038</v>
      </c>
      <c r="J431" t="s">
        <v>2688</v>
      </c>
      <c r="K431" t="s">
        <v>2689</v>
      </c>
      <c r="L431" s="13">
        <v>8000</v>
      </c>
      <c r="M431" t="s">
        <v>2661</v>
      </c>
    </row>
    <row r="432" spans="1:13">
      <c r="A432" t="s">
        <v>364</v>
      </c>
      <c r="B432" t="s">
        <v>23</v>
      </c>
      <c r="C432" s="8">
        <v>46282</v>
      </c>
      <c r="D432" t="s">
        <v>342</v>
      </c>
      <c r="E432" t="s">
        <v>325</v>
      </c>
      <c r="F432" s="12">
        <v>40669</v>
      </c>
      <c r="G432" s="13">
        <v>4</v>
      </c>
      <c r="H432" t="s">
        <v>2807</v>
      </c>
      <c r="I432" s="8">
        <v>46239</v>
      </c>
      <c r="J432" t="s">
        <v>2663</v>
      </c>
      <c r="K432" t="s">
        <v>3630</v>
      </c>
      <c r="L432" s="13">
        <v>1500</v>
      </c>
      <c r="M432" t="s">
        <v>2661</v>
      </c>
    </row>
    <row r="433" spans="1:13">
      <c r="A433" t="s">
        <v>364</v>
      </c>
      <c r="B433" t="s">
        <v>23</v>
      </c>
      <c r="C433" s="8">
        <v>46282</v>
      </c>
      <c r="D433" t="s">
        <v>342</v>
      </c>
      <c r="E433" t="s">
        <v>325</v>
      </c>
      <c r="F433" s="12">
        <v>40669</v>
      </c>
      <c r="G433" s="13">
        <v>4</v>
      </c>
      <c r="H433" t="s">
        <v>2846</v>
      </c>
      <c r="I433" s="8">
        <v>46148</v>
      </c>
      <c r="J433" t="s">
        <v>2685</v>
      </c>
      <c r="K433" t="s">
        <v>2686</v>
      </c>
      <c r="L433" s="13">
        <v>5000</v>
      </c>
      <c r="M433" t="s">
        <v>2661</v>
      </c>
    </row>
    <row r="434" spans="1:13">
      <c r="A434" t="s">
        <v>364</v>
      </c>
      <c r="B434" t="s">
        <v>23</v>
      </c>
      <c r="C434" s="8">
        <v>46282</v>
      </c>
      <c r="D434" t="s">
        <v>342</v>
      </c>
      <c r="E434" t="s">
        <v>325</v>
      </c>
      <c r="F434" s="12">
        <v>40669</v>
      </c>
      <c r="G434" s="13">
        <v>4</v>
      </c>
      <c r="H434" t="s">
        <v>2872</v>
      </c>
      <c r="I434" s="8">
        <v>46180</v>
      </c>
      <c r="J434" t="s">
        <v>2659</v>
      </c>
      <c r="K434" t="s">
        <v>2660</v>
      </c>
      <c r="L434" s="13">
        <v>3500</v>
      </c>
      <c r="M434" t="s">
        <v>2661</v>
      </c>
    </row>
    <row r="435" spans="1:13">
      <c r="A435" t="s">
        <v>364</v>
      </c>
      <c r="B435" t="s">
        <v>23</v>
      </c>
      <c r="C435" s="8">
        <v>46282</v>
      </c>
      <c r="D435" t="s">
        <v>342</v>
      </c>
      <c r="E435" t="s">
        <v>325</v>
      </c>
      <c r="F435" s="12">
        <v>40669</v>
      </c>
      <c r="G435" s="13">
        <v>4</v>
      </c>
      <c r="H435" t="s">
        <v>2887</v>
      </c>
      <c r="I435" s="8">
        <v>46147</v>
      </c>
      <c r="J435" t="s">
        <v>2682</v>
      </c>
      <c r="K435" t="s">
        <v>2683</v>
      </c>
      <c r="L435" s="13">
        <v>6000</v>
      </c>
      <c r="M435" t="s">
        <v>2661</v>
      </c>
    </row>
    <row r="436" spans="1:13">
      <c r="A436" t="s">
        <v>364</v>
      </c>
      <c r="B436" t="s">
        <v>23</v>
      </c>
      <c r="C436" s="8">
        <v>46282</v>
      </c>
      <c r="D436" t="s">
        <v>342</v>
      </c>
      <c r="E436" t="s">
        <v>325</v>
      </c>
      <c r="F436" s="12">
        <v>40669</v>
      </c>
      <c r="G436" s="13">
        <v>4</v>
      </c>
      <c r="H436" t="s">
        <v>3153</v>
      </c>
      <c r="I436" s="8">
        <v>46122</v>
      </c>
      <c r="J436" t="s">
        <v>2665</v>
      </c>
      <c r="K436" t="s">
        <v>2666</v>
      </c>
      <c r="L436" s="13">
        <v>2500</v>
      </c>
      <c r="M436" t="s">
        <v>2676</v>
      </c>
    </row>
    <row r="437" spans="1:13">
      <c r="A437" t="s">
        <v>364</v>
      </c>
      <c r="B437" t="s">
        <v>23</v>
      </c>
      <c r="C437" s="8">
        <v>46282</v>
      </c>
      <c r="D437" t="s">
        <v>342</v>
      </c>
      <c r="E437" t="s">
        <v>325</v>
      </c>
      <c r="F437" s="12">
        <v>40669</v>
      </c>
      <c r="G437" s="13">
        <v>4</v>
      </c>
      <c r="H437" t="s">
        <v>3426</v>
      </c>
      <c r="I437" s="8">
        <v>46038</v>
      </c>
      <c r="J437" t="s">
        <v>2688</v>
      </c>
      <c r="K437" t="s">
        <v>2689</v>
      </c>
      <c r="L437" s="13">
        <v>8000</v>
      </c>
      <c r="M437" t="s">
        <v>2661</v>
      </c>
    </row>
    <row r="438" spans="1:13">
      <c r="A438" t="s">
        <v>370</v>
      </c>
      <c r="B438" t="s">
        <v>23</v>
      </c>
      <c r="C438" s="8">
        <v>46188</v>
      </c>
      <c r="D438" t="s">
        <v>330</v>
      </c>
      <c r="E438" t="s">
        <v>339</v>
      </c>
      <c r="F438" s="12">
        <v>767256</v>
      </c>
      <c r="G438" s="13">
        <v>76</v>
      </c>
      <c r="H438" t="s">
        <v>2807</v>
      </c>
      <c r="I438" s="8">
        <v>46239</v>
      </c>
      <c r="J438" t="s">
        <v>2663</v>
      </c>
      <c r="K438" t="s">
        <v>3630</v>
      </c>
      <c r="L438" s="13">
        <v>1500</v>
      </c>
      <c r="M438" t="s">
        <v>2661</v>
      </c>
    </row>
    <row r="439" spans="1:13">
      <c r="A439" t="s">
        <v>370</v>
      </c>
      <c r="B439" t="s">
        <v>23</v>
      </c>
      <c r="C439" s="8">
        <v>46188</v>
      </c>
      <c r="D439" t="s">
        <v>330</v>
      </c>
      <c r="E439" t="s">
        <v>339</v>
      </c>
      <c r="F439" s="12">
        <v>767256</v>
      </c>
      <c r="G439" s="13">
        <v>76</v>
      </c>
      <c r="H439" t="s">
        <v>2846</v>
      </c>
      <c r="I439" s="8">
        <v>46148</v>
      </c>
      <c r="J439" t="s">
        <v>2685</v>
      </c>
      <c r="K439" t="s">
        <v>2686</v>
      </c>
      <c r="L439" s="13">
        <v>5000</v>
      </c>
      <c r="M439" t="s">
        <v>2661</v>
      </c>
    </row>
    <row r="440" spans="1:13">
      <c r="A440" t="s">
        <v>370</v>
      </c>
      <c r="B440" t="s">
        <v>23</v>
      </c>
      <c r="C440" s="8">
        <v>46188</v>
      </c>
      <c r="D440" t="s">
        <v>330</v>
      </c>
      <c r="E440" t="s">
        <v>339</v>
      </c>
      <c r="F440" s="12">
        <v>767256</v>
      </c>
      <c r="G440" s="13">
        <v>76</v>
      </c>
      <c r="H440" t="s">
        <v>2872</v>
      </c>
      <c r="I440" s="8">
        <v>46180</v>
      </c>
      <c r="J440" t="s">
        <v>2659</v>
      </c>
      <c r="K440" t="s">
        <v>2660</v>
      </c>
      <c r="L440" s="13">
        <v>3500</v>
      </c>
      <c r="M440" t="s">
        <v>2661</v>
      </c>
    </row>
    <row r="441" spans="1:13">
      <c r="A441" t="s">
        <v>370</v>
      </c>
      <c r="B441" t="s">
        <v>23</v>
      </c>
      <c r="C441" s="8">
        <v>46188</v>
      </c>
      <c r="D441" t="s">
        <v>330</v>
      </c>
      <c r="E441" t="s">
        <v>339</v>
      </c>
      <c r="F441" s="12">
        <v>767256</v>
      </c>
      <c r="G441" s="13">
        <v>76</v>
      </c>
      <c r="H441" t="s">
        <v>2887</v>
      </c>
      <c r="I441" s="8">
        <v>46147</v>
      </c>
      <c r="J441" t="s">
        <v>2682</v>
      </c>
      <c r="K441" t="s">
        <v>2683</v>
      </c>
      <c r="L441" s="13">
        <v>6000</v>
      </c>
      <c r="M441" t="s">
        <v>2661</v>
      </c>
    </row>
    <row r="442" spans="1:13">
      <c r="A442" t="s">
        <v>370</v>
      </c>
      <c r="B442" t="s">
        <v>23</v>
      </c>
      <c r="C442" s="8">
        <v>46188</v>
      </c>
      <c r="D442" t="s">
        <v>330</v>
      </c>
      <c r="E442" t="s">
        <v>339</v>
      </c>
      <c r="F442" s="12">
        <v>767256</v>
      </c>
      <c r="G442" s="13">
        <v>76</v>
      </c>
      <c r="H442" t="s">
        <v>3153</v>
      </c>
      <c r="I442" s="8">
        <v>46122</v>
      </c>
      <c r="J442" t="s">
        <v>2665</v>
      </c>
      <c r="K442" t="s">
        <v>2666</v>
      </c>
      <c r="L442" s="13">
        <v>2500</v>
      </c>
      <c r="M442" t="s">
        <v>2676</v>
      </c>
    </row>
    <row r="443" spans="1:13">
      <c r="A443" t="s">
        <v>370</v>
      </c>
      <c r="B443" t="s">
        <v>23</v>
      </c>
      <c r="C443" s="8">
        <v>46188</v>
      </c>
      <c r="D443" t="s">
        <v>330</v>
      </c>
      <c r="E443" t="s">
        <v>339</v>
      </c>
      <c r="F443" s="12">
        <v>767256</v>
      </c>
      <c r="G443" s="13">
        <v>76</v>
      </c>
      <c r="H443" t="s">
        <v>3426</v>
      </c>
      <c r="I443" s="8">
        <v>46038</v>
      </c>
      <c r="J443" t="s">
        <v>2688</v>
      </c>
      <c r="K443" t="s">
        <v>2689</v>
      </c>
      <c r="L443" s="13">
        <v>8000</v>
      </c>
      <c r="M443" t="s">
        <v>2661</v>
      </c>
    </row>
    <row r="444" spans="1:13">
      <c r="A444" t="s">
        <v>624</v>
      </c>
      <c r="B444" t="s">
        <v>23</v>
      </c>
      <c r="C444" s="8">
        <v>46096</v>
      </c>
      <c r="D444" t="s">
        <v>344</v>
      </c>
      <c r="E444" t="s">
        <v>328</v>
      </c>
      <c r="F444" s="12">
        <v>55058</v>
      </c>
      <c r="G444" s="13">
        <v>5</v>
      </c>
      <c r="H444" t="s">
        <v>2807</v>
      </c>
      <c r="I444" s="8">
        <v>46239</v>
      </c>
      <c r="J444" t="s">
        <v>2663</v>
      </c>
      <c r="K444" t="s">
        <v>3630</v>
      </c>
      <c r="L444" s="13">
        <v>1500</v>
      </c>
      <c r="M444" t="s">
        <v>2661</v>
      </c>
    </row>
    <row r="445" spans="1:13">
      <c r="A445" t="s">
        <v>624</v>
      </c>
      <c r="B445" t="s">
        <v>23</v>
      </c>
      <c r="C445" s="8">
        <v>46096</v>
      </c>
      <c r="D445" t="s">
        <v>344</v>
      </c>
      <c r="E445" t="s">
        <v>328</v>
      </c>
      <c r="F445" s="12">
        <v>55058</v>
      </c>
      <c r="G445" s="13">
        <v>5</v>
      </c>
      <c r="H445" t="s">
        <v>2846</v>
      </c>
      <c r="I445" s="8">
        <v>46148</v>
      </c>
      <c r="J445" t="s">
        <v>2685</v>
      </c>
      <c r="K445" t="s">
        <v>2686</v>
      </c>
      <c r="L445" s="13">
        <v>5000</v>
      </c>
      <c r="M445" t="s">
        <v>2661</v>
      </c>
    </row>
    <row r="446" spans="1:13">
      <c r="A446" t="s">
        <v>624</v>
      </c>
      <c r="B446" t="s">
        <v>23</v>
      </c>
      <c r="C446" s="8">
        <v>46096</v>
      </c>
      <c r="D446" t="s">
        <v>344</v>
      </c>
      <c r="E446" t="s">
        <v>328</v>
      </c>
      <c r="F446" s="12">
        <v>55058</v>
      </c>
      <c r="G446" s="13">
        <v>5</v>
      </c>
      <c r="H446" t="s">
        <v>2872</v>
      </c>
      <c r="I446" s="8">
        <v>46180</v>
      </c>
      <c r="J446" t="s">
        <v>2659</v>
      </c>
      <c r="K446" t="s">
        <v>2660</v>
      </c>
      <c r="L446" s="13">
        <v>3500</v>
      </c>
      <c r="M446" t="s">
        <v>2661</v>
      </c>
    </row>
    <row r="447" spans="1:13">
      <c r="A447" t="s">
        <v>624</v>
      </c>
      <c r="B447" t="s">
        <v>23</v>
      </c>
      <c r="C447" s="8">
        <v>46096</v>
      </c>
      <c r="D447" t="s">
        <v>344</v>
      </c>
      <c r="E447" t="s">
        <v>328</v>
      </c>
      <c r="F447" s="12">
        <v>55058</v>
      </c>
      <c r="G447" s="13">
        <v>5</v>
      </c>
      <c r="H447" t="s">
        <v>2887</v>
      </c>
      <c r="I447" s="8">
        <v>46147</v>
      </c>
      <c r="J447" t="s">
        <v>2682</v>
      </c>
      <c r="K447" t="s">
        <v>2683</v>
      </c>
      <c r="L447" s="13">
        <v>6000</v>
      </c>
      <c r="M447" t="s">
        <v>2661</v>
      </c>
    </row>
    <row r="448" spans="1:13">
      <c r="A448" t="s">
        <v>624</v>
      </c>
      <c r="B448" t="s">
        <v>23</v>
      </c>
      <c r="C448" s="8">
        <v>46096</v>
      </c>
      <c r="D448" t="s">
        <v>344</v>
      </c>
      <c r="E448" t="s">
        <v>328</v>
      </c>
      <c r="F448" s="12">
        <v>55058</v>
      </c>
      <c r="G448" s="13">
        <v>5</v>
      </c>
      <c r="H448" t="s">
        <v>3153</v>
      </c>
      <c r="I448" s="8">
        <v>46122</v>
      </c>
      <c r="J448" t="s">
        <v>2665</v>
      </c>
      <c r="K448" t="s">
        <v>2666</v>
      </c>
      <c r="L448" s="13">
        <v>2500</v>
      </c>
      <c r="M448" t="s">
        <v>2676</v>
      </c>
    </row>
    <row r="449" spans="1:13">
      <c r="A449" t="s">
        <v>624</v>
      </c>
      <c r="B449" t="s">
        <v>23</v>
      </c>
      <c r="C449" s="8">
        <v>46096</v>
      </c>
      <c r="D449" t="s">
        <v>344</v>
      </c>
      <c r="E449" t="s">
        <v>328</v>
      </c>
      <c r="F449" s="12">
        <v>55058</v>
      </c>
      <c r="G449" s="13">
        <v>5</v>
      </c>
      <c r="H449" t="s">
        <v>3426</v>
      </c>
      <c r="I449" s="8">
        <v>46038</v>
      </c>
      <c r="J449" t="s">
        <v>2688</v>
      </c>
      <c r="K449" t="s">
        <v>2689</v>
      </c>
      <c r="L449" s="13">
        <v>8000</v>
      </c>
      <c r="M449" t="s">
        <v>2661</v>
      </c>
    </row>
    <row r="450" spans="1:13">
      <c r="A450" t="s">
        <v>971</v>
      </c>
      <c r="B450" t="s">
        <v>23</v>
      </c>
      <c r="C450" s="8">
        <v>46146</v>
      </c>
      <c r="D450" t="s">
        <v>342</v>
      </c>
      <c r="E450" t="s">
        <v>337</v>
      </c>
      <c r="F450" s="12">
        <v>686743</v>
      </c>
      <c r="G450" s="13">
        <v>68</v>
      </c>
      <c r="H450" t="s">
        <v>2807</v>
      </c>
      <c r="I450" s="8">
        <v>46239</v>
      </c>
      <c r="J450" t="s">
        <v>2663</v>
      </c>
      <c r="K450" t="s">
        <v>3630</v>
      </c>
      <c r="L450" s="13">
        <v>1500</v>
      </c>
      <c r="M450" t="s">
        <v>2661</v>
      </c>
    </row>
    <row r="451" spans="1:13">
      <c r="A451" t="s">
        <v>971</v>
      </c>
      <c r="B451" t="s">
        <v>23</v>
      </c>
      <c r="C451" s="8">
        <v>46146</v>
      </c>
      <c r="D451" t="s">
        <v>342</v>
      </c>
      <c r="E451" t="s">
        <v>337</v>
      </c>
      <c r="F451" s="12">
        <v>686743</v>
      </c>
      <c r="G451" s="13">
        <v>68</v>
      </c>
      <c r="H451" t="s">
        <v>2846</v>
      </c>
      <c r="I451" s="8">
        <v>46148</v>
      </c>
      <c r="J451" t="s">
        <v>2685</v>
      </c>
      <c r="K451" t="s">
        <v>2686</v>
      </c>
      <c r="L451" s="13">
        <v>5000</v>
      </c>
      <c r="M451" t="s">
        <v>2661</v>
      </c>
    </row>
    <row r="452" spans="1:13">
      <c r="A452" t="s">
        <v>971</v>
      </c>
      <c r="B452" t="s">
        <v>23</v>
      </c>
      <c r="C452" s="8">
        <v>46146</v>
      </c>
      <c r="D452" t="s">
        <v>342</v>
      </c>
      <c r="E452" t="s">
        <v>337</v>
      </c>
      <c r="F452" s="12">
        <v>686743</v>
      </c>
      <c r="G452" s="13">
        <v>68</v>
      </c>
      <c r="H452" t="s">
        <v>2872</v>
      </c>
      <c r="I452" s="8">
        <v>46180</v>
      </c>
      <c r="J452" t="s">
        <v>2659</v>
      </c>
      <c r="K452" t="s">
        <v>2660</v>
      </c>
      <c r="L452" s="13">
        <v>3500</v>
      </c>
      <c r="M452" t="s">
        <v>2661</v>
      </c>
    </row>
    <row r="453" spans="1:13">
      <c r="A453" t="s">
        <v>971</v>
      </c>
      <c r="B453" t="s">
        <v>23</v>
      </c>
      <c r="C453" s="8">
        <v>46146</v>
      </c>
      <c r="D453" t="s">
        <v>342</v>
      </c>
      <c r="E453" t="s">
        <v>337</v>
      </c>
      <c r="F453" s="12">
        <v>686743</v>
      </c>
      <c r="G453" s="13">
        <v>68</v>
      </c>
      <c r="H453" t="s">
        <v>2887</v>
      </c>
      <c r="I453" s="8">
        <v>46147</v>
      </c>
      <c r="J453" t="s">
        <v>2682</v>
      </c>
      <c r="K453" t="s">
        <v>2683</v>
      </c>
      <c r="L453" s="13">
        <v>6000</v>
      </c>
      <c r="M453" t="s">
        <v>2661</v>
      </c>
    </row>
    <row r="454" spans="1:13">
      <c r="A454" t="s">
        <v>971</v>
      </c>
      <c r="B454" t="s">
        <v>23</v>
      </c>
      <c r="C454" s="8">
        <v>46146</v>
      </c>
      <c r="D454" t="s">
        <v>342</v>
      </c>
      <c r="E454" t="s">
        <v>337</v>
      </c>
      <c r="F454" s="12">
        <v>686743</v>
      </c>
      <c r="G454" s="13">
        <v>68</v>
      </c>
      <c r="H454" t="s">
        <v>3153</v>
      </c>
      <c r="I454" s="8">
        <v>46122</v>
      </c>
      <c r="J454" t="s">
        <v>2665</v>
      </c>
      <c r="K454" t="s">
        <v>2666</v>
      </c>
      <c r="L454" s="13">
        <v>2500</v>
      </c>
      <c r="M454" t="s">
        <v>2676</v>
      </c>
    </row>
    <row r="455" spans="1:13">
      <c r="A455" t="s">
        <v>971</v>
      </c>
      <c r="B455" t="s">
        <v>23</v>
      </c>
      <c r="C455" s="8">
        <v>46146</v>
      </c>
      <c r="D455" t="s">
        <v>342</v>
      </c>
      <c r="E455" t="s">
        <v>337</v>
      </c>
      <c r="F455" s="12">
        <v>686743</v>
      </c>
      <c r="G455" s="13">
        <v>68</v>
      </c>
      <c r="H455" t="s">
        <v>3426</v>
      </c>
      <c r="I455" s="8">
        <v>46038</v>
      </c>
      <c r="J455" t="s">
        <v>2688</v>
      </c>
      <c r="K455" t="s">
        <v>2689</v>
      </c>
      <c r="L455" s="13">
        <v>8000</v>
      </c>
      <c r="M455" t="s">
        <v>2661</v>
      </c>
    </row>
    <row r="456" spans="1:13">
      <c r="A456" t="s">
        <v>1099</v>
      </c>
      <c r="B456" t="s">
        <v>23</v>
      </c>
      <c r="C456" s="8">
        <v>46255</v>
      </c>
      <c r="D456" t="s">
        <v>327</v>
      </c>
      <c r="E456" t="s">
        <v>325</v>
      </c>
      <c r="F456" s="12">
        <v>66666</v>
      </c>
      <c r="G456" s="13">
        <v>6</v>
      </c>
      <c r="H456" t="s">
        <v>2807</v>
      </c>
      <c r="I456" s="8">
        <v>46239</v>
      </c>
      <c r="J456" t="s">
        <v>2663</v>
      </c>
      <c r="K456" t="s">
        <v>3630</v>
      </c>
      <c r="L456" s="13">
        <v>1500</v>
      </c>
      <c r="M456" t="s">
        <v>2661</v>
      </c>
    </row>
    <row r="457" spans="1:13">
      <c r="A457" t="s">
        <v>1099</v>
      </c>
      <c r="B457" t="s">
        <v>23</v>
      </c>
      <c r="C457" s="8">
        <v>46255</v>
      </c>
      <c r="D457" t="s">
        <v>327</v>
      </c>
      <c r="E457" t="s">
        <v>325</v>
      </c>
      <c r="F457" s="12">
        <v>66666</v>
      </c>
      <c r="G457" s="13">
        <v>6</v>
      </c>
      <c r="H457" t="s">
        <v>2846</v>
      </c>
      <c r="I457" s="8">
        <v>46148</v>
      </c>
      <c r="J457" t="s">
        <v>2685</v>
      </c>
      <c r="K457" t="s">
        <v>2686</v>
      </c>
      <c r="L457" s="13">
        <v>5000</v>
      </c>
      <c r="M457" t="s">
        <v>2661</v>
      </c>
    </row>
    <row r="458" spans="1:13">
      <c r="A458" t="s">
        <v>1099</v>
      </c>
      <c r="B458" t="s">
        <v>23</v>
      </c>
      <c r="C458" s="8">
        <v>46255</v>
      </c>
      <c r="D458" t="s">
        <v>327</v>
      </c>
      <c r="E458" t="s">
        <v>325</v>
      </c>
      <c r="F458" s="12">
        <v>66666</v>
      </c>
      <c r="G458" s="13">
        <v>6</v>
      </c>
      <c r="H458" t="s">
        <v>2872</v>
      </c>
      <c r="I458" s="8">
        <v>46180</v>
      </c>
      <c r="J458" t="s">
        <v>2659</v>
      </c>
      <c r="K458" t="s">
        <v>2660</v>
      </c>
      <c r="L458" s="13">
        <v>3500</v>
      </c>
      <c r="M458" t="s">
        <v>2661</v>
      </c>
    </row>
    <row r="459" spans="1:13">
      <c r="A459" t="s">
        <v>1099</v>
      </c>
      <c r="B459" t="s">
        <v>23</v>
      </c>
      <c r="C459" s="8">
        <v>46255</v>
      </c>
      <c r="D459" t="s">
        <v>327</v>
      </c>
      <c r="E459" t="s">
        <v>325</v>
      </c>
      <c r="F459" s="12">
        <v>66666</v>
      </c>
      <c r="G459" s="13">
        <v>6</v>
      </c>
      <c r="H459" t="s">
        <v>2887</v>
      </c>
      <c r="I459" s="8">
        <v>46147</v>
      </c>
      <c r="J459" t="s">
        <v>2682</v>
      </c>
      <c r="K459" t="s">
        <v>2683</v>
      </c>
      <c r="L459" s="13">
        <v>6000</v>
      </c>
      <c r="M459" t="s">
        <v>2661</v>
      </c>
    </row>
    <row r="460" spans="1:13">
      <c r="A460" t="s">
        <v>1099</v>
      </c>
      <c r="B460" t="s">
        <v>23</v>
      </c>
      <c r="C460" s="8">
        <v>46255</v>
      </c>
      <c r="D460" t="s">
        <v>327</v>
      </c>
      <c r="E460" t="s">
        <v>325</v>
      </c>
      <c r="F460" s="12">
        <v>66666</v>
      </c>
      <c r="G460" s="13">
        <v>6</v>
      </c>
      <c r="H460" t="s">
        <v>3153</v>
      </c>
      <c r="I460" s="8">
        <v>46122</v>
      </c>
      <c r="J460" t="s">
        <v>2665</v>
      </c>
      <c r="K460" t="s">
        <v>2666</v>
      </c>
      <c r="L460" s="13">
        <v>2500</v>
      </c>
      <c r="M460" t="s">
        <v>2676</v>
      </c>
    </row>
    <row r="461" spans="1:13">
      <c r="A461" t="s">
        <v>1099</v>
      </c>
      <c r="B461" t="s">
        <v>23</v>
      </c>
      <c r="C461" s="8">
        <v>46255</v>
      </c>
      <c r="D461" t="s">
        <v>327</v>
      </c>
      <c r="E461" t="s">
        <v>325</v>
      </c>
      <c r="F461" s="12">
        <v>66666</v>
      </c>
      <c r="G461" s="13">
        <v>6</v>
      </c>
      <c r="H461" t="s">
        <v>3426</v>
      </c>
      <c r="I461" s="8">
        <v>46038</v>
      </c>
      <c r="J461" t="s">
        <v>2688</v>
      </c>
      <c r="K461" t="s">
        <v>2689</v>
      </c>
      <c r="L461" s="13">
        <v>8000</v>
      </c>
      <c r="M461" t="s">
        <v>2661</v>
      </c>
    </row>
    <row r="462" spans="1:13">
      <c r="A462" t="s">
        <v>355</v>
      </c>
      <c r="B462" t="s">
        <v>159</v>
      </c>
      <c r="C462" s="8">
        <v>46268</v>
      </c>
      <c r="D462" t="s">
        <v>350</v>
      </c>
      <c r="E462" t="s">
        <v>325</v>
      </c>
      <c r="F462" s="12">
        <v>93030</v>
      </c>
      <c r="G462" s="13">
        <v>9</v>
      </c>
      <c r="H462" t="s">
        <v>2953</v>
      </c>
      <c r="I462" s="8">
        <v>45987</v>
      </c>
      <c r="J462" t="s">
        <v>2663</v>
      </c>
      <c r="K462" t="s">
        <v>3630</v>
      </c>
      <c r="L462" s="13">
        <v>1500</v>
      </c>
      <c r="M462" t="s">
        <v>2661</v>
      </c>
    </row>
    <row r="463" spans="1:13">
      <c r="A463" t="s">
        <v>355</v>
      </c>
      <c r="B463" t="s">
        <v>159</v>
      </c>
      <c r="C463" s="8">
        <v>46268</v>
      </c>
      <c r="D463" t="s">
        <v>350</v>
      </c>
      <c r="E463" t="s">
        <v>325</v>
      </c>
      <c r="F463" s="12">
        <v>93030</v>
      </c>
      <c r="G463" s="13">
        <v>9</v>
      </c>
      <c r="H463" t="s">
        <v>3409</v>
      </c>
      <c r="I463" s="8">
        <v>45981</v>
      </c>
      <c r="J463" t="s">
        <v>2671</v>
      </c>
      <c r="K463" t="s">
        <v>2672</v>
      </c>
      <c r="L463" s="13">
        <v>3000</v>
      </c>
      <c r="M463" t="s">
        <v>2661</v>
      </c>
    </row>
    <row r="464" spans="1:13">
      <c r="A464" t="s">
        <v>478</v>
      </c>
      <c r="B464" t="s">
        <v>159</v>
      </c>
      <c r="C464" s="8">
        <v>45933</v>
      </c>
      <c r="D464" t="s">
        <v>344</v>
      </c>
      <c r="E464" t="s">
        <v>339</v>
      </c>
      <c r="F464" s="12">
        <v>93172</v>
      </c>
      <c r="G464" s="13">
        <v>9</v>
      </c>
      <c r="H464" t="s">
        <v>2953</v>
      </c>
      <c r="I464" s="8">
        <v>45987</v>
      </c>
      <c r="J464" t="s">
        <v>2663</v>
      </c>
      <c r="K464" t="s">
        <v>3630</v>
      </c>
      <c r="L464" s="13">
        <v>1500</v>
      </c>
      <c r="M464" t="s">
        <v>2661</v>
      </c>
    </row>
    <row r="465" spans="1:13">
      <c r="A465" t="s">
        <v>478</v>
      </c>
      <c r="B465" t="s">
        <v>159</v>
      </c>
      <c r="C465" s="8">
        <v>45933</v>
      </c>
      <c r="D465" t="s">
        <v>344</v>
      </c>
      <c r="E465" t="s">
        <v>339</v>
      </c>
      <c r="F465" s="12">
        <v>93172</v>
      </c>
      <c r="G465" s="13">
        <v>9</v>
      </c>
      <c r="H465" t="s">
        <v>3409</v>
      </c>
      <c r="I465" s="8">
        <v>45981</v>
      </c>
      <c r="J465" t="s">
        <v>2671</v>
      </c>
      <c r="K465" t="s">
        <v>2672</v>
      </c>
      <c r="L465" s="13">
        <v>3000</v>
      </c>
      <c r="M465" t="s">
        <v>2661</v>
      </c>
    </row>
    <row r="466" spans="1:13">
      <c r="A466" t="s">
        <v>584</v>
      </c>
      <c r="B466" t="s">
        <v>159</v>
      </c>
      <c r="C466" s="8">
        <v>46152</v>
      </c>
      <c r="D466" t="s">
        <v>321</v>
      </c>
      <c r="E466" t="s">
        <v>339</v>
      </c>
      <c r="F466" s="12">
        <v>405986</v>
      </c>
      <c r="G466" s="13">
        <v>40</v>
      </c>
      <c r="H466" t="s">
        <v>2953</v>
      </c>
      <c r="I466" s="8">
        <v>45987</v>
      </c>
      <c r="J466" t="s">
        <v>2663</v>
      </c>
      <c r="K466" t="s">
        <v>3630</v>
      </c>
      <c r="L466" s="13">
        <v>1500</v>
      </c>
      <c r="M466" t="s">
        <v>2661</v>
      </c>
    </row>
    <row r="467" spans="1:13">
      <c r="A467" t="s">
        <v>584</v>
      </c>
      <c r="B467" t="s">
        <v>159</v>
      </c>
      <c r="C467" s="8">
        <v>46152</v>
      </c>
      <c r="D467" t="s">
        <v>321</v>
      </c>
      <c r="E467" t="s">
        <v>339</v>
      </c>
      <c r="F467" s="12">
        <v>405986</v>
      </c>
      <c r="G467" s="13">
        <v>40</v>
      </c>
      <c r="H467" t="s">
        <v>3409</v>
      </c>
      <c r="I467" s="8">
        <v>45981</v>
      </c>
      <c r="J467" t="s">
        <v>2671</v>
      </c>
      <c r="K467" t="s">
        <v>2672</v>
      </c>
      <c r="L467" s="13">
        <v>3000</v>
      </c>
      <c r="M467" t="s">
        <v>2661</v>
      </c>
    </row>
    <row r="468" spans="1:13">
      <c r="A468" t="s">
        <v>663</v>
      </c>
      <c r="B468" t="s">
        <v>159</v>
      </c>
      <c r="C468" s="8">
        <v>46021</v>
      </c>
      <c r="D468" t="s">
        <v>350</v>
      </c>
      <c r="E468" t="s">
        <v>337</v>
      </c>
      <c r="F468" s="12">
        <v>86999</v>
      </c>
      <c r="G468" s="13">
        <v>8</v>
      </c>
      <c r="H468" t="s">
        <v>2953</v>
      </c>
      <c r="I468" s="8">
        <v>45987</v>
      </c>
      <c r="J468" t="s">
        <v>2663</v>
      </c>
      <c r="K468" t="s">
        <v>3630</v>
      </c>
      <c r="L468" s="13">
        <v>1500</v>
      </c>
      <c r="M468" t="s">
        <v>2661</v>
      </c>
    </row>
    <row r="469" spans="1:13">
      <c r="A469" t="s">
        <v>663</v>
      </c>
      <c r="B469" t="s">
        <v>159</v>
      </c>
      <c r="C469" s="8">
        <v>46021</v>
      </c>
      <c r="D469" t="s">
        <v>350</v>
      </c>
      <c r="E469" t="s">
        <v>337</v>
      </c>
      <c r="F469" s="12">
        <v>86999</v>
      </c>
      <c r="G469" s="13">
        <v>8</v>
      </c>
      <c r="H469" t="s">
        <v>3409</v>
      </c>
      <c r="I469" s="8">
        <v>45981</v>
      </c>
      <c r="J469" t="s">
        <v>2671</v>
      </c>
      <c r="K469" t="s">
        <v>2672</v>
      </c>
      <c r="L469" s="13">
        <v>3000</v>
      </c>
      <c r="M469" t="s">
        <v>2661</v>
      </c>
    </row>
    <row r="470" spans="1:13">
      <c r="A470" t="s">
        <v>536</v>
      </c>
      <c r="B470" t="s">
        <v>106</v>
      </c>
      <c r="C470" s="8">
        <v>46067</v>
      </c>
      <c r="D470" t="s">
        <v>342</v>
      </c>
      <c r="E470" t="s">
        <v>328</v>
      </c>
      <c r="F470" s="12">
        <v>149532</v>
      </c>
      <c r="G470" s="13">
        <v>14</v>
      </c>
      <c r="H470" t="s">
        <v>2700</v>
      </c>
      <c r="I470" s="8">
        <v>46262</v>
      </c>
      <c r="J470" t="s">
        <v>2692</v>
      </c>
      <c r="K470" t="s">
        <v>2693</v>
      </c>
      <c r="L470" s="13">
        <v>10000</v>
      </c>
      <c r="M470" t="s">
        <v>2676</v>
      </c>
    </row>
    <row r="471" spans="1:13">
      <c r="A471" t="s">
        <v>536</v>
      </c>
      <c r="B471" t="s">
        <v>106</v>
      </c>
      <c r="C471" s="8">
        <v>46067</v>
      </c>
      <c r="D471" t="s">
        <v>342</v>
      </c>
      <c r="E471" t="s">
        <v>328</v>
      </c>
      <c r="F471" s="12">
        <v>149532</v>
      </c>
      <c r="G471" s="13">
        <v>14</v>
      </c>
      <c r="H471" t="s">
        <v>2973</v>
      </c>
      <c r="I471" s="8">
        <v>46143</v>
      </c>
      <c r="J471" t="s">
        <v>2682</v>
      </c>
      <c r="K471" t="s">
        <v>2683</v>
      </c>
      <c r="L471" s="13">
        <v>6000</v>
      </c>
      <c r="M471" t="s">
        <v>2661</v>
      </c>
    </row>
    <row r="472" spans="1:13">
      <c r="A472" t="s">
        <v>536</v>
      </c>
      <c r="B472" t="s">
        <v>106</v>
      </c>
      <c r="C472" s="8">
        <v>46067</v>
      </c>
      <c r="D472" t="s">
        <v>342</v>
      </c>
      <c r="E472" t="s">
        <v>328</v>
      </c>
      <c r="F472" s="12">
        <v>149532</v>
      </c>
      <c r="G472" s="13">
        <v>14</v>
      </c>
      <c r="H472" t="s">
        <v>3217</v>
      </c>
      <c r="I472" s="8">
        <v>46275</v>
      </c>
      <c r="J472" t="s">
        <v>2682</v>
      </c>
      <c r="K472" t="s">
        <v>2683</v>
      </c>
      <c r="L472" s="13">
        <v>6000</v>
      </c>
      <c r="M472" t="s">
        <v>2676</v>
      </c>
    </row>
    <row r="473" spans="1:13">
      <c r="A473" t="s">
        <v>536</v>
      </c>
      <c r="B473" t="s">
        <v>106</v>
      </c>
      <c r="C473" s="8">
        <v>46067</v>
      </c>
      <c r="D473" t="s">
        <v>342</v>
      </c>
      <c r="E473" t="s">
        <v>328</v>
      </c>
      <c r="F473" s="12">
        <v>149532</v>
      </c>
      <c r="G473" s="13">
        <v>14</v>
      </c>
      <c r="H473" t="s">
        <v>3285</v>
      </c>
      <c r="I473" s="8">
        <v>46234</v>
      </c>
      <c r="J473" t="s">
        <v>2668</v>
      </c>
      <c r="K473" t="s">
        <v>2669</v>
      </c>
      <c r="L473" s="13">
        <v>4000</v>
      </c>
      <c r="M473" t="s">
        <v>2661</v>
      </c>
    </row>
    <row r="474" spans="1:13">
      <c r="A474" t="s">
        <v>536</v>
      </c>
      <c r="B474" t="s">
        <v>106</v>
      </c>
      <c r="C474" s="8">
        <v>46067</v>
      </c>
      <c r="D474" t="s">
        <v>342</v>
      </c>
      <c r="E474" t="s">
        <v>328</v>
      </c>
      <c r="F474" s="12">
        <v>149532</v>
      </c>
      <c r="G474" s="13">
        <v>14</v>
      </c>
      <c r="H474" t="s">
        <v>3476</v>
      </c>
      <c r="I474" s="8">
        <v>45966</v>
      </c>
      <c r="J474" t="s">
        <v>2674</v>
      </c>
      <c r="K474" t="s">
        <v>2675</v>
      </c>
      <c r="L474" s="13">
        <v>20000</v>
      </c>
      <c r="M474" t="s">
        <v>2661</v>
      </c>
    </row>
    <row r="475" spans="1:13">
      <c r="A475" t="s">
        <v>569</v>
      </c>
      <c r="B475" t="s">
        <v>106</v>
      </c>
      <c r="C475" s="8">
        <v>46194</v>
      </c>
      <c r="D475" t="s">
        <v>324</v>
      </c>
      <c r="E475" t="s">
        <v>337</v>
      </c>
      <c r="F475" s="12">
        <v>55657</v>
      </c>
      <c r="G475" s="13">
        <v>5</v>
      </c>
      <c r="H475" t="s">
        <v>2700</v>
      </c>
      <c r="I475" s="8">
        <v>46262</v>
      </c>
      <c r="J475" t="s">
        <v>2692</v>
      </c>
      <c r="K475" t="s">
        <v>2693</v>
      </c>
      <c r="L475" s="13">
        <v>10000</v>
      </c>
      <c r="M475" t="s">
        <v>2676</v>
      </c>
    </row>
    <row r="476" spans="1:13">
      <c r="A476" t="s">
        <v>569</v>
      </c>
      <c r="B476" t="s">
        <v>106</v>
      </c>
      <c r="C476" s="8">
        <v>46194</v>
      </c>
      <c r="D476" t="s">
        <v>324</v>
      </c>
      <c r="E476" t="s">
        <v>337</v>
      </c>
      <c r="F476" s="12">
        <v>55657</v>
      </c>
      <c r="G476" s="13">
        <v>5</v>
      </c>
      <c r="H476" t="s">
        <v>2973</v>
      </c>
      <c r="I476" s="8">
        <v>46143</v>
      </c>
      <c r="J476" t="s">
        <v>2682</v>
      </c>
      <c r="K476" t="s">
        <v>2683</v>
      </c>
      <c r="L476" s="13">
        <v>6000</v>
      </c>
      <c r="M476" t="s">
        <v>2661</v>
      </c>
    </row>
    <row r="477" spans="1:13">
      <c r="A477" t="s">
        <v>569</v>
      </c>
      <c r="B477" t="s">
        <v>106</v>
      </c>
      <c r="C477" s="8">
        <v>46194</v>
      </c>
      <c r="D477" t="s">
        <v>324</v>
      </c>
      <c r="E477" t="s">
        <v>337</v>
      </c>
      <c r="F477" s="12">
        <v>55657</v>
      </c>
      <c r="G477" s="13">
        <v>5</v>
      </c>
      <c r="H477" t="s">
        <v>3217</v>
      </c>
      <c r="I477" s="8">
        <v>46275</v>
      </c>
      <c r="J477" t="s">
        <v>2682</v>
      </c>
      <c r="K477" t="s">
        <v>2683</v>
      </c>
      <c r="L477" s="13">
        <v>6000</v>
      </c>
      <c r="M477" t="s">
        <v>2676</v>
      </c>
    </row>
    <row r="478" spans="1:13">
      <c r="A478" t="s">
        <v>569</v>
      </c>
      <c r="B478" t="s">
        <v>106</v>
      </c>
      <c r="C478" s="8">
        <v>46194</v>
      </c>
      <c r="D478" t="s">
        <v>324</v>
      </c>
      <c r="E478" t="s">
        <v>337</v>
      </c>
      <c r="F478" s="12">
        <v>55657</v>
      </c>
      <c r="G478" s="13">
        <v>5</v>
      </c>
      <c r="H478" t="s">
        <v>3285</v>
      </c>
      <c r="I478" s="8">
        <v>46234</v>
      </c>
      <c r="J478" t="s">
        <v>2668</v>
      </c>
      <c r="K478" t="s">
        <v>2669</v>
      </c>
      <c r="L478" s="13">
        <v>4000</v>
      </c>
      <c r="M478" t="s">
        <v>2661</v>
      </c>
    </row>
    <row r="479" spans="1:13">
      <c r="A479" t="s">
        <v>569</v>
      </c>
      <c r="B479" t="s">
        <v>106</v>
      </c>
      <c r="C479" s="8">
        <v>46194</v>
      </c>
      <c r="D479" t="s">
        <v>324</v>
      </c>
      <c r="E479" t="s">
        <v>337</v>
      </c>
      <c r="F479" s="12">
        <v>55657</v>
      </c>
      <c r="G479" s="13">
        <v>5</v>
      </c>
      <c r="H479" t="s">
        <v>3476</v>
      </c>
      <c r="I479" s="8">
        <v>45966</v>
      </c>
      <c r="J479" t="s">
        <v>2674</v>
      </c>
      <c r="K479" t="s">
        <v>2675</v>
      </c>
      <c r="L479" s="13">
        <v>20000</v>
      </c>
      <c r="M479" t="s">
        <v>2661</v>
      </c>
    </row>
    <row r="480" spans="1:13">
      <c r="A480" t="s">
        <v>659</v>
      </c>
      <c r="B480" t="s">
        <v>106</v>
      </c>
      <c r="C480" s="8">
        <v>46119</v>
      </c>
      <c r="D480" t="s">
        <v>321</v>
      </c>
      <c r="E480" t="s">
        <v>325</v>
      </c>
      <c r="F480" s="12">
        <v>582865</v>
      </c>
      <c r="G480" s="13">
        <v>58</v>
      </c>
      <c r="H480" t="s">
        <v>2700</v>
      </c>
      <c r="I480" s="8">
        <v>46262</v>
      </c>
      <c r="J480" t="s">
        <v>2692</v>
      </c>
      <c r="K480" t="s">
        <v>2693</v>
      </c>
      <c r="L480" s="13">
        <v>10000</v>
      </c>
      <c r="M480" t="s">
        <v>2676</v>
      </c>
    </row>
    <row r="481" spans="1:13">
      <c r="A481" t="s">
        <v>659</v>
      </c>
      <c r="B481" t="s">
        <v>106</v>
      </c>
      <c r="C481" s="8">
        <v>46119</v>
      </c>
      <c r="D481" t="s">
        <v>321</v>
      </c>
      <c r="E481" t="s">
        <v>325</v>
      </c>
      <c r="F481" s="12">
        <v>582865</v>
      </c>
      <c r="G481" s="13">
        <v>58</v>
      </c>
      <c r="H481" t="s">
        <v>2973</v>
      </c>
      <c r="I481" s="8">
        <v>46143</v>
      </c>
      <c r="J481" t="s">
        <v>2682</v>
      </c>
      <c r="K481" t="s">
        <v>2683</v>
      </c>
      <c r="L481" s="13">
        <v>6000</v>
      </c>
      <c r="M481" t="s">
        <v>2661</v>
      </c>
    </row>
    <row r="482" spans="1:13">
      <c r="A482" t="s">
        <v>659</v>
      </c>
      <c r="B482" t="s">
        <v>106</v>
      </c>
      <c r="C482" s="8">
        <v>46119</v>
      </c>
      <c r="D482" t="s">
        <v>321</v>
      </c>
      <c r="E482" t="s">
        <v>325</v>
      </c>
      <c r="F482" s="12">
        <v>582865</v>
      </c>
      <c r="G482" s="13">
        <v>58</v>
      </c>
      <c r="H482" t="s">
        <v>3217</v>
      </c>
      <c r="I482" s="8">
        <v>46275</v>
      </c>
      <c r="J482" t="s">
        <v>2682</v>
      </c>
      <c r="K482" t="s">
        <v>2683</v>
      </c>
      <c r="L482" s="13">
        <v>6000</v>
      </c>
      <c r="M482" t="s">
        <v>2676</v>
      </c>
    </row>
    <row r="483" spans="1:13">
      <c r="A483" t="s">
        <v>659</v>
      </c>
      <c r="B483" t="s">
        <v>106</v>
      </c>
      <c r="C483" s="8">
        <v>46119</v>
      </c>
      <c r="D483" t="s">
        <v>321</v>
      </c>
      <c r="E483" t="s">
        <v>325</v>
      </c>
      <c r="F483" s="12">
        <v>582865</v>
      </c>
      <c r="G483" s="13">
        <v>58</v>
      </c>
      <c r="H483" t="s">
        <v>3285</v>
      </c>
      <c r="I483" s="8">
        <v>46234</v>
      </c>
      <c r="J483" t="s">
        <v>2668</v>
      </c>
      <c r="K483" t="s">
        <v>2669</v>
      </c>
      <c r="L483" s="13">
        <v>4000</v>
      </c>
      <c r="M483" t="s">
        <v>2661</v>
      </c>
    </row>
    <row r="484" spans="1:13">
      <c r="A484" t="s">
        <v>659</v>
      </c>
      <c r="B484" t="s">
        <v>106</v>
      </c>
      <c r="C484" s="8">
        <v>46119</v>
      </c>
      <c r="D484" t="s">
        <v>321</v>
      </c>
      <c r="E484" t="s">
        <v>325</v>
      </c>
      <c r="F484" s="12">
        <v>582865</v>
      </c>
      <c r="G484" s="13">
        <v>58</v>
      </c>
      <c r="H484" t="s">
        <v>3476</v>
      </c>
      <c r="I484" s="8">
        <v>45966</v>
      </c>
      <c r="J484" t="s">
        <v>2674</v>
      </c>
      <c r="K484" t="s">
        <v>2675</v>
      </c>
      <c r="L484" s="13">
        <v>20000</v>
      </c>
      <c r="M484" t="s">
        <v>2661</v>
      </c>
    </row>
    <row r="485" spans="1:13">
      <c r="A485" t="s">
        <v>805</v>
      </c>
      <c r="B485" t="s">
        <v>106</v>
      </c>
      <c r="C485" s="8">
        <v>45969</v>
      </c>
      <c r="D485" t="s">
        <v>342</v>
      </c>
      <c r="E485" t="s">
        <v>325</v>
      </c>
      <c r="F485" s="12">
        <v>40550</v>
      </c>
      <c r="G485" s="13">
        <v>4</v>
      </c>
      <c r="H485" t="s">
        <v>2700</v>
      </c>
      <c r="I485" s="8">
        <v>46262</v>
      </c>
      <c r="J485" t="s">
        <v>2692</v>
      </c>
      <c r="K485" t="s">
        <v>2693</v>
      </c>
      <c r="L485" s="13">
        <v>10000</v>
      </c>
      <c r="M485" t="s">
        <v>2676</v>
      </c>
    </row>
    <row r="486" spans="1:13">
      <c r="A486" t="s">
        <v>805</v>
      </c>
      <c r="B486" t="s">
        <v>106</v>
      </c>
      <c r="C486" s="8">
        <v>45969</v>
      </c>
      <c r="D486" t="s">
        <v>342</v>
      </c>
      <c r="E486" t="s">
        <v>325</v>
      </c>
      <c r="F486" s="12">
        <v>40550</v>
      </c>
      <c r="G486" s="13">
        <v>4</v>
      </c>
      <c r="H486" t="s">
        <v>2973</v>
      </c>
      <c r="I486" s="8">
        <v>46143</v>
      </c>
      <c r="J486" t="s">
        <v>2682</v>
      </c>
      <c r="K486" t="s">
        <v>2683</v>
      </c>
      <c r="L486" s="13">
        <v>6000</v>
      </c>
      <c r="M486" t="s">
        <v>2661</v>
      </c>
    </row>
    <row r="487" spans="1:13">
      <c r="A487" t="s">
        <v>805</v>
      </c>
      <c r="B487" t="s">
        <v>106</v>
      </c>
      <c r="C487" s="8">
        <v>45969</v>
      </c>
      <c r="D487" t="s">
        <v>342</v>
      </c>
      <c r="E487" t="s">
        <v>325</v>
      </c>
      <c r="F487" s="12">
        <v>40550</v>
      </c>
      <c r="G487" s="13">
        <v>4</v>
      </c>
      <c r="H487" t="s">
        <v>3217</v>
      </c>
      <c r="I487" s="8">
        <v>46275</v>
      </c>
      <c r="J487" t="s">
        <v>2682</v>
      </c>
      <c r="K487" t="s">
        <v>2683</v>
      </c>
      <c r="L487" s="13">
        <v>6000</v>
      </c>
      <c r="M487" t="s">
        <v>2676</v>
      </c>
    </row>
    <row r="488" spans="1:13">
      <c r="A488" t="s">
        <v>805</v>
      </c>
      <c r="B488" t="s">
        <v>106</v>
      </c>
      <c r="C488" s="8">
        <v>45969</v>
      </c>
      <c r="D488" t="s">
        <v>342</v>
      </c>
      <c r="E488" t="s">
        <v>325</v>
      </c>
      <c r="F488" s="12">
        <v>40550</v>
      </c>
      <c r="G488" s="13">
        <v>4</v>
      </c>
      <c r="H488" t="s">
        <v>3285</v>
      </c>
      <c r="I488" s="8">
        <v>46234</v>
      </c>
      <c r="J488" t="s">
        <v>2668</v>
      </c>
      <c r="K488" t="s">
        <v>2669</v>
      </c>
      <c r="L488" s="13">
        <v>4000</v>
      </c>
      <c r="M488" t="s">
        <v>2661</v>
      </c>
    </row>
    <row r="489" spans="1:13">
      <c r="A489" t="s">
        <v>805</v>
      </c>
      <c r="B489" t="s">
        <v>106</v>
      </c>
      <c r="C489" s="8">
        <v>45969</v>
      </c>
      <c r="D489" t="s">
        <v>342</v>
      </c>
      <c r="E489" t="s">
        <v>325</v>
      </c>
      <c r="F489" s="12">
        <v>40550</v>
      </c>
      <c r="G489" s="13">
        <v>4</v>
      </c>
      <c r="H489" t="s">
        <v>3476</v>
      </c>
      <c r="I489" s="8">
        <v>45966</v>
      </c>
      <c r="J489" t="s">
        <v>2674</v>
      </c>
      <c r="K489" t="s">
        <v>2675</v>
      </c>
      <c r="L489" s="13">
        <v>20000</v>
      </c>
      <c r="M489" t="s">
        <v>2661</v>
      </c>
    </row>
    <row r="490" spans="1:13">
      <c r="A490" t="s">
        <v>815</v>
      </c>
      <c r="B490" t="s">
        <v>106</v>
      </c>
      <c r="C490" s="8">
        <v>46132</v>
      </c>
      <c r="D490" t="s">
        <v>321</v>
      </c>
      <c r="E490" t="s">
        <v>328</v>
      </c>
      <c r="F490" s="12">
        <v>755709</v>
      </c>
      <c r="G490" s="13">
        <v>75</v>
      </c>
      <c r="H490" t="s">
        <v>2700</v>
      </c>
      <c r="I490" s="8">
        <v>46262</v>
      </c>
      <c r="J490" t="s">
        <v>2692</v>
      </c>
      <c r="K490" t="s">
        <v>2693</v>
      </c>
      <c r="L490" s="13">
        <v>10000</v>
      </c>
      <c r="M490" t="s">
        <v>2676</v>
      </c>
    </row>
    <row r="491" spans="1:13">
      <c r="A491" t="s">
        <v>815</v>
      </c>
      <c r="B491" t="s">
        <v>106</v>
      </c>
      <c r="C491" s="8">
        <v>46132</v>
      </c>
      <c r="D491" t="s">
        <v>321</v>
      </c>
      <c r="E491" t="s">
        <v>328</v>
      </c>
      <c r="F491" s="12">
        <v>755709</v>
      </c>
      <c r="G491" s="13">
        <v>75</v>
      </c>
      <c r="H491" t="s">
        <v>2973</v>
      </c>
      <c r="I491" s="8">
        <v>46143</v>
      </c>
      <c r="J491" t="s">
        <v>2682</v>
      </c>
      <c r="K491" t="s">
        <v>2683</v>
      </c>
      <c r="L491" s="13">
        <v>6000</v>
      </c>
      <c r="M491" t="s">
        <v>2661</v>
      </c>
    </row>
    <row r="492" spans="1:13">
      <c r="A492" t="s">
        <v>815</v>
      </c>
      <c r="B492" t="s">
        <v>106</v>
      </c>
      <c r="C492" s="8">
        <v>46132</v>
      </c>
      <c r="D492" t="s">
        <v>321</v>
      </c>
      <c r="E492" t="s">
        <v>328</v>
      </c>
      <c r="F492" s="12">
        <v>755709</v>
      </c>
      <c r="G492" s="13">
        <v>75</v>
      </c>
      <c r="H492" t="s">
        <v>3217</v>
      </c>
      <c r="I492" s="8">
        <v>46275</v>
      </c>
      <c r="J492" t="s">
        <v>2682</v>
      </c>
      <c r="K492" t="s">
        <v>2683</v>
      </c>
      <c r="L492" s="13">
        <v>6000</v>
      </c>
      <c r="M492" t="s">
        <v>2676</v>
      </c>
    </row>
    <row r="493" spans="1:13">
      <c r="A493" t="s">
        <v>815</v>
      </c>
      <c r="B493" t="s">
        <v>106</v>
      </c>
      <c r="C493" s="8">
        <v>46132</v>
      </c>
      <c r="D493" t="s">
        <v>321</v>
      </c>
      <c r="E493" t="s">
        <v>328</v>
      </c>
      <c r="F493" s="12">
        <v>755709</v>
      </c>
      <c r="G493" s="13">
        <v>75</v>
      </c>
      <c r="H493" t="s">
        <v>3285</v>
      </c>
      <c r="I493" s="8">
        <v>46234</v>
      </c>
      <c r="J493" t="s">
        <v>2668</v>
      </c>
      <c r="K493" t="s">
        <v>2669</v>
      </c>
      <c r="L493" s="13">
        <v>4000</v>
      </c>
      <c r="M493" t="s">
        <v>2661</v>
      </c>
    </row>
    <row r="494" spans="1:13">
      <c r="A494" t="s">
        <v>815</v>
      </c>
      <c r="B494" t="s">
        <v>106</v>
      </c>
      <c r="C494" s="8">
        <v>46132</v>
      </c>
      <c r="D494" t="s">
        <v>321</v>
      </c>
      <c r="E494" t="s">
        <v>328</v>
      </c>
      <c r="F494" s="12">
        <v>755709</v>
      </c>
      <c r="G494" s="13">
        <v>75</v>
      </c>
      <c r="H494" t="s">
        <v>3476</v>
      </c>
      <c r="I494" s="8">
        <v>45966</v>
      </c>
      <c r="J494" t="s">
        <v>2674</v>
      </c>
      <c r="K494" t="s">
        <v>2675</v>
      </c>
      <c r="L494" s="13">
        <v>20000</v>
      </c>
      <c r="M494" t="s">
        <v>2661</v>
      </c>
    </row>
    <row r="495" spans="1:13">
      <c r="A495" t="s">
        <v>849</v>
      </c>
      <c r="B495" t="s">
        <v>106</v>
      </c>
      <c r="C495" s="8">
        <v>46271</v>
      </c>
      <c r="D495" t="s">
        <v>327</v>
      </c>
      <c r="E495" t="s">
        <v>322</v>
      </c>
      <c r="F495" s="12">
        <v>683314</v>
      </c>
      <c r="G495" s="13">
        <v>68</v>
      </c>
      <c r="H495" t="s">
        <v>2700</v>
      </c>
      <c r="I495" s="8">
        <v>46262</v>
      </c>
      <c r="J495" t="s">
        <v>2692</v>
      </c>
      <c r="K495" t="s">
        <v>2693</v>
      </c>
      <c r="L495" s="13">
        <v>10000</v>
      </c>
      <c r="M495" t="s">
        <v>2676</v>
      </c>
    </row>
    <row r="496" spans="1:13">
      <c r="A496" t="s">
        <v>849</v>
      </c>
      <c r="B496" t="s">
        <v>106</v>
      </c>
      <c r="C496" s="8">
        <v>46271</v>
      </c>
      <c r="D496" t="s">
        <v>327</v>
      </c>
      <c r="E496" t="s">
        <v>322</v>
      </c>
      <c r="F496" s="12">
        <v>683314</v>
      </c>
      <c r="G496" s="13">
        <v>68</v>
      </c>
      <c r="H496" t="s">
        <v>2973</v>
      </c>
      <c r="I496" s="8">
        <v>46143</v>
      </c>
      <c r="J496" t="s">
        <v>2682</v>
      </c>
      <c r="K496" t="s">
        <v>2683</v>
      </c>
      <c r="L496" s="13">
        <v>6000</v>
      </c>
      <c r="M496" t="s">
        <v>2661</v>
      </c>
    </row>
    <row r="497" spans="1:13">
      <c r="A497" t="s">
        <v>849</v>
      </c>
      <c r="B497" t="s">
        <v>106</v>
      </c>
      <c r="C497" s="8">
        <v>46271</v>
      </c>
      <c r="D497" t="s">
        <v>327</v>
      </c>
      <c r="E497" t="s">
        <v>322</v>
      </c>
      <c r="F497" s="12">
        <v>683314</v>
      </c>
      <c r="G497" s="13">
        <v>68</v>
      </c>
      <c r="H497" t="s">
        <v>3217</v>
      </c>
      <c r="I497" s="8">
        <v>46275</v>
      </c>
      <c r="J497" t="s">
        <v>2682</v>
      </c>
      <c r="K497" t="s">
        <v>2683</v>
      </c>
      <c r="L497" s="13">
        <v>6000</v>
      </c>
      <c r="M497" t="s">
        <v>2676</v>
      </c>
    </row>
    <row r="498" spans="1:13">
      <c r="A498" t="s">
        <v>849</v>
      </c>
      <c r="B498" t="s">
        <v>106</v>
      </c>
      <c r="C498" s="8">
        <v>46271</v>
      </c>
      <c r="D498" t="s">
        <v>327</v>
      </c>
      <c r="E498" t="s">
        <v>322</v>
      </c>
      <c r="F498" s="12">
        <v>683314</v>
      </c>
      <c r="G498" s="13">
        <v>68</v>
      </c>
      <c r="H498" t="s">
        <v>3285</v>
      </c>
      <c r="I498" s="8">
        <v>46234</v>
      </c>
      <c r="J498" t="s">
        <v>2668</v>
      </c>
      <c r="K498" t="s">
        <v>2669</v>
      </c>
      <c r="L498" s="13">
        <v>4000</v>
      </c>
      <c r="M498" t="s">
        <v>2661</v>
      </c>
    </row>
    <row r="499" spans="1:13">
      <c r="A499" t="s">
        <v>849</v>
      </c>
      <c r="B499" t="s">
        <v>106</v>
      </c>
      <c r="C499" s="8">
        <v>46271</v>
      </c>
      <c r="D499" t="s">
        <v>327</v>
      </c>
      <c r="E499" t="s">
        <v>322</v>
      </c>
      <c r="F499" s="12">
        <v>683314</v>
      </c>
      <c r="G499" s="13">
        <v>68</v>
      </c>
      <c r="H499" t="s">
        <v>3476</v>
      </c>
      <c r="I499" s="8">
        <v>45966</v>
      </c>
      <c r="J499" t="s">
        <v>2674</v>
      </c>
      <c r="K499" t="s">
        <v>2675</v>
      </c>
      <c r="L499" s="13">
        <v>20000</v>
      </c>
      <c r="M499" t="s">
        <v>2661</v>
      </c>
    </row>
    <row r="500" spans="1:13">
      <c r="A500" t="s">
        <v>862</v>
      </c>
      <c r="B500" t="s">
        <v>106</v>
      </c>
      <c r="C500" s="8">
        <v>46141</v>
      </c>
      <c r="D500" t="s">
        <v>344</v>
      </c>
      <c r="E500" t="s">
        <v>334</v>
      </c>
      <c r="F500" s="12">
        <v>126727</v>
      </c>
      <c r="G500" s="13">
        <v>12</v>
      </c>
      <c r="H500" t="s">
        <v>2700</v>
      </c>
      <c r="I500" s="8">
        <v>46262</v>
      </c>
      <c r="J500" t="s">
        <v>2692</v>
      </c>
      <c r="K500" t="s">
        <v>2693</v>
      </c>
      <c r="L500" s="13">
        <v>10000</v>
      </c>
      <c r="M500" t="s">
        <v>2676</v>
      </c>
    </row>
    <row r="501" spans="1:13">
      <c r="A501" t="s">
        <v>862</v>
      </c>
      <c r="B501" t="s">
        <v>106</v>
      </c>
      <c r="C501" s="8">
        <v>46141</v>
      </c>
      <c r="D501" t="s">
        <v>344</v>
      </c>
      <c r="E501" t="s">
        <v>334</v>
      </c>
      <c r="F501" s="12">
        <v>126727</v>
      </c>
      <c r="G501" s="13">
        <v>12</v>
      </c>
      <c r="H501" t="s">
        <v>2973</v>
      </c>
      <c r="I501" s="8">
        <v>46143</v>
      </c>
      <c r="J501" t="s">
        <v>2682</v>
      </c>
      <c r="K501" t="s">
        <v>2683</v>
      </c>
      <c r="L501" s="13">
        <v>6000</v>
      </c>
      <c r="M501" t="s">
        <v>2661</v>
      </c>
    </row>
    <row r="502" spans="1:13">
      <c r="A502" t="s">
        <v>862</v>
      </c>
      <c r="B502" t="s">
        <v>106</v>
      </c>
      <c r="C502" s="8">
        <v>46141</v>
      </c>
      <c r="D502" t="s">
        <v>344</v>
      </c>
      <c r="E502" t="s">
        <v>334</v>
      </c>
      <c r="F502" s="12">
        <v>126727</v>
      </c>
      <c r="G502" s="13">
        <v>12</v>
      </c>
      <c r="H502" t="s">
        <v>3217</v>
      </c>
      <c r="I502" s="8">
        <v>46275</v>
      </c>
      <c r="J502" t="s">
        <v>2682</v>
      </c>
      <c r="K502" t="s">
        <v>2683</v>
      </c>
      <c r="L502" s="13">
        <v>6000</v>
      </c>
      <c r="M502" t="s">
        <v>2676</v>
      </c>
    </row>
    <row r="503" spans="1:13">
      <c r="A503" t="s">
        <v>862</v>
      </c>
      <c r="B503" t="s">
        <v>106</v>
      </c>
      <c r="C503" s="8">
        <v>46141</v>
      </c>
      <c r="D503" t="s">
        <v>344</v>
      </c>
      <c r="E503" t="s">
        <v>334</v>
      </c>
      <c r="F503" s="12">
        <v>126727</v>
      </c>
      <c r="G503" s="13">
        <v>12</v>
      </c>
      <c r="H503" t="s">
        <v>3285</v>
      </c>
      <c r="I503" s="8">
        <v>46234</v>
      </c>
      <c r="J503" t="s">
        <v>2668</v>
      </c>
      <c r="K503" t="s">
        <v>2669</v>
      </c>
      <c r="L503" s="13">
        <v>4000</v>
      </c>
      <c r="M503" t="s">
        <v>2661</v>
      </c>
    </row>
    <row r="504" spans="1:13">
      <c r="A504" t="s">
        <v>862</v>
      </c>
      <c r="B504" t="s">
        <v>106</v>
      </c>
      <c r="C504" s="8">
        <v>46141</v>
      </c>
      <c r="D504" t="s">
        <v>344</v>
      </c>
      <c r="E504" t="s">
        <v>334</v>
      </c>
      <c r="F504" s="12">
        <v>126727</v>
      </c>
      <c r="G504" s="13">
        <v>12</v>
      </c>
      <c r="H504" t="s">
        <v>3476</v>
      </c>
      <c r="I504" s="8">
        <v>45966</v>
      </c>
      <c r="J504" t="s">
        <v>2674</v>
      </c>
      <c r="K504" t="s">
        <v>2675</v>
      </c>
      <c r="L504" s="13">
        <v>20000</v>
      </c>
      <c r="M504" t="s">
        <v>2661</v>
      </c>
    </row>
    <row r="505" spans="1:13">
      <c r="A505" t="s">
        <v>1027</v>
      </c>
      <c r="B505" t="s">
        <v>106</v>
      </c>
      <c r="C505" s="8">
        <v>46098</v>
      </c>
      <c r="D505" t="s">
        <v>344</v>
      </c>
      <c r="E505" t="s">
        <v>337</v>
      </c>
      <c r="F505" s="12">
        <v>157637</v>
      </c>
      <c r="G505" s="13">
        <v>15</v>
      </c>
      <c r="H505" t="s">
        <v>2700</v>
      </c>
      <c r="I505" s="8">
        <v>46262</v>
      </c>
      <c r="J505" t="s">
        <v>2692</v>
      </c>
      <c r="K505" t="s">
        <v>2693</v>
      </c>
      <c r="L505" s="13">
        <v>10000</v>
      </c>
      <c r="M505" t="s">
        <v>2676</v>
      </c>
    </row>
    <row r="506" spans="1:13">
      <c r="A506" t="s">
        <v>1027</v>
      </c>
      <c r="B506" t="s">
        <v>106</v>
      </c>
      <c r="C506" s="8">
        <v>46098</v>
      </c>
      <c r="D506" t="s">
        <v>344</v>
      </c>
      <c r="E506" t="s">
        <v>337</v>
      </c>
      <c r="F506" s="12">
        <v>157637</v>
      </c>
      <c r="G506" s="13">
        <v>15</v>
      </c>
      <c r="H506" t="s">
        <v>2973</v>
      </c>
      <c r="I506" s="8">
        <v>46143</v>
      </c>
      <c r="J506" t="s">
        <v>2682</v>
      </c>
      <c r="K506" t="s">
        <v>2683</v>
      </c>
      <c r="L506" s="13">
        <v>6000</v>
      </c>
      <c r="M506" t="s">
        <v>2661</v>
      </c>
    </row>
    <row r="507" spans="1:13">
      <c r="A507" t="s">
        <v>1027</v>
      </c>
      <c r="B507" t="s">
        <v>106</v>
      </c>
      <c r="C507" s="8">
        <v>46098</v>
      </c>
      <c r="D507" t="s">
        <v>344</v>
      </c>
      <c r="E507" t="s">
        <v>337</v>
      </c>
      <c r="F507" s="12">
        <v>157637</v>
      </c>
      <c r="G507" s="13">
        <v>15</v>
      </c>
      <c r="H507" t="s">
        <v>3217</v>
      </c>
      <c r="I507" s="8">
        <v>46275</v>
      </c>
      <c r="J507" t="s">
        <v>2682</v>
      </c>
      <c r="K507" t="s">
        <v>2683</v>
      </c>
      <c r="L507" s="13">
        <v>6000</v>
      </c>
      <c r="M507" t="s">
        <v>2676</v>
      </c>
    </row>
    <row r="508" spans="1:13">
      <c r="A508" t="s">
        <v>1027</v>
      </c>
      <c r="B508" t="s">
        <v>106</v>
      </c>
      <c r="C508" s="8">
        <v>46098</v>
      </c>
      <c r="D508" t="s">
        <v>344</v>
      </c>
      <c r="E508" t="s">
        <v>337</v>
      </c>
      <c r="F508" s="12">
        <v>157637</v>
      </c>
      <c r="G508" s="13">
        <v>15</v>
      </c>
      <c r="H508" t="s">
        <v>3285</v>
      </c>
      <c r="I508" s="8">
        <v>46234</v>
      </c>
      <c r="J508" t="s">
        <v>2668</v>
      </c>
      <c r="K508" t="s">
        <v>2669</v>
      </c>
      <c r="L508" s="13">
        <v>4000</v>
      </c>
      <c r="M508" t="s">
        <v>2661</v>
      </c>
    </row>
    <row r="509" spans="1:13">
      <c r="A509" t="s">
        <v>1027</v>
      </c>
      <c r="B509" t="s">
        <v>106</v>
      </c>
      <c r="C509" s="8">
        <v>46098</v>
      </c>
      <c r="D509" t="s">
        <v>344</v>
      </c>
      <c r="E509" t="s">
        <v>337</v>
      </c>
      <c r="F509" s="12">
        <v>157637</v>
      </c>
      <c r="G509" s="13">
        <v>15</v>
      </c>
      <c r="H509" t="s">
        <v>3476</v>
      </c>
      <c r="I509" s="8">
        <v>45966</v>
      </c>
      <c r="J509" t="s">
        <v>2674</v>
      </c>
      <c r="K509" t="s">
        <v>2675</v>
      </c>
      <c r="L509" s="13">
        <v>20000</v>
      </c>
      <c r="M509" t="s">
        <v>2661</v>
      </c>
    </row>
    <row r="510" spans="1:13">
      <c r="A510" t="s">
        <v>356</v>
      </c>
      <c r="B510" t="s">
        <v>144</v>
      </c>
      <c r="C510" s="8">
        <v>46255</v>
      </c>
      <c r="D510" t="s">
        <v>332</v>
      </c>
      <c r="E510" t="s">
        <v>325</v>
      </c>
      <c r="F510" s="12">
        <v>722095</v>
      </c>
      <c r="G510" s="13">
        <v>72</v>
      </c>
      <c r="H510" t="s">
        <v>3481</v>
      </c>
      <c r="I510" s="8">
        <v>46225</v>
      </c>
      <c r="J510" t="s">
        <v>2682</v>
      </c>
      <c r="K510" t="s">
        <v>2683</v>
      </c>
      <c r="L510" s="13">
        <v>6000</v>
      </c>
      <c r="M510" t="s">
        <v>2661</v>
      </c>
    </row>
    <row r="511" spans="1:13">
      <c r="A511" t="s">
        <v>356</v>
      </c>
      <c r="B511" t="s">
        <v>144</v>
      </c>
      <c r="C511" s="8">
        <v>46255</v>
      </c>
      <c r="D511" t="s">
        <v>332</v>
      </c>
      <c r="E511" t="s">
        <v>325</v>
      </c>
      <c r="F511" s="12">
        <v>722095</v>
      </c>
      <c r="G511" s="13">
        <v>72</v>
      </c>
      <c r="H511" t="s">
        <v>3512</v>
      </c>
      <c r="I511" s="8">
        <v>46097</v>
      </c>
      <c r="J511" t="s">
        <v>2685</v>
      </c>
      <c r="K511" t="s">
        <v>2686</v>
      </c>
      <c r="L511" s="13">
        <v>5000</v>
      </c>
      <c r="M511" t="s">
        <v>2661</v>
      </c>
    </row>
    <row r="512" spans="1:13">
      <c r="A512" t="s">
        <v>356</v>
      </c>
      <c r="B512" t="s">
        <v>144</v>
      </c>
      <c r="C512" s="8">
        <v>46255</v>
      </c>
      <c r="D512" t="s">
        <v>332</v>
      </c>
      <c r="E512" t="s">
        <v>325</v>
      </c>
      <c r="F512" s="12">
        <v>722095</v>
      </c>
      <c r="G512" s="13">
        <v>72</v>
      </c>
      <c r="H512" t="s">
        <v>3542</v>
      </c>
      <c r="I512" s="8">
        <v>46287</v>
      </c>
      <c r="J512" t="s">
        <v>2659</v>
      </c>
      <c r="K512" t="s">
        <v>2660</v>
      </c>
      <c r="L512" s="13">
        <v>3500</v>
      </c>
      <c r="M512" t="s">
        <v>2661</v>
      </c>
    </row>
    <row r="513" spans="1:13">
      <c r="A513" t="s">
        <v>582</v>
      </c>
      <c r="B513" t="s">
        <v>144</v>
      </c>
      <c r="C513" s="8">
        <v>46107</v>
      </c>
      <c r="D513" t="s">
        <v>324</v>
      </c>
      <c r="E513" t="s">
        <v>328</v>
      </c>
      <c r="F513" s="12">
        <v>1068668</v>
      </c>
      <c r="G513" s="13">
        <v>106</v>
      </c>
      <c r="H513" t="s">
        <v>3481</v>
      </c>
      <c r="I513" s="8">
        <v>46225</v>
      </c>
      <c r="J513" t="s">
        <v>2682</v>
      </c>
      <c r="K513" t="s">
        <v>2683</v>
      </c>
      <c r="L513" s="13">
        <v>6000</v>
      </c>
      <c r="M513" t="s">
        <v>2661</v>
      </c>
    </row>
    <row r="514" spans="1:13">
      <c r="A514" t="s">
        <v>582</v>
      </c>
      <c r="B514" t="s">
        <v>144</v>
      </c>
      <c r="C514" s="8">
        <v>46107</v>
      </c>
      <c r="D514" t="s">
        <v>324</v>
      </c>
      <c r="E514" t="s">
        <v>328</v>
      </c>
      <c r="F514" s="12">
        <v>1068668</v>
      </c>
      <c r="G514" s="13">
        <v>106</v>
      </c>
      <c r="H514" t="s">
        <v>3512</v>
      </c>
      <c r="I514" s="8">
        <v>46097</v>
      </c>
      <c r="J514" t="s">
        <v>2685</v>
      </c>
      <c r="K514" t="s">
        <v>2686</v>
      </c>
      <c r="L514" s="13">
        <v>5000</v>
      </c>
      <c r="M514" t="s">
        <v>2661</v>
      </c>
    </row>
    <row r="515" spans="1:13">
      <c r="A515" t="s">
        <v>582</v>
      </c>
      <c r="B515" t="s">
        <v>144</v>
      </c>
      <c r="C515" s="8">
        <v>46107</v>
      </c>
      <c r="D515" t="s">
        <v>324</v>
      </c>
      <c r="E515" t="s">
        <v>328</v>
      </c>
      <c r="F515" s="12">
        <v>1068668</v>
      </c>
      <c r="G515" s="13">
        <v>106</v>
      </c>
      <c r="H515" t="s">
        <v>3542</v>
      </c>
      <c r="I515" s="8">
        <v>46287</v>
      </c>
      <c r="J515" t="s">
        <v>2659</v>
      </c>
      <c r="K515" t="s">
        <v>2660</v>
      </c>
      <c r="L515" s="13">
        <v>3500</v>
      </c>
      <c r="M515" t="s">
        <v>2661</v>
      </c>
    </row>
    <row r="516" spans="1:13">
      <c r="A516" t="s">
        <v>767</v>
      </c>
      <c r="B516" t="s">
        <v>144</v>
      </c>
      <c r="C516" s="8">
        <v>45933</v>
      </c>
      <c r="D516" t="s">
        <v>344</v>
      </c>
      <c r="E516" t="s">
        <v>339</v>
      </c>
      <c r="F516" s="12">
        <v>385942</v>
      </c>
      <c r="G516" s="13">
        <v>38</v>
      </c>
      <c r="H516" t="s">
        <v>3481</v>
      </c>
      <c r="I516" s="8">
        <v>46225</v>
      </c>
      <c r="J516" t="s">
        <v>2682</v>
      </c>
      <c r="K516" t="s">
        <v>2683</v>
      </c>
      <c r="L516" s="13">
        <v>6000</v>
      </c>
      <c r="M516" t="s">
        <v>2661</v>
      </c>
    </row>
    <row r="517" spans="1:13">
      <c r="A517" t="s">
        <v>767</v>
      </c>
      <c r="B517" t="s">
        <v>144</v>
      </c>
      <c r="C517" s="8">
        <v>45933</v>
      </c>
      <c r="D517" t="s">
        <v>344</v>
      </c>
      <c r="E517" t="s">
        <v>339</v>
      </c>
      <c r="F517" s="12">
        <v>385942</v>
      </c>
      <c r="G517" s="13">
        <v>38</v>
      </c>
      <c r="H517" t="s">
        <v>3512</v>
      </c>
      <c r="I517" s="8">
        <v>46097</v>
      </c>
      <c r="J517" t="s">
        <v>2685</v>
      </c>
      <c r="K517" t="s">
        <v>2686</v>
      </c>
      <c r="L517" s="13">
        <v>5000</v>
      </c>
      <c r="M517" t="s">
        <v>2661</v>
      </c>
    </row>
    <row r="518" spans="1:13">
      <c r="A518" t="s">
        <v>767</v>
      </c>
      <c r="B518" t="s">
        <v>144</v>
      </c>
      <c r="C518" s="8">
        <v>45933</v>
      </c>
      <c r="D518" t="s">
        <v>344</v>
      </c>
      <c r="E518" t="s">
        <v>339</v>
      </c>
      <c r="F518" s="12">
        <v>385942</v>
      </c>
      <c r="G518" s="13">
        <v>38</v>
      </c>
      <c r="H518" t="s">
        <v>3542</v>
      </c>
      <c r="I518" s="8">
        <v>46287</v>
      </c>
      <c r="J518" t="s">
        <v>2659</v>
      </c>
      <c r="K518" t="s">
        <v>2660</v>
      </c>
      <c r="L518" s="13">
        <v>3500</v>
      </c>
      <c r="M518" t="s">
        <v>2661</v>
      </c>
    </row>
    <row r="519" spans="1:13">
      <c r="A519" t="s">
        <v>986</v>
      </c>
      <c r="B519" t="s">
        <v>144</v>
      </c>
      <c r="C519" s="8">
        <v>46277</v>
      </c>
      <c r="D519" t="s">
        <v>344</v>
      </c>
      <c r="E519" t="s">
        <v>337</v>
      </c>
      <c r="F519" s="12">
        <v>208293</v>
      </c>
      <c r="G519" s="13">
        <v>20</v>
      </c>
      <c r="H519" t="s">
        <v>3481</v>
      </c>
      <c r="I519" s="8">
        <v>46225</v>
      </c>
      <c r="J519" t="s">
        <v>2682</v>
      </c>
      <c r="K519" t="s">
        <v>2683</v>
      </c>
      <c r="L519" s="13">
        <v>6000</v>
      </c>
      <c r="M519" t="s">
        <v>2661</v>
      </c>
    </row>
    <row r="520" spans="1:13">
      <c r="A520" t="s">
        <v>986</v>
      </c>
      <c r="B520" t="s">
        <v>144</v>
      </c>
      <c r="C520" s="8">
        <v>46277</v>
      </c>
      <c r="D520" t="s">
        <v>344</v>
      </c>
      <c r="E520" t="s">
        <v>337</v>
      </c>
      <c r="F520" s="12">
        <v>208293</v>
      </c>
      <c r="G520" s="13">
        <v>20</v>
      </c>
      <c r="H520" t="s">
        <v>3512</v>
      </c>
      <c r="I520" s="8">
        <v>46097</v>
      </c>
      <c r="J520" t="s">
        <v>2685</v>
      </c>
      <c r="K520" t="s">
        <v>2686</v>
      </c>
      <c r="L520" s="13">
        <v>5000</v>
      </c>
      <c r="M520" t="s">
        <v>2661</v>
      </c>
    </row>
    <row r="521" spans="1:13">
      <c r="A521" t="s">
        <v>986</v>
      </c>
      <c r="B521" t="s">
        <v>144</v>
      </c>
      <c r="C521" s="8">
        <v>46277</v>
      </c>
      <c r="D521" t="s">
        <v>344</v>
      </c>
      <c r="E521" t="s">
        <v>337</v>
      </c>
      <c r="F521" s="12">
        <v>208293</v>
      </c>
      <c r="G521" s="13">
        <v>20</v>
      </c>
      <c r="H521" t="s">
        <v>3542</v>
      </c>
      <c r="I521" s="8">
        <v>46287</v>
      </c>
      <c r="J521" t="s">
        <v>2659</v>
      </c>
      <c r="K521" t="s">
        <v>2660</v>
      </c>
      <c r="L521" s="13">
        <v>3500</v>
      </c>
      <c r="M521" t="s">
        <v>2661</v>
      </c>
    </row>
    <row r="522" spans="1:13">
      <c r="A522" t="s">
        <v>375</v>
      </c>
      <c r="B522" t="s">
        <v>148</v>
      </c>
      <c r="C522" s="8">
        <v>45990</v>
      </c>
      <c r="D522" t="s">
        <v>332</v>
      </c>
      <c r="E522" t="s">
        <v>325</v>
      </c>
      <c r="F522" s="12">
        <v>50474</v>
      </c>
      <c r="G522" s="13">
        <v>5</v>
      </c>
      <c r="H522" t="s">
        <v>2701</v>
      </c>
      <c r="I522" s="8">
        <v>46251</v>
      </c>
      <c r="J522" t="s">
        <v>2685</v>
      </c>
      <c r="K522" t="s">
        <v>2686</v>
      </c>
      <c r="L522" s="13">
        <v>5000</v>
      </c>
      <c r="M522" t="s">
        <v>2661</v>
      </c>
    </row>
    <row r="523" spans="1:13">
      <c r="A523" t="s">
        <v>375</v>
      </c>
      <c r="B523" t="s">
        <v>148</v>
      </c>
      <c r="C523" s="8">
        <v>45990</v>
      </c>
      <c r="D523" t="s">
        <v>332</v>
      </c>
      <c r="E523" t="s">
        <v>325</v>
      </c>
      <c r="F523" s="12">
        <v>50474</v>
      </c>
      <c r="G523" s="13">
        <v>5</v>
      </c>
      <c r="H523" t="s">
        <v>2859</v>
      </c>
      <c r="I523" s="8">
        <v>46163</v>
      </c>
      <c r="J523" t="s">
        <v>2685</v>
      </c>
      <c r="K523" t="s">
        <v>2686</v>
      </c>
      <c r="L523" s="13">
        <v>5000</v>
      </c>
      <c r="M523" t="s">
        <v>2661</v>
      </c>
    </row>
    <row r="524" spans="1:13">
      <c r="A524" t="s">
        <v>375</v>
      </c>
      <c r="B524" t="s">
        <v>148</v>
      </c>
      <c r="C524" s="8">
        <v>45990</v>
      </c>
      <c r="D524" t="s">
        <v>332</v>
      </c>
      <c r="E524" t="s">
        <v>325</v>
      </c>
      <c r="F524" s="12">
        <v>50474</v>
      </c>
      <c r="G524" s="13">
        <v>5</v>
      </c>
      <c r="H524" t="s">
        <v>3210</v>
      </c>
      <c r="I524" s="8">
        <v>46038</v>
      </c>
      <c r="J524" t="s">
        <v>2663</v>
      </c>
      <c r="K524" t="s">
        <v>3630</v>
      </c>
      <c r="L524" s="13">
        <v>1500</v>
      </c>
      <c r="M524" t="s">
        <v>2661</v>
      </c>
    </row>
    <row r="525" spans="1:13">
      <c r="A525" t="s">
        <v>375</v>
      </c>
      <c r="B525" t="s">
        <v>148</v>
      </c>
      <c r="C525" s="8">
        <v>45990</v>
      </c>
      <c r="D525" t="s">
        <v>332</v>
      </c>
      <c r="E525" t="s">
        <v>325</v>
      </c>
      <c r="F525" s="12">
        <v>50474</v>
      </c>
      <c r="G525" s="13">
        <v>5</v>
      </c>
      <c r="H525" t="s">
        <v>3242</v>
      </c>
      <c r="I525" s="8">
        <v>45943</v>
      </c>
      <c r="J525" t="s">
        <v>2674</v>
      </c>
      <c r="K525" t="s">
        <v>2675</v>
      </c>
      <c r="L525" s="13">
        <v>20000</v>
      </c>
      <c r="M525" t="s">
        <v>2661</v>
      </c>
    </row>
    <row r="526" spans="1:13">
      <c r="A526" t="s">
        <v>375</v>
      </c>
      <c r="B526" t="s">
        <v>148</v>
      </c>
      <c r="C526" s="8">
        <v>45990</v>
      </c>
      <c r="D526" t="s">
        <v>332</v>
      </c>
      <c r="E526" t="s">
        <v>325</v>
      </c>
      <c r="F526" s="12">
        <v>50474</v>
      </c>
      <c r="G526" s="13">
        <v>5</v>
      </c>
      <c r="H526" t="s">
        <v>3304</v>
      </c>
      <c r="I526" s="8">
        <v>46267</v>
      </c>
      <c r="J526" t="s">
        <v>2665</v>
      </c>
      <c r="K526" t="s">
        <v>2666</v>
      </c>
      <c r="L526" s="13">
        <v>2500</v>
      </c>
      <c r="M526" t="s">
        <v>2661</v>
      </c>
    </row>
    <row r="527" spans="1:13">
      <c r="A527" t="s">
        <v>375</v>
      </c>
      <c r="B527" t="s">
        <v>148</v>
      </c>
      <c r="C527" s="8">
        <v>45990</v>
      </c>
      <c r="D527" t="s">
        <v>332</v>
      </c>
      <c r="E527" t="s">
        <v>325</v>
      </c>
      <c r="F527" s="12">
        <v>50474</v>
      </c>
      <c r="G527" s="13">
        <v>5</v>
      </c>
      <c r="H527" t="s">
        <v>3492</v>
      </c>
      <c r="I527" s="8">
        <v>45951</v>
      </c>
      <c r="J527" t="s">
        <v>2659</v>
      </c>
      <c r="K527" t="s">
        <v>2660</v>
      </c>
      <c r="L527" s="13">
        <v>3500</v>
      </c>
      <c r="M527" t="s">
        <v>2661</v>
      </c>
    </row>
    <row r="528" spans="1:13">
      <c r="A528" t="s">
        <v>375</v>
      </c>
      <c r="B528" t="s">
        <v>148</v>
      </c>
      <c r="C528" s="8">
        <v>45990</v>
      </c>
      <c r="D528" t="s">
        <v>332</v>
      </c>
      <c r="E528" t="s">
        <v>325</v>
      </c>
      <c r="F528" s="12">
        <v>50474</v>
      </c>
      <c r="G528" s="13">
        <v>5</v>
      </c>
      <c r="H528" t="s">
        <v>3552</v>
      </c>
      <c r="I528" s="8">
        <v>45939</v>
      </c>
      <c r="J528" t="s">
        <v>2671</v>
      </c>
      <c r="K528" t="s">
        <v>2672</v>
      </c>
      <c r="L528" s="13">
        <v>3000</v>
      </c>
      <c r="M528" t="s">
        <v>2661</v>
      </c>
    </row>
    <row r="529" spans="1:13">
      <c r="A529" t="s">
        <v>357</v>
      </c>
      <c r="B529" t="s">
        <v>256</v>
      </c>
      <c r="C529" s="8">
        <v>46081</v>
      </c>
      <c r="D529" t="s">
        <v>324</v>
      </c>
      <c r="E529" t="s">
        <v>328</v>
      </c>
      <c r="F529" s="12">
        <v>127349</v>
      </c>
      <c r="G529" s="13">
        <v>12</v>
      </c>
      <c r="H529" t="s">
        <v>3289</v>
      </c>
      <c r="I529" s="8">
        <v>46146</v>
      </c>
      <c r="J529" t="s">
        <v>2659</v>
      </c>
      <c r="K529" t="s">
        <v>2660</v>
      </c>
      <c r="L529" s="13">
        <v>3500</v>
      </c>
      <c r="M529" t="s">
        <v>2661</v>
      </c>
    </row>
    <row r="530" spans="1:13">
      <c r="A530" t="s">
        <v>427</v>
      </c>
      <c r="B530" t="s">
        <v>256</v>
      </c>
      <c r="C530" s="8">
        <v>46017</v>
      </c>
      <c r="D530" t="s">
        <v>344</v>
      </c>
      <c r="E530" t="s">
        <v>337</v>
      </c>
      <c r="F530" s="12">
        <v>409604</v>
      </c>
      <c r="G530" s="13">
        <v>40</v>
      </c>
      <c r="H530" t="s">
        <v>3289</v>
      </c>
      <c r="I530" s="8">
        <v>46146</v>
      </c>
      <c r="J530" t="s">
        <v>2659</v>
      </c>
      <c r="K530" t="s">
        <v>2660</v>
      </c>
      <c r="L530" s="13">
        <v>3500</v>
      </c>
      <c r="M530" t="s">
        <v>2661</v>
      </c>
    </row>
    <row r="531" spans="1:13">
      <c r="A531" t="s">
        <v>434</v>
      </c>
      <c r="B531" t="s">
        <v>256</v>
      </c>
      <c r="C531" s="8">
        <v>45936</v>
      </c>
      <c r="D531" t="s">
        <v>321</v>
      </c>
      <c r="E531" t="s">
        <v>325</v>
      </c>
      <c r="F531" s="12">
        <v>208486</v>
      </c>
      <c r="G531" s="13">
        <v>20</v>
      </c>
      <c r="H531" t="s">
        <v>3289</v>
      </c>
      <c r="I531" s="8">
        <v>46146</v>
      </c>
      <c r="J531" t="s">
        <v>2659</v>
      </c>
      <c r="K531" t="s">
        <v>2660</v>
      </c>
      <c r="L531" s="13">
        <v>3500</v>
      </c>
      <c r="M531" t="s">
        <v>2661</v>
      </c>
    </row>
    <row r="532" spans="1:13">
      <c r="A532" t="s">
        <v>820</v>
      </c>
      <c r="B532" t="s">
        <v>256</v>
      </c>
      <c r="C532" s="8">
        <v>46172</v>
      </c>
      <c r="D532" t="s">
        <v>342</v>
      </c>
      <c r="E532" t="s">
        <v>337</v>
      </c>
      <c r="F532" s="12">
        <v>104910</v>
      </c>
      <c r="G532" s="13">
        <v>10</v>
      </c>
      <c r="H532" t="s">
        <v>3289</v>
      </c>
      <c r="I532" s="8">
        <v>46146</v>
      </c>
      <c r="J532" t="s">
        <v>2659</v>
      </c>
      <c r="K532" t="s">
        <v>2660</v>
      </c>
      <c r="L532" s="13">
        <v>3500</v>
      </c>
      <c r="M532" t="s">
        <v>2661</v>
      </c>
    </row>
    <row r="533" spans="1:13">
      <c r="A533" t="s">
        <v>823</v>
      </c>
      <c r="B533" t="s">
        <v>256</v>
      </c>
      <c r="C533" s="8">
        <v>46068</v>
      </c>
      <c r="D533" t="s">
        <v>332</v>
      </c>
      <c r="E533" t="s">
        <v>339</v>
      </c>
      <c r="F533" s="12">
        <v>264053</v>
      </c>
      <c r="G533" s="13">
        <v>26</v>
      </c>
      <c r="H533" t="s">
        <v>3289</v>
      </c>
      <c r="I533" s="8">
        <v>46146</v>
      </c>
      <c r="J533" t="s">
        <v>2659</v>
      </c>
      <c r="K533" t="s">
        <v>2660</v>
      </c>
      <c r="L533" s="13">
        <v>3500</v>
      </c>
      <c r="M533" t="s">
        <v>2661</v>
      </c>
    </row>
    <row r="534" spans="1:13">
      <c r="A534" t="s">
        <v>1213</v>
      </c>
      <c r="B534" t="s">
        <v>256</v>
      </c>
      <c r="C534" s="8">
        <v>46177</v>
      </c>
      <c r="D534" t="s">
        <v>342</v>
      </c>
      <c r="E534" t="s">
        <v>328</v>
      </c>
      <c r="F534" s="12">
        <v>519210</v>
      </c>
      <c r="G534" s="13">
        <v>51</v>
      </c>
      <c r="H534" t="s">
        <v>3289</v>
      </c>
      <c r="I534" s="8">
        <v>46146</v>
      </c>
      <c r="J534" t="s">
        <v>2659</v>
      </c>
      <c r="K534" t="s">
        <v>2660</v>
      </c>
      <c r="L534" s="13">
        <v>3500</v>
      </c>
      <c r="M534" t="s">
        <v>2661</v>
      </c>
    </row>
    <row r="535" spans="1:13">
      <c r="A535" t="s">
        <v>491</v>
      </c>
      <c r="B535" t="s">
        <v>263</v>
      </c>
      <c r="C535" s="8">
        <v>46207</v>
      </c>
      <c r="D535" t="s">
        <v>330</v>
      </c>
      <c r="E535" t="s">
        <v>322</v>
      </c>
      <c r="F535" s="12">
        <v>365141</v>
      </c>
      <c r="G535" s="13">
        <v>36</v>
      </c>
      <c r="H535" t="s">
        <v>2702</v>
      </c>
      <c r="I535" s="8">
        <v>45976</v>
      </c>
      <c r="J535" t="s">
        <v>2685</v>
      </c>
      <c r="K535" t="s">
        <v>2686</v>
      </c>
      <c r="L535" s="13">
        <v>5000</v>
      </c>
      <c r="M535" t="s">
        <v>2661</v>
      </c>
    </row>
    <row r="536" spans="1:13">
      <c r="A536" t="s">
        <v>491</v>
      </c>
      <c r="B536" t="s">
        <v>263</v>
      </c>
      <c r="C536" s="8">
        <v>46207</v>
      </c>
      <c r="D536" t="s">
        <v>330</v>
      </c>
      <c r="E536" t="s">
        <v>322</v>
      </c>
      <c r="F536" s="12">
        <v>365141</v>
      </c>
      <c r="G536" s="13">
        <v>36</v>
      </c>
      <c r="H536" t="s">
        <v>2901</v>
      </c>
      <c r="I536" s="8">
        <v>45949</v>
      </c>
      <c r="J536" t="s">
        <v>2674</v>
      </c>
      <c r="K536" t="s">
        <v>2675</v>
      </c>
      <c r="L536" s="13">
        <v>20000</v>
      </c>
      <c r="M536" t="s">
        <v>2661</v>
      </c>
    </row>
    <row r="537" spans="1:13">
      <c r="A537" t="s">
        <v>491</v>
      </c>
      <c r="B537" t="s">
        <v>263</v>
      </c>
      <c r="C537" s="8">
        <v>46207</v>
      </c>
      <c r="D537" t="s">
        <v>330</v>
      </c>
      <c r="E537" t="s">
        <v>322</v>
      </c>
      <c r="F537" s="12">
        <v>365141</v>
      </c>
      <c r="G537" s="13">
        <v>36</v>
      </c>
      <c r="H537" t="s">
        <v>3104</v>
      </c>
      <c r="I537" s="8">
        <v>45992</v>
      </c>
      <c r="J537" t="s">
        <v>2663</v>
      </c>
      <c r="K537" t="s">
        <v>3630</v>
      </c>
      <c r="L537" s="13">
        <v>1500</v>
      </c>
      <c r="M537" t="s">
        <v>2676</v>
      </c>
    </row>
    <row r="538" spans="1:13">
      <c r="A538" t="s">
        <v>491</v>
      </c>
      <c r="B538" t="s">
        <v>263</v>
      </c>
      <c r="C538" s="8">
        <v>46207</v>
      </c>
      <c r="D538" t="s">
        <v>330</v>
      </c>
      <c r="E538" t="s">
        <v>322</v>
      </c>
      <c r="F538" s="12">
        <v>365141</v>
      </c>
      <c r="G538" s="13">
        <v>36</v>
      </c>
      <c r="H538" t="s">
        <v>3195</v>
      </c>
      <c r="I538" s="8">
        <v>46111</v>
      </c>
      <c r="J538" t="s">
        <v>2663</v>
      </c>
      <c r="K538" t="s">
        <v>3630</v>
      </c>
      <c r="L538" s="13">
        <v>1500</v>
      </c>
      <c r="M538" t="s">
        <v>2661</v>
      </c>
    </row>
    <row r="539" spans="1:13">
      <c r="A539" t="s">
        <v>491</v>
      </c>
      <c r="B539" t="s">
        <v>263</v>
      </c>
      <c r="C539" s="8">
        <v>46207</v>
      </c>
      <c r="D539" t="s">
        <v>330</v>
      </c>
      <c r="E539" t="s">
        <v>322</v>
      </c>
      <c r="F539" s="12">
        <v>365141</v>
      </c>
      <c r="G539" s="13">
        <v>36</v>
      </c>
      <c r="H539" t="s">
        <v>3312</v>
      </c>
      <c r="I539" s="8">
        <v>46286</v>
      </c>
      <c r="J539" t="s">
        <v>2665</v>
      </c>
      <c r="K539" t="s">
        <v>2666</v>
      </c>
      <c r="L539" s="13">
        <v>2500</v>
      </c>
      <c r="M539" t="s">
        <v>2661</v>
      </c>
    </row>
    <row r="540" spans="1:13">
      <c r="A540" t="s">
        <v>358</v>
      </c>
      <c r="B540" t="s">
        <v>13</v>
      </c>
      <c r="C540" s="8">
        <v>46028</v>
      </c>
      <c r="D540" t="s">
        <v>324</v>
      </c>
      <c r="E540" t="s">
        <v>337</v>
      </c>
      <c r="F540" s="12">
        <v>222590</v>
      </c>
      <c r="G540" s="13">
        <v>22</v>
      </c>
      <c r="H540" t="s">
        <v>3049</v>
      </c>
      <c r="I540" s="8">
        <v>46156</v>
      </c>
      <c r="J540" t="s">
        <v>2665</v>
      </c>
      <c r="K540" t="s">
        <v>2666</v>
      </c>
      <c r="L540" s="13">
        <v>2500</v>
      </c>
      <c r="M540" t="s">
        <v>2661</v>
      </c>
    </row>
    <row r="541" spans="1:13">
      <c r="A541" t="s">
        <v>358</v>
      </c>
      <c r="B541" t="s">
        <v>13</v>
      </c>
      <c r="C541" s="8">
        <v>46028</v>
      </c>
      <c r="D541" t="s">
        <v>324</v>
      </c>
      <c r="E541" t="s">
        <v>337</v>
      </c>
      <c r="F541" s="12">
        <v>222590</v>
      </c>
      <c r="G541" s="13">
        <v>22</v>
      </c>
      <c r="H541" t="s">
        <v>3156</v>
      </c>
      <c r="I541" s="8">
        <v>46215</v>
      </c>
      <c r="J541" t="s">
        <v>2682</v>
      </c>
      <c r="K541" t="s">
        <v>2683</v>
      </c>
      <c r="L541" s="13">
        <v>6000</v>
      </c>
      <c r="M541" t="s">
        <v>2661</v>
      </c>
    </row>
    <row r="542" spans="1:13">
      <c r="A542" t="s">
        <v>1044</v>
      </c>
      <c r="B542" t="s">
        <v>13</v>
      </c>
      <c r="C542" s="8">
        <v>46156</v>
      </c>
      <c r="D542" t="s">
        <v>344</v>
      </c>
      <c r="E542" t="s">
        <v>339</v>
      </c>
      <c r="F542" s="12">
        <v>300501</v>
      </c>
      <c r="G542" s="13">
        <v>30</v>
      </c>
      <c r="H542" t="s">
        <v>3049</v>
      </c>
      <c r="I542" s="8">
        <v>46156</v>
      </c>
      <c r="J542" t="s">
        <v>2665</v>
      </c>
      <c r="K542" t="s">
        <v>2666</v>
      </c>
      <c r="L542" s="13">
        <v>2500</v>
      </c>
      <c r="M542" t="s">
        <v>2661</v>
      </c>
    </row>
    <row r="543" spans="1:13">
      <c r="A543" t="s">
        <v>1044</v>
      </c>
      <c r="B543" t="s">
        <v>13</v>
      </c>
      <c r="C543" s="8">
        <v>46156</v>
      </c>
      <c r="D543" t="s">
        <v>344</v>
      </c>
      <c r="E543" t="s">
        <v>339</v>
      </c>
      <c r="F543" s="12">
        <v>300501</v>
      </c>
      <c r="G543" s="13">
        <v>30</v>
      </c>
      <c r="H543" t="s">
        <v>3156</v>
      </c>
      <c r="I543" s="8">
        <v>46215</v>
      </c>
      <c r="J543" t="s">
        <v>2682</v>
      </c>
      <c r="K543" t="s">
        <v>2683</v>
      </c>
      <c r="L543" s="13">
        <v>6000</v>
      </c>
      <c r="M543" t="s">
        <v>2661</v>
      </c>
    </row>
    <row r="544" spans="1:13">
      <c r="A544" t="s">
        <v>1175</v>
      </c>
      <c r="B544" t="s">
        <v>13</v>
      </c>
      <c r="C544" s="8">
        <v>45980</v>
      </c>
      <c r="D544" t="s">
        <v>344</v>
      </c>
      <c r="E544" t="s">
        <v>334</v>
      </c>
      <c r="F544" s="12">
        <v>155953</v>
      </c>
      <c r="G544" s="13">
        <v>15</v>
      </c>
      <c r="H544" t="s">
        <v>3049</v>
      </c>
      <c r="I544" s="8">
        <v>46156</v>
      </c>
      <c r="J544" t="s">
        <v>2665</v>
      </c>
      <c r="K544" t="s">
        <v>2666</v>
      </c>
      <c r="L544" s="13">
        <v>2500</v>
      </c>
      <c r="M544" t="s">
        <v>2661</v>
      </c>
    </row>
    <row r="545" spans="1:13">
      <c r="A545" t="s">
        <v>1175</v>
      </c>
      <c r="B545" t="s">
        <v>13</v>
      </c>
      <c r="C545" s="8">
        <v>45980</v>
      </c>
      <c r="D545" t="s">
        <v>344</v>
      </c>
      <c r="E545" t="s">
        <v>334</v>
      </c>
      <c r="F545" s="12">
        <v>155953</v>
      </c>
      <c r="G545" s="13">
        <v>15</v>
      </c>
      <c r="H545" t="s">
        <v>3156</v>
      </c>
      <c r="I545" s="8">
        <v>46215</v>
      </c>
      <c r="J545" t="s">
        <v>2682</v>
      </c>
      <c r="K545" t="s">
        <v>2683</v>
      </c>
      <c r="L545" s="13">
        <v>6000</v>
      </c>
      <c r="M545" t="s">
        <v>2661</v>
      </c>
    </row>
    <row r="546" spans="1:13">
      <c r="A546" t="s">
        <v>361</v>
      </c>
      <c r="B546" t="s">
        <v>3</v>
      </c>
      <c r="C546" s="8">
        <v>46164</v>
      </c>
      <c r="D546" t="s">
        <v>350</v>
      </c>
      <c r="E546" t="s">
        <v>325</v>
      </c>
      <c r="F546" s="12">
        <v>361095</v>
      </c>
      <c r="G546" s="13">
        <v>36</v>
      </c>
      <c r="H546" t="s">
        <v>2703</v>
      </c>
      <c r="I546" s="8">
        <v>46032</v>
      </c>
      <c r="J546" t="s">
        <v>2668</v>
      </c>
      <c r="K546" t="s">
        <v>2669</v>
      </c>
      <c r="L546" s="13">
        <v>4000</v>
      </c>
      <c r="M546" t="s">
        <v>2661</v>
      </c>
    </row>
    <row r="547" spans="1:13">
      <c r="A547" t="s">
        <v>361</v>
      </c>
      <c r="B547" t="s">
        <v>3</v>
      </c>
      <c r="C547" s="8">
        <v>46164</v>
      </c>
      <c r="D547" t="s">
        <v>350</v>
      </c>
      <c r="E547" t="s">
        <v>325</v>
      </c>
      <c r="F547" s="12">
        <v>361095</v>
      </c>
      <c r="G547" s="13">
        <v>36</v>
      </c>
      <c r="H547" t="s">
        <v>3148</v>
      </c>
      <c r="I547" s="8">
        <v>46264</v>
      </c>
      <c r="J547" t="s">
        <v>2682</v>
      </c>
      <c r="K547" t="s">
        <v>2683</v>
      </c>
      <c r="L547" s="13">
        <v>6000</v>
      </c>
      <c r="M547" t="s">
        <v>2661</v>
      </c>
    </row>
    <row r="548" spans="1:13">
      <c r="A548" t="s">
        <v>641</v>
      </c>
      <c r="B548" t="s">
        <v>3</v>
      </c>
      <c r="C548" s="8">
        <v>45938</v>
      </c>
      <c r="D548" t="s">
        <v>332</v>
      </c>
      <c r="E548" t="s">
        <v>322</v>
      </c>
      <c r="F548" s="12">
        <v>143856</v>
      </c>
      <c r="G548" s="13">
        <v>14</v>
      </c>
      <c r="H548" t="s">
        <v>2703</v>
      </c>
      <c r="I548" s="8">
        <v>46032</v>
      </c>
      <c r="J548" t="s">
        <v>2668</v>
      </c>
      <c r="K548" t="s">
        <v>2669</v>
      </c>
      <c r="L548" s="13">
        <v>4000</v>
      </c>
      <c r="M548" t="s">
        <v>2661</v>
      </c>
    </row>
    <row r="549" spans="1:13">
      <c r="A549" t="s">
        <v>641</v>
      </c>
      <c r="B549" t="s">
        <v>3</v>
      </c>
      <c r="C549" s="8">
        <v>45938</v>
      </c>
      <c r="D549" t="s">
        <v>332</v>
      </c>
      <c r="E549" t="s">
        <v>322</v>
      </c>
      <c r="F549" s="12">
        <v>143856</v>
      </c>
      <c r="G549" s="13">
        <v>14</v>
      </c>
      <c r="H549" t="s">
        <v>3148</v>
      </c>
      <c r="I549" s="8">
        <v>46264</v>
      </c>
      <c r="J549" t="s">
        <v>2682</v>
      </c>
      <c r="K549" t="s">
        <v>2683</v>
      </c>
      <c r="L549" s="13">
        <v>6000</v>
      </c>
      <c r="M549" t="s">
        <v>2661</v>
      </c>
    </row>
    <row r="550" spans="1:13">
      <c r="A550" t="s">
        <v>758</v>
      </c>
      <c r="B550" t="s">
        <v>3</v>
      </c>
      <c r="C550" s="8">
        <v>45991</v>
      </c>
      <c r="D550" t="s">
        <v>350</v>
      </c>
      <c r="E550" t="s">
        <v>325</v>
      </c>
      <c r="F550" s="12">
        <v>287872</v>
      </c>
      <c r="G550" s="13">
        <v>28</v>
      </c>
      <c r="H550" t="s">
        <v>2703</v>
      </c>
      <c r="I550" s="8">
        <v>46032</v>
      </c>
      <c r="J550" t="s">
        <v>2668</v>
      </c>
      <c r="K550" t="s">
        <v>2669</v>
      </c>
      <c r="L550" s="13">
        <v>4000</v>
      </c>
      <c r="M550" t="s">
        <v>2661</v>
      </c>
    </row>
    <row r="551" spans="1:13">
      <c r="A551" t="s">
        <v>758</v>
      </c>
      <c r="B551" t="s">
        <v>3</v>
      </c>
      <c r="C551" s="8">
        <v>45991</v>
      </c>
      <c r="D551" t="s">
        <v>350</v>
      </c>
      <c r="E551" t="s">
        <v>325</v>
      </c>
      <c r="F551" s="12">
        <v>287872</v>
      </c>
      <c r="G551" s="13">
        <v>28</v>
      </c>
      <c r="H551" t="s">
        <v>3148</v>
      </c>
      <c r="I551" s="8">
        <v>46264</v>
      </c>
      <c r="J551" t="s">
        <v>2682</v>
      </c>
      <c r="K551" t="s">
        <v>2683</v>
      </c>
      <c r="L551" s="13">
        <v>6000</v>
      </c>
      <c r="M551" t="s">
        <v>2661</v>
      </c>
    </row>
    <row r="552" spans="1:13">
      <c r="A552" t="s">
        <v>780</v>
      </c>
      <c r="B552" t="s">
        <v>3</v>
      </c>
      <c r="C552" s="8">
        <v>46072</v>
      </c>
      <c r="D552" t="s">
        <v>332</v>
      </c>
      <c r="E552" t="s">
        <v>334</v>
      </c>
      <c r="F552" s="12">
        <v>168844</v>
      </c>
      <c r="G552" s="13">
        <v>16</v>
      </c>
      <c r="H552" t="s">
        <v>2703</v>
      </c>
      <c r="I552" s="8">
        <v>46032</v>
      </c>
      <c r="J552" t="s">
        <v>2668</v>
      </c>
      <c r="K552" t="s">
        <v>2669</v>
      </c>
      <c r="L552" s="13">
        <v>4000</v>
      </c>
      <c r="M552" t="s">
        <v>2661</v>
      </c>
    </row>
    <row r="553" spans="1:13">
      <c r="A553" t="s">
        <v>780</v>
      </c>
      <c r="B553" t="s">
        <v>3</v>
      </c>
      <c r="C553" s="8">
        <v>46072</v>
      </c>
      <c r="D553" t="s">
        <v>332</v>
      </c>
      <c r="E553" t="s">
        <v>334</v>
      </c>
      <c r="F553" s="12">
        <v>168844</v>
      </c>
      <c r="G553" s="13">
        <v>16</v>
      </c>
      <c r="H553" t="s">
        <v>3148</v>
      </c>
      <c r="I553" s="8">
        <v>46264</v>
      </c>
      <c r="J553" t="s">
        <v>2682</v>
      </c>
      <c r="K553" t="s">
        <v>2683</v>
      </c>
      <c r="L553" s="13">
        <v>6000</v>
      </c>
      <c r="M553" t="s">
        <v>2661</v>
      </c>
    </row>
    <row r="554" spans="1:13">
      <c r="A554" t="s">
        <v>1004</v>
      </c>
      <c r="B554" t="s">
        <v>3</v>
      </c>
      <c r="C554" s="8">
        <v>46227</v>
      </c>
      <c r="D554" t="s">
        <v>321</v>
      </c>
      <c r="E554" t="s">
        <v>328</v>
      </c>
      <c r="F554" s="12">
        <v>473194</v>
      </c>
      <c r="G554" s="13">
        <v>47</v>
      </c>
      <c r="H554" t="s">
        <v>2703</v>
      </c>
      <c r="I554" s="8">
        <v>46032</v>
      </c>
      <c r="J554" t="s">
        <v>2668</v>
      </c>
      <c r="K554" t="s">
        <v>2669</v>
      </c>
      <c r="L554" s="13">
        <v>4000</v>
      </c>
      <c r="M554" t="s">
        <v>2661</v>
      </c>
    </row>
    <row r="555" spans="1:13">
      <c r="A555" t="s">
        <v>1004</v>
      </c>
      <c r="B555" t="s">
        <v>3</v>
      </c>
      <c r="C555" s="8">
        <v>46227</v>
      </c>
      <c r="D555" t="s">
        <v>321</v>
      </c>
      <c r="E555" t="s">
        <v>328</v>
      </c>
      <c r="F555" s="12">
        <v>473194</v>
      </c>
      <c r="G555" s="13">
        <v>47</v>
      </c>
      <c r="H555" t="s">
        <v>3148</v>
      </c>
      <c r="I555" s="8">
        <v>46264</v>
      </c>
      <c r="J555" t="s">
        <v>2682</v>
      </c>
      <c r="K555" t="s">
        <v>2683</v>
      </c>
      <c r="L555" s="13">
        <v>6000</v>
      </c>
      <c r="M555" t="s">
        <v>2661</v>
      </c>
    </row>
    <row r="556" spans="1:13">
      <c r="A556" t="s">
        <v>1085</v>
      </c>
      <c r="B556" t="s">
        <v>3</v>
      </c>
      <c r="C556" s="8">
        <v>46012</v>
      </c>
      <c r="D556" t="s">
        <v>324</v>
      </c>
      <c r="E556" t="s">
        <v>339</v>
      </c>
      <c r="F556" s="12">
        <v>258929</v>
      </c>
      <c r="G556" s="13">
        <v>25</v>
      </c>
      <c r="H556" t="s">
        <v>2703</v>
      </c>
      <c r="I556" s="8">
        <v>46032</v>
      </c>
      <c r="J556" t="s">
        <v>2668</v>
      </c>
      <c r="K556" t="s">
        <v>2669</v>
      </c>
      <c r="L556" s="13">
        <v>4000</v>
      </c>
      <c r="M556" t="s">
        <v>2661</v>
      </c>
    </row>
    <row r="557" spans="1:13">
      <c r="A557" t="s">
        <v>1085</v>
      </c>
      <c r="B557" t="s">
        <v>3</v>
      </c>
      <c r="C557" s="8">
        <v>46012</v>
      </c>
      <c r="D557" t="s">
        <v>324</v>
      </c>
      <c r="E557" t="s">
        <v>339</v>
      </c>
      <c r="F557" s="12">
        <v>258929</v>
      </c>
      <c r="G557" s="13">
        <v>25</v>
      </c>
      <c r="H557" t="s">
        <v>3148</v>
      </c>
      <c r="I557" s="8">
        <v>46264</v>
      </c>
      <c r="J557" t="s">
        <v>2682</v>
      </c>
      <c r="K557" t="s">
        <v>2683</v>
      </c>
      <c r="L557" s="13">
        <v>6000</v>
      </c>
      <c r="M557" t="s">
        <v>2661</v>
      </c>
    </row>
    <row r="558" spans="1:13">
      <c r="A558" t="s">
        <v>359</v>
      </c>
      <c r="B558" t="s">
        <v>78</v>
      </c>
      <c r="C558" s="8">
        <v>45932</v>
      </c>
      <c r="D558" t="s">
        <v>330</v>
      </c>
      <c r="E558" t="s">
        <v>339</v>
      </c>
      <c r="F558" s="12">
        <v>358390</v>
      </c>
      <c r="G558" s="13">
        <v>35</v>
      </c>
      <c r="H558" t="s">
        <v>2786</v>
      </c>
      <c r="I558" s="8">
        <v>46223</v>
      </c>
      <c r="J558" t="s">
        <v>2692</v>
      </c>
      <c r="K558" t="s">
        <v>2693</v>
      </c>
      <c r="L558" s="13">
        <v>10000</v>
      </c>
      <c r="M558" t="s">
        <v>2661</v>
      </c>
    </row>
    <row r="559" spans="1:13">
      <c r="A559" t="s">
        <v>359</v>
      </c>
      <c r="B559" t="s">
        <v>78</v>
      </c>
      <c r="C559" s="8">
        <v>45932</v>
      </c>
      <c r="D559" t="s">
        <v>330</v>
      </c>
      <c r="E559" t="s">
        <v>339</v>
      </c>
      <c r="F559" s="12">
        <v>358390</v>
      </c>
      <c r="G559" s="13">
        <v>35</v>
      </c>
      <c r="H559" t="s">
        <v>3071</v>
      </c>
      <c r="I559" s="8">
        <v>46146</v>
      </c>
      <c r="J559" t="s">
        <v>2668</v>
      </c>
      <c r="K559" t="s">
        <v>2669</v>
      </c>
      <c r="L559" s="13">
        <v>4000</v>
      </c>
      <c r="M559" t="s">
        <v>2661</v>
      </c>
    </row>
    <row r="560" spans="1:13">
      <c r="A560" t="s">
        <v>1161</v>
      </c>
      <c r="B560" t="s">
        <v>78</v>
      </c>
      <c r="C560" s="8">
        <v>46167</v>
      </c>
      <c r="D560" t="s">
        <v>324</v>
      </c>
      <c r="E560" t="s">
        <v>337</v>
      </c>
      <c r="F560" s="12">
        <v>658792</v>
      </c>
      <c r="G560" s="13">
        <v>65</v>
      </c>
      <c r="H560" t="s">
        <v>2786</v>
      </c>
      <c r="I560" s="8">
        <v>46223</v>
      </c>
      <c r="J560" t="s">
        <v>2692</v>
      </c>
      <c r="K560" t="s">
        <v>2693</v>
      </c>
      <c r="L560" s="13">
        <v>10000</v>
      </c>
      <c r="M560" t="s">
        <v>2661</v>
      </c>
    </row>
    <row r="561" spans="1:13">
      <c r="A561" t="s">
        <v>1161</v>
      </c>
      <c r="B561" t="s">
        <v>78</v>
      </c>
      <c r="C561" s="8">
        <v>46167</v>
      </c>
      <c r="D561" t="s">
        <v>324</v>
      </c>
      <c r="E561" t="s">
        <v>337</v>
      </c>
      <c r="F561" s="12">
        <v>658792</v>
      </c>
      <c r="G561" s="13">
        <v>65</v>
      </c>
      <c r="H561" t="s">
        <v>3071</v>
      </c>
      <c r="I561" s="8">
        <v>46146</v>
      </c>
      <c r="J561" t="s">
        <v>2668</v>
      </c>
      <c r="K561" t="s">
        <v>2669</v>
      </c>
      <c r="L561" s="13">
        <v>4000</v>
      </c>
      <c r="M561" t="s">
        <v>2661</v>
      </c>
    </row>
    <row r="562" spans="1:13">
      <c r="A562" t="s">
        <v>360</v>
      </c>
      <c r="B562" t="s">
        <v>212</v>
      </c>
      <c r="C562" s="8">
        <v>46124</v>
      </c>
      <c r="D562" t="s">
        <v>327</v>
      </c>
      <c r="E562" t="s">
        <v>337</v>
      </c>
      <c r="F562" s="12">
        <v>763998</v>
      </c>
      <c r="G562" s="13">
        <v>76</v>
      </c>
      <c r="H562" t="s">
        <v>2760</v>
      </c>
      <c r="I562" s="8">
        <v>46244</v>
      </c>
      <c r="J562" t="s">
        <v>2668</v>
      </c>
      <c r="K562" t="s">
        <v>2669</v>
      </c>
      <c r="L562" s="13">
        <v>4000</v>
      </c>
      <c r="M562" t="s">
        <v>2661</v>
      </c>
    </row>
    <row r="563" spans="1:13">
      <c r="A563" t="s">
        <v>360</v>
      </c>
      <c r="B563" t="s">
        <v>212</v>
      </c>
      <c r="C563" s="8">
        <v>46124</v>
      </c>
      <c r="D563" t="s">
        <v>327</v>
      </c>
      <c r="E563" t="s">
        <v>337</v>
      </c>
      <c r="F563" s="12">
        <v>763998</v>
      </c>
      <c r="G563" s="13">
        <v>76</v>
      </c>
      <c r="H563" t="s">
        <v>2935</v>
      </c>
      <c r="I563" s="8">
        <v>46216</v>
      </c>
      <c r="J563" t="s">
        <v>2665</v>
      </c>
      <c r="K563" t="s">
        <v>2666</v>
      </c>
      <c r="L563" s="13">
        <v>2500</v>
      </c>
      <c r="M563" t="s">
        <v>2661</v>
      </c>
    </row>
    <row r="564" spans="1:13">
      <c r="A564" t="s">
        <v>360</v>
      </c>
      <c r="B564" t="s">
        <v>212</v>
      </c>
      <c r="C564" s="8">
        <v>46124</v>
      </c>
      <c r="D564" t="s">
        <v>327</v>
      </c>
      <c r="E564" t="s">
        <v>337</v>
      </c>
      <c r="F564" s="12">
        <v>763998</v>
      </c>
      <c r="G564" s="13">
        <v>76</v>
      </c>
      <c r="H564" t="s">
        <v>3100</v>
      </c>
      <c r="I564" s="8">
        <v>46226</v>
      </c>
      <c r="J564" t="s">
        <v>2665</v>
      </c>
      <c r="K564" t="s">
        <v>2666</v>
      </c>
      <c r="L564" s="13">
        <v>2500</v>
      </c>
      <c r="M564" t="s">
        <v>2661</v>
      </c>
    </row>
    <row r="565" spans="1:13">
      <c r="A565" t="s">
        <v>387</v>
      </c>
      <c r="B565" t="s">
        <v>212</v>
      </c>
      <c r="C565" s="8">
        <v>46179</v>
      </c>
      <c r="D565" t="s">
        <v>321</v>
      </c>
      <c r="E565" t="s">
        <v>339</v>
      </c>
      <c r="F565" s="12">
        <v>91134</v>
      </c>
      <c r="G565" s="13">
        <v>9</v>
      </c>
      <c r="H565" t="s">
        <v>2760</v>
      </c>
      <c r="I565" s="8">
        <v>46244</v>
      </c>
      <c r="J565" t="s">
        <v>2668</v>
      </c>
      <c r="K565" t="s">
        <v>2669</v>
      </c>
      <c r="L565" s="13">
        <v>4000</v>
      </c>
      <c r="M565" t="s">
        <v>2661</v>
      </c>
    </row>
    <row r="566" spans="1:13">
      <c r="A566" t="s">
        <v>387</v>
      </c>
      <c r="B566" t="s">
        <v>212</v>
      </c>
      <c r="C566" s="8">
        <v>46179</v>
      </c>
      <c r="D566" t="s">
        <v>321</v>
      </c>
      <c r="E566" t="s">
        <v>339</v>
      </c>
      <c r="F566" s="12">
        <v>91134</v>
      </c>
      <c r="G566" s="13">
        <v>9</v>
      </c>
      <c r="H566" t="s">
        <v>2935</v>
      </c>
      <c r="I566" s="8">
        <v>46216</v>
      </c>
      <c r="J566" t="s">
        <v>2665</v>
      </c>
      <c r="K566" t="s">
        <v>2666</v>
      </c>
      <c r="L566" s="13">
        <v>2500</v>
      </c>
      <c r="M566" t="s">
        <v>2661</v>
      </c>
    </row>
    <row r="567" spans="1:13">
      <c r="A567" t="s">
        <v>387</v>
      </c>
      <c r="B567" t="s">
        <v>212</v>
      </c>
      <c r="C567" s="8">
        <v>46179</v>
      </c>
      <c r="D567" t="s">
        <v>321</v>
      </c>
      <c r="E567" t="s">
        <v>339</v>
      </c>
      <c r="F567" s="12">
        <v>91134</v>
      </c>
      <c r="G567" s="13">
        <v>9</v>
      </c>
      <c r="H567" t="s">
        <v>3100</v>
      </c>
      <c r="I567" s="8">
        <v>46226</v>
      </c>
      <c r="J567" t="s">
        <v>2665</v>
      </c>
      <c r="K567" t="s">
        <v>2666</v>
      </c>
      <c r="L567" s="13">
        <v>2500</v>
      </c>
      <c r="M567" t="s">
        <v>2661</v>
      </c>
    </row>
    <row r="568" spans="1:13">
      <c r="A568" t="s">
        <v>433</v>
      </c>
      <c r="B568" t="s">
        <v>212</v>
      </c>
      <c r="C568" s="8">
        <v>46221</v>
      </c>
      <c r="D568" t="s">
        <v>350</v>
      </c>
      <c r="E568" t="s">
        <v>339</v>
      </c>
      <c r="F568" s="12">
        <v>96138</v>
      </c>
      <c r="G568" s="13">
        <v>9</v>
      </c>
      <c r="H568" t="s">
        <v>2760</v>
      </c>
      <c r="I568" s="8">
        <v>46244</v>
      </c>
      <c r="J568" t="s">
        <v>2668</v>
      </c>
      <c r="K568" t="s">
        <v>2669</v>
      </c>
      <c r="L568" s="13">
        <v>4000</v>
      </c>
      <c r="M568" t="s">
        <v>2661</v>
      </c>
    </row>
    <row r="569" spans="1:13">
      <c r="A569" t="s">
        <v>433</v>
      </c>
      <c r="B569" t="s">
        <v>212</v>
      </c>
      <c r="C569" s="8">
        <v>46221</v>
      </c>
      <c r="D569" t="s">
        <v>350</v>
      </c>
      <c r="E569" t="s">
        <v>339</v>
      </c>
      <c r="F569" s="12">
        <v>96138</v>
      </c>
      <c r="G569" s="13">
        <v>9</v>
      </c>
      <c r="H569" t="s">
        <v>2935</v>
      </c>
      <c r="I569" s="8">
        <v>46216</v>
      </c>
      <c r="J569" t="s">
        <v>2665</v>
      </c>
      <c r="K569" t="s">
        <v>2666</v>
      </c>
      <c r="L569" s="13">
        <v>2500</v>
      </c>
      <c r="M569" t="s">
        <v>2661</v>
      </c>
    </row>
    <row r="570" spans="1:13">
      <c r="A570" t="s">
        <v>433</v>
      </c>
      <c r="B570" t="s">
        <v>212</v>
      </c>
      <c r="C570" s="8">
        <v>46221</v>
      </c>
      <c r="D570" t="s">
        <v>350</v>
      </c>
      <c r="E570" t="s">
        <v>339</v>
      </c>
      <c r="F570" s="12">
        <v>96138</v>
      </c>
      <c r="G570" s="13">
        <v>9</v>
      </c>
      <c r="H570" t="s">
        <v>3100</v>
      </c>
      <c r="I570" s="8">
        <v>46226</v>
      </c>
      <c r="J570" t="s">
        <v>2665</v>
      </c>
      <c r="K570" t="s">
        <v>2666</v>
      </c>
      <c r="L570" s="13">
        <v>2500</v>
      </c>
      <c r="M570" t="s">
        <v>2661</v>
      </c>
    </row>
    <row r="571" spans="1:13">
      <c r="A571" t="s">
        <v>470</v>
      </c>
      <c r="B571" t="s">
        <v>212</v>
      </c>
      <c r="C571" s="8">
        <v>46117</v>
      </c>
      <c r="D571" t="s">
        <v>330</v>
      </c>
      <c r="E571" t="s">
        <v>334</v>
      </c>
      <c r="F571" s="12">
        <v>420364</v>
      </c>
      <c r="G571" s="13">
        <v>42</v>
      </c>
      <c r="H571" t="s">
        <v>2760</v>
      </c>
      <c r="I571" s="8">
        <v>46244</v>
      </c>
      <c r="J571" t="s">
        <v>2668</v>
      </c>
      <c r="K571" t="s">
        <v>2669</v>
      </c>
      <c r="L571" s="13">
        <v>4000</v>
      </c>
      <c r="M571" t="s">
        <v>2661</v>
      </c>
    </row>
    <row r="572" spans="1:13">
      <c r="A572" t="s">
        <v>470</v>
      </c>
      <c r="B572" t="s">
        <v>212</v>
      </c>
      <c r="C572" s="8">
        <v>46117</v>
      </c>
      <c r="D572" t="s">
        <v>330</v>
      </c>
      <c r="E572" t="s">
        <v>334</v>
      </c>
      <c r="F572" s="12">
        <v>420364</v>
      </c>
      <c r="G572" s="13">
        <v>42</v>
      </c>
      <c r="H572" t="s">
        <v>2935</v>
      </c>
      <c r="I572" s="8">
        <v>46216</v>
      </c>
      <c r="J572" t="s">
        <v>2665</v>
      </c>
      <c r="K572" t="s">
        <v>2666</v>
      </c>
      <c r="L572" s="13">
        <v>2500</v>
      </c>
      <c r="M572" t="s">
        <v>2661</v>
      </c>
    </row>
    <row r="573" spans="1:13">
      <c r="A573" t="s">
        <v>470</v>
      </c>
      <c r="B573" t="s">
        <v>212</v>
      </c>
      <c r="C573" s="8">
        <v>46117</v>
      </c>
      <c r="D573" t="s">
        <v>330</v>
      </c>
      <c r="E573" t="s">
        <v>334</v>
      </c>
      <c r="F573" s="12">
        <v>420364</v>
      </c>
      <c r="G573" s="13">
        <v>42</v>
      </c>
      <c r="H573" t="s">
        <v>3100</v>
      </c>
      <c r="I573" s="8">
        <v>46226</v>
      </c>
      <c r="J573" t="s">
        <v>2665</v>
      </c>
      <c r="K573" t="s">
        <v>2666</v>
      </c>
      <c r="L573" s="13">
        <v>2500</v>
      </c>
      <c r="M573" t="s">
        <v>2661</v>
      </c>
    </row>
    <row r="574" spans="1:13">
      <c r="A574" t="s">
        <v>518</v>
      </c>
      <c r="B574" t="s">
        <v>212</v>
      </c>
      <c r="C574" s="8">
        <v>46118</v>
      </c>
      <c r="D574" t="s">
        <v>321</v>
      </c>
      <c r="E574" t="s">
        <v>322</v>
      </c>
      <c r="F574" s="12">
        <v>271043</v>
      </c>
      <c r="G574" s="13">
        <v>27</v>
      </c>
      <c r="H574" t="s">
        <v>2760</v>
      </c>
      <c r="I574" s="8">
        <v>46244</v>
      </c>
      <c r="J574" t="s">
        <v>2668</v>
      </c>
      <c r="K574" t="s">
        <v>2669</v>
      </c>
      <c r="L574" s="13">
        <v>4000</v>
      </c>
      <c r="M574" t="s">
        <v>2661</v>
      </c>
    </row>
    <row r="575" spans="1:13">
      <c r="A575" t="s">
        <v>518</v>
      </c>
      <c r="B575" t="s">
        <v>212</v>
      </c>
      <c r="C575" s="8">
        <v>46118</v>
      </c>
      <c r="D575" t="s">
        <v>321</v>
      </c>
      <c r="E575" t="s">
        <v>322</v>
      </c>
      <c r="F575" s="12">
        <v>271043</v>
      </c>
      <c r="G575" s="13">
        <v>27</v>
      </c>
      <c r="H575" t="s">
        <v>2935</v>
      </c>
      <c r="I575" s="8">
        <v>46216</v>
      </c>
      <c r="J575" t="s">
        <v>2665</v>
      </c>
      <c r="K575" t="s">
        <v>2666</v>
      </c>
      <c r="L575" s="13">
        <v>2500</v>
      </c>
      <c r="M575" t="s">
        <v>2661</v>
      </c>
    </row>
    <row r="576" spans="1:13">
      <c r="A576" t="s">
        <v>518</v>
      </c>
      <c r="B576" t="s">
        <v>212</v>
      </c>
      <c r="C576" s="8">
        <v>46118</v>
      </c>
      <c r="D576" t="s">
        <v>321</v>
      </c>
      <c r="E576" t="s">
        <v>322</v>
      </c>
      <c r="F576" s="12">
        <v>271043</v>
      </c>
      <c r="G576" s="13">
        <v>27</v>
      </c>
      <c r="H576" t="s">
        <v>3100</v>
      </c>
      <c r="I576" s="8">
        <v>46226</v>
      </c>
      <c r="J576" t="s">
        <v>2665</v>
      </c>
      <c r="K576" t="s">
        <v>2666</v>
      </c>
      <c r="L576" s="13">
        <v>2500</v>
      </c>
      <c r="M576" t="s">
        <v>2661</v>
      </c>
    </row>
    <row r="577" spans="1:13">
      <c r="A577" t="s">
        <v>549</v>
      </c>
      <c r="B577" t="s">
        <v>212</v>
      </c>
      <c r="C577" s="8">
        <v>46170</v>
      </c>
      <c r="D577" t="s">
        <v>324</v>
      </c>
      <c r="E577" t="s">
        <v>339</v>
      </c>
      <c r="F577" s="12">
        <v>155018</v>
      </c>
      <c r="G577" s="13">
        <v>15</v>
      </c>
      <c r="H577" t="s">
        <v>2760</v>
      </c>
      <c r="I577" s="8">
        <v>46244</v>
      </c>
      <c r="J577" t="s">
        <v>2668</v>
      </c>
      <c r="K577" t="s">
        <v>2669</v>
      </c>
      <c r="L577" s="13">
        <v>4000</v>
      </c>
      <c r="M577" t="s">
        <v>2661</v>
      </c>
    </row>
    <row r="578" spans="1:13">
      <c r="A578" t="s">
        <v>549</v>
      </c>
      <c r="B578" t="s">
        <v>212</v>
      </c>
      <c r="C578" s="8">
        <v>46170</v>
      </c>
      <c r="D578" t="s">
        <v>324</v>
      </c>
      <c r="E578" t="s">
        <v>339</v>
      </c>
      <c r="F578" s="12">
        <v>155018</v>
      </c>
      <c r="G578" s="13">
        <v>15</v>
      </c>
      <c r="H578" t="s">
        <v>2935</v>
      </c>
      <c r="I578" s="8">
        <v>46216</v>
      </c>
      <c r="J578" t="s">
        <v>2665</v>
      </c>
      <c r="K578" t="s">
        <v>2666</v>
      </c>
      <c r="L578" s="13">
        <v>2500</v>
      </c>
      <c r="M578" t="s">
        <v>2661</v>
      </c>
    </row>
    <row r="579" spans="1:13">
      <c r="A579" t="s">
        <v>549</v>
      </c>
      <c r="B579" t="s">
        <v>212</v>
      </c>
      <c r="C579" s="8">
        <v>46170</v>
      </c>
      <c r="D579" t="s">
        <v>324</v>
      </c>
      <c r="E579" t="s">
        <v>339</v>
      </c>
      <c r="F579" s="12">
        <v>155018</v>
      </c>
      <c r="G579" s="13">
        <v>15</v>
      </c>
      <c r="H579" t="s">
        <v>3100</v>
      </c>
      <c r="I579" s="8">
        <v>46226</v>
      </c>
      <c r="J579" t="s">
        <v>2665</v>
      </c>
      <c r="K579" t="s">
        <v>2666</v>
      </c>
      <c r="L579" s="13">
        <v>2500</v>
      </c>
      <c r="M579" t="s">
        <v>2661</v>
      </c>
    </row>
    <row r="580" spans="1:13">
      <c r="A580" t="s">
        <v>550</v>
      </c>
      <c r="B580" t="s">
        <v>212</v>
      </c>
      <c r="C580" s="8">
        <v>46214</v>
      </c>
      <c r="D580" t="s">
        <v>350</v>
      </c>
      <c r="E580" t="s">
        <v>322</v>
      </c>
      <c r="F580" s="12">
        <v>32438</v>
      </c>
      <c r="G580" s="13">
        <v>3</v>
      </c>
      <c r="H580" t="s">
        <v>2760</v>
      </c>
      <c r="I580" s="8">
        <v>46244</v>
      </c>
      <c r="J580" t="s">
        <v>2668</v>
      </c>
      <c r="K580" t="s">
        <v>2669</v>
      </c>
      <c r="L580" s="13">
        <v>4000</v>
      </c>
      <c r="M580" t="s">
        <v>2661</v>
      </c>
    </row>
    <row r="581" spans="1:13">
      <c r="A581" t="s">
        <v>550</v>
      </c>
      <c r="B581" t="s">
        <v>212</v>
      </c>
      <c r="C581" s="8">
        <v>46214</v>
      </c>
      <c r="D581" t="s">
        <v>350</v>
      </c>
      <c r="E581" t="s">
        <v>322</v>
      </c>
      <c r="F581" s="12">
        <v>32438</v>
      </c>
      <c r="G581" s="13">
        <v>3</v>
      </c>
      <c r="H581" t="s">
        <v>2935</v>
      </c>
      <c r="I581" s="8">
        <v>46216</v>
      </c>
      <c r="J581" t="s">
        <v>2665</v>
      </c>
      <c r="K581" t="s">
        <v>2666</v>
      </c>
      <c r="L581" s="13">
        <v>2500</v>
      </c>
      <c r="M581" t="s">
        <v>2661</v>
      </c>
    </row>
    <row r="582" spans="1:13">
      <c r="A582" t="s">
        <v>550</v>
      </c>
      <c r="B582" t="s">
        <v>212</v>
      </c>
      <c r="C582" s="8">
        <v>46214</v>
      </c>
      <c r="D582" t="s">
        <v>350</v>
      </c>
      <c r="E582" t="s">
        <v>322</v>
      </c>
      <c r="F582" s="12">
        <v>32438</v>
      </c>
      <c r="G582" s="13">
        <v>3</v>
      </c>
      <c r="H582" t="s">
        <v>3100</v>
      </c>
      <c r="I582" s="8">
        <v>46226</v>
      </c>
      <c r="J582" t="s">
        <v>2665</v>
      </c>
      <c r="K582" t="s">
        <v>2666</v>
      </c>
      <c r="L582" s="13">
        <v>2500</v>
      </c>
      <c r="M582" t="s">
        <v>2661</v>
      </c>
    </row>
    <row r="583" spans="1:13">
      <c r="A583" t="s">
        <v>784</v>
      </c>
      <c r="B583" t="s">
        <v>212</v>
      </c>
      <c r="C583" s="8">
        <v>45963</v>
      </c>
      <c r="D583" t="s">
        <v>332</v>
      </c>
      <c r="E583" t="s">
        <v>328</v>
      </c>
      <c r="F583" s="12">
        <v>310182</v>
      </c>
      <c r="G583" s="13">
        <v>31</v>
      </c>
      <c r="H583" t="s">
        <v>2760</v>
      </c>
      <c r="I583" s="8">
        <v>46244</v>
      </c>
      <c r="J583" t="s">
        <v>2668</v>
      </c>
      <c r="K583" t="s">
        <v>2669</v>
      </c>
      <c r="L583" s="13">
        <v>4000</v>
      </c>
      <c r="M583" t="s">
        <v>2661</v>
      </c>
    </row>
    <row r="584" spans="1:13">
      <c r="A584" t="s">
        <v>784</v>
      </c>
      <c r="B584" t="s">
        <v>212</v>
      </c>
      <c r="C584" s="8">
        <v>45963</v>
      </c>
      <c r="D584" t="s">
        <v>332</v>
      </c>
      <c r="E584" t="s">
        <v>328</v>
      </c>
      <c r="F584" s="12">
        <v>310182</v>
      </c>
      <c r="G584" s="13">
        <v>31</v>
      </c>
      <c r="H584" t="s">
        <v>2935</v>
      </c>
      <c r="I584" s="8">
        <v>46216</v>
      </c>
      <c r="J584" t="s">
        <v>2665</v>
      </c>
      <c r="K584" t="s">
        <v>2666</v>
      </c>
      <c r="L584" s="13">
        <v>2500</v>
      </c>
      <c r="M584" t="s">
        <v>2661</v>
      </c>
    </row>
    <row r="585" spans="1:13">
      <c r="A585" t="s">
        <v>784</v>
      </c>
      <c r="B585" t="s">
        <v>212</v>
      </c>
      <c r="C585" s="8">
        <v>45963</v>
      </c>
      <c r="D585" t="s">
        <v>332</v>
      </c>
      <c r="E585" t="s">
        <v>328</v>
      </c>
      <c r="F585" s="12">
        <v>310182</v>
      </c>
      <c r="G585" s="13">
        <v>31</v>
      </c>
      <c r="H585" t="s">
        <v>3100</v>
      </c>
      <c r="I585" s="8">
        <v>46226</v>
      </c>
      <c r="J585" t="s">
        <v>2665</v>
      </c>
      <c r="K585" t="s">
        <v>2666</v>
      </c>
      <c r="L585" s="13">
        <v>2500</v>
      </c>
      <c r="M585" t="s">
        <v>2661</v>
      </c>
    </row>
    <row r="586" spans="1:13">
      <c r="A586" t="s">
        <v>1089</v>
      </c>
      <c r="B586" t="s">
        <v>212</v>
      </c>
      <c r="C586" s="8">
        <v>46109</v>
      </c>
      <c r="D586" t="s">
        <v>327</v>
      </c>
      <c r="E586" t="s">
        <v>337</v>
      </c>
      <c r="F586" s="12">
        <v>324663</v>
      </c>
      <c r="G586" s="13">
        <v>32</v>
      </c>
      <c r="H586" t="s">
        <v>2760</v>
      </c>
      <c r="I586" s="8">
        <v>46244</v>
      </c>
      <c r="J586" t="s">
        <v>2668</v>
      </c>
      <c r="K586" t="s">
        <v>2669</v>
      </c>
      <c r="L586" s="13">
        <v>4000</v>
      </c>
      <c r="M586" t="s">
        <v>2661</v>
      </c>
    </row>
    <row r="587" spans="1:13">
      <c r="A587" t="s">
        <v>1089</v>
      </c>
      <c r="B587" t="s">
        <v>212</v>
      </c>
      <c r="C587" s="8">
        <v>46109</v>
      </c>
      <c r="D587" t="s">
        <v>327</v>
      </c>
      <c r="E587" t="s">
        <v>337</v>
      </c>
      <c r="F587" s="12">
        <v>324663</v>
      </c>
      <c r="G587" s="13">
        <v>32</v>
      </c>
      <c r="H587" t="s">
        <v>2935</v>
      </c>
      <c r="I587" s="8">
        <v>46216</v>
      </c>
      <c r="J587" t="s">
        <v>2665</v>
      </c>
      <c r="K587" t="s">
        <v>2666</v>
      </c>
      <c r="L587" s="13">
        <v>2500</v>
      </c>
      <c r="M587" t="s">
        <v>2661</v>
      </c>
    </row>
    <row r="588" spans="1:13">
      <c r="A588" t="s">
        <v>1089</v>
      </c>
      <c r="B588" t="s">
        <v>212</v>
      </c>
      <c r="C588" s="8">
        <v>46109</v>
      </c>
      <c r="D588" t="s">
        <v>327</v>
      </c>
      <c r="E588" t="s">
        <v>337</v>
      </c>
      <c r="F588" s="12">
        <v>324663</v>
      </c>
      <c r="G588" s="13">
        <v>32</v>
      </c>
      <c r="H588" t="s">
        <v>3100</v>
      </c>
      <c r="I588" s="8">
        <v>46226</v>
      </c>
      <c r="J588" t="s">
        <v>2665</v>
      </c>
      <c r="K588" t="s">
        <v>2666</v>
      </c>
      <c r="L588" s="13">
        <v>2500</v>
      </c>
      <c r="M588" t="s">
        <v>2661</v>
      </c>
    </row>
    <row r="589" spans="1:13">
      <c r="A589" t="s">
        <v>1124</v>
      </c>
      <c r="B589" t="s">
        <v>220</v>
      </c>
      <c r="C589" s="8">
        <v>46207</v>
      </c>
      <c r="D589" t="s">
        <v>350</v>
      </c>
      <c r="E589" t="s">
        <v>334</v>
      </c>
      <c r="F589" s="12">
        <v>314964</v>
      </c>
      <c r="G589" s="13">
        <v>31</v>
      </c>
      <c r="H589" t="s">
        <v>2705</v>
      </c>
      <c r="I589" s="8">
        <v>45956</v>
      </c>
      <c r="J589" t="s">
        <v>2663</v>
      </c>
      <c r="K589" t="s">
        <v>3630</v>
      </c>
      <c r="L589" s="13">
        <v>1500</v>
      </c>
      <c r="M589" t="s">
        <v>2661</v>
      </c>
    </row>
    <row r="590" spans="1:13">
      <c r="A590" t="s">
        <v>1124</v>
      </c>
      <c r="B590" t="s">
        <v>220</v>
      </c>
      <c r="C590" s="8">
        <v>46207</v>
      </c>
      <c r="D590" t="s">
        <v>350</v>
      </c>
      <c r="E590" t="s">
        <v>334</v>
      </c>
      <c r="F590" s="12">
        <v>314964</v>
      </c>
      <c r="G590" s="13">
        <v>31</v>
      </c>
      <c r="H590" t="s">
        <v>2936</v>
      </c>
      <c r="I590" s="8">
        <v>45940</v>
      </c>
      <c r="J590" t="s">
        <v>2665</v>
      </c>
      <c r="K590" t="s">
        <v>2666</v>
      </c>
      <c r="L590" s="13">
        <v>2500</v>
      </c>
      <c r="M590" t="s">
        <v>2661</v>
      </c>
    </row>
    <row r="591" spans="1:13">
      <c r="A591" t="s">
        <v>1124</v>
      </c>
      <c r="B591" t="s">
        <v>220</v>
      </c>
      <c r="C591" s="8">
        <v>46207</v>
      </c>
      <c r="D591" t="s">
        <v>350</v>
      </c>
      <c r="E591" t="s">
        <v>334</v>
      </c>
      <c r="F591" s="12">
        <v>314964</v>
      </c>
      <c r="G591" s="13">
        <v>31</v>
      </c>
      <c r="H591" t="s">
        <v>3157</v>
      </c>
      <c r="I591" s="8">
        <v>45952</v>
      </c>
      <c r="J591" t="s">
        <v>2659</v>
      </c>
      <c r="K591" t="s">
        <v>2660</v>
      </c>
      <c r="L591" s="13">
        <v>3500</v>
      </c>
      <c r="M591" t="s">
        <v>2661</v>
      </c>
    </row>
    <row r="592" spans="1:13">
      <c r="A592" t="s">
        <v>1124</v>
      </c>
      <c r="B592" t="s">
        <v>220</v>
      </c>
      <c r="C592" s="8">
        <v>46207</v>
      </c>
      <c r="D592" t="s">
        <v>350</v>
      </c>
      <c r="E592" t="s">
        <v>334</v>
      </c>
      <c r="F592" s="12">
        <v>314964</v>
      </c>
      <c r="G592" s="13">
        <v>31</v>
      </c>
      <c r="H592" t="s">
        <v>3514</v>
      </c>
      <c r="I592" s="8">
        <v>46060</v>
      </c>
      <c r="J592" t="s">
        <v>2671</v>
      </c>
      <c r="K592" t="s">
        <v>2672</v>
      </c>
      <c r="L592" s="13">
        <v>3000</v>
      </c>
      <c r="M592" t="s">
        <v>2661</v>
      </c>
    </row>
    <row r="593" spans="1:13">
      <c r="A593" t="s">
        <v>1102</v>
      </c>
      <c r="B593" t="s">
        <v>114</v>
      </c>
      <c r="C593" s="8">
        <v>46153</v>
      </c>
      <c r="D593" t="s">
        <v>342</v>
      </c>
      <c r="E593" t="s">
        <v>325</v>
      </c>
      <c r="F593" s="12">
        <v>715051</v>
      </c>
      <c r="G593" s="13">
        <v>71</v>
      </c>
      <c r="H593" t="s">
        <v>2706</v>
      </c>
      <c r="I593" s="8">
        <v>46247</v>
      </c>
      <c r="J593" t="s">
        <v>2668</v>
      </c>
      <c r="K593" t="s">
        <v>2669</v>
      </c>
      <c r="L593" s="13">
        <v>4000</v>
      </c>
      <c r="M593" t="s">
        <v>2661</v>
      </c>
    </row>
    <row r="594" spans="1:13">
      <c r="A594" t="s">
        <v>1102</v>
      </c>
      <c r="B594" t="s">
        <v>114</v>
      </c>
      <c r="C594" s="8">
        <v>46153</v>
      </c>
      <c r="D594" t="s">
        <v>342</v>
      </c>
      <c r="E594" t="s">
        <v>325</v>
      </c>
      <c r="F594" s="12">
        <v>715051</v>
      </c>
      <c r="G594" s="13">
        <v>71</v>
      </c>
      <c r="H594" t="s">
        <v>2730</v>
      </c>
      <c r="I594" s="8">
        <v>46171</v>
      </c>
      <c r="J594" t="s">
        <v>2659</v>
      </c>
      <c r="K594" t="s">
        <v>2660</v>
      </c>
      <c r="L594" s="13">
        <v>3500</v>
      </c>
      <c r="M594" t="s">
        <v>2661</v>
      </c>
    </row>
    <row r="595" spans="1:13">
      <c r="A595" t="s">
        <v>1102</v>
      </c>
      <c r="B595" t="s">
        <v>114</v>
      </c>
      <c r="C595" s="8">
        <v>46153</v>
      </c>
      <c r="D595" t="s">
        <v>342</v>
      </c>
      <c r="E595" t="s">
        <v>325</v>
      </c>
      <c r="F595" s="12">
        <v>715051</v>
      </c>
      <c r="G595" s="13">
        <v>71</v>
      </c>
      <c r="H595" t="s">
        <v>2767</v>
      </c>
      <c r="I595" s="8">
        <v>46007</v>
      </c>
      <c r="J595" t="s">
        <v>2663</v>
      </c>
      <c r="K595" t="s">
        <v>3630</v>
      </c>
      <c r="L595" s="13">
        <v>1500</v>
      </c>
      <c r="M595" t="s">
        <v>2661</v>
      </c>
    </row>
    <row r="596" spans="1:13">
      <c r="A596" t="s">
        <v>1102</v>
      </c>
      <c r="B596" t="s">
        <v>114</v>
      </c>
      <c r="C596" s="8">
        <v>46153</v>
      </c>
      <c r="D596" t="s">
        <v>342</v>
      </c>
      <c r="E596" t="s">
        <v>325</v>
      </c>
      <c r="F596" s="12">
        <v>715051</v>
      </c>
      <c r="G596" s="13">
        <v>71</v>
      </c>
      <c r="H596" t="s">
        <v>2825</v>
      </c>
      <c r="I596" s="8">
        <v>46147</v>
      </c>
      <c r="J596" t="s">
        <v>2682</v>
      </c>
      <c r="K596" t="s">
        <v>2683</v>
      </c>
      <c r="L596" s="13">
        <v>6000</v>
      </c>
      <c r="M596" t="s">
        <v>2661</v>
      </c>
    </row>
    <row r="597" spans="1:13">
      <c r="A597" t="s">
        <v>1102</v>
      </c>
      <c r="B597" t="s">
        <v>114</v>
      </c>
      <c r="C597" s="8">
        <v>46153</v>
      </c>
      <c r="D597" t="s">
        <v>342</v>
      </c>
      <c r="E597" t="s">
        <v>325</v>
      </c>
      <c r="F597" s="12">
        <v>715051</v>
      </c>
      <c r="G597" s="13">
        <v>71</v>
      </c>
      <c r="H597" t="s">
        <v>3567</v>
      </c>
      <c r="I597" s="8">
        <v>45985</v>
      </c>
      <c r="J597" t="s">
        <v>2674</v>
      </c>
      <c r="K597" t="s">
        <v>2675</v>
      </c>
      <c r="L597" s="13">
        <v>20000</v>
      </c>
      <c r="M597" t="s">
        <v>2661</v>
      </c>
    </row>
    <row r="598" spans="1:13">
      <c r="A598" t="s">
        <v>362</v>
      </c>
      <c r="B598" t="s">
        <v>113</v>
      </c>
      <c r="C598" s="8">
        <v>45973</v>
      </c>
      <c r="D598" t="s">
        <v>324</v>
      </c>
      <c r="E598" t="s">
        <v>322</v>
      </c>
      <c r="F598" s="12">
        <v>897578</v>
      </c>
      <c r="G598" s="13">
        <v>89</v>
      </c>
      <c r="H598" t="s">
        <v>3114</v>
      </c>
      <c r="I598" s="8">
        <v>46023</v>
      </c>
      <c r="J598" t="s">
        <v>2668</v>
      </c>
      <c r="K598" t="s">
        <v>2669</v>
      </c>
      <c r="L598" s="13">
        <v>4000</v>
      </c>
      <c r="M598" t="s">
        <v>2661</v>
      </c>
    </row>
    <row r="599" spans="1:13">
      <c r="A599" t="s">
        <v>362</v>
      </c>
      <c r="B599" t="s">
        <v>113</v>
      </c>
      <c r="C599" s="8">
        <v>45973</v>
      </c>
      <c r="D599" t="s">
        <v>324</v>
      </c>
      <c r="E599" t="s">
        <v>322</v>
      </c>
      <c r="F599" s="12">
        <v>897578</v>
      </c>
      <c r="G599" s="13">
        <v>89</v>
      </c>
      <c r="H599" t="s">
        <v>3149</v>
      </c>
      <c r="I599" s="8">
        <v>46086</v>
      </c>
      <c r="J599" t="s">
        <v>2688</v>
      </c>
      <c r="K599" t="s">
        <v>2689</v>
      </c>
      <c r="L599" s="13">
        <v>8000</v>
      </c>
      <c r="M599" t="s">
        <v>2676</v>
      </c>
    </row>
    <row r="600" spans="1:13">
      <c r="A600" t="s">
        <v>362</v>
      </c>
      <c r="B600" t="s">
        <v>113</v>
      </c>
      <c r="C600" s="8">
        <v>45973</v>
      </c>
      <c r="D600" t="s">
        <v>324</v>
      </c>
      <c r="E600" t="s">
        <v>322</v>
      </c>
      <c r="F600" s="12">
        <v>897578</v>
      </c>
      <c r="G600" s="13">
        <v>89</v>
      </c>
      <c r="H600" t="s">
        <v>3315</v>
      </c>
      <c r="I600" s="8">
        <v>46102</v>
      </c>
      <c r="J600" t="s">
        <v>2692</v>
      </c>
      <c r="K600" t="s">
        <v>2693</v>
      </c>
      <c r="L600" s="13">
        <v>10000</v>
      </c>
      <c r="M600" t="s">
        <v>2676</v>
      </c>
    </row>
    <row r="601" spans="1:13">
      <c r="A601" t="s">
        <v>362</v>
      </c>
      <c r="B601" t="s">
        <v>113</v>
      </c>
      <c r="C601" s="8">
        <v>45973</v>
      </c>
      <c r="D601" t="s">
        <v>324</v>
      </c>
      <c r="E601" t="s">
        <v>322</v>
      </c>
      <c r="F601" s="12">
        <v>897578</v>
      </c>
      <c r="G601" s="13">
        <v>89</v>
      </c>
      <c r="H601" t="s">
        <v>3365</v>
      </c>
      <c r="I601" s="8">
        <v>45995</v>
      </c>
      <c r="J601" t="s">
        <v>2685</v>
      </c>
      <c r="K601" t="s">
        <v>2686</v>
      </c>
      <c r="L601" s="13">
        <v>5000</v>
      </c>
      <c r="M601" t="s">
        <v>2676</v>
      </c>
    </row>
    <row r="602" spans="1:13">
      <c r="A602" t="s">
        <v>450</v>
      </c>
      <c r="B602" t="s">
        <v>113</v>
      </c>
      <c r="C602" s="8">
        <v>46288</v>
      </c>
      <c r="D602" t="s">
        <v>332</v>
      </c>
      <c r="E602" t="s">
        <v>337</v>
      </c>
      <c r="F602" s="12">
        <v>124975</v>
      </c>
      <c r="G602" s="13">
        <v>12</v>
      </c>
      <c r="H602" t="s">
        <v>3114</v>
      </c>
      <c r="I602" s="8">
        <v>46023</v>
      </c>
      <c r="J602" t="s">
        <v>2668</v>
      </c>
      <c r="K602" t="s">
        <v>2669</v>
      </c>
      <c r="L602" s="13">
        <v>4000</v>
      </c>
      <c r="M602" t="s">
        <v>2661</v>
      </c>
    </row>
    <row r="603" spans="1:13">
      <c r="A603" t="s">
        <v>450</v>
      </c>
      <c r="B603" t="s">
        <v>113</v>
      </c>
      <c r="C603" s="8">
        <v>46288</v>
      </c>
      <c r="D603" t="s">
        <v>332</v>
      </c>
      <c r="E603" t="s">
        <v>337</v>
      </c>
      <c r="F603" s="12">
        <v>124975</v>
      </c>
      <c r="G603" s="13">
        <v>12</v>
      </c>
      <c r="H603" t="s">
        <v>3149</v>
      </c>
      <c r="I603" s="8">
        <v>46086</v>
      </c>
      <c r="J603" t="s">
        <v>2688</v>
      </c>
      <c r="K603" t="s">
        <v>2689</v>
      </c>
      <c r="L603" s="13">
        <v>8000</v>
      </c>
      <c r="M603" t="s">
        <v>2676</v>
      </c>
    </row>
    <row r="604" spans="1:13">
      <c r="A604" t="s">
        <v>450</v>
      </c>
      <c r="B604" t="s">
        <v>113</v>
      </c>
      <c r="C604" s="8">
        <v>46288</v>
      </c>
      <c r="D604" t="s">
        <v>332</v>
      </c>
      <c r="E604" t="s">
        <v>337</v>
      </c>
      <c r="F604" s="12">
        <v>124975</v>
      </c>
      <c r="G604" s="13">
        <v>12</v>
      </c>
      <c r="H604" t="s">
        <v>3315</v>
      </c>
      <c r="I604" s="8">
        <v>46102</v>
      </c>
      <c r="J604" t="s">
        <v>2692</v>
      </c>
      <c r="K604" t="s">
        <v>2693</v>
      </c>
      <c r="L604" s="13">
        <v>10000</v>
      </c>
      <c r="M604" t="s">
        <v>2676</v>
      </c>
    </row>
    <row r="605" spans="1:13">
      <c r="A605" t="s">
        <v>450</v>
      </c>
      <c r="B605" t="s">
        <v>113</v>
      </c>
      <c r="C605" s="8">
        <v>46288</v>
      </c>
      <c r="D605" t="s">
        <v>332</v>
      </c>
      <c r="E605" t="s">
        <v>337</v>
      </c>
      <c r="F605" s="12">
        <v>124975</v>
      </c>
      <c r="G605" s="13">
        <v>12</v>
      </c>
      <c r="H605" t="s">
        <v>3365</v>
      </c>
      <c r="I605" s="8">
        <v>45995</v>
      </c>
      <c r="J605" t="s">
        <v>2685</v>
      </c>
      <c r="K605" t="s">
        <v>2686</v>
      </c>
      <c r="L605" s="13">
        <v>5000</v>
      </c>
      <c r="M605" t="s">
        <v>2676</v>
      </c>
    </row>
    <row r="606" spans="1:13">
      <c r="A606" t="s">
        <v>648</v>
      </c>
      <c r="B606" t="s">
        <v>113</v>
      </c>
      <c r="C606" s="8">
        <v>46231</v>
      </c>
      <c r="D606" t="s">
        <v>342</v>
      </c>
      <c r="E606" t="s">
        <v>334</v>
      </c>
      <c r="F606" s="12">
        <v>144613</v>
      </c>
      <c r="G606" s="13">
        <v>14</v>
      </c>
      <c r="H606" t="s">
        <v>3114</v>
      </c>
      <c r="I606" s="8">
        <v>46023</v>
      </c>
      <c r="J606" t="s">
        <v>2668</v>
      </c>
      <c r="K606" t="s">
        <v>2669</v>
      </c>
      <c r="L606" s="13">
        <v>4000</v>
      </c>
      <c r="M606" t="s">
        <v>2661</v>
      </c>
    </row>
    <row r="607" spans="1:13">
      <c r="A607" t="s">
        <v>648</v>
      </c>
      <c r="B607" t="s">
        <v>113</v>
      </c>
      <c r="C607" s="8">
        <v>46231</v>
      </c>
      <c r="D607" t="s">
        <v>342</v>
      </c>
      <c r="E607" t="s">
        <v>334</v>
      </c>
      <c r="F607" s="12">
        <v>144613</v>
      </c>
      <c r="G607" s="13">
        <v>14</v>
      </c>
      <c r="H607" t="s">
        <v>3149</v>
      </c>
      <c r="I607" s="8">
        <v>46086</v>
      </c>
      <c r="J607" t="s">
        <v>2688</v>
      </c>
      <c r="K607" t="s">
        <v>2689</v>
      </c>
      <c r="L607" s="13">
        <v>8000</v>
      </c>
      <c r="M607" t="s">
        <v>2676</v>
      </c>
    </row>
    <row r="608" spans="1:13">
      <c r="A608" t="s">
        <v>648</v>
      </c>
      <c r="B608" t="s">
        <v>113</v>
      </c>
      <c r="C608" s="8">
        <v>46231</v>
      </c>
      <c r="D608" t="s">
        <v>342</v>
      </c>
      <c r="E608" t="s">
        <v>334</v>
      </c>
      <c r="F608" s="12">
        <v>144613</v>
      </c>
      <c r="G608" s="13">
        <v>14</v>
      </c>
      <c r="H608" t="s">
        <v>3315</v>
      </c>
      <c r="I608" s="8">
        <v>46102</v>
      </c>
      <c r="J608" t="s">
        <v>2692</v>
      </c>
      <c r="K608" t="s">
        <v>2693</v>
      </c>
      <c r="L608" s="13">
        <v>10000</v>
      </c>
      <c r="M608" t="s">
        <v>2676</v>
      </c>
    </row>
    <row r="609" spans="1:13">
      <c r="A609" t="s">
        <v>648</v>
      </c>
      <c r="B609" t="s">
        <v>113</v>
      </c>
      <c r="C609" s="8">
        <v>46231</v>
      </c>
      <c r="D609" t="s">
        <v>342</v>
      </c>
      <c r="E609" t="s">
        <v>334</v>
      </c>
      <c r="F609" s="12">
        <v>144613</v>
      </c>
      <c r="G609" s="13">
        <v>14</v>
      </c>
      <c r="H609" t="s">
        <v>3365</v>
      </c>
      <c r="I609" s="8">
        <v>45995</v>
      </c>
      <c r="J609" t="s">
        <v>2685</v>
      </c>
      <c r="K609" t="s">
        <v>2686</v>
      </c>
      <c r="L609" s="13">
        <v>5000</v>
      </c>
      <c r="M609" t="s">
        <v>2676</v>
      </c>
    </row>
    <row r="610" spans="1:13">
      <c r="A610" t="s">
        <v>824</v>
      </c>
      <c r="B610" t="s">
        <v>113</v>
      </c>
      <c r="C610" s="8">
        <v>46192</v>
      </c>
      <c r="D610" t="s">
        <v>330</v>
      </c>
      <c r="E610" t="s">
        <v>328</v>
      </c>
      <c r="F610" s="12">
        <v>216228</v>
      </c>
      <c r="G610" s="13">
        <v>21</v>
      </c>
      <c r="H610" t="s">
        <v>3114</v>
      </c>
      <c r="I610" s="8">
        <v>46023</v>
      </c>
      <c r="J610" t="s">
        <v>2668</v>
      </c>
      <c r="K610" t="s">
        <v>2669</v>
      </c>
      <c r="L610" s="13">
        <v>4000</v>
      </c>
      <c r="M610" t="s">
        <v>2661</v>
      </c>
    </row>
    <row r="611" spans="1:13">
      <c r="A611" t="s">
        <v>824</v>
      </c>
      <c r="B611" t="s">
        <v>113</v>
      </c>
      <c r="C611" s="8">
        <v>46192</v>
      </c>
      <c r="D611" t="s">
        <v>330</v>
      </c>
      <c r="E611" t="s">
        <v>328</v>
      </c>
      <c r="F611" s="12">
        <v>216228</v>
      </c>
      <c r="G611" s="13">
        <v>21</v>
      </c>
      <c r="H611" t="s">
        <v>3149</v>
      </c>
      <c r="I611" s="8">
        <v>46086</v>
      </c>
      <c r="J611" t="s">
        <v>2688</v>
      </c>
      <c r="K611" t="s">
        <v>2689</v>
      </c>
      <c r="L611" s="13">
        <v>8000</v>
      </c>
      <c r="M611" t="s">
        <v>2676</v>
      </c>
    </row>
    <row r="612" spans="1:13">
      <c r="A612" t="s">
        <v>824</v>
      </c>
      <c r="B612" t="s">
        <v>113</v>
      </c>
      <c r="C612" s="8">
        <v>46192</v>
      </c>
      <c r="D612" t="s">
        <v>330</v>
      </c>
      <c r="E612" t="s">
        <v>328</v>
      </c>
      <c r="F612" s="12">
        <v>216228</v>
      </c>
      <c r="G612" s="13">
        <v>21</v>
      </c>
      <c r="H612" t="s">
        <v>3315</v>
      </c>
      <c r="I612" s="8">
        <v>46102</v>
      </c>
      <c r="J612" t="s">
        <v>2692</v>
      </c>
      <c r="K612" t="s">
        <v>2693</v>
      </c>
      <c r="L612" s="13">
        <v>10000</v>
      </c>
      <c r="M612" t="s">
        <v>2676</v>
      </c>
    </row>
    <row r="613" spans="1:13">
      <c r="A613" t="s">
        <v>824</v>
      </c>
      <c r="B613" t="s">
        <v>113</v>
      </c>
      <c r="C613" s="8">
        <v>46192</v>
      </c>
      <c r="D613" t="s">
        <v>330</v>
      </c>
      <c r="E613" t="s">
        <v>328</v>
      </c>
      <c r="F613" s="12">
        <v>216228</v>
      </c>
      <c r="G613" s="13">
        <v>21</v>
      </c>
      <c r="H613" t="s">
        <v>3365</v>
      </c>
      <c r="I613" s="8">
        <v>45995</v>
      </c>
      <c r="J613" t="s">
        <v>2685</v>
      </c>
      <c r="K613" t="s">
        <v>2686</v>
      </c>
      <c r="L613" s="13">
        <v>5000</v>
      </c>
      <c r="M613" t="s">
        <v>2676</v>
      </c>
    </row>
    <row r="614" spans="1:13">
      <c r="A614" t="s">
        <v>554</v>
      </c>
      <c r="B614" t="s">
        <v>191</v>
      </c>
      <c r="C614" s="8">
        <v>46127</v>
      </c>
      <c r="D614" t="s">
        <v>332</v>
      </c>
      <c r="E614" t="s">
        <v>339</v>
      </c>
      <c r="F614" s="12">
        <v>674710</v>
      </c>
      <c r="G614" s="13">
        <v>67</v>
      </c>
      <c r="H614" t="s">
        <v>2707</v>
      </c>
      <c r="I614" s="8">
        <v>46238</v>
      </c>
      <c r="J614" t="s">
        <v>2665</v>
      </c>
      <c r="K614" t="s">
        <v>2666</v>
      </c>
      <c r="L614" s="13">
        <v>2500</v>
      </c>
      <c r="M614" t="s">
        <v>2661</v>
      </c>
    </row>
    <row r="615" spans="1:13">
      <c r="A615" t="s">
        <v>554</v>
      </c>
      <c r="B615" t="s">
        <v>191</v>
      </c>
      <c r="C615" s="8">
        <v>46127</v>
      </c>
      <c r="D615" t="s">
        <v>332</v>
      </c>
      <c r="E615" t="s">
        <v>339</v>
      </c>
      <c r="F615" s="12">
        <v>674710</v>
      </c>
      <c r="G615" s="13">
        <v>67</v>
      </c>
      <c r="H615" t="s">
        <v>2934</v>
      </c>
      <c r="I615" s="8">
        <v>46051</v>
      </c>
      <c r="J615" t="s">
        <v>2668</v>
      </c>
      <c r="K615" t="s">
        <v>2669</v>
      </c>
      <c r="L615" s="13">
        <v>4000</v>
      </c>
      <c r="M615" t="s">
        <v>2661</v>
      </c>
    </row>
    <row r="616" spans="1:13">
      <c r="A616" t="s">
        <v>554</v>
      </c>
      <c r="B616" t="s">
        <v>191</v>
      </c>
      <c r="C616" s="8">
        <v>46127</v>
      </c>
      <c r="D616" t="s">
        <v>332</v>
      </c>
      <c r="E616" t="s">
        <v>339</v>
      </c>
      <c r="F616" s="12">
        <v>674710</v>
      </c>
      <c r="G616" s="13">
        <v>67</v>
      </c>
      <c r="H616" t="s">
        <v>3388</v>
      </c>
      <c r="I616" s="8">
        <v>46212</v>
      </c>
      <c r="J616" t="s">
        <v>2663</v>
      </c>
      <c r="K616" t="s">
        <v>3630</v>
      </c>
      <c r="L616" s="13">
        <v>1500</v>
      </c>
      <c r="M616" t="s">
        <v>2661</v>
      </c>
    </row>
    <row r="617" spans="1:13">
      <c r="A617" t="s">
        <v>883</v>
      </c>
      <c r="B617" t="s">
        <v>191</v>
      </c>
      <c r="C617" s="8">
        <v>46266</v>
      </c>
      <c r="D617" t="s">
        <v>324</v>
      </c>
      <c r="E617" t="s">
        <v>337</v>
      </c>
      <c r="F617" s="12">
        <v>143023</v>
      </c>
      <c r="G617" s="13">
        <v>14</v>
      </c>
      <c r="H617" t="s">
        <v>2707</v>
      </c>
      <c r="I617" s="8">
        <v>46238</v>
      </c>
      <c r="J617" t="s">
        <v>2665</v>
      </c>
      <c r="K617" t="s">
        <v>2666</v>
      </c>
      <c r="L617" s="13">
        <v>2500</v>
      </c>
      <c r="M617" t="s">
        <v>2661</v>
      </c>
    </row>
    <row r="618" spans="1:13">
      <c r="A618" t="s">
        <v>883</v>
      </c>
      <c r="B618" t="s">
        <v>191</v>
      </c>
      <c r="C618" s="8">
        <v>46266</v>
      </c>
      <c r="D618" t="s">
        <v>324</v>
      </c>
      <c r="E618" t="s">
        <v>337</v>
      </c>
      <c r="F618" s="12">
        <v>143023</v>
      </c>
      <c r="G618" s="13">
        <v>14</v>
      </c>
      <c r="H618" t="s">
        <v>2934</v>
      </c>
      <c r="I618" s="8">
        <v>46051</v>
      </c>
      <c r="J618" t="s">
        <v>2668</v>
      </c>
      <c r="K618" t="s">
        <v>2669</v>
      </c>
      <c r="L618" s="13">
        <v>4000</v>
      </c>
      <c r="M618" t="s">
        <v>2661</v>
      </c>
    </row>
    <row r="619" spans="1:13">
      <c r="A619" t="s">
        <v>883</v>
      </c>
      <c r="B619" t="s">
        <v>191</v>
      </c>
      <c r="C619" s="8">
        <v>46266</v>
      </c>
      <c r="D619" t="s">
        <v>324</v>
      </c>
      <c r="E619" t="s">
        <v>337</v>
      </c>
      <c r="F619" s="12">
        <v>143023</v>
      </c>
      <c r="G619" s="13">
        <v>14</v>
      </c>
      <c r="H619" t="s">
        <v>3388</v>
      </c>
      <c r="I619" s="8">
        <v>46212</v>
      </c>
      <c r="J619" t="s">
        <v>2663</v>
      </c>
      <c r="K619" t="s">
        <v>3630</v>
      </c>
      <c r="L619" s="13">
        <v>1500</v>
      </c>
      <c r="M619" t="s">
        <v>2661</v>
      </c>
    </row>
    <row r="620" spans="1:13">
      <c r="A620" t="s">
        <v>994</v>
      </c>
      <c r="B620" t="s">
        <v>191</v>
      </c>
      <c r="C620" s="8">
        <v>46258</v>
      </c>
      <c r="D620" t="s">
        <v>321</v>
      </c>
      <c r="E620" t="s">
        <v>325</v>
      </c>
      <c r="F620" s="12">
        <v>284774</v>
      </c>
      <c r="G620" s="13">
        <v>28</v>
      </c>
      <c r="H620" t="s">
        <v>2707</v>
      </c>
      <c r="I620" s="8">
        <v>46238</v>
      </c>
      <c r="J620" t="s">
        <v>2665</v>
      </c>
      <c r="K620" t="s">
        <v>2666</v>
      </c>
      <c r="L620" s="13">
        <v>2500</v>
      </c>
      <c r="M620" t="s">
        <v>2661</v>
      </c>
    </row>
    <row r="621" spans="1:13">
      <c r="A621" t="s">
        <v>994</v>
      </c>
      <c r="B621" t="s">
        <v>191</v>
      </c>
      <c r="C621" s="8">
        <v>46258</v>
      </c>
      <c r="D621" t="s">
        <v>321</v>
      </c>
      <c r="E621" t="s">
        <v>325</v>
      </c>
      <c r="F621" s="12">
        <v>284774</v>
      </c>
      <c r="G621" s="13">
        <v>28</v>
      </c>
      <c r="H621" t="s">
        <v>2934</v>
      </c>
      <c r="I621" s="8">
        <v>46051</v>
      </c>
      <c r="J621" t="s">
        <v>2668</v>
      </c>
      <c r="K621" t="s">
        <v>2669</v>
      </c>
      <c r="L621" s="13">
        <v>4000</v>
      </c>
      <c r="M621" t="s">
        <v>2661</v>
      </c>
    </row>
    <row r="622" spans="1:13">
      <c r="A622" t="s">
        <v>994</v>
      </c>
      <c r="B622" t="s">
        <v>191</v>
      </c>
      <c r="C622" s="8">
        <v>46258</v>
      </c>
      <c r="D622" t="s">
        <v>321</v>
      </c>
      <c r="E622" t="s">
        <v>325</v>
      </c>
      <c r="F622" s="12">
        <v>284774</v>
      </c>
      <c r="G622" s="13">
        <v>28</v>
      </c>
      <c r="H622" t="s">
        <v>3388</v>
      </c>
      <c r="I622" s="8">
        <v>46212</v>
      </c>
      <c r="J622" t="s">
        <v>2663</v>
      </c>
      <c r="K622" t="s">
        <v>3630</v>
      </c>
      <c r="L622" s="13">
        <v>1500</v>
      </c>
      <c r="M622" t="s">
        <v>2661</v>
      </c>
    </row>
    <row r="623" spans="1:13">
      <c r="A623" t="s">
        <v>1000</v>
      </c>
      <c r="B623" t="s">
        <v>191</v>
      </c>
      <c r="C623" s="8">
        <v>46044</v>
      </c>
      <c r="D623" t="s">
        <v>327</v>
      </c>
      <c r="E623" t="s">
        <v>322</v>
      </c>
      <c r="F623" s="12">
        <v>64644</v>
      </c>
      <c r="G623" s="13">
        <v>6</v>
      </c>
      <c r="H623" t="s">
        <v>2707</v>
      </c>
      <c r="I623" s="8">
        <v>46238</v>
      </c>
      <c r="J623" t="s">
        <v>2665</v>
      </c>
      <c r="K623" t="s">
        <v>2666</v>
      </c>
      <c r="L623" s="13">
        <v>2500</v>
      </c>
      <c r="M623" t="s">
        <v>2661</v>
      </c>
    </row>
    <row r="624" spans="1:13">
      <c r="A624" t="s">
        <v>1000</v>
      </c>
      <c r="B624" t="s">
        <v>191</v>
      </c>
      <c r="C624" s="8">
        <v>46044</v>
      </c>
      <c r="D624" t="s">
        <v>327</v>
      </c>
      <c r="E624" t="s">
        <v>322</v>
      </c>
      <c r="F624" s="12">
        <v>64644</v>
      </c>
      <c r="G624" s="13">
        <v>6</v>
      </c>
      <c r="H624" t="s">
        <v>2934</v>
      </c>
      <c r="I624" s="8">
        <v>46051</v>
      </c>
      <c r="J624" t="s">
        <v>2668</v>
      </c>
      <c r="K624" t="s">
        <v>2669</v>
      </c>
      <c r="L624" s="13">
        <v>4000</v>
      </c>
      <c r="M624" t="s">
        <v>2661</v>
      </c>
    </row>
    <row r="625" spans="1:13">
      <c r="A625" t="s">
        <v>1000</v>
      </c>
      <c r="B625" t="s">
        <v>191</v>
      </c>
      <c r="C625" s="8">
        <v>46044</v>
      </c>
      <c r="D625" t="s">
        <v>327</v>
      </c>
      <c r="E625" t="s">
        <v>322</v>
      </c>
      <c r="F625" s="12">
        <v>64644</v>
      </c>
      <c r="G625" s="13">
        <v>6</v>
      </c>
      <c r="H625" t="s">
        <v>3388</v>
      </c>
      <c r="I625" s="8">
        <v>46212</v>
      </c>
      <c r="J625" t="s">
        <v>2663</v>
      </c>
      <c r="K625" t="s">
        <v>3630</v>
      </c>
      <c r="L625" s="13">
        <v>1500</v>
      </c>
      <c r="M625" t="s">
        <v>2661</v>
      </c>
    </row>
    <row r="626" spans="1:13">
      <c r="A626" t="s">
        <v>363</v>
      </c>
      <c r="B626" t="s">
        <v>118</v>
      </c>
      <c r="C626" s="8">
        <v>45974</v>
      </c>
      <c r="D626" t="s">
        <v>342</v>
      </c>
      <c r="E626" t="s">
        <v>339</v>
      </c>
      <c r="F626" s="12">
        <v>308968</v>
      </c>
      <c r="G626" s="13">
        <v>30</v>
      </c>
      <c r="H626" t="s">
        <v>2709</v>
      </c>
      <c r="I626" s="8">
        <v>46119</v>
      </c>
      <c r="J626" t="s">
        <v>2685</v>
      </c>
      <c r="K626" t="s">
        <v>2686</v>
      </c>
      <c r="L626" s="13">
        <v>5000</v>
      </c>
      <c r="M626" t="s">
        <v>2661</v>
      </c>
    </row>
    <row r="627" spans="1:13">
      <c r="A627" t="s">
        <v>363</v>
      </c>
      <c r="B627" t="s">
        <v>118</v>
      </c>
      <c r="C627" s="8">
        <v>45974</v>
      </c>
      <c r="D627" t="s">
        <v>342</v>
      </c>
      <c r="E627" t="s">
        <v>339</v>
      </c>
      <c r="F627" s="12">
        <v>308968</v>
      </c>
      <c r="G627" s="13">
        <v>30</v>
      </c>
      <c r="H627" t="s">
        <v>2853</v>
      </c>
      <c r="I627" s="8">
        <v>46269</v>
      </c>
      <c r="J627" t="s">
        <v>2688</v>
      </c>
      <c r="K627" t="s">
        <v>2689</v>
      </c>
      <c r="L627" s="13">
        <v>8000</v>
      </c>
      <c r="M627" t="s">
        <v>2661</v>
      </c>
    </row>
    <row r="628" spans="1:13">
      <c r="A628" t="s">
        <v>363</v>
      </c>
      <c r="B628" t="s">
        <v>118</v>
      </c>
      <c r="C628" s="8">
        <v>45974</v>
      </c>
      <c r="D628" t="s">
        <v>342</v>
      </c>
      <c r="E628" t="s">
        <v>339</v>
      </c>
      <c r="F628" s="12">
        <v>308968</v>
      </c>
      <c r="G628" s="13">
        <v>30</v>
      </c>
      <c r="H628" t="s">
        <v>2932</v>
      </c>
      <c r="I628" s="8">
        <v>45982</v>
      </c>
      <c r="J628" t="s">
        <v>2685</v>
      </c>
      <c r="K628" t="s">
        <v>2686</v>
      </c>
      <c r="L628" s="13">
        <v>5000</v>
      </c>
      <c r="M628" t="s">
        <v>2661</v>
      </c>
    </row>
    <row r="629" spans="1:13">
      <c r="A629" t="s">
        <v>363</v>
      </c>
      <c r="B629" t="s">
        <v>118</v>
      </c>
      <c r="C629" s="8">
        <v>45974</v>
      </c>
      <c r="D629" t="s">
        <v>342</v>
      </c>
      <c r="E629" t="s">
        <v>339</v>
      </c>
      <c r="F629" s="12">
        <v>308968</v>
      </c>
      <c r="G629" s="13">
        <v>30</v>
      </c>
      <c r="H629" t="s">
        <v>3562</v>
      </c>
      <c r="I629" s="8">
        <v>46251</v>
      </c>
      <c r="J629" t="s">
        <v>2692</v>
      </c>
      <c r="K629" t="s">
        <v>2693</v>
      </c>
      <c r="L629" s="13">
        <v>10000</v>
      </c>
      <c r="M629" t="s">
        <v>2661</v>
      </c>
    </row>
    <row r="630" spans="1:13">
      <c r="A630" t="s">
        <v>374</v>
      </c>
      <c r="B630" t="s">
        <v>118</v>
      </c>
      <c r="C630" s="8">
        <v>46164</v>
      </c>
      <c r="D630" t="s">
        <v>344</v>
      </c>
      <c r="E630" t="s">
        <v>334</v>
      </c>
      <c r="F630" s="12">
        <v>601798</v>
      </c>
      <c r="G630" s="13">
        <v>60</v>
      </c>
      <c r="H630" t="s">
        <v>2709</v>
      </c>
      <c r="I630" s="8">
        <v>46119</v>
      </c>
      <c r="J630" t="s">
        <v>2685</v>
      </c>
      <c r="K630" t="s">
        <v>2686</v>
      </c>
      <c r="L630" s="13">
        <v>5000</v>
      </c>
      <c r="M630" t="s">
        <v>2661</v>
      </c>
    </row>
    <row r="631" spans="1:13">
      <c r="A631" t="s">
        <v>374</v>
      </c>
      <c r="B631" t="s">
        <v>118</v>
      </c>
      <c r="C631" s="8">
        <v>46164</v>
      </c>
      <c r="D631" t="s">
        <v>344</v>
      </c>
      <c r="E631" t="s">
        <v>334</v>
      </c>
      <c r="F631" s="12">
        <v>601798</v>
      </c>
      <c r="G631" s="13">
        <v>60</v>
      </c>
      <c r="H631" t="s">
        <v>2853</v>
      </c>
      <c r="I631" s="8">
        <v>46269</v>
      </c>
      <c r="J631" t="s">
        <v>2688</v>
      </c>
      <c r="K631" t="s">
        <v>2689</v>
      </c>
      <c r="L631" s="13">
        <v>8000</v>
      </c>
      <c r="M631" t="s">
        <v>2661</v>
      </c>
    </row>
    <row r="632" spans="1:13">
      <c r="A632" t="s">
        <v>374</v>
      </c>
      <c r="B632" t="s">
        <v>118</v>
      </c>
      <c r="C632" s="8">
        <v>46164</v>
      </c>
      <c r="D632" t="s">
        <v>344</v>
      </c>
      <c r="E632" t="s">
        <v>334</v>
      </c>
      <c r="F632" s="12">
        <v>601798</v>
      </c>
      <c r="G632" s="13">
        <v>60</v>
      </c>
      <c r="H632" t="s">
        <v>2932</v>
      </c>
      <c r="I632" s="8">
        <v>45982</v>
      </c>
      <c r="J632" t="s">
        <v>2685</v>
      </c>
      <c r="K632" t="s">
        <v>2686</v>
      </c>
      <c r="L632" s="13">
        <v>5000</v>
      </c>
      <c r="M632" t="s">
        <v>2661</v>
      </c>
    </row>
    <row r="633" spans="1:13">
      <c r="A633" t="s">
        <v>374</v>
      </c>
      <c r="B633" t="s">
        <v>118</v>
      </c>
      <c r="C633" s="8">
        <v>46164</v>
      </c>
      <c r="D633" t="s">
        <v>344</v>
      </c>
      <c r="E633" t="s">
        <v>334</v>
      </c>
      <c r="F633" s="12">
        <v>601798</v>
      </c>
      <c r="G633" s="13">
        <v>60</v>
      </c>
      <c r="H633" t="s">
        <v>3562</v>
      </c>
      <c r="I633" s="8">
        <v>46251</v>
      </c>
      <c r="J633" t="s">
        <v>2692</v>
      </c>
      <c r="K633" t="s">
        <v>2693</v>
      </c>
      <c r="L633" s="13">
        <v>10000</v>
      </c>
      <c r="M633" t="s">
        <v>2661</v>
      </c>
    </row>
    <row r="634" spans="1:13">
      <c r="A634" t="s">
        <v>474</v>
      </c>
      <c r="B634" t="s">
        <v>118</v>
      </c>
      <c r="C634" s="8">
        <v>46080</v>
      </c>
      <c r="D634" t="s">
        <v>324</v>
      </c>
      <c r="E634" t="s">
        <v>334</v>
      </c>
      <c r="F634" s="12">
        <v>102012</v>
      </c>
      <c r="G634" s="13">
        <v>10</v>
      </c>
      <c r="H634" t="s">
        <v>2709</v>
      </c>
      <c r="I634" s="8">
        <v>46119</v>
      </c>
      <c r="J634" t="s">
        <v>2685</v>
      </c>
      <c r="K634" t="s">
        <v>2686</v>
      </c>
      <c r="L634" s="13">
        <v>5000</v>
      </c>
      <c r="M634" t="s">
        <v>2661</v>
      </c>
    </row>
    <row r="635" spans="1:13">
      <c r="A635" t="s">
        <v>474</v>
      </c>
      <c r="B635" t="s">
        <v>118</v>
      </c>
      <c r="C635" s="8">
        <v>46080</v>
      </c>
      <c r="D635" t="s">
        <v>324</v>
      </c>
      <c r="E635" t="s">
        <v>334</v>
      </c>
      <c r="F635" s="12">
        <v>102012</v>
      </c>
      <c r="G635" s="13">
        <v>10</v>
      </c>
      <c r="H635" t="s">
        <v>2853</v>
      </c>
      <c r="I635" s="8">
        <v>46269</v>
      </c>
      <c r="J635" t="s">
        <v>2688</v>
      </c>
      <c r="K635" t="s">
        <v>2689</v>
      </c>
      <c r="L635" s="13">
        <v>8000</v>
      </c>
      <c r="M635" t="s">
        <v>2661</v>
      </c>
    </row>
    <row r="636" spans="1:13">
      <c r="A636" t="s">
        <v>474</v>
      </c>
      <c r="B636" t="s">
        <v>118</v>
      </c>
      <c r="C636" s="8">
        <v>46080</v>
      </c>
      <c r="D636" t="s">
        <v>324</v>
      </c>
      <c r="E636" t="s">
        <v>334</v>
      </c>
      <c r="F636" s="12">
        <v>102012</v>
      </c>
      <c r="G636" s="13">
        <v>10</v>
      </c>
      <c r="H636" t="s">
        <v>2932</v>
      </c>
      <c r="I636" s="8">
        <v>45982</v>
      </c>
      <c r="J636" t="s">
        <v>2685</v>
      </c>
      <c r="K636" t="s">
        <v>2686</v>
      </c>
      <c r="L636" s="13">
        <v>5000</v>
      </c>
      <c r="M636" t="s">
        <v>2661</v>
      </c>
    </row>
    <row r="637" spans="1:13">
      <c r="A637" t="s">
        <v>474</v>
      </c>
      <c r="B637" t="s">
        <v>118</v>
      </c>
      <c r="C637" s="8">
        <v>46080</v>
      </c>
      <c r="D637" t="s">
        <v>324</v>
      </c>
      <c r="E637" t="s">
        <v>334</v>
      </c>
      <c r="F637" s="12">
        <v>102012</v>
      </c>
      <c r="G637" s="13">
        <v>10</v>
      </c>
      <c r="H637" t="s">
        <v>3562</v>
      </c>
      <c r="I637" s="8">
        <v>46251</v>
      </c>
      <c r="J637" t="s">
        <v>2692</v>
      </c>
      <c r="K637" t="s">
        <v>2693</v>
      </c>
      <c r="L637" s="13">
        <v>10000</v>
      </c>
      <c r="M637" t="s">
        <v>2661</v>
      </c>
    </row>
    <row r="638" spans="1:13">
      <c r="A638" t="s">
        <v>739</v>
      </c>
      <c r="B638" t="s">
        <v>118</v>
      </c>
      <c r="C638" s="8">
        <v>46182</v>
      </c>
      <c r="D638" t="s">
        <v>344</v>
      </c>
      <c r="E638" t="s">
        <v>328</v>
      </c>
      <c r="F638" s="12">
        <v>336615</v>
      </c>
      <c r="G638" s="13">
        <v>33</v>
      </c>
      <c r="H638" t="s">
        <v>2709</v>
      </c>
      <c r="I638" s="8">
        <v>46119</v>
      </c>
      <c r="J638" t="s">
        <v>2685</v>
      </c>
      <c r="K638" t="s">
        <v>2686</v>
      </c>
      <c r="L638" s="13">
        <v>5000</v>
      </c>
      <c r="M638" t="s">
        <v>2661</v>
      </c>
    </row>
    <row r="639" spans="1:13">
      <c r="A639" t="s">
        <v>739</v>
      </c>
      <c r="B639" t="s">
        <v>118</v>
      </c>
      <c r="C639" s="8">
        <v>46182</v>
      </c>
      <c r="D639" t="s">
        <v>344</v>
      </c>
      <c r="E639" t="s">
        <v>328</v>
      </c>
      <c r="F639" s="12">
        <v>336615</v>
      </c>
      <c r="G639" s="13">
        <v>33</v>
      </c>
      <c r="H639" t="s">
        <v>2853</v>
      </c>
      <c r="I639" s="8">
        <v>46269</v>
      </c>
      <c r="J639" t="s">
        <v>2688</v>
      </c>
      <c r="K639" t="s">
        <v>2689</v>
      </c>
      <c r="L639" s="13">
        <v>8000</v>
      </c>
      <c r="M639" t="s">
        <v>2661</v>
      </c>
    </row>
    <row r="640" spans="1:13">
      <c r="A640" t="s">
        <v>739</v>
      </c>
      <c r="B640" t="s">
        <v>118</v>
      </c>
      <c r="C640" s="8">
        <v>46182</v>
      </c>
      <c r="D640" t="s">
        <v>344</v>
      </c>
      <c r="E640" t="s">
        <v>328</v>
      </c>
      <c r="F640" s="12">
        <v>336615</v>
      </c>
      <c r="G640" s="13">
        <v>33</v>
      </c>
      <c r="H640" t="s">
        <v>2932</v>
      </c>
      <c r="I640" s="8">
        <v>45982</v>
      </c>
      <c r="J640" t="s">
        <v>2685</v>
      </c>
      <c r="K640" t="s">
        <v>2686</v>
      </c>
      <c r="L640" s="13">
        <v>5000</v>
      </c>
      <c r="M640" t="s">
        <v>2661</v>
      </c>
    </row>
    <row r="641" spans="1:13">
      <c r="A641" t="s">
        <v>739</v>
      </c>
      <c r="B641" t="s">
        <v>118</v>
      </c>
      <c r="C641" s="8">
        <v>46182</v>
      </c>
      <c r="D641" t="s">
        <v>344</v>
      </c>
      <c r="E641" t="s">
        <v>328</v>
      </c>
      <c r="F641" s="12">
        <v>336615</v>
      </c>
      <c r="G641" s="13">
        <v>33</v>
      </c>
      <c r="H641" t="s">
        <v>3562</v>
      </c>
      <c r="I641" s="8">
        <v>46251</v>
      </c>
      <c r="J641" t="s">
        <v>2692</v>
      </c>
      <c r="K641" t="s">
        <v>2693</v>
      </c>
      <c r="L641" s="13">
        <v>10000</v>
      </c>
      <c r="M641" t="s">
        <v>2661</v>
      </c>
    </row>
    <row r="642" spans="1:13">
      <c r="A642" t="s">
        <v>961</v>
      </c>
      <c r="B642" t="s">
        <v>118</v>
      </c>
      <c r="C642" s="8">
        <v>46088</v>
      </c>
      <c r="D642" t="s">
        <v>342</v>
      </c>
      <c r="E642" t="s">
        <v>328</v>
      </c>
      <c r="F642" s="12">
        <v>567535</v>
      </c>
      <c r="G642" s="13">
        <v>56</v>
      </c>
      <c r="H642" t="s">
        <v>2709</v>
      </c>
      <c r="I642" s="8">
        <v>46119</v>
      </c>
      <c r="J642" t="s">
        <v>2685</v>
      </c>
      <c r="K642" t="s">
        <v>2686</v>
      </c>
      <c r="L642" s="13">
        <v>5000</v>
      </c>
      <c r="M642" t="s">
        <v>2661</v>
      </c>
    </row>
    <row r="643" spans="1:13">
      <c r="A643" t="s">
        <v>961</v>
      </c>
      <c r="B643" t="s">
        <v>118</v>
      </c>
      <c r="C643" s="8">
        <v>46088</v>
      </c>
      <c r="D643" t="s">
        <v>342</v>
      </c>
      <c r="E643" t="s">
        <v>328</v>
      </c>
      <c r="F643" s="12">
        <v>567535</v>
      </c>
      <c r="G643" s="13">
        <v>56</v>
      </c>
      <c r="H643" t="s">
        <v>2853</v>
      </c>
      <c r="I643" s="8">
        <v>46269</v>
      </c>
      <c r="J643" t="s">
        <v>2688</v>
      </c>
      <c r="K643" t="s">
        <v>2689</v>
      </c>
      <c r="L643" s="13">
        <v>8000</v>
      </c>
      <c r="M643" t="s">
        <v>2661</v>
      </c>
    </row>
    <row r="644" spans="1:13">
      <c r="A644" t="s">
        <v>961</v>
      </c>
      <c r="B644" t="s">
        <v>118</v>
      </c>
      <c r="C644" s="8">
        <v>46088</v>
      </c>
      <c r="D644" t="s">
        <v>342</v>
      </c>
      <c r="E644" t="s">
        <v>328</v>
      </c>
      <c r="F644" s="12">
        <v>567535</v>
      </c>
      <c r="G644" s="13">
        <v>56</v>
      </c>
      <c r="H644" t="s">
        <v>2932</v>
      </c>
      <c r="I644" s="8">
        <v>45982</v>
      </c>
      <c r="J644" t="s">
        <v>2685</v>
      </c>
      <c r="K644" t="s">
        <v>2686</v>
      </c>
      <c r="L644" s="13">
        <v>5000</v>
      </c>
      <c r="M644" t="s">
        <v>2661</v>
      </c>
    </row>
    <row r="645" spans="1:13">
      <c r="A645" t="s">
        <v>961</v>
      </c>
      <c r="B645" t="s">
        <v>118</v>
      </c>
      <c r="C645" s="8">
        <v>46088</v>
      </c>
      <c r="D645" t="s">
        <v>342</v>
      </c>
      <c r="E645" t="s">
        <v>328</v>
      </c>
      <c r="F645" s="12">
        <v>567535</v>
      </c>
      <c r="G645" s="13">
        <v>56</v>
      </c>
      <c r="H645" t="s">
        <v>3562</v>
      </c>
      <c r="I645" s="8">
        <v>46251</v>
      </c>
      <c r="J645" t="s">
        <v>2692</v>
      </c>
      <c r="K645" t="s">
        <v>2693</v>
      </c>
      <c r="L645" s="13">
        <v>10000</v>
      </c>
      <c r="M645" t="s">
        <v>2661</v>
      </c>
    </row>
    <row r="646" spans="1:13">
      <c r="A646" t="s">
        <v>1191</v>
      </c>
      <c r="B646" t="s">
        <v>118</v>
      </c>
      <c r="C646" s="8">
        <v>45931</v>
      </c>
      <c r="D646" t="s">
        <v>332</v>
      </c>
      <c r="E646" t="s">
        <v>337</v>
      </c>
      <c r="F646" s="12">
        <v>110540</v>
      </c>
      <c r="G646" s="13">
        <v>11</v>
      </c>
      <c r="H646" t="s">
        <v>2709</v>
      </c>
      <c r="I646" s="8">
        <v>46119</v>
      </c>
      <c r="J646" t="s">
        <v>2685</v>
      </c>
      <c r="K646" t="s">
        <v>2686</v>
      </c>
      <c r="L646" s="13">
        <v>5000</v>
      </c>
      <c r="M646" t="s">
        <v>2661</v>
      </c>
    </row>
    <row r="647" spans="1:13">
      <c r="A647" t="s">
        <v>1191</v>
      </c>
      <c r="B647" t="s">
        <v>118</v>
      </c>
      <c r="C647" s="8">
        <v>45931</v>
      </c>
      <c r="D647" t="s">
        <v>332</v>
      </c>
      <c r="E647" t="s">
        <v>337</v>
      </c>
      <c r="F647" s="12">
        <v>110540</v>
      </c>
      <c r="G647" s="13">
        <v>11</v>
      </c>
      <c r="H647" t="s">
        <v>2853</v>
      </c>
      <c r="I647" s="8">
        <v>46269</v>
      </c>
      <c r="J647" t="s">
        <v>2688</v>
      </c>
      <c r="K647" t="s">
        <v>2689</v>
      </c>
      <c r="L647" s="13">
        <v>8000</v>
      </c>
      <c r="M647" t="s">
        <v>2661</v>
      </c>
    </row>
    <row r="648" spans="1:13">
      <c r="A648" t="s">
        <v>1191</v>
      </c>
      <c r="B648" t="s">
        <v>118</v>
      </c>
      <c r="C648" s="8">
        <v>45931</v>
      </c>
      <c r="D648" t="s">
        <v>332</v>
      </c>
      <c r="E648" t="s">
        <v>337</v>
      </c>
      <c r="F648" s="12">
        <v>110540</v>
      </c>
      <c r="G648" s="13">
        <v>11</v>
      </c>
      <c r="H648" t="s">
        <v>2932</v>
      </c>
      <c r="I648" s="8">
        <v>45982</v>
      </c>
      <c r="J648" t="s">
        <v>2685</v>
      </c>
      <c r="K648" t="s">
        <v>2686</v>
      </c>
      <c r="L648" s="13">
        <v>5000</v>
      </c>
      <c r="M648" t="s">
        <v>2661</v>
      </c>
    </row>
    <row r="649" spans="1:13">
      <c r="A649" t="s">
        <v>1191</v>
      </c>
      <c r="B649" t="s">
        <v>118</v>
      </c>
      <c r="C649" s="8">
        <v>45931</v>
      </c>
      <c r="D649" t="s">
        <v>332</v>
      </c>
      <c r="E649" t="s">
        <v>337</v>
      </c>
      <c r="F649" s="12">
        <v>110540</v>
      </c>
      <c r="G649" s="13">
        <v>11</v>
      </c>
      <c r="H649" t="s">
        <v>3562</v>
      </c>
      <c r="I649" s="8">
        <v>46251</v>
      </c>
      <c r="J649" t="s">
        <v>2692</v>
      </c>
      <c r="K649" t="s">
        <v>2693</v>
      </c>
      <c r="L649" s="13">
        <v>10000</v>
      </c>
      <c r="M649" t="s">
        <v>2661</v>
      </c>
    </row>
    <row r="650" spans="1:13">
      <c r="A650" t="s">
        <v>1205</v>
      </c>
      <c r="B650" t="s">
        <v>118</v>
      </c>
      <c r="C650" s="8">
        <v>46121</v>
      </c>
      <c r="D650" t="s">
        <v>321</v>
      </c>
      <c r="E650" t="s">
        <v>337</v>
      </c>
      <c r="F650" s="12">
        <v>557731</v>
      </c>
      <c r="G650" s="13">
        <v>55</v>
      </c>
      <c r="H650" t="s">
        <v>2709</v>
      </c>
      <c r="I650" s="8">
        <v>46119</v>
      </c>
      <c r="J650" t="s">
        <v>2685</v>
      </c>
      <c r="K650" t="s">
        <v>2686</v>
      </c>
      <c r="L650" s="13">
        <v>5000</v>
      </c>
      <c r="M650" t="s">
        <v>2661</v>
      </c>
    </row>
    <row r="651" spans="1:13">
      <c r="A651" t="s">
        <v>1205</v>
      </c>
      <c r="B651" t="s">
        <v>118</v>
      </c>
      <c r="C651" s="8">
        <v>46121</v>
      </c>
      <c r="D651" t="s">
        <v>321</v>
      </c>
      <c r="E651" t="s">
        <v>337</v>
      </c>
      <c r="F651" s="12">
        <v>557731</v>
      </c>
      <c r="G651" s="13">
        <v>55</v>
      </c>
      <c r="H651" t="s">
        <v>2853</v>
      </c>
      <c r="I651" s="8">
        <v>46269</v>
      </c>
      <c r="J651" t="s">
        <v>2688</v>
      </c>
      <c r="K651" t="s">
        <v>2689</v>
      </c>
      <c r="L651" s="13">
        <v>8000</v>
      </c>
      <c r="M651" t="s">
        <v>2661</v>
      </c>
    </row>
    <row r="652" spans="1:13">
      <c r="A652" t="s">
        <v>1205</v>
      </c>
      <c r="B652" t="s">
        <v>118</v>
      </c>
      <c r="C652" s="8">
        <v>46121</v>
      </c>
      <c r="D652" t="s">
        <v>321</v>
      </c>
      <c r="E652" t="s">
        <v>337</v>
      </c>
      <c r="F652" s="12">
        <v>557731</v>
      </c>
      <c r="G652" s="13">
        <v>55</v>
      </c>
      <c r="H652" t="s">
        <v>2932</v>
      </c>
      <c r="I652" s="8">
        <v>45982</v>
      </c>
      <c r="J652" t="s">
        <v>2685</v>
      </c>
      <c r="K652" t="s">
        <v>2686</v>
      </c>
      <c r="L652" s="13">
        <v>5000</v>
      </c>
      <c r="M652" t="s">
        <v>2661</v>
      </c>
    </row>
    <row r="653" spans="1:13">
      <c r="A653" t="s">
        <v>1205</v>
      </c>
      <c r="B653" t="s">
        <v>118</v>
      </c>
      <c r="C653" s="8">
        <v>46121</v>
      </c>
      <c r="D653" t="s">
        <v>321</v>
      </c>
      <c r="E653" t="s">
        <v>337</v>
      </c>
      <c r="F653" s="12">
        <v>557731</v>
      </c>
      <c r="G653" s="13">
        <v>55</v>
      </c>
      <c r="H653" t="s">
        <v>3562</v>
      </c>
      <c r="I653" s="8">
        <v>46251</v>
      </c>
      <c r="J653" t="s">
        <v>2692</v>
      </c>
      <c r="K653" t="s">
        <v>2693</v>
      </c>
      <c r="L653" s="13">
        <v>10000</v>
      </c>
      <c r="M653" t="s">
        <v>2661</v>
      </c>
    </row>
    <row r="654" spans="1:13">
      <c r="A654" t="s">
        <v>661</v>
      </c>
      <c r="B654" t="s">
        <v>115</v>
      </c>
      <c r="C654" s="8">
        <v>46272</v>
      </c>
      <c r="D654" t="s">
        <v>350</v>
      </c>
      <c r="E654" t="s">
        <v>322</v>
      </c>
      <c r="F654" s="12">
        <v>53030</v>
      </c>
      <c r="G654" s="13">
        <v>5</v>
      </c>
      <c r="H654" t="s">
        <v>2708</v>
      </c>
      <c r="I654" s="8">
        <v>46007</v>
      </c>
      <c r="J654" t="s">
        <v>2663</v>
      </c>
      <c r="K654" t="s">
        <v>3630</v>
      </c>
      <c r="L654" s="13">
        <v>1500</v>
      </c>
      <c r="M654" t="s">
        <v>2661</v>
      </c>
    </row>
    <row r="655" spans="1:13">
      <c r="A655" t="s">
        <v>661</v>
      </c>
      <c r="B655" t="s">
        <v>115</v>
      </c>
      <c r="C655" s="8">
        <v>46272</v>
      </c>
      <c r="D655" t="s">
        <v>350</v>
      </c>
      <c r="E655" t="s">
        <v>322</v>
      </c>
      <c r="F655" s="12">
        <v>53030</v>
      </c>
      <c r="G655" s="13">
        <v>5</v>
      </c>
      <c r="H655" t="s">
        <v>3206</v>
      </c>
      <c r="I655" s="8">
        <v>46044</v>
      </c>
      <c r="J655" t="s">
        <v>2659</v>
      </c>
      <c r="K655" t="s">
        <v>2660</v>
      </c>
      <c r="L655" s="13">
        <v>3500</v>
      </c>
      <c r="M655" t="s">
        <v>2661</v>
      </c>
    </row>
    <row r="656" spans="1:13">
      <c r="A656" t="s">
        <v>661</v>
      </c>
      <c r="B656" t="s">
        <v>115</v>
      </c>
      <c r="C656" s="8">
        <v>46272</v>
      </c>
      <c r="D656" t="s">
        <v>350</v>
      </c>
      <c r="E656" t="s">
        <v>322</v>
      </c>
      <c r="F656" s="12">
        <v>53030</v>
      </c>
      <c r="G656" s="13">
        <v>5</v>
      </c>
      <c r="H656" t="s">
        <v>3437</v>
      </c>
      <c r="I656" s="8">
        <v>45996</v>
      </c>
      <c r="J656" t="s">
        <v>2668</v>
      </c>
      <c r="K656" t="s">
        <v>2669</v>
      </c>
      <c r="L656" s="13">
        <v>4000</v>
      </c>
      <c r="M656" t="s">
        <v>2661</v>
      </c>
    </row>
    <row r="657" spans="1:13">
      <c r="A657" t="s">
        <v>716</v>
      </c>
      <c r="B657" t="s">
        <v>115</v>
      </c>
      <c r="C657" s="8">
        <v>46242</v>
      </c>
      <c r="D657" t="s">
        <v>344</v>
      </c>
      <c r="E657" t="s">
        <v>334</v>
      </c>
      <c r="F657" s="12">
        <v>197641</v>
      </c>
      <c r="G657" s="13">
        <v>19</v>
      </c>
      <c r="H657" t="s">
        <v>2708</v>
      </c>
      <c r="I657" s="8">
        <v>46007</v>
      </c>
      <c r="J657" t="s">
        <v>2663</v>
      </c>
      <c r="K657" t="s">
        <v>3630</v>
      </c>
      <c r="L657" s="13">
        <v>1500</v>
      </c>
      <c r="M657" t="s">
        <v>2661</v>
      </c>
    </row>
    <row r="658" spans="1:13">
      <c r="A658" t="s">
        <v>716</v>
      </c>
      <c r="B658" t="s">
        <v>115</v>
      </c>
      <c r="C658" s="8">
        <v>46242</v>
      </c>
      <c r="D658" t="s">
        <v>344</v>
      </c>
      <c r="E658" t="s">
        <v>334</v>
      </c>
      <c r="F658" s="12">
        <v>197641</v>
      </c>
      <c r="G658" s="13">
        <v>19</v>
      </c>
      <c r="H658" t="s">
        <v>3206</v>
      </c>
      <c r="I658" s="8">
        <v>46044</v>
      </c>
      <c r="J658" t="s">
        <v>2659</v>
      </c>
      <c r="K658" t="s">
        <v>2660</v>
      </c>
      <c r="L658" s="13">
        <v>3500</v>
      </c>
      <c r="M658" t="s">
        <v>2661</v>
      </c>
    </row>
    <row r="659" spans="1:13">
      <c r="A659" t="s">
        <v>716</v>
      </c>
      <c r="B659" t="s">
        <v>115</v>
      </c>
      <c r="C659" s="8">
        <v>46242</v>
      </c>
      <c r="D659" t="s">
        <v>344</v>
      </c>
      <c r="E659" t="s">
        <v>334</v>
      </c>
      <c r="F659" s="12">
        <v>197641</v>
      </c>
      <c r="G659" s="13">
        <v>19</v>
      </c>
      <c r="H659" t="s">
        <v>3437</v>
      </c>
      <c r="I659" s="8">
        <v>45996</v>
      </c>
      <c r="J659" t="s">
        <v>2668</v>
      </c>
      <c r="K659" t="s">
        <v>2669</v>
      </c>
      <c r="L659" s="13">
        <v>4000</v>
      </c>
      <c r="M659" t="s">
        <v>2661</v>
      </c>
    </row>
    <row r="660" spans="1:13">
      <c r="A660" t="s">
        <v>769</v>
      </c>
      <c r="B660" t="s">
        <v>115</v>
      </c>
      <c r="C660" s="8">
        <v>46121</v>
      </c>
      <c r="D660" t="s">
        <v>350</v>
      </c>
      <c r="E660" t="s">
        <v>337</v>
      </c>
      <c r="F660" s="12">
        <v>130847</v>
      </c>
      <c r="G660" s="13">
        <v>13</v>
      </c>
      <c r="H660" t="s">
        <v>2708</v>
      </c>
      <c r="I660" s="8">
        <v>46007</v>
      </c>
      <c r="J660" t="s">
        <v>2663</v>
      </c>
      <c r="K660" t="s">
        <v>3630</v>
      </c>
      <c r="L660" s="13">
        <v>1500</v>
      </c>
      <c r="M660" t="s">
        <v>2661</v>
      </c>
    </row>
    <row r="661" spans="1:13">
      <c r="A661" t="s">
        <v>769</v>
      </c>
      <c r="B661" t="s">
        <v>115</v>
      </c>
      <c r="C661" s="8">
        <v>46121</v>
      </c>
      <c r="D661" t="s">
        <v>350</v>
      </c>
      <c r="E661" t="s">
        <v>337</v>
      </c>
      <c r="F661" s="12">
        <v>130847</v>
      </c>
      <c r="G661" s="13">
        <v>13</v>
      </c>
      <c r="H661" t="s">
        <v>3206</v>
      </c>
      <c r="I661" s="8">
        <v>46044</v>
      </c>
      <c r="J661" t="s">
        <v>2659</v>
      </c>
      <c r="K661" t="s">
        <v>2660</v>
      </c>
      <c r="L661" s="13">
        <v>3500</v>
      </c>
      <c r="M661" t="s">
        <v>2661</v>
      </c>
    </row>
    <row r="662" spans="1:13">
      <c r="A662" t="s">
        <v>769</v>
      </c>
      <c r="B662" t="s">
        <v>115</v>
      </c>
      <c r="C662" s="8">
        <v>46121</v>
      </c>
      <c r="D662" t="s">
        <v>350</v>
      </c>
      <c r="E662" t="s">
        <v>337</v>
      </c>
      <c r="F662" s="12">
        <v>130847</v>
      </c>
      <c r="G662" s="13">
        <v>13</v>
      </c>
      <c r="H662" t="s">
        <v>3437</v>
      </c>
      <c r="I662" s="8">
        <v>45996</v>
      </c>
      <c r="J662" t="s">
        <v>2668</v>
      </c>
      <c r="K662" t="s">
        <v>2669</v>
      </c>
      <c r="L662" s="13">
        <v>4000</v>
      </c>
      <c r="M662" t="s">
        <v>2661</v>
      </c>
    </row>
    <row r="663" spans="1:13">
      <c r="A663" t="s">
        <v>792</v>
      </c>
      <c r="B663" t="s">
        <v>115</v>
      </c>
      <c r="C663" s="8">
        <v>46102</v>
      </c>
      <c r="D663" t="s">
        <v>332</v>
      </c>
      <c r="E663" t="s">
        <v>334</v>
      </c>
      <c r="F663" s="12">
        <v>62107</v>
      </c>
      <c r="G663" s="13">
        <v>6</v>
      </c>
      <c r="H663" t="s">
        <v>2708</v>
      </c>
      <c r="I663" s="8">
        <v>46007</v>
      </c>
      <c r="J663" t="s">
        <v>2663</v>
      </c>
      <c r="K663" t="s">
        <v>3630</v>
      </c>
      <c r="L663" s="13">
        <v>1500</v>
      </c>
      <c r="M663" t="s">
        <v>2661</v>
      </c>
    </row>
    <row r="664" spans="1:13">
      <c r="A664" t="s">
        <v>792</v>
      </c>
      <c r="B664" t="s">
        <v>115</v>
      </c>
      <c r="C664" s="8">
        <v>46102</v>
      </c>
      <c r="D664" t="s">
        <v>332</v>
      </c>
      <c r="E664" t="s">
        <v>334</v>
      </c>
      <c r="F664" s="12">
        <v>62107</v>
      </c>
      <c r="G664" s="13">
        <v>6</v>
      </c>
      <c r="H664" t="s">
        <v>3206</v>
      </c>
      <c r="I664" s="8">
        <v>46044</v>
      </c>
      <c r="J664" t="s">
        <v>2659</v>
      </c>
      <c r="K664" t="s">
        <v>2660</v>
      </c>
      <c r="L664" s="13">
        <v>3500</v>
      </c>
      <c r="M664" t="s">
        <v>2661</v>
      </c>
    </row>
    <row r="665" spans="1:13">
      <c r="A665" t="s">
        <v>792</v>
      </c>
      <c r="B665" t="s">
        <v>115</v>
      </c>
      <c r="C665" s="8">
        <v>46102</v>
      </c>
      <c r="D665" t="s">
        <v>332</v>
      </c>
      <c r="E665" t="s">
        <v>334</v>
      </c>
      <c r="F665" s="12">
        <v>62107</v>
      </c>
      <c r="G665" s="13">
        <v>6</v>
      </c>
      <c r="H665" t="s">
        <v>3437</v>
      </c>
      <c r="I665" s="8">
        <v>45996</v>
      </c>
      <c r="J665" t="s">
        <v>2668</v>
      </c>
      <c r="K665" t="s">
        <v>2669</v>
      </c>
      <c r="L665" s="13">
        <v>4000</v>
      </c>
      <c r="M665" t="s">
        <v>2661</v>
      </c>
    </row>
    <row r="666" spans="1:13">
      <c r="A666" t="s">
        <v>365</v>
      </c>
      <c r="B666" t="s">
        <v>307</v>
      </c>
      <c r="C666" s="8">
        <v>46281</v>
      </c>
      <c r="D666" t="s">
        <v>324</v>
      </c>
      <c r="E666" t="s">
        <v>325</v>
      </c>
      <c r="F666" s="12">
        <v>560314</v>
      </c>
      <c r="G666" s="13">
        <v>56</v>
      </c>
      <c r="H666" t="s">
        <v>2796</v>
      </c>
      <c r="I666" s="8">
        <v>46166</v>
      </c>
      <c r="J666" t="s">
        <v>2682</v>
      </c>
      <c r="K666" t="s">
        <v>2683</v>
      </c>
      <c r="L666" s="13">
        <v>6000</v>
      </c>
      <c r="M666" t="s">
        <v>2661</v>
      </c>
    </row>
    <row r="667" spans="1:13">
      <c r="A667" t="s">
        <v>365</v>
      </c>
      <c r="B667" t="s">
        <v>307</v>
      </c>
      <c r="C667" s="8">
        <v>46281</v>
      </c>
      <c r="D667" t="s">
        <v>324</v>
      </c>
      <c r="E667" t="s">
        <v>325</v>
      </c>
      <c r="F667" s="12">
        <v>560314</v>
      </c>
      <c r="G667" s="13">
        <v>56</v>
      </c>
      <c r="H667" t="s">
        <v>2858</v>
      </c>
      <c r="I667" s="8">
        <v>46091</v>
      </c>
      <c r="J667" t="s">
        <v>2674</v>
      </c>
      <c r="K667" t="s">
        <v>2675</v>
      </c>
      <c r="L667" s="13">
        <v>20000</v>
      </c>
      <c r="M667" t="s">
        <v>2676</v>
      </c>
    </row>
    <row r="668" spans="1:13">
      <c r="A668" t="s">
        <v>365</v>
      </c>
      <c r="B668" t="s">
        <v>307</v>
      </c>
      <c r="C668" s="8">
        <v>46281</v>
      </c>
      <c r="D668" t="s">
        <v>324</v>
      </c>
      <c r="E668" t="s">
        <v>325</v>
      </c>
      <c r="F668" s="12">
        <v>560314</v>
      </c>
      <c r="G668" s="13">
        <v>56</v>
      </c>
      <c r="H668" t="s">
        <v>3076</v>
      </c>
      <c r="I668" s="8">
        <v>46109</v>
      </c>
      <c r="J668" t="s">
        <v>2659</v>
      </c>
      <c r="K668" t="s">
        <v>2660</v>
      </c>
      <c r="L668" s="13">
        <v>3500</v>
      </c>
      <c r="M668" t="s">
        <v>2661</v>
      </c>
    </row>
    <row r="669" spans="1:13">
      <c r="A669" t="s">
        <v>365</v>
      </c>
      <c r="B669" t="s">
        <v>307</v>
      </c>
      <c r="C669" s="8">
        <v>46281</v>
      </c>
      <c r="D669" t="s">
        <v>324</v>
      </c>
      <c r="E669" t="s">
        <v>325</v>
      </c>
      <c r="F669" s="12">
        <v>560314</v>
      </c>
      <c r="G669" s="13">
        <v>56</v>
      </c>
      <c r="H669" t="s">
        <v>3090</v>
      </c>
      <c r="I669" s="8">
        <v>46050</v>
      </c>
      <c r="J669" t="s">
        <v>2671</v>
      </c>
      <c r="K669" t="s">
        <v>2672</v>
      </c>
      <c r="L669" s="13">
        <v>3000</v>
      </c>
      <c r="M669" t="s">
        <v>2661</v>
      </c>
    </row>
    <row r="670" spans="1:13">
      <c r="A670" t="s">
        <v>365</v>
      </c>
      <c r="B670" t="s">
        <v>307</v>
      </c>
      <c r="C670" s="8">
        <v>46281</v>
      </c>
      <c r="D670" t="s">
        <v>324</v>
      </c>
      <c r="E670" t="s">
        <v>325</v>
      </c>
      <c r="F670" s="12">
        <v>560314</v>
      </c>
      <c r="G670" s="13">
        <v>56</v>
      </c>
      <c r="H670" t="s">
        <v>3121</v>
      </c>
      <c r="I670" s="8">
        <v>46024</v>
      </c>
      <c r="J670" t="s">
        <v>2671</v>
      </c>
      <c r="K670" t="s">
        <v>2672</v>
      </c>
      <c r="L670" s="13">
        <v>3000</v>
      </c>
      <c r="M670" t="s">
        <v>2661</v>
      </c>
    </row>
    <row r="671" spans="1:13">
      <c r="A671" t="s">
        <v>365</v>
      </c>
      <c r="B671" t="s">
        <v>307</v>
      </c>
      <c r="C671" s="8">
        <v>46281</v>
      </c>
      <c r="D671" t="s">
        <v>324</v>
      </c>
      <c r="E671" t="s">
        <v>325</v>
      </c>
      <c r="F671" s="12">
        <v>560314</v>
      </c>
      <c r="G671" s="13">
        <v>56</v>
      </c>
      <c r="H671" t="s">
        <v>3475</v>
      </c>
      <c r="I671" s="8">
        <v>46145</v>
      </c>
      <c r="J671" t="s">
        <v>2668</v>
      </c>
      <c r="K671" t="s">
        <v>2669</v>
      </c>
      <c r="L671" s="13">
        <v>4000</v>
      </c>
      <c r="M671" t="s">
        <v>2661</v>
      </c>
    </row>
    <row r="672" spans="1:13">
      <c r="A672" t="s">
        <v>735</v>
      </c>
      <c r="B672" t="s">
        <v>307</v>
      </c>
      <c r="C672" s="8">
        <v>46054</v>
      </c>
      <c r="D672" t="s">
        <v>350</v>
      </c>
      <c r="E672" t="s">
        <v>337</v>
      </c>
      <c r="F672" s="12">
        <v>307479</v>
      </c>
      <c r="G672" s="13">
        <v>30</v>
      </c>
      <c r="H672" t="s">
        <v>2796</v>
      </c>
      <c r="I672" s="8">
        <v>46166</v>
      </c>
      <c r="J672" t="s">
        <v>2682</v>
      </c>
      <c r="K672" t="s">
        <v>2683</v>
      </c>
      <c r="L672" s="13">
        <v>6000</v>
      </c>
      <c r="M672" t="s">
        <v>2661</v>
      </c>
    </row>
    <row r="673" spans="1:13">
      <c r="A673" t="s">
        <v>735</v>
      </c>
      <c r="B673" t="s">
        <v>307</v>
      </c>
      <c r="C673" s="8">
        <v>46054</v>
      </c>
      <c r="D673" t="s">
        <v>350</v>
      </c>
      <c r="E673" t="s">
        <v>337</v>
      </c>
      <c r="F673" s="12">
        <v>307479</v>
      </c>
      <c r="G673" s="13">
        <v>30</v>
      </c>
      <c r="H673" t="s">
        <v>2858</v>
      </c>
      <c r="I673" s="8">
        <v>46091</v>
      </c>
      <c r="J673" t="s">
        <v>2674</v>
      </c>
      <c r="K673" t="s">
        <v>2675</v>
      </c>
      <c r="L673" s="13">
        <v>20000</v>
      </c>
      <c r="M673" t="s">
        <v>2676</v>
      </c>
    </row>
    <row r="674" spans="1:13">
      <c r="A674" t="s">
        <v>735</v>
      </c>
      <c r="B674" t="s">
        <v>307</v>
      </c>
      <c r="C674" s="8">
        <v>46054</v>
      </c>
      <c r="D674" t="s">
        <v>350</v>
      </c>
      <c r="E674" t="s">
        <v>337</v>
      </c>
      <c r="F674" s="12">
        <v>307479</v>
      </c>
      <c r="G674" s="13">
        <v>30</v>
      </c>
      <c r="H674" t="s">
        <v>3076</v>
      </c>
      <c r="I674" s="8">
        <v>46109</v>
      </c>
      <c r="J674" t="s">
        <v>2659</v>
      </c>
      <c r="K674" t="s">
        <v>2660</v>
      </c>
      <c r="L674" s="13">
        <v>3500</v>
      </c>
      <c r="M674" t="s">
        <v>2661</v>
      </c>
    </row>
    <row r="675" spans="1:13">
      <c r="A675" t="s">
        <v>735</v>
      </c>
      <c r="B675" t="s">
        <v>307</v>
      </c>
      <c r="C675" s="8">
        <v>46054</v>
      </c>
      <c r="D675" t="s">
        <v>350</v>
      </c>
      <c r="E675" t="s">
        <v>337</v>
      </c>
      <c r="F675" s="12">
        <v>307479</v>
      </c>
      <c r="G675" s="13">
        <v>30</v>
      </c>
      <c r="H675" t="s">
        <v>3090</v>
      </c>
      <c r="I675" s="8">
        <v>46050</v>
      </c>
      <c r="J675" t="s">
        <v>2671</v>
      </c>
      <c r="K675" t="s">
        <v>2672</v>
      </c>
      <c r="L675" s="13">
        <v>3000</v>
      </c>
      <c r="M675" t="s">
        <v>2661</v>
      </c>
    </row>
    <row r="676" spans="1:13">
      <c r="A676" t="s">
        <v>735</v>
      </c>
      <c r="B676" t="s">
        <v>307</v>
      </c>
      <c r="C676" s="8">
        <v>46054</v>
      </c>
      <c r="D676" t="s">
        <v>350</v>
      </c>
      <c r="E676" t="s">
        <v>337</v>
      </c>
      <c r="F676" s="12">
        <v>307479</v>
      </c>
      <c r="G676" s="13">
        <v>30</v>
      </c>
      <c r="H676" t="s">
        <v>3121</v>
      </c>
      <c r="I676" s="8">
        <v>46024</v>
      </c>
      <c r="J676" t="s">
        <v>2671</v>
      </c>
      <c r="K676" t="s">
        <v>2672</v>
      </c>
      <c r="L676" s="13">
        <v>3000</v>
      </c>
      <c r="M676" t="s">
        <v>2661</v>
      </c>
    </row>
    <row r="677" spans="1:13">
      <c r="A677" t="s">
        <v>735</v>
      </c>
      <c r="B677" t="s">
        <v>307</v>
      </c>
      <c r="C677" s="8">
        <v>46054</v>
      </c>
      <c r="D677" t="s">
        <v>350</v>
      </c>
      <c r="E677" t="s">
        <v>337</v>
      </c>
      <c r="F677" s="12">
        <v>307479</v>
      </c>
      <c r="G677" s="13">
        <v>30</v>
      </c>
      <c r="H677" t="s">
        <v>3475</v>
      </c>
      <c r="I677" s="8">
        <v>46145</v>
      </c>
      <c r="J677" t="s">
        <v>2668</v>
      </c>
      <c r="K677" t="s">
        <v>2669</v>
      </c>
      <c r="L677" s="13">
        <v>4000</v>
      </c>
      <c r="M677" t="s">
        <v>2661</v>
      </c>
    </row>
    <row r="678" spans="1:13">
      <c r="A678" t="s">
        <v>954</v>
      </c>
      <c r="B678" t="s">
        <v>35</v>
      </c>
      <c r="C678" s="8">
        <v>46061</v>
      </c>
      <c r="D678" t="s">
        <v>324</v>
      </c>
      <c r="E678" t="s">
        <v>334</v>
      </c>
      <c r="F678" s="12">
        <v>121142</v>
      </c>
      <c r="G678" s="13">
        <v>12</v>
      </c>
      <c r="H678" t="s">
        <v>2710</v>
      </c>
      <c r="I678" s="8">
        <v>46221</v>
      </c>
      <c r="J678" t="s">
        <v>2674</v>
      </c>
      <c r="K678" t="s">
        <v>2675</v>
      </c>
      <c r="L678" s="13">
        <v>20000</v>
      </c>
      <c r="M678" t="s">
        <v>2661</v>
      </c>
    </row>
    <row r="679" spans="1:13">
      <c r="A679" t="s">
        <v>954</v>
      </c>
      <c r="B679" t="s">
        <v>35</v>
      </c>
      <c r="C679" s="8">
        <v>46061</v>
      </c>
      <c r="D679" t="s">
        <v>324</v>
      </c>
      <c r="E679" t="s">
        <v>334</v>
      </c>
      <c r="F679" s="12">
        <v>121142</v>
      </c>
      <c r="G679" s="13">
        <v>12</v>
      </c>
      <c r="H679" t="s">
        <v>2851</v>
      </c>
      <c r="I679" s="8">
        <v>45972</v>
      </c>
      <c r="J679" t="s">
        <v>2685</v>
      </c>
      <c r="K679" t="s">
        <v>2686</v>
      </c>
      <c r="L679" s="13">
        <v>5000</v>
      </c>
      <c r="M679" t="s">
        <v>2676</v>
      </c>
    </row>
    <row r="680" spans="1:13">
      <c r="A680" t="s">
        <v>954</v>
      </c>
      <c r="B680" t="s">
        <v>35</v>
      </c>
      <c r="C680" s="8">
        <v>46061</v>
      </c>
      <c r="D680" t="s">
        <v>324</v>
      </c>
      <c r="E680" t="s">
        <v>334</v>
      </c>
      <c r="F680" s="12">
        <v>121142</v>
      </c>
      <c r="G680" s="13">
        <v>12</v>
      </c>
      <c r="H680" t="s">
        <v>3028</v>
      </c>
      <c r="I680" s="8">
        <v>46110</v>
      </c>
      <c r="J680" t="s">
        <v>2665</v>
      </c>
      <c r="K680" t="s">
        <v>2666</v>
      </c>
      <c r="L680" s="13">
        <v>2500</v>
      </c>
      <c r="M680" t="s">
        <v>2661</v>
      </c>
    </row>
    <row r="681" spans="1:13">
      <c r="A681" t="s">
        <v>954</v>
      </c>
      <c r="B681" t="s">
        <v>35</v>
      </c>
      <c r="C681" s="8">
        <v>46061</v>
      </c>
      <c r="D681" t="s">
        <v>324</v>
      </c>
      <c r="E681" t="s">
        <v>334</v>
      </c>
      <c r="F681" s="12">
        <v>121142</v>
      </c>
      <c r="G681" s="13">
        <v>12</v>
      </c>
      <c r="H681" t="s">
        <v>3205</v>
      </c>
      <c r="I681" s="8">
        <v>46245</v>
      </c>
      <c r="J681" t="s">
        <v>2668</v>
      </c>
      <c r="K681" t="s">
        <v>2669</v>
      </c>
      <c r="L681" s="13">
        <v>4000</v>
      </c>
      <c r="M681" t="s">
        <v>2661</v>
      </c>
    </row>
    <row r="682" spans="1:13">
      <c r="A682" t="s">
        <v>954</v>
      </c>
      <c r="B682" t="s">
        <v>35</v>
      </c>
      <c r="C682" s="8">
        <v>46061</v>
      </c>
      <c r="D682" t="s">
        <v>324</v>
      </c>
      <c r="E682" t="s">
        <v>334</v>
      </c>
      <c r="F682" s="12">
        <v>121142</v>
      </c>
      <c r="G682" s="13">
        <v>12</v>
      </c>
      <c r="H682" t="s">
        <v>3247</v>
      </c>
      <c r="I682" s="8">
        <v>45963</v>
      </c>
      <c r="J682" t="s">
        <v>2682</v>
      </c>
      <c r="K682" t="s">
        <v>2683</v>
      </c>
      <c r="L682" s="13">
        <v>6000</v>
      </c>
      <c r="M682" t="s">
        <v>2661</v>
      </c>
    </row>
    <row r="683" spans="1:13">
      <c r="A683" t="s">
        <v>954</v>
      </c>
      <c r="B683" t="s">
        <v>35</v>
      </c>
      <c r="C683" s="8">
        <v>46061</v>
      </c>
      <c r="D683" t="s">
        <v>324</v>
      </c>
      <c r="E683" t="s">
        <v>334</v>
      </c>
      <c r="F683" s="12">
        <v>121142</v>
      </c>
      <c r="G683" s="13">
        <v>12</v>
      </c>
      <c r="H683" t="s">
        <v>3455</v>
      </c>
      <c r="I683" s="8">
        <v>46174</v>
      </c>
      <c r="J683" t="s">
        <v>2663</v>
      </c>
      <c r="K683" t="s">
        <v>3630</v>
      </c>
      <c r="L683" s="13">
        <v>1500</v>
      </c>
      <c r="M683" t="s">
        <v>2661</v>
      </c>
    </row>
    <row r="684" spans="1:13">
      <c r="A684" t="s">
        <v>366</v>
      </c>
      <c r="B684" t="s">
        <v>279</v>
      </c>
      <c r="C684" s="8">
        <v>45988</v>
      </c>
      <c r="D684" t="s">
        <v>350</v>
      </c>
      <c r="E684" t="s">
        <v>325</v>
      </c>
      <c r="F684" s="12">
        <v>648050</v>
      </c>
      <c r="G684" s="13">
        <v>64</v>
      </c>
      <c r="H684" t="s">
        <v>3434</v>
      </c>
      <c r="I684" s="8">
        <v>46161</v>
      </c>
      <c r="J684" t="s">
        <v>2674</v>
      </c>
      <c r="K684" t="s">
        <v>2675</v>
      </c>
      <c r="L684" s="13">
        <v>20000</v>
      </c>
      <c r="M684" t="s">
        <v>2676</v>
      </c>
    </row>
    <row r="685" spans="1:13">
      <c r="A685" t="s">
        <v>1135</v>
      </c>
      <c r="B685" t="s">
        <v>166</v>
      </c>
      <c r="C685" s="8">
        <v>46044</v>
      </c>
      <c r="D685" t="s">
        <v>330</v>
      </c>
      <c r="E685" t="s">
        <v>337</v>
      </c>
      <c r="F685" s="12">
        <v>159934</v>
      </c>
      <c r="G685" s="13">
        <v>15</v>
      </c>
      <c r="H685" t="s">
        <v>2711</v>
      </c>
      <c r="I685" s="8">
        <v>45938</v>
      </c>
      <c r="J685" t="s">
        <v>2674</v>
      </c>
      <c r="K685" t="s">
        <v>2675</v>
      </c>
      <c r="L685" s="13">
        <v>20000</v>
      </c>
      <c r="M685" t="s">
        <v>2676</v>
      </c>
    </row>
    <row r="686" spans="1:13">
      <c r="A686" t="s">
        <v>1135</v>
      </c>
      <c r="B686" t="s">
        <v>166</v>
      </c>
      <c r="C686" s="8">
        <v>46044</v>
      </c>
      <c r="D686" t="s">
        <v>330</v>
      </c>
      <c r="E686" t="s">
        <v>337</v>
      </c>
      <c r="F686" s="12">
        <v>159934</v>
      </c>
      <c r="G686" s="13">
        <v>15</v>
      </c>
      <c r="H686" t="s">
        <v>2854</v>
      </c>
      <c r="I686" s="8">
        <v>46022</v>
      </c>
      <c r="J686" t="s">
        <v>2685</v>
      </c>
      <c r="K686" t="s">
        <v>2686</v>
      </c>
      <c r="L686" s="13">
        <v>5000</v>
      </c>
      <c r="M686" t="s">
        <v>2661</v>
      </c>
    </row>
    <row r="687" spans="1:13">
      <c r="A687" t="s">
        <v>1135</v>
      </c>
      <c r="B687" t="s">
        <v>166</v>
      </c>
      <c r="C687" s="8">
        <v>46044</v>
      </c>
      <c r="D687" t="s">
        <v>330</v>
      </c>
      <c r="E687" t="s">
        <v>337</v>
      </c>
      <c r="F687" s="12">
        <v>159934</v>
      </c>
      <c r="G687" s="13">
        <v>15</v>
      </c>
      <c r="H687" t="s">
        <v>3215</v>
      </c>
      <c r="I687" s="8">
        <v>46213</v>
      </c>
      <c r="J687" t="s">
        <v>2682</v>
      </c>
      <c r="K687" t="s">
        <v>2683</v>
      </c>
      <c r="L687" s="13">
        <v>6000</v>
      </c>
      <c r="M687" t="s">
        <v>2661</v>
      </c>
    </row>
    <row r="688" spans="1:13">
      <c r="A688" t="s">
        <v>1135</v>
      </c>
      <c r="B688" t="s">
        <v>166</v>
      </c>
      <c r="C688" s="8">
        <v>46044</v>
      </c>
      <c r="D688" t="s">
        <v>330</v>
      </c>
      <c r="E688" t="s">
        <v>337</v>
      </c>
      <c r="F688" s="12">
        <v>159934</v>
      </c>
      <c r="G688" s="13">
        <v>15</v>
      </c>
      <c r="H688" t="s">
        <v>3254</v>
      </c>
      <c r="I688" s="8">
        <v>45958</v>
      </c>
      <c r="J688" t="s">
        <v>2663</v>
      </c>
      <c r="K688" t="s">
        <v>3630</v>
      </c>
      <c r="L688" s="13">
        <v>1500</v>
      </c>
      <c r="M688" t="s">
        <v>2661</v>
      </c>
    </row>
    <row r="689" spans="1:13">
      <c r="A689" t="s">
        <v>367</v>
      </c>
      <c r="B689" t="s">
        <v>86</v>
      </c>
      <c r="C689" s="8">
        <v>46028</v>
      </c>
      <c r="D689" t="s">
        <v>344</v>
      </c>
      <c r="E689" t="s">
        <v>334</v>
      </c>
      <c r="F689" s="12">
        <v>348512</v>
      </c>
      <c r="G689" s="13">
        <v>34</v>
      </c>
      <c r="H689" t="s">
        <v>3550</v>
      </c>
      <c r="I689" s="8">
        <v>46122</v>
      </c>
      <c r="J689" t="s">
        <v>2671</v>
      </c>
      <c r="K689" t="s">
        <v>2672</v>
      </c>
      <c r="L689" s="13">
        <v>3000</v>
      </c>
      <c r="M689" t="s">
        <v>2661</v>
      </c>
    </row>
    <row r="690" spans="1:13">
      <c r="A690" t="s">
        <v>1148</v>
      </c>
      <c r="B690" t="s">
        <v>86</v>
      </c>
      <c r="C690" s="8">
        <v>46120</v>
      </c>
      <c r="D690" t="s">
        <v>342</v>
      </c>
      <c r="E690" t="s">
        <v>339</v>
      </c>
      <c r="F690" s="12">
        <v>710780</v>
      </c>
      <c r="G690" s="13">
        <v>71</v>
      </c>
      <c r="H690" t="s">
        <v>3550</v>
      </c>
      <c r="I690" s="8">
        <v>46122</v>
      </c>
      <c r="J690" t="s">
        <v>2671</v>
      </c>
      <c r="K690" t="s">
        <v>2672</v>
      </c>
      <c r="L690" s="13">
        <v>3000</v>
      </c>
      <c r="M690" t="s">
        <v>2661</v>
      </c>
    </row>
    <row r="691" spans="1:13">
      <c r="A691" t="s">
        <v>384</v>
      </c>
      <c r="B691" t="s">
        <v>310</v>
      </c>
      <c r="C691" s="8">
        <v>46261</v>
      </c>
      <c r="D691" t="s">
        <v>344</v>
      </c>
      <c r="E691" t="s">
        <v>337</v>
      </c>
      <c r="F691" s="12">
        <v>119551</v>
      </c>
      <c r="G691" s="13">
        <v>11</v>
      </c>
      <c r="H691" t="s">
        <v>2712</v>
      </c>
      <c r="I691" s="8">
        <v>46153</v>
      </c>
      <c r="J691" t="s">
        <v>2682</v>
      </c>
      <c r="K691" t="s">
        <v>2683</v>
      </c>
      <c r="L691" s="13">
        <v>6000</v>
      </c>
      <c r="M691" t="s">
        <v>2661</v>
      </c>
    </row>
    <row r="692" spans="1:13">
      <c r="A692" t="s">
        <v>384</v>
      </c>
      <c r="B692" t="s">
        <v>310</v>
      </c>
      <c r="C692" s="8">
        <v>46261</v>
      </c>
      <c r="D692" t="s">
        <v>344</v>
      </c>
      <c r="E692" t="s">
        <v>337</v>
      </c>
      <c r="F692" s="12">
        <v>119551</v>
      </c>
      <c r="G692" s="13">
        <v>11</v>
      </c>
      <c r="H692" t="s">
        <v>2895</v>
      </c>
      <c r="I692" s="8">
        <v>45957</v>
      </c>
      <c r="J692" t="s">
        <v>2688</v>
      </c>
      <c r="K692" t="s">
        <v>2689</v>
      </c>
      <c r="L692" s="13">
        <v>8000</v>
      </c>
      <c r="M692" t="s">
        <v>2661</v>
      </c>
    </row>
    <row r="693" spans="1:13">
      <c r="A693" t="s">
        <v>384</v>
      </c>
      <c r="B693" t="s">
        <v>310</v>
      </c>
      <c r="C693" s="8">
        <v>46261</v>
      </c>
      <c r="D693" t="s">
        <v>344</v>
      </c>
      <c r="E693" t="s">
        <v>337</v>
      </c>
      <c r="F693" s="12">
        <v>119551</v>
      </c>
      <c r="G693" s="13">
        <v>11</v>
      </c>
      <c r="H693" t="s">
        <v>2976</v>
      </c>
      <c r="I693" s="8">
        <v>46146</v>
      </c>
      <c r="J693" t="s">
        <v>2685</v>
      </c>
      <c r="K693" t="s">
        <v>2686</v>
      </c>
      <c r="L693" s="13">
        <v>5000</v>
      </c>
      <c r="M693" t="s">
        <v>2661</v>
      </c>
    </row>
    <row r="694" spans="1:13">
      <c r="A694" t="s">
        <v>384</v>
      </c>
      <c r="B694" t="s">
        <v>310</v>
      </c>
      <c r="C694" s="8">
        <v>46261</v>
      </c>
      <c r="D694" t="s">
        <v>344</v>
      </c>
      <c r="E694" t="s">
        <v>337</v>
      </c>
      <c r="F694" s="12">
        <v>119551</v>
      </c>
      <c r="G694" s="13">
        <v>11</v>
      </c>
      <c r="H694" t="s">
        <v>3295</v>
      </c>
      <c r="I694" s="8">
        <v>46154</v>
      </c>
      <c r="J694" t="s">
        <v>2668</v>
      </c>
      <c r="K694" t="s">
        <v>2669</v>
      </c>
      <c r="L694" s="13">
        <v>4000</v>
      </c>
      <c r="M694" t="s">
        <v>2676</v>
      </c>
    </row>
    <row r="695" spans="1:13">
      <c r="A695" t="s">
        <v>384</v>
      </c>
      <c r="B695" t="s">
        <v>310</v>
      </c>
      <c r="C695" s="8">
        <v>46261</v>
      </c>
      <c r="D695" t="s">
        <v>344</v>
      </c>
      <c r="E695" t="s">
        <v>337</v>
      </c>
      <c r="F695" s="12">
        <v>119551</v>
      </c>
      <c r="G695" s="13">
        <v>11</v>
      </c>
      <c r="H695" t="s">
        <v>3480</v>
      </c>
      <c r="I695" s="8">
        <v>46012</v>
      </c>
      <c r="J695" t="s">
        <v>2685</v>
      </c>
      <c r="K695" t="s">
        <v>2686</v>
      </c>
      <c r="L695" s="13">
        <v>5000</v>
      </c>
      <c r="M695" t="s">
        <v>2676</v>
      </c>
    </row>
    <row r="696" spans="1:13">
      <c r="A696" t="s">
        <v>487</v>
      </c>
      <c r="B696" t="s">
        <v>310</v>
      </c>
      <c r="C696" s="8">
        <v>46271</v>
      </c>
      <c r="D696" t="s">
        <v>324</v>
      </c>
      <c r="E696" t="s">
        <v>325</v>
      </c>
      <c r="F696" s="12">
        <v>480618</v>
      </c>
      <c r="G696" s="13">
        <v>48</v>
      </c>
      <c r="H696" t="s">
        <v>2712</v>
      </c>
      <c r="I696" s="8">
        <v>46153</v>
      </c>
      <c r="J696" t="s">
        <v>2682</v>
      </c>
      <c r="K696" t="s">
        <v>2683</v>
      </c>
      <c r="L696" s="13">
        <v>6000</v>
      </c>
      <c r="M696" t="s">
        <v>2661</v>
      </c>
    </row>
    <row r="697" spans="1:13">
      <c r="A697" t="s">
        <v>487</v>
      </c>
      <c r="B697" t="s">
        <v>310</v>
      </c>
      <c r="C697" s="8">
        <v>46271</v>
      </c>
      <c r="D697" t="s">
        <v>324</v>
      </c>
      <c r="E697" t="s">
        <v>325</v>
      </c>
      <c r="F697" s="12">
        <v>480618</v>
      </c>
      <c r="G697" s="13">
        <v>48</v>
      </c>
      <c r="H697" t="s">
        <v>2895</v>
      </c>
      <c r="I697" s="8">
        <v>45957</v>
      </c>
      <c r="J697" t="s">
        <v>2688</v>
      </c>
      <c r="K697" t="s">
        <v>2689</v>
      </c>
      <c r="L697" s="13">
        <v>8000</v>
      </c>
      <c r="M697" t="s">
        <v>2661</v>
      </c>
    </row>
    <row r="698" spans="1:13">
      <c r="A698" t="s">
        <v>487</v>
      </c>
      <c r="B698" t="s">
        <v>310</v>
      </c>
      <c r="C698" s="8">
        <v>46271</v>
      </c>
      <c r="D698" t="s">
        <v>324</v>
      </c>
      <c r="E698" t="s">
        <v>325</v>
      </c>
      <c r="F698" s="12">
        <v>480618</v>
      </c>
      <c r="G698" s="13">
        <v>48</v>
      </c>
      <c r="H698" t="s">
        <v>2976</v>
      </c>
      <c r="I698" s="8">
        <v>46146</v>
      </c>
      <c r="J698" t="s">
        <v>2685</v>
      </c>
      <c r="K698" t="s">
        <v>2686</v>
      </c>
      <c r="L698" s="13">
        <v>5000</v>
      </c>
      <c r="M698" t="s">
        <v>2661</v>
      </c>
    </row>
    <row r="699" spans="1:13">
      <c r="A699" t="s">
        <v>487</v>
      </c>
      <c r="B699" t="s">
        <v>310</v>
      </c>
      <c r="C699" s="8">
        <v>46271</v>
      </c>
      <c r="D699" t="s">
        <v>324</v>
      </c>
      <c r="E699" t="s">
        <v>325</v>
      </c>
      <c r="F699" s="12">
        <v>480618</v>
      </c>
      <c r="G699" s="13">
        <v>48</v>
      </c>
      <c r="H699" t="s">
        <v>3295</v>
      </c>
      <c r="I699" s="8">
        <v>46154</v>
      </c>
      <c r="J699" t="s">
        <v>2668</v>
      </c>
      <c r="K699" t="s">
        <v>2669</v>
      </c>
      <c r="L699" s="13">
        <v>4000</v>
      </c>
      <c r="M699" t="s">
        <v>2676</v>
      </c>
    </row>
    <row r="700" spans="1:13">
      <c r="A700" t="s">
        <v>487</v>
      </c>
      <c r="B700" t="s">
        <v>310</v>
      </c>
      <c r="C700" s="8">
        <v>46271</v>
      </c>
      <c r="D700" t="s">
        <v>324</v>
      </c>
      <c r="E700" t="s">
        <v>325</v>
      </c>
      <c r="F700" s="12">
        <v>480618</v>
      </c>
      <c r="G700" s="13">
        <v>48</v>
      </c>
      <c r="H700" t="s">
        <v>3480</v>
      </c>
      <c r="I700" s="8">
        <v>46012</v>
      </c>
      <c r="J700" t="s">
        <v>2685</v>
      </c>
      <c r="K700" t="s">
        <v>2686</v>
      </c>
      <c r="L700" s="13">
        <v>5000</v>
      </c>
      <c r="M700" t="s">
        <v>2676</v>
      </c>
    </row>
    <row r="701" spans="1:13">
      <c r="A701" t="s">
        <v>744</v>
      </c>
      <c r="B701" t="s">
        <v>310</v>
      </c>
      <c r="C701" s="8">
        <v>45959</v>
      </c>
      <c r="D701" t="s">
        <v>321</v>
      </c>
      <c r="E701" t="s">
        <v>339</v>
      </c>
      <c r="F701" s="12">
        <v>304260</v>
      </c>
      <c r="G701" s="13">
        <v>30</v>
      </c>
      <c r="H701" t="s">
        <v>2712</v>
      </c>
      <c r="I701" s="8">
        <v>46153</v>
      </c>
      <c r="J701" t="s">
        <v>2682</v>
      </c>
      <c r="K701" t="s">
        <v>2683</v>
      </c>
      <c r="L701" s="13">
        <v>6000</v>
      </c>
      <c r="M701" t="s">
        <v>2661</v>
      </c>
    </row>
    <row r="702" spans="1:13">
      <c r="A702" t="s">
        <v>744</v>
      </c>
      <c r="B702" t="s">
        <v>310</v>
      </c>
      <c r="C702" s="8">
        <v>45959</v>
      </c>
      <c r="D702" t="s">
        <v>321</v>
      </c>
      <c r="E702" t="s">
        <v>339</v>
      </c>
      <c r="F702" s="12">
        <v>304260</v>
      </c>
      <c r="G702" s="13">
        <v>30</v>
      </c>
      <c r="H702" t="s">
        <v>2895</v>
      </c>
      <c r="I702" s="8">
        <v>45957</v>
      </c>
      <c r="J702" t="s">
        <v>2688</v>
      </c>
      <c r="K702" t="s">
        <v>2689</v>
      </c>
      <c r="L702" s="13">
        <v>8000</v>
      </c>
      <c r="M702" t="s">
        <v>2661</v>
      </c>
    </row>
    <row r="703" spans="1:13">
      <c r="A703" t="s">
        <v>744</v>
      </c>
      <c r="B703" t="s">
        <v>310</v>
      </c>
      <c r="C703" s="8">
        <v>45959</v>
      </c>
      <c r="D703" t="s">
        <v>321</v>
      </c>
      <c r="E703" t="s">
        <v>339</v>
      </c>
      <c r="F703" s="12">
        <v>304260</v>
      </c>
      <c r="G703" s="13">
        <v>30</v>
      </c>
      <c r="H703" t="s">
        <v>2976</v>
      </c>
      <c r="I703" s="8">
        <v>46146</v>
      </c>
      <c r="J703" t="s">
        <v>2685</v>
      </c>
      <c r="K703" t="s">
        <v>2686</v>
      </c>
      <c r="L703" s="13">
        <v>5000</v>
      </c>
      <c r="M703" t="s">
        <v>2661</v>
      </c>
    </row>
    <row r="704" spans="1:13">
      <c r="A704" t="s">
        <v>744</v>
      </c>
      <c r="B704" t="s">
        <v>310</v>
      </c>
      <c r="C704" s="8">
        <v>45959</v>
      </c>
      <c r="D704" t="s">
        <v>321</v>
      </c>
      <c r="E704" t="s">
        <v>339</v>
      </c>
      <c r="F704" s="12">
        <v>304260</v>
      </c>
      <c r="G704" s="13">
        <v>30</v>
      </c>
      <c r="H704" t="s">
        <v>3295</v>
      </c>
      <c r="I704" s="8">
        <v>46154</v>
      </c>
      <c r="J704" t="s">
        <v>2668</v>
      </c>
      <c r="K704" t="s">
        <v>2669</v>
      </c>
      <c r="L704" s="13">
        <v>4000</v>
      </c>
      <c r="M704" t="s">
        <v>2676</v>
      </c>
    </row>
    <row r="705" spans="1:13">
      <c r="A705" t="s">
        <v>744</v>
      </c>
      <c r="B705" t="s">
        <v>310</v>
      </c>
      <c r="C705" s="8">
        <v>45959</v>
      </c>
      <c r="D705" t="s">
        <v>321</v>
      </c>
      <c r="E705" t="s">
        <v>339</v>
      </c>
      <c r="F705" s="12">
        <v>304260</v>
      </c>
      <c r="G705" s="13">
        <v>30</v>
      </c>
      <c r="H705" t="s">
        <v>3480</v>
      </c>
      <c r="I705" s="8">
        <v>46012</v>
      </c>
      <c r="J705" t="s">
        <v>2685</v>
      </c>
      <c r="K705" t="s">
        <v>2686</v>
      </c>
      <c r="L705" s="13">
        <v>5000</v>
      </c>
      <c r="M705" t="s">
        <v>2676</v>
      </c>
    </row>
    <row r="706" spans="1:13">
      <c r="A706" t="s">
        <v>802</v>
      </c>
      <c r="B706" t="s">
        <v>310</v>
      </c>
      <c r="C706" s="8">
        <v>46230</v>
      </c>
      <c r="D706" t="s">
        <v>332</v>
      </c>
      <c r="E706" t="s">
        <v>337</v>
      </c>
      <c r="F706" s="12">
        <v>226535</v>
      </c>
      <c r="G706" s="13">
        <v>22</v>
      </c>
      <c r="H706" t="s">
        <v>2712</v>
      </c>
      <c r="I706" s="8">
        <v>46153</v>
      </c>
      <c r="J706" t="s">
        <v>2682</v>
      </c>
      <c r="K706" t="s">
        <v>2683</v>
      </c>
      <c r="L706" s="13">
        <v>6000</v>
      </c>
      <c r="M706" t="s">
        <v>2661</v>
      </c>
    </row>
    <row r="707" spans="1:13">
      <c r="A707" t="s">
        <v>802</v>
      </c>
      <c r="B707" t="s">
        <v>310</v>
      </c>
      <c r="C707" s="8">
        <v>46230</v>
      </c>
      <c r="D707" t="s">
        <v>332</v>
      </c>
      <c r="E707" t="s">
        <v>337</v>
      </c>
      <c r="F707" s="12">
        <v>226535</v>
      </c>
      <c r="G707" s="13">
        <v>22</v>
      </c>
      <c r="H707" t="s">
        <v>2895</v>
      </c>
      <c r="I707" s="8">
        <v>45957</v>
      </c>
      <c r="J707" t="s">
        <v>2688</v>
      </c>
      <c r="K707" t="s">
        <v>2689</v>
      </c>
      <c r="L707" s="13">
        <v>8000</v>
      </c>
      <c r="M707" t="s">
        <v>2661</v>
      </c>
    </row>
    <row r="708" spans="1:13">
      <c r="A708" t="s">
        <v>802</v>
      </c>
      <c r="B708" t="s">
        <v>310</v>
      </c>
      <c r="C708" s="8">
        <v>46230</v>
      </c>
      <c r="D708" t="s">
        <v>332</v>
      </c>
      <c r="E708" t="s">
        <v>337</v>
      </c>
      <c r="F708" s="12">
        <v>226535</v>
      </c>
      <c r="G708" s="13">
        <v>22</v>
      </c>
      <c r="H708" t="s">
        <v>2976</v>
      </c>
      <c r="I708" s="8">
        <v>46146</v>
      </c>
      <c r="J708" t="s">
        <v>2685</v>
      </c>
      <c r="K708" t="s">
        <v>2686</v>
      </c>
      <c r="L708" s="13">
        <v>5000</v>
      </c>
      <c r="M708" t="s">
        <v>2661</v>
      </c>
    </row>
    <row r="709" spans="1:13">
      <c r="A709" t="s">
        <v>802</v>
      </c>
      <c r="B709" t="s">
        <v>310</v>
      </c>
      <c r="C709" s="8">
        <v>46230</v>
      </c>
      <c r="D709" t="s">
        <v>332</v>
      </c>
      <c r="E709" t="s">
        <v>337</v>
      </c>
      <c r="F709" s="12">
        <v>226535</v>
      </c>
      <c r="G709" s="13">
        <v>22</v>
      </c>
      <c r="H709" t="s">
        <v>3295</v>
      </c>
      <c r="I709" s="8">
        <v>46154</v>
      </c>
      <c r="J709" t="s">
        <v>2668</v>
      </c>
      <c r="K709" t="s">
        <v>2669</v>
      </c>
      <c r="L709" s="13">
        <v>4000</v>
      </c>
      <c r="M709" t="s">
        <v>2676</v>
      </c>
    </row>
    <row r="710" spans="1:13">
      <c r="A710" t="s">
        <v>802</v>
      </c>
      <c r="B710" t="s">
        <v>310</v>
      </c>
      <c r="C710" s="8">
        <v>46230</v>
      </c>
      <c r="D710" t="s">
        <v>332</v>
      </c>
      <c r="E710" t="s">
        <v>337</v>
      </c>
      <c r="F710" s="12">
        <v>226535</v>
      </c>
      <c r="G710" s="13">
        <v>22</v>
      </c>
      <c r="H710" t="s">
        <v>3480</v>
      </c>
      <c r="I710" s="8">
        <v>46012</v>
      </c>
      <c r="J710" t="s">
        <v>2685</v>
      </c>
      <c r="K710" t="s">
        <v>2686</v>
      </c>
      <c r="L710" s="13">
        <v>5000</v>
      </c>
      <c r="M710" t="s">
        <v>2676</v>
      </c>
    </row>
    <row r="711" spans="1:13">
      <c r="A711" t="s">
        <v>882</v>
      </c>
      <c r="B711" t="s">
        <v>310</v>
      </c>
      <c r="C711" s="8">
        <v>46051</v>
      </c>
      <c r="D711" t="s">
        <v>332</v>
      </c>
      <c r="E711" t="s">
        <v>328</v>
      </c>
      <c r="F711" s="12">
        <v>452472</v>
      </c>
      <c r="G711" s="13">
        <v>45</v>
      </c>
      <c r="H711" t="s">
        <v>2712</v>
      </c>
      <c r="I711" s="8">
        <v>46153</v>
      </c>
      <c r="J711" t="s">
        <v>2682</v>
      </c>
      <c r="K711" t="s">
        <v>2683</v>
      </c>
      <c r="L711" s="13">
        <v>6000</v>
      </c>
      <c r="M711" t="s">
        <v>2661</v>
      </c>
    </row>
    <row r="712" spans="1:13">
      <c r="A712" t="s">
        <v>882</v>
      </c>
      <c r="B712" t="s">
        <v>310</v>
      </c>
      <c r="C712" s="8">
        <v>46051</v>
      </c>
      <c r="D712" t="s">
        <v>332</v>
      </c>
      <c r="E712" t="s">
        <v>328</v>
      </c>
      <c r="F712" s="12">
        <v>452472</v>
      </c>
      <c r="G712" s="13">
        <v>45</v>
      </c>
      <c r="H712" t="s">
        <v>2895</v>
      </c>
      <c r="I712" s="8">
        <v>45957</v>
      </c>
      <c r="J712" t="s">
        <v>2688</v>
      </c>
      <c r="K712" t="s">
        <v>2689</v>
      </c>
      <c r="L712" s="13">
        <v>8000</v>
      </c>
      <c r="M712" t="s">
        <v>2661</v>
      </c>
    </row>
    <row r="713" spans="1:13">
      <c r="A713" t="s">
        <v>882</v>
      </c>
      <c r="B713" t="s">
        <v>310</v>
      </c>
      <c r="C713" s="8">
        <v>46051</v>
      </c>
      <c r="D713" t="s">
        <v>332</v>
      </c>
      <c r="E713" t="s">
        <v>328</v>
      </c>
      <c r="F713" s="12">
        <v>452472</v>
      </c>
      <c r="G713" s="13">
        <v>45</v>
      </c>
      <c r="H713" t="s">
        <v>2976</v>
      </c>
      <c r="I713" s="8">
        <v>46146</v>
      </c>
      <c r="J713" t="s">
        <v>2685</v>
      </c>
      <c r="K713" t="s">
        <v>2686</v>
      </c>
      <c r="L713" s="13">
        <v>5000</v>
      </c>
      <c r="M713" t="s">
        <v>2661</v>
      </c>
    </row>
    <row r="714" spans="1:13">
      <c r="A714" t="s">
        <v>882</v>
      </c>
      <c r="B714" t="s">
        <v>310</v>
      </c>
      <c r="C714" s="8">
        <v>46051</v>
      </c>
      <c r="D714" t="s">
        <v>332</v>
      </c>
      <c r="E714" t="s">
        <v>328</v>
      </c>
      <c r="F714" s="12">
        <v>452472</v>
      </c>
      <c r="G714" s="13">
        <v>45</v>
      </c>
      <c r="H714" t="s">
        <v>3295</v>
      </c>
      <c r="I714" s="8">
        <v>46154</v>
      </c>
      <c r="J714" t="s">
        <v>2668</v>
      </c>
      <c r="K714" t="s">
        <v>2669</v>
      </c>
      <c r="L714" s="13">
        <v>4000</v>
      </c>
      <c r="M714" t="s">
        <v>2676</v>
      </c>
    </row>
    <row r="715" spans="1:13">
      <c r="A715" t="s">
        <v>882</v>
      </c>
      <c r="B715" t="s">
        <v>310</v>
      </c>
      <c r="C715" s="8">
        <v>46051</v>
      </c>
      <c r="D715" t="s">
        <v>332</v>
      </c>
      <c r="E715" t="s">
        <v>328</v>
      </c>
      <c r="F715" s="12">
        <v>452472</v>
      </c>
      <c r="G715" s="13">
        <v>45</v>
      </c>
      <c r="H715" t="s">
        <v>3480</v>
      </c>
      <c r="I715" s="8">
        <v>46012</v>
      </c>
      <c r="J715" t="s">
        <v>2685</v>
      </c>
      <c r="K715" t="s">
        <v>2686</v>
      </c>
      <c r="L715" s="13">
        <v>5000</v>
      </c>
      <c r="M715" t="s">
        <v>2676</v>
      </c>
    </row>
    <row r="716" spans="1:13">
      <c r="A716" t="s">
        <v>371</v>
      </c>
      <c r="B716" t="s">
        <v>284</v>
      </c>
      <c r="C716" s="8">
        <v>46158</v>
      </c>
      <c r="D716" t="s">
        <v>332</v>
      </c>
      <c r="E716" t="s">
        <v>325</v>
      </c>
      <c r="F716" s="12">
        <v>83182</v>
      </c>
      <c r="G716" s="13">
        <v>8</v>
      </c>
      <c r="H716" t="s">
        <v>2713</v>
      </c>
      <c r="I716" s="8">
        <v>46275</v>
      </c>
      <c r="J716" t="s">
        <v>2674</v>
      </c>
      <c r="K716" t="s">
        <v>2675</v>
      </c>
      <c r="L716" s="13">
        <v>20000</v>
      </c>
      <c r="M716" t="s">
        <v>2661</v>
      </c>
    </row>
    <row r="717" spans="1:13">
      <c r="A717" t="s">
        <v>371</v>
      </c>
      <c r="B717" t="s">
        <v>284</v>
      </c>
      <c r="C717" s="8">
        <v>46158</v>
      </c>
      <c r="D717" t="s">
        <v>332</v>
      </c>
      <c r="E717" t="s">
        <v>325</v>
      </c>
      <c r="F717" s="12">
        <v>83182</v>
      </c>
      <c r="G717" s="13">
        <v>8</v>
      </c>
      <c r="H717" t="s">
        <v>2751</v>
      </c>
      <c r="I717" s="8">
        <v>46170</v>
      </c>
      <c r="J717" t="s">
        <v>2671</v>
      </c>
      <c r="K717" t="s">
        <v>2672</v>
      </c>
      <c r="L717" s="13">
        <v>3000</v>
      </c>
      <c r="M717" t="s">
        <v>2661</v>
      </c>
    </row>
    <row r="718" spans="1:13">
      <c r="A718" t="s">
        <v>371</v>
      </c>
      <c r="B718" t="s">
        <v>284</v>
      </c>
      <c r="C718" s="8">
        <v>46158</v>
      </c>
      <c r="D718" t="s">
        <v>332</v>
      </c>
      <c r="E718" t="s">
        <v>325</v>
      </c>
      <c r="F718" s="12">
        <v>83182</v>
      </c>
      <c r="G718" s="13">
        <v>8</v>
      </c>
      <c r="H718" t="s">
        <v>3208</v>
      </c>
      <c r="I718" s="8">
        <v>45949</v>
      </c>
      <c r="J718" t="s">
        <v>2674</v>
      </c>
      <c r="K718" t="s">
        <v>2675</v>
      </c>
      <c r="L718" s="13">
        <v>20000</v>
      </c>
      <c r="M718" t="s">
        <v>2661</v>
      </c>
    </row>
    <row r="719" spans="1:13">
      <c r="A719" t="s">
        <v>371</v>
      </c>
      <c r="B719" t="s">
        <v>284</v>
      </c>
      <c r="C719" s="8">
        <v>46158</v>
      </c>
      <c r="D719" t="s">
        <v>332</v>
      </c>
      <c r="E719" t="s">
        <v>325</v>
      </c>
      <c r="F719" s="12">
        <v>83182</v>
      </c>
      <c r="G719" s="13">
        <v>8</v>
      </c>
      <c r="H719" t="s">
        <v>3259</v>
      </c>
      <c r="I719" s="8">
        <v>46227</v>
      </c>
      <c r="J719" t="s">
        <v>2665</v>
      </c>
      <c r="K719" t="s">
        <v>2666</v>
      </c>
      <c r="L719" s="13">
        <v>2500</v>
      </c>
      <c r="M719" t="s">
        <v>2661</v>
      </c>
    </row>
    <row r="720" spans="1:13">
      <c r="A720" t="s">
        <v>371</v>
      </c>
      <c r="B720" t="s">
        <v>284</v>
      </c>
      <c r="C720" s="8">
        <v>46158</v>
      </c>
      <c r="D720" t="s">
        <v>332</v>
      </c>
      <c r="E720" t="s">
        <v>325</v>
      </c>
      <c r="F720" s="12">
        <v>83182</v>
      </c>
      <c r="G720" s="13">
        <v>8</v>
      </c>
      <c r="H720" t="s">
        <v>3404</v>
      </c>
      <c r="I720" s="8">
        <v>46114</v>
      </c>
      <c r="J720" t="s">
        <v>2688</v>
      </c>
      <c r="K720" t="s">
        <v>2689</v>
      </c>
      <c r="L720" s="13">
        <v>8000</v>
      </c>
      <c r="M720" t="s">
        <v>2661</v>
      </c>
    </row>
    <row r="721" spans="1:13">
      <c r="A721" t="s">
        <v>539</v>
      </c>
      <c r="B721" t="s">
        <v>284</v>
      </c>
      <c r="C721" s="8">
        <v>46134</v>
      </c>
      <c r="D721" t="s">
        <v>350</v>
      </c>
      <c r="E721" t="s">
        <v>337</v>
      </c>
      <c r="F721" s="12">
        <v>347330</v>
      </c>
      <c r="G721" s="13">
        <v>34</v>
      </c>
      <c r="H721" t="s">
        <v>2713</v>
      </c>
      <c r="I721" s="8">
        <v>46275</v>
      </c>
      <c r="J721" t="s">
        <v>2674</v>
      </c>
      <c r="K721" t="s">
        <v>2675</v>
      </c>
      <c r="L721" s="13">
        <v>20000</v>
      </c>
      <c r="M721" t="s">
        <v>2661</v>
      </c>
    </row>
    <row r="722" spans="1:13">
      <c r="A722" t="s">
        <v>539</v>
      </c>
      <c r="B722" t="s">
        <v>284</v>
      </c>
      <c r="C722" s="8">
        <v>46134</v>
      </c>
      <c r="D722" t="s">
        <v>350</v>
      </c>
      <c r="E722" t="s">
        <v>337</v>
      </c>
      <c r="F722" s="12">
        <v>347330</v>
      </c>
      <c r="G722" s="13">
        <v>34</v>
      </c>
      <c r="H722" t="s">
        <v>2751</v>
      </c>
      <c r="I722" s="8">
        <v>46170</v>
      </c>
      <c r="J722" t="s">
        <v>2671</v>
      </c>
      <c r="K722" t="s">
        <v>2672</v>
      </c>
      <c r="L722" s="13">
        <v>3000</v>
      </c>
      <c r="M722" t="s">
        <v>2661</v>
      </c>
    </row>
    <row r="723" spans="1:13">
      <c r="A723" t="s">
        <v>539</v>
      </c>
      <c r="B723" t="s">
        <v>284</v>
      </c>
      <c r="C723" s="8">
        <v>46134</v>
      </c>
      <c r="D723" t="s">
        <v>350</v>
      </c>
      <c r="E723" t="s">
        <v>337</v>
      </c>
      <c r="F723" s="12">
        <v>347330</v>
      </c>
      <c r="G723" s="13">
        <v>34</v>
      </c>
      <c r="H723" t="s">
        <v>3208</v>
      </c>
      <c r="I723" s="8">
        <v>45949</v>
      </c>
      <c r="J723" t="s">
        <v>2674</v>
      </c>
      <c r="K723" t="s">
        <v>2675</v>
      </c>
      <c r="L723" s="13">
        <v>20000</v>
      </c>
      <c r="M723" t="s">
        <v>2661</v>
      </c>
    </row>
    <row r="724" spans="1:13">
      <c r="A724" t="s">
        <v>539</v>
      </c>
      <c r="B724" t="s">
        <v>284</v>
      </c>
      <c r="C724" s="8">
        <v>46134</v>
      </c>
      <c r="D724" t="s">
        <v>350</v>
      </c>
      <c r="E724" t="s">
        <v>337</v>
      </c>
      <c r="F724" s="12">
        <v>347330</v>
      </c>
      <c r="G724" s="13">
        <v>34</v>
      </c>
      <c r="H724" t="s">
        <v>3259</v>
      </c>
      <c r="I724" s="8">
        <v>46227</v>
      </c>
      <c r="J724" t="s">
        <v>2665</v>
      </c>
      <c r="K724" t="s">
        <v>2666</v>
      </c>
      <c r="L724" s="13">
        <v>2500</v>
      </c>
      <c r="M724" t="s">
        <v>2661</v>
      </c>
    </row>
    <row r="725" spans="1:13">
      <c r="A725" t="s">
        <v>539</v>
      </c>
      <c r="B725" t="s">
        <v>284</v>
      </c>
      <c r="C725" s="8">
        <v>46134</v>
      </c>
      <c r="D725" t="s">
        <v>350</v>
      </c>
      <c r="E725" t="s">
        <v>337</v>
      </c>
      <c r="F725" s="12">
        <v>347330</v>
      </c>
      <c r="G725" s="13">
        <v>34</v>
      </c>
      <c r="H725" t="s">
        <v>3404</v>
      </c>
      <c r="I725" s="8">
        <v>46114</v>
      </c>
      <c r="J725" t="s">
        <v>2688</v>
      </c>
      <c r="K725" t="s">
        <v>2689</v>
      </c>
      <c r="L725" s="13">
        <v>8000</v>
      </c>
      <c r="M725" t="s">
        <v>2661</v>
      </c>
    </row>
    <row r="726" spans="1:13">
      <c r="A726" t="s">
        <v>586</v>
      </c>
      <c r="B726" t="s">
        <v>284</v>
      </c>
      <c r="C726" s="8">
        <v>46107</v>
      </c>
      <c r="D726" t="s">
        <v>327</v>
      </c>
      <c r="E726" t="s">
        <v>334</v>
      </c>
      <c r="F726" s="12">
        <v>102934</v>
      </c>
      <c r="G726" s="13">
        <v>10</v>
      </c>
      <c r="H726" t="s">
        <v>2713</v>
      </c>
      <c r="I726" s="8">
        <v>46275</v>
      </c>
      <c r="J726" t="s">
        <v>2674</v>
      </c>
      <c r="K726" t="s">
        <v>2675</v>
      </c>
      <c r="L726" s="13">
        <v>20000</v>
      </c>
      <c r="M726" t="s">
        <v>2661</v>
      </c>
    </row>
    <row r="727" spans="1:13">
      <c r="A727" t="s">
        <v>586</v>
      </c>
      <c r="B727" t="s">
        <v>284</v>
      </c>
      <c r="C727" s="8">
        <v>46107</v>
      </c>
      <c r="D727" t="s">
        <v>327</v>
      </c>
      <c r="E727" t="s">
        <v>334</v>
      </c>
      <c r="F727" s="12">
        <v>102934</v>
      </c>
      <c r="G727" s="13">
        <v>10</v>
      </c>
      <c r="H727" t="s">
        <v>2751</v>
      </c>
      <c r="I727" s="8">
        <v>46170</v>
      </c>
      <c r="J727" t="s">
        <v>2671</v>
      </c>
      <c r="K727" t="s">
        <v>2672</v>
      </c>
      <c r="L727" s="13">
        <v>3000</v>
      </c>
      <c r="M727" t="s">
        <v>2661</v>
      </c>
    </row>
    <row r="728" spans="1:13">
      <c r="A728" t="s">
        <v>586</v>
      </c>
      <c r="B728" t="s">
        <v>284</v>
      </c>
      <c r="C728" s="8">
        <v>46107</v>
      </c>
      <c r="D728" t="s">
        <v>327</v>
      </c>
      <c r="E728" t="s">
        <v>334</v>
      </c>
      <c r="F728" s="12">
        <v>102934</v>
      </c>
      <c r="G728" s="13">
        <v>10</v>
      </c>
      <c r="H728" t="s">
        <v>3208</v>
      </c>
      <c r="I728" s="8">
        <v>45949</v>
      </c>
      <c r="J728" t="s">
        <v>2674</v>
      </c>
      <c r="K728" t="s">
        <v>2675</v>
      </c>
      <c r="L728" s="13">
        <v>20000</v>
      </c>
      <c r="M728" t="s">
        <v>2661</v>
      </c>
    </row>
    <row r="729" spans="1:13">
      <c r="A729" t="s">
        <v>586</v>
      </c>
      <c r="B729" t="s">
        <v>284</v>
      </c>
      <c r="C729" s="8">
        <v>46107</v>
      </c>
      <c r="D729" t="s">
        <v>327</v>
      </c>
      <c r="E729" t="s">
        <v>334</v>
      </c>
      <c r="F729" s="12">
        <v>102934</v>
      </c>
      <c r="G729" s="13">
        <v>10</v>
      </c>
      <c r="H729" t="s">
        <v>3259</v>
      </c>
      <c r="I729" s="8">
        <v>46227</v>
      </c>
      <c r="J729" t="s">
        <v>2665</v>
      </c>
      <c r="K729" t="s">
        <v>2666</v>
      </c>
      <c r="L729" s="13">
        <v>2500</v>
      </c>
      <c r="M729" t="s">
        <v>2661</v>
      </c>
    </row>
    <row r="730" spans="1:13">
      <c r="A730" t="s">
        <v>586</v>
      </c>
      <c r="B730" t="s">
        <v>284</v>
      </c>
      <c r="C730" s="8">
        <v>46107</v>
      </c>
      <c r="D730" t="s">
        <v>327</v>
      </c>
      <c r="E730" t="s">
        <v>334</v>
      </c>
      <c r="F730" s="12">
        <v>102934</v>
      </c>
      <c r="G730" s="13">
        <v>10</v>
      </c>
      <c r="H730" t="s">
        <v>3404</v>
      </c>
      <c r="I730" s="8">
        <v>46114</v>
      </c>
      <c r="J730" t="s">
        <v>2688</v>
      </c>
      <c r="K730" t="s">
        <v>2689</v>
      </c>
      <c r="L730" s="13">
        <v>8000</v>
      </c>
      <c r="M730" t="s">
        <v>2661</v>
      </c>
    </row>
    <row r="731" spans="1:13">
      <c r="A731" t="s">
        <v>1103</v>
      </c>
      <c r="B731" t="s">
        <v>284</v>
      </c>
      <c r="C731" s="8">
        <v>46148</v>
      </c>
      <c r="D731" t="s">
        <v>332</v>
      </c>
      <c r="E731" t="s">
        <v>328</v>
      </c>
      <c r="F731" s="12">
        <v>54813</v>
      </c>
      <c r="G731" s="13">
        <v>5</v>
      </c>
      <c r="H731" t="s">
        <v>2713</v>
      </c>
      <c r="I731" s="8">
        <v>46275</v>
      </c>
      <c r="J731" t="s">
        <v>2674</v>
      </c>
      <c r="K731" t="s">
        <v>2675</v>
      </c>
      <c r="L731" s="13">
        <v>20000</v>
      </c>
      <c r="M731" t="s">
        <v>2661</v>
      </c>
    </row>
    <row r="732" spans="1:13">
      <c r="A732" t="s">
        <v>1103</v>
      </c>
      <c r="B732" t="s">
        <v>284</v>
      </c>
      <c r="C732" s="8">
        <v>46148</v>
      </c>
      <c r="D732" t="s">
        <v>332</v>
      </c>
      <c r="E732" t="s">
        <v>328</v>
      </c>
      <c r="F732" s="12">
        <v>54813</v>
      </c>
      <c r="G732" s="13">
        <v>5</v>
      </c>
      <c r="H732" t="s">
        <v>2751</v>
      </c>
      <c r="I732" s="8">
        <v>46170</v>
      </c>
      <c r="J732" t="s">
        <v>2671</v>
      </c>
      <c r="K732" t="s">
        <v>2672</v>
      </c>
      <c r="L732" s="13">
        <v>3000</v>
      </c>
      <c r="M732" t="s">
        <v>2661</v>
      </c>
    </row>
    <row r="733" spans="1:13">
      <c r="A733" t="s">
        <v>1103</v>
      </c>
      <c r="B733" t="s">
        <v>284</v>
      </c>
      <c r="C733" s="8">
        <v>46148</v>
      </c>
      <c r="D733" t="s">
        <v>332</v>
      </c>
      <c r="E733" t="s">
        <v>328</v>
      </c>
      <c r="F733" s="12">
        <v>54813</v>
      </c>
      <c r="G733" s="13">
        <v>5</v>
      </c>
      <c r="H733" t="s">
        <v>3208</v>
      </c>
      <c r="I733" s="8">
        <v>45949</v>
      </c>
      <c r="J733" t="s">
        <v>2674</v>
      </c>
      <c r="K733" t="s">
        <v>2675</v>
      </c>
      <c r="L733" s="13">
        <v>20000</v>
      </c>
      <c r="M733" t="s">
        <v>2661</v>
      </c>
    </row>
    <row r="734" spans="1:13">
      <c r="A734" t="s">
        <v>1103</v>
      </c>
      <c r="B734" t="s">
        <v>284</v>
      </c>
      <c r="C734" s="8">
        <v>46148</v>
      </c>
      <c r="D734" t="s">
        <v>332</v>
      </c>
      <c r="E734" t="s">
        <v>328</v>
      </c>
      <c r="F734" s="12">
        <v>54813</v>
      </c>
      <c r="G734" s="13">
        <v>5</v>
      </c>
      <c r="H734" t="s">
        <v>3259</v>
      </c>
      <c r="I734" s="8">
        <v>46227</v>
      </c>
      <c r="J734" t="s">
        <v>2665</v>
      </c>
      <c r="K734" t="s">
        <v>2666</v>
      </c>
      <c r="L734" s="13">
        <v>2500</v>
      </c>
      <c r="M734" t="s">
        <v>2661</v>
      </c>
    </row>
    <row r="735" spans="1:13">
      <c r="A735" t="s">
        <v>1103</v>
      </c>
      <c r="B735" t="s">
        <v>284</v>
      </c>
      <c r="C735" s="8">
        <v>46148</v>
      </c>
      <c r="D735" t="s">
        <v>332</v>
      </c>
      <c r="E735" t="s">
        <v>328</v>
      </c>
      <c r="F735" s="12">
        <v>54813</v>
      </c>
      <c r="G735" s="13">
        <v>5</v>
      </c>
      <c r="H735" t="s">
        <v>3404</v>
      </c>
      <c r="I735" s="8">
        <v>46114</v>
      </c>
      <c r="J735" t="s">
        <v>2688</v>
      </c>
      <c r="K735" t="s">
        <v>2689</v>
      </c>
      <c r="L735" s="13">
        <v>8000</v>
      </c>
      <c r="M735" t="s">
        <v>2661</v>
      </c>
    </row>
    <row r="736" spans="1:13">
      <c r="A736" t="s">
        <v>571</v>
      </c>
      <c r="B736" t="s">
        <v>167</v>
      </c>
      <c r="C736" s="8">
        <v>45973</v>
      </c>
      <c r="D736" t="s">
        <v>342</v>
      </c>
      <c r="E736" t="s">
        <v>328</v>
      </c>
      <c r="F736" s="12">
        <v>234187</v>
      </c>
      <c r="G736" s="13">
        <v>23</v>
      </c>
      <c r="H736" t="s">
        <v>2714</v>
      </c>
      <c r="I736" s="8">
        <v>45991</v>
      </c>
      <c r="J736" t="s">
        <v>2663</v>
      </c>
      <c r="K736" t="s">
        <v>3630</v>
      </c>
      <c r="L736" s="13">
        <v>1500</v>
      </c>
      <c r="M736" t="s">
        <v>2661</v>
      </c>
    </row>
    <row r="737" spans="1:13">
      <c r="A737" t="s">
        <v>571</v>
      </c>
      <c r="B737" t="s">
        <v>167</v>
      </c>
      <c r="C737" s="8">
        <v>45973</v>
      </c>
      <c r="D737" t="s">
        <v>342</v>
      </c>
      <c r="E737" t="s">
        <v>328</v>
      </c>
      <c r="F737" s="12">
        <v>234187</v>
      </c>
      <c r="G737" s="13">
        <v>23</v>
      </c>
      <c r="H737" t="s">
        <v>3024</v>
      </c>
      <c r="I737" s="8">
        <v>46163</v>
      </c>
      <c r="J737" t="s">
        <v>2665</v>
      </c>
      <c r="K737" t="s">
        <v>2666</v>
      </c>
      <c r="L737" s="13">
        <v>2500</v>
      </c>
      <c r="M737" t="s">
        <v>2661</v>
      </c>
    </row>
    <row r="738" spans="1:13">
      <c r="A738" t="s">
        <v>571</v>
      </c>
      <c r="B738" t="s">
        <v>167</v>
      </c>
      <c r="C738" s="8">
        <v>45973</v>
      </c>
      <c r="D738" t="s">
        <v>342</v>
      </c>
      <c r="E738" t="s">
        <v>328</v>
      </c>
      <c r="F738" s="12">
        <v>234187</v>
      </c>
      <c r="G738" s="13">
        <v>23</v>
      </c>
      <c r="H738" t="s">
        <v>3573</v>
      </c>
      <c r="I738" s="8">
        <v>46043</v>
      </c>
      <c r="J738" t="s">
        <v>2671</v>
      </c>
      <c r="K738" t="s">
        <v>2672</v>
      </c>
      <c r="L738" s="13">
        <v>3000</v>
      </c>
      <c r="M738" t="s">
        <v>2661</v>
      </c>
    </row>
    <row r="739" spans="1:13">
      <c r="A739" t="s">
        <v>746</v>
      </c>
      <c r="B739" t="s">
        <v>167</v>
      </c>
      <c r="C739" s="8">
        <v>46029</v>
      </c>
      <c r="D739" t="s">
        <v>327</v>
      </c>
      <c r="E739" t="s">
        <v>339</v>
      </c>
      <c r="F739" s="12">
        <v>109744</v>
      </c>
      <c r="G739" s="13">
        <v>10</v>
      </c>
      <c r="H739" t="s">
        <v>2714</v>
      </c>
      <c r="I739" s="8">
        <v>45991</v>
      </c>
      <c r="J739" t="s">
        <v>2663</v>
      </c>
      <c r="K739" t="s">
        <v>3630</v>
      </c>
      <c r="L739" s="13">
        <v>1500</v>
      </c>
      <c r="M739" t="s">
        <v>2661</v>
      </c>
    </row>
    <row r="740" spans="1:13">
      <c r="A740" t="s">
        <v>746</v>
      </c>
      <c r="B740" t="s">
        <v>167</v>
      </c>
      <c r="C740" s="8">
        <v>46029</v>
      </c>
      <c r="D740" t="s">
        <v>327</v>
      </c>
      <c r="E740" t="s">
        <v>339</v>
      </c>
      <c r="F740" s="12">
        <v>109744</v>
      </c>
      <c r="G740" s="13">
        <v>10</v>
      </c>
      <c r="H740" t="s">
        <v>3024</v>
      </c>
      <c r="I740" s="8">
        <v>46163</v>
      </c>
      <c r="J740" t="s">
        <v>2665</v>
      </c>
      <c r="K740" t="s">
        <v>2666</v>
      </c>
      <c r="L740" s="13">
        <v>2500</v>
      </c>
      <c r="M740" t="s">
        <v>2661</v>
      </c>
    </row>
    <row r="741" spans="1:13">
      <c r="A741" t="s">
        <v>746</v>
      </c>
      <c r="B741" t="s">
        <v>167</v>
      </c>
      <c r="C741" s="8">
        <v>46029</v>
      </c>
      <c r="D741" t="s">
        <v>327</v>
      </c>
      <c r="E741" t="s">
        <v>339</v>
      </c>
      <c r="F741" s="12">
        <v>109744</v>
      </c>
      <c r="G741" s="13">
        <v>10</v>
      </c>
      <c r="H741" t="s">
        <v>3573</v>
      </c>
      <c r="I741" s="8">
        <v>46043</v>
      </c>
      <c r="J741" t="s">
        <v>2671</v>
      </c>
      <c r="K741" t="s">
        <v>2672</v>
      </c>
      <c r="L741" s="13">
        <v>3000</v>
      </c>
      <c r="M741" t="s">
        <v>2661</v>
      </c>
    </row>
    <row r="742" spans="1:13">
      <c r="A742" t="s">
        <v>978</v>
      </c>
      <c r="B742" t="s">
        <v>167</v>
      </c>
      <c r="C742" s="8">
        <v>46206</v>
      </c>
      <c r="D742" t="s">
        <v>344</v>
      </c>
      <c r="E742" t="s">
        <v>337</v>
      </c>
      <c r="F742" s="12">
        <v>61241</v>
      </c>
      <c r="G742" s="13">
        <v>6</v>
      </c>
      <c r="H742" t="s">
        <v>2714</v>
      </c>
      <c r="I742" s="8">
        <v>45991</v>
      </c>
      <c r="J742" t="s">
        <v>2663</v>
      </c>
      <c r="K742" t="s">
        <v>3630</v>
      </c>
      <c r="L742" s="13">
        <v>1500</v>
      </c>
      <c r="M742" t="s">
        <v>2661</v>
      </c>
    </row>
    <row r="743" spans="1:13">
      <c r="A743" t="s">
        <v>978</v>
      </c>
      <c r="B743" t="s">
        <v>167</v>
      </c>
      <c r="C743" s="8">
        <v>46206</v>
      </c>
      <c r="D743" t="s">
        <v>344</v>
      </c>
      <c r="E743" t="s">
        <v>337</v>
      </c>
      <c r="F743" s="12">
        <v>61241</v>
      </c>
      <c r="G743" s="13">
        <v>6</v>
      </c>
      <c r="H743" t="s">
        <v>3024</v>
      </c>
      <c r="I743" s="8">
        <v>46163</v>
      </c>
      <c r="J743" t="s">
        <v>2665</v>
      </c>
      <c r="K743" t="s">
        <v>2666</v>
      </c>
      <c r="L743" s="13">
        <v>2500</v>
      </c>
      <c r="M743" t="s">
        <v>2661</v>
      </c>
    </row>
    <row r="744" spans="1:13">
      <c r="A744" t="s">
        <v>978</v>
      </c>
      <c r="B744" t="s">
        <v>167</v>
      </c>
      <c r="C744" s="8">
        <v>46206</v>
      </c>
      <c r="D744" t="s">
        <v>344</v>
      </c>
      <c r="E744" t="s">
        <v>337</v>
      </c>
      <c r="F744" s="12">
        <v>61241</v>
      </c>
      <c r="G744" s="13">
        <v>6</v>
      </c>
      <c r="H744" t="s">
        <v>3573</v>
      </c>
      <c r="I744" s="8">
        <v>46043</v>
      </c>
      <c r="J744" t="s">
        <v>2671</v>
      </c>
      <c r="K744" t="s">
        <v>2672</v>
      </c>
      <c r="L744" s="13">
        <v>3000</v>
      </c>
      <c r="M744" t="s">
        <v>2661</v>
      </c>
    </row>
    <row r="745" spans="1:13">
      <c r="A745" t="s">
        <v>1201</v>
      </c>
      <c r="B745" t="s">
        <v>167</v>
      </c>
      <c r="C745" s="8">
        <v>45953</v>
      </c>
      <c r="D745" t="s">
        <v>324</v>
      </c>
      <c r="E745" t="s">
        <v>337</v>
      </c>
      <c r="F745" s="12">
        <v>35828</v>
      </c>
      <c r="G745" s="13">
        <v>3</v>
      </c>
      <c r="H745" t="s">
        <v>2714</v>
      </c>
      <c r="I745" s="8">
        <v>45991</v>
      </c>
      <c r="J745" t="s">
        <v>2663</v>
      </c>
      <c r="K745" t="s">
        <v>3630</v>
      </c>
      <c r="L745" s="13">
        <v>1500</v>
      </c>
      <c r="M745" t="s">
        <v>2661</v>
      </c>
    </row>
    <row r="746" spans="1:13">
      <c r="A746" t="s">
        <v>1201</v>
      </c>
      <c r="B746" t="s">
        <v>167</v>
      </c>
      <c r="C746" s="8">
        <v>45953</v>
      </c>
      <c r="D746" t="s">
        <v>324</v>
      </c>
      <c r="E746" t="s">
        <v>337</v>
      </c>
      <c r="F746" s="12">
        <v>35828</v>
      </c>
      <c r="G746" s="13">
        <v>3</v>
      </c>
      <c r="H746" t="s">
        <v>3024</v>
      </c>
      <c r="I746" s="8">
        <v>46163</v>
      </c>
      <c r="J746" t="s">
        <v>2665</v>
      </c>
      <c r="K746" t="s">
        <v>2666</v>
      </c>
      <c r="L746" s="13">
        <v>2500</v>
      </c>
      <c r="M746" t="s">
        <v>2661</v>
      </c>
    </row>
    <row r="747" spans="1:13">
      <c r="A747" t="s">
        <v>1201</v>
      </c>
      <c r="B747" t="s">
        <v>167</v>
      </c>
      <c r="C747" s="8">
        <v>45953</v>
      </c>
      <c r="D747" t="s">
        <v>324</v>
      </c>
      <c r="E747" t="s">
        <v>337</v>
      </c>
      <c r="F747" s="12">
        <v>35828</v>
      </c>
      <c r="G747" s="13">
        <v>3</v>
      </c>
      <c r="H747" t="s">
        <v>3573</v>
      </c>
      <c r="I747" s="8">
        <v>46043</v>
      </c>
      <c r="J747" t="s">
        <v>2671</v>
      </c>
      <c r="K747" t="s">
        <v>2672</v>
      </c>
      <c r="L747" s="13">
        <v>3000</v>
      </c>
      <c r="M747" t="s">
        <v>2661</v>
      </c>
    </row>
    <row r="748" spans="1:13">
      <c r="A748" t="s">
        <v>1062</v>
      </c>
      <c r="B748" t="s">
        <v>311</v>
      </c>
      <c r="C748" s="8">
        <v>46129</v>
      </c>
      <c r="D748" t="s">
        <v>344</v>
      </c>
      <c r="E748" t="s">
        <v>325</v>
      </c>
      <c r="F748" s="12">
        <v>359897</v>
      </c>
      <c r="G748" s="13">
        <v>35</v>
      </c>
      <c r="H748" t="s">
        <v>2715</v>
      </c>
      <c r="I748" s="8">
        <v>46035</v>
      </c>
      <c r="J748" t="s">
        <v>2663</v>
      </c>
      <c r="K748" t="s">
        <v>3630</v>
      </c>
      <c r="L748" s="13">
        <v>1500</v>
      </c>
      <c r="M748" t="s">
        <v>2661</v>
      </c>
    </row>
    <row r="749" spans="1:13">
      <c r="A749" t="s">
        <v>372</v>
      </c>
      <c r="B749" t="s">
        <v>140</v>
      </c>
      <c r="C749" s="8">
        <v>46085</v>
      </c>
      <c r="D749" t="s">
        <v>332</v>
      </c>
      <c r="E749" t="s">
        <v>339</v>
      </c>
      <c r="F749" s="12">
        <v>361214</v>
      </c>
      <c r="G749" s="13">
        <v>36</v>
      </c>
      <c r="H749" t="s">
        <v>3192</v>
      </c>
      <c r="I749" s="8">
        <v>46206</v>
      </c>
      <c r="J749" t="s">
        <v>2682</v>
      </c>
      <c r="K749" t="s">
        <v>2683</v>
      </c>
      <c r="L749" s="13">
        <v>6000</v>
      </c>
      <c r="M749" t="s">
        <v>2661</v>
      </c>
    </row>
    <row r="750" spans="1:13">
      <c r="A750" t="s">
        <v>475</v>
      </c>
      <c r="B750" t="s">
        <v>140</v>
      </c>
      <c r="C750" s="8">
        <v>45935</v>
      </c>
      <c r="D750" t="s">
        <v>321</v>
      </c>
      <c r="E750" t="s">
        <v>328</v>
      </c>
      <c r="F750" s="12">
        <v>78616</v>
      </c>
      <c r="G750" s="13">
        <v>7</v>
      </c>
      <c r="H750" t="s">
        <v>3192</v>
      </c>
      <c r="I750" s="8">
        <v>46206</v>
      </c>
      <c r="J750" t="s">
        <v>2682</v>
      </c>
      <c r="K750" t="s">
        <v>2683</v>
      </c>
      <c r="L750" s="13">
        <v>6000</v>
      </c>
      <c r="M750" t="s">
        <v>2661</v>
      </c>
    </row>
    <row r="751" spans="1:13">
      <c r="A751" t="s">
        <v>781</v>
      </c>
      <c r="B751" t="s">
        <v>140</v>
      </c>
      <c r="C751" s="8">
        <v>45983</v>
      </c>
      <c r="D751" t="s">
        <v>344</v>
      </c>
      <c r="E751" t="s">
        <v>339</v>
      </c>
      <c r="F751" s="12">
        <v>333950</v>
      </c>
      <c r="G751" s="13">
        <v>33</v>
      </c>
      <c r="H751" t="s">
        <v>3192</v>
      </c>
      <c r="I751" s="8">
        <v>46206</v>
      </c>
      <c r="J751" t="s">
        <v>2682</v>
      </c>
      <c r="K751" t="s">
        <v>2683</v>
      </c>
      <c r="L751" s="13">
        <v>6000</v>
      </c>
      <c r="M751" t="s">
        <v>2661</v>
      </c>
    </row>
    <row r="752" spans="1:13">
      <c r="A752" t="s">
        <v>1026</v>
      </c>
      <c r="B752" t="s">
        <v>140</v>
      </c>
      <c r="C752" s="8">
        <v>46123</v>
      </c>
      <c r="D752" t="s">
        <v>327</v>
      </c>
      <c r="E752" t="s">
        <v>325</v>
      </c>
      <c r="F752" s="12">
        <v>166368</v>
      </c>
      <c r="G752" s="13">
        <v>16</v>
      </c>
      <c r="H752" t="s">
        <v>3192</v>
      </c>
      <c r="I752" s="8">
        <v>46206</v>
      </c>
      <c r="J752" t="s">
        <v>2682</v>
      </c>
      <c r="K752" t="s">
        <v>2683</v>
      </c>
      <c r="L752" s="13">
        <v>6000</v>
      </c>
      <c r="M752" t="s">
        <v>2661</v>
      </c>
    </row>
    <row r="753" spans="1:13">
      <c r="A753" t="s">
        <v>1171</v>
      </c>
      <c r="B753" t="s">
        <v>140</v>
      </c>
      <c r="C753" s="8">
        <v>46060</v>
      </c>
      <c r="D753" t="s">
        <v>330</v>
      </c>
      <c r="E753" t="s">
        <v>325</v>
      </c>
      <c r="F753" s="12">
        <v>354057</v>
      </c>
      <c r="G753" s="13">
        <v>35</v>
      </c>
      <c r="H753" t="s">
        <v>3192</v>
      </c>
      <c r="I753" s="8">
        <v>46206</v>
      </c>
      <c r="J753" t="s">
        <v>2682</v>
      </c>
      <c r="K753" t="s">
        <v>2683</v>
      </c>
      <c r="L753" s="13">
        <v>6000</v>
      </c>
      <c r="M753" t="s">
        <v>2661</v>
      </c>
    </row>
    <row r="754" spans="1:13">
      <c r="A754" t="s">
        <v>411</v>
      </c>
      <c r="B754" t="s">
        <v>176</v>
      </c>
      <c r="C754" s="8">
        <v>46115</v>
      </c>
      <c r="D754" t="s">
        <v>350</v>
      </c>
      <c r="E754" t="s">
        <v>337</v>
      </c>
      <c r="F754" s="12">
        <v>868396</v>
      </c>
      <c r="G754" s="13">
        <v>86</v>
      </c>
      <c r="H754" t="s">
        <v>2717</v>
      </c>
      <c r="I754" s="8">
        <v>46184</v>
      </c>
      <c r="J754" t="s">
        <v>2692</v>
      </c>
      <c r="K754" t="s">
        <v>2693</v>
      </c>
      <c r="L754" s="13">
        <v>10000</v>
      </c>
      <c r="M754" t="s">
        <v>2661</v>
      </c>
    </row>
    <row r="755" spans="1:13">
      <c r="A755" t="s">
        <v>411</v>
      </c>
      <c r="B755" t="s">
        <v>176</v>
      </c>
      <c r="C755" s="8">
        <v>46115</v>
      </c>
      <c r="D755" t="s">
        <v>350</v>
      </c>
      <c r="E755" t="s">
        <v>337</v>
      </c>
      <c r="F755" s="12">
        <v>868396</v>
      </c>
      <c r="G755" s="13">
        <v>86</v>
      </c>
      <c r="H755" t="s">
        <v>3103</v>
      </c>
      <c r="I755" s="8">
        <v>46188</v>
      </c>
      <c r="J755" t="s">
        <v>2692</v>
      </c>
      <c r="K755" t="s">
        <v>2693</v>
      </c>
      <c r="L755" s="13">
        <v>10000</v>
      </c>
      <c r="M755" t="s">
        <v>2661</v>
      </c>
    </row>
    <row r="756" spans="1:13">
      <c r="A756" t="s">
        <v>411</v>
      </c>
      <c r="B756" t="s">
        <v>176</v>
      </c>
      <c r="C756" s="8">
        <v>46115</v>
      </c>
      <c r="D756" t="s">
        <v>350</v>
      </c>
      <c r="E756" t="s">
        <v>337</v>
      </c>
      <c r="F756" s="12">
        <v>868396</v>
      </c>
      <c r="G756" s="13">
        <v>86</v>
      </c>
      <c r="H756" t="s">
        <v>3218</v>
      </c>
      <c r="I756" s="8">
        <v>46220</v>
      </c>
      <c r="J756" t="s">
        <v>2665</v>
      </c>
      <c r="K756" t="s">
        <v>2666</v>
      </c>
      <c r="L756" s="13">
        <v>2500</v>
      </c>
      <c r="M756" t="s">
        <v>2661</v>
      </c>
    </row>
    <row r="757" spans="1:13">
      <c r="A757" t="s">
        <v>411</v>
      </c>
      <c r="B757" t="s">
        <v>176</v>
      </c>
      <c r="C757" s="8">
        <v>46115</v>
      </c>
      <c r="D757" t="s">
        <v>350</v>
      </c>
      <c r="E757" t="s">
        <v>337</v>
      </c>
      <c r="F757" s="12">
        <v>868396</v>
      </c>
      <c r="G757" s="13">
        <v>86</v>
      </c>
      <c r="H757" t="s">
        <v>3249</v>
      </c>
      <c r="I757" s="8">
        <v>46152</v>
      </c>
      <c r="J757" t="s">
        <v>2688</v>
      </c>
      <c r="K757" t="s">
        <v>2689</v>
      </c>
      <c r="L757" s="13">
        <v>8000</v>
      </c>
      <c r="M757" t="s">
        <v>2661</v>
      </c>
    </row>
    <row r="758" spans="1:13">
      <c r="A758" t="s">
        <v>411</v>
      </c>
      <c r="B758" t="s">
        <v>176</v>
      </c>
      <c r="C758" s="8">
        <v>46115</v>
      </c>
      <c r="D758" t="s">
        <v>350</v>
      </c>
      <c r="E758" t="s">
        <v>337</v>
      </c>
      <c r="F758" s="12">
        <v>868396</v>
      </c>
      <c r="G758" s="13">
        <v>86</v>
      </c>
      <c r="H758" t="s">
        <v>3517</v>
      </c>
      <c r="I758" s="8">
        <v>45968</v>
      </c>
      <c r="J758" t="s">
        <v>2663</v>
      </c>
      <c r="K758" t="s">
        <v>3630</v>
      </c>
      <c r="L758" s="13">
        <v>1500</v>
      </c>
      <c r="M758" t="s">
        <v>2661</v>
      </c>
    </row>
    <row r="759" spans="1:13">
      <c r="A759" t="s">
        <v>411</v>
      </c>
      <c r="B759" t="s">
        <v>176</v>
      </c>
      <c r="C759" s="8">
        <v>46115</v>
      </c>
      <c r="D759" t="s">
        <v>350</v>
      </c>
      <c r="E759" t="s">
        <v>337</v>
      </c>
      <c r="F759" s="12">
        <v>868396</v>
      </c>
      <c r="G759" s="13">
        <v>86</v>
      </c>
      <c r="H759" t="s">
        <v>3532</v>
      </c>
      <c r="I759" s="8">
        <v>46081</v>
      </c>
      <c r="J759" t="s">
        <v>2671</v>
      </c>
      <c r="K759" t="s">
        <v>2672</v>
      </c>
      <c r="L759" s="13">
        <v>3000</v>
      </c>
      <c r="M759" t="s">
        <v>2661</v>
      </c>
    </row>
    <row r="760" spans="1:13">
      <c r="A760" t="s">
        <v>881</v>
      </c>
      <c r="B760" t="s">
        <v>188</v>
      </c>
      <c r="C760" s="8">
        <v>46120</v>
      </c>
      <c r="D760" t="s">
        <v>321</v>
      </c>
      <c r="E760" t="s">
        <v>334</v>
      </c>
      <c r="F760" s="12">
        <v>410964</v>
      </c>
      <c r="G760" s="13">
        <v>41</v>
      </c>
      <c r="H760" t="s">
        <v>2719</v>
      </c>
      <c r="I760" s="8">
        <v>46036</v>
      </c>
      <c r="J760" t="s">
        <v>2674</v>
      </c>
      <c r="K760" t="s">
        <v>2675</v>
      </c>
      <c r="L760" s="13">
        <v>20000</v>
      </c>
      <c r="M760" t="s">
        <v>2676</v>
      </c>
    </row>
    <row r="761" spans="1:13">
      <c r="A761" t="s">
        <v>881</v>
      </c>
      <c r="B761" t="s">
        <v>188</v>
      </c>
      <c r="C761" s="8">
        <v>46120</v>
      </c>
      <c r="D761" t="s">
        <v>321</v>
      </c>
      <c r="E761" t="s">
        <v>334</v>
      </c>
      <c r="F761" s="12">
        <v>410964</v>
      </c>
      <c r="G761" s="13">
        <v>41</v>
      </c>
      <c r="H761" t="s">
        <v>3384</v>
      </c>
      <c r="I761" s="8">
        <v>46042</v>
      </c>
      <c r="J761" t="s">
        <v>2663</v>
      </c>
      <c r="K761" t="s">
        <v>3630</v>
      </c>
      <c r="L761" s="13">
        <v>1500</v>
      </c>
      <c r="M761" t="s">
        <v>2661</v>
      </c>
    </row>
    <row r="762" spans="1:13">
      <c r="A762" t="s">
        <v>881</v>
      </c>
      <c r="B762" t="s">
        <v>188</v>
      </c>
      <c r="C762" s="8">
        <v>46120</v>
      </c>
      <c r="D762" t="s">
        <v>321</v>
      </c>
      <c r="E762" t="s">
        <v>334</v>
      </c>
      <c r="F762" s="12">
        <v>410964</v>
      </c>
      <c r="G762" s="13">
        <v>41</v>
      </c>
      <c r="H762" t="s">
        <v>3500</v>
      </c>
      <c r="I762" s="8">
        <v>46268</v>
      </c>
      <c r="J762" t="s">
        <v>2671</v>
      </c>
      <c r="K762" t="s">
        <v>2672</v>
      </c>
      <c r="L762" s="13">
        <v>3000</v>
      </c>
      <c r="M762" t="s">
        <v>2661</v>
      </c>
    </row>
    <row r="763" spans="1:13">
      <c r="A763" t="s">
        <v>948</v>
      </c>
      <c r="B763" t="s">
        <v>188</v>
      </c>
      <c r="C763" s="8">
        <v>46134</v>
      </c>
      <c r="D763" t="s">
        <v>350</v>
      </c>
      <c r="E763" t="s">
        <v>337</v>
      </c>
      <c r="F763" s="12">
        <v>350849</v>
      </c>
      <c r="G763" s="13">
        <v>35</v>
      </c>
      <c r="H763" t="s">
        <v>2719</v>
      </c>
      <c r="I763" s="8">
        <v>46036</v>
      </c>
      <c r="J763" t="s">
        <v>2674</v>
      </c>
      <c r="K763" t="s">
        <v>2675</v>
      </c>
      <c r="L763" s="13">
        <v>20000</v>
      </c>
      <c r="M763" t="s">
        <v>2676</v>
      </c>
    </row>
    <row r="764" spans="1:13">
      <c r="A764" t="s">
        <v>948</v>
      </c>
      <c r="B764" t="s">
        <v>188</v>
      </c>
      <c r="C764" s="8">
        <v>46134</v>
      </c>
      <c r="D764" t="s">
        <v>350</v>
      </c>
      <c r="E764" t="s">
        <v>337</v>
      </c>
      <c r="F764" s="12">
        <v>350849</v>
      </c>
      <c r="G764" s="13">
        <v>35</v>
      </c>
      <c r="H764" t="s">
        <v>3384</v>
      </c>
      <c r="I764" s="8">
        <v>46042</v>
      </c>
      <c r="J764" t="s">
        <v>2663</v>
      </c>
      <c r="K764" t="s">
        <v>3630</v>
      </c>
      <c r="L764" s="13">
        <v>1500</v>
      </c>
      <c r="M764" t="s">
        <v>2661</v>
      </c>
    </row>
    <row r="765" spans="1:13">
      <c r="A765" t="s">
        <v>948</v>
      </c>
      <c r="B765" t="s">
        <v>188</v>
      </c>
      <c r="C765" s="8">
        <v>46134</v>
      </c>
      <c r="D765" t="s">
        <v>350</v>
      </c>
      <c r="E765" t="s">
        <v>337</v>
      </c>
      <c r="F765" s="12">
        <v>350849</v>
      </c>
      <c r="G765" s="13">
        <v>35</v>
      </c>
      <c r="H765" t="s">
        <v>3500</v>
      </c>
      <c r="I765" s="8">
        <v>46268</v>
      </c>
      <c r="J765" t="s">
        <v>2671</v>
      </c>
      <c r="K765" t="s">
        <v>2672</v>
      </c>
      <c r="L765" s="13">
        <v>3000</v>
      </c>
      <c r="M765" t="s">
        <v>2661</v>
      </c>
    </row>
    <row r="766" spans="1:13">
      <c r="A766" t="s">
        <v>376</v>
      </c>
      <c r="B766" t="s">
        <v>16</v>
      </c>
      <c r="C766" s="8">
        <v>46104</v>
      </c>
      <c r="D766" t="s">
        <v>342</v>
      </c>
      <c r="E766" t="s">
        <v>325</v>
      </c>
      <c r="F766" s="12">
        <v>135086</v>
      </c>
      <c r="G766" s="13">
        <v>13</v>
      </c>
      <c r="H766" t="s">
        <v>2886</v>
      </c>
      <c r="I766" s="8">
        <v>46006</v>
      </c>
      <c r="J766" t="s">
        <v>2659</v>
      </c>
      <c r="K766" t="s">
        <v>2660</v>
      </c>
      <c r="L766" s="13">
        <v>3500</v>
      </c>
      <c r="M766" t="s">
        <v>2661</v>
      </c>
    </row>
    <row r="767" spans="1:13">
      <c r="A767" t="s">
        <v>376</v>
      </c>
      <c r="B767" t="s">
        <v>16</v>
      </c>
      <c r="C767" s="8">
        <v>46104</v>
      </c>
      <c r="D767" t="s">
        <v>342</v>
      </c>
      <c r="E767" t="s">
        <v>325</v>
      </c>
      <c r="F767" s="12">
        <v>135086</v>
      </c>
      <c r="G767" s="13">
        <v>13</v>
      </c>
      <c r="H767" t="s">
        <v>3402</v>
      </c>
      <c r="I767" s="8">
        <v>46050</v>
      </c>
      <c r="J767" t="s">
        <v>2668</v>
      </c>
      <c r="K767" t="s">
        <v>2669</v>
      </c>
      <c r="L767" s="13">
        <v>4000</v>
      </c>
      <c r="M767" t="s">
        <v>2661</v>
      </c>
    </row>
    <row r="768" spans="1:13">
      <c r="A768" t="s">
        <v>889</v>
      </c>
      <c r="B768" t="s">
        <v>16</v>
      </c>
      <c r="C768" s="8">
        <v>46277</v>
      </c>
      <c r="D768" t="s">
        <v>332</v>
      </c>
      <c r="E768" t="s">
        <v>339</v>
      </c>
      <c r="F768" s="12">
        <v>455578</v>
      </c>
      <c r="G768" s="13">
        <v>45</v>
      </c>
      <c r="H768" t="s">
        <v>2886</v>
      </c>
      <c r="I768" s="8">
        <v>46006</v>
      </c>
      <c r="J768" t="s">
        <v>2659</v>
      </c>
      <c r="K768" t="s">
        <v>2660</v>
      </c>
      <c r="L768" s="13">
        <v>3500</v>
      </c>
      <c r="M768" t="s">
        <v>2661</v>
      </c>
    </row>
    <row r="769" spans="1:13">
      <c r="A769" t="s">
        <v>889</v>
      </c>
      <c r="B769" t="s">
        <v>16</v>
      </c>
      <c r="C769" s="8">
        <v>46277</v>
      </c>
      <c r="D769" t="s">
        <v>332</v>
      </c>
      <c r="E769" t="s">
        <v>339</v>
      </c>
      <c r="F769" s="12">
        <v>455578</v>
      </c>
      <c r="G769" s="13">
        <v>45</v>
      </c>
      <c r="H769" t="s">
        <v>3402</v>
      </c>
      <c r="I769" s="8">
        <v>46050</v>
      </c>
      <c r="J769" t="s">
        <v>2668</v>
      </c>
      <c r="K769" t="s">
        <v>2669</v>
      </c>
      <c r="L769" s="13">
        <v>4000</v>
      </c>
      <c r="M769" t="s">
        <v>2661</v>
      </c>
    </row>
    <row r="770" spans="1:13">
      <c r="A770" t="s">
        <v>1137</v>
      </c>
      <c r="B770" t="s">
        <v>16</v>
      </c>
      <c r="C770" s="8">
        <v>46276</v>
      </c>
      <c r="D770" t="s">
        <v>330</v>
      </c>
      <c r="E770" t="s">
        <v>325</v>
      </c>
      <c r="F770" s="12">
        <v>229524</v>
      </c>
      <c r="G770" s="13">
        <v>22</v>
      </c>
      <c r="H770" t="s">
        <v>2886</v>
      </c>
      <c r="I770" s="8">
        <v>46006</v>
      </c>
      <c r="J770" t="s">
        <v>2659</v>
      </c>
      <c r="K770" t="s">
        <v>2660</v>
      </c>
      <c r="L770" s="13">
        <v>3500</v>
      </c>
      <c r="M770" t="s">
        <v>2661</v>
      </c>
    </row>
    <row r="771" spans="1:13">
      <c r="A771" t="s">
        <v>1137</v>
      </c>
      <c r="B771" t="s">
        <v>16</v>
      </c>
      <c r="C771" s="8">
        <v>46276</v>
      </c>
      <c r="D771" t="s">
        <v>330</v>
      </c>
      <c r="E771" t="s">
        <v>325</v>
      </c>
      <c r="F771" s="12">
        <v>229524</v>
      </c>
      <c r="G771" s="13">
        <v>22</v>
      </c>
      <c r="H771" t="s">
        <v>3402</v>
      </c>
      <c r="I771" s="8">
        <v>46050</v>
      </c>
      <c r="J771" t="s">
        <v>2668</v>
      </c>
      <c r="K771" t="s">
        <v>2669</v>
      </c>
      <c r="L771" s="13">
        <v>4000</v>
      </c>
      <c r="M771" t="s">
        <v>2661</v>
      </c>
    </row>
    <row r="772" spans="1:13">
      <c r="A772" t="s">
        <v>1174</v>
      </c>
      <c r="B772" t="s">
        <v>16</v>
      </c>
      <c r="C772" s="8">
        <v>46062</v>
      </c>
      <c r="D772" t="s">
        <v>321</v>
      </c>
      <c r="E772" t="s">
        <v>334</v>
      </c>
      <c r="F772" s="12">
        <v>64495</v>
      </c>
      <c r="G772" s="13">
        <v>6</v>
      </c>
      <c r="H772" t="s">
        <v>2886</v>
      </c>
      <c r="I772" s="8">
        <v>46006</v>
      </c>
      <c r="J772" t="s">
        <v>2659</v>
      </c>
      <c r="K772" t="s">
        <v>2660</v>
      </c>
      <c r="L772" s="13">
        <v>3500</v>
      </c>
      <c r="M772" t="s">
        <v>2661</v>
      </c>
    </row>
    <row r="773" spans="1:13">
      <c r="A773" t="s">
        <v>1174</v>
      </c>
      <c r="B773" t="s">
        <v>16</v>
      </c>
      <c r="C773" s="8">
        <v>46062</v>
      </c>
      <c r="D773" t="s">
        <v>321</v>
      </c>
      <c r="E773" t="s">
        <v>334</v>
      </c>
      <c r="F773" s="12">
        <v>64495</v>
      </c>
      <c r="G773" s="13">
        <v>6</v>
      </c>
      <c r="H773" t="s">
        <v>3402</v>
      </c>
      <c r="I773" s="8">
        <v>46050</v>
      </c>
      <c r="J773" t="s">
        <v>2668</v>
      </c>
      <c r="K773" t="s">
        <v>2669</v>
      </c>
      <c r="L773" s="13">
        <v>4000</v>
      </c>
      <c r="M773" t="s">
        <v>2661</v>
      </c>
    </row>
    <row r="774" spans="1:13">
      <c r="A774" t="s">
        <v>377</v>
      </c>
      <c r="B774" t="s">
        <v>226</v>
      </c>
      <c r="C774" s="8">
        <v>46161</v>
      </c>
      <c r="D774" t="s">
        <v>321</v>
      </c>
      <c r="E774" t="s">
        <v>322</v>
      </c>
      <c r="F774" s="12">
        <v>353352</v>
      </c>
      <c r="G774" s="13">
        <v>35</v>
      </c>
      <c r="H774" t="s">
        <v>2958</v>
      </c>
      <c r="I774" s="8">
        <v>46253</v>
      </c>
      <c r="J774" t="s">
        <v>2668</v>
      </c>
      <c r="K774" t="s">
        <v>2669</v>
      </c>
      <c r="L774" s="13">
        <v>4000</v>
      </c>
      <c r="M774" t="s">
        <v>2661</v>
      </c>
    </row>
    <row r="775" spans="1:13">
      <c r="A775" t="s">
        <v>377</v>
      </c>
      <c r="B775" t="s">
        <v>226</v>
      </c>
      <c r="C775" s="8">
        <v>46161</v>
      </c>
      <c r="D775" t="s">
        <v>321</v>
      </c>
      <c r="E775" t="s">
        <v>322</v>
      </c>
      <c r="F775" s="12">
        <v>353352</v>
      </c>
      <c r="G775" s="13">
        <v>35</v>
      </c>
      <c r="H775" t="s">
        <v>2981</v>
      </c>
      <c r="I775" s="8">
        <v>45946</v>
      </c>
      <c r="J775" t="s">
        <v>2674</v>
      </c>
      <c r="K775" t="s">
        <v>2675</v>
      </c>
      <c r="L775" s="13">
        <v>20000</v>
      </c>
      <c r="M775" t="s">
        <v>2661</v>
      </c>
    </row>
    <row r="776" spans="1:13">
      <c r="A776" t="s">
        <v>377</v>
      </c>
      <c r="B776" t="s">
        <v>226</v>
      </c>
      <c r="C776" s="8">
        <v>46161</v>
      </c>
      <c r="D776" t="s">
        <v>321</v>
      </c>
      <c r="E776" t="s">
        <v>322</v>
      </c>
      <c r="F776" s="12">
        <v>353352</v>
      </c>
      <c r="G776" s="13">
        <v>35</v>
      </c>
      <c r="H776" t="s">
        <v>3349</v>
      </c>
      <c r="I776" s="8">
        <v>46053</v>
      </c>
      <c r="J776" t="s">
        <v>2665</v>
      </c>
      <c r="K776" t="s">
        <v>2666</v>
      </c>
      <c r="L776" s="13">
        <v>2500</v>
      </c>
      <c r="M776" t="s">
        <v>2661</v>
      </c>
    </row>
    <row r="777" spans="1:13">
      <c r="A777" t="s">
        <v>377</v>
      </c>
      <c r="B777" t="s">
        <v>226</v>
      </c>
      <c r="C777" s="8">
        <v>46161</v>
      </c>
      <c r="D777" t="s">
        <v>321</v>
      </c>
      <c r="E777" t="s">
        <v>322</v>
      </c>
      <c r="F777" s="12">
        <v>353352</v>
      </c>
      <c r="G777" s="13">
        <v>35</v>
      </c>
      <c r="H777" t="s">
        <v>3491</v>
      </c>
      <c r="I777" s="8">
        <v>46167</v>
      </c>
      <c r="J777" t="s">
        <v>2685</v>
      </c>
      <c r="K777" t="s">
        <v>2686</v>
      </c>
      <c r="L777" s="13">
        <v>5000</v>
      </c>
      <c r="M777" t="s">
        <v>2676</v>
      </c>
    </row>
    <row r="778" spans="1:13">
      <c r="A778" t="s">
        <v>400</v>
      </c>
      <c r="B778" t="s">
        <v>226</v>
      </c>
      <c r="C778" s="8">
        <v>46078</v>
      </c>
      <c r="D778" t="s">
        <v>344</v>
      </c>
      <c r="E778" t="s">
        <v>334</v>
      </c>
      <c r="F778" s="12">
        <v>258088</v>
      </c>
      <c r="G778" s="13">
        <v>25</v>
      </c>
      <c r="H778" t="s">
        <v>2958</v>
      </c>
      <c r="I778" s="8">
        <v>46253</v>
      </c>
      <c r="J778" t="s">
        <v>2668</v>
      </c>
      <c r="K778" t="s">
        <v>2669</v>
      </c>
      <c r="L778" s="13">
        <v>4000</v>
      </c>
      <c r="M778" t="s">
        <v>2661</v>
      </c>
    </row>
    <row r="779" spans="1:13">
      <c r="A779" t="s">
        <v>400</v>
      </c>
      <c r="B779" t="s">
        <v>226</v>
      </c>
      <c r="C779" s="8">
        <v>46078</v>
      </c>
      <c r="D779" t="s">
        <v>344</v>
      </c>
      <c r="E779" t="s">
        <v>334</v>
      </c>
      <c r="F779" s="12">
        <v>258088</v>
      </c>
      <c r="G779" s="13">
        <v>25</v>
      </c>
      <c r="H779" t="s">
        <v>2981</v>
      </c>
      <c r="I779" s="8">
        <v>45946</v>
      </c>
      <c r="J779" t="s">
        <v>2674</v>
      </c>
      <c r="K779" t="s">
        <v>2675</v>
      </c>
      <c r="L779" s="13">
        <v>20000</v>
      </c>
      <c r="M779" t="s">
        <v>2661</v>
      </c>
    </row>
    <row r="780" spans="1:13">
      <c r="A780" t="s">
        <v>400</v>
      </c>
      <c r="B780" t="s">
        <v>226</v>
      </c>
      <c r="C780" s="8">
        <v>46078</v>
      </c>
      <c r="D780" t="s">
        <v>344</v>
      </c>
      <c r="E780" t="s">
        <v>334</v>
      </c>
      <c r="F780" s="12">
        <v>258088</v>
      </c>
      <c r="G780" s="13">
        <v>25</v>
      </c>
      <c r="H780" t="s">
        <v>3349</v>
      </c>
      <c r="I780" s="8">
        <v>46053</v>
      </c>
      <c r="J780" t="s">
        <v>2665</v>
      </c>
      <c r="K780" t="s">
        <v>2666</v>
      </c>
      <c r="L780" s="13">
        <v>2500</v>
      </c>
      <c r="M780" t="s">
        <v>2661</v>
      </c>
    </row>
    <row r="781" spans="1:13">
      <c r="A781" t="s">
        <v>400</v>
      </c>
      <c r="B781" t="s">
        <v>226</v>
      </c>
      <c r="C781" s="8">
        <v>46078</v>
      </c>
      <c r="D781" t="s">
        <v>344</v>
      </c>
      <c r="E781" t="s">
        <v>334</v>
      </c>
      <c r="F781" s="12">
        <v>258088</v>
      </c>
      <c r="G781" s="13">
        <v>25</v>
      </c>
      <c r="H781" t="s">
        <v>3491</v>
      </c>
      <c r="I781" s="8">
        <v>46167</v>
      </c>
      <c r="J781" t="s">
        <v>2685</v>
      </c>
      <c r="K781" t="s">
        <v>2686</v>
      </c>
      <c r="L781" s="13">
        <v>5000</v>
      </c>
      <c r="M781" t="s">
        <v>2676</v>
      </c>
    </row>
    <row r="782" spans="1:13">
      <c r="A782" t="s">
        <v>953</v>
      </c>
      <c r="B782" t="s">
        <v>226</v>
      </c>
      <c r="C782" s="8">
        <v>46210</v>
      </c>
      <c r="D782" t="s">
        <v>324</v>
      </c>
      <c r="E782" t="s">
        <v>339</v>
      </c>
      <c r="F782" s="12">
        <v>150491</v>
      </c>
      <c r="G782" s="13">
        <v>15</v>
      </c>
      <c r="H782" t="s">
        <v>2958</v>
      </c>
      <c r="I782" s="8">
        <v>46253</v>
      </c>
      <c r="J782" t="s">
        <v>2668</v>
      </c>
      <c r="K782" t="s">
        <v>2669</v>
      </c>
      <c r="L782" s="13">
        <v>4000</v>
      </c>
      <c r="M782" t="s">
        <v>2661</v>
      </c>
    </row>
    <row r="783" spans="1:13">
      <c r="A783" t="s">
        <v>953</v>
      </c>
      <c r="B783" t="s">
        <v>226</v>
      </c>
      <c r="C783" s="8">
        <v>46210</v>
      </c>
      <c r="D783" t="s">
        <v>324</v>
      </c>
      <c r="E783" t="s">
        <v>339</v>
      </c>
      <c r="F783" s="12">
        <v>150491</v>
      </c>
      <c r="G783" s="13">
        <v>15</v>
      </c>
      <c r="H783" t="s">
        <v>2981</v>
      </c>
      <c r="I783" s="8">
        <v>45946</v>
      </c>
      <c r="J783" t="s">
        <v>2674</v>
      </c>
      <c r="K783" t="s">
        <v>2675</v>
      </c>
      <c r="L783" s="13">
        <v>20000</v>
      </c>
      <c r="M783" t="s">
        <v>2661</v>
      </c>
    </row>
    <row r="784" spans="1:13">
      <c r="A784" t="s">
        <v>953</v>
      </c>
      <c r="B784" t="s">
        <v>226</v>
      </c>
      <c r="C784" s="8">
        <v>46210</v>
      </c>
      <c r="D784" t="s">
        <v>324</v>
      </c>
      <c r="E784" t="s">
        <v>339</v>
      </c>
      <c r="F784" s="12">
        <v>150491</v>
      </c>
      <c r="G784" s="13">
        <v>15</v>
      </c>
      <c r="H784" t="s">
        <v>3349</v>
      </c>
      <c r="I784" s="8">
        <v>46053</v>
      </c>
      <c r="J784" t="s">
        <v>2665</v>
      </c>
      <c r="K784" t="s">
        <v>2666</v>
      </c>
      <c r="L784" s="13">
        <v>2500</v>
      </c>
      <c r="M784" t="s">
        <v>2661</v>
      </c>
    </row>
    <row r="785" spans="1:13">
      <c r="A785" t="s">
        <v>953</v>
      </c>
      <c r="B785" t="s">
        <v>226</v>
      </c>
      <c r="C785" s="8">
        <v>46210</v>
      </c>
      <c r="D785" t="s">
        <v>324</v>
      </c>
      <c r="E785" t="s">
        <v>339</v>
      </c>
      <c r="F785" s="12">
        <v>150491</v>
      </c>
      <c r="G785" s="13">
        <v>15</v>
      </c>
      <c r="H785" t="s">
        <v>3491</v>
      </c>
      <c r="I785" s="8">
        <v>46167</v>
      </c>
      <c r="J785" t="s">
        <v>2685</v>
      </c>
      <c r="K785" t="s">
        <v>2686</v>
      </c>
      <c r="L785" s="13">
        <v>5000</v>
      </c>
      <c r="M785" t="s">
        <v>2676</v>
      </c>
    </row>
    <row r="786" spans="1:13">
      <c r="A786" t="s">
        <v>1231</v>
      </c>
      <c r="B786" t="s">
        <v>226</v>
      </c>
      <c r="C786" s="8">
        <v>46286</v>
      </c>
      <c r="D786" t="s">
        <v>342</v>
      </c>
      <c r="E786" t="s">
        <v>334</v>
      </c>
      <c r="F786" s="12">
        <v>345973</v>
      </c>
      <c r="G786" s="13">
        <v>34</v>
      </c>
      <c r="H786" t="s">
        <v>2958</v>
      </c>
      <c r="I786" s="8">
        <v>46253</v>
      </c>
      <c r="J786" t="s">
        <v>2668</v>
      </c>
      <c r="K786" t="s">
        <v>2669</v>
      </c>
      <c r="L786" s="13">
        <v>4000</v>
      </c>
      <c r="M786" t="s">
        <v>2661</v>
      </c>
    </row>
    <row r="787" spans="1:13">
      <c r="A787" t="s">
        <v>1231</v>
      </c>
      <c r="B787" t="s">
        <v>226</v>
      </c>
      <c r="C787" s="8">
        <v>46286</v>
      </c>
      <c r="D787" t="s">
        <v>342</v>
      </c>
      <c r="E787" t="s">
        <v>334</v>
      </c>
      <c r="F787" s="12">
        <v>345973</v>
      </c>
      <c r="G787" s="13">
        <v>34</v>
      </c>
      <c r="H787" t="s">
        <v>2981</v>
      </c>
      <c r="I787" s="8">
        <v>45946</v>
      </c>
      <c r="J787" t="s">
        <v>2674</v>
      </c>
      <c r="K787" t="s">
        <v>2675</v>
      </c>
      <c r="L787" s="13">
        <v>20000</v>
      </c>
      <c r="M787" t="s">
        <v>2661</v>
      </c>
    </row>
    <row r="788" spans="1:13">
      <c r="A788" t="s">
        <v>1231</v>
      </c>
      <c r="B788" t="s">
        <v>226</v>
      </c>
      <c r="C788" s="8">
        <v>46286</v>
      </c>
      <c r="D788" t="s">
        <v>342</v>
      </c>
      <c r="E788" t="s">
        <v>334</v>
      </c>
      <c r="F788" s="12">
        <v>345973</v>
      </c>
      <c r="G788" s="13">
        <v>34</v>
      </c>
      <c r="H788" t="s">
        <v>3349</v>
      </c>
      <c r="I788" s="8">
        <v>46053</v>
      </c>
      <c r="J788" t="s">
        <v>2665</v>
      </c>
      <c r="K788" t="s">
        <v>2666</v>
      </c>
      <c r="L788" s="13">
        <v>2500</v>
      </c>
      <c r="M788" t="s">
        <v>2661</v>
      </c>
    </row>
    <row r="789" spans="1:13">
      <c r="A789" t="s">
        <v>1231</v>
      </c>
      <c r="B789" t="s">
        <v>226</v>
      </c>
      <c r="C789" s="8">
        <v>46286</v>
      </c>
      <c r="D789" t="s">
        <v>342</v>
      </c>
      <c r="E789" t="s">
        <v>334</v>
      </c>
      <c r="F789" s="12">
        <v>345973</v>
      </c>
      <c r="G789" s="13">
        <v>34</v>
      </c>
      <c r="H789" t="s">
        <v>3491</v>
      </c>
      <c r="I789" s="8">
        <v>46167</v>
      </c>
      <c r="J789" t="s">
        <v>2685</v>
      </c>
      <c r="K789" t="s">
        <v>2686</v>
      </c>
      <c r="L789" s="13">
        <v>5000</v>
      </c>
      <c r="M789" t="s">
        <v>2676</v>
      </c>
    </row>
    <row r="790" spans="1:13">
      <c r="A790" t="s">
        <v>1003</v>
      </c>
      <c r="B790" t="s">
        <v>254</v>
      </c>
      <c r="C790" s="8">
        <v>46236</v>
      </c>
      <c r="D790" t="s">
        <v>332</v>
      </c>
      <c r="E790" t="s">
        <v>334</v>
      </c>
      <c r="F790" s="12">
        <v>84617</v>
      </c>
      <c r="G790" s="13">
        <v>8</v>
      </c>
      <c r="H790" t="s">
        <v>2722</v>
      </c>
      <c r="I790" s="8">
        <v>46145</v>
      </c>
      <c r="J790" t="s">
        <v>2668</v>
      </c>
      <c r="K790" t="s">
        <v>2669</v>
      </c>
      <c r="L790" s="13">
        <v>4000</v>
      </c>
      <c r="M790" t="s">
        <v>2661</v>
      </c>
    </row>
    <row r="791" spans="1:13">
      <c r="A791" t="s">
        <v>1003</v>
      </c>
      <c r="B791" t="s">
        <v>254</v>
      </c>
      <c r="C791" s="8">
        <v>46236</v>
      </c>
      <c r="D791" t="s">
        <v>332</v>
      </c>
      <c r="E791" t="s">
        <v>334</v>
      </c>
      <c r="F791" s="12">
        <v>84617</v>
      </c>
      <c r="G791" s="13">
        <v>8</v>
      </c>
      <c r="H791" t="s">
        <v>3133</v>
      </c>
      <c r="I791" s="8">
        <v>45957</v>
      </c>
      <c r="J791" t="s">
        <v>2685</v>
      </c>
      <c r="K791" t="s">
        <v>2686</v>
      </c>
      <c r="L791" s="13">
        <v>5000</v>
      </c>
      <c r="M791" t="s">
        <v>2661</v>
      </c>
    </row>
    <row r="792" spans="1:13">
      <c r="A792" t="s">
        <v>378</v>
      </c>
      <c r="B792" t="s">
        <v>196</v>
      </c>
      <c r="C792" s="8">
        <v>46225</v>
      </c>
      <c r="D792" t="s">
        <v>324</v>
      </c>
      <c r="E792" t="s">
        <v>337</v>
      </c>
      <c r="F792" s="12">
        <v>388348</v>
      </c>
      <c r="G792" s="13">
        <v>38</v>
      </c>
      <c r="H792" t="s">
        <v>3132</v>
      </c>
      <c r="I792" s="8">
        <v>46123</v>
      </c>
      <c r="J792" t="s">
        <v>2668</v>
      </c>
      <c r="K792" t="s">
        <v>2669</v>
      </c>
      <c r="L792" s="13">
        <v>4000</v>
      </c>
      <c r="M792" t="s">
        <v>2661</v>
      </c>
    </row>
    <row r="793" spans="1:13">
      <c r="A793" t="s">
        <v>378</v>
      </c>
      <c r="B793" t="s">
        <v>196</v>
      </c>
      <c r="C793" s="8">
        <v>46225</v>
      </c>
      <c r="D793" t="s">
        <v>324</v>
      </c>
      <c r="E793" t="s">
        <v>337</v>
      </c>
      <c r="F793" s="12">
        <v>388348</v>
      </c>
      <c r="G793" s="13">
        <v>38</v>
      </c>
      <c r="H793" t="s">
        <v>3338</v>
      </c>
      <c r="I793" s="8">
        <v>46020</v>
      </c>
      <c r="J793" t="s">
        <v>2692</v>
      </c>
      <c r="K793" t="s">
        <v>2693</v>
      </c>
      <c r="L793" s="13">
        <v>10000</v>
      </c>
      <c r="M793" t="s">
        <v>2661</v>
      </c>
    </row>
    <row r="794" spans="1:13">
      <c r="A794" t="s">
        <v>378</v>
      </c>
      <c r="B794" t="s">
        <v>196</v>
      </c>
      <c r="C794" s="8">
        <v>46225</v>
      </c>
      <c r="D794" t="s">
        <v>324</v>
      </c>
      <c r="E794" t="s">
        <v>337</v>
      </c>
      <c r="F794" s="12">
        <v>388348</v>
      </c>
      <c r="G794" s="13">
        <v>38</v>
      </c>
      <c r="H794" t="s">
        <v>3502</v>
      </c>
      <c r="I794" s="8">
        <v>45979</v>
      </c>
      <c r="J794" t="s">
        <v>2692</v>
      </c>
      <c r="K794" t="s">
        <v>2693</v>
      </c>
      <c r="L794" s="13">
        <v>10000</v>
      </c>
      <c r="M794" t="s">
        <v>2661</v>
      </c>
    </row>
    <row r="795" spans="1:13">
      <c r="A795" t="s">
        <v>440</v>
      </c>
      <c r="B795" t="s">
        <v>196</v>
      </c>
      <c r="C795" s="8">
        <v>46190</v>
      </c>
      <c r="D795" t="s">
        <v>342</v>
      </c>
      <c r="E795" t="s">
        <v>339</v>
      </c>
      <c r="F795" s="12">
        <v>320658</v>
      </c>
      <c r="G795" s="13">
        <v>32</v>
      </c>
      <c r="H795" t="s">
        <v>3132</v>
      </c>
      <c r="I795" s="8">
        <v>46123</v>
      </c>
      <c r="J795" t="s">
        <v>2668</v>
      </c>
      <c r="K795" t="s">
        <v>2669</v>
      </c>
      <c r="L795" s="13">
        <v>4000</v>
      </c>
      <c r="M795" t="s">
        <v>2661</v>
      </c>
    </row>
    <row r="796" spans="1:13">
      <c r="A796" t="s">
        <v>440</v>
      </c>
      <c r="B796" t="s">
        <v>196</v>
      </c>
      <c r="C796" s="8">
        <v>46190</v>
      </c>
      <c r="D796" t="s">
        <v>342</v>
      </c>
      <c r="E796" t="s">
        <v>339</v>
      </c>
      <c r="F796" s="12">
        <v>320658</v>
      </c>
      <c r="G796" s="13">
        <v>32</v>
      </c>
      <c r="H796" t="s">
        <v>3338</v>
      </c>
      <c r="I796" s="8">
        <v>46020</v>
      </c>
      <c r="J796" t="s">
        <v>2692</v>
      </c>
      <c r="K796" t="s">
        <v>2693</v>
      </c>
      <c r="L796" s="13">
        <v>10000</v>
      </c>
      <c r="M796" t="s">
        <v>2661</v>
      </c>
    </row>
    <row r="797" spans="1:13">
      <c r="A797" t="s">
        <v>440</v>
      </c>
      <c r="B797" t="s">
        <v>196</v>
      </c>
      <c r="C797" s="8">
        <v>46190</v>
      </c>
      <c r="D797" t="s">
        <v>342</v>
      </c>
      <c r="E797" t="s">
        <v>339</v>
      </c>
      <c r="F797" s="12">
        <v>320658</v>
      </c>
      <c r="G797" s="13">
        <v>32</v>
      </c>
      <c r="H797" t="s">
        <v>3502</v>
      </c>
      <c r="I797" s="8">
        <v>45979</v>
      </c>
      <c r="J797" t="s">
        <v>2692</v>
      </c>
      <c r="K797" t="s">
        <v>2693</v>
      </c>
      <c r="L797" s="13">
        <v>10000</v>
      </c>
      <c r="M797" t="s">
        <v>2661</v>
      </c>
    </row>
    <row r="798" spans="1:13">
      <c r="A798" t="s">
        <v>885</v>
      </c>
      <c r="B798" t="s">
        <v>196</v>
      </c>
      <c r="C798" s="8">
        <v>46065</v>
      </c>
      <c r="D798" t="s">
        <v>330</v>
      </c>
      <c r="E798" t="s">
        <v>334</v>
      </c>
      <c r="F798" s="12">
        <v>511903</v>
      </c>
      <c r="G798" s="13">
        <v>51</v>
      </c>
      <c r="H798" t="s">
        <v>3132</v>
      </c>
      <c r="I798" s="8">
        <v>46123</v>
      </c>
      <c r="J798" t="s">
        <v>2668</v>
      </c>
      <c r="K798" t="s">
        <v>2669</v>
      </c>
      <c r="L798" s="13">
        <v>4000</v>
      </c>
      <c r="M798" t="s">
        <v>2661</v>
      </c>
    </row>
    <row r="799" spans="1:13">
      <c r="A799" t="s">
        <v>885</v>
      </c>
      <c r="B799" t="s">
        <v>196</v>
      </c>
      <c r="C799" s="8">
        <v>46065</v>
      </c>
      <c r="D799" t="s">
        <v>330</v>
      </c>
      <c r="E799" t="s">
        <v>334</v>
      </c>
      <c r="F799" s="12">
        <v>511903</v>
      </c>
      <c r="G799" s="13">
        <v>51</v>
      </c>
      <c r="H799" t="s">
        <v>3338</v>
      </c>
      <c r="I799" s="8">
        <v>46020</v>
      </c>
      <c r="J799" t="s">
        <v>2692</v>
      </c>
      <c r="K799" t="s">
        <v>2693</v>
      </c>
      <c r="L799" s="13">
        <v>10000</v>
      </c>
      <c r="M799" t="s">
        <v>2661</v>
      </c>
    </row>
    <row r="800" spans="1:13">
      <c r="A800" t="s">
        <v>885</v>
      </c>
      <c r="B800" t="s">
        <v>196</v>
      </c>
      <c r="C800" s="8">
        <v>46065</v>
      </c>
      <c r="D800" t="s">
        <v>330</v>
      </c>
      <c r="E800" t="s">
        <v>334</v>
      </c>
      <c r="F800" s="12">
        <v>511903</v>
      </c>
      <c r="G800" s="13">
        <v>51</v>
      </c>
      <c r="H800" t="s">
        <v>3502</v>
      </c>
      <c r="I800" s="8">
        <v>45979</v>
      </c>
      <c r="J800" t="s">
        <v>2692</v>
      </c>
      <c r="K800" t="s">
        <v>2693</v>
      </c>
      <c r="L800" s="13">
        <v>10000</v>
      </c>
      <c r="M800" t="s">
        <v>2661</v>
      </c>
    </row>
    <row r="801" spans="1:13">
      <c r="A801" t="s">
        <v>897</v>
      </c>
      <c r="B801" t="s">
        <v>196</v>
      </c>
      <c r="C801" s="8">
        <v>46106</v>
      </c>
      <c r="D801" t="s">
        <v>342</v>
      </c>
      <c r="E801" t="s">
        <v>339</v>
      </c>
      <c r="F801" s="12">
        <v>691411</v>
      </c>
      <c r="G801" s="13">
        <v>69</v>
      </c>
      <c r="H801" t="s">
        <v>3132</v>
      </c>
      <c r="I801" s="8">
        <v>46123</v>
      </c>
      <c r="J801" t="s">
        <v>2668</v>
      </c>
      <c r="K801" t="s">
        <v>2669</v>
      </c>
      <c r="L801" s="13">
        <v>4000</v>
      </c>
      <c r="M801" t="s">
        <v>2661</v>
      </c>
    </row>
    <row r="802" spans="1:13">
      <c r="A802" t="s">
        <v>897</v>
      </c>
      <c r="B802" t="s">
        <v>196</v>
      </c>
      <c r="C802" s="8">
        <v>46106</v>
      </c>
      <c r="D802" t="s">
        <v>342</v>
      </c>
      <c r="E802" t="s">
        <v>339</v>
      </c>
      <c r="F802" s="12">
        <v>691411</v>
      </c>
      <c r="G802" s="13">
        <v>69</v>
      </c>
      <c r="H802" t="s">
        <v>3338</v>
      </c>
      <c r="I802" s="8">
        <v>46020</v>
      </c>
      <c r="J802" t="s">
        <v>2692</v>
      </c>
      <c r="K802" t="s">
        <v>2693</v>
      </c>
      <c r="L802" s="13">
        <v>10000</v>
      </c>
      <c r="M802" t="s">
        <v>2661</v>
      </c>
    </row>
    <row r="803" spans="1:13">
      <c r="A803" t="s">
        <v>897</v>
      </c>
      <c r="B803" t="s">
        <v>196</v>
      </c>
      <c r="C803" s="8">
        <v>46106</v>
      </c>
      <c r="D803" t="s">
        <v>342</v>
      </c>
      <c r="E803" t="s">
        <v>339</v>
      </c>
      <c r="F803" s="12">
        <v>691411</v>
      </c>
      <c r="G803" s="13">
        <v>69</v>
      </c>
      <c r="H803" t="s">
        <v>3502</v>
      </c>
      <c r="I803" s="8">
        <v>45979</v>
      </c>
      <c r="J803" t="s">
        <v>2692</v>
      </c>
      <c r="K803" t="s">
        <v>2693</v>
      </c>
      <c r="L803" s="13">
        <v>10000</v>
      </c>
      <c r="M803" t="s">
        <v>2661</v>
      </c>
    </row>
    <row r="804" spans="1:13">
      <c r="A804" t="s">
        <v>931</v>
      </c>
      <c r="B804" t="s">
        <v>196</v>
      </c>
      <c r="C804" s="8">
        <v>46178</v>
      </c>
      <c r="D804" t="s">
        <v>330</v>
      </c>
      <c r="E804" t="s">
        <v>334</v>
      </c>
      <c r="F804" s="12">
        <v>205650</v>
      </c>
      <c r="G804" s="13">
        <v>20</v>
      </c>
      <c r="H804" t="s">
        <v>3132</v>
      </c>
      <c r="I804" s="8">
        <v>46123</v>
      </c>
      <c r="J804" t="s">
        <v>2668</v>
      </c>
      <c r="K804" t="s">
        <v>2669</v>
      </c>
      <c r="L804" s="13">
        <v>4000</v>
      </c>
      <c r="M804" t="s">
        <v>2661</v>
      </c>
    </row>
    <row r="805" spans="1:13">
      <c r="A805" t="s">
        <v>931</v>
      </c>
      <c r="B805" t="s">
        <v>196</v>
      </c>
      <c r="C805" s="8">
        <v>46178</v>
      </c>
      <c r="D805" t="s">
        <v>330</v>
      </c>
      <c r="E805" t="s">
        <v>334</v>
      </c>
      <c r="F805" s="12">
        <v>205650</v>
      </c>
      <c r="G805" s="13">
        <v>20</v>
      </c>
      <c r="H805" t="s">
        <v>3338</v>
      </c>
      <c r="I805" s="8">
        <v>46020</v>
      </c>
      <c r="J805" t="s">
        <v>2692</v>
      </c>
      <c r="K805" t="s">
        <v>2693</v>
      </c>
      <c r="L805" s="13">
        <v>10000</v>
      </c>
      <c r="M805" t="s">
        <v>2661</v>
      </c>
    </row>
    <row r="806" spans="1:13">
      <c r="A806" t="s">
        <v>931</v>
      </c>
      <c r="B806" t="s">
        <v>196</v>
      </c>
      <c r="C806" s="8">
        <v>46178</v>
      </c>
      <c r="D806" t="s">
        <v>330</v>
      </c>
      <c r="E806" t="s">
        <v>334</v>
      </c>
      <c r="F806" s="12">
        <v>205650</v>
      </c>
      <c r="G806" s="13">
        <v>20</v>
      </c>
      <c r="H806" t="s">
        <v>3502</v>
      </c>
      <c r="I806" s="8">
        <v>45979</v>
      </c>
      <c r="J806" t="s">
        <v>2692</v>
      </c>
      <c r="K806" t="s">
        <v>2693</v>
      </c>
      <c r="L806" s="13">
        <v>10000</v>
      </c>
      <c r="M806" t="s">
        <v>2661</v>
      </c>
    </row>
    <row r="807" spans="1:13">
      <c r="A807" t="s">
        <v>1095</v>
      </c>
      <c r="B807" t="s">
        <v>196</v>
      </c>
      <c r="C807" s="8">
        <v>46165</v>
      </c>
      <c r="D807" t="s">
        <v>321</v>
      </c>
      <c r="E807" t="s">
        <v>339</v>
      </c>
      <c r="F807" s="12">
        <v>320384</v>
      </c>
      <c r="G807" s="13">
        <v>32</v>
      </c>
      <c r="H807" t="s">
        <v>3132</v>
      </c>
      <c r="I807" s="8">
        <v>46123</v>
      </c>
      <c r="J807" t="s">
        <v>2668</v>
      </c>
      <c r="K807" t="s">
        <v>2669</v>
      </c>
      <c r="L807" s="13">
        <v>4000</v>
      </c>
      <c r="M807" t="s">
        <v>2661</v>
      </c>
    </row>
    <row r="808" spans="1:13">
      <c r="A808" t="s">
        <v>1095</v>
      </c>
      <c r="B808" t="s">
        <v>196</v>
      </c>
      <c r="C808" s="8">
        <v>46165</v>
      </c>
      <c r="D808" t="s">
        <v>321</v>
      </c>
      <c r="E808" t="s">
        <v>339</v>
      </c>
      <c r="F808" s="12">
        <v>320384</v>
      </c>
      <c r="G808" s="13">
        <v>32</v>
      </c>
      <c r="H808" t="s">
        <v>3338</v>
      </c>
      <c r="I808" s="8">
        <v>46020</v>
      </c>
      <c r="J808" t="s">
        <v>2692</v>
      </c>
      <c r="K808" t="s">
        <v>2693</v>
      </c>
      <c r="L808" s="13">
        <v>10000</v>
      </c>
      <c r="M808" t="s">
        <v>2661</v>
      </c>
    </row>
    <row r="809" spans="1:13">
      <c r="A809" t="s">
        <v>1095</v>
      </c>
      <c r="B809" t="s">
        <v>196</v>
      </c>
      <c r="C809" s="8">
        <v>46165</v>
      </c>
      <c r="D809" t="s">
        <v>321</v>
      </c>
      <c r="E809" t="s">
        <v>339</v>
      </c>
      <c r="F809" s="12">
        <v>320384</v>
      </c>
      <c r="G809" s="13">
        <v>32</v>
      </c>
      <c r="H809" t="s">
        <v>3502</v>
      </c>
      <c r="I809" s="8">
        <v>45979</v>
      </c>
      <c r="J809" t="s">
        <v>2692</v>
      </c>
      <c r="K809" t="s">
        <v>2693</v>
      </c>
      <c r="L809" s="13">
        <v>10000</v>
      </c>
      <c r="M809" t="s">
        <v>2661</v>
      </c>
    </row>
    <row r="810" spans="1:13">
      <c r="A810" t="s">
        <v>1207</v>
      </c>
      <c r="B810" t="s">
        <v>196</v>
      </c>
      <c r="C810" s="8">
        <v>45990</v>
      </c>
      <c r="D810" t="s">
        <v>324</v>
      </c>
      <c r="E810" t="s">
        <v>339</v>
      </c>
      <c r="F810" s="12">
        <v>427053</v>
      </c>
      <c r="G810" s="13">
        <v>42</v>
      </c>
      <c r="H810" t="s">
        <v>3132</v>
      </c>
      <c r="I810" s="8">
        <v>46123</v>
      </c>
      <c r="J810" t="s">
        <v>2668</v>
      </c>
      <c r="K810" t="s">
        <v>2669</v>
      </c>
      <c r="L810" s="13">
        <v>4000</v>
      </c>
      <c r="M810" t="s">
        <v>2661</v>
      </c>
    </row>
    <row r="811" spans="1:13">
      <c r="A811" t="s">
        <v>1207</v>
      </c>
      <c r="B811" t="s">
        <v>196</v>
      </c>
      <c r="C811" s="8">
        <v>45990</v>
      </c>
      <c r="D811" t="s">
        <v>324</v>
      </c>
      <c r="E811" t="s">
        <v>339</v>
      </c>
      <c r="F811" s="12">
        <v>427053</v>
      </c>
      <c r="G811" s="13">
        <v>42</v>
      </c>
      <c r="H811" t="s">
        <v>3338</v>
      </c>
      <c r="I811" s="8">
        <v>46020</v>
      </c>
      <c r="J811" t="s">
        <v>2692</v>
      </c>
      <c r="K811" t="s">
        <v>2693</v>
      </c>
      <c r="L811" s="13">
        <v>10000</v>
      </c>
      <c r="M811" t="s">
        <v>2661</v>
      </c>
    </row>
    <row r="812" spans="1:13">
      <c r="A812" t="s">
        <v>1207</v>
      </c>
      <c r="B812" t="s">
        <v>196</v>
      </c>
      <c r="C812" s="8">
        <v>45990</v>
      </c>
      <c r="D812" t="s">
        <v>324</v>
      </c>
      <c r="E812" t="s">
        <v>339</v>
      </c>
      <c r="F812" s="12">
        <v>427053</v>
      </c>
      <c r="G812" s="13">
        <v>42</v>
      </c>
      <c r="H812" t="s">
        <v>3502</v>
      </c>
      <c r="I812" s="8">
        <v>45979</v>
      </c>
      <c r="J812" t="s">
        <v>2692</v>
      </c>
      <c r="K812" t="s">
        <v>2693</v>
      </c>
      <c r="L812" s="13">
        <v>10000</v>
      </c>
      <c r="M812" t="s">
        <v>2661</v>
      </c>
    </row>
    <row r="813" spans="1:13">
      <c r="A813" t="s">
        <v>392</v>
      </c>
      <c r="B813" t="s">
        <v>69</v>
      </c>
      <c r="C813" s="8">
        <v>46142</v>
      </c>
      <c r="D813" t="s">
        <v>327</v>
      </c>
      <c r="E813" t="s">
        <v>337</v>
      </c>
      <c r="F813" s="12">
        <v>275636</v>
      </c>
      <c r="G813" s="13">
        <v>27</v>
      </c>
      <c r="H813" t="s">
        <v>2723</v>
      </c>
      <c r="I813" s="8">
        <v>46140</v>
      </c>
      <c r="J813" t="s">
        <v>2688</v>
      </c>
      <c r="K813" t="s">
        <v>2689</v>
      </c>
      <c r="L813" s="13">
        <v>8000</v>
      </c>
      <c r="M813" t="s">
        <v>2661</v>
      </c>
    </row>
    <row r="814" spans="1:13">
      <c r="A814" t="s">
        <v>392</v>
      </c>
      <c r="B814" t="s">
        <v>69</v>
      </c>
      <c r="C814" s="8">
        <v>46142</v>
      </c>
      <c r="D814" t="s">
        <v>327</v>
      </c>
      <c r="E814" t="s">
        <v>337</v>
      </c>
      <c r="F814" s="12">
        <v>275636</v>
      </c>
      <c r="G814" s="13">
        <v>27</v>
      </c>
      <c r="H814" t="s">
        <v>2822</v>
      </c>
      <c r="I814" s="8">
        <v>46159</v>
      </c>
      <c r="J814" t="s">
        <v>2668</v>
      </c>
      <c r="K814" t="s">
        <v>2669</v>
      </c>
      <c r="L814" s="13">
        <v>4000</v>
      </c>
      <c r="M814" t="s">
        <v>2661</v>
      </c>
    </row>
    <row r="815" spans="1:13">
      <c r="A815" t="s">
        <v>392</v>
      </c>
      <c r="B815" t="s">
        <v>69</v>
      </c>
      <c r="C815" s="8">
        <v>46142</v>
      </c>
      <c r="D815" t="s">
        <v>327</v>
      </c>
      <c r="E815" t="s">
        <v>337</v>
      </c>
      <c r="F815" s="12">
        <v>275636</v>
      </c>
      <c r="G815" s="13">
        <v>27</v>
      </c>
      <c r="H815" t="s">
        <v>3513</v>
      </c>
      <c r="I815" s="8">
        <v>46161</v>
      </c>
      <c r="J815" t="s">
        <v>2692</v>
      </c>
      <c r="K815" t="s">
        <v>2693</v>
      </c>
      <c r="L815" s="13">
        <v>10000</v>
      </c>
      <c r="M815" t="s">
        <v>2661</v>
      </c>
    </row>
    <row r="816" spans="1:13">
      <c r="A816" t="s">
        <v>544</v>
      </c>
      <c r="B816" t="s">
        <v>69</v>
      </c>
      <c r="C816" s="8">
        <v>46224</v>
      </c>
      <c r="D816" t="s">
        <v>332</v>
      </c>
      <c r="E816" t="s">
        <v>325</v>
      </c>
      <c r="F816" s="12">
        <v>324560</v>
      </c>
      <c r="G816" s="13">
        <v>32</v>
      </c>
      <c r="H816" t="s">
        <v>2723</v>
      </c>
      <c r="I816" s="8">
        <v>46140</v>
      </c>
      <c r="J816" t="s">
        <v>2688</v>
      </c>
      <c r="K816" t="s">
        <v>2689</v>
      </c>
      <c r="L816" s="13">
        <v>8000</v>
      </c>
      <c r="M816" t="s">
        <v>2661</v>
      </c>
    </row>
    <row r="817" spans="1:13">
      <c r="A817" t="s">
        <v>544</v>
      </c>
      <c r="B817" t="s">
        <v>69</v>
      </c>
      <c r="C817" s="8">
        <v>46224</v>
      </c>
      <c r="D817" t="s">
        <v>332</v>
      </c>
      <c r="E817" t="s">
        <v>325</v>
      </c>
      <c r="F817" s="12">
        <v>324560</v>
      </c>
      <c r="G817" s="13">
        <v>32</v>
      </c>
      <c r="H817" t="s">
        <v>2822</v>
      </c>
      <c r="I817" s="8">
        <v>46159</v>
      </c>
      <c r="J817" t="s">
        <v>2668</v>
      </c>
      <c r="K817" t="s">
        <v>2669</v>
      </c>
      <c r="L817" s="13">
        <v>4000</v>
      </c>
      <c r="M817" t="s">
        <v>2661</v>
      </c>
    </row>
    <row r="818" spans="1:13">
      <c r="A818" t="s">
        <v>544</v>
      </c>
      <c r="B818" t="s">
        <v>69</v>
      </c>
      <c r="C818" s="8">
        <v>46224</v>
      </c>
      <c r="D818" t="s">
        <v>332</v>
      </c>
      <c r="E818" t="s">
        <v>325</v>
      </c>
      <c r="F818" s="12">
        <v>324560</v>
      </c>
      <c r="G818" s="13">
        <v>32</v>
      </c>
      <c r="H818" t="s">
        <v>3513</v>
      </c>
      <c r="I818" s="8">
        <v>46161</v>
      </c>
      <c r="J818" t="s">
        <v>2692</v>
      </c>
      <c r="K818" t="s">
        <v>2693</v>
      </c>
      <c r="L818" s="13">
        <v>10000</v>
      </c>
      <c r="M818" t="s">
        <v>2661</v>
      </c>
    </row>
    <row r="819" spans="1:13">
      <c r="A819" t="s">
        <v>690</v>
      </c>
      <c r="B819" t="s">
        <v>69</v>
      </c>
      <c r="C819" s="8">
        <v>45971</v>
      </c>
      <c r="D819" t="s">
        <v>327</v>
      </c>
      <c r="E819" t="s">
        <v>325</v>
      </c>
      <c r="F819" s="12">
        <v>322414</v>
      </c>
      <c r="G819" s="13">
        <v>32</v>
      </c>
      <c r="H819" t="s">
        <v>2723</v>
      </c>
      <c r="I819" s="8">
        <v>46140</v>
      </c>
      <c r="J819" t="s">
        <v>2688</v>
      </c>
      <c r="K819" t="s">
        <v>2689</v>
      </c>
      <c r="L819" s="13">
        <v>8000</v>
      </c>
      <c r="M819" t="s">
        <v>2661</v>
      </c>
    </row>
    <row r="820" spans="1:13">
      <c r="A820" t="s">
        <v>690</v>
      </c>
      <c r="B820" t="s">
        <v>69</v>
      </c>
      <c r="C820" s="8">
        <v>45971</v>
      </c>
      <c r="D820" t="s">
        <v>327</v>
      </c>
      <c r="E820" t="s">
        <v>325</v>
      </c>
      <c r="F820" s="12">
        <v>322414</v>
      </c>
      <c r="G820" s="13">
        <v>32</v>
      </c>
      <c r="H820" t="s">
        <v>2822</v>
      </c>
      <c r="I820" s="8">
        <v>46159</v>
      </c>
      <c r="J820" t="s">
        <v>2668</v>
      </c>
      <c r="K820" t="s">
        <v>2669</v>
      </c>
      <c r="L820" s="13">
        <v>4000</v>
      </c>
      <c r="M820" t="s">
        <v>2661</v>
      </c>
    </row>
    <row r="821" spans="1:13">
      <c r="A821" t="s">
        <v>690</v>
      </c>
      <c r="B821" t="s">
        <v>69</v>
      </c>
      <c r="C821" s="8">
        <v>45971</v>
      </c>
      <c r="D821" t="s">
        <v>327</v>
      </c>
      <c r="E821" t="s">
        <v>325</v>
      </c>
      <c r="F821" s="12">
        <v>322414</v>
      </c>
      <c r="G821" s="13">
        <v>32</v>
      </c>
      <c r="H821" t="s">
        <v>3513</v>
      </c>
      <c r="I821" s="8">
        <v>46161</v>
      </c>
      <c r="J821" t="s">
        <v>2692</v>
      </c>
      <c r="K821" t="s">
        <v>2693</v>
      </c>
      <c r="L821" s="13">
        <v>10000</v>
      </c>
      <c r="M821" t="s">
        <v>2661</v>
      </c>
    </row>
    <row r="822" spans="1:13">
      <c r="A822" t="s">
        <v>755</v>
      </c>
      <c r="B822" t="s">
        <v>69</v>
      </c>
      <c r="C822" s="8">
        <v>46037</v>
      </c>
      <c r="D822" t="s">
        <v>321</v>
      </c>
      <c r="E822" t="s">
        <v>334</v>
      </c>
      <c r="F822" s="12">
        <v>231282</v>
      </c>
      <c r="G822" s="13">
        <v>23</v>
      </c>
      <c r="H822" t="s">
        <v>2723</v>
      </c>
      <c r="I822" s="8">
        <v>46140</v>
      </c>
      <c r="J822" t="s">
        <v>2688</v>
      </c>
      <c r="K822" t="s">
        <v>2689</v>
      </c>
      <c r="L822" s="13">
        <v>8000</v>
      </c>
      <c r="M822" t="s">
        <v>2661</v>
      </c>
    </row>
    <row r="823" spans="1:13">
      <c r="A823" t="s">
        <v>755</v>
      </c>
      <c r="B823" t="s">
        <v>69</v>
      </c>
      <c r="C823" s="8">
        <v>46037</v>
      </c>
      <c r="D823" t="s">
        <v>321</v>
      </c>
      <c r="E823" t="s">
        <v>334</v>
      </c>
      <c r="F823" s="12">
        <v>231282</v>
      </c>
      <c r="G823" s="13">
        <v>23</v>
      </c>
      <c r="H823" t="s">
        <v>2822</v>
      </c>
      <c r="I823" s="8">
        <v>46159</v>
      </c>
      <c r="J823" t="s">
        <v>2668</v>
      </c>
      <c r="K823" t="s">
        <v>2669</v>
      </c>
      <c r="L823" s="13">
        <v>4000</v>
      </c>
      <c r="M823" t="s">
        <v>2661</v>
      </c>
    </row>
    <row r="824" spans="1:13">
      <c r="A824" t="s">
        <v>755</v>
      </c>
      <c r="B824" t="s">
        <v>69</v>
      </c>
      <c r="C824" s="8">
        <v>46037</v>
      </c>
      <c r="D824" t="s">
        <v>321</v>
      </c>
      <c r="E824" t="s">
        <v>334</v>
      </c>
      <c r="F824" s="12">
        <v>231282</v>
      </c>
      <c r="G824" s="13">
        <v>23</v>
      </c>
      <c r="H824" t="s">
        <v>3513</v>
      </c>
      <c r="I824" s="8">
        <v>46161</v>
      </c>
      <c r="J824" t="s">
        <v>2692</v>
      </c>
      <c r="K824" t="s">
        <v>2693</v>
      </c>
      <c r="L824" s="13">
        <v>10000</v>
      </c>
      <c r="M824" t="s">
        <v>2661</v>
      </c>
    </row>
    <row r="825" spans="1:13">
      <c r="A825" t="s">
        <v>831</v>
      </c>
      <c r="B825" t="s">
        <v>69</v>
      </c>
      <c r="C825" s="8">
        <v>46279</v>
      </c>
      <c r="D825" t="s">
        <v>324</v>
      </c>
      <c r="E825" t="s">
        <v>339</v>
      </c>
      <c r="F825" s="12">
        <v>413790</v>
      </c>
      <c r="G825" s="13">
        <v>41</v>
      </c>
      <c r="H825" t="s">
        <v>2723</v>
      </c>
      <c r="I825" s="8">
        <v>46140</v>
      </c>
      <c r="J825" t="s">
        <v>2688</v>
      </c>
      <c r="K825" t="s">
        <v>2689</v>
      </c>
      <c r="L825" s="13">
        <v>8000</v>
      </c>
      <c r="M825" t="s">
        <v>2661</v>
      </c>
    </row>
    <row r="826" spans="1:13">
      <c r="A826" t="s">
        <v>831</v>
      </c>
      <c r="B826" t="s">
        <v>69</v>
      </c>
      <c r="C826" s="8">
        <v>46279</v>
      </c>
      <c r="D826" t="s">
        <v>324</v>
      </c>
      <c r="E826" t="s">
        <v>339</v>
      </c>
      <c r="F826" s="12">
        <v>413790</v>
      </c>
      <c r="G826" s="13">
        <v>41</v>
      </c>
      <c r="H826" t="s">
        <v>2822</v>
      </c>
      <c r="I826" s="8">
        <v>46159</v>
      </c>
      <c r="J826" t="s">
        <v>2668</v>
      </c>
      <c r="K826" t="s">
        <v>2669</v>
      </c>
      <c r="L826" s="13">
        <v>4000</v>
      </c>
      <c r="M826" t="s">
        <v>2661</v>
      </c>
    </row>
    <row r="827" spans="1:13">
      <c r="A827" t="s">
        <v>831</v>
      </c>
      <c r="B827" t="s">
        <v>69</v>
      </c>
      <c r="C827" s="8">
        <v>46279</v>
      </c>
      <c r="D827" t="s">
        <v>324</v>
      </c>
      <c r="E827" t="s">
        <v>339</v>
      </c>
      <c r="F827" s="12">
        <v>413790</v>
      </c>
      <c r="G827" s="13">
        <v>41</v>
      </c>
      <c r="H827" t="s">
        <v>3513</v>
      </c>
      <c r="I827" s="8">
        <v>46161</v>
      </c>
      <c r="J827" t="s">
        <v>2692</v>
      </c>
      <c r="K827" t="s">
        <v>2693</v>
      </c>
      <c r="L827" s="13">
        <v>10000</v>
      </c>
      <c r="M827" t="s">
        <v>2661</v>
      </c>
    </row>
    <row r="828" spans="1:13">
      <c r="A828" t="s">
        <v>929</v>
      </c>
      <c r="B828" t="s">
        <v>69</v>
      </c>
      <c r="C828" s="8">
        <v>46073</v>
      </c>
      <c r="D828" t="s">
        <v>324</v>
      </c>
      <c r="E828" t="s">
        <v>328</v>
      </c>
      <c r="F828" s="12">
        <v>459867</v>
      </c>
      <c r="G828" s="13">
        <v>45</v>
      </c>
      <c r="H828" t="s">
        <v>2723</v>
      </c>
      <c r="I828" s="8">
        <v>46140</v>
      </c>
      <c r="J828" t="s">
        <v>2688</v>
      </c>
      <c r="K828" t="s">
        <v>2689</v>
      </c>
      <c r="L828" s="13">
        <v>8000</v>
      </c>
      <c r="M828" t="s">
        <v>2661</v>
      </c>
    </row>
    <row r="829" spans="1:13">
      <c r="A829" t="s">
        <v>929</v>
      </c>
      <c r="B829" t="s">
        <v>69</v>
      </c>
      <c r="C829" s="8">
        <v>46073</v>
      </c>
      <c r="D829" t="s">
        <v>324</v>
      </c>
      <c r="E829" t="s">
        <v>328</v>
      </c>
      <c r="F829" s="12">
        <v>459867</v>
      </c>
      <c r="G829" s="13">
        <v>45</v>
      </c>
      <c r="H829" t="s">
        <v>2822</v>
      </c>
      <c r="I829" s="8">
        <v>46159</v>
      </c>
      <c r="J829" t="s">
        <v>2668</v>
      </c>
      <c r="K829" t="s">
        <v>2669</v>
      </c>
      <c r="L829" s="13">
        <v>4000</v>
      </c>
      <c r="M829" t="s">
        <v>2661</v>
      </c>
    </row>
    <row r="830" spans="1:13">
      <c r="A830" t="s">
        <v>929</v>
      </c>
      <c r="B830" t="s">
        <v>69</v>
      </c>
      <c r="C830" s="8">
        <v>46073</v>
      </c>
      <c r="D830" t="s">
        <v>324</v>
      </c>
      <c r="E830" t="s">
        <v>328</v>
      </c>
      <c r="F830" s="12">
        <v>459867</v>
      </c>
      <c r="G830" s="13">
        <v>45</v>
      </c>
      <c r="H830" t="s">
        <v>3513</v>
      </c>
      <c r="I830" s="8">
        <v>46161</v>
      </c>
      <c r="J830" t="s">
        <v>2692</v>
      </c>
      <c r="K830" t="s">
        <v>2693</v>
      </c>
      <c r="L830" s="13">
        <v>10000</v>
      </c>
      <c r="M830" t="s">
        <v>2661</v>
      </c>
    </row>
    <row r="831" spans="1:13">
      <c r="A831" t="s">
        <v>1111</v>
      </c>
      <c r="B831" t="s">
        <v>69</v>
      </c>
      <c r="C831" s="8">
        <v>46266</v>
      </c>
      <c r="D831" t="s">
        <v>324</v>
      </c>
      <c r="E831" t="s">
        <v>337</v>
      </c>
      <c r="F831" s="12">
        <v>349291</v>
      </c>
      <c r="G831" s="13">
        <v>34</v>
      </c>
      <c r="H831" t="s">
        <v>2723</v>
      </c>
      <c r="I831" s="8">
        <v>46140</v>
      </c>
      <c r="J831" t="s">
        <v>2688</v>
      </c>
      <c r="K831" t="s">
        <v>2689</v>
      </c>
      <c r="L831" s="13">
        <v>8000</v>
      </c>
      <c r="M831" t="s">
        <v>2661</v>
      </c>
    </row>
    <row r="832" spans="1:13">
      <c r="A832" t="s">
        <v>1111</v>
      </c>
      <c r="B832" t="s">
        <v>69</v>
      </c>
      <c r="C832" s="8">
        <v>46266</v>
      </c>
      <c r="D832" t="s">
        <v>324</v>
      </c>
      <c r="E832" t="s">
        <v>337</v>
      </c>
      <c r="F832" s="12">
        <v>349291</v>
      </c>
      <c r="G832" s="13">
        <v>34</v>
      </c>
      <c r="H832" t="s">
        <v>2822</v>
      </c>
      <c r="I832" s="8">
        <v>46159</v>
      </c>
      <c r="J832" t="s">
        <v>2668</v>
      </c>
      <c r="K832" t="s">
        <v>2669</v>
      </c>
      <c r="L832" s="13">
        <v>4000</v>
      </c>
      <c r="M832" t="s">
        <v>2661</v>
      </c>
    </row>
    <row r="833" spans="1:13">
      <c r="A833" t="s">
        <v>1111</v>
      </c>
      <c r="B833" t="s">
        <v>69</v>
      </c>
      <c r="C833" s="8">
        <v>46266</v>
      </c>
      <c r="D833" t="s">
        <v>324</v>
      </c>
      <c r="E833" t="s">
        <v>337</v>
      </c>
      <c r="F833" s="12">
        <v>349291</v>
      </c>
      <c r="G833" s="13">
        <v>34</v>
      </c>
      <c r="H833" t="s">
        <v>3513</v>
      </c>
      <c r="I833" s="8">
        <v>46161</v>
      </c>
      <c r="J833" t="s">
        <v>2692</v>
      </c>
      <c r="K833" t="s">
        <v>2693</v>
      </c>
      <c r="L833" s="13">
        <v>10000</v>
      </c>
      <c r="M833" t="s">
        <v>2661</v>
      </c>
    </row>
    <row r="834" spans="1:13">
      <c r="A834" t="s">
        <v>1221</v>
      </c>
      <c r="B834" t="s">
        <v>69</v>
      </c>
      <c r="C834" s="8">
        <v>46176</v>
      </c>
      <c r="D834" t="s">
        <v>330</v>
      </c>
      <c r="E834" t="s">
        <v>328</v>
      </c>
      <c r="F834" s="12">
        <v>396259</v>
      </c>
      <c r="G834" s="13">
        <v>39</v>
      </c>
      <c r="H834" t="s">
        <v>2723</v>
      </c>
      <c r="I834" s="8">
        <v>46140</v>
      </c>
      <c r="J834" t="s">
        <v>2688</v>
      </c>
      <c r="K834" t="s">
        <v>2689</v>
      </c>
      <c r="L834" s="13">
        <v>8000</v>
      </c>
      <c r="M834" t="s">
        <v>2661</v>
      </c>
    </row>
    <row r="835" spans="1:13">
      <c r="A835" t="s">
        <v>1221</v>
      </c>
      <c r="B835" t="s">
        <v>69</v>
      </c>
      <c r="C835" s="8">
        <v>46176</v>
      </c>
      <c r="D835" t="s">
        <v>330</v>
      </c>
      <c r="E835" t="s">
        <v>328</v>
      </c>
      <c r="F835" s="12">
        <v>396259</v>
      </c>
      <c r="G835" s="13">
        <v>39</v>
      </c>
      <c r="H835" t="s">
        <v>2822</v>
      </c>
      <c r="I835" s="8">
        <v>46159</v>
      </c>
      <c r="J835" t="s">
        <v>2668</v>
      </c>
      <c r="K835" t="s">
        <v>2669</v>
      </c>
      <c r="L835" s="13">
        <v>4000</v>
      </c>
      <c r="M835" t="s">
        <v>2661</v>
      </c>
    </row>
    <row r="836" spans="1:13">
      <c r="A836" t="s">
        <v>1221</v>
      </c>
      <c r="B836" t="s">
        <v>69</v>
      </c>
      <c r="C836" s="8">
        <v>46176</v>
      </c>
      <c r="D836" t="s">
        <v>330</v>
      </c>
      <c r="E836" t="s">
        <v>328</v>
      </c>
      <c r="F836" s="12">
        <v>396259</v>
      </c>
      <c r="G836" s="13">
        <v>39</v>
      </c>
      <c r="H836" t="s">
        <v>3513</v>
      </c>
      <c r="I836" s="8">
        <v>46161</v>
      </c>
      <c r="J836" t="s">
        <v>2692</v>
      </c>
      <c r="K836" t="s">
        <v>2693</v>
      </c>
      <c r="L836" s="13">
        <v>10000</v>
      </c>
      <c r="M836" t="s">
        <v>2661</v>
      </c>
    </row>
    <row r="837" spans="1:13">
      <c r="A837" t="s">
        <v>573</v>
      </c>
      <c r="B837" t="s">
        <v>211</v>
      </c>
      <c r="C837" s="8">
        <v>46247</v>
      </c>
      <c r="D837" t="s">
        <v>327</v>
      </c>
      <c r="E837" t="s">
        <v>337</v>
      </c>
      <c r="F837" s="12">
        <v>214894</v>
      </c>
      <c r="G837" s="13">
        <v>21</v>
      </c>
      <c r="H837" t="s">
        <v>2724</v>
      </c>
      <c r="I837" s="8">
        <v>45945</v>
      </c>
      <c r="J837" t="s">
        <v>2665</v>
      </c>
      <c r="K837" t="s">
        <v>2666</v>
      </c>
      <c r="L837" s="13">
        <v>2500</v>
      </c>
      <c r="M837" t="s">
        <v>2661</v>
      </c>
    </row>
    <row r="838" spans="1:13">
      <c r="A838" t="s">
        <v>643</v>
      </c>
      <c r="B838" t="s">
        <v>211</v>
      </c>
      <c r="C838" s="8">
        <v>46261</v>
      </c>
      <c r="D838" t="s">
        <v>350</v>
      </c>
      <c r="E838" t="s">
        <v>337</v>
      </c>
      <c r="F838" s="12">
        <v>87104</v>
      </c>
      <c r="G838" s="13">
        <v>8</v>
      </c>
      <c r="H838" t="s">
        <v>2724</v>
      </c>
      <c r="I838" s="8">
        <v>45945</v>
      </c>
      <c r="J838" t="s">
        <v>2665</v>
      </c>
      <c r="K838" t="s">
        <v>2666</v>
      </c>
      <c r="L838" s="13">
        <v>2500</v>
      </c>
      <c r="M838" t="s">
        <v>2661</v>
      </c>
    </row>
    <row r="839" spans="1:13">
      <c r="A839" t="s">
        <v>1145</v>
      </c>
      <c r="B839" t="s">
        <v>211</v>
      </c>
      <c r="C839" s="8">
        <v>45938</v>
      </c>
      <c r="D839" t="s">
        <v>350</v>
      </c>
      <c r="E839" t="s">
        <v>334</v>
      </c>
      <c r="F839" s="12">
        <v>460911</v>
      </c>
      <c r="G839" s="13">
        <v>46</v>
      </c>
      <c r="H839" t="s">
        <v>2724</v>
      </c>
      <c r="I839" s="8">
        <v>45945</v>
      </c>
      <c r="J839" t="s">
        <v>2665</v>
      </c>
      <c r="K839" t="s">
        <v>2666</v>
      </c>
      <c r="L839" s="13">
        <v>2500</v>
      </c>
      <c r="M839" t="s">
        <v>2661</v>
      </c>
    </row>
    <row r="840" spans="1:13">
      <c r="A840" t="s">
        <v>380</v>
      </c>
      <c r="B840" t="s">
        <v>175</v>
      </c>
      <c r="C840" s="8">
        <v>45996</v>
      </c>
      <c r="D840" t="s">
        <v>330</v>
      </c>
      <c r="E840" t="s">
        <v>322</v>
      </c>
      <c r="F840" s="12">
        <v>78759</v>
      </c>
      <c r="G840" s="13">
        <v>7</v>
      </c>
      <c r="H840" t="s">
        <v>2880</v>
      </c>
      <c r="I840" s="8">
        <v>45944</v>
      </c>
      <c r="J840" t="s">
        <v>2674</v>
      </c>
      <c r="K840" t="s">
        <v>2675</v>
      </c>
      <c r="L840" s="13">
        <v>20000</v>
      </c>
      <c r="M840" t="s">
        <v>2661</v>
      </c>
    </row>
    <row r="841" spans="1:13">
      <c r="A841" t="s">
        <v>380</v>
      </c>
      <c r="B841" t="s">
        <v>175</v>
      </c>
      <c r="C841" s="8">
        <v>45996</v>
      </c>
      <c r="D841" t="s">
        <v>330</v>
      </c>
      <c r="E841" t="s">
        <v>322</v>
      </c>
      <c r="F841" s="12">
        <v>78759</v>
      </c>
      <c r="G841" s="13">
        <v>7</v>
      </c>
      <c r="H841" t="s">
        <v>2888</v>
      </c>
      <c r="I841" s="8">
        <v>45990</v>
      </c>
      <c r="J841" t="s">
        <v>2663</v>
      </c>
      <c r="K841" t="s">
        <v>3630</v>
      </c>
      <c r="L841" s="13">
        <v>1500</v>
      </c>
      <c r="M841" t="s">
        <v>2661</v>
      </c>
    </row>
    <row r="842" spans="1:13">
      <c r="A842" t="s">
        <v>705</v>
      </c>
      <c r="B842" t="s">
        <v>175</v>
      </c>
      <c r="C842" s="8">
        <v>46230</v>
      </c>
      <c r="D842" t="s">
        <v>350</v>
      </c>
      <c r="E842" t="s">
        <v>339</v>
      </c>
      <c r="F842" s="12">
        <v>1043999</v>
      </c>
      <c r="G842" s="13">
        <v>104</v>
      </c>
      <c r="H842" t="s">
        <v>2880</v>
      </c>
      <c r="I842" s="8">
        <v>45944</v>
      </c>
      <c r="J842" t="s">
        <v>2674</v>
      </c>
      <c r="K842" t="s">
        <v>2675</v>
      </c>
      <c r="L842" s="13">
        <v>20000</v>
      </c>
      <c r="M842" t="s">
        <v>2661</v>
      </c>
    </row>
    <row r="843" spans="1:13">
      <c r="A843" t="s">
        <v>705</v>
      </c>
      <c r="B843" t="s">
        <v>175</v>
      </c>
      <c r="C843" s="8">
        <v>46230</v>
      </c>
      <c r="D843" t="s">
        <v>350</v>
      </c>
      <c r="E843" t="s">
        <v>339</v>
      </c>
      <c r="F843" s="12">
        <v>1043999</v>
      </c>
      <c r="G843" s="13">
        <v>104</v>
      </c>
      <c r="H843" t="s">
        <v>2888</v>
      </c>
      <c r="I843" s="8">
        <v>45990</v>
      </c>
      <c r="J843" t="s">
        <v>2663</v>
      </c>
      <c r="K843" t="s">
        <v>3630</v>
      </c>
      <c r="L843" s="13">
        <v>1500</v>
      </c>
      <c r="M843" t="s">
        <v>2661</v>
      </c>
    </row>
    <row r="844" spans="1:13">
      <c r="A844" t="s">
        <v>848</v>
      </c>
      <c r="B844" t="s">
        <v>175</v>
      </c>
      <c r="C844" s="8">
        <v>46221</v>
      </c>
      <c r="D844" t="s">
        <v>327</v>
      </c>
      <c r="E844" t="s">
        <v>334</v>
      </c>
      <c r="F844" s="12">
        <v>313570</v>
      </c>
      <c r="G844" s="13">
        <v>31</v>
      </c>
      <c r="H844" t="s">
        <v>2880</v>
      </c>
      <c r="I844" s="8">
        <v>45944</v>
      </c>
      <c r="J844" t="s">
        <v>2674</v>
      </c>
      <c r="K844" t="s">
        <v>2675</v>
      </c>
      <c r="L844" s="13">
        <v>20000</v>
      </c>
      <c r="M844" t="s">
        <v>2661</v>
      </c>
    </row>
    <row r="845" spans="1:13">
      <c r="A845" t="s">
        <v>848</v>
      </c>
      <c r="B845" t="s">
        <v>175</v>
      </c>
      <c r="C845" s="8">
        <v>46221</v>
      </c>
      <c r="D845" t="s">
        <v>327</v>
      </c>
      <c r="E845" t="s">
        <v>334</v>
      </c>
      <c r="F845" s="12">
        <v>313570</v>
      </c>
      <c r="G845" s="13">
        <v>31</v>
      </c>
      <c r="H845" t="s">
        <v>2888</v>
      </c>
      <c r="I845" s="8">
        <v>45990</v>
      </c>
      <c r="J845" t="s">
        <v>2663</v>
      </c>
      <c r="K845" t="s">
        <v>3630</v>
      </c>
      <c r="L845" s="13">
        <v>1500</v>
      </c>
      <c r="M845" t="s">
        <v>2661</v>
      </c>
    </row>
    <row r="846" spans="1:13">
      <c r="A846" t="s">
        <v>1013</v>
      </c>
      <c r="B846" t="s">
        <v>175</v>
      </c>
      <c r="C846" s="8">
        <v>46076</v>
      </c>
      <c r="D846" t="s">
        <v>342</v>
      </c>
      <c r="E846" t="s">
        <v>328</v>
      </c>
      <c r="F846" s="12">
        <v>129406</v>
      </c>
      <c r="G846" s="13">
        <v>12</v>
      </c>
      <c r="H846" t="s">
        <v>2880</v>
      </c>
      <c r="I846" s="8">
        <v>45944</v>
      </c>
      <c r="J846" t="s">
        <v>2674</v>
      </c>
      <c r="K846" t="s">
        <v>2675</v>
      </c>
      <c r="L846" s="13">
        <v>20000</v>
      </c>
      <c r="M846" t="s">
        <v>2661</v>
      </c>
    </row>
    <row r="847" spans="1:13">
      <c r="A847" t="s">
        <v>1013</v>
      </c>
      <c r="B847" t="s">
        <v>175</v>
      </c>
      <c r="C847" s="8">
        <v>46076</v>
      </c>
      <c r="D847" t="s">
        <v>342</v>
      </c>
      <c r="E847" t="s">
        <v>328</v>
      </c>
      <c r="F847" s="12">
        <v>129406</v>
      </c>
      <c r="G847" s="13">
        <v>12</v>
      </c>
      <c r="H847" t="s">
        <v>2888</v>
      </c>
      <c r="I847" s="8">
        <v>45990</v>
      </c>
      <c r="J847" t="s">
        <v>2663</v>
      </c>
      <c r="K847" t="s">
        <v>3630</v>
      </c>
      <c r="L847" s="13">
        <v>1500</v>
      </c>
      <c r="M847" t="s">
        <v>2661</v>
      </c>
    </row>
    <row r="848" spans="1:13">
      <c r="A848" t="s">
        <v>640</v>
      </c>
      <c r="B848" t="s">
        <v>88</v>
      </c>
      <c r="C848" s="8">
        <v>46091</v>
      </c>
      <c r="D848" t="s">
        <v>332</v>
      </c>
      <c r="E848" t="s">
        <v>322</v>
      </c>
      <c r="F848" s="12">
        <v>492383</v>
      </c>
      <c r="G848" s="13">
        <v>49</v>
      </c>
      <c r="H848" t="s">
        <v>2726</v>
      </c>
      <c r="I848" s="8">
        <v>46247</v>
      </c>
      <c r="J848" t="s">
        <v>2668</v>
      </c>
      <c r="K848" t="s">
        <v>2669</v>
      </c>
      <c r="L848" s="13">
        <v>4000</v>
      </c>
      <c r="M848" t="s">
        <v>2661</v>
      </c>
    </row>
    <row r="849" spans="1:13">
      <c r="A849" t="s">
        <v>677</v>
      </c>
      <c r="B849" t="s">
        <v>88</v>
      </c>
      <c r="C849" s="8">
        <v>46056</v>
      </c>
      <c r="D849" t="s">
        <v>321</v>
      </c>
      <c r="E849" t="s">
        <v>339</v>
      </c>
      <c r="F849" s="12">
        <v>427645</v>
      </c>
      <c r="G849" s="13">
        <v>42</v>
      </c>
      <c r="H849" t="s">
        <v>2726</v>
      </c>
      <c r="I849" s="8">
        <v>46247</v>
      </c>
      <c r="J849" t="s">
        <v>2668</v>
      </c>
      <c r="K849" t="s">
        <v>2669</v>
      </c>
      <c r="L849" s="13">
        <v>4000</v>
      </c>
      <c r="M849" t="s">
        <v>2661</v>
      </c>
    </row>
    <row r="850" spans="1:13">
      <c r="A850" t="s">
        <v>729</v>
      </c>
      <c r="B850" t="s">
        <v>88</v>
      </c>
      <c r="C850" s="8">
        <v>46009</v>
      </c>
      <c r="D850" t="s">
        <v>330</v>
      </c>
      <c r="E850" t="s">
        <v>334</v>
      </c>
      <c r="F850" s="12">
        <v>625288</v>
      </c>
      <c r="G850" s="13">
        <v>62</v>
      </c>
      <c r="H850" t="s">
        <v>2726</v>
      </c>
      <c r="I850" s="8">
        <v>46247</v>
      </c>
      <c r="J850" t="s">
        <v>2668</v>
      </c>
      <c r="K850" t="s">
        <v>2669</v>
      </c>
      <c r="L850" s="13">
        <v>4000</v>
      </c>
      <c r="M850" t="s">
        <v>2661</v>
      </c>
    </row>
    <row r="851" spans="1:13">
      <c r="A851" t="s">
        <v>383</v>
      </c>
      <c r="B851" t="s">
        <v>56</v>
      </c>
      <c r="C851" s="8">
        <v>46159</v>
      </c>
      <c r="D851" t="s">
        <v>332</v>
      </c>
      <c r="E851" t="s">
        <v>328</v>
      </c>
      <c r="F851" s="12">
        <v>36111</v>
      </c>
      <c r="G851" s="13">
        <v>3</v>
      </c>
      <c r="H851" t="s">
        <v>2992</v>
      </c>
      <c r="I851" s="8">
        <v>46136</v>
      </c>
      <c r="J851" t="s">
        <v>2668</v>
      </c>
      <c r="K851" t="s">
        <v>2669</v>
      </c>
      <c r="L851" s="13">
        <v>4000</v>
      </c>
      <c r="M851" t="s">
        <v>2676</v>
      </c>
    </row>
    <row r="852" spans="1:13">
      <c r="A852" t="s">
        <v>383</v>
      </c>
      <c r="B852" t="s">
        <v>56</v>
      </c>
      <c r="C852" s="8">
        <v>46159</v>
      </c>
      <c r="D852" t="s">
        <v>332</v>
      </c>
      <c r="E852" t="s">
        <v>328</v>
      </c>
      <c r="F852" s="12">
        <v>36111</v>
      </c>
      <c r="G852" s="13">
        <v>3</v>
      </c>
      <c r="H852" t="s">
        <v>3314</v>
      </c>
      <c r="I852" s="8">
        <v>46227</v>
      </c>
      <c r="J852" t="s">
        <v>2674</v>
      </c>
      <c r="K852" t="s">
        <v>2675</v>
      </c>
      <c r="L852" s="13">
        <v>20000</v>
      </c>
      <c r="M852" t="s">
        <v>2676</v>
      </c>
    </row>
    <row r="853" spans="1:13">
      <c r="A853" t="s">
        <v>1167</v>
      </c>
      <c r="B853" t="s">
        <v>56</v>
      </c>
      <c r="C853" s="8">
        <v>46095</v>
      </c>
      <c r="D853" t="s">
        <v>342</v>
      </c>
      <c r="E853" t="s">
        <v>322</v>
      </c>
      <c r="F853" s="12">
        <v>302929</v>
      </c>
      <c r="G853" s="13">
        <v>30</v>
      </c>
      <c r="H853" t="s">
        <v>2992</v>
      </c>
      <c r="I853" s="8">
        <v>46136</v>
      </c>
      <c r="J853" t="s">
        <v>2668</v>
      </c>
      <c r="K853" t="s">
        <v>2669</v>
      </c>
      <c r="L853" s="13">
        <v>4000</v>
      </c>
      <c r="M853" t="s">
        <v>2676</v>
      </c>
    </row>
    <row r="854" spans="1:13">
      <c r="A854" t="s">
        <v>1167</v>
      </c>
      <c r="B854" t="s">
        <v>56</v>
      </c>
      <c r="C854" s="8">
        <v>46095</v>
      </c>
      <c r="D854" t="s">
        <v>342</v>
      </c>
      <c r="E854" t="s">
        <v>322</v>
      </c>
      <c r="F854" s="12">
        <v>302929</v>
      </c>
      <c r="G854" s="13">
        <v>30</v>
      </c>
      <c r="H854" t="s">
        <v>3314</v>
      </c>
      <c r="I854" s="8">
        <v>46227</v>
      </c>
      <c r="J854" t="s">
        <v>2674</v>
      </c>
      <c r="K854" t="s">
        <v>2675</v>
      </c>
      <c r="L854" s="13">
        <v>20000</v>
      </c>
      <c r="M854" t="s">
        <v>2676</v>
      </c>
    </row>
    <row r="855" spans="1:13">
      <c r="A855" t="s">
        <v>477</v>
      </c>
      <c r="B855" t="s">
        <v>103</v>
      </c>
      <c r="C855" s="8">
        <v>46030</v>
      </c>
      <c r="D855" t="s">
        <v>332</v>
      </c>
      <c r="E855" t="s">
        <v>339</v>
      </c>
      <c r="F855" s="12">
        <v>456392</v>
      </c>
      <c r="G855" s="13">
        <v>45</v>
      </c>
      <c r="H855" t="s">
        <v>2729</v>
      </c>
      <c r="I855" s="8">
        <v>45974</v>
      </c>
      <c r="J855" t="s">
        <v>2692</v>
      </c>
      <c r="K855" t="s">
        <v>2693</v>
      </c>
      <c r="L855" s="13">
        <v>10000</v>
      </c>
      <c r="M855" t="s">
        <v>2661</v>
      </c>
    </row>
    <row r="856" spans="1:13">
      <c r="A856" t="s">
        <v>477</v>
      </c>
      <c r="B856" t="s">
        <v>103</v>
      </c>
      <c r="C856" s="8">
        <v>46030</v>
      </c>
      <c r="D856" t="s">
        <v>332</v>
      </c>
      <c r="E856" t="s">
        <v>339</v>
      </c>
      <c r="F856" s="12">
        <v>456392</v>
      </c>
      <c r="G856" s="13">
        <v>45</v>
      </c>
      <c r="H856" t="s">
        <v>2768</v>
      </c>
      <c r="I856" s="8">
        <v>46048</v>
      </c>
      <c r="J856" t="s">
        <v>2682</v>
      </c>
      <c r="K856" t="s">
        <v>2683</v>
      </c>
      <c r="L856" s="13">
        <v>6000</v>
      </c>
      <c r="M856" t="s">
        <v>2661</v>
      </c>
    </row>
    <row r="857" spans="1:13">
      <c r="A857" t="s">
        <v>477</v>
      </c>
      <c r="B857" t="s">
        <v>103</v>
      </c>
      <c r="C857" s="8">
        <v>46030</v>
      </c>
      <c r="D857" t="s">
        <v>332</v>
      </c>
      <c r="E857" t="s">
        <v>339</v>
      </c>
      <c r="F857" s="12">
        <v>456392</v>
      </c>
      <c r="G857" s="13">
        <v>45</v>
      </c>
      <c r="H857" t="s">
        <v>3094</v>
      </c>
      <c r="I857" s="8">
        <v>46015</v>
      </c>
      <c r="J857" t="s">
        <v>2665</v>
      </c>
      <c r="K857" t="s">
        <v>2666</v>
      </c>
      <c r="L857" s="13">
        <v>2500</v>
      </c>
      <c r="M857" t="s">
        <v>2661</v>
      </c>
    </row>
    <row r="858" spans="1:13">
      <c r="A858" t="s">
        <v>477</v>
      </c>
      <c r="B858" t="s">
        <v>103</v>
      </c>
      <c r="C858" s="8">
        <v>46030</v>
      </c>
      <c r="D858" t="s">
        <v>332</v>
      </c>
      <c r="E858" t="s">
        <v>339</v>
      </c>
      <c r="F858" s="12">
        <v>456392</v>
      </c>
      <c r="G858" s="13">
        <v>45</v>
      </c>
      <c r="H858" t="s">
        <v>3371</v>
      </c>
      <c r="I858" s="8">
        <v>46261</v>
      </c>
      <c r="J858" t="s">
        <v>2674</v>
      </c>
      <c r="K858" t="s">
        <v>2675</v>
      </c>
      <c r="L858" s="13">
        <v>20000</v>
      </c>
      <c r="M858" t="s">
        <v>2676</v>
      </c>
    </row>
    <row r="859" spans="1:13">
      <c r="A859" t="s">
        <v>477</v>
      </c>
      <c r="B859" t="s">
        <v>103</v>
      </c>
      <c r="C859" s="8">
        <v>46030</v>
      </c>
      <c r="D859" t="s">
        <v>332</v>
      </c>
      <c r="E859" t="s">
        <v>339</v>
      </c>
      <c r="F859" s="12">
        <v>456392</v>
      </c>
      <c r="G859" s="13">
        <v>45</v>
      </c>
      <c r="H859" t="s">
        <v>3394</v>
      </c>
      <c r="I859" s="8">
        <v>46193</v>
      </c>
      <c r="J859" t="s">
        <v>2659</v>
      </c>
      <c r="K859" t="s">
        <v>2660</v>
      </c>
      <c r="L859" s="13">
        <v>3500</v>
      </c>
      <c r="M859" t="s">
        <v>2676</v>
      </c>
    </row>
    <row r="860" spans="1:13">
      <c r="A860" t="s">
        <v>477</v>
      </c>
      <c r="B860" t="s">
        <v>103</v>
      </c>
      <c r="C860" s="8">
        <v>46030</v>
      </c>
      <c r="D860" t="s">
        <v>332</v>
      </c>
      <c r="E860" t="s">
        <v>339</v>
      </c>
      <c r="F860" s="12">
        <v>456392</v>
      </c>
      <c r="G860" s="13">
        <v>45</v>
      </c>
      <c r="H860" t="s">
        <v>3445</v>
      </c>
      <c r="I860" s="8">
        <v>46231</v>
      </c>
      <c r="J860" t="s">
        <v>2688</v>
      </c>
      <c r="K860" t="s">
        <v>2689</v>
      </c>
      <c r="L860" s="13">
        <v>8000</v>
      </c>
      <c r="M860" t="s">
        <v>2661</v>
      </c>
    </row>
    <row r="861" spans="1:13">
      <c r="A861" t="s">
        <v>477</v>
      </c>
      <c r="B861" t="s">
        <v>103</v>
      </c>
      <c r="C861" s="8">
        <v>46030</v>
      </c>
      <c r="D861" t="s">
        <v>332</v>
      </c>
      <c r="E861" t="s">
        <v>339</v>
      </c>
      <c r="F861" s="12">
        <v>456392</v>
      </c>
      <c r="G861" s="13">
        <v>45</v>
      </c>
      <c r="H861" t="s">
        <v>3522</v>
      </c>
      <c r="I861" s="8">
        <v>45989</v>
      </c>
      <c r="J861" t="s">
        <v>2665</v>
      </c>
      <c r="K861" t="s">
        <v>2666</v>
      </c>
      <c r="L861" s="13">
        <v>2500</v>
      </c>
      <c r="M861" t="s">
        <v>2661</v>
      </c>
    </row>
    <row r="862" spans="1:13">
      <c r="A862" t="s">
        <v>477</v>
      </c>
      <c r="B862" t="s">
        <v>103</v>
      </c>
      <c r="C862" s="8">
        <v>46030</v>
      </c>
      <c r="D862" t="s">
        <v>332</v>
      </c>
      <c r="E862" t="s">
        <v>339</v>
      </c>
      <c r="F862" s="12">
        <v>456392</v>
      </c>
      <c r="G862" s="13">
        <v>45</v>
      </c>
      <c r="H862" t="s">
        <v>3539</v>
      </c>
      <c r="I862" s="8">
        <v>46041</v>
      </c>
      <c r="J862" t="s">
        <v>2682</v>
      </c>
      <c r="K862" t="s">
        <v>2683</v>
      </c>
      <c r="L862" s="13">
        <v>6000</v>
      </c>
      <c r="M862" t="s">
        <v>2661</v>
      </c>
    </row>
    <row r="863" spans="1:13">
      <c r="A863" t="s">
        <v>385</v>
      </c>
      <c r="B863" t="s">
        <v>242</v>
      </c>
      <c r="C863" s="8">
        <v>46030</v>
      </c>
      <c r="D863" t="s">
        <v>327</v>
      </c>
      <c r="E863" t="s">
        <v>334</v>
      </c>
      <c r="F863" s="12">
        <v>199635</v>
      </c>
      <c r="G863" s="13">
        <v>19</v>
      </c>
      <c r="H863" t="s">
        <v>3385</v>
      </c>
      <c r="I863" s="8">
        <v>46148</v>
      </c>
      <c r="J863" t="s">
        <v>2663</v>
      </c>
      <c r="K863" t="s">
        <v>3630</v>
      </c>
      <c r="L863" s="13">
        <v>1500</v>
      </c>
      <c r="M863" t="s">
        <v>2661</v>
      </c>
    </row>
    <row r="864" spans="1:13">
      <c r="A864" t="s">
        <v>607</v>
      </c>
      <c r="B864" t="s">
        <v>242</v>
      </c>
      <c r="C864" s="8">
        <v>46133</v>
      </c>
      <c r="D864" t="s">
        <v>344</v>
      </c>
      <c r="E864" t="s">
        <v>328</v>
      </c>
      <c r="F864" s="12">
        <v>788659</v>
      </c>
      <c r="G864" s="13">
        <v>78</v>
      </c>
      <c r="H864" t="s">
        <v>3385</v>
      </c>
      <c r="I864" s="8">
        <v>46148</v>
      </c>
      <c r="J864" t="s">
        <v>2663</v>
      </c>
      <c r="K864" t="s">
        <v>3630</v>
      </c>
      <c r="L864" s="13">
        <v>1500</v>
      </c>
      <c r="M864" t="s">
        <v>2661</v>
      </c>
    </row>
    <row r="865" spans="1:13">
      <c r="A865" t="s">
        <v>386</v>
      </c>
      <c r="B865" t="s">
        <v>205</v>
      </c>
      <c r="C865" s="8">
        <v>46080</v>
      </c>
      <c r="D865" t="s">
        <v>330</v>
      </c>
      <c r="E865" t="s">
        <v>322</v>
      </c>
      <c r="F865" s="12">
        <v>368526</v>
      </c>
      <c r="G865" s="13">
        <v>36</v>
      </c>
      <c r="H865" t="s">
        <v>3241</v>
      </c>
      <c r="I865" s="8">
        <v>45972</v>
      </c>
      <c r="J865" t="s">
        <v>2671</v>
      </c>
      <c r="K865" t="s">
        <v>2672</v>
      </c>
      <c r="L865" s="13">
        <v>3000</v>
      </c>
      <c r="M865" t="s">
        <v>2676</v>
      </c>
    </row>
    <row r="866" spans="1:13">
      <c r="A866" t="s">
        <v>485</v>
      </c>
      <c r="B866" t="s">
        <v>205</v>
      </c>
      <c r="C866" s="8">
        <v>46164</v>
      </c>
      <c r="D866" t="s">
        <v>332</v>
      </c>
      <c r="E866" t="s">
        <v>339</v>
      </c>
      <c r="F866" s="12">
        <v>149794</v>
      </c>
      <c r="G866" s="13">
        <v>14</v>
      </c>
      <c r="H866" t="s">
        <v>3241</v>
      </c>
      <c r="I866" s="8">
        <v>45972</v>
      </c>
      <c r="J866" t="s">
        <v>2671</v>
      </c>
      <c r="K866" t="s">
        <v>2672</v>
      </c>
      <c r="L866" s="13">
        <v>3000</v>
      </c>
      <c r="M866" t="s">
        <v>2676</v>
      </c>
    </row>
    <row r="867" spans="1:13">
      <c r="A867" t="s">
        <v>652</v>
      </c>
      <c r="B867" t="s">
        <v>205</v>
      </c>
      <c r="C867" s="8">
        <v>46027</v>
      </c>
      <c r="D867" t="s">
        <v>342</v>
      </c>
      <c r="E867" t="s">
        <v>328</v>
      </c>
      <c r="F867" s="12">
        <v>161312</v>
      </c>
      <c r="G867" s="13">
        <v>16</v>
      </c>
      <c r="H867" t="s">
        <v>3241</v>
      </c>
      <c r="I867" s="8">
        <v>45972</v>
      </c>
      <c r="J867" t="s">
        <v>2671</v>
      </c>
      <c r="K867" t="s">
        <v>2672</v>
      </c>
      <c r="L867" s="13">
        <v>3000</v>
      </c>
      <c r="M867" t="s">
        <v>2676</v>
      </c>
    </row>
    <row r="868" spans="1:13">
      <c r="A868" t="s">
        <v>675</v>
      </c>
      <c r="B868" t="s">
        <v>205</v>
      </c>
      <c r="C868" s="8">
        <v>46244</v>
      </c>
      <c r="D868" t="s">
        <v>324</v>
      </c>
      <c r="E868" t="s">
        <v>334</v>
      </c>
      <c r="F868" s="12">
        <v>25000</v>
      </c>
      <c r="G868" s="13">
        <v>2</v>
      </c>
      <c r="H868" t="s">
        <v>3241</v>
      </c>
      <c r="I868" s="8">
        <v>45972</v>
      </c>
      <c r="J868" t="s">
        <v>2671</v>
      </c>
      <c r="K868" t="s">
        <v>2672</v>
      </c>
      <c r="L868" s="13">
        <v>3000</v>
      </c>
      <c r="M868" t="s">
        <v>2676</v>
      </c>
    </row>
    <row r="869" spans="1:13">
      <c r="A869" t="s">
        <v>810</v>
      </c>
      <c r="B869" t="s">
        <v>205</v>
      </c>
      <c r="C869" s="8">
        <v>45935</v>
      </c>
      <c r="D869" t="s">
        <v>321</v>
      </c>
      <c r="E869" t="s">
        <v>325</v>
      </c>
      <c r="F869" s="12">
        <v>337768</v>
      </c>
      <c r="G869" s="13">
        <v>33</v>
      </c>
      <c r="H869" t="s">
        <v>3241</v>
      </c>
      <c r="I869" s="8">
        <v>45972</v>
      </c>
      <c r="J869" t="s">
        <v>2671</v>
      </c>
      <c r="K869" t="s">
        <v>2672</v>
      </c>
      <c r="L869" s="13">
        <v>3000</v>
      </c>
      <c r="M869" t="s">
        <v>2676</v>
      </c>
    </row>
    <row r="870" spans="1:13">
      <c r="A870" t="s">
        <v>982</v>
      </c>
      <c r="B870" t="s">
        <v>205</v>
      </c>
      <c r="C870" s="8">
        <v>46142</v>
      </c>
      <c r="D870" t="s">
        <v>324</v>
      </c>
      <c r="E870" t="s">
        <v>328</v>
      </c>
      <c r="F870" s="12">
        <v>135153</v>
      </c>
      <c r="G870" s="13">
        <v>13</v>
      </c>
      <c r="H870" t="s">
        <v>3241</v>
      </c>
      <c r="I870" s="8">
        <v>45972</v>
      </c>
      <c r="J870" t="s">
        <v>2671</v>
      </c>
      <c r="K870" t="s">
        <v>2672</v>
      </c>
      <c r="L870" s="13">
        <v>3000</v>
      </c>
      <c r="M870" t="s">
        <v>2676</v>
      </c>
    </row>
    <row r="871" spans="1:13">
      <c r="A871" t="s">
        <v>1178</v>
      </c>
      <c r="B871" t="s">
        <v>205</v>
      </c>
      <c r="C871" s="8">
        <v>46211</v>
      </c>
      <c r="D871" t="s">
        <v>327</v>
      </c>
      <c r="E871" t="s">
        <v>328</v>
      </c>
      <c r="F871" s="12">
        <v>571498</v>
      </c>
      <c r="G871" s="13">
        <v>57</v>
      </c>
      <c r="H871" t="s">
        <v>3241</v>
      </c>
      <c r="I871" s="8">
        <v>45972</v>
      </c>
      <c r="J871" t="s">
        <v>2671</v>
      </c>
      <c r="K871" t="s">
        <v>2672</v>
      </c>
      <c r="L871" s="13">
        <v>3000</v>
      </c>
      <c r="M871" t="s">
        <v>2676</v>
      </c>
    </row>
    <row r="872" spans="1:13">
      <c r="A872" t="s">
        <v>1196</v>
      </c>
      <c r="B872" t="s">
        <v>205</v>
      </c>
      <c r="C872" s="8">
        <v>46261</v>
      </c>
      <c r="D872" t="s">
        <v>332</v>
      </c>
      <c r="E872" t="s">
        <v>325</v>
      </c>
      <c r="F872" s="12">
        <v>108963</v>
      </c>
      <c r="G872" s="13">
        <v>10</v>
      </c>
      <c r="H872" t="s">
        <v>3241</v>
      </c>
      <c r="I872" s="8">
        <v>45972</v>
      </c>
      <c r="J872" t="s">
        <v>2671</v>
      </c>
      <c r="K872" t="s">
        <v>2672</v>
      </c>
      <c r="L872" s="13">
        <v>3000</v>
      </c>
      <c r="M872" t="s">
        <v>2676</v>
      </c>
    </row>
    <row r="873" spans="1:13">
      <c r="A873" t="s">
        <v>1168</v>
      </c>
      <c r="B873" t="s">
        <v>192</v>
      </c>
      <c r="C873" s="8">
        <v>46034</v>
      </c>
      <c r="D873" t="s">
        <v>324</v>
      </c>
      <c r="E873" t="s">
        <v>328</v>
      </c>
      <c r="F873" s="12">
        <v>373169</v>
      </c>
      <c r="G873" s="13">
        <v>37</v>
      </c>
      <c r="H873" t="s">
        <v>2732</v>
      </c>
      <c r="I873" s="8">
        <v>46282</v>
      </c>
      <c r="J873" t="s">
        <v>2668</v>
      </c>
      <c r="K873" t="s">
        <v>2669</v>
      </c>
      <c r="L873" s="13">
        <v>4000</v>
      </c>
      <c r="M873" t="s">
        <v>2661</v>
      </c>
    </row>
    <row r="874" spans="1:13">
      <c r="A874" t="s">
        <v>1168</v>
      </c>
      <c r="B874" t="s">
        <v>192</v>
      </c>
      <c r="C874" s="8">
        <v>46034</v>
      </c>
      <c r="D874" t="s">
        <v>324</v>
      </c>
      <c r="E874" t="s">
        <v>328</v>
      </c>
      <c r="F874" s="12">
        <v>373169</v>
      </c>
      <c r="G874" s="13">
        <v>37</v>
      </c>
      <c r="H874" t="s">
        <v>3058</v>
      </c>
      <c r="I874" s="8">
        <v>45947</v>
      </c>
      <c r="J874" t="s">
        <v>2692</v>
      </c>
      <c r="K874" t="s">
        <v>2693</v>
      </c>
      <c r="L874" s="13">
        <v>10000</v>
      </c>
      <c r="M874" t="s">
        <v>2661</v>
      </c>
    </row>
    <row r="875" spans="1:13">
      <c r="A875" t="s">
        <v>1168</v>
      </c>
      <c r="B875" t="s">
        <v>192</v>
      </c>
      <c r="C875" s="8">
        <v>46034</v>
      </c>
      <c r="D875" t="s">
        <v>324</v>
      </c>
      <c r="E875" t="s">
        <v>328</v>
      </c>
      <c r="F875" s="12">
        <v>373169</v>
      </c>
      <c r="G875" s="13">
        <v>37</v>
      </c>
      <c r="H875" t="s">
        <v>3062</v>
      </c>
      <c r="I875" s="8">
        <v>45992</v>
      </c>
      <c r="J875" t="s">
        <v>2659</v>
      </c>
      <c r="K875" t="s">
        <v>2660</v>
      </c>
      <c r="L875" s="13">
        <v>3500</v>
      </c>
      <c r="M875" t="s">
        <v>2661</v>
      </c>
    </row>
    <row r="876" spans="1:13">
      <c r="A876" t="s">
        <v>1168</v>
      </c>
      <c r="B876" t="s">
        <v>192</v>
      </c>
      <c r="C876" s="8">
        <v>46034</v>
      </c>
      <c r="D876" t="s">
        <v>324</v>
      </c>
      <c r="E876" t="s">
        <v>328</v>
      </c>
      <c r="F876" s="12">
        <v>373169</v>
      </c>
      <c r="G876" s="13">
        <v>37</v>
      </c>
      <c r="H876" t="s">
        <v>3290</v>
      </c>
      <c r="I876" s="8">
        <v>46248</v>
      </c>
      <c r="J876" t="s">
        <v>2692</v>
      </c>
      <c r="K876" t="s">
        <v>2693</v>
      </c>
      <c r="L876" s="13">
        <v>10000</v>
      </c>
      <c r="M876" t="s">
        <v>2661</v>
      </c>
    </row>
    <row r="877" spans="1:13">
      <c r="A877" t="s">
        <v>1168</v>
      </c>
      <c r="B877" t="s">
        <v>192</v>
      </c>
      <c r="C877" s="8">
        <v>46034</v>
      </c>
      <c r="D877" t="s">
        <v>324</v>
      </c>
      <c r="E877" t="s">
        <v>328</v>
      </c>
      <c r="F877" s="12">
        <v>373169</v>
      </c>
      <c r="G877" s="13">
        <v>37</v>
      </c>
      <c r="H877" t="s">
        <v>3376</v>
      </c>
      <c r="I877" s="8">
        <v>46286</v>
      </c>
      <c r="J877" t="s">
        <v>2663</v>
      </c>
      <c r="K877" t="s">
        <v>3630</v>
      </c>
      <c r="L877" s="13">
        <v>1500</v>
      </c>
      <c r="M877" t="s">
        <v>2661</v>
      </c>
    </row>
    <row r="878" spans="1:13">
      <c r="A878" t="s">
        <v>388</v>
      </c>
      <c r="B878" t="s">
        <v>173</v>
      </c>
      <c r="C878" s="8">
        <v>46277</v>
      </c>
      <c r="D878" t="s">
        <v>327</v>
      </c>
      <c r="E878" t="s">
        <v>322</v>
      </c>
      <c r="F878" s="12">
        <v>446506</v>
      </c>
      <c r="G878" s="13">
        <v>44</v>
      </c>
      <c r="H878" t="s">
        <v>2961</v>
      </c>
      <c r="I878" s="8">
        <v>46293</v>
      </c>
      <c r="J878" t="s">
        <v>2663</v>
      </c>
      <c r="K878" t="s">
        <v>3630</v>
      </c>
      <c r="L878" s="13">
        <v>1500</v>
      </c>
      <c r="M878" t="s">
        <v>2661</v>
      </c>
    </row>
    <row r="879" spans="1:13">
      <c r="A879" t="s">
        <v>388</v>
      </c>
      <c r="B879" t="s">
        <v>173</v>
      </c>
      <c r="C879" s="8">
        <v>46277</v>
      </c>
      <c r="D879" t="s">
        <v>327</v>
      </c>
      <c r="E879" t="s">
        <v>322</v>
      </c>
      <c r="F879" s="12">
        <v>446506</v>
      </c>
      <c r="G879" s="13">
        <v>44</v>
      </c>
      <c r="H879" t="s">
        <v>3113</v>
      </c>
      <c r="I879" s="8">
        <v>46105</v>
      </c>
      <c r="J879" t="s">
        <v>2663</v>
      </c>
      <c r="K879" t="s">
        <v>3630</v>
      </c>
      <c r="L879" s="13">
        <v>1500</v>
      </c>
      <c r="M879" t="s">
        <v>2661</v>
      </c>
    </row>
    <row r="880" spans="1:13">
      <c r="A880" t="s">
        <v>388</v>
      </c>
      <c r="B880" t="s">
        <v>173</v>
      </c>
      <c r="C880" s="8">
        <v>46277</v>
      </c>
      <c r="D880" t="s">
        <v>327</v>
      </c>
      <c r="E880" t="s">
        <v>322</v>
      </c>
      <c r="F880" s="12">
        <v>446506</v>
      </c>
      <c r="G880" s="13">
        <v>44</v>
      </c>
      <c r="H880" t="s">
        <v>3225</v>
      </c>
      <c r="I880" s="8">
        <v>46285</v>
      </c>
      <c r="J880" t="s">
        <v>2665</v>
      </c>
      <c r="K880" t="s">
        <v>2666</v>
      </c>
      <c r="L880" s="13">
        <v>2500</v>
      </c>
      <c r="M880" t="s">
        <v>2676</v>
      </c>
    </row>
    <row r="881" spans="1:13">
      <c r="A881" t="s">
        <v>388</v>
      </c>
      <c r="B881" t="s">
        <v>173</v>
      </c>
      <c r="C881" s="8">
        <v>46277</v>
      </c>
      <c r="D881" t="s">
        <v>327</v>
      </c>
      <c r="E881" t="s">
        <v>322</v>
      </c>
      <c r="F881" s="12">
        <v>446506</v>
      </c>
      <c r="G881" s="13">
        <v>44</v>
      </c>
      <c r="H881" t="s">
        <v>3228</v>
      </c>
      <c r="I881" s="8">
        <v>46163</v>
      </c>
      <c r="J881" t="s">
        <v>2659</v>
      </c>
      <c r="K881" t="s">
        <v>2660</v>
      </c>
      <c r="L881" s="13">
        <v>3500</v>
      </c>
      <c r="M881" t="s">
        <v>2661</v>
      </c>
    </row>
    <row r="882" spans="1:13">
      <c r="A882" t="s">
        <v>546</v>
      </c>
      <c r="B882" t="s">
        <v>173</v>
      </c>
      <c r="C882" s="8">
        <v>46214</v>
      </c>
      <c r="D882" t="s">
        <v>350</v>
      </c>
      <c r="E882" t="s">
        <v>322</v>
      </c>
      <c r="F882" s="12">
        <v>764904</v>
      </c>
      <c r="G882" s="13">
        <v>76</v>
      </c>
      <c r="H882" t="s">
        <v>2961</v>
      </c>
      <c r="I882" s="8">
        <v>46293</v>
      </c>
      <c r="J882" t="s">
        <v>2663</v>
      </c>
      <c r="K882" t="s">
        <v>3630</v>
      </c>
      <c r="L882" s="13">
        <v>1500</v>
      </c>
      <c r="M882" t="s">
        <v>2661</v>
      </c>
    </row>
    <row r="883" spans="1:13">
      <c r="A883" t="s">
        <v>546</v>
      </c>
      <c r="B883" t="s">
        <v>173</v>
      </c>
      <c r="C883" s="8">
        <v>46214</v>
      </c>
      <c r="D883" t="s">
        <v>350</v>
      </c>
      <c r="E883" t="s">
        <v>322</v>
      </c>
      <c r="F883" s="12">
        <v>764904</v>
      </c>
      <c r="G883" s="13">
        <v>76</v>
      </c>
      <c r="H883" t="s">
        <v>3113</v>
      </c>
      <c r="I883" s="8">
        <v>46105</v>
      </c>
      <c r="J883" t="s">
        <v>2663</v>
      </c>
      <c r="K883" t="s">
        <v>3630</v>
      </c>
      <c r="L883" s="13">
        <v>1500</v>
      </c>
      <c r="M883" t="s">
        <v>2661</v>
      </c>
    </row>
    <row r="884" spans="1:13">
      <c r="A884" t="s">
        <v>546</v>
      </c>
      <c r="B884" t="s">
        <v>173</v>
      </c>
      <c r="C884" s="8">
        <v>46214</v>
      </c>
      <c r="D884" t="s">
        <v>350</v>
      </c>
      <c r="E884" t="s">
        <v>322</v>
      </c>
      <c r="F884" s="12">
        <v>764904</v>
      </c>
      <c r="G884" s="13">
        <v>76</v>
      </c>
      <c r="H884" t="s">
        <v>3225</v>
      </c>
      <c r="I884" s="8">
        <v>46285</v>
      </c>
      <c r="J884" t="s">
        <v>2665</v>
      </c>
      <c r="K884" t="s">
        <v>2666</v>
      </c>
      <c r="L884" s="13">
        <v>2500</v>
      </c>
      <c r="M884" t="s">
        <v>2676</v>
      </c>
    </row>
    <row r="885" spans="1:13">
      <c r="A885" t="s">
        <v>546</v>
      </c>
      <c r="B885" t="s">
        <v>173</v>
      </c>
      <c r="C885" s="8">
        <v>46214</v>
      </c>
      <c r="D885" t="s">
        <v>350</v>
      </c>
      <c r="E885" t="s">
        <v>322</v>
      </c>
      <c r="F885" s="12">
        <v>764904</v>
      </c>
      <c r="G885" s="13">
        <v>76</v>
      </c>
      <c r="H885" t="s">
        <v>3228</v>
      </c>
      <c r="I885" s="8">
        <v>46163</v>
      </c>
      <c r="J885" t="s">
        <v>2659</v>
      </c>
      <c r="K885" t="s">
        <v>2660</v>
      </c>
      <c r="L885" s="13">
        <v>3500</v>
      </c>
      <c r="M885" t="s">
        <v>2661</v>
      </c>
    </row>
    <row r="886" spans="1:13">
      <c r="A886" t="s">
        <v>601</v>
      </c>
      <c r="B886" t="s">
        <v>173</v>
      </c>
      <c r="C886" s="8">
        <v>46236</v>
      </c>
      <c r="D886" t="s">
        <v>332</v>
      </c>
      <c r="E886" t="s">
        <v>339</v>
      </c>
      <c r="F886" s="12">
        <v>164700</v>
      </c>
      <c r="G886" s="13">
        <v>16</v>
      </c>
      <c r="H886" t="s">
        <v>2961</v>
      </c>
      <c r="I886" s="8">
        <v>46293</v>
      </c>
      <c r="J886" t="s">
        <v>2663</v>
      </c>
      <c r="K886" t="s">
        <v>3630</v>
      </c>
      <c r="L886" s="13">
        <v>1500</v>
      </c>
      <c r="M886" t="s">
        <v>2661</v>
      </c>
    </row>
    <row r="887" spans="1:13">
      <c r="A887" t="s">
        <v>601</v>
      </c>
      <c r="B887" t="s">
        <v>173</v>
      </c>
      <c r="C887" s="8">
        <v>46236</v>
      </c>
      <c r="D887" t="s">
        <v>332</v>
      </c>
      <c r="E887" t="s">
        <v>339</v>
      </c>
      <c r="F887" s="12">
        <v>164700</v>
      </c>
      <c r="G887" s="13">
        <v>16</v>
      </c>
      <c r="H887" t="s">
        <v>3113</v>
      </c>
      <c r="I887" s="8">
        <v>46105</v>
      </c>
      <c r="J887" t="s">
        <v>2663</v>
      </c>
      <c r="K887" t="s">
        <v>3630</v>
      </c>
      <c r="L887" s="13">
        <v>1500</v>
      </c>
      <c r="M887" t="s">
        <v>2661</v>
      </c>
    </row>
    <row r="888" spans="1:13">
      <c r="A888" t="s">
        <v>601</v>
      </c>
      <c r="B888" t="s">
        <v>173</v>
      </c>
      <c r="C888" s="8">
        <v>46236</v>
      </c>
      <c r="D888" t="s">
        <v>332</v>
      </c>
      <c r="E888" t="s">
        <v>339</v>
      </c>
      <c r="F888" s="12">
        <v>164700</v>
      </c>
      <c r="G888" s="13">
        <v>16</v>
      </c>
      <c r="H888" t="s">
        <v>3225</v>
      </c>
      <c r="I888" s="8">
        <v>46285</v>
      </c>
      <c r="J888" t="s">
        <v>2665</v>
      </c>
      <c r="K888" t="s">
        <v>2666</v>
      </c>
      <c r="L888" s="13">
        <v>2500</v>
      </c>
      <c r="M888" t="s">
        <v>2676</v>
      </c>
    </row>
    <row r="889" spans="1:13">
      <c r="A889" t="s">
        <v>601</v>
      </c>
      <c r="B889" t="s">
        <v>173</v>
      </c>
      <c r="C889" s="8">
        <v>46236</v>
      </c>
      <c r="D889" t="s">
        <v>332</v>
      </c>
      <c r="E889" t="s">
        <v>339</v>
      </c>
      <c r="F889" s="12">
        <v>164700</v>
      </c>
      <c r="G889" s="13">
        <v>16</v>
      </c>
      <c r="H889" t="s">
        <v>3228</v>
      </c>
      <c r="I889" s="8">
        <v>46163</v>
      </c>
      <c r="J889" t="s">
        <v>2659</v>
      </c>
      <c r="K889" t="s">
        <v>2660</v>
      </c>
      <c r="L889" s="13">
        <v>3500</v>
      </c>
      <c r="M889" t="s">
        <v>2661</v>
      </c>
    </row>
    <row r="890" spans="1:13">
      <c r="A890" t="s">
        <v>870</v>
      </c>
      <c r="B890" t="s">
        <v>173</v>
      </c>
      <c r="C890" s="8">
        <v>45952</v>
      </c>
      <c r="D890" t="s">
        <v>344</v>
      </c>
      <c r="E890" t="s">
        <v>339</v>
      </c>
      <c r="F890" s="12">
        <v>624283</v>
      </c>
      <c r="G890" s="13">
        <v>62</v>
      </c>
      <c r="H890" t="s">
        <v>2961</v>
      </c>
      <c r="I890" s="8">
        <v>46293</v>
      </c>
      <c r="J890" t="s">
        <v>2663</v>
      </c>
      <c r="K890" t="s">
        <v>3630</v>
      </c>
      <c r="L890" s="13">
        <v>1500</v>
      </c>
      <c r="M890" t="s">
        <v>2661</v>
      </c>
    </row>
    <row r="891" spans="1:13">
      <c r="A891" t="s">
        <v>870</v>
      </c>
      <c r="B891" t="s">
        <v>173</v>
      </c>
      <c r="C891" s="8">
        <v>45952</v>
      </c>
      <c r="D891" t="s">
        <v>344</v>
      </c>
      <c r="E891" t="s">
        <v>339</v>
      </c>
      <c r="F891" s="12">
        <v>624283</v>
      </c>
      <c r="G891" s="13">
        <v>62</v>
      </c>
      <c r="H891" t="s">
        <v>3113</v>
      </c>
      <c r="I891" s="8">
        <v>46105</v>
      </c>
      <c r="J891" t="s">
        <v>2663</v>
      </c>
      <c r="K891" t="s">
        <v>3630</v>
      </c>
      <c r="L891" s="13">
        <v>1500</v>
      </c>
      <c r="M891" t="s">
        <v>2661</v>
      </c>
    </row>
    <row r="892" spans="1:13">
      <c r="A892" t="s">
        <v>870</v>
      </c>
      <c r="B892" t="s">
        <v>173</v>
      </c>
      <c r="C892" s="8">
        <v>45952</v>
      </c>
      <c r="D892" t="s">
        <v>344</v>
      </c>
      <c r="E892" t="s">
        <v>339</v>
      </c>
      <c r="F892" s="12">
        <v>624283</v>
      </c>
      <c r="G892" s="13">
        <v>62</v>
      </c>
      <c r="H892" t="s">
        <v>3225</v>
      </c>
      <c r="I892" s="8">
        <v>46285</v>
      </c>
      <c r="J892" t="s">
        <v>2665</v>
      </c>
      <c r="K892" t="s">
        <v>2666</v>
      </c>
      <c r="L892" s="13">
        <v>2500</v>
      </c>
      <c r="M892" t="s">
        <v>2676</v>
      </c>
    </row>
    <row r="893" spans="1:13">
      <c r="A893" t="s">
        <v>870</v>
      </c>
      <c r="B893" t="s">
        <v>173</v>
      </c>
      <c r="C893" s="8">
        <v>45952</v>
      </c>
      <c r="D893" t="s">
        <v>344</v>
      </c>
      <c r="E893" t="s">
        <v>339</v>
      </c>
      <c r="F893" s="12">
        <v>624283</v>
      </c>
      <c r="G893" s="13">
        <v>62</v>
      </c>
      <c r="H893" t="s">
        <v>3228</v>
      </c>
      <c r="I893" s="8">
        <v>46163</v>
      </c>
      <c r="J893" t="s">
        <v>2659</v>
      </c>
      <c r="K893" t="s">
        <v>2660</v>
      </c>
      <c r="L893" s="13">
        <v>3500</v>
      </c>
      <c r="M893" t="s">
        <v>2661</v>
      </c>
    </row>
    <row r="894" spans="1:13">
      <c r="A894" t="s">
        <v>517</v>
      </c>
      <c r="B894" t="s">
        <v>64</v>
      </c>
      <c r="C894" s="8">
        <v>46003</v>
      </c>
      <c r="D894" t="s">
        <v>342</v>
      </c>
      <c r="E894" t="s">
        <v>322</v>
      </c>
      <c r="F894" s="12">
        <v>638305</v>
      </c>
      <c r="G894" s="13">
        <v>63</v>
      </c>
      <c r="H894" t="s">
        <v>2733</v>
      </c>
      <c r="I894" s="8">
        <v>46127</v>
      </c>
      <c r="J894" t="s">
        <v>2674</v>
      </c>
      <c r="K894" t="s">
        <v>2675</v>
      </c>
      <c r="L894" s="13">
        <v>20000</v>
      </c>
      <c r="M894" t="s">
        <v>2661</v>
      </c>
    </row>
    <row r="895" spans="1:13">
      <c r="A895" t="s">
        <v>517</v>
      </c>
      <c r="B895" t="s">
        <v>64</v>
      </c>
      <c r="C895" s="8">
        <v>46003</v>
      </c>
      <c r="D895" t="s">
        <v>342</v>
      </c>
      <c r="E895" t="s">
        <v>322</v>
      </c>
      <c r="F895" s="12">
        <v>638305</v>
      </c>
      <c r="G895" s="13">
        <v>63</v>
      </c>
      <c r="H895" t="s">
        <v>2752</v>
      </c>
      <c r="I895" s="8">
        <v>45976</v>
      </c>
      <c r="J895" t="s">
        <v>2668</v>
      </c>
      <c r="K895" t="s">
        <v>2669</v>
      </c>
      <c r="L895" s="13">
        <v>4000</v>
      </c>
      <c r="M895" t="s">
        <v>2661</v>
      </c>
    </row>
    <row r="896" spans="1:13">
      <c r="A896" t="s">
        <v>517</v>
      </c>
      <c r="B896" t="s">
        <v>64</v>
      </c>
      <c r="C896" s="8">
        <v>46003</v>
      </c>
      <c r="D896" t="s">
        <v>342</v>
      </c>
      <c r="E896" t="s">
        <v>322</v>
      </c>
      <c r="F896" s="12">
        <v>638305</v>
      </c>
      <c r="G896" s="13">
        <v>63</v>
      </c>
      <c r="H896" t="s">
        <v>3108</v>
      </c>
      <c r="I896" s="8">
        <v>46158</v>
      </c>
      <c r="J896" t="s">
        <v>2692</v>
      </c>
      <c r="K896" t="s">
        <v>2693</v>
      </c>
      <c r="L896" s="13">
        <v>10000</v>
      </c>
      <c r="M896" t="s">
        <v>2661</v>
      </c>
    </row>
    <row r="897" spans="1:13">
      <c r="A897" t="s">
        <v>517</v>
      </c>
      <c r="B897" t="s">
        <v>64</v>
      </c>
      <c r="C897" s="8">
        <v>46003</v>
      </c>
      <c r="D897" t="s">
        <v>342</v>
      </c>
      <c r="E897" t="s">
        <v>322</v>
      </c>
      <c r="F897" s="12">
        <v>638305</v>
      </c>
      <c r="G897" s="13">
        <v>63</v>
      </c>
      <c r="H897" t="s">
        <v>3187</v>
      </c>
      <c r="I897" s="8">
        <v>46275</v>
      </c>
      <c r="J897" t="s">
        <v>2659</v>
      </c>
      <c r="K897" t="s">
        <v>2660</v>
      </c>
      <c r="L897" s="13">
        <v>3500</v>
      </c>
      <c r="M897" t="s">
        <v>2661</v>
      </c>
    </row>
    <row r="898" spans="1:13">
      <c r="A898" t="s">
        <v>803</v>
      </c>
      <c r="B898" t="s">
        <v>64</v>
      </c>
      <c r="C898" s="8">
        <v>46170</v>
      </c>
      <c r="D898" t="s">
        <v>321</v>
      </c>
      <c r="E898" t="s">
        <v>334</v>
      </c>
      <c r="F898" s="12">
        <v>783953</v>
      </c>
      <c r="G898" s="13">
        <v>78</v>
      </c>
      <c r="H898" t="s">
        <v>2733</v>
      </c>
      <c r="I898" s="8">
        <v>46127</v>
      </c>
      <c r="J898" t="s">
        <v>2674</v>
      </c>
      <c r="K898" t="s">
        <v>2675</v>
      </c>
      <c r="L898" s="13">
        <v>20000</v>
      </c>
      <c r="M898" t="s">
        <v>2661</v>
      </c>
    </row>
    <row r="899" spans="1:13">
      <c r="A899" t="s">
        <v>803</v>
      </c>
      <c r="B899" t="s">
        <v>64</v>
      </c>
      <c r="C899" s="8">
        <v>46170</v>
      </c>
      <c r="D899" t="s">
        <v>321</v>
      </c>
      <c r="E899" t="s">
        <v>334</v>
      </c>
      <c r="F899" s="12">
        <v>783953</v>
      </c>
      <c r="G899" s="13">
        <v>78</v>
      </c>
      <c r="H899" t="s">
        <v>2752</v>
      </c>
      <c r="I899" s="8">
        <v>45976</v>
      </c>
      <c r="J899" t="s">
        <v>2668</v>
      </c>
      <c r="K899" t="s">
        <v>2669</v>
      </c>
      <c r="L899" s="13">
        <v>4000</v>
      </c>
      <c r="M899" t="s">
        <v>2661</v>
      </c>
    </row>
    <row r="900" spans="1:13">
      <c r="A900" t="s">
        <v>803</v>
      </c>
      <c r="B900" t="s">
        <v>64</v>
      </c>
      <c r="C900" s="8">
        <v>46170</v>
      </c>
      <c r="D900" t="s">
        <v>321</v>
      </c>
      <c r="E900" t="s">
        <v>334</v>
      </c>
      <c r="F900" s="12">
        <v>783953</v>
      </c>
      <c r="G900" s="13">
        <v>78</v>
      </c>
      <c r="H900" t="s">
        <v>3108</v>
      </c>
      <c r="I900" s="8">
        <v>46158</v>
      </c>
      <c r="J900" t="s">
        <v>2692</v>
      </c>
      <c r="K900" t="s">
        <v>2693</v>
      </c>
      <c r="L900" s="13">
        <v>10000</v>
      </c>
      <c r="M900" t="s">
        <v>2661</v>
      </c>
    </row>
    <row r="901" spans="1:13">
      <c r="A901" t="s">
        <v>803</v>
      </c>
      <c r="B901" t="s">
        <v>64</v>
      </c>
      <c r="C901" s="8">
        <v>46170</v>
      </c>
      <c r="D901" t="s">
        <v>321</v>
      </c>
      <c r="E901" t="s">
        <v>334</v>
      </c>
      <c r="F901" s="12">
        <v>783953</v>
      </c>
      <c r="G901" s="13">
        <v>78</v>
      </c>
      <c r="H901" t="s">
        <v>3187</v>
      </c>
      <c r="I901" s="8">
        <v>46275</v>
      </c>
      <c r="J901" t="s">
        <v>2659</v>
      </c>
      <c r="K901" t="s">
        <v>2660</v>
      </c>
      <c r="L901" s="13">
        <v>3500</v>
      </c>
      <c r="M901" t="s">
        <v>2661</v>
      </c>
    </row>
    <row r="902" spans="1:13">
      <c r="A902" t="s">
        <v>847</v>
      </c>
      <c r="B902" t="s">
        <v>64</v>
      </c>
      <c r="C902" s="8">
        <v>46098</v>
      </c>
      <c r="D902" t="s">
        <v>327</v>
      </c>
      <c r="E902" t="s">
        <v>328</v>
      </c>
      <c r="F902" s="12">
        <v>393687</v>
      </c>
      <c r="G902" s="13">
        <v>39</v>
      </c>
      <c r="H902" t="s">
        <v>2733</v>
      </c>
      <c r="I902" s="8">
        <v>46127</v>
      </c>
      <c r="J902" t="s">
        <v>2674</v>
      </c>
      <c r="K902" t="s">
        <v>2675</v>
      </c>
      <c r="L902" s="13">
        <v>20000</v>
      </c>
      <c r="M902" t="s">
        <v>2661</v>
      </c>
    </row>
    <row r="903" spans="1:13">
      <c r="A903" t="s">
        <v>847</v>
      </c>
      <c r="B903" t="s">
        <v>64</v>
      </c>
      <c r="C903" s="8">
        <v>46098</v>
      </c>
      <c r="D903" t="s">
        <v>327</v>
      </c>
      <c r="E903" t="s">
        <v>328</v>
      </c>
      <c r="F903" s="12">
        <v>393687</v>
      </c>
      <c r="G903" s="13">
        <v>39</v>
      </c>
      <c r="H903" t="s">
        <v>2752</v>
      </c>
      <c r="I903" s="8">
        <v>45976</v>
      </c>
      <c r="J903" t="s">
        <v>2668</v>
      </c>
      <c r="K903" t="s">
        <v>2669</v>
      </c>
      <c r="L903" s="13">
        <v>4000</v>
      </c>
      <c r="M903" t="s">
        <v>2661</v>
      </c>
    </row>
    <row r="904" spans="1:13">
      <c r="A904" t="s">
        <v>847</v>
      </c>
      <c r="B904" t="s">
        <v>64</v>
      </c>
      <c r="C904" s="8">
        <v>46098</v>
      </c>
      <c r="D904" t="s">
        <v>327</v>
      </c>
      <c r="E904" t="s">
        <v>328</v>
      </c>
      <c r="F904" s="12">
        <v>393687</v>
      </c>
      <c r="G904" s="13">
        <v>39</v>
      </c>
      <c r="H904" t="s">
        <v>3108</v>
      </c>
      <c r="I904" s="8">
        <v>46158</v>
      </c>
      <c r="J904" t="s">
        <v>2692</v>
      </c>
      <c r="K904" t="s">
        <v>2693</v>
      </c>
      <c r="L904" s="13">
        <v>10000</v>
      </c>
      <c r="M904" t="s">
        <v>2661</v>
      </c>
    </row>
    <row r="905" spans="1:13">
      <c r="A905" t="s">
        <v>847</v>
      </c>
      <c r="B905" t="s">
        <v>64</v>
      </c>
      <c r="C905" s="8">
        <v>46098</v>
      </c>
      <c r="D905" t="s">
        <v>327</v>
      </c>
      <c r="E905" t="s">
        <v>328</v>
      </c>
      <c r="F905" s="12">
        <v>393687</v>
      </c>
      <c r="G905" s="13">
        <v>39</v>
      </c>
      <c r="H905" t="s">
        <v>3187</v>
      </c>
      <c r="I905" s="8">
        <v>46275</v>
      </c>
      <c r="J905" t="s">
        <v>2659</v>
      </c>
      <c r="K905" t="s">
        <v>2660</v>
      </c>
      <c r="L905" s="13">
        <v>3500</v>
      </c>
      <c r="M905" t="s">
        <v>2661</v>
      </c>
    </row>
    <row r="906" spans="1:13">
      <c r="A906" t="s">
        <v>933</v>
      </c>
      <c r="B906" t="s">
        <v>64</v>
      </c>
      <c r="C906" s="8">
        <v>46067</v>
      </c>
      <c r="D906" t="s">
        <v>321</v>
      </c>
      <c r="E906" t="s">
        <v>328</v>
      </c>
      <c r="F906" s="12">
        <v>558173</v>
      </c>
      <c r="G906" s="13">
        <v>55</v>
      </c>
      <c r="H906" t="s">
        <v>2733</v>
      </c>
      <c r="I906" s="8">
        <v>46127</v>
      </c>
      <c r="J906" t="s">
        <v>2674</v>
      </c>
      <c r="K906" t="s">
        <v>2675</v>
      </c>
      <c r="L906" s="13">
        <v>20000</v>
      </c>
      <c r="M906" t="s">
        <v>2661</v>
      </c>
    </row>
    <row r="907" spans="1:13">
      <c r="A907" t="s">
        <v>933</v>
      </c>
      <c r="B907" t="s">
        <v>64</v>
      </c>
      <c r="C907" s="8">
        <v>46067</v>
      </c>
      <c r="D907" t="s">
        <v>321</v>
      </c>
      <c r="E907" t="s">
        <v>328</v>
      </c>
      <c r="F907" s="12">
        <v>558173</v>
      </c>
      <c r="G907" s="13">
        <v>55</v>
      </c>
      <c r="H907" t="s">
        <v>2752</v>
      </c>
      <c r="I907" s="8">
        <v>45976</v>
      </c>
      <c r="J907" t="s">
        <v>2668</v>
      </c>
      <c r="K907" t="s">
        <v>2669</v>
      </c>
      <c r="L907" s="13">
        <v>4000</v>
      </c>
      <c r="M907" t="s">
        <v>2661</v>
      </c>
    </row>
    <row r="908" spans="1:13">
      <c r="A908" t="s">
        <v>933</v>
      </c>
      <c r="B908" t="s">
        <v>64</v>
      </c>
      <c r="C908" s="8">
        <v>46067</v>
      </c>
      <c r="D908" t="s">
        <v>321</v>
      </c>
      <c r="E908" t="s">
        <v>328</v>
      </c>
      <c r="F908" s="12">
        <v>558173</v>
      </c>
      <c r="G908" s="13">
        <v>55</v>
      </c>
      <c r="H908" t="s">
        <v>3108</v>
      </c>
      <c r="I908" s="8">
        <v>46158</v>
      </c>
      <c r="J908" t="s">
        <v>2692</v>
      </c>
      <c r="K908" t="s">
        <v>2693</v>
      </c>
      <c r="L908" s="13">
        <v>10000</v>
      </c>
      <c r="M908" t="s">
        <v>2661</v>
      </c>
    </row>
    <row r="909" spans="1:13">
      <c r="A909" t="s">
        <v>933</v>
      </c>
      <c r="B909" t="s">
        <v>64</v>
      </c>
      <c r="C909" s="8">
        <v>46067</v>
      </c>
      <c r="D909" t="s">
        <v>321</v>
      </c>
      <c r="E909" t="s">
        <v>328</v>
      </c>
      <c r="F909" s="12">
        <v>558173</v>
      </c>
      <c r="G909" s="13">
        <v>55</v>
      </c>
      <c r="H909" t="s">
        <v>3187</v>
      </c>
      <c r="I909" s="8">
        <v>46275</v>
      </c>
      <c r="J909" t="s">
        <v>2659</v>
      </c>
      <c r="K909" t="s">
        <v>2660</v>
      </c>
      <c r="L909" s="13">
        <v>3500</v>
      </c>
      <c r="M909" t="s">
        <v>2661</v>
      </c>
    </row>
    <row r="910" spans="1:13">
      <c r="A910" t="s">
        <v>389</v>
      </c>
      <c r="B910" t="s">
        <v>150</v>
      </c>
      <c r="C910" s="8">
        <v>45989</v>
      </c>
      <c r="D910" t="s">
        <v>342</v>
      </c>
      <c r="E910" t="s">
        <v>325</v>
      </c>
      <c r="F910" s="12">
        <v>148629</v>
      </c>
      <c r="G910" s="13">
        <v>14</v>
      </c>
      <c r="H910" t="s">
        <v>3070</v>
      </c>
      <c r="I910" s="8">
        <v>46003</v>
      </c>
      <c r="J910" t="s">
        <v>2671</v>
      </c>
      <c r="K910" t="s">
        <v>2672</v>
      </c>
      <c r="L910" s="13">
        <v>3000</v>
      </c>
      <c r="M910" t="s">
        <v>2676</v>
      </c>
    </row>
    <row r="911" spans="1:13">
      <c r="A911" t="s">
        <v>389</v>
      </c>
      <c r="B911" t="s">
        <v>150</v>
      </c>
      <c r="C911" s="8">
        <v>45989</v>
      </c>
      <c r="D911" t="s">
        <v>342</v>
      </c>
      <c r="E911" t="s">
        <v>325</v>
      </c>
      <c r="F911" s="12">
        <v>148629</v>
      </c>
      <c r="G911" s="13">
        <v>14</v>
      </c>
      <c r="H911" t="s">
        <v>3275</v>
      </c>
      <c r="I911" s="8">
        <v>45936</v>
      </c>
      <c r="J911" t="s">
        <v>2688</v>
      </c>
      <c r="K911" t="s">
        <v>2689</v>
      </c>
      <c r="L911" s="13">
        <v>8000</v>
      </c>
      <c r="M911" t="s">
        <v>2661</v>
      </c>
    </row>
    <row r="912" spans="1:13">
      <c r="A912" t="s">
        <v>389</v>
      </c>
      <c r="B912" t="s">
        <v>150</v>
      </c>
      <c r="C912" s="8">
        <v>45989</v>
      </c>
      <c r="D912" t="s">
        <v>342</v>
      </c>
      <c r="E912" t="s">
        <v>325</v>
      </c>
      <c r="F912" s="12">
        <v>148629</v>
      </c>
      <c r="G912" s="13">
        <v>14</v>
      </c>
      <c r="H912" t="s">
        <v>3352</v>
      </c>
      <c r="I912" s="8">
        <v>46153</v>
      </c>
      <c r="J912" t="s">
        <v>2665</v>
      </c>
      <c r="K912" t="s">
        <v>2666</v>
      </c>
      <c r="L912" s="13">
        <v>2500</v>
      </c>
      <c r="M912" t="s">
        <v>2661</v>
      </c>
    </row>
    <row r="913" spans="1:13">
      <c r="A913" t="s">
        <v>611</v>
      </c>
      <c r="B913" t="s">
        <v>150</v>
      </c>
      <c r="C913" s="8">
        <v>46185</v>
      </c>
      <c r="D913" t="s">
        <v>330</v>
      </c>
      <c r="E913" t="s">
        <v>337</v>
      </c>
      <c r="F913" s="12">
        <v>123558</v>
      </c>
      <c r="G913" s="13">
        <v>12</v>
      </c>
      <c r="H913" t="s">
        <v>3070</v>
      </c>
      <c r="I913" s="8">
        <v>46003</v>
      </c>
      <c r="J913" t="s">
        <v>2671</v>
      </c>
      <c r="K913" t="s">
        <v>2672</v>
      </c>
      <c r="L913" s="13">
        <v>3000</v>
      </c>
      <c r="M913" t="s">
        <v>2676</v>
      </c>
    </row>
    <row r="914" spans="1:13">
      <c r="A914" t="s">
        <v>611</v>
      </c>
      <c r="B914" t="s">
        <v>150</v>
      </c>
      <c r="C914" s="8">
        <v>46185</v>
      </c>
      <c r="D914" t="s">
        <v>330</v>
      </c>
      <c r="E914" t="s">
        <v>337</v>
      </c>
      <c r="F914" s="12">
        <v>123558</v>
      </c>
      <c r="G914" s="13">
        <v>12</v>
      </c>
      <c r="H914" t="s">
        <v>3275</v>
      </c>
      <c r="I914" s="8">
        <v>45936</v>
      </c>
      <c r="J914" t="s">
        <v>2688</v>
      </c>
      <c r="K914" t="s">
        <v>2689</v>
      </c>
      <c r="L914" s="13">
        <v>8000</v>
      </c>
      <c r="M914" t="s">
        <v>2661</v>
      </c>
    </row>
    <row r="915" spans="1:13">
      <c r="A915" t="s">
        <v>611</v>
      </c>
      <c r="B915" t="s">
        <v>150</v>
      </c>
      <c r="C915" s="8">
        <v>46185</v>
      </c>
      <c r="D915" t="s">
        <v>330</v>
      </c>
      <c r="E915" t="s">
        <v>337</v>
      </c>
      <c r="F915" s="12">
        <v>123558</v>
      </c>
      <c r="G915" s="13">
        <v>12</v>
      </c>
      <c r="H915" t="s">
        <v>3352</v>
      </c>
      <c r="I915" s="8">
        <v>46153</v>
      </c>
      <c r="J915" t="s">
        <v>2665</v>
      </c>
      <c r="K915" t="s">
        <v>2666</v>
      </c>
      <c r="L915" s="13">
        <v>2500</v>
      </c>
      <c r="M915" t="s">
        <v>2661</v>
      </c>
    </row>
    <row r="916" spans="1:13">
      <c r="A916" t="s">
        <v>813</v>
      </c>
      <c r="B916" t="s">
        <v>150</v>
      </c>
      <c r="C916" s="8">
        <v>45984</v>
      </c>
      <c r="D916" t="s">
        <v>342</v>
      </c>
      <c r="E916" t="s">
        <v>334</v>
      </c>
      <c r="F916" s="12">
        <v>76759</v>
      </c>
      <c r="G916" s="13">
        <v>7</v>
      </c>
      <c r="H916" t="s">
        <v>3070</v>
      </c>
      <c r="I916" s="8">
        <v>46003</v>
      </c>
      <c r="J916" t="s">
        <v>2671</v>
      </c>
      <c r="K916" t="s">
        <v>2672</v>
      </c>
      <c r="L916" s="13">
        <v>3000</v>
      </c>
      <c r="M916" t="s">
        <v>2676</v>
      </c>
    </row>
    <row r="917" spans="1:13">
      <c r="A917" t="s">
        <v>813</v>
      </c>
      <c r="B917" t="s">
        <v>150</v>
      </c>
      <c r="C917" s="8">
        <v>45984</v>
      </c>
      <c r="D917" t="s">
        <v>342</v>
      </c>
      <c r="E917" t="s">
        <v>334</v>
      </c>
      <c r="F917" s="12">
        <v>76759</v>
      </c>
      <c r="G917" s="13">
        <v>7</v>
      </c>
      <c r="H917" t="s">
        <v>3275</v>
      </c>
      <c r="I917" s="8">
        <v>45936</v>
      </c>
      <c r="J917" t="s">
        <v>2688</v>
      </c>
      <c r="K917" t="s">
        <v>2689</v>
      </c>
      <c r="L917" s="13">
        <v>8000</v>
      </c>
      <c r="M917" t="s">
        <v>2661</v>
      </c>
    </row>
    <row r="918" spans="1:13">
      <c r="A918" t="s">
        <v>813</v>
      </c>
      <c r="B918" t="s">
        <v>150</v>
      </c>
      <c r="C918" s="8">
        <v>45984</v>
      </c>
      <c r="D918" t="s">
        <v>342</v>
      </c>
      <c r="E918" t="s">
        <v>334</v>
      </c>
      <c r="F918" s="12">
        <v>76759</v>
      </c>
      <c r="G918" s="13">
        <v>7</v>
      </c>
      <c r="H918" t="s">
        <v>3352</v>
      </c>
      <c r="I918" s="8">
        <v>46153</v>
      </c>
      <c r="J918" t="s">
        <v>2665</v>
      </c>
      <c r="K918" t="s">
        <v>2666</v>
      </c>
      <c r="L918" s="13">
        <v>2500</v>
      </c>
      <c r="M918" t="s">
        <v>2661</v>
      </c>
    </row>
    <row r="919" spans="1:13">
      <c r="A919" t="s">
        <v>423</v>
      </c>
      <c r="B919" t="s">
        <v>25</v>
      </c>
      <c r="C919" s="8">
        <v>46162</v>
      </c>
      <c r="D919" t="s">
        <v>330</v>
      </c>
      <c r="E919" t="s">
        <v>325</v>
      </c>
      <c r="F919" s="12">
        <v>327923</v>
      </c>
      <c r="G919" s="13">
        <v>32</v>
      </c>
      <c r="H919" t="s">
        <v>2734</v>
      </c>
      <c r="I919" s="8">
        <v>46236</v>
      </c>
      <c r="J919" t="s">
        <v>2688</v>
      </c>
      <c r="K919" t="s">
        <v>2689</v>
      </c>
      <c r="L919" s="13">
        <v>8000</v>
      </c>
      <c r="M919" t="s">
        <v>2661</v>
      </c>
    </row>
    <row r="920" spans="1:13">
      <c r="A920" t="s">
        <v>423</v>
      </c>
      <c r="B920" t="s">
        <v>25</v>
      </c>
      <c r="C920" s="8">
        <v>46162</v>
      </c>
      <c r="D920" t="s">
        <v>330</v>
      </c>
      <c r="E920" t="s">
        <v>325</v>
      </c>
      <c r="F920" s="12">
        <v>327923</v>
      </c>
      <c r="G920" s="13">
        <v>32</v>
      </c>
      <c r="H920" t="s">
        <v>2763</v>
      </c>
      <c r="I920" s="8">
        <v>46092</v>
      </c>
      <c r="J920" t="s">
        <v>2692</v>
      </c>
      <c r="K920" t="s">
        <v>2693</v>
      </c>
      <c r="L920" s="13">
        <v>10000</v>
      </c>
      <c r="M920" t="s">
        <v>2661</v>
      </c>
    </row>
    <row r="921" spans="1:13">
      <c r="A921" t="s">
        <v>423</v>
      </c>
      <c r="B921" t="s">
        <v>25</v>
      </c>
      <c r="C921" s="8">
        <v>46162</v>
      </c>
      <c r="D921" t="s">
        <v>330</v>
      </c>
      <c r="E921" t="s">
        <v>325</v>
      </c>
      <c r="F921" s="12">
        <v>327923</v>
      </c>
      <c r="G921" s="13">
        <v>32</v>
      </c>
      <c r="H921" t="s">
        <v>3079</v>
      </c>
      <c r="I921" s="8">
        <v>46089</v>
      </c>
      <c r="J921" t="s">
        <v>2671</v>
      </c>
      <c r="K921" t="s">
        <v>2672</v>
      </c>
      <c r="L921" s="13">
        <v>3000</v>
      </c>
      <c r="M921" t="s">
        <v>2676</v>
      </c>
    </row>
    <row r="922" spans="1:13">
      <c r="A922" t="s">
        <v>423</v>
      </c>
      <c r="B922" t="s">
        <v>25</v>
      </c>
      <c r="C922" s="8">
        <v>46162</v>
      </c>
      <c r="D922" t="s">
        <v>330</v>
      </c>
      <c r="E922" t="s">
        <v>325</v>
      </c>
      <c r="F922" s="12">
        <v>327923</v>
      </c>
      <c r="G922" s="13">
        <v>32</v>
      </c>
      <c r="H922" t="s">
        <v>3160</v>
      </c>
      <c r="I922" s="8">
        <v>45931</v>
      </c>
      <c r="J922" t="s">
        <v>2688</v>
      </c>
      <c r="K922" t="s">
        <v>2689</v>
      </c>
      <c r="L922" s="13">
        <v>8000</v>
      </c>
      <c r="M922" t="s">
        <v>2661</v>
      </c>
    </row>
    <row r="923" spans="1:13">
      <c r="A923" t="s">
        <v>801</v>
      </c>
      <c r="B923" t="s">
        <v>25</v>
      </c>
      <c r="C923" s="8">
        <v>46264</v>
      </c>
      <c r="D923" t="s">
        <v>330</v>
      </c>
      <c r="E923" t="s">
        <v>325</v>
      </c>
      <c r="F923" s="12">
        <v>233136</v>
      </c>
      <c r="G923" s="13">
        <v>23</v>
      </c>
      <c r="H923" t="s">
        <v>2734</v>
      </c>
      <c r="I923" s="8">
        <v>46236</v>
      </c>
      <c r="J923" t="s">
        <v>2688</v>
      </c>
      <c r="K923" t="s">
        <v>2689</v>
      </c>
      <c r="L923" s="13">
        <v>8000</v>
      </c>
      <c r="M923" t="s">
        <v>2661</v>
      </c>
    </row>
    <row r="924" spans="1:13">
      <c r="A924" t="s">
        <v>801</v>
      </c>
      <c r="B924" t="s">
        <v>25</v>
      </c>
      <c r="C924" s="8">
        <v>46264</v>
      </c>
      <c r="D924" t="s">
        <v>330</v>
      </c>
      <c r="E924" t="s">
        <v>325</v>
      </c>
      <c r="F924" s="12">
        <v>233136</v>
      </c>
      <c r="G924" s="13">
        <v>23</v>
      </c>
      <c r="H924" t="s">
        <v>2763</v>
      </c>
      <c r="I924" s="8">
        <v>46092</v>
      </c>
      <c r="J924" t="s">
        <v>2692</v>
      </c>
      <c r="K924" t="s">
        <v>2693</v>
      </c>
      <c r="L924" s="13">
        <v>10000</v>
      </c>
      <c r="M924" t="s">
        <v>2661</v>
      </c>
    </row>
    <row r="925" spans="1:13">
      <c r="A925" t="s">
        <v>801</v>
      </c>
      <c r="B925" t="s">
        <v>25</v>
      </c>
      <c r="C925" s="8">
        <v>46264</v>
      </c>
      <c r="D925" t="s">
        <v>330</v>
      </c>
      <c r="E925" t="s">
        <v>325</v>
      </c>
      <c r="F925" s="12">
        <v>233136</v>
      </c>
      <c r="G925" s="13">
        <v>23</v>
      </c>
      <c r="H925" t="s">
        <v>3079</v>
      </c>
      <c r="I925" s="8">
        <v>46089</v>
      </c>
      <c r="J925" t="s">
        <v>2671</v>
      </c>
      <c r="K925" t="s">
        <v>2672</v>
      </c>
      <c r="L925" s="13">
        <v>3000</v>
      </c>
      <c r="M925" t="s">
        <v>2676</v>
      </c>
    </row>
    <row r="926" spans="1:13">
      <c r="A926" t="s">
        <v>801</v>
      </c>
      <c r="B926" t="s">
        <v>25</v>
      </c>
      <c r="C926" s="8">
        <v>46264</v>
      </c>
      <c r="D926" t="s">
        <v>330</v>
      </c>
      <c r="E926" t="s">
        <v>325</v>
      </c>
      <c r="F926" s="12">
        <v>233136</v>
      </c>
      <c r="G926" s="13">
        <v>23</v>
      </c>
      <c r="H926" t="s">
        <v>3160</v>
      </c>
      <c r="I926" s="8">
        <v>45931</v>
      </c>
      <c r="J926" t="s">
        <v>2688</v>
      </c>
      <c r="K926" t="s">
        <v>2689</v>
      </c>
      <c r="L926" s="13">
        <v>8000</v>
      </c>
      <c r="M926" t="s">
        <v>2661</v>
      </c>
    </row>
    <row r="927" spans="1:13">
      <c r="A927" t="s">
        <v>390</v>
      </c>
      <c r="B927" t="s">
        <v>200</v>
      </c>
      <c r="C927" s="8">
        <v>46005</v>
      </c>
      <c r="D927" t="s">
        <v>350</v>
      </c>
      <c r="E927" t="s">
        <v>325</v>
      </c>
      <c r="F927" s="12">
        <v>213851</v>
      </c>
      <c r="G927" s="13">
        <v>21</v>
      </c>
      <c r="H927" t="s">
        <v>2975</v>
      </c>
      <c r="I927" s="8">
        <v>46008</v>
      </c>
      <c r="J927" t="s">
        <v>2671</v>
      </c>
      <c r="K927" t="s">
        <v>2672</v>
      </c>
      <c r="L927" s="13">
        <v>3000</v>
      </c>
      <c r="M927" t="s">
        <v>2676</v>
      </c>
    </row>
    <row r="928" spans="1:13">
      <c r="A928" t="s">
        <v>390</v>
      </c>
      <c r="B928" t="s">
        <v>200</v>
      </c>
      <c r="C928" s="8">
        <v>46005</v>
      </c>
      <c r="D928" t="s">
        <v>350</v>
      </c>
      <c r="E928" t="s">
        <v>325</v>
      </c>
      <c r="F928" s="12">
        <v>213851</v>
      </c>
      <c r="G928" s="13">
        <v>21</v>
      </c>
      <c r="H928" t="s">
        <v>3381</v>
      </c>
      <c r="I928" s="8">
        <v>46037</v>
      </c>
      <c r="J928" t="s">
        <v>2663</v>
      </c>
      <c r="K928" t="s">
        <v>3630</v>
      </c>
      <c r="L928" s="13">
        <v>1500</v>
      </c>
      <c r="M928" t="s">
        <v>2661</v>
      </c>
    </row>
    <row r="929" spans="1:13">
      <c r="A929" t="s">
        <v>398</v>
      </c>
      <c r="B929" t="s">
        <v>200</v>
      </c>
      <c r="C929" s="8">
        <v>45981</v>
      </c>
      <c r="D929" t="s">
        <v>350</v>
      </c>
      <c r="E929" t="s">
        <v>322</v>
      </c>
      <c r="F929" s="12">
        <v>206089</v>
      </c>
      <c r="G929" s="13">
        <v>20</v>
      </c>
      <c r="H929" t="s">
        <v>2975</v>
      </c>
      <c r="I929" s="8">
        <v>46008</v>
      </c>
      <c r="J929" t="s">
        <v>2671</v>
      </c>
      <c r="K929" t="s">
        <v>2672</v>
      </c>
      <c r="L929" s="13">
        <v>3000</v>
      </c>
      <c r="M929" t="s">
        <v>2676</v>
      </c>
    </row>
    <row r="930" spans="1:13">
      <c r="A930" t="s">
        <v>398</v>
      </c>
      <c r="B930" t="s">
        <v>200</v>
      </c>
      <c r="C930" s="8">
        <v>45981</v>
      </c>
      <c r="D930" t="s">
        <v>350</v>
      </c>
      <c r="E930" t="s">
        <v>322</v>
      </c>
      <c r="F930" s="12">
        <v>206089</v>
      </c>
      <c r="G930" s="13">
        <v>20</v>
      </c>
      <c r="H930" t="s">
        <v>3381</v>
      </c>
      <c r="I930" s="8">
        <v>46037</v>
      </c>
      <c r="J930" t="s">
        <v>2663</v>
      </c>
      <c r="K930" t="s">
        <v>3630</v>
      </c>
      <c r="L930" s="13">
        <v>1500</v>
      </c>
      <c r="M930" t="s">
        <v>2661</v>
      </c>
    </row>
    <row r="931" spans="1:13">
      <c r="A931" t="s">
        <v>529</v>
      </c>
      <c r="B931" t="s">
        <v>200</v>
      </c>
      <c r="C931" s="8">
        <v>46110</v>
      </c>
      <c r="D931" t="s">
        <v>330</v>
      </c>
      <c r="E931" t="s">
        <v>339</v>
      </c>
      <c r="F931" s="12">
        <v>73634</v>
      </c>
      <c r="G931" s="13">
        <v>7</v>
      </c>
      <c r="H931" t="s">
        <v>2975</v>
      </c>
      <c r="I931" s="8">
        <v>46008</v>
      </c>
      <c r="J931" t="s">
        <v>2671</v>
      </c>
      <c r="K931" t="s">
        <v>2672</v>
      </c>
      <c r="L931" s="13">
        <v>3000</v>
      </c>
      <c r="M931" t="s">
        <v>2676</v>
      </c>
    </row>
    <row r="932" spans="1:13">
      <c r="A932" t="s">
        <v>529</v>
      </c>
      <c r="B932" t="s">
        <v>200</v>
      </c>
      <c r="C932" s="8">
        <v>46110</v>
      </c>
      <c r="D932" t="s">
        <v>330</v>
      </c>
      <c r="E932" t="s">
        <v>339</v>
      </c>
      <c r="F932" s="12">
        <v>73634</v>
      </c>
      <c r="G932" s="13">
        <v>7</v>
      </c>
      <c r="H932" t="s">
        <v>3381</v>
      </c>
      <c r="I932" s="8">
        <v>46037</v>
      </c>
      <c r="J932" t="s">
        <v>2663</v>
      </c>
      <c r="K932" t="s">
        <v>3630</v>
      </c>
      <c r="L932" s="13">
        <v>1500</v>
      </c>
      <c r="M932" t="s">
        <v>2661</v>
      </c>
    </row>
    <row r="933" spans="1:13">
      <c r="A933" t="s">
        <v>695</v>
      </c>
      <c r="B933" t="s">
        <v>200</v>
      </c>
      <c r="C933" s="8">
        <v>46186</v>
      </c>
      <c r="D933" t="s">
        <v>350</v>
      </c>
      <c r="E933" t="s">
        <v>337</v>
      </c>
      <c r="F933" s="12">
        <v>131503</v>
      </c>
      <c r="G933" s="13">
        <v>13</v>
      </c>
      <c r="H933" t="s">
        <v>2975</v>
      </c>
      <c r="I933" s="8">
        <v>46008</v>
      </c>
      <c r="J933" t="s">
        <v>2671</v>
      </c>
      <c r="K933" t="s">
        <v>2672</v>
      </c>
      <c r="L933" s="13">
        <v>3000</v>
      </c>
      <c r="M933" t="s">
        <v>2676</v>
      </c>
    </row>
    <row r="934" spans="1:13">
      <c r="A934" t="s">
        <v>695</v>
      </c>
      <c r="B934" t="s">
        <v>200</v>
      </c>
      <c r="C934" s="8">
        <v>46186</v>
      </c>
      <c r="D934" t="s">
        <v>350</v>
      </c>
      <c r="E934" t="s">
        <v>337</v>
      </c>
      <c r="F934" s="12">
        <v>131503</v>
      </c>
      <c r="G934" s="13">
        <v>13</v>
      </c>
      <c r="H934" t="s">
        <v>3381</v>
      </c>
      <c r="I934" s="8">
        <v>46037</v>
      </c>
      <c r="J934" t="s">
        <v>2663</v>
      </c>
      <c r="K934" t="s">
        <v>3630</v>
      </c>
      <c r="L934" s="13">
        <v>1500</v>
      </c>
      <c r="M934" t="s">
        <v>2661</v>
      </c>
    </row>
    <row r="935" spans="1:13">
      <c r="A935" t="s">
        <v>722</v>
      </c>
      <c r="B935" t="s">
        <v>200</v>
      </c>
      <c r="C935" s="8">
        <v>46069</v>
      </c>
      <c r="D935" t="s">
        <v>330</v>
      </c>
      <c r="E935" t="s">
        <v>339</v>
      </c>
      <c r="F935" s="12">
        <v>444882</v>
      </c>
      <c r="G935" s="13">
        <v>44</v>
      </c>
      <c r="H935" t="s">
        <v>2975</v>
      </c>
      <c r="I935" s="8">
        <v>46008</v>
      </c>
      <c r="J935" t="s">
        <v>2671</v>
      </c>
      <c r="K935" t="s">
        <v>2672</v>
      </c>
      <c r="L935" s="13">
        <v>3000</v>
      </c>
      <c r="M935" t="s">
        <v>2676</v>
      </c>
    </row>
    <row r="936" spans="1:13">
      <c r="A936" t="s">
        <v>722</v>
      </c>
      <c r="B936" t="s">
        <v>200</v>
      </c>
      <c r="C936" s="8">
        <v>46069</v>
      </c>
      <c r="D936" t="s">
        <v>330</v>
      </c>
      <c r="E936" t="s">
        <v>339</v>
      </c>
      <c r="F936" s="12">
        <v>444882</v>
      </c>
      <c r="G936" s="13">
        <v>44</v>
      </c>
      <c r="H936" t="s">
        <v>3381</v>
      </c>
      <c r="I936" s="8">
        <v>46037</v>
      </c>
      <c r="J936" t="s">
        <v>2663</v>
      </c>
      <c r="K936" t="s">
        <v>3630</v>
      </c>
      <c r="L936" s="13">
        <v>1500</v>
      </c>
      <c r="M936" t="s">
        <v>2661</v>
      </c>
    </row>
    <row r="937" spans="1:13">
      <c r="A937" t="s">
        <v>798</v>
      </c>
      <c r="B937" t="s">
        <v>200</v>
      </c>
      <c r="C937" s="8">
        <v>46048</v>
      </c>
      <c r="D937" t="s">
        <v>342</v>
      </c>
      <c r="E937" t="s">
        <v>337</v>
      </c>
      <c r="F937" s="12">
        <v>302299</v>
      </c>
      <c r="G937" s="13">
        <v>30</v>
      </c>
      <c r="H937" t="s">
        <v>2975</v>
      </c>
      <c r="I937" s="8">
        <v>46008</v>
      </c>
      <c r="J937" t="s">
        <v>2671</v>
      </c>
      <c r="K937" t="s">
        <v>2672</v>
      </c>
      <c r="L937" s="13">
        <v>3000</v>
      </c>
      <c r="M937" t="s">
        <v>2676</v>
      </c>
    </row>
    <row r="938" spans="1:13">
      <c r="A938" t="s">
        <v>798</v>
      </c>
      <c r="B938" t="s">
        <v>200</v>
      </c>
      <c r="C938" s="8">
        <v>46048</v>
      </c>
      <c r="D938" t="s">
        <v>342</v>
      </c>
      <c r="E938" t="s">
        <v>337</v>
      </c>
      <c r="F938" s="12">
        <v>302299</v>
      </c>
      <c r="G938" s="13">
        <v>30</v>
      </c>
      <c r="H938" t="s">
        <v>3381</v>
      </c>
      <c r="I938" s="8">
        <v>46037</v>
      </c>
      <c r="J938" t="s">
        <v>2663</v>
      </c>
      <c r="K938" t="s">
        <v>3630</v>
      </c>
      <c r="L938" s="13">
        <v>1500</v>
      </c>
      <c r="M938" t="s">
        <v>2661</v>
      </c>
    </row>
    <row r="939" spans="1:13">
      <c r="A939" t="s">
        <v>845</v>
      </c>
      <c r="B939" t="s">
        <v>200</v>
      </c>
      <c r="C939" s="8">
        <v>46253</v>
      </c>
      <c r="D939" t="s">
        <v>342</v>
      </c>
      <c r="E939" t="s">
        <v>325</v>
      </c>
      <c r="F939" s="12">
        <v>354810</v>
      </c>
      <c r="G939" s="13">
        <v>35</v>
      </c>
      <c r="H939" t="s">
        <v>2975</v>
      </c>
      <c r="I939" s="8">
        <v>46008</v>
      </c>
      <c r="J939" t="s">
        <v>2671</v>
      </c>
      <c r="K939" t="s">
        <v>2672</v>
      </c>
      <c r="L939" s="13">
        <v>3000</v>
      </c>
      <c r="M939" t="s">
        <v>2676</v>
      </c>
    </row>
    <row r="940" spans="1:13">
      <c r="A940" t="s">
        <v>845</v>
      </c>
      <c r="B940" t="s">
        <v>200</v>
      </c>
      <c r="C940" s="8">
        <v>46253</v>
      </c>
      <c r="D940" t="s">
        <v>342</v>
      </c>
      <c r="E940" t="s">
        <v>325</v>
      </c>
      <c r="F940" s="12">
        <v>354810</v>
      </c>
      <c r="G940" s="13">
        <v>35</v>
      </c>
      <c r="H940" t="s">
        <v>3381</v>
      </c>
      <c r="I940" s="8">
        <v>46037</v>
      </c>
      <c r="J940" t="s">
        <v>2663</v>
      </c>
      <c r="K940" t="s">
        <v>3630</v>
      </c>
      <c r="L940" s="13">
        <v>1500</v>
      </c>
      <c r="M940" t="s">
        <v>2661</v>
      </c>
    </row>
    <row r="941" spans="1:13">
      <c r="A941" t="s">
        <v>1002</v>
      </c>
      <c r="B941" t="s">
        <v>200</v>
      </c>
      <c r="C941" s="8">
        <v>46152</v>
      </c>
      <c r="D941" t="s">
        <v>332</v>
      </c>
      <c r="E941" t="s">
        <v>328</v>
      </c>
      <c r="F941" s="12">
        <v>162736</v>
      </c>
      <c r="G941" s="13">
        <v>16</v>
      </c>
      <c r="H941" t="s">
        <v>2975</v>
      </c>
      <c r="I941" s="8">
        <v>46008</v>
      </c>
      <c r="J941" t="s">
        <v>2671</v>
      </c>
      <c r="K941" t="s">
        <v>2672</v>
      </c>
      <c r="L941" s="13">
        <v>3000</v>
      </c>
      <c r="M941" t="s">
        <v>2676</v>
      </c>
    </row>
    <row r="942" spans="1:13">
      <c r="A942" t="s">
        <v>1002</v>
      </c>
      <c r="B942" t="s">
        <v>200</v>
      </c>
      <c r="C942" s="8">
        <v>46152</v>
      </c>
      <c r="D942" t="s">
        <v>332</v>
      </c>
      <c r="E942" t="s">
        <v>328</v>
      </c>
      <c r="F942" s="12">
        <v>162736</v>
      </c>
      <c r="G942" s="13">
        <v>16</v>
      </c>
      <c r="H942" t="s">
        <v>3381</v>
      </c>
      <c r="I942" s="8">
        <v>46037</v>
      </c>
      <c r="J942" t="s">
        <v>2663</v>
      </c>
      <c r="K942" t="s">
        <v>3630</v>
      </c>
      <c r="L942" s="13">
        <v>1500</v>
      </c>
      <c r="M942" t="s">
        <v>2661</v>
      </c>
    </row>
    <row r="943" spans="1:13">
      <c r="A943" t="s">
        <v>1194</v>
      </c>
      <c r="B943" t="s">
        <v>200</v>
      </c>
      <c r="C943" s="8">
        <v>46115</v>
      </c>
      <c r="D943" t="s">
        <v>324</v>
      </c>
      <c r="E943" t="s">
        <v>334</v>
      </c>
      <c r="F943" s="12">
        <v>97632</v>
      </c>
      <c r="G943" s="13">
        <v>9</v>
      </c>
      <c r="H943" t="s">
        <v>2975</v>
      </c>
      <c r="I943" s="8">
        <v>46008</v>
      </c>
      <c r="J943" t="s">
        <v>2671</v>
      </c>
      <c r="K943" t="s">
        <v>2672</v>
      </c>
      <c r="L943" s="13">
        <v>3000</v>
      </c>
      <c r="M943" t="s">
        <v>2676</v>
      </c>
    </row>
    <row r="944" spans="1:13">
      <c r="A944" t="s">
        <v>1194</v>
      </c>
      <c r="B944" t="s">
        <v>200</v>
      </c>
      <c r="C944" s="8">
        <v>46115</v>
      </c>
      <c r="D944" t="s">
        <v>324</v>
      </c>
      <c r="E944" t="s">
        <v>334</v>
      </c>
      <c r="F944" s="12">
        <v>97632</v>
      </c>
      <c r="G944" s="13">
        <v>9</v>
      </c>
      <c r="H944" t="s">
        <v>3381</v>
      </c>
      <c r="I944" s="8">
        <v>46037</v>
      </c>
      <c r="J944" t="s">
        <v>2663</v>
      </c>
      <c r="K944" t="s">
        <v>3630</v>
      </c>
      <c r="L944" s="13">
        <v>1500</v>
      </c>
      <c r="M944" t="s">
        <v>2661</v>
      </c>
    </row>
    <row r="945" spans="1:13">
      <c r="A945" t="s">
        <v>452</v>
      </c>
      <c r="B945" t="s">
        <v>224</v>
      </c>
      <c r="C945" s="8">
        <v>46266</v>
      </c>
      <c r="D945" t="s">
        <v>344</v>
      </c>
      <c r="E945" t="s">
        <v>334</v>
      </c>
      <c r="F945" s="12">
        <v>727108</v>
      </c>
      <c r="G945" s="13">
        <v>72</v>
      </c>
      <c r="H945" t="s">
        <v>2735</v>
      </c>
      <c r="I945" s="8">
        <v>45968</v>
      </c>
      <c r="J945" t="s">
        <v>2682</v>
      </c>
      <c r="K945" t="s">
        <v>2683</v>
      </c>
      <c r="L945" s="13">
        <v>6000</v>
      </c>
      <c r="M945" t="s">
        <v>2661</v>
      </c>
    </row>
    <row r="946" spans="1:13">
      <c r="A946" t="s">
        <v>452</v>
      </c>
      <c r="B946" t="s">
        <v>224</v>
      </c>
      <c r="C946" s="8">
        <v>46266</v>
      </c>
      <c r="D946" t="s">
        <v>344</v>
      </c>
      <c r="E946" t="s">
        <v>334</v>
      </c>
      <c r="F946" s="12">
        <v>727108</v>
      </c>
      <c r="G946" s="13">
        <v>72</v>
      </c>
      <c r="H946" t="s">
        <v>3406</v>
      </c>
      <c r="I946" s="8">
        <v>46193</v>
      </c>
      <c r="J946" t="s">
        <v>2682</v>
      </c>
      <c r="K946" t="s">
        <v>2683</v>
      </c>
      <c r="L946" s="13">
        <v>6000</v>
      </c>
      <c r="M946" t="s">
        <v>2676</v>
      </c>
    </row>
    <row r="947" spans="1:13">
      <c r="A947" t="s">
        <v>452</v>
      </c>
      <c r="B947" t="s">
        <v>224</v>
      </c>
      <c r="C947" s="8">
        <v>46266</v>
      </c>
      <c r="D947" t="s">
        <v>344</v>
      </c>
      <c r="E947" t="s">
        <v>334</v>
      </c>
      <c r="F947" s="12">
        <v>727108</v>
      </c>
      <c r="G947" s="13">
        <v>72</v>
      </c>
      <c r="H947" t="s">
        <v>3410</v>
      </c>
      <c r="I947" s="8">
        <v>45967</v>
      </c>
      <c r="J947" t="s">
        <v>2692</v>
      </c>
      <c r="K947" t="s">
        <v>2693</v>
      </c>
      <c r="L947" s="13">
        <v>10000</v>
      </c>
      <c r="M947" t="s">
        <v>2661</v>
      </c>
    </row>
    <row r="948" spans="1:13">
      <c r="A948" t="s">
        <v>391</v>
      </c>
      <c r="B948" t="s">
        <v>302</v>
      </c>
      <c r="C948" s="8">
        <v>46166</v>
      </c>
      <c r="D948" t="s">
        <v>332</v>
      </c>
      <c r="E948" t="s">
        <v>339</v>
      </c>
      <c r="F948" s="12">
        <v>146766</v>
      </c>
      <c r="G948" s="13">
        <v>14</v>
      </c>
      <c r="H948" t="s">
        <v>3325</v>
      </c>
      <c r="I948" s="8">
        <v>46177</v>
      </c>
      <c r="J948" t="s">
        <v>2692</v>
      </c>
      <c r="K948" t="s">
        <v>2693</v>
      </c>
      <c r="L948" s="13">
        <v>10000</v>
      </c>
      <c r="M948" t="s">
        <v>2661</v>
      </c>
    </row>
    <row r="949" spans="1:13">
      <c r="A949" t="s">
        <v>1115</v>
      </c>
      <c r="B949" t="s">
        <v>302</v>
      </c>
      <c r="C949" s="8">
        <v>45989</v>
      </c>
      <c r="D949" t="s">
        <v>327</v>
      </c>
      <c r="E949" t="s">
        <v>328</v>
      </c>
      <c r="F949" s="12">
        <v>104829</v>
      </c>
      <c r="G949" s="13">
        <v>10</v>
      </c>
      <c r="H949" t="s">
        <v>3325</v>
      </c>
      <c r="I949" s="8">
        <v>46177</v>
      </c>
      <c r="J949" t="s">
        <v>2692</v>
      </c>
      <c r="K949" t="s">
        <v>2693</v>
      </c>
      <c r="L949" s="13">
        <v>10000</v>
      </c>
      <c r="M949" t="s">
        <v>2661</v>
      </c>
    </row>
    <row r="950" spans="1:13">
      <c r="A950" t="s">
        <v>513</v>
      </c>
      <c r="B950" t="s">
        <v>266</v>
      </c>
      <c r="C950" s="8">
        <v>46204</v>
      </c>
      <c r="D950" t="s">
        <v>321</v>
      </c>
      <c r="E950" t="s">
        <v>322</v>
      </c>
      <c r="F950" s="12">
        <v>596910</v>
      </c>
      <c r="G950" s="13">
        <v>59</v>
      </c>
      <c r="H950" t="s">
        <v>2736</v>
      </c>
      <c r="I950" s="8">
        <v>46216</v>
      </c>
      <c r="J950" t="s">
        <v>2685</v>
      </c>
      <c r="K950" t="s">
        <v>2686</v>
      </c>
      <c r="L950" s="13">
        <v>5000</v>
      </c>
      <c r="M950" t="s">
        <v>2661</v>
      </c>
    </row>
    <row r="951" spans="1:13">
      <c r="A951" t="s">
        <v>513</v>
      </c>
      <c r="B951" t="s">
        <v>266</v>
      </c>
      <c r="C951" s="8">
        <v>46204</v>
      </c>
      <c r="D951" t="s">
        <v>321</v>
      </c>
      <c r="E951" t="s">
        <v>322</v>
      </c>
      <c r="F951" s="12">
        <v>596910</v>
      </c>
      <c r="G951" s="13">
        <v>59</v>
      </c>
      <c r="H951" t="s">
        <v>2757</v>
      </c>
      <c r="I951" s="8">
        <v>46186</v>
      </c>
      <c r="J951" t="s">
        <v>2688</v>
      </c>
      <c r="K951" t="s">
        <v>2689</v>
      </c>
      <c r="L951" s="13">
        <v>8000</v>
      </c>
      <c r="M951" t="s">
        <v>2661</v>
      </c>
    </row>
    <row r="952" spans="1:13">
      <c r="A952" t="s">
        <v>513</v>
      </c>
      <c r="B952" t="s">
        <v>266</v>
      </c>
      <c r="C952" s="8">
        <v>46204</v>
      </c>
      <c r="D952" t="s">
        <v>321</v>
      </c>
      <c r="E952" t="s">
        <v>322</v>
      </c>
      <c r="F952" s="12">
        <v>596910</v>
      </c>
      <c r="G952" s="13">
        <v>59</v>
      </c>
      <c r="H952" t="s">
        <v>3331</v>
      </c>
      <c r="I952" s="8">
        <v>46215</v>
      </c>
      <c r="J952" t="s">
        <v>2674</v>
      </c>
      <c r="K952" t="s">
        <v>2675</v>
      </c>
      <c r="L952" s="13">
        <v>20000</v>
      </c>
      <c r="M952" t="s">
        <v>2661</v>
      </c>
    </row>
    <row r="953" spans="1:13">
      <c r="A953" t="s">
        <v>513</v>
      </c>
      <c r="B953" t="s">
        <v>266</v>
      </c>
      <c r="C953" s="8">
        <v>46204</v>
      </c>
      <c r="D953" t="s">
        <v>321</v>
      </c>
      <c r="E953" t="s">
        <v>322</v>
      </c>
      <c r="F953" s="12">
        <v>596910</v>
      </c>
      <c r="G953" s="13">
        <v>59</v>
      </c>
      <c r="H953" t="s">
        <v>3337</v>
      </c>
      <c r="I953" s="8">
        <v>46032</v>
      </c>
      <c r="J953" t="s">
        <v>2682</v>
      </c>
      <c r="K953" t="s">
        <v>2683</v>
      </c>
      <c r="L953" s="13">
        <v>6000</v>
      </c>
      <c r="M953" t="s">
        <v>2661</v>
      </c>
    </row>
    <row r="954" spans="1:13">
      <c r="A954" t="s">
        <v>513</v>
      </c>
      <c r="B954" t="s">
        <v>266</v>
      </c>
      <c r="C954" s="8">
        <v>46204</v>
      </c>
      <c r="D954" t="s">
        <v>321</v>
      </c>
      <c r="E954" t="s">
        <v>322</v>
      </c>
      <c r="F954" s="12">
        <v>596910</v>
      </c>
      <c r="G954" s="13">
        <v>59</v>
      </c>
      <c r="H954" t="s">
        <v>3347</v>
      </c>
      <c r="I954" s="8">
        <v>46104</v>
      </c>
      <c r="J954" t="s">
        <v>2688</v>
      </c>
      <c r="K954" t="s">
        <v>2689</v>
      </c>
      <c r="L954" s="13">
        <v>8000</v>
      </c>
      <c r="M954" t="s">
        <v>2661</v>
      </c>
    </row>
    <row r="955" spans="1:13">
      <c r="A955" t="s">
        <v>513</v>
      </c>
      <c r="B955" t="s">
        <v>266</v>
      </c>
      <c r="C955" s="8">
        <v>46204</v>
      </c>
      <c r="D955" t="s">
        <v>321</v>
      </c>
      <c r="E955" t="s">
        <v>322</v>
      </c>
      <c r="F955" s="12">
        <v>596910</v>
      </c>
      <c r="G955" s="13">
        <v>59</v>
      </c>
      <c r="H955" t="s">
        <v>3518</v>
      </c>
      <c r="I955" s="8">
        <v>46126</v>
      </c>
      <c r="J955" t="s">
        <v>2692</v>
      </c>
      <c r="K955" t="s">
        <v>2693</v>
      </c>
      <c r="L955" s="13">
        <v>10000</v>
      </c>
      <c r="M955" t="s">
        <v>2661</v>
      </c>
    </row>
    <row r="956" spans="1:13">
      <c r="A956" t="s">
        <v>585</v>
      </c>
      <c r="B956" t="s">
        <v>266</v>
      </c>
      <c r="C956" s="8">
        <v>46103</v>
      </c>
      <c r="D956" t="s">
        <v>344</v>
      </c>
      <c r="E956" t="s">
        <v>325</v>
      </c>
      <c r="F956" s="12">
        <v>157485</v>
      </c>
      <c r="G956" s="13">
        <v>15</v>
      </c>
      <c r="H956" t="s">
        <v>2736</v>
      </c>
      <c r="I956" s="8">
        <v>46216</v>
      </c>
      <c r="J956" t="s">
        <v>2685</v>
      </c>
      <c r="K956" t="s">
        <v>2686</v>
      </c>
      <c r="L956" s="13">
        <v>5000</v>
      </c>
      <c r="M956" t="s">
        <v>2661</v>
      </c>
    </row>
    <row r="957" spans="1:13">
      <c r="A957" t="s">
        <v>585</v>
      </c>
      <c r="B957" t="s">
        <v>266</v>
      </c>
      <c r="C957" s="8">
        <v>46103</v>
      </c>
      <c r="D957" t="s">
        <v>344</v>
      </c>
      <c r="E957" t="s">
        <v>325</v>
      </c>
      <c r="F957" s="12">
        <v>157485</v>
      </c>
      <c r="G957" s="13">
        <v>15</v>
      </c>
      <c r="H957" t="s">
        <v>2757</v>
      </c>
      <c r="I957" s="8">
        <v>46186</v>
      </c>
      <c r="J957" t="s">
        <v>2688</v>
      </c>
      <c r="K957" t="s">
        <v>2689</v>
      </c>
      <c r="L957" s="13">
        <v>8000</v>
      </c>
      <c r="M957" t="s">
        <v>2661</v>
      </c>
    </row>
    <row r="958" spans="1:13">
      <c r="A958" t="s">
        <v>585</v>
      </c>
      <c r="B958" t="s">
        <v>266</v>
      </c>
      <c r="C958" s="8">
        <v>46103</v>
      </c>
      <c r="D958" t="s">
        <v>344</v>
      </c>
      <c r="E958" t="s">
        <v>325</v>
      </c>
      <c r="F958" s="12">
        <v>157485</v>
      </c>
      <c r="G958" s="13">
        <v>15</v>
      </c>
      <c r="H958" t="s">
        <v>3331</v>
      </c>
      <c r="I958" s="8">
        <v>46215</v>
      </c>
      <c r="J958" t="s">
        <v>2674</v>
      </c>
      <c r="K958" t="s">
        <v>2675</v>
      </c>
      <c r="L958" s="13">
        <v>20000</v>
      </c>
      <c r="M958" t="s">
        <v>2661</v>
      </c>
    </row>
    <row r="959" spans="1:13">
      <c r="A959" t="s">
        <v>585</v>
      </c>
      <c r="B959" t="s">
        <v>266</v>
      </c>
      <c r="C959" s="8">
        <v>46103</v>
      </c>
      <c r="D959" t="s">
        <v>344</v>
      </c>
      <c r="E959" t="s">
        <v>325</v>
      </c>
      <c r="F959" s="12">
        <v>157485</v>
      </c>
      <c r="G959" s="13">
        <v>15</v>
      </c>
      <c r="H959" t="s">
        <v>3337</v>
      </c>
      <c r="I959" s="8">
        <v>46032</v>
      </c>
      <c r="J959" t="s">
        <v>2682</v>
      </c>
      <c r="K959" t="s">
        <v>2683</v>
      </c>
      <c r="L959" s="13">
        <v>6000</v>
      </c>
      <c r="M959" t="s">
        <v>2661</v>
      </c>
    </row>
    <row r="960" spans="1:13">
      <c r="A960" t="s">
        <v>585</v>
      </c>
      <c r="B960" t="s">
        <v>266</v>
      </c>
      <c r="C960" s="8">
        <v>46103</v>
      </c>
      <c r="D960" t="s">
        <v>344</v>
      </c>
      <c r="E960" t="s">
        <v>325</v>
      </c>
      <c r="F960" s="12">
        <v>157485</v>
      </c>
      <c r="G960" s="13">
        <v>15</v>
      </c>
      <c r="H960" t="s">
        <v>3347</v>
      </c>
      <c r="I960" s="8">
        <v>46104</v>
      </c>
      <c r="J960" t="s">
        <v>2688</v>
      </c>
      <c r="K960" t="s">
        <v>2689</v>
      </c>
      <c r="L960" s="13">
        <v>8000</v>
      </c>
      <c r="M960" t="s">
        <v>2661</v>
      </c>
    </row>
    <row r="961" spans="1:13">
      <c r="A961" t="s">
        <v>585</v>
      </c>
      <c r="B961" t="s">
        <v>266</v>
      </c>
      <c r="C961" s="8">
        <v>46103</v>
      </c>
      <c r="D961" t="s">
        <v>344</v>
      </c>
      <c r="E961" t="s">
        <v>325</v>
      </c>
      <c r="F961" s="12">
        <v>157485</v>
      </c>
      <c r="G961" s="13">
        <v>15</v>
      </c>
      <c r="H961" t="s">
        <v>3518</v>
      </c>
      <c r="I961" s="8">
        <v>46126</v>
      </c>
      <c r="J961" t="s">
        <v>2692</v>
      </c>
      <c r="K961" t="s">
        <v>2693</v>
      </c>
      <c r="L961" s="13">
        <v>10000</v>
      </c>
      <c r="M961" t="s">
        <v>2661</v>
      </c>
    </row>
    <row r="962" spans="1:13">
      <c r="A962" t="s">
        <v>734</v>
      </c>
      <c r="B962" t="s">
        <v>266</v>
      </c>
      <c r="C962" s="8">
        <v>45963</v>
      </c>
      <c r="D962" t="s">
        <v>324</v>
      </c>
      <c r="E962" t="s">
        <v>325</v>
      </c>
      <c r="F962" s="12">
        <v>104695</v>
      </c>
      <c r="G962" s="13">
        <v>10</v>
      </c>
      <c r="H962" t="s">
        <v>2736</v>
      </c>
      <c r="I962" s="8">
        <v>46216</v>
      </c>
      <c r="J962" t="s">
        <v>2685</v>
      </c>
      <c r="K962" t="s">
        <v>2686</v>
      </c>
      <c r="L962" s="13">
        <v>5000</v>
      </c>
      <c r="M962" t="s">
        <v>2661</v>
      </c>
    </row>
    <row r="963" spans="1:13">
      <c r="A963" t="s">
        <v>734</v>
      </c>
      <c r="B963" t="s">
        <v>266</v>
      </c>
      <c r="C963" s="8">
        <v>45963</v>
      </c>
      <c r="D963" t="s">
        <v>324</v>
      </c>
      <c r="E963" t="s">
        <v>325</v>
      </c>
      <c r="F963" s="12">
        <v>104695</v>
      </c>
      <c r="G963" s="13">
        <v>10</v>
      </c>
      <c r="H963" t="s">
        <v>2757</v>
      </c>
      <c r="I963" s="8">
        <v>46186</v>
      </c>
      <c r="J963" t="s">
        <v>2688</v>
      </c>
      <c r="K963" t="s">
        <v>2689</v>
      </c>
      <c r="L963" s="13">
        <v>8000</v>
      </c>
      <c r="M963" t="s">
        <v>2661</v>
      </c>
    </row>
    <row r="964" spans="1:13">
      <c r="A964" t="s">
        <v>734</v>
      </c>
      <c r="B964" t="s">
        <v>266</v>
      </c>
      <c r="C964" s="8">
        <v>45963</v>
      </c>
      <c r="D964" t="s">
        <v>324</v>
      </c>
      <c r="E964" t="s">
        <v>325</v>
      </c>
      <c r="F964" s="12">
        <v>104695</v>
      </c>
      <c r="G964" s="13">
        <v>10</v>
      </c>
      <c r="H964" t="s">
        <v>3331</v>
      </c>
      <c r="I964" s="8">
        <v>46215</v>
      </c>
      <c r="J964" t="s">
        <v>2674</v>
      </c>
      <c r="K964" t="s">
        <v>2675</v>
      </c>
      <c r="L964" s="13">
        <v>20000</v>
      </c>
      <c r="M964" t="s">
        <v>2661</v>
      </c>
    </row>
    <row r="965" spans="1:13">
      <c r="A965" t="s">
        <v>734</v>
      </c>
      <c r="B965" t="s">
        <v>266</v>
      </c>
      <c r="C965" s="8">
        <v>45963</v>
      </c>
      <c r="D965" t="s">
        <v>324</v>
      </c>
      <c r="E965" t="s">
        <v>325</v>
      </c>
      <c r="F965" s="12">
        <v>104695</v>
      </c>
      <c r="G965" s="13">
        <v>10</v>
      </c>
      <c r="H965" t="s">
        <v>3337</v>
      </c>
      <c r="I965" s="8">
        <v>46032</v>
      </c>
      <c r="J965" t="s">
        <v>2682</v>
      </c>
      <c r="K965" t="s">
        <v>2683</v>
      </c>
      <c r="L965" s="13">
        <v>6000</v>
      </c>
      <c r="M965" t="s">
        <v>2661</v>
      </c>
    </row>
    <row r="966" spans="1:13">
      <c r="A966" t="s">
        <v>734</v>
      </c>
      <c r="B966" t="s">
        <v>266</v>
      </c>
      <c r="C966" s="8">
        <v>45963</v>
      </c>
      <c r="D966" t="s">
        <v>324</v>
      </c>
      <c r="E966" t="s">
        <v>325</v>
      </c>
      <c r="F966" s="12">
        <v>104695</v>
      </c>
      <c r="G966" s="13">
        <v>10</v>
      </c>
      <c r="H966" t="s">
        <v>3347</v>
      </c>
      <c r="I966" s="8">
        <v>46104</v>
      </c>
      <c r="J966" t="s">
        <v>2688</v>
      </c>
      <c r="K966" t="s">
        <v>2689</v>
      </c>
      <c r="L966" s="13">
        <v>8000</v>
      </c>
      <c r="M966" t="s">
        <v>2661</v>
      </c>
    </row>
    <row r="967" spans="1:13">
      <c r="A967" t="s">
        <v>734</v>
      </c>
      <c r="B967" t="s">
        <v>266</v>
      </c>
      <c r="C967" s="8">
        <v>45963</v>
      </c>
      <c r="D967" t="s">
        <v>324</v>
      </c>
      <c r="E967" t="s">
        <v>325</v>
      </c>
      <c r="F967" s="12">
        <v>104695</v>
      </c>
      <c r="G967" s="13">
        <v>10</v>
      </c>
      <c r="H967" t="s">
        <v>3518</v>
      </c>
      <c r="I967" s="8">
        <v>46126</v>
      </c>
      <c r="J967" t="s">
        <v>2692</v>
      </c>
      <c r="K967" t="s">
        <v>2693</v>
      </c>
      <c r="L967" s="13">
        <v>10000</v>
      </c>
      <c r="M967" t="s">
        <v>2661</v>
      </c>
    </row>
    <row r="968" spans="1:13">
      <c r="A968" t="s">
        <v>760</v>
      </c>
      <c r="B968" t="s">
        <v>266</v>
      </c>
      <c r="C968" s="8">
        <v>46290</v>
      </c>
      <c r="D968" t="s">
        <v>350</v>
      </c>
      <c r="E968" t="s">
        <v>322</v>
      </c>
      <c r="F968" s="12">
        <v>191922</v>
      </c>
      <c r="G968" s="13">
        <v>19</v>
      </c>
      <c r="H968" t="s">
        <v>2736</v>
      </c>
      <c r="I968" s="8">
        <v>46216</v>
      </c>
      <c r="J968" t="s">
        <v>2685</v>
      </c>
      <c r="K968" t="s">
        <v>2686</v>
      </c>
      <c r="L968" s="13">
        <v>5000</v>
      </c>
      <c r="M968" t="s">
        <v>2661</v>
      </c>
    </row>
    <row r="969" spans="1:13">
      <c r="A969" t="s">
        <v>760</v>
      </c>
      <c r="B969" t="s">
        <v>266</v>
      </c>
      <c r="C969" s="8">
        <v>46290</v>
      </c>
      <c r="D969" t="s">
        <v>350</v>
      </c>
      <c r="E969" t="s">
        <v>322</v>
      </c>
      <c r="F969" s="12">
        <v>191922</v>
      </c>
      <c r="G969" s="13">
        <v>19</v>
      </c>
      <c r="H969" t="s">
        <v>2757</v>
      </c>
      <c r="I969" s="8">
        <v>46186</v>
      </c>
      <c r="J969" t="s">
        <v>2688</v>
      </c>
      <c r="K969" t="s">
        <v>2689</v>
      </c>
      <c r="L969" s="13">
        <v>8000</v>
      </c>
      <c r="M969" t="s">
        <v>2661</v>
      </c>
    </row>
    <row r="970" spans="1:13">
      <c r="A970" t="s">
        <v>760</v>
      </c>
      <c r="B970" t="s">
        <v>266</v>
      </c>
      <c r="C970" s="8">
        <v>46290</v>
      </c>
      <c r="D970" t="s">
        <v>350</v>
      </c>
      <c r="E970" t="s">
        <v>322</v>
      </c>
      <c r="F970" s="12">
        <v>191922</v>
      </c>
      <c r="G970" s="13">
        <v>19</v>
      </c>
      <c r="H970" t="s">
        <v>3331</v>
      </c>
      <c r="I970" s="8">
        <v>46215</v>
      </c>
      <c r="J970" t="s">
        <v>2674</v>
      </c>
      <c r="K970" t="s">
        <v>2675</v>
      </c>
      <c r="L970" s="13">
        <v>20000</v>
      </c>
      <c r="M970" t="s">
        <v>2661</v>
      </c>
    </row>
    <row r="971" spans="1:13">
      <c r="A971" t="s">
        <v>760</v>
      </c>
      <c r="B971" t="s">
        <v>266</v>
      </c>
      <c r="C971" s="8">
        <v>46290</v>
      </c>
      <c r="D971" t="s">
        <v>350</v>
      </c>
      <c r="E971" t="s">
        <v>322</v>
      </c>
      <c r="F971" s="12">
        <v>191922</v>
      </c>
      <c r="G971" s="13">
        <v>19</v>
      </c>
      <c r="H971" t="s">
        <v>3337</v>
      </c>
      <c r="I971" s="8">
        <v>46032</v>
      </c>
      <c r="J971" t="s">
        <v>2682</v>
      </c>
      <c r="K971" t="s">
        <v>2683</v>
      </c>
      <c r="L971" s="13">
        <v>6000</v>
      </c>
      <c r="M971" t="s">
        <v>2661</v>
      </c>
    </row>
    <row r="972" spans="1:13">
      <c r="A972" t="s">
        <v>760</v>
      </c>
      <c r="B972" t="s">
        <v>266</v>
      </c>
      <c r="C972" s="8">
        <v>46290</v>
      </c>
      <c r="D972" t="s">
        <v>350</v>
      </c>
      <c r="E972" t="s">
        <v>322</v>
      </c>
      <c r="F972" s="12">
        <v>191922</v>
      </c>
      <c r="G972" s="13">
        <v>19</v>
      </c>
      <c r="H972" t="s">
        <v>3347</v>
      </c>
      <c r="I972" s="8">
        <v>46104</v>
      </c>
      <c r="J972" t="s">
        <v>2688</v>
      </c>
      <c r="K972" t="s">
        <v>2689</v>
      </c>
      <c r="L972" s="13">
        <v>8000</v>
      </c>
      <c r="M972" t="s">
        <v>2661</v>
      </c>
    </row>
    <row r="973" spans="1:13">
      <c r="A973" t="s">
        <v>760</v>
      </c>
      <c r="B973" t="s">
        <v>266</v>
      </c>
      <c r="C973" s="8">
        <v>46290</v>
      </c>
      <c r="D973" t="s">
        <v>350</v>
      </c>
      <c r="E973" t="s">
        <v>322</v>
      </c>
      <c r="F973" s="12">
        <v>191922</v>
      </c>
      <c r="G973" s="13">
        <v>19</v>
      </c>
      <c r="H973" t="s">
        <v>3518</v>
      </c>
      <c r="I973" s="8">
        <v>46126</v>
      </c>
      <c r="J973" t="s">
        <v>2692</v>
      </c>
      <c r="K973" t="s">
        <v>2693</v>
      </c>
      <c r="L973" s="13">
        <v>10000</v>
      </c>
      <c r="M973" t="s">
        <v>2661</v>
      </c>
    </row>
    <row r="974" spans="1:13">
      <c r="A974" t="s">
        <v>842</v>
      </c>
      <c r="B974" t="s">
        <v>266</v>
      </c>
      <c r="C974" s="8">
        <v>46018</v>
      </c>
      <c r="D974" t="s">
        <v>342</v>
      </c>
      <c r="E974" t="s">
        <v>322</v>
      </c>
      <c r="F974" s="12">
        <v>286727</v>
      </c>
      <c r="G974" s="13">
        <v>28</v>
      </c>
      <c r="H974" t="s">
        <v>2736</v>
      </c>
      <c r="I974" s="8">
        <v>46216</v>
      </c>
      <c r="J974" t="s">
        <v>2685</v>
      </c>
      <c r="K974" t="s">
        <v>2686</v>
      </c>
      <c r="L974" s="13">
        <v>5000</v>
      </c>
      <c r="M974" t="s">
        <v>2661</v>
      </c>
    </row>
    <row r="975" spans="1:13">
      <c r="A975" t="s">
        <v>842</v>
      </c>
      <c r="B975" t="s">
        <v>266</v>
      </c>
      <c r="C975" s="8">
        <v>46018</v>
      </c>
      <c r="D975" t="s">
        <v>342</v>
      </c>
      <c r="E975" t="s">
        <v>322</v>
      </c>
      <c r="F975" s="12">
        <v>286727</v>
      </c>
      <c r="G975" s="13">
        <v>28</v>
      </c>
      <c r="H975" t="s">
        <v>2757</v>
      </c>
      <c r="I975" s="8">
        <v>46186</v>
      </c>
      <c r="J975" t="s">
        <v>2688</v>
      </c>
      <c r="K975" t="s">
        <v>2689</v>
      </c>
      <c r="L975" s="13">
        <v>8000</v>
      </c>
      <c r="M975" t="s">
        <v>2661</v>
      </c>
    </row>
    <row r="976" spans="1:13">
      <c r="A976" t="s">
        <v>842</v>
      </c>
      <c r="B976" t="s">
        <v>266</v>
      </c>
      <c r="C976" s="8">
        <v>46018</v>
      </c>
      <c r="D976" t="s">
        <v>342</v>
      </c>
      <c r="E976" t="s">
        <v>322</v>
      </c>
      <c r="F976" s="12">
        <v>286727</v>
      </c>
      <c r="G976" s="13">
        <v>28</v>
      </c>
      <c r="H976" t="s">
        <v>3331</v>
      </c>
      <c r="I976" s="8">
        <v>46215</v>
      </c>
      <c r="J976" t="s">
        <v>2674</v>
      </c>
      <c r="K976" t="s">
        <v>2675</v>
      </c>
      <c r="L976" s="13">
        <v>20000</v>
      </c>
      <c r="M976" t="s">
        <v>2661</v>
      </c>
    </row>
    <row r="977" spans="1:13">
      <c r="A977" t="s">
        <v>842</v>
      </c>
      <c r="B977" t="s">
        <v>266</v>
      </c>
      <c r="C977" s="8">
        <v>46018</v>
      </c>
      <c r="D977" t="s">
        <v>342</v>
      </c>
      <c r="E977" t="s">
        <v>322</v>
      </c>
      <c r="F977" s="12">
        <v>286727</v>
      </c>
      <c r="G977" s="13">
        <v>28</v>
      </c>
      <c r="H977" t="s">
        <v>3337</v>
      </c>
      <c r="I977" s="8">
        <v>46032</v>
      </c>
      <c r="J977" t="s">
        <v>2682</v>
      </c>
      <c r="K977" t="s">
        <v>2683</v>
      </c>
      <c r="L977" s="13">
        <v>6000</v>
      </c>
      <c r="M977" t="s">
        <v>2661</v>
      </c>
    </row>
    <row r="978" spans="1:13">
      <c r="A978" t="s">
        <v>842</v>
      </c>
      <c r="B978" t="s">
        <v>266</v>
      </c>
      <c r="C978" s="8">
        <v>46018</v>
      </c>
      <c r="D978" t="s">
        <v>342</v>
      </c>
      <c r="E978" t="s">
        <v>322</v>
      </c>
      <c r="F978" s="12">
        <v>286727</v>
      </c>
      <c r="G978" s="13">
        <v>28</v>
      </c>
      <c r="H978" t="s">
        <v>3347</v>
      </c>
      <c r="I978" s="8">
        <v>46104</v>
      </c>
      <c r="J978" t="s">
        <v>2688</v>
      </c>
      <c r="K978" t="s">
        <v>2689</v>
      </c>
      <c r="L978" s="13">
        <v>8000</v>
      </c>
      <c r="M978" t="s">
        <v>2661</v>
      </c>
    </row>
    <row r="979" spans="1:13">
      <c r="A979" t="s">
        <v>842</v>
      </c>
      <c r="B979" t="s">
        <v>266</v>
      </c>
      <c r="C979" s="8">
        <v>46018</v>
      </c>
      <c r="D979" t="s">
        <v>342</v>
      </c>
      <c r="E979" t="s">
        <v>322</v>
      </c>
      <c r="F979" s="12">
        <v>286727</v>
      </c>
      <c r="G979" s="13">
        <v>28</v>
      </c>
      <c r="H979" t="s">
        <v>3518</v>
      </c>
      <c r="I979" s="8">
        <v>46126</v>
      </c>
      <c r="J979" t="s">
        <v>2692</v>
      </c>
      <c r="K979" t="s">
        <v>2693</v>
      </c>
      <c r="L979" s="13">
        <v>10000</v>
      </c>
      <c r="M979" t="s">
        <v>2661</v>
      </c>
    </row>
    <row r="980" spans="1:13">
      <c r="A980" t="s">
        <v>918</v>
      </c>
      <c r="B980" t="s">
        <v>266</v>
      </c>
      <c r="C980" s="8">
        <v>45989</v>
      </c>
      <c r="D980" t="s">
        <v>321</v>
      </c>
      <c r="E980" t="s">
        <v>339</v>
      </c>
      <c r="F980" s="12">
        <v>596831</v>
      </c>
      <c r="G980" s="13">
        <v>59</v>
      </c>
      <c r="H980" t="s">
        <v>2736</v>
      </c>
      <c r="I980" s="8">
        <v>46216</v>
      </c>
      <c r="J980" t="s">
        <v>2685</v>
      </c>
      <c r="K980" t="s">
        <v>2686</v>
      </c>
      <c r="L980" s="13">
        <v>5000</v>
      </c>
      <c r="M980" t="s">
        <v>2661</v>
      </c>
    </row>
    <row r="981" spans="1:13">
      <c r="A981" t="s">
        <v>918</v>
      </c>
      <c r="B981" t="s">
        <v>266</v>
      </c>
      <c r="C981" s="8">
        <v>45989</v>
      </c>
      <c r="D981" t="s">
        <v>321</v>
      </c>
      <c r="E981" t="s">
        <v>339</v>
      </c>
      <c r="F981" s="12">
        <v>596831</v>
      </c>
      <c r="G981" s="13">
        <v>59</v>
      </c>
      <c r="H981" t="s">
        <v>2757</v>
      </c>
      <c r="I981" s="8">
        <v>46186</v>
      </c>
      <c r="J981" t="s">
        <v>2688</v>
      </c>
      <c r="K981" t="s">
        <v>2689</v>
      </c>
      <c r="L981" s="13">
        <v>8000</v>
      </c>
      <c r="M981" t="s">
        <v>2661</v>
      </c>
    </row>
    <row r="982" spans="1:13">
      <c r="A982" t="s">
        <v>918</v>
      </c>
      <c r="B982" t="s">
        <v>266</v>
      </c>
      <c r="C982" s="8">
        <v>45989</v>
      </c>
      <c r="D982" t="s">
        <v>321</v>
      </c>
      <c r="E982" t="s">
        <v>339</v>
      </c>
      <c r="F982" s="12">
        <v>596831</v>
      </c>
      <c r="G982" s="13">
        <v>59</v>
      </c>
      <c r="H982" t="s">
        <v>3331</v>
      </c>
      <c r="I982" s="8">
        <v>46215</v>
      </c>
      <c r="J982" t="s">
        <v>2674</v>
      </c>
      <c r="K982" t="s">
        <v>2675</v>
      </c>
      <c r="L982" s="13">
        <v>20000</v>
      </c>
      <c r="M982" t="s">
        <v>2661</v>
      </c>
    </row>
    <row r="983" spans="1:13">
      <c r="A983" t="s">
        <v>918</v>
      </c>
      <c r="B983" t="s">
        <v>266</v>
      </c>
      <c r="C983" s="8">
        <v>45989</v>
      </c>
      <c r="D983" t="s">
        <v>321</v>
      </c>
      <c r="E983" t="s">
        <v>339</v>
      </c>
      <c r="F983" s="12">
        <v>596831</v>
      </c>
      <c r="G983" s="13">
        <v>59</v>
      </c>
      <c r="H983" t="s">
        <v>3337</v>
      </c>
      <c r="I983" s="8">
        <v>46032</v>
      </c>
      <c r="J983" t="s">
        <v>2682</v>
      </c>
      <c r="K983" t="s">
        <v>2683</v>
      </c>
      <c r="L983" s="13">
        <v>6000</v>
      </c>
      <c r="M983" t="s">
        <v>2661</v>
      </c>
    </row>
    <row r="984" spans="1:13">
      <c r="A984" t="s">
        <v>918</v>
      </c>
      <c r="B984" t="s">
        <v>266</v>
      </c>
      <c r="C984" s="8">
        <v>45989</v>
      </c>
      <c r="D984" t="s">
        <v>321</v>
      </c>
      <c r="E984" t="s">
        <v>339</v>
      </c>
      <c r="F984" s="12">
        <v>596831</v>
      </c>
      <c r="G984" s="13">
        <v>59</v>
      </c>
      <c r="H984" t="s">
        <v>3347</v>
      </c>
      <c r="I984" s="8">
        <v>46104</v>
      </c>
      <c r="J984" t="s">
        <v>2688</v>
      </c>
      <c r="K984" t="s">
        <v>2689</v>
      </c>
      <c r="L984" s="13">
        <v>8000</v>
      </c>
      <c r="M984" t="s">
        <v>2661</v>
      </c>
    </row>
    <row r="985" spans="1:13">
      <c r="A985" t="s">
        <v>918</v>
      </c>
      <c r="B985" t="s">
        <v>266</v>
      </c>
      <c r="C985" s="8">
        <v>45989</v>
      </c>
      <c r="D985" t="s">
        <v>321</v>
      </c>
      <c r="E985" t="s">
        <v>339</v>
      </c>
      <c r="F985" s="12">
        <v>596831</v>
      </c>
      <c r="G985" s="13">
        <v>59</v>
      </c>
      <c r="H985" t="s">
        <v>3518</v>
      </c>
      <c r="I985" s="8">
        <v>46126</v>
      </c>
      <c r="J985" t="s">
        <v>2692</v>
      </c>
      <c r="K985" t="s">
        <v>2693</v>
      </c>
      <c r="L985" s="13">
        <v>10000</v>
      </c>
      <c r="M985" t="s">
        <v>2661</v>
      </c>
    </row>
    <row r="986" spans="1:13">
      <c r="A986" t="s">
        <v>1008</v>
      </c>
      <c r="B986" t="s">
        <v>266</v>
      </c>
      <c r="C986" s="8">
        <v>46265</v>
      </c>
      <c r="D986" t="s">
        <v>344</v>
      </c>
      <c r="E986" t="s">
        <v>325</v>
      </c>
      <c r="F986" s="12">
        <v>233700</v>
      </c>
      <c r="G986" s="13">
        <v>23</v>
      </c>
      <c r="H986" t="s">
        <v>2736</v>
      </c>
      <c r="I986" s="8">
        <v>46216</v>
      </c>
      <c r="J986" t="s">
        <v>2685</v>
      </c>
      <c r="K986" t="s">
        <v>2686</v>
      </c>
      <c r="L986" s="13">
        <v>5000</v>
      </c>
      <c r="M986" t="s">
        <v>2661</v>
      </c>
    </row>
    <row r="987" spans="1:13">
      <c r="A987" t="s">
        <v>1008</v>
      </c>
      <c r="B987" t="s">
        <v>266</v>
      </c>
      <c r="C987" s="8">
        <v>46265</v>
      </c>
      <c r="D987" t="s">
        <v>344</v>
      </c>
      <c r="E987" t="s">
        <v>325</v>
      </c>
      <c r="F987" s="12">
        <v>233700</v>
      </c>
      <c r="G987" s="13">
        <v>23</v>
      </c>
      <c r="H987" t="s">
        <v>2757</v>
      </c>
      <c r="I987" s="8">
        <v>46186</v>
      </c>
      <c r="J987" t="s">
        <v>2688</v>
      </c>
      <c r="K987" t="s">
        <v>2689</v>
      </c>
      <c r="L987" s="13">
        <v>8000</v>
      </c>
      <c r="M987" t="s">
        <v>2661</v>
      </c>
    </row>
    <row r="988" spans="1:13">
      <c r="A988" t="s">
        <v>1008</v>
      </c>
      <c r="B988" t="s">
        <v>266</v>
      </c>
      <c r="C988" s="8">
        <v>46265</v>
      </c>
      <c r="D988" t="s">
        <v>344</v>
      </c>
      <c r="E988" t="s">
        <v>325</v>
      </c>
      <c r="F988" s="12">
        <v>233700</v>
      </c>
      <c r="G988" s="13">
        <v>23</v>
      </c>
      <c r="H988" t="s">
        <v>3331</v>
      </c>
      <c r="I988" s="8">
        <v>46215</v>
      </c>
      <c r="J988" t="s">
        <v>2674</v>
      </c>
      <c r="K988" t="s">
        <v>2675</v>
      </c>
      <c r="L988" s="13">
        <v>20000</v>
      </c>
      <c r="M988" t="s">
        <v>2661</v>
      </c>
    </row>
    <row r="989" spans="1:13">
      <c r="A989" t="s">
        <v>1008</v>
      </c>
      <c r="B989" t="s">
        <v>266</v>
      </c>
      <c r="C989" s="8">
        <v>46265</v>
      </c>
      <c r="D989" t="s">
        <v>344</v>
      </c>
      <c r="E989" t="s">
        <v>325</v>
      </c>
      <c r="F989" s="12">
        <v>233700</v>
      </c>
      <c r="G989" s="13">
        <v>23</v>
      </c>
      <c r="H989" t="s">
        <v>3337</v>
      </c>
      <c r="I989" s="8">
        <v>46032</v>
      </c>
      <c r="J989" t="s">
        <v>2682</v>
      </c>
      <c r="K989" t="s">
        <v>2683</v>
      </c>
      <c r="L989" s="13">
        <v>6000</v>
      </c>
      <c r="M989" t="s">
        <v>2661</v>
      </c>
    </row>
    <row r="990" spans="1:13">
      <c r="A990" t="s">
        <v>1008</v>
      </c>
      <c r="B990" t="s">
        <v>266</v>
      </c>
      <c r="C990" s="8">
        <v>46265</v>
      </c>
      <c r="D990" t="s">
        <v>344</v>
      </c>
      <c r="E990" t="s">
        <v>325</v>
      </c>
      <c r="F990" s="12">
        <v>233700</v>
      </c>
      <c r="G990" s="13">
        <v>23</v>
      </c>
      <c r="H990" t="s">
        <v>3347</v>
      </c>
      <c r="I990" s="8">
        <v>46104</v>
      </c>
      <c r="J990" t="s">
        <v>2688</v>
      </c>
      <c r="K990" t="s">
        <v>2689</v>
      </c>
      <c r="L990" s="13">
        <v>8000</v>
      </c>
      <c r="M990" t="s">
        <v>2661</v>
      </c>
    </row>
    <row r="991" spans="1:13">
      <c r="A991" t="s">
        <v>1008</v>
      </c>
      <c r="B991" t="s">
        <v>266</v>
      </c>
      <c r="C991" s="8">
        <v>46265</v>
      </c>
      <c r="D991" t="s">
        <v>344</v>
      </c>
      <c r="E991" t="s">
        <v>325</v>
      </c>
      <c r="F991" s="12">
        <v>233700</v>
      </c>
      <c r="G991" s="13">
        <v>23</v>
      </c>
      <c r="H991" t="s">
        <v>3518</v>
      </c>
      <c r="I991" s="8">
        <v>46126</v>
      </c>
      <c r="J991" t="s">
        <v>2692</v>
      </c>
      <c r="K991" t="s">
        <v>2693</v>
      </c>
      <c r="L991" s="13">
        <v>10000</v>
      </c>
      <c r="M991" t="s">
        <v>2661</v>
      </c>
    </row>
    <row r="992" spans="1:13">
      <c r="A992" t="s">
        <v>1109</v>
      </c>
      <c r="B992" t="s">
        <v>266</v>
      </c>
      <c r="C992" s="8">
        <v>46247</v>
      </c>
      <c r="D992" t="s">
        <v>344</v>
      </c>
      <c r="E992" t="s">
        <v>328</v>
      </c>
      <c r="F992" s="12">
        <v>222005</v>
      </c>
      <c r="G992" s="13">
        <v>22</v>
      </c>
      <c r="H992" t="s">
        <v>2736</v>
      </c>
      <c r="I992" s="8">
        <v>46216</v>
      </c>
      <c r="J992" t="s">
        <v>2685</v>
      </c>
      <c r="K992" t="s">
        <v>2686</v>
      </c>
      <c r="L992" s="13">
        <v>5000</v>
      </c>
      <c r="M992" t="s">
        <v>2661</v>
      </c>
    </row>
    <row r="993" spans="1:13">
      <c r="A993" t="s">
        <v>1109</v>
      </c>
      <c r="B993" t="s">
        <v>266</v>
      </c>
      <c r="C993" s="8">
        <v>46247</v>
      </c>
      <c r="D993" t="s">
        <v>344</v>
      </c>
      <c r="E993" t="s">
        <v>328</v>
      </c>
      <c r="F993" s="12">
        <v>222005</v>
      </c>
      <c r="G993" s="13">
        <v>22</v>
      </c>
      <c r="H993" t="s">
        <v>2757</v>
      </c>
      <c r="I993" s="8">
        <v>46186</v>
      </c>
      <c r="J993" t="s">
        <v>2688</v>
      </c>
      <c r="K993" t="s">
        <v>2689</v>
      </c>
      <c r="L993" s="13">
        <v>8000</v>
      </c>
      <c r="M993" t="s">
        <v>2661</v>
      </c>
    </row>
    <row r="994" spans="1:13">
      <c r="A994" t="s">
        <v>1109</v>
      </c>
      <c r="B994" t="s">
        <v>266</v>
      </c>
      <c r="C994" s="8">
        <v>46247</v>
      </c>
      <c r="D994" t="s">
        <v>344</v>
      </c>
      <c r="E994" t="s">
        <v>328</v>
      </c>
      <c r="F994" s="12">
        <v>222005</v>
      </c>
      <c r="G994" s="13">
        <v>22</v>
      </c>
      <c r="H994" t="s">
        <v>3331</v>
      </c>
      <c r="I994" s="8">
        <v>46215</v>
      </c>
      <c r="J994" t="s">
        <v>2674</v>
      </c>
      <c r="K994" t="s">
        <v>2675</v>
      </c>
      <c r="L994" s="13">
        <v>20000</v>
      </c>
      <c r="M994" t="s">
        <v>2661</v>
      </c>
    </row>
    <row r="995" spans="1:13">
      <c r="A995" t="s">
        <v>1109</v>
      </c>
      <c r="B995" t="s">
        <v>266</v>
      </c>
      <c r="C995" s="8">
        <v>46247</v>
      </c>
      <c r="D995" t="s">
        <v>344</v>
      </c>
      <c r="E995" t="s">
        <v>328</v>
      </c>
      <c r="F995" s="12">
        <v>222005</v>
      </c>
      <c r="G995" s="13">
        <v>22</v>
      </c>
      <c r="H995" t="s">
        <v>3337</v>
      </c>
      <c r="I995" s="8">
        <v>46032</v>
      </c>
      <c r="J995" t="s">
        <v>2682</v>
      </c>
      <c r="K995" t="s">
        <v>2683</v>
      </c>
      <c r="L995" s="13">
        <v>6000</v>
      </c>
      <c r="M995" t="s">
        <v>2661</v>
      </c>
    </row>
    <row r="996" spans="1:13">
      <c r="A996" t="s">
        <v>1109</v>
      </c>
      <c r="B996" t="s">
        <v>266</v>
      </c>
      <c r="C996" s="8">
        <v>46247</v>
      </c>
      <c r="D996" t="s">
        <v>344</v>
      </c>
      <c r="E996" t="s">
        <v>328</v>
      </c>
      <c r="F996" s="12">
        <v>222005</v>
      </c>
      <c r="G996" s="13">
        <v>22</v>
      </c>
      <c r="H996" t="s">
        <v>3347</v>
      </c>
      <c r="I996" s="8">
        <v>46104</v>
      </c>
      <c r="J996" t="s">
        <v>2688</v>
      </c>
      <c r="K996" t="s">
        <v>2689</v>
      </c>
      <c r="L996" s="13">
        <v>8000</v>
      </c>
      <c r="M996" t="s">
        <v>2661</v>
      </c>
    </row>
    <row r="997" spans="1:13">
      <c r="A997" t="s">
        <v>1109</v>
      </c>
      <c r="B997" t="s">
        <v>266</v>
      </c>
      <c r="C997" s="8">
        <v>46247</v>
      </c>
      <c r="D997" t="s">
        <v>344</v>
      </c>
      <c r="E997" t="s">
        <v>328</v>
      </c>
      <c r="F997" s="12">
        <v>222005</v>
      </c>
      <c r="G997" s="13">
        <v>22</v>
      </c>
      <c r="H997" t="s">
        <v>3518</v>
      </c>
      <c r="I997" s="8">
        <v>46126</v>
      </c>
      <c r="J997" t="s">
        <v>2692</v>
      </c>
      <c r="K997" t="s">
        <v>2693</v>
      </c>
      <c r="L997" s="13">
        <v>10000</v>
      </c>
      <c r="M997" t="s">
        <v>2661</v>
      </c>
    </row>
    <row r="998" spans="1:13">
      <c r="A998" t="s">
        <v>460</v>
      </c>
      <c r="B998" t="s">
        <v>161</v>
      </c>
      <c r="C998" s="8">
        <v>46107</v>
      </c>
      <c r="D998" t="s">
        <v>350</v>
      </c>
      <c r="E998" t="s">
        <v>337</v>
      </c>
      <c r="F998" s="12">
        <v>398297</v>
      </c>
      <c r="G998" s="13">
        <v>39</v>
      </c>
      <c r="H998" t="s">
        <v>2737</v>
      </c>
      <c r="I998" s="8">
        <v>45957</v>
      </c>
      <c r="J998" t="s">
        <v>2682</v>
      </c>
      <c r="K998" t="s">
        <v>2683</v>
      </c>
      <c r="L998" s="13">
        <v>6000</v>
      </c>
      <c r="M998" t="s">
        <v>2661</v>
      </c>
    </row>
    <row r="999" spans="1:13">
      <c r="A999" t="s">
        <v>460</v>
      </c>
      <c r="B999" t="s">
        <v>161</v>
      </c>
      <c r="C999" s="8">
        <v>46107</v>
      </c>
      <c r="D999" t="s">
        <v>350</v>
      </c>
      <c r="E999" t="s">
        <v>337</v>
      </c>
      <c r="F999" s="12">
        <v>398297</v>
      </c>
      <c r="G999" s="13">
        <v>39</v>
      </c>
      <c r="H999" t="s">
        <v>2874</v>
      </c>
      <c r="I999" s="8">
        <v>46115</v>
      </c>
      <c r="J999" t="s">
        <v>2688</v>
      </c>
      <c r="K999" t="s">
        <v>2689</v>
      </c>
      <c r="L999" s="13">
        <v>8000</v>
      </c>
      <c r="M999" t="s">
        <v>2661</v>
      </c>
    </row>
    <row r="1000" spans="1:13">
      <c r="A1000" t="s">
        <v>460</v>
      </c>
      <c r="B1000" t="s">
        <v>161</v>
      </c>
      <c r="C1000" s="8">
        <v>46107</v>
      </c>
      <c r="D1000" t="s">
        <v>350</v>
      </c>
      <c r="E1000" t="s">
        <v>337</v>
      </c>
      <c r="F1000" s="12">
        <v>398297</v>
      </c>
      <c r="G1000" s="13">
        <v>39</v>
      </c>
      <c r="H1000" t="s">
        <v>3296</v>
      </c>
      <c r="I1000" s="8">
        <v>46264</v>
      </c>
      <c r="J1000" t="s">
        <v>2659</v>
      </c>
      <c r="K1000" t="s">
        <v>2660</v>
      </c>
      <c r="L1000" s="13">
        <v>3500</v>
      </c>
      <c r="M1000" t="s">
        <v>2661</v>
      </c>
    </row>
    <row r="1001" spans="1:13">
      <c r="A1001" t="s">
        <v>460</v>
      </c>
      <c r="B1001" t="s">
        <v>161</v>
      </c>
      <c r="C1001" s="8">
        <v>46107</v>
      </c>
      <c r="D1001" t="s">
        <v>350</v>
      </c>
      <c r="E1001" t="s">
        <v>337</v>
      </c>
      <c r="F1001" s="12">
        <v>398297</v>
      </c>
      <c r="G1001" s="13">
        <v>39</v>
      </c>
      <c r="H1001" t="s">
        <v>3457</v>
      </c>
      <c r="I1001" s="8">
        <v>46162</v>
      </c>
      <c r="J1001" t="s">
        <v>2674</v>
      </c>
      <c r="K1001" t="s">
        <v>2675</v>
      </c>
      <c r="L1001" s="13">
        <v>20000</v>
      </c>
      <c r="M1001" t="s">
        <v>2661</v>
      </c>
    </row>
    <row r="1002" spans="1:13">
      <c r="A1002" t="s">
        <v>460</v>
      </c>
      <c r="B1002" t="s">
        <v>161</v>
      </c>
      <c r="C1002" s="8">
        <v>46107</v>
      </c>
      <c r="D1002" t="s">
        <v>350</v>
      </c>
      <c r="E1002" t="s">
        <v>337</v>
      </c>
      <c r="F1002" s="12">
        <v>398297</v>
      </c>
      <c r="G1002" s="13">
        <v>39</v>
      </c>
      <c r="H1002" t="s">
        <v>3485</v>
      </c>
      <c r="I1002" s="8">
        <v>45934</v>
      </c>
      <c r="J1002" t="s">
        <v>2685</v>
      </c>
      <c r="K1002" t="s">
        <v>2686</v>
      </c>
      <c r="L1002" s="13">
        <v>5000</v>
      </c>
      <c r="M1002" t="s">
        <v>2661</v>
      </c>
    </row>
    <row r="1003" spans="1:13">
      <c r="A1003" t="s">
        <v>460</v>
      </c>
      <c r="B1003" t="s">
        <v>161</v>
      </c>
      <c r="C1003" s="8">
        <v>46107</v>
      </c>
      <c r="D1003" t="s">
        <v>350</v>
      </c>
      <c r="E1003" t="s">
        <v>337</v>
      </c>
      <c r="F1003" s="12">
        <v>398297</v>
      </c>
      <c r="G1003" s="13">
        <v>39</v>
      </c>
      <c r="H1003" t="s">
        <v>3544</v>
      </c>
      <c r="I1003" s="8">
        <v>46259</v>
      </c>
      <c r="J1003" t="s">
        <v>2671</v>
      </c>
      <c r="K1003" t="s">
        <v>2672</v>
      </c>
      <c r="L1003" s="13">
        <v>3000</v>
      </c>
      <c r="M1003" t="s">
        <v>2661</v>
      </c>
    </row>
    <row r="1004" spans="1:13">
      <c r="A1004" t="s">
        <v>490</v>
      </c>
      <c r="B1004" t="s">
        <v>161</v>
      </c>
      <c r="C1004" s="8">
        <v>46214</v>
      </c>
      <c r="D1004" t="s">
        <v>330</v>
      </c>
      <c r="E1004" t="s">
        <v>328</v>
      </c>
      <c r="F1004" s="12">
        <v>340090</v>
      </c>
      <c r="G1004" s="13">
        <v>34</v>
      </c>
      <c r="H1004" t="s">
        <v>2737</v>
      </c>
      <c r="I1004" s="8">
        <v>45957</v>
      </c>
      <c r="J1004" t="s">
        <v>2682</v>
      </c>
      <c r="K1004" t="s">
        <v>2683</v>
      </c>
      <c r="L1004" s="13">
        <v>6000</v>
      </c>
      <c r="M1004" t="s">
        <v>2661</v>
      </c>
    </row>
    <row r="1005" spans="1:13">
      <c r="A1005" t="s">
        <v>490</v>
      </c>
      <c r="B1005" t="s">
        <v>161</v>
      </c>
      <c r="C1005" s="8">
        <v>46214</v>
      </c>
      <c r="D1005" t="s">
        <v>330</v>
      </c>
      <c r="E1005" t="s">
        <v>328</v>
      </c>
      <c r="F1005" s="12">
        <v>340090</v>
      </c>
      <c r="G1005" s="13">
        <v>34</v>
      </c>
      <c r="H1005" t="s">
        <v>2874</v>
      </c>
      <c r="I1005" s="8">
        <v>46115</v>
      </c>
      <c r="J1005" t="s">
        <v>2688</v>
      </c>
      <c r="K1005" t="s">
        <v>2689</v>
      </c>
      <c r="L1005" s="13">
        <v>8000</v>
      </c>
      <c r="M1005" t="s">
        <v>2661</v>
      </c>
    </row>
    <row r="1006" spans="1:13">
      <c r="A1006" t="s">
        <v>490</v>
      </c>
      <c r="B1006" t="s">
        <v>161</v>
      </c>
      <c r="C1006" s="8">
        <v>46214</v>
      </c>
      <c r="D1006" t="s">
        <v>330</v>
      </c>
      <c r="E1006" t="s">
        <v>328</v>
      </c>
      <c r="F1006" s="12">
        <v>340090</v>
      </c>
      <c r="G1006" s="13">
        <v>34</v>
      </c>
      <c r="H1006" t="s">
        <v>3296</v>
      </c>
      <c r="I1006" s="8">
        <v>46264</v>
      </c>
      <c r="J1006" t="s">
        <v>2659</v>
      </c>
      <c r="K1006" t="s">
        <v>2660</v>
      </c>
      <c r="L1006" s="13">
        <v>3500</v>
      </c>
      <c r="M1006" t="s">
        <v>2661</v>
      </c>
    </row>
    <row r="1007" spans="1:13">
      <c r="A1007" t="s">
        <v>490</v>
      </c>
      <c r="B1007" t="s">
        <v>161</v>
      </c>
      <c r="C1007" s="8">
        <v>46214</v>
      </c>
      <c r="D1007" t="s">
        <v>330</v>
      </c>
      <c r="E1007" t="s">
        <v>328</v>
      </c>
      <c r="F1007" s="12">
        <v>340090</v>
      </c>
      <c r="G1007" s="13">
        <v>34</v>
      </c>
      <c r="H1007" t="s">
        <v>3457</v>
      </c>
      <c r="I1007" s="8">
        <v>46162</v>
      </c>
      <c r="J1007" t="s">
        <v>2674</v>
      </c>
      <c r="K1007" t="s">
        <v>2675</v>
      </c>
      <c r="L1007" s="13">
        <v>20000</v>
      </c>
      <c r="M1007" t="s">
        <v>2661</v>
      </c>
    </row>
    <row r="1008" spans="1:13">
      <c r="A1008" t="s">
        <v>490</v>
      </c>
      <c r="B1008" t="s">
        <v>161</v>
      </c>
      <c r="C1008" s="8">
        <v>46214</v>
      </c>
      <c r="D1008" t="s">
        <v>330</v>
      </c>
      <c r="E1008" t="s">
        <v>328</v>
      </c>
      <c r="F1008" s="12">
        <v>340090</v>
      </c>
      <c r="G1008" s="13">
        <v>34</v>
      </c>
      <c r="H1008" t="s">
        <v>3485</v>
      </c>
      <c r="I1008" s="8">
        <v>45934</v>
      </c>
      <c r="J1008" t="s">
        <v>2685</v>
      </c>
      <c r="K1008" t="s">
        <v>2686</v>
      </c>
      <c r="L1008" s="13">
        <v>5000</v>
      </c>
      <c r="M1008" t="s">
        <v>2661</v>
      </c>
    </row>
    <row r="1009" spans="1:13">
      <c r="A1009" t="s">
        <v>490</v>
      </c>
      <c r="B1009" t="s">
        <v>161</v>
      </c>
      <c r="C1009" s="8">
        <v>46214</v>
      </c>
      <c r="D1009" t="s">
        <v>330</v>
      </c>
      <c r="E1009" t="s">
        <v>328</v>
      </c>
      <c r="F1009" s="12">
        <v>340090</v>
      </c>
      <c r="G1009" s="13">
        <v>34</v>
      </c>
      <c r="H1009" t="s">
        <v>3544</v>
      </c>
      <c r="I1009" s="8">
        <v>46259</v>
      </c>
      <c r="J1009" t="s">
        <v>2671</v>
      </c>
      <c r="K1009" t="s">
        <v>2672</v>
      </c>
      <c r="L1009" s="13">
        <v>3000</v>
      </c>
      <c r="M1009" t="s">
        <v>2661</v>
      </c>
    </row>
    <row r="1010" spans="1:13">
      <c r="A1010" t="s">
        <v>960</v>
      </c>
      <c r="B1010" t="s">
        <v>161</v>
      </c>
      <c r="C1010" s="8">
        <v>46263</v>
      </c>
      <c r="D1010" t="s">
        <v>350</v>
      </c>
      <c r="E1010" t="s">
        <v>339</v>
      </c>
      <c r="F1010" s="12">
        <v>57278</v>
      </c>
      <c r="G1010" s="13">
        <v>5</v>
      </c>
      <c r="H1010" t="s">
        <v>2737</v>
      </c>
      <c r="I1010" s="8">
        <v>45957</v>
      </c>
      <c r="J1010" t="s">
        <v>2682</v>
      </c>
      <c r="K1010" t="s">
        <v>2683</v>
      </c>
      <c r="L1010" s="13">
        <v>6000</v>
      </c>
      <c r="M1010" t="s">
        <v>2661</v>
      </c>
    </row>
    <row r="1011" spans="1:13">
      <c r="A1011" t="s">
        <v>960</v>
      </c>
      <c r="B1011" t="s">
        <v>161</v>
      </c>
      <c r="C1011" s="8">
        <v>46263</v>
      </c>
      <c r="D1011" t="s">
        <v>350</v>
      </c>
      <c r="E1011" t="s">
        <v>339</v>
      </c>
      <c r="F1011" s="12">
        <v>57278</v>
      </c>
      <c r="G1011" s="13">
        <v>5</v>
      </c>
      <c r="H1011" t="s">
        <v>2874</v>
      </c>
      <c r="I1011" s="8">
        <v>46115</v>
      </c>
      <c r="J1011" t="s">
        <v>2688</v>
      </c>
      <c r="K1011" t="s">
        <v>2689</v>
      </c>
      <c r="L1011" s="13">
        <v>8000</v>
      </c>
      <c r="M1011" t="s">
        <v>2661</v>
      </c>
    </row>
    <row r="1012" spans="1:13">
      <c r="A1012" t="s">
        <v>960</v>
      </c>
      <c r="B1012" t="s">
        <v>161</v>
      </c>
      <c r="C1012" s="8">
        <v>46263</v>
      </c>
      <c r="D1012" t="s">
        <v>350</v>
      </c>
      <c r="E1012" t="s">
        <v>339</v>
      </c>
      <c r="F1012" s="12">
        <v>57278</v>
      </c>
      <c r="G1012" s="13">
        <v>5</v>
      </c>
      <c r="H1012" t="s">
        <v>3296</v>
      </c>
      <c r="I1012" s="8">
        <v>46264</v>
      </c>
      <c r="J1012" t="s">
        <v>2659</v>
      </c>
      <c r="K1012" t="s">
        <v>2660</v>
      </c>
      <c r="L1012" s="13">
        <v>3500</v>
      </c>
      <c r="M1012" t="s">
        <v>2661</v>
      </c>
    </row>
    <row r="1013" spans="1:13">
      <c r="A1013" t="s">
        <v>960</v>
      </c>
      <c r="B1013" t="s">
        <v>161</v>
      </c>
      <c r="C1013" s="8">
        <v>46263</v>
      </c>
      <c r="D1013" t="s">
        <v>350</v>
      </c>
      <c r="E1013" t="s">
        <v>339</v>
      </c>
      <c r="F1013" s="12">
        <v>57278</v>
      </c>
      <c r="G1013" s="13">
        <v>5</v>
      </c>
      <c r="H1013" t="s">
        <v>3457</v>
      </c>
      <c r="I1013" s="8">
        <v>46162</v>
      </c>
      <c r="J1013" t="s">
        <v>2674</v>
      </c>
      <c r="K1013" t="s">
        <v>2675</v>
      </c>
      <c r="L1013" s="13">
        <v>20000</v>
      </c>
      <c r="M1013" t="s">
        <v>2661</v>
      </c>
    </row>
    <row r="1014" spans="1:13">
      <c r="A1014" t="s">
        <v>960</v>
      </c>
      <c r="B1014" t="s">
        <v>161</v>
      </c>
      <c r="C1014" s="8">
        <v>46263</v>
      </c>
      <c r="D1014" t="s">
        <v>350</v>
      </c>
      <c r="E1014" t="s">
        <v>339</v>
      </c>
      <c r="F1014" s="12">
        <v>57278</v>
      </c>
      <c r="G1014" s="13">
        <v>5</v>
      </c>
      <c r="H1014" t="s">
        <v>3485</v>
      </c>
      <c r="I1014" s="8">
        <v>45934</v>
      </c>
      <c r="J1014" t="s">
        <v>2685</v>
      </c>
      <c r="K1014" t="s">
        <v>2686</v>
      </c>
      <c r="L1014" s="13">
        <v>5000</v>
      </c>
      <c r="M1014" t="s">
        <v>2661</v>
      </c>
    </row>
    <row r="1015" spans="1:13">
      <c r="A1015" t="s">
        <v>960</v>
      </c>
      <c r="B1015" t="s">
        <v>161</v>
      </c>
      <c r="C1015" s="8">
        <v>46263</v>
      </c>
      <c r="D1015" t="s">
        <v>350</v>
      </c>
      <c r="E1015" t="s">
        <v>339</v>
      </c>
      <c r="F1015" s="12">
        <v>57278</v>
      </c>
      <c r="G1015" s="13">
        <v>5</v>
      </c>
      <c r="H1015" t="s">
        <v>3544</v>
      </c>
      <c r="I1015" s="8">
        <v>46259</v>
      </c>
      <c r="J1015" t="s">
        <v>2671</v>
      </c>
      <c r="K1015" t="s">
        <v>2672</v>
      </c>
      <c r="L1015" s="13">
        <v>3000</v>
      </c>
      <c r="M1015" t="s">
        <v>2661</v>
      </c>
    </row>
    <row r="1016" spans="1:13">
      <c r="A1016" t="s">
        <v>1112</v>
      </c>
      <c r="B1016" t="s">
        <v>161</v>
      </c>
      <c r="C1016" s="8">
        <v>46239</v>
      </c>
      <c r="D1016" t="s">
        <v>324</v>
      </c>
      <c r="E1016" t="s">
        <v>337</v>
      </c>
      <c r="F1016" s="12">
        <v>266888</v>
      </c>
      <c r="G1016" s="13">
        <v>26</v>
      </c>
      <c r="H1016" t="s">
        <v>2737</v>
      </c>
      <c r="I1016" s="8">
        <v>45957</v>
      </c>
      <c r="J1016" t="s">
        <v>2682</v>
      </c>
      <c r="K1016" t="s">
        <v>2683</v>
      </c>
      <c r="L1016" s="13">
        <v>6000</v>
      </c>
      <c r="M1016" t="s">
        <v>2661</v>
      </c>
    </row>
    <row r="1017" spans="1:13">
      <c r="A1017" t="s">
        <v>1112</v>
      </c>
      <c r="B1017" t="s">
        <v>161</v>
      </c>
      <c r="C1017" s="8">
        <v>46239</v>
      </c>
      <c r="D1017" t="s">
        <v>324</v>
      </c>
      <c r="E1017" t="s">
        <v>337</v>
      </c>
      <c r="F1017" s="12">
        <v>266888</v>
      </c>
      <c r="G1017" s="13">
        <v>26</v>
      </c>
      <c r="H1017" t="s">
        <v>2874</v>
      </c>
      <c r="I1017" s="8">
        <v>46115</v>
      </c>
      <c r="J1017" t="s">
        <v>2688</v>
      </c>
      <c r="K1017" t="s">
        <v>2689</v>
      </c>
      <c r="L1017" s="13">
        <v>8000</v>
      </c>
      <c r="M1017" t="s">
        <v>2661</v>
      </c>
    </row>
    <row r="1018" spans="1:13">
      <c r="A1018" t="s">
        <v>1112</v>
      </c>
      <c r="B1018" t="s">
        <v>161</v>
      </c>
      <c r="C1018" s="8">
        <v>46239</v>
      </c>
      <c r="D1018" t="s">
        <v>324</v>
      </c>
      <c r="E1018" t="s">
        <v>337</v>
      </c>
      <c r="F1018" s="12">
        <v>266888</v>
      </c>
      <c r="G1018" s="13">
        <v>26</v>
      </c>
      <c r="H1018" t="s">
        <v>3296</v>
      </c>
      <c r="I1018" s="8">
        <v>46264</v>
      </c>
      <c r="J1018" t="s">
        <v>2659</v>
      </c>
      <c r="K1018" t="s">
        <v>2660</v>
      </c>
      <c r="L1018" s="13">
        <v>3500</v>
      </c>
      <c r="M1018" t="s">
        <v>2661</v>
      </c>
    </row>
    <row r="1019" spans="1:13">
      <c r="A1019" t="s">
        <v>1112</v>
      </c>
      <c r="B1019" t="s">
        <v>161</v>
      </c>
      <c r="C1019" s="8">
        <v>46239</v>
      </c>
      <c r="D1019" t="s">
        <v>324</v>
      </c>
      <c r="E1019" t="s">
        <v>337</v>
      </c>
      <c r="F1019" s="12">
        <v>266888</v>
      </c>
      <c r="G1019" s="13">
        <v>26</v>
      </c>
      <c r="H1019" t="s">
        <v>3457</v>
      </c>
      <c r="I1019" s="8">
        <v>46162</v>
      </c>
      <c r="J1019" t="s">
        <v>2674</v>
      </c>
      <c r="K1019" t="s">
        <v>2675</v>
      </c>
      <c r="L1019" s="13">
        <v>20000</v>
      </c>
      <c r="M1019" t="s">
        <v>2661</v>
      </c>
    </row>
    <row r="1020" spans="1:13">
      <c r="A1020" t="s">
        <v>1112</v>
      </c>
      <c r="B1020" t="s">
        <v>161</v>
      </c>
      <c r="C1020" s="8">
        <v>46239</v>
      </c>
      <c r="D1020" t="s">
        <v>324</v>
      </c>
      <c r="E1020" t="s">
        <v>337</v>
      </c>
      <c r="F1020" s="12">
        <v>266888</v>
      </c>
      <c r="G1020" s="13">
        <v>26</v>
      </c>
      <c r="H1020" t="s">
        <v>3485</v>
      </c>
      <c r="I1020" s="8">
        <v>45934</v>
      </c>
      <c r="J1020" t="s">
        <v>2685</v>
      </c>
      <c r="K1020" t="s">
        <v>2686</v>
      </c>
      <c r="L1020" s="13">
        <v>5000</v>
      </c>
      <c r="M1020" t="s">
        <v>2661</v>
      </c>
    </row>
    <row r="1021" spans="1:13">
      <c r="A1021" t="s">
        <v>1112</v>
      </c>
      <c r="B1021" t="s">
        <v>161</v>
      </c>
      <c r="C1021" s="8">
        <v>46239</v>
      </c>
      <c r="D1021" t="s">
        <v>324</v>
      </c>
      <c r="E1021" t="s">
        <v>337</v>
      </c>
      <c r="F1021" s="12">
        <v>266888</v>
      </c>
      <c r="G1021" s="13">
        <v>26</v>
      </c>
      <c r="H1021" t="s">
        <v>3544</v>
      </c>
      <c r="I1021" s="8">
        <v>46259</v>
      </c>
      <c r="J1021" t="s">
        <v>2671</v>
      </c>
      <c r="K1021" t="s">
        <v>2672</v>
      </c>
      <c r="L1021" s="13">
        <v>3000</v>
      </c>
      <c r="M1021" t="s">
        <v>2661</v>
      </c>
    </row>
    <row r="1022" spans="1:13">
      <c r="A1022" t="s">
        <v>1226</v>
      </c>
      <c r="B1022" t="s">
        <v>161</v>
      </c>
      <c r="C1022" s="8">
        <v>45999</v>
      </c>
      <c r="D1022" t="s">
        <v>350</v>
      </c>
      <c r="E1022" t="s">
        <v>325</v>
      </c>
      <c r="F1022" s="12">
        <v>638980</v>
      </c>
      <c r="G1022" s="13">
        <v>63</v>
      </c>
      <c r="H1022" t="s">
        <v>2737</v>
      </c>
      <c r="I1022" s="8">
        <v>45957</v>
      </c>
      <c r="J1022" t="s">
        <v>2682</v>
      </c>
      <c r="K1022" t="s">
        <v>2683</v>
      </c>
      <c r="L1022" s="13">
        <v>6000</v>
      </c>
      <c r="M1022" t="s">
        <v>2661</v>
      </c>
    </row>
    <row r="1023" spans="1:13">
      <c r="A1023" t="s">
        <v>1226</v>
      </c>
      <c r="B1023" t="s">
        <v>161</v>
      </c>
      <c r="C1023" s="8">
        <v>45999</v>
      </c>
      <c r="D1023" t="s">
        <v>350</v>
      </c>
      <c r="E1023" t="s">
        <v>325</v>
      </c>
      <c r="F1023" s="12">
        <v>638980</v>
      </c>
      <c r="G1023" s="13">
        <v>63</v>
      </c>
      <c r="H1023" t="s">
        <v>2874</v>
      </c>
      <c r="I1023" s="8">
        <v>46115</v>
      </c>
      <c r="J1023" t="s">
        <v>2688</v>
      </c>
      <c r="K1023" t="s">
        <v>2689</v>
      </c>
      <c r="L1023" s="13">
        <v>8000</v>
      </c>
      <c r="M1023" t="s">
        <v>2661</v>
      </c>
    </row>
    <row r="1024" spans="1:13">
      <c r="A1024" t="s">
        <v>1226</v>
      </c>
      <c r="B1024" t="s">
        <v>161</v>
      </c>
      <c r="C1024" s="8">
        <v>45999</v>
      </c>
      <c r="D1024" t="s">
        <v>350</v>
      </c>
      <c r="E1024" t="s">
        <v>325</v>
      </c>
      <c r="F1024" s="12">
        <v>638980</v>
      </c>
      <c r="G1024" s="13">
        <v>63</v>
      </c>
      <c r="H1024" t="s">
        <v>3296</v>
      </c>
      <c r="I1024" s="8">
        <v>46264</v>
      </c>
      <c r="J1024" t="s">
        <v>2659</v>
      </c>
      <c r="K1024" t="s">
        <v>2660</v>
      </c>
      <c r="L1024" s="13">
        <v>3500</v>
      </c>
      <c r="M1024" t="s">
        <v>2661</v>
      </c>
    </row>
    <row r="1025" spans="1:13">
      <c r="A1025" t="s">
        <v>1226</v>
      </c>
      <c r="B1025" t="s">
        <v>161</v>
      </c>
      <c r="C1025" s="8">
        <v>45999</v>
      </c>
      <c r="D1025" t="s">
        <v>350</v>
      </c>
      <c r="E1025" t="s">
        <v>325</v>
      </c>
      <c r="F1025" s="12">
        <v>638980</v>
      </c>
      <c r="G1025" s="13">
        <v>63</v>
      </c>
      <c r="H1025" t="s">
        <v>3457</v>
      </c>
      <c r="I1025" s="8">
        <v>46162</v>
      </c>
      <c r="J1025" t="s">
        <v>2674</v>
      </c>
      <c r="K1025" t="s">
        <v>2675</v>
      </c>
      <c r="L1025" s="13">
        <v>20000</v>
      </c>
      <c r="M1025" t="s">
        <v>2661</v>
      </c>
    </row>
    <row r="1026" spans="1:13">
      <c r="A1026" t="s">
        <v>1226</v>
      </c>
      <c r="B1026" t="s">
        <v>161</v>
      </c>
      <c r="C1026" s="8">
        <v>45999</v>
      </c>
      <c r="D1026" t="s">
        <v>350</v>
      </c>
      <c r="E1026" t="s">
        <v>325</v>
      </c>
      <c r="F1026" s="12">
        <v>638980</v>
      </c>
      <c r="G1026" s="13">
        <v>63</v>
      </c>
      <c r="H1026" t="s">
        <v>3485</v>
      </c>
      <c r="I1026" s="8">
        <v>45934</v>
      </c>
      <c r="J1026" t="s">
        <v>2685</v>
      </c>
      <c r="K1026" t="s">
        <v>2686</v>
      </c>
      <c r="L1026" s="13">
        <v>5000</v>
      </c>
      <c r="M1026" t="s">
        <v>2661</v>
      </c>
    </row>
    <row r="1027" spans="1:13">
      <c r="A1027" t="s">
        <v>1226</v>
      </c>
      <c r="B1027" t="s">
        <v>161</v>
      </c>
      <c r="C1027" s="8">
        <v>45999</v>
      </c>
      <c r="D1027" t="s">
        <v>350</v>
      </c>
      <c r="E1027" t="s">
        <v>325</v>
      </c>
      <c r="F1027" s="12">
        <v>638980</v>
      </c>
      <c r="G1027" s="13">
        <v>63</v>
      </c>
      <c r="H1027" t="s">
        <v>3544</v>
      </c>
      <c r="I1027" s="8">
        <v>46259</v>
      </c>
      <c r="J1027" t="s">
        <v>2671</v>
      </c>
      <c r="K1027" t="s">
        <v>2672</v>
      </c>
      <c r="L1027" s="13">
        <v>3000</v>
      </c>
      <c r="M1027" t="s">
        <v>2661</v>
      </c>
    </row>
    <row r="1028" spans="1:13">
      <c r="A1028" t="s">
        <v>393</v>
      </c>
      <c r="B1028" t="s">
        <v>233</v>
      </c>
      <c r="C1028" s="8">
        <v>46223</v>
      </c>
      <c r="D1028" t="s">
        <v>344</v>
      </c>
      <c r="E1028" t="s">
        <v>339</v>
      </c>
      <c r="F1028" s="12">
        <v>516174</v>
      </c>
      <c r="G1028" s="13">
        <v>51</v>
      </c>
      <c r="H1028" t="s">
        <v>2912</v>
      </c>
      <c r="I1028" s="8">
        <v>46184</v>
      </c>
      <c r="J1028" t="s">
        <v>2688</v>
      </c>
      <c r="K1028" t="s">
        <v>2689</v>
      </c>
      <c r="L1028" s="13">
        <v>8000</v>
      </c>
      <c r="M1028" t="s">
        <v>2676</v>
      </c>
    </row>
    <row r="1029" spans="1:13">
      <c r="A1029" t="s">
        <v>393</v>
      </c>
      <c r="B1029" t="s">
        <v>233</v>
      </c>
      <c r="C1029" s="8">
        <v>46223</v>
      </c>
      <c r="D1029" t="s">
        <v>344</v>
      </c>
      <c r="E1029" t="s">
        <v>339</v>
      </c>
      <c r="F1029" s="12">
        <v>516174</v>
      </c>
      <c r="G1029" s="13">
        <v>51</v>
      </c>
      <c r="H1029" t="s">
        <v>3508</v>
      </c>
      <c r="I1029" s="8">
        <v>46183</v>
      </c>
      <c r="J1029" t="s">
        <v>2671</v>
      </c>
      <c r="K1029" t="s">
        <v>2672</v>
      </c>
      <c r="L1029" s="13">
        <v>3000</v>
      </c>
      <c r="M1029" t="s">
        <v>2661</v>
      </c>
    </row>
    <row r="1030" spans="1:13">
      <c r="A1030" t="s">
        <v>503</v>
      </c>
      <c r="B1030" t="s">
        <v>233</v>
      </c>
      <c r="C1030" s="8">
        <v>46044</v>
      </c>
      <c r="D1030" t="s">
        <v>330</v>
      </c>
      <c r="E1030" t="s">
        <v>328</v>
      </c>
      <c r="F1030" s="12">
        <v>94682</v>
      </c>
      <c r="G1030" s="13">
        <v>9</v>
      </c>
      <c r="H1030" t="s">
        <v>2912</v>
      </c>
      <c r="I1030" s="8">
        <v>46184</v>
      </c>
      <c r="J1030" t="s">
        <v>2688</v>
      </c>
      <c r="K1030" t="s">
        <v>2689</v>
      </c>
      <c r="L1030" s="13">
        <v>8000</v>
      </c>
      <c r="M1030" t="s">
        <v>2676</v>
      </c>
    </row>
    <row r="1031" spans="1:13">
      <c r="A1031" t="s">
        <v>503</v>
      </c>
      <c r="B1031" t="s">
        <v>233</v>
      </c>
      <c r="C1031" s="8">
        <v>46044</v>
      </c>
      <c r="D1031" t="s">
        <v>330</v>
      </c>
      <c r="E1031" t="s">
        <v>328</v>
      </c>
      <c r="F1031" s="12">
        <v>94682</v>
      </c>
      <c r="G1031" s="13">
        <v>9</v>
      </c>
      <c r="H1031" t="s">
        <v>3508</v>
      </c>
      <c r="I1031" s="8">
        <v>46183</v>
      </c>
      <c r="J1031" t="s">
        <v>2671</v>
      </c>
      <c r="K1031" t="s">
        <v>2672</v>
      </c>
      <c r="L1031" s="13">
        <v>3000</v>
      </c>
      <c r="M1031" t="s">
        <v>2661</v>
      </c>
    </row>
    <row r="1032" spans="1:13">
      <c r="A1032" t="s">
        <v>541</v>
      </c>
      <c r="B1032" t="s">
        <v>233</v>
      </c>
      <c r="C1032" s="8">
        <v>46091</v>
      </c>
      <c r="D1032" t="s">
        <v>332</v>
      </c>
      <c r="E1032" t="s">
        <v>339</v>
      </c>
      <c r="F1032" s="12">
        <v>46096</v>
      </c>
      <c r="G1032" s="13">
        <v>4</v>
      </c>
      <c r="H1032" t="s">
        <v>2912</v>
      </c>
      <c r="I1032" s="8">
        <v>46184</v>
      </c>
      <c r="J1032" t="s">
        <v>2688</v>
      </c>
      <c r="K1032" t="s">
        <v>2689</v>
      </c>
      <c r="L1032" s="13">
        <v>8000</v>
      </c>
      <c r="M1032" t="s">
        <v>2676</v>
      </c>
    </row>
    <row r="1033" spans="1:13">
      <c r="A1033" t="s">
        <v>541</v>
      </c>
      <c r="B1033" t="s">
        <v>233</v>
      </c>
      <c r="C1033" s="8">
        <v>46091</v>
      </c>
      <c r="D1033" t="s">
        <v>332</v>
      </c>
      <c r="E1033" t="s">
        <v>339</v>
      </c>
      <c r="F1033" s="12">
        <v>46096</v>
      </c>
      <c r="G1033" s="13">
        <v>4</v>
      </c>
      <c r="H1033" t="s">
        <v>3508</v>
      </c>
      <c r="I1033" s="8">
        <v>46183</v>
      </c>
      <c r="J1033" t="s">
        <v>2671</v>
      </c>
      <c r="K1033" t="s">
        <v>2672</v>
      </c>
      <c r="L1033" s="13">
        <v>3000</v>
      </c>
      <c r="M1033" t="s">
        <v>2661</v>
      </c>
    </row>
    <row r="1034" spans="1:13">
      <c r="A1034" t="s">
        <v>697</v>
      </c>
      <c r="B1034" t="s">
        <v>233</v>
      </c>
      <c r="C1034" s="8">
        <v>46240</v>
      </c>
      <c r="D1034" t="s">
        <v>321</v>
      </c>
      <c r="E1034" t="s">
        <v>337</v>
      </c>
      <c r="F1034" s="12">
        <v>309072</v>
      </c>
      <c r="G1034" s="13">
        <v>30</v>
      </c>
      <c r="H1034" t="s">
        <v>2912</v>
      </c>
      <c r="I1034" s="8">
        <v>46184</v>
      </c>
      <c r="J1034" t="s">
        <v>2688</v>
      </c>
      <c r="K1034" t="s">
        <v>2689</v>
      </c>
      <c r="L1034" s="13">
        <v>8000</v>
      </c>
      <c r="M1034" t="s">
        <v>2676</v>
      </c>
    </row>
    <row r="1035" spans="1:13">
      <c r="A1035" t="s">
        <v>697</v>
      </c>
      <c r="B1035" t="s">
        <v>233</v>
      </c>
      <c r="C1035" s="8">
        <v>46240</v>
      </c>
      <c r="D1035" t="s">
        <v>321</v>
      </c>
      <c r="E1035" t="s">
        <v>337</v>
      </c>
      <c r="F1035" s="12">
        <v>309072</v>
      </c>
      <c r="G1035" s="13">
        <v>30</v>
      </c>
      <c r="H1035" t="s">
        <v>3508</v>
      </c>
      <c r="I1035" s="8">
        <v>46183</v>
      </c>
      <c r="J1035" t="s">
        <v>2671</v>
      </c>
      <c r="K1035" t="s">
        <v>2672</v>
      </c>
      <c r="L1035" s="13">
        <v>3000</v>
      </c>
      <c r="M1035" t="s">
        <v>2661</v>
      </c>
    </row>
    <row r="1036" spans="1:13">
      <c r="A1036" t="s">
        <v>871</v>
      </c>
      <c r="B1036" t="s">
        <v>233</v>
      </c>
      <c r="C1036" s="8">
        <v>46097</v>
      </c>
      <c r="D1036" t="s">
        <v>321</v>
      </c>
      <c r="E1036" t="s">
        <v>328</v>
      </c>
      <c r="F1036" s="12">
        <v>77222</v>
      </c>
      <c r="G1036" s="13">
        <v>7</v>
      </c>
      <c r="H1036" t="s">
        <v>2912</v>
      </c>
      <c r="I1036" s="8">
        <v>46184</v>
      </c>
      <c r="J1036" t="s">
        <v>2688</v>
      </c>
      <c r="K1036" t="s">
        <v>2689</v>
      </c>
      <c r="L1036" s="13">
        <v>8000</v>
      </c>
      <c r="M1036" t="s">
        <v>2676</v>
      </c>
    </row>
    <row r="1037" spans="1:13">
      <c r="A1037" t="s">
        <v>871</v>
      </c>
      <c r="B1037" t="s">
        <v>233</v>
      </c>
      <c r="C1037" s="8">
        <v>46097</v>
      </c>
      <c r="D1037" t="s">
        <v>321</v>
      </c>
      <c r="E1037" t="s">
        <v>328</v>
      </c>
      <c r="F1037" s="12">
        <v>77222</v>
      </c>
      <c r="G1037" s="13">
        <v>7</v>
      </c>
      <c r="H1037" t="s">
        <v>3508</v>
      </c>
      <c r="I1037" s="8">
        <v>46183</v>
      </c>
      <c r="J1037" t="s">
        <v>2671</v>
      </c>
      <c r="K1037" t="s">
        <v>2672</v>
      </c>
      <c r="L1037" s="13">
        <v>3000</v>
      </c>
      <c r="M1037" t="s">
        <v>2661</v>
      </c>
    </row>
    <row r="1038" spans="1:13">
      <c r="A1038" t="s">
        <v>879</v>
      </c>
      <c r="B1038" t="s">
        <v>233</v>
      </c>
      <c r="C1038" s="8">
        <v>45952</v>
      </c>
      <c r="D1038" t="s">
        <v>330</v>
      </c>
      <c r="E1038" t="s">
        <v>339</v>
      </c>
      <c r="F1038" s="12">
        <v>133204</v>
      </c>
      <c r="G1038" s="13">
        <v>13</v>
      </c>
      <c r="H1038" t="s">
        <v>2912</v>
      </c>
      <c r="I1038" s="8">
        <v>46184</v>
      </c>
      <c r="J1038" t="s">
        <v>2688</v>
      </c>
      <c r="K1038" t="s">
        <v>2689</v>
      </c>
      <c r="L1038" s="13">
        <v>8000</v>
      </c>
      <c r="M1038" t="s">
        <v>2676</v>
      </c>
    </row>
    <row r="1039" spans="1:13">
      <c r="A1039" t="s">
        <v>879</v>
      </c>
      <c r="B1039" t="s">
        <v>233</v>
      </c>
      <c r="C1039" s="8">
        <v>45952</v>
      </c>
      <c r="D1039" t="s">
        <v>330</v>
      </c>
      <c r="E1039" t="s">
        <v>339</v>
      </c>
      <c r="F1039" s="12">
        <v>133204</v>
      </c>
      <c r="G1039" s="13">
        <v>13</v>
      </c>
      <c r="H1039" t="s">
        <v>3508</v>
      </c>
      <c r="I1039" s="8">
        <v>46183</v>
      </c>
      <c r="J1039" t="s">
        <v>2671</v>
      </c>
      <c r="K1039" t="s">
        <v>2672</v>
      </c>
      <c r="L1039" s="13">
        <v>3000</v>
      </c>
      <c r="M1039" t="s">
        <v>2661</v>
      </c>
    </row>
    <row r="1040" spans="1:13">
      <c r="A1040" t="s">
        <v>1045</v>
      </c>
      <c r="B1040" t="s">
        <v>233</v>
      </c>
      <c r="C1040" s="8">
        <v>46129</v>
      </c>
      <c r="D1040" t="s">
        <v>321</v>
      </c>
      <c r="E1040" t="s">
        <v>325</v>
      </c>
      <c r="F1040" s="12">
        <v>119252</v>
      </c>
      <c r="G1040" s="13">
        <v>11</v>
      </c>
      <c r="H1040" t="s">
        <v>2912</v>
      </c>
      <c r="I1040" s="8">
        <v>46184</v>
      </c>
      <c r="J1040" t="s">
        <v>2688</v>
      </c>
      <c r="K1040" t="s">
        <v>2689</v>
      </c>
      <c r="L1040" s="13">
        <v>8000</v>
      </c>
      <c r="M1040" t="s">
        <v>2676</v>
      </c>
    </row>
    <row r="1041" spans="1:13">
      <c r="A1041" t="s">
        <v>1045</v>
      </c>
      <c r="B1041" t="s">
        <v>233</v>
      </c>
      <c r="C1041" s="8">
        <v>46129</v>
      </c>
      <c r="D1041" t="s">
        <v>321</v>
      </c>
      <c r="E1041" t="s">
        <v>325</v>
      </c>
      <c r="F1041" s="12">
        <v>119252</v>
      </c>
      <c r="G1041" s="13">
        <v>11</v>
      </c>
      <c r="H1041" t="s">
        <v>3508</v>
      </c>
      <c r="I1041" s="8">
        <v>46183</v>
      </c>
      <c r="J1041" t="s">
        <v>2671</v>
      </c>
      <c r="K1041" t="s">
        <v>2672</v>
      </c>
      <c r="L1041" s="13">
        <v>3000</v>
      </c>
      <c r="M1041" t="s">
        <v>2661</v>
      </c>
    </row>
    <row r="1042" spans="1:13">
      <c r="A1042" t="s">
        <v>1140</v>
      </c>
      <c r="B1042" t="s">
        <v>233</v>
      </c>
      <c r="C1042" s="8">
        <v>46046</v>
      </c>
      <c r="D1042" t="s">
        <v>344</v>
      </c>
      <c r="E1042" t="s">
        <v>325</v>
      </c>
      <c r="F1042" s="12">
        <v>177490</v>
      </c>
      <c r="G1042" s="13">
        <v>17</v>
      </c>
      <c r="H1042" t="s">
        <v>2912</v>
      </c>
      <c r="I1042" s="8">
        <v>46184</v>
      </c>
      <c r="J1042" t="s">
        <v>2688</v>
      </c>
      <c r="K1042" t="s">
        <v>2689</v>
      </c>
      <c r="L1042" s="13">
        <v>8000</v>
      </c>
      <c r="M1042" t="s">
        <v>2676</v>
      </c>
    </row>
    <row r="1043" spans="1:13">
      <c r="A1043" t="s">
        <v>1140</v>
      </c>
      <c r="B1043" t="s">
        <v>233</v>
      </c>
      <c r="C1043" s="8">
        <v>46046</v>
      </c>
      <c r="D1043" t="s">
        <v>344</v>
      </c>
      <c r="E1043" t="s">
        <v>325</v>
      </c>
      <c r="F1043" s="12">
        <v>177490</v>
      </c>
      <c r="G1043" s="13">
        <v>17</v>
      </c>
      <c r="H1043" t="s">
        <v>3508</v>
      </c>
      <c r="I1043" s="8">
        <v>46183</v>
      </c>
      <c r="J1043" t="s">
        <v>2671</v>
      </c>
      <c r="K1043" t="s">
        <v>2672</v>
      </c>
      <c r="L1043" s="13">
        <v>3000</v>
      </c>
      <c r="M1043" t="s">
        <v>2661</v>
      </c>
    </row>
    <row r="1044" spans="1:13">
      <c r="A1044" t="s">
        <v>1195</v>
      </c>
      <c r="B1044" t="s">
        <v>233</v>
      </c>
      <c r="C1044" s="8">
        <v>45986</v>
      </c>
      <c r="D1044" t="s">
        <v>321</v>
      </c>
      <c r="E1044" t="s">
        <v>325</v>
      </c>
      <c r="F1044" s="12">
        <v>345566</v>
      </c>
      <c r="G1044" s="13">
        <v>34</v>
      </c>
      <c r="H1044" t="s">
        <v>2912</v>
      </c>
      <c r="I1044" s="8">
        <v>46184</v>
      </c>
      <c r="J1044" t="s">
        <v>2688</v>
      </c>
      <c r="K1044" t="s">
        <v>2689</v>
      </c>
      <c r="L1044" s="13">
        <v>8000</v>
      </c>
      <c r="M1044" t="s">
        <v>2676</v>
      </c>
    </row>
    <row r="1045" spans="1:13">
      <c r="A1045" t="s">
        <v>1195</v>
      </c>
      <c r="B1045" t="s">
        <v>233</v>
      </c>
      <c r="C1045" s="8">
        <v>45986</v>
      </c>
      <c r="D1045" t="s">
        <v>321</v>
      </c>
      <c r="E1045" t="s">
        <v>325</v>
      </c>
      <c r="F1045" s="12">
        <v>345566</v>
      </c>
      <c r="G1045" s="13">
        <v>34</v>
      </c>
      <c r="H1045" t="s">
        <v>3508</v>
      </c>
      <c r="I1045" s="8">
        <v>46183</v>
      </c>
      <c r="J1045" t="s">
        <v>2671</v>
      </c>
      <c r="K1045" t="s">
        <v>2672</v>
      </c>
      <c r="L1045" s="13">
        <v>3000</v>
      </c>
      <c r="M1045" t="s">
        <v>2661</v>
      </c>
    </row>
    <row r="1046" spans="1:13">
      <c r="A1046" t="s">
        <v>1212</v>
      </c>
      <c r="B1046" t="s">
        <v>233</v>
      </c>
      <c r="C1046" s="8">
        <v>46149</v>
      </c>
      <c r="D1046" t="s">
        <v>332</v>
      </c>
      <c r="E1046" t="s">
        <v>322</v>
      </c>
      <c r="F1046" s="12">
        <v>287502</v>
      </c>
      <c r="G1046" s="13">
        <v>28</v>
      </c>
      <c r="H1046" t="s">
        <v>2912</v>
      </c>
      <c r="I1046" s="8">
        <v>46184</v>
      </c>
      <c r="J1046" t="s">
        <v>2688</v>
      </c>
      <c r="K1046" t="s">
        <v>2689</v>
      </c>
      <c r="L1046" s="13">
        <v>8000</v>
      </c>
      <c r="M1046" t="s">
        <v>2676</v>
      </c>
    </row>
    <row r="1047" spans="1:13">
      <c r="A1047" t="s">
        <v>1212</v>
      </c>
      <c r="B1047" t="s">
        <v>233</v>
      </c>
      <c r="C1047" s="8">
        <v>46149</v>
      </c>
      <c r="D1047" t="s">
        <v>332</v>
      </c>
      <c r="E1047" t="s">
        <v>322</v>
      </c>
      <c r="F1047" s="12">
        <v>287502</v>
      </c>
      <c r="G1047" s="13">
        <v>28</v>
      </c>
      <c r="H1047" t="s">
        <v>3508</v>
      </c>
      <c r="I1047" s="8">
        <v>46183</v>
      </c>
      <c r="J1047" t="s">
        <v>2671</v>
      </c>
      <c r="K1047" t="s">
        <v>2672</v>
      </c>
      <c r="L1047" s="13">
        <v>3000</v>
      </c>
      <c r="M1047" t="s">
        <v>2661</v>
      </c>
    </row>
    <row r="1048" spans="1:13">
      <c r="A1048" t="s">
        <v>714</v>
      </c>
      <c r="B1048" t="s">
        <v>229</v>
      </c>
      <c r="C1048" s="8">
        <v>46032</v>
      </c>
      <c r="D1048" t="s">
        <v>321</v>
      </c>
      <c r="E1048" t="s">
        <v>339</v>
      </c>
      <c r="F1048" s="12">
        <v>231751</v>
      </c>
      <c r="G1048" s="13">
        <v>23</v>
      </c>
      <c r="H1048" t="s">
        <v>2739</v>
      </c>
      <c r="I1048" s="8">
        <v>46112</v>
      </c>
      <c r="J1048" t="s">
        <v>2663</v>
      </c>
      <c r="K1048" t="s">
        <v>3630</v>
      </c>
      <c r="L1048" s="13">
        <v>1500</v>
      </c>
      <c r="M1048" t="s">
        <v>2676</v>
      </c>
    </row>
    <row r="1049" spans="1:13">
      <c r="A1049" t="s">
        <v>714</v>
      </c>
      <c r="B1049" t="s">
        <v>229</v>
      </c>
      <c r="C1049" s="8">
        <v>46032</v>
      </c>
      <c r="D1049" t="s">
        <v>321</v>
      </c>
      <c r="E1049" t="s">
        <v>339</v>
      </c>
      <c r="F1049" s="12">
        <v>231751</v>
      </c>
      <c r="G1049" s="13">
        <v>23</v>
      </c>
      <c r="H1049" t="s">
        <v>3019</v>
      </c>
      <c r="I1049" s="8">
        <v>46063</v>
      </c>
      <c r="J1049" t="s">
        <v>2685</v>
      </c>
      <c r="K1049" t="s">
        <v>2686</v>
      </c>
      <c r="L1049" s="13">
        <v>5000</v>
      </c>
      <c r="M1049" t="s">
        <v>2676</v>
      </c>
    </row>
    <row r="1050" spans="1:13">
      <c r="A1050" t="s">
        <v>714</v>
      </c>
      <c r="B1050" t="s">
        <v>229</v>
      </c>
      <c r="C1050" s="8">
        <v>46032</v>
      </c>
      <c r="D1050" t="s">
        <v>321</v>
      </c>
      <c r="E1050" t="s">
        <v>339</v>
      </c>
      <c r="F1050" s="12">
        <v>231751</v>
      </c>
      <c r="G1050" s="13">
        <v>23</v>
      </c>
      <c r="H1050" t="s">
        <v>3479</v>
      </c>
      <c r="I1050" s="8">
        <v>46152</v>
      </c>
      <c r="J1050" t="s">
        <v>2688</v>
      </c>
      <c r="K1050" t="s">
        <v>2689</v>
      </c>
      <c r="L1050" s="13">
        <v>8000</v>
      </c>
      <c r="M1050" t="s">
        <v>2661</v>
      </c>
    </row>
    <row r="1051" spans="1:13">
      <c r="A1051" t="s">
        <v>395</v>
      </c>
      <c r="B1051" t="s">
        <v>301</v>
      </c>
      <c r="C1051" s="8">
        <v>46095</v>
      </c>
      <c r="D1051" t="s">
        <v>344</v>
      </c>
      <c r="E1051" t="s">
        <v>322</v>
      </c>
      <c r="F1051" s="12">
        <v>171438</v>
      </c>
      <c r="G1051" s="13">
        <v>17</v>
      </c>
      <c r="H1051" t="s">
        <v>3559</v>
      </c>
      <c r="I1051" s="8">
        <v>46143</v>
      </c>
      <c r="J1051" t="s">
        <v>2663</v>
      </c>
      <c r="K1051" t="s">
        <v>3630</v>
      </c>
      <c r="L1051" s="13">
        <v>1500</v>
      </c>
      <c r="M1051" t="s">
        <v>2676</v>
      </c>
    </row>
    <row r="1052" spans="1:13">
      <c r="A1052" t="s">
        <v>1029</v>
      </c>
      <c r="B1052" t="s">
        <v>301</v>
      </c>
      <c r="C1052" s="8">
        <v>46065</v>
      </c>
      <c r="D1052" t="s">
        <v>321</v>
      </c>
      <c r="E1052" t="s">
        <v>339</v>
      </c>
      <c r="F1052" s="12">
        <v>548427</v>
      </c>
      <c r="G1052" s="13">
        <v>54</v>
      </c>
      <c r="H1052" t="s">
        <v>3559</v>
      </c>
      <c r="I1052" s="8">
        <v>46143</v>
      </c>
      <c r="J1052" t="s">
        <v>2663</v>
      </c>
      <c r="K1052" t="s">
        <v>3630</v>
      </c>
      <c r="L1052" s="13">
        <v>1500</v>
      </c>
      <c r="M1052" t="s">
        <v>2676</v>
      </c>
    </row>
    <row r="1053" spans="1:13">
      <c r="A1053" t="s">
        <v>396</v>
      </c>
      <c r="B1053" t="s">
        <v>126</v>
      </c>
      <c r="C1053" s="8">
        <v>46288</v>
      </c>
      <c r="D1053" t="s">
        <v>327</v>
      </c>
      <c r="E1053" t="s">
        <v>339</v>
      </c>
      <c r="F1053" s="12">
        <v>130801</v>
      </c>
      <c r="G1053" s="13">
        <v>13</v>
      </c>
      <c r="H1053" t="s">
        <v>2798</v>
      </c>
      <c r="I1053" s="8">
        <v>46235</v>
      </c>
      <c r="J1053" t="s">
        <v>2659</v>
      </c>
      <c r="K1053" t="s">
        <v>2660</v>
      </c>
      <c r="L1053" s="13">
        <v>3500</v>
      </c>
      <c r="M1053" t="s">
        <v>2661</v>
      </c>
    </row>
    <row r="1054" spans="1:13">
      <c r="A1054" t="s">
        <v>396</v>
      </c>
      <c r="B1054" t="s">
        <v>126</v>
      </c>
      <c r="C1054" s="8">
        <v>46288</v>
      </c>
      <c r="D1054" t="s">
        <v>327</v>
      </c>
      <c r="E1054" t="s">
        <v>339</v>
      </c>
      <c r="F1054" s="12">
        <v>130801</v>
      </c>
      <c r="G1054" s="13">
        <v>13</v>
      </c>
      <c r="H1054" t="s">
        <v>3334</v>
      </c>
      <c r="I1054" s="8">
        <v>46254</v>
      </c>
      <c r="J1054" t="s">
        <v>2692</v>
      </c>
      <c r="K1054" t="s">
        <v>2693</v>
      </c>
      <c r="L1054" s="13">
        <v>10000</v>
      </c>
      <c r="M1054" t="s">
        <v>2676</v>
      </c>
    </row>
    <row r="1055" spans="1:13">
      <c r="A1055" t="s">
        <v>543</v>
      </c>
      <c r="B1055" t="s">
        <v>126</v>
      </c>
      <c r="C1055" s="8">
        <v>46074</v>
      </c>
      <c r="D1055" t="s">
        <v>344</v>
      </c>
      <c r="E1055" t="s">
        <v>325</v>
      </c>
      <c r="F1055" s="12">
        <v>71603</v>
      </c>
      <c r="G1055" s="13">
        <v>7</v>
      </c>
      <c r="H1055" t="s">
        <v>2798</v>
      </c>
      <c r="I1055" s="8">
        <v>46235</v>
      </c>
      <c r="J1055" t="s">
        <v>2659</v>
      </c>
      <c r="K1055" t="s">
        <v>2660</v>
      </c>
      <c r="L1055" s="13">
        <v>3500</v>
      </c>
      <c r="M1055" t="s">
        <v>2661</v>
      </c>
    </row>
    <row r="1056" spans="1:13">
      <c r="A1056" t="s">
        <v>543</v>
      </c>
      <c r="B1056" t="s">
        <v>126</v>
      </c>
      <c r="C1056" s="8">
        <v>46074</v>
      </c>
      <c r="D1056" t="s">
        <v>344</v>
      </c>
      <c r="E1056" t="s">
        <v>325</v>
      </c>
      <c r="F1056" s="12">
        <v>71603</v>
      </c>
      <c r="G1056" s="13">
        <v>7</v>
      </c>
      <c r="H1056" t="s">
        <v>3334</v>
      </c>
      <c r="I1056" s="8">
        <v>46254</v>
      </c>
      <c r="J1056" t="s">
        <v>2692</v>
      </c>
      <c r="K1056" t="s">
        <v>2693</v>
      </c>
      <c r="L1056" s="13">
        <v>10000</v>
      </c>
      <c r="M1056" t="s">
        <v>2676</v>
      </c>
    </row>
    <row r="1057" spans="1:13">
      <c r="A1057" t="s">
        <v>577</v>
      </c>
      <c r="B1057" t="s">
        <v>126</v>
      </c>
      <c r="C1057" s="8">
        <v>46179</v>
      </c>
      <c r="D1057" t="s">
        <v>327</v>
      </c>
      <c r="E1057" t="s">
        <v>339</v>
      </c>
      <c r="F1057" s="12">
        <v>217463</v>
      </c>
      <c r="G1057" s="13">
        <v>21</v>
      </c>
      <c r="H1057" t="s">
        <v>2798</v>
      </c>
      <c r="I1057" s="8">
        <v>46235</v>
      </c>
      <c r="J1057" t="s">
        <v>2659</v>
      </c>
      <c r="K1057" t="s">
        <v>2660</v>
      </c>
      <c r="L1057" s="13">
        <v>3500</v>
      </c>
      <c r="M1057" t="s">
        <v>2661</v>
      </c>
    </row>
    <row r="1058" spans="1:13">
      <c r="A1058" t="s">
        <v>577</v>
      </c>
      <c r="B1058" t="s">
        <v>126</v>
      </c>
      <c r="C1058" s="8">
        <v>46179</v>
      </c>
      <c r="D1058" t="s">
        <v>327</v>
      </c>
      <c r="E1058" t="s">
        <v>339</v>
      </c>
      <c r="F1058" s="12">
        <v>217463</v>
      </c>
      <c r="G1058" s="13">
        <v>21</v>
      </c>
      <c r="H1058" t="s">
        <v>3334</v>
      </c>
      <c r="I1058" s="8">
        <v>46254</v>
      </c>
      <c r="J1058" t="s">
        <v>2692</v>
      </c>
      <c r="K1058" t="s">
        <v>2693</v>
      </c>
      <c r="L1058" s="13">
        <v>10000</v>
      </c>
      <c r="M1058" t="s">
        <v>2676</v>
      </c>
    </row>
    <row r="1059" spans="1:13">
      <c r="A1059" t="s">
        <v>668</v>
      </c>
      <c r="B1059" t="s">
        <v>126</v>
      </c>
      <c r="C1059" s="8">
        <v>46202</v>
      </c>
      <c r="D1059" t="s">
        <v>327</v>
      </c>
      <c r="E1059" t="s">
        <v>339</v>
      </c>
      <c r="F1059" s="12">
        <v>175740</v>
      </c>
      <c r="G1059" s="13">
        <v>17</v>
      </c>
      <c r="H1059" t="s">
        <v>2798</v>
      </c>
      <c r="I1059" s="8">
        <v>46235</v>
      </c>
      <c r="J1059" t="s">
        <v>2659</v>
      </c>
      <c r="K1059" t="s">
        <v>2660</v>
      </c>
      <c r="L1059" s="13">
        <v>3500</v>
      </c>
      <c r="M1059" t="s">
        <v>2661</v>
      </c>
    </row>
    <row r="1060" spans="1:13">
      <c r="A1060" t="s">
        <v>668</v>
      </c>
      <c r="B1060" t="s">
        <v>126</v>
      </c>
      <c r="C1060" s="8">
        <v>46202</v>
      </c>
      <c r="D1060" t="s">
        <v>327</v>
      </c>
      <c r="E1060" t="s">
        <v>339</v>
      </c>
      <c r="F1060" s="12">
        <v>175740</v>
      </c>
      <c r="G1060" s="13">
        <v>17</v>
      </c>
      <c r="H1060" t="s">
        <v>3334</v>
      </c>
      <c r="I1060" s="8">
        <v>46254</v>
      </c>
      <c r="J1060" t="s">
        <v>2692</v>
      </c>
      <c r="K1060" t="s">
        <v>2693</v>
      </c>
      <c r="L1060" s="13">
        <v>10000</v>
      </c>
      <c r="M1060" t="s">
        <v>2676</v>
      </c>
    </row>
    <row r="1061" spans="1:13">
      <c r="A1061" t="s">
        <v>946</v>
      </c>
      <c r="B1061" t="s">
        <v>126</v>
      </c>
      <c r="C1061" s="8">
        <v>46050</v>
      </c>
      <c r="D1061" t="s">
        <v>330</v>
      </c>
      <c r="E1061" t="s">
        <v>322</v>
      </c>
      <c r="F1061" s="12">
        <v>136379</v>
      </c>
      <c r="G1061" s="13">
        <v>13</v>
      </c>
      <c r="H1061" t="s">
        <v>2798</v>
      </c>
      <c r="I1061" s="8">
        <v>46235</v>
      </c>
      <c r="J1061" t="s">
        <v>2659</v>
      </c>
      <c r="K1061" t="s">
        <v>2660</v>
      </c>
      <c r="L1061" s="13">
        <v>3500</v>
      </c>
      <c r="M1061" t="s">
        <v>2661</v>
      </c>
    </row>
    <row r="1062" spans="1:13">
      <c r="A1062" t="s">
        <v>946</v>
      </c>
      <c r="B1062" t="s">
        <v>126</v>
      </c>
      <c r="C1062" s="8">
        <v>46050</v>
      </c>
      <c r="D1062" t="s">
        <v>330</v>
      </c>
      <c r="E1062" t="s">
        <v>322</v>
      </c>
      <c r="F1062" s="12">
        <v>136379</v>
      </c>
      <c r="G1062" s="13">
        <v>13</v>
      </c>
      <c r="H1062" t="s">
        <v>3334</v>
      </c>
      <c r="I1062" s="8">
        <v>46254</v>
      </c>
      <c r="J1062" t="s">
        <v>2692</v>
      </c>
      <c r="K1062" t="s">
        <v>2693</v>
      </c>
      <c r="L1062" s="13">
        <v>10000</v>
      </c>
      <c r="M1062" t="s">
        <v>2676</v>
      </c>
    </row>
    <row r="1063" spans="1:13">
      <c r="A1063" t="s">
        <v>949</v>
      </c>
      <c r="B1063" t="s">
        <v>126</v>
      </c>
      <c r="C1063" s="8">
        <v>46094</v>
      </c>
      <c r="D1063" t="s">
        <v>330</v>
      </c>
      <c r="E1063" t="s">
        <v>322</v>
      </c>
      <c r="F1063" s="12">
        <v>132022</v>
      </c>
      <c r="G1063" s="13">
        <v>13</v>
      </c>
      <c r="H1063" t="s">
        <v>2798</v>
      </c>
      <c r="I1063" s="8">
        <v>46235</v>
      </c>
      <c r="J1063" t="s">
        <v>2659</v>
      </c>
      <c r="K1063" t="s">
        <v>2660</v>
      </c>
      <c r="L1063" s="13">
        <v>3500</v>
      </c>
      <c r="M1063" t="s">
        <v>2661</v>
      </c>
    </row>
    <row r="1064" spans="1:13">
      <c r="A1064" t="s">
        <v>949</v>
      </c>
      <c r="B1064" t="s">
        <v>126</v>
      </c>
      <c r="C1064" s="8">
        <v>46094</v>
      </c>
      <c r="D1064" t="s">
        <v>330</v>
      </c>
      <c r="E1064" t="s">
        <v>322</v>
      </c>
      <c r="F1064" s="12">
        <v>132022</v>
      </c>
      <c r="G1064" s="13">
        <v>13</v>
      </c>
      <c r="H1064" t="s">
        <v>3334</v>
      </c>
      <c r="I1064" s="8">
        <v>46254</v>
      </c>
      <c r="J1064" t="s">
        <v>2692</v>
      </c>
      <c r="K1064" t="s">
        <v>2693</v>
      </c>
      <c r="L1064" s="13">
        <v>10000</v>
      </c>
      <c r="M1064" t="s">
        <v>2676</v>
      </c>
    </row>
    <row r="1065" spans="1:13">
      <c r="A1065" t="s">
        <v>985</v>
      </c>
      <c r="B1065" t="s">
        <v>126</v>
      </c>
      <c r="C1065" s="8">
        <v>46209</v>
      </c>
      <c r="D1065" t="s">
        <v>344</v>
      </c>
      <c r="E1065" t="s">
        <v>325</v>
      </c>
      <c r="F1065" s="12">
        <v>264894</v>
      </c>
      <c r="G1065" s="13">
        <v>26</v>
      </c>
      <c r="H1065" t="s">
        <v>2798</v>
      </c>
      <c r="I1065" s="8">
        <v>46235</v>
      </c>
      <c r="J1065" t="s">
        <v>2659</v>
      </c>
      <c r="K1065" t="s">
        <v>2660</v>
      </c>
      <c r="L1065" s="13">
        <v>3500</v>
      </c>
      <c r="M1065" t="s">
        <v>2661</v>
      </c>
    </row>
    <row r="1066" spans="1:13">
      <c r="A1066" t="s">
        <v>985</v>
      </c>
      <c r="B1066" t="s">
        <v>126</v>
      </c>
      <c r="C1066" s="8">
        <v>46209</v>
      </c>
      <c r="D1066" t="s">
        <v>344</v>
      </c>
      <c r="E1066" t="s">
        <v>325</v>
      </c>
      <c r="F1066" s="12">
        <v>264894</v>
      </c>
      <c r="G1066" s="13">
        <v>26</v>
      </c>
      <c r="H1066" t="s">
        <v>3334</v>
      </c>
      <c r="I1066" s="8">
        <v>46254</v>
      </c>
      <c r="J1066" t="s">
        <v>2692</v>
      </c>
      <c r="K1066" t="s">
        <v>2693</v>
      </c>
      <c r="L1066" s="13">
        <v>10000</v>
      </c>
      <c r="M1066" t="s">
        <v>2676</v>
      </c>
    </row>
    <row r="1067" spans="1:13">
      <c r="A1067" t="s">
        <v>1040</v>
      </c>
      <c r="B1067" t="s">
        <v>126</v>
      </c>
      <c r="C1067" s="8">
        <v>46057</v>
      </c>
      <c r="D1067" t="s">
        <v>330</v>
      </c>
      <c r="E1067" t="s">
        <v>334</v>
      </c>
      <c r="F1067" s="12">
        <v>64585</v>
      </c>
      <c r="G1067" s="13">
        <v>6</v>
      </c>
      <c r="H1067" t="s">
        <v>2798</v>
      </c>
      <c r="I1067" s="8">
        <v>46235</v>
      </c>
      <c r="J1067" t="s">
        <v>2659</v>
      </c>
      <c r="K1067" t="s">
        <v>2660</v>
      </c>
      <c r="L1067" s="13">
        <v>3500</v>
      </c>
      <c r="M1067" t="s">
        <v>2661</v>
      </c>
    </row>
    <row r="1068" spans="1:13">
      <c r="A1068" t="s">
        <v>1040</v>
      </c>
      <c r="B1068" t="s">
        <v>126</v>
      </c>
      <c r="C1068" s="8">
        <v>46057</v>
      </c>
      <c r="D1068" t="s">
        <v>330</v>
      </c>
      <c r="E1068" t="s">
        <v>334</v>
      </c>
      <c r="F1068" s="12">
        <v>64585</v>
      </c>
      <c r="G1068" s="13">
        <v>6</v>
      </c>
      <c r="H1068" t="s">
        <v>3334</v>
      </c>
      <c r="I1068" s="8">
        <v>46254</v>
      </c>
      <c r="J1068" t="s">
        <v>2692</v>
      </c>
      <c r="K1068" t="s">
        <v>2693</v>
      </c>
      <c r="L1068" s="13">
        <v>10000</v>
      </c>
      <c r="M1068" t="s">
        <v>2676</v>
      </c>
    </row>
    <row r="1069" spans="1:13">
      <c r="A1069" t="s">
        <v>1075</v>
      </c>
      <c r="B1069" t="s">
        <v>126</v>
      </c>
      <c r="C1069" s="8">
        <v>46200</v>
      </c>
      <c r="D1069" t="s">
        <v>330</v>
      </c>
      <c r="E1069" t="s">
        <v>337</v>
      </c>
      <c r="F1069" s="12">
        <v>600865</v>
      </c>
      <c r="G1069" s="13">
        <v>60</v>
      </c>
      <c r="H1069" t="s">
        <v>2798</v>
      </c>
      <c r="I1069" s="8">
        <v>46235</v>
      </c>
      <c r="J1069" t="s">
        <v>2659</v>
      </c>
      <c r="K1069" t="s">
        <v>2660</v>
      </c>
      <c r="L1069" s="13">
        <v>3500</v>
      </c>
      <c r="M1069" t="s">
        <v>2661</v>
      </c>
    </row>
    <row r="1070" spans="1:13">
      <c r="A1070" t="s">
        <v>1075</v>
      </c>
      <c r="B1070" t="s">
        <v>126</v>
      </c>
      <c r="C1070" s="8">
        <v>46200</v>
      </c>
      <c r="D1070" t="s">
        <v>330</v>
      </c>
      <c r="E1070" t="s">
        <v>337</v>
      </c>
      <c r="F1070" s="12">
        <v>600865</v>
      </c>
      <c r="G1070" s="13">
        <v>60</v>
      </c>
      <c r="H1070" t="s">
        <v>3334</v>
      </c>
      <c r="I1070" s="8">
        <v>46254</v>
      </c>
      <c r="J1070" t="s">
        <v>2692</v>
      </c>
      <c r="K1070" t="s">
        <v>2693</v>
      </c>
      <c r="L1070" s="13">
        <v>10000</v>
      </c>
      <c r="M1070" t="s">
        <v>2676</v>
      </c>
    </row>
    <row r="1071" spans="1:13">
      <c r="A1071" t="s">
        <v>1108</v>
      </c>
      <c r="B1071" t="s">
        <v>126</v>
      </c>
      <c r="C1071" s="8">
        <v>46089</v>
      </c>
      <c r="D1071" t="s">
        <v>350</v>
      </c>
      <c r="E1071" t="s">
        <v>325</v>
      </c>
      <c r="F1071" s="12">
        <v>521618</v>
      </c>
      <c r="G1071" s="13">
        <v>52</v>
      </c>
      <c r="H1071" t="s">
        <v>2798</v>
      </c>
      <c r="I1071" s="8">
        <v>46235</v>
      </c>
      <c r="J1071" t="s">
        <v>2659</v>
      </c>
      <c r="K1071" t="s">
        <v>2660</v>
      </c>
      <c r="L1071" s="13">
        <v>3500</v>
      </c>
      <c r="M1071" t="s">
        <v>2661</v>
      </c>
    </row>
    <row r="1072" spans="1:13">
      <c r="A1072" t="s">
        <v>1108</v>
      </c>
      <c r="B1072" t="s">
        <v>126</v>
      </c>
      <c r="C1072" s="8">
        <v>46089</v>
      </c>
      <c r="D1072" t="s">
        <v>350</v>
      </c>
      <c r="E1072" t="s">
        <v>325</v>
      </c>
      <c r="F1072" s="12">
        <v>521618</v>
      </c>
      <c r="G1072" s="13">
        <v>52</v>
      </c>
      <c r="H1072" t="s">
        <v>3334</v>
      </c>
      <c r="I1072" s="8">
        <v>46254</v>
      </c>
      <c r="J1072" t="s">
        <v>2692</v>
      </c>
      <c r="K1072" t="s">
        <v>2693</v>
      </c>
      <c r="L1072" s="13">
        <v>10000</v>
      </c>
      <c r="M1072" t="s">
        <v>2676</v>
      </c>
    </row>
    <row r="1073" spans="1:13">
      <c r="A1073" t="s">
        <v>702</v>
      </c>
      <c r="B1073" t="s">
        <v>151</v>
      </c>
      <c r="C1073" s="8">
        <v>45982</v>
      </c>
      <c r="D1073" t="s">
        <v>324</v>
      </c>
      <c r="E1073" t="s">
        <v>337</v>
      </c>
      <c r="F1073" s="12">
        <v>50025</v>
      </c>
      <c r="G1073" s="13">
        <v>5</v>
      </c>
      <c r="H1073" t="s">
        <v>2741</v>
      </c>
      <c r="I1073" s="8">
        <v>45954</v>
      </c>
      <c r="J1073" t="s">
        <v>2685</v>
      </c>
      <c r="K1073" t="s">
        <v>2686</v>
      </c>
      <c r="L1073" s="13">
        <v>5000</v>
      </c>
      <c r="M1073" t="s">
        <v>2661</v>
      </c>
    </row>
    <row r="1074" spans="1:13">
      <c r="A1074" t="s">
        <v>702</v>
      </c>
      <c r="B1074" t="s">
        <v>151</v>
      </c>
      <c r="C1074" s="8">
        <v>45982</v>
      </c>
      <c r="D1074" t="s">
        <v>324</v>
      </c>
      <c r="E1074" t="s">
        <v>337</v>
      </c>
      <c r="F1074" s="12">
        <v>50025</v>
      </c>
      <c r="G1074" s="13">
        <v>5</v>
      </c>
      <c r="H1074" t="s">
        <v>3511</v>
      </c>
      <c r="I1074" s="8">
        <v>45984</v>
      </c>
      <c r="J1074" t="s">
        <v>2668</v>
      </c>
      <c r="K1074" t="s">
        <v>2669</v>
      </c>
      <c r="L1074" s="13">
        <v>4000</v>
      </c>
      <c r="M1074" t="s">
        <v>2676</v>
      </c>
    </row>
    <row r="1075" spans="1:13">
      <c r="A1075" t="s">
        <v>856</v>
      </c>
      <c r="B1075" t="s">
        <v>151</v>
      </c>
      <c r="C1075" s="8">
        <v>45987</v>
      </c>
      <c r="D1075" t="s">
        <v>321</v>
      </c>
      <c r="E1075" t="s">
        <v>328</v>
      </c>
      <c r="F1075" s="12">
        <v>235578</v>
      </c>
      <c r="G1075" s="13">
        <v>23</v>
      </c>
      <c r="H1075" t="s">
        <v>2741</v>
      </c>
      <c r="I1075" s="8">
        <v>45954</v>
      </c>
      <c r="J1075" t="s">
        <v>2685</v>
      </c>
      <c r="K1075" t="s">
        <v>2686</v>
      </c>
      <c r="L1075" s="13">
        <v>5000</v>
      </c>
      <c r="M1075" t="s">
        <v>2661</v>
      </c>
    </row>
    <row r="1076" spans="1:13">
      <c r="A1076" t="s">
        <v>856</v>
      </c>
      <c r="B1076" t="s">
        <v>151</v>
      </c>
      <c r="C1076" s="8">
        <v>45987</v>
      </c>
      <c r="D1076" t="s">
        <v>321</v>
      </c>
      <c r="E1076" t="s">
        <v>328</v>
      </c>
      <c r="F1076" s="12">
        <v>235578</v>
      </c>
      <c r="G1076" s="13">
        <v>23</v>
      </c>
      <c r="H1076" t="s">
        <v>3511</v>
      </c>
      <c r="I1076" s="8">
        <v>45984</v>
      </c>
      <c r="J1076" t="s">
        <v>2668</v>
      </c>
      <c r="K1076" t="s">
        <v>2669</v>
      </c>
      <c r="L1076" s="13">
        <v>4000</v>
      </c>
      <c r="M1076" t="s">
        <v>2676</v>
      </c>
    </row>
    <row r="1077" spans="1:13">
      <c r="A1077" t="s">
        <v>1028</v>
      </c>
      <c r="B1077" t="s">
        <v>116</v>
      </c>
      <c r="C1077" s="8">
        <v>46011</v>
      </c>
      <c r="D1077" t="s">
        <v>324</v>
      </c>
      <c r="E1077" t="s">
        <v>322</v>
      </c>
      <c r="F1077" s="12">
        <v>144937</v>
      </c>
      <c r="G1077" s="13">
        <v>14</v>
      </c>
      <c r="H1077" t="s">
        <v>2742</v>
      </c>
      <c r="I1077" s="8">
        <v>46060</v>
      </c>
      <c r="J1077" t="s">
        <v>2671</v>
      </c>
      <c r="K1077" t="s">
        <v>2672</v>
      </c>
      <c r="L1077" s="13">
        <v>3000</v>
      </c>
      <c r="M1077" t="s">
        <v>2676</v>
      </c>
    </row>
    <row r="1078" spans="1:13">
      <c r="A1078" t="s">
        <v>1028</v>
      </c>
      <c r="B1078" t="s">
        <v>116</v>
      </c>
      <c r="C1078" s="8">
        <v>46011</v>
      </c>
      <c r="D1078" t="s">
        <v>324</v>
      </c>
      <c r="E1078" t="s">
        <v>322</v>
      </c>
      <c r="F1078" s="12">
        <v>144937</v>
      </c>
      <c r="G1078" s="13">
        <v>14</v>
      </c>
      <c r="H1078" t="s">
        <v>2984</v>
      </c>
      <c r="I1078" s="8">
        <v>45974</v>
      </c>
      <c r="J1078" t="s">
        <v>2659</v>
      </c>
      <c r="K1078" t="s">
        <v>2660</v>
      </c>
      <c r="L1078" s="13">
        <v>3500</v>
      </c>
      <c r="M1078" t="s">
        <v>2661</v>
      </c>
    </row>
    <row r="1079" spans="1:13">
      <c r="A1079" t="s">
        <v>1028</v>
      </c>
      <c r="B1079" t="s">
        <v>116</v>
      </c>
      <c r="C1079" s="8">
        <v>46011</v>
      </c>
      <c r="D1079" t="s">
        <v>324</v>
      </c>
      <c r="E1079" t="s">
        <v>322</v>
      </c>
      <c r="F1079" s="12">
        <v>144937</v>
      </c>
      <c r="G1079" s="13">
        <v>14</v>
      </c>
      <c r="H1079" t="s">
        <v>3091</v>
      </c>
      <c r="I1079" s="8">
        <v>46104</v>
      </c>
      <c r="J1079" t="s">
        <v>2688</v>
      </c>
      <c r="K1079" t="s">
        <v>2689</v>
      </c>
      <c r="L1079" s="13">
        <v>8000</v>
      </c>
      <c r="M1079" t="s">
        <v>2676</v>
      </c>
    </row>
    <row r="1080" spans="1:13">
      <c r="A1080" t="s">
        <v>1028</v>
      </c>
      <c r="B1080" t="s">
        <v>116</v>
      </c>
      <c r="C1080" s="8">
        <v>46011</v>
      </c>
      <c r="D1080" t="s">
        <v>324</v>
      </c>
      <c r="E1080" t="s">
        <v>322</v>
      </c>
      <c r="F1080" s="12">
        <v>144937</v>
      </c>
      <c r="G1080" s="13">
        <v>14</v>
      </c>
      <c r="H1080" t="s">
        <v>3495</v>
      </c>
      <c r="I1080" s="8">
        <v>46131</v>
      </c>
      <c r="J1080" t="s">
        <v>2668</v>
      </c>
      <c r="K1080" t="s">
        <v>2669</v>
      </c>
      <c r="L1080" s="13">
        <v>4000</v>
      </c>
      <c r="M1080" t="s">
        <v>2676</v>
      </c>
    </row>
    <row r="1081" spans="1:13">
      <c r="A1081" t="s">
        <v>1043</v>
      </c>
      <c r="B1081" t="s">
        <v>116</v>
      </c>
      <c r="C1081" s="8">
        <v>46186</v>
      </c>
      <c r="D1081" t="s">
        <v>350</v>
      </c>
      <c r="E1081" t="s">
        <v>334</v>
      </c>
      <c r="F1081" s="12">
        <v>454168</v>
      </c>
      <c r="G1081" s="13">
        <v>45</v>
      </c>
      <c r="H1081" t="s">
        <v>2742</v>
      </c>
      <c r="I1081" s="8">
        <v>46060</v>
      </c>
      <c r="J1081" t="s">
        <v>2671</v>
      </c>
      <c r="K1081" t="s">
        <v>2672</v>
      </c>
      <c r="L1081" s="13">
        <v>3000</v>
      </c>
      <c r="M1081" t="s">
        <v>2676</v>
      </c>
    </row>
    <row r="1082" spans="1:13">
      <c r="A1082" t="s">
        <v>1043</v>
      </c>
      <c r="B1082" t="s">
        <v>116</v>
      </c>
      <c r="C1082" s="8">
        <v>46186</v>
      </c>
      <c r="D1082" t="s">
        <v>350</v>
      </c>
      <c r="E1082" t="s">
        <v>334</v>
      </c>
      <c r="F1082" s="12">
        <v>454168</v>
      </c>
      <c r="G1082" s="13">
        <v>45</v>
      </c>
      <c r="H1082" t="s">
        <v>2984</v>
      </c>
      <c r="I1082" s="8">
        <v>45974</v>
      </c>
      <c r="J1082" t="s">
        <v>2659</v>
      </c>
      <c r="K1082" t="s">
        <v>2660</v>
      </c>
      <c r="L1082" s="13">
        <v>3500</v>
      </c>
      <c r="M1082" t="s">
        <v>2661</v>
      </c>
    </row>
    <row r="1083" spans="1:13">
      <c r="A1083" t="s">
        <v>1043</v>
      </c>
      <c r="B1083" t="s">
        <v>116</v>
      </c>
      <c r="C1083" s="8">
        <v>46186</v>
      </c>
      <c r="D1083" t="s">
        <v>350</v>
      </c>
      <c r="E1083" t="s">
        <v>334</v>
      </c>
      <c r="F1083" s="12">
        <v>454168</v>
      </c>
      <c r="G1083" s="13">
        <v>45</v>
      </c>
      <c r="H1083" t="s">
        <v>3091</v>
      </c>
      <c r="I1083" s="8">
        <v>46104</v>
      </c>
      <c r="J1083" t="s">
        <v>2688</v>
      </c>
      <c r="K1083" t="s">
        <v>2689</v>
      </c>
      <c r="L1083" s="13">
        <v>8000</v>
      </c>
      <c r="M1083" t="s">
        <v>2676</v>
      </c>
    </row>
    <row r="1084" spans="1:13">
      <c r="A1084" t="s">
        <v>1043</v>
      </c>
      <c r="B1084" t="s">
        <v>116</v>
      </c>
      <c r="C1084" s="8">
        <v>46186</v>
      </c>
      <c r="D1084" t="s">
        <v>350</v>
      </c>
      <c r="E1084" t="s">
        <v>334</v>
      </c>
      <c r="F1084" s="12">
        <v>454168</v>
      </c>
      <c r="G1084" s="13">
        <v>45</v>
      </c>
      <c r="H1084" t="s">
        <v>3495</v>
      </c>
      <c r="I1084" s="8">
        <v>46131</v>
      </c>
      <c r="J1084" t="s">
        <v>2668</v>
      </c>
      <c r="K1084" t="s">
        <v>2669</v>
      </c>
      <c r="L1084" s="13">
        <v>4000</v>
      </c>
      <c r="M1084" t="s">
        <v>2676</v>
      </c>
    </row>
    <row r="1085" spans="1:13">
      <c r="A1085" t="s">
        <v>804</v>
      </c>
      <c r="B1085" t="s">
        <v>46</v>
      </c>
      <c r="C1085" s="8">
        <v>46116</v>
      </c>
      <c r="D1085" t="s">
        <v>344</v>
      </c>
      <c r="E1085" t="s">
        <v>334</v>
      </c>
      <c r="F1085" s="12">
        <v>666024</v>
      </c>
      <c r="G1085" s="13">
        <v>66</v>
      </c>
      <c r="H1085" t="s">
        <v>2743</v>
      </c>
      <c r="I1085" s="8">
        <v>46248</v>
      </c>
      <c r="J1085" t="s">
        <v>2685</v>
      </c>
      <c r="K1085" t="s">
        <v>2686</v>
      </c>
      <c r="L1085" s="13">
        <v>5000</v>
      </c>
      <c r="M1085" t="s">
        <v>2661</v>
      </c>
    </row>
    <row r="1086" spans="1:13">
      <c r="A1086" t="s">
        <v>804</v>
      </c>
      <c r="B1086" t="s">
        <v>46</v>
      </c>
      <c r="C1086" s="8">
        <v>46116</v>
      </c>
      <c r="D1086" t="s">
        <v>344</v>
      </c>
      <c r="E1086" t="s">
        <v>334</v>
      </c>
      <c r="F1086" s="12">
        <v>666024</v>
      </c>
      <c r="G1086" s="13">
        <v>66</v>
      </c>
      <c r="H1086" t="s">
        <v>3021</v>
      </c>
      <c r="I1086" s="8">
        <v>45955</v>
      </c>
      <c r="J1086" t="s">
        <v>2665</v>
      </c>
      <c r="K1086" t="s">
        <v>2666</v>
      </c>
      <c r="L1086" s="13">
        <v>2500</v>
      </c>
      <c r="M1086" t="s">
        <v>2661</v>
      </c>
    </row>
    <row r="1087" spans="1:13">
      <c r="A1087" t="s">
        <v>804</v>
      </c>
      <c r="B1087" t="s">
        <v>46</v>
      </c>
      <c r="C1087" s="8">
        <v>46116</v>
      </c>
      <c r="D1087" t="s">
        <v>344</v>
      </c>
      <c r="E1087" t="s">
        <v>334</v>
      </c>
      <c r="F1087" s="12">
        <v>666024</v>
      </c>
      <c r="G1087" s="13">
        <v>66</v>
      </c>
      <c r="H1087" t="s">
        <v>3069</v>
      </c>
      <c r="I1087" s="8">
        <v>45945</v>
      </c>
      <c r="J1087" t="s">
        <v>2668</v>
      </c>
      <c r="K1087" t="s">
        <v>2669</v>
      </c>
      <c r="L1087" s="13">
        <v>4000</v>
      </c>
      <c r="M1087" t="s">
        <v>2661</v>
      </c>
    </row>
    <row r="1088" spans="1:13">
      <c r="A1088" t="s">
        <v>804</v>
      </c>
      <c r="B1088" t="s">
        <v>46</v>
      </c>
      <c r="C1088" s="8">
        <v>46116</v>
      </c>
      <c r="D1088" t="s">
        <v>344</v>
      </c>
      <c r="E1088" t="s">
        <v>334</v>
      </c>
      <c r="F1088" s="12">
        <v>666024</v>
      </c>
      <c r="G1088" s="13">
        <v>66</v>
      </c>
      <c r="H1088" t="s">
        <v>3408</v>
      </c>
      <c r="I1088" s="8">
        <v>46072</v>
      </c>
      <c r="J1088" t="s">
        <v>2668</v>
      </c>
      <c r="K1088" t="s">
        <v>2669</v>
      </c>
      <c r="L1088" s="13">
        <v>4000</v>
      </c>
      <c r="M1088" t="s">
        <v>2661</v>
      </c>
    </row>
    <row r="1089" spans="1:13">
      <c r="A1089" t="s">
        <v>804</v>
      </c>
      <c r="B1089" t="s">
        <v>46</v>
      </c>
      <c r="C1089" s="8">
        <v>46116</v>
      </c>
      <c r="D1089" t="s">
        <v>344</v>
      </c>
      <c r="E1089" t="s">
        <v>334</v>
      </c>
      <c r="F1089" s="12">
        <v>666024</v>
      </c>
      <c r="G1089" s="13">
        <v>66</v>
      </c>
      <c r="H1089" t="s">
        <v>3494</v>
      </c>
      <c r="I1089" s="8">
        <v>46108</v>
      </c>
      <c r="J1089" t="s">
        <v>2688</v>
      </c>
      <c r="K1089" t="s">
        <v>2689</v>
      </c>
      <c r="L1089" s="13">
        <v>8000</v>
      </c>
      <c r="M1089" t="s">
        <v>2661</v>
      </c>
    </row>
    <row r="1090" spans="1:13">
      <c r="A1090" t="s">
        <v>906</v>
      </c>
      <c r="B1090" t="s">
        <v>46</v>
      </c>
      <c r="C1090" s="8">
        <v>46023</v>
      </c>
      <c r="D1090" t="s">
        <v>350</v>
      </c>
      <c r="E1090" t="s">
        <v>337</v>
      </c>
      <c r="F1090" s="12">
        <v>163495</v>
      </c>
      <c r="G1090" s="13">
        <v>16</v>
      </c>
      <c r="H1090" t="s">
        <v>2743</v>
      </c>
      <c r="I1090" s="8">
        <v>46248</v>
      </c>
      <c r="J1090" t="s">
        <v>2685</v>
      </c>
      <c r="K1090" t="s">
        <v>2686</v>
      </c>
      <c r="L1090" s="13">
        <v>5000</v>
      </c>
      <c r="M1090" t="s">
        <v>2661</v>
      </c>
    </row>
    <row r="1091" spans="1:13">
      <c r="A1091" t="s">
        <v>906</v>
      </c>
      <c r="B1091" t="s">
        <v>46</v>
      </c>
      <c r="C1091" s="8">
        <v>46023</v>
      </c>
      <c r="D1091" t="s">
        <v>350</v>
      </c>
      <c r="E1091" t="s">
        <v>337</v>
      </c>
      <c r="F1091" s="12">
        <v>163495</v>
      </c>
      <c r="G1091" s="13">
        <v>16</v>
      </c>
      <c r="H1091" t="s">
        <v>3021</v>
      </c>
      <c r="I1091" s="8">
        <v>45955</v>
      </c>
      <c r="J1091" t="s">
        <v>2665</v>
      </c>
      <c r="K1091" t="s">
        <v>2666</v>
      </c>
      <c r="L1091" s="13">
        <v>2500</v>
      </c>
      <c r="M1091" t="s">
        <v>2661</v>
      </c>
    </row>
    <row r="1092" spans="1:13">
      <c r="A1092" t="s">
        <v>906</v>
      </c>
      <c r="B1092" t="s">
        <v>46</v>
      </c>
      <c r="C1092" s="8">
        <v>46023</v>
      </c>
      <c r="D1092" t="s">
        <v>350</v>
      </c>
      <c r="E1092" t="s">
        <v>337</v>
      </c>
      <c r="F1092" s="12">
        <v>163495</v>
      </c>
      <c r="G1092" s="13">
        <v>16</v>
      </c>
      <c r="H1092" t="s">
        <v>3069</v>
      </c>
      <c r="I1092" s="8">
        <v>45945</v>
      </c>
      <c r="J1092" t="s">
        <v>2668</v>
      </c>
      <c r="K1092" t="s">
        <v>2669</v>
      </c>
      <c r="L1092" s="13">
        <v>4000</v>
      </c>
      <c r="M1092" t="s">
        <v>2661</v>
      </c>
    </row>
    <row r="1093" spans="1:13">
      <c r="A1093" t="s">
        <v>906</v>
      </c>
      <c r="B1093" t="s">
        <v>46</v>
      </c>
      <c r="C1093" s="8">
        <v>46023</v>
      </c>
      <c r="D1093" t="s">
        <v>350</v>
      </c>
      <c r="E1093" t="s">
        <v>337</v>
      </c>
      <c r="F1093" s="12">
        <v>163495</v>
      </c>
      <c r="G1093" s="13">
        <v>16</v>
      </c>
      <c r="H1093" t="s">
        <v>3408</v>
      </c>
      <c r="I1093" s="8">
        <v>46072</v>
      </c>
      <c r="J1093" t="s">
        <v>2668</v>
      </c>
      <c r="K1093" t="s">
        <v>2669</v>
      </c>
      <c r="L1093" s="13">
        <v>4000</v>
      </c>
      <c r="M1093" t="s">
        <v>2661</v>
      </c>
    </row>
    <row r="1094" spans="1:13">
      <c r="A1094" t="s">
        <v>906</v>
      </c>
      <c r="B1094" t="s">
        <v>46</v>
      </c>
      <c r="C1094" s="8">
        <v>46023</v>
      </c>
      <c r="D1094" t="s">
        <v>350</v>
      </c>
      <c r="E1094" t="s">
        <v>337</v>
      </c>
      <c r="F1094" s="12">
        <v>163495</v>
      </c>
      <c r="G1094" s="13">
        <v>16</v>
      </c>
      <c r="H1094" t="s">
        <v>3494</v>
      </c>
      <c r="I1094" s="8">
        <v>46108</v>
      </c>
      <c r="J1094" t="s">
        <v>2688</v>
      </c>
      <c r="K1094" t="s">
        <v>2689</v>
      </c>
      <c r="L1094" s="13">
        <v>8000</v>
      </c>
      <c r="M1094" t="s">
        <v>2661</v>
      </c>
    </row>
    <row r="1095" spans="1:13">
      <c r="A1095" t="s">
        <v>1005</v>
      </c>
      <c r="B1095" t="s">
        <v>46</v>
      </c>
      <c r="C1095" s="8">
        <v>45996</v>
      </c>
      <c r="D1095" t="s">
        <v>342</v>
      </c>
      <c r="E1095" t="s">
        <v>337</v>
      </c>
      <c r="F1095" s="12">
        <v>818006</v>
      </c>
      <c r="G1095" s="13">
        <v>81</v>
      </c>
      <c r="H1095" t="s">
        <v>2743</v>
      </c>
      <c r="I1095" s="8">
        <v>46248</v>
      </c>
      <c r="J1095" t="s">
        <v>2685</v>
      </c>
      <c r="K1095" t="s">
        <v>2686</v>
      </c>
      <c r="L1095" s="13">
        <v>5000</v>
      </c>
      <c r="M1095" t="s">
        <v>2661</v>
      </c>
    </row>
    <row r="1096" spans="1:13">
      <c r="A1096" t="s">
        <v>1005</v>
      </c>
      <c r="B1096" t="s">
        <v>46</v>
      </c>
      <c r="C1096" s="8">
        <v>45996</v>
      </c>
      <c r="D1096" t="s">
        <v>342</v>
      </c>
      <c r="E1096" t="s">
        <v>337</v>
      </c>
      <c r="F1096" s="12">
        <v>818006</v>
      </c>
      <c r="G1096" s="13">
        <v>81</v>
      </c>
      <c r="H1096" t="s">
        <v>3021</v>
      </c>
      <c r="I1096" s="8">
        <v>45955</v>
      </c>
      <c r="J1096" t="s">
        <v>2665</v>
      </c>
      <c r="K1096" t="s">
        <v>2666</v>
      </c>
      <c r="L1096" s="13">
        <v>2500</v>
      </c>
      <c r="M1096" t="s">
        <v>2661</v>
      </c>
    </row>
    <row r="1097" spans="1:13">
      <c r="A1097" t="s">
        <v>1005</v>
      </c>
      <c r="B1097" t="s">
        <v>46</v>
      </c>
      <c r="C1097" s="8">
        <v>45996</v>
      </c>
      <c r="D1097" t="s">
        <v>342</v>
      </c>
      <c r="E1097" t="s">
        <v>337</v>
      </c>
      <c r="F1097" s="12">
        <v>818006</v>
      </c>
      <c r="G1097" s="13">
        <v>81</v>
      </c>
      <c r="H1097" t="s">
        <v>3069</v>
      </c>
      <c r="I1097" s="8">
        <v>45945</v>
      </c>
      <c r="J1097" t="s">
        <v>2668</v>
      </c>
      <c r="K1097" t="s">
        <v>2669</v>
      </c>
      <c r="L1097" s="13">
        <v>4000</v>
      </c>
      <c r="M1097" t="s">
        <v>2661</v>
      </c>
    </row>
    <row r="1098" spans="1:13">
      <c r="A1098" t="s">
        <v>1005</v>
      </c>
      <c r="B1098" t="s">
        <v>46</v>
      </c>
      <c r="C1098" s="8">
        <v>45996</v>
      </c>
      <c r="D1098" t="s">
        <v>342</v>
      </c>
      <c r="E1098" t="s">
        <v>337</v>
      </c>
      <c r="F1098" s="12">
        <v>818006</v>
      </c>
      <c r="G1098" s="13">
        <v>81</v>
      </c>
      <c r="H1098" t="s">
        <v>3408</v>
      </c>
      <c r="I1098" s="8">
        <v>46072</v>
      </c>
      <c r="J1098" t="s">
        <v>2668</v>
      </c>
      <c r="K1098" t="s">
        <v>2669</v>
      </c>
      <c r="L1098" s="13">
        <v>4000</v>
      </c>
      <c r="M1098" t="s">
        <v>2661</v>
      </c>
    </row>
    <row r="1099" spans="1:13">
      <c r="A1099" t="s">
        <v>1005</v>
      </c>
      <c r="B1099" t="s">
        <v>46</v>
      </c>
      <c r="C1099" s="8">
        <v>45996</v>
      </c>
      <c r="D1099" t="s">
        <v>342</v>
      </c>
      <c r="E1099" t="s">
        <v>337</v>
      </c>
      <c r="F1099" s="12">
        <v>818006</v>
      </c>
      <c r="G1099" s="13">
        <v>81</v>
      </c>
      <c r="H1099" t="s">
        <v>3494</v>
      </c>
      <c r="I1099" s="8">
        <v>46108</v>
      </c>
      <c r="J1099" t="s">
        <v>2688</v>
      </c>
      <c r="K1099" t="s">
        <v>2689</v>
      </c>
      <c r="L1099" s="13">
        <v>8000</v>
      </c>
      <c r="M1099" t="s">
        <v>2661</v>
      </c>
    </row>
    <row r="1100" spans="1:13">
      <c r="A1100" t="s">
        <v>558</v>
      </c>
      <c r="B1100" t="s">
        <v>28</v>
      </c>
      <c r="C1100" s="8">
        <v>45986</v>
      </c>
      <c r="D1100" t="s">
        <v>327</v>
      </c>
      <c r="E1100" t="s">
        <v>339</v>
      </c>
      <c r="F1100" s="12">
        <v>160697</v>
      </c>
      <c r="G1100" s="13">
        <v>16</v>
      </c>
      <c r="H1100" t="s">
        <v>2744</v>
      </c>
      <c r="I1100" s="8">
        <v>46085</v>
      </c>
      <c r="J1100" t="s">
        <v>2692</v>
      </c>
      <c r="K1100" t="s">
        <v>2693</v>
      </c>
      <c r="L1100" s="13">
        <v>10000</v>
      </c>
      <c r="M1100" t="s">
        <v>2661</v>
      </c>
    </row>
    <row r="1101" spans="1:13">
      <c r="A1101" t="s">
        <v>558</v>
      </c>
      <c r="B1101" t="s">
        <v>28</v>
      </c>
      <c r="C1101" s="8">
        <v>45986</v>
      </c>
      <c r="D1101" t="s">
        <v>327</v>
      </c>
      <c r="E1101" t="s">
        <v>339</v>
      </c>
      <c r="F1101" s="12">
        <v>160697</v>
      </c>
      <c r="G1101" s="13">
        <v>16</v>
      </c>
      <c r="H1101" t="s">
        <v>2849</v>
      </c>
      <c r="I1101" s="8">
        <v>46060</v>
      </c>
      <c r="J1101" t="s">
        <v>2659</v>
      </c>
      <c r="K1101" t="s">
        <v>2660</v>
      </c>
      <c r="L1101" s="13">
        <v>3500</v>
      </c>
      <c r="M1101" t="s">
        <v>2661</v>
      </c>
    </row>
    <row r="1102" spans="1:13">
      <c r="A1102" t="s">
        <v>558</v>
      </c>
      <c r="B1102" t="s">
        <v>28</v>
      </c>
      <c r="C1102" s="8">
        <v>45986</v>
      </c>
      <c r="D1102" t="s">
        <v>327</v>
      </c>
      <c r="E1102" t="s">
        <v>339</v>
      </c>
      <c r="F1102" s="12">
        <v>160697</v>
      </c>
      <c r="G1102" s="13">
        <v>16</v>
      </c>
      <c r="H1102" t="s">
        <v>2940</v>
      </c>
      <c r="I1102" s="8">
        <v>45947</v>
      </c>
      <c r="J1102" t="s">
        <v>2688</v>
      </c>
      <c r="K1102" t="s">
        <v>2689</v>
      </c>
      <c r="L1102" s="13">
        <v>8000</v>
      </c>
      <c r="M1102" t="s">
        <v>2661</v>
      </c>
    </row>
    <row r="1103" spans="1:13">
      <c r="A1103" t="s">
        <v>558</v>
      </c>
      <c r="B1103" t="s">
        <v>28</v>
      </c>
      <c r="C1103" s="8">
        <v>45986</v>
      </c>
      <c r="D1103" t="s">
        <v>327</v>
      </c>
      <c r="E1103" t="s">
        <v>339</v>
      </c>
      <c r="F1103" s="12">
        <v>160697</v>
      </c>
      <c r="G1103" s="13">
        <v>16</v>
      </c>
      <c r="H1103" t="s">
        <v>3361</v>
      </c>
      <c r="I1103" s="8">
        <v>46205</v>
      </c>
      <c r="J1103" t="s">
        <v>2685</v>
      </c>
      <c r="K1103" t="s">
        <v>2686</v>
      </c>
      <c r="L1103" s="13">
        <v>5000</v>
      </c>
      <c r="M1103" t="s">
        <v>2661</v>
      </c>
    </row>
    <row r="1104" spans="1:13">
      <c r="A1104" t="s">
        <v>558</v>
      </c>
      <c r="B1104" t="s">
        <v>28</v>
      </c>
      <c r="C1104" s="8">
        <v>45986</v>
      </c>
      <c r="D1104" t="s">
        <v>327</v>
      </c>
      <c r="E1104" t="s">
        <v>339</v>
      </c>
      <c r="F1104" s="12">
        <v>160697</v>
      </c>
      <c r="G1104" s="13">
        <v>16</v>
      </c>
      <c r="H1104" t="s">
        <v>3416</v>
      </c>
      <c r="I1104" s="8">
        <v>46028</v>
      </c>
      <c r="J1104" t="s">
        <v>2659</v>
      </c>
      <c r="K1104" t="s">
        <v>2660</v>
      </c>
      <c r="L1104" s="13">
        <v>3500</v>
      </c>
      <c r="M1104" t="s">
        <v>2676</v>
      </c>
    </row>
    <row r="1105" spans="1:13">
      <c r="A1105" t="s">
        <v>558</v>
      </c>
      <c r="B1105" t="s">
        <v>28</v>
      </c>
      <c r="C1105" s="8">
        <v>45986</v>
      </c>
      <c r="D1105" t="s">
        <v>327</v>
      </c>
      <c r="E1105" t="s">
        <v>339</v>
      </c>
      <c r="F1105" s="12">
        <v>160697</v>
      </c>
      <c r="G1105" s="13">
        <v>16</v>
      </c>
      <c r="H1105" t="s">
        <v>3459</v>
      </c>
      <c r="I1105" s="8">
        <v>45984</v>
      </c>
      <c r="J1105" t="s">
        <v>2674</v>
      </c>
      <c r="K1105" t="s">
        <v>2675</v>
      </c>
      <c r="L1105" s="13">
        <v>20000</v>
      </c>
      <c r="M1105" t="s">
        <v>2676</v>
      </c>
    </row>
    <row r="1106" spans="1:13">
      <c r="A1106" t="s">
        <v>991</v>
      </c>
      <c r="B1106" t="s">
        <v>28</v>
      </c>
      <c r="C1106" s="8">
        <v>46267</v>
      </c>
      <c r="D1106" t="s">
        <v>321</v>
      </c>
      <c r="E1106" t="s">
        <v>328</v>
      </c>
      <c r="F1106" s="12">
        <v>209604</v>
      </c>
      <c r="G1106" s="13">
        <v>20</v>
      </c>
      <c r="H1106" t="s">
        <v>2744</v>
      </c>
      <c r="I1106" s="8">
        <v>46085</v>
      </c>
      <c r="J1106" t="s">
        <v>2692</v>
      </c>
      <c r="K1106" t="s">
        <v>2693</v>
      </c>
      <c r="L1106" s="13">
        <v>10000</v>
      </c>
      <c r="M1106" t="s">
        <v>2661</v>
      </c>
    </row>
    <row r="1107" spans="1:13">
      <c r="A1107" t="s">
        <v>991</v>
      </c>
      <c r="B1107" t="s">
        <v>28</v>
      </c>
      <c r="C1107" s="8">
        <v>46267</v>
      </c>
      <c r="D1107" t="s">
        <v>321</v>
      </c>
      <c r="E1107" t="s">
        <v>328</v>
      </c>
      <c r="F1107" s="12">
        <v>209604</v>
      </c>
      <c r="G1107" s="13">
        <v>20</v>
      </c>
      <c r="H1107" t="s">
        <v>2849</v>
      </c>
      <c r="I1107" s="8">
        <v>46060</v>
      </c>
      <c r="J1107" t="s">
        <v>2659</v>
      </c>
      <c r="K1107" t="s">
        <v>2660</v>
      </c>
      <c r="L1107" s="13">
        <v>3500</v>
      </c>
      <c r="M1107" t="s">
        <v>2661</v>
      </c>
    </row>
    <row r="1108" spans="1:13">
      <c r="A1108" t="s">
        <v>991</v>
      </c>
      <c r="B1108" t="s">
        <v>28</v>
      </c>
      <c r="C1108" s="8">
        <v>46267</v>
      </c>
      <c r="D1108" t="s">
        <v>321</v>
      </c>
      <c r="E1108" t="s">
        <v>328</v>
      </c>
      <c r="F1108" s="12">
        <v>209604</v>
      </c>
      <c r="G1108" s="13">
        <v>20</v>
      </c>
      <c r="H1108" t="s">
        <v>2940</v>
      </c>
      <c r="I1108" s="8">
        <v>45947</v>
      </c>
      <c r="J1108" t="s">
        <v>2688</v>
      </c>
      <c r="K1108" t="s">
        <v>2689</v>
      </c>
      <c r="L1108" s="13">
        <v>8000</v>
      </c>
      <c r="M1108" t="s">
        <v>2661</v>
      </c>
    </row>
    <row r="1109" spans="1:13">
      <c r="A1109" t="s">
        <v>991</v>
      </c>
      <c r="B1109" t="s">
        <v>28</v>
      </c>
      <c r="C1109" s="8">
        <v>46267</v>
      </c>
      <c r="D1109" t="s">
        <v>321</v>
      </c>
      <c r="E1109" t="s">
        <v>328</v>
      </c>
      <c r="F1109" s="12">
        <v>209604</v>
      </c>
      <c r="G1109" s="13">
        <v>20</v>
      </c>
      <c r="H1109" t="s">
        <v>3361</v>
      </c>
      <c r="I1109" s="8">
        <v>46205</v>
      </c>
      <c r="J1109" t="s">
        <v>2685</v>
      </c>
      <c r="K1109" t="s">
        <v>2686</v>
      </c>
      <c r="L1109" s="13">
        <v>5000</v>
      </c>
      <c r="M1109" t="s">
        <v>2661</v>
      </c>
    </row>
    <row r="1110" spans="1:13">
      <c r="A1110" t="s">
        <v>991</v>
      </c>
      <c r="B1110" t="s">
        <v>28</v>
      </c>
      <c r="C1110" s="8">
        <v>46267</v>
      </c>
      <c r="D1110" t="s">
        <v>321</v>
      </c>
      <c r="E1110" t="s">
        <v>328</v>
      </c>
      <c r="F1110" s="12">
        <v>209604</v>
      </c>
      <c r="G1110" s="13">
        <v>20</v>
      </c>
      <c r="H1110" t="s">
        <v>3416</v>
      </c>
      <c r="I1110" s="8">
        <v>46028</v>
      </c>
      <c r="J1110" t="s">
        <v>2659</v>
      </c>
      <c r="K1110" t="s">
        <v>2660</v>
      </c>
      <c r="L1110" s="13">
        <v>3500</v>
      </c>
      <c r="M1110" t="s">
        <v>2676</v>
      </c>
    </row>
    <row r="1111" spans="1:13">
      <c r="A1111" t="s">
        <v>991</v>
      </c>
      <c r="B1111" t="s">
        <v>28</v>
      </c>
      <c r="C1111" s="8">
        <v>46267</v>
      </c>
      <c r="D1111" t="s">
        <v>321</v>
      </c>
      <c r="E1111" t="s">
        <v>328</v>
      </c>
      <c r="F1111" s="12">
        <v>209604</v>
      </c>
      <c r="G1111" s="13">
        <v>20</v>
      </c>
      <c r="H1111" t="s">
        <v>3459</v>
      </c>
      <c r="I1111" s="8">
        <v>45984</v>
      </c>
      <c r="J1111" t="s">
        <v>2674</v>
      </c>
      <c r="K1111" t="s">
        <v>2675</v>
      </c>
      <c r="L1111" s="13">
        <v>20000</v>
      </c>
      <c r="M1111" t="s">
        <v>2676</v>
      </c>
    </row>
    <row r="1112" spans="1:13">
      <c r="A1112" t="s">
        <v>453</v>
      </c>
      <c r="B1112" t="s">
        <v>285</v>
      </c>
      <c r="C1112" s="8">
        <v>46140</v>
      </c>
      <c r="D1112" t="s">
        <v>324</v>
      </c>
      <c r="E1112" t="s">
        <v>325</v>
      </c>
      <c r="F1112" s="12">
        <v>736327</v>
      </c>
      <c r="G1112" s="13">
        <v>73</v>
      </c>
      <c r="H1112" t="s">
        <v>2745</v>
      </c>
      <c r="I1112" s="8">
        <v>46274</v>
      </c>
      <c r="J1112" t="s">
        <v>2682</v>
      </c>
      <c r="K1112" t="s">
        <v>2683</v>
      </c>
      <c r="L1112" s="13">
        <v>6000</v>
      </c>
      <c r="M1112" t="s">
        <v>2661</v>
      </c>
    </row>
    <row r="1113" spans="1:13">
      <c r="A1113" t="s">
        <v>828</v>
      </c>
      <c r="B1113" t="s">
        <v>285</v>
      </c>
      <c r="C1113" s="8">
        <v>46086</v>
      </c>
      <c r="D1113" t="s">
        <v>321</v>
      </c>
      <c r="E1113" t="s">
        <v>339</v>
      </c>
      <c r="F1113" s="12">
        <v>186069</v>
      </c>
      <c r="G1113" s="13">
        <v>18</v>
      </c>
      <c r="H1113" t="s">
        <v>2745</v>
      </c>
      <c r="I1113" s="8">
        <v>46274</v>
      </c>
      <c r="J1113" t="s">
        <v>2682</v>
      </c>
      <c r="K1113" t="s">
        <v>2683</v>
      </c>
      <c r="L1113" s="13">
        <v>6000</v>
      </c>
      <c r="M1113" t="s">
        <v>2661</v>
      </c>
    </row>
    <row r="1114" spans="1:13">
      <c r="A1114" t="s">
        <v>401</v>
      </c>
      <c r="B1114" t="s">
        <v>277</v>
      </c>
      <c r="C1114" s="8">
        <v>46138</v>
      </c>
      <c r="D1114" t="s">
        <v>350</v>
      </c>
      <c r="E1114" t="s">
        <v>334</v>
      </c>
      <c r="F1114" s="12">
        <v>485882</v>
      </c>
      <c r="G1114" s="13">
        <v>48</v>
      </c>
      <c r="H1114" t="s">
        <v>2843</v>
      </c>
      <c r="I1114" s="8">
        <v>46213</v>
      </c>
      <c r="J1114" t="s">
        <v>2682</v>
      </c>
      <c r="K1114" t="s">
        <v>2683</v>
      </c>
      <c r="L1114" s="13">
        <v>6000</v>
      </c>
      <c r="M1114" t="s">
        <v>2661</v>
      </c>
    </row>
    <row r="1115" spans="1:13">
      <c r="A1115" t="s">
        <v>401</v>
      </c>
      <c r="B1115" t="s">
        <v>277</v>
      </c>
      <c r="C1115" s="8">
        <v>46138</v>
      </c>
      <c r="D1115" t="s">
        <v>350</v>
      </c>
      <c r="E1115" t="s">
        <v>334</v>
      </c>
      <c r="F1115" s="12">
        <v>485882</v>
      </c>
      <c r="G1115" s="13">
        <v>48</v>
      </c>
      <c r="H1115" t="s">
        <v>2957</v>
      </c>
      <c r="I1115" s="8">
        <v>45984</v>
      </c>
      <c r="J1115" t="s">
        <v>2671</v>
      </c>
      <c r="K1115" t="s">
        <v>2672</v>
      </c>
      <c r="L1115" s="13">
        <v>3000</v>
      </c>
      <c r="M1115" t="s">
        <v>2661</v>
      </c>
    </row>
    <row r="1116" spans="1:13">
      <c r="A1116" t="s">
        <v>401</v>
      </c>
      <c r="B1116" t="s">
        <v>277</v>
      </c>
      <c r="C1116" s="8">
        <v>46138</v>
      </c>
      <c r="D1116" t="s">
        <v>350</v>
      </c>
      <c r="E1116" t="s">
        <v>334</v>
      </c>
      <c r="F1116" s="12">
        <v>485882</v>
      </c>
      <c r="G1116" s="13">
        <v>48</v>
      </c>
      <c r="H1116" t="s">
        <v>2978</v>
      </c>
      <c r="I1116" s="8">
        <v>46142</v>
      </c>
      <c r="J1116" t="s">
        <v>2659</v>
      </c>
      <c r="K1116" t="s">
        <v>2660</v>
      </c>
      <c r="L1116" s="13">
        <v>3500</v>
      </c>
      <c r="M1116" t="s">
        <v>2661</v>
      </c>
    </row>
    <row r="1117" spans="1:13">
      <c r="A1117" t="s">
        <v>401</v>
      </c>
      <c r="B1117" t="s">
        <v>277</v>
      </c>
      <c r="C1117" s="8">
        <v>46138</v>
      </c>
      <c r="D1117" t="s">
        <v>350</v>
      </c>
      <c r="E1117" t="s">
        <v>334</v>
      </c>
      <c r="F1117" s="12">
        <v>485882</v>
      </c>
      <c r="G1117" s="13">
        <v>48</v>
      </c>
      <c r="H1117" t="s">
        <v>3059</v>
      </c>
      <c r="I1117" s="8">
        <v>46217</v>
      </c>
      <c r="J1117" t="s">
        <v>2659</v>
      </c>
      <c r="K1117" t="s">
        <v>2660</v>
      </c>
      <c r="L1117" s="13">
        <v>3500</v>
      </c>
      <c r="M1117" t="s">
        <v>2661</v>
      </c>
    </row>
    <row r="1118" spans="1:13">
      <c r="A1118" t="s">
        <v>401</v>
      </c>
      <c r="B1118" t="s">
        <v>277</v>
      </c>
      <c r="C1118" s="8">
        <v>46138</v>
      </c>
      <c r="D1118" t="s">
        <v>350</v>
      </c>
      <c r="E1118" t="s">
        <v>334</v>
      </c>
      <c r="F1118" s="12">
        <v>485882</v>
      </c>
      <c r="G1118" s="13">
        <v>48</v>
      </c>
      <c r="H1118" t="s">
        <v>3102</v>
      </c>
      <c r="I1118" s="8">
        <v>46027</v>
      </c>
      <c r="J1118" t="s">
        <v>2692</v>
      </c>
      <c r="K1118" t="s">
        <v>2693</v>
      </c>
      <c r="L1118" s="13">
        <v>10000</v>
      </c>
      <c r="M1118" t="s">
        <v>2661</v>
      </c>
    </row>
    <row r="1119" spans="1:13">
      <c r="A1119" t="s">
        <v>401</v>
      </c>
      <c r="B1119" t="s">
        <v>277</v>
      </c>
      <c r="C1119" s="8">
        <v>46138</v>
      </c>
      <c r="D1119" t="s">
        <v>350</v>
      </c>
      <c r="E1119" t="s">
        <v>334</v>
      </c>
      <c r="F1119" s="12">
        <v>485882</v>
      </c>
      <c r="G1119" s="13">
        <v>48</v>
      </c>
      <c r="H1119" t="s">
        <v>3553</v>
      </c>
      <c r="I1119" s="8">
        <v>45945</v>
      </c>
      <c r="J1119" t="s">
        <v>2685</v>
      </c>
      <c r="K1119" t="s">
        <v>2686</v>
      </c>
      <c r="L1119" s="13">
        <v>5000</v>
      </c>
      <c r="M1119" t="s">
        <v>2661</v>
      </c>
    </row>
    <row r="1120" spans="1:13">
      <c r="A1120" t="s">
        <v>401</v>
      </c>
      <c r="B1120" t="s">
        <v>277</v>
      </c>
      <c r="C1120" s="8">
        <v>46138</v>
      </c>
      <c r="D1120" t="s">
        <v>350</v>
      </c>
      <c r="E1120" t="s">
        <v>334</v>
      </c>
      <c r="F1120" s="12">
        <v>485882</v>
      </c>
      <c r="G1120" s="13">
        <v>48</v>
      </c>
      <c r="H1120" t="s">
        <v>3560</v>
      </c>
      <c r="I1120" s="8">
        <v>45986</v>
      </c>
      <c r="J1120" t="s">
        <v>2685</v>
      </c>
      <c r="K1120" t="s">
        <v>2686</v>
      </c>
      <c r="L1120" s="13">
        <v>5000</v>
      </c>
      <c r="M1120" t="s">
        <v>2661</v>
      </c>
    </row>
    <row r="1121" spans="1:13">
      <c r="A1121" t="s">
        <v>417</v>
      </c>
      <c r="B1121" t="s">
        <v>277</v>
      </c>
      <c r="C1121" s="8">
        <v>46168</v>
      </c>
      <c r="D1121" t="s">
        <v>350</v>
      </c>
      <c r="E1121" t="s">
        <v>337</v>
      </c>
      <c r="F1121" s="12">
        <v>190352</v>
      </c>
      <c r="G1121" s="13">
        <v>19</v>
      </c>
      <c r="H1121" t="s">
        <v>2843</v>
      </c>
      <c r="I1121" s="8">
        <v>46213</v>
      </c>
      <c r="J1121" t="s">
        <v>2682</v>
      </c>
      <c r="K1121" t="s">
        <v>2683</v>
      </c>
      <c r="L1121" s="13">
        <v>6000</v>
      </c>
      <c r="M1121" t="s">
        <v>2661</v>
      </c>
    </row>
    <row r="1122" spans="1:13">
      <c r="A1122" t="s">
        <v>417</v>
      </c>
      <c r="B1122" t="s">
        <v>277</v>
      </c>
      <c r="C1122" s="8">
        <v>46168</v>
      </c>
      <c r="D1122" t="s">
        <v>350</v>
      </c>
      <c r="E1122" t="s">
        <v>337</v>
      </c>
      <c r="F1122" s="12">
        <v>190352</v>
      </c>
      <c r="G1122" s="13">
        <v>19</v>
      </c>
      <c r="H1122" t="s">
        <v>2957</v>
      </c>
      <c r="I1122" s="8">
        <v>45984</v>
      </c>
      <c r="J1122" t="s">
        <v>2671</v>
      </c>
      <c r="K1122" t="s">
        <v>2672</v>
      </c>
      <c r="L1122" s="13">
        <v>3000</v>
      </c>
      <c r="M1122" t="s">
        <v>2661</v>
      </c>
    </row>
    <row r="1123" spans="1:13">
      <c r="A1123" t="s">
        <v>417</v>
      </c>
      <c r="B1123" t="s">
        <v>277</v>
      </c>
      <c r="C1123" s="8">
        <v>46168</v>
      </c>
      <c r="D1123" t="s">
        <v>350</v>
      </c>
      <c r="E1123" t="s">
        <v>337</v>
      </c>
      <c r="F1123" s="12">
        <v>190352</v>
      </c>
      <c r="G1123" s="13">
        <v>19</v>
      </c>
      <c r="H1123" t="s">
        <v>2978</v>
      </c>
      <c r="I1123" s="8">
        <v>46142</v>
      </c>
      <c r="J1123" t="s">
        <v>2659</v>
      </c>
      <c r="K1123" t="s">
        <v>2660</v>
      </c>
      <c r="L1123" s="13">
        <v>3500</v>
      </c>
      <c r="M1123" t="s">
        <v>2661</v>
      </c>
    </row>
    <row r="1124" spans="1:13">
      <c r="A1124" t="s">
        <v>417</v>
      </c>
      <c r="B1124" t="s">
        <v>277</v>
      </c>
      <c r="C1124" s="8">
        <v>46168</v>
      </c>
      <c r="D1124" t="s">
        <v>350</v>
      </c>
      <c r="E1124" t="s">
        <v>337</v>
      </c>
      <c r="F1124" s="12">
        <v>190352</v>
      </c>
      <c r="G1124" s="13">
        <v>19</v>
      </c>
      <c r="H1124" t="s">
        <v>3059</v>
      </c>
      <c r="I1124" s="8">
        <v>46217</v>
      </c>
      <c r="J1124" t="s">
        <v>2659</v>
      </c>
      <c r="K1124" t="s">
        <v>2660</v>
      </c>
      <c r="L1124" s="13">
        <v>3500</v>
      </c>
      <c r="M1124" t="s">
        <v>2661</v>
      </c>
    </row>
    <row r="1125" spans="1:13">
      <c r="A1125" t="s">
        <v>417</v>
      </c>
      <c r="B1125" t="s">
        <v>277</v>
      </c>
      <c r="C1125" s="8">
        <v>46168</v>
      </c>
      <c r="D1125" t="s">
        <v>350</v>
      </c>
      <c r="E1125" t="s">
        <v>337</v>
      </c>
      <c r="F1125" s="12">
        <v>190352</v>
      </c>
      <c r="G1125" s="13">
        <v>19</v>
      </c>
      <c r="H1125" t="s">
        <v>3102</v>
      </c>
      <c r="I1125" s="8">
        <v>46027</v>
      </c>
      <c r="J1125" t="s">
        <v>2692</v>
      </c>
      <c r="K1125" t="s">
        <v>2693</v>
      </c>
      <c r="L1125" s="13">
        <v>10000</v>
      </c>
      <c r="M1125" t="s">
        <v>2661</v>
      </c>
    </row>
    <row r="1126" spans="1:13">
      <c r="A1126" t="s">
        <v>417</v>
      </c>
      <c r="B1126" t="s">
        <v>277</v>
      </c>
      <c r="C1126" s="8">
        <v>46168</v>
      </c>
      <c r="D1126" t="s">
        <v>350</v>
      </c>
      <c r="E1126" t="s">
        <v>337</v>
      </c>
      <c r="F1126" s="12">
        <v>190352</v>
      </c>
      <c r="G1126" s="13">
        <v>19</v>
      </c>
      <c r="H1126" t="s">
        <v>3553</v>
      </c>
      <c r="I1126" s="8">
        <v>45945</v>
      </c>
      <c r="J1126" t="s">
        <v>2685</v>
      </c>
      <c r="K1126" t="s">
        <v>2686</v>
      </c>
      <c r="L1126" s="13">
        <v>5000</v>
      </c>
      <c r="M1126" t="s">
        <v>2661</v>
      </c>
    </row>
    <row r="1127" spans="1:13">
      <c r="A1127" t="s">
        <v>417</v>
      </c>
      <c r="B1127" t="s">
        <v>277</v>
      </c>
      <c r="C1127" s="8">
        <v>46168</v>
      </c>
      <c r="D1127" t="s">
        <v>350</v>
      </c>
      <c r="E1127" t="s">
        <v>337</v>
      </c>
      <c r="F1127" s="12">
        <v>190352</v>
      </c>
      <c r="G1127" s="13">
        <v>19</v>
      </c>
      <c r="H1127" t="s">
        <v>3560</v>
      </c>
      <c r="I1127" s="8">
        <v>45986</v>
      </c>
      <c r="J1127" t="s">
        <v>2685</v>
      </c>
      <c r="K1127" t="s">
        <v>2686</v>
      </c>
      <c r="L1127" s="13">
        <v>5000</v>
      </c>
      <c r="M1127" t="s">
        <v>2661</v>
      </c>
    </row>
    <row r="1128" spans="1:13">
      <c r="A1128" t="s">
        <v>467</v>
      </c>
      <c r="B1128" t="s">
        <v>277</v>
      </c>
      <c r="C1128" s="8">
        <v>45967</v>
      </c>
      <c r="D1128" t="s">
        <v>332</v>
      </c>
      <c r="E1128" t="s">
        <v>337</v>
      </c>
      <c r="F1128" s="12">
        <v>677999</v>
      </c>
      <c r="G1128" s="13">
        <v>67</v>
      </c>
      <c r="H1128" t="s">
        <v>2843</v>
      </c>
      <c r="I1128" s="8">
        <v>46213</v>
      </c>
      <c r="J1128" t="s">
        <v>2682</v>
      </c>
      <c r="K1128" t="s">
        <v>2683</v>
      </c>
      <c r="L1128" s="13">
        <v>6000</v>
      </c>
      <c r="M1128" t="s">
        <v>2661</v>
      </c>
    </row>
    <row r="1129" spans="1:13">
      <c r="A1129" t="s">
        <v>467</v>
      </c>
      <c r="B1129" t="s">
        <v>277</v>
      </c>
      <c r="C1129" s="8">
        <v>45967</v>
      </c>
      <c r="D1129" t="s">
        <v>332</v>
      </c>
      <c r="E1129" t="s">
        <v>337</v>
      </c>
      <c r="F1129" s="12">
        <v>677999</v>
      </c>
      <c r="G1129" s="13">
        <v>67</v>
      </c>
      <c r="H1129" t="s">
        <v>2957</v>
      </c>
      <c r="I1129" s="8">
        <v>45984</v>
      </c>
      <c r="J1129" t="s">
        <v>2671</v>
      </c>
      <c r="K1129" t="s">
        <v>2672</v>
      </c>
      <c r="L1129" s="13">
        <v>3000</v>
      </c>
      <c r="M1129" t="s">
        <v>2661</v>
      </c>
    </row>
    <row r="1130" spans="1:13">
      <c r="A1130" t="s">
        <v>467</v>
      </c>
      <c r="B1130" t="s">
        <v>277</v>
      </c>
      <c r="C1130" s="8">
        <v>45967</v>
      </c>
      <c r="D1130" t="s">
        <v>332</v>
      </c>
      <c r="E1130" t="s">
        <v>337</v>
      </c>
      <c r="F1130" s="12">
        <v>677999</v>
      </c>
      <c r="G1130" s="13">
        <v>67</v>
      </c>
      <c r="H1130" t="s">
        <v>2978</v>
      </c>
      <c r="I1130" s="8">
        <v>46142</v>
      </c>
      <c r="J1130" t="s">
        <v>2659</v>
      </c>
      <c r="K1130" t="s">
        <v>2660</v>
      </c>
      <c r="L1130" s="13">
        <v>3500</v>
      </c>
      <c r="M1130" t="s">
        <v>2661</v>
      </c>
    </row>
    <row r="1131" spans="1:13">
      <c r="A1131" t="s">
        <v>467</v>
      </c>
      <c r="B1131" t="s">
        <v>277</v>
      </c>
      <c r="C1131" s="8">
        <v>45967</v>
      </c>
      <c r="D1131" t="s">
        <v>332</v>
      </c>
      <c r="E1131" t="s">
        <v>337</v>
      </c>
      <c r="F1131" s="12">
        <v>677999</v>
      </c>
      <c r="G1131" s="13">
        <v>67</v>
      </c>
      <c r="H1131" t="s">
        <v>3059</v>
      </c>
      <c r="I1131" s="8">
        <v>46217</v>
      </c>
      <c r="J1131" t="s">
        <v>2659</v>
      </c>
      <c r="K1131" t="s">
        <v>2660</v>
      </c>
      <c r="L1131" s="13">
        <v>3500</v>
      </c>
      <c r="M1131" t="s">
        <v>2661</v>
      </c>
    </row>
    <row r="1132" spans="1:13">
      <c r="A1132" t="s">
        <v>467</v>
      </c>
      <c r="B1132" t="s">
        <v>277</v>
      </c>
      <c r="C1132" s="8">
        <v>45967</v>
      </c>
      <c r="D1132" t="s">
        <v>332</v>
      </c>
      <c r="E1132" t="s">
        <v>337</v>
      </c>
      <c r="F1132" s="12">
        <v>677999</v>
      </c>
      <c r="G1132" s="13">
        <v>67</v>
      </c>
      <c r="H1132" t="s">
        <v>3102</v>
      </c>
      <c r="I1132" s="8">
        <v>46027</v>
      </c>
      <c r="J1132" t="s">
        <v>2692</v>
      </c>
      <c r="K1132" t="s">
        <v>2693</v>
      </c>
      <c r="L1132" s="13">
        <v>10000</v>
      </c>
      <c r="M1132" t="s">
        <v>2661</v>
      </c>
    </row>
    <row r="1133" spans="1:13">
      <c r="A1133" t="s">
        <v>467</v>
      </c>
      <c r="B1133" t="s">
        <v>277</v>
      </c>
      <c r="C1133" s="8">
        <v>45967</v>
      </c>
      <c r="D1133" t="s">
        <v>332</v>
      </c>
      <c r="E1133" t="s">
        <v>337</v>
      </c>
      <c r="F1133" s="12">
        <v>677999</v>
      </c>
      <c r="G1133" s="13">
        <v>67</v>
      </c>
      <c r="H1133" t="s">
        <v>3553</v>
      </c>
      <c r="I1133" s="8">
        <v>45945</v>
      </c>
      <c r="J1133" t="s">
        <v>2685</v>
      </c>
      <c r="K1133" t="s">
        <v>2686</v>
      </c>
      <c r="L1133" s="13">
        <v>5000</v>
      </c>
      <c r="M1133" t="s">
        <v>2661</v>
      </c>
    </row>
    <row r="1134" spans="1:13">
      <c r="A1134" t="s">
        <v>467</v>
      </c>
      <c r="B1134" t="s">
        <v>277</v>
      </c>
      <c r="C1134" s="8">
        <v>45967</v>
      </c>
      <c r="D1134" t="s">
        <v>332</v>
      </c>
      <c r="E1134" t="s">
        <v>337</v>
      </c>
      <c r="F1134" s="12">
        <v>677999</v>
      </c>
      <c r="G1134" s="13">
        <v>67</v>
      </c>
      <c r="H1134" t="s">
        <v>3560</v>
      </c>
      <c r="I1134" s="8">
        <v>45986</v>
      </c>
      <c r="J1134" t="s">
        <v>2685</v>
      </c>
      <c r="K1134" t="s">
        <v>2686</v>
      </c>
      <c r="L1134" s="13">
        <v>5000</v>
      </c>
      <c r="M1134" t="s">
        <v>2661</v>
      </c>
    </row>
    <row r="1135" spans="1:13">
      <c r="A1135" t="s">
        <v>598</v>
      </c>
      <c r="B1135" t="s">
        <v>277</v>
      </c>
      <c r="C1135" s="8">
        <v>46244</v>
      </c>
      <c r="D1135" t="s">
        <v>330</v>
      </c>
      <c r="E1135" t="s">
        <v>337</v>
      </c>
      <c r="F1135" s="12">
        <v>188253</v>
      </c>
      <c r="G1135" s="13">
        <v>18</v>
      </c>
      <c r="H1135" t="s">
        <v>2843</v>
      </c>
      <c r="I1135" s="8">
        <v>46213</v>
      </c>
      <c r="J1135" t="s">
        <v>2682</v>
      </c>
      <c r="K1135" t="s">
        <v>2683</v>
      </c>
      <c r="L1135" s="13">
        <v>6000</v>
      </c>
      <c r="M1135" t="s">
        <v>2661</v>
      </c>
    </row>
    <row r="1136" spans="1:13">
      <c r="A1136" t="s">
        <v>598</v>
      </c>
      <c r="B1136" t="s">
        <v>277</v>
      </c>
      <c r="C1136" s="8">
        <v>46244</v>
      </c>
      <c r="D1136" t="s">
        <v>330</v>
      </c>
      <c r="E1136" t="s">
        <v>337</v>
      </c>
      <c r="F1136" s="12">
        <v>188253</v>
      </c>
      <c r="G1136" s="13">
        <v>18</v>
      </c>
      <c r="H1136" t="s">
        <v>2957</v>
      </c>
      <c r="I1136" s="8">
        <v>45984</v>
      </c>
      <c r="J1136" t="s">
        <v>2671</v>
      </c>
      <c r="K1136" t="s">
        <v>2672</v>
      </c>
      <c r="L1136" s="13">
        <v>3000</v>
      </c>
      <c r="M1136" t="s">
        <v>2661</v>
      </c>
    </row>
    <row r="1137" spans="1:13">
      <c r="A1137" t="s">
        <v>598</v>
      </c>
      <c r="B1137" t="s">
        <v>277</v>
      </c>
      <c r="C1137" s="8">
        <v>46244</v>
      </c>
      <c r="D1137" t="s">
        <v>330</v>
      </c>
      <c r="E1137" t="s">
        <v>337</v>
      </c>
      <c r="F1137" s="12">
        <v>188253</v>
      </c>
      <c r="G1137" s="13">
        <v>18</v>
      </c>
      <c r="H1137" t="s">
        <v>2978</v>
      </c>
      <c r="I1137" s="8">
        <v>46142</v>
      </c>
      <c r="J1137" t="s">
        <v>2659</v>
      </c>
      <c r="K1137" t="s">
        <v>2660</v>
      </c>
      <c r="L1137" s="13">
        <v>3500</v>
      </c>
      <c r="M1137" t="s">
        <v>2661</v>
      </c>
    </row>
    <row r="1138" spans="1:13">
      <c r="A1138" t="s">
        <v>598</v>
      </c>
      <c r="B1138" t="s">
        <v>277</v>
      </c>
      <c r="C1138" s="8">
        <v>46244</v>
      </c>
      <c r="D1138" t="s">
        <v>330</v>
      </c>
      <c r="E1138" t="s">
        <v>337</v>
      </c>
      <c r="F1138" s="12">
        <v>188253</v>
      </c>
      <c r="G1138" s="13">
        <v>18</v>
      </c>
      <c r="H1138" t="s">
        <v>3059</v>
      </c>
      <c r="I1138" s="8">
        <v>46217</v>
      </c>
      <c r="J1138" t="s">
        <v>2659</v>
      </c>
      <c r="K1138" t="s">
        <v>2660</v>
      </c>
      <c r="L1138" s="13">
        <v>3500</v>
      </c>
      <c r="M1138" t="s">
        <v>2661</v>
      </c>
    </row>
    <row r="1139" spans="1:13">
      <c r="A1139" t="s">
        <v>598</v>
      </c>
      <c r="B1139" t="s">
        <v>277</v>
      </c>
      <c r="C1139" s="8">
        <v>46244</v>
      </c>
      <c r="D1139" t="s">
        <v>330</v>
      </c>
      <c r="E1139" t="s">
        <v>337</v>
      </c>
      <c r="F1139" s="12">
        <v>188253</v>
      </c>
      <c r="G1139" s="13">
        <v>18</v>
      </c>
      <c r="H1139" t="s">
        <v>3102</v>
      </c>
      <c r="I1139" s="8">
        <v>46027</v>
      </c>
      <c r="J1139" t="s">
        <v>2692</v>
      </c>
      <c r="K1139" t="s">
        <v>2693</v>
      </c>
      <c r="L1139" s="13">
        <v>10000</v>
      </c>
      <c r="M1139" t="s">
        <v>2661</v>
      </c>
    </row>
    <row r="1140" spans="1:13">
      <c r="A1140" t="s">
        <v>598</v>
      </c>
      <c r="B1140" t="s">
        <v>277</v>
      </c>
      <c r="C1140" s="8">
        <v>46244</v>
      </c>
      <c r="D1140" t="s">
        <v>330</v>
      </c>
      <c r="E1140" t="s">
        <v>337</v>
      </c>
      <c r="F1140" s="12">
        <v>188253</v>
      </c>
      <c r="G1140" s="13">
        <v>18</v>
      </c>
      <c r="H1140" t="s">
        <v>3553</v>
      </c>
      <c r="I1140" s="8">
        <v>45945</v>
      </c>
      <c r="J1140" t="s">
        <v>2685</v>
      </c>
      <c r="K1140" t="s">
        <v>2686</v>
      </c>
      <c r="L1140" s="13">
        <v>5000</v>
      </c>
      <c r="M1140" t="s">
        <v>2661</v>
      </c>
    </row>
    <row r="1141" spans="1:13">
      <c r="A1141" t="s">
        <v>598</v>
      </c>
      <c r="B1141" t="s">
        <v>277</v>
      </c>
      <c r="C1141" s="8">
        <v>46244</v>
      </c>
      <c r="D1141" t="s">
        <v>330</v>
      </c>
      <c r="E1141" t="s">
        <v>337</v>
      </c>
      <c r="F1141" s="12">
        <v>188253</v>
      </c>
      <c r="G1141" s="13">
        <v>18</v>
      </c>
      <c r="H1141" t="s">
        <v>3560</v>
      </c>
      <c r="I1141" s="8">
        <v>45986</v>
      </c>
      <c r="J1141" t="s">
        <v>2685</v>
      </c>
      <c r="K1141" t="s">
        <v>2686</v>
      </c>
      <c r="L1141" s="13">
        <v>5000</v>
      </c>
      <c r="M1141" t="s">
        <v>2661</v>
      </c>
    </row>
    <row r="1142" spans="1:13">
      <c r="A1142" t="s">
        <v>632</v>
      </c>
      <c r="B1142" t="s">
        <v>277</v>
      </c>
      <c r="C1142" s="8">
        <v>46149</v>
      </c>
      <c r="D1142" t="s">
        <v>324</v>
      </c>
      <c r="E1142" t="s">
        <v>337</v>
      </c>
      <c r="F1142" s="12">
        <v>332987</v>
      </c>
      <c r="G1142" s="13">
        <v>33</v>
      </c>
      <c r="H1142" t="s">
        <v>2843</v>
      </c>
      <c r="I1142" s="8">
        <v>46213</v>
      </c>
      <c r="J1142" t="s">
        <v>2682</v>
      </c>
      <c r="K1142" t="s">
        <v>2683</v>
      </c>
      <c r="L1142" s="13">
        <v>6000</v>
      </c>
      <c r="M1142" t="s">
        <v>2661</v>
      </c>
    </row>
    <row r="1143" spans="1:13">
      <c r="A1143" t="s">
        <v>632</v>
      </c>
      <c r="B1143" t="s">
        <v>277</v>
      </c>
      <c r="C1143" s="8">
        <v>46149</v>
      </c>
      <c r="D1143" t="s">
        <v>324</v>
      </c>
      <c r="E1143" t="s">
        <v>337</v>
      </c>
      <c r="F1143" s="12">
        <v>332987</v>
      </c>
      <c r="G1143" s="13">
        <v>33</v>
      </c>
      <c r="H1143" t="s">
        <v>2957</v>
      </c>
      <c r="I1143" s="8">
        <v>45984</v>
      </c>
      <c r="J1143" t="s">
        <v>2671</v>
      </c>
      <c r="K1143" t="s">
        <v>2672</v>
      </c>
      <c r="L1143" s="13">
        <v>3000</v>
      </c>
      <c r="M1143" t="s">
        <v>2661</v>
      </c>
    </row>
    <row r="1144" spans="1:13">
      <c r="A1144" t="s">
        <v>632</v>
      </c>
      <c r="B1144" t="s">
        <v>277</v>
      </c>
      <c r="C1144" s="8">
        <v>46149</v>
      </c>
      <c r="D1144" t="s">
        <v>324</v>
      </c>
      <c r="E1144" t="s">
        <v>337</v>
      </c>
      <c r="F1144" s="12">
        <v>332987</v>
      </c>
      <c r="G1144" s="13">
        <v>33</v>
      </c>
      <c r="H1144" t="s">
        <v>2978</v>
      </c>
      <c r="I1144" s="8">
        <v>46142</v>
      </c>
      <c r="J1144" t="s">
        <v>2659</v>
      </c>
      <c r="K1144" t="s">
        <v>2660</v>
      </c>
      <c r="L1144" s="13">
        <v>3500</v>
      </c>
      <c r="M1144" t="s">
        <v>2661</v>
      </c>
    </row>
    <row r="1145" spans="1:13">
      <c r="A1145" t="s">
        <v>632</v>
      </c>
      <c r="B1145" t="s">
        <v>277</v>
      </c>
      <c r="C1145" s="8">
        <v>46149</v>
      </c>
      <c r="D1145" t="s">
        <v>324</v>
      </c>
      <c r="E1145" t="s">
        <v>337</v>
      </c>
      <c r="F1145" s="12">
        <v>332987</v>
      </c>
      <c r="G1145" s="13">
        <v>33</v>
      </c>
      <c r="H1145" t="s">
        <v>3059</v>
      </c>
      <c r="I1145" s="8">
        <v>46217</v>
      </c>
      <c r="J1145" t="s">
        <v>2659</v>
      </c>
      <c r="K1145" t="s">
        <v>2660</v>
      </c>
      <c r="L1145" s="13">
        <v>3500</v>
      </c>
      <c r="M1145" t="s">
        <v>2661</v>
      </c>
    </row>
    <row r="1146" spans="1:13">
      <c r="A1146" t="s">
        <v>632</v>
      </c>
      <c r="B1146" t="s">
        <v>277</v>
      </c>
      <c r="C1146" s="8">
        <v>46149</v>
      </c>
      <c r="D1146" t="s">
        <v>324</v>
      </c>
      <c r="E1146" t="s">
        <v>337</v>
      </c>
      <c r="F1146" s="12">
        <v>332987</v>
      </c>
      <c r="G1146" s="13">
        <v>33</v>
      </c>
      <c r="H1146" t="s">
        <v>3102</v>
      </c>
      <c r="I1146" s="8">
        <v>46027</v>
      </c>
      <c r="J1146" t="s">
        <v>2692</v>
      </c>
      <c r="K1146" t="s">
        <v>2693</v>
      </c>
      <c r="L1146" s="13">
        <v>10000</v>
      </c>
      <c r="M1146" t="s">
        <v>2661</v>
      </c>
    </row>
    <row r="1147" spans="1:13">
      <c r="A1147" t="s">
        <v>632</v>
      </c>
      <c r="B1147" t="s">
        <v>277</v>
      </c>
      <c r="C1147" s="8">
        <v>46149</v>
      </c>
      <c r="D1147" t="s">
        <v>324</v>
      </c>
      <c r="E1147" t="s">
        <v>337</v>
      </c>
      <c r="F1147" s="12">
        <v>332987</v>
      </c>
      <c r="G1147" s="13">
        <v>33</v>
      </c>
      <c r="H1147" t="s">
        <v>3553</v>
      </c>
      <c r="I1147" s="8">
        <v>45945</v>
      </c>
      <c r="J1147" t="s">
        <v>2685</v>
      </c>
      <c r="K1147" t="s">
        <v>2686</v>
      </c>
      <c r="L1147" s="13">
        <v>5000</v>
      </c>
      <c r="M1147" t="s">
        <v>2661</v>
      </c>
    </row>
    <row r="1148" spans="1:13">
      <c r="A1148" t="s">
        <v>632</v>
      </c>
      <c r="B1148" t="s">
        <v>277</v>
      </c>
      <c r="C1148" s="8">
        <v>46149</v>
      </c>
      <c r="D1148" t="s">
        <v>324</v>
      </c>
      <c r="E1148" t="s">
        <v>337</v>
      </c>
      <c r="F1148" s="12">
        <v>332987</v>
      </c>
      <c r="G1148" s="13">
        <v>33</v>
      </c>
      <c r="H1148" t="s">
        <v>3560</v>
      </c>
      <c r="I1148" s="8">
        <v>45986</v>
      </c>
      <c r="J1148" t="s">
        <v>2685</v>
      </c>
      <c r="K1148" t="s">
        <v>2686</v>
      </c>
      <c r="L1148" s="13">
        <v>5000</v>
      </c>
      <c r="M1148" t="s">
        <v>2661</v>
      </c>
    </row>
    <row r="1149" spans="1:13">
      <c r="A1149" t="s">
        <v>854</v>
      </c>
      <c r="B1149" t="s">
        <v>277</v>
      </c>
      <c r="C1149" s="8">
        <v>46101</v>
      </c>
      <c r="D1149" t="s">
        <v>344</v>
      </c>
      <c r="E1149" t="s">
        <v>334</v>
      </c>
      <c r="F1149" s="12">
        <v>261817</v>
      </c>
      <c r="G1149" s="13">
        <v>26</v>
      </c>
      <c r="H1149" t="s">
        <v>2843</v>
      </c>
      <c r="I1149" s="8">
        <v>46213</v>
      </c>
      <c r="J1149" t="s">
        <v>2682</v>
      </c>
      <c r="K1149" t="s">
        <v>2683</v>
      </c>
      <c r="L1149" s="13">
        <v>6000</v>
      </c>
      <c r="M1149" t="s">
        <v>2661</v>
      </c>
    </row>
    <row r="1150" spans="1:13">
      <c r="A1150" t="s">
        <v>854</v>
      </c>
      <c r="B1150" t="s">
        <v>277</v>
      </c>
      <c r="C1150" s="8">
        <v>46101</v>
      </c>
      <c r="D1150" t="s">
        <v>344</v>
      </c>
      <c r="E1150" t="s">
        <v>334</v>
      </c>
      <c r="F1150" s="12">
        <v>261817</v>
      </c>
      <c r="G1150" s="13">
        <v>26</v>
      </c>
      <c r="H1150" t="s">
        <v>2957</v>
      </c>
      <c r="I1150" s="8">
        <v>45984</v>
      </c>
      <c r="J1150" t="s">
        <v>2671</v>
      </c>
      <c r="K1150" t="s">
        <v>2672</v>
      </c>
      <c r="L1150" s="13">
        <v>3000</v>
      </c>
      <c r="M1150" t="s">
        <v>2661</v>
      </c>
    </row>
    <row r="1151" spans="1:13">
      <c r="A1151" t="s">
        <v>854</v>
      </c>
      <c r="B1151" t="s">
        <v>277</v>
      </c>
      <c r="C1151" s="8">
        <v>46101</v>
      </c>
      <c r="D1151" t="s">
        <v>344</v>
      </c>
      <c r="E1151" t="s">
        <v>334</v>
      </c>
      <c r="F1151" s="12">
        <v>261817</v>
      </c>
      <c r="G1151" s="13">
        <v>26</v>
      </c>
      <c r="H1151" t="s">
        <v>2978</v>
      </c>
      <c r="I1151" s="8">
        <v>46142</v>
      </c>
      <c r="J1151" t="s">
        <v>2659</v>
      </c>
      <c r="K1151" t="s">
        <v>2660</v>
      </c>
      <c r="L1151" s="13">
        <v>3500</v>
      </c>
      <c r="M1151" t="s">
        <v>2661</v>
      </c>
    </row>
    <row r="1152" spans="1:13">
      <c r="A1152" t="s">
        <v>854</v>
      </c>
      <c r="B1152" t="s">
        <v>277</v>
      </c>
      <c r="C1152" s="8">
        <v>46101</v>
      </c>
      <c r="D1152" t="s">
        <v>344</v>
      </c>
      <c r="E1152" t="s">
        <v>334</v>
      </c>
      <c r="F1152" s="12">
        <v>261817</v>
      </c>
      <c r="G1152" s="13">
        <v>26</v>
      </c>
      <c r="H1152" t="s">
        <v>3059</v>
      </c>
      <c r="I1152" s="8">
        <v>46217</v>
      </c>
      <c r="J1152" t="s">
        <v>2659</v>
      </c>
      <c r="K1152" t="s">
        <v>2660</v>
      </c>
      <c r="L1152" s="13">
        <v>3500</v>
      </c>
      <c r="M1152" t="s">
        <v>2661</v>
      </c>
    </row>
    <row r="1153" spans="1:13">
      <c r="A1153" t="s">
        <v>854</v>
      </c>
      <c r="B1153" t="s">
        <v>277</v>
      </c>
      <c r="C1153" s="8">
        <v>46101</v>
      </c>
      <c r="D1153" t="s">
        <v>344</v>
      </c>
      <c r="E1153" t="s">
        <v>334</v>
      </c>
      <c r="F1153" s="12">
        <v>261817</v>
      </c>
      <c r="G1153" s="13">
        <v>26</v>
      </c>
      <c r="H1153" t="s">
        <v>3102</v>
      </c>
      <c r="I1153" s="8">
        <v>46027</v>
      </c>
      <c r="J1153" t="s">
        <v>2692</v>
      </c>
      <c r="K1153" t="s">
        <v>2693</v>
      </c>
      <c r="L1153" s="13">
        <v>10000</v>
      </c>
      <c r="M1153" t="s">
        <v>2661</v>
      </c>
    </row>
    <row r="1154" spans="1:13">
      <c r="A1154" t="s">
        <v>854</v>
      </c>
      <c r="B1154" t="s">
        <v>277</v>
      </c>
      <c r="C1154" s="8">
        <v>46101</v>
      </c>
      <c r="D1154" t="s">
        <v>344</v>
      </c>
      <c r="E1154" t="s">
        <v>334</v>
      </c>
      <c r="F1154" s="12">
        <v>261817</v>
      </c>
      <c r="G1154" s="13">
        <v>26</v>
      </c>
      <c r="H1154" t="s">
        <v>3553</v>
      </c>
      <c r="I1154" s="8">
        <v>45945</v>
      </c>
      <c r="J1154" t="s">
        <v>2685</v>
      </c>
      <c r="K1154" t="s">
        <v>2686</v>
      </c>
      <c r="L1154" s="13">
        <v>5000</v>
      </c>
      <c r="M1154" t="s">
        <v>2661</v>
      </c>
    </row>
    <row r="1155" spans="1:13">
      <c r="A1155" t="s">
        <v>854</v>
      </c>
      <c r="B1155" t="s">
        <v>277</v>
      </c>
      <c r="C1155" s="8">
        <v>46101</v>
      </c>
      <c r="D1155" t="s">
        <v>344</v>
      </c>
      <c r="E1155" t="s">
        <v>334</v>
      </c>
      <c r="F1155" s="12">
        <v>261817</v>
      </c>
      <c r="G1155" s="13">
        <v>26</v>
      </c>
      <c r="H1155" t="s">
        <v>3560</v>
      </c>
      <c r="I1155" s="8">
        <v>45986</v>
      </c>
      <c r="J1155" t="s">
        <v>2685</v>
      </c>
      <c r="K1155" t="s">
        <v>2686</v>
      </c>
      <c r="L1155" s="13">
        <v>5000</v>
      </c>
      <c r="M1155" t="s">
        <v>2661</v>
      </c>
    </row>
    <row r="1156" spans="1:13">
      <c r="A1156" t="s">
        <v>402</v>
      </c>
      <c r="B1156" t="s">
        <v>107</v>
      </c>
      <c r="C1156" s="8">
        <v>46096</v>
      </c>
      <c r="D1156" t="s">
        <v>324</v>
      </c>
      <c r="E1156" t="s">
        <v>334</v>
      </c>
      <c r="F1156" s="12">
        <v>383191</v>
      </c>
      <c r="G1156" s="13">
        <v>38</v>
      </c>
      <c r="H1156" t="s">
        <v>2865</v>
      </c>
      <c r="I1156" s="8">
        <v>46153</v>
      </c>
      <c r="J1156" t="s">
        <v>2692</v>
      </c>
      <c r="K1156" t="s">
        <v>2693</v>
      </c>
      <c r="L1156" s="13">
        <v>10000</v>
      </c>
      <c r="M1156" t="s">
        <v>2676</v>
      </c>
    </row>
    <row r="1157" spans="1:13">
      <c r="A1157" t="s">
        <v>402</v>
      </c>
      <c r="B1157" t="s">
        <v>107</v>
      </c>
      <c r="C1157" s="8">
        <v>46096</v>
      </c>
      <c r="D1157" t="s">
        <v>324</v>
      </c>
      <c r="E1157" t="s">
        <v>334</v>
      </c>
      <c r="F1157" s="12">
        <v>383191</v>
      </c>
      <c r="G1157" s="13">
        <v>38</v>
      </c>
      <c r="H1157" t="s">
        <v>3214</v>
      </c>
      <c r="I1157" s="8">
        <v>46183</v>
      </c>
      <c r="J1157" t="s">
        <v>2692</v>
      </c>
      <c r="K1157" t="s">
        <v>2693</v>
      </c>
      <c r="L1157" s="13">
        <v>10000</v>
      </c>
      <c r="M1157" t="s">
        <v>2661</v>
      </c>
    </row>
    <row r="1158" spans="1:13">
      <c r="A1158" t="s">
        <v>402</v>
      </c>
      <c r="B1158" t="s">
        <v>107</v>
      </c>
      <c r="C1158" s="8">
        <v>46096</v>
      </c>
      <c r="D1158" t="s">
        <v>324</v>
      </c>
      <c r="E1158" t="s">
        <v>334</v>
      </c>
      <c r="F1158" s="12">
        <v>383191</v>
      </c>
      <c r="G1158" s="13">
        <v>38</v>
      </c>
      <c r="H1158" t="s">
        <v>3424</v>
      </c>
      <c r="I1158" s="8">
        <v>46007</v>
      </c>
      <c r="J1158" t="s">
        <v>2674</v>
      </c>
      <c r="K1158" t="s">
        <v>2675</v>
      </c>
      <c r="L1158" s="13">
        <v>20000</v>
      </c>
      <c r="M1158" t="s">
        <v>2661</v>
      </c>
    </row>
    <row r="1159" spans="1:13">
      <c r="A1159" t="s">
        <v>402</v>
      </c>
      <c r="B1159" t="s">
        <v>107</v>
      </c>
      <c r="C1159" s="8">
        <v>46096</v>
      </c>
      <c r="D1159" t="s">
        <v>324</v>
      </c>
      <c r="E1159" t="s">
        <v>334</v>
      </c>
      <c r="F1159" s="12">
        <v>383191</v>
      </c>
      <c r="G1159" s="13">
        <v>38</v>
      </c>
      <c r="H1159" t="s">
        <v>3569</v>
      </c>
      <c r="I1159" s="8">
        <v>45938</v>
      </c>
      <c r="J1159" t="s">
        <v>2692</v>
      </c>
      <c r="K1159" t="s">
        <v>2693</v>
      </c>
      <c r="L1159" s="13">
        <v>10000</v>
      </c>
      <c r="M1159" t="s">
        <v>2661</v>
      </c>
    </row>
    <row r="1160" spans="1:13">
      <c r="A1160" t="s">
        <v>649</v>
      </c>
      <c r="B1160" t="s">
        <v>107</v>
      </c>
      <c r="C1160" s="8">
        <v>46251</v>
      </c>
      <c r="D1160" t="s">
        <v>321</v>
      </c>
      <c r="E1160" t="s">
        <v>322</v>
      </c>
      <c r="F1160" s="12">
        <v>484376</v>
      </c>
      <c r="G1160" s="13">
        <v>48</v>
      </c>
      <c r="H1160" t="s">
        <v>2865</v>
      </c>
      <c r="I1160" s="8">
        <v>46153</v>
      </c>
      <c r="J1160" t="s">
        <v>2692</v>
      </c>
      <c r="K1160" t="s">
        <v>2693</v>
      </c>
      <c r="L1160" s="13">
        <v>10000</v>
      </c>
      <c r="M1160" t="s">
        <v>2676</v>
      </c>
    </row>
    <row r="1161" spans="1:13">
      <c r="A1161" t="s">
        <v>649</v>
      </c>
      <c r="B1161" t="s">
        <v>107</v>
      </c>
      <c r="C1161" s="8">
        <v>46251</v>
      </c>
      <c r="D1161" t="s">
        <v>321</v>
      </c>
      <c r="E1161" t="s">
        <v>322</v>
      </c>
      <c r="F1161" s="12">
        <v>484376</v>
      </c>
      <c r="G1161" s="13">
        <v>48</v>
      </c>
      <c r="H1161" t="s">
        <v>3214</v>
      </c>
      <c r="I1161" s="8">
        <v>46183</v>
      </c>
      <c r="J1161" t="s">
        <v>2692</v>
      </c>
      <c r="K1161" t="s">
        <v>2693</v>
      </c>
      <c r="L1161" s="13">
        <v>10000</v>
      </c>
      <c r="M1161" t="s">
        <v>2661</v>
      </c>
    </row>
    <row r="1162" spans="1:13">
      <c r="A1162" t="s">
        <v>649</v>
      </c>
      <c r="B1162" t="s">
        <v>107</v>
      </c>
      <c r="C1162" s="8">
        <v>46251</v>
      </c>
      <c r="D1162" t="s">
        <v>321</v>
      </c>
      <c r="E1162" t="s">
        <v>322</v>
      </c>
      <c r="F1162" s="12">
        <v>484376</v>
      </c>
      <c r="G1162" s="13">
        <v>48</v>
      </c>
      <c r="H1162" t="s">
        <v>3424</v>
      </c>
      <c r="I1162" s="8">
        <v>46007</v>
      </c>
      <c r="J1162" t="s">
        <v>2674</v>
      </c>
      <c r="K1162" t="s">
        <v>2675</v>
      </c>
      <c r="L1162" s="13">
        <v>20000</v>
      </c>
      <c r="M1162" t="s">
        <v>2661</v>
      </c>
    </row>
    <row r="1163" spans="1:13">
      <c r="A1163" t="s">
        <v>649</v>
      </c>
      <c r="B1163" t="s">
        <v>107</v>
      </c>
      <c r="C1163" s="8">
        <v>46251</v>
      </c>
      <c r="D1163" t="s">
        <v>321</v>
      </c>
      <c r="E1163" t="s">
        <v>322</v>
      </c>
      <c r="F1163" s="12">
        <v>484376</v>
      </c>
      <c r="G1163" s="13">
        <v>48</v>
      </c>
      <c r="H1163" t="s">
        <v>3569</v>
      </c>
      <c r="I1163" s="8">
        <v>45938</v>
      </c>
      <c r="J1163" t="s">
        <v>2692</v>
      </c>
      <c r="K1163" t="s">
        <v>2693</v>
      </c>
      <c r="L1163" s="13">
        <v>10000</v>
      </c>
      <c r="M1163" t="s">
        <v>2661</v>
      </c>
    </row>
    <row r="1164" spans="1:13">
      <c r="A1164" t="s">
        <v>1104</v>
      </c>
      <c r="B1164" t="s">
        <v>107</v>
      </c>
      <c r="C1164" s="8">
        <v>45994</v>
      </c>
      <c r="D1164" t="s">
        <v>350</v>
      </c>
      <c r="E1164" t="s">
        <v>325</v>
      </c>
      <c r="F1164" s="12">
        <v>87681</v>
      </c>
      <c r="G1164" s="13">
        <v>8</v>
      </c>
      <c r="H1164" t="s">
        <v>2865</v>
      </c>
      <c r="I1164" s="8">
        <v>46153</v>
      </c>
      <c r="J1164" t="s">
        <v>2692</v>
      </c>
      <c r="K1164" t="s">
        <v>2693</v>
      </c>
      <c r="L1164" s="13">
        <v>10000</v>
      </c>
      <c r="M1164" t="s">
        <v>2676</v>
      </c>
    </row>
    <row r="1165" spans="1:13">
      <c r="A1165" t="s">
        <v>1104</v>
      </c>
      <c r="B1165" t="s">
        <v>107</v>
      </c>
      <c r="C1165" s="8">
        <v>45994</v>
      </c>
      <c r="D1165" t="s">
        <v>350</v>
      </c>
      <c r="E1165" t="s">
        <v>325</v>
      </c>
      <c r="F1165" s="12">
        <v>87681</v>
      </c>
      <c r="G1165" s="13">
        <v>8</v>
      </c>
      <c r="H1165" t="s">
        <v>3214</v>
      </c>
      <c r="I1165" s="8">
        <v>46183</v>
      </c>
      <c r="J1165" t="s">
        <v>2692</v>
      </c>
      <c r="K1165" t="s">
        <v>2693</v>
      </c>
      <c r="L1165" s="13">
        <v>10000</v>
      </c>
      <c r="M1165" t="s">
        <v>2661</v>
      </c>
    </row>
    <row r="1166" spans="1:13">
      <c r="A1166" t="s">
        <v>1104</v>
      </c>
      <c r="B1166" t="s">
        <v>107</v>
      </c>
      <c r="C1166" s="8">
        <v>45994</v>
      </c>
      <c r="D1166" t="s">
        <v>350</v>
      </c>
      <c r="E1166" t="s">
        <v>325</v>
      </c>
      <c r="F1166" s="12">
        <v>87681</v>
      </c>
      <c r="G1166" s="13">
        <v>8</v>
      </c>
      <c r="H1166" t="s">
        <v>3424</v>
      </c>
      <c r="I1166" s="8">
        <v>46007</v>
      </c>
      <c r="J1166" t="s">
        <v>2674</v>
      </c>
      <c r="K1166" t="s">
        <v>2675</v>
      </c>
      <c r="L1166" s="13">
        <v>20000</v>
      </c>
      <c r="M1166" t="s">
        <v>2661</v>
      </c>
    </row>
    <row r="1167" spans="1:13">
      <c r="A1167" t="s">
        <v>1104</v>
      </c>
      <c r="B1167" t="s">
        <v>107</v>
      </c>
      <c r="C1167" s="8">
        <v>45994</v>
      </c>
      <c r="D1167" t="s">
        <v>350</v>
      </c>
      <c r="E1167" t="s">
        <v>325</v>
      </c>
      <c r="F1167" s="12">
        <v>87681</v>
      </c>
      <c r="G1167" s="13">
        <v>8</v>
      </c>
      <c r="H1167" t="s">
        <v>3569</v>
      </c>
      <c r="I1167" s="8">
        <v>45938</v>
      </c>
      <c r="J1167" t="s">
        <v>2692</v>
      </c>
      <c r="K1167" t="s">
        <v>2693</v>
      </c>
      <c r="L1167" s="13">
        <v>10000</v>
      </c>
      <c r="M1167" t="s">
        <v>2661</v>
      </c>
    </row>
    <row r="1168" spans="1:13">
      <c r="A1168" t="s">
        <v>403</v>
      </c>
      <c r="B1168" t="s">
        <v>134</v>
      </c>
      <c r="C1168" s="8">
        <v>46280</v>
      </c>
      <c r="D1168" t="s">
        <v>332</v>
      </c>
      <c r="E1168" t="s">
        <v>328</v>
      </c>
      <c r="F1168" s="12">
        <v>314524</v>
      </c>
      <c r="G1168" s="13">
        <v>31</v>
      </c>
      <c r="H1168" t="s">
        <v>3183</v>
      </c>
      <c r="I1168" s="8">
        <v>46285</v>
      </c>
      <c r="J1168" t="s">
        <v>2663</v>
      </c>
      <c r="K1168" t="s">
        <v>3630</v>
      </c>
      <c r="L1168" s="13">
        <v>1500</v>
      </c>
      <c r="M1168" t="s">
        <v>2661</v>
      </c>
    </row>
    <row r="1169" spans="1:13">
      <c r="A1169" t="s">
        <v>465</v>
      </c>
      <c r="B1169" t="s">
        <v>134</v>
      </c>
      <c r="C1169" s="8">
        <v>46145</v>
      </c>
      <c r="D1169" t="s">
        <v>321</v>
      </c>
      <c r="E1169" t="s">
        <v>339</v>
      </c>
      <c r="F1169" s="12">
        <v>110881</v>
      </c>
      <c r="G1169" s="13">
        <v>11</v>
      </c>
      <c r="H1169" t="s">
        <v>3183</v>
      </c>
      <c r="I1169" s="8">
        <v>46285</v>
      </c>
      <c r="J1169" t="s">
        <v>2663</v>
      </c>
      <c r="K1169" t="s">
        <v>3630</v>
      </c>
      <c r="L1169" s="13">
        <v>1500</v>
      </c>
      <c r="M1169" t="s">
        <v>2661</v>
      </c>
    </row>
    <row r="1170" spans="1:13">
      <c r="A1170" t="s">
        <v>756</v>
      </c>
      <c r="B1170" t="s">
        <v>134</v>
      </c>
      <c r="C1170" s="8">
        <v>46120</v>
      </c>
      <c r="D1170" t="s">
        <v>332</v>
      </c>
      <c r="E1170" t="s">
        <v>334</v>
      </c>
      <c r="F1170" s="12">
        <v>82746</v>
      </c>
      <c r="G1170" s="13">
        <v>8</v>
      </c>
      <c r="H1170" t="s">
        <v>3183</v>
      </c>
      <c r="I1170" s="8">
        <v>46285</v>
      </c>
      <c r="J1170" t="s">
        <v>2663</v>
      </c>
      <c r="K1170" t="s">
        <v>3630</v>
      </c>
      <c r="L1170" s="13">
        <v>1500</v>
      </c>
      <c r="M1170" t="s">
        <v>2661</v>
      </c>
    </row>
    <row r="1171" spans="1:13">
      <c r="A1171" t="s">
        <v>910</v>
      </c>
      <c r="B1171" t="s">
        <v>134</v>
      </c>
      <c r="C1171" s="8">
        <v>45962</v>
      </c>
      <c r="D1171" t="s">
        <v>332</v>
      </c>
      <c r="E1171" t="s">
        <v>339</v>
      </c>
      <c r="F1171" s="12">
        <v>905130</v>
      </c>
      <c r="G1171" s="13">
        <v>90</v>
      </c>
      <c r="H1171" t="s">
        <v>3183</v>
      </c>
      <c r="I1171" s="8">
        <v>46285</v>
      </c>
      <c r="J1171" t="s">
        <v>2663</v>
      </c>
      <c r="K1171" t="s">
        <v>3630</v>
      </c>
      <c r="L1171" s="13">
        <v>1500</v>
      </c>
      <c r="M1171" t="s">
        <v>2661</v>
      </c>
    </row>
    <row r="1172" spans="1:13">
      <c r="A1172" t="s">
        <v>469</v>
      </c>
      <c r="B1172" t="s">
        <v>136</v>
      </c>
      <c r="C1172" s="8">
        <v>46179</v>
      </c>
      <c r="D1172" t="s">
        <v>327</v>
      </c>
      <c r="E1172" t="s">
        <v>322</v>
      </c>
      <c r="F1172" s="12">
        <v>418342</v>
      </c>
      <c r="G1172" s="13">
        <v>41</v>
      </c>
      <c r="H1172" t="s">
        <v>2748</v>
      </c>
      <c r="I1172" s="8">
        <v>46022</v>
      </c>
      <c r="J1172" t="s">
        <v>2674</v>
      </c>
      <c r="K1172" t="s">
        <v>2675</v>
      </c>
      <c r="L1172" s="13">
        <v>20000</v>
      </c>
      <c r="M1172" t="s">
        <v>2661</v>
      </c>
    </row>
    <row r="1173" spans="1:13">
      <c r="A1173" t="s">
        <v>469</v>
      </c>
      <c r="B1173" t="s">
        <v>136</v>
      </c>
      <c r="C1173" s="8">
        <v>46179</v>
      </c>
      <c r="D1173" t="s">
        <v>327</v>
      </c>
      <c r="E1173" t="s">
        <v>322</v>
      </c>
      <c r="F1173" s="12">
        <v>418342</v>
      </c>
      <c r="G1173" s="13">
        <v>41</v>
      </c>
      <c r="H1173" t="s">
        <v>2749</v>
      </c>
      <c r="I1173" s="8">
        <v>46017</v>
      </c>
      <c r="J1173" t="s">
        <v>2688</v>
      </c>
      <c r="K1173" t="s">
        <v>2689</v>
      </c>
      <c r="L1173" s="13">
        <v>8000</v>
      </c>
      <c r="M1173" t="s">
        <v>2676</v>
      </c>
    </row>
    <row r="1174" spans="1:13">
      <c r="A1174" t="s">
        <v>469</v>
      </c>
      <c r="B1174" t="s">
        <v>136</v>
      </c>
      <c r="C1174" s="8">
        <v>46179</v>
      </c>
      <c r="D1174" t="s">
        <v>327</v>
      </c>
      <c r="E1174" t="s">
        <v>322</v>
      </c>
      <c r="F1174" s="12">
        <v>418342</v>
      </c>
      <c r="G1174" s="13">
        <v>41</v>
      </c>
      <c r="H1174" t="s">
        <v>2817</v>
      </c>
      <c r="I1174" s="8">
        <v>46089</v>
      </c>
      <c r="J1174" t="s">
        <v>2663</v>
      </c>
      <c r="K1174" t="s">
        <v>3630</v>
      </c>
      <c r="L1174" s="13">
        <v>1500</v>
      </c>
      <c r="M1174" t="s">
        <v>2676</v>
      </c>
    </row>
    <row r="1175" spans="1:13">
      <c r="A1175" t="s">
        <v>469</v>
      </c>
      <c r="B1175" t="s">
        <v>136</v>
      </c>
      <c r="C1175" s="8">
        <v>46179</v>
      </c>
      <c r="D1175" t="s">
        <v>327</v>
      </c>
      <c r="E1175" t="s">
        <v>322</v>
      </c>
      <c r="F1175" s="12">
        <v>418342</v>
      </c>
      <c r="G1175" s="13">
        <v>41</v>
      </c>
      <c r="H1175" t="s">
        <v>2878</v>
      </c>
      <c r="I1175" s="8">
        <v>45988</v>
      </c>
      <c r="J1175" t="s">
        <v>2671</v>
      </c>
      <c r="K1175" t="s">
        <v>2672</v>
      </c>
      <c r="L1175" s="13">
        <v>3000</v>
      </c>
      <c r="M1175" t="s">
        <v>2661</v>
      </c>
    </row>
    <row r="1176" spans="1:13">
      <c r="A1176" t="s">
        <v>841</v>
      </c>
      <c r="B1176" t="s">
        <v>136</v>
      </c>
      <c r="C1176" s="8">
        <v>46090</v>
      </c>
      <c r="D1176" t="s">
        <v>332</v>
      </c>
      <c r="E1176" t="s">
        <v>328</v>
      </c>
      <c r="F1176" s="12">
        <v>439238</v>
      </c>
      <c r="G1176" s="13">
        <v>43</v>
      </c>
      <c r="H1176" t="s">
        <v>2748</v>
      </c>
      <c r="I1176" s="8">
        <v>46022</v>
      </c>
      <c r="J1176" t="s">
        <v>2674</v>
      </c>
      <c r="K1176" t="s">
        <v>2675</v>
      </c>
      <c r="L1176" s="13">
        <v>20000</v>
      </c>
      <c r="M1176" t="s">
        <v>2661</v>
      </c>
    </row>
    <row r="1177" spans="1:13">
      <c r="A1177" t="s">
        <v>841</v>
      </c>
      <c r="B1177" t="s">
        <v>136</v>
      </c>
      <c r="C1177" s="8">
        <v>46090</v>
      </c>
      <c r="D1177" t="s">
        <v>332</v>
      </c>
      <c r="E1177" t="s">
        <v>328</v>
      </c>
      <c r="F1177" s="12">
        <v>439238</v>
      </c>
      <c r="G1177" s="13">
        <v>43</v>
      </c>
      <c r="H1177" t="s">
        <v>2749</v>
      </c>
      <c r="I1177" s="8">
        <v>46017</v>
      </c>
      <c r="J1177" t="s">
        <v>2688</v>
      </c>
      <c r="K1177" t="s">
        <v>2689</v>
      </c>
      <c r="L1177" s="13">
        <v>8000</v>
      </c>
      <c r="M1177" t="s">
        <v>2676</v>
      </c>
    </row>
    <row r="1178" spans="1:13">
      <c r="A1178" t="s">
        <v>841</v>
      </c>
      <c r="B1178" t="s">
        <v>136</v>
      </c>
      <c r="C1178" s="8">
        <v>46090</v>
      </c>
      <c r="D1178" t="s">
        <v>332</v>
      </c>
      <c r="E1178" t="s">
        <v>328</v>
      </c>
      <c r="F1178" s="12">
        <v>439238</v>
      </c>
      <c r="G1178" s="13">
        <v>43</v>
      </c>
      <c r="H1178" t="s">
        <v>2817</v>
      </c>
      <c r="I1178" s="8">
        <v>46089</v>
      </c>
      <c r="J1178" t="s">
        <v>2663</v>
      </c>
      <c r="K1178" t="s">
        <v>3630</v>
      </c>
      <c r="L1178" s="13">
        <v>1500</v>
      </c>
      <c r="M1178" t="s">
        <v>2676</v>
      </c>
    </row>
    <row r="1179" spans="1:13">
      <c r="A1179" t="s">
        <v>841</v>
      </c>
      <c r="B1179" t="s">
        <v>136</v>
      </c>
      <c r="C1179" s="8">
        <v>46090</v>
      </c>
      <c r="D1179" t="s">
        <v>332</v>
      </c>
      <c r="E1179" t="s">
        <v>328</v>
      </c>
      <c r="F1179" s="12">
        <v>439238</v>
      </c>
      <c r="G1179" s="13">
        <v>43</v>
      </c>
      <c r="H1179" t="s">
        <v>2878</v>
      </c>
      <c r="I1179" s="8">
        <v>45988</v>
      </c>
      <c r="J1179" t="s">
        <v>2671</v>
      </c>
      <c r="K1179" t="s">
        <v>2672</v>
      </c>
      <c r="L1179" s="13">
        <v>3000</v>
      </c>
      <c r="M1179" t="s">
        <v>2661</v>
      </c>
    </row>
    <row r="1180" spans="1:13">
      <c r="A1180" t="s">
        <v>1132</v>
      </c>
      <c r="B1180" t="s">
        <v>136</v>
      </c>
      <c r="C1180" s="8">
        <v>46029</v>
      </c>
      <c r="D1180" t="s">
        <v>330</v>
      </c>
      <c r="E1180" t="s">
        <v>322</v>
      </c>
      <c r="F1180" s="12">
        <v>324420</v>
      </c>
      <c r="G1180" s="13">
        <v>32</v>
      </c>
      <c r="H1180" t="s">
        <v>2748</v>
      </c>
      <c r="I1180" s="8">
        <v>46022</v>
      </c>
      <c r="J1180" t="s">
        <v>2674</v>
      </c>
      <c r="K1180" t="s">
        <v>2675</v>
      </c>
      <c r="L1180" s="13">
        <v>20000</v>
      </c>
      <c r="M1180" t="s">
        <v>2661</v>
      </c>
    </row>
    <row r="1181" spans="1:13">
      <c r="A1181" t="s">
        <v>1132</v>
      </c>
      <c r="B1181" t="s">
        <v>136</v>
      </c>
      <c r="C1181" s="8">
        <v>46029</v>
      </c>
      <c r="D1181" t="s">
        <v>330</v>
      </c>
      <c r="E1181" t="s">
        <v>322</v>
      </c>
      <c r="F1181" s="12">
        <v>324420</v>
      </c>
      <c r="G1181" s="13">
        <v>32</v>
      </c>
      <c r="H1181" t="s">
        <v>2749</v>
      </c>
      <c r="I1181" s="8">
        <v>46017</v>
      </c>
      <c r="J1181" t="s">
        <v>2688</v>
      </c>
      <c r="K1181" t="s">
        <v>2689</v>
      </c>
      <c r="L1181" s="13">
        <v>8000</v>
      </c>
      <c r="M1181" t="s">
        <v>2676</v>
      </c>
    </row>
    <row r="1182" spans="1:13">
      <c r="A1182" t="s">
        <v>1132</v>
      </c>
      <c r="B1182" t="s">
        <v>136</v>
      </c>
      <c r="C1182" s="8">
        <v>46029</v>
      </c>
      <c r="D1182" t="s">
        <v>330</v>
      </c>
      <c r="E1182" t="s">
        <v>322</v>
      </c>
      <c r="F1182" s="12">
        <v>324420</v>
      </c>
      <c r="G1182" s="13">
        <v>32</v>
      </c>
      <c r="H1182" t="s">
        <v>2817</v>
      </c>
      <c r="I1182" s="8">
        <v>46089</v>
      </c>
      <c r="J1182" t="s">
        <v>2663</v>
      </c>
      <c r="K1182" t="s">
        <v>3630</v>
      </c>
      <c r="L1182" s="13">
        <v>1500</v>
      </c>
      <c r="M1182" t="s">
        <v>2676</v>
      </c>
    </row>
    <row r="1183" spans="1:13">
      <c r="A1183" t="s">
        <v>1132</v>
      </c>
      <c r="B1183" t="s">
        <v>136</v>
      </c>
      <c r="C1183" s="8">
        <v>46029</v>
      </c>
      <c r="D1183" t="s">
        <v>330</v>
      </c>
      <c r="E1183" t="s">
        <v>322</v>
      </c>
      <c r="F1183" s="12">
        <v>324420</v>
      </c>
      <c r="G1183" s="13">
        <v>32</v>
      </c>
      <c r="H1183" t="s">
        <v>2878</v>
      </c>
      <c r="I1183" s="8">
        <v>45988</v>
      </c>
      <c r="J1183" t="s">
        <v>2671</v>
      </c>
      <c r="K1183" t="s">
        <v>2672</v>
      </c>
      <c r="L1183" s="13">
        <v>3000</v>
      </c>
      <c r="M1183" t="s">
        <v>2661</v>
      </c>
    </row>
    <row r="1184" spans="1:13">
      <c r="A1184" t="s">
        <v>405</v>
      </c>
      <c r="B1184" t="s">
        <v>27</v>
      </c>
      <c r="C1184" s="8">
        <v>45980</v>
      </c>
      <c r="D1184" t="s">
        <v>327</v>
      </c>
      <c r="E1184" t="s">
        <v>328</v>
      </c>
      <c r="F1184" s="12">
        <v>229841</v>
      </c>
      <c r="G1184" s="13">
        <v>22</v>
      </c>
      <c r="H1184" t="s">
        <v>3224</v>
      </c>
      <c r="I1184" s="8">
        <v>46029</v>
      </c>
      <c r="J1184" t="s">
        <v>2685</v>
      </c>
      <c r="K1184" t="s">
        <v>2686</v>
      </c>
      <c r="L1184" s="13">
        <v>5000</v>
      </c>
      <c r="M1184" t="s">
        <v>2661</v>
      </c>
    </row>
    <row r="1185" spans="1:13">
      <c r="A1185" t="s">
        <v>405</v>
      </c>
      <c r="B1185" t="s">
        <v>27</v>
      </c>
      <c r="C1185" s="8">
        <v>45980</v>
      </c>
      <c r="D1185" t="s">
        <v>327</v>
      </c>
      <c r="E1185" t="s">
        <v>328</v>
      </c>
      <c r="F1185" s="12">
        <v>229841</v>
      </c>
      <c r="G1185" s="13">
        <v>22</v>
      </c>
      <c r="H1185" t="s">
        <v>3345</v>
      </c>
      <c r="I1185" s="8">
        <v>46277</v>
      </c>
      <c r="J1185" t="s">
        <v>2671</v>
      </c>
      <c r="K1185" t="s">
        <v>2672</v>
      </c>
      <c r="L1185" s="13">
        <v>3000</v>
      </c>
      <c r="M1185" t="s">
        <v>2661</v>
      </c>
    </row>
    <row r="1186" spans="1:13">
      <c r="A1186" t="s">
        <v>639</v>
      </c>
      <c r="B1186" t="s">
        <v>237</v>
      </c>
      <c r="C1186" s="8">
        <v>45989</v>
      </c>
      <c r="D1186" t="s">
        <v>321</v>
      </c>
      <c r="E1186" t="s">
        <v>337</v>
      </c>
      <c r="F1186" s="12">
        <v>615057</v>
      </c>
      <c r="G1186" s="13">
        <v>61</v>
      </c>
      <c r="H1186" t="s">
        <v>2750</v>
      </c>
      <c r="I1186" s="8">
        <v>46183</v>
      </c>
      <c r="J1186" t="s">
        <v>2659</v>
      </c>
      <c r="K1186" t="s">
        <v>2660</v>
      </c>
      <c r="L1186" s="13">
        <v>3500</v>
      </c>
      <c r="M1186" t="s">
        <v>2661</v>
      </c>
    </row>
    <row r="1187" spans="1:13">
      <c r="A1187" t="s">
        <v>639</v>
      </c>
      <c r="B1187" t="s">
        <v>237</v>
      </c>
      <c r="C1187" s="8">
        <v>45989</v>
      </c>
      <c r="D1187" t="s">
        <v>321</v>
      </c>
      <c r="E1187" t="s">
        <v>337</v>
      </c>
      <c r="F1187" s="12">
        <v>615057</v>
      </c>
      <c r="G1187" s="13">
        <v>61</v>
      </c>
      <c r="H1187" t="s">
        <v>2787</v>
      </c>
      <c r="I1187" s="8">
        <v>46144</v>
      </c>
      <c r="J1187" t="s">
        <v>2692</v>
      </c>
      <c r="K1187" t="s">
        <v>2693</v>
      </c>
      <c r="L1187" s="13">
        <v>10000</v>
      </c>
      <c r="M1187" t="s">
        <v>2661</v>
      </c>
    </row>
    <row r="1188" spans="1:13">
      <c r="A1188" t="s">
        <v>639</v>
      </c>
      <c r="B1188" t="s">
        <v>237</v>
      </c>
      <c r="C1188" s="8">
        <v>45989</v>
      </c>
      <c r="D1188" t="s">
        <v>321</v>
      </c>
      <c r="E1188" t="s">
        <v>337</v>
      </c>
      <c r="F1188" s="12">
        <v>615057</v>
      </c>
      <c r="G1188" s="13">
        <v>61</v>
      </c>
      <c r="H1188" t="s">
        <v>3055</v>
      </c>
      <c r="I1188" s="8">
        <v>46201</v>
      </c>
      <c r="J1188" t="s">
        <v>2659</v>
      </c>
      <c r="K1188" t="s">
        <v>2660</v>
      </c>
      <c r="L1188" s="13">
        <v>3500</v>
      </c>
      <c r="M1188" t="s">
        <v>2661</v>
      </c>
    </row>
    <row r="1189" spans="1:13">
      <c r="A1189" t="s">
        <v>639</v>
      </c>
      <c r="B1189" t="s">
        <v>237</v>
      </c>
      <c r="C1189" s="8">
        <v>45989</v>
      </c>
      <c r="D1189" t="s">
        <v>321</v>
      </c>
      <c r="E1189" t="s">
        <v>337</v>
      </c>
      <c r="F1189" s="12">
        <v>615057</v>
      </c>
      <c r="G1189" s="13">
        <v>61</v>
      </c>
      <c r="H1189" t="s">
        <v>3067</v>
      </c>
      <c r="I1189" s="8">
        <v>46122</v>
      </c>
      <c r="J1189" t="s">
        <v>2668</v>
      </c>
      <c r="K1189" t="s">
        <v>2669</v>
      </c>
      <c r="L1189" s="13">
        <v>4000</v>
      </c>
      <c r="M1189" t="s">
        <v>2661</v>
      </c>
    </row>
    <row r="1190" spans="1:13">
      <c r="A1190" t="s">
        <v>639</v>
      </c>
      <c r="B1190" t="s">
        <v>237</v>
      </c>
      <c r="C1190" s="8">
        <v>45989</v>
      </c>
      <c r="D1190" t="s">
        <v>321</v>
      </c>
      <c r="E1190" t="s">
        <v>337</v>
      </c>
      <c r="F1190" s="12">
        <v>615057</v>
      </c>
      <c r="G1190" s="13">
        <v>61</v>
      </c>
      <c r="H1190" t="s">
        <v>3130</v>
      </c>
      <c r="I1190" s="8">
        <v>46003</v>
      </c>
      <c r="J1190" t="s">
        <v>2663</v>
      </c>
      <c r="K1190" t="s">
        <v>3630</v>
      </c>
      <c r="L1190" s="13">
        <v>1500</v>
      </c>
      <c r="M1190" t="s">
        <v>2661</v>
      </c>
    </row>
    <row r="1191" spans="1:13">
      <c r="A1191" t="s">
        <v>639</v>
      </c>
      <c r="B1191" t="s">
        <v>237</v>
      </c>
      <c r="C1191" s="8">
        <v>45989</v>
      </c>
      <c r="D1191" t="s">
        <v>321</v>
      </c>
      <c r="E1191" t="s">
        <v>337</v>
      </c>
      <c r="F1191" s="12">
        <v>615057</v>
      </c>
      <c r="G1191" s="13">
        <v>61</v>
      </c>
      <c r="H1191" t="s">
        <v>3258</v>
      </c>
      <c r="I1191" s="8">
        <v>45979</v>
      </c>
      <c r="J1191" t="s">
        <v>2692</v>
      </c>
      <c r="K1191" t="s">
        <v>2693</v>
      </c>
      <c r="L1191" s="13">
        <v>10000</v>
      </c>
      <c r="M1191" t="s">
        <v>2661</v>
      </c>
    </row>
    <row r="1192" spans="1:13">
      <c r="A1192" t="s">
        <v>639</v>
      </c>
      <c r="B1192" t="s">
        <v>237</v>
      </c>
      <c r="C1192" s="8">
        <v>45989</v>
      </c>
      <c r="D1192" t="s">
        <v>321</v>
      </c>
      <c r="E1192" t="s">
        <v>337</v>
      </c>
      <c r="F1192" s="12">
        <v>615057</v>
      </c>
      <c r="G1192" s="13">
        <v>61</v>
      </c>
      <c r="H1192" t="s">
        <v>3276</v>
      </c>
      <c r="I1192" s="8">
        <v>46127</v>
      </c>
      <c r="J1192" t="s">
        <v>2682</v>
      </c>
      <c r="K1192" t="s">
        <v>2683</v>
      </c>
      <c r="L1192" s="13">
        <v>6000</v>
      </c>
      <c r="M1192" t="s">
        <v>2661</v>
      </c>
    </row>
    <row r="1193" spans="1:13">
      <c r="A1193" t="s">
        <v>1038</v>
      </c>
      <c r="B1193" t="s">
        <v>237</v>
      </c>
      <c r="C1193" s="8">
        <v>46251</v>
      </c>
      <c r="D1193" t="s">
        <v>350</v>
      </c>
      <c r="E1193" t="s">
        <v>322</v>
      </c>
      <c r="F1193" s="12">
        <v>587775</v>
      </c>
      <c r="G1193" s="13">
        <v>58</v>
      </c>
      <c r="H1193" t="s">
        <v>2750</v>
      </c>
      <c r="I1193" s="8">
        <v>46183</v>
      </c>
      <c r="J1193" t="s">
        <v>2659</v>
      </c>
      <c r="K1193" t="s">
        <v>2660</v>
      </c>
      <c r="L1193" s="13">
        <v>3500</v>
      </c>
      <c r="M1193" t="s">
        <v>2661</v>
      </c>
    </row>
    <row r="1194" spans="1:13">
      <c r="A1194" t="s">
        <v>1038</v>
      </c>
      <c r="B1194" t="s">
        <v>237</v>
      </c>
      <c r="C1194" s="8">
        <v>46251</v>
      </c>
      <c r="D1194" t="s">
        <v>350</v>
      </c>
      <c r="E1194" t="s">
        <v>322</v>
      </c>
      <c r="F1194" s="12">
        <v>587775</v>
      </c>
      <c r="G1194" s="13">
        <v>58</v>
      </c>
      <c r="H1194" t="s">
        <v>2787</v>
      </c>
      <c r="I1194" s="8">
        <v>46144</v>
      </c>
      <c r="J1194" t="s">
        <v>2692</v>
      </c>
      <c r="K1194" t="s">
        <v>2693</v>
      </c>
      <c r="L1194" s="13">
        <v>10000</v>
      </c>
      <c r="M1194" t="s">
        <v>2661</v>
      </c>
    </row>
    <row r="1195" spans="1:13">
      <c r="A1195" t="s">
        <v>1038</v>
      </c>
      <c r="B1195" t="s">
        <v>237</v>
      </c>
      <c r="C1195" s="8">
        <v>46251</v>
      </c>
      <c r="D1195" t="s">
        <v>350</v>
      </c>
      <c r="E1195" t="s">
        <v>322</v>
      </c>
      <c r="F1195" s="12">
        <v>587775</v>
      </c>
      <c r="G1195" s="13">
        <v>58</v>
      </c>
      <c r="H1195" t="s">
        <v>3055</v>
      </c>
      <c r="I1195" s="8">
        <v>46201</v>
      </c>
      <c r="J1195" t="s">
        <v>2659</v>
      </c>
      <c r="K1195" t="s">
        <v>2660</v>
      </c>
      <c r="L1195" s="13">
        <v>3500</v>
      </c>
      <c r="M1195" t="s">
        <v>2661</v>
      </c>
    </row>
    <row r="1196" spans="1:13">
      <c r="A1196" t="s">
        <v>1038</v>
      </c>
      <c r="B1196" t="s">
        <v>237</v>
      </c>
      <c r="C1196" s="8">
        <v>46251</v>
      </c>
      <c r="D1196" t="s">
        <v>350</v>
      </c>
      <c r="E1196" t="s">
        <v>322</v>
      </c>
      <c r="F1196" s="12">
        <v>587775</v>
      </c>
      <c r="G1196" s="13">
        <v>58</v>
      </c>
      <c r="H1196" t="s">
        <v>3067</v>
      </c>
      <c r="I1196" s="8">
        <v>46122</v>
      </c>
      <c r="J1196" t="s">
        <v>2668</v>
      </c>
      <c r="K1196" t="s">
        <v>2669</v>
      </c>
      <c r="L1196" s="13">
        <v>4000</v>
      </c>
      <c r="M1196" t="s">
        <v>2661</v>
      </c>
    </row>
    <row r="1197" spans="1:13">
      <c r="A1197" t="s">
        <v>1038</v>
      </c>
      <c r="B1197" t="s">
        <v>237</v>
      </c>
      <c r="C1197" s="8">
        <v>46251</v>
      </c>
      <c r="D1197" t="s">
        <v>350</v>
      </c>
      <c r="E1197" t="s">
        <v>322</v>
      </c>
      <c r="F1197" s="12">
        <v>587775</v>
      </c>
      <c r="G1197" s="13">
        <v>58</v>
      </c>
      <c r="H1197" t="s">
        <v>3130</v>
      </c>
      <c r="I1197" s="8">
        <v>46003</v>
      </c>
      <c r="J1197" t="s">
        <v>2663</v>
      </c>
      <c r="K1197" t="s">
        <v>3630</v>
      </c>
      <c r="L1197" s="13">
        <v>1500</v>
      </c>
      <c r="M1197" t="s">
        <v>2661</v>
      </c>
    </row>
    <row r="1198" spans="1:13">
      <c r="A1198" t="s">
        <v>1038</v>
      </c>
      <c r="B1198" t="s">
        <v>237</v>
      </c>
      <c r="C1198" s="8">
        <v>46251</v>
      </c>
      <c r="D1198" t="s">
        <v>350</v>
      </c>
      <c r="E1198" t="s">
        <v>322</v>
      </c>
      <c r="F1198" s="12">
        <v>587775</v>
      </c>
      <c r="G1198" s="13">
        <v>58</v>
      </c>
      <c r="H1198" t="s">
        <v>3258</v>
      </c>
      <c r="I1198" s="8">
        <v>45979</v>
      </c>
      <c r="J1198" t="s">
        <v>2692</v>
      </c>
      <c r="K1198" t="s">
        <v>2693</v>
      </c>
      <c r="L1198" s="13">
        <v>10000</v>
      </c>
      <c r="M1198" t="s">
        <v>2661</v>
      </c>
    </row>
    <row r="1199" spans="1:13">
      <c r="A1199" t="s">
        <v>1038</v>
      </c>
      <c r="B1199" t="s">
        <v>237</v>
      </c>
      <c r="C1199" s="8">
        <v>46251</v>
      </c>
      <c r="D1199" t="s">
        <v>350</v>
      </c>
      <c r="E1199" t="s">
        <v>322</v>
      </c>
      <c r="F1199" s="12">
        <v>587775</v>
      </c>
      <c r="G1199" s="13">
        <v>58</v>
      </c>
      <c r="H1199" t="s">
        <v>3276</v>
      </c>
      <c r="I1199" s="8">
        <v>46127</v>
      </c>
      <c r="J1199" t="s">
        <v>2682</v>
      </c>
      <c r="K1199" t="s">
        <v>2683</v>
      </c>
      <c r="L1199" s="13">
        <v>6000</v>
      </c>
      <c r="M1199" t="s">
        <v>2661</v>
      </c>
    </row>
    <row r="1200" spans="1:13">
      <c r="A1200" t="s">
        <v>1170</v>
      </c>
      <c r="B1200" t="s">
        <v>237</v>
      </c>
      <c r="C1200" s="8">
        <v>46192</v>
      </c>
      <c r="D1200" t="s">
        <v>350</v>
      </c>
      <c r="E1200" t="s">
        <v>325</v>
      </c>
      <c r="F1200" s="12">
        <v>117505</v>
      </c>
      <c r="G1200" s="13">
        <v>11</v>
      </c>
      <c r="H1200" t="s">
        <v>2750</v>
      </c>
      <c r="I1200" s="8">
        <v>46183</v>
      </c>
      <c r="J1200" t="s">
        <v>2659</v>
      </c>
      <c r="K1200" t="s">
        <v>2660</v>
      </c>
      <c r="L1200" s="13">
        <v>3500</v>
      </c>
      <c r="M1200" t="s">
        <v>2661</v>
      </c>
    </row>
    <row r="1201" spans="1:13">
      <c r="A1201" t="s">
        <v>1170</v>
      </c>
      <c r="B1201" t="s">
        <v>237</v>
      </c>
      <c r="C1201" s="8">
        <v>46192</v>
      </c>
      <c r="D1201" t="s">
        <v>350</v>
      </c>
      <c r="E1201" t="s">
        <v>325</v>
      </c>
      <c r="F1201" s="12">
        <v>117505</v>
      </c>
      <c r="G1201" s="13">
        <v>11</v>
      </c>
      <c r="H1201" t="s">
        <v>2787</v>
      </c>
      <c r="I1201" s="8">
        <v>46144</v>
      </c>
      <c r="J1201" t="s">
        <v>2692</v>
      </c>
      <c r="K1201" t="s">
        <v>2693</v>
      </c>
      <c r="L1201" s="13">
        <v>10000</v>
      </c>
      <c r="M1201" t="s">
        <v>2661</v>
      </c>
    </row>
    <row r="1202" spans="1:13">
      <c r="A1202" t="s">
        <v>1170</v>
      </c>
      <c r="B1202" t="s">
        <v>237</v>
      </c>
      <c r="C1202" s="8">
        <v>46192</v>
      </c>
      <c r="D1202" t="s">
        <v>350</v>
      </c>
      <c r="E1202" t="s">
        <v>325</v>
      </c>
      <c r="F1202" s="12">
        <v>117505</v>
      </c>
      <c r="G1202" s="13">
        <v>11</v>
      </c>
      <c r="H1202" t="s">
        <v>3055</v>
      </c>
      <c r="I1202" s="8">
        <v>46201</v>
      </c>
      <c r="J1202" t="s">
        <v>2659</v>
      </c>
      <c r="K1202" t="s">
        <v>2660</v>
      </c>
      <c r="L1202" s="13">
        <v>3500</v>
      </c>
      <c r="M1202" t="s">
        <v>2661</v>
      </c>
    </row>
    <row r="1203" spans="1:13">
      <c r="A1203" t="s">
        <v>1170</v>
      </c>
      <c r="B1203" t="s">
        <v>237</v>
      </c>
      <c r="C1203" s="8">
        <v>46192</v>
      </c>
      <c r="D1203" t="s">
        <v>350</v>
      </c>
      <c r="E1203" t="s">
        <v>325</v>
      </c>
      <c r="F1203" s="12">
        <v>117505</v>
      </c>
      <c r="G1203" s="13">
        <v>11</v>
      </c>
      <c r="H1203" t="s">
        <v>3067</v>
      </c>
      <c r="I1203" s="8">
        <v>46122</v>
      </c>
      <c r="J1203" t="s">
        <v>2668</v>
      </c>
      <c r="K1203" t="s">
        <v>2669</v>
      </c>
      <c r="L1203" s="13">
        <v>4000</v>
      </c>
      <c r="M1203" t="s">
        <v>2661</v>
      </c>
    </row>
    <row r="1204" spans="1:13">
      <c r="A1204" t="s">
        <v>1170</v>
      </c>
      <c r="B1204" t="s">
        <v>237</v>
      </c>
      <c r="C1204" s="8">
        <v>46192</v>
      </c>
      <c r="D1204" t="s">
        <v>350</v>
      </c>
      <c r="E1204" t="s">
        <v>325</v>
      </c>
      <c r="F1204" s="12">
        <v>117505</v>
      </c>
      <c r="G1204" s="13">
        <v>11</v>
      </c>
      <c r="H1204" t="s">
        <v>3130</v>
      </c>
      <c r="I1204" s="8">
        <v>46003</v>
      </c>
      <c r="J1204" t="s">
        <v>2663</v>
      </c>
      <c r="K1204" t="s">
        <v>3630</v>
      </c>
      <c r="L1204" s="13">
        <v>1500</v>
      </c>
      <c r="M1204" t="s">
        <v>2661</v>
      </c>
    </row>
    <row r="1205" spans="1:13">
      <c r="A1205" t="s">
        <v>1170</v>
      </c>
      <c r="B1205" t="s">
        <v>237</v>
      </c>
      <c r="C1205" s="8">
        <v>46192</v>
      </c>
      <c r="D1205" t="s">
        <v>350</v>
      </c>
      <c r="E1205" t="s">
        <v>325</v>
      </c>
      <c r="F1205" s="12">
        <v>117505</v>
      </c>
      <c r="G1205" s="13">
        <v>11</v>
      </c>
      <c r="H1205" t="s">
        <v>3258</v>
      </c>
      <c r="I1205" s="8">
        <v>45979</v>
      </c>
      <c r="J1205" t="s">
        <v>2692</v>
      </c>
      <c r="K1205" t="s">
        <v>2693</v>
      </c>
      <c r="L1205" s="13">
        <v>10000</v>
      </c>
      <c r="M1205" t="s">
        <v>2661</v>
      </c>
    </row>
    <row r="1206" spans="1:13">
      <c r="A1206" t="s">
        <v>1170</v>
      </c>
      <c r="B1206" t="s">
        <v>237</v>
      </c>
      <c r="C1206" s="8">
        <v>46192</v>
      </c>
      <c r="D1206" t="s">
        <v>350</v>
      </c>
      <c r="E1206" t="s">
        <v>325</v>
      </c>
      <c r="F1206" s="12">
        <v>117505</v>
      </c>
      <c r="G1206" s="13">
        <v>11</v>
      </c>
      <c r="H1206" t="s">
        <v>3276</v>
      </c>
      <c r="I1206" s="8">
        <v>46127</v>
      </c>
      <c r="J1206" t="s">
        <v>2682</v>
      </c>
      <c r="K1206" t="s">
        <v>2683</v>
      </c>
      <c r="L1206" s="13">
        <v>6000</v>
      </c>
      <c r="M1206" t="s">
        <v>2661</v>
      </c>
    </row>
    <row r="1207" spans="1:13">
      <c r="A1207" t="s">
        <v>406</v>
      </c>
      <c r="B1207" t="s">
        <v>262</v>
      </c>
      <c r="C1207" s="8">
        <v>46245</v>
      </c>
      <c r="D1207" t="s">
        <v>342</v>
      </c>
      <c r="E1207" t="s">
        <v>325</v>
      </c>
      <c r="F1207" s="12">
        <v>48040</v>
      </c>
      <c r="G1207" s="13">
        <v>4</v>
      </c>
      <c r="H1207" t="s">
        <v>2923</v>
      </c>
      <c r="I1207" s="8">
        <v>46130</v>
      </c>
      <c r="J1207" t="s">
        <v>2682</v>
      </c>
      <c r="K1207" t="s">
        <v>2683</v>
      </c>
      <c r="L1207" s="13">
        <v>6000</v>
      </c>
      <c r="M1207" t="s">
        <v>2661</v>
      </c>
    </row>
    <row r="1208" spans="1:13">
      <c r="A1208" t="s">
        <v>505</v>
      </c>
      <c r="B1208" t="s">
        <v>262</v>
      </c>
      <c r="C1208" s="8">
        <v>46258</v>
      </c>
      <c r="D1208" t="s">
        <v>344</v>
      </c>
      <c r="E1208" t="s">
        <v>322</v>
      </c>
      <c r="F1208" s="12">
        <v>121471</v>
      </c>
      <c r="G1208" s="13">
        <v>12</v>
      </c>
      <c r="H1208" t="s">
        <v>2923</v>
      </c>
      <c r="I1208" s="8">
        <v>46130</v>
      </c>
      <c r="J1208" t="s">
        <v>2682</v>
      </c>
      <c r="K1208" t="s">
        <v>2683</v>
      </c>
      <c r="L1208" s="13">
        <v>6000</v>
      </c>
      <c r="M1208" t="s">
        <v>2661</v>
      </c>
    </row>
    <row r="1209" spans="1:13">
      <c r="A1209" t="s">
        <v>654</v>
      </c>
      <c r="B1209" t="s">
        <v>262</v>
      </c>
      <c r="C1209" s="8">
        <v>46293</v>
      </c>
      <c r="D1209" t="s">
        <v>321</v>
      </c>
      <c r="E1209" t="s">
        <v>325</v>
      </c>
      <c r="F1209" s="12">
        <v>69271</v>
      </c>
      <c r="G1209" s="13">
        <v>6</v>
      </c>
      <c r="H1209" t="s">
        <v>2923</v>
      </c>
      <c r="I1209" s="8">
        <v>46130</v>
      </c>
      <c r="J1209" t="s">
        <v>2682</v>
      </c>
      <c r="K1209" t="s">
        <v>2683</v>
      </c>
      <c r="L1209" s="13">
        <v>6000</v>
      </c>
      <c r="M1209" t="s">
        <v>2661</v>
      </c>
    </row>
    <row r="1210" spans="1:13">
      <c r="A1210" t="s">
        <v>670</v>
      </c>
      <c r="B1210" t="s">
        <v>262</v>
      </c>
      <c r="C1210" s="8">
        <v>46185</v>
      </c>
      <c r="D1210" t="s">
        <v>350</v>
      </c>
      <c r="E1210" t="s">
        <v>337</v>
      </c>
      <c r="F1210" s="12">
        <v>455681</v>
      </c>
      <c r="G1210" s="13">
        <v>45</v>
      </c>
      <c r="H1210" t="s">
        <v>2923</v>
      </c>
      <c r="I1210" s="8">
        <v>46130</v>
      </c>
      <c r="J1210" t="s">
        <v>2682</v>
      </c>
      <c r="K1210" t="s">
        <v>2683</v>
      </c>
      <c r="L1210" s="13">
        <v>6000</v>
      </c>
      <c r="M1210" t="s">
        <v>2661</v>
      </c>
    </row>
    <row r="1211" spans="1:13">
      <c r="A1211" t="s">
        <v>786</v>
      </c>
      <c r="B1211" t="s">
        <v>262</v>
      </c>
      <c r="C1211" s="8">
        <v>46271</v>
      </c>
      <c r="D1211" t="s">
        <v>332</v>
      </c>
      <c r="E1211" t="s">
        <v>334</v>
      </c>
      <c r="F1211" s="12">
        <v>437201</v>
      </c>
      <c r="G1211" s="13">
        <v>43</v>
      </c>
      <c r="H1211" t="s">
        <v>2923</v>
      </c>
      <c r="I1211" s="8">
        <v>46130</v>
      </c>
      <c r="J1211" t="s">
        <v>2682</v>
      </c>
      <c r="K1211" t="s">
        <v>2683</v>
      </c>
      <c r="L1211" s="13">
        <v>6000</v>
      </c>
      <c r="M1211" t="s">
        <v>2661</v>
      </c>
    </row>
    <row r="1212" spans="1:13">
      <c r="A1212" t="s">
        <v>835</v>
      </c>
      <c r="B1212" t="s">
        <v>262</v>
      </c>
      <c r="C1212" s="8">
        <v>46063</v>
      </c>
      <c r="D1212" t="s">
        <v>342</v>
      </c>
      <c r="E1212" t="s">
        <v>322</v>
      </c>
      <c r="F1212" s="12">
        <v>39095</v>
      </c>
      <c r="G1212" s="13">
        <v>3</v>
      </c>
      <c r="H1212" t="s">
        <v>2923</v>
      </c>
      <c r="I1212" s="8">
        <v>46130</v>
      </c>
      <c r="J1212" t="s">
        <v>2682</v>
      </c>
      <c r="K1212" t="s">
        <v>2683</v>
      </c>
      <c r="L1212" s="13">
        <v>6000</v>
      </c>
      <c r="M1212" t="s">
        <v>2661</v>
      </c>
    </row>
    <row r="1213" spans="1:13">
      <c r="A1213" t="s">
        <v>1035</v>
      </c>
      <c r="B1213" t="s">
        <v>262</v>
      </c>
      <c r="C1213" s="8">
        <v>46101</v>
      </c>
      <c r="D1213" t="s">
        <v>344</v>
      </c>
      <c r="E1213" t="s">
        <v>334</v>
      </c>
      <c r="F1213" s="12">
        <v>341440</v>
      </c>
      <c r="G1213" s="13">
        <v>34</v>
      </c>
      <c r="H1213" t="s">
        <v>2923</v>
      </c>
      <c r="I1213" s="8">
        <v>46130</v>
      </c>
      <c r="J1213" t="s">
        <v>2682</v>
      </c>
      <c r="K1213" t="s">
        <v>2683</v>
      </c>
      <c r="L1213" s="13">
        <v>6000</v>
      </c>
      <c r="M1213" t="s">
        <v>2661</v>
      </c>
    </row>
    <row r="1214" spans="1:13">
      <c r="A1214" t="s">
        <v>1069</v>
      </c>
      <c r="B1214" t="s">
        <v>262</v>
      </c>
      <c r="C1214" s="8">
        <v>45962</v>
      </c>
      <c r="D1214" t="s">
        <v>332</v>
      </c>
      <c r="E1214" t="s">
        <v>325</v>
      </c>
      <c r="F1214" s="12">
        <v>314425</v>
      </c>
      <c r="G1214" s="13">
        <v>31</v>
      </c>
      <c r="H1214" t="s">
        <v>2923</v>
      </c>
      <c r="I1214" s="8">
        <v>46130</v>
      </c>
      <c r="J1214" t="s">
        <v>2682</v>
      </c>
      <c r="K1214" t="s">
        <v>2683</v>
      </c>
      <c r="L1214" s="13">
        <v>6000</v>
      </c>
      <c r="M1214" t="s">
        <v>2661</v>
      </c>
    </row>
    <row r="1215" spans="1:13">
      <c r="A1215" t="s">
        <v>1114</v>
      </c>
      <c r="B1215" t="s">
        <v>262</v>
      </c>
      <c r="C1215" s="8">
        <v>46013</v>
      </c>
      <c r="D1215" t="s">
        <v>342</v>
      </c>
      <c r="E1215" t="s">
        <v>334</v>
      </c>
      <c r="F1215" s="12">
        <v>223789</v>
      </c>
      <c r="G1215" s="13">
        <v>22</v>
      </c>
      <c r="H1215" t="s">
        <v>2923</v>
      </c>
      <c r="I1215" s="8">
        <v>46130</v>
      </c>
      <c r="J1215" t="s">
        <v>2682</v>
      </c>
      <c r="K1215" t="s">
        <v>2683</v>
      </c>
      <c r="L1215" s="13">
        <v>6000</v>
      </c>
      <c r="M1215" t="s">
        <v>2661</v>
      </c>
    </row>
    <row r="1216" spans="1:13">
      <c r="A1216" t="s">
        <v>1150</v>
      </c>
      <c r="B1216" t="s">
        <v>262</v>
      </c>
      <c r="C1216" s="8">
        <v>46066</v>
      </c>
      <c r="D1216" t="s">
        <v>350</v>
      </c>
      <c r="E1216" t="s">
        <v>325</v>
      </c>
      <c r="F1216" s="12">
        <v>257716</v>
      </c>
      <c r="G1216" s="13">
        <v>25</v>
      </c>
      <c r="H1216" t="s">
        <v>2923</v>
      </c>
      <c r="I1216" s="8">
        <v>46130</v>
      </c>
      <c r="J1216" t="s">
        <v>2682</v>
      </c>
      <c r="K1216" t="s">
        <v>2683</v>
      </c>
      <c r="L1216" s="13">
        <v>6000</v>
      </c>
      <c r="M1216" t="s">
        <v>2661</v>
      </c>
    </row>
    <row r="1217" spans="1:13">
      <c r="A1217" t="s">
        <v>1181</v>
      </c>
      <c r="B1217" t="s">
        <v>262</v>
      </c>
      <c r="C1217" s="8">
        <v>46008</v>
      </c>
      <c r="D1217" t="s">
        <v>327</v>
      </c>
      <c r="E1217" t="s">
        <v>325</v>
      </c>
      <c r="F1217" s="12">
        <v>227100</v>
      </c>
      <c r="G1217" s="13">
        <v>22</v>
      </c>
      <c r="H1217" t="s">
        <v>2923</v>
      </c>
      <c r="I1217" s="8">
        <v>46130</v>
      </c>
      <c r="J1217" t="s">
        <v>2682</v>
      </c>
      <c r="K1217" t="s">
        <v>2683</v>
      </c>
      <c r="L1217" s="13">
        <v>6000</v>
      </c>
      <c r="M1217" t="s">
        <v>2661</v>
      </c>
    </row>
    <row r="1218" spans="1:13">
      <c r="A1218" t="s">
        <v>1182</v>
      </c>
      <c r="B1218" t="s">
        <v>262</v>
      </c>
      <c r="C1218" s="8">
        <v>46261</v>
      </c>
      <c r="D1218" t="s">
        <v>321</v>
      </c>
      <c r="E1218" t="s">
        <v>322</v>
      </c>
      <c r="F1218" s="12">
        <v>216483</v>
      </c>
      <c r="G1218" s="13">
        <v>21</v>
      </c>
      <c r="H1218" t="s">
        <v>2923</v>
      </c>
      <c r="I1218" s="8">
        <v>46130</v>
      </c>
      <c r="J1218" t="s">
        <v>2682</v>
      </c>
      <c r="K1218" t="s">
        <v>2683</v>
      </c>
      <c r="L1218" s="13">
        <v>6000</v>
      </c>
      <c r="M1218" t="s">
        <v>2661</v>
      </c>
    </row>
    <row r="1219" spans="1:13">
      <c r="A1219" t="s">
        <v>407</v>
      </c>
      <c r="B1219" t="s">
        <v>76</v>
      </c>
      <c r="C1219" s="8">
        <v>46265</v>
      </c>
      <c r="D1219" t="s">
        <v>327</v>
      </c>
      <c r="E1219" t="s">
        <v>337</v>
      </c>
      <c r="F1219" s="12">
        <v>601727</v>
      </c>
      <c r="G1219" s="13">
        <v>60</v>
      </c>
      <c r="H1219" t="s">
        <v>3181</v>
      </c>
      <c r="I1219" s="8">
        <v>46166</v>
      </c>
      <c r="J1219" t="s">
        <v>2674</v>
      </c>
      <c r="K1219" t="s">
        <v>2675</v>
      </c>
      <c r="L1219" s="13">
        <v>20000</v>
      </c>
      <c r="M1219" t="s">
        <v>2676</v>
      </c>
    </row>
    <row r="1220" spans="1:13">
      <c r="A1220" t="s">
        <v>407</v>
      </c>
      <c r="B1220" t="s">
        <v>76</v>
      </c>
      <c r="C1220" s="8">
        <v>46265</v>
      </c>
      <c r="D1220" t="s">
        <v>327</v>
      </c>
      <c r="E1220" t="s">
        <v>337</v>
      </c>
      <c r="F1220" s="12">
        <v>601727</v>
      </c>
      <c r="G1220" s="13">
        <v>60</v>
      </c>
      <c r="H1220" t="s">
        <v>3261</v>
      </c>
      <c r="I1220" s="8">
        <v>45948</v>
      </c>
      <c r="J1220" t="s">
        <v>2665</v>
      </c>
      <c r="K1220" t="s">
        <v>2666</v>
      </c>
      <c r="L1220" s="13">
        <v>2500</v>
      </c>
      <c r="M1220" t="s">
        <v>2661</v>
      </c>
    </row>
    <row r="1221" spans="1:13">
      <c r="A1221" t="s">
        <v>407</v>
      </c>
      <c r="B1221" t="s">
        <v>76</v>
      </c>
      <c r="C1221" s="8">
        <v>46265</v>
      </c>
      <c r="D1221" t="s">
        <v>327</v>
      </c>
      <c r="E1221" t="s">
        <v>337</v>
      </c>
      <c r="F1221" s="12">
        <v>601727</v>
      </c>
      <c r="G1221" s="13">
        <v>60</v>
      </c>
      <c r="H1221" t="s">
        <v>3346</v>
      </c>
      <c r="I1221" s="8">
        <v>46125</v>
      </c>
      <c r="J1221" t="s">
        <v>2671</v>
      </c>
      <c r="K1221" t="s">
        <v>2672</v>
      </c>
      <c r="L1221" s="13">
        <v>3000</v>
      </c>
      <c r="M1221" t="s">
        <v>2661</v>
      </c>
    </row>
    <row r="1222" spans="1:13">
      <c r="A1222" t="s">
        <v>407</v>
      </c>
      <c r="B1222" t="s">
        <v>76</v>
      </c>
      <c r="C1222" s="8">
        <v>46265</v>
      </c>
      <c r="D1222" t="s">
        <v>327</v>
      </c>
      <c r="E1222" t="s">
        <v>337</v>
      </c>
      <c r="F1222" s="12">
        <v>601727</v>
      </c>
      <c r="G1222" s="13">
        <v>60</v>
      </c>
      <c r="H1222" t="s">
        <v>3451</v>
      </c>
      <c r="I1222" s="8">
        <v>46131</v>
      </c>
      <c r="J1222" t="s">
        <v>2671</v>
      </c>
      <c r="K1222" t="s">
        <v>2672</v>
      </c>
      <c r="L1222" s="13">
        <v>3000</v>
      </c>
      <c r="M1222" t="s">
        <v>2661</v>
      </c>
    </row>
    <row r="1223" spans="1:13">
      <c r="A1223" t="s">
        <v>407</v>
      </c>
      <c r="B1223" t="s">
        <v>76</v>
      </c>
      <c r="C1223" s="8">
        <v>46265</v>
      </c>
      <c r="D1223" t="s">
        <v>327</v>
      </c>
      <c r="E1223" t="s">
        <v>337</v>
      </c>
      <c r="F1223" s="12">
        <v>601727</v>
      </c>
      <c r="G1223" s="13">
        <v>60</v>
      </c>
      <c r="H1223" t="s">
        <v>3505</v>
      </c>
      <c r="I1223" s="8">
        <v>46071</v>
      </c>
      <c r="J1223" t="s">
        <v>2692</v>
      </c>
      <c r="K1223" t="s">
        <v>2693</v>
      </c>
      <c r="L1223" s="13">
        <v>10000</v>
      </c>
      <c r="M1223" t="s">
        <v>2676</v>
      </c>
    </row>
    <row r="1224" spans="1:13">
      <c r="A1224" t="s">
        <v>568</v>
      </c>
      <c r="B1224" t="s">
        <v>76</v>
      </c>
      <c r="C1224" s="8">
        <v>46012</v>
      </c>
      <c r="D1224" t="s">
        <v>332</v>
      </c>
      <c r="E1224" t="s">
        <v>337</v>
      </c>
      <c r="F1224" s="12">
        <v>290317</v>
      </c>
      <c r="G1224" s="13">
        <v>29</v>
      </c>
      <c r="H1224" t="s">
        <v>3181</v>
      </c>
      <c r="I1224" s="8">
        <v>46166</v>
      </c>
      <c r="J1224" t="s">
        <v>2674</v>
      </c>
      <c r="K1224" t="s">
        <v>2675</v>
      </c>
      <c r="L1224" s="13">
        <v>20000</v>
      </c>
      <c r="M1224" t="s">
        <v>2676</v>
      </c>
    </row>
    <row r="1225" spans="1:13">
      <c r="A1225" t="s">
        <v>568</v>
      </c>
      <c r="B1225" t="s">
        <v>76</v>
      </c>
      <c r="C1225" s="8">
        <v>46012</v>
      </c>
      <c r="D1225" t="s">
        <v>332</v>
      </c>
      <c r="E1225" t="s">
        <v>337</v>
      </c>
      <c r="F1225" s="12">
        <v>290317</v>
      </c>
      <c r="G1225" s="13">
        <v>29</v>
      </c>
      <c r="H1225" t="s">
        <v>3261</v>
      </c>
      <c r="I1225" s="8">
        <v>45948</v>
      </c>
      <c r="J1225" t="s">
        <v>2665</v>
      </c>
      <c r="K1225" t="s">
        <v>2666</v>
      </c>
      <c r="L1225" s="13">
        <v>2500</v>
      </c>
      <c r="M1225" t="s">
        <v>2661</v>
      </c>
    </row>
    <row r="1226" spans="1:13">
      <c r="A1226" t="s">
        <v>568</v>
      </c>
      <c r="B1226" t="s">
        <v>76</v>
      </c>
      <c r="C1226" s="8">
        <v>46012</v>
      </c>
      <c r="D1226" t="s">
        <v>332</v>
      </c>
      <c r="E1226" t="s">
        <v>337</v>
      </c>
      <c r="F1226" s="12">
        <v>290317</v>
      </c>
      <c r="G1226" s="13">
        <v>29</v>
      </c>
      <c r="H1226" t="s">
        <v>3346</v>
      </c>
      <c r="I1226" s="8">
        <v>46125</v>
      </c>
      <c r="J1226" t="s">
        <v>2671</v>
      </c>
      <c r="K1226" t="s">
        <v>2672</v>
      </c>
      <c r="L1226" s="13">
        <v>3000</v>
      </c>
      <c r="M1226" t="s">
        <v>2661</v>
      </c>
    </row>
    <row r="1227" spans="1:13">
      <c r="A1227" t="s">
        <v>568</v>
      </c>
      <c r="B1227" t="s">
        <v>76</v>
      </c>
      <c r="C1227" s="8">
        <v>46012</v>
      </c>
      <c r="D1227" t="s">
        <v>332</v>
      </c>
      <c r="E1227" t="s">
        <v>337</v>
      </c>
      <c r="F1227" s="12">
        <v>290317</v>
      </c>
      <c r="G1227" s="13">
        <v>29</v>
      </c>
      <c r="H1227" t="s">
        <v>3451</v>
      </c>
      <c r="I1227" s="8">
        <v>46131</v>
      </c>
      <c r="J1227" t="s">
        <v>2671</v>
      </c>
      <c r="K1227" t="s">
        <v>2672</v>
      </c>
      <c r="L1227" s="13">
        <v>3000</v>
      </c>
      <c r="M1227" t="s">
        <v>2661</v>
      </c>
    </row>
    <row r="1228" spans="1:13">
      <c r="A1228" t="s">
        <v>568</v>
      </c>
      <c r="B1228" t="s">
        <v>76</v>
      </c>
      <c r="C1228" s="8">
        <v>46012</v>
      </c>
      <c r="D1228" t="s">
        <v>332</v>
      </c>
      <c r="E1228" t="s">
        <v>337</v>
      </c>
      <c r="F1228" s="12">
        <v>290317</v>
      </c>
      <c r="G1228" s="13">
        <v>29</v>
      </c>
      <c r="H1228" t="s">
        <v>3505</v>
      </c>
      <c r="I1228" s="8">
        <v>46071</v>
      </c>
      <c r="J1228" t="s">
        <v>2692</v>
      </c>
      <c r="K1228" t="s">
        <v>2693</v>
      </c>
      <c r="L1228" s="13">
        <v>10000</v>
      </c>
      <c r="M1228" t="s">
        <v>2676</v>
      </c>
    </row>
    <row r="1229" spans="1:13">
      <c r="A1229" t="s">
        <v>667</v>
      </c>
      <c r="B1229" t="s">
        <v>76</v>
      </c>
      <c r="C1229" s="8">
        <v>46224</v>
      </c>
      <c r="D1229" t="s">
        <v>344</v>
      </c>
      <c r="E1229" t="s">
        <v>334</v>
      </c>
      <c r="F1229" s="12">
        <v>394275</v>
      </c>
      <c r="G1229" s="13">
        <v>39</v>
      </c>
      <c r="H1229" t="s">
        <v>3181</v>
      </c>
      <c r="I1229" s="8">
        <v>46166</v>
      </c>
      <c r="J1229" t="s">
        <v>2674</v>
      </c>
      <c r="K1229" t="s">
        <v>2675</v>
      </c>
      <c r="L1229" s="13">
        <v>20000</v>
      </c>
      <c r="M1229" t="s">
        <v>2676</v>
      </c>
    </row>
    <row r="1230" spans="1:13">
      <c r="A1230" t="s">
        <v>667</v>
      </c>
      <c r="B1230" t="s">
        <v>76</v>
      </c>
      <c r="C1230" s="8">
        <v>46224</v>
      </c>
      <c r="D1230" t="s">
        <v>344</v>
      </c>
      <c r="E1230" t="s">
        <v>334</v>
      </c>
      <c r="F1230" s="12">
        <v>394275</v>
      </c>
      <c r="G1230" s="13">
        <v>39</v>
      </c>
      <c r="H1230" t="s">
        <v>3261</v>
      </c>
      <c r="I1230" s="8">
        <v>45948</v>
      </c>
      <c r="J1230" t="s">
        <v>2665</v>
      </c>
      <c r="K1230" t="s">
        <v>2666</v>
      </c>
      <c r="L1230" s="13">
        <v>2500</v>
      </c>
      <c r="M1230" t="s">
        <v>2661</v>
      </c>
    </row>
    <row r="1231" spans="1:13">
      <c r="A1231" t="s">
        <v>667</v>
      </c>
      <c r="B1231" t="s">
        <v>76</v>
      </c>
      <c r="C1231" s="8">
        <v>46224</v>
      </c>
      <c r="D1231" t="s">
        <v>344</v>
      </c>
      <c r="E1231" t="s">
        <v>334</v>
      </c>
      <c r="F1231" s="12">
        <v>394275</v>
      </c>
      <c r="G1231" s="13">
        <v>39</v>
      </c>
      <c r="H1231" t="s">
        <v>3346</v>
      </c>
      <c r="I1231" s="8">
        <v>46125</v>
      </c>
      <c r="J1231" t="s">
        <v>2671</v>
      </c>
      <c r="K1231" t="s">
        <v>2672</v>
      </c>
      <c r="L1231" s="13">
        <v>3000</v>
      </c>
      <c r="M1231" t="s">
        <v>2661</v>
      </c>
    </row>
    <row r="1232" spans="1:13">
      <c r="A1232" t="s">
        <v>667</v>
      </c>
      <c r="B1232" t="s">
        <v>76</v>
      </c>
      <c r="C1232" s="8">
        <v>46224</v>
      </c>
      <c r="D1232" t="s">
        <v>344</v>
      </c>
      <c r="E1232" t="s">
        <v>334</v>
      </c>
      <c r="F1232" s="12">
        <v>394275</v>
      </c>
      <c r="G1232" s="13">
        <v>39</v>
      </c>
      <c r="H1232" t="s">
        <v>3451</v>
      </c>
      <c r="I1232" s="8">
        <v>46131</v>
      </c>
      <c r="J1232" t="s">
        <v>2671</v>
      </c>
      <c r="K1232" t="s">
        <v>2672</v>
      </c>
      <c r="L1232" s="13">
        <v>3000</v>
      </c>
      <c r="M1232" t="s">
        <v>2661</v>
      </c>
    </row>
    <row r="1233" spans="1:13">
      <c r="A1233" t="s">
        <v>667</v>
      </c>
      <c r="B1233" t="s">
        <v>76</v>
      </c>
      <c r="C1233" s="8">
        <v>46224</v>
      </c>
      <c r="D1233" t="s">
        <v>344</v>
      </c>
      <c r="E1233" t="s">
        <v>334</v>
      </c>
      <c r="F1233" s="12">
        <v>394275</v>
      </c>
      <c r="G1233" s="13">
        <v>39</v>
      </c>
      <c r="H1233" t="s">
        <v>3505</v>
      </c>
      <c r="I1233" s="8">
        <v>46071</v>
      </c>
      <c r="J1233" t="s">
        <v>2692</v>
      </c>
      <c r="K1233" t="s">
        <v>2693</v>
      </c>
      <c r="L1233" s="13">
        <v>10000</v>
      </c>
      <c r="M1233" t="s">
        <v>2676</v>
      </c>
    </row>
    <row r="1234" spans="1:13">
      <c r="A1234" t="s">
        <v>720</v>
      </c>
      <c r="B1234" t="s">
        <v>76</v>
      </c>
      <c r="C1234" s="8">
        <v>45991</v>
      </c>
      <c r="D1234" t="s">
        <v>321</v>
      </c>
      <c r="E1234" t="s">
        <v>334</v>
      </c>
      <c r="F1234" s="12">
        <v>759359</v>
      </c>
      <c r="G1234" s="13">
        <v>75</v>
      </c>
      <c r="H1234" t="s">
        <v>3181</v>
      </c>
      <c r="I1234" s="8">
        <v>46166</v>
      </c>
      <c r="J1234" t="s">
        <v>2674</v>
      </c>
      <c r="K1234" t="s">
        <v>2675</v>
      </c>
      <c r="L1234" s="13">
        <v>20000</v>
      </c>
      <c r="M1234" t="s">
        <v>2676</v>
      </c>
    </row>
    <row r="1235" spans="1:13">
      <c r="A1235" t="s">
        <v>720</v>
      </c>
      <c r="B1235" t="s">
        <v>76</v>
      </c>
      <c r="C1235" s="8">
        <v>45991</v>
      </c>
      <c r="D1235" t="s">
        <v>321</v>
      </c>
      <c r="E1235" t="s">
        <v>334</v>
      </c>
      <c r="F1235" s="12">
        <v>759359</v>
      </c>
      <c r="G1235" s="13">
        <v>75</v>
      </c>
      <c r="H1235" t="s">
        <v>3261</v>
      </c>
      <c r="I1235" s="8">
        <v>45948</v>
      </c>
      <c r="J1235" t="s">
        <v>2665</v>
      </c>
      <c r="K1235" t="s">
        <v>2666</v>
      </c>
      <c r="L1235" s="13">
        <v>2500</v>
      </c>
      <c r="M1235" t="s">
        <v>2661</v>
      </c>
    </row>
    <row r="1236" spans="1:13">
      <c r="A1236" t="s">
        <v>720</v>
      </c>
      <c r="B1236" t="s">
        <v>76</v>
      </c>
      <c r="C1236" s="8">
        <v>45991</v>
      </c>
      <c r="D1236" t="s">
        <v>321</v>
      </c>
      <c r="E1236" t="s">
        <v>334</v>
      </c>
      <c r="F1236" s="12">
        <v>759359</v>
      </c>
      <c r="G1236" s="13">
        <v>75</v>
      </c>
      <c r="H1236" t="s">
        <v>3346</v>
      </c>
      <c r="I1236" s="8">
        <v>46125</v>
      </c>
      <c r="J1236" t="s">
        <v>2671</v>
      </c>
      <c r="K1236" t="s">
        <v>2672</v>
      </c>
      <c r="L1236" s="13">
        <v>3000</v>
      </c>
      <c r="M1236" t="s">
        <v>2661</v>
      </c>
    </row>
    <row r="1237" spans="1:13">
      <c r="A1237" t="s">
        <v>720</v>
      </c>
      <c r="B1237" t="s">
        <v>76</v>
      </c>
      <c r="C1237" s="8">
        <v>45991</v>
      </c>
      <c r="D1237" t="s">
        <v>321</v>
      </c>
      <c r="E1237" t="s">
        <v>334</v>
      </c>
      <c r="F1237" s="12">
        <v>759359</v>
      </c>
      <c r="G1237" s="13">
        <v>75</v>
      </c>
      <c r="H1237" t="s">
        <v>3451</v>
      </c>
      <c r="I1237" s="8">
        <v>46131</v>
      </c>
      <c r="J1237" t="s">
        <v>2671</v>
      </c>
      <c r="K1237" t="s">
        <v>2672</v>
      </c>
      <c r="L1237" s="13">
        <v>3000</v>
      </c>
      <c r="M1237" t="s">
        <v>2661</v>
      </c>
    </row>
    <row r="1238" spans="1:13">
      <c r="A1238" t="s">
        <v>720</v>
      </c>
      <c r="B1238" t="s">
        <v>76</v>
      </c>
      <c r="C1238" s="8">
        <v>45991</v>
      </c>
      <c r="D1238" t="s">
        <v>321</v>
      </c>
      <c r="E1238" t="s">
        <v>334</v>
      </c>
      <c r="F1238" s="12">
        <v>759359</v>
      </c>
      <c r="G1238" s="13">
        <v>75</v>
      </c>
      <c r="H1238" t="s">
        <v>3505</v>
      </c>
      <c r="I1238" s="8">
        <v>46071</v>
      </c>
      <c r="J1238" t="s">
        <v>2692</v>
      </c>
      <c r="K1238" t="s">
        <v>2693</v>
      </c>
      <c r="L1238" s="13">
        <v>10000</v>
      </c>
      <c r="M1238" t="s">
        <v>2676</v>
      </c>
    </row>
    <row r="1239" spans="1:13">
      <c r="A1239" t="s">
        <v>726</v>
      </c>
      <c r="B1239" t="s">
        <v>76</v>
      </c>
      <c r="C1239" s="8">
        <v>45999</v>
      </c>
      <c r="D1239" t="s">
        <v>321</v>
      </c>
      <c r="E1239" t="s">
        <v>328</v>
      </c>
      <c r="F1239" s="12">
        <v>154547</v>
      </c>
      <c r="G1239" s="13">
        <v>15</v>
      </c>
      <c r="H1239" t="s">
        <v>3181</v>
      </c>
      <c r="I1239" s="8">
        <v>46166</v>
      </c>
      <c r="J1239" t="s">
        <v>2674</v>
      </c>
      <c r="K1239" t="s">
        <v>2675</v>
      </c>
      <c r="L1239" s="13">
        <v>20000</v>
      </c>
      <c r="M1239" t="s">
        <v>2676</v>
      </c>
    </row>
    <row r="1240" spans="1:13">
      <c r="A1240" t="s">
        <v>726</v>
      </c>
      <c r="B1240" t="s">
        <v>76</v>
      </c>
      <c r="C1240" s="8">
        <v>45999</v>
      </c>
      <c r="D1240" t="s">
        <v>321</v>
      </c>
      <c r="E1240" t="s">
        <v>328</v>
      </c>
      <c r="F1240" s="12">
        <v>154547</v>
      </c>
      <c r="G1240" s="13">
        <v>15</v>
      </c>
      <c r="H1240" t="s">
        <v>3261</v>
      </c>
      <c r="I1240" s="8">
        <v>45948</v>
      </c>
      <c r="J1240" t="s">
        <v>2665</v>
      </c>
      <c r="K1240" t="s">
        <v>2666</v>
      </c>
      <c r="L1240" s="13">
        <v>2500</v>
      </c>
      <c r="M1240" t="s">
        <v>2661</v>
      </c>
    </row>
    <row r="1241" spans="1:13">
      <c r="A1241" t="s">
        <v>726</v>
      </c>
      <c r="B1241" t="s">
        <v>76</v>
      </c>
      <c r="C1241" s="8">
        <v>45999</v>
      </c>
      <c r="D1241" t="s">
        <v>321</v>
      </c>
      <c r="E1241" t="s">
        <v>328</v>
      </c>
      <c r="F1241" s="12">
        <v>154547</v>
      </c>
      <c r="G1241" s="13">
        <v>15</v>
      </c>
      <c r="H1241" t="s">
        <v>3346</v>
      </c>
      <c r="I1241" s="8">
        <v>46125</v>
      </c>
      <c r="J1241" t="s">
        <v>2671</v>
      </c>
      <c r="K1241" t="s">
        <v>2672</v>
      </c>
      <c r="L1241" s="13">
        <v>3000</v>
      </c>
      <c r="M1241" t="s">
        <v>2661</v>
      </c>
    </row>
    <row r="1242" spans="1:13">
      <c r="A1242" t="s">
        <v>726</v>
      </c>
      <c r="B1242" t="s">
        <v>76</v>
      </c>
      <c r="C1242" s="8">
        <v>45999</v>
      </c>
      <c r="D1242" t="s">
        <v>321</v>
      </c>
      <c r="E1242" t="s">
        <v>328</v>
      </c>
      <c r="F1242" s="12">
        <v>154547</v>
      </c>
      <c r="G1242" s="13">
        <v>15</v>
      </c>
      <c r="H1242" t="s">
        <v>3451</v>
      </c>
      <c r="I1242" s="8">
        <v>46131</v>
      </c>
      <c r="J1242" t="s">
        <v>2671</v>
      </c>
      <c r="K1242" t="s">
        <v>2672</v>
      </c>
      <c r="L1242" s="13">
        <v>3000</v>
      </c>
      <c r="M1242" t="s">
        <v>2661</v>
      </c>
    </row>
    <row r="1243" spans="1:13">
      <c r="A1243" t="s">
        <v>726</v>
      </c>
      <c r="B1243" t="s">
        <v>76</v>
      </c>
      <c r="C1243" s="8">
        <v>45999</v>
      </c>
      <c r="D1243" t="s">
        <v>321</v>
      </c>
      <c r="E1243" t="s">
        <v>328</v>
      </c>
      <c r="F1243" s="12">
        <v>154547</v>
      </c>
      <c r="G1243" s="13">
        <v>15</v>
      </c>
      <c r="H1243" t="s">
        <v>3505</v>
      </c>
      <c r="I1243" s="8">
        <v>46071</v>
      </c>
      <c r="J1243" t="s">
        <v>2692</v>
      </c>
      <c r="K1243" t="s">
        <v>2693</v>
      </c>
      <c r="L1243" s="13">
        <v>10000</v>
      </c>
      <c r="M1243" t="s">
        <v>2676</v>
      </c>
    </row>
    <row r="1244" spans="1:13">
      <c r="A1244" t="s">
        <v>809</v>
      </c>
      <c r="B1244" t="s">
        <v>76</v>
      </c>
      <c r="C1244" s="8">
        <v>46188</v>
      </c>
      <c r="D1244" t="s">
        <v>324</v>
      </c>
      <c r="E1244" t="s">
        <v>337</v>
      </c>
      <c r="F1244" s="12">
        <v>143881</v>
      </c>
      <c r="G1244" s="13">
        <v>14</v>
      </c>
      <c r="H1244" t="s">
        <v>3181</v>
      </c>
      <c r="I1244" s="8">
        <v>46166</v>
      </c>
      <c r="J1244" t="s">
        <v>2674</v>
      </c>
      <c r="K1244" t="s">
        <v>2675</v>
      </c>
      <c r="L1244" s="13">
        <v>20000</v>
      </c>
      <c r="M1244" t="s">
        <v>2676</v>
      </c>
    </row>
    <row r="1245" spans="1:13">
      <c r="A1245" t="s">
        <v>809</v>
      </c>
      <c r="B1245" t="s">
        <v>76</v>
      </c>
      <c r="C1245" s="8">
        <v>46188</v>
      </c>
      <c r="D1245" t="s">
        <v>324</v>
      </c>
      <c r="E1245" t="s">
        <v>337</v>
      </c>
      <c r="F1245" s="12">
        <v>143881</v>
      </c>
      <c r="G1245" s="13">
        <v>14</v>
      </c>
      <c r="H1245" t="s">
        <v>3261</v>
      </c>
      <c r="I1245" s="8">
        <v>45948</v>
      </c>
      <c r="J1245" t="s">
        <v>2665</v>
      </c>
      <c r="K1245" t="s">
        <v>2666</v>
      </c>
      <c r="L1245" s="13">
        <v>2500</v>
      </c>
      <c r="M1245" t="s">
        <v>2661</v>
      </c>
    </row>
    <row r="1246" spans="1:13">
      <c r="A1246" t="s">
        <v>809</v>
      </c>
      <c r="B1246" t="s">
        <v>76</v>
      </c>
      <c r="C1246" s="8">
        <v>46188</v>
      </c>
      <c r="D1246" t="s">
        <v>324</v>
      </c>
      <c r="E1246" t="s">
        <v>337</v>
      </c>
      <c r="F1246" s="12">
        <v>143881</v>
      </c>
      <c r="G1246" s="13">
        <v>14</v>
      </c>
      <c r="H1246" t="s">
        <v>3346</v>
      </c>
      <c r="I1246" s="8">
        <v>46125</v>
      </c>
      <c r="J1246" t="s">
        <v>2671</v>
      </c>
      <c r="K1246" t="s">
        <v>2672</v>
      </c>
      <c r="L1246" s="13">
        <v>3000</v>
      </c>
      <c r="M1246" t="s">
        <v>2661</v>
      </c>
    </row>
    <row r="1247" spans="1:13">
      <c r="A1247" t="s">
        <v>809</v>
      </c>
      <c r="B1247" t="s">
        <v>76</v>
      </c>
      <c r="C1247" s="8">
        <v>46188</v>
      </c>
      <c r="D1247" t="s">
        <v>324</v>
      </c>
      <c r="E1247" t="s">
        <v>337</v>
      </c>
      <c r="F1247" s="12">
        <v>143881</v>
      </c>
      <c r="G1247" s="13">
        <v>14</v>
      </c>
      <c r="H1247" t="s">
        <v>3451</v>
      </c>
      <c r="I1247" s="8">
        <v>46131</v>
      </c>
      <c r="J1247" t="s">
        <v>2671</v>
      </c>
      <c r="K1247" t="s">
        <v>2672</v>
      </c>
      <c r="L1247" s="13">
        <v>3000</v>
      </c>
      <c r="M1247" t="s">
        <v>2661</v>
      </c>
    </row>
    <row r="1248" spans="1:13">
      <c r="A1248" t="s">
        <v>809</v>
      </c>
      <c r="B1248" t="s">
        <v>76</v>
      </c>
      <c r="C1248" s="8">
        <v>46188</v>
      </c>
      <c r="D1248" t="s">
        <v>324</v>
      </c>
      <c r="E1248" t="s">
        <v>337</v>
      </c>
      <c r="F1248" s="12">
        <v>143881</v>
      </c>
      <c r="G1248" s="13">
        <v>14</v>
      </c>
      <c r="H1248" t="s">
        <v>3505</v>
      </c>
      <c r="I1248" s="8">
        <v>46071</v>
      </c>
      <c r="J1248" t="s">
        <v>2692</v>
      </c>
      <c r="K1248" t="s">
        <v>2693</v>
      </c>
      <c r="L1248" s="13">
        <v>10000</v>
      </c>
      <c r="M1248" t="s">
        <v>2676</v>
      </c>
    </row>
    <row r="1249" spans="1:13">
      <c r="A1249" t="s">
        <v>1052</v>
      </c>
      <c r="B1249" t="s">
        <v>76</v>
      </c>
      <c r="C1249" s="8">
        <v>46051</v>
      </c>
      <c r="D1249" t="s">
        <v>344</v>
      </c>
      <c r="E1249" t="s">
        <v>337</v>
      </c>
      <c r="F1249" s="12">
        <v>290250</v>
      </c>
      <c r="G1249" s="13">
        <v>29</v>
      </c>
      <c r="H1249" t="s">
        <v>3181</v>
      </c>
      <c r="I1249" s="8">
        <v>46166</v>
      </c>
      <c r="J1249" t="s">
        <v>2674</v>
      </c>
      <c r="K1249" t="s">
        <v>2675</v>
      </c>
      <c r="L1249" s="13">
        <v>20000</v>
      </c>
      <c r="M1249" t="s">
        <v>2676</v>
      </c>
    </row>
    <row r="1250" spans="1:13">
      <c r="A1250" t="s">
        <v>1052</v>
      </c>
      <c r="B1250" t="s">
        <v>76</v>
      </c>
      <c r="C1250" s="8">
        <v>46051</v>
      </c>
      <c r="D1250" t="s">
        <v>344</v>
      </c>
      <c r="E1250" t="s">
        <v>337</v>
      </c>
      <c r="F1250" s="12">
        <v>290250</v>
      </c>
      <c r="G1250" s="13">
        <v>29</v>
      </c>
      <c r="H1250" t="s">
        <v>3261</v>
      </c>
      <c r="I1250" s="8">
        <v>45948</v>
      </c>
      <c r="J1250" t="s">
        <v>2665</v>
      </c>
      <c r="K1250" t="s">
        <v>2666</v>
      </c>
      <c r="L1250" s="13">
        <v>2500</v>
      </c>
      <c r="M1250" t="s">
        <v>2661</v>
      </c>
    </row>
    <row r="1251" spans="1:13">
      <c r="A1251" t="s">
        <v>1052</v>
      </c>
      <c r="B1251" t="s">
        <v>76</v>
      </c>
      <c r="C1251" s="8">
        <v>46051</v>
      </c>
      <c r="D1251" t="s">
        <v>344</v>
      </c>
      <c r="E1251" t="s">
        <v>337</v>
      </c>
      <c r="F1251" s="12">
        <v>290250</v>
      </c>
      <c r="G1251" s="13">
        <v>29</v>
      </c>
      <c r="H1251" t="s">
        <v>3346</v>
      </c>
      <c r="I1251" s="8">
        <v>46125</v>
      </c>
      <c r="J1251" t="s">
        <v>2671</v>
      </c>
      <c r="K1251" t="s">
        <v>2672</v>
      </c>
      <c r="L1251" s="13">
        <v>3000</v>
      </c>
      <c r="M1251" t="s">
        <v>2661</v>
      </c>
    </row>
    <row r="1252" spans="1:13">
      <c r="A1252" t="s">
        <v>1052</v>
      </c>
      <c r="B1252" t="s">
        <v>76</v>
      </c>
      <c r="C1252" s="8">
        <v>46051</v>
      </c>
      <c r="D1252" t="s">
        <v>344</v>
      </c>
      <c r="E1252" t="s">
        <v>337</v>
      </c>
      <c r="F1252" s="12">
        <v>290250</v>
      </c>
      <c r="G1252" s="13">
        <v>29</v>
      </c>
      <c r="H1252" t="s">
        <v>3451</v>
      </c>
      <c r="I1252" s="8">
        <v>46131</v>
      </c>
      <c r="J1252" t="s">
        <v>2671</v>
      </c>
      <c r="K1252" t="s">
        <v>2672</v>
      </c>
      <c r="L1252" s="13">
        <v>3000</v>
      </c>
      <c r="M1252" t="s">
        <v>2661</v>
      </c>
    </row>
    <row r="1253" spans="1:13">
      <c r="A1253" t="s">
        <v>1052</v>
      </c>
      <c r="B1253" t="s">
        <v>76</v>
      </c>
      <c r="C1253" s="8">
        <v>46051</v>
      </c>
      <c r="D1253" t="s">
        <v>344</v>
      </c>
      <c r="E1253" t="s">
        <v>337</v>
      </c>
      <c r="F1253" s="12">
        <v>290250</v>
      </c>
      <c r="G1253" s="13">
        <v>29</v>
      </c>
      <c r="H1253" t="s">
        <v>3505</v>
      </c>
      <c r="I1253" s="8">
        <v>46071</v>
      </c>
      <c r="J1253" t="s">
        <v>2692</v>
      </c>
      <c r="K1253" t="s">
        <v>2693</v>
      </c>
      <c r="L1253" s="13">
        <v>10000</v>
      </c>
      <c r="M1253" t="s">
        <v>2676</v>
      </c>
    </row>
    <row r="1254" spans="1:13">
      <c r="A1254" t="s">
        <v>1096</v>
      </c>
      <c r="B1254" t="s">
        <v>76</v>
      </c>
      <c r="C1254" s="8">
        <v>46099</v>
      </c>
      <c r="D1254" t="s">
        <v>324</v>
      </c>
      <c r="E1254" t="s">
        <v>339</v>
      </c>
      <c r="F1254" s="12">
        <v>466509</v>
      </c>
      <c r="G1254" s="13">
        <v>46</v>
      </c>
      <c r="H1254" t="s">
        <v>3181</v>
      </c>
      <c r="I1254" s="8">
        <v>46166</v>
      </c>
      <c r="J1254" t="s">
        <v>2674</v>
      </c>
      <c r="K1254" t="s">
        <v>2675</v>
      </c>
      <c r="L1254" s="13">
        <v>20000</v>
      </c>
      <c r="M1254" t="s">
        <v>2676</v>
      </c>
    </row>
    <row r="1255" spans="1:13">
      <c r="A1255" t="s">
        <v>1096</v>
      </c>
      <c r="B1255" t="s">
        <v>76</v>
      </c>
      <c r="C1255" s="8">
        <v>46099</v>
      </c>
      <c r="D1255" t="s">
        <v>324</v>
      </c>
      <c r="E1255" t="s">
        <v>339</v>
      </c>
      <c r="F1255" s="12">
        <v>466509</v>
      </c>
      <c r="G1255" s="13">
        <v>46</v>
      </c>
      <c r="H1255" t="s">
        <v>3261</v>
      </c>
      <c r="I1255" s="8">
        <v>45948</v>
      </c>
      <c r="J1255" t="s">
        <v>2665</v>
      </c>
      <c r="K1255" t="s">
        <v>2666</v>
      </c>
      <c r="L1255" s="13">
        <v>2500</v>
      </c>
      <c r="M1255" t="s">
        <v>2661</v>
      </c>
    </row>
    <row r="1256" spans="1:13">
      <c r="A1256" t="s">
        <v>1096</v>
      </c>
      <c r="B1256" t="s">
        <v>76</v>
      </c>
      <c r="C1256" s="8">
        <v>46099</v>
      </c>
      <c r="D1256" t="s">
        <v>324</v>
      </c>
      <c r="E1256" t="s">
        <v>339</v>
      </c>
      <c r="F1256" s="12">
        <v>466509</v>
      </c>
      <c r="G1256" s="13">
        <v>46</v>
      </c>
      <c r="H1256" t="s">
        <v>3346</v>
      </c>
      <c r="I1256" s="8">
        <v>46125</v>
      </c>
      <c r="J1256" t="s">
        <v>2671</v>
      </c>
      <c r="K1256" t="s">
        <v>2672</v>
      </c>
      <c r="L1256" s="13">
        <v>3000</v>
      </c>
      <c r="M1256" t="s">
        <v>2661</v>
      </c>
    </row>
    <row r="1257" spans="1:13">
      <c r="A1257" t="s">
        <v>1096</v>
      </c>
      <c r="B1257" t="s">
        <v>76</v>
      </c>
      <c r="C1257" s="8">
        <v>46099</v>
      </c>
      <c r="D1257" t="s">
        <v>324</v>
      </c>
      <c r="E1257" t="s">
        <v>339</v>
      </c>
      <c r="F1257" s="12">
        <v>466509</v>
      </c>
      <c r="G1257" s="13">
        <v>46</v>
      </c>
      <c r="H1257" t="s">
        <v>3451</v>
      </c>
      <c r="I1257" s="8">
        <v>46131</v>
      </c>
      <c r="J1257" t="s">
        <v>2671</v>
      </c>
      <c r="K1257" t="s">
        <v>2672</v>
      </c>
      <c r="L1257" s="13">
        <v>3000</v>
      </c>
      <c r="M1257" t="s">
        <v>2661</v>
      </c>
    </row>
    <row r="1258" spans="1:13">
      <c r="A1258" t="s">
        <v>1096</v>
      </c>
      <c r="B1258" t="s">
        <v>76</v>
      </c>
      <c r="C1258" s="8">
        <v>46099</v>
      </c>
      <c r="D1258" t="s">
        <v>324</v>
      </c>
      <c r="E1258" t="s">
        <v>339</v>
      </c>
      <c r="F1258" s="12">
        <v>466509</v>
      </c>
      <c r="G1258" s="13">
        <v>46</v>
      </c>
      <c r="H1258" t="s">
        <v>3505</v>
      </c>
      <c r="I1258" s="8">
        <v>46071</v>
      </c>
      <c r="J1258" t="s">
        <v>2692</v>
      </c>
      <c r="K1258" t="s">
        <v>2693</v>
      </c>
      <c r="L1258" s="13">
        <v>10000</v>
      </c>
      <c r="M1258" t="s">
        <v>2676</v>
      </c>
    </row>
    <row r="1259" spans="1:13">
      <c r="A1259" t="s">
        <v>1169</v>
      </c>
      <c r="B1259" t="s">
        <v>76</v>
      </c>
      <c r="C1259" s="8">
        <v>46245</v>
      </c>
      <c r="D1259" t="s">
        <v>330</v>
      </c>
      <c r="E1259" t="s">
        <v>328</v>
      </c>
      <c r="F1259" s="12">
        <v>365529</v>
      </c>
      <c r="G1259" s="13">
        <v>36</v>
      </c>
      <c r="H1259" t="s">
        <v>3181</v>
      </c>
      <c r="I1259" s="8">
        <v>46166</v>
      </c>
      <c r="J1259" t="s">
        <v>2674</v>
      </c>
      <c r="K1259" t="s">
        <v>2675</v>
      </c>
      <c r="L1259" s="13">
        <v>20000</v>
      </c>
      <c r="M1259" t="s">
        <v>2676</v>
      </c>
    </row>
    <row r="1260" spans="1:13">
      <c r="A1260" t="s">
        <v>1169</v>
      </c>
      <c r="B1260" t="s">
        <v>76</v>
      </c>
      <c r="C1260" s="8">
        <v>46245</v>
      </c>
      <c r="D1260" t="s">
        <v>330</v>
      </c>
      <c r="E1260" t="s">
        <v>328</v>
      </c>
      <c r="F1260" s="12">
        <v>365529</v>
      </c>
      <c r="G1260" s="13">
        <v>36</v>
      </c>
      <c r="H1260" t="s">
        <v>3261</v>
      </c>
      <c r="I1260" s="8">
        <v>45948</v>
      </c>
      <c r="J1260" t="s">
        <v>2665</v>
      </c>
      <c r="K1260" t="s">
        <v>2666</v>
      </c>
      <c r="L1260" s="13">
        <v>2500</v>
      </c>
      <c r="M1260" t="s">
        <v>2661</v>
      </c>
    </row>
    <row r="1261" spans="1:13">
      <c r="A1261" t="s">
        <v>1169</v>
      </c>
      <c r="B1261" t="s">
        <v>76</v>
      </c>
      <c r="C1261" s="8">
        <v>46245</v>
      </c>
      <c r="D1261" t="s">
        <v>330</v>
      </c>
      <c r="E1261" t="s">
        <v>328</v>
      </c>
      <c r="F1261" s="12">
        <v>365529</v>
      </c>
      <c r="G1261" s="13">
        <v>36</v>
      </c>
      <c r="H1261" t="s">
        <v>3346</v>
      </c>
      <c r="I1261" s="8">
        <v>46125</v>
      </c>
      <c r="J1261" t="s">
        <v>2671</v>
      </c>
      <c r="K1261" t="s">
        <v>2672</v>
      </c>
      <c r="L1261" s="13">
        <v>3000</v>
      </c>
      <c r="M1261" t="s">
        <v>2661</v>
      </c>
    </row>
    <row r="1262" spans="1:13">
      <c r="A1262" t="s">
        <v>1169</v>
      </c>
      <c r="B1262" t="s">
        <v>76</v>
      </c>
      <c r="C1262" s="8">
        <v>46245</v>
      </c>
      <c r="D1262" t="s">
        <v>330</v>
      </c>
      <c r="E1262" t="s">
        <v>328</v>
      </c>
      <c r="F1262" s="12">
        <v>365529</v>
      </c>
      <c r="G1262" s="13">
        <v>36</v>
      </c>
      <c r="H1262" t="s">
        <v>3451</v>
      </c>
      <c r="I1262" s="8">
        <v>46131</v>
      </c>
      <c r="J1262" t="s">
        <v>2671</v>
      </c>
      <c r="K1262" t="s">
        <v>2672</v>
      </c>
      <c r="L1262" s="13">
        <v>3000</v>
      </c>
      <c r="M1262" t="s">
        <v>2661</v>
      </c>
    </row>
    <row r="1263" spans="1:13">
      <c r="A1263" t="s">
        <v>1169</v>
      </c>
      <c r="B1263" t="s">
        <v>76</v>
      </c>
      <c r="C1263" s="8">
        <v>46245</v>
      </c>
      <c r="D1263" t="s">
        <v>330</v>
      </c>
      <c r="E1263" t="s">
        <v>328</v>
      </c>
      <c r="F1263" s="12">
        <v>365529</v>
      </c>
      <c r="G1263" s="13">
        <v>36</v>
      </c>
      <c r="H1263" t="s">
        <v>3505</v>
      </c>
      <c r="I1263" s="8">
        <v>46071</v>
      </c>
      <c r="J1263" t="s">
        <v>2692</v>
      </c>
      <c r="K1263" t="s">
        <v>2693</v>
      </c>
      <c r="L1263" s="13">
        <v>10000</v>
      </c>
      <c r="M1263" t="s">
        <v>2676</v>
      </c>
    </row>
    <row r="1264" spans="1:13">
      <c r="A1264" t="s">
        <v>408</v>
      </c>
      <c r="B1264" t="s">
        <v>57</v>
      </c>
      <c r="C1264" s="8">
        <v>46064</v>
      </c>
      <c r="D1264" t="s">
        <v>321</v>
      </c>
      <c r="E1264" t="s">
        <v>328</v>
      </c>
      <c r="F1264" s="12">
        <v>52547</v>
      </c>
      <c r="G1264" s="13">
        <v>5</v>
      </c>
      <c r="H1264" t="s">
        <v>3486</v>
      </c>
      <c r="I1264" s="8">
        <v>46159</v>
      </c>
      <c r="J1264" t="s">
        <v>2665</v>
      </c>
      <c r="K1264" t="s">
        <v>2666</v>
      </c>
      <c r="L1264" s="13">
        <v>2500</v>
      </c>
      <c r="M1264" t="s">
        <v>2661</v>
      </c>
    </row>
    <row r="1265" spans="1:13">
      <c r="A1265" t="s">
        <v>570</v>
      </c>
      <c r="B1265" t="s">
        <v>57</v>
      </c>
      <c r="C1265" s="8">
        <v>46004</v>
      </c>
      <c r="D1265" t="s">
        <v>321</v>
      </c>
      <c r="E1265" t="s">
        <v>322</v>
      </c>
      <c r="F1265" s="12">
        <v>514578</v>
      </c>
      <c r="G1265" s="13">
        <v>51</v>
      </c>
      <c r="H1265" t="s">
        <v>3486</v>
      </c>
      <c r="I1265" s="8">
        <v>46159</v>
      </c>
      <c r="J1265" t="s">
        <v>2665</v>
      </c>
      <c r="K1265" t="s">
        <v>2666</v>
      </c>
      <c r="L1265" s="13">
        <v>2500</v>
      </c>
      <c r="M1265" t="s">
        <v>2661</v>
      </c>
    </row>
    <row r="1266" spans="1:13">
      <c r="A1266" t="s">
        <v>626</v>
      </c>
      <c r="B1266" t="s">
        <v>57</v>
      </c>
      <c r="C1266" s="8">
        <v>46182</v>
      </c>
      <c r="D1266" t="s">
        <v>330</v>
      </c>
      <c r="E1266" t="s">
        <v>322</v>
      </c>
      <c r="F1266" s="12">
        <v>390483</v>
      </c>
      <c r="G1266" s="13">
        <v>39</v>
      </c>
      <c r="H1266" t="s">
        <v>3486</v>
      </c>
      <c r="I1266" s="8">
        <v>46159</v>
      </c>
      <c r="J1266" t="s">
        <v>2665</v>
      </c>
      <c r="K1266" t="s">
        <v>2666</v>
      </c>
      <c r="L1266" s="13">
        <v>2500</v>
      </c>
      <c r="M1266" t="s">
        <v>2661</v>
      </c>
    </row>
    <row r="1267" spans="1:13">
      <c r="A1267" t="s">
        <v>669</v>
      </c>
      <c r="B1267" t="s">
        <v>57</v>
      </c>
      <c r="C1267" s="8">
        <v>46129</v>
      </c>
      <c r="D1267" t="s">
        <v>342</v>
      </c>
      <c r="E1267" t="s">
        <v>334</v>
      </c>
      <c r="F1267" s="12">
        <v>390779</v>
      </c>
      <c r="G1267" s="13">
        <v>39</v>
      </c>
      <c r="H1267" t="s">
        <v>3486</v>
      </c>
      <c r="I1267" s="8">
        <v>46159</v>
      </c>
      <c r="J1267" t="s">
        <v>2665</v>
      </c>
      <c r="K1267" t="s">
        <v>2666</v>
      </c>
      <c r="L1267" s="13">
        <v>2500</v>
      </c>
      <c r="M1267" t="s">
        <v>2661</v>
      </c>
    </row>
    <row r="1268" spans="1:13">
      <c r="A1268" t="s">
        <v>682</v>
      </c>
      <c r="B1268" t="s">
        <v>57</v>
      </c>
      <c r="C1268" s="8">
        <v>46121</v>
      </c>
      <c r="D1268" t="s">
        <v>321</v>
      </c>
      <c r="E1268" t="s">
        <v>322</v>
      </c>
      <c r="F1268" s="12">
        <v>545129</v>
      </c>
      <c r="G1268" s="13">
        <v>54</v>
      </c>
      <c r="H1268" t="s">
        <v>3486</v>
      </c>
      <c r="I1268" s="8">
        <v>46159</v>
      </c>
      <c r="J1268" t="s">
        <v>2665</v>
      </c>
      <c r="K1268" t="s">
        <v>2666</v>
      </c>
      <c r="L1268" s="13">
        <v>2500</v>
      </c>
      <c r="M1268" t="s">
        <v>2661</v>
      </c>
    </row>
    <row r="1269" spans="1:13">
      <c r="A1269" t="s">
        <v>796</v>
      </c>
      <c r="B1269" t="s">
        <v>57</v>
      </c>
      <c r="C1269" s="8">
        <v>45989</v>
      </c>
      <c r="D1269" t="s">
        <v>344</v>
      </c>
      <c r="E1269" t="s">
        <v>337</v>
      </c>
      <c r="F1269" s="12">
        <v>413626</v>
      </c>
      <c r="G1269" s="13">
        <v>41</v>
      </c>
      <c r="H1269" t="s">
        <v>3486</v>
      </c>
      <c r="I1269" s="8">
        <v>46159</v>
      </c>
      <c r="J1269" t="s">
        <v>2665</v>
      </c>
      <c r="K1269" t="s">
        <v>2666</v>
      </c>
      <c r="L1269" s="13">
        <v>2500</v>
      </c>
      <c r="M1269" t="s">
        <v>2661</v>
      </c>
    </row>
    <row r="1270" spans="1:13">
      <c r="A1270" t="s">
        <v>895</v>
      </c>
      <c r="B1270" t="s">
        <v>57</v>
      </c>
      <c r="C1270" s="8">
        <v>46280</v>
      </c>
      <c r="D1270" t="s">
        <v>327</v>
      </c>
      <c r="E1270" t="s">
        <v>337</v>
      </c>
      <c r="F1270" s="12">
        <v>448755</v>
      </c>
      <c r="G1270" s="13">
        <v>44</v>
      </c>
      <c r="H1270" t="s">
        <v>3486</v>
      </c>
      <c r="I1270" s="8">
        <v>46159</v>
      </c>
      <c r="J1270" t="s">
        <v>2665</v>
      </c>
      <c r="K1270" t="s">
        <v>2666</v>
      </c>
      <c r="L1270" s="13">
        <v>2500</v>
      </c>
      <c r="M1270" t="s">
        <v>2661</v>
      </c>
    </row>
    <row r="1271" spans="1:13">
      <c r="A1271" t="s">
        <v>925</v>
      </c>
      <c r="B1271" t="s">
        <v>57</v>
      </c>
      <c r="C1271" s="8">
        <v>46118</v>
      </c>
      <c r="D1271" t="s">
        <v>332</v>
      </c>
      <c r="E1271" t="s">
        <v>334</v>
      </c>
      <c r="F1271" s="12">
        <v>243285</v>
      </c>
      <c r="G1271" s="13">
        <v>24</v>
      </c>
      <c r="H1271" t="s">
        <v>3486</v>
      </c>
      <c r="I1271" s="8">
        <v>46159</v>
      </c>
      <c r="J1271" t="s">
        <v>2665</v>
      </c>
      <c r="K1271" t="s">
        <v>2666</v>
      </c>
      <c r="L1271" s="13">
        <v>2500</v>
      </c>
      <c r="M1271" t="s">
        <v>2661</v>
      </c>
    </row>
    <row r="1272" spans="1:13">
      <c r="A1272" t="s">
        <v>1058</v>
      </c>
      <c r="B1272" t="s">
        <v>57</v>
      </c>
      <c r="C1272" s="8">
        <v>46026</v>
      </c>
      <c r="D1272" t="s">
        <v>321</v>
      </c>
      <c r="E1272" t="s">
        <v>339</v>
      </c>
      <c r="F1272" s="12">
        <v>156131</v>
      </c>
      <c r="G1272" s="13">
        <v>15</v>
      </c>
      <c r="H1272" t="s">
        <v>3486</v>
      </c>
      <c r="I1272" s="8">
        <v>46159</v>
      </c>
      <c r="J1272" t="s">
        <v>2665</v>
      </c>
      <c r="K1272" t="s">
        <v>2666</v>
      </c>
      <c r="L1272" s="13">
        <v>2500</v>
      </c>
      <c r="M1272" t="s">
        <v>2661</v>
      </c>
    </row>
    <row r="1273" spans="1:13">
      <c r="A1273" t="s">
        <v>1116</v>
      </c>
      <c r="B1273" t="s">
        <v>57</v>
      </c>
      <c r="C1273" s="8">
        <v>45995</v>
      </c>
      <c r="D1273" t="s">
        <v>342</v>
      </c>
      <c r="E1273" t="s">
        <v>328</v>
      </c>
      <c r="F1273" s="12">
        <v>358215</v>
      </c>
      <c r="G1273" s="13">
        <v>35</v>
      </c>
      <c r="H1273" t="s">
        <v>3486</v>
      </c>
      <c r="I1273" s="8">
        <v>46159</v>
      </c>
      <c r="J1273" t="s">
        <v>2665</v>
      </c>
      <c r="K1273" t="s">
        <v>2666</v>
      </c>
      <c r="L1273" s="13">
        <v>2500</v>
      </c>
      <c r="M1273" t="s">
        <v>2661</v>
      </c>
    </row>
    <row r="1274" spans="1:13">
      <c r="A1274" t="s">
        <v>1117</v>
      </c>
      <c r="B1274" t="s">
        <v>57</v>
      </c>
      <c r="C1274" s="8">
        <v>46244</v>
      </c>
      <c r="D1274" t="s">
        <v>324</v>
      </c>
      <c r="E1274" t="s">
        <v>337</v>
      </c>
      <c r="F1274" s="12">
        <v>235861</v>
      </c>
      <c r="G1274" s="13">
        <v>23</v>
      </c>
      <c r="H1274" t="s">
        <v>3486</v>
      </c>
      <c r="I1274" s="8">
        <v>46159</v>
      </c>
      <c r="J1274" t="s">
        <v>2665</v>
      </c>
      <c r="K1274" t="s">
        <v>2666</v>
      </c>
      <c r="L1274" s="13">
        <v>2500</v>
      </c>
      <c r="M1274" t="s">
        <v>2661</v>
      </c>
    </row>
    <row r="1275" spans="1:13">
      <c r="A1275" t="s">
        <v>1216</v>
      </c>
      <c r="B1275" t="s">
        <v>57</v>
      </c>
      <c r="C1275" s="8">
        <v>46153</v>
      </c>
      <c r="D1275" t="s">
        <v>324</v>
      </c>
      <c r="E1275" t="s">
        <v>337</v>
      </c>
      <c r="F1275" s="12">
        <v>134150</v>
      </c>
      <c r="G1275" s="13">
        <v>13</v>
      </c>
      <c r="H1275" t="s">
        <v>3486</v>
      </c>
      <c r="I1275" s="8">
        <v>46159</v>
      </c>
      <c r="J1275" t="s">
        <v>2665</v>
      </c>
      <c r="K1275" t="s">
        <v>2666</v>
      </c>
      <c r="L1275" s="13">
        <v>2500</v>
      </c>
      <c r="M1275" t="s">
        <v>2661</v>
      </c>
    </row>
    <row r="1276" spans="1:13">
      <c r="A1276" t="s">
        <v>540</v>
      </c>
      <c r="B1276" t="s">
        <v>288</v>
      </c>
      <c r="C1276" s="8">
        <v>46113</v>
      </c>
      <c r="D1276" t="s">
        <v>344</v>
      </c>
      <c r="E1276" t="s">
        <v>334</v>
      </c>
      <c r="F1276" s="12">
        <v>205885</v>
      </c>
      <c r="G1276" s="13">
        <v>20</v>
      </c>
      <c r="H1276" t="s">
        <v>2753</v>
      </c>
      <c r="I1276" s="8">
        <v>46202</v>
      </c>
      <c r="J1276" t="s">
        <v>2671</v>
      </c>
      <c r="K1276" t="s">
        <v>2672</v>
      </c>
      <c r="L1276" s="13">
        <v>3000</v>
      </c>
      <c r="M1276" t="s">
        <v>2661</v>
      </c>
    </row>
    <row r="1277" spans="1:13">
      <c r="A1277" t="s">
        <v>540</v>
      </c>
      <c r="B1277" t="s">
        <v>288</v>
      </c>
      <c r="C1277" s="8">
        <v>46113</v>
      </c>
      <c r="D1277" t="s">
        <v>344</v>
      </c>
      <c r="E1277" t="s">
        <v>334</v>
      </c>
      <c r="F1277" s="12">
        <v>205885</v>
      </c>
      <c r="G1277" s="13">
        <v>20</v>
      </c>
      <c r="H1277" t="s">
        <v>2764</v>
      </c>
      <c r="I1277" s="8">
        <v>46008</v>
      </c>
      <c r="J1277" t="s">
        <v>2668</v>
      </c>
      <c r="K1277" t="s">
        <v>2669</v>
      </c>
      <c r="L1277" s="13">
        <v>4000</v>
      </c>
      <c r="M1277" t="s">
        <v>2676</v>
      </c>
    </row>
    <row r="1278" spans="1:13">
      <c r="A1278" t="s">
        <v>540</v>
      </c>
      <c r="B1278" t="s">
        <v>288</v>
      </c>
      <c r="C1278" s="8">
        <v>46113</v>
      </c>
      <c r="D1278" t="s">
        <v>344</v>
      </c>
      <c r="E1278" t="s">
        <v>334</v>
      </c>
      <c r="F1278" s="12">
        <v>205885</v>
      </c>
      <c r="G1278" s="13">
        <v>20</v>
      </c>
      <c r="H1278" t="s">
        <v>2863</v>
      </c>
      <c r="I1278" s="8">
        <v>45971</v>
      </c>
      <c r="J1278" t="s">
        <v>2659</v>
      </c>
      <c r="K1278" t="s">
        <v>2660</v>
      </c>
      <c r="L1278" s="13">
        <v>3500</v>
      </c>
      <c r="M1278" t="s">
        <v>2676</v>
      </c>
    </row>
    <row r="1279" spans="1:13">
      <c r="A1279" t="s">
        <v>540</v>
      </c>
      <c r="B1279" t="s">
        <v>288</v>
      </c>
      <c r="C1279" s="8">
        <v>46113</v>
      </c>
      <c r="D1279" t="s">
        <v>344</v>
      </c>
      <c r="E1279" t="s">
        <v>334</v>
      </c>
      <c r="F1279" s="12">
        <v>205885</v>
      </c>
      <c r="G1279" s="13">
        <v>20</v>
      </c>
      <c r="H1279" t="s">
        <v>3009</v>
      </c>
      <c r="I1279" s="8">
        <v>45978</v>
      </c>
      <c r="J1279" t="s">
        <v>2674</v>
      </c>
      <c r="K1279" t="s">
        <v>2675</v>
      </c>
      <c r="L1279" s="13">
        <v>20000</v>
      </c>
      <c r="M1279" t="s">
        <v>2676</v>
      </c>
    </row>
    <row r="1280" spans="1:13">
      <c r="A1280" t="s">
        <v>540</v>
      </c>
      <c r="B1280" t="s">
        <v>288</v>
      </c>
      <c r="C1280" s="8">
        <v>46113</v>
      </c>
      <c r="D1280" t="s">
        <v>344</v>
      </c>
      <c r="E1280" t="s">
        <v>334</v>
      </c>
      <c r="F1280" s="12">
        <v>205885</v>
      </c>
      <c r="G1280" s="13">
        <v>20</v>
      </c>
      <c r="H1280" t="s">
        <v>3139</v>
      </c>
      <c r="I1280" s="8">
        <v>45962</v>
      </c>
      <c r="J1280" t="s">
        <v>2659</v>
      </c>
      <c r="K1280" t="s">
        <v>2660</v>
      </c>
      <c r="L1280" s="13">
        <v>3500</v>
      </c>
      <c r="M1280" t="s">
        <v>2661</v>
      </c>
    </row>
    <row r="1281" spans="1:13">
      <c r="A1281" t="s">
        <v>678</v>
      </c>
      <c r="B1281" t="s">
        <v>288</v>
      </c>
      <c r="C1281" s="8">
        <v>46167</v>
      </c>
      <c r="D1281" t="s">
        <v>350</v>
      </c>
      <c r="E1281" t="s">
        <v>334</v>
      </c>
      <c r="F1281" s="12">
        <v>127656</v>
      </c>
      <c r="G1281" s="13">
        <v>12</v>
      </c>
      <c r="H1281" t="s">
        <v>2753</v>
      </c>
      <c r="I1281" s="8">
        <v>46202</v>
      </c>
      <c r="J1281" t="s">
        <v>2671</v>
      </c>
      <c r="K1281" t="s">
        <v>2672</v>
      </c>
      <c r="L1281" s="13">
        <v>3000</v>
      </c>
      <c r="M1281" t="s">
        <v>2661</v>
      </c>
    </row>
    <row r="1282" spans="1:13">
      <c r="A1282" t="s">
        <v>678</v>
      </c>
      <c r="B1282" t="s">
        <v>288</v>
      </c>
      <c r="C1282" s="8">
        <v>46167</v>
      </c>
      <c r="D1282" t="s">
        <v>350</v>
      </c>
      <c r="E1282" t="s">
        <v>334</v>
      </c>
      <c r="F1282" s="12">
        <v>127656</v>
      </c>
      <c r="G1282" s="13">
        <v>12</v>
      </c>
      <c r="H1282" t="s">
        <v>2764</v>
      </c>
      <c r="I1282" s="8">
        <v>46008</v>
      </c>
      <c r="J1282" t="s">
        <v>2668</v>
      </c>
      <c r="K1282" t="s">
        <v>2669</v>
      </c>
      <c r="L1282" s="13">
        <v>4000</v>
      </c>
      <c r="M1282" t="s">
        <v>2676</v>
      </c>
    </row>
    <row r="1283" spans="1:13">
      <c r="A1283" t="s">
        <v>678</v>
      </c>
      <c r="B1283" t="s">
        <v>288</v>
      </c>
      <c r="C1283" s="8">
        <v>46167</v>
      </c>
      <c r="D1283" t="s">
        <v>350</v>
      </c>
      <c r="E1283" t="s">
        <v>334</v>
      </c>
      <c r="F1283" s="12">
        <v>127656</v>
      </c>
      <c r="G1283" s="13">
        <v>12</v>
      </c>
      <c r="H1283" t="s">
        <v>2863</v>
      </c>
      <c r="I1283" s="8">
        <v>45971</v>
      </c>
      <c r="J1283" t="s">
        <v>2659</v>
      </c>
      <c r="K1283" t="s">
        <v>2660</v>
      </c>
      <c r="L1283" s="13">
        <v>3500</v>
      </c>
      <c r="M1283" t="s">
        <v>2676</v>
      </c>
    </row>
    <row r="1284" spans="1:13">
      <c r="A1284" t="s">
        <v>678</v>
      </c>
      <c r="B1284" t="s">
        <v>288</v>
      </c>
      <c r="C1284" s="8">
        <v>46167</v>
      </c>
      <c r="D1284" t="s">
        <v>350</v>
      </c>
      <c r="E1284" t="s">
        <v>334</v>
      </c>
      <c r="F1284" s="12">
        <v>127656</v>
      </c>
      <c r="G1284" s="13">
        <v>12</v>
      </c>
      <c r="H1284" t="s">
        <v>3009</v>
      </c>
      <c r="I1284" s="8">
        <v>45978</v>
      </c>
      <c r="J1284" t="s">
        <v>2674</v>
      </c>
      <c r="K1284" t="s">
        <v>2675</v>
      </c>
      <c r="L1284" s="13">
        <v>20000</v>
      </c>
      <c r="M1284" t="s">
        <v>2676</v>
      </c>
    </row>
    <row r="1285" spans="1:13">
      <c r="A1285" t="s">
        <v>678</v>
      </c>
      <c r="B1285" t="s">
        <v>288</v>
      </c>
      <c r="C1285" s="8">
        <v>46167</v>
      </c>
      <c r="D1285" t="s">
        <v>350</v>
      </c>
      <c r="E1285" t="s">
        <v>334</v>
      </c>
      <c r="F1285" s="12">
        <v>127656</v>
      </c>
      <c r="G1285" s="13">
        <v>12</v>
      </c>
      <c r="H1285" t="s">
        <v>3139</v>
      </c>
      <c r="I1285" s="8">
        <v>45962</v>
      </c>
      <c r="J1285" t="s">
        <v>2659</v>
      </c>
      <c r="K1285" t="s">
        <v>2660</v>
      </c>
      <c r="L1285" s="13">
        <v>3500</v>
      </c>
      <c r="M1285" t="s">
        <v>2661</v>
      </c>
    </row>
    <row r="1286" spans="1:13">
      <c r="A1286" t="s">
        <v>993</v>
      </c>
      <c r="B1286" t="s">
        <v>288</v>
      </c>
      <c r="C1286" s="8">
        <v>46080</v>
      </c>
      <c r="D1286" t="s">
        <v>342</v>
      </c>
      <c r="E1286" t="s">
        <v>339</v>
      </c>
      <c r="F1286" s="12">
        <v>33554</v>
      </c>
      <c r="G1286" s="13">
        <v>3</v>
      </c>
      <c r="H1286" t="s">
        <v>2753</v>
      </c>
      <c r="I1286" s="8">
        <v>46202</v>
      </c>
      <c r="J1286" t="s">
        <v>2671</v>
      </c>
      <c r="K1286" t="s">
        <v>2672</v>
      </c>
      <c r="L1286" s="13">
        <v>3000</v>
      </c>
      <c r="M1286" t="s">
        <v>2661</v>
      </c>
    </row>
    <row r="1287" spans="1:13">
      <c r="A1287" t="s">
        <v>993</v>
      </c>
      <c r="B1287" t="s">
        <v>288</v>
      </c>
      <c r="C1287" s="8">
        <v>46080</v>
      </c>
      <c r="D1287" t="s">
        <v>342</v>
      </c>
      <c r="E1287" t="s">
        <v>339</v>
      </c>
      <c r="F1287" s="12">
        <v>33554</v>
      </c>
      <c r="G1287" s="13">
        <v>3</v>
      </c>
      <c r="H1287" t="s">
        <v>2764</v>
      </c>
      <c r="I1287" s="8">
        <v>46008</v>
      </c>
      <c r="J1287" t="s">
        <v>2668</v>
      </c>
      <c r="K1287" t="s">
        <v>2669</v>
      </c>
      <c r="L1287" s="13">
        <v>4000</v>
      </c>
      <c r="M1287" t="s">
        <v>2676</v>
      </c>
    </row>
    <row r="1288" spans="1:13">
      <c r="A1288" t="s">
        <v>993</v>
      </c>
      <c r="B1288" t="s">
        <v>288</v>
      </c>
      <c r="C1288" s="8">
        <v>46080</v>
      </c>
      <c r="D1288" t="s">
        <v>342</v>
      </c>
      <c r="E1288" t="s">
        <v>339</v>
      </c>
      <c r="F1288" s="12">
        <v>33554</v>
      </c>
      <c r="G1288" s="13">
        <v>3</v>
      </c>
      <c r="H1288" t="s">
        <v>2863</v>
      </c>
      <c r="I1288" s="8">
        <v>45971</v>
      </c>
      <c r="J1288" t="s">
        <v>2659</v>
      </c>
      <c r="K1288" t="s">
        <v>2660</v>
      </c>
      <c r="L1288" s="13">
        <v>3500</v>
      </c>
      <c r="M1288" t="s">
        <v>2676</v>
      </c>
    </row>
    <row r="1289" spans="1:13">
      <c r="A1289" t="s">
        <v>993</v>
      </c>
      <c r="B1289" t="s">
        <v>288</v>
      </c>
      <c r="C1289" s="8">
        <v>46080</v>
      </c>
      <c r="D1289" t="s">
        <v>342</v>
      </c>
      <c r="E1289" t="s">
        <v>339</v>
      </c>
      <c r="F1289" s="12">
        <v>33554</v>
      </c>
      <c r="G1289" s="13">
        <v>3</v>
      </c>
      <c r="H1289" t="s">
        <v>3009</v>
      </c>
      <c r="I1289" s="8">
        <v>45978</v>
      </c>
      <c r="J1289" t="s">
        <v>2674</v>
      </c>
      <c r="K1289" t="s">
        <v>2675</v>
      </c>
      <c r="L1289" s="13">
        <v>20000</v>
      </c>
      <c r="M1289" t="s">
        <v>2676</v>
      </c>
    </row>
    <row r="1290" spans="1:13">
      <c r="A1290" t="s">
        <v>993</v>
      </c>
      <c r="B1290" t="s">
        <v>288</v>
      </c>
      <c r="C1290" s="8">
        <v>46080</v>
      </c>
      <c r="D1290" t="s">
        <v>342</v>
      </c>
      <c r="E1290" t="s">
        <v>339</v>
      </c>
      <c r="F1290" s="12">
        <v>33554</v>
      </c>
      <c r="G1290" s="13">
        <v>3</v>
      </c>
      <c r="H1290" t="s">
        <v>3139</v>
      </c>
      <c r="I1290" s="8">
        <v>45962</v>
      </c>
      <c r="J1290" t="s">
        <v>2659</v>
      </c>
      <c r="K1290" t="s">
        <v>2660</v>
      </c>
      <c r="L1290" s="13">
        <v>3500</v>
      </c>
      <c r="M1290" t="s">
        <v>2661</v>
      </c>
    </row>
    <row r="1291" spans="1:13">
      <c r="A1291" t="s">
        <v>409</v>
      </c>
      <c r="B1291" t="s">
        <v>197</v>
      </c>
      <c r="C1291" s="8">
        <v>46048</v>
      </c>
      <c r="D1291" t="s">
        <v>330</v>
      </c>
      <c r="E1291" t="s">
        <v>328</v>
      </c>
      <c r="F1291" s="12">
        <v>851470</v>
      </c>
      <c r="G1291" s="13">
        <v>85</v>
      </c>
      <c r="H1291" t="s">
        <v>2907</v>
      </c>
      <c r="I1291" s="8">
        <v>46147</v>
      </c>
      <c r="J1291" t="s">
        <v>2659</v>
      </c>
      <c r="K1291" t="s">
        <v>2660</v>
      </c>
      <c r="L1291" s="13">
        <v>3500</v>
      </c>
      <c r="M1291" t="s">
        <v>2676</v>
      </c>
    </row>
    <row r="1292" spans="1:13">
      <c r="A1292" t="s">
        <v>409</v>
      </c>
      <c r="B1292" t="s">
        <v>197</v>
      </c>
      <c r="C1292" s="8">
        <v>46048</v>
      </c>
      <c r="D1292" t="s">
        <v>330</v>
      </c>
      <c r="E1292" t="s">
        <v>328</v>
      </c>
      <c r="F1292" s="12">
        <v>851470</v>
      </c>
      <c r="G1292" s="13">
        <v>85</v>
      </c>
      <c r="H1292" t="s">
        <v>3356</v>
      </c>
      <c r="I1292" s="8">
        <v>46124</v>
      </c>
      <c r="J1292" t="s">
        <v>2685</v>
      </c>
      <c r="K1292" t="s">
        <v>2686</v>
      </c>
      <c r="L1292" s="13">
        <v>5000</v>
      </c>
      <c r="M1292" t="s">
        <v>2661</v>
      </c>
    </row>
    <row r="1293" spans="1:13">
      <c r="A1293" t="s">
        <v>409</v>
      </c>
      <c r="B1293" t="s">
        <v>197</v>
      </c>
      <c r="C1293" s="8">
        <v>46048</v>
      </c>
      <c r="D1293" t="s">
        <v>330</v>
      </c>
      <c r="E1293" t="s">
        <v>328</v>
      </c>
      <c r="F1293" s="12">
        <v>851470</v>
      </c>
      <c r="G1293" s="13">
        <v>85</v>
      </c>
      <c r="H1293" t="s">
        <v>3465</v>
      </c>
      <c r="I1293" s="8">
        <v>46076</v>
      </c>
      <c r="J1293" t="s">
        <v>2692</v>
      </c>
      <c r="K1293" t="s">
        <v>2693</v>
      </c>
      <c r="L1293" s="13">
        <v>10000</v>
      </c>
      <c r="M1293" t="s">
        <v>2661</v>
      </c>
    </row>
    <row r="1294" spans="1:13">
      <c r="A1294" t="s">
        <v>409</v>
      </c>
      <c r="B1294" t="s">
        <v>197</v>
      </c>
      <c r="C1294" s="8">
        <v>46048</v>
      </c>
      <c r="D1294" t="s">
        <v>330</v>
      </c>
      <c r="E1294" t="s">
        <v>328</v>
      </c>
      <c r="F1294" s="12">
        <v>851470</v>
      </c>
      <c r="G1294" s="13">
        <v>85</v>
      </c>
      <c r="H1294" t="s">
        <v>3529</v>
      </c>
      <c r="I1294" s="8">
        <v>46013</v>
      </c>
      <c r="J1294" t="s">
        <v>2688</v>
      </c>
      <c r="K1294" t="s">
        <v>2689</v>
      </c>
      <c r="L1294" s="13">
        <v>8000</v>
      </c>
      <c r="M1294" t="s">
        <v>2661</v>
      </c>
    </row>
    <row r="1295" spans="1:13">
      <c r="A1295" t="s">
        <v>409</v>
      </c>
      <c r="B1295" t="s">
        <v>197</v>
      </c>
      <c r="C1295" s="8">
        <v>46048</v>
      </c>
      <c r="D1295" t="s">
        <v>330</v>
      </c>
      <c r="E1295" t="s">
        <v>328</v>
      </c>
      <c r="F1295" s="12">
        <v>851470</v>
      </c>
      <c r="G1295" s="13">
        <v>85</v>
      </c>
      <c r="H1295" t="s">
        <v>3540</v>
      </c>
      <c r="I1295" s="8">
        <v>46276</v>
      </c>
      <c r="J1295" t="s">
        <v>2692</v>
      </c>
      <c r="K1295" t="s">
        <v>2693</v>
      </c>
      <c r="L1295" s="13">
        <v>10000</v>
      </c>
      <c r="M1295" t="s">
        <v>2676</v>
      </c>
    </row>
    <row r="1296" spans="1:13">
      <c r="A1296" t="s">
        <v>634</v>
      </c>
      <c r="B1296" t="s">
        <v>197</v>
      </c>
      <c r="C1296" s="8">
        <v>46042</v>
      </c>
      <c r="D1296" t="s">
        <v>324</v>
      </c>
      <c r="E1296" t="s">
        <v>328</v>
      </c>
      <c r="F1296" s="12">
        <v>65137</v>
      </c>
      <c r="G1296" s="13">
        <v>6</v>
      </c>
      <c r="H1296" t="s">
        <v>2907</v>
      </c>
      <c r="I1296" s="8">
        <v>46147</v>
      </c>
      <c r="J1296" t="s">
        <v>2659</v>
      </c>
      <c r="K1296" t="s">
        <v>2660</v>
      </c>
      <c r="L1296" s="13">
        <v>3500</v>
      </c>
      <c r="M1296" t="s">
        <v>2676</v>
      </c>
    </row>
    <row r="1297" spans="1:13">
      <c r="A1297" t="s">
        <v>634</v>
      </c>
      <c r="B1297" t="s">
        <v>197</v>
      </c>
      <c r="C1297" s="8">
        <v>46042</v>
      </c>
      <c r="D1297" t="s">
        <v>324</v>
      </c>
      <c r="E1297" t="s">
        <v>328</v>
      </c>
      <c r="F1297" s="12">
        <v>65137</v>
      </c>
      <c r="G1297" s="13">
        <v>6</v>
      </c>
      <c r="H1297" t="s">
        <v>3356</v>
      </c>
      <c r="I1297" s="8">
        <v>46124</v>
      </c>
      <c r="J1297" t="s">
        <v>2685</v>
      </c>
      <c r="K1297" t="s">
        <v>2686</v>
      </c>
      <c r="L1297" s="13">
        <v>5000</v>
      </c>
      <c r="M1297" t="s">
        <v>2661</v>
      </c>
    </row>
    <row r="1298" spans="1:13">
      <c r="A1298" t="s">
        <v>634</v>
      </c>
      <c r="B1298" t="s">
        <v>197</v>
      </c>
      <c r="C1298" s="8">
        <v>46042</v>
      </c>
      <c r="D1298" t="s">
        <v>324</v>
      </c>
      <c r="E1298" t="s">
        <v>328</v>
      </c>
      <c r="F1298" s="12">
        <v>65137</v>
      </c>
      <c r="G1298" s="13">
        <v>6</v>
      </c>
      <c r="H1298" t="s">
        <v>3465</v>
      </c>
      <c r="I1298" s="8">
        <v>46076</v>
      </c>
      <c r="J1298" t="s">
        <v>2692</v>
      </c>
      <c r="K1298" t="s">
        <v>2693</v>
      </c>
      <c r="L1298" s="13">
        <v>10000</v>
      </c>
      <c r="M1298" t="s">
        <v>2661</v>
      </c>
    </row>
    <row r="1299" spans="1:13">
      <c r="A1299" t="s">
        <v>634</v>
      </c>
      <c r="B1299" t="s">
        <v>197</v>
      </c>
      <c r="C1299" s="8">
        <v>46042</v>
      </c>
      <c r="D1299" t="s">
        <v>324</v>
      </c>
      <c r="E1299" t="s">
        <v>328</v>
      </c>
      <c r="F1299" s="12">
        <v>65137</v>
      </c>
      <c r="G1299" s="13">
        <v>6</v>
      </c>
      <c r="H1299" t="s">
        <v>3529</v>
      </c>
      <c r="I1299" s="8">
        <v>46013</v>
      </c>
      <c r="J1299" t="s">
        <v>2688</v>
      </c>
      <c r="K1299" t="s">
        <v>2689</v>
      </c>
      <c r="L1299" s="13">
        <v>8000</v>
      </c>
      <c r="M1299" t="s">
        <v>2661</v>
      </c>
    </row>
    <row r="1300" spans="1:13">
      <c r="A1300" t="s">
        <v>634</v>
      </c>
      <c r="B1300" t="s">
        <v>197</v>
      </c>
      <c r="C1300" s="8">
        <v>46042</v>
      </c>
      <c r="D1300" t="s">
        <v>324</v>
      </c>
      <c r="E1300" t="s">
        <v>328</v>
      </c>
      <c r="F1300" s="12">
        <v>65137</v>
      </c>
      <c r="G1300" s="13">
        <v>6</v>
      </c>
      <c r="H1300" t="s">
        <v>3540</v>
      </c>
      <c r="I1300" s="8">
        <v>46276</v>
      </c>
      <c r="J1300" t="s">
        <v>2692</v>
      </c>
      <c r="K1300" t="s">
        <v>2693</v>
      </c>
      <c r="L1300" s="13">
        <v>10000</v>
      </c>
      <c r="M1300" t="s">
        <v>2676</v>
      </c>
    </row>
    <row r="1301" spans="1:13">
      <c r="A1301" t="s">
        <v>896</v>
      </c>
      <c r="B1301" t="s">
        <v>197</v>
      </c>
      <c r="C1301" s="8">
        <v>45985</v>
      </c>
      <c r="D1301" t="s">
        <v>342</v>
      </c>
      <c r="E1301" t="s">
        <v>322</v>
      </c>
      <c r="F1301" s="12">
        <v>855171</v>
      </c>
      <c r="G1301" s="13">
        <v>85</v>
      </c>
      <c r="H1301" t="s">
        <v>2907</v>
      </c>
      <c r="I1301" s="8">
        <v>46147</v>
      </c>
      <c r="J1301" t="s">
        <v>2659</v>
      </c>
      <c r="K1301" t="s">
        <v>2660</v>
      </c>
      <c r="L1301" s="13">
        <v>3500</v>
      </c>
      <c r="M1301" t="s">
        <v>2676</v>
      </c>
    </row>
    <row r="1302" spans="1:13">
      <c r="A1302" t="s">
        <v>896</v>
      </c>
      <c r="B1302" t="s">
        <v>197</v>
      </c>
      <c r="C1302" s="8">
        <v>45985</v>
      </c>
      <c r="D1302" t="s">
        <v>342</v>
      </c>
      <c r="E1302" t="s">
        <v>322</v>
      </c>
      <c r="F1302" s="12">
        <v>855171</v>
      </c>
      <c r="G1302" s="13">
        <v>85</v>
      </c>
      <c r="H1302" t="s">
        <v>3356</v>
      </c>
      <c r="I1302" s="8">
        <v>46124</v>
      </c>
      <c r="J1302" t="s">
        <v>2685</v>
      </c>
      <c r="K1302" t="s">
        <v>2686</v>
      </c>
      <c r="L1302" s="13">
        <v>5000</v>
      </c>
      <c r="M1302" t="s">
        <v>2661</v>
      </c>
    </row>
    <row r="1303" spans="1:13">
      <c r="A1303" t="s">
        <v>896</v>
      </c>
      <c r="B1303" t="s">
        <v>197</v>
      </c>
      <c r="C1303" s="8">
        <v>45985</v>
      </c>
      <c r="D1303" t="s">
        <v>342</v>
      </c>
      <c r="E1303" t="s">
        <v>322</v>
      </c>
      <c r="F1303" s="12">
        <v>855171</v>
      </c>
      <c r="G1303" s="13">
        <v>85</v>
      </c>
      <c r="H1303" t="s">
        <v>3465</v>
      </c>
      <c r="I1303" s="8">
        <v>46076</v>
      </c>
      <c r="J1303" t="s">
        <v>2692</v>
      </c>
      <c r="K1303" t="s">
        <v>2693</v>
      </c>
      <c r="L1303" s="13">
        <v>10000</v>
      </c>
      <c r="M1303" t="s">
        <v>2661</v>
      </c>
    </row>
    <row r="1304" spans="1:13">
      <c r="A1304" t="s">
        <v>896</v>
      </c>
      <c r="B1304" t="s">
        <v>197</v>
      </c>
      <c r="C1304" s="8">
        <v>45985</v>
      </c>
      <c r="D1304" t="s">
        <v>342</v>
      </c>
      <c r="E1304" t="s">
        <v>322</v>
      </c>
      <c r="F1304" s="12">
        <v>855171</v>
      </c>
      <c r="G1304" s="13">
        <v>85</v>
      </c>
      <c r="H1304" t="s">
        <v>3529</v>
      </c>
      <c r="I1304" s="8">
        <v>46013</v>
      </c>
      <c r="J1304" t="s">
        <v>2688</v>
      </c>
      <c r="K1304" t="s">
        <v>2689</v>
      </c>
      <c r="L1304" s="13">
        <v>8000</v>
      </c>
      <c r="M1304" t="s">
        <v>2661</v>
      </c>
    </row>
    <row r="1305" spans="1:13">
      <c r="A1305" t="s">
        <v>896</v>
      </c>
      <c r="B1305" t="s">
        <v>197</v>
      </c>
      <c r="C1305" s="8">
        <v>45985</v>
      </c>
      <c r="D1305" t="s">
        <v>342</v>
      </c>
      <c r="E1305" t="s">
        <v>322</v>
      </c>
      <c r="F1305" s="12">
        <v>855171</v>
      </c>
      <c r="G1305" s="13">
        <v>85</v>
      </c>
      <c r="H1305" t="s">
        <v>3540</v>
      </c>
      <c r="I1305" s="8">
        <v>46276</v>
      </c>
      <c r="J1305" t="s">
        <v>2692</v>
      </c>
      <c r="K1305" t="s">
        <v>2693</v>
      </c>
      <c r="L1305" s="13">
        <v>10000</v>
      </c>
      <c r="M1305" t="s">
        <v>2676</v>
      </c>
    </row>
    <row r="1306" spans="1:13">
      <c r="A1306" t="s">
        <v>420</v>
      </c>
      <c r="B1306" t="s">
        <v>10</v>
      </c>
      <c r="C1306" s="8">
        <v>46052</v>
      </c>
      <c r="D1306" t="s">
        <v>332</v>
      </c>
      <c r="E1306" t="s">
        <v>339</v>
      </c>
      <c r="F1306" s="12">
        <v>913514</v>
      </c>
      <c r="G1306" s="13">
        <v>91</v>
      </c>
      <c r="H1306" t="s">
        <v>2754</v>
      </c>
      <c r="I1306" s="8">
        <v>46003</v>
      </c>
      <c r="J1306" t="s">
        <v>2692</v>
      </c>
      <c r="K1306" t="s">
        <v>2693</v>
      </c>
      <c r="L1306" s="13">
        <v>10000</v>
      </c>
      <c r="M1306" t="s">
        <v>2661</v>
      </c>
    </row>
    <row r="1307" spans="1:13">
      <c r="A1307" t="s">
        <v>420</v>
      </c>
      <c r="B1307" t="s">
        <v>10</v>
      </c>
      <c r="C1307" s="8">
        <v>46052</v>
      </c>
      <c r="D1307" t="s">
        <v>332</v>
      </c>
      <c r="E1307" t="s">
        <v>339</v>
      </c>
      <c r="F1307" s="12">
        <v>913514</v>
      </c>
      <c r="G1307" s="13">
        <v>91</v>
      </c>
      <c r="H1307" t="s">
        <v>2821</v>
      </c>
      <c r="I1307" s="8">
        <v>46033</v>
      </c>
      <c r="J1307" t="s">
        <v>2665</v>
      </c>
      <c r="K1307" t="s">
        <v>2666</v>
      </c>
      <c r="L1307" s="13">
        <v>2500</v>
      </c>
      <c r="M1307" t="s">
        <v>2661</v>
      </c>
    </row>
    <row r="1308" spans="1:13">
      <c r="A1308" t="s">
        <v>420</v>
      </c>
      <c r="B1308" t="s">
        <v>10</v>
      </c>
      <c r="C1308" s="8">
        <v>46052</v>
      </c>
      <c r="D1308" t="s">
        <v>332</v>
      </c>
      <c r="E1308" t="s">
        <v>339</v>
      </c>
      <c r="F1308" s="12">
        <v>913514</v>
      </c>
      <c r="G1308" s="13">
        <v>91</v>
      </c>
      <c r="H1308" t="s">
        <v>3047</v>
      </c>
      <c r="I1308" s="8">
        <v>46230</v>
      </c>
      <c r="J1308" t="s">
        <v>2659</v>
      </c>
      <c r="K1308" t="s">
        <v>2660</v>
      </c>
      <c r="L1308" s="13">
        <v>3500</v>
      </c>
      <c r="M1308" t="s">
        <v>2661</v>
      </c>
    </row>
    <row r="1309" spans="1:13">
      <c r="A1309" t="s">
        <v>420</v>
      </c>
      <c r="B1309" t="s">
        <v>10</v>
      </c>
      <c r="C1309" s="8">
        <v>46052</v>
      </c>
      <c r="D1309" t="s">
        <v>332</v>
      </c>
      <c r="E1309" t="s">
        <v>339</v>
      </c>
      <c r="F1309" s="12">
        <v>913514</v>
      </c>
      <c r="G1309" s="13">
        <v>91</v>
      </c>
      <c r="H1309" t="s">
        <v>3313</v>
      </c>
      <c r="I1309" s="8">
        <v>46238</v>
      </c>
      <c r="J1309" t="s">
        <v>2682</v>
      </c>
      <c r="K1309" t="s">
        <v>2683</v>
      </c>
      <c r="L1309" s="13">
        <v>6000</v>
      </c>
      <c r="M1309" t="s">
        <v>2661</v>
      </c>
    </row>
    <row r="1310" spans="1:13">
      <c r="A1310" t="s">
        <v>410</v>
      </c>
      <c r="B1310" t="s">
        <v>111</v>
      </c>
      <c r="C1310" s="8">
        <v>46196</v>
      </c>
      <c r="D1310" t="s">
        <v>330</v>
      </c>
      <c r="E1310" t="s">
        <v>337</v>
      </c>
      <c r="F1310" s="12">
        <v>160906</v>
      </c>
      <c r="G1310" s="13">
        <v>16</v>
      </c>
      <c r="H1310" t="s">
        <v>3231</v>
      </c>
      <c r="I1310" s="8">
        <v>46139</v>
      </c>
      <c r="J1310" t="s">
        <v>2668</v>
      </c>
      <c r="K1310" t="s">
        <v>2669</v>
      </c>
      <c r="L1310" s="13">
        <v>4000</v>
      </c>
      <c r="M1310" t="s">
        <v>2661</v>
      </c>
    </row>
    <row r="1311" spans="1:13">
      <c r="A1311" t="s">
        <v>410</v>
      </c>
      <c r="B1311" t="s">
        <v>111</v>
      </c>
      <c r="C1311" s="8">
        <v>46196</v>
      </c>
      <c r="D1311" t="s">
        <v>330</v>
      </c>
      <c r="E1311" t="s">
        <v>337</v>
      </c>
      <c r="F1311" s="12">
        <v>160906</v>
      </c>
      <c r="G1311" s="13">
        <v>16</v>
      </c>
      <c r="H1311" t="s">
        <v>3411</v>
      </c>
      <c r="I1311" s="8">
        <v>45950</v>
      </c>
      <c r="J1311" t="s">
        <v>2659</v>
      </c>
      <c r="K1311" t="s">
        <v>2660</v>
      </c>
      <c r="L1311" s="13">
        <v>3500</v>
      </c>
      <c r="M1311" t="s">
        <v>2676</v>
      </c>
    </row>
    <row r="1312" spans="1:13">
      <c r="A1312" t="s">
        <v>666</v>
      </c>
      <c r="B1312" t="s">
        <v>111</v>
      </c>
      <c r="C1312" s="8">
        <v>46186</v>
      </c>
      <c r="D1312" t="s">
        <v>342</v>
      </c>
      <c r="E1312" t="s">
        <v>339</v>
      </c>
      <c r="F1312" s="12">
        <v>243161</v>
      </c>
      <c r="G1312" s="13">
        <v>24</v>
      </c>
      <c r="H1312" t="s">
        <v>3231</v>
      </c>
      <c r="I1312" s="8">
        <v>46139</v>
      </c>
      <c r="J1312" t="s">
        <v>2668</v>
      </c>
      <c r="K1312" t="s">
        <v>2669</v>
      </c>
      <c r="L1312" s="13">
        <v>4000</v>
      </c>
      <c r="M1312" t="s">
        <v>2661</v>
      </c>
    </row>
    <row r="1313" spans="1:13">
      <c r="A1313" t="s">
        <v>666</v>
      </c>
      <c r="B1313" t="s">
        <v>111</v>
      </c>
      <c r="C1313" s="8">
        <v>46186</v>
      </c>
      <c r="D1313" t="s">
        <v>342</v>
      </c>
      <c r="E1313" t="s">
        <v>339</v>
      </c>
      <c r="F1313" s="12">
        <v>243161</v>
      </c>
      <c r="G1313" s="13">
        <v>24</v>
      </c>
      <c r="H1313" t="s">
        <v>3411</v>
      </c>
      <c r="I1313" s="8">
        <v>45950</v>
      </c>
      <c r="J1313" t="s">
        <v>2659</v>
      </c>
      <c r="K1313" t="s">
        <v>2660</v>
      </c>
      <c r="L1313" s="13">
        <v>3500</v>
      </c>
      <c r="M1313" t="s">
        <v>2676</v>
      </c>
    </row>
    <row r="1314" spans="1:13">
      <c r="A1314" t="s">
        <v>1219</v>
      </c>
      <c r="B1314" t="s">
        <v>111</v>
      </c>
      <c r="C1314" s="8">
        <v>46128</v>
      </c>
      <c r="D1314" t="s">
        <v>342</v>
      </c>
      <c r="E1314" t="s">
        <v>328</v>
      </c>
      <c r="F1314" s="12">
        <v>351638</v>
      </c>
      <c r="G1314" s="13">
        <v>35</v>
      </c>
      <c r="H1314" t="s">
        <v>3231</v>
      </c>
      <c r="I1314" s="8">
        <v>46139</v>
      </c>
      <c r="J1314" t="s">
        <v>2668</v>
      </c>
      <c r="K1314" t="s">
        <v>2669</v>
      </c>
      <c r="L1314" s="13">
        <v>4000</v>
      </c>
      <c r="M1314" t="s">
        <v>2661</v>
      </c>
    </row>
    <row r="1315" spans="1:13">
      <c r="A1315" t="s">
        <v>1219</v>
      </c>
      <c r="B1315" t="s">
        <v>111</v>
      </c>
      <c r="C1315" s="8">
        <v>46128</v>
      </c>
      <c r="D1315" t="s">
        <v>342</v>
      </c>
      <c r="E1315" t="s">
        <v>328</v>
      </c>
      <c r="F1315" s="12">
        <v>351638</v>
      </c>
      <c r="G1315" s="13">
        <v>35</v>
      </c>
      <c r="H1315" t="s">
        <v>3411</v>
      </c>
      <c r="I1315" s="8">
        <v>45950</v>
      </c>
      <c r="J1315" t="s">
        <v>2659</v>
      </c>
      <c r="K1315" t="s">
        <v>2660</v>
      </c>
      <c r="L1315" s="13">
        <v>3500</v>
      </c>
      <c r="M1315" t="s">
        <v>2676</v>
      </c>
    </row>
    <row r="1316" spans="1:13">
      <c r="A1316" t="s">
        <v>412</v>
      </c>
      <c r="B1316" t="s">
        <v>105</v>
      </c>
      <c r="C1316" s="8">
        <v>46042</v>
      </c>
      <c r="D1316" t="s">
        <v>332</v>
      </c>
      <c r="E1316" t="s">
        <v>322</v>
      </c>
      <c r="F1316" s="12">
        <v>254141</v>
      </c>
      <c r="G1316" s="13">
        <v>25</v>
      </c>
      <c r="H1316" t="s">
        <v>3001</v>
      </c>
      <c r="I1316" s="8">
        <v>46288</v>
      </c>
      <c r="J1316" t="s">
        <v>2668</v>
      </c>
      <c r="K1316" t="s">
        <v>2669</v>
      </c>
      <c r="L1316" s="13">
        <v>4000</v>
      </c>
      <c r="M1316" t="s">
        <v>2661</v>
      </c>
    </row>
    <row r="1317" spans="1:13">
      <c r="A1317" t="s">
        <v>412</v>
      </c>
      <c r="B1317" t="s">
        <v>105</v>
      </c>
      <c r="C1317" s="8">
        <v>46042</v>
      </c>
      <c r="D1317" t="s">
        <v>332</v>
      </c>
      <c r="E1317" t="s">
        <v>322</v>
      </c>
      <c r="F1317" s="12">
        <v>254141</v>
      </c>
      <c r="G1317" s="13">
        <v>25</v>
      </c>
      <c r="H1317" t="s">
        <v>3018</v>
      </c>
      <c r="I1317" s="8">
        <v>45961</v>
      </c>
      <c r="J1317" t="s">
        <v>2685</v>
      </c>
      <c r="K1317" t="s">
        <v>2686</v>
      </c>
      <c r="L1317" s="13">
        <v>5000</v>
      </c>
      <c r="M1317" t="s">
        <v>2661</v>
      </c>
    </row>
    <row r="1318" spans="1:13">
      <c r="A1318" t="s">
        <v>457</v>
      </c>
      <c r="B1318" t="s">
        <v>105</v>
      </c>
      <c r="C1318" s="8">
        <v>46232</v>
      </c>
      <c r="D1318" t="s">
        <v>327</v>
      </c>
      <c r="E1318" t="s">
        <v>337</v>
      </c>
      <c r="F1318" s="12">
        <v>224135</v>
      </c>
      <c r="G1318" s="13">
        <v>22</v>
      </c>
      <c r="H1318" t="s">
        <v>3001</v>
      </c>
      <c r="I1318" s="8">
        <v>46288</v>
      </c>
      <c r="J1318" t="s">
        <v>2668</v>
      </c>
      <c r="K1318" t="s">
        <v>2669</v>
      </c>
      <c r="L1318" s="13">
        <v>4000</v>
      </c>
      <c r="M1318" t="s">
        <v>2661</v>
      </c>
    </row>
    <row r="1319" spans="1:13">
      <c r="A1319" t="s">
        <v>457</v>
      </c>
      <c r="B1319" t="s">
        <v>105</v>
      </c>
      <c r="C1319" s="8">
        <v>46232</v>
      </c>
      <c r="D1319" t="s">
        <v>327</v>
      </c>
      <c r="E1319" t="s">
        <v>337</v>
      </c>
      <c r="F1319" s="12">
        <v>224135</v>
      </c>
      <c r="G1319" s="13">
        <v>22</v>
      </c>
      <c r="H1319" t="s">
        <v>3018</v>
      </c>
      <c r="I1319" s="8">
        <v>45961</v>
      </c>
      <c r="J1319" t="s">
        <v>2685</v>
      </c>
      <c r="K1319" t="s">
        <v>2686</v>
      </c>
      <c r="L1319" s="13">
        <v>5000</v>
      </c>
      <c r="M1319" t="s">
        <v>2661</v>
      </c>
    </row>
    <row r="1320" spans="1:13">
      <c r="A1320" t="s">
        <v>555</v>
      </c>
      <c r="B1320" t="s">
        <v>105</v>
      </c>
      <c r="C1320" s="8">
        <v>45952</v>
      </c>
      <c r="D1320" t="s">
        <v>321</v>
      </c>
      <c r="E1320" t="s">
        <v>339</v>
      </c>
      <c r="F1320" s="12">
        <v>574630</v>
      </c>
      <c r="G1320" s="13">
        <v>57</v>
      </c>
      <c r="H1320" t="s">
        <v>3001</v>
      </c>
      <c r="I1320" s="8">
        <v>46288</v>
      </c>
      <c r="J1320" t="s">
        <v>2668</v>
      </c>
      <c r="K1320" t="s">
        <v>2669</v>
      </c>
      <c r="L1320" s="13">
        <v>4000</v>
      </c>
      <c r="M1320" t="s">
        <v>2661</v>
      </c>
    </row>
    <row r="1321" spans="1:13">
      <c r="A1321" t="s">
        <v>555</v>
      </c>
      <c r="B1321" t="s">
        <v>105</v>
      </c>
      <c r="C1321" s="8">
        <v>45952</v>
      </c>
      <c r="D1321" t="s">
        <v>321</v>
      </c>
      <c r="E1321" t="s">
        <v>339</v>
      </c>
      <c r="F1321" s="12">
        <v>574630</v>
      </c>
      <c r="G1321" s="13">
        <v>57</v>
      </c>
      <c r="H1321" t="s">
        <v>3018</v>
      </c>
      <c r="I1321" s="8">
        <v>45961</v>
      </c>
      <c r="J1321" t="s">
        <v>2685</v>
      </c>
      <c r="K1321" t="s">
        <v>2686</v>
      </c>
      <c r="L1321" s="13">
        <v>5000</v>
      </c>
      <c r="M1321" t="s">
        <v>2661</v>
      </c>
    </row>
    <row r="1322" spans="1:13">
      <c r="A1322" t="s">
        <v>757</v>
      </c>
      <c r="B1322" t="s">
        <v>105</v>
      </c>
      <c r="C1322" s="8">
        <v>46109</v>
      </c>
      <c r="D1322" t="s">
        <v>342</v>
      </c>
      <c r="E1322" t="s">
        <v>325</v>
      </c>
      <c r="F1322" s="12">
        <v>426099</v>
      </c>
      <c r="G1322" s="13">
        <v>42</v>
      </c>
      <c r="H1322" t="s">
        <v>3001</v>
      </c>
      <c r="I1322" s="8">
        <v>46288</v>
      </c>
      <c r="J1322" t="s">
        <v>2668</v>
      </c>
      <c r="K1322" t="s">
        <v>2669</v>
      </c>
      <c r="L1322" s="13">
        <v>4000</v>
      </c>
      <c r="M1322" t="s">
        <v>2661</v>
      </c>
    </row>
    <row r="1323" spans="1:13">
      <c r="A1323" t="s">
        <v>757</v>
      </c>
      <c r="B1323" t="s">
        <v>105</v>
      </c>
      <c r="C1323" s="8">
        <v>46109</v>
      </c>
      <c r="D1323" t="s">
        <v>342</v>
      </c>
      <c r="E1323" t="s">
        <v>325</v>
      </c>
      <c r="F1323" s="12">
        <v>426099</v>
      </c>
      <c r="G1323" s="13">
        <v>42</v>
      </c>
      <c r="H1323" t="s">
        <v>3018</v>
      </c>
      <c r="I1323" s="8">
        <v>45961</v>
      </c>
      <c r="J1323" t="s">
        <v>2685</v>
      </c>
      <c r="K1323" t="s">
        <v>2686</v>
      </c>
      <c r="L1323" s="13">
        <v>5000</v>
      </c>
      <c r="M1323" t="s">
        <v>2661</v>
      </c>
    </row>
    <row r="1324" spans="1:13">
      <c r="A1324" t="s">
        <v>904</v>
      </c>
      <c r="B1324" t="s">
        <v>105</v>
      </c>
      <c r="C1324" s="8">
        <v>46209</v>
      </c>
      <c r="D1324" t="s">
        <v>327</v>
      </c>
      <c r="E1324" t="s">
        <v>339</v>
      </c>
      <c r="F1324" s="12">
        <v>143889</v>
      </c>
      <c r="G1324" s="13">
        <v>14</v>
      </c>
      <c r="H1324" t="s">
        <v>3001</v>
      </c>
      <c r="I1324" s="8">
        <v>46288</v>
      </c>
      <c r="J1324" t="s">
        <v>2668</v>
      </c>
      <c r="K1324" t="s">
        <v>2669</v>
      </c>
      <c r="L1324" s="13">
        <v>4000</v>
      </c>
      <c r="M1324" t="s">
        <v>2661</v>
      </c>
    </row>
    <row r="1325" spans="1:13">
      <c r="A1325" t="s">
        <v>904</v>
      </c>
      <c r="B1325" t="s">
        <v>105</v>
      </c>
      <c r="C1325" s="8">
        <v>46209</v>
      </c>
      <c r="D1325" t="s">
        <v>327</v>
      </c>
      <c r="E1325" t="s">
        <v>339</v>
      </c>
      <c r="F1325" s="12">
        <v>143889</v>
      </c>
      <c r="G1325" s="13">
        <v>14</v>
      </c>
      <c r="H1325" t="s">
        <v>3018</v>
      </c>
      <c r="I1325" s="8">
        <v>45961</v>
      </c>
      <c r="J1325" t="s">
        <v>2685</v>
      </c>
      <c r="K1325" t="s">
        <v>2686</v>
      </c>
      <c r="L1325" s="13">
        <v>5000</v>
      </c>
      <c r="M1325" t="s">
        <v>2661</v>
      </c>
    </row>
    <row r="1326" spans="1:13">
      <c r="A1326" t="s">
        <v>413</v>
      </c>
      <c r="B1326" t="s">
        <v>305</v>
      </c>
      <c r="C1326" s="8">
        <v>46103</v>
      </c>
      <c r="D1326" t="s">
        <v>324</v>
      </c>
      <c r="E1326" t="s">
        <v>322</v>
      </c>
      <c r="F1326" s="12">
        <v>353247</v>
      </c>
      <c r="G1326" s="13">
        <v>35</v>
      </c>
      <c r="H1326" t="s">
        <v>2799</v>
      </c>
      <c r="I1326" s="8">
        <v>46099</v>
      </c>
      <c r="J1326" t="s">
        <v>2674</v>
      </c>
      <c r="K1326" t="s">
        <v>2675</v>
      </c>
      <c r="L1326" s="13">
        <v>20000</v>
      </c>
      <c r="M1326" t="s">
        <v>2661</v>
      </c>
    </row>
    <row r="1327" spans="1:13">
      <c r="A1327" t="s">
        <v>413</v>
      </c>
      <c r="B1327" t="s">
        <v>305</v>
      </c>
      <c r="C1327" s="8">
        <v>46103</v>
      </c>
      <c r="D1327" t="s">
        <v>324</v>
      </c>
      <c r="E1327" t="s">
        <v>322</v>
      </c>
      <c r="F1327" s="12">
        <v>353247</v>
      </c>
      <c r="G1327" s="13">
        <v>35</v>
      </c>
      <c r="H1327" t="s">
        <v>3020</v>
      </c>
      <c r="I1327" s="8">
        <v>46112</v>
      </c>
      <c r="J1327" t="s">
        <v>2685</v>
      </c>
      <c r="K1327" t="s">
        <v>2686</v>
      </c>
      <c r="L1327" s="13">
        <v>5000</v>
      </c>
      <c r="M1327" t="s">
        <v>2661</v>
      </c>
    </row>
    <row r="1328" spans="1:13">
      <c r="A1328" t="s">
        <v>413</v>
      </c>
      <c r="B1328" t="s">
        <v>305</v>
      </c>
      <c r="C1328" s="8">
        <v>46103</v>
      </c>
      <c r="D1328" t="s">
        <v>324</v>
      </c>
      <c r="E1328" t="s">
        <v>322</v>
      </c>
      <c r="F1328" s="12">
        <v>353247</v>
      </c>
      <c r="G1328" s="13">
        <v>35</v>
      </c>
      <c r="H1328" t="s">
        <v>3142</v>
      </c>
      <c r="I1328" s="8">
        <v>46178</v>
      </c>
      <c r="J1328" t="s">
        <v>2671</v>
      </c>
      <c r="K1328" t="s">
        <v>2672</v>
      </c>
      <c r="L1328" s="13">
        <v>3000</v>
      </c>
      <c r="M1328" t="s">
        <v>2661</v>
      </c>
    </row>
    <row r="1329" spans="1:13">
      <c r="A1329" t="s">
        <v>525</v>
      </c>
      <c r="B1329" t="s">
        <v>305</v>
      </c>
      <c r="C1329" s="8">
        <v>46038</v>
      </c>
      <c r="D1329" t="s">
        <v>327</v>
      </c>
      <c r="E1329" t="s">
        <v>322</v>
      </c>
      <c r="F1329" s="12">
        <v>25499</v>
      </c>
      <c r="G1329" s="13">
        <v>2</v>
      </c>
      <c r="H1329" t="s">
        <v>2799</v>
      </c>
      <c r="I1329" s="8">
        <v>46099</v>
      </c>
      <c r="J1329" t="s">
        <v>2674</v>
      </c>
      <c r="K1329" t="s">
        <v>2675</v>
      </c>
      <c r="L1329" s="13">
        <v>20000</v>
      </c>
      <c r="M1329" t="s">
        <v>2661</v>
      </c>
    </row>
    <row r="1330" spans="1:13">
      <c r="A1330" t="s">
        <v>525</v>
      </c>
      <c r="B1330" t="s">
        <v>305</v>
      </c>
      <c r="C1330" s="8">
        <v>46038</v>
      </c>
      <c r="D1330" t="s">
        <v>327</v>
      </c>
      <c r="E1330" t="s">
        <v>322</v>
      </c>
      <c r="F1330" s="12">
        <v>25499</v>
      </c>
      <c r="G1330" s="13">
        <v>2</v>
      </c>
      <c r="H1330" t="s">
        <v>3020</v>
      </c>
      <c r="I1330" s="8">
        <v>46112</v>
      </c>
      <c r="J1330" t="s">
        <v>2685</v>
      </c>
      <c r="K1330" t="s">
        <v>2686</v>
      </c>
      <c r="L1330" s="13">
        <v>5000</v>
      </c>
      <c r="M1330" t="s">
        <v>2661</v>
      </c>
    </row>
    <row r="1331" spans="1:13">
      <c r="A1331" t="s">
        <v>525</v>
      </c>
      <c r="B1331" t="s">
        <v>305</v>
      </c>
      <c r="C1331" s="8">
        <v>46038</v>
      </c>
      <c r="D1331" t="s">
        <v>327</v>
      </c>
      <c r="E1331" t="s">
        <v>322</v>
      </c>
      <c r="F1331" s="12">
        <v>25499</v>
      </c>
      <c r="G1331" s="13">
        <v>2</v>
      </c>
      <c r="H1331" t="s">
        <v>3142</v>
      </c>
      <c r="I1331" s="8">
        <v>46178</v>
      </c>
      <c r="J1331" t="s">
        <v>2671</v>
      </c>
      <c r="K1331" t="s">
        <v>2672</v>
      </c>
      <c r="L1331" s="13">
        <v>3000</v>
      </c>
      <c r="M1331" t="s">
        <v>2661</v>
      </c>
    </row>
    <row r="1332" spans="1:13">
      <c r="A1332" t="s">
        <v>1036</v>
      </c>
      <c r="B1332" t="s">
        <v>305</v>
      </c>
      <c r="C1332" s="8">
        <v>46221</v>
      </c>
      <c r="D1332" t="s">
        <v>321</v>
      </c>
      <c r="E1332" t="s">
        <v>325</v>
      </c>
      <c r="F1332" s="12">
        <v>144665</v>
      </c>
      <c r="G1332" s="13">
        <v>14</v>
      </c>
      <c r="H1332" t="s">
        <v>2799</v>
      </c>
      <c r="I1332" s="8">
        <v>46099</v>
      </c>
      <c r="J1332" t="s">
        <v>2674</v>
      </c>
      <c r="K1332" t="s">
        <v>2675</v>
      </c>
      <c r="L1332" s="13">
        <v>20000</v>
      </c>
      <c r="M1332" t="s">
        <v>2661</v>
      </c>
    </row>
    <row r="1333" spans="1:13">
      <c r="A1333" t="s">
        <v>1036</v>
      </c>
      <c r="B1333" t="s">
        <v>305</v>
      </c>
      <c r="C1333" s="8">
        <v>46221</v>
      </c>
      <c r="D1333" t="s">
        <v>321</v>
      </c>
      <c r="E1333" t="s">
        <v>325</v>
      </c>
      <c r="F1333" s="12">
        <v>144665</v>
      </c>
      <c r="G1333" s="13">
        <v>14</v>
      </c>
      <c r="H1333" t="s">
        <v>3020</v>
      </c>
      <c r="I1333" s="8">
        <v>46112</v>
      </c>
      <c r="J1333" t="s">
        <v>2685</v>
      </c>
      <c r="K1333" t="s">
        <v>2686</v>
      </c>
      <c r="L1333" s="13">
        <v>5000</v>
      </c>
      <c r="M1333" t="s">
        <v>2661</v>
      </c>
    </row>
    <row r="1334" spans="1:13">
      <c r="A1334" t="s">
        <v>1036</v>
      </c>
      <c r="B1334" t="s">
        <v>305</v>
      </c>
      <c r="C1334" s="8">
        <v>46221</v>
      </c>
      <c r="D1334" t="s">
        <v>321</v>
      </c>
      <c r="E1334" t="s">
        <v>325</v>
      </c>
      <c r="F1334" s="12">
        <v>144665</v>
      </c>
      <c r="G1334" s="13">
        <v>14</v>
      </c>
      <c r="H1334" t="s">
        <v>3142</v>
      </c>
      <c r="I1334" s="8">
        <v>46178</v>
      </c>
      <c r="J1334" t="s">
        <v>2671</v>
      </c>
      <c r="K1334" t="s">
        <v>2672</v>
      </c>
      <c r="L1334" s="13">
        <v>3000</v>
      </c>
      <c r="M1334" t="s">
        <v>2661</v>
      </c>
    </row>
    <row r="1335" spans="1:13">
      <c r="A1335" t="s">
        <v>574</v>
      </c>
      <c r="B1335" t="s">
        <v>283</v>
      </c>
      <c r="C1335" s="8">
        <v>46132</v>
      </c>
      <c r="D1335" t="s">
        <v>330</v>
      </c>
      <c r="E1335" t="s">
        <v>325</v>
      </c>
      <c r="F1335" s="12">
        <v>289661</v>
      </c>
      <c r="G1335" s="13">
        <v>28</v>
      </c>
      <c r="H1335" t="s">
        <v>2758</v>
      </c>
      <c r="I1335" s="8">
        <v>46115</v>
      </c>
      <c r="J1335" t="s">
        <v>2663</v>
      </c>
      <c r="K1335" t="s">
        <v>3630</v>
      </c>
      <c r="L1335" s="13">
        <v>1500</v>
      </c>
      <c r="M1335" t="s">
        <v>2661</v>
      </c>
    </row>
    <row r="1336" spans="1:13">
      <c r="A1336" t="s">
        <v>574</v>
      </c>
      <c r="B1336" t="s">
        <v>283</v>
      </c>
      <c r="C1336" s="8">
        <v>46132</v>
      </c>
      <c r="D1336" t="s">
        <v>330</v>
      </c>
      <c r="E1336" t="s">
        <v>325</v>
      </c>
      <c r="F1336" s="12">
        <v>289661</v>
      </c>
      <c r="G1336" s="13">
        <v>28</v>
      </c>
      <c r="H1336" t="s">
        <v>2838</v>
      </c>
      <c r="I1336" s="8">
        <v>46084</v>
      </c>
      <c r="J1336" t="s">
        <v>2682</v>
      </c>
      <c r="K1336" t="s">
        <v>2683</v>
      </c>
      <c r="L1336" s="13">
        <v>6000</v>
      </c>
      <c r="M1336" t="s">
        <v>2661</v>
      </c>
    </row>
    <row r="1337" spans="1:13">
      <c r="A1337" t="s">
        <v>593</v>
      </c>
      <c r="B1337" t="s">
        <v>283</v>
      </c>
      <c r="C1337" s="8">
        <v>46159</v>
      </c>
      <c r="D1337" t="s">
        <v>342</v>
      </c>
      <c r="E1337" t="s">
        <v>339</v>
      </c>
      <c r="F1337" s="12">
        <v>350143</v>
      </c>
      <c r="G1337" s="13">
        <v>35</v>
      </c>
      <c r="H1337" t="s">
        <v>2758</v>
      </c>
      <c r="I1337" s="8">
        <v>46115</v>
      </c>
      <c r="J1337" t="s">
        <v>2663</v>
      </c>
      <c r="K1337" t="s">
        <v>3630</v>
      </c>
      <c r="L1337" s="13">
        <v>1500</v>
      </c>
      <c r="M1337" t="s">
        <v>2661</v>
      </c>
    </row>
    <row r="1338" spans="1:13">
      <c r="A1338" t="s">
        <v>593</v>
      </c>
      <c r="B1338" t="s">
        <v>283</v>
      </c>
      <c r="C1338" s="8">
        <v>46159</v>
      </c>
      <c r="D1338" t="s">
        <v>342</v>
      </c>
      <c r="E1338" t="s">
        <v>339</v>
      </c>
      <c r="F1338" s="12">
        <v>350143</v>
      </c>
      <c r="G1338" s="13">
        <v>35</v>
      </c>
      <c r="H1338" t="s">
        <v>2838</v>
      </c>
      <c r="I1338" s="8">
        <v>46084</v>
      </c>
      <c r="J1338" t="s">
        <v>2682</v>
      </c>
      <c r="K1338" t="s">
        <v>2683</v>
      </c>
      <c r="L1338" s="13">
        <v>6000</v>
      </c>
      <c r="M1338" t="s">
        <v>2661</v>
      </c>
    </row>
    <row r="1339" spans="1:13">
      <c r="A1339" t="s">
        <v>1068</v>
      </c>
      <c r="B1339" t="s">
        <v>283</v>
      </c>
      <c r="C1339" s="8">
        <v>46093</v>
      </c>
      <c r="D1339" t="s">
        <v>344</v>
      </c>
      <c r="E1339" t="s">
        <v>337</v>
      </c>
      <c r="F1339" s="12">
        <v>653506</v>
      </c>
      <c r="G1339" s="13">
        <v>65</v>
      </c>
      <c r="H1339" t="s">
        <v>2758</v>
      </c>
      <c r="I1339" s="8">
        <v>46115</v>
      </c>
      <c r="J1339" t="s">
        <v>2663</v>
      </c>
      <c r="K1339" t="s">
        <v>3630</v>
      </c>
      <c r="L1339" s="13">
        <v>1500</v>
      </c>
      <c r="M1339" t="s">
        <v>2661</v>
      </c>
    </row>
    <row r="1340" spans="1:13">
      <c r="A1340" t="s">
        <v>1068</v>
      </c>
      <c r="B1340" t="s">
        <v>283</v>
      </c>
      <c r="C1340" s="8">
        <v>46093</v>
      </c>
      <c r="D1340" t="s">
        <v>344</v>
      </c>
      <c r="E1340" t="s">
        <v>337</v>
      </c>
      <c r="F1340" s="12">
        <v>653506</v>
      </c>
      <c r="G1340" s="13">
        <v>65</v>
      </c>
      <c r="H1340" t="s">
        <v>2838</v>
      </c>
      <c r="I1340" s="8">
        <v>46084</v>
      </c>
      <c r="J1340" t="s">
        <v>2682</v>
      </c>
      <c r="K1340" t="s">
        <v>2683</v>
      </c>
      <c r="L1340" s="13">
        <v>6000</v>
      </c>
      <c r="M1340" t="s">
        <v>2661</v>
      </c>
    </row>
    <row r="1341" spans="1:13">
      <c r="A1341" t="s">
        <v>1071</v>
      </c>
      <c r="B1341" t="s">
        <v>283</v>
      </c>
      <c r="C1341" s="8">
        <v>46044</v>
      </c>
      <c r="D1341" t="s">
        <v>324</v>
      </c>
      <c r="E1341" t="s">
        <v>328</v>
      </c>
      <c r="F1341" s="12">
        <v>230333</v>
      </c>
      <c r="G1341" s="13">
        <v>23</v>
      </c>
      <c r="H1341" t="s">
        <v>2758</v>
      </c>
      <c r="I1341" s="8">
        <v>46115</v>
      </c>
      <c r="J1341" t="s">
        <v>2663</v>
      </c>
      <c r="K1341" t="s">
        <v>3630</v>
      </c>
      <c r="L1341" s="13">
        <v>1500</v>
      </c>
      <c r="M1341" t="s">
        <v>2661</v>
      </c>
    </row>
    <row r="1342" spans="1:13">
      <c r="A1342" t="s">
        <v>1071</v>
      </c>
      <c r="B1342" t="s">
        <v>283</v>
      </c>
      <c r="C1342" s="8">
        <v>46044</v>
      </c>
      <c r="D1342" t="s">
        <v>324</v>
      </c>
      <c r="E1342" t="s">
        <v>328</v>
      </c>
      <c r="F1342" s="12">
        <v>230333</v>
      </c>
      <c r="G1342" s="13">
        <v>23</v>
      </c>
      <c r="H1342" t="s">
        <v>2838</v>
      </c>
      <c r="I1342" s="8">
        <v>46084</v>
      </c>
      <c r="J1342" t="s">
        <v>2682</v>
      </c>
      <c r="K1342" t="s">
        <v>2683</v>
      </c>
      <c r="L1342" s="13">
        <v>6000</v>
      </c>
      <c r="M1342" t="s">
        <v>2661</v>
      </c>
    </row>
    <row r="1343" spans="1:13">
      <c r="A1343" t="s">
        <v>414</v>
      </c>
      <c r="B1343" t="s">
        <v>156</v>
      </c>
      <c r="C1343" s="8">
        <v>46243</v>
      </c>
      <c r="D1343" t="s">
        <v>330</v>
      </c>
      <c r="E1343" t="s">
        <v>328</v>
      </c>
      <c r="F1343" s="12">
        <v>323552</v>
      </c>
      <c r="G1343" s="13">
        <v>32</v>
      </c>
      <c r="H1343" t="s">
        <v>3301</v>
      </c>
      <c r="I1343" s="8">
        <v>46106</v>
      </c>
      <c r="J1343" t="s">
        <v>2674</v>
      </c>
      <c r="K1343" t="s">
        <v>2675</v>
      </c>
      <c r="L1343" s="13">
        <v>20000</v>
      </c>
      <c r="M1343" t="s">
        <v>2661</v>
      </c>
    </row>
    <row r="1344" spans="1:13">
      <c r="A1344" t="s">
        <v>414</v>
      </c>
      <c r="B1344" t="s">
        <v>156</v>
      </c>
      <c r="C1344" s="8">
        <v>46243</v>
      </c>
      <c r="D1344" t="s">
        <v>330</v>
      </c>
      <c r="E1344" t="s">
        <v>328</v>
      </c>
      <c r="F1344" s="12">
        <v>323552</v>
      </c>
      <c r="G1344" s="13">
        <v>32</v>
      </c>
      <c r="H1344" t="s">
        <v>3309</v>
      </c>
      <c r="I1344" s="8">
        <v>46033</v>
      </c>
      <c r="J1344" t="s">
        <v>2692</v>
      </c>
      <c r="K1344" t="s">
        <v>2693</v>
      </c>
      <c r="L1344" s="13">
        <v>10000</v>
      </c>
      <c r="M1344" t="s">
        <v>2661</v>
      </c>
    </row>
    <row r="1345" spans="1:13">
      <c r="A1345" t="s">
        <v>1081</v>
      </c>
      <c r="B1345" t="s">
        <v>156</v>
      </c>
      <c r="C1345" s="8">
        <v>46140</v>
      </c>
      <c r="D1345" t="s">
        <v>342</v>
      </c>
      <c r="E1345" t="s">
        <v>334</v>
      </c>
      <c r="F1345" s="12">
        <v>317149</v>
      </c>
      <c r="G1345" s="13">
        <v>31</v>
      </c>
      <c r="H1345" t="s">
        <v>3301</v>
      </c>
      <c r="I1345" s="8">
        <v>46106</v>
      </c>
      <c r="J1345" t="s">
        <v>2674</v>
      </c>
      <c r="K1345" t="s">
        <v>2675</v>
      </c>
      <c r="L1345" s="13">
        <v>20000</v>
      </c>
      <c r="M1345" t="s">
        <v>2661</v>
      </c>
    </row>
    <row r="1346" spans="1:13">
      <c r="A1346" t="s">
        <v>1081</v>
      </c>
      <c r="B1346" t="s">
        <v>156</v>
      </c>
      <c r="C1346" s="8">
        <v>46140</v>
      </c>
      <c r="D1346" t="s">
        <v>342</v>
      </c>
      <c r="E1346" t="s">
        <v>334</v>
      </c>
      <c r="F1346" s="12">
        <v>317149</v>
      </c>
      <c r="G1346" s="13">
        <v>31</v>
      </c>
      <c r="H1346" t="s">
        <v>3309</v>
      </c>
      <c r="I1346" s="8">
        <v>46033</v>
      </c>
      <c r="J1346" t="s">
        <v>2692</v>
      </c>
      <c r="K1346" t="s">
        <v>2693</v>
      </c>
      <c r="L1346" s="13">
        <v>10000</v>
      </c>
      <c r="M1346" t="s">
        <v>2661</v>
      </c>
    </row>
    <row r="1347" spans="1:13">
      <c r="A1347" t="s">
        <v>937</v>
      </c>
      <c r="B1347" t="s">
        <v>15</v>
      </c>
      <c r="C1347" s="8">
        <v>45998</v>
      </c>
      <c r="D1347" t="s">
        <v>342</v>
      </c>
      <c r="E1347" t="s">
        <v>334</v>
      </c>
      <c r="F1347" s="12">
        <v>164119</v>
      </c>
      <c r="G1347" s="13">
        <v>16</v>
      </c>
      <c r="H1347" t="s">
        <v>2759</v>
      </c>
      <c r="I1347" s="8">
        <v>46075</v>
      </c>
      <c r="J1347" t="s">
        <v>2668</v>
      </c>
      <c r="K1347" t="s">
        <v>2669</v>
      </c>
      <c r="L1347" s="13">
        <v>4000</v>
      </c>
      <c r="M1347" t="s">
        <v>2661</v>
      </c>
    </row>
    <row r="1348" spans="1:13">
      <c r="A1348" t="s">
        <v>937</v>
      </c>
      <c r="B1348" t="s">
        <v>15</v>
      </c>
      <c r="C1348" s="8">
        <v>45998</v>
      </c>
      <c r="D1348" t="s">
        <v>342</v>
      </c>
      <c r="E1348" t="s">
        <v>334</v>
      </c>
      <c r="F1348" s="12">
        <v>164119</v>
      </c>
      <c r="G1348" s="13">
        <v>16</v>
      </c>
      <c r="H1348" t="s">
        <v>2950</v>
      </c>
      <c r="I1348" s="8">
        <v>46240</v>
      </c>
      <c r="J1348" t="s">
        <v>2671</v>
      </c>
      <c r="K1348" t="s">
        <v>2672</v>
      </c>
      <c r="L1348" s="13">
        <v>3000</v>
      </c>
      <c r="M1348" t="s">
        <v>2661</v>
      </c>
    </row>
    <row r="1349" spans="1:13">
      <c r="A1349" t="s">
        <v>415</v>
      </c>
      <c r="B1349" t="s">
        <v>306</v>
      </c>
      <c r="C1349" s="8">
        <v>46250</v>
      </c>
      <c r="D1349" t="s">
        <v>321</v>
      </c>
      <c r="E1349" t="s">
        <v>337</v>
      </c>
      <c r="F1349" s="12">
        <v>240938</v>
      </c>
      <c r="G1349" s="13">
        <v>24</v>
      </c>
      <c r="H1349" t="s">
        <v>2845</v>
      </c>
      <c r="I1349" s="8">
        <v>45986</v>
      </c>
      <c r="J1349" t="s">
        <v>2665</v>
      </c>
      <c r="K1349" t="s">
        <v>2666</v>
      </c>
      <c r="L1349" s="13">
        <v>2500</v>
      </c>
      <c r="M1349" t="s">
        <v>2676</v>
      </c>
    </row>
    <row r="1350" spans="1:13">
      <c r="A1350" t="s">
        <v>415</v>
      </c>
      <c r="B1350" t="s">
        <v>306</v>
      </c>
      <c r="C1350" s="8">
        <v>46250</v>
      </c>
      <c r="D1350" t="s">
        <v>321</v>
      </c>
      <c r="E1350" t="s">
        <v>337</v>
      </c>
      <c r="F1350" s="12">
        <v>240938</v>
      </c>
      <c r="G1350" s="13">
        <v>24</v>
      </c>
      <c r="H1350" t="s">
        <v>3198</v>
      </c>
      <c r="I1350" s="8">
        <v>46287</v>
      </c>
      <c r="J1350" t="s">
        <v>2659</v>
      </c>
      <c r="K1350" t="s">
        <v>2660</v>
      </c>
      <c r="L1350" s="13">
        <v>3500</v>
      </c>
      <c r="M1350" t="s">
        <v>2661</v>
      </c>
    </row>
    <row r="1351" spans="1:13">
      <c r="A1351" t="s">
        <v>520</v>
      </c>
      <c r="B1351" t="s">
        <v>306</v>
      </c>
      <c r="C1351" s="8">
        <v>46203</v>
      </c>
      <c r="D1351" t="s">
        <v>332</v>
      </c>
      <c r="E1351" t="s">
        <v>339</v>
      </c>
      <c r="F1351" s="12">
        <v>415830</v>
      </c>
      <c r="G1351" s="13">
        <v>41</v>
      </c>
      <c r="H1351" t="s">
        <v>2845</v>
      </c>
      <c r="I1351" s="8">
        <v>45986</v>
      </c>
      <c r="J1351" t="s">
        <v>2665</v>
      </c>
      <c r="K1351" t="s">
        <v>2666</v>
      </c>
      <c r="L1351" s="13">
        <v>2500</v>
      </c>
      <c r="M1351" t="s">
        <v>2676</v>
      </c>
    </row>
    <row r="1352" spans="1:13">
      <c r="A1352" t="s">
        <v>520</v>
      </c>
      <c r="B1352" t="s">
        <v>306</v>
      </c>
      <c r="C1352" s="8">
        <v>46203</v>
      </c>
      <c r="D1352" t="s">
        <v>332</v>
      </c>
      <c r="E1352" t="s">
        <v>339</v>
      </c>
      <c r="F1352" s="12">
        <v>415830</v>
      </c>
      <c r="G1352" s="13">
        <v>41</v>
      </c>
      <c r="H1352" t="s">
        <v>3198</v>
      </c>
      <c r="I1352" s="8">
        <v>46287</v>
      </c>
      <c r="J1352" t="s">
        <v>2659</v>
      </c>
      <c r="K1352" t="s">
        <v>2660</v>
      </c>
      <c r="L1352" s="13">
        <v>3500</v>
      </c>
      <c r="M1352" t="s">
        <v>2661</v>
      </c>
    </row>
    <row r="1353" spans="1:13">
      <c r="A1353" t="s">
        <v>566</v>
      </c>
      <c r="B1353" t="s">
        <v>306</v>
      </c>
      <c r="C1353" s="8">
        <v>46251</v>
      </c>
      <c r="D1353" t="s">
        <v>344</v>
      </c>
      <c r="E1353" t="s">
        <v>339</v>
      </c>
      <c r="F1353" s="12">
        <v>382912</v>
      </c>
      <c r="G1353" s="13">
        <v>38</v>
      </c>
      <c r="H1353" t="s">
        <v>2845</v>
      </c>
      <c r="I1353" s="8">
        <v>45986</v>
      </c>
      <c r="J1353" t="s">
        <v>2665</v>
      </c>
      <c r="K1353" t="s">
        <v>2666</v>
      </c>
      <c r="L1353" s="13">
        <v>2500</v>
      </c>
      <c r="M1353" t="s">
        <v>2676</v>
      </c>
    </row>
    <row r="1354" spans="1:13">
      <c r="A1354" t="s">
        <v>566</v>
      </c>
      <c r="B1354" t="s">
        <v>306</v>
      </c>
      <c r="C1354" s="8">
        <v>46251</v>
      </c>
      <c r="D1354" t="s">
        <v>344</v>
      </c>
      <c r="E1354" t="s">
        <v>339</v>
      </c>
      <c r="F1354" s="12">
        <v>382912</v>
      </c>
      <c r="G1354" s="13">
        <v>38</v>
      </c>
      <c r="H1354" t="s">
        <v>3198</v>
      </c>
      <c r="I1354" s="8">
        <v>46287</v>
      </c>
      <c r="J1354" t="s">
        <v>2659</v>
      </c>
      <c r="K1354" t="s">
        <v>2660</v>
      </c>
      <c r="L1354" s="13">
        <v>3500</v>
      </c>
      <c r="M1354" t="s">
        <v>2661</v>
      </c>
    </row>
    <row r="1355" spans="1:13">
      <c r="A1355" t="s">
        <v>795</v>
      </c>
      <c r="B1355" t="s">
        <v>306</v>
      </c>
      <c r="C1355" s="8">
        <v>46170</v>
      </c>
      <c r="D1355" t="s">
        <v>324</v>
      </c>
      <c r="E1355" t="s">
        <v>337</v>
      </c>
      <c r="F1355" s="12">
        <v>336729</v>
      </c>
      <c r="G1355" s="13">
        <v>33</v>
      </c>
      <c r="H1355" t="s">
        <v>2845</v>
      </c>
      <c r="I1355" s="8">
        <v>45986</v>
      </c>
      <c r="J1355" t="s">
        <v>2665</v>
      </c>
      <c r="K1355" t="s">
        <v>2666</v>
      </c>
      <c r="L1355" s="13">
        <v>2500</v>
      </c>
      <c r="M1355" t="s">
        <v>2676</v>
      </c>
    </row>
    <row r="1356" spans="1:13">
      <c r="A1356" t="s">
        <v>795</v>
      </c>
      <c r="B1356" t="s">
        <v>306</v>
      </c>
      <c r="C1356" s="8">
        <v>46170</v>
      </c>
      <c r="D1356" t="s">
        <v>324</v>
      </c>
      <c r="E1356" t="s">
        <v>337</v>
      </c>
      <c r="F1356" s="12">
        <v>336729</v>
      </c>
      <c r="G1356" s="13">
        <v>33</v>
      </c>
      <c r="H1356" t="s">
        <v>3198</v>
      </c>
      <c r="I1356" s="8">
        <v>46287</v>
      </c>
      <c r="J1356" t="s">
        <v>2659</v>
      </c>
      <c r="K1356" t="s">
        <v>2660</v>
      </c>
      <c r="L1356" s="13">
        <v>3500</v>
      </c>
      <c r="M1356" t="s">
        <v>2661</v>
      </c>
    </row>
    <row r="1357" spans="1:13">
      <c r="A1357" t="s">
        <v>1049</v>
      </c>
      <c r="B1357" t="s">
        <v>306</v>
      </c>
      <c r="C1357" s="8">
        <v>46186</v>
      </c>
      <c r="D1357" t="s">
        <v>330</v>
      </c>
      <c r="E1357" t="s">
        <v>337</v>
      </c>
      <c r="F1357" s="12">
        <v>259310</v>
      </c>
      <c r="G1357" s="13">
        <v>25</v>
      </c>
      <c r="H1357" t="s">
        <v>2845</v>
      </c>
      <c r="I1357" s="8">
        <v>45986</v>
      </c>
      <c r="J1357" t="s">
        <v>2665</v>
      </c>
      <c r="K1357" t="s">
        <v>2666</v>
      </c>
      <c r="L1357" s="13">
        <v>2500</v>
      </c>
      <c r="M1357" t="s">
        <v>2676</v>
      </c>
    </row>
    <row r="1358" spans="1:13">
      <c r="A1358" t="s">
        <v>1049</v>
      </c>
      <c r="B1358" t="s">
        <v>306</v>
      </c>
      <c r="C1358" s="8">
        <v>46186</v>
      </c>
      <c r="D1358" t="s">
        <v>330</v>
      </c>
      <c r="E1358" t="s">
        <v>337</v>
      </c>
      <c r="F1358" s="12">
        <v>259310</v>
      </c>
      <c r="G1358" s="13">
        <v>25</v>
      </c>
      <c r="H1358" t="s">
        <v>3198</v>
      </c>
      <c r="I1358" s="8">
        <v>46287</v>
      </c>
      <c r="J1358" t="s">
        <v>2659</v>
      </c>
      <c r="K1358" t="s">
        <v>2660</v>
      </c>
      <c r="L1358" s="13">
        <v>3500</v>
      </c>
      <c r="M1358" t="s">
        <v>2661</v>
      </c>
    </row>
    <row r="1359" spans="1:13">
      <c r="A1359" t="s">
        <v>1087</v>
      </c>
      <c r="B1359" t="s">
        <v>306</v>
      </c>
      <c r="C1359" s="8">
        <v>46211</v>
      </c>
      <c r="D1359" t="s">
        <v>350</v>
      </c>
      <c r="E1359" t="s">
        <v>322</v>
      </c>
      <c r="F1359" s="12">
        <v>51733</v>
      </c>
      <c r="G1359" s="13">
        <v>5</v>
      </c>
      <c r="H1359" t="s">
        <v>2845</v>
      </c>
      <c r="I1359" s="8">
        <v>45986</v>
      </c>
      <c r="J1359" t="s">
        <v>2665</v>
      </c>
      <c r="K1359" t="s">
        <v>2666</v>
      </c>
      <c r="L1359" s="13">
        <v>2500</v>
      </c>
      <c r="M1359" t="s">
        <v>2676</v>
      </c>
    </row>
    <row r="1360" spans="1:13">
      <c r="A1360" t="s">
        <v>1087</v>
      </c>
      <c r="B1360" t="s">
        <v>306</v>
      </c>
      <c r="C1360" s="8">
        <v>46211</v>
      </c>
      <c r="D1360" t="s">
        <v>350</v>
      </c>
      <c r="E1360" t="s">
        <v>322</v>
      </c>
      <c r="F1360" s="12">
        <v>51733</v>
      </c>
      <c r="G1360" s="13">
        <v>5</v>
      </c>
      <c r="H1360" t="s">
        <v>3198</v>
      </c>
      <c r="I1360" s="8">
        <v>46287</v>
      </c>
      <c r="J1360" t="s">
        <v>2659</v>
      </c>
      <c r="K1360" t="s">
        <v>2660</v>
      </c>
      <c r="L1360" s="13">
        <v>3500</v>
      </c>
      <c r="M1360" t="s">
        <v>2661</v>
      </c>
    </row>
    <row r="1361" spans="1:13">
      <c r="A1361" t="s">
        <v>416</v>
      </c>
      <c r="B1361" t="s">
        <v>290</v>
      </c>
      <c r="C1361" s="8">
        <v>45940</v>
      </c>
      <c r="D1361" t="s">
        <v>321</v>
      </c>
      <c r="E1361" t="s">
        <v>325</v>
      </c>
      <c r="F1361" s="12">
        <v>175209</v>
      </c>
      <c r="G1361" s="13">
        <v>17</v>
      </c>
      <c r="H1361" t="s">
        <v>3253</v>
      </c>
      <c r="I1361" s="8">
        <v>46053</v>
      </c>
      <c r="J1361" t="s">
        <v>2688</v>
      </c>
      <c r="K1361" t="s">
        <v>2689</v>
      </c>
      <c r="L1361" s="13">
        <v>8000</v>
      </c>
      <c r="M1361" t="s">
        <v>2661</v>
      </c>
    </row>
    <row r="1362" spans="1:13">
      <c r="A1362" t="s">
        <v>416</v>
      </c>
      <c r="B1362" t="s">
        <v>290</v>
      </c>
      <c r="C1362" s="8">
        <v>45940</v>
      </c>
      <c r="D1362" t="s">
        <v>321</v>
      </c>
      <c r="E1362" t="s">
        <v>325</v>
      </c>
      <c r="F1362" s="12">
        <v>175209</v>
      </c>
      <c r="G1362" s="13">
        <v>17</v>
      </c>
      <c r="H1362" t="s">
        <v>3256</v>
      </c>
      <c r="I1362" s="8">
        <v>45968</v>
      </c>
      <c r="J1362" t="s">
        <v>2688</v>
      </c>
      <c r="K1362" t="s">
        <v>2689</v>
      </c>
      <c r="L1362" s="13">
        <v>8000</v>
      </c>
      <c r="M1362" t="s">
        <v>2676</v>
      </c>
    </row>
    <row r="1363" spans="1:13">
      <c r="A1363" t="s">
        <v>596</v>
      </c>
      <c r="B1363" t="s">
        <v>290</v>
      </c>
      <c r="C1363" s="8">
        <v>46148</v>
      </c>
      <c r="D1363" t="s">
        <v>342</v>
      </c>
      <c r="E1363" t="s">
        <v>322</v>
      </c>
      <c r="F1363" s="12">
        <v>354905</v>
      </c>
      <c r="G1363" s="13">
        <v>35</v>
      </c>
      <c r="H1363" t="s">
        <v>3253</v>
      </c>
      <c r="I1363" s="8">
        <v>46053</v>
      </c>
      <c r="J1363" t="s">
        <v>2688</v>
      </c>
      <c r="K1363" t="s">
        <v>2689</v>
      </c>
      <c r="L1363" s="13">
        <v>8000</v>
      </c>
      <c r="M1363" t="s">
        <v>2661</v>
      </c>
    </row>
    <row r="1364" spans="1:13">
      <c r="A1364" t="s">
        <v>596</v>
      </c>
      <c r="B1364" t="s">
        <v>290</v>
      </c>
      <c r="C1364" s="8">
        <v>46148</v>
      </c>
      <c r="D1364" t="s">
        <v>342</v>
      </c>
      <c r="E1364" t="s">
        <v>322</v>
      </c>
      <c r="F1364" s="12">
        <v>354905</v>
      </c>
      <c r="G1364" s="13">
        <v>35</v>
      </c>
      <c r="H1364" t="s">
        <v>3256</v>
      </c>
      <c r="I1364" s="8">
        <v>45968</v>
      </c>
      <c r="J1364" t="s">
        <v>2688</v>
      </c>
      <c r="K1364" t="s">
        <v>2689</v>
      </c>
      <c r="L1364" s="13">
        <v>8000</v>
      </c>
      <c r="M1364" t="s">
        <v>2676</v>
      </c>
    </row>
    <row r="1365" spans="1:13">
      <c r="A1365" t="s">
        <v>838</v>
      </c>
      <c r="B1365" t="s">
        <v>290</v>
      </c>
      <c r="C1365" s="8">
        <v>45939</v>
      </c>
      <c r="D1365" t="s">
        <v>321</v>
      </c>
      <c r="E1365" t="s">
        <v>334</v>
      </c>
      <c r="F1365" s="12">
        <v>56138</v>
      </c>
      <c r="G1365" s="13">
        <v>5</v>
      </c>
      <c r="H1365" t="s">
        <v>3253</v>
      </c>
      <c r="I1365" s="8">
        <v>46053</v>
      </c>
      <c r="J1365" t="s">
        <v>2688</v>
      </c>
      <c r="K1365" t="s">
        <v>2689</v>
      </c>
      <c r="L1365" s="13">
        <v>8000</v>
      </c>
      <c r="M1365" t="s">
        <v>2661</v>
      </c>
    </row>
    <row r="1366" spans="1:13">
      <c r="A1366" t="s">
        <v>838</v>
      </c>
      <c r="B1366" t="s">
        <v>290</v>
      </c>
      <c r="C1366" s="8">
        <v>45939</v>
      </c>
      <c r="D1366" t="s">
        <v>321</v>
      </c>
      <c r="E1366" t="s">
        <v>334</v>
      </c>
      <c r="F1366" s="12">
        <v>56138</v>
      </c>
      <c r="G1366" s="13">
        <v>5</v>
      </c>
      <c r="H1366" t="s">
        <v>3256</v>
      </c>
      <c r="I1366" s="8">
        <v>45968</v>
      </c>
      <c r="J1366" t="s">
        <v>2688</v>
      </c>
      <c r="K1366" t="s">
        <v>2689</v>
      </c>
      <c r="L1366" s="13">
        <v>8000</v>
      </c>
      <c r="M1366" t="s">
        <v>2676</v>
      </c>
    </row>
    <row r="1367" spans="1:13">
      <c r="A1367" t="s">
        <v>917</v>
      </c>
      <c r="B1367" t="s">
        <v>290</v>
      </c>
      <c r="C1367" s="8">
        <v>45952</v>
      </c>
      <c r="D1367" t="s">
        <v>330</v>
      </c>
      <c r="E1367" t="s">
        <v>322</v>
      </c>
      <c r="F1367" s="12">
        <v>437382</v>
      </c>
      <c r="G1367" s="13">
        <v>43</v>
      </c>
      <c r="H1367" t="s">
        <v>3253</v>
      </c>
      <c r="I1367" s="8">
        <v>46053</v>
      </c>
      <c r="J1367" t="s">
        <v>2688</v>
      </c>
      <c r="K1367" t="s">
        <v>2689</v>
      </c>
      <c r="L1367" s="13">
        <v>8000</v>
      </c>
      <c r="M1367" t="s">
        <v>2661</v>
      </c>
    </row>
    <row r="1368" spans="1:13">
      <c r="A1368" t="s">
        <v>917</v>
      </c>
      <c r="B1368" t="s">
        <v>290</v>
      </c>
      <c r="C1368" s="8">
        <v>45952</v>
      </c>
      <c r="D1368" t="s">
        <v>330</v>
      </c>
      <c r="E1368" t="s">
        <v>322</v>
      </c>
      <c r="F1368" s="12">
        <v>437382</v>
      </c>
      <c r="G1368" s="13">
        <v>43</v>
      </c>
      <c r="H1368" t="s">
        <v>3256</v>
      </c>
      <c r="I1368" s="8">
        <v>45968</v>
      </c>
      <c r="J1368" t="s">
        <v>2688</v>
      </c>
      <c r="K1368" t="s">
        <v>2689</v>
      </c>
      <c r="L1368" s="13">
        <v>8000</v>
      </c>
      <c r="M1368" t="s">
        <v>2676</v>
      </c>
    </row>
    <row r="1369" spans="1:13">
      <c r="A1369" t="s">
        <v>940</v>
      </c>
      <c r="B1369" t="s">
        <v>290</v>
      </c>
      <c r="C1369" s="8">
        <v>46090</v>
      </c>
      <c r="D1369" t="s">
        <v>327</v>
      </c>
      <c r="E1369" t="s">
        <v>328</v>
      </c>
      <c r="F1369" s="12">
        <v>162975</v>
      </c>
      <c r="G1369" s="13">
        <v>16</v>
      </c>
      <c r="H1369" t="s">
        <v>3253</v>
      </c>
      <c r="I1369" s="8">
        <v>46053</v>
      </c>
      <c r="J1369" t="s">
        <v>2688</v>
      </c>
      <c r="K1369" t="s">
        <v>2689</v>
      </c>
      <c r="L1369" s="13">
        <v>8000</v>
      </c>
      <c r="M1369" t="s">
        <v>2661</v>
      </c>
    </row>
    <row r="1370" spans="1:13">
      <c r="A1370" t="s">
        <v>940</v>
      </c>
      <c r="B1370" t="s">
        <v>290</v>
      </c>
      <c r="C1370" s="8">
        <v>46090</v>
      </c>
      <c r="D1370" t="s">
        <v>327</v>
      </c>
      <c r="E1370" t="s">
        <v>328</v>
      </c>
      <c r="F1370" s="12">
        <v>162975</v>
      </c>
      <c r="G1370" s="13">
        <v>16</v>
      </c>
      <c r="H1370" t="s">
        <v>3256</v>
      </c>
      <c r="I1370" s="8">
        <v>45968</v>
      </c>
      <c r="J1370" t="s">
        <v>2688</v>
      </c>
      <c r="K1370" t="s">
        <v>2689</v>
      </c>
      <c r="L1370" s="13">
        <v>8000</v>
      </c>
      <c r="M1370" t="s">
        <v>2676</v>
      </c>
    </row>
    <row r="1371" spans="1:13">
      <c r="A1371" t="s">
        <v>559</v>
      </c>
      <c r="B1371" t="s">
        <v>96</v>
      </c>
      <c r="C1371" s="8">
        <v>46031</v>
      </c>
      <c r="D1371" t="s">
        <v>321</v>
      </c>
      <c r="E1371" t="s">
        <v>322</v>
      </c>
      <c r="F1371" s="12">
        <v>248238</v>
      </c>
      <c r="G1371" s="13">
        <v>24</v>
      </c>
      <c r="H1371" t="s">
        <v>2761</v>
      </c>
      <c r="I1371" s="8">
        <v>46195</v>
      </c>
      <c r="J1371" t="s">
        <v>2665</v>
      </c>
      <c r="K1371" t="s">
        <v>2666</v>
      </c>
      <c r="L1371" s="13">
        <v>2500</v>
      </c>
      <c r="M1371" t="s">
        <v>2661</v>
      </c>
    </row>
    <row r="1372" spans="1:13">
      <c r="A1372" t="s">
        <v>559</v>
      </c>
      <c r="B1372" t="s">
        <v>96</v>
      </c>
      <c r="C1372" s="8">
        <v>46031</v>
      </c>
      <c r="D1372" t="s">
        <v>321</v>
      </c>
      <c r="E1372" t="s">
        <v>322</v>
      </c>
      <c r="F1372" s="12">
        <v>248238</v>
      </c>
      <c r="G1372" s="13">
        <v>24</v>
      </c>
      <c r="H1372" t="s">
        <v>2839</v>
      </c>
      <c r="I1372" s="8">
        <v>45996</v>
      </c>
      <c r="J1372" t="s">
        <v>2685</v>
      </c>
      <c r="K1372" t="s">
        <v>2686</v>
      </c>
      <c r="L1372" s="13">
        <v>5000</v>
      </c>
      <c r="M1372" t="s">
        <v>2661</v>
      </c>
    </row>
    <row r="1373" spans="1:13">
      <c r="A1373" t="s">
        <v>559</v>
      </c>
      <c r="B1373" t="s">
        <v>96</v>
      </c>
      <c r="C1373" s="8">
        <v>46031</v>
      </c>
      <c r="D1373" t="s">
        <v>321</v>
      </c>
      <c r="E1373" t="s">
        <v>322</v>
      </c>
      <c r="F1373" s="12">
        <v>248238</v>
      </c>
      <c r="G1373" s="13">
        <v>24</v>
      </c>
      <c r="H1373" t="s">
        <v>3048</v>
      </c>
      <c r="I1373" s="8">
        <v>46256</v>
      </c>
      <c r="J1373" t="s">
        <v>2659</v>
      </c>
      <c r="K1373" t="s">
        <v>2660</v>
      </c>
      <c r="L1373" s="13">
        <v>3500</v>
      </c>
      <c r="M1373" t="s">
        <v>2661</v>
      </c>
    </row>
    <row r="1374" spans="1:13">
      <c r="A1374" t="s">
        <v>559</v>
      </c>
      <c r="B1374" t="s">
        <v>96</v>
      </c>
      <c r="C1374" s="8">
        <v>46031</v>
      </c>
      <c r="D1374" t="s">
        <v>321</v>
      </c>
      <c r="E1374" t="s">
        <v>322</v>
      </c>
      <c r="F1374" s="12">
        <v>248238</v>
      </c>
      <c r="G1374" s="13">
        <v>24</v>
      </c>
      <c r="H1374" t="s">
        <v>3112</v>
      </c>
      <c r="I1374" s="8">
        <v>46182</v>
      </c>
      <c r="J1374" t="s">
        <v>2668</v>
      </c>
      <c r="K1374" t="s">
        <v>2669</v>
      </c>
      <c r="L1374" s="13">
        <v>4000</v>
      </c>
      <c r="M1374" t="s">
        <v>2661</v>
      </c>
    </row>
    <row r="1375" spans="1:13">
      <c r="A1375" t="s">
        <v>559</v>
      </c>
      <c r="B1375" t="s">
        <v>96</v>
      </c>
      <c r="C1375" s="8">
        <v>46031</v>
      </c>
      <c r="D1375" t="s">
        <v>321</v>
      </c>
      <c r="E1375" t="s">
        <v>322</v>
      </c>
      <c r="F1375" s="12">
        <v>248238</v>
      </c>
      <c r="G1375" s="13">
        <v>24</v>
      </c>
      <c r="H1375" t="s">
        <v>3389</v>
      </c>
      <c r="I1375" s="8">
        <v>45999</v>
      </c>
      <c r="J1375" t="s">
        <v>2671</v>
      </c>
      <c r="K1375" t="s">
        <v>2672</v>
      </c>
      <c r="L1375" s="13">
        <v>3000</v>
      </c>
      <c r="M1375" t="s">
        <v>2661</v>
      </c>
    </row>
    <row r="1376" spans="1:13">
      <c r="A1376" t="s">
        <v>559</v>
      </c>
      <c r="B1376" t="s">
        <v>96</v>
      </c>
      <c r="C1376" s="8">
        <v>46031</v>
      </c>
      <c r="D1376" t="s">
        <v>321</v>
      </c>
      <c r="E1376" t="s">
        <v>322</v>
      </c>
      <c r="F1376" s="12">
        <v>248238</v>
      </c>
      <c r="G1376" s="13">
        <v>24</v>
      </c>
      <c r="H1376" t="s">
        <v>3431</v>
      </c>
      <c r="I1376" s="8">
        <v>46091</v>
      </c>
      <c r="J1376" t="s">
        <v>2685</v>
      </c>
      <c r="K1376" t="s">
        <v>2686</v>
      </c>
      <c r="L1376" s="13">
        <v>5000</v>
      </c>
      <c r="M1376" t="s">
        <v>2661</v>
      </c>
    </row>
    <row r="1377" spans="1:13">
      <c r="A1377" t="s">
        <v>418</v>
      </c>
      <c r="B1377" t="s">
        <v>125</v>
      </c>
      <c r="C1377" s="8">
        <v>45975</v>
      </c>
      <c r="D1377" t="s">
        <v>324</v>
      </c>
      <c r="E1377" t="s">
        <v>325</v>
      </c>
      <c r="F1377" s="12">
        <v>621508</v>
      </c>
      <c r="G1377" s="13">
        <v>62</v>
      </c>
      <c r="H1377" t="s">
        <v>2832</v>
      </c>
      <c r="I1377" s="8">
        <v>46262</v>
      </c>
      <c r="J1377" t="s">
        <v>2671</v>
      </c>
      <c r="K1377" t="s">
        <v>2672</v>
      </c>
      <c r="L1377" s="13">
        <v>3000</v>
      </c>
      <c r="M1377" t="s">
        <v>2661</v>
      </c>
    </row>
    <row r="1378" spans="1:13">
      <c r="A1378" t="s">
        <v>418</v>
      </c>
      <c r="B1378" t="s">
        <v>125</v>
      </c>
      <c r="C1378" s="8">
        <v>45975</v>
      </c>
      <c r="D1378" t="s">
        <v>324</v>
      </c>
      <c r="E1378" t="s">
        <v>325</v>
      </c>
      <c r="F1378" s="12">
        <v>621508</v>
      </c>
      <c r="G1378" s="13">
        <v>62</v>
      </c>
      <c r="H1378" t="s">
        <v>3039</v>
      </c>
      <c r="I1378" s="8">
        <v>45962</v>
      </c>
      <c r="J1378" t="s">
        <v>2682</v>
      </c>
      <c r="K1378" t="s">
        <v>2683</v>
      </c>
      <c r="L1378" s="13">
        <v>6000</v>
      </c>
      <c r="M1378" t="s">
        <v>2661</v>
      </c>
    </row>
    <row r="1379" spans="1:13">
      <c r="A1379" t="s">
        <v>876</v>
      </c>
      <c r="B1379" t="s">
        <v>125</v>
      </c>
      <c r="C1379" s="8">
        <v>46246</v>
      </c>
      <c r="D1379" t="s">
        <v>330</v>
      </c>
      <c r="E1379" t="s">
        <v>337</v>
      </c>
      <c r="F1379" s="12">
        <v>25000</v>
      </c>
      <c r="G1379" s="13">
        <v>2</v>
      </c>
      <c r="H1379" t="s">
        <v>2832</v>
      </c>
      <c r="I1379" s="8">
        <v>46262</v>
      </c>
      <c r="J1379" t="s">
        <v>2671</v>
      </c>
      <c r="K1379" t="s">
        <v>2672</v>
      </c>
      <c r="L1379" s="13">
        <v>3000</v>
      </c>
      <c r="M1379" t="s">
        <v>2661</v>
      </c>
    </row>
    <row r="1380" spans="1:13">
      <c r="A1380" t="s">
        <v>876</v>
      </c>
      <c r="B1380" t="s">
        <v>125</v>
      </c>
      <c r="C1380" s="8">
        <v>46246</v>
      </c>
      <c r="D1380" t="s">
        <v>330</v>
      </c>
      <c r="E1380" t="s">
        <v>337</v>
      </c>
      <c r="F1380" s="12">
        <v>25000</v>
      </c>
      <c r="G1380" s="13">
        <v>2</v>
      </c>
      <c r="H1380" t="s">
        <v>3039</v>
      </c>
      <c r="I1380" s="8">
        <v>45962</v>
      </c>
      <c r="J1380" t="s">
        <v>2682</v>
      </c>
      <c r="K1380" t="s">
        <v>2683</v>
      </c>
      <c r="L1380" s="13">
        <v>6000</v>
      </c>
      <c r="M1380" t="s">
        <v>2661</v>
      </c>
    </row>
    <row r="1381" spans="1:13">
      <c r="A1381" t="s">
        <v>419</v>
      </c>
      <c r="B1381" t="s">
        <v>204</v>
      </c>
      <c r="C1381" s="8">
        <v>46270</v>
      </c>
      <c r="D1381" t="s">
        <v>327</v>
      </c>
      <c r="E1381" t="s">
        <v>334</v>
      </c>
      <c r="F1381" s="12">
        <v>311728</v>
      </c>
      <c r="G1381" s="13">
        <v>31</v>
      </c>
      <c r="H1381" t="s">
        <v>3008</v>
      </c>
      <c r="I1381" s="8">
        <v>46076</v>
      </c>
      <c r="J1381" t="s">
        <v>2663</v>
      </c>
      <c r="K1381" t="s">
        <v>3630</v>
      </c>
      <c r="L1381" s="13">
        <v>1500</v>
      </c>
      <c r="M1381" t="s">
        <v>2661</v>
      </c>
    </row>
    <row r="1382" spans="1:13">
      <c r="A1382" t="s">
        <v>419</v>
      </c>
      <c r="B1382" t="s">
        <v>204</v>
      </c>
      <c r="C1382" s="8">
        <v>46270</v>
      </c>
      <c r="D1382" t="s">
        <v>327</v>
      </c>
      <c r="E1382" t="s">
        <v>334</v>
      </c>
      <c r="F1382" s="12">
        <v>311728</v>
      </c>
      <c r="G1382" s="13">
        <v>31</v>
      </c>
      <c r="H1382" t="s">
        <v>3098</v>
      </c>
      <c r="I1382" s="8">
        <v>45974</v>
      </c>
      <c r="J1382" t="s">
        <v>2674</v>
      </c>
      <c r="K1382" t="s">
        <v>2675</v>
      </c>
      <c r="L1382" s="13">
        <v>20000</v>
      </c>
      <c r="M1382" t="s">
        <v>2661</v>
      </c>
    </row>
    <row r="1383" spans="1:13">
      <c r="A1383" t="s">
        <v>419</v>
      </c>
      <c r="B1383" t="s">
        <v>204</v>
      </c>
      <c r="C1383" s="8">
        <v>46270</v>
      </c>
      <c r="D1383" t="s">
        <v>327</v>
      </c>
      <c r="E1383" t="s">
        <v>334</v>
      </c>
      <c r="F1383" s="12">
        <v>311728</v>
      </c>
      <c r="G1383" s="13">
        <v>31</v>
      </c>
      <c r="H1383" t="s">
        <v>3265</v>
      </c>
      <c r="I1383" s="8">
        <v>46085</v>
      </c>
      <c r="J1383" t="s">
        <v>2668</v>
      </c>
      <c r="K1383" t="s">
        <v>2669</v>
      </c>
      <c r="L1383" s="13">
        <v>4000</v>
      </c>
      <c r="M1383" t="s">
        <v>2676</v>
      </c>
    </row>
    <row r="1384" spans="1:13">
      <c r="A1384" t="s">
        <v>419</v>
      </c>
      <c r="B1384" t="s">
        <v>204</v>
      </c>
      <c r="C1384" s="8">
        <v>46270</v>
      </c>
      <c r="D1384" t="s">
        <v>327</v>
      </c>
      <c r="E1384" t="s">
        <v>334</v>
      </c>
      <c r="F1384" s="12">
        <v>311728</v>
      </c>
      <c r="G1384" s="13">
        <v>31</v>
      </c>
      <c r="H1384" t="s">
        <v>3516</v>
      </c>
      <c r="I1384" s="8">
        <v>46167</v>
      </c>
      <c r="J1384" t="s">
        <v>2659</v>
      </c>
      <c r="K1384" t="s">
        <v>2660</v>
      </c>
      <c r="L1384" s="13">
        <v>3500</v>
      </c>
      <c r="M1384" t="s">
        <v>2661</v>
      </c>
    </row>
    <row r="1385" spans="1:13">
      <c r="A1385" t="s">
        <v>425</v>
      </c>
      <c r="B1385" t="s">
        <v>204</v>
      </c>
      <c r="C1385" s="8">
        <v>46288</v>
      </c>
      <c r="D1385" t="s">
        <v>350</v>
      </c>
      <c r="E1385" t="s">
        <v>339</v>
      </c>
      <c r="F1385" s="12">
        <v>92026</v>
      </c>
      <c r="G1385" s="13">
        <v>9</v>
      </c>
      <c r="H1385" t="s">
        <v>3008</v>
      </c>
      <c r="I1385" s="8">
        <v>46076</v>
      </c>
      <c r="J1385" t="s">
        <v>2663</v>
      </c>
      <c r="K1385" t="s">
        <v>3630</v>
      </c>
      <c r="L1385" s="13">
        <v>1500</v>
      </c>
      <c r="M1385" t="s">
        <v>2661</v>
      </c>
    </row>
    <row r="1386" spans="1:13">
      <c r="A1386" t="s">
        <v>425</v>
      </c>
      <c r="B1386" t="s">
        <v>204</v>
      </c>
      <c r="C1386" s="8">
        <v>46288</v>
      </c>
      <c r="D1386" t="s">
        <v>350</v>
      </c>
      <c r="E1386" t="s">
        <v>339</v>
      </c>
      <c r="F1386" s="12">
        <v>92026</v>
      </c>
      <c r="G1386" s="13">
        <v>9</v>
      </c>
      <c r="H1386" t="s">
        <v>3098</v>
      </c>
      <c r="I1386" s="8">
        <v>45974</v>
      </c>
      <c r="J1386" t="s">
        <v>2674</v>
      </c>
      <c r="K1386" t="s">
        <v>2675</v>
      </c>
      <c r="L1386" s="13">
        <v>20000</v>
      </c>
      <c r="M1386" t="s">
        <v>2661</v>
      </c>
    </row>
    <row r="1387" spans="1:13">
      <c r="A1387" t="s">
        <v>425</v>
      </c>
      <c r="B1387" t="s">
        <v>204</v>
      </c>
      <c r="C1387" s="8">
        <v>46288</v>
      </c>
      <c r="D1387" t="s">
        <v>350</v>
      </c>
      <c r="E1387" t="s">
        <v>339</v>
      </c>
      <c r="F1387" s="12">
        <v>92026</v>
      </c>
      <c r="G1387" s="13">
        <v>9</v>
      </c>
      <c r="H1387" t="s">
        <v>3265</v>
      </c>
      <c r="I1387" s="8">
        <v>46085</v>
      </c>
      <c r="J1387" t="s">
        <v>2668</v>
      </c>
      <c r="K1387" t="s">
        <v>2669</v>
      </c>
      <c r="L1387" s="13">
        <v>4000</v>
      </c>
      <c r="M1387" t="s">
        <v>2676</v>
      </c>
    </row>
    <row r="1388" spans="1:13">
      <c r="A1388" t="s">
        <v>425</v>
      </c>
      <c r="B1388" t="s">
        <v>204</v>
      </c>
      <c r="C1388" s="8">
        <v>46288</v>
      </c>
      <c r="D1388" t="s">
        <v>350</v>
      </c>
      <c r="E1388" t="s">
        <v>339</v>
      </c>
      <c r="F1388" s="12">
        <v>92026</v>
      </c>
      <c r="G1388" s="13">
        <v>9</v>
      </c>
      <c r="H1388" t="s">
        <v>3516</v>
      </c>
      <c r="I1388" s="8">
        <v>46167</v>
      </c>
      <c r="J1388" t="s">
        <v>2659</v>
      </c>
      <c r="K1388" t="s">
        <v>2660</v>
      </c>
      <c r="L1388" s="13">
        <v>3500</v>
      </c>
      <c r="M1388" t="s">
        <v>2661</v>
      </c>
    </row>
    <row r="1389" spans="1:13">
      <c r="A1389" t="s">
        <v>1100</v>
      </c>
      <c r="B1389" t="s">
        <v>204</v>
      </c>
      <c r="C1389" s="8">
        <v>46018</v>
      </c>
      <c r="D1389" t="s">
        <v>344</v>
      </c>
      <c r="E1389" t="s">
        <v>322</v>
      </c>
      <c r="F1389" s="12">
        <v>715551</v>
      </c>
      <c r="G1389" s="13">
        <v>71</v>
      </c>
      <c r="H1389" t="s">
        <v>3008</v>
      </c>
      <c r="I1389" s="8">
        <v>46076</v>
      </c>
      <c r="J1389" t="s">
        <v>2663</v>
      </c>
      <c r="K1389" t="s">
        <v>3630</v>
      </c>
      <c r="L1389" s="13">
        <v>1500</v>
      </c>
      <c r="M1389" t="s">
        <v>2661</v>
      </c>
    </row>
    <row r="1390" spans="1:13">
      <c r="A1390" t="s">
        <v>1100</v>
      </c>
      <c r="B1390" t="s">
        <v>204</v>
      </c>
      <c r="C1390" s="8">
        <v>46018</v>
      </c>
      <c r="D1390" t="s">
        <v>344</v>
      </c>
      <c r="E1390" t="s">
        <v>322</v>
      </c>
      <c r="F1390" s="12">
        <v>715551</v>
      </c>
      <c r="G1390" s="13">
        <v>71</v>
      </c>
      <c r="H1390" t="s">
        <v>3098</v>
      </c>
      <c r="I1390" s="8">
        <v>45974</v>
      </c>
      <c r="J1390" t="s">
        <v>2674</v>
      </c>
      <c r="K1390" t="s">
        <v>2675</v>
      </c>
      <c r="L1390" s="13">
        <v>20000</v>
      </c>
      <c r="M1390" t="s">
        <v>2661</v>
      </c>
    </row>
    <row r="1391" spans="1:13">
      <c r="A1391" t="s">
        <v>1100</v>
      </c>
      <c r="B1391" t="s">
        <v>204</v>
      </c>
      <c r="C1391" s="8">
        <v>46018</v>
      </c>
      <c r="D1391" t="s">
        <v>344</v>
      </c>
      <c r="E1391" t="s">
        <v>322</v>
      </c>
      <c r="F1391" s="12">
        <v>715551</v>
      </c>
      <c r="G1391" s="13">
        <v>71</v>
      </c>
      <c r="H1391" t="s">
        <v>3265</v>
      </c>
      <c r="I1391" s="8">
        <v>46085</v>
      </c>
      <c r="J1391" t="s">
        <v>2668</v>
      </c>
      <c r="K1391" t="s">
        <v>2669</v>
      </c>
      <c r="L1391" s="13">
        <v>4000</v>
      </c>
      <c r="M1391" t="s">
        <v>2676</v>
      </c>
    </row>
    <row r="1392" spans="1:13">
      <c r="A1392" t="s">
        <v>1100</v>
      </c>
      <c r="B1392" t="s">
        <v>204</v>
      </c>
      <c r="C1392" s="8">
        <v>46018</v>
      </c>
      <c r="D1392" t="s">
        <v>344</v>
      </c>
      <c r="E1392" t="s">
        <v>322</v>
      </c>
      <c r="F1392" s="12">
        <v>715551</v>
      </c>
      <c r="G1392" s="13">
        <v>71</v>
      </c>
      <c r="H1392" t="s">
        <v>3516</v>
      </c>
      <c r="I1392" s="8">
        <v>46167</v>
      </c>
      <c r="J1392" t="s">
        <v>2659</v>
      </c>
      <c r="K1392" t="s">
        <v>2660</v>
      </c>
      <c r="L1392" s="13">
        <v>3500</v>
      </c>
      <c r="M1392" t="s">
        <v>2661</v>
      </c>
    </row>
    <row r="1393" spans="1:13">
      <c r="A1393" t="s">
        <v>564</v>
      </c>
      <c r="B1393" t="s">
        <v>313</v>
      </c>
      <c r="C1393" s="8">
        <v>46239</v>
      </c>
      <c r="D1393" t="s">
        <v>327</v>
      </c>
      <c r="E1393" t="s">
        <v>325</v>
      </c>
      <c r="F1393" s="12">
        <v>310183</v>
      </c>
      <c r="G1393" s="13">
        <v>31</v>
      </c>
      <c r="H1393" t="s">
        <v>2765</v>
      </c>
      <c r="I1393" s="8">
        <v>46267</v>
      </c>
      <c r="J1393" t="s">
        <v>2671</v>
      </c>
      <c r="K1393" t="s">
        <v>2672</v>
      </c>
      <c r="L1393" s="13">
        <v>3000</v>
      </c>
      <c r="M1393" t="s">
        <v>2661</v>
      </c>
    </row>
    <row r="1394" spans="1:13">
      <c r="A1394" t="s">
        <v>564</v>
      </c>
      <c r="B1394" t="s">
        <v>313</v>
      </c>
      <c r="C1394" s="8">
        <v>46239</v>
      </c>
      <c r="D1394" t="s">
        <v>327</v>
      </c>
      <c r="E1394" t="s">
        <v>325</v>
      </c>
      <c r="F1394" s="12">
        <v>310183</v>
      </c>
      <c r="G1394" s="13">
        <v>31</v>
      </c>
      <c r="H1394" t="s">
        <v>3541</v>
      </c>
      <c r="I1394" s="8">
        <v>46041</v>
      </c>
      <c r="J1394" t="s">
        <v>2663</v>
      </c>
      <c r="K1394" t="s">
        <v>3630</v>
      </c>
      <c r="L1394" s="13">
        <v>1500</v>
      </c>
      <c r="M1394" t="s">
        <v>2661</v>
      </c>
    </row>
    <row r="1395" spans="1:13">
      <c r="A1395" t="s">
        <v>680</v>
      </c>
      <c r="B1395" t="s">
        <v>313</v>
      </c>
      <c r="C1395" s="8">
        <v>46286</v>
      </c>
      <c r="D1395" t="s">
        <v>344</v>
      </c>
      <c r="E1395" t="s">
        <v>322</v>
      </c>
      <c r="F1395" s="12">
        <v>53838</v>
      </c>
      <c r="G1395" s="13">
        <v>5</v>
      </c>
      <c r="H1395" t="s">
        <v>2765</v>
      </c>
      <c r="I1395" s="8">
        <v>46267</v>
      </c>
      <c r="J1395" t="s">
        <v>2671</v>
      </c>
      <c r="K1395" t="s">
        <v>2672</v>
      </c>
      <c r="L1395" s="13">
        <v>3000</v>
      </c>
      <c r="M1395" t="s">
        <v>2661</v>
      </c>
    </row>
    <row r="1396" spans="1:13">
      <c r="A1396" t="s">
        <v>680</v>
      </c>
      <c r="B1396" t="s">
        <v>313</v>
      </c>
      <c r="C1396" s="8">
        <v>46286</v>
      </c>
      <c r="D1396" t="s">
        <v>344</v>
      </c>
      <c r="E1396" t="s">
        <v>322</v>
      </c>
      <c r="F1396" s="12">
        <v>53838</v>
      </c>
      <c r="G1396" s="13">
        <v>5</v>
      </c>
      <c r="H1396" t="s">
        <v>3541</v>
      </c>
      <c r="I1396" s="8">
        <v>46041</v>
      </c>
      <c r="J1396" t="s">
        <v>2663</v>
      </c>
      <c r="K1396" t="s">
        <v>3630</v>
      </c>
      <c r="L1396" s="13">
        <v>1500</v>
      </c>
      <c r="M1396" t="s">
        <v>2661</v>
      </c>
    </row>
    <row r="1397" spans="1:13">
      <c r="A1397" t="s">
        <v>990</v>
      </c>
      <c r="B1397" t="s">
        <v>313</v>
      </c>
      <c r="C1397" s="8">
        <v>45964</v>
      </c>
      <c r="D1397" t="s">
        <v>327</v>
      </c>
      <c r="E1397" t="s">
        <v>325</v>
      </c>
      <c r="F1397" s="12">
        <v>584592</v>
      </c>
      <c r="G1397" s="13">
        <v>58</v>
      </c>
      <c r="H1397" t="s">
        <v>2765</v>
      </c>
      <c r="I1397" s="8">
        <v>46267</v>
      </c>
      <c r="J1397" t="s">
        <v>2671</v>
      </c>
      <c r="K1397" t="s">
        <v>2672</v>
      </c>
      <c r="L1397" s="13">
        <v>3000</v>
      </c>
      <c r="M1397" t="s">
        <v>2661</v>
      </c>
    </row>
    <row r="1398" spans="1:13">
      <c r="A1398" t="s">
        <v>990</v>
      </c>
      <c r="B1398" t="s">
        <v>313</v>
      </c>
      <c r="C1398" s="8">
        <v>45964</v>
      </c>
      <c r="D1398" t="s">
        <v>327</v>
      </c>
      <c r="E1398" t="s">
        <v>325</v>
      </c>
      <c r="F1398" s="12">
        <v>584592</v>
      </c>
      <c r="G1398" s="13">
        <v>58</v>
      </c>
      <c r="H1398" t="s">
        <v>3541</v>
      </c>
      <c r="I1398" s="8">
        <v>46041</v>
      </c>
      <c r="J1398" t="s">
        <v>2663</v>
      </c>
      <c r="K1398" t="s">
        <v>3630</v>
      </c>
      <c r="L1398" s="13">
        <v>1500</v>
      </c>
      <c r="M1398" t="s">
        <v>2661</v>
      </c>
    </row>
    <row r="1399" spans="1:13">
      <c r="A1399" t="s">
        <v>1059</v>
      </c>
      <c r="B1399" t="s">
        <v>313</v>
      </c>
      <c r="C1399" s="8">
        <v>46288</v>
      </c>
      <c r="D1399" t="s">
        <v>324</v>
      </c>
      <c r="E1399" t="s">
        <v>339</v>
      </c>
      <c r="F1399" s="12">
        <v>311942</v>
      </c>
      <c r="G1399" s="13">
        <v>31</v>
      </c>
      <c r="H1399" t="s">
        <v>2765</v>
      </c>
      <c r="I1399" s="8">
        <v>46267</v>
      </c>
      <c r="J1399" t="s">
        <v>2671</v>
      </c>
      <c r="K1399" t="s">
        <v>2672</v>
      </c>
      <c r="L1399" s="13">
        <v>3000</v>
      </c>
      <c r="M1399" t="s">
        <v>2661</v>
      </c>
    </row>
    <row r="1400" spans="1:13">
      <c r="A1400" t="s">
        <v>1059</v>
      </c>
      <c r="B1400" t="s">
        <v>313</v>
      </c>
      <c r="C1400" s="8">
        <v>46288</v>
      </c>
      <c r="D1400" t="s">
        <v>324</v>
      </c>
      <c r="E1400" t="s">
        <v>339</v>
      </c>
      <c r="F1400" s="12">
        <v>311942</v>
      </c>
      <c r="G1400" s="13">
        <v>31</v>
      </c>
      <c r="H1400" t="s">
        <v>3541</v>
      </c>
      <c r="I1400" s="8">
        <v>46041</v>
      </c>
      <c r="J1400" t="s">
        <v>2663</v>
      </c>
      <c r="K1400" t="s">
        <v>3630</v>
      </c>
      <c r="L1400" s="13">
        <v>1500</v>
      </c>
      <c r="M1400" t="s">
        <v>2661</v>
      </c>
    </row>
    <row r="1401" spans="1:13">
      <c r="A1401" t="s">
        <v>421</v>
      </c>
      <c r="B1401" t="s">
        <v>101</v>
      </c>
      <c r="C1401" s="8">
        <v>46197</v>
      </c>
      <c r="D1401" t="s">
        <v>321</v>
      </c>
      <c r="E1401" t="s">
        <v>334</v>
      </c>
      <c r="F1401" s="12">
        <v>67326</v>
      </c>
      <c r="G1401" s="13">
        <v>6</v>
      </c>
      <c r="H1401" t="s">
        <v>2781</v>
      </c>
      <c r="I1401" s="8">
        <v>46017</v>
      </c>
      <c r="J1401" t="s">
        <v>2663</v>
      </c>
      <c r="K1401" t="s">
        <v>3630</v>
      </c>
      <c r="L1401" s="13">
        <v>1500</v>
      </c>
      <c r="M1401" t="s">
        <v>2676</v>
      </c>
    </row>
    <row r="1402" spans="1:13">
      <c r="A1402" t="s">
        <v>421</v>
      </c>
      <c r="B1402" t="s">
        <v>101</v>
      </c>
      <c r="C1402" s="8">
        <v>46197</v>
      </c>
      <c r="D1402" t="s">
        <v>321</v>
      </c>
      <c r="E1402" t="s">
        <v>334</v>
      </c>
      <c r="F1402" s="12">
        <v>67326</v>
      </c>
      <c r="G1402" s="13">
        <v>6</v>
      </c>
      <c r="H1402" t="s">
        <v>3051</v>
      </c>
      <c r="I1402" s="8">
        <v>46004</v>
      </c>
      <c r="J1402" t="s">
        <v>2671</v>
      </c>
      <c r="K1402" t="s">
        <v>2672</v>
      </c>
      <c r="L1402" s="13">
        <v>3000</v>
      </c>
      <c r="M1402" t="s">
        <v>2676</v>
      </c>
    </row>
    <row r="1403" spans="1:13">
      <c r="A1403" t="s">
        <v>421</v>
      </c>
      <c r="B1403" t="s">
        <v>101</v>
      </c>
      <c r="C1403" s="8">
        <v>46197</v>
      </c>
      <c r="D1403" t="s">
        <v>321</v>
      </c>
      <c r="E1403" t="s">
        <v>334</v>
      </c>
      <c r="F1403" s="12">
        <v>67326</v>
      </c>
      <c r="G1403" s="13">
        <v>6</v>
      </c>
      <c r="H1403" t="s">
        <v>3369</v>
      </c>
      <c r="I1403" s="8">
        <v>45964</v>
      </c>
      <c r="J1403" t="s">
        <v>2665</v>
      </c>
      <c r="K1403" t="s">
        <v>2666</v>
      </c>
      <c r="L1403" s="13">
        <v>2500</v>
      </c>
      <c r="M1403" t="s">
        <v>2661</v>
      </c>
    </row>
    <row r="1404" spans="1:13">
      <c r="A1404" t="s">
        <v>914</v>
      </c>
      <c r="B1404" t="s">
        <v>101</v>
      </c>
      <c r="C1404" s="8">
        <v>45989</v>
      </c>
      <c r="D1404" t="s">
        <v>344</v>
      </c>
      <c r="E1404" t="s">
        <v>334</v>
      </c>
      <c r="F1404" s="12">
        <v>405599</v>
      </c>
      <c r="G1404" s="13">
        <v>40</v>
      </c>
      <c r="H1404" t="s">
        <v>2781</v>
      </c>
      <c r="I1404" s="8">
        <v>46017</v>
      </c>
      <c r="J1404" t="s">
        <v>2663</v>
      </c>
      <c r="K1404" t="s">
        <v>3630</v>
      </c>
      <c r="L1404" s="13">
        <v>1500</v>
      </c>
      <c r="M1404" t="s">
        <v>2676</v>
      </c>
    </row>
    <row r="1405" spans="1:13">
      <c r="A1405" t="s">
        <v>914</v>
      </c>
      <c r="B1405" t="s">
        <v>101</v>
      </c>
      <c r="C1405" s="8">
        <v>45989</v>
      </c>
      <c r="D1405" t="s">
        <v>344</v>
      </c>
      <c r="E1405" t="s">
        <v>334</v>
      </c>
      <c r="F1405" s="12">
        <v>405599</v>
      </c>
      <c r="G1405" s="13">
        <v>40</v>
      </c>
      <c r="H1405" t="s">
        <v>3051</v>
      </c>
      <c r="I1405" s="8">
        <v>46004</v>
      </c>
      <c r="J1405" t="s">
        <v>2671</v>
      </c>
      <c r="K1405" t="s">
        <v>2672</v>
      </c>
      <c r="L1405" s="13">
        <v>3000</v>
      </c>
      <c r="M1405" t="s">
        <v>2676</v>
      </c>
    </row>
    <row r="1406" spans="1:13">
      <c r="A1406" t="s">
        <v>914</v>
      </c>
      <c r="B1406" t="s">
        <v>101</v>
      </c>
      <c r="C1406" s="8">
        <v>45989</v>
      </c>
      <c r="D1406" t="s">
        <v>344</v>
      </c>
      <c r="E1406" t="s">
        <v>334</v>
      </c>
      <c r="F1406" s="12">
        <v>405599</v>
      </c>
      <c r="G1406" s="13">
        <v>40</v>
      </c>
      <c r="H1406" t="s">
        <v>3369</v>
      </c>
      <c r="I1406" s="8">
        <v>45964</v>
      </c>
      <c r="J1406" t="s">
        <v>2665</v>
      </c>
      <c r="K1406" t="s">
        <v>2666</v>
      </c>
      <c r="L1406" s="13">
        <v>2500</v>
      </c>
      <c r="M1406" t="s">
        <v>2661</v>
      </c>
    </row>
    <row r="1407" spans="1:13">
      <c r="A1407" t="s">
        <v>916</v>
      </c>
      <c r="B1407" t="s">
        <v>101</v>
      </c>
      <c r="C1407" s="8">
        <v>46287</v>
      </c>
      <c r="D1407" t="s">
        <v>321</v>
      </c>
      <c r="E1407" t="s">
        <v>334</v>
      </c>
      <c r="F1407" s="12">
        <v>141528</v>
      </c>
      <c r="G1407" s="13">
        <v>14</v>
      </c>
      <c r="H1407" t="s">
        <v>2781</v>
      </c>
      <c r="I1407" s="8">
        <v>46017</v>
      </c>
      <c r="J1407" t="s">
        <v>2663</v>
      </c>
      <c r="K1407" t="s">
        <v>3630</v>
      </c>
      <c r="L1407" s="13">
        <v>1500</v>
      </c>
      <c r="M1407" t="s">
        <v>2676</v>
      </c>
    </row>
    <row r="1408" spans="1:13">
      <c r="A1408" t="s">
        <v>916</v>
      </c>
      <c r="B1408" t="s">
        <v>101</v>
      </c>
      <c r="C1408" s="8">
        <v>46287</v>
      </c>
      <c r="D1408" t="s">
        <v>321</v>
      </c>
      <c r="E1408" t="s">
        <v>334</v>
      </c>
      <c r="F1408" s="12">
        <v>141528</v>
      </c>
      <c r="G1408" s="13">
        <v>14</v>
      </c>
      <c r="H1408" t="s">
        <v>3051</v>
      </c>
      <c r="I1408" s="8">
        <v>46004</v>
      </c>
      <c r="J1408" t="s">
        <v>2671</v>
      </c>
      <c r="K1408" t="s">
        <v>2672</v>
      </c>
      <c r="L1408" s="13">
        <v>3000</v>
      </c>
      <c r="M1408" t="s">
        <v>2676</v>
      </c>
    </row>
    <row r="1409" spans="1:13">
      <c r="A1409" t="s">
        <v>916</v>
      </c>
      <c r="B1409" t="s">
        <v>101</v>
      </c>
      <c r="C1409" s="8">
        <v>46287</v>
      </c>
      <c r="D1409" t="s">
        <v>321</v>
      </c>
      <c r="E1409" t="s">
        <v>334</v>
      </c>
      <c r="F1409" s="12">
        <v>141528</v>
      </c>
      <c r="G1409" s="13">
        <v>14</v>
      </c>
      <c r="H1409" t="s">
        <v>3369</v>
      </c>
      <c r="I1409" s="8">
        <v>45964</v>
      </c>
      <c r="J1409" t="s">
        <v>2665</v>
      </c>
      <c r="K1409" t="s">
        <v>2666</v>
      </c>
      <c r="L1409" s="13">
        <v>2500</v>
      </c>
      <c r="M1409" t="s">
        <v>2661</v>
      </c>
    </row>
    <row r="1410" spans="1:13">
      <c r="A1410" t="s">
        <v>422</v>
      </c>
      <c r="B1410" t="s">
        <v>162</v>
      </c>
      <c r="C1410" s="8">
        <v>45990</v>
      </c>
      <c r="D1410" t="s">
        <v>327</v>
      </c>
      <c r="E1410" t="s">
        <v>339</v>
      </c>
      <c r="F1410" s="12">
        <v>301648</v>
      </c>
      <c r="G1410" s="13">
        <v>30</v>
      </c>
      <c r="H1410" t="s">
        <v>2896</v>
      </c>
      <c r="I1410" s="8">
        <v>45935</v>
      </c>
      <c r="J1410" t="s">
        <v>2674</v>
      </c>
      <c r="K1410" t="s">
        <v>2675</v>
      </c>
      <c r="L1410" s="13">
        <v>20000</v>
      </c>
      <c r="M1410" t="s">
        <v>2661</v>
      </c>
    </row>
    <row r="1411" spans="1:13">
      <c r="A1411" t="s">
        <v>422</v>
      </c>
      <c r="B1411" t="s">
        <v>162</v>
      </c>
      <c r="C1411" s="8">
        <v>45990</v>
      </c>
      <c r="D1411" t="s">
        <v>327</v>
      </c>
      <c r="E1411" t="s">
        <v>339</v>
      </c>
      <c r="F1411" s="12">
        <v>301648</v>
      </c>
      <c r="G1411" s="13">
        <v>30</v>
      </c>
      <c r="H1411" t="s">
        <v>3046</v>
      </c>
      <c r="I1411" s="8">
        <v>46133</v>
      </c>
      <c r="J1411" t="s">
        <v>2682</v>
      </c>
      <c r="K1411" t="s">
        <v>2683</v>
      </c>
      <c r="L1411" s="13">
        <v>6000</v>
      </c>
      <c r="M1411" t="s">
        <v>2661</v>
      </c>
    </row>
    <row r="1412" spans="1:13">
      <c r="A1412" t="s">
        <v>422</v>
      </c>
      <c r="B1412" t="s">
        <v>162</v>
      </c>
      <c r="C1412" s="8">
        <v>45990</v>
      </c>
      <c r="D1412" t="s">
        <v>327</v>
      </c>
      <c r="E1412" t="s">
        <v>339</v>
      </c>
      <c r="F1412" s="12">
        <v>301648</v>
      </c>
      <c r="G1412" s="13">
        <v>30</v>
      </c>
      <c r="H1412" t="s">
        <v>3152</v>
      </c>
      <c r="I1412" s="8">
        <v>46035</v>
      </c>
      <c r="J1412" t="s">
        <v>2668</v>
      </c>
      <c r="K1412" t="s">
        <v>2669</v>
      </c>
      <c r="L1412" s="13">
        <v>4000</v>
      </c>
      <c r="M1412" t="s">
        <v>2661</v>
      </c>
    </row>
    <row r="1413" spans="1:13">
      <c r="A1413" t="s">
        <v>422</v>
      </c>
      <c r="B1413" t="s">
        <v>162</v>
      </c>
      <c r="C1413" s="8">
        <v>45990</v>
      </c>
      <c r="D1413" t="s">
        <v>327</v>
      </c>
      <c r="E1413" t="s">
        <v>339</v>
      </c>
      <c r="F1413" s="12">
        <v>301648</v>
      </c>
      <c r="G1413" s="13">
        <v>30</v>
      </c>
      <c r="H1413" t="s">
        <v>3220</v>
      </c>
      <c r="I1413" s="8">
        <v>45996</v>
      </c>
      <c r="J1413" t="s">
        <v>2659</v>
      </c>
      <c r="K1413" t="s">
        <v>2660</v>
      </c>
      <c r="L1413" s="13">
        <v>3500</v>
      </c>
      <c r="M1413" t="s">
        <v>2661</v>
      </c>
    </row>
    <row r="1414" spans="1:13">
      <c r="A1414" t="s">
        <v>422</v>
      </c>
      <c r="B1414" t="s">
        <v>162</v>
      </c>
      <c r="C1414" s="8">
        <v>45990</v>
      </c>
      <c r="D1414" t="s">
        <v>327</v>
      </c>
      <c r="E1414" t="s">
        <v>339</v>
      </c>
      <c r="F1414" s="12">
        <v>301648</v>
      </c>
      <c r="G1414" s="13">
        <v>30</v>
      </c>
      <c r="H1414" t="s">
        <v>3318</v>
      </c>
      <c r="I1414" s="8">
        <v>45984</v>
      </c>
      <c r="J1414" t="s">
        <v>2663</v>
      </c>
      <c r="K1414" t="s">
        <v>3630</v>
      </c>
      <c r="L1414" s="13">
        <v>1500</v>
      </c>
      <c r="M1414" t="s">
        <v>2661</v>
      </c>
    </row>
    <row r="1415" spans="1:13">
      <c r="A1415" t="s">
        <v>962</v>
      </c>
      <c r="B1415" t="s">
        <v>162</v>
      </c>
      <c r="C1415" s="8">
        <v>46286</v>
      </c>
      <c r="D1415" t="s">
        <v>327</v>
      </c>
      <c r="E1415" t="s">
        <v>337</v>
      </c>
      <c r="F1415" s="12">
        <v>182772</v>
      </c>
      <c r="G1415" s="13">
        <v>18</v>
      </c>
      <c r="H1415" t="s">
        <v>2896</v>
      </c>
      <c r="I1415" s="8">
        <v>45935</v>
      </c>
      <c r="J1415" t="s">
        <v>2674</v>
      </c>
      <c r="K1415" t="s">
        <v>2675</v>
      </c>
      <c r="L1415" s="13">
        <v>20000</v>
      </c>
      <c r="M1415" t="s">
        <v>2661</v>
      </c>
    </row>
    <row r="1416" spans="1:13">
      <c r="A1416" t="s">
        <v>962</v>
      </c>
      <c r="B1416" t="s">
        <v>162</v>
      </c>
      <c r="C1416" s="8">
        <v>46286</v>
      </c>
      <c r="D1416" t="s">
        <v>327</v>
      </c>
      <c r="E1416" t="s">
        <v>337</v>
      </c>
      <c r="F1416" s="12">
        <v>182772</v>
      </c>
      <c r="G1416" s="13">
        <v>18</v>
      </c>
      <c r="H1416" t="s">
        <v>3046</v>
      </c>
      <c r="I1416" s="8">
        <v>46133</v>
      </c>
      <c r="J1416" t="s">
        <v>2682</v>
      </c>
      <c r="K1416" t="s">
        <v>2683</v>
      </c>
      <c r="L1416" s="13">
        <v>6000</v>
      </c>
      <c r="M1416" t="s">
        <v>2661</v>
      </c>
    </row>
    <row r="1417" spans="1:13">
      <c r="A1417" t="s">
        <v>962</v>
      </c>
      <c r="B1417" t="s">
        <v>162</v>
      </c>
      <c r="C1417" s="8">
        <v>46286</v>
      </c>
      <c r="D1417" t="s">
        <v>327</v>
      </c>
      <c r="E1417" t="s">
        <v>337</v>
      </c>
      <c r="F1417" s="12">
        <v>182772</v>
      </c>
      <c r="G1417" s="13">
        <v>18</v>
      </c>
      <c r="H1417" t="s">
        <v>3152</v>
      </c>
      <c r="I1417" s="8">
        <v>46035</v>
      </c>
      <c r="J1417" t="s">
        <v>2668</v>
      </c>
      <c r="K1417" t="s">
        <v>2669</v>
      </c>
      <c r="L1417" s="13">
        <v>4000</v>
      </c>
      <c r="M1417" t="s">
        <v>2661</v>
      </c>
    </row>
    <row r="1418" spans="1:13">
      <c r="A1418" t="s">
        <v>962</v>
      </c>
      <c r="B1418" t="s">
        <v>162</v>
      </c>
      <c r="C1418" s="8">
        <v>46286</v>
      </c>
      <c r="D1418" t="s">
        <v>327</v>
      </c>
      <c r="E1418" t="s">
        <v>337</v>
      </c>
      <c r="F1418" s="12">
        <v>182772</v>
      </c>
      <c r="G1418" s="13">
        <v>18</v>
      </c>
      <c r="H1418" t="s">
        <v>3220</v>
      </c>
      <c r="I1418" s="8">
        <v>45996</v>
      </c>
      <c r="J1418" t="s">
        <v>2659</v>
      </c>
      <c r="K1418" t="s">
        <v>2660</v>
      </c>
      <c r="L1418" s="13">
        <v>3500</v>
      </c>
      <c r="M1418" t="s">
        <v>2661</v>
      </c>
    </row>
    <row r="1419" spans="1:13">
      <c r="A1419" t="s">
        <v>962</v>
      </c>
      <c r="B1419" t="s">
        <v>162</v>
      </c>
      <c r="C1419" s="8">
        <v>46286</v>
      </c>
      <c r="D1419" t="s">
        <v>327</v>
      </c>
      <c r="E1419" t="s">
        <v>337</v>
      </c>
      <c r="F1419" s="12">
        <v>182772</v>
      </c>
      <c r="G1419" s="13">
        <v>18</v>
      </c>
      <c r="H1419" t="s">
        <v>3318</v>
      </c>
      <c r="I1419" s="8">
        <v>45984</v>
      </c>
      <c r="J1419" t="s">
        <v>2663</v>
      </c>
      <c r="K1419" t="s">
        <v>3630</v>
      </c>
      <c r="L1419" s="13">
        <v>1500</v>
      </c>
      <c r="M1419" t="s">
        <v>2661</v>
      </c>
    </row>
    <row r="1420" spans="1:13">
      <c r="A1420" t="s">
        <v>1123</v>
      </c>
      <c r="B1420" t="s">
        <v>162</v>
      </c>
      <c r="C1420" s="8">
        <v>46176</v>
      </c>
      <c r="D1420" t="s">
        <v>332</v>
      </c>
      <c r="E1420" t="s">
        <v>337</v>
      </c>
      <c r="F1420" s="12">
        <v>386858</v>
      </c>
      <c r="G1420" s="13">
        <v>38</v>
      </c>
      <c r="H1420" t="s">
        <v>2896</v>
      </c>
      <c r="I1420" s="8">
        <v>45935</v>
      </c>
      <c r="J1420" t="s">
        <v>2674</v>
      </c>
      <c r="K1420" t="s">
        <v>2675</v>
      </c>
      <c r="L1420" s="13">
        <v>20000</v>
      </c>
      <c r="M1420" t="s">
        <v>2661</v>
      </c>
    </row>
    <row r="1421" spans="1:13">
      <c r="A1421" t="s">
        <v>1123</v>
      </c>
      <c r="B1421" t="s">
        <v>162</v>
      </c>
      <c r="C1421" s="8">
        <v>46176</v>
      </c>
      <c r="D1421" t="s">
        <v>332</v>
      </c>
      <c r="E1421" t="s">
        <v>337</v>
      </c>
      <c r="F1421" s="12">
        <v>386858</v>
      </c>
      <c r="G1421" s="13">
        <v>38</v>
      </c>
      <c r="H1421" t="s">
        <v>3046</v>
      </c>
      <c r="I1421" s="8">
        <v>46133</v>
      </c>
      <c r="J1421" t="s">
        <v>2682</v>
      </c>
      <c r="K1421" t="s">
        <v>2683</v>
      </c>
      <c r="L1421" s="13">
        <v>6000</v>
      </c>
      <c r="M1421" t="s">
        <v>2661</v>
      </c>
    </row>
    <row r="1422" spans="1:13">
      <c r="A1422" t="s">
        <v>1123</v>
      </c>
      <c r="B1422" t="s">
        <v>162</v>
      </c>
      <c r="C1422" s="8">
        <v>46176</v>
      </c>
      <c r="D1422" t="s">
        <v>332</v>
      </c>
      <c r="E1422" t="s">
        <v>337</v>
      </c>
      <c r="F1422" s="12">
        <v>386858</v>
      </c>
      <c r="G1422" s="13">
        <v>38</v>
      </c>
      <c r="H1422" t="s">
        <v>3152</v>
      </c>
      <c r="I1422" s="8">
        <v>46035</v>
      </c>
      <c r="J1422" t="s">
        <v>2668</v>
      </c>
      <c r="K1422" t="s">
        <v>2669</v>
      </c>
      <c r="L1422" s="13">
        <v>4000</v>
      </c>
      <c r="M1422" t="s">
        <v>2661</v>
      </c>
    </row>
    <row r="1423" spans="1:13">
      <c r="A1423" t="s">
        <v>1123</v>
      </c>
      <c r="B1423" t="s">
        <v>162</v>
      </c>
      <c r="C1423" s="8">
        <v>46176</v>
      </c>
      <c r="D1423" t="s">
        <v>332</v>
      </c>
      <c r="E1423" t="s">
        <v>337</v>
      </c>
      <c r="F1423" s="12">
        <v>386858</v>
      </c>
      <c r="G1423" s="13">
        <v>38</v>
      </c>
      <c r="H1423" t="s">
        <v>3220</v>
      </c>
      <c r="I1423" s="8">
        <v>45996</v>
      </c>
      <c r="J1423" t="s">
        <v>2659</v>
      </c>
      <c r="K1423" t="s">
        <v>2660</v>
      </c>
      <c r="L1423" s="13">
        <v>3500</v>
      </c>
      <c r="M1423" t="s">
        <v>2661</v>
      </c>
    </row>
    <row r="1424" spans="1:13">
      <c r="A1424" t="s">
        <v>1123</v>
      </c>
      <c r="B1424" t="s">
        <v>162</v>
      </c>
      <c r="C1424" s="8">
        <v>46176</v>
      </c>
      <c r="D1424" t="s">
        <v>332</v>
      </c>
      <c r="E1424" t="s">
        <v>337</v>
      </c>
      <c r="F1424" s="12">
        <v>386858</v>
      </c>
      <c r="G1424" s="13">
        <v>38</v>
      </c>
      <c r="H1424" t="s">
        <v>3318</v>
      </c>
      <c r="I1424" s="8">
        <v>45984</v>
      </c>
      <c r="J1424" t="s">
        <v>2663</v>
      </c>
      <c r="K1424" t="s">
        <v>3630</v>
      </c>
      <c r="L1424" s="13">
        <v>1500</v>
      </c>
      <c r="M1424" t="s">
        <v>2661</v>
      </c>
    </row>
    <row r="1425" spans="1:13">
      <c r="A1425" t="s">
        <v>424</v>
      </c>
      <c r="B1425" t="s">
        <v>59</v>
      </c>
      <c r="C1425" s="8">
        <v>45944</v>
      </c>
      <c r="D1425" t="s">
        <v>327</v>
      </c>
      <c r="E1425" t="s">
        <v>339</v>
      </c>
      <c r="F1425" s="12">
        <v>514425</v>
      </c>
      <c r="G1425" s="13">
        <v>51</v>
      </c>
      <c r="H1425" t="s">
        <v>3015</v>
      </c>
      <c r="I1425" s="8">
        <v>46063</v>
      </c>
      <c r="J1425" t="s">
        <v>2688</v>
      </c>
      <c r="K1425" t="s">
        <v>2689</v>
      </c>
      <c r="L1425" s="13">
        <v>8000</v>
      </c>
      <c r="M1425" t="s">
        <v>2661</v>
      </c>
    </row>
    <row r="1426" spans="1:13">
      <c r="A1426" t="s">
        <v>424</v>
      </c>
      <c r="B1426" t="s">
        <v>59</v>
      </c>
      <c r="C1426" s="8">
        <v>45944</v>
      </c>
      <c r="D1426" t="s">
        <v>327</v>
      </c>
      <c r="E1426" t="s">
        <v>339</v>
      </c>
      <c r="F1426" s="12">
        <v>514425</v>
      </c>
      <c r="G1426" s="13">
        <v>51</v>
      </c>
      <c r="H1426" t="s">
        <v>3420</v>
      </c>
      <c r="I1426" s="8">
        <v>46108</v>
      </c>
      <c r="J1426" t="s">
        <v>2665</v>
      </c>
      <c r="K1426" t="s">
        <v>2666</v>
      </c>
      <c r="L1426" s="13">
        <v>2500</v>
      </c>
      <c r="M1426" t="s">
        <v>2661</v>
      </c>
    </row>
    <row r="1427" spans="1:13">
      <c r="A1427" t="s">
        <v>424</v>
      </c>
      <c r="B1427" t="s">
        <v>59</v>
      </c>
      <c r="C1427" s="8">
        <v>45944</v>
      </c>
      <c r="D1427" t="s">
        <v>327</v>
      </c>
      <c r="E1427" t="s">
        <v>339</v>
      </c>
      <c r="F1427" s="12">
        <v>514425</v>
      </c>
      <c r="G1427" s="13">
        <v>51</v>
      </c>
      <c r="H1427" t="s">
        <v>3515</v>
      </c>
      <c r="I1427" s="8">
        <v>46190</v>
      </c>
      <c r="J1427" t="s">
        <v>2659</v>
      </c>
      <c r="K1427" t="s">
        <v>2660</v>
      </c>
      <c r="L1427" s="13">
        <v>3500</v>
      </c>
      <c r="M1427" t="s">
        <v>2661</v>
      </c>
    </row>
    <row r="1428" spans="1:13">
      <c r="A1428" t="s">
        <v>493</v>
      </c>
      <c r="B1428" t="s">
        <v>275</v>
      </c>
      <c r="C1428" s="8">
        <v>46098</v>
      </c>
      <c r="D1428" t="s">
        <v>332</v>
      </c>
      <c r="E1428" t="s">
        <v>339</v>
      </c>
      <c r="F1428" s="12">
        <v>157031</v>
      </c>
      <c r="G1428" s="13">
        <v>15</v>
      </c>
      <c r="H1428" t="s">
        <v>2769</v>
      </c>
      <c r="I1428" s="8">
        <v>45949</v>
      </c>
      <c r="J1428" t="s">
        <v>2659</v>
      </c>
      <c r="K1428" t="s">
        <v>2660</v>
      </c>
      <c r="L1428" s="13">
        <v>3500</v>
      </c>
      <c r="M1428" t="s">
        <v>2661</v>
      </c>
    </row>
    <row r="1429" spans="1:13">
      <c r="A1429" t="s">
        <v>493</v>
      </c>
      <c r="B1429" t="s">
        <v>275</v>
      </c>
      <c r="C1429" s="8">
        <v>46098</v>
      </c>
      <c r="D1429" t="s">
        <v>332</v>
      </c>
      <c r="E1429" t="s">
        <v>339</v>
      </c>
      <c r="F1429" s="12">
        <v>157031</v>
      </c>
      <c r="G1429" s="13">
        <v>15</v>
      </c>
      <c r="H1429" t="s">
        <v>2812</v>
      </c>
      <c r="I1429" s="8">
        <v>46037</v>
      </c>
      <c r="J1429" t="s">
        <v>2671</v>
      </c>
      <c r="K1429" t="s">
        <v>2672</v>
      </c>
      <c r="L1429" s="13">
        <v>3000</v>
      </c>
      <c r="M1429" t="s">
        <v>2661</v>
      </c>
    </row>
    <row r="1430" spans="1:13">
      <c r="A1430" t="s">
        <v>493</v>
      </c>
      <c r="B1430" t="s">
        <v>275</v>
      </c>
      <c r="C1430" s="8">
        <v>46098</v>
      </c>
      <c r="D1430" t="s">
        <v>332</v>
      </c>
      <c r="E1430" t="s">
        <v>339</v>
      </c>
      <c r="F1430" s="12">
        <v>157031</v>
      </c>
      <c r="G1430" s="13">
        <v>15</v>
      </c>
      <c r="H1430" t="s">
        <v>2988</v>
      </c>
      <c r="I1430" s="8">
        <v>45949</v>
      </c>
      <c r="J1430" t="s">
        <v>2692</v>
      </c>
      <c r="K1430" t="s">
        <v>2693</v>
      </c>
      <c r="L1430" s="13">
        <v>10000</v>
      </c>
      <c r="M1430" t="s">
        <v>2661</v>
      </c>
    </row>
    <row r="1431" spans="1:13">
      <c r="A1431" t="s">
        <v>493</v>
      </c>
      <c r="B1431" t="s">
        <v>275</v>
      </c>
      <c r="C1431" s="8">
        <v>46098</v>
      </c>
      <c r="D1431" t="s">
        <v>332</v>
      </c>
      <c r="E1431" t="s">
        <v>339</v>
      </c>
      <c r="F1431" s="12">
        <v>157031</v>
      </c>
      <c r="G1431" s="13">
        <v>15</v>
      </c>
      <c r="H1431" t="s">
        <v>3251</v>
      </c>
      <c r="I1431" s="8">
        <v>46059</v>
      </c>
      <c r="J1431" t="s">
        <v>2685</v>
      </c>
      <c r="K1431" t="s">
        <v>2686</v>
      </c>
      <c r="L1431" s="13">
        <v>5000</v>
      </c>
      <c r="M1431" t="s">
        <v>2661</v>
      </c>
    </row>
    <row r="1432" spans="1:13">
      <c r="A1432" t="s">
        <v>493</v>
      </c>
      <c r="B1432" t="s">
        <v>275</v>
      </c>
      <c r="C1432" s="8">
        <v>46098</v>
      </c>
      <c r="D1432" t="s">
        <v>332</v>
      </c>
      <c r="E1432" t="s">
        <v>339</v>
      </c>
      <c r="F1432" s="12">
        <v>157031</v>
      </c>
      <c r="G1432" s="13">
        <v>15</v>
      </c>
      <c r="H1432" t="s">
        <v>3366</v>
      </c>
      <c r="I1432" s="8">
        <v>46230</v>
      </c>
      <c r="J1432" t="s">
        <v>2671</v>
      </c>
      <c r="K1432" t="s">
        <v>2672</v>
      </c>
      <c r="L1432" s="13">
        <v>3000</v>
      </c>
      <c r="M1432" t="s">
        <v>2661</v>
      </c>
    </row>
    <row r="1433" spans="1:13">
      <c r="A1433" t="s">
        <v>694</v>
      </c>
      <c r="B1433" t="s">
        <v>275</v>
      </c>
      <c r="C1433" s="8">
        <v>46141</v>
      </c>
      <c r="D1433" t="s">
        <v>321</v>
      </c>
      <c r="E1433" t="s">
        <v>328</v>
      </c>
      <c r="F1433" s="12">
        <v>181348</v>
      </c>
      <c r="G1433" s="13">
        <v>18</v>
      </c>
      <c r="H1433" t="s">
        <v>2769</v>
      </c>
      <c r="I1433" s="8">
        <v>45949</v>
      </c>
      <c r="J1433" t="s">
        <v>2659</v>
      </c>
      <c r="K1433" t="s">
        <v>2660</v>
      </c>
      <c r="L1433" s="13">
        <v>3500</v>
      </c>
      <c r="M1433" t="s">
        <v>2661</v>
      </c>
    </row>
    <row r="1434" spans="1:13">
      <c r="A1434" t="s">
        <v>694</v>
      </c>
      <c r="B1434" t="s">
        <v>275</v>
      </c>
      <c r="C1434" s="8">
        <v>46141</v>
      </c>
      <c r="D1434" t="s">
        <v>321</v>
      </c>
      <c r="E1434" t="s">
        <v>328</v>
      </c>
      <c r="F1434" s="12">
        <v>181348</v>
      </c>
      <c r="G1434" s="13">
        <v>18</v>
      </c>
      <c r="H1434" t="s">
        <v>2812</v>
      </c>
      <c r="I1434" s="8">
        <v>46037</v>
      </c>
      <c r="J1434" t="s">
        <v>2671</v>
      </c>
      <c r="K1434" t="s">
        <v>2672</v>
      </c>
      <c r="L1434" s="13">
        <v>3000</v>
      </c>
      <c r="M1434" t="s">
        <v>2661</v>
      </c>
    </row>
    <row r="1435" spans="1:13">
      <c r="A1435" t="s">
        <v>694</v>
      </c>
      <c r="B1435" t="s">
        <v>275</v>
      </c>
      <c r="C1435" s="8">
        <v>46141</v>
      </c>
      <c r="D1435" t="s">
        <v>321</v>
      </c>
      <c r="E1435" t="s">
        <v>328</v>
      </c>
      <c r="F1435" s="12">
        <v>181348</v>
      </c>
      <c r="G1435" s="13">
        <v>18</v>
      </c>
      <c r="H1435" t="s">
        <v>2988</v>
      </c>
      <c r="I1435" s="8">
        <v>45949</v>
      </c>
      <c r="J1435" t="s">
        <v>2692</v>
      </c>
      <c r="K1435" t="s">
        <v>2693</v>
      </c>
      <c r="L1435" s="13">
        <v>10000</v>
      </c>
      <c r="M1435" t="s">
        <v>2661</v>
      </c>
    </row>
    <row r="1436" spans="1:13">
      <c r="A1436" t="s">
        <v>694</v>
      </c>
      <c r="B1436" t="s">
        <v>275</v>
      </c>
      <c r="C1436" s="8">
        <v>46141</v>
      </c>
      <c r="D1436" t="s">
        <v>321</v>
      </c>
      <c r="E1436" t="s">
        <v>328</v>
      </c>
      <c r="F1436" s="12">
        <v>181348</v>
      </c>
      <c r="G1436" s="13">
        <v>18</v>
      </c>
      <c r="H1436" t="s">
        <v>3251</v>
      </c>
      <c r="I1436" s="8">
        <v>46059</v>
      </c>
      <c r="J1436" t="s">
        <v>2685</v>
      </c>
      <c r="K1436" t="s">
        <v>2686</v>
      </c>
      <c r="L1436" s="13">
        <v>5000</v>
      </c>
      <c r="M1436" t="s">
        <v>2661</v>
      </c>
    </row>
    <row r="1437" spans="1:13">
      <c r="A1437" t="s">
        <v>694</v>
      </c>
      <c r="B1437" t="s">
        <v>275</v>
      </c>
      <c r="C1437" s="8">
        <v>46141</v>
      </c>
      <c r="D1437" t="s">
        <v>321</v>
      </c>
      <c r="E1437" t="s">
        <v>328</v>
      </c>
      <c r="F1437" s="12">
        <v>181348</v>
      </c>
      <c r="G1437" s="13">
        <v>18</v>
      </c>
      <c r="H1437" t="s">
        <v>3366</v>
      </c>
      <c r="I1437" s="8">
        <v>46230</v>
      </c>
      <c r="J1437" t="s">
        <v>2671</v>
      </c>
      <c r="K1437" t="s">
        <v>2672</v>
      </c>
      <c r="L1437" s="13">
        <v>3000</v>
      </c>
      <c r="M1437" t="s">
        <v>2661</v>
      </c>
    </row>
    <row r="1438" spans="1:13">
      <c r="A1438" t="s">
        <v>791</v>
      </c>
      <c r="B1438" t="s">
        <v>275</v>
      </c>
      <c r="C1438" s="8">
        <v>46073</v>
      </c>
      <c r="D1438" t="s">
        <v>344</v>
      </c>
      <c r="E1438" t="s">
        <v>337</v>
      </c>
      <c r="F1438" s="12">
        <v>628570</v>
      </c>
      <c r="G1438" s="13">
        <v>62</v>
      </c>
      <c r="H1438" t="s">
        <v>2769</v>
      </c>
      <c r="I1438" s="8">
        <v>45949</v>
      </c>
      <c r="J1438" t="s">
        <v>2659</v>
      </c>
      <c r="K1438" t="s">
        <v>2660</v>
      </c>
      <c r="L1438" s="13">
        <v>3500</v>
      </c>
      <c r="M1438" t="s">
        <v>2661</v>
      </c>
    </row>
    <row r="1439" spans="1:13">
      <c r="A1439" t="s">
        <v>791</v>
      </c>
      <c r="B1439" t="s">
        <v>275</v>
      </c>
      <c r="C1439" s="8">
        <v>46073</v>
      </c>
      <c r="D1439" t="s">
        <v>344</v>
      </c>
      <c r="E1439" t="s">
        <v>337</v>
      </c>
      <c r="F1439" s="12">
        <v>628570</v>
      </c>
      <c r="G1439" s="13">
        <v>62</v>
      </c>
      <c r="H1439" t="s">
        <v>2812</v>
      </c>
      <c r="I1439" s="8">
        <v>46037</v>
      </c>
      <c r="J1439" t="s">
        <v>2671</v>
      </c>
      <c r="K1439" t="s">
        <v>2672</v>
      </c>
      <c r="L1439" s="13">
        <v>3000</v>
      </c>
      <c r="M1439" t="s">
        <v>2661</v>
      </c>
    </row>
    <row r="1440" spans="1:13">
      <c r="A1440" t="s">
        <v>791</v>
      </c>
      <c r="B1440" t="s">
        <v>275</v>
      </c>
      <c r="C1440" s="8">
        <v>46073</v>
      </c>
      <c r="D1440" t="s">
        <v>344</v>
      </c>
      <c r="E1440" t="s">
        <v>337</v>
      </c>
      <c r="F1440" s="12">
        <v>628570</v>
      </c>
      <c r="G1440" s="13">
        <v>62</v>
      </c>
      <c r="H1440" t="s">
        <v>2988</v>
      </c>
      <c r="I1440" s="8">
        <v>45949</v>
      </c>
      <c r="J1440" t="s">
        <v>2692</v>
      </c>
      <c r="K1440" t="s">
        <v>2693</v>
      </c>
      <c r="L1440" s="13">
        <v>10000</v>
      </c>
      <c r="M1440" t="s">
        <v>2661</v>
      </c>
    </row>
    <row r="1441" spans="1:13">
      <c r="A1441" t="s">
        <v>791</v>
      </c>
      <c r="B1441" t="s">
        <v>275</v>
      </c>
      <c r="C1441" s="8">
        <v>46073</v>
      </c>
      <c r="D1441" t="s">
        <v>344</v>
      </c>
      <c r="E1441" t="s">
        <v>337</v>
      </c>
      <c r="F1441" s="12">
        <v>628570</v>
      </c>
      <c r="G1441" s="13">
        <v>62</v>
      </c>
      <c r="H1441" t="s">
        <v>3251</v>
      </c>
      <c r="I1441" s="8">
        <v>46059</v>
      </c>
      <c r="J1441" t="s">
        <v>2685</v>
      </c>
      <c r="K1441" t="s">
        <v>2686</v>
      </c>
      <c r="L1441" s="13">
        <v>5000</v>
      </c>
      <c r="M1441" t="s">
        <v>2661</v>
      </c>
    </row>
    <row r="1442" spans="1:13">
      <c r="A1442" t="s">
        <v>791</v>
      </c>
      <c r="B1442" t="s">
        <v>275</v>
      </c>
      <c r="C1442" s="8">
        <v>46073</v>
      </c>
      <c r="D1442" t="s">
        <v>344</v>
      </c>
      <c r="E1442" t="s">
        <v>337</v>
      </c>
      <c r="F1442" s="12">
        <v>628570</v>
      </c>
      <c r="G1442" s="13">
        <v>62</v>
      </c>
      <c r="H1442" t="s">
        <v>3366</v>
      </c>
      <c r="I1442" s="8">
        <v>46230</v>
      </c>
      <c r="J1442" t="s">
        <v>2671</v>
      </c>
      <c r="K1442" t="s">
        <v>2672</v>
      </c>
      <c r="L1442" s="13">
        <v>3000</v>
      </c>
      <c r="M1442" t="s">
        <v>2661</v>
      </c>
    </row>
    <row r="1443" spans="1:13">
      <c r="A1443" t="s">
        <v>947</v>
      </c>
      <c r="B1443" t="s">
        <v>275</v>
      </c>
      <c r="C1443" s="8">
        <v>46244</v>
      </c>
      <c r="D1443" t="s">
        <v>350</v>
      </c>
      <c r="E1443" t="s">
        <v>339</v>
      </c>
      <c r="F1443" s="12">
        <v>409605</v>
      </c>
      <c r="G1443" s="13">
        <v>40</v>
      </c>
      <c r="H1443" t="s">
        <v>2769</v>
      </c>
      <c r="I1443" s="8">
        <v>45949</v>
      </c>
      <c r="J1443" t="s">
        <v>2659</v>
      </c>
      <c r="K1443" t="s">
        <v>2660</v>
      </c>
      <c r="L1443" s="13">
        <v>3500</v>
      </c>
      <c r="M1443" t="s">
        <v>2661</v>
      </c>
    </row>
    <row r="1444" spans="1:13">
      <c r="A1444" t="s">
        <v>947</v>
      </c>
      <c r="B1444" t="s">
        <v>275</v>
      </c>
      <c r="C1444" s="8">
        <v>46244</v>
      </c>
      <c r="D1444" t="s">
        <v>350</v>
      </c>
      <c r="E1444" t="s">
        <v>339</v>
      </c>
      <c r="F1444" s="12">
        <v>409605</v>
      </c>
      <c r="G1444" s="13">
        <v>40</v>
      </c>
      <c r="H1444" t="s">
        <v>2812</v>
      </c>
      <c r="I1444" s="8">
        <v>46037</v>
      </c>
      <c r="J1444" t="s">
        <v>2671</v>
      </c>
      <c r="K1444" t="s">
        <v>2672</v>
      </c>
      <c r="L1444" s="13">
        <v>3000</v>
      </c>
      <c r="M1444" t="s">
        <v>2661</v>
      </c>
    </row>
    <row r="1445" spans="1:13">
      <c r="A1445" t="s">
        <v>947</v>
      </c>
      <c r="B1445" t="s">
        <v>275</v>
      </c>
      <c r="C1445" s="8">
        <v>46244</v>
      </c>
      <c r="D1445" t="s">
        <v>350</v>
      </c>
      <c r="E1445" t="s">
        <v>339</v>
      </c>
      <c r="F1445" s="12">
        <v>409605</v>
      </c>
      <c r="G1445" s="13">
        <v>40</v>
      </c>
      <c r="H1445" t="s">
        <v>2988</v>
      </c>
      <c r="I1445" s="8">
        <v>45949</v>
      </c>
      <c r="J1445" t="s">
        <v>2692</v>
      </c>
      <c r="K1445" t="s">
        <v>2693</v>
      </c>
      <c r="L1445" s="13">
        <v>10000</v>
      </c>
      <c r="M1445" t="s">
        <v>2661</v>
      </c>
    </row>
    <row r="1446" spans="1:13">
      <c r="A1446" t="s">
        <v>947</v>
      </c>
      <c r="B1446" t="s">
        <v>275</v>
      </c>
      <c r="C1446" s="8">
        <v>46244</v>
      </c>
      <c r="D1446" t="s">
        <v>350</v>
      </c>
      <c r="E1446" t="s">
        <v>339</v>
      </c>
      <c r="F1446" s="12">
        <v>409605</v>
      </c>
      <c r="G1446" s="13">
        <v>40</v>
      </c>
      <c r="H1446" t="s">
        <v>3251</v>
      </c>
      <c r="I1446" s="8">
        <v>46059</v>
      </c>
      <c r="J1446" t="s">
        <v>2685</v>
      </c>
      <c r="K1446" t="s">
        <v>2686</v>
      </c>
      <c r="L1446" s="13">
        <v>5000</v>
      </c>
      <c r="M1446" t="s">
        <v>2661</v>
      </c>
    </row>
    <row r="1447" spans="1:13">
      <c r="A1447" t="s">
        <v>947</v>
      </c>
      <c r="B1447" t="s">
        <v>275</v>
      </c>
      <c r="C1447" s="8">
        <v>46244</v>
      </c>
      <c r="D1447" t="s">
        <v>350</v>
      </c>
      <c r="E1447" t="s">
        <v>339</v>
      </c>
      <c r="F1447" s="12">
        <v>409605</v>
      </c>
      <c r="G1447" s="13">
        <v>40</v>
      </c>
      <c r="H1447" t="s">
        <v>3366</v>
      </c>
      <c r="I1447" s="8">
        <v>46230</v>
      </c>
      <c r="J1447" t="s">
        <v>2671</v>
      </c>
      <c r="K1447" t="s">
        <v>2672</v>
      </c>
      <c r="L1447" s="13">
        <v>3000</v>
      </c>
      <c r="M1447" t="s">
        <v>2661</v>
      </c>
    </row>
    <row r="1448" spans="1:13">
      <c r="A1448" t="s">
        <v>1065</v>
      </c>
      <c r="B1448" t="s">
        <v>275</v>
      </c>
      <c r="C1448" s="8">
        <v>46030</v>
      </c>
      <c r="D1448" t="s">
        <v>327</v>
      </c>
      <c r="E1448" t="s">
        <v>334</v>
      </c>
      <c r="F1448" s="12">
        <v>59196</v>
      </c>
      <c r="G1448" s="13">
        <v>5</v>
      </c>
      <c r="H1448" t="s">
        <v>2769</v>
      </c>
      <c r="I1448" s="8">
        <v>45949</v>
      </c>
      <c r="J1448" t="s">
        <v>2659</v>
      </c>
      <c r="K1448" t="s">
        <v>2660</v>
      </c>
      <c r="L1448" s="13">
        <v>3500</v>
      </c>
      <c r="M1448" t="s">
        <v>2661</v>
      </c>
    </row>
    <row r="1449" spans="1:13">
      <c r="A1449" t="s">
        <v>1065</v>
      </c>
      <c r="B1449" t="s">
        <v>275</v>
      </c>
      <c r="C1449" s="8">
        <v>46030</v>
      </c>
      <c r="D1449" t="s">
        <v>327</v>
      </c>
      <c r="E1449" t="s">
        <v>334</v>
      </c>
      <c r="F1449" s="12">
        <v>59196</v>
      </c>
      <c r="G1449" s="13">
        <v>5</v>
      </c>
      <c r="H1449" t="s">
        <v>2812</v>
      </c>
      <c r="I1449" s="8">
        <v>46037</v>
      </c>
      <c r="J1449" t="s">
        <v>2671</v>
      </c>
      <c r="K1449" t="s">
        <v>2672</v>
      </c>
      <c r="L1449" s="13">
        <v>3000</v>
      </c>
      <c r="M1449" t="s">
        <v>2661</v>
      </c>
    </row>
    <row r="1450" spans="1:13">
      <c r="A1450" t="s">
        <v>1065</v>
      </c>
      <c r="B1450" t="s">
        <v>275</v>
      </c>
      <c r="C1450" s="8">
        <v>46030</v>
      </c>
      <c r="D1450" t="s">
        <v>327</v>
      </c>
      <c r="E1450" t="s">
        <v>334</v>
      </c>
      <c r="F1450" s="12">
        <v>59196</v>
      </c>
      <c r="G1450" s="13">
        <v>5</v>
      </c>
      <c r="H1450" t="s">
        <v>2988</v>
      </c>
      <c r="I1450" s="8">
        <v>45949</v>
      </c>
      <c r="J1450" t="s">
        <v>2692</v>
      </c>
      <c r="K1450" t="s">
        <v>2693</v>
      </c>
      <c r="L1450" s="13">
        <v>10000</v>
      </c>
      <c r="M1450" t="s">
        <v>2661</v>
      </c>
    </row>
    <row r="1451" spans="1:13">
      <c r="A1451" t="s">
        <v>1065</v>
      </c>
      <c r="B1451" t="s">
        <v>275</v>
      </c>
      <c r="C1451" s="8">
        <v>46030</v>
      </c>
      <c r="D1451" t="s">
        <v>327</v>
      </c>
      <c r="E1451" t="s">
        <v>334</v>
      </c>
      <c r="F1451" s="12">
        <v>59196</v>
      </c>
      <c r="G1451" s="13">
        <v>5</v>
      </c>
      <c r="H1451" t="s">
        <v>3251</v>
      </c>
      <c r="I1451" s="8">
        <v>46059</v>
      </c>
      <c r="J1451" t="s">
        <v>2685</v>
      </c>
      <c r="K1451" t="s">
        <v>2686</v>
      </c>
      <c r="L1451" s="13">
        <v>5000</v>
      </c>
      <c r="M1451" t="s">
        <v>2661</v>
      </c>
    </row>
    <row r="1452" spans="1:13">
      <c r="A1452" t="s">
        <v>1065</v>
      </c>
      <c r="B1452" t="s">
        <v>275</v>
      </c>
      <c r="C1452" s="8">
        <v>46030</v>
      </c>
      <c r="D1452" t="s">
        <v>327</v>
      </c>
      <c r="E1452" t="s">
        <v>334</v>
      </c>
      <c r="F1452" s="12">
        <v>59196</v>
      </c>
      <c r="G1452" s="13">
        <v>5</v>
      </c>
      <c r="H1452" t="s">
        <v>3366</v>
      </c>
      <c r="I1452" s="8">
        <v>46230</v>
      </c>
      <c r="J1452" t="s">
        <v>2671</v>
      </c>
      <c r="K1452" t="s">
        <v>2672</v>
      </c>
      <c r="L1452" s="13">
        <v>3000</v>
      </c>
      <c r="M1452" t="s">
        <v>2661</v>
      </c>
    </row>
    <row r="1453" spans="1:13">
      <c r="A1453" t="s">
        <v>1151</v>
      </c>
      <c r="B1453" t="s">
        <v>275</v>
      </c>
      <c r="C1453" s="8">
        <v>46165</v>
      </c>
      <c r="D1453" t="s">
        <v>332</v>
      </c>
      <c r="E1453" t="s">
        <v>328</v>
      </c>
      <c r="F1453" s="12">
        <v>213884</v>
      </c>
      <c r="G1453" s="13">
        <v>21</v>
      </c>
      <c r="H1453" t="s">
        <v>2769</v>
      </c>
      <c r="I1453" s="8">
        <v>45949</v>
      </c>
      <c r="J1453" t="s">
        <v>2659</v>
      </c>
      <c r="K1453" t="s">
        <v>2660</v>
      </c>
      <c r="L1453" s="13">
        <v>3500</v>
      </c>
      <c r="M1453" t="s">
        <v>2661</v>
      </c>
    </row>
    <row r="1454" spans="1:13">
      <c r="A1454" t="s">
        <v>1151</v>
      </c>
      <c r="B1454" t="s">
        <v>275</v>
      </c>
      <c r="C1454" s="8">
        <v>46165</v>
      </c>
      <c r="D1454" t="s">
        <v>332</v>
      </c>
      <c r="E1454" t="s">
        <v>328</v>
      </c>
      <c r="F1454" s="12">
        <v>213884</v>
      </c>
      <c r="G1454" s="13">
        <v>21</v>
      </c>
      <c r="H1454" t="s">
        <v>2812</v>
      </c>
      <c r="I1454" s="8">
        <v>46037</v>
      </c>
      <c r="J1454" t="s">
        <v>2671</v>
      </c>
      <c r="K1454" t="s">
        <v>2672</v>
      </c>
      <c r="L1454" s="13">
        <v>3000</v>
      </c>
      <c r="M1454" t="s">
        <v>2661</v>
      </c>
    </row>
    <row r="1455" spans="1:13">
      <c r="A1455" t="s">
        <v>1151</v>
      </c>
      <c r="B1455" t="s">
        <v>275</v>
      </c>
      <c r="C1455" s="8">
        <v>46165</v>
      </c>
      <c r="D1455" t="s">
        <v>332</v>
      </c>
      <c r="E1455" t="s">
        <v>328</v>
      </c>
      <c r="F1455" s="12">
        <v>213884</v>
      </c>
      <c r="G1455" s="13">
        <v>21</v>
      </c>
      <c r="H1455" t="s">
        <v>2988</v>
      </c>
      <c r="I1455" s="8">
        <v>45949</v>
      </c>
      <c r="J1455" t="s">
        <v>2692</v>
      </c>
      <c r="K1455" t="s">
        <v>2693</v>
      </c>
      <c r="L1455" s="13">
        <v>10000</v>
      </c>
      <c r="M1455" t="s">
        <v>2661</v>
      </c>
    </row>
    <row r="1456" spans="1:13">
      <c r="A1456" t="s">
        <v>1151</v>
      </c>
      <c r="B1456" t="s">
        <v>275</v>
      </c>
      <c r="C1456" s="8">
        <v>46165</v>
      </c>
      <c r="D1456" t="s">
        <v>332</v>
      </c>
      <c r="E1456" t="s">
        <v>328</v>
      </c>
      <c r="F1456" s="12">
        <v>213884</v>
      </c>
      <c r="G1456" s="13">
        <v>21</v>
      </c>
      <c r="H1456" t="s">
        <v>3251</v>
      </c>
      <c r="I1456" s="8">
        <v>46059</v>
      </c>
      <c r="J1456" t="s">
        <v>2685</v>
      </c>
      <c r="K1456" t="s">
        <v>2686</v>
      </c>
      <c r="L1456" s="13">
        <v>5000</v>
      </c>
      <c r="M1456" t="s">
        <v>2661</v>
      </c>
    </row>
    <row r="1457" spans="1:13">
      <c r="A1457" t="s">
        <v>1151</v>
      </c>
      <c r="B1457" t="s">
        <v>275</v>
      </c>
      <c r="C1457" s="8">
        <v>46165</v>
      </c>
      <c r="D1457" t="s">
        <v>332</v>
      </c>
      <c r="E1457" t="s">
        <v>328</v>
      </c>
      <c r="F1457" s="12">
        <v>213884</v>
      </c>
      <c r="G1457" s="13">
        <v>21</v>
      </c>
      <c r="H1457" t="s">
        <v>3366</v>
      </c>
      <c r="I1457" s="8">
        <v>46230</v>
      </c>
      <c r="J1457" t="s">
        <v>2671</v>
      </c>
      <c r="K1457" t="s">
        <v>2672</v>
      </c>
      <c r="L1457" s="13">
        <v>3000</v>
      </c>
      <c r="M1457" t="s">
        <v>2661</v>
      </c>
    </row>
    <row r="1458" spans="1:13">
      <c r="A1458" t="s">
        <v>447</v>
      </c>
      <c r="B1458" t="s">
        <v>60</v>
      </c>
      <c r="C1458" s="8">
        <v>46169</v>
      </c>
      <c r="D1458" t="s">
        <v>327</v>
      </c>
      <c r="E1458" t="s">
        <v>328</v>
      </c>
      <c r="F1458" s="12">
        <v>580543</v>
      </c>
      <c r="G1458" s="13">
        <v>58</v>
      </c>
      <c r="H1458" t="s">
        <v>2770</v>
      </c>
      <c r="I1458" s="8">
        <v>46064</v>
      </c>
      <c r="J1458" t="s">
        <v>2663</v>
      </c>
      <c r="K1458" t="s">
        <v>3630</v>
      </c>
      <c r="L1458" s="13">
        <v>1500</v>
      </c>
      <c r="M1458" t="s">
        <v>2661</v>
      </c>
    </row>
    <row r="1459" spans="1:13">
      <c r="A1459" t="s">
        <v>447</v>
      </c>
      <c r="B1459" t="s">
        <v>60</v>
      </c>
      <c r="C1459" s="8">
        <v>46169</v>
      </c>
      <c r="D1459" t="s">
        <v>327</v>
      </c>
      <c r="E1459" t="s">
        <v>328</v>
      </c>
      <c r="F1459" s="12">
        <v>580543</v>
      </c>
      <c r="G1459" s="13">
        <v>58</v>
      </c>
      <c r="H1459" t="s">
        <v>3116</v>
      </c>
      <c r="I1459" s="8">
        <v>46093</v>
      </c>
      <c r="J1459" t="s">
        <v>2665</v>
      </c>
      <c r="K1459" t="s">
        <v>2666</v>
      </c>
      <c r="L1459" s="13">
        <v>2500</v>
      </c>
      <c r="M1459" t="s">
        <v>2661</v>
      </c>
    </row>
    <row r="1460" spans="1:13">
      <c r="A1460" t="s">
        <v>426</v>
      </c>
      <c r="B1460" t="s">
        <v>189</v>
      </c>
      <c r="C1460" s="8">
        <v>46048</v>
      </c>
      <c r="D1460" t="s">
        <v>321</v>
      </c>
      <c r="E1460" t="s">
        <v>337</v>
      </c>
      <c r="F1460" s="12">
        <v>744828</v>
      </c>
      <c r="G1460" s="13">
        <v>74</v>
      </c>
      <c r="H1460" t="s">
        <v>2775</v>
      </c>
      <c r="I1460" s="8">
        <v>46218</v>
      </c>
      <c r="J1460" t="s">
        <v>2659</v>
      </c>
      <c r="K1460" t="s">
        <v>2660</v>
      </c>
      <c r="L1460" s="13">
        <v>3500</v>
      </c>
      <c r="M1460" t="s">
        <v>2661</v>
      </c>
    </row>
    <row r="1461" spans="1:13">
      <c r="A1461" t="s">
        <v>426</v>
      </c>
      <c r="B1461" t="s">
        <v>189</v>
      </c>
      <c r="C1461" s="8">
        <v>46048</v>
      </c>
      <c r="D1461" t="s">
        <v>321</v>
      </c>
      <c r="E1461" t="s">
        <v>337</v>
      </c>
      <c r="F1461" s="12">
        <v>744828</v>
      </c>
      <c r="G1461" s="13">
        <v>74</v>
      </c>
      <c r="H1461" t="s">
        <v>3421</v>
      </c>
      <c r="I1461" s="8">
        <v>46138</v>
      </c>
      <c r="J1461" t="s">
        <v>2663</v>
      </c>
      <c r="K1461" t="s">
        <v>3630</v>
      </c>
      <c r="L1461" s="13">
        <v>1500</v>
      </c>
      <c r="M1461" t="s">
        <v>2676</v>
      </c>
    </row>
    <row r="1462" spans="1:13">
      <c r="A1462" t="s">
        <v>426</v>
      </c>
      <c r="B1462" t="s">
        <v>189</v>
      </c>
      <c r="C1462" s="8">
        <v>46048</v>
      </c>
      <c r="D1462" t="s">
        <v>321</v>
      </c>
      <c r="E1462" t="s">
        <v>337</v>
      </c>
      <c r="F1462" s="12">
        <v>744828</v>
      </c>
      <c r="G1462" s="13">
        <v>74</v>
      </c>
      <c r="H1462" t="s">
        <v>3450</v>
      </c>
      <c r="I1462" s="8">
        <v>46242</v>
      </c>
      <c r="J1462" t="s">
        <v>2685</v>
      </c>
      <c r="K1462" t="s">
        <v>2686</v>
      </c>
      <c r="L1462" s="13">
        <v>5000</v>
      </c>
      <c r="M1462" t="s">
        <v>2676</v>
      </c>
    </row>
    <row r="1463" spans="1:13">
      <c r="A1463" t="s">
        <v>776</v>
      </c>
      <c r="B1463" t="s">
        <v>210</v>
      </c>
      <c r="C1463" s="8">
        <v>45979</v>
      </c>
      <c r="D1463" t="s">
        <v>330</v>
      </c>
      <c r="E1463" t="s">
        <v>325</v>
      </c>
      <c r="F1463" s="12">
        <v>237774</v>
      </c>
      <c r="G1463" s="13">
        <v>23</v>
      </c>
      <c r="H1463" t="s">
        <v>2771</v>
      </c>
      <c r="I1463" s="8">
        <v>46292</v>
      </c>
      <c r="J1463" t="s">
        <v>2674</v>
      </c>
      <c r="K1463" t="s">
        <v>2675</v>
      </c>
      <c r="L1463" s="13">
        <v>20000</v>
      </c>
      <c r="M1463" t="s">
        <v>2661</v>
      </c>
    </row>
    <row r="1464" spans="1:13">
      <c r="A1464" t="s">
        <v>776</v>
      </c>
      <c r="B1464" t="s">
        <v>210</v>
      </c>
      <c r="C1464" s="8">
        <v>45979</v>
      </c>
      <c r="D1464" t="s">
        <v>330</v>
      </c>
      <c r="E1464" t="s">
        <v>325</v>
      </c>
      <c r="F1464" s="12">
        <v>237774</v>
      </c>
      <c r="G1464" s="13">
        <v>23</v>
      </c>
      <c r="H1464" t="s">
        <v>2860</v>
      </c>
      <c r="I1464" s="8">
        <v>46250</v>
      </c>
      <c r="J1464" t="s">
        <v>2688</v>
      </c>
      <c r="K1464" t="s">
        <v>2689</v>
      </c>
      <c r="L1464" s="13">
        <v>8000</v>
      </c>
      <c r="M1464" t="s">
        <v>2661</v>
      </c>
    </row>
    <row r="1465" spans="1:13">
      <c r="A1465" t="s">
        <v>776</v>
      </c>
      <c r="B1465" t="s">
        <v>210</v>
      </c>
      <c r="C1465" s="8">
        <v>45979</v>
      </c>
      <c r="D1465" t="s">
        <v>330</v>
      </c>
      <c r="E1465" t="s">
        <v>325</v>
      </c>
      <c r="F1465" s="12">
        <v>237774</v>
      </c>
      <c r="G1465" s="13">
        <v>23</v>
      </c>
      <c r="H1465" t="s">
        <v>2892</v>
      </c>
      <c r="I1465" s="8">
        <v>46230</v>
      </c>
      <c r="J1465" t="s">
        <v>2671</v>
      </c>
      <c r="K1465" t="s">
        <v>2672</v>
      </c>
      <c r="L1465" s="13">
        <v>3000</v>
      </c>
      <c r="M1465" t="s">
        <v>2661</v>
      </c>
    </row>
    <row r="1466" spans="1:13">
      <c r="A1466" t="s">
        <v>776</v>
      </c>
      <c r="B1466" t="s">
        <v>210</v>
      </c>
      <c r="C1466" s="8">
        <v>45979</v>
      </c>
      <c r="D1466" t="s">
        <v>330</v>
      </c>
      <c r="E1466" t="s">
        <v>325</v>
      </c>
      <c r="F1466" s="12">
        <v>237774</v>
      </c>
      <c r="G1466" s="13">
        <v>23</v>
      </c>
      <c r="H1466" t="s">
        <v>3054</v>
      </c>
      <c r="I1466" s="8">
        <v>46291</v>
      </c>
      <c r="J1466" t="s">
        <v>2685</v>
      </c>
      <c r="K1466" t="s">
        <v>2686</v>
      </c>
      <c r="L1466" s="13">
        <v>5000</v>
      </c>
      <c r="M1466" t="s">
        <v>2676</v>
      </c>
    </row>
    <row r="1467" spans="1:13">
      <c r="A1467" t="s">
        <v>776</v>
      </c>
      <c r="B1467" t="s">
        <v>210</v>
      </c>
      <c r="C1467" s="8">
        <v>45979</v>
      </c>
      <c r="D1467" t="s">
        <v>330</v>
      </c>
      <c r="E1467" t="s">
        <v>325</v>
      </c>
      <c r="F1467" s="12">
        <v>237774</v>
      </c>
      <c r="G1467" s="13">
        <v>23</v>
      </c>
      <c r="H1467" t="s">
        <v>3111</v>
      </c>
      <c r="I1467" s="8">
        <v>46232</v>
      </c>
      <c r="J1467" t="s">
        <v>2665</v>
      </c>
      <c r="K1467" t="s">
        <v>2666</v>
      </c>
      <c r="L1467" s="13">
        <v>2500</v>
      </c>
      <c r="M1467" t="s">
        <v>2661</v>
      </c>
    </row>
    <row r="1468" spans="1:13">
      <c r="A1468" t="s">
        <v>807</v>
      </c>
      <c r="B1468" t="s">
        <v>210</v>
      </c>
      <c r="C1468" s="8">
        <v>46130</v>
      </c>
      <c r="D1468" t="s">
        <v>324</v>
      </c>
      <c r="E1468" t="s">
        <v>334</v>
      </c>
      <c r="F1468" s="12">
        <v>228161</v>
      </c>
      <c r="G1468" s="13">
        <v>22</v>
      </c>
      <c r="H1468" t="s">
        <v>2771</v>
      </c>
      <c r="I1468" s="8">
        <v>46292</v>
      </c>
      <c r="J1468" t="s">
        <v>2674</v>
      </c>
      <c r="K1468" t="s">
        <v>2675</v>
      </c>
      <c r="L1468" s="13">
        <v>20000</v>
      </c>
      <c r="M1468" t="s">
        <v>2661</v>
      </c>
    </row>
    <row r="1469" spans="1:13">
      <c r="A1469" t="s">
        <v>807</v>
      </c>
      <c r="B1469" t="s">
        <v>210</v>
      </c>
      <c r="C1469" s="8">
        <v>46130</v>
      </c>
      <c r="D1469" t="s">
        <v>324</v>
      </c>
      <c r="E1469" t="s">
        <v>334</v>
      </c>
      <c r="F1469" s="12">
        <v>228161</v>
      </c>
      <c r="G1469" s="13">
        <v>22</v>
      </c>
      <c r="H1469" t="s">
        <v>2860</v>
      </c>
      <c r="I1469" s="8">
        <v>46250</v>
      </c>
      <c r="J1469" t="s">
        <v>2688</v>
      </c>
      <c r="K1469" t="s">
        <v>2689</v>
      </c>
      <c r="L1469" s="13">
        <v>8000</v>
      </c>
      <c r="M1469" t="s">
        <v>2661</v>
      </c>
    </row>
    <row r="1470" spans="1:13">
      <c r="A1470" t="s">
        <v>807</v>
      </c>
      <c r="B1470" t="s">
        <v>210</v>
      </c>
      <c r="C1470" s="8">
        <v>46130</v>
      </c>
      <c r="D1470" t="s">
        <v>324</v>
      </c>
      <c r="E1470" t="s">
        <v>334</v>
      </c>
      <c r="F1470" s="12">
        <v>228161</v>
      </c>
      <c r="G1470" s="13">
        <v>22</v>
      </c>
      <c r="H1470" t="s">
        <v>2892</v>
      </c>
      <c r="I1470" s="8">
        <v>46230</v>
      </c>
      <c r="J1470" t="s">
        <v>2671</v>
      </c>
      <c r="K1470" t="s">
        <v>2672</v>
      </c>
      <c r="L1470" s="13">
        <v>3000</v>
      </c>
      <c r="M1470" t="s">
        <v>2661</v>
      </c>
    </row>
    <row r="1471" spans="1:13">
      <c r="A1471" t="s">
        <v>807</v>
      </c>
      <c r="B1471" t="s">
        <v>210</v>
      </c>
      <c r="C1471" s="8">
        <v>46130</v>
      </c>
      <c r="D1471" t="s">
        <v>324</v>
      </c>
      <c r="E1471" t="s">
        <v>334</v>
      </c>
      <c r="F1471" s="12">
        <v>228161</v>
      </c>
      <c r="G1471" s="13">
        <v>22</v>
      </c>
      <c r="H1471" t="s">
        <v>3054</v>
      </c>
      <c r="I1471" s="8">
        <v>46291</v>
      </c>
      <c r="J1471" t="s">
        <v>2685</v>
      </c>
      <c r="K1471" t="s">
        <v>2686</v>
      </c>
      <c r="L1471" s="13">
        <v>5000</v>
      </c>
      <c r="M1471" t="s">
        <v>2676</v>
      </c>
    </row>
    <row r="1472" spans="1:13">
      <c r="A1472" t="s">
        <v>807</v>
      </c>
      <c r="B1472" t="s">
        <v>210</v>
      </c>
      <c r="C1472" s="8">
        <v>46130</v>
      </c>
      <c r="D1472" t="s">
        <v>324</v>
      </c>
      <c r="E1472" t="s">
        <v>334</v>
      </c>
      <c r="F1472" s="12">
        <v>228161</v>
      </c>
      <c r="G1472" s="13">
        <v>22</v>
      </c>
      <c r="H1472" t="s">
        <v>3111</v>
      </c>
      <c r="I1472" s="8">
        <v>46232</v>
      </c>
      <c r="J1472" t="s">
        <v>2665</v>
      </c>
      <c r="K1472" t="s">
        <v>2666</v>
      </c>
      <c r="L1472" s="13">
        <v>2500</v>
      </c>
      <c r="M1472" t="s">
        <v>2661</v>
      </c>
    </row>
    <row r="1473" spans="1:13">
      <c r="A1473" t="s">
        <v>1037</v>
      </c>
      <c r="B1473" t="s">
        <v>210</v>
      </c>
      <c r="C1473" s="8">
        <v>46012</v>
      </c>
      <c r="D1473" t="s">
        <v>344</v>
      </c>
      <c r="E1473" t="s">
        <v>337</v>
      </c>
      <c r="F1473" s="12">
        <v>293926</v>
      </c>
      <c r="G1473" s="13">
        <v>29</v>
      </c>
      <c r="H1473" t="s">
        <v>2771</v>
      </c>
      <c r="I1473" s="8">
        <v>46292</v>
      </c>
      <c r="J1473" t="s">
        <v>2674</v>
      </c>
      <c r="K1473" t="s">
        <v>2675</v>
      </c>
      <c r="L1473" s="13">
        <v>20000</v>
      </c>
      <c r="M1473" t="s">
        <v>2661</v>
      </c>
    </row>
    <row r="1474" spans="1:13">
      <c r="A1474" t="s">
        <v>1037</v>
      </c>
      <c r="B1474" t="s">
        <v>210</v>
      </c>
      <c r="C1474" s="8">
        <v>46012</v>
      </c>
      <c r="D1474" t="s">
        <v>344</v>
      </c>
      <c r="E1474" t="s">
        <v>337</v>
      </c>
      <c r="F1474" s="12">
        <v>293926</v>
      </c>
      <c r="G1474" s="13">
        <v>29</v>
      </c>
      <c r="H1474" t="s">
        <v>2860</v>
      </c>
      <c r="I1474" s="8">
        <v>46250</v>
      </c>
      <c r="J1474" t="s">
        <v>2688</v>
      </c>
      <c r="K1474" t="s">
        <v>2689</v>
      </c>
      <c r="L1474" s="13">
        <v>8000</v>
      </c>
      <c r="M1474" t="s">
        <v>2661</v>
      </c>
    </row>
    <row r="1475" spans="1:13">
      <c r="A1475" t="s">
        <v>1037</v>
      </c>
      <c r="B1475" t="s">
        <v>210</v>
      </c>
      <c r="C1475" s="8">
        <v>46012</v>
      </c>
      <c r="D1475" t="s">
        <v>344</v>
      </c>
      <c r="E1475" t="s">
        <v>337</v>
      </c>
      <c r="F1475" s="12">
        <v>293926</v>
      </c>
      <c r="G1475" s="13">
        <v>29</v>
      </c>
      <c r="H1475" t="s">
        <v>2892</v>
      </c>
      <c r="I1475" s="8">
        <v>46230</v>
      </c>
      <c r="J1475" t="s">
        <v>2671</v>
      </c>
      <c r="K1475" t="s">
        <v>2672</v>
      </c>
      <c r="L1475" s="13">
        <v>3000</v>
      </c>
      <c r="M1475" t="s">
        <v>2661</v>
      </c>
    </row>
    <row r="1476" spans="1:13">
      <c r="A1476" t="s">
        <v>1037</v>
      </c>
      <c r="B1476" t="s">
        <v>210</v>
      </c>
      <c r="C1476" s="8">
        <v>46012</v>
      </c>
      <c r="D1476" t="s">
        <v>344</v>
      </c>
      <c r="E1476" t="s">
        <v>337</v>
      </c>
      <c r="F1476" s="12">
        <v>293926</v>
      </c>
      <c r="G1476" s="13">
        <v>29</v>
      </c>
      <c r="H1476" t="s">
        <v>3054</v>
      </c>
      <c r="I1476" s="8">
        <v>46291</v>
      </c>
      <c r="J1476" t="s">
        <v>2685</v>
      </c>
      <c r="K1476" t="s">
        <v>2686</v>
      </c>
      <c r="L1476" s="13">
        <v>5000</v>
      </c>
      <c r="M1476" t="s">
        <v>2676</v>
      </c>
    </row>
    <row r="1477" spans="1:13">
      <c r="A1477" t="s">
        <v>1037</v>
      </c>
      <c r="B1477" t="s">
        <v>210</v>
      </c>
      <c r="C1477" s="8">
        <v>46012</v>
      </c>
      <c r="D1477" t="s">
        <v>344</v>
      </c>
      <c r="E1477" t="s">
        <v>337</v>
      </c>
      <c r="F1477" s="12">
        <v>293926</v>
      </c>
      <c r="G1477" s="13">
        <v>29</v>
      </c>
      <c r="H1477" t="s">
        <v>3111</v>
      </c>
      <c r="I1477" s="8">
        <v>46232</v>
      </c>
      <c r="J1477" t="s">
        <v>2665</v>
      </c>
      <c r="K1477" t="s">
        <v>2666</v>
      </c>
      <c r="L1477" s="13">
        <v>2500</v>
      </c>
      <c r="M1477" t="s">
        <v>2661</v>
      </c>
    </row>
    <row r="1478" spans="1:13">
      <c r="A1478" t="s">
        <v>1066</v>
      </c>
      <c r="B1478" t="s">
        <v>210</v>
      </c>
      <c r="C1478" s="8">
        <v>45948</v>
      </c>
      <c r="D1478" t="s">
        <v>330</v>
      </c>
      <c r="E1478" t="s">
        <v>325</v>
      </c>
      <c r="F1478" s="12">
        <v>214160</v>
      </c>
      <c r="G1478" s="13">
        <v>21</v>
      </c>
      <c r="H1478" t="s">
        <v>2771</v>
      </c>
      <c r="I1478" s="8">
        <v>46292</v>
      </c>
      <c r="J1478" t="s">
        <v>2674</v>
      </c>
      <c r="K1478" t="s">
        <v>2675</v>
      </c>
      <c r="L1478" s="13">
        <v>20000</v>
      </c>
      <c r="M1478" t="s">
        <v>2661</v>
      </c>
    </row>
    <row r="1479" spans="1:13">
      <c r="A1479" t="s">
        <v>1066</v>
      </c>
      <c r="B1479" t="s">
        <v>210</v>
      </c>
      <c r="C1479" s="8">
        <v>45948</v>
      </c>
      <c r="D1479" t="s">
        <v>330</v>
      </c>
      <c r="E1479" t="s">
        <v>325</v>
      </c>
      <c r="F1479" s="12">
        <v>214160</v>
      </c>
      <c r="G1479" s="13">
        <v>21</v>
      </c>
      <c r="H1479" t="s">
        <v>2860</v>
      </c>
      <c r="I1479" s="8">
        <v>46250</v>
      </c>
      <c r="J1479" t="s">
        <v>2688</v>
      </c>
      <c r="K1479" t="s">
        <v>2689</v>
      </c>
      <c r="L1479" s="13">
        <v>8000</v>
      </c>
      <c r="M1479" t="s">
        <v>2661</v>
      </c>
    </row>
    <row r="1480" spans="1:13">
      <c r="A1480" t="s">
        <v>1066</v>
      </c>
      <c r="B1480" t="s">
        <v>210</v>
      </c>
      <c r="C1480" s="8">
        <v>45948</v>
      </c>
      <c r="D1480" t="s">
        <v>330</v>
      </c>
      <c r="E1480" t="s">
        <v>325</v>
      </c>
      <c r="F1480" s="12">
        <v>214160</v>
      </c>
      <c r="G1480" s="13">
        <v>21</v>
      </c>
      <c r="H1480" t="s">
        <v>2892</v>
      </c>
      <c r="I1480" s="8">
        <v>46230</v>
      </c>
      <c r="J1480" t="s">
        <v>2671</v>
      </c>
      <c r="K1480" t="s">
        <v>2672</v>
      </c>
      <c r="L1480" s="13">
        <v>3000</v>
      </c>
      <c r="M1480" t="s">
        <v>2661</v>
      </c>
    </row>
    <row r="1481" spans="1:13">
      <c r="A1481" t="s">
        <v>1066</v>
      </c>
      <c r="B1481" t="s">
        <v>210</v>
      </c>
      <c r="C1481" s="8">
        <v>45948</v>
      </c>
      <c r="D1481" t="s">
        <v>330</v>
      </c>
      <c r="E1481" t="s">
        <v>325</v>
      </c>
      <c r="F1481" s="12">
        <v>214160</v>
      </c>
      <c r="G1481" s="13">
        <v>21</v>
      </c>
      <c r="H1481" t="s">
        <v>3054</v>
      </c>
      <c r="I1481" s="8">
        <v>46291</v>
      </c>
      <c r="J1481" t="s">
        <v>2685</v>
      </c>
      <c r="K1481" t="s">
        <v>2686</v>
      </c>
      <c r="L1481" s="13">
        <v>5000</v>
      </c>
      <c r="M1481" t="s">
        <v>2676</v>
      </c>
    </row>
    <row r="1482" spans="1:13">
      <c r="A1482" t="s">
        <v>1066</v>
      </c>
      <c r="B1482" t="s">
        <v>210</v>
      </c>
      <c r="C1482" s="8">
        <v>45948</v>
      </c>
      <c r="D1482" t="s">
        <v>330</v>
      </c>
      <c r="E1482" t="s">
        <v>325</v>
      </c>
      <c r="F1482" s="12">
        <v>214160</v>
      </c>
      <c r="G1482" s="13">
        <v>21</v>
      </c>
      <c r="H1482" t="s">
        <v>3111</v>
      </c>
      <c r="I1482" s="8">
        <v>46232</v>
      </c>
      <c r="J1482" t="s">
        <v>2665</v>
      </c>
      <c r="K1482" t="s">
        <v>2666</v>
      </c>
      <c r="L1482" s="13">
        <v>2500</v>
      </c>
      <c r="M1482" t="s">
        <v>2661</v>
      </c>
    </row>
    <row r="1483" spans="1:13">
      <c r="A1483" t="s">
        <v>428</v>
      </c>
      <c r="B1483" t="s">
        <v>278</v>
      </c>
      <c r="C1483" s="8">
        <v>46165</v>
      </c>
      <c r="D1483" t="s">
        <v>342</v>
      </c>
      <c r="E1483" t="s">
        <v>322</v>
      </c>
      <c r="F1483" s="12">
        <v>323525</v>
      </c>
      <c r="G1483" s="13">
        <v>32</v>
      </c>
      <c r="H1483" t="s">
        <v>2818</v>
      </c>
      <c r="I1483" s="8">
        <v>45998</v>
      </c>
      <c r="J1483" t="s">
        <v>2685</v>
      </c>
      <c r="K1483" t="s">
        <v>2686</v>
      </c>
      <c r="L1483" s="13">
        <v>5000</v>
      </c>
      <c r="M1483" t="s">
        <v>2661</v>
      </c>
    </row>
    <row r="1484" spans="1:13">
      <c r="A1484" t="s">
        <v>428</v>
      </c>
      <c r="B1484" t="s">
        <v>278</v>
      </c>
      <c r="C1484" s="8">
        <v>46165</v>
      </c>
      <c r="D1484" t="s">
        <v>342</v>
      </c>
      <c r="E1484" t="s">
        <v>322</v>
      </c>
      <c r="F1484" s="12">
        <v>323525</v>
      </c>
      <c r="G1484" s="13">
        <v>32</v>
      </c>
      <c r="H1484" t="s">
        <v>3083</v>
      </c>
      <c r="I1484" s="8">
        <v>46001</v>
      </c>
      <c r="J1484" t="s">
        <v>2671</v>
      </c>
      <c r="K1484" t="s">
        <v>2672</v>
      </c>
      <c r="L1484" s="13">
        <v>3000</v>
      </c>
      <c r="M1484" t="s">
        <v>2676</v>
      </c>
    </row>
    <row r="1485" spans="1:13">
      <c r="A1485" t="s">
        <v>428</v>
      </c>
      <c r="B1485" t="s">
        <v>278</v>
      </c>
      <c r="C1485" s="8">
        <v>46165</v>
      </c>
      <c r="D1485" t="s">
        <v>342</v>
      </c>
      <c r="E1485" t="s">
        <v>322</v>
      </c>
      <c r="F1485" s="12">
        <v>323525</v>
      </c>
      <c r="G1485" s="13">
        <v>32</v>
      </c>
      <c r="H1485" t="s">
        <v>3093</v>
      </c>
      <c r="I1485" s="8">
        <v>46073</v>
      </c>
      <c r="J1485" t="s">
        <v>2668</v>
      </c>
      <c r="K1485" t="s">
        <v>2669</v>
      </c>
      <c r="L1485" s="13">
        <v>4000</v>
      </c>
      <c r="M1485" t="s">
        <v>2661</v>
      </c>
    </row>
    <row r="1486" spans="1:13">
      <c r="A1486" t="s">
        <v>480</v>
      </c>
      <c r="B1486" t="s">
        <v>278</v>
      </c>
      <c r="C1486" s="8">
        <v>46035</v>
      </c>
      <c r="D1486" t="s">
        <v>350</v>
      </c>
      <c r="E1486" t="s">
        <v>334</v>
      </c>
      <c r="F1486" s="12">
        <v>120744</v>
      </c>
      <c r="G1486" s="13">
        <v>12</v>
      </c>
      <c r="H1486" t="s">
        <v>2818</v>
      </c>
      <c r="I1486" s="8">
        <v>45998</v>
      </c>
      <c r="J1486" t="s">
        <v>2685</v>
      </c>
      <c r="K1486" t="s">
        <v>2686</v>
      </c>
      <c r="L1486" s="13">
        <v>5000</v>
      </c>
      <c r="M1486" t="s">
        <v>2661</v>
      </c>
    </row>
    <row r="1487" spans="1:13">
      <c r="A1487" t="s">
        <v>480</v>
      </c>
      <c r="B1487" t="s">
        <v>278</v>
      </c>
      <c r="C1487" s="8">
        <v>46035</v>
      </c>
      <c r="D1487" t="s">
        <v>350</v>
      </c>
      <c r="E1487" t="s">
        <v>334</v>
      </c>
      <c r="F1487" s="12">
        <v>120744</v>
      </c>
      <c r="G1487" s="13">
        <v>12</v>
      </c>
      <c r="H1487" t="s">
        <v>3083</v>
      </c>
      <c r="I1487" s="8">
        <v>46001</v>
      </c>
      <c r="J1487" t="s">
        <v>2671</v>
      </c>
      <c r="K1487" t="s">
        <v>2672</v>
      </c>
      <c r="L1487" s="13">
        <v>3000</v>
      </c>
      <c r="M1487" t="s">
        <v>2676</v>
      </c>
    </row>
    <row r="1488" spans="1:13">
      <c r="A1488" t="s">
        <v>480</v>
      </c>
      <c r="B1488" t="s">
        <v>278</v>
      </c>
      <c r="C1488" s="8">
        <v>46035</v>
      </c>
      <c r="D1488" t="s">
        <v>350</v>
      </c>
      <c r="E1488" t="s">
        <v>334</v>
      </c>
      <c r="F1488" s="12">
        <v>120744</v>
      </c>
      <c r="G1488" s="13">
        <v>12</v>
      </c>
      <c r="H1488" t="s">
        <v>3093</v>
      </c>
      <c r="I1488" s="8">
        <v>46073</v>
      </c>
      <c r="J1488" t="s">
        <v>2668</v>
      </c>
      <c r="K1488" t="s">
        <v>2669</v>
      </c>
      <c r="L1488" s="13">
        <v>4000</v>
      </c>
      <c r="M1488" t="s">
        <v>2661</v>
      </c>
    </row>
    <row r="1489" spans="1:13">
      <c r="A1489" t="s">
        <v>533</v>
      </c>
      <c r="B1489" t="s">
        <v>278</v>
      </c>
      <c r="C1489" s="8">
        <v>46118</v>
      </c>
      <c r="D1489" t="s">
        <v>350</v>
      </c>
      <c r="E1489" t="s">
        <v>337</v>
      </c>
      <c r="F1489" s="12">
        <v>342422</v>
      </c>
      <c r="G1489" s="13">
        <v>34</v>
      </c>
      <c r="H1489" t="s">
        <v>2818</v>
      </c>
      <c r="I1489" s="8">
        <v>45998</v>
      </c>
      <c r="J1489" t="s">
        <v>2685</v>
      </c>
      <c r="K1489" t="s">
        <v>2686</v>
      </c>
      <c r="L1489" s="13">
        <v>5000</v>
      </c>
      <c r="M1489" t="s">
        <v>2661</v>
      </c>
    </row>
    <row r="1490" spans="1:13">
      <c r="A1490" t="s">
        <v>533</v>
      </c>
      <c r="B1490" t="s">
        <v>278</v>
      </c>
      <c r="C1490" s="8">
        <v>46118</v>
      </c>
      <c r="D1490" t="s">
        <v>350</v>
      </c>
      <c r="E1490" t="s">
        <v>337</v>
      </c>
      <c r="F1490" s="12">
        <v>342422</v>
      </c>
      <c r="G1490" s="13">
        <v>34</v>
      </c>
      <c r="H1490" t="s">
        <v>3083</v>
      </c>
      <c r="I1490" s="8">
        <v>46001</v>
      </c>
      <c r="J1490" t="s">
        <v>2671</v>
      </c>
      <c r="K1490" t="s">
        <v>2672</v>
      </c>
      <c r="L1490" s="13">
        <v>3000</v>
      </c>
      <c r="M1490" t="s">
        <v>2676</v>
      </c>
    </row>
    <row r="1491" spans="1:13">
      <c r="A1491" t="s">
        <v>533</v>
      </c>
      <c r="B1491" t="s">
        <v>278</v>
      </c>
      <c r="C1491" s="8">
        <v>46118</v>
      </c>
      <c r="D1491" t="s">
        <v>350</v>
      </c>
      <c r="E1491" t="s">
        <v>337</v>
      </c>
      <c r="F1491" s="12">
        <v>342422</v>
      </c>
      <c r="G1491" s="13">
        <v>34</v>
      </c>
      <c r="H1491" t="s">
        <v>3093</v>
      </c>
      <c r="I1491" s="8">
        <v>46073</v>
      </c>
      <c r="J1491" t="s">
        <v>2668</v>
      </c>
      <c r="K1491" t="s">
        <v>2669</v>
      </c>
      <c r="L1491" s="13">
        <v>4000</v>
      </c>
      <c r="M1491" t="s">
        <v>2661</v>
      </c>
    </row>
    <row r="1492" spans="1:13">
      <c r="A1492" t="s">
        <v>597</v>
      </c>
      <c r="B1492" t="s">
        <v>278</v>
      </c>
      <c r="C1492" s="8">
        <v>46203</v>
      </c>
      <c r="D1492" t="s">
        <v>324</v>
      </c>
      <c r="E1492" t="s">
        <v>325</v>
      </c>
      <c r="F1492" s="12">
        <v>327115</v>
      </c>
      <c r="G1492" s="13">
        <v>32</v>
      </c>
      <c r="H1492" t="s">
        <v>2818</v>
      </c>
      <c r="I1492" s="8">
        <v>45998</v>
      </c>
      <c r="J1492" t="s">
        <v>2685</v>
      </c>
      <c r="K1492" t="s">
        <v>2686</v>
      </c>
      <c r="L1492" s="13">
        <v>5000</v>
      </c>
      <c r="M1492" t="s">
        <v>2661</v>
      </c>
    </row>
    <row r="1493" spans="1:13">
      <c r="A1493" t="s">
        <v>597</v>
      </c>
      <c r="B1493" t="s">
        <v>278</v>
      </c>
      <c r="C1493" s="8">
        <v>46203</v>
      </c>
      <c r="D1493" t="s">
        <v>324</v>
      </c>
      <c r="E1493" t="s">
        <v>325</v>
      </c>
      <c r="F1493" s="12">
        <v>327115</v>
      </c>
      <c r="G1493" s="13">
        <v>32</v>
      </c>
      <c r="H1493" t="s">
        <v>3083</v>
      </c>
      <c r="I1493" s="8">
        <v>46001</v>
      </c>
      <c r="J1493" t="s">
        <v>2671</v>
      </c>
      <c r="K1493" t="s">
        <v>2672</v>
      </c>
      <c r="L1493" s="13">
        <v>3000</v>
      </c>
      <c r="M1493" t="s">
        <v>2676</v>
      </c>
    </row>
    <row r="1494" spans="1:13">
      <c r="A1494" t="s">
        <v>597</v>
      </c>
      <c r="B1494" t="s">
        <v>278</v>
      </c>
      <c r="C1494" s="8">
        <v>46203</v>
      </c>
      <c r="D1494" t="s">
        <v>324</v>
      </c>
      <c r="E1494" t="s">
        <v>325</v>
      </c>
      <c r="F1494" s="12">
        <v>327115</v>
      </c>
      <c r="G1494" s="13">
        <v>32</v>
      </c>
      <c r="H1494" t="s">
        <v>3093</v>
      </c>
      <c r="I1494" s="8">
        <v>46073</v>
      </c>
      <c r="J1494" t="s">
        <v>2668</v>
      </c>
      <c r="K1494" t="s">
        <v>2669</v>
      </c>
      <c r="L1494" s="13">
        <v>4000</v>
      </c>
      <c r="M1494" t="s">
        <v>2661</v>
      </c>
    </row>
    <row r="1495" spans="1:13">
      <c r="A1495" t="s">
        <v>633</v>
      </c>
      <c r="B1495" t="s">
        <v>278</v>
      </c>
      <c r="C1495" s="8">
        <v>46131</v>
      </c>
      <c r="D1495" t="s">
        <v>350</v>
      </c>
      <c r="E1495" t="s">
        <v>334</v>
      </c>
      <c r="F1495" s="12">
        <v>267167</v>
      </c>
      <c r="G1495" s="13">
        <v>26</v>
      </c>
      <c r="H1495" t="s">
        <v>2818</v>
      </c>
      <c r="I1495" s="8">
        <v>45998</v>
      </c>
      <c r="J1495" t="s">
        <v>2685</v>
      </c>
      <c r="K1495" t="s">
        <v>2686</v>
      </c>
      <c r="L1495" s="13">
        <v>5000</v>
      </c>
      <c r="M1495" t="s">
        <v>2661</v>
      </c>
    </row>
    <row r="1496" spans="1:13">
      <c r="A1496" t="s">
        <v>633</v>
      </c>
      <c r="B1496" t="s">
        <v>278</v>
      </c>
      <c r="C1496" s="8">
        <v>46131</v>
      </c>
      <c r="D1496" t="s">
        <v>350</v>
      </c>
      <c r="E1496" t="s">
        <v>334</v>
      </c>
      <c r="F1496" s="12">
        <v>267167</v>
      </c>
      <c r="G1496" s="13">
        <v>26</v>
      </c>
      <c r="H1496" t="s">
        <v>3083</v>
      </c>
      <c r="I1496" s="8">
        <v>46001</v>
      </c>
      <c r="J1496" t="s">
        <v>2671</v>
      </c>
      <c r="K1496" t="s">
        <v>2672</v>
      </c>
      <c r="L1496" s="13">
        <v>3000</v>
      </c>
      <c r="M1496" t="s">
        <v>2676</v>
      </c>
    </row>
    <row r="1497" spans="1:13">
      <c r="A1497" t="s">
        <v>633</v>
      </c>
      <c r="B1497" t="s">
        <v>278</v>
      </c>
      <c r="C1497" s="8">
        <v>46131</v>
      </c>
      <c r="D1497" t="s">
        <v>350</v>
      </c>
      <c r="E1497" t="s">
        <v>334</v>
      </c>
      <c r="F1497" s="12">
        <v>267167</v>
      </c>
      <c r="G1497" s="13">
        <v>26</v>
      </c>
      <c r="H1497" t="s">
        <v>3093</v>
      </c>
      <c r="I1497" s="8">
        <v>46073</v>
      </c>
      <c r="J1497" t="s">
        <v>2668</v>
      </c>
      <c r="K1497" t="s">
        <v>2669</v>
      </c>
      <c r="L1497" s="13">
        <v>4000</v>
      </c>
      <c r="M1497" t="s">
        <v>2661</v>
      </c>
    </row>
    <row r="1498" spans="1:13">
      <c r="A1498" t="s">
        <v>645</v>
      </c>
      <c r="B1498" t="s">
        <v>278</v>
      </c>
      <c r="C1498" s="8">
        <v>46053</v>
      </c>
      <c r="D1498" t="s">
        <v>342</v>
      </c>
      <c r="E1498" t="s">
        <v>337</v>
      </c>
      <c r="F1498" s="12">
        <v>153573</v>
      </c>
      <c r="G1498" s="13">
        <v>15</v>
      </c>
      <c r="H1498" t="s">
        <v>2818</v>
      </c>
      <c r="I1498" s="8">
        <v>45998</v>
      </c>
      <c r="J1498" t="s">
        <v>2685</v>
      </c>
      <c r="K1498" t="s">
        <v>2686</v>
      </c>
      <c r="L1498" s="13">
        <v>5000</v>
      </c>
      <c r="M1498" t="s">
        <v>2661</v>
      </c>
    </row>
    <row r="1499" spans="1:13">
      <c r="A1499" t="s">
        <v>645</v>
      </c>
      <c r="B1499" t="s">
        <v>278</v>
      </c>
      <c r="C1499" s="8">
        <v>46053</v>
      </c>
      <c r="D1499" t="s">
        <v>342</v>
      </c>
      <c r="E1499" t="s">
        <v>337</v>
      </c>
      <c r="F1499" s="12">
        <v>153573</v>
      </c>
      <c r="G1499" s="13">
        <v>15</v>
      </c>
      <c r="H1499" t="s">
        <v>3083</v>
      </c>
      <c r="I1499" s="8">
        <v>46001</v>
      </c>
      <c r="J1499" t="s">
        <v>2671</v>
      </c>
      <c r="K1499" t="s">
        <v>2672</v>
      </c>
      <c r="L1499" s="13">
        <v>3000</v>
      </c>
      <c r="M1499" t="s">
        <v>2676</v>
      </c>
    </row>
    <row r="1500" spans="1:13">
      <c r="A1500" t="s">
        <v>645</v>
      </c>
      <c r="B1500" t="s">
        <v>278</v>
      </c>
      <c r="C1500" s="8">
        <v>46053</v>
      </c>
      <c r="D1500" t="s">
        <v>342</v>
      </c>
      <c r="E1500" t="s">
        <v>337</v>
      </c>
      <c r="F1500" s="12">
        <v>153573</v>
      </c>
      <c r="G1500" s="13">
        <v>15</v>
      </c>
      <c r="H1500" t="s">
        <v>3093</v>
      </c>
      <c r="I1500" s="8">
        <v>46073</v>
      </c>
      <c r="J1500" t="s">
        <v>2668</v>
      </c>
      <c r="K1500" t="s">
        <v>2669</v>
      </c>
      <c r="L1500" s="13">
        <v>4000</v>
      </c>
      <c r="M1500" t="s">
        <v>2661</v>
      </c>
    </row>
    <row r="1501" spans="1:13">
      <c r="A1501" t="s">
        <v>689</v>
      </c>
      <c r="B1501" t="s">
        <v>278</v>
      </c>
      <c r="C1501" s="8">
        <v>46217</v>
      </c>
      <c r="D1501" t="s">
        <v>342</v>
      </c>
      <c r="E1501" t="s">
        <v>339</v>
      </c>
      <c r="F1501" s="12">
        <v>363651</v>
      </c>
      <c r="G1501" s="13">
        <v>36</v>
      </c>
      <c r="H1501" t="s">
        <v>2818</v>
      </c>
      <c r="I1501" s="8">
        <v>45998</v>
      </c>
      <c r="J1501" t="s">
        <v>2685</v>
      </c>
      <c r="K1501" t="s">
        <v>2686</v>
      </c>
      <c r="L1501" s="13">
        <v>5000</v>
      </c>
      <c r="M1501" t="s">
        <v>2661</v>
      </c>
    </row>
    <row r="1502" spans="1:13">
      <c r="A1502" t="s">
        <v>689</v>
      </c>
      <c r="B1502" t="s">
        <v>278</v>
      </c>
      <c r="C1502" s="8">
        <v>46217</v>
      </c>
      <c r="D1502" t="s">
        <v>342</v>
      </c>
      <c r="E1502" t="s">
        <v>339</v>
      </c>
      <c r="F1502" s="12">
        <v>363651</v>
      </c>
      <c r="G1502" s="13">
        <v>36</v>
      </c>
      <c r="H1502" t="s">
        <v>3083</v>
      </c>
      <c r="I1502" s="8">
        <v>46001</v>
      </c>
      <c r="J1502" t="s">
        <v>2671</v>
      </c>
      <c r="K1502" t="s">
        <v>2672</v>
      </c>
      <c r="L1502" s="13">
        <v>3000</v>
      </c>
      <c r="M1502" t="s">
        <v>2676</v>
      </c>
    </row>
    <row r="1503" spans="1:13">
      <c r="A1503" t="s">
        <v>689</v>
      </c>
      <c r="B1503" t="s">
        <v>278</v>
      </c>
      <c r="C1503" s="8">
        <v>46217</v>
      </c>
      <c r="D1503" t="s">
        <v>342</v>
      </c>
      <c r="E1503" t="s">
        <v>339</v>
      </c>
      <c r="F1503" s="12">
        <v>363651</v>
      </c>
      <c r="G1503" s="13">
        <v>36</v>
      </c>
      <c r="H1503" t="s">
        <v>3093</v>
      </c>
      <c r="I1503" s="8">
        <v>46073</v>
      </c>
      <c r="J1503" t="s">
        <v>2668</v>
      </c>
      <c r="K1503" t="s">
        <v>2669</v>
      </c>
      <c r="L1503" s="13">
        <v>4000</v>
      </c>
      <c r="M1503" t="s">
        <v>2661</v>
      </c>
    </row>
    <row r="1504" spans="1:13">
      <c r="A1504" t="s">
        <v>850</v>
      </c>
      <c r="B1504" t="s">
        <v>278</v>
      </c>
      <c r="C1504" s="8">
        <v>45958</v>
      </c>
      <c r="D1504" t="s">
        <v>342</v>
      </c>
      <c r="E1504" t="s">
        <v>334</v>
      </c>
      <c r="F1504" s="12">
        <v>259670</v>
      </c>
      <c r="G1504" s="13">
        <v>25</v>
      </c>
      <c r="H1504" t="s">
        <v>2818</v>
      </c>
      <c r="I1504" s="8">
        <v>45998</v>
      </c>
      <c r="J1504" t="s">
        <v>2685</v>
      </c>
      <c r="K1504" t="s">
        <v>2686</v>
      </c>
      <c r="L1504" s="13">
        <v>5000</v>
      </c>
      <c r="M1504" t="s">
        <v>2661</v>
      </c>
    </row>
    <row r="1505" spans="1:13">
      <c r="A1505" t="s">
        <v>850</v>
      </c>
      <c r="B1505" t="s">
        <v>278</v>
      </c>
      <c r="C1505" s="8">
        <v>45958</v>
      </c>
      <c r="D1505" t="s">
        <v>342</v>
      </c>
      <c r="E1505" t="s">
        <v>334</v>
      </c>
      <c r="F1505" s="12">
        <v>259670</v>
      </c>
      <c r="G1505" s="13">
        <v>25</v>
      </c>
      <c r="H1505" t="s">
        <v>3083</v>
      </c>
      <c r="I1505" s="8">
        <v>46001</v>
      </c>
      <c r="J1505" t="s">
        <v>2671</v>
      </c>
      <c r="K1505" t="s">
        <v>2672</v>
      </c>
      <c r="L1505" s="13">
        <v>3000</v>
      </c>
      <c r="M1505" t="s">
        <v>2676</v>
      </c>
    </row>
    <row r="1506" spans="1:13">
      <c r="A1506" t="s">
        <v>850</v>
      </c>
      <c r="B1506" t="s">
        <v>278</v>
      </c>
      <c r="C1506" s="8">
        <v>45958</v>
      </c>
      <c r="D1506" t="s">
        <v>342</v>
      </c>
      <c r="E1506" t="s">
        <v>334</v>
      </c>
      <c r="F1506" s="12">
        <v>259670</v>
      </c>
      <c r="G1506" s="13">
        <v>25</v>
      </c>
      <c r="H1506" t="s">
        <v>3093</v>
      </c>
      <c r="I1506" s="8">
        <v>46073</v>
      </c>
      <c r="J1506" t="s">
        <v>2668</v>
      </c>
      <c r="K1506" t="s">
        <v>2669</v>
      </c>
      <c r="L1506" s="13">
        <v>4000</v>
      </c>
      <c r="M1506" t="s">
        <v>2661</v>
      </c>
    </row>
    <row r="1507" spans="1:13">
      <c r="A1507" t="s">
        <v>859</v>
      </c>
      <c r="B1507" t="s">
        <v>278</v>
      </c>
      <c r="C1507" s="8">
        <v>46187</v>
      </c>
      <c r="D1507" t="s">
        <v>342</v>
      </c>
      <c r="E1507" t="s">
        <v>325</v>
      </c>
      <c r="F1507" s="12">
        <v>149746</v>
      </c>
      <c r="G1507" s="13">
        <v>14</v>
      </c>
      <c r="H1507" t="s">
        <v>2818</v>
      </c>
      <c r="I1507" s="8">
        <v>45998</v>
      </c>
      <c r="J1507" t="s">
        <v>2685</v>
      </c>
      <c r="K1507" t="s">
        <v>2686</v>
      </c>
      <c r="L1507" s="13">
        <v>5000</v>
      </c>
      <c r="M1507" t="s">
        <v>2661</v>
      </c>
    </row>
    <row r="1508" spans="1:13">
      <c r="A1508" t="s">
        <v>859</v>
      </c>
      <c r="B1508" t="s">
        <v>278</v>
      </c>
      <c r="C1508" s="8">
        <v>46187</v>
      </c>
      <c r="D1508" t="s">
        <v>342</v>
      </c>
      <c r="E1508" t="s">
        <v>325</v>
      </c>
      <c r="F1508" s="12">
        <v>149746</v>
      </c>
      <c r="G1508" s="13">
        <v>14</v>
      </c>
      <c r="H1508" t="s">
        <v>3083</v>
      </c>
      <c r="I1508" s="8">
        <v>46001</v>
      </c>
      <c r="J1508" t="s">
        <v>2671</v>
      </c>
      <c r="K1508" t="s">
        <v>2672</v>
      </c>
      <c r="L1508" s="13">
        <v>3000</v>
      </c>
      <c r="M1508" t="s">
        <v>2676</v>
      </c>
    </row>
    <row r="1509" spans="1:13">
      <c r="A1509" t="s">
        <v>859</v>
      </c>
      <c r="B1509" t="s">
        <v>278</v>
      </c>
      <c r="C1509" s="8">
        <v>46187</v>
      </c>
      <c r="D1509" t="s">
        <v>342</v>
      </c>
      <c r="E1509" t="s">
        <v>325</v>
      </c>
      <c r="F1509" s="12">
        <v>149746</v>
      </c>
      <c r="G1509" s="13">
        <v>14</v>
      </c>
      <c r="H1509" t="s">
        <v>3093</v>
      </c>
      <c r="I1509" s="8">
        <v>46073</v>
      </c>
      <c r="J1509" t="s">
        <v>2668</v>
      </c>
      <c r="K1509" t="s">
        <v>2669</v>
      </c>
      <c r="L1509" s="13">
        <v>4000</v>
      </c>
      <c r="M1509" t="s">
        <v>2661</v>
      </c>
    </row>
    <row r="1510" spans="1:13">
      <c r="A1510" t="s">
        <v>1023</v>
      </c>
      <c r="B1510" t="s">
        <v>278</v>
      </c>
      <c r="C1510" s="8">
        <v>46248</v>
      </c>
      <c r="D1510" t="s">
        <v>327</v>
      </c>
      <c r="E1510" t="s">
        <v>337</v>
      </c>
      <c r="F1510" s="12">
        <v>878544</v>
      </c>
      <c r="G1510" s="13">
        <v>87</v>
      </c>
      <c r="H1510" t="s">
        <v>2818</v>
      </c>
      <c r="I1510" s="8">
        <v>45998</v>
      </c>
      <c r="J1510" t="s">
        <v>2685</v>
      </c>
      <c r="K1510" t="s">
        <v>2686</v>
      </c>
      <c r="L1510" s="13">
        <v>5000</v>
      </c>
      <c r="M1510" t="s">
        <v>2661</v>
      </c>
    </row>
    <row r="1511" spans="1:13">
      <c r="A1511" t="s">
        <v>1023</v>
      </c>
      <c r="B1511" t="s">
        <v>278</v>
      </c>
      <c r="C1511" s="8">
        <v>46248</v>
      </c>
      <c r="D1511" t="s">
        <v>327</v>
      </c>
      <c r="E1511" t="s">
        <v>337</v>
      </c>
      <c r="F1511" s="12">
        <v>878544</v>
      </c>
      <c r="G1511" s="13">
        <v>87</v>
      </c>
      <c r="H1511" t="s">
        <v>3083</v>
      </c>
      <c r="I1511" s="8">
        <v>46001</v>
      </c>
      <c r="J1511" t="s">
        <v>2671</v>
      </c>
      <c r="K1511" t="s">
        <v>2672</v>
      </c>
      <c r="L1511" s="13">
        <v>3000</v>
      </c>
      <c r="M1511" t="s">
        <v>2676</v>
      </c>
    </row>
    <row r="1512" spans="1:13">
      <c r="A1512" t="s">
        <v>1023</v>
      </c>
      <c r="B1512" t="s">
        <v>278</v>
      </c>
      <c r="C1512" s="8">
        <v>46248</v>
      </c>
      <c r="D1512" t="s">
        <v>327</v>
      </c>
      <c r="E1512" t="s">
        <v>337</v>
      </c>
      <c r="F1512" s="12">
        <v>878544</v>
      </c>
      <c r="G1512" s="13">
        <v>87</v>
      </c>
      <c r="H1512" t="s">
        <v>3093</v>
      </c>
      <c r="I1512" s="8">
        <v>46073</v>
      </c>
      <c r="J1512" t="s">
        <v>2668</v>
      </c>
      <c r="K1512" t="s">
        <v>2669</v>
      </c>
      <c r="L1512" s="13">
        <v>4000</v>
      </c>
      <c r="M1512" t="s">
        <v>2661</v>
      </c>
    </row>
    <row r="1513" spans="1:13">
      <c r="A1513" t="s">
        <v>629</v>
      </c>
      <c r="B1513" t="s">
        <v>269</v>
      </c>
      <c r="C1513" s="8">
        <v>46015</v>
      </c>
      <c r="D1513" t="s">
        <v>321</v>
      </c>
      <c r="E1513" t="s">
        <v>328</v>
      </c>
      <c r="F1513" s="12">
        <v>113903</v>
      </c>
      <c r="G1513" s="13">
        <v>11</v>
      </c>
      <c r="H1513" t="s">
        <v>2773</v>
      </c>
      <c r="I1513" s="8">
        <v>46184</v>
      </c>
      <c r="J1513" t="s">
        <v>2692</v>
      </c>
      <c r="K1513" t="s">
        <v>2693</v>
      </c>
      <c r="L1513" s="13">
        <v>10000</v>
      </c>
      <c r="M1513" t="s">
        <v>2661</v>
      </c>
    </row>
    <row r="1514" spans="1:13">
      <c r="A1514" t="s">
        <v>629</v>
      </c>
      <c r="B1514" t="s">
        <v>269</v>
      </c>
      <c r="C1514" s="8">
        <v>46015</v>
      </c>
      <c r="D1514" t="s">
        <v>321</v>
      </c>
      <c r="E1514" t="s">
        <v>328</v>
      </c>
      <c r="F1514" s="12">
        <v>113903</v>
      </c>
      <c r="G1514" s="13">
        <v>11</v>
      </c>
      <c r="H1514" t="s">
        <v>3367</v>
      </c>
      <c r="I1514" s="8">
        <v>46038</v>
      </c>
      <c r="J1514" t="s">
        <v>2692</v>
      </c>
      <c r="K1514" t="s">
        <v>2693</v>
      </c>
      <c r="L1514" s="13">
        <v>10000</v>
      </c>
      <c r="M1514" t="s">
        <v>2661</v>
      </c>
    </row>
    <row r="1515" spans="1:13">
      <c r="A1515" t="s">
        <v>629</v>
      </c>
      <c r="B1515" t="s">
        <v>269</v>
      </c>
      <c r="C1515" s="8">
        <v>46015</v>
      </c>
      <c r="D1515" t="s">
        <v>321</v>
      </c>
      <c r="E1515" t="s">
        <v>328</v>
      </c>
      <c r="F1515" s="12">
        <v>113903</v>
      </c>
      <c r="G1515" s="13">
        <v>11</v>
      </c>
      <c r="H1515" t="s">
        <v>3556</v>
      </c>
      <c r="I1515" s="8">
        <v>46043</v>
      </c>
      <c r="J1515" t="s">
        <v>2674</v>
      </c>
      <c r="K1515" t="s">
        <v>2675</v>
      </c>
      <c r="L1515" s="13">
        <v>20000</v>
      </c>
      <c r="M1515" t="s">
        <v>2661</v>
      </c>
    </row>
    <row r="1516" spans="1:13">
      <c r="A1516" t="s">
        <v>500</v>
      </c>
      <c r="B1516" t="s">
        <v>274</v>
      </c>
      <c r="C1516" s="8">
        <v>46158</v>
      </c>
      <c r="D1516" t="s">
        <v>327</v>
      </c>
      <c r="E1516" t="s">
        <v>325</v>
      </c>
      <c r="F1516" s="12">
        <v>221830</v>
      </c>
      <c r="G1516" s="13">
        <v>22</v>
      </c>
      <c r="H1516" t="s">
        <v>2774</v>
      </c>
      <c r="I1516" s="8">
        <v>46157</v>
      </c>
      <c r="J1516" t="s">
        <v>2685</v>
      </c>
      <c r="K1516" t="s">
        <v>2686</v>
      </c>
      <c r="L1516" s="13">
        <v>5000</v>
      </c>
      <c r="M1516" t="s">
        <v>2661</v>
      </c>
    </row>
    <row r="1517" spans="1:13">
      <c r="A1517" t="s">
        <v>500</v>
      </c>
      <c r="B1517" t="s">
        <v>274</v>
      </c>
      <c r="C1517" s="8">
        <v>46158</v>
      </c>
      <c r="D1517" t="s">
        <v>327</v>
      </c>
      <c r="E1517" t="s">
        <v>325</v>
      </c>
      <c r="F1517" s="12">
        <v>221830</v>
      </c>
      <c r="G1517" s="13">
        <v>22</v>
      </c>
      <c r="H1517" t="s">
        <v>2811</v>
      </c>
      <c r="I1517" s="8">
        <v>45976</v>
      </c>
      <c r="J1517" t="s">
        <v>2688</v>
      </c>
      <c r="K1517" t="s">
        <v>2689</v>
      </c>
      <c r="L1517" s="13">
        <v>8000</v>
      </c>
      <c r="M1517" t="s">
        <v>2661</v>
      </c>
    </row>
    <row r="1518" spans="1:13">
      <c r="A1518" t="s">
        <v>500</v>
      </c>
      <c r="B1518" t="s">
        <v>274</v>
      </c>
      <c r="C1518" s="8">
        <v>46158</v>
      </c>
      <c r="D1518" t="s">
        <v>327</v>
      </c>
      <c r="E1518" t="s">
        <v>325</v>
      </c>
      <c r="F1518" s="12">
        <v>221830</v>
      </c>
      <c r="G1518" s="13">
        <v>22</v>
      </c>
      <c r="H1518" t="s">
        <v>2842</v>
      </c>
      <c r="I1518" s="8">
        <v>46222</v>
      </c>
      <c r="J1518" t="s">
        <v>2682</v>
      </c>
      <c r="K1518" t="s">
        <v>2683</v>
      </c>
      <c r="L1518" s="13">
        <v>6000</v>
      </c>
      <c r="M1518" t="s">
        <v>2661</v>
      </c>
    </row>
    <row r="1519" spans="1:13">
      <c r="A1519" t="s">
        <v>500</v>
      </c>
      <c r="B1519" t="s">
        <v>274</v>
      </c>
      <c r="C1519" s="8">
        <v>46158</v>
      </c>
      <c r="D1519" t="s">
        <v>327</v>
      </c>
      <c r="E1519" t="s">
        <v>325</v>
      </c>
      <c r="F1519" s="12">
        <v>221830</v>
      </c>
      <c r="G1519" s="13">
        <v>22</v>
      </c>
      <c r="H1519" t="s">
        <v>2855</v>
      </c>
      <c r="I1519" s="8">
        <v>46132</v>
      </c>
      <c r="J1519" t="s">
        <v>2688</v>
      </c>
      <c r="K1519" t="s">
        <v>2689</v>
      </c>
      <c r="L1519" s="13">
        <v>8000</v>
      </c>
      <c r="M1519" t="s">
        <v>2661</v>
      </c>
    </row>
    <row r="1520" spans="1:13">
      <c r="A1520" t="s">
        <v>500</v>
      </c>
      <c r="B1520" t="s">
        <v>274</v>
      </c>
      <c r="C1520" s="8">
        <v>46158</v>
      </c>
      <c r="D1520" t="s">
        <v>327</v>
      </c>
      <c r="E1520" t="s">
        <v>325</v>
      </c>
      <c r="F1520" s="12">
        <v>221830</v>
      </c>
      <c r="G1520" s="13">
        <v>22</v>
      </c>
      <c r="H1520" t="s">
        <v>3433</v>
      </c>
      <c r="I1520" s="8">
        <v>46038</v>
      </c>
      <c r="J1520" t="s">
        <v>2692</v>
      </c>
      <c r="K1520" t="s">
        <v>2693</v>
      </c>
      <c r="L1520" s="13">
        <v>10000</v>
      </c>
      <c r="M1520" t="s">
        <v>2661</v>
      </c>
    </row>
    <row r="1521" spans="1:13">
      <c r="A1521" t="s">
        <v>500</v>
      </c>
      <c r="B1521" t="s">
        <v>274</v>
      </c>
      <c r="C1521" s="8">
        <v>46158</v>
      </c>
      <c r="D1521" t="s">
        <v>327</v>
      </c>
      <c r="E1521" t="s">
        <v>325</v>
      </c>
      <c r="F1521" s="12">
        <v>221830</v>
      </c>
      <c r="G1521" s="13">
        <v>22</v>
      </c>
      <c r="H1521" t="s">
        <v>3488</v>
      </c>
      <c r="I1521" s="8">
        <v>46057</v>
      </c>
      <c r="J1521" t="s">
        <v>2665</v>
      </c>
      <c r="K1521" t="s">
        <v>2666</v>
      </c>
      <c r="L1521" s="13">
        <v>2500</v>
      </c>
      <c r="M1521" t="s">
        <v>2676</v>
      </c>
    </row>
    <row r="1522" spans="1:13">
      <c r="A1522" t="s">
        <v>572</v>
      </c>
      <c r="B1522" t="s">
        <v>274</v>
      </c>
      <c r="C1522" s="8">
        <v>45990</v>
      </c>
      <c r="D1522" t="s">
        <v>342</v>
      </c>
      <c r="E1522" t="s">
        <v>328</v>
      </c>
      <c r="F1522" s="12">
        <v>185689</v>
      </c>
      <c r="G1522" s="13">
        <v>18</v>
      </c>
      <c r="H1522" t="s">
        <v>2774</v>
      </c>
      <c r="I1522" s="8">
        <v>46157</v>
      </c>
      <c r="J1522" t="s">
        <v>2685</v>
      </c>
      <c r="K1522" t="s">
        <v>2686</v>
      </c>
      <c r="L1522" s="13">
        <v>5000</v>
      </c>
      <c r="M1522" t="s">
        <v>2661</v>
      </c>
    </row>
    <row r="1523" spans="1:13">
      <c r="A1523" t="s">
        <v>572</v>
      </c>
      <c r="B1523" t="s">
        <v>274</v>
      </c>
      <c r="C1523" s="8">
        <v>45990</v>
      </c>
      <c r="D1523" t="s">
        <v>342</v>
      </c>
      <c r="E1523" t="s">
        <v>328</v>
      </c>
      <c r="F1523" s="12">
        <v>185689</v>
      </c>
      <c r="G1523" s="13">
        <v>18</v>
      </c>
      <c r="H1523" t="s">
        <v>2811</v>
      </c>
      <c r="I1523" s="8">
        <v>45976</v>
      </c>
      <c r="J1523" t="s">
        <v>2688</v>
      </c>
      <c r="K1523" t="s">
        <v>2689</v>
      </c>
      <c r="L1523" s="13">
        <v>8000</v>
      </c>
      <c r="M1523" t="s">
        <v>2661</v>
      </c>
    </row>
    <row r="1524" spans="1:13">
      <c r="A1524" t="s">
        <v>572</v>
      </c>
      <c r="B1524" t="s">
        <v>274</v>
      </c>
      <c r="C1524" s="8">
        <v>45990</v>
      </c>
      <c r="D1524" t="s">
        <v>342</v>
      </c>
      <c r="E1524" t="s">
        <v>328</v>
      </c>
      <c r="F1524" s="12">
        <v>185689</v>
      </c>
      <c r="G1524" s="13">
        <v>18</v>
      </c>
      <c r="H1524" t="s">
        <v>2842</v>
      </c>
      <c r="I1524" s="8">
        <v>46222</v>
      </c>
      <c r="J1524" t="s">
        <v>2682</v>
      </c>
      <c r="K1524" t="s">
        <v>2683</v>
      </c>
      <c r="L1524" s="13">
        <v>6000</v>
      </c>
      <c r="M1524" t="s">
        <v>2661</v>
      </c>
    </row>
    <row r="1525" spans="1:13">
      <c r="A1525" t="s">
        <v>572</v>
      </c>
      <c r="B1525" t="s">
        <v>274</v>
      </c>
      <c r="C1525" s="8">
        <v>45990</v>
      </c>
      <c r="D1525" t="s">
        <v>342</v>
      </c>
      <c r="E1525" t="s">
        <v>328</v>
      </c>
      <c r="F1525" s="12">
        <v>185689</v>
      </c>
      <c r="G1525" s="13">
        <v>18</v>
      </c>
      <c r="H1525" t="s">
        <v>2855</v>
      </c>
      <c r="I1525" s="8">
        <v>46132</v>
      </c>
      <c r="J1525" t="s">
        <v>2688</v>
      </c>
      <c r="K1525" t="s">
        <v>2689</v>
      </c>
      <c r="L1525" s="13">
        <v>8000</v>
      </c>
      <c r="M1525" t="s">
        <v>2661</v>
      </c>
    </row>
    <row r="1526" spans="1:13">
      <c r="A1526" t="s">
        <v>572</v>
      </c>
      <c r="B1526" t="s">
        <v>274</v>
      </c>
      <c r="C1526" s="8">
        <v>45990</v>
      </c>
      <c r="D1526" t="s">
        <v>342</v>
      </c>
      <c r="E1526" t="s">
        <v>328</v>
      </c>
      <c r="F1526" s="12">
        <v>185689</v>
      </c>
      <c r="G1526" s="13">
        <v>18</v>
      </c>
      <c r="H1526" t="s">
        <v>3433</v>
      </c>
      <c r="I1526" s="8">
        <v>46038</v>
      </c>
      <c r="J1526" t="s">
        <v>2692</v>
      </c>
      <c r="K1526" t="s">
        <v>2693</v>
      </c>
      <c r="L1526" s="13">
        <v>10000</v>
      </c>
      <c r="M1526" t="s">
        <v>2661</v>
      </c>
    </row>
    <row r="1527" spans="1:13">
      <c r="A1527" t="s">
        <v>572</v>
      </c>
      <c r="B1527" t="s">
        <v>274</v>
      </c>
      <c r="C1527" s="8">
        <v>45990</v>
      </c>
      <c r="D1527" t="s">
        <v>342</v>
      </c>
      <c r="E1527" t="s">
        <v>328</v>
      </c>
      <c r="F1527" s="12">
        <v>185689</v>
      </c>
      <c r="G1527" s="13">
        <v>18</v>
      </c>
      <c r="H1527" t="s">
        <v>3488</v>
      </c>
      <c r="I1527" s="8">
        <v>46057</v>
      </c>
      <c r="J1527" t="s">
        <v>2665</v>
      </c>
      <c r="K1527" t="s">
        <v>2666</v>
      </c>
      <c r="L1527" s="13">
        <v>2500</v>
      </c>
      <c r="M1527" t="s">
        <v>2676</v>
      </c>
    </row>
    <row r="1528" spans="1:13">
      <c r="A1528" t="s">
        <v>638</v>
      </c>
      <c r="B1528" t="s">
        <v>274</v>
      </c>
      <c r="C1528" s="8">
        <v>46043</v>
      </c>
      <c r="D1528" t="s">
        <v>342</v>
      </c>
      <c r="E1528" t="s">
        <v>325</v>
      </c>
      <c r="F1528" s="12">
        <v>317120</v>
      </c>
      <c r="G1528" s="13">
        <v>31</v>
      </c>
      <c r="H1528" t="s">
        <v>2774</v>
      </c>
      <c r="I1528" s="8">
        <v>46157</v>
      </c>
      <c r="J1528" t="s">
        <v>2685</v>
      </c>
      <c r="K1528" t="s">
        <v>2686</v>
      </c>
      <c r="L1528" s="13">
        <v>5000</v>
      </c>
      <c r="M1528" t="s">
        <v>2661</v>
      </c>
    </row>
    <row r="1529" spans="1:13">
      <c r="A1529" t="s">
        <v>638</v>
      </c>
      <c r="B1529" t="s">
        <v>274</v>
      </c>
      <c r="C1529" s="8">
        <v>46043</v>
      </c>
      <c r="D1529" t="s">
        <v>342</v>
      </c>
      <c r="E1529" t="s">
        <v>325</v>
      </c>
      <c r="F1529" s="12">
        <v>317120</v>
      </c>
      <c r="G1529" s="13">
        <v>31</v>
      </c>
      <c r="H1529" t="s">
        <v>2811</v>
      </c>
      <c r="I1529" s="8">
        <v>45976</v>
      </c>
      <c r="J1529" t="s">
        <v>2688</v>
      </c>
      <c r="K1529" t="s">
        <v>2689</v>
      </c>
      <c r="L1529" s="13">
        <v>8000</v>
      </c>
      <c r="M1529" t="s">
        <v>2661</v>
      </c>
    </row>
    <row r="1530" spans="1:13">
      <c r="A1530" t="s">
        <v>638</v>
      </c>
      <c r="B1530" t="s">
        <v>274</v>
      </c>
      <c r="C1530" s="8">
        <v>46043</v>
      </c>
      <c r="D1530" t="s">
        <v>342</v>
      </c>
      <c r="E1530" t="s">
        <v>325</v>
      </c>
      <c r="F1530" s="12">
        <v>317120</v>
      </c>
      <c r="G1530" s="13">
        <v>31</v>
      </c>
      <c r="H1530" t="s">
        <v>2842</v>
      </c>
      <c r="I1530" s="8">
        <v>46222</v>
      </c>
      <c r="J1530" t="s">
        <v>2682</v>
      </c>
      <c r="K1530" t="s">
        <v>2683</v>
      </c>
      <c r="L1530" s="13">
        <v>6000</v>
      </c>
      <c r="M1530" t="s">
        <v>2661</v>
      </c>
    </row>
    <row r="1531" spans="1:13">
      <c r="A1531" t="s">
        <v>638</v>
      </c>
      <c r="B1531" t="s">
        <v>274</v>
      </c>
      <c r="C1531" s="8">
        <v>46043</v>
      </c>
      <c r="D1531" t="s">
        <v>342</v>
      </c>
      <c r="E1531" t="s">
        <v>325</v>
      </c>
      <c r="F1531" s="12">
        <v>317120</v>
      </c>
      <c r="G1531" s="13">
        <v>31</v>
      </c>
      <c r="H1531" t="s">
        <v>2855</v>
      </c>
      <c r="I1531" s="8">
        <v>46132</v>
      </c>
      <c r="J1531" t="s">
        <v>2688</v>
      </c>
      <c r="K1531" t="s">
        <v>2689</v>
      </c>
      <c r="L1531" s="13">
        <v>8000</v>
      </c>
      <c r="M1531" t="s">
        <v>2661</v>
      </c>
    </row>
    <row r="1532" spans="1:13">
      <c r="A1532" t="s">
        <v>638</v>
      </c>
      <c r="B1532" t="s">
        <v>274</v>
      </c>
      <c r="C1532" s="8">
        <v>46043</v>
      </c>
      <c r="D1532" t="s">
        <v>342</v>
      </c>
      <c r="E1532" t="s">
        <v>325</v>
      </c>
      <c r="F1532" s="12">
        <v>317120</v>
      </c>
      <c r="G1532" s="13">
        <v>31</v>
      </c>
      <c r="H1532" t="s">
        <v>3433</v>
      </c>
      <c r="I1532" s="8">
        <v>46038</v>
      </c>
      <c r="J1532" t="s">
        <v>2692</v>
      </c>
      <c r="K1532" t="s">
        <v>2693</v>
      </c>
      <c r="L1532" s="13">
        <v>10000</v>
      </c>
      <c r="M1532" t="s">
        <v>2661</v>
      </c>
    </row>
    <row r="1533" spans="1:13">
      <c r="A1533" t="s">
        <v>638</v>
      </c>
      <c r="B1533" t="s">
        <v>274</v>
      </c>
      <c r="C1533" s="8">
        <v>46043</v>
      </c>
      <c r="D1533" t="s">
        <v>342</v>
      </c>
      <c r="E1533" t="s">
        <v>325</v>
      </c>
      <c r="F1533" s="12">
        <v>317120</v>
      </c>
      <c r="G1533" s="13">
        <v>31</v>
      </c>
      <c r="H1533" t="s">
        <v>3488</v>
      </c>
      <c r="I1533" s="8">
        <v>46057</v>
      </c>
      <c r="J1533" t="s">
        <v>2665</v>
      </c>
      <c r="K1533" t="s">
        <v>2666</v>
      </c>
      <c r="L1533" s="13">
        <v>2500</v>
      </c>
      <c r="M1533" t="s">
        <v>2676</v>
      </c>
    </row>
    <row r="1534" spans="1:13">
      <c r="A1534" t="s">
        <v>662</v>
      </c>
      <c r="B1534" t="s">
        <v>274</v>
      </c>
      <c r="C1534" s="8">
        <v>46243</v>
      </c>
      <c r="D1534" t="s">
        <v>321</v>
      </c>
      <c r="E1534" t="s">
        <v>328</v>
      </c>
      <c r="F1534" s="12">
        <v>281811</v>
      </c>
      <c r="G1534" s="13">
        <v>28</v>
      </c>
      <c r="H1534" t="s">
        <v>2774</v>
      </c>
      <c r="I1534" s="8">
        <v>46157</v>
      </c>
      <c r="J1534" t="s">
        <v>2685</v>
      </c>
      <c r="K1534" t="s">
        <v>2686</v>
      </c>
      <c r="L1534" s="13">
        <v>5000</v>
      </c>
      <c r="M1534" t="s">
        <v>2661</v>
      </c>
    </row>
    <row r="1535" spans="1:13">
      <c r="A1535" t="s">
        <v>662</v>
      </c>
      <c r="B1535" t="s">
        <v>274</v>
      </c>
      <c r="C1535" s="8">
        <v>46243</v>
      </c>
      <c r="D1535" t="s">
        <v>321</v>
      </c>
      <c r="E1535" t="s">
        <v>328</v>
      </c>
      <c r="F1535" s="12">
        <v>281811</v>
      </c>
      <c r="G1535" s="13">
        <v>28</v>
      </c>
      <c r="H1535" t="s">
        <v>2811</v>
      </c>
      <c r="I1535" s="8">
        <v>45976</v>
      </c>
      <c r="J1535" t="s">
        <v>2688</v>
      </c>
      <c r="K1535" t="s">
        <v>2689</v>
      </c>
      <c r="L1535" s="13">
        <v>8000</v>
      </c>
      <c r="M1535" t="s">
        <v>2661</v>
      </c>
    </row>
    <row r="1536" spans="1:13">
      <c r="A1536" t="s">
        <v>662</v>
      </c>
      <c r="B1536" t="s">
        <v>274</v>
      </c>
      <c r="C1536" s="8">
        <v>46243</v>
      </c>
      <c r="D1536" t="s">
        <v>321</v>
      </c>
      <c r="E1536" t="s">
        <v>328</v>
      </c>
      <c r="F1536" s="12">
        <v>281811</v>
      </c>
      <c r="G1536" s="13">
        <v>28</v>
      </c>
      <c r="H1536" t="s">
        <v>2842</v>
      </c>
      <c r="I1536" s="8">
        <v>46222</v>
      </c>
      <c r="J1536" t="s">
        <v>2682</v>
      </c>
      <c r="K1536" t="s">
        <v>2683</v>
      </c>
      <c r="L1536" s="13">
        <v>6000</v>
      </c>
      <c r="M1536" t="s">
        <v>2661</v>
      </c>
    </row>
    <row r="1537" spans="1:13">
      <c r="A1537" t="s">
        <v>662</v>
      </c>
      <c r="B1537" t="s">
        <v>274</v>
      </c>
      <c r="C1537" s="8">
        <v>46243</v>
      </c>
      <c r="D1537" t="s">
        <v>321</v>
      </c>
      <c r="E1537" t="s">
        <v>328</v>
      </c>
      <c r="F1537" s="12">
        <v>281811</v>
      </c>
      <c r="G1537" s="13">
        <v>28</v>
      </c>
      <c r="H1537" t="s">
        <v>2855</v>
      </c>
      <c r="I1537" s="8">
        <v>46132</v>
      </c>
      <c r="J1537" t="s">
        <v>2688</v>
      </c>
      <c r="K1537" t="s">
        <v>2689</v>
      </c>
      <c r="L1537" s="13">
        <v>8000</v>
      </c>
      <c r="M1537" t="s">
        <v>2661</v>
      </c>
    </row>
    <row r="1538" spans="1:13">
      <c r="A1538" t="s">
        <v>662</v>
      </c>
      <c r="B1538" t="s">
        <v>274</v>
      </c>
      <c r="C1538" s="8">
        <v>46243</v>
      </c>
      <c r="D1538" t="s">
        <v>321</v>
      </c>
      <c r="E1538" t="s">
        <v>328</v>
      </c>
      <c r="F1538" s="12">
        <v>281811</v>
      </c>
      <c r="G1538" s="13">
        <v>28</v>
      </c>
      <c r="H1538" t="s">
        <v>3433</v>
      </c>
      <c r="I1538" s="8">
        <v>46038</v>
      </c>
      <c r="J1538" t="s">
        <v>2692</v>
      </c>
      <c r="K1538" t="s">
        <v>2693</v>
      </c>
      <c r="L1538" s="13">
        <v>10000</v>
      </c>
      <c r="M1538" t="s">
        <v>2661</v>
      </c>
    </row>
    <row r="1539" spans="1:13">
      <c r="A1539" t="s">
        <v>662</v>
      </c>
      <c r="B1539" t="s">
        <v>274</v>
      </c>
      <c r="C1539" s="8">
        <v>46243</v>
      </c>
      <c r="D1539" t="s">
        <v>321</v>
      </c>
      <c r="E1539" t="s">
        <v>328</v>
      </c>
      <c r="F1539" s="12">
        <v>281811</v>
      </c>
      <c r="G1539" s="13">
        <v>28</v>
      </c>
      <c r="H1539" t="s">
        <v>3488</v>
      </c>
      <c r="I1539" s="8">
        <v>46057</v>
      </c>
      <c r="J1539" t="s">
        <v>2665</v>
      </c>
      <c r="K1539" t="s">
        <v>2666</v>
      </c>
      <c r="L1539" s="13">
        <v>2500</v>
      </c>
      <c r="M1539" t="s">
        <v>2676</v>
      </c>
    </row>
    <row r="1540" spans="1:13">
      <c r="A1540" t="s">
        <v>733</v>
      </c>
      <c r="B1540" t="s">
        <v>274</v>
      </c>
      <c r="C1540" s="8">
        <v>46032</v>
      </c>
      <c r="D1540" t="s">
        <v>327</v>
      </c>
      <c r="E1540" t="s">
        <v>328</v>
      </c>
      <c r="F1540" s="12">
        <v>134374</v>
      </c>
      <c r="G1540" s="13">
        <v>13</v>
      </c>
      <c r="H1540" t="s">
        <v>2774</v>
      </c>
      <c r="I1540" s="8">
        <v>46157</v>
      </c>
      <c r="J1540" t="s">
        <v>2685</v>
      </c>
      <c r="K1540" t="s">
        <v>2686</v>
      </c>
      <c r="L1540" s="13">
        <v>5000</v>
      </c>
      <c r="M1540" t="s">
        <v>2661</v>
      </c>
    </row>
    <row r="1541" spans="1:13">
      <c r="A1541" t="s">
        <v>733</v>
      </c>
      <c r="B1541" t="s">
        <v>274</v>
      </c>
      <c r="C1541" s="8">
        <v>46032</v>
      </c>
      <c r="D1541" t="s">
        <v>327</v>
      </c>
      <c r="E1541" t="s">
        <v>328</v>
      </c>
      <c r="F1541" s="12">
        <v>134374</v>
      </c>
      <c r="G1541" s="13">
        <v>13</v>
      </c>
      <c r="H1541" t="s">
        <v>2811</v>
      </c>
      <c r="I1541" s="8">
        <v>45976</v>
      </c>
      <c r="J1541" t="s">
        <v>2688</v>
      </c>
      <c r="K1541" t="s">
        <v>2689</v>
      </c>
      <c r="L1541" s="13">
        <v>8000</v>
      </c>
      <c r="M1541" t="s">
        <v>2661</v>
      </c>
    </row>
    <row r="1542" spans="1:13">
      <c r="A1542" t="s">
        <v>733</v>
      </c>
      <c r="B1542" t="s">
        <v>274</v>
      </c>
      <c r="C1542" s="8">
        <v>46032</v>
      </c>
      <c r="D1542" t="s">
        <v>327</v>
      </c>
      <c r="E1542" t="s">
        <v>328</v>
      </c>
      <c r="F1542" s="12">
        <v>134374</v>
      </c>
      <c r="G1542" s="13">
        <v>13</v>
      </c>
      <c r="H1542" t="s">
        <v>2842</v>
      </c>
      <c r="I1542" s="8">
        <v>46222</v>
      </c>
      <c r="J1542" t="s">
        <v>2682</v>
      </c>
      <c r="K1542" t="s">
        <v>2683</v>
      </c>
      <c r="L1542" s="13">
        <v>6000</v>
      </c>
      <c r="M1542" t="s">
        <v>2661</v>
      </c>
    </row>
    <row r="1543" spans="1:13">
      <c r="A1543" t="s">
        <v>733</v>
      </c>
      <c r="B1543" t="s">
        <v>274</v>
      </c>
      <c r="C1543" s="8">
        <v>46032</v>
      </c>
      <c r="D1543" t="s">
        <v>327</v>
      </c>
      <c r="E1543" t="s">
        <v>328</v>
      </c>
      <c r="F1543" s="12">
        <v>134374</v>
      </c>
      <c r="G1543" s="13">
        <v>13</v>
      </c>
      <c r="H1543" t="s">
        <v>2855</v>
      </c>
      <c r="I1543" s="8">
        <v>46132</v>
      </c>
      <c r="J1543" t="s">
        <v>2688</v>
      </c>
      <c r="K1543" t="s">
        <v>2689</v>
      </c>
      <c r="L1543" s="13">
        <v>8000</v>
      </c>
      <c r="M1543" t="s">
        <v>2661</v>
      </c>
    </row>
    <row r="1544" spans="1:13">
      <c r="A1544" t="s">
        <v>733</v>
      </c>
      <c r="B1544" t="s">
        <v>274</v>
      </c>
      <c r="C1544" s="8">
        <v>46032</v>
      </c>
      <c r="D1544" t="s">
        <v>327</v>
      </c>
      <c r="E1544" t="s">
        <v>328</v>
      </c>
      <c r="F1544" s="12">
        <v>134374</v>
      </c>
      <c r="G1544" s="13">
        <v>13</v>
      </c>
      <c r="H1544" t="s">
        <v>3433</v>
      </c>
      <c r="I1544" s="8">
        <v>46038</v>
      </c>
      <c r="J1544" t="s">
        <v>2692</v>
      </c>
      <c r="K1544" t="s">
        <v>2693</v>
      </c>
      <c r="L1544" s="13">
        <v>10000</v>
      </c>
      <c r="M1544" t="s">
        <v>2661</v>
      </c>
    </row>
    <row r="1545" spans="1:13">
      <c r="A1545" t="s">
        <v>733</v>
      </c>
      <c r="B1545" t="s">
        <v>274</v>
      </c>
      <c r="C1545" s="8">
        <v>46032</v>
      </c>
      <c r="D1545" t="s">
        <v>327</v>
      </c>
      <c r="E1545" t="s">
        <v>328</v>
      </c>
      <c r="F1545" s="12">
        <v>134374</v>
      </c>
      <c r="G1545" s="13">
        <v>13</v>
      </c>
      <c r="H1545" t="s">
        <v>3488</v>
      </c>
      <c r="I1545" s="8">
        <v>46057</v>
      </c>
      <c r="J1545" t="s">
        <v>2665</v>
      </c>
      <c r="K1545" t="s">
        <v>2666</v>
      </c>
      <c r="L1545" s="13">
        <v>2500</v>
      </c>
      <c r="M1545" t="s">
        <v>2676</v>
      </c>
    </row>
    <row r="1546" spans="1:13">
      <c r="A1546" t="s">
        <v>1152</v>
      </c>
      <c r="B1546" t="s">
        <v>274</v>
      </c>
      <c r="C1546" s="8">
        <v>46154</v>
      </c>
      <c r="D1546" t="s">
        <v>350</v>
      </c>
      <c r="E1546" t="s">
        <v>328</v>
      </c>
      <c r="F1546" s="12">
        <v>65857</v>
      </c>
      <c r="G1546" s="13">
        <v>6</v>
      </c>
      <c r="H1546" t="s">
        <v>2774</v>
      </c>
      <c r="I1546" s="8">
        <v>46157</v>
      </c>
      <c r="J1546" t="s">
        <v>2685</v>
      </c>
      <c r="K1546" t="s">
        <v>2686</v>
      </c>
      <c r="L1546" s="13">
        <v>5000</v>
      </c>
      <c r="M1546" t="s">
        <v>2661</v>
      </c>
    </row>
    <row r="1547" spans="1:13">
      <c r="A1547" t="s">
        <v>1152</v>
      </c>
      <c r="B1547" t="s">
        <v>274</v>
      </c>
      <c r="C1547" s="8">
        <v>46154</v>
      </c>
      <c r="D1547" t="s">
        <v>350</v>
      </c>
      <c r="E1547" t="s">
        <v>328</v>
      </c>
      <c r="F1547" s="12">
        <v>65857</v>
      </c>
      <c r="G1547" s="13">
        <v>6</v>
      </c>
      <c r="H1547" t="s">
        <v>2811</v>
      </c>
      <c r="I1547" s="8">
        <v>45976</v>
      </c>
      <c r="J1547" t="s">
        <v>2688</v>
      </c>
      <c r="K1547" t="s">
        <v>2689</v>
      </c>
      <c r="L1547" s="13">
        <v>8000</v>
      </c>
      <c r="M1547" t="s">
        <v>2661</v>
      </c>
    </row>
    <row r="1548" spans="1:13">
      <c r="A1548" t="s">
        <v>1152</v>
      </c>
      <c r="B1548" t="s">
        <v>274</v>
      </c>
      <c r="C1548" s="8">
        <v>46154</v>
      </c>
      <c r="D1548" t="s">
        <v>350</v>
      </c>
      <c r="E1548" t="s">
        <v>328</v>
      </c>
      <c r="F1548" s="12">
        <v>65857</v>
      </c>
      <c r="G1548" s="13">
        <v>6</v>
      </c>
      <c r="H1548" t="s">
        <v>2842</v>
      </c>
      <c r="I1548" s="8">
        <v>46222</v>
      </c>
      <c r="J1548" t="s">
        <v>2682</v>
      </c>
      <c r="K1548" t="s">
        <v>2683</v>
      </c>
      <c r="L1548" s="13">
        <v>6000</v>
      </c>
      <c r="M1548" t="s">
        <v>2661</v>
      </c>
    </row>
    <row r="1549" spans="1:13">
      <c r="A1549" t="s">
        <v>1152</v>
      </c>
      <c r="B1549" t="s">
        <v>274</v>
      </c>
      <c r="C1549" s="8">
        <v>46154</v>
      </c>
      <c r="D1549" t="s">
        <v>350</v>
      </c>
      <c r="E1549" t="s">
        <v>328</v>
      </c>
      <c r="F1549" s="12">
        <v>65857</v>
      </c>
      <c r="G1549" s="13">
        <v>6</v>
      </c>
      <c r="H1549" t="s">
        <v>2855</v>
      </c>
      <c r="I1549" s="8">
        <v>46132</v>
      </c>
      <c r="J1549" t="s">
        <v>2688</v>
      </c>
      <c r="K1549" t="s">
        <v>2689</v>
      </c>
      <c r="L1549" s="13">
        <v>8000</v>
      </c>
      <c r="M1549" t="s">
        <v>2661</v>
      </c>
    </row>
    <row r="1550" spans="1:13">
      <c r="A1550" t="s">
        <v>1152</v>
      </c>
      <c r="B1550" t="s">
        <v>274</v>
      </c>
      <c r="C1550" s="8">
        <v>46154</v>
      </c>
      <c r="D1550" t="s">
        <v>350</v>
      </c>
      <c r="E1550" t="s">
        <v>328</v>
      </c>
      <c r="F1550" s="12">
        <v>65857</v>
      </c>
      <c r="G1550" s="13">
        <v>6</v>
      </c>
      <c r="H1550" t="s">
        <v>3433</v>
      </c>
      <c r="I1550" s="8">
        <v>46038</v>
      </c>
      <c r="J1550" t="s">
        <v>2692</v>
      </c>
      <c r="K1550" t="s">
        <v>2693</v>
      </c>
      <c r="L1550" s="13">
        <v>10000</v>
      </c>
      <c r="M1550" t="s">
        <v>2661</v>
      </c>
    </row>
    <row r="1551" spans="1:13">
      <c r="A1551" t="s">
        <v>1152</v>
      </c>
      <c r="B1551" t="s">
        <v>274</v>
      </c>
      <c r="C1551" s="8">
        <v>46154</v>
      </c>
      <c r="D1551" t="s">
        <v>350</v>
      </c>
      <c r="E1551" t="s">
        <v>328</v>
      </c>
      <c r="F1551" s="12">
        <v>65857</v>
      </c>
      <c r="G1551" s="13">
        <v>6</v>
      </c>
      <c r="H1551" t="s">
        <v>3488</v>
      </c>
      <c r="I1551" s="8">
        <v>46057</v>
      </c>
      <c r="J1551" t="s">
        <v>2665</v>
      </c>
      <c r="K1551" t="s">
        <v>2666</v>
      </c>
      <c r="L1551" s="13">
        <v>2500</v>
      </c>
      <c r="M1551" t="s">
        <v>2676</v>
      </c>
    </row>
    <row r="1552" spans="1:13">
      <c r="A1552" t="s">
        <v>1233</v>
      </c>
      <c r="B1552" t="s">
        <v>274</v>
      </c>
      <c r="C1552" s="8">
        <v>45981</v>
      </c>
      <c r="D1552" t="s">
        <v>330</v>
      </c>
      <c r="E1552" t="s">
        <v>337</v>
      </c>
      <c r="F1552" s="12">
        <v>248638</v>
      </c>
      <c r="G1552" s="13">
        <v>24</v>
      </c>
      <c r="H1552" t="s">
        <v>2774</v>
      </c>
      <c r="I1552" s="8">
        <v>46157</v>
      </c>
      <c r="J1552" t="s">
        <v>2685</v>
      </c>
      <c r="K1552" t="s">
        <v>2686</v>
      </c>
      <c r="L1552" s="13">
        <v>5000</v>
      </c>
      <c r="M1552" t="s">
        <v>2661</v>
      </c>
    </row>
    <row r="1553" spans="1:13">
      <c r="A1553" t="s">
        <v>1233</v>
      </c>
      <c r="B1553" t="s">
        <v>274</v>
      </c>
      <c r="C1553" s="8">
        <v>45981</v>
      </c>
      <c r="D1553" t="s">
        <v>330</v>
      </c>
      <c r="E1553" t="s">
        <v>337</v>
      </c>
      <c r="F1553" s="12">
        <v>248638</v>
      </c>
      <c r="G1553" s="13">
        <v>24</v>
      </c>
      <c r="H1553" t="s">
        <v>2811</v>
      </c>
      <c r="I1553" s="8">
        <v>45976</v>
      </c>
      <c r="J1553" t="s">
        <v>2688</v>
      </c>
      <c r="K1553" t="s">
        <v>2689</v>
      </c>
      <c r="L1553" s="13">
        <v>8000</v>
      </c>
      <c r="M1553" t="s">
        <v>2661</v>
      </c>
    </row>
    <row r="1554" spans="1:13">
      <c r="A1554" t="s">
        <v>1233</v>
      </c>
      <c r="B1554" t="s">
        <v>274</v>
      </c>
      <c r="C1554" s="8">
        <v>45981</v>
      </c>
      <c r="D1554" t="s">
        <v>330</v>
      </c>
      <c r="E1554" t="s">
        <v>337</v>
      </c>
      <c r="F1554" s="12">
        <v>248638</v>
      </c>
      <c r="G1554" s="13">
        <v>24</v>
      </c>
      <c r="H1554" t="s">
        <v>2842</v>
      </c>
      <c r="I1554" s="8">
        <v>46222</v>
      </c>
      <c r="J1554" t="s">
        <v>2682</v>
      </c>
      <c r="K1554" t="s">
        <v>2683</v>
      </c>
      <c r="L1554" s="13">
        <v>6000</v>
      </c>
      <c r="M1554" t="s">
        <v>2661</v>
      </c>
    </row>
    <row r="1555" spans="1:13">
      <c r="A1555" t="s">
        <v>1233</v>
      </c>
      <c r="B1555" t="s">
        <v>274</v>
      </c>
      <c r="C1555" s="8">
        <v>45981</v>
      </c>
      <c r="D1555" t="s">
        <v>330</v>
      </c>
      <c r="E1555" t="s">
        <v>337</v>
      </c>
      <c r="F1555" s="12">
        <v>248638</v>
      </c>
      <c r="G1555" s="13">
        <v>24</v>
      </c>
      <c r="H1555" t="s">
        <v>2855</v>
      </c>
      <c r="I1555" s="8">
        <v>46132</v>
      </c>
      <c r="J1555" t="s">
        <v>2688</v>
      </c>
      <c r="K1555" t="s">
        <v>2689</v>
      </c>
      <c r="L1555" s="13">
        <v>8000</v>
      </c>
      <c r="M1555" t="s">
        <v>2661</v>
      </c>
    </row>
    <row r="1556" spans="1:13">
      <c r="A1556" t="s">
        <v>1233</v>
      </c>
      <c r="B1556" t="s">
        <v>274</v>
      </c>
      <c r="C1556" s="8">
        <v>45981</v>
      </c>
      <c r="D1556" t="s">
        <v>330</v>
      </c>
      <c r="E1556" t="s">
        <v>337</v>
      </c>
      <c r="F1556" s="12">
        <v>248638</v>
      </c>
      <c r="G1556" s="13">
        <v>24</v>
      </c>
      <c r="H1556" t="s">
        <v>3433</v>
      </c>
      <c r="I1556" s="8">
        <v>46038</v>
      </c>
      <c r="J1556" t="s">
        <v>2692</v>
      </c>
      <c r="K1556" t="s">
        <v>2693</v>
      </c>
      <c r="L1556" s="13">
        <v>10000</v>
      </c>
      <c r="M1556" t="s">
        <v>2661</v>
      </c>
    </row>
    <row r="1557" spans="1:13">
      <c r="A1557" t="s">
        <v>1233</v>
      </c>
      <c r="B1557" t="s">
        <v>274</v>
      </c>
      <c r="C1557" s="8">
        <v>45981</v>
      </c>
      <c r="D1557" t="s">
        <v>330</v>
      </c>
      <c r="E1557" t="s">
        <v>337</v>
      </c>
      <c r="F1557" s="12">
        <v>248638</v>
      </c>
      <c r="G1557" s="13">
        <v>24</v>
      </c>
      <c r="H1557" t="s">
        <v>3488</v>
      </c>
      <c r="I1557" s="8">
        <v>46057</v>
      </c>
      <c r="J1557" t="s">
        <v>2665</v>
      </c>
      <c r="K1557" t="s">
        <v>2666</v>
      </c>
      <c r="L1557" s="13">
        <v>2500</v>
      </c>
      <c r="M1557" t="s">
        <v>2676</v>
      </c>
    </row>
    <row r="1558" spans="1:13">
      <c r="A1558" t="s">
        <v>430</v>
      </c>
      <c r="B1558" t="s">
        <v>255</v>
      </c>
      <c r="C1558" s="8">
        <v>46107</v>
      </c>
      <c r="D1558" t="s">
        <v>342</v>
      </c>
      <c r="E1558" t="s">
        <v>339</v>
      </c>
      <c r="F1558" s="12">
        <v>622518</v>
      </c>
      <c r="G1558" s="13">
        <v>62</v>
      </c>
      <c r="H1558" t="s">
        <v>2956</v>
      </c>
      <c r="I1558" s="8">
        <v>45952</v>
      </c>
      <c r="J1558" t="s">
        <v>2674</v>
      </c>
      <c r="K1558" t="s">
        <v>2675</v>
      </c>
      <c r="L1558" s="13">
        <v>20000</v>
      </c>
      <c r="M1558" t="s">
        <v>2676</v>
      </c>
    </row>
    <row r="1559" spans="1:13">
      <c r="A1559" t="s">
        <v>430</v>
      </c>
      <c r="B1559" t="s">
        <v>255</v>
      </c>
      <c r="C1559" s="8">
        <v>46107</v>
      </c>
      <c r="D1559" t="s">
        <v>342</v>
      </c>
      <c r="E1559" t="s">
        <v>339</v>
      </c>
      <c r="F1559" s="12">
        <v>622518</v>
      </c>
      <c r="G1559" s="13">
        <v>62</v>
      </c>
      <c r="H1559" t="s">
        <v>3223</v>
      </c>
      <c r="I1559" s="8">
        <v>46198</v>
      </c>
      <c r="J1559" t="s">
        <v>2665</v>
      </c>
      <c r="K1559" t="s">
        <v>2666</v>
      </c>
      <c r="L1559" s="13">
        <v>2500</v>
      </c>
      <c r="M1559" t="s">
        <v>2661</v>
      </c>
    </row>
    <row r="1560" spans="1:13">
      <c r="A1560" t="s">
        <v>430</v>
      </c>
      <c r="B1560" t="s">
        <v>255</v>
      </c>
      <c r="C1560" s="8">
        <v>46107</v>
      </c>
      <c r="D1560" t="s">
        <v>342</v>
      </c>
      <c r="E1560" t="s">
        <v>339</v>
      </c>
      <c r="F1560" s="12">
        <v>622518</v>
      </c>
      <c r="G1560" s="13">
        <v>62</v>
      </c>
      <c r="H1560" t="s">
        <v>3323</v>
      </c>
      <c r="I1560" s="8">
        <v>46169</v>
      </c>
      <c r="J1560" t="s">
        <v>2682</v>
      </c>
      <c r="K1560" t="s">
        <v>2683</v>
      </c>
      <c r="L1560" s="13">
        <v>6000</v>
      </c>
      <c r="M1560" t="s">
        <v>2676</v>
      </c>
    </row>
    <row r="1561" spans="1:13">
      <c r="A1561" t="s">
        <v>552</v>
      </c>
      <c r="B1561" t="s">
        <v>255</v>
      </c>
      <c r="C1561" s="8">
        <v>46222</v>
      </c>
      <c r="D1561" t="s">
        <v>324</v>
      </c>
      <c r="E1561" t="s">
        <v>325</v>
      </c>
      <c r="F1561" s="12">
        <v>649401</v>
      </c>
      <c r="G1561" s="13">
        <v>64</v>
      </c>
      <c r="H1561" t="s">
        <v>2956</v>
      </c>
      <c r="I1561" s="8">
        <v>45952</v>
      </c>
      <c r="J1561" t="s">
        <v>2674</v>
      </c>
      <c r="K1561" t="s">
        <v>2675</v>
      </c>
      <c r="L1561" s="13">
        <v>20000</v>
      </c>
      <c r="M1561" t="s">
        <v>2676</v>
      </c>
    </row>
    <row r="1562" spans="1:13">
      <c r="A1562" t="s">
        <v>552</v>
      </c>
      <c r="B1562" t="s">
        <v>255</v>
      </c>
      <c r="C1562" s="8">
        <v>46222</v>
      </c>
      <c r="D1562" t="s">
        <v>324</v>
      </c>
      <c r="E1562" t="s">
        <v>325</v>
      </c>
      <c r="F1562" s="12">
        <v>649401</v>
      </c>
      <c r="G1562" s="13">
        <v>64</v>
      </c>
      <c r="H1562" t="s">
        <v>3223</v>
      </c>
      <c r="I1562" s="8">
        <v>46198</v>
      </c>
      <c r="J1562" t="s">
        <v>2665</v>
      </c>
      <c r="K1562" t="s">
        <v>2666</v>
      </c>
      <c r="L1562" s="13">
        <v>2500</v>
      </c>
      <c r="M1562" t="s">
        <v>2661</v>
      </c>
    </row>
    <row r="1563" spans="1:13">
      <c r="A1563" t="s">
        <v>552</v>
      </c>
      <c r="B1563" t="s">
        <v>255</v>
      </c>
      <c r="C1563" s="8">
        <v>46222</v>
      </c>
      <c r="D1563" t="s">
        <v>324</v>
      </c>
      <c r="E1563" t="s">
        <v>325</v>
      </c>
      <c r="F1563" s="12">
        <v>649401</v>
      </c>
      <c r="G1563" s="13">
        <v>64</v>
      </c>
      <c r="H1563" t="s">
        <v>3323</v>
      </c>
      <c r="I1563" s="8">
        <v>46169</v>
      </c>
      <c r="J1563" t="s">
        <v>2682</v>
      </c>
      <c r="K1563" t="s">
        <v>2683</v>
      </c>
      <c r="L1563" s="13">
        <v>6000</v>
      </c>
      <c r="M1563" t="s">
        <v>2676</v>
      </c>
    </row>
    <row r="1564" spans="1:13">
      <c r="A1564" t="s">
        <v>580</v>
      </c>
      <c r="B1564" t="s">
        <v>255</v>
      </c>
      <c r="C1564" s="8">
        <v>46212</v>
      </c>
      <c r="D1564" t="s">
        <v>344</v>
      </c>
      <c r="E1564" t="s">
        <v>322</v>
      </c>
      <c r="F1564" s="12">
        <v>243126</v>
      </c>
      <c r="G1564" s="13">
        <v>24</v>
      </c>
      <c r="H1564" t="s">
        <v>2956</v>
      </c>
      <c r="I1564" s="8">
        <v>45952</v>
      </c>
      <c r="J1564" t="s">
        <v>2674</v>
      </c>
      <c r="K1564" t="s">
        <v>2675</v>
      </c>
      <c r="L1564" s="13">
        <v>20000</v>
      </c>
      <c r="M1564" t="s">
        <v>2676</v>
      </c>
    </row>
    <row r="1565" spans="1:13">
      <c r="A1565" t="s">
        <v>580</v>
      </c>
      <c r="B1565" t="s">
        <v>255</v>
      </c>
      <c r="C1565" s="8">
        <v>46212</v>
      </c>
      <c r="D1565" t="s">
        <v>344</v>
      </c>
      <c r="E1565" t="s">
        <v>322</v>
      </c>
      <c r="F1565" s="12">
        <v>243126</v>
      </c>
      <c r="G1565" s="13">
        <v>24</v>
      </c>
      <c r="H1565" t="s">
        <v>3223</v>
      </c>
      <c r="I1565" s="8">
        <v>46198</v>
      </c>
      <c r="J1565" t="s">
        <v>2665</v>
      </c>
      <c r="K1565" t="s">
        <v>2666</v>
      </c>
      <c r="L1565" s="13">
        <v>2500</v>
      </c>
      <c r="M1565" t="s">
        <v>2661</v>
      </c>
    </row>
    <row r="1566" spans="1:13">
      <c r="A1566" t="s">
        <v>580</v>
      </c>
      <c r="B1566" t="s">
        <v>255</v>
      </c>
      <c r="C1566" s="8">
        <v>46212</v>
      </c>
      <c r="D1566" t="s">
        <v>344</v>
      </c>
      <c r="E1566" t="s">
        <v>322</v>
      </c>
      <c r="F1566" s="12">
        <v>243126</v>
      </c>
      <c r="G1566" s="13">
        <v>24</v>
      </c>
      <c r="H1566" t="s">
        <v>3323</v>
      </c>
      <c r="I1566" s="8">
        <v>46169</v>
      </c>
      <c r="J1566" t="s">
        <v>2682</v>
      </c>
      <c r="K1566" t="s">
        <v>2683</v>
      </c>
      <c r="L1566" s="13">
        <v>6000</v>
      </c>
      <c r="M1566" t="s">
        <v>2676</v>
      </c>
    </row>
    <row r="1567" spans="1:13">
      <c r="A1567" t="s">
        <v>614</v>
      </c>
      <c r="B1567" t="s">
        <v>255</v>
      </c>
      <c r="C1567" s="8">
        <v>46152</v>
      </c>
      <c r="D1567" t="s">
        <v>332</v>
      </c>
      <c r="E1567" t="s">
        <v>337</v>
      </c>
      <c r="F1567" s="12">
        <v>36153</v>
      </c>
      <c r="G1567" s="13">
        <v>3</v>
      </c>
      <c r="H1567" t="s">
        <v>2956</v>
      </c>
      <c r="I1567" s="8">
        <v>45952</v>
      </c>
      <c r="J1567" t="s">
        <v>2674</v>
      </c>
      <c r="K1567" t="s">
        <v>2675</v>
      </c>
      <c r="L1567" s="13">
        <v>20000</v>
      </c>
      <c r="M1567" t="s">
        <v>2676</v>
      </c>
    </row>
    <row r="1568" spans="1:13">
      <c r="A1568" t="s">
        <v>614</v>
      </c>
      <c r="B1568" t="s">
        <v>255</v>
      </c>
      <c r="C1568" s="8">
        <v>46152</v>
      </c>
      <c r="D1568" t="s">
        <v>332</v>
      </c>
      <c r="E1568" t="s">
        <v>337</v>
      </c>
      <c r="F1568" s="12">
        <v>36153</v>
      </c>
      <c r="G1568" s="13">
        <v>3</v>
      </c>
      <c r="H1568" t="s">
        <v>3223</v>
      </c>
      <c r="I1568" s="8">
        <v>46198</v>
      </c>
      <c r="J1568" t="s">
        <v>2665</v>
      </c>
      <c r="K1568" t="s">
        <v>2666</v>
      </c>
      <c r="L1568" s="13">
        <v>2500</v>
      </c>
      <c r="M1568" t="s">
        <v>2661</v>
      </c>
    </row>
    <row r="1569" spans="1:13">
      <c r="A1569" t="s">
        <v>614</v>
      </c>
      <c r="B1569" t="s">
        <v>255</v>
      </c>
      <c r="C1569" s="8">
        <v>46152</v>
      </c>
      <c r="D1569" t="s">
        <v>332</v>
      </c>
      <c r="E1569" t="s">
        <v>337</v>
      </c>
      <c r="F1569" s="12">
        <v>36153</v>
      </c>
      <c r="G1569" s="13">
        <v>3</v>
      </c>
      <c r="H1569" t="s">
        <v>3323</v>
      </c>
      <c r="I1569" s="8">
        <v>46169</v>
      </c>
      <c r="J1569" t="s">
        <v>2682</v>
      </c>
      <c r="K1569" t="s">
        <v>2683</v>
      </c>
      <c r="L1569" s="13">
        <v>6000</v>
      </c>
      <c r="M1569" t="s">
        <v>2676</v>
      </c>
    </row>
    <row r="1570" spans="1:13">
      <c r="A1570" t="s">
        <v>698</v>
      </c>
      <c r="B1570" t="s">
        <v>255</v>
      </c>
      <c r="C1570" s="8">
        <v>46009</v>
      </c>
      <c r="D1570" t="s">
        <v>324</v>
      </c>
      <c r="E1570" t="s">
        <v>337</v>
      </c>
      <c r="F1570" s="12">
        <v>485303</v>
      </c>
      <c r="G1570" s="13">
        <v>48</v>
      </c>
      <c r="H1570" t="s">
        <v>2956</v>
      </c>
      <c r="I1570" s="8">
        <v>45952</v>
      </c>
      <c r="J1570" t="s">
        <v>2674</v>
      </c>
      <c r="K1570" t="s">
        <v>2675</v>
      </c>
      <c r="L1570" s="13">
        <v>20000</v>
      </c>
      <c r="M1570" t="s">
        <v>2676</v>
      </c>
    </row>
    <row r="1571" spans="1:13">
      <c r="A1571" t="s">
        <v>698</v>
      </c>
      <c r="B1571" t="s">
        <v>255</v>
      </c>
      <c r="C1571" s="8">
        <v>46009</v>
      </c>
      <c r="D1571" t="s">
        <v>324</v>
      </c>
      <c r="E1571" t="s">
        <v>337</v>
      </c>
      <c r="F1571" s="12">
        <v>485303</v>
      </c>
      <c r="G1571" s="13">
        <v>48</v>
      </c>
      <c r="H1571" t="s">
        <v>3223</v>
      </c>
      <c r="I1571" s="8">
        <v>46198</v>
      </c>
      <c r="J1571" t="s">
        <v>2665</v>
      </c>
      <c r="K1571" t="s">
        <v>2666</v>
      </c>
      <c r="L1571" s="13">
        <v>2500</v>
      </c>
      <c r="M1571" t="s">
        <v>2661</v>
      </c>
    </row>
    <row r="1572" spans="1:13">
      <c r="A1572" t="s">
        <v>698</v>
      </c>
      <c r="B1572" t="s">
        <v>255</v>
      </c>
      <c r="C1572" s="8">
        <v>46009</v>
      </c>
      <c r="D1572" t="s">
        <v>324</v>
      </c>
      <c r="E1572" t="s">
        <v>337</v>
      </c>
      <c r="F1572" s="12">
        <v>485303</v>
      </c>
      <c r="G1572" s="13">
        <v>48</v>
      </c>
      <c r="H1572" t="s">
        <v>3323</v>
      </c>
      <c r="I1572" s="8">
        <v>46169</v>
      </c>
      <c r="J1572" t="s">
        <v>2682</v>
      </c>
      <c r="K1572" t="s">
        <v>2683</v>
      </c>
      <c r="L1572" s="13">
        <v>6000</v>
      </c>
      <c r="M1572" t="s">
        <v>2676</v>
      </c>
    </row>
    <row r="1573" spans="1:13">
      <c r="A1573" t="s">
        <v>715</v>
      </c>
      <c r="B1573" t="s">
        <v>255</v>
      </c>
      <c r="C1573" s="8">
        <v>45974</v>
      </c>
      <c r="D1573" t="s">
        <v>350</v>
      </c>
      <c r="E1573" t="s">
        <v>337</v>
      </c>
      <c r="F1573" s="12">
        <v>196704</v>
      </c>
      <c r="G1573" s="13">
        <v>19</v>
      </c>
      <c r="H1573" t="s">
        <v>2956</v>
      </c>
      <c r="I1573" s="8">
        <v>45952</v>
      </c>
      <c r="J1573" t="s">
        <v>2674</v>
      </c>
      <c r="K1573" t="s">
        <v>2675</v>
      </c>
      <c r="L1573" s="13">
        <v>20000</v>
      </c>
      <c r="M1573" t="s">
        <v>2676</v>
      </c>
    </row>
    <row r="1574" spans="1:13">
      <c r="A1574" t="s">
        <v>715</v>
      </c>
      <c r="B1574" t="s">
        <v>255</v>
      </c>
      <c r="C1574" s="8">
        <v>45974</v>
      </c>
      <c r="D1574" t="s">
        <v>350</v>
      </c>
      <c r="E1574" t="s">
        <v>337</v>
      </c>
      <c r="F1574" s="12">
        <v>196704</v>
      </c>
      <c r="G1574" s="13">
        <v>19</v>
      </c>
      <c r="H1574" t="s">
        <v>3223</v>
      </c>
      <c r="I1574" s="8">
        <v>46198</v>
      </c>
      <c r="J1574" t="s">
        <v>2665</v>
      </c>
      <c r="K1574" t="s">
        <v>2666</v>
      </c>
      <c r="L1574" s="13">
        <v>2500</v>
      </c>
      <c r="M1574" t="s">
        <v>2661</v>
      </c>
    </row>
    <row r="1575" spans="1:13">
      <c r="A1575" t="s">
        <v>715</v>
      </c>
      <c r="B1575" t="s">
        <v>255</v>
      </c>
      <c r="C1575" s="8">
        <v>45974</v>
      </c>
      <c r="D1575" t="s">
        <v>350</v>
      </c>
      <c r="E1575" t="s">
        <v>337</v>
      </c>
      <c r="F1575" s="12">
        <v>196704</v>
      </c>
      <c r="G1575" s="13">
        <v>19</v>
      </c>
      <c r="H1575" t="s">
        <v>3323</v>
      </c>
      <c r="I1575" s="8">
        <v>46169</v>
      </c>
      <c r="J1575" t="s">
        <v>2682</v>
      </c>
      <c r="K1575" t="s">
        <v>2683</v>
      </c>
      <c r="L1575" s="13">
        <v>6000</v>
      </c>
      <c r="M1575" t="s">
        <v>2676</v>
      </c>
    </row>
    <row r="1576" spans="1:13">
      <c r="A1576" t="s">
        <v>974</v>
      </c>
      <c r="B1576" t="s">
        <v>255</v>
      </c>
      <c r="C1576" s="8">
        <v>46126</v>
      </c>
      <c r="D1576" t="s">
        <v>332</v>
      </c>
      <c r="E1576" t="s">
        <v>339</v>
      </c>
      <c r="F1576" s="12">
        <v>395686</v>
      </c>
      <c r="G1576" s="13">
        <v>39</v>
      </c>
      <c r="H1576" t="s">
        <v>2956</v>
      </c>
      <c r="I1576" s="8">
        <v>45952</v>
      </c>
      <c r="J1576" t="s">
        <v>2674</v>
      </c>
      <c r="K1576" t="s">
        <v>2675</v>
      </c>
      <c r="L1576" s="13">
        <v>20000</v>
      </c>
      <c r="M1576" t="s">
        <v>2676</v>
      </c>
    </row>
    <row r="1577" spans="1:13">
      <c r="A1577" t="s">
        <v>974</v>
      </c>
      <c r="B1577" t="s">
        <v>255</v>
      </c>
      <c r="C1577" s="8">
        <v>46126</v>
      </c>
      <c r="D1577" t="s">
        <v>332</v>
      </c>
      <c r="E1577" t="s">
        <v>339</v>
      </c>
      <c r="F1577" s="12">
        <v>395686</v>
      </c>
      <c r="G1577" s="13">
        <v>39</v>
      </c>
      <c r="H1577" t="s">
        <v>3223</v>
      </c>
      <c r="I1577" s="8">
        <v>46198</v>
      </c>
      <c r="J1577" t="s">
        <v>2665</v>
      </c>
      <c r="K1577" t="s">
        <v>2666</v>
      </c>
      <c r="L1577" s="13">
        <v>2500</v>
      </c>
      <c r="M1577" t="s">
        <v>2661</v>
      </c>
    </row>
    <row r="1578" spans="1:13">
      <c r="A1578" t="s">
        <v>974</v>
      </c>
      <c r="B1578" t="s">
        <v>255</v>
      </c>
      <c r="C1578" s="8">
        <v>46126</v>
      </c>
      <c r="D1578" t="s">
        <v>332</v>
      </c>
      <c r="E1578" t="s">
        <v>339</v>
      </c>
      <c r="F1578" s="12">
        <v>395686</v>
      </c>
      <c r="G1578" s="13">
        <v>39</v>
      </c>
      <c r="H1578" t="s">
        <v>3323</v>
      </c>
      <c r="I1578" s="8">
        <v>46169</v>
      </c>
      <c r="J1578" t="s">
        <v>2682</v>
      </c>
      <c r="K1578" t="s">
        <v>2683</v>
      </c>
      <c r="L1578" s="13">
        <v>6000</v>
      </c>
      <c r="M1578" t="s">
        <v>2676</v>
      </c>
    </row>
    <row r="1579" spans="1:13">
      <c r="A1579" t="s">
        <v>1033</v>
      </c>
      <c r="B1579" t="s">
        <v>255</v>
      </c>
      <c r="C1579" s="8">
        <v>46007</v>
      </c>
      <c r="D1579" t="s">
        <v>321</v>
      </c>
      <c r="E1579" t="s">
        <v>339</v>
      </c>
      <c r="F1579" s="12">
        <v>78635</v>
      </c>
      <c r="G1579" s="13">
        <v>7</v>
      </c>
      <c r="H1579" t="s">
        <v>2956</v>
      </c>
      <c r="I1579" s="8">
        <v>45952</v>
      </c>
      <c r="J1579" t="s">
        <v>2674</v>
      </c>
      <c r="K1579" t="s">
        <v>2675</v>
      </c>
      <c r="L1579" s="13">
        <v>20000</v>
      </c>
      <c r="M1579" t="s">
        <v>2676</v>
      </c>
    </row>
    <row r="1580" spans="1:13">
      <c r="A1580" t="s">
        <v>1033</v>
      </c>
      <c r="B1580" t="s">
        <v>255</v>
      </c>
      <c r="C1580" s="8">
        <v>46007</v>
      </c>
      <c r="D1580" t="s">
        <v>321</v>
      </c>
      <c r="E1580" t="s">
        <v>339</v>
      </c>
      <c r="F1580" s="12">
        <v>78635</v>
      </c>
      <c r="G1580" s="13">
        <v>7</v>
      </c>
      <c r="H1580" t="s">
        <v>3223</v>
      </c>
      <c r="I1580" s="8">
        <v>46198</v>
      </c>
      <c r="J1580" t="s">
        <v>2665</v>
      </c>
      <c r="K1580" t="s">
        <v>2666</v>
      </c>
      <c r="L1580" s="13">
        <v>2500</v>
      </c>
      <c r="M1580" t="s">
        <v>2661</v>
      </c>
    </row>
    <row r="1581" spans="1:13">
      <c r="A1581" t="s">
        <v>1033</v>
      </c>
      <c r="B1581" t="s">
        <v>255</v>
      </c>
      <c r="C1581" s="8">
        <v>46007</v>
      </c>
      <c r="D1581" t="s">
        <v>321</v>
      </c>
      <c r="E1581" t="s">
        <v>339</v>
      </c>
      <c r="F1581" s="12">
        <v>78635</v>
      </c>
      <c r="G1581" s="13">
        <v>7</v>
      </c>
      <c r="H1581" t="s">
        <v>3323</v>
      </c>
      <c r="I1581" s="8">
        <v>46169</v>
      </c>
      <c r="J1581" t="s">
        <v>2682</v>
      </c>
      <c r="K1581" t="s">
        <v>2683</v>
      </c>
      <c r="L1581" s="13">
        <v>6000</v>
      </c>
      <c r="M1581" t="s">
        <v>2676</v>
      </c>
    </row>
    <row r="1582" spans="1:13">
      <c r="A1582" t="s">
        <v>1070</v>
      </c>
      <c r="B1582" t="s">
        <v>255</v>
      </c>
      <c r="C1582" s="8">
        <v>46186</v>
      </c>
      <c r="D1582" t="s">
        <v>330</v>
      </c>
      <c r="E1582" t="s">
        <v>337</v>
      </c>
      <c r="F1582" s="12">
        <v>80091</v>
      </c>
      <c r="G1582" s="13">
        <v>8</v>
      </c>
      <c r="H1582" t="s">
        <v>2956</v>
      </c>
      <c r="I1582" s="8">
        <v>45952</v>
      </c>
      <c r="J1582" t="s">
        <v>2674</v>
      </c>
      <c r="K1582" t="s">
        <v>2675</v>
      </c>
      <c r="L1582" s="13">
        <v>20000</v>
      </c>
      <c r="M1582" t="s">
        <v>2676</v>
      </c>
    </row>
    <row r="1583" spans="1:13">
      <c r="A1583" t="s">
        <v>1070</v>
      </c>
      <c r="B1583" t="s">
        <v>255</v>
      </c>
      <c r="C1583" s="8">
        <v>46186</v>
      </c>
      <c r="D1583" t="s">
        <v>330</v>
      </c>
      <c r="E1583" t="s">
        <v>337</v>
      </c>
      <c r="F1583" s="12">
        <v>80091</v>
      </c>
      <c r="G1583" s="13">
        <v>8</v>
      </c>
      <c r="H1583" t="s">
        <v>3223</v>
      </c>
      <c r="I1583" s="8">
        <v>46198</v>
      </c>
      <c r="J1583" t="s">
        <v>2665</v>
      </c>
      <c r="K1583" t="s">
        <v>2666</v>
      </c>
      <c r="L1583" s="13">
        <v>2500</v>
      </c>
      <c r="M1583" t="s">
        <v>2661</v>
      </c>
    </row>
    <row r="1584" spans="1:13">
      <c r="A1584" t="s">
        <v>1070</v>
      </c>
      <c r="B1584" t="s">
        <v>255</v>
      </c>
      <c r="C1584" s="8">
        <v>46186</v>
      </c>
      <c r="D1584" t="s">
        <v>330</v>
      </c>
      <c r="E1584" t="s">
        <v>337</v>
      </c>
      <c r="F1584" s="12">
        <v>80091</v>
      </c>
      <c r="G1584" s="13">
        <v>8</v>
      </c>
      <c r="H1584" t="s">
        <v>3323</v>
      </c>
      <c r="I1584" s="8">
        <v>46169</v>
      </c>
      <c r="J1584" t="s">
        <v>2682</v>
      </c>
      <c r="K1584" t="s">
        <v>2683</v>
      </c>
      <c r="L1584" s="13">
        <v>6000</v>
      </c>
      <c r="M1584" t="s">
        <v>2676</v>
      </c>
    </row>
    <row r="1585" spans="1:13">
      <c r="A1585" t="s">
        <v>1149</v>
      </c>
      <c r="B1585" t="s">
        <v>255</v>
      </c>
      <c r="C1585" s="8">
        <v>46093</v>
      </c>
      <c r="D1585" t="s">
        <v>332</v>
      </c>
      <c r="E1585" t="s">
        <v>325</v>
      </c>
      <c r="F1585" s="12">
        <v>243800</v>
      </c>
      <c r="G1585" s="13">
        <v>24</v>
      </c>
      <c r="H1585" t="s">
        <v>2956</v>
      </c>
      <c r="I1585" s="8">
        <v>45952</v>
      </c>
      <c r="J1585" t="s">
        <v>2674</v>
      </c>
      <c r="K1585" t="s">
        <v>2675</v>
      </c>
      <c r="L1585" s="13">
        <v>20000</v>
      </c>
      <c r="M1585" t="s">
        <v>2676</v>
      </c>
    </row>
    <row r="1586" spans="1:13">
      <c r="A1586" t="s">
        <v>1149</v>
      </c>
      <c r="B1586" t="s">
        <v>255</v>
      </c>
      <c r="C1586" s="8">
        <v>46093</v>
      </c>
      <c r="D1586" t="s">
        <v>332</v>
      </c>
      <c r="E1586" t="s">
        <v>325</v>
      </c>
      <c r="F1586" s="12">
        <v>243800</v>
      </c>
      <c r="G1586" s="13">
        <v>24</v>
      </c>
      <c r="H1586" t="s">
        <v>3223</v>
      </c>
      <c r="I1586" s="8">
        <v>46198</v>
      </c>
      <c r="J1586" t="s">
        <v>2665</v>
      </c>
      <c r="K1586" t="s">
        <v>2666</v>
      </c>
      <c r="L1586" s="13">
        <v>2500</v>
      </c>
      <c r="M1586" t="s">
        <v>2661</v>
      </c>
    </row>
    <row r="1587" spans="1:13">
      <c r="A1587" t="s">
        <v>1149</v>
      </c>
      <c r="B1587" t="s">
        <v>255</v>
      </c>
      <c r="C1587" s="8">
        <v>46093</v>
      </c>
      <c r="D1587" t="s">
        <v>332</v>
      </c>
      <c r="E1587" t="s">
        <v>325</v>
      </c>
      <c r="F1587" s="12">
        <v>243800</v>
      </c>
      <c r="G1587" s="13">
        <v>24</v>
      </c>
      <c r="H1587" t="s">
        <v>3323</v>
      </c>
      <c r="I1587" s="8">
        <v>46169</v>
      </c>
      <c r="J1587" t="s">
        <v>2682</v>
      </c>
      <c r="K1587" t="s">
        <v>2683</v>
      </c>
      <c r="L1587" s="13">
        <v>6000</v>
      </c>
      <c r="M1587" t="s">
        <v>2676</v>
      </c>
    </row>
    <row r="1588" spans="1:13">
      <c r="A1588" t="s">
        <v>1172</v>
      </c>
      <c r="B1588" t="s">
        <v>255</v>
      </c>
      <c r="C1588" s="8">
        <v>46240</v>
      </c>
      <c r="D1588" t="s">
        <v>332</v>
      </c>
      <c r="E1588" t="s">
        <v>339</v>
      </c>
      <c r="F1588" s="12">
        <v>75890</v>
      </c>
      <c r="G1588" s="13">
        <v>7</v>
      </c>
      <c r="H1588" t="s">
        <v>2956</v>
      </c>
      <c r="I1588" s="8">
        <v>45952</v>
      </c>
      <c r="J1588" t="s">
        <v>2674</v>
      </c>
      <c r="K1588" t="s">
        <v>2675</v>
      </c>
      <c r="L1588" s="13">
        <v>20000</v>
      </c>
      <c r="M1588" t="s">
        <v>2676</v>
      </c>
    </row>
    <row r="1589" spans="1:13">
      <c r="A1589" t="s">
        <v>1172</v>
      </c>
      <c r="B1589" t="s">
        <v>255</v>
      </c>
      <c r="C1589" s="8">
        <v>46240</v>
      </c>
      <c r="D1589" t="s">
        <v>332</v>
      </c>
      <c r="E1589" t="s">
        <v>339</v>
      </c>
      <c r="F1589" s="12">
        <v>75890</v>
      </c>
      <c r="G1589" s="13">
        <v>7</v>
      </c>
      <c r="H1589" t="s">
        <v>3223</v>
      </c>
      <c r="I1589" s="8">
        <v>46198</v>
      </c>
      <c r="J1589" t="s">
        <v>2665</v>
      </c>
      <c r="K1589" t="s">
        <v>2666</v>
      </c>
      <c r="L1589" s="13">
        <v>2500</v>
      </c>
      <c r="M1589" t="s">
        <v>2661</v>
      </c>
    </row>
    <row r="1590" spans="1:13">
      <c r="A1590" t="s">
        <v>1172</v>
      </c>
      <c r="B1590" t="s">
        <v>255</v>
      </c>
      <c r="C1590" s="8">
        <v>46240</v>
      </c>
      <c r="D1590" t="s">
        <v>332</v>
      </c>
      <c r="E1590" t="s">
        <v>339</v>
      </c>
      <c r="F1590" s="12">
        <v>75890</v>
      </c>
      <c r="G1590" s="13">
        <v>7</v>
      </c>
      <c r="H1590" t="s">
        <v>3323</v>
      </c>
      <c r="I1590" s="8">
        <v>46169</v>
      </c>
      <c r="J1590" t="s">
        <v>2682</v>
      </c>
      <c r="K1590" t="s">
        <v>2683</v>
      </c>
      <c r="L1590" s="13">
        <v>6000</v>
      </c>
      <c r="M1590" t="s">
        <v>2676</v>
      </c>
    </row>
    <row r="1591" spans="1:13">
      <c r="A1591" t="s">
        <v>431</v>
      </c>
      <c r="B1591" t="s">
        <v>223</v>
      </c>
      <c r="C1591" s="8">
        <v>46065</v>
      </c>
      <c r="D1591" t="s">
        <v>342</v>
      </c>
      <c r="E1591" t="s">
        <v>325</v>
      </c>
      <c r="F1591" s="12">
        <v>136575</v>
      </c>
      <c r="G1591" s="13">
        <v>13</v>
      </c>
      <c r="H1591" t="s">
        <v>3064</v>
      </c>
      <c r="I1591" s="8">
        <v>45951</v>
      </c>
      <c r="J1591" t="s">
        <v>2674</v>
      </c>
      <c r="K1591" t="s">
        <v>2675</v>
      </c>
      <c r="L1591" s="13">
        <v>20000</v>
      </c>
      <c r="M1591" t="s">
        <v>2676</v>
      </c>
    </row>
    <row r="1592" spans="1:13">
      <c r="A1592" t="s">
        <v>431</v>
      </c>
      <c r="B1592" t="s">
        <v>223</v>
      </c>
      <c r="C1592" s="8">
        <v>46065</v>
      </c>
      <c r="D1592" t="s">
        <v>342</v>
      </c>
      <c r="E1592" t="s">
        <v>325</v>
      </c>
      <c r="F1592" s="12">
        <v>136575</v>
      </c>
      <c r="G1592" s="13">
        <v>13</v>
      </c>
      <c r="H1592" t="s">
        <v>3374</v>
      </c>
      <c r="I1592" s="8">
        <v>46022</v>
      </c>
      <c r="J1592" t="s">
        <v>2668</v>
      </c>
      <c r="K1592" t="s">
        <v>2669</v>
      </c>
      <c r="L1592" s="13">
        <v>4000</v>
      </c>
      <c r="M1592" t="s">
        <v>2661</v>
      </c>
    </row>
    <row r="1593" spans="1:13">
      <c r="A1593" t="s">
        <v>431</v>
      </c>
      <c r="B1593" t="s">
        <v>223</v>
      </c>
      <c r="C1593" s="8">
        <v>46065</v>
      </c>
      <c r="D1593" t="s">
        <v>342</v>
      </c>
      <c r="E1593" t="s">
        <v>325</v>
      </c>
      <c r="F1593" s="12">
        <v>136575</v>
      </c>
      <c r="G1593" s="13">
        <v>13</v>
      </c>
      <c r="H1593" t="s">
        <v>3422</v>
      </c>
      <c r="I1593" s="8">
        <v>46266</v>
      </c>
      <c r="J1593" t="s">
        <v>2659</v>
      </c>
      <c r="K1593" t="s">
        <v>2660</v>
      </c>
      <c r="L1593" s="13">
        <v>3500</v>
      </c>
      <c r="M1593" t="s">
        <v>2661</v>
      </c>
    </row>
    <row r="1594" spans="1:13">
      <c r="A1594" t="s">
        <v>431</v>
      </c>
      <c r="B1594" t="s">
        <v>223</v>
      </c>
      <c r="C1594" s="8">
        <v>46065</v>
      </c>
      <c r="D1594" t="s">
        <v>342</v>
      </c>
      <c r="E1594" t="s">
        <v>325</v>
      </c>
      <c r="F1594" s="12">
        <v>136575</v>
      </c>
      <c r="G1594" s="13">
        <v>13</v>
      </c>
      <c r="H1594" t="s">
        <v>3570</v>
      </c>
      <c r="I1594" s="8">
        <v>46265</v>
      </c>
      <c r="J1594" t="s">
        <v>2663</v>
      </c>
      <c r="K1594" t="s">
        <v>3630</v>
      </c>
      <c r="L1594" s="13">
        <v>1500</v>
      </c>
      <c r="M1594" t="s">
        <v>2661</v>
      </c>
    </row>
    <row r="1595" spans="1:13">
      <c r="A1595" t="s">
        <v>432</v>
      </c>
      <c r="B1595" t="s">
        <v>240</v>
      </c>
      <c r="C1595" s="8">
        <v>46226</v>
      </c>
      <c r="D1595" t="s">
        <v>324</v>
      </c>
      <c r="E1595" t="s">
        <v>334</v>
      </c>
      <c r="F1595" s="12">
        <v>103944</v>
      </c>
      <c r="G1595" s="13">
        <v>10</v>
      </c>
      <c r="H1595" t="s">
        <v>3066</v>
      </c>
      <c r="I1595" s="8">
        <v>46121</v>
      </c>
      <c r="J1595" t="s">
        <v>2685</v>
      </c>
      <c r="K1595" t="s">
        <v>2686</v>
      </c>
      <c r="L1595" s="13">
        <v>5000</v>
      </c>
      <c r="M1595" t="s">
        <v>2661</v>
      </c>
    </row>
    <row r="1596" spans="1:13">
      <c r="A1596" t="s">
        <v>432</v>
      </c>
      <c r="B1596" t="s">
        <v>240</v>
      </c>
      <c r="C1596" s="8">
        <v>46226</v>
      </c>
      <c r="D1596" t="s">
        <v>324</v>
      </c>
      <c r="E1596" t="s">
        <v>334</v>
      </c>
      <c r="F1596" s="12">
        <v>103944</v>
      </c>
      <c r="G1596" s="13">
        <v>10</v>
      </c>
      <c r="H1596" t="s">
        <v>3319</v>
      </c>
      <c r="I1596" s="8">
        <v>45952</v>
      </c>
      <c r="J1596" t="s">
        <v>2685</v>
      </c>
      <c r="K1596" t="s">
        <v>2686</v>
      </c>
      <c r="L1596" s="13">
        <v>5000</v>
      </c>
      <c r="M1596" t="s">
        <v>2661</v>
      </c>
    </row>
    <row r="1597" spans="1:13">
      <c r="A1597" t="s">
        <v>432</v>
      </c>
      <c r="B1597" t="s">
        <v>240</v>
      </c>
      <c r="C1597" s="8">
        <v>46226</v>
      </c>
      <c r="D1597" t="s">
        <v>324</v>
      </c>
      <c r="E1597" t="s">
        <v>334</v>
      </c>
      <c r="F1597" s="12">
        <v>103944</v>
      </c>
      <c r="G1597" s="13">
        <v>10</v>
      </c>
      <c r="H1597" t="s">
        <v>3380</v>
      </c>
      <c r="I1597" s="8">
        <v>46263</v>
      </c>
      <c r="J1597" t="s">
        <v>2682</v>
      </c>
      <c r="K1597" t="s">
        <v>2683</v>
      </c>
      <c r="L1597" s="13">
        <v>6000</v>
      </c>
      <c r="M1597" t="s">
        <v>2661</v>
      </c>
    </row>
    <row r="1598" spans="1:13">
      <c r="A1598" t="s">
        <v>488</v>
      </c>
      <c r="B1598" t="s">
        <v>240</v>
      </c>
      <c r="C1598" s="8">
        <v>46144</v>
      </c>
      <c r="D1598" t="s">
        <v>350</v>
      </c>
      <c r="E1598" t="s">
        <v>328</v>
      </c>
      <c r="F1598" s="12">
        <v>112615</v>
      </c>
      <c r="G1598" s="13">
        <v>11</v>
      </c>
      <c r="H1598" t="s">
        <v>3066</v>
      </c>
      <c r="I1598" s="8">
        <v>46121</v>
      </c>
      <c r="J1598" t="s">
        <v>2685</v>
      </c>
      <c r="K1598" t="s">
        <v>2686</v>
      </c>
      <c r="L1598" s="13">
        <v>5000</v>
      </c>
      <c r="M1598" t="s">
        <v>2661</v>
      </c>
    </row>
    <row r="1599" spans="1:13">
      <c r="A1599" t="s">
        <v>488</v>
      </c>
      <c r="B1599" t="s">
        <v>240</v>
      </c>
      <c r="C1599" s="8">
        <v>46144</v>
      </c>
      <c r="D1599" t="s">
        <v>350</v>
      </c>
      <c r="E1599" t="s">
        <v>328</v>
      </c>
      <c r="F1599" s="12">
        <v>112615</v>
      </c>
      <c r="G1599" s="13">
        <v>11</v>
      </c>
      <c r="H1599" t="s">
        <v>3319</v>
      </c>
      <c r="I1599" s="8">
        <v>45952</v>
      </c>
      <c r="J1599" t="s">
        <v>2685</v>
      </c>
      <c r="K1599" t="s">
        <v>2686</v>
      </c>
      <c r="L1599" s="13">
        <v>5000</v>
      </c>
      <c r="M1599" t="s">
        <v>2661</v>
      </c>
    </row>
    <row r="1600" spans="1:13">
      <c r="A1600" t="s">
        <v>488</v>
      </c>
      <c r="B1600" t="s">
        <v>240</v>
      </c>
      <c r="C1600" s="8">
        <v>46144</v>
      </c>
      <c r="D1600" t="s">
        <v>350</v>
      </c>
      <c r="E1600" t="s">
        <v>328</v>
      </c>
      <c r="F1600" s="12">
        <v>112615</v>
      </c>
      <c r="G1600" s="13">
        <v>11</v>
      </c>
      <c r="H1600" t="s">
        <v>3380</v>
      </c>
      <c r="I1600" s="8">
        <v>46263</v>
      </c>
      <c r="J1600" t="s">
        <v>2682</v>
      </c>
      <c r="K1600" t="s">
        <v>2683</v>
      </c>
      <c r="L1600" s="13">
        <v>6000</v>
      </c>
      <c r="M1600" t="s">
        <v>2661</v>
      </c>
    </row>
    <row r="1601" spans="1:13">
      <c r="A1601" t="s">
        <v>519</v>
      </c>
      <c r="B1601" t="s">
        <v>240</v>
      </c>
      <c r="C1601" s="8">
        <v>46200</v>
      </c>
      <c r="D1601" t="s">
        <v>332</v>
      </c>
      <c r="E1601" t="s">
        <v>339</v>
      </c>
      <c r="F1601" s="12">
        <v>413173</v>
      </c>
      <c r="G1601" s="13">
        <v>41</v>
      </c>
      <c r="H1601" t="s">
        <v>3066</v>
      </c>
      <c r="I1601" s="8">
        <v>46121</v>
      </c>
      <c r="J1601" t="s">
        <v>2685</v>
      </c>
      <c r="K1601" t="s">
        <v>2686</v>
      </c>
      <c r="L1601" s="13">
        <v>5000</v>
      </c>
      <c r="M1601" t="s">
        <v>2661</v>
      </c>
    </row>
    <row r="1602" spans="1:13">
      <c r="A1602" t="s">
        <v>519</v>
      </c>
      <c r="B1602" t="s">
        <v>240</v>
      </c>
      <c r="C1602" s="8">
        <v>46200</v>
      </c>
      <c r="D1602" t="s">
        <v>332</v>
      </c>
      <c r="E1602" t="s">
        <v>339</v>
      </c>
      <c r="F1602" s="12">
        <v>413173</v>
      </c>
      <c r="G1602" s="13">
        <v>41</v>
      </c>
      <c r="H1602" t="s">
        <v>3319</v>
      </c>
      <c r="I1602" s="8">
        <v>45952</v>
      </c>
      <c r="J1602" t="s">
        <v>2685</v>
      </c>
      <c r="K1602" t="s">
        <v>2686</v>
      </c>
      <c r="L1602" s="13">
        <v>5000</v>
      </c>
      <c r="M1602" t="s">
        <v>2661</v>
      </c>
    </row>
    <row r="1603" spans="1:13">
      <c r="A1603" t="s">
        <v>519</v>
      </c>
      <c r="B1603" t="s">
        <v>240</v>
      </c>
      <c r="C1603" s="8">
        <v>46200</v>
      </c>
      <c r="D1603" t="s">
        <v>332</v>
      </c>
      <c r="E1603" t="s">
        <v>339</v>
      </c>
      <c r="F1603" s="12">
        <v>413173</v>
      </c>
      <c r="G1603" s="13">
        <v>41</v>
      </c>
      <c r="H1603" t="s">
        <v>3380</v>
      </c>
      <c r="I1603" s="8">
        <v>46263</v>
      </c>
      <c r="J1603" t="s">
        <v>2682</v>
      </c>
      <c r="K1603" t="s">
        <v>2683</v>
      </c>
      <c r="L1603" s="13">
        <v>6000</v>
      </c>
      <c r="M1603" t="s">
        <v>2661</v>
      </c>
    </row>
    <row r="1604" spans="1:13">
      <c r="A1604" t="s">
        <v>563</v>
      </c>
      <c r="B1604" t="s">
        <v>240</v>
      </c>
      <c r="C1604" s="8">
        <v>46200</v>
      </c>
      <c r="D1604" t="s">
        <v>327</v>
      </c>
      <c r="E1604" t="s">
        <v>328</v>
      </c>
      <c r="F1604" s="12">
        <v>162304</v>
      </c>
      <c r="G1604" s="13">
        <v>16</v>
      </c>
      <c r="H1604" t="s">
        <v>3066</v>
      </c>
      <c r="I1604" s="8">
        <v>46121</v>
      </c>
      <c r="J1604" t="s">
        <v>2685</v>
      </c>
      <c r="K1604" t="s">
        <v>2686</v>
      </c>
      <c r="L1604" s="13">
        <v>5000</v>
      </c>
      <c r="M1604" t="s">
        <v>2661</v>
      </c>
    </row>
    <row r="1605" spans="1:13">
      <c r="A1605" t="s">
        <v>563</v>
      </c>
      <c r="B1605" t="s">
        <v>240</v>
      </c>
      <c r="C1605" s="8">
        <v>46200</v>
      </c>
      <c r="D1605" t="s">
        <v>327</v>
      </c>
      <c r="E1605" t="s">
        <v>328</v>
      </c>
      <c r="F1605" s="12">
        <v>162304</v>
      </c>
      <c r="G1605" s="13">
        <v>16</v>
      </c>
      <c r="H1605" t="s">
        <v>3319</v>
      </c>
      <c r="I1605" s="8">
        <v>45952</v>
      </c>
      <c r="J1605" t="s">
        <v>2685</v>
      </c>
      <c r="K1605" t="s">
        <v>2686</v>
      </c>
      <c r="L1605" s="13">
        <v>5000</v>
      </c>
      <c r="M1605" t="s">
        <v>2661</v>
      </c>
    </row>
    <row r="1606" spans="1:13">
      <c r="A1606" t="s">
        <v>563</v>
      </c>
      <c r="B1606" t="s">
        <v>240</v>
      </c>
      <c r="C1606" s="8">
        <v>46200</v>
      </c>
      <c r="D1606" t="s">
        <v>327</v>
      </c>
      <c r="E1606" t="s">
        <v>328</v>
      </c>
      <c r="F1606" s="12">
        <v>162304</v>
      </c>
      <c r="G1606" s="13">
        <v>16</v>
      </c>
      <c r="H1606" t="s">
        <v>3380</v>
      </c>
      <c r="I1606" s="8">
        <v>46263</v>
      </c>
      <c r="J1606" t="s">
        <v>2682</v>
      </c>
      <c r="K1606" t="s">
        <v>2683</v>
      </c>
      <c r="L1606" s="13">
        <v>6000</v>
      </c>
      <c r="M1606" t="s">
        <v>2661</v>
      </c>
    </row>
    <row r="1607" spans="1:13">
      <c r="A1607" t="s">
        <v>664</v>
      </c>
      <c r="B1607" t="s">
        <v>240</v>
      </c>
      <c r="C1607" s="8">
        <v>46265</v>
      </c>
      <c r="D1607" t="s">
        <v>327</v>
      </c>
      <c r="E1607" t="s">
        <v>322</v>
      </c>
      <c r="F1607" s="12">
        <v>100482</v>
      </c>
      <c r="G1607" s="13">
        <v>10</v>
      </c>
      <c r="H1607" t="s">
        <v>3066</v>
      </c>
      <c r="I1607" s="8">
        <v>46121</v>
      </c>
      <c r="J1607" t="s">
        <v>2685</v>
      </c>
      <c r="K1607" t="s">
        <v>2686</v>
      </c>
      <c r="L1607" s="13">
        <v>5000</v>
      </c>
      <c r="M1607" t="s">
        <v>2661</v>
      </c>
    </row>
    <row r="1608" spans="1:13">
      <c r="A1608" t="s">
        <v>664</v>
      </c>
      <c r="B1608" t="s">
        <v>240</v>
      </c>
      <c r="C1608" s="8">
        <v>46265</v>
      </c>
      <c r="D1608" t="s">
        <v>327</v>
      </c>
      <c r="E1608" t="s">
        <v>322</v>
      </c>
      <c r="F1608" s="12">
        <v>100482</v>
      </c>
      <c r="G1608" s="13">
        <v>10</v>
      </c>
      <c r="H1608" t="s">
        <v>3319</v>
      </c>
      <c r="I1608" s="8">
        <v>45952</v>
      </c>
      <c r="J1608" t="s">
        <v>2685</v>
      </c>
      <c r="K1608" t="s">
        <v>2686</v>
      </c>
      <c r="L1608" s="13">
        <v>5000</v>
      </c>
      <c r="M1608" t="s">
        <v>2661</v>
      </c>
    </row>
    <row r="1609" spans="1:13">
      <c r="A1609" t="s">
        <v>664</v>
      </c>
      <c r="B1609" t="s">
        <v>240</v>
      </c>
      <c r="C1609" s="8">
        <v>46265</v>
      </c>
      <c r="D1609" t="s">
        <v>327</v>
      </c>
      <c r="E1609" t="s">
        <v>322</v>
      </c>
      <c r="F1609" s="12">
        <v>100482</v>
      </c>
      <c r="G1609" s="13">
        <v>10</v>
      </c>
      <c r="H1609" t="s">
        <v>3380</v>
      </c>
      <c r="I1609" s="8">
        <v>46263</v>
      </c>
      <c r="J1609" t="s">
        <v>2682</v>
      </c>
      <c r="K1609" t="s">
        <v>2683</v>
      </c>
      <c r="L1609" s="13">
        <v>6000</v>
      </c>
      <c r="M1609" t="s">
        <v>2661</v>
      </c>
    </row>
    <row r="1610" spans="1:13">
      <c r="A1610" t="s">
        <v>693</v>
      </c>
      <c r="B1610" t="s">
        <v>240</v>
      </c>
      <c r="C1610" s="8">
        <v>46286</v>
      </c>
      <c r="D1610" t="s">
        <v>324</v>
      </c>
      <c r="E1610" t="s">
        <v>334</v>
      </c>
      <c r="F1610" s="12">
        <v>222247</v>
      </c>
      <c r="G1610" s="13">
        <v>22</v>
      </c>
      <c r="H1610" t="s">
        <v>3066</v>
      </c>
      <c r="I1610" s="8">
        <v>46121</v>
      </c>
      <c r="J1610" t="s">
        <v>2685</v>
      </c>
      <c r="K1610" t="s">
        <v>2686</v>
      </c>
      <c r="L1610" s="13">
        <v>5000</v>
      </c>
      <c r="M1610" t="s">
        <v>2661</v>
      </c>
    </row>
    <row r="1611" spans="1:13">
      <c r="A1611" t="s">
        <v>693</v>
      </c>
      <c r="B1611" t="s">
        <v>240</v>
      </c>
      <c r="C1611" s="8">
        <v>46286</v>
      </c>
      <c r="D1611" t="s">
        <v>324</v>
      </c>
      <c r="E1611" t="s">
        <v>334</v>
      </c>
      <c r="F1611" s="12">
        <v>222247</v>
      </c>
      <c r="G1611" s="13">
        <v>22</v>
      </c>
      <c r="H1611" t="s">
        <v>3319</v>
      </c>
      <c r="I1611" s="8">
        <v>45952</v>
      </c>
      <c r="J1611" t="s">
        <v>2685</v>
      </c>
      <c r="K1611" t="s">
        <v>2686</v>
      </c>
      <c r="L1611" s="13">
        <v>5000</v>
      </c>
      <c r="M1611" t="s">
        <v>2661</v>
      </c>
    </row>
    <row r="1612" spans="1:13">
      <c r="A1612" t="s">
        <v>693</v>
      </c>
      <c r="B1612" t="s">
        <v>240</v>
      </c>
      <c r="C1612" s="8">
        <v>46286</v>
      </c>
      <c r="D1612" t="s">
        <v>324</v>
      </c>
      <c r="E1612" t="s">
        <v>334</v>
      </c>
      <c r="F1612" s="12">
        <v>222247</v>
      </c>
      <c r="G1612" s="13">
        <v>22</v>
      </c>
      <c r="H1612" t="s">
        <v>3380</v>
      </c>
      <c r="I1612" s="8">
        <v>46263</v>
      </c>
      <c r="J1612" t="s">
        <v>2682</v>
      </c>
      <c r="K1612" t="s">
        <v>2683</v>
      </c>
      <c r="L1612" s="13">
        <v>6000</v>
      </c>
      <c r="M1612" t="s">
        <v>2661</v>
      </c>
    </row>
    <row r="1613" spans="1:13">
      <c r="A1613" t="s">
        <v>708</v>
      </c>
      <c r="B1613" t="s">
        <v>240</v>
      </c>
      <c r="C1613" s="8">
        <v>46238</v>
      </c>
      <c r="D1613" t="s">
        <v>344</v>
      </c>
      <c r="E1613" t="s">
        <v>328</v>
      </c>
      <c r="F1613" s="12">
        <v>517004</v>
      </c>
      <c r="G1613" s="13">
        <v>51</v>
      </c>
      <c r="H1613" t="s">
        <v>3066</v>
      </c>
      <c r="I1613" s="8">
        <v>46121</v>
      </c>
      <c r="J1613" t="s">
        <v>2685</v>
      </c>
      <c r="K1613" t="s">
        <v>2686</v>
      </c>
      <c r="L1613" s="13">
        <v>5000</v>
      </c>
      <c r="M1613" t="s">
        <v>2661</v>
      </c>
    </row>
    <row r="1614" spans="1:13">
      <c r="A1614" t="s">
        <v>708</v>
      </c>
      <c r="B1614" t="s">
        <v>240</v>
      </c>
      <c r="C1614" s="8">
        <v>46238</v>
      </c>
      <c r="D1614" t="s">
        <v>344</v>
      </c>
      <c r="E1614" t="s">
        <v>328</v>
      </c>
      <c r="F1614" s="12">
        <v>517004</v>
      </c>
      <c r="G1614" s="13">
        <v>51</v>
      </c>
      <c r="H1614" t="s">
        <v>3319</v>
      </c>
      <c r="I1614" s="8">
        <v>45952</v>
      </c>
      <c r="J1614" t="s">
        <v>2685</v>
      </c>
      <c r="K1614" t="s">
        <v>2686</v>
      </c>
      <c r="L1614" s="13">
        <v>5000</v>
      </c>
      <c r="M1614" t="s">
        <v>2661</v>
      </c>
    </row>
    <row r="1615" spans="1:13">
      <c r="A1615" t="s">
        <v>708</v>
      </c>
      <c r="B1615" t="s">
        <v>240</v>
      </c>
      <c r="C1615" s="8">
        <v>46238</v>
      </c>
      <c r="D1615" t="s">
        <v>344</v>
      </c>
      <c r="E1615" t="s">
        <v>328</v>
      </c>
      <c r="F1615" s="12">
        <v>517004</v>
      </c>
      <c r="G1615" s="13">
        <v>51</v>
      </c>
      <c r="H1615" t="s">
        <v>3380</v>
      </c>
      <c r="I1615" s="8">
        <v>46263</v>
      </c>
      <c r="J1615" t="s">
        <v>2682</v>
      </c>
      <c r="K1615" t="s">
        <v>2683</v>
      </c>
      <c r="L1615" s="13">
        <v>6000</v>
      </c>
      <c r="M1615" t="s">
        <v>2661</v>
      </c>
    </row>
    <row r="1616" spans="1:13">
      <c r="A1616" t="s">
        <v>723</v>
      </c>
      <c r="B1616" t="s">
        <v>240</v>
      </c>
      <c r="C1616" s="8">
        <v>46242</v>
      </c>
      <c r="D1616" t="s">
        <v>327</v>
      </c>
      <c r="E1616" t="s">
        <v>334</v>
      </c>
      <c r="F1616" s="12">
        <v>701829</v>
      </c>
      <c r="G1616" s="13">
        <v>70</v>
      </c>
      <c r="H1616" t="s">
        <v>3066</v>
      </c>
      <c r="I1616" s="8">
        <v>46121</v>
      </c>
      <c r="J1616" t="s">
        <v>2685</v>
      </c>
      <c r="K1616" t="s">
        <v>2686</v>
      </c>
      <c r="L1616" s="13">
        <v>5000</v>
      </c>
      <c r="M1616" t="s">
        <v>2661</v>
      </c>
    </row>
    <row r="1617" spans="1:13">
      <c r="A1617" t="s">
        <v>723</v>
      </c>
      <c r="B1617" t="s">
        <v>240</v>
      </c>
      <c r="C1617" s="8">
        <v>46242</v>
      </c>
      <c r="D1617" t="s">
        <v>327</v>
      </c>
      <c r="E1617" t="s">
        <v>334</v>
      </c>
      <c r="F1617" s="12">
        <v>701829</v>
      </c>
      <c r="G1617" s="13">
        <v>70</v>
      </c>
      <c r="H1617" t="s">
        <v>3319</v>
      </c>
      <c r="I1617" s="8">
        <v>45952</v>
      </c>
      <c r="J1617" t="s">
        <v>2685</v>
      </c>
      <c r="K1617" t="s">
        <v>2686</v>
      </c>
      <c r="L1617" s="13">
        <v>5000</v>
      </c>
      <c r="M1617" t="s">
        <v>2661</v>
      </c>
    </row>
    <row r="1618" spans="1:13">
      <c r="A1618" t="s">
        <v>723</v>
      </c>
      <c r="B1618" t="s">
        <v>240</v>
      </c>
      <c r="C1618" s="8">
        <v>46242</v>
      </c>
      <c r="D1618" t="s">
        <v>327</v>
      </c>
      <c r="E1618" t="s">
        <v>334</v>
      </c>
      <c r="F1618" s="12">
        <v>701829</v>
      </c>
      <c r="G1618" s="13">
        <v>70</v>
      </c>
      <c r="H1618" t="s">
        <v>3380</v>
      </c>
      <c r="I1618" s="8">
        <v>46263</v>
      </c>
      <c r="J1618" t="s">
        <v>2682</v>
      </c>
      <c r="K1618" t="s">
        <v>2683</v>
      </c>
      <c r="L1618" s="13">
        <v>6000</v>
      </c>
      <c r="M1618" t="s">
        <v>2661</v>
      </c>
    </row>
    <row r="1619" spans="1:13">
      <c r="A1619" t="s">
        <v>788</v>
      </c>
      <c r="B1619" t="s">
        <v>240</v>
      </c>
      <c r="C1619" s="8">
        <v>46269</v>
      </c>
      <c r="D1619" t="s">
        <v>350</v>
      </c>
      <c r="E1619" t="s">
        <v>325</v>
      </c>
      <c r="F1619" s="12">
        <v>353766</v>
      </c>
      <c r="G1619" s="13">
        <v>35</v>
      </c>
      <c r="H1619" t="s">
        <v>3066</v>
      </c>
      <c r="I1619" s="8">
        <v>46121</v>
      </c>
      <c r="J1619" t="s">
        <v>2685</v>
      </c>
      <c r="K1619" t="s">
        <v>2686</v>
      </c>
      <c r="L1619" s="13">
        <v>5000</v>
      </c>
      <c r="M1619" t="s">
        <v>2661</v>
      </c>
    </row>
    <row r="1620" spans="1:13">
      <c r="A1620" t="s">
        <v>788</v>
      </c>
      <c r="B1620" t="s">
        <v>240</v>
      </c>
      <c r="C1620" s="8">
        <v>46269</v>
      </c>
      <c r="D1620" t="s">
        <v>350</v>
      </c>
      <c r="E1620" t="s">
        <v>325</v>
      </c>
      <c r="F1620" s="12">
        <v>353766</v>
      </c>
      <c r="G1620" s="13">
        <v>35</v>
      </c>
      <c r="H1620" t="s">
        <v>3319</v>
      </c>
      <c r="I1620" s="8">
        <v>45952</v>
      </c>
      <c r="J1620" t="s">
        <v>2685</v>
      </c>
      <c r="K1620" t="s">
        <v>2686</v>
      </c>
      <c r="L1620" s="13">
        <v>5000</v>
      </c>
      <c r="M1620" t="s">
        <v>2661</v>
      </c>
    </row>
    <row r="1621" spans="1:13">
      <c r="A1621" t="s">
        <v>788</v>
      </c>
      <c r="B1621" t="s">
        <v>240</v>
      </c>
      <c r="C1621" s="8">
        <v>46269</v>
      </c>
      <c r="D1621" t="s">
        <v>350</v>
      </c>
      <c r="E1621" t="s">
        <v>325</v>
      </c>
      <c r="F1621" s="12">
        <v>353766</v>
      </c>
      <c r="G1621" s="13">
        <v>35</v>
      </c>
      <c r="H1621" t="s">
        <v>3380</v>
      </c>
      <c r="I1621" s="8">
        <v>46263</v>
      </c>
      <c r="J1621" t="s">
        <v>2682</v>
      </c>
      <c r="K1621" t="s">
        <v>2683</v>
      </c>
      <c r="L1621" s="13">
        <v>6000</v>
      </c>
      <c r="M1621" t="s">
        <v>2661</v>
      </c>
    </row>
    <row r="1622" spans="1:13">
      <c r="A1622" t="s">
        <v>844</v>
      </c>
      <c r="B1622" t="s">
        <v>240</v>
      </c>
      <c r="C1622" s="8">
        <v>46149</v>
      </c>
      <c r="D1622" t="s">
        <v>342</v>
      </c>
      <c r="E1622" t="s">
        <v>334</v>
      </c>
      <c r="F1622" s="12">
        <v>378460</v>
      </c>
      <c r="G1622" s="13">
        <v>37</v>
      </c>
      <c r="H1622" t="s">
        <v>3066</v>
      </c>
      <c r="I1622" s="8">
        <v>46121</v>
      </c>
      <c r="J1622" t="s">
        <v>2685</v>
      </c>
      <c r="K1622" t="s">
        <v>2686</v>
      </c>
      <c r="L1622" s="13">
        <v>5000</v>
      </c>
      <c r="M1622" t="s">
        <v>2661</v>
      </c>
    </row>
    <row r="1623" spans="1:13">
      <c r="A1623" t="s">
        <v>844</v>
      </c>
      <c r="B1623" t="s">
        <v>240</v>
      </c>
      <c r="C1623" s="8">
        <v>46149</v>
      </c>
      <c r="D1623" t="s">
        <v>342</v>
      </c>
      <c r="E1623" t="s">
        <v>334</v>
      </c>
      <c r="F1623" s="12">
        <v>378460</v>
      </c>
      <c r="G1623" s="13">
        <v>37</v>
      </c>
      <c r="H1623" t="s">
        <v>3319</v>
      </c>
      <c r="I1623" s="8">
        <v>45952</v>
      </c>
      <c r="J1623" t="s">
        <v>2685</v>
      </c>
      <c r="K1623" t="s">
        <v>2686</v>
      </c>
      <c r="L1623" s="13">
        <v>5000</v>
      </c>
      <c r="M1623" t="s">
        <v>2661</v>
      </c>
    </row>
    <row r="1624" spans="1:13">
      <c r="A1624" t="s">
        <v>844</v>
      </c>
      <c r="B1624" t="s">
        <v>240</v>
      </c>
      <c r="C1624" s="8">
        <v>46149</v>
      </c>
      <c r="D1624" t="s">
        <v>342</v>
      </c>
      <c r="E1624" t="s">
        <v>334</v>
      </c>
      <c r="F1624" s="12">
        <v>378460</v>
      </c>
      <c r="G1624" s="13">
        <v>37</v>
      </c>
      <c r="H1624" t="s">
        <v>3380</v>
      </c>
      <c r="I1624" s="8">
        <v>46263</v>
      </c>
      <c r="J1624" t="s">
        <v>2682</v>
      </c>
      <c r="K1624" t="s">
        <v>2683</v>
      </c>
      <c r="L1624" s="13">
        <v>6000</v>
      </c>
      <c r="M1624" t="s">
        <v>2661</v>
      </c>
    </row>
    <row r="1625" spans="1:13">
      <c r="A1625" t="s">
        <v>1010</v>
      </c>
      <c r="B1625" t="s">
        <v>240</v>
      </c>
      <c r="C1625" s="8">
        <v>46119</v>
      </c>
      <c r="D1625" t="s">
        <v>332</v>
      </c>
      <c r="E1625" t="s">
        <v>322</v>
      </c>
      <c r="F1625" s="12">
        <v>701543</v>
      </c>
      <c r="G1625" s="13">
        <v>70</v>
      </c>
      <c r="H1625" t="s">
        <v>3066</v>
      </c>
      <c r="I1625" s="8">
        <v>46121</v>
      </c>
      <c r="J1625" t="s">
        <v>2685</v>
      </c>
      <c r="K1625" t="s">
        <v>2686</v>
      </c>
      <c r="L1625" s="13">
        <v>5000</v>
      </c>
      <c r="M1625" t="s">
        <v>2661</v>
      </c>
    </row>
    <row r="1626" spans="1:13">
      <c r="A1626" t="s">
        <v>1010</v>
      </c>
      <c r="B1626" t="s">
        <v>240</v>
      </c>
      <c r="C1626" s="8">
        <v>46119</v>
      </c>
      <c r="D1626" t="s">
        <v>332</v>
      </c>
      <c r="E1626" t="s">
        <v>322</v>
      </c>
      <c r="F1626" s="12">
        <v>701543</v>
      </c>
      <c r="G1626" s="13">
        <v>70</v>
      </c>
      <c r="H1626" t="s">
        <v>3319</v>
      </c>
      <c r="I1626" s="8">
        <v>45952</v>
      </c>
      <c r="J1626" t="s">
        <v>2685</v>
      </c>
      <c r="K1626" t="s">
        <v>2686</v>
      </c>
      <c r="L1626" s="13">
        <v>5000</v>
      </c>
      <c r="M1626" t="s">
        <v>2661</v>
      </c>
    </row>
    <row r="1627" spans="1:13">
      <c r="A1627" t="s">
        <v>1010</v>
      </c>
      <c r="B1627" t="s">
        <v>240</v>
      </c>
      <c r="C1627" s="8">
        <v>46119</v>
      </c>
      <c r="D1627" t="s">
        <v>332</v>
      </c>
      <c r="E1627" t="s">
        <v>322</v>
      </c>
      <c r="F1627" s="12">
        <v>701543</v>
      </c>
      <c r="G1627" s="13">
        <v>70</v>
      </c>
      <c r="H1627" t="s">
        <v>3380</v>
      </c>
      <c r="I1627" s="8">
        <v>46263</v>
      </c>
      <c r="J1627" t="s">
        <v>2682</v>
      </c>
      <c r="K1627" t="s">
        <v>2683</v>
      </c>
      <c r="L1627" s="13">
        <v>6000</v>
      </c>
      <c r="M1627" t="s">
        <v>2661</v>
      </c>
    </row>
    <row r="1628" spans="1:13">
      <c r="A1628" t="s">
        <v>1032</v>
      </c>
      <c r="B1628" t="s">
        <v>240</v>
      </c>
      <c r="C1628" s="8">
        <v>46227</v>
      </c>
      <c r="D1628" t="s">
        <v>327</v>
      </c>
      <c r="E1628" t="s">
        <v>322</v>
      </c>
      <c r="F1628" s="12">
        <v>92538</v>
      </c>
      <c r="G1628" s="13">
        <v>9</v>
      </c>
      <c r="H1628" t="s">
        <v>3066</v>
      </c>
      <c r="I1628" s="8">
        <v>46121</v>
      </c>
      <c r="J1628" t="s">
        <v>2685</v>
      </c>
      <c r="K1628" t="s">
        <v>2686</v>
      </c>
      <c r="L1628" s="13">
        <v>5000</v>
      </c>
      <c r="M1628" t="s">
        <v>2661</v>
      </c>
    </row>
    <row r="1629" spans="1:13">
      <c r="A1629" t="s">
        <v>1032</v>
      </c>
      <c r="B1629" t="s">
        <v>240</v>
      </c>
      <c r="C1629" s="8">
        <v>46227</v>
      </c>
      <c r="D1629" t="s">
        <v>327</v>
      </c>
      <c r="E1629" t="s">
        <v>322</v>
      </c>
      <c r="F1629" s="12">
        <v>92538</v>
      </c>
      <c r="G1629" s="13">
        <v>9</v>
      </c>
      <c r="H1629" t="s">
        <v>3319</v>
      </c>
      <c r="I1629" s="8">
        <v>45952</v>
      </c>
      <c r="J1629" t="s">
        <v>2685</v>
      </c>
      <c r="K1629" t="s">
        <v>2686</v>
      </c>
      <c r="L1629" s="13">
        <v>5000</v>
      </c>
      <c r="M1629" t="s">
        <v>2661</v>
      </c>
    </row>
    <row r="1630" spans="1:13">
      <c r="A1630" t="s">
        <v>1032</v>
      </c>
      <c r="B1630" t="s">
        <v>240</v>
      </c>
      <c r="C1630" s="8">
        <v>46227</v>
      </c>
      <c r="D1630" t="s">
        <v>327</v>
      </c>
      <c r="E1630" t="s">
        <v>322</v>
      </c>
      <c r="F1630" s="12">
        <v>92538</v>
      </c>
      <c r="G1630" s="13">
        <v>9</v>
      </c>
      <c r="H1630" t="s">
        <v>3380</v>
      </c>
      <c r="I1630" s="8">
        <v>46263</v>
      </c>
      <c r="J1630" t="s">
        <v>2682</v>
      </c>
      <c r="K1630" t="s">
        <v>2683</v>
      </c>
      <c r="L1630" s="13">
        <v>6000</v>
      </c>
      <c r="M1630" t="s">
        <v>2661</v>
      </c>
    </row>
    <row r="1631" spans="1:13">
      <c r="A1631" t="s">
        <v>1084</v>
      </c>
      <c r="B1631" t="s">
        <v>240</v>
      </c>
      <c r="C1631" s="8">
        <v>45975</v>
      </c>
      <c r="D1631" t="s">
        <v>344</v>
      </c>
      <c r="E1631" t="s">
        <v>322</v>
      </c>
      <c r="F1631" s="12">
        <v>289936</v>
      </c>
      <c r="G1631" s="13">
        <v>28</v>
      </c>
      <c r="H1631" t="s">
        <v>3066</v>
      </c>
      <c r="I1631" s="8">
        <v>46121</v>
      </c>
      <c r="J1631" t="s">
        <v>2685</v>
      </c>
      <c r="K1631" t="s">
        <v>2686</v>
      </c>
      <c r="L1631" s="13">
        <v>5000</v>
      </c>
      <c r="M1631" t="s">
        <v>2661</v>
      </c>
    </row>
    <row r="1632" spans="1:13">
      <c r="A1632" t="s">
        <v>1084</v>
      </c>
      <c r="B1632" t="s">
        <v>240</v>
      </c>
      <c r="C1632" s="8">
        <v>45975</v>
      </c>
      <c r="D1632" t="s">
        <v>344</v>
      </c>
      <c r="E1632" t="s">
        <v>322</v>
      </c>
      <c r="F1632" s="12">
        <v>289936</v>
      </c>
      <c r="G1632" s="13">
        <v>28</v>
      </c>
      <c r="H1632" t="s">
        <v>3319</v>
      </c>
      <c r="I1632" s="8">
        <v>45952</v>
      </c>
      <c r="J1632" t="s">
        <v>2685</v>
      </c>
      <c r="K1632" t="s">
        <v>2686</v>
      </c>
      <c r="L1632" s="13">
        <v>5000</v>
      </c>
      <c r="M1632" t="s">
        <v>2661</v>
      </c>
    </row>
    <row r="1633" spans="1:13">
      <c r="A1633" t="s">
        <v>1084</v>
      </c>
      <c r="B1633" t="s">
        <v>240</v>
      </c>
      <c r="C1633" s="8">
        <v>45975</v>
      </c>
      <c r="D1633" t="s">
        <v>344</v>
      </c>
      <c r="E1633" t="s">
        <v>322</v>
      </c>
      <c r="F1633" s="12">
        <v>289936</v>
      </c>
      <c r="G1633" s="13">
        <v>28</v>
      </c>
      <c r="H1633" t="s">
        <v>3380</v>
      </c>
      <c r="I1633" s="8">
        <v>46263</v>
      </c>
      <c r="J1633" t="s">
        <v>2682</v>
      </c>
      <c r="K1633" t="s">
        <v>2683</v>
      </c>
      <c r="L1633" s="13">
        <v>6000</v>
      </c>
      <c r="M1633" t="s">
        <v>2661</v>
      </c>
    </row>
    <row r="1634" spans="1:13">
      <c r="A1634" t="s">
        <v>1173</v>
      </c>
      <c r="B1634" t="s">
        <v>240</v>
      </c>
      <c r="C1634" s="8">
        <v>46253</v>
      </c>
      <c r="D1634" t="s">
        <v>342</v>
      </c>
      <c r="E1634" t="s">
        <v>325</v>
      </c>
      <c r="F1634" s="12">
        <v>571841</v>
      </c>
      <c r="G1634" s="13">
        <v>57</v>
      </c>
      <c r="H1634" t="s">
        <v>3066</v>
      </c>
      <c r="I1634" s="8">
        <v>46121</v>
      </c>
      <c r="J1634" t="s">
        <v>2685</v>
      </c>
      <c r="K1634" t="s">
        <v>2686</v>
      </c>
      <c r="L1634" s="13">
        <v>5000</v>
      </c>
      <c r="M1634" t="s">
        <v>2661</v>
      </c>
    </row>
    <row r="1635" spans="1:13">
      <c r="A1635" t="s">
        <v>1173</v>
      </c>
      <c r="B1635" t="s">
        <v>240</v>
      </c>
      <c r="C1635" s="8">
        <v>46253</v>
      </c>
      <c r="D1635" t="s">
        <v>342</v>
      </c>
      <c r="E1635" t="s">
        <v>325</v>
      </c>
      <c r="F1635" s="12">
        <v>571841</v>
      </c>
      <c r="G1635" s="13">
        <v>57</v>
      </c>
      <c r="H1635" t="s">
        <v>3319</v>
      </c>
      <c r="I1635" s="8">
        <v>45952</v>
      </c>
      <c r="J1635" t="s">
        <v>2685</v>
      </c>
      <c r="K1635" t="s">
        <v>2686</v>
      </c>
      <c r="L1635" s="13">
        <v>5000</v>
      </c>
      <c r="M1635" t="s">
        <v>2661</v>
      </c>
    </row>
    <row r="1636" spans="1:13">
      <c r="A1636" t="s">
        <v>1173</v>
      </c>
      <c r="B1636" t="s">
        <v>240</v>
      </c>
      <c r="C1636" s="8">
        <v>46253</v>
      </c>
      <c r="D1636" t="s">
        <v>342</v>
      </c>
      <c r="E1636" t="s">
        <v>325</v>
      </c>
      <c r="F1636" s="12">
        <v>571841</v>
      </c>
      <c r="G1636" s="13">
        <v>57</v>
      </c>
      <c r="H1636" t="s">
        <v>3380</v>
      </c>
      <c r="I1636" s="8">
        <v>46263</v>
      </c>
      <c r="J1636" t="s">
        <v>2682</v>
      </c>
      <c r="K1636" t="s">
        <v>2683</v>
      </c>
      <c r="L1636" s="13">
        <v>6000</v>
      </c>
      <c r="M1636" t="s">
        <v>2661</v>
      </c>
    </row>
    <row r="1637" spans="1:13">
      <c r="A1637" t="s">
        <v>1158</v>
      </c>
      <c r="B1637" t="s">
        <v>244</v>
      </c>
      <c r="C1637" s="8">
        <v>45964</v>
      </c>
      <c r="D1637" t="s">
        <v>350</v>
      </c>
      <c r="E1637" t="s">
        <v>334</v>
      </c>
      <c r="F1637" s="12">
        <v>235631</v>
      </c>
      <c r="G1637" s="13">
        <v>23</v>
      </c>
      <c r="H1637" t="s">
        <v>2778</v>
      </c>
      <c r="I1637" s="8">
        <v>45994</v>
      </c>
      <c r="J1637" t="s">
        <v>2692</v>
      </c>
      <c r="K1637" t="s">
        <v>2693</v>
      </c>
      <c r="L1637" s="13">
        <v>10000</v>
      </c>
      <c r="M1637" t="s">
        <v>2661</v>
      </c>
    </row>
    <row r="1638" spans="1:13">
      <c r="A1638" t="s">
        <v>1158</v>
      </c>
      <c r="B1638" t="s">
        <v>244</v>
      </c>
      <c r="C1638" s="8">
        <v>45964</v>
      </c>
      <c r="D1638" t="s">
        <v>350</v>
      </c>
      <c r="E1638" t="s">
        <v>334</v>
      </c>
      <c r="F1638" s="12">
        <v>235631</v>
      </c>
      <c r="G1638" s="13">
        <v>23</v>
      </c>
      <c r="H1638" t="s">
        <v>2916</v>
      </c>
      <c r="I1638" s="8">
        <v>46078</v>
      </c>
      <c r="J1638" t="s">
        <v>2668</v>
      </c>
      <c r="K1638" t="s">
        <v>2669</v>
      </c>
      <c r="L1638" s="13">
        <v>4000</v>
      </c>
      <c r="M1638" t="s">
        <v>2661</v>
      </c>
    </row>
    <row r="1639" spans="1:13">
      <c r="A1639" t="s">
        <v>1082</v>
      </c>
      <c r="B1639" t="s">
        <v>73</v>
      </c>
      <c r="C1639" s="8">
        <v>46083</v>
      </c>
      <c r="D1639" t="s">
        <v>342</v>
      </c>
      <c r="E1639" t="s">
        <v>334</v>
      </c>
      <c r="F1639" s="12">
        <v>249303</v>
      </c>
      <c r="G1639" s="13">
        <v>24</v>
      </c>
      <c r="H1639" t="s">
        <v>2779</v>
      </c>
      <c r="I1639" s="8">
        <v>45978</v>
      </c>
      <c r="J1639" t="s">
        <v>2665</v>
      </c>
      <c r="K1639" t="s">
        <v>2666</v>
      </c>
      <c r="L1639" s="13">
        <v>2500</v>
      </c>
      <c r="M1639" t="s">
        <v>2661</v>
      </c>
    </row>
    <row r="1640" spans="1:13">
      <c r="A1640" t="s">
        <v>1082</v>
      </c>
      <c r="B1640" t="s">
        <v>73</v>
      </c>
      <c r="C1640" s="8">
        <v>46083</v>
      </c>
      <c r="D1640" t="s">
        <v>342</v>
      </c>
      <c r="E1640" t="s">
        <v>334</v>
      </c>
      <c r="F1640" s="12">
        <v>249303</v>
      </c>
      <c r="G1640" s="13">
        <v>24</v>
      </c>
      <c r="H1640" t="s">
        <v>3082</v>
      </c>
      <c r="I1640" s="8">
        <v>46241</v>
      </c>
      <c r="J1640" t="s">
        <v>2665</v>
      </c>
      <c r="K1640" t="s">
        <v>2666</v>
      </c>
      <c r="L1640" s="13">
        <v>2500</v>
      </c>
      <c r="M1640" t="s">
        <v>2661</v>
      </c>
    </row>
    <row r="1641" spans="1:13">
      <c r="A1641" t="s">
        <v>1082</v>
      </c>
      <c r="B1641" t="s">
        <v>73</v>
      </c>
      <c r="C1641" s="8">
        <v>46083</v>
      </c>
      <c r="D1641" t="s">
        <v>342</v>
      </c>
      <c r="E1641" t="s">
        <v>334</v>
      </c>
      <c r="F1641" s="12">
        <v>249303</v>
      </c>
      <c r="G1641" s="13">
        <v>24</v>
      </c>
      <c r="H1641" t="s">
        <v>3162</v>
      </c>
      <c r="I1641" s="8">
        <v>46237</v>
      </c>
      <c r="J1641" t="s">
        <v>2674</v>
      </c>
      <c r="K1641" t="s">
        <v>2675</v>
      </c>
      <c r="L1641" s="13">
        <v>20000</v>
      </c>
      <c r="M1641" t="s">
        <v>2661</v>
      </c>
    </row>
    <row r="1642" spans="1:13">
      <c r="A1642" t="s">
        <v>1082</v>
      </c>
      <c r="B1642" t="s">
        <v>73</v>
      </c>
      <c r="C1642" s="8">
        <v>46083</v>
      </c>
      <c r="D1642" t="s">
        <v>342</v>
      </c>
      <c r="E1642" t="s">
        <v>334</v>
      </c>
      <c r="F1642" s="12">
        <v>249303</v>
      </c>
      <c r="G1642" s="13">
        <v>24</v>
      </c>
      <c r="H1642" t="s">
        <v>3189</v>
      </c>
      <c r="I1642" s="8">
        <v>46287</v>
      </c>
      <c r="J1642" t="s">
        <v>2674</v>
      </c>
      <c r="K1642" t="s">
        <v>2675</v>
      </c>
      <c r="L1642" s="13">
        <v>20000</v>
      </c>
      <c r="M1642" t="s">
        <v>2661</v>
      </c>
    </row>
    <row r="1643" spans="1:13">
      <c r="A1643" t="s">
        <v>1082</v>
      </c>
      <c r="B1643" t="s">
        <v>73</v>
      </c>
      <c r="C1643" s="8">
        <v>46083</v>
      </c>
      <c r="D1643" t="s">
        <v>342</v>
      </c>
      <c r="E1643" t="s">
        <v>334</v>
      </c>
      <c r="F1643" s="12">
        <v>249303</v>
      </c>
      <c r="G1643" s="13">
        <v>24</v>
      </c>
      <c r="H1643" t="s">
        <v>3342</v>
      </c>
      <c r="I1643" s="8">
        <v>46031</v>
      </c>
      <c r="J1643" t="s">
        <v>2688</v>
      </c>
      <c r="K1643" t="s">
        <v>2689</v>
      </c>
      <c r="L1643" s="13">
        <v>8000</v>
      </c>
      <c r="M1643" t="s">
        <v>2661</v>
      </c>
    </row>
    <row r="1644" spans="1:13">
      <c r="A1644" t="s">
        <v>1082</v>
      </c>
      <c r="B1644" t="s">
        <v>73</v>
      </c>
      <c r="C1644" s="8">
        <v>46083</v>
      </c>
      <c r="D1644" t="s">
        <v>342</v>
      </c>
      <c r="E1644" t="s">
        <v>334</v>
      </c>
      <c r="F1644" s="12">
        <v>249303</v>
      </c>
      <c r="G1644" s="13">
        <v>24</v>
      </c>
      <c r="H1644" t="s">
        <v>3364</v>
      </c>
      <c r="I1644" s="8">
        <v>46253</v>
      </c>
      <c r="J1644" t="s">
        <v>2685</v>
      </c>
      <c r="K1644" t="s">
        <v>2686</v>
      </c>
      <c r="L1644" s="13">
        <v>5000</v>
      </c>
      <c r="M1644" t="s">
        <v>2661</v>
      </c>
    </row>
    <row r="1645" spans="1:13">
      <c r="A1645" t="s">
        <v>435</v>
      </c>
      <c r="B1645" t="s">
        <v>249</v>
      </c>
      <c r="C1645" s="8">
        <v>46276</v>
      </c>
      <c r="D1645" t="s">
        <v>344</v>
      </c>
      <c r="E1645" t="s">
        <v>322</v>
      </c>
      <c r="F1645" s="12">
        <v>70207</v>
      </c>
      <c r="G1645" s="13">
        <v>7</v>
      </c>
      <c r="H1645" t="s">
        <v>2783</v>
      </c>
      <c r="I1645" s="8">
        <v>46270</v>
      </c>
      <c r="J1645" t="s">
        <v>2665</v>
      </c>
      <c r="K1645" t="s">
        <v>2666</v>
      </c>
      <c r="L1645" s="13">
        <v>2500</v>
      </c>
      <c r="M1645" t="s">
        <v>2676</v>
      </c>
    </row>
    <row r="1646" spans="1:13">
      <c r="A1646" t="s">
        <v>435</v>
      </c>
      <c r="B1646" t="s">
        <v>249</v>
      </c>
      <c r="C1646" s="8">
        <v>46276</v>
      </c>
      <c r="D1646" t="s">
        <v>344</v>
      </c>
      <c r="E1646" t="s">
        <v>322</v>
      </c>
      <c r="F1646" s="12">
        <v>70207</v>
      </c>
      <c r="G1646" s="13">
        <v>7</v>
      </c>
      <c r="H1646" t="s">
        <v>3085</v>
      </c>
      <c r="I1646" s="8">
        <v>46161</v>
      </c>
      <c r="J1646" t="s">
        <v>2674</v>
      </c>
      <c r="K1646" t="s">
        <v>2675</v>
      </c>
      <c r="L1646" s="13">
        <v>20000</v>
      </c>
      <c r="M1646" t="s">
        <v>2661</v>
      </c>
    </row>
    <row r="1647" spans="1:13">
      <c r="A1647" t="s">
        <v>435</v>
      </c>
      <c r="B1647" t="s">
        <v>249</v>
      </c>
      <c r="C1647" s="8">
        <v>46276</v>
      </c>
      <c r="D1647" t="s">
        <v>344</v>
      </c>
      <c r="E1647" t="s">
        <v>322</v>
      </c>
      <c r="F1647" s="12">
        <v>70207</v>
      </c>
      <c r="G1647" s="13">
        <v>7</v>
      </c>
      <c r="H1647" t="s">
        <v>3358</v>
      </c>
      <c r="I1647" s="8">
        <v>46150</v>
      </c>
      <c r="J1647" t="s">
        <v>2668</v>
      </c>
      <c r="K1647" t="s">
        <v>2669</v>
      </c>
      <c r="L1647" s="13">
        <v>4000</v>
      </c>
      <c r="M1647" t="s">
        <v>2661</v>
      </c>
    </row>
    <row r="1648" spans="1:13">
      <c r="A1648" t="s">
        <v>800</v>
      </c>
      <c r="B1648" t="s">
        <v>249</v>
      </c>
      <c r="C1648" s="8">
        <v>46032</v>
      </c>
      <c r="D1648" t="s">
        <v>342</v>
      </c>
      <c r="E1648" t="s">
        <v>325</v>
      </c>
      <c r="F1648" s="12">
        <v>491182</v>
      </c>
      <c r="G1648" s="13">
        <v>49</v>
      </c>
      <c r="H1648" t="s">
        <v>2783</v>
      </c>
      <c r="I1648" s="8">
        <v>46270</v>
      </c>
      <c r="J1648" t="s">
        <v>2665</v>
      </c>
      <c r="K1648" t="s">
        <v>2666</v>
      </c>
      <c r="L1648" s="13">
        <v>2500</v>
      </c>
      <c r="M1648" t="s">
        <v>2676</v>
      </c>
    </row>
    <row r="1649" spans="1:13">
      <c r="A1649" t="s">
        <v>800</v>
      </c>
      <c r="B1649" t="s">
        <v>249</v>
      </c>
      <c r="C1649" s="8">
        <v>46032</v>
      </c>
      <c r="D1649" t="s">
        <v>342</v>
      </c>
      <c r="E1649" t="s">
        <v>325</v>
      </c>
      <c r="F1649" s="12">
        <v>491182</v>
      </c>
      <c r="G1649" s="13">
        <v>49</v>
      </c>
      <c r="H1649" t="s">
        <v>3085</v>
      </c>
      <c r="I1649" s="8">
        <v>46161</v>
      </c>
      <c r="J1649" t="s">
        <v>2674</v>
      </c>
      <c r="K1649" t="s">
        <v>2675</v>
      </c>
      <c r="L1649" s="13">
        <v>20000</v>
      </c>
      <c r="M1649" t="s">
        <v>2661</v>
      </c>
    </row>
    <row r="1650" spans="1:13">
      <c r="A1650" t="s">
        <v>800</v>
      </c>
      <c r="B1650" t="s">
        <v>249</v>
      </c>
      <c r="C1650" s="8">
        <v>46032</v>
      </c>
      <c r="D1650" t="s">
        <v>342</v>
      </c>
      <c r="E1650" t="s">
        <v>325</v>
      </c>
      <c r="F1650" s="12">
        <v>491182</v>
      </c>
      <c r="G1650" s="13">
        <v>49</v>
      </c>
      <c r="H1650" t="s">
        <v>3358</v>
      </c>
      <c r="I1650" s="8">
        <v>46150</v>
      </c>
      <c r="J1650" t="s">
        <v>2668</v>
      </c>
      <c r="K1650" t="s">
        <v>2669</v>
      </c>
      <c r="L1650" s="13">
        <v>4000</v>
      </c>
      <c r="M1650" t="s">
        <v>2661</v>
      </c>
    </row>
    <row r="1651" spans="1:13">
      <c r="A1651" t="s">
        <v>1050</v>
      </c>
      <c r="B1651" t="s">
        <v>249</v>
      </c>
      <c r="C1651" s="8">
        <v>46149</v>
      </c>
      <c r="D1651" t="s">
        <v>332</v>
      </c>
      <c r="E1651" t="s">
        <v>328</v>
      </c>
      <c r="F1651" s="12">
        <v>210003</v>
      </c>
      <c r="G1651" s="13">
        <v>21</v>
      </c>
      <c r="H1651" t="s">
        <v>2783</v>
      </c>
      <c r="I1651" s="8">
        <v>46270</v>
      </c>
      <c r="J1651" t="s">
        <v>2665</v>
      </c>
      <c r="K1651" t="s">
        <v>2666</v>
      </c>
      <c r="L1651" s="13">
        <v>2500</v>
      </c>
      <c r="M1651" t="s">
        <v>2676</v>
      </c>
    </row>
    <row r="1652" spans="1:13">
      <c r="A1652" t="s">
        <v>1050</v>
      </c>
      <c r="B1652" t="s">
        <v>249</v>
      </c>
      <c r="C1652" s="8">
        <v>46149</v>
      </c>
      <c r="D1652" t="s">
        <v>332</v>
      </c>
      <c r="E1652" t="s">
        <v>328</v>
      </c>
      <c r="F1652" s="12">
        <v>210003</v>
      </c>
      <c r="G1652" s="13">
        <v>21</v>
      </c>
      <c r="H1652" t="s">
        <v>3085</v>
      </c>
      <c r="I1652" s="8">
        <v>46161</v>
      </c>
      <c r="J1652" t="s">
        <v>2674</v>
      </c>
      <c r="K1652" t="s">
        <v>2675</v>
      </c>
      <c r="L1652" s="13">
        <v>20000</v>
      </c>
      <c r="M1652" t="s">
        <v>2661</v>
      </c>
    </row>
    <row r="1653" spans="1:13">
      <c r="A1653" t="s">
        <v>1050</v>
      </c>
      <c r="B1653" t="s">
        <v>249</v>
      </c>
      <c r="C1653" s="8">
        <v>46149</v>
      </c>
      <c r="D1653" t="s">
        <v>332</v>
      </c>
      <c r="E1653" t="s">
        <v>328</v>
      </c>
      <c r="F1653" s="12">
        <v>210003</v>
      </c>
      <c r="G1653" s="13">
        <v>21</v>
      </c>
      <c r="H1653" t="s">
        <v>3358</v>
      </c>
      <c r="I1653" s="8">
        <v>46150</v>
      </c>
      <c r="J1653" t="s">
        <v>2668</v>
      </c>
      <c r="K1653" t="s">
        <v>2669</v>
      </c>
      <c r="L1653" s="13">
        <v>4000</v>
      </c>
      <c r="M1653" t="s">
        <v>2661</v>
      </c>
    </row>
    <row r="1654" spans="1:13">
      <c r="A1654" t="s">
        <v>1186</v>
      </c>
      <c r="B1654" t="s">
        <v>249</v>
      </c>
      <c r="C1654" s="8">
        <v>45997</v>
      </c>
      <c r="D1654" t="s">
        <v>344</v>
      </c>
      <c r="E1654" t="s">
        <v>325</v>
      </c>
      <c r="F1654" s="12">
        <v>285503</v>
      </c>
      <c r="G1654" s="13">
        <v>28</v>
      </c>
      <c r="H1654" t="s">
        <v>2783</v>
      </c>
      <c r="I1654" s="8">
        <v>46270</v>
      </c>
      <c r="J1654" t="s">
        <v>2665</v>
      </c>
      <c r="K1654" t="s">
        <v>2666</v>
      </c>
      <c r="L1654" s="13">
        <v>2500</v>
      </c>
      <c r="M1654" t="s">
        <v>2676</v>
      </c>
    </row>
    <row r="1655" spans="1:13">
      <c r="A1655" t="s">
        <v>1186</v>
      </c>
      <c r="B1655" t="s">
        <v>249</v>
      </c>
      <c r="C1655" s="8">
        <v>45997</v>
      </c>
      <c r="D1655" t="s">
        <v>344</v>
      </c>
      <c r="E1655" t="s">
        <v>325</v>
      </c>
      <c r="F1655" s="12">
        <v>285503</v>
      </c>
      <c r="G1655" s="13">
        <v>28</v>
      </c>
      <c r="H1655" t="s">
        <v>3085</v>
      </c>
      <c r="I1655" s="8">
        <v>46161</v>
      </c>
      <c r="J1655" t="s">
        <v>2674</v>
      </c>
      <c r="K1655" t="s">
        <v>2675</v>
      </c>
      <c r="L1655" s="13">
        <v>20000</v>
      </c>
      <c r="M1655" t="s">
        <v>2661</v>
      </c>
    </row>
    <row r="1656" spans="1:13">
      <c r="A1656" t="s">
        <v>1186</v>
      </c>
      <c r="B1656" t="s">
        <v>249</v>
      </c>
      <c r="C1656" s="8">
        <v>45997</v>
      </c>
      <c r="D1656" t="s">
        <v>344</v>
      </c>
      <c r="E1656" t="s">
        <v>325</v>
      </c>
      <c r="F1656" s="12">
        <v>285503</v>
      </c>
      <c r="G1656" s="13">
        <v>28</v>
      </c>
      <c r="H1656" t="s">
        <v>3358</v>
      </c>
      <c r="I1656" s="8">
        <v>46150</v>
      </c>
      <c r="J1656" t="s">
        <v>2668</v>
      </c>
      <c r="K1656" t="s">
        <v>2669</v>
      </c>
      <c r="L1656" s="13">
        <v>4000</v>
      </c>
      <c r="M1656" t="s">
        <v>2661</v>
      </c>
    </row>
    <row r="1657" spans="1:13">
      <c r="A1657" t="s">
        <v>1217</v>
      </c>
      <c r="B1657" t="s">
        <v>249</v>
      </c>
      <c r="C1657" s="8">
        <v>46221</v>
      </c>
      <c r="D1657" t="s">
        <v>350</v>
      </c>
      <c r="E1657" t="s">
        <v>322</v>
      </c>
      <c r="F1657" s="12">
        <v>25000</v>
      </c>
      <c r="G1657" s="13">
        <v>2</v>
      </c>
      <c r="H1657" t="s">
        <v>2783</v>
      </c>
      <c r="I1657" s="8">
        <v>46270</v>
      </c>
      <c r="J1657" t="s">
        <v>2665</v>
      </c>
      <c r="K1657" t="s">
        <v>2666</v>
      </c>
      <c r="L1657" s="13">
        <v>2500</v>
      </c>
      <c r="M1657" t="s">
        <v>2676</v>
      </c>
    </row>
    <row r="1658" spans="1:13">
      <c r="A1658" t="s">
        <v>1217</v>
      </c>
      <c r="B1658" t="s">
        <v>249</v>
      </c>
      <c r="C1658" s="8">
        <v>46221</v>
      </c>
      <c r="D1658" t="s">
        <v>350</v>
      </c>
      <c r="E1658" t="s">
        <v>322</v>
      </c>
      <c r="F1658" s="12">
        <v>25000</v>
      </c>
      <c r="G1658" s="13">
        <v>2</v>
      </c>
      <c r="H1658" t="s">
        <v>3085</v>
      </c>
      <c r="I1658" s="8">
        <v>46161</v>
      </c>
      <c r="J1658" t="s">
        <v>2674</v>
      </c>
      <c r="K1658" t="s">
        <v>2675</v>
      </c>
      <c r="L1658" s="13">
        <v>20000</v>
      </c>
      <c r="M1658" t="s">
        <v>2661</v>
      </c>
    </row>
    <row r="1659" spans="1:13">
      <c r="A1659" t="s">
        <v>1217</v>
      </c>
      <c r="B1659" t="s">
        <v>249</v>
      </c>
      <c r="C1659" s="8">
        <v>46221</v>
      </c>
      <c r="D1659" t="s">
        <v>350</v>
      </c>
      <c r="E1659" t="s">
        <v>322</v>
      </c>
      <c r="F1659" s="12">
        <v>25000</v>
      </c>
      <c r="G1659" s="13">
        <v>2</v>
      </c>
      <c r="H1659" t="s">
        <v>3358</v>
      </c>
      <c r="I1659" s="8">
        <v>46150</v>
      </c>
      <c r="J1659" t="s">
        <v>2668</v>
      </c>
      <c r="K1659" t="s">
        <v>2669</v>
      </c>
      <c r="L1659" s="13">
        <v>4000</v>
      </c>
      <c r="M1659" t="s">
        <v>2661</v>
      </c>
    </row>
    <row r="1660" spans="1:13">
      <c r="A1660" t="s">
        <v>567</v>
      </c>
      <c r="B1660" t="s">
        <v>36</v>
      </c>
      <c r="C1660" s="8">
        <v>46166</v>
      </c>
      <c r="D1660" t="s">
        <v>327</v>
      </c>
      <c r="E1660" t="s">
        <v>322</v>
      </c>
      <c r="F1660" s="12">
        <v>395173</v>
      </c>
      <c r="G1660" s="13">
        <v>39</v>
      </c>
      <c r="H1660" t="s">
        <v>2780</v>
      </c>
      <c r="I1660" s="8">
        <v>46076</v>
      </c>
      <c r="J1660" t="s">
        <v>2671</v>
      </c>
      <c r="K1660" t="s">
        <v>2672</v>
      </c>
      <c r="L1660" s="13">
        <v>3000</v>
      </c>
      <c r="M1660" t="s">
        <v>2661</v>
      </c>
    </row>
    <row r="1661" spans="1:13">
      <c r="A1661" t="s">
        <v>567</v>
      </c>
      <c r="B1661" t="s">
        <v>36</v>
      </c>
      <c r="C1661" s="8">
        <v>46166</v>
      </c>
      <c r="D1661" t="s">
        <v>327</v>
      </c>
      <c r="E1661" t="s">
        <v>322</v>
      </c>
      <c r="F1661" s="12">
        <v>395173</v>
      </c>
      <c r="G1661" s="13">
        <v>39</v>
      </c>
      <c r="H1661" t="s">
        <v>3169</v>
      </c>
      <c r="I1661" s="8">
        <v>46084</v>
      </c>
      <c r="J1661" t="s">
        <v>2685</v>
      </c>
      <c r="K1661" t="s">
        <v>2686</v>
      </c>
      <c r="L1661" s="13">
        <v>5000</v>
      </c>
      <c r="M1661" t="s">
        <v>2661</v>
      </c>
    </row>
    <row r="1662" spans="1:13">
      <c r="A1662" t="s">
        <v>567</v>
      </c>
      <c r="B1662" t="s">
        <v>36</v>
      </c>
      <c r="C1662" s="8">
        <v>46166</v>
      </c>
      <c r="D1662" t="s">
        <v>327</v>
      </c>
      <c r="E1662" t="s">
        <v>322</v>
      </c>
      <c r="F1662" s="12">
        <v>395173</v>
      </c>
      <c r="G1662" s="13">
        <v>39</v>
      </c>
      <c r="H1662" t="s">
        <v>3458</v>
      </c>
      <c r="I1662" s="8">
        <v>45978</v>
      </c>
      <c r="J1662" t="s">
        <v>2665</v>
      </c>
      <c r="K1662" t="s">
        <v>2666</v>
      </c>
      <c r="L1662" s="13">
        <v>2500</v>
      </c>
      <c r="M1662" t="s">
        <v>2661</v>
      </c>
    </row>
    <row r="1663" spans="1:13">
      <c r="A1663" t="s">
        <v>567</v>
      </c>
      <c r="B1663" t="s">
        <v>36</v>
      </c>
      <c r="C1663" s="8">
        <v>46166</v>
      </c>
      <c r="D1663" t="s">
        <v>327</v>
      </c>
      <c r="E1663" t="s">
        <v>322</v>
      </c>
      <c r="F1663" s="12">
        <v>395173</v>
      </c>
      <c r="G1663" s="13">
        <v>39</v>
      </c>
      <c r="H1663" t="s">
        <v>3521</v>
      </c>
      <c r="I1663" s="8">
        <v>45936</v>
      </c>
      <c r="J1663" t="s">
        <v>2674</v>
      </c>
      <c r="K1663" t="s">
        <v>2675</v>
      </c>
      <c r="L1663" s="13">
        <v>20000</v>
      </c>
      <c r="M1663" t="s">
        <v>2661</v>
      </c>
    </row>
    <row r="1664" spans="1:13">
      <c r="A1664" t="s">
        <v>610</v>
      </c>
      <c r="B1664" t="s">
        <v>36</v>
      </c>
      <c r="C1664" s="8">
        <v>46091</v>
      </c>
      <c r="D1664" t="s">
        <v>332</v>
      </c>
      <c r="E1664" t="s">
        <v>339</v>
      </c>
      <c r="F1664" s="12">
        <v>142384</v>
      </c>
      <c r="G1664" s="13">
        <v>14</v>
      </c>
      <c r="H1664" t="s">
        <v>2780</v>
      </c>
      <c r="I1664" s="8">
        <v>46076</v>
      </c>
      <c r="J1664" t="s">
        <v>2671</v>
      </c>
      <c r="K1664" t="s">
        <v>2672</v>
      </c>
      <c r="L1664" s="13">
        <v>3000</v>
      </c>
      <c r="M1664" t="s">
        <v>2661</v>
      </c>
    </row>
    <row r="1665" spans="1:13">
      <c r="A1665" t="s">
        <v>610</v>
      </c>
      <c r="B1665" t="s">
        <v>36</v>
      </c>
      <c r="C1665" s="8">
        <v>46091</v>
      </c>
      <c r="D1665" t="s">
        <v>332</v>
      </c>
      <c r="E1665" t="s">
        <v>339</v>
      </c>
      <c r="F1665" s="12">
        <v>142384</v>
      </c>
      <c r="G1665" s="13">
        <v>14</v>
      </c>
      <c r="H1665" t="s">
        <v>3169</v>
      </c>
      <c r="I1665" s="8">
        <v>46084</v>
      </c>
      <c r="J1665" t="s">
        <v>2685</v>
      </c>
      <c r="K1665" t="s">
        <v>2686</v>
      </c>
      <c r="L1665" s="13">
        <v>5000</v>
      </c>
      <c r="M1665" t="s">
        <v>2661</v>
      </c>
    </row>
    <row r="1666" spans="1:13">
      <c r="A1666" t="s">
        <v>610</v>
      </c>
      <c r="B1666" t="s">
        <v>36</v>
      </c>
      <c r="C1666" s="8">
        <v>46091</v>
      </c>
      <c r="D1666" t="s">
        <v>332</v>
      </c>
      <c r="E1666" t="s">
        <v>339</v>
      </c>
      <c r="F1666" s="12">
        <v>142384</v>
      </c>
      <c r="G1666" s="13">
        <v>14</v>
      </c>
      <c r="H1666" t="s">
        <v>3458</v>
      </c>
      <c r="I1666" s="8">
        <v>45978</v>
      </c>
      <c r="J1666" t="s">
        <v>2665</v>
      </c>
      <c r="K1666" t="s">
        <v>2666</v>
      </c>
      <c r="L1666" s="13">
        <v>2500</v>
      </c>
      <c r="M1666" t="s">
        <v>2661</v>
      </c>
    </row>
    <row r="1667" spans="1:13">
      <c r="A1667" t="s">
        <v>610</v>
      </c>
      <c r="B1667" t="s">
        <v>36</v>
      </c>
      <c r="C1667" s="8">
        <v>46091</v>
      </c>
      <c r="D1667" t="s">
        <v>332</v>
      </c>
      <c r="E1667" t="s">
        <v>339</v>
      </c>
      <c r="F1667" s="12">
        <v>142384</v>
      </c>
      <c r="G1667" s="13">
        <v>14</v>
      </c>
      <c r="H1667" t="s">
        <v>3521</v>
      </c>
      <c r="I1667" s="8">
        <v>45936</v>
      </c>
      <c r="J1667" t="s">
        <v>2674</v>
      </c>
      <c r="K1667" t="s">
        <v>2675</v>
      </c>
      <c r="L1667" s="13">
        <v>20000</v>
      </c>
      <c r="M1667" t="s">
        <v>2661</v>
      </c>
    </row>
    <row r="1668" spans="1:13">
      <c r="A1668" t="s">
        <v>719</v>
      </c>
      <c r="B1668" t="s">
        <v>36</v>
      </c>
      <c r="C1668" s="8">
        <v>46125</v>
      </c>
      <c r="D1668" t="s">
        <v>330</v>
      </c>
      <c r="E1668" t="s">
        <v>339</v>
      </c>
      <c r="F1668" s="12">
        <v>154116</v>
      </c>
      <c r="G1668" s="13">
        <v>15</v>
      </c>
      <c r="H1668" t="s">
        <v>2780</v>
      </c>
      <c r="I1668" s="8">
        <v>46076</v>
      </c>
      <c r="J1668" t="s">
        <v>2671</v>
      </c>
      <c r="K1668" t="s">
        <v>2672</v>
      </c>
      <c r="L1668" s="13">
        <v>3000</v>
      </c>
      <c r="M1668" t="s">
        <v>2661</v>
      </c>
    </row>
    <row r="1669" spans="1:13">
      <c r="A1669" t="s">
        <v>719</v>
      </c>
      <c r="B1669" t="s">
        <v>36</v>
      </c>
      <c r="C1669" s="8">
        <v>46125</v>
      </c>
      <c r="D1669" t="s">
        <v>330</v>
      </c>
      <c r="E1669" t="s">
        <v>339</v>
      </c>
      <c r="F1669" s="12">
        <v>154116</v>
      </c>
      <c r="G1669" s="13">
        <v>15</v>
      </c>
      <c r="H1669" t="s">
        <v>3169</v>
      </c>
      <c r="I1669" s="8">
        <v>46084</v>
      </c>
      <c r="J1669" t="s">
        <v>2685</v>
      </c>
      <c r="K1669" t="s">
        <v>2686</v>
      </c>
      <c r="L1669" s="13">
        <v>5000</v>
      </c>
      <c r="M1669" t="s">
        <v>2661</v>
      </c>
    </row>
    <row r="1670" spans="1:13">
      <c r="A1670" t="s">
        <v>719</v>
      </c>
      <c r="B1670" t="s">
        <v>36</v>
      </c>
      <c r="C1670" s="8">
        <v>46125</v>
      </c>
      <c r="D1670" t="s">
        <v>330</v>
      </c>
      <c r="E1670" t="s">
        <v>339</v>
      </c>
      <c r="F1670" s="12">
        <v>154116</v>
      </c>
      <c r="G1670" s="13">
        <v>15</v>
      </c>
      <c r="H1670" t="s">
        <v>3458</v>
      </c>
      <c r="I1670" s="8">
        <v>45978</v>
      </c>
      <c r="J1670" t="s">
        <v>2665</v>
      </c>
      <c r="K1670" t="s">
        <v>2666</v>
      </c>
      <c r="L1670" s="13">
        <v>2500</v>
      </c>
      <c r="M1670" t="s">
        <v>2661</v>
      </c>
    </row>
    <row r="1671" spans="1:13">
      <c r="A1671" t="s">
        <v>719</v>
      </c>
      <c r="B1671" t="s">
        <v>36</v>
      </c>
      <c r="C1671" s="8">
        <v>46125</v>
      </c>
      <c r="D1671" t="s">
        <v>330</v>
      </c>
      <c r="E1671" t="s">
        <v>339</v>
      </c>
      <c r="F1671" s="12">
        <v>154116</v>
      </c>
      <c r="G1671" s="13">
        <v>15</v>
      </c>
      <c r="H1671" t="s">
        <v>3521</v>
      </c>
      <c r="I1671" s="8">
        <v>45936</v>
      </c>
      <c r="J1671" t="s">
        <v>2674</v>
      </c>
      <c r="K1671" t="s">
        <v>2675</v>
      </c>
      <c r="L1671" s="13">
        <v>20000</v>
      </c>
      <c r="M1671" t="s">
        <v>2661</v>
      </c>
    </row>
    <row r="1672" spans="1:13">
      <c r="A1672" t="s">
        <v>1022</v>
      </c>
      <c r="B1672" t="s">
        <v>36</v>
      </c>
      <c r="C1672" s="8">
        <v>45989</v>
      </c>
      <c r="D1672" t="s">
        <v>332</v>
      </c>
      <c r="E1672" t="s">
        <v>322</v>
      </c>
      <c r="F1672" s="12">
        <v>48720</v>
      </c>
      <c r="G1672" s="13">
        <v>4</v>
      </c>
      <c r="H1672" t="s">
        <v>2780</v>
      </c>
      <c r="I1672" s="8">
        <v>46076</v>
      </c>
      <c r="J1672" t="s">
        <v>2671</v>
      </c>
      <c r="K1672" t="s">
        <v>2672</v>
      </c>
      <c r="L1672" s="13">
        <v>3000</v>
      </c>
      <c r="M1672" t="s">
        <v>2661</v>
      </c>
    </row>
    <row r="1673" spans="1:13">
      <c r="A1673" t="s">
        <v>1022</v>
      </c>
      <c r="B1673" t="s">
        <v>36</v>
      </c>
      <c r="C1673" s="8">
        <v>45989</v>
      </c>
      <c r="D1673" t="s">
        <v>332</v>
      </c>
      <c r="E1673" t="s">
        <v>322</v>
      </c>
      <c r="F1673" s="12">
        <v>48720</v>
      </c>
      <c r="G1673" s="13">
        <v>4</v>
      </c>
      <c r="H1673" t="s">
        <v>3169</v>
      </c>
      <c r="I1673" s="8">
        <v>46084</v>
      </c>
      <c r="J1673" t="s">
        <v>2685</v>
      </c>
      <c r="K1673" t="s">
        <v>2686</v>
      </c>
      <c r="L1673" s="13">
        <v>5000</v>
      </c>
      <c r="M1673" t="s">
        <v>2661</v>
      </c>
    </row>
    <row r="1674" spans="1:13">
      <c r="A1674" t="s">
        <v>1022</v>
      </c>
      <c r="B1674" t="s">
        <v>36</v>
      </c>
      <c r="C1674" s="8">
        <v>45989</v>
      </c>
      <c r="D1674" t="s">
        <v>332</v>
      </c>
      <c r="E1674" t="s">
        <v>322</v>
      </c>
      <c r="F1674" s="12">
        <v>48720</v>
      </c>
      <c r="G1674" s="13">
        <v>4</v>
      </c>
      <c r="H1674" t="s">
        <v>3458</v>
      </c>
      <c r="I1674" s="8">
        <v>45978</v>
      </c>
      <c r="J1674" t="s">
        <v>2665</v>
      </c>
      <c r="K1674" t="s">
        <v>2666</v>
      </c>
      <c r="L1674" s="13">
        <v>2500</v>
      </c>
      <c r="M1674" t="s">
        <v>2661</v>
      </c>
    </row>
    <row r="1675" spans="1:13">
      <c r="A1675" t="s">
        <v>1022</v>
      </c>
      <c r="B1675" t="s">
        <v>36</v>
      </c>
      <c r="C1675" s="8">
        <v>45989</v>
      </c>
      <c r="D1675" t="s">
        <v>332</v>
      </c>
      <c r="E1675" t="s">
        <v>322</v>
      </c>
      <c r="F1675" s="12">
        <v>48720</v>
      </c>
      <c r="G1675" s="13">
        <v>4</v>
      </c>
      <c r="H1675" t="s">
        <v>3521</v>
      </c>
      <c r="I1675" s="8">
        <v>45936</v>
      </c>
      <c r="J1675" t="s">
        <v>2674</v>
      </c>
      <c r="K1675" t="s">
        <v>2675</v>
      </c>
      <c r="L1675" s="13">
        <v>20000</v>
      </c>
      <c r="M1675" t="s">
        <v>2661</v>
      </c>
    </row>
    <row r="1676" spans="1:13">
      <c r="A1676" t="s">
        <v>1209</v>
      </c>
      <c r="B1676" t="s">
        <v>36</v>
      </c>
      <c r="C1676" s="8">
        <v>46134</v>
      </c>
      <c r="D1676" t="s">
        <v>344</v>
      </c>
      <c r="E1676" t="s">
        <v>325</v>
      </c>
      <c r="F1676" s="12">
        <v>269733</v>
      </c>
      <c r="G1676" s="13">
        <v>26</v>
      </c>
      <c r="H1676" t="s">
        <v>2780</v>
      </c>
      <c r="I1676" s="8">
        <v>46076</v>
      </c>
      <c r="J1676" t="s">
        <v>2671</v>
      </c>
      <c r="K1676" t="s">
        <v>2672</v>
      </c>
      <c r="L1676" s="13">
        <v>3000</v>
      </c>
      <c r="M1676" t="s">
        <v>2661</v>
      </c>
    </row>
    <row r="1677" spans="1:13">
      <c r="A1677" t="s">
        <v>1209</v>
      </c>
      <c r="B1677" t="s">
        <v>36</v>
      </c>
      <c r="C1677" s="8">
        <v>46134</v>
      </c>
      <c r="D1677" t="s">
        <v>344</v>
      </c>
      <c r="E1677" t="s">
        <v>325</v>
      </c>
      <c r="F1677" s="12">
        <v>269733</v>
      </c>
      <c r="G1677" s="13">
        <v>26</v>
      </c>
      <c r="H1677" t="s">
        <v>3169</v>
      </c>
      <c r="I1677" s="8">
        <v>46084</v>
      </c>
      <c r="J1677" t="s">
        <v>2685</v>
      </c>
      <c r="K1677" t="s">
        <v>2686</v>
      </c>
      <c r="L1677" s="13">
        <v>5000</v>
      </c>
      <c r="M1677" t="s">
        <v>2661</v>
      </c>
    </row>
    <row r="1678" spans="1:13">
      <c r="A1678" t="s">
        <v>1209</v>
      </c>
      <c r="B1678" t="s">
        <v>36</v>
      </c>
      <c r="C1678" s="8">
        <v>46134</v>
      </c>
      <c r="D1678" t="s">
        <v>344</v>
      </c>
      <c r="E1678" t="s">
        <v>325</v>
      </c>
      <c r="F1678" s="12">
        <v>269733</v>
      </c>
      <c r="G1678" s="13">
        <v>26</v>
      </c>
      <c r="H1678" t="s">
        <v>3458</v>
      </c>
      <c r="I1678" s="8">
        <v>45978</v>
      </c>
      <c r="J1678" t="s">
        <v>2665</v>
      </c>
      <c r="K1678" t="s">
        <v>2666</v>
      </c>
      <c r="L1678" s="13">
        <v>2500</v>
      </c>
      <c r="M1678" t="s">
        <v>2661</v>
      </c>
    </row>
    <row r="1679" spans="1:13">
      <c r="A1679" t="s">
        <v>1209</v>
      </c>
      <c r="B1679" t="s">
        <v>36</v>
      </c>
      <c r="C1679" s="8">
        <v>46134</v>
      </c>
      <c r="D1679" t="s">
        <v>344</v>
      </c>
      <c r="E1679" t="s">
        <v>325</v>
      </c>
      <c r="F1679" s="12">
        <v>269733</v>
      </c>
      <c r="G1679" s="13">
        <v>26</v>
      </c>
      <c r="H1679" t="s">
        <v>3521</v>
      </c>
      <c r="I1679" s="8">
        <v>45936</v>
      </c>
      <c r="J1679" t="s">
        <v>2674</v>
      </c>
      <c r="K1679" t="s">
        <v>2675</v>
      </c>
      <c r="L1679" s="13">
        <v>20000</v>
      </c>
      <c r="M1679" t="s">
        <v>2661</v>
      </c>
    </row>
    <row r="1680" spans="1:13">
      <c r="A1680" t="s">
        <v>436</v>
      </c>
      <c r="B1680" t="s">
        <v>77</v>
      </c>
      <c r="C1680" s="8">
        <v>46219</v>
      </c>
      <c r="D1680" t="s">
        <v>342</v>
      </c>
      <c r="E1680" t="s">
        <v>322</v>
      </c>
      <c r="F1680" s="12">
        <v>46097</v>
      </c>
      <c r="G1680" s="13">
        <v>4</v>
      </c>
      <c r="H1680" t="s">
        <v>2808</v>
      </c>
      <c r="I1680" s="8">
        <v>45978</v>
      </c>
      <c r="J1680" t="s">
        <v>2688</v>
      </c>
      <c r="K1680" t="s">
        <v>2689</v>
      </c>
      <c r="L1680" s="13">
        <v>8000</v>
      </c>
      <c r="M1680" t="s">
        <v>2661</v>
      </c>
    </row>
    <row r="1681" spans="1:13">
      <c r="A1681" t="s">
        <v>436</v>
      </c>
      <c r="B1681" t="s">
        <v>77</v>
      </c>
      <c r="C1681" s="8">
        <v>46219</v>
      </c>
      <c r="D1681" t="s">
        <v>342</v>
      </c>
      <c r="E1681" t="s">
        <v>322</v>
      </c>
      <c r="F1681" s="12">
        <v>46097</v>
      </c>
      <c r="G1681" s="13">
        <v>4</v>
      </c>
      <c r="H1681" t="s">
        <v>3166</v>
      </c>
      <c r="I1681" s="8">
        <v>46075</v>
      </c>
      <c r="J1681" t="s">
        <v>2668</v>
      </c>
      <c r="K1681" t="s">
        <v>2669</v>
      </c>
      <c r="L1681" s="13">
        <v>4000</v>
      </c>
      <c r="M1681" t="s">
        <v>2661</v>
      </c>
    </row>
    <row r="1682" spans="1:13">
      <c r="A1682" t="s">
        <v>436</v>
      </c>
      <c r="B1682" t="s">
        <v>77</v>
      </c>
      <c r="C1682" s="8">
        <v>46219</v>
      </c>
      <c r="D1682" t="s">
        <v>342</v>
      </c>
      <c r="E1682" t="s">
        <v>322</v>
      </c>
      <c r="F1682" s="12">
        <v>46097</v>
      </c>
      <c r="G1682" s="13">
        <v>4</v>
      </c>
      <c r="H1682" t="s">
        <v>3326</v>
      </c>
      <c r="I1682" s="8">
        <v>46123</v>
      </c>
      <c r="J1682" t="s">
        <v>2688</v>
      </c>
      <c r="K1682" t="s">
        <v>2689</v>
      </c>
      <c r="L1682" s="13">
        <v>8000</v>
      </c>
      <c r="M1682" t="s">
        <v>2661</v>
      </c>
    </row>
    <row r="1683" spans="1:13">
      <c r="A1683" t="s">
        <v>907</v>
      </c>
      <c r="B1683" t="s">
        <v>77</v>
      </c>
      <c r="C1683" s="8">
        <v>46159</v>
      </c>
      <c r="D1683" t="s">
        <v>327</v>
      </c>
      <c r="E1683" t="s">
        <v>322</v>
      </c>
      <c r="F1683" s="12">
        <v>203398</v>
      </c>
      <c r="G1683" s="13">
        <v>20</v>
      </c>
      <c r="H1683" t="s">
        <v>2808</v>
      </c>
      <c r="I1683" s="8">
        <v>45978</v>
      </c>
      <c r="J1683" t="s">
        <v>2688</v>
      </c>
      <c r="K1683" t="s">
        <v>2689</v>
      </c>
      <c r="L1683" s="13">
        <v>8000</v>
      </c>
      <c r="M1683" t="s">
        <v>2661</v>
      </c>
    </row>
    <row r="1684" spans="1:13">
      <c r="A1684" t="s">
        <v>907</v>
      </c>
      <c r="B1684" t="s">
        <v>77</v>
      </c>
      <c r="C1684" s="8">
        <v>46159</v>
      </c>
      <c r="D1684" t="s">
        <v>327</v>
      </c>
      <c r="E1684" t="s">
        <v>322</v>
      </c>
      <c r="F1684" s="12">
        <v>203398</v>
      </c>
      <c r="G1684" s="13">
        <v>20</v>
      </c>
      <c r="H1684" t="s">
        <v>3166</v>
      </c>
      <c r="I1684" s="8">
        <v>46075</v>
      </c>
      <c r="J1684" t="s">
        <v>2668</v>
      </c>
      <c r="K1684" t="s">
        <v>2669</v>
      </c>
      <c r="L1684" s="13">
        <v>4000</v>
      </c>
      <c r="M1684" t="s">
        <v>2661</v>
      </c>
    </row>
    <row r="1685" spans="1:13">
      <c r="A1685" t="s">
        <v>907</v>
      </c>
      <c r="B1685" t="s">
        <v>77</v>
      </c>
      <c r="C1685" s="8">
        <v>46159</v>
      </c>
      <c r="D1685" t="s">
        <v>327</v>
      </c>
      <c r="E1685" t="s">
        <v>322</v>
      </c>
      <c r="F1685" s="12">
        <v>203398</v>
      </c>
      <c r="G1685" s="13">
        <v>20</v>
      </c>
      <c r="H1685" t="s">
        <v>3326</v>
      </c>
      <c r="I1685" s="8">
        <v>46123</v>
      </c>
      <c r="J1685" t="s">
        <v>2688</v>
      </c>
      <c r="K1685" t="s">
        <v>2689</v>
      </c>
      <c r="L1685" s="13">
        <v>8000</v>
      </c>
      <c r="M1685" t="s">
        <v>2661</v>
      </c>
    </row>
    <row r="1686" spans="1:13">
      <c r="A1686" t="s">
        <v>1133</v>
      </c>
      <c r="B1686" t="s">
        <v>77</v>
      </c>
      <c r="C1686" s="8">
        <v>46098</v>
      </c>
      <c r="D1686" t="s">
        <v>321</v>
      </c>
      <c r="E1686" t="s">
        <v>322</v>
      </c>
      <c r="F1686" s="12">
        <v>296032</v>
      </c>
      <c r="G1686" s="13">
        <v>29</v>
      </c>
      <c r="H1686" t="s">
        <v>2808</v>
      </c>
      <c r="I1686" s="8">
        <v>45978</v>
      </c>
      <c r="J1686" t="s">
        <v>2688</v>
      </c>
      <c r="K1686" t="s">
        <v>2689</v>
      </c>
      <c r="L1686" s="13">
        <v>8000</v>
      </c>
      <c r="M1686" t="s">
        <v>2661</v>
      </c>
    </row>
    <row r="1687" spans="1:13">
      <c r="A1687" t="s">
        <v>1133</v>
      </c>
      <c r="B1687" t="s">
        <v>77</v>
      </c>
      <c r="C1687" s="8">
        <v>46098</v>
      </c>
      <c r="D1687" t="s">
        <v>321</v>
      </c>
      <c r="E1687" t="s">
        <v>322</v>
      </c>
      <c r="F1687" s="12">
        <v>296032</v>
      </c>
      <c r="G1687" s="13">
        <v>29</v>
      </c>
      <c r="H1687" t="s">
        <v>3166</v>
      </c>
      <c r="I1687" s="8">
        <v>46075</v>
      </c>
      <c r="J1687" t="s">
        <v>2668</v>
      </c>
      <c r="K1687" t="s">
        <v>2669</v>
      </c>
      <c r="L1687" s="13">
        <v>4000</v>
      </c>
      <c r="M1687" t="s">
        <v>2661</v>
      </c>
    </row>
    <row r="1688" spans="1:13">
      <c r="A1688" t="s">
        <v>1133</v>
      </c>
      <c r="B1688" t="s">
        <v>77</v>
      </c>
      <c r="C1688" s="8">
        <v>46098</v>
      </c>
      <c r="D1688" t="s">
        <v>321</v>
      </c>
      <c r="E1688" t="s">
        <v>322</v>
      </c>
      <c r="F1688" s="12">
        <v>296032</v>
      </c>
      <c r="G1688" s="13">
        <v>29</v>
      </c>
      <c r="H1688" t="s">
        <v>3326</v>
      </c>
      <c r="I1688" s="8">
        <v>46123</v>
      </c>
      <c r="J1688" t="s">
        <v>2688</v>
      </c>
      <c r="K1688" t="s">
        <v>2689</v>
      </c>
      <c r="L1688" s="13">
        <v>8000</v>
      </c>
      <c r="M1688" t="s">
        <v>2661</v>
      </c>
    </row>
    <row r="1689" spans="1:13">
      <c r="A1689" t="s">
        <v>437</v>
      </c>
      <c r="B1689" t="s">
        <v>201</v>
      </c>
      <c r="C1689" s="8">
        <v>46047</v>
      </c>
      <c r="D1689" t="s">
        <v>327</v>
      </c>
      <c r="E1689" t="s">
        <v>334</v>
      </c>
      <c r="F1689" s="12">
        <v>234714</v>
      </c>
      <c r="G1689" s="13">
        <v>23</v>
      </c>
      <c r="H1689" t="s">
        <v>2997</v>
      </c>
      <c r="I1689" s="8">
        <v>46289</v>
      </c>
      <c r="J1689" t="s">
        <v>2659</v>
      </c>
      <c r="K1689" t="s">
        <v>2660</v>
      </c>
      <c r="L1689" s="13">
        <v>3500</v>
      </c>
      <c r="M1689" t="s">
        <v>2661</v>
      </c>
    </row>
    <row r="1690" spans="1:13">
      <c r="A1690" t="s">
        <v>437</v>
      </c>
      <c r="B1690" t="s">
        <v>201</v>
      </c>
      <c r="C1690" s="8">
        <v>46047</v>
      </c>
      <c r="D1690" t="s">
        <v>327</v>
      </c>
      <c r="E1690" t="s">
        <v>334</v>
      </c>
      <c r="F1690" s="12">
        <v>234714</v>
      </c>
      <c r="G1690" s="13">
        <v>23</v>
      </c>
      <c r="H1690" t="s">
        <v>3023</v>
      </c>
      <c r="I1690" s="8">
        <v>46224</v>
      </c>
      <c r="J1690" t="s">
        <v>2668</v>
      </c>
      <c r="K1690" t="s">
        <v>2669</v>
      </c>
      <c r="L1690" s="13">
        <v>4000</v>
      </c>
      <c r="M1690" t="s">
        <v>2661</v>
      </c>
    </row>
    <row r="1691" spans="1:13">
      <c r="A1691" t="s">
        <v>437</v>
      </c>
      <c r="B1691" t="s">
        <v>201</v>
      </c>
      <c r="C1691" s="8">
        <v>46047</v>
      </c>
      <c r="D1691" t="s">
        <v>327</v>
      </c>
      <c r="E1691" t="s">
        <v>334</v>
      </c>
      <c r="F1691" s="12">
        <v>234714</v>
      </c>
      <c r="G1691" s="13">
        <v>23</v>
      </c>
      <c r="H1691" t="s">
        <v>3232</v>
      </c>
      <c r="I1691" s="8">
        <v>45993</v>
      </c>
      <c r="J1691" t="s">
        <v>2688</v>
      </c>
      <c r="K1691" t="s">
        <v>2689</v>
      </c>
      <c r="L1691" s="13">
        <v>8000</v>
      </c>
      <c r="M1691" t="s">
        <v>2676</v>
      </c>
    </row>
    <row r="1692" spans="1:13">
      <c r="A1692" t="s">
        <v>534</v>
      </c>
      <c r="B1692" t="s">
        <v>201</v>
      </c>
      <c r="C1692" s="8">
        <v>46254</v>
      </c>
      <c r="D1692" t="s">
        <v>350</v>
      </c>
      <c r="E1692" t="s">
        <v>328</v>
      </c>
      <c r="F1692" s="12">
        <v>186624</v>
      </c>
      <c r="G1692" s="13">
        <v>18</v>
      </c>
      <c r="H1692" t="s">
        <v>2997</v>
      </c>
      <c r="I1692" s="8">
        <v>46289</v>
      </c>
      <c r="J1692" t="s">
        <v>2659</v>
      </c>
      <c r="K1692" t="s">
        <v>2660</v>
      </c>
      <c r="L1692" s="13">
        <v>3500</v>
      </c>
      <c r="M1692" t="s">
        <v>2661</v>
      </c>
    </row>
    <row r="1693" spans="1:13">
      <c r="A1693" t="s">
        <v>534</v>
      </c>
      <c r="B1693" t="s">
        <v>201</v>
      </c>
      <c r="C1693" s="8">
        <v>46254</v>
      </c>
      <c r="D1693" t="s">
        <v>350</v>
      </c>
      <c r="E1693" t="s">
        <v>328</v>
      </c>
      <c r="F1693" s="12">
        <v>186624</v>
      </c>
      <c r="G1693" s="13">
        <v>18</v>
      </c>
      <c r="H1693" t="s">
        <v>3023</v>
      </c>
      <c r="I1693" s="8">
        <v>46224</v>
      </c>
      <c r="J1693" t="s">
        <v>2668</v>
      </c>
      <c r="K1693" t="s">
        <v>2669</v>
      </c>
      <c r="L1693" s="13">
        <v>4000</v>
      </c>
      <c r="M1693" t="s">
        <v>2661</v>
      </c>
    </row>
    <row r="1694" spans="1:13">
      <c r="A1694" t="s">
        <v>534</v>
      </c>
      <c r="B1694" t="s">
        <v>201</v>
      </c>
      <c r="C1694" s="8">
        <v>46254</v>
      </c>
      <c r="D1694" t="s">
        <v>350</v>
      </c>
      <c r="E1694" t="s">
        <v>328</v>
      </c>
      <c r="F1694" s="12">
        <v>186624</v>
      </c>
      <c r="G1694" s="13">
        <v>18</v>
      </c>
      <c r="H1694" t="s">
        <v>3232</v>
      </c>
      <c r="I1694" s="8">
        <v>45993</v>
      </c>
      <c r="J1694" t="s">
        <v>2688</v>
      </c>
      <c r="K1694" t="s">
        <v>2689</v>
      </c>
      <c r="L1694" s="13">
        <v>8000</v>
      </c>
      <c r="M1694" t="s">
        <v>2676</v>
      </c>
    </row>
    <row r="1695" spans="1:13">
      <c r="A1695" t="s">
        <v>787</v>
      </c>
      <c r="B1695" t="s">
        <v>201</v>
      </c>
      <c r="C1695" s="8">
        <v>46265</v>
      </c>
      <c r="D1695" t="s">
        <v>324</v>
      </c>
      <c r="E1695" t="s">
        <v>337</v>
      </c>
      <c r="F1695" s="12">
        <v>120890</v>
      </c>
      <c r="G1695" s="13">
        <v>12</v>
      </c>
      <c r="H1695" t="s">
        <v>2997</v>
      </c>
      <c r="I1695" s="8">
        <v>46289</v>
      </c>
      <c r="J1695" t="s">
        <v>2659</v>
      </c>
      <c r="K1695" t="s">
        <v>2660</v>
      </c>
      <c r="L1695" s="13">
        <v>3500</v>
      </c>
      <c r="M1695" t="s">
        <v>2661</v>
      </c>
    </row>
    <row r="1696" spans="1:13">
      <c r="A1696" t="s">
        <v>787</v>
      </c>
      <c r="B1696" t="s">
        <v>201</v>
      </c>
      <c r="C1696" s="8">
        <v>46265</v>
      </c>
      <c r="D1696" t="s">
        <v>324</v>
      </c>
      <c r="E1696" t="s">
        <v>337</v>
      </c>
      <c r="F1696" s="12">
        <v>120890</v>
      </c>
      <c r="G1696" s="13">
        <v>12</v>
      </c>
      <c r="H1696" t="s">
        <v>3023</v>
      </c>
      <c r="I1696" s="8">
        <v>46224</v>
      </c>
      <c r="J1696" t="s">
        <v>2668</v>
      </c>
      <c r="K1696" t="s">
        <v>2669</v>
      </c>
      <c r="L1696" s="13">
        <v>4000</v>
      </c>
      <c r="M1696" t="s">
        <v>2661</v>
      </c>
    </row>
    <row r="1697" spans="1:13">
      <c r="A1697" t="s">
        <v>787</v>
      </c>
      <c r="B1697" t="s">
        <v>201</v>
      </c>
      <c r="C1697" s="8">
        <v>46265</v>
      </c>
      <c r="D1697" t="s">
        <v>324</v>
      </c>
      <c r="E1697" t="s">
        <v>337</v>
      </c>
      <c r="F1697" s="12">
        <v>120890</v>
      </c>
      <c r="G1697" s="13">
        <v>12</v>
      </c>
      <c r="H1697" t="s">
        <v>3232</v>
      </c>
      <c r="I1697" s="8">
        <v>45993</v>
      </c>
      <c r="J1697" t="s">
        <v>2688</v>
      </c>
      <c r="K1697" t="s">
        <v>2689</v>
      </c>
      <c r="L1697" s="13">
        <v>8000</v>
      </c>
      <c r="M1697" t="s">
        <v>2676</v>
      </c>
    </row>
    <row r="1698" spans="1:13">
      <c r="A1698" t="s">
        <v>822</v>
      </c>
      <c r="B1698" t="s">
        <v>257</v>
      </c>
      <c r="C1698" s="8">
        <v>45998</v>
      </c>
      <c r="D1698" t="s">
        <v>324</v>
      </c>
      <c r="E1698" t="s">
        <v>334</v>
      </c>
      <c r="F1698" s="12">
        <v>67249</v>
      </c>
      <c r="G1698" s="13">
        <v>6</v>
      </c>
      <c r="H1698" t="s">
        <v>2782</v>
      </c>
      <c r="I1698" s="8">
        <v>46070</v>
      </c>
      <c r="J1698" t="s">
        <v>2692</v>
      </c>
      <c r="K1698" t="s">
        <v>2693</v>
      </c>
      <c r="L1698" s="13">
        <v>10000</v>
      </c>
      <c r="M1698" t="s">
        <v>2676</v>
      </c>
    </row>
    <row r="1699" spans="1:13">
      <c r="A1699" t="s">
        <v>822</v>
      </c>
      <c r="B1699" t="s">
        <v>257</v>
      </c>
      <c r="C1699" s="8">
        <v>45998</v>
      </c>
      <c r="D1699" t="s">
        <v>324</v>
      </c>
      <c r="E1699" t="s">
        <v>334</v>
      </c>
      <c r="F1699" s="12">
        <v>67249</v>
      </c>
      <c r="G1699" s="13">
        <v>6</v>
      </c>
      <c r="H1699" t="s">
        <v>2850</v>
      </c>
      <c r="I1699" s="8">
        <v>46061</v>
      </c>
      <c r="J1699" t="s">
        <v>2674</v>
      </c>
      <c r="K1699" t="s">
        <v>2675</v>
      </c>
      <c r="L1699" s="13">
        <v>20000</v>
      </c>
      <c r="M1699" t="s">
        <v>2676</v>
      </c>
    </row>
    <row r="1700" spans="1:13">
      <c r="A1700" t="s">
        <v>822</v>
      </c>
      <c r="B1700" t="s">
        <v>257</v>
      </c>
      <c r="C1700" s="8">
        <v>45998</v>
      </c>
      <c r="D1700" t="s">
        <v>324</v>
      </c>
      <c r="E1700" t="s">
        <v>334</v>
      </c>
      <c r="F1700" s="12">
        <v>67249</v>
      </c>
      <c r="G1700" s="13">
        <v>6</v>
      </c>
      <c r="H1700" t="s">
        <v>2921</v>
      </c>
      <c r="I1700" s="8">
        <v>46239</v>
      </c>
      <c r="J1700" t="s">
        <v>2692</v>
      </c>
      <c r="K1700" t="s">
        <v>2693</v>
      </c>
      <c r="L1700" s="13">
        <v>10000</v>
      </c>
      <c r="M1700" t="s">
        <v>2661</v>
      </c>
    </row>
    <row r="1701" spans="1:13">
      <c r="A1701" t="s">
        <v>822</v>
      </c>
      <c r="B1701" t="s">
        <v>257</v>
      </c>
      <c r="C1701" s="8">
        <v>45998</v>
      </c>
      <c r="D1701" t="s">
        <v>324</v>
      </c>
      <c r="E1701" t="s">
        <v>334</v>
      </c>
      <c r="F1701" s="12">
        <v>67249</v>
      </c>
      <c r="G1701" s="13">
        <v>6</v>
      </c>
      <c r="H1701" t="s">
        <v>3061</v>
      </c>
      <c r="I1701" s="8">
        <v>46140</v>
      </c>
      <c r="J1701" t="s">
        <v>2674</v>
      </c>
      <c r="K1701" t="s">
        <v>2675</v>
      </c>
      <c r="L1701" s="13">
        <v>20000</v>
      </c>
      <c r="M1701" t="s">
        <v>2661</v>
      </c>
    </row>
    <row r="1702" spans="1:13">
      <c r="A1702" t="s">
        <v>855</v>
      </c>
      <c r="B1702" t="s">
        <v>257</v>
      </c>
      <c r="C1702" s="8">
        <v>45988</v>
      </c>
      <c r="D1702" t="s">
        <v>350</v>
      </c>
      <c r="E1702" t="s">
        <v>339</v>
      </c>
      <c r="F1702" s="12">
        <v>826989</v>
      </c>
      <c r="G1702" s="13">
        <v>82</v>
      </c>
      <c r="H1702" t="s">
        <v>2782</v>
      </c>
      <c r="I1702" s="8">
        <v>46070</v>
      </c>
      <c r="J1702" t="s">
        <v>2692</v>
      </c>
      <c r="K1702" t="s">
        <v>2693</v>
      </c>
      <c r="L1702" s="13">
        <v>10000</v>
      </c>
      <c r="M1702" t="s">
        <v>2676</v>
      </c>
    </row>
    <row r="1703" spans="1:13">
      <c r="A1703" t="s">
        <v>855</v>
      </c>
      <c r="B1703" t="s">
        <v>257</v>
      </c>
      <c r="C1703" s="8">
        <v>45988</v>
      </c>
      <c r="D1703" t="s">
        <v>350</v>
      </c>
      <c r="E1703" t="s">
        <v>339</v>
      </c>
      <c r="F1703" s="12">
        <v>826989</v>
      </c>
      <c r="G1703" s="13">
        <v>82</v>
      </c>
      <c r="H1703" t="s">
        <v>2850</v>
      </c>
      <c r="I1703" s="8">
        <v>46061</v>
      </c>
      <c r="J1703" t="s">
        <v>2674</v>
      </c>
      <c r="K1703" t="s">
        <v>2675</v>
      </c>
      <c r="L1703" s="13">
        <v>20000</v>
      </c>
      <c r="M1703" t="s">
        <v>2676</v>
      </c>
    </row>
    <row r="1704" spans="1:13">
      <c r="A1704" t="s">
        <v>855</v>
      </c>
      <c r="B1704" t="s">
        <v>257</v>
      </c>
      <c r="C1704" s="8">
        <v>45988</v>
      </c>
      <c r="D1704" t="s">
        <v>350</v>
      </c>
      <c r="E1704" t="s">
        <v>339</v>
      </c>
      <c r="F1704" s="12">
        <v>826989</v>
      </c>
      <c r="G1704" s="13">
        <v>82</v>
      </c>
      <c r="H1704" t="s">
        <v>2921</v>
      </c>
      <c r="I1704" s="8">
        <v>46239</v>
      </c>
      <c r="J1704" t="s">
        <v>2692</v>
      </c>
      <c r="K1704" t="s">
        <v>2693</v>
      </c>
      <c r="L1704" s="13">
        <v>10000</v>
      </c>
      <c r="M1704" t="s">
        <v>2661</v>
      </c>
    </row>
    <row r="1705" spans="1:13">
      <c r="A1705" t="s">
        <v>855</v>
      </c>
      <c r="B1705" t="s">
        <v>257</v>
      </c>
      <c r="C1705" s="8">
        <v>45988</v>
      </c>
      <c r="D1705" t="s">
        <v>350</v>
      </c>
      <c r="E1705" t="s">
        <v>339</v>
      </c>
      <c r="F1705" s="12">
        <v>826989</v>
      </c>
      <c r="G1705" s="13">
        <v>82</v>
      </c>
      <c r="H1705" t="s">
        <v>3061</v>
      </c>
      <c r="I1705" s="8">
        <v>46140</v>
      </c>
      <c r="J1705" t="s">
        <v>2674</v>
      </c>
      <c r="K1705" t="s">
        <v>2675</v>
      </c>
      <c r="L1705" s="13">
        <v>20000</v>
      </c>
      <c r="M1705" t="s">
        <v>2661</v>
      </c>
    </row>
    <row r="1706" spans="1:13">
      <c r="A1706" t="s">
        <v>1154</v>
      </c>
      <c r="B1706" t="s">
        <v>257</v>
      </c>
      <c r="C1706" s="8">
        <v>45970</v>
      </c>
      <c r="D1706" t="s">
        <v>324</v>
      </c>
      <c r="E1706" t="s">
        <v>334</v>
      </c>
      <c r="F1706" s="12">
        <v>198912</v>
      </c>
      <c r="G1706" s="13">
        <v>19</v>
      </c>
      <c r="H1706" t="s">
        <v>2782</v>
      </c>
      <c r="I1706" s="8">
        <v>46070</v>
      </c>
      <c r="J1706" t="s">
        <v>2692</v>
      </c>
      <c r="K1706" t="s">
        <v>2693</v>
      </c>
      <c r="L1706" s="13">
        <v>10000</v>
      </c>
      <c r="M1706" t="s">
        <v>2676</v>
      </c>
    </row>
    <row r="1707" spans="1:13">
      <c r="A1707" t="s">
        <v>1154</v>
      </c>
      <c r="B1707" t="s">
        <v>257</v>
      </c>
      <c r="C1707" s="8">
        <v>45970</v>
      </c>
      <c r="D1707" t="s">
        <v>324</v>
      </c>
      <c r="E1707" t="s">
        <v>334</v>
      </c>
      <c r="F1707" s="12">
        <v>198912</v>
      </c>
      <c r="G1707" s="13">
        <v>19</v>
      </c>
      <c r="H1707" t="s">
        <v>2850</v>
      </c>
      <c r="I1707" s="8">
        <v>46061</v>
      </c>
      <c r="J1707" t="s">
        <v>2674</v>
      </c>
      <c r="K1707" t="s">
        <v>2675</v>
      </c>
      <c r="L1707" s="13">
        <v>20000</v>
      </c>
      <c r="M1707" t="s">
        <v>2676</v>
      </c>
    </row>
    <row r="1708" spans="1:13">
      <c r="A1708" t="s">
        <v>1154</v>
      </c>
      <c r="B1708" t="s">
        <v>257</v>
      </c>
      <c r="C1708" s="8">
        <v>45970</v>
      </c>
      <c r="D1708" t="s">
        <v>324</v>
      </c>
      <c r="E1708" t="s">
        <v>334</v>
      </c>
      <c r="F1708" s="12">
        <v>198912</v>
      </c>
      <c r="G1708" s="13">
        <v>19</v>
      </c>
      <c r="H1708" t="s">
        <v>2921</v>
      </c>
      <c r="I1708" s="8">
        <v>46239</v>
      </c>
      <c r="J1708" t="s">
        <v>2692</v>
      </c>
      <c r="K1708" t="s">
        <v>2693</v>
      </c>
      <c r="L1708" s="13">
        <v>10000</v>
      </c>
      <c r="M1708" t="s">
        <v>2661</v>
      </c>
    </row>
    <row r="1709" spans="1:13">
      <c r="A1709" t="s">
        <v>1154</v>
      </c>
      <c r="B1709" t="s">
        <v>257</v>
      </c>
      <c r="C1709" s="8">
        <v>45970</v>
      </c>
      <c r="D1709" t="s">
        <v>324</v>
      </c>
      <c r="E1709" t="s">
        <v>334</v>
      </c>
      <c r="F1709" s="12">
        <v>198912</v>
      </c>
      <c r="G1709" s="13">
        <v>19</v>
      </c>
      <c r="H1709" t="s">
        <v>3061</v>
      </c>
      <c r="I1709" s="8">
        <v>46140</v>
      </c>
      <c r="J1709" t="s">
        <v>2674</v>
      </c>
      <c r="K1709" t="s">
        <v>2675</v>
      </c>
      <c r="L1709" s="13">
        <v>20000</v>
      </c>
      <c r="M1709" t="s">
        <v>2661</v>
      </c>
    </row>
    <row r="1710" spans="1:13">
      <c r="A1710" t="s">
        <v>438</v>
      </c>
      <c r="B1710" t="s">
        <v>127</v>
      </c>
      <c r="C1710" s="8">
        <v>46096</v>
      </c>
      <c r="D1710" t="s">
        <v>350</v>
      </c>
      <c r="E1710" t="s">
        <v>328</v>
      </c>
      <c r="F1710" s="12">
        <v>134995</v>
      </c>
      <c r="G1710" s="13">
        <v>13</v>
      </c>
      <c r="H1710" t="s">
        <v>2841</v>
      </c>
      <c r="I1710" s="8">
        <v>46149</v>
      </c>
      <c r="J1710" t="s">
        <v>2659</v>
      </c>
      <c r="K1710" t="s">
        <v>2660</v>
      </c>
      <c r="L1710" s="13">
        <v>3500</v>
      </c>
      <c r="M1710" t="s">
        <v>2661</v>
      </c>
    </row>
    <row r="1711" spans="1:13">
      <c r="A1711" t="s">
        <v>438</v>
      </c>
      <c r="B1711" t="s">
        <v>127</v>
      </c>
      <c r="C1711" s="8">
        <v>46096</v>
      </c>
      <c r="D1711" t="s">
        <v>350</v>
      </c>
      <c r="E1711" t="s">
        <v>328</v>
      </c>
      <c r="F1711" s="12">
        <v>134995</v>
      </c>
      <c r="G1711" s="13">
        <v>13</v>
      </c>
      <c r="H1711" t="s">
        <v>3175</v>
      </c>
      <c r="I1711" s="8">
        <v>46280</v>
      </c>
      <c r="J1711" t="s">
        <v>2665</v>
      </c>
      <c r="K1711" t="s">
        <v>2666</v>
      </c>
      <c r="L1711" s="13">
        <v>2500</v>
      </c>
      <c r="M1711" t="s">
        <v>2661</v>
      </c>
    </row>
    <row r="1712" spans="1:13">
      <c r="A1712" t="s">
        <v>817</v>
      </c>
      <c r="B1712" t="s">
        <v>127</v>
      </c>
      <c r="C1712" s="8">
        <v>45982</v>
      </c>
      <c r="D1712" t="s">
        <v>327</v>
      </c>
      <c r="E1712" t="s">
        <v>334</v>
      </c>
      <c r="F1712" s="12">
        <v>25000</v>
      </c>
      <c r="G1712" s="13">
        <v>2</v>
      </c>
      <c r="H1712" t="s">
        <v>2841</v>
      </c>
      <c r="I1712" s="8">
        <v>46149</v>
      </c>
      <c r="J1712" t="s">
        <v>2659</v>
      </c>
      <c r="K1712" t="s">
        <v>2660</v>
      </c>
      <c r="L1712" s="13">
        <v>3500</v>
      </c>
      <c r="M1712" t="s">
        <v>2661</v>
      </c>
    </row>
    <row r="1713" spans="1:13">
      <c r="A1713" t="s">
        <v>817</v>
      </c>
      <c r="B1713" t="s">
        <v>127</v>
      </c>
      <c r="C1713" s="8">
        <v>45982</v>
      </c>
      <c r="D1713" t="s">
        <v>327</v>
      </c>
      <c r="E1713" t="s">
        <v>334</v>
      </c>
      <c r="F1713" s="12">
        <v>25000</v>
      </c>
      <c r="G1713" s="13">
        <v>2</v>
      </c>
      <c r="H1713" t="s">
        <v>3175</v>
      </c>
      <c r="I1713" s="8">
        <v>46280</v>
      </c>
      <c r="J1713" t="s">
        <v>2665</v>
      </c>
      <c r="K1713" t="s">
        <v>2666</v>
      </c>
      <c r="L1713" s="13">
        <v>2500</v>
      </c>
      <c r="M1713" t="s">
        <v>2661</v>
      </c>
    </row>
    <row r="1714" spans="1:13">
      <c r="A1714" t="s">
        <v>861</v>
      </c>
      <c r="B1714" t="s">
        <v>127</v>
      </c>
      <c r="C1714" s="8">
        <v>46291</v>
      </c>
      <c r="D1714" t="s">
        <v>350</v>
      </c>
      <c r="E1714" t="s">
        <v>322</v>
      </c>
      <c r="F1714" s="12">
        <v>279517</v>
      </c>
      <c r="G1714" s="13">
        <v>27</v>
      </c>
      <c r="H1714" t="s">
        <v>2841</v>
      </c>
      <c r="I1714" s="8">
        <v>46149</v>
      </c>
      <c r="J1714" t="s">
        <v>2659</v>
      </c>
      <c r="K1714" t="s">
        <v>2660</v>
      </c>
      <c r="L1714" s="13">
        <v>3500</v>
      </c>
      <c r="M1714" t="s">
        <v>2661</v>
      </c>
    </row>
    <row r="1715" spans="1:13">
      <c r="A1715" t="s">
        <v>861</v>
      </c>
      <c r="B1715" t="s">
        <v>127</v>
      </c>
      <c r="C1715" s="8">
        <v>46291</v>
      </c>
      <c r="D1715" t="s">
        <v>350</v>
      </c>
      <c r="E1715" t="s">
        <v>322</v>
      </c>
      <c r="F1715" s="12">
        <v>279517</v>
      </c>
      <c r="G1715" s="13">
        <v>27</v>
      </c>
      <c r="H1715" t="s">
        <v>3175</v>
      </c>
      <c r="I1715" s="8">
        <v>46280</v>
      </c>
      <c r="J1715" t="s">
        <v>2665</v>
      </c>
      <c r="K1715" t="s">
        <v>2666</v>
      </c>
      <c r="L1715" s="13">
        <v>2500</v>
      </c>
      <c r="M1715" t="s">
        <v>2661</v>
      </c>
    </row>
    <row r="1716" spans="1:13">
      <c r="A1716" t="s">
        <v>459</v>
      </c>
      <c r="B1716" t="s">
        <v>124</v>
      </c>
      <c r="C1716" s="8">
        <v>46007</v>
      </c>
      <c r="D1716" t="s">
        <v>344</v>
      </c>
      <c r="E1716" t="s">
        <v>339</v>
      </c>
      <c r="F1716" s="12">
        <v>360132</v>
      </c>
      <c r="G1716" s="13">
        <v>36</v>
      </c>
      <c r="H1716" t="s">
        <v>2785</v>
      </c>
      <c r="I1716" s="8">
        <v>45933</v>
      </c>
      <c r="J1716" t="s">
        <v>2659</v>
      </c>
      <c r="K1716" t="s">
        <v>2660</v>
      </c>
      <c r="L1716" s="13">
        <v>3500</v>
      </c>
      <c r="M1716" t="s">
        <v>2676</v>
      </c>
    </row>
    <row r="1717" spans="1:13">
      <c r="A1717" t="s">
        <v>459</v>
      </c>
      <c r="B1717" t="s">
        <v>124</v>
      </c>
      <c r="C1717" s="8">
        <v>46007</v>
      </c>
      <c r="D1717" t="s">
        <v>344</v>
      </c>
      <c r="E1717" t="s">
        <v>339</v>
      </c>
      <c r="F1717" s="12">
        <v>360132</v>
      </c>
      <c r="G1717" s="13">
        <v>36</v>
      </c>
      <c r="H1717" t="s">
        <v>3072</v>
      </c>
      <c r="I1717" s="8">
        <v>46087</v>
      </c>
      <c r="J1717" t="s">
        <v>2685</v>
      </c>
      <c r="K1717" t="s">
        <v>2686</v>
      </c>
      <c r="L1717" s="13">
        <v>5000</v>
      </c>
      <c r="M1717" t="s">
        <v>2661</v>
      </c>
    </row>
    <row r="1718" spans="1:13">
      <c r="A1718" t="s">
        <v>459</v>
      </c>
      <c r="B1718" t="s">
        <v>124</v>
      </c>
      <c r="C1718" s="8">
        <v>46007</v>
      </c>
      <c r="D1718" t="s">
        <v>344</v>
      </c>
      <c r="E1718" t="s">
        <v>339</v>
      </c>
      <c r="F1718" s="12">
        <v>360132</v>
      </c>
      <c r="G1718" s="13">
        <v>36</v>
      </c>
      <c r="H1718" t="s">
        <v>3557</v>
      </c>
      <c r="I1718" s="8">
        <v>46271</v>
      </c>
      <c r="J1718" t="s">
        <v>2665</v>
      </c>
      <c r="K1718" t="s">
        <v>2666</v>
      </c>
      <c r="L1718" s="13">
        <v>2500</v>
      </c>
      <c r="M1718" t="s">
        <v>2661</v>
      </c>
    </row>
    <row r="1719" spans="1:13">
      <c r="A1719" t="s">
        <v>441</v>
      </c>
      <c r="B1719" t="s">
        <v>198</v>
      </c>
      <c r="C1719" s="8">
        <v>46024</v>
      </c>
      <c r="D1719" t="s">
        <v>324</v>
      </c>
      <c r="E1719" t="s">
        <v>325</v>
      </c>
      <c r="F1719" s="12">
        <v>115397</v>
      </c>
      <c r="G1719" s="13">
        <v>11</v>
      </c>
      <c r="H1719" t="s">
        <v>2904</v>
      </c>
      <c r="I1719" s="8">
        <v>46244</v>
      </c>
      <c r="J1719" t="s">
        <v>2659</v>
      </c>
      <c r="K1719" t="s">
        <v>2660</v>
      </c>
      <c r="L1719" s="13">
        <v>3500</v>
      </c>
      <c r="M1719" t="s">
        <v>2661</v>
      </c>
    </row>
    <row r="1720" spans="1:13">
      <c r="A1720" t="s">
        <v>1184</v>
      </c>
      <c r="B1720" t="s">
        <v>198</v>
      </c>
      <c r="C1720" s="8">
        <v>46121</v>
      </c>
      <c r="D1720" t="s">
        <v>327</v>
      </c>
      <c r="E1720" t="s">
        <v>325</v>
      </c>
      <c r="F1720" s="12">
        <v>167305</v>
      </c>
      <c r="G1720" s="13">
        <v>16</v>
      </c>
      <c r="H1720" t="s">
        <v>2904</v>
      </c>
      <c r="I1720" s="8">
        <v>46244</v>
      </c>
      <c r="J1720" t="s">
        <v>2659</v>
      </c>
      <c r="K1720" t="s">
        <v>2660</v>
      </c>
      <c r="L1720" s="13">
        <v>3500</v>
      </c>
      <c r="M1720" t="s">
        <v>2661</v>
      </c>
    </row>
    <row r="1721" spans="1:13">
      <c r="A1721" t="s">
        <v>442</v>
      </c>
      <c r="B1721" t="s">
        <v>152</v>
      </c>
      <c r="C1721" s="8">
        <v>46020</v>
      </c>
      <c r="D1721" t="s">
        <v>344</v>
      </c>
      <c r="E1721" t="s">
        <v>334</v>
      </c>
      <c r="F1721" s="12">
        <v>186972</v>
      </c>
      <c r="G1721" s="13">
        <v>18</v>
      </c>
      <c r="H1721" t="s">
        <v>3191</v>
      </c>
      <c r="I1721" s="8">
        <v>45972</v>
      </c>
      <c r="J1721" t="s">
        <v>2682</v>
      </c>
      <c r="K1721" t="s">
        <v>2683</v>
      </c>
      <c r="L1721" s="13">
        <v>6000</v>
      </c>
      <c r="M1721" t="s">
        <v>2661</v>
      </c>
    </row>
    <row r="1722" spans="1:13">
      <c r="A1722" t="s">
        <v>442</v>
      </c>
      <c r="B1722" t="s">
        <v>152</v>
      </c>
      <c r="C1722" s="8">
        <v>46020</v>
      </c>
      <c r="D1722" t="s">
        <v>344</v>
      </c>
      <c r="E1722" t="s">
        <v>334</v>
      </c>
      <c r="F1722" s="12">
        <v>186972</v>
      </c>
      <c r="G1722" s="13">
        <v>18</v>
      </c>
      <c r="H1722" t="s">
        <v>3266</v>
      </c>
      <c r="I1722" s="8">
        <v>46251</v>
      </c>
      <c r="J1722" t="s">
        <v>2668</v>
      </c>
      <c r="K1722" t="s">
        <v>2669</v>
      </c>
      <c r="L1722" s="13">
        <v>4000</v>
      </c>
      <c r="M1722" t="s">
        <v>2661</v>
      </c>
    </row>
    <row r="1723" spans="1:13">
      <c r="A1723" t="s">
        <v>1122</v>
      </c>
      <c r="B1723" t="s">
        <v>152</v>
      </c>
      <c r="C1723" s="8">
        <v>46164</v>
      </c>
      <c r="D1723" t="s">
        <v>324</v>
      </c>
      <c r="E1723" t="s">
        <v>334</v>
      </c>
      <c r="F1723" s="12">
        <v>287508</v>
      </c>
      <c r="G1723" s="13">
        <v>28</v>
      </c>
      <c r="H1723" t="s">
        <v>3191</v>
      </c>
      <c r="I1723" s="8">
        <v>45972</v>
      </c>
      <c r="J1723" t="s">
        <v>2682</v>
      </c>
      <c r="K1723" t="s">
        <v>2683</v>
      </c>
      <c r="L1723" s="13">
        <v>6000</v>
      </c>
      <c r="M1723" t="s">
        <v>2661</v>
      </c>
    </row>
    <row r="1724" spans="1:13">
      <c r="A1724" t="s">
        <v>1122</v>
      </c>
      <c r="B1724" t="s">
        <v>152</v>
      </c>
      <c r="C1724" s="8">
        <v>46164</v>
      </c>
      <c r="D1724" t="s">
        <v>324</v>
      </c>
      <c r="E1724" t="s">
        <v>334</v>
      </c>
      <c r="F1724" s="12">
        <v>287508</v>
      </c>
      <c r="G1724" s="13">
        <v>28</v>
      </c>
      <c r="H1724" t="s">
        <v>3266</v>
      </c>
      <c r="I1724" s="8">
        <v>46251</v>
      </c>
      <c r="J1724" t="s">
        <v>2668</v>
      </c>
      <c r="K1724" t="s">
        <v>2669</v>
      </c>
      <c r="L1724" s="13">
        <v>4000</v>
      </c>
      <c r="M1724" t="s">
        <v>2661</v>
      </c>
    </row>
    <row r="1725" spans="1:13">
      <c r="A1725" t="s">
        <v>443</v>
      </c>
      <c r="B1725" t="s">
        <v>252</v>
      </c>
      <c r="C1725" s="8">
        <v>45996</v>
      </c>
      <c r="D1725" t="s">
        <v>342</v>
      </c>
      <c r="E1725" t="s">
        <v>325</v>
      </c>
      <c r="F1725" s="12">
        <v>216183</v>
      </c>
      <c r="G1725" s="13">
        <v>21</v>
      </c>
      <c r="H1725" t="s">
        <v>2815</v>
      </c>
      <c r="I1725" s="8">
        <v>45992</v>
      </c>
      <c r="J1725" t="s">
        <v>2688</v>
      </c>
      <c r="K1725" t="s">
        <v>2689</v>
      </c>
      <c r="L1725" s="13">
        <v>8000</v>
      </c>
      <c r="M1725" t="s">
        <v>2661</v>
      </c>
    </row>
    <row r="1726" spans="1:13">
      <c r="A1726" t="s">
        <v>443</v>
      </c>
      <c r="B1726" t="s">
        <v>252</v>
      </c>
      <c r="C1726" s="8">
        <v>45996</v>
      </c>
      <c r="D1726" t="s">
        <v>342</v>
      </c>
      <c r="E1726" t="s">
        <v>325</v>
      </c>
      <c r="F1726" s="12">
        <v>216183</v>
      </c>
      <c r="G1726" s="13">
        <v>21</v>
      </c>
      <c r="H1726" t="s">
        <v>3320</v>
      </c>
      <c r="I1726" s="8">
        <v>46043</v>
      </c>
      <c r="J1726" t="s">
        <v>2663</v>
      </c>
      <c r="K1726" t="s">
        <v>3630</v>
      </c>
      <c r="L1726" s="13">
        <v>1500</v>
      </c>
      <c r="M1726" t="s">
        <v>2661</v>
      </c>
    </row>
    <row r="1727" spans="1:13">
      <c r="A1727" t="s">
        <v>443</v>
      </c>
      <c r="B1727" t="s">
        <v>252</v>
      </c>
      <c r="C1727" s="8">
        <v>45996</v>
      </c>
      <c r="D1727" t="s">
        <v>342</v>
      </c>
      <c r="E1727" t="s">
        <v>325</v>
      </c>
      <c r="F1727" s="12">
        <v>216183</v>
      </c>
      <c r="G1727" s="13">
        <v>21</v>
      </c>
      <c r="H1727" t="s">
        <v>3575</v>
      </c>
      <c r="I1727" s="8">
        <v>46263</v>
      </c>
      <c r="J1727" t="s">
        <v>2668</v>
      </c>
      <c r="K1727" t="s">
        <v>2669</v>
      </c>
      <c r="L1727" s="13">
        <v>4000</v>
      </c>
      <c r="M1727" t="s">
        <v>2676</v>
      </c>
    </row>
    <row r="1728" spans="1:13">
      <c r="A1728" t="s">
        <v>1025</v>
      </c>
      <c r="B1728" t="s">
        <v>252</v>
      </c>
      <c r="C1728" s="8">
        <v>45964</v>
      </c>
      <c r="D1728" t="s">
        <v>327</v>
      </c>
      <c r="E1728" t="s">
        <v>328</v>
      </c>
      <c r="F1728" s="12">
        <v>115749</v>
      </c>
      <c r="G1728" s="13">
        <v>11</v>
      </c>
      <c r="H1728" t="s">
        <v>2815</v>
      </c>
      <c r="I1728" s="8">
        <v>45992</v>
      </c>
      <c r="J1728" t="s">
        <v>2688</v>
      </c>
      <c r="K1728" t="s">
        <v>2689</v>
      </c>
      <c r="L1728" s="13">
        <v>8000</v>
      </c>
      <c r="M1728" t="s">
        <v>2661</v>
      </c>
    </row>
    <row r="1729" spans="1:13">
      <c r="A1729" t="s">
        <v>1025</v>
      </c>
      <c r="B1729" t="s">
        <v>252</v>
      </c>
      <c r="C1729" s="8">
        <v>45964</v>
      </c>
      <c r="D1729" t="s">
        <v>327</v>
      </c>
      <c r="E1729" t="s">
        <v>328</v>
      </c>
      <c r="F1729" s="12">
        <v>115749</v>
      </c>
      <c r="G1729" s="13">
        <v>11</v>
      </c>
      <c r="H1729" t="s">
        <v>3320</v>
      </c>
      <c r="I1729" s="8">
        <v>46043</v>
      </c>
      <c r="J1729" t="s">
        <v>2663</v>
      </c>
      <c r="K1729" t="s">
        <v>3630</v>
      </c>
      <c r="L1729" s="13">
        <v>1500</v>
      </c>
      <c r="M1729" t="s">
        <v>2661</v>
      </c>
    </row>
    <row r="1730" spans="1:13">
      <c r="A1730" t="s">
        <v>1025</v>
      </c>
      <c r="B1730" t="s">
        <v>252</v>
      </c>
      <c r="C1730" s="8">
        <v>45964</v>
      </c>
      <c r="D1730" t="s">
        <v>327</v>
      </c>
      <c r="E1730" t="s">
        <v>328</v>
      </c>
      <c r="F1730" s="12">
        <v>115749</v>
      </c>
      <c r="G1730" s="13">
        <v>11</v>
      </c>
      <c r="H1730" t="s">
        <v>3575</v>
      </c>
      <c r="I1730" s="8">
        <v>46263</v>
      </c>
      <c r="J1730" t="s">
        <v>2668</v>
      </c>
      <c r="K1730" t="s">
        <v>2669</v>
      </c>
      <c r="L1730" s="13">
        <v>4000</v>
      </c>
      <c r="M1730" t="s">
        <v>2676</v>
      </c>
    </row>
    <row r="1731" spans="1:13">
      <c r="A1731" t="s">
        <v>1077</v>
      </c>
      <c r="B1731" t="s">
        <v>252</v>
      </c>
      <c r="C1731" s="8">
        <v>46221</v>
      </c>
      <c r="D1731" t="s">
        <v>327</v>
      </c>
      <c r="E1731" t="s">
        <v>339</v>
      </c>
      <c r="F1731" s="12">
        <v>353830</v>
      </c>
      <c r="G1731" s="13">
        <v>35</v>
      </c>
      <c r="H1731" t="s">
        <v>2815</v>
      </c>
      <c r="I1731" s="8">
        <v>45992</v>
      </c>
      <c r="J1731" t="s">
        <v>2688</v>
      </c>
      <c r="K1731" t="s">
        <v>2689</v>
      </c>
      <c r="L1731" s="13">
        <v>8000</v>
      </c>
      <c r="M1731" t="s">
        <v>2661</v>
      </c>
    </row>
    <row r="1732" spans="1:13">
      <c r="A1732" t="s">
        <v>1077</v>
      </c>
      <c r="B1732" t="s">
        <v>252</v>
      </c>
      <c r="C1732" s="8">
        <v>46221</v>
      </c>
      <c r="D1732" t="s">
        <v>327</v>
      </c>
      <c r="E1732" t="s">
        <v>339</v>
      </c>
      <c r="F1732" s="12">
        <v>353830</v>
      </c>
      <c r="G1732" s="13">
        <v>35</v>
      </c>
      <c r="H1732" t="s">
        <v>3320</v>
      </c>
      <c r="I1732" s="8">
        <v>46043</v>
      </c>
      <c r="J1732" t="s">
        <v>2663</v>
      </c>
      <c r="K1732" t="s">
        <v>3630</v>
      </c>
      <c r="L1732" s="13">
        <v>1500</v>
      </c>
      <c r="M1732" t="s">
        <v>2661</v>
      </c>
    </row>
    <row r="1733" spans="1:13">
      <c r="A1733" t="s">
        <v>1077</v>
      </c>
      <c r="B1733" t="s">
        <v>252</v>
      </c>
      <c r="C1733" s="8">
        <v>46221</v>
      </c>
      <c r="D1733" t="s">
        <v>327</v>
      </c>
      <c r="E1733" t="s">
        <v>339</v>
      </c>
      <c r="F1733" s="12">
        <v>353830</v>
      </c>
      <c r="G1733" s="13">
        <v>35</v>
      </c>
      <c r="H1733" t="s">
        <v>3575</v>
      </c>
      <c r="I1733" s="8">
        <v>46263</v>
      </c>
      <c r="J1733" t="s">
        <v>2668</v>
      </c>
      <c r="K1733" t="s">
        <v>2669</v>
      </c>
      <c r="L1733" s="13">
        <v>4000</v>
      </c>
      <c r="M1733" t="s">
        <v>2676</v>
      </c>
    </row>
    <row r="1734" spans="1:13">
      <c r="A1734" t="s">
        <v>482</v>
      </c>
      <c r="B1734" t="s">
        <v>139</v>
      </c>
      <c r="C1734" s="8">
        <v>46036</v>
      </c>
      <c r="D1734" t="s">
        <v>324</v>
      </c>
      <c r="E1734" t="s">
        <v>337</v>
      </c>
      <c r="F1734" s="12">
        <v>214312</v>
      </c>
      <c r="G1734" s="13">
        <v>21</v>
      </c>
      <c r="H1734" t="s">
        <v>2789</v>
      </c>
      <c r="I1734" s="8">
        <v>46277</v>
      </c>
      <c r="J1734" t="s">
        <v>2688</v>
      </c>
      <c r="K1734" t="s">
        <v>2689</v>
      </c>
      <c r="L1734" s="13">
        <v>8000</v>
      </c>
      <c r="M1734" t="s">
        <v>2661</v>
      </c>
    </row>
    <row r="1735" spans="1:13">
      <c r="A1735" t="s">
        <v>482</v>
      </c>
      <c r="B1735" t="s">
        <v>139</v>
      </c>
      <c r="C1735" s="8">
        <v>46036</v>
      </c>
      <c r="D1735" t="s">
        <v>324</v>
      </c>
      <c r="E1735" t="s">
        <v>337</v>
      </c>
      <c r="F1735" s="12">
        <v>214312</v>
      </c>
      <c r="G1735" s="13">
        <v>21</v>
      </c>
      <c r="H1735" t="s">
        <v>3190</v>
      </c>
      <c r="I1735" s="8">
        <v>46132</v>
      </c>
      <c r="J1735" t="s">
        <v>2685</v>
      </c>
      <c r="K1735" t="s">
        <v>2686</v>
      </c>
      <c r="L1735" s="13">
        <v>5000</v>
      </c>
      <c r="M1735" t="s">
        <v>2676</v>
      </c>
    </row>
    <row r="1736" spans="1:13">
      <c r="A1736" t="s">
        <v>482</v>
      </c>
      <c r="B1736" t="s">
        <v>139</v>
      </c>
      <c r="C1736" s="8">
        <v>46036</v>
      </c>
      <c r="D1736" t="s">
        <v>324</v>
      </c>
      <c r="E1736" t="s">
        <v>337</v>
      </c>
      <c r="F1736" s="12">
        <v>214312</v>
      </c>
      <c r="G1736" s="13">
        <v>21</v>
      </c>
      <c r="H1736" t="s">
        <v>3216</v>
      </c>
      <c r="I1736" s="8">
        <v>46268</v>
      </c>
      <c r="J1736" t="s">
        <v>2668</v>
      </c>
      <c r="K1736" t="s">
        <v>2669</v>
      </c>
      <c r="L1736" s="13">
        <v>4000</v>
      </c>
      <c r="M1736" t="s">
        <v>2676</v>
      </c>
    </row>
    <row r="1737" spans="1:13">
      <c r="A1737" t="s">
        <v>613</v>
      </c>
      <c r="B1737" t="s">
        <v>139</v>
      </c>
      <c r="C1737" s="8">
        <v>46014</v>
      </c>
      <c r="D1737" t="s">
        <v>330</v>
      </c>
      <c r="E1737" t="s">
        <v>328</v>
      </c>
      <c r="F1737" s="12">
        <v>129476</v>
      </c>
      <c r="G1737" s="13">
        <v>12</v>
      </c>
      <c r="H1737" t="s">
        <v>2789</v>
      </c>
      <c r="I1737" s="8">
        <v>46277</v>
      </c>
      <c r="J1737" t="s">
        <v>2688</v>
      </c>
      <c r="K1737" t="s">
        <v>2689</v>
      </c>
      <c r="L1737" s="13">
        <v>8000</v>
      </c>
      <c r="M1737" t="s">
        <v>2661</v>
      </c>
    </row>
    <row r="1738" spans="1:13">
      <c r="A1738" t="s">
        <v>613</v>
      </c>
      <c r="B1738" t="s">
        <v>139</v>
      </c>
      <c r="C1738" s="8">
        <v>46014</v>
      </c>
      <c r="D1738" t="s">
        <v>330</v>
      </c>
      <c r="E1738" t="s">
        <v>328</v>
      </c>
      <c r="F1738" s="12">
        <v>129476</v>
      </c>
      <c r="G1738" s="13">
        <v>12</v>
      </c>
      <c r="H1738" t="s">
        <v>3190</v>
      </c>
      <c r="I1738" s="8">
        <v>46132</v>
      </c>
      <c r="J1738" t="s">
        <v>2685</v>
      </c>
      <c r="K1738" t="s">
        <v>2686</v>
      </c>
      <c r="L1738" s="13">
        <v>5000</v>
      </c>
      <c r="M1738" t="s">
        <v>2676</v>
      </c>
    </row>
    <row r="1739" spans="1:13">
      <c r="A1739" t="s">
        <v>613</v>
      </c>
      <c r="B1739" t="s">
        <v>139</v>
      </c>
      <c r="C1739" s="8">
        <v>46014</v>
      </c>
      <c r="D1739" t="s">
        <v>330</v>
      </c>
      <c r="E1739" t="s">
        <v>328</v>
      </c>
      <c r="F1739" s="12">
        <v>129476</v>
      </c>
      <c r="G1739" s="13">
        <v>12</v>
      </c>
      <c r="H1739" t="s">
        <v>3216</v>
      </c>
      <c r="I1739" s="8">
        <v>46268</v>
      </c>
      <c r="J1739" t="s">
        <v>2668</v>
      </c>
      <c r="K1739" t="s">
        <v>2669</v>
      </c>
      <c r="L1739" s="13">
        <v>4000</v>
      </c>
      <c r="M1739" t="s">
        <v>2676</v>
      </c>
    </row>
    <row r="1740" spans="1:13">
      <c r="A1740" t="s">
        <v>782</v>
      </c>
      <c r="B1740" t="s">
        <v>139</v>
      </c>
      <c r="C1740" s="8">
        <v>46213</v>
      </c>
      <c r="D1740" t="s">
        <v>327</v>
      </c>
      <c r="E1740" t="s">
        <v>334</v>
      </c>
      <c r="F1740" s="12">
        <v>293620</v>
      </c>
      <c r="G1740" s="13">
        <v>29</v>
      </c>
      <c r="H1740" t="s">
        <v>2789</v>
      </c>
      <c r="I1740" s="8">
        <v>46277</v>
      </c>
      <c r="J1740" t="s">
        <v>2688</v>
      </c>
      <c r="K1740" t="s">
        <v>2689</v>
      </c>
      <c r="L1740" s="13">
        <v>8000</v>
      </c>
      <c r="M1740" t="s">
        <v>2661</v>
      </c>
    </row>
    <row r="1741" spans="1:13">
      <c r="A1741" t="s">
        <v>782</v>
      </c>
      <c r="B1741" t="s">
        <v>139</v>
      </c>
      <c r="C1741" s="8">
        <v>46213</v>
      </c>
      <c r="D1741" t="s">
        <v>327</v>
      </c>
      <c r="E1741" t="s">
        <v>334</v>
      </c>
      <c r="F1741" s="12">
        <v>293620</v>
      </c>
      <c r="G1741" s="13">
        <v>29</v>
      </c>
      <c r="H1741" t="s">
        <v>3190</v>
      </c>
      <c r="I1741" s="8">
        <v>46132</v>
      </c>
      <c r="J1741" t="s">
        <v>2685</v>
      </c>
      <c r="K1741" t="s">
        <v>2686</v>
      </c>
      <c r="L1741" s="13">
        <v>5000</v>
      </c>
      <c r="M1741" t="s">
        <v>2676</v>
      </c>
    </row>
    <row r="1742" spans="1:13">
      <c r="A1742" t="s">
        <v>782</v>
      </c>
      <c r="B1742" t="s">
        <v>139</v>
      </c>
      <c r="C1742" s="8">
        <v>46213</v>
      </c>
      <c r="D1742" t="s">
        <v>327</v>
      </c>
      <c r="E1742" t="s">
        <v>334</v>
      </c>
      <c r="F1742" s="12">
        <v>293620</v>
      </c>
      <c r="G1742" s="13">
        <v>29</v>
      </c>
      <c r="H1742" t="s">
        <v>3216</v>
      </c>
      <c r="I1742" s="8">
        <v>46268</v>
      </c>
      <c r="J1742" t="s">
        <v>2668</v>
      </c>
      <c r="K1742" t="s">
        <v>2669</v>
      </c>
      <c r="L1742" s="13">
        <v>4000</v>
      </c>
      <c r="M1742" t="s">
        <v>2676</v>
      </c>
    </row>
    <row r="1743" spans="1:13">
      <c r="A1743" t="s">
        <v>997</v>
      </c>
      <c r="B1743" t="s">
        <v>139</v>
      </c>
      <c r="C1743" s="8">
        <v>45945</v>
      </c>
      <c r="D1743" t="s">
        <v>332</v>
      </c>
      <c r="E1743" t="s">
        <v>322</v>
      </c>
      <c r="F1743" s="12">
        <v>50032</v>
      </c>
      <c r="G1743" s="13">
        <v>5</v>
      </c>
      <c r="H1743" t="s">
        <v>2789</v>
      </c>
      <c r="I1743" s="8">
        <v>46277</v>
      </c>
      <c r="J1743" t="s">
        <v>2688</v>
      </c>
      <c r="K1743" t="s">
        <v>2689</v>
      </c>
      <c r="L1743" s="13">
        <v>8000</v>
      </c>
      <c r="M1743" t="s">
        <v>2661</v>
      </c>
    </row>
    <row r="1744" spans="1:13">
      <c r="A1744" t="s">
        <v>997</v>
      </c>
      <c r="B1744" t="s">
        <v>139</v>
      </c>
      <c r="C1744" s="8">
        <v>45945</v>
      </c>
      <c r="D1744" t="s">
        <v>332</v>
      </c>
      <c r="E1744" t="s">
        <v>322</v>
      </c>
      <c r="F1744" s="12">
        <v>50032</v>
      </c>
      <c r="G1744" s="13">
        <v>5</v>
      </c>
      <c r="H1744" t="s">
        <v>3190</v>
      </c>
      <c r="I1744" s="8">
        <v>46132</v>
      </c>
      <c r="J1744" t="s">
        <v>2685</v>
      </c>
      <c r="K1744" t="s">
        <v>2686</v>
      </c>
      <c r="L1744" s="13">
        <v>5000</v>
      </c>
      <c r="M1744" t="s">
        <v>2676</v>
      </c>
    </row>
    <row r="1745" spans="1:13">
      <c r="A1745" t="s">
        <v>997</v>
      </c>
      <c r="B1745" t="s">
        <v>139</v>
      </c>
      <c r="C1745" s="8">
        <v>45945</v>
      </c>
      <c r="D1745" t="s">
        <v>332</v>
      </c>
      <c r="E1745" t="s">
        <v>322</v>
      </c>
      <c r="F1745" s="12">
        <v>50032</v>
      </c>
      <c r="G1745" s="13">
        <v>5</v>
      </c>
      <c r="H1745" t="s">
        <v>3216</v>
      </c>
      <c r="I1745" s="8">
        <v>46268</v>
      </c>
      <c r="J1745" t="s">
        <v>2668</v>
      </c>
      <c r="K1745" t="s">
        <v>2669</v>
      </c>
      <c r="L1745" s="13">
        <v>4000</v>
      </c>
      <c r="M1745" t="s">
        <v>2676</v>
      </c>
    </row>
    <row r="1746" spans="1:13">
      <c r="A1746" t="s">
        <v>1064</v>
      </c>
      <c r="B1746" t="s">
        <v>139</v>
      </c>
      <c r="C1746" s="8">
        <v>46262</v>
      </c>
      <c r="D1746" t="s">
        <v>330</v>
      </c>
      <c r="E1746" t="s">
        <v>337</v>
      </c>
      <c r="F1746" s="12">
        <v>447484</v>
      </c>
      <c r="G1746" s="13">
        <v>44</v>
      </c>
      <c r="H1746" t="s">
        <v>2789</v>
      </c>
      <c r="I1746" s="8">
        <v>46277</v>
      </c>
      <c r="J1746" t="s">
        <v>2688</v>
      </c>
      <c r="K1746" t="s">
        <v>2689</v>
      </c>
      <c r="L1746" s="13">
        <v>8000</v>
      </c>
      <c r="M1746" t="s">
        <v>2661</v>
      </c>
    </row>
    <row r="1747" spans="1:13">
      <c r="A1747" t="s">
        <v>1064</v>
      </c>
      <c r="B1747" t="s">
        <v>139</v>
      </c>
      <c r="C1747" s="8">
        <v>46262</v>
      </c>
      <c r="D1747" t="s">
        <v>330</v>
      </c>
      <c r="E1747" t="s">
        <v>337</v>
      </c>
      <c r="F1747" s="12">
        <v>447484</v>
      </c>
      <c r="G1747" s="13">
        <v>44</v>
      </c>
      <c r="H1747" t="s">
        <v>3190</v>
      </c>
      <c r="I1747" s="8">
        <v>46132</v>
      </c>
      <c r="J1747" t="s">
        <v>2685</v>
      </c>
      <c r="K1747" t="s">
        <v>2686</v>
      </c>
      <c r="L1747" s="13">
        <v>5000</v>
      </c>
      <c r="M1747" t="s">
        <v>2676</v>
      </c>
    </row>
    <row r="1748" spans="1:13">
      <c r="A1748" t="s">
        <v>1064</v>
      </c>
      <c r="B1748" t="s">
        <v>139</v>
      </c>
      <c r="C1748" s="8">
        <v>46262</v>
      </c>
      <c r="D1748" t="s">
        <v>330</v>
      </c>
      <c r="E1748" t="s">
        <v>337</v>
      </c>
      <c r="F1748" s="12">
        <v>447484</v>
      </c>
      <c r="G1748" s="13">
        <v>44</v>
      </c>
      <c r="H1748" t="s">
        <v>3216</v>
      </c>
      <c r="I1748" s="8">
        <v>46268</v>
      </c>
      <c r="J1748" t="s">
        <v>2668</v>
      </c>
      <c r="K1748" t="s">
        <v>2669</v>
      </c>
      <c r="L1748" s="13">
        <v>4000</v>
      </c>
      <c r="M1748" t="s">
        <v>2676</v>
      </c>
    </row>
    <row r="1749" spans="1:13">
      <c r="A1749" t="s">
        <v>445</v>
      </c>
      <c r="B1749" t="s">
        <v>182</v>
      </c>
      <c r="C1749" s="8">
        <v>46048</v>
      </c>
      <c r="D1749" t="s">
        <v>332</v>
      </c>
      <c r="E1749" t="s">
        <v>334</v>
      </c>
      <c r="F1749" s="12">
        <v>504536</v>
      </c>
      <c r="G1749" s="13">
        <v>50</v>
      </c>
      <c r="H1749" t="s">
        <v>3339</v>
      </c>
      <c r="I1749" s="8">
        <v>46065</v>
      </c>
      <c r="J1749" t="s">
        <v>2674</v>
      </c>
      <c r="K1749" t="s">
        <v>2675</v>
      </c>
      <c r="L1749" s="13">
        <v>20000</v>
      </c>
      <c r="M1749" t="s">
        <v>2661</v>
      </c>
    </row>
    <row r="1750" spans="1:13">
      <c r="A1750" t="s">
        <v>451</v>
      </c>
      <c r="B1750" t="s">
        <v>182</v>
      </c>
      <c r="C1750" s="8">
        <v>46260</v>
      </c>
      <c r="D1750" t="s">
        <v>324</v>
      </c>
      <c r="E1750" t="s">
        <v>328</v>
      </c>
      <c r="F1750" s="12">
        <v>343564</v>
      </c>
      <c r="G1750" s="13">
        <v>34</v>
      </c>
      <c r="H1750" t="s">
        <v>3339</v>
      </c>
      <c r="I1750" s="8">
        <v>46065</v>
      </c>
      <c r="J1750" t="s">
        <v>2674</v>
      </c>
      <c r="K1750" t="s">
        <v>2675</v>
      </c>
      <c r="L1750" s="13">
        <v>20000</v>
      </c>
      <c r="M1750" t="s">
        <v>2661</v>
      </c>
    </row>
    <row r="1751" spans="1:13">
      <c r="A1751" t="s">
        <v>594</v>
      </c>
      <c r="B1751" t="s">
        <v>43</v>
      </c>
      <c r="C1751" s="8">
        <v>46104</v>
      </c>
      <c r="D1751" t="s">
        <v>344</v>
      </c>
      <c r="E1751" t="s">
        <v>337</v>
      </c>
      <c r="F1751" s="12">
        <v>264116</v>
      </c>
      <c r="G1751" s="13">
        <v>26</v>
      </c>
      <c r="H1751" t="s">
        <v>2790</v>
      </c>
      <c r="I1751" s="8">
        <v>46099</v>
      </c>
      <c r="J1751" t="s">
        <v>2665</v>
      </c>
      <c r="K1751" t="s">
        <v>2666</v>
      </c>
      <c r="L1751" s="13">
        <v>2500</v>
      </c>
      <c r="M1751" t="s">
        <v>2661</v>
      </c>
    </row>
    <row r="1752" spans="1:13">
      <c r="A1752" t="s">
        <v>594</v>
      </c>
      <c r="B1752" t="s">
        <v>43</v>
      </c>
      <c r="C1752" s="8">
        <v>46104</v>
      </c>
      <c r="D1752" t="s">
        <v>344</v>
      </c>
      <c r="E1752" t="s">
        <v>337</v>
      </c>
      <c r="F1752" s="12">
        <v>264116</v>
      </c>
      <c r="G1752" s="13">
        <v>26</v>
      </c>
      <c r="H1752" t="s">
        <v>2970</v>
      </c>
      <c r="I1752" s="8">
        <v>46077</v>
      </c>
      <c r="J1752" t="s">
        <v>2665</v>
      </c>
      <c r="K1752" t="s">
        <v>2666</v>
      </c>
      <c r="L1752" s="13">
        <v>2500</v>
      </c>
      <c r="M1752" t="s">
        <v>2676</v>
      </c>
    </row>
    <row r="1753" spans="1:13">
      <c r="A1753" t="s">
        <v>594</v>
      </c>
      <c r="B1753" t="s">
        <v>43</v>
      </c>
      <c r="C1753" s="8">
        <v>46104</v>
      </c>
      <c r="D1753" t="s">
        <v>344</v>
      </c>
      <c r="E1753" t="s">
        <v>337</v>
      </c>
      <c r="F1753" s="12">
        <v>264116</v>
      </c>
      <c r="G1753" s="13">
        <v>26</v>
      </c>
      <c r="H1753" t="s">
        <v>3068</v>
      </c>
      <c r="I1753" s="8">
        <v>46081</v>
      </c>
      <c r="J1753" t="s">
        <v>2674</v>
      </c>
      <c r="K1753" t="s">
        <v>2675</v>
      </c>
      <c r="L1753" s="13">
        <v>20000</v>
      </c>
      <c r="M1753" t="s">
        <v>2661</v>
      </c>
    </row>
    <row r="1754" spans="1:13">
      <c r="A1754" t="s">
        <v>594</v>
      </c>
      <c r="B1754" t="s">
        <v>43</v>
      </c>
      <c r="C1754" s="8">
        <v>46104</v>
      </c>
      <c r="D1754" t="s">
        <v>344</v>
      </c>
      <c r="E1754" t="s">
        <v>337</v>
      </c>
      <c r="F1754" s="12">
        <v>264116</v>
      </c>
      <c r="G1754" s="13">
        <v>26</v>
      </c>
      <c r="H1754" t="s">
        <v>3209</v>
      </c>
      <c r="I1754" s="8">
        <v>46183</v>
      </c>
      <c r="J1754" t="s">
        <v>2685</v>
      </c>
      <c r="K1754" t="s">
        <v>2686</v>
      </c>
      <c r="L1754" s="13">
        <v>5000</v>
      </c>
      <c r="M1754" t="s">
        <v>2676</v>
      </c>
    </row>
    <row r="1755" spans="1:13">
      <c r="A1755" t="s">
        <v>594</v>
      </c>
      <c r="B1755" t="s">
        <v>43</v>
      </c>
      <c r="C1755" s="8">
        <v>46104</v>
      </c>
      <c r="D1755" t="s">
        <v>344</v>
      </c>
      <c r="E1755" t="s">
        <v>337</v>
      </c>
      <c r="F1755" s="12">
        <v>264116</v>
      </c>
      <c r="G1755" s="13">
        <v>26</v>
      </c>
      <c r="H1755" t="s">
        <v>3281</v>
      </c>
      <c r="I1755" s="8">
        <v>46099</v>
      </c>
      <c r="J1755" t="s">
        <v>2692</v>
      </c>
      <c r="K1755" t="s">
        <v>2693</v>
      </c>
      <c r="L1755" s="13">
        <v>10000</v>
      </c>
      <c r="M1755" t="s">
        <v>2676</v>
      </c>
    </row>
    <row r="1756" spans="1:13">
      <c r="A1756" t="s">
        <v>594</v>
      </c>
      <c r="B1756" t="s">
        <v>43</v>
      </c>
      <c r="C1756" s="8">
        <v>46104</v>
      </c>
      <c r="D1756" t="s">
        <v>344</v>
      </c>
      <c r="E1756" t="s">
        <v>337</v>
      </c>
      <c r="F1756" s="12">
        <v>264116</v>
      </c>
      <c r="G1756" s="13">
        <v>26</v>
      </c>
      <c r="H1756" t="s">
        <v>3472</v>
      </c>
      <c r="I1756" s="8">
        <v>46141</v>
      </c>
      <c r="J1756" t="s">
        <v>2692</v>
      </c>
      <c r="K1756" t="s">
        <v>2693</v>
      </c>
      <c r="L1756" s="13">
        <v>10000</v>
      </c>
      <c r="M1756" t="s">
        <v>2661</v>
      </c>
    </row>
    <row r="1757" spans="1:13">
      <c r="A1757" t="s">
        <v>599</v>
      </c>
      <c r="B1757" t="s">
        <v>43</v>
      </c>
      <c r="C1757" s="8">
        <v>46060</v>
      </c>
      <c r="D1757" t="s">
        <v>350</v>
      </c>
      <c r="E1757" t="s">
        <v>334</v>
      </c>
      <c r="F1757" s="12">
        <v>201295</v>
      </c>
      <c r="G1757" s="13">
        <v>20</v>
      </c>
      <c r="H1757" t="s">
        <v>2790</v>
      </c>
      <c r="I1757" s="8">
        <v>46099</v>
      </c>
      <c r="J1757" t="s">
        <v>2665</v>
      </c>
      <c r="K1757" t="s">
        <v>2666</v>
      </c>
      <c r="L1757" s="13">
        <v>2500</v>
      </c>
      <c r="M1757" t="s">
        <v>2661</v>
      </c>
    </row>
    <row r="1758" spans="1:13">
      <c r="A1758" t="s">
        <v>599</v>
      </c>
      <c r="B1758" t="s">
        <v>43</v>
      </c>
      <c r="C1758" s="8">
        <v>46060</v>
      </c>
      <c r="D1758" t="s">
        <v>350</v>
      </c>
      <c r="E1758" t="s">
        <v>334</v>
      </c>
      <c r="F1758" s="12">
        <v>201295</v>
      </c>
      <c r="G1758" s="13">
        <v>20</v>
      </c>
      <c r="H1758" t="s">
        <v>2970</v>
      </c>
      <c r="I1758" s="8">
        <v>46077</v>
      </c>
      <c r="J1758" t="s">
        <v>2665</v>
      </c>
      <c r="K1758" t="s">
        <v>2666</v>
      </c>
      <c r="L1758" s="13">
        <v>2500</v>
      </c>
      <c r="M1758" t="s">
        <v>2676</v>
      </c>
    </row>
    <row r="1759" spans="1:13">
      <c r="A1759" t="s">
        <v>599</v>
      </c>
      <c r="B1759" t="s">
        <v>43</v>
      </c>
      <c r="C1759" s="8">
        <v>46060</v>
      </c>
      <c r="D1759" t="s">
        <v>350</v>
      </c>
      <c r="E1759" t="s">
        <v>334</v>
      </c>
      <c r="F1759" s="12">
        <v>201295</v>
      </c>
      <c r="G1759" s="13">
        <v>20</v>
      </c>
      <c r="H1759" t="s">
        <v>3068</v>
      </c>
      <c r="I1759" s="8">
        <v>46081</v>
      </c>
      <c r="J1759" t="s">
        <v>2674</v>
      </c>
      <c r="K1759" t="s">
        <v>2675</v>
      </c>
      <c r="L1759" s="13">
        <v>20000</v>
      </c>
      <c r="M1759" t="s">
        <v>2661</v>
      </c>
    </row>
    <row r="1760" spans="1:13">
      <c r="A1760" t="s">
        <v>599</v>
      </c>
      <c r="B1760" t="s">
        <v>43</v>
      </c>
      <c r="C1760" s="8">
        <v>46060</v>
      </c>
      <c r="D1760" t="s">
        <v>350</v>
      </c>
      <c r="E1760" t="s">
        <v>334</v>
      </c>
      <c r="F1760" s="12">
        <v>201295</v>
      </c>
      <c r="G1760" s="13">
        <v>20</v>
      </c>
      <c r="H1760" t="s">
        <v>3209</v>
      </c>
      <c r="I1760" s="8">
        <v>46183</v>
      </c>
      <c r="J1760" t="s">
        <v>2685</v>
      </c>
      <c r="K1760" t="s">
        <v>2686</v>
      </c>
      <c r="L1760" s="13">
        <v>5000</v>
      </c>
      <c r="M1760" t="s">
        <v>2676</v>
      </c>
    </row>
    <row r="1761" spans="1:13">
      <c r="A1761" t="s">
        <v>599</v>
      </c>
      <c r="B1761" t="s">
        <v>43</v>
      </c>
      <c r="C1761" s="8">
        <v>46060</v>
      </c>
      <c r="D1761" t="s">
        <v>350</v>
      </c>
      <c r="E1761" t="s">
        <v>334</v>
      </c>
      <c r="F1761" s="12">
        <v>201295</v>
      </c>
      <c r="G1761" s="13">
        <v>20</v>
      </c>
      <c r="H1761" t="s">
        <v>3281</v>
      </c>
      <c r="I1761" s="8">
        <v>46099</v>
      </c>
      <c r="J1761" t="s">
        <v>2692</v>
      </c>
      <c r="K1761" t="s">
        <v>2693</v>
      </c>
      <c r="L1761" s="13">
        <v>10000</v>
      </c>
      <c r="M1761" t="s">
        <v>2676</v>
      </c>
    </row>
    <row r="1762" spans="1:13">
      <c r="A1762" t="s">
        <v>599</v>
      </c>
      <c r="B1762" t="s">
        <v>43</v>
      </c>
      <c r="C1762" s="8">
        <v>46060</v>
      </c>
      <c r="D1762" t="s">
        <v>350</v>
      </c>
      <c r="E1762" t="s">
        <v>334</v>
      </c>
      <c r="F1762" s="12">
        <v>201295</v>
      </c>
      <c r="G1762" s="13">
        <v>20</v>
      </c>
      <c r="H1762" t="s">
        <v>3472</v>
      </c>
      <c r="I1762" s="8">
        <v>46141</v>
      </c>
      <c r="J1762" t="s">
        <v>2692</v>
      </c>
      <c r="K1762" t="s">
        <v>2693</v>
      </c>
      <c r="L1762" s="13">
        <v>10000</v>
      </c>
      <c r="M1762" t="s">
        <v>2661</v>
      </c>
    </row>
    <row r="1763" spans="1:13">
      <c r="A1763" t="s">
        <v>658</v>
      </c>
      <c r="B1763" t="s">
        <v>43</v>
      </c>
      <c r="C1763" s="8">
        <v>46075</v>
      </c>
      <c r="D1763" t="s">
        <v>332</v>
      </c>
      <c r="E1763" t="s">
        <v>325</v>
      </c>
      <c r="F1763" s="12">
        <v>118898</v>
      </c>
      <c r="G1763" s="13">
        <v>11</v>
      </c>
      <c r="H1763" t="s">
        <v>2790</v>
      </c>
      <c r="I1763" s="8">
        <v>46099</v>
      </c>
      <c r="J1763" t="s">
        <v>2665</v>
      </c>
      <c r="K1763" t="s">
        <v>2666</v>
      </c>
      <c r="L1763" s="13">
        <v>2500</v>
      </c>
      <c r="M1763" t="s">
        <v>2661</v>
      </c>
    </row>
    <row r="1764" spans="1:13">
      <c r="A1764" t="s">
        <v>658</v>
      </c>
      <c r="B1764" t="s">
        <v>43</v>
      </c>
      <c r="C1764" s="8">
        <v>46075</v>
      </c>
      <c r="D1764" t="s">
        <v>332</v>
      </c>
      <c r="E1764" t="s">
        <v>325</v>
      </c>
      <c r="F1764" s="12">
        <v>118898</v>
      </c>
      <c r="G1764" s="13">
        <v>11</v>
      </c>
      <c r="H1764" t="s">
        <v>2970</v>
      </c>
      <c r="I1764" s="8">
        <v>46077</v>
      </c>
      <c r="J1764" t="s">
        <v>2665</v>
      </c>
      <c r="K1764" t="s">
        <v>2666</v>
      </c>
      <c r="L1764" s="13">
        <v>2500</v>
      </c>
      <c r="M1764" t="s">
        <v>2676</v>
      </c>
    </row>
    <row r="1765" spans="1:13">
      <c r="A1765" t="s">
        <v>658</v>
      </c>
      <c r="B1765" t="s">
        <v>43</v>
      </c>
      <c r="C1765" s="8">
        <v>46075</v>
      </c>
      <c r="D1765" t="s">
        <v>332</v>
      </c>
      <c r="E1765" t="s">
        <v>325</v>
      </c>
      <c r="F1765" s="12">
        <v>118898</v>
      </c>
      <c r="G1765" s="13">
        <v>11</v>
      </c>
      <c r="H1765" t="s">
        <v>3068</v>
      </c>
      <c r="I1765" s="8">
        <v>46081</v>
      </c>
      <c r="J1765" t="s">
        <v>2674</v>
      </c>
      <c r="K1765" t="s">
        <v>2675</v>
      </c>
      <c r="L1765" s="13">
        <v>20000</v>
      </c>
      <c r="M1765" t="s">
        <v>2661</v>
      </c>
    </row>
    <row r="1766" spans="1:13">
      <c r="A1766" t="s">
        <v>658</v>
      </c>
      <c r="B1766" t="s">
        <v>43</v>
      </c>
      <c r="C1766" s="8">
        <v>46075</v>
      </c>
      <c r="D1766" t="s">
        <v>332</v>
      </c>
      <c r="E1766" t="s">
        <v>325</v>
      </c>
      <c r="F1766" s="12">
        <v>118898</v>
      </c>
      <c r="G1766" s="13">
        <v>11</v>
      </c>
      <c r="H1766" t="s">
        <v>3209</v>
      </c>
      <c r="I1766" s="8">
        <v>46183</v>
      </c>
      <c r="J1766" t="s">
        <v>2685</v>
      </c>
      <c r="K1766" t="s">
        <v>2686</v>
      </c>
      <c r="L1766" s="13">
        <v>5000</v>
      </c>
      <c r="M1766" t="s">
        <v>2676</v>
      </c>
    </row>
    <row r="1767" spans="1:13">
      <c r="A1767" t="s">
        <v>658</v>
      </c>
      <c r="B1767" t="s">
        <v>43</v>
      </c>
      <c r="C1767" s="8">
        <v>46075</v>
      </c>
      <c r="D1767" t="s">
        <v>332</v>
      </c>
      <c r="E1767" t="s">
        <v>325</v>
      </c>
      <c r="F1767" s="12">
        <v>118898</v>
      </c>
      <c r="G1767" s="13">
        <v>11</v>
      </c>
      <c r="H1767" t="s">
        <v>3281</v>
      </c>
      <c r="I1767" s="8">
        <v>46099</v>
      </c>
      <c r="J1767" t="s">
        <v>2692</v>
      </c>
      <c r="K1767" t="s">
        <v>2693</v>
      </c>
      <c r="L1767" s="13">
        <v>10000</v>
      </c>
      <c r="M1767" t="s">
        <v>2676</v>
      </c>
    </row>
    <row r="1768" spans="1:13">
      <c r="A1768" t="s">
        <v>658</v>
      </c>
      <c r="B1768" t="s">
        <v>43</v>
      </c>
      <c r="C1768" s="8">
        <v>46075</v>
      </c>
      <c r="D1768" t="s">
        <v>332</v>
      </c>
      <c r="E1768" t="s">
        <v>325</v>
      </c>
      <c r="F1768" s="12">
        <v>118898</v>
      </c>
      <c r="G1768" s="13">
        <v>11</v>
      </c>
      <c r="H1768" t="s">
        <v>3472</v>
      </c>
      <c r="I1768" s="8">
        <v>46141</v>
      </c>
      <c r="J1768" t="s">
        <v>2692</v>
      </c>
      <c r="K1768" t="s">
        <v>2693</v>
      </c>
      <c r="L1768" s="13">
        <v>10000</v>
      </c>
      <c r="M1768" t="s">
        <v>2661</v>
      </c>
    </row>
    <row r="1769" spans="1:13">
      <c r="A1769" t="s">
        <v>932</v>
      </c>
      <c r="B1769" t="s">
        <v>43</v>
      </c>
      <c r="C1769" s="8">
        <v>46262</v>
      </c>
      <c r="D1769" t="s">
        <v>327</v>
      </c>
      <c r="E1769" t="s">
        <v>322</v>
      </c>
      <c r="F1769" s="12">
        <v>168440</v>
      </c>
      <c r="G1769" s="13">
        <v>16</v>
      </c>
      <c r="H1769" t="s">
        <v>2790</v>
      </c>
      <c r="I1769" s="8">
        <v>46099</v>
      </c>
      <c r="J1769" t="s">
        <v>2665</v>
      </c>
      <c r="K1769" t="s">
        <v>2666</v>
      </c>
      <c r="L1769" s="13">
        <v>2500</v>
      </c>
      <c r="M1769" t="s">
        <v>2661</v>
      </c>
    </row>
    <row r="1770" spans="1:13">
      <c r="A1770" t="s">
        <v>932</v>
      </c>
      <c r="B1770" t="s">
        <v>43</v>
      </c>
      <c r="C1770" s="8">
        <v>46262</v>
      </c>
      <c r="D1770" t="s">
        <v>327</v>
      </c>
      <c r="E1770" t="s">
        <v>322</v>
      </c>
      <c r="F1770" s="12">
        <v>168440</v>
      </c>
      <c r="G1770" s="13">
        <v>16</v>
      </c>
      <c r="H1770" t="s">
        <v>2970</v>
      </c>
      <c r="I1770" s="8">
        <v>46077</v>
      </c>
      <c r="J1770" t="s">
        <v>2665</v>
      </c>
      <c r="K1770" t="s">
        <v>2666</v>
      </c>
      <c r="L1770" s="13">
        <v>2500</v>
      </c>
      <c r="M1770" t="s">
        <v>2676</v>
      </c>
    </row>
    <row r="1771" spans="1:13">
      <c r="A1771" t="s">
        <v>932</v>
      </c>
      <c r="B1771" t="s">
        <v>43</v>
      </c>
      <c r="C1771" s="8">
        <v>46262</v>
      </c>
      <c r="D1771" t="s">
        <v>327</v>
      </c>
      <c r="E1771" t="s">
        <v>322</v>
      </c>
      <c r="F1771" s="12">
        <v>168440</v>
      </c>
      <c r="G1771" s="13">
        <v>16</v>
      </c>
      <c r="H1771" t="s">
        <v>3068</v>
      </c>
      <c r="I1771" s="8">
        <v>46081</v>
      </c>
      <c r="J1771" t="s">
        <v>2674</v>
      </c>
      <c r="K1771" t="s">
        <v>2675</v>
      </c>
      <c r="L1771" s="13">
        <v>20000</v>
      </c>
      <c r="M1771" t="s">
        <v>2661</v>
      </c>
    </row>
    <row r="1772" spans="1:13">
      <c r="A1772" t="s">
        <v>932</v>
      </c>
      <c r="B1772" t="s">
        <v>43</v>
      </c>
      <c r="C1772" s="8">
        <v>46262</v>
      </c>
      <c r="D1772" t="s">
        <v>327</v>
      </c>
      <c r="E1772" t="s">
        <v>322</v>
      </c>
      <c r="F1772" s="12">
        <v>168440</v>
      </c>
      <c r="G1772" s="13">
        <v>16</v>
      </c>
      <c r="H1772" t="s">
        <v>3209</v>
      </c>
      <c r="I1772" s="8">
        <v>46183</v>
      </c>
      <c r="J1772" t="s">
        <v>2685</v>
      </c>
      <c r="K1772" t="s">
        <v>2686</v>
      </c>
      <c r="L1772" s="13">
        <v>5000</v>
      </c>
      <c r="M1772" t="s">
        <v>2676</v>
      </c>
    </row>
    <row r="1773" spans="1:13">
      <c r="A1773" t="s">
        <v>932</v>
      </c>
      <c r="B1773" t="s">
        <v>43</v>
      </c>
      <c r="C1773" s="8">
        <v>46262</v>
      </c>
      <c r="D1773" t="s">
        <v>327</v>
      </c>
      <c r="E1773" t="s">
        <v>322</v>
      </c>
      <c r="F1773" s="12">
        <v>168440</v>
      </c>
      <c r="G1773" s="13">
        <v>16</v>
      </c>
      <c r="H1773" t="s">
        <v>3281</v>
      </c>
      <c r="I1773" s="8">
        <v>46099</v>
      </c>
      <c r="J1773" t="s">
        <v>2692</v>
      </c>
      <c r="K1773" t="s">
        <v>2693</v>
      </c>
      <c r="L1773" s="13">
        <v>10000</v>
      </c>
      <c r="M1773" t="s">
        <v>2676</v>
      </c>
    </row>
    <row r="1774" spans="1:13">
      <c r="A1774" t="s">
        <v>932</v>
      </c>
      <c r="B1774" t="s">
        <v>43</v>
      </c>
      <c r="C1774" s="8">
        <v>46262</v>
      </c>
      <c r="D1774" t="s">
        <v>327</v>
      </c>
      <c r="E1774" t="s">
        <v>322</v>
      </c>
      <c r="F1774" s="12">
        <v>168440</v>
      </c>
      <c r="G1774" s="13">
        <v>16</v>
      </c>
      <c r="H1774" t="s">
        <v>3472</v>
      </c>
      <c r="I1774" s="8">
        <v>46141</v>
      </c>
      <c r="J1774" t="s">
        <v>2692</v>
      </c>
      <c r="K1774" t="s">
        <v>2693</v>
      </c>
      <c r="L1774" s="13">
        <v>10000</v>
      </c>
      <c r="M1774" t="s">
        <v>2661</v>
      </c>
    </row>
    <row r="1775" spans="1:13">
      <c r="A1775" t="s">
        <v>1224</v>
      </c>
      <c r="B1775" t="s">
        <v>43</v>
      </c>
      <c r="C1775" s="8">
        <v>46278</v>
      </c>
      <c r="D1775" t="s">
        <v>332</v>
      </c>
      <c r="E1775" t="s">
        <v>334</v>
      </c>
      <c r="F1775" s="12">
        <v>163670</v>
      </c>
      <c r="G1775" s="13">
        <v>16</v>
      </c>
      <c r="H1775" t="s">
        <v>2790</v>
      </c>
      <c r="I1775" s="8">
        <v>46099</v>
      </c>
      <c r="J1775" t="s">
        <v>2665</v>
      </c>
      <c r="K1775" t="s">
        <v>2666</v>
      </c>
      <c r="L1775" s="13">
        <v>2500</v>
      </c>
      <c r="M1775" t="s">
        <v>2661</v>
      </c>
    </row>
    <row r="1776" spans="1:13">
      <c r="A1776" t="s">
        <v>1224</v>
      </c>
      <c r="B1776" t="s">
        <v>43</v>
      </c>
      <c r="C1776" s="8">
        <v>46278</v>
      </c>
      <c r="D1776" t="s">
        <v>332</v>
      </c>
      <c r="E1776" t="s">
        <v>334</v>
      </c>
      <c r="F1776" s="12">
        <v>163670</v>
      </c>
      <c r="G1776" s="13">
        <v>16</v>
      </c>
      <c r="H1776" t="s">
        <v>2970</v>
      </c>
      <c r="I1776" s="8">
        <v>46077</v>
      </c>
      <c r="J1776" t="s">
        <v>2665</v>
      </c>
      <c r="K1776" t="s">
        <v>2666</v>
      </c>
      <c r="L1776" s="13">
        <v>2500</v>
      </c>
      <c r="M1776" t="s">
        <v>2676</v>
      </c>
    </row>
    <row r="1777" spans="1:13">
      <c r="A1777" t="s">
        <v>1224</v>
      </c>
      <c r="B1777" t="s">
        <v>43</v>
      </c>
      <c r="C1777" s="8">
        <v>46278</v>
      </c>
      <c r="D1777" t="s">
        <v>332</v>
      </c>
      <c r="E1777" t="s">
        <v>334</v>
      </c>
      <c r="F1777" s="12">
        <v>163670</v>
      </c>
      <c r="G1777" s="13">
        <v>16</v>
      </c>
      <c r="H1777" t="s">
        <v>3068</v>
      </c>
      <c r="I1777" s="8">
        <v>46081</v>
      </c>
      <c r="J1777" t="s">
        <v>2674</v>
      </c>
      <c r="K1777" t="s">
        <v>2675</v>
      </c>
      <c r="L1777" s="13">
        <v>20000</v>
      </c>
      <c r="M1777" t="s">
        <v>2661</v>
      </c>
    </row>
    <row r="1778" spans="1:13">
      <c r="A1778" t="s">
        <v>1224</v>
      </c>
      <c r="B1778" t="s">
        <v>43</v>
      </c>
      <c r="C1778" s="8">
        <v>46278</v>
      </c>
      <c r="D1778" t="s">
        <v>332</v>
      </c>
      <c r="E1778" t="s">
        <v>334</v>
      </c>
      <c r="F1778" s="12">
        <v>163670</v>
      </c>
      <c r="G1778" s="13">
        <v>16</v>
      </c>
      <c r="H1778" t="s">
        <v>3209</v>
      </c>
      <c r="I1778" s="8">
        <v>46183</v>
      </c>
      <c r="J1778" t="s">
        <v>2685</v>
      </c>
      <c r="K1778" t="s">
        <v>2686</v>
      </c>
      <c r="L1778" s="13">
        <v>5000</v>
      </c>
      <c r="M1778" t="s">
        <v>2676</v>
      </c>
    </row>
    <row r="1779" spans="1:13">
      <c r="A1779" t="s">
        <v>1224</v>
      </c>
      <c r="B1779" t="s">
        <v>43</v>
      </c>
      <c r="C1779" s="8">
        <v>46278</v>
      </c>
      <c r="D1779" t="s">
        <v>332</v>
      </c>
      <c r="E1779" t="s">
        <v>334</v>
      </c>
      <c r="F1779" s="12">
        <v>163670</v>
      </c>
      <c r="G1779" s="13">
        <v>16</v>
      </c>
      <c r="H1779" t="s">
        <v>3281</v>
      </c>
      <c r="I1779" s="8">
        <v>46099</v>
      </c>
      <c r="J1779" t="s">
        <v>2692</v>
      </c>
      <c r="K1779" t="s">
        <v>2693</v>
      </c>
      <c r="L1779" s="13">
        <v>10000</v>
      </c>
      <c r="M1779" t="s">
        <v>2676</v>
      </c>
    </row>
    <row r="1780" spans="1:13">
      <c r="A1780" t="s">
        <v>1224</v>
      </c>
      <c r="B1780" t="s">
        <v>43</v>
      </c>
      <c r="C1780" s="8">
        <v>46278</v>
      </c>
      <c r="D1780" t="s">
        <v>332</v>
      </c>
      <c r="E1780" t="s">
        <v>334</v>
      </c>
      <c r="F1780" s="12">
        <v>163670</v>
      </c>
      <c r="G1780" s="13">
        <v>16</v>
      </c>
      <c r="H1780" t="s">
        <v>3472</v>
      </c>
      <c r="I1780" s="8">
        <v>46141</v>
      </c>
      <c r="J1780" t="s">
        <v>2692</v>
      </c>
      <c r="K1780" t="s">
        <v>2693</v>
      </c>
      <c r="L1780" s="13">
        <v>10000</v>
      </c>
      <c r="M1780" t="s">
        <v>2661</v>
      </c>
    </row>
    <row r="1781" spans="1:13">
      <c r="A1781" t="s">
        <v>446</v>
      </c>
      <c r="B1781" t="s">
        <v>102</v>
      </c>
      <c r="C1781" s="8">
        <v>46129</v>
      </c>
      <c r="D1781" t="s">
        <v>332</v>
      </c>
      <c r="E1781" t="s">
        <v>339</v>
      </c>
      <c r="F1781" s="12">
        <v>416668</v>
      </c>
      <c r="G1781" s="13">
        <v>41</v>
      </c>
      <c r="H1781" t="s">
        <v>2797</v>
      </c>
      <c r="I1781" s="8">
        <v>46163</v>
      </c>
      <c r="J1781" t="s">
        <v>2665</v>
      </c>
      <c r="K1781" t="s">
        <v>2666</v>
      </c>
      <c r="L1781" s="13">
        <v>2500</v>
      </c>
      <c r="M1781" t="s">
        <v>2661</v>
      </c>
    </row>
    <row r="1782" spans="1:13">
      <c r="A1782" t="s">
        <v>446</v>
      </c>
      <c r="B1782" t="s">
        <v>102</v>
      </c>
      <c r="C1782" s="8">
        <v>46129</v>
      </c>
      <c r="D1782" t="s">
        <v>332</v>
      </c>
      <c r="E1782" t="s">
        <v>339</v>
      </c>
      <c r="F1782" s="12">
        <v>416668</v>
      </c>
      <c r="G1782" s="13">
        <v>41</v>
      </c>
      <c r="H1782" t="s">
        <v>3355</v>
      </c>
      <c r="I1782" s="8">
        <v>46029</v>
      </c>
      <c r="J1782" t="s">
        <v>2659</v>
      </c>
      <c r="K1782" t="s">
        <v>2660</v>
      </c>
      <c r="L1782" s="13">
        <v>3500</v>
      </c>
      <c r="M1782" t="s">
        <v>2676</v>
      </c>
    </row>
    <row r="1783" spans="1:13">
      <c r="A1783" t="s">
        <v>446</v>
      </c>
      <c r="B1783" t="s">
        <v>102</v>
      </c>
      <c r="C1783" s="8">
        <v>46129</v>
      </c>
      <c r="D1783" t="s">
        <v>332</v>
      </c>
      <c r="E1783" t="s">
        <v>339</v>
      </c>
      <c r="F1783" s="12">
        <v>416668</v>
      </c>
      <c r="G1783" s="13">
        <v>41</v>
      </c>
      <c r="H1783" t="s">
        <v>3360</v>
      </c>
      <c r="I1783" s="8">
        <v>46231</v>
      </c>
      <c r="J1783" t="s">
        <v>2674</v>
      </c>
      <c r="K1783" t="s">
        <v>2675</v>
      </c>
      <c r="L1783" s="13">
        <v>20000</v>
      </c>
      <c r="M1783" t="s">
        <v>2661</v>
      </c>
    </row>
    <row r="1784" spans="1:13">
      <c r="A1784" t="s">
        <v>446</v>
      </c>
      <c r="B1784" t="s">
        <v>102</v>
      </c>
      <c r="C1784" s="8">
        <v>46129</v>
      </c>
      <c r="D1784" t="s">
        <v>332</v>
      </c>
      <c r="E1784" t="s">
        <v>339</v>
      </c>
      <c r="F1784" s="12">
        <v>416668</v>
      </c>
      <c r="G1784" s="13">
        <v>41</v>
      </c>
      <c r="H1784" t="s">
        <v>3439</v>
      </c>
      <c r="I1784" s="8">
        <v>46268</v>
      </c>
      <c r="J1784" t="s">
        <v>2663</v>
      </c>
      <c r="K1784" t="s">
        <v>3630</v>
      </c>
      <c r="L1784" s="13">
        <v>1500</v>
      </c>
      <c r="M1784" t="s">
        <v>2661</v>
      </c>
    </row>
    <row r="1785" spans="1:13">
      <c r="A1785" t="s">
        <v>446</v>
      </c>
      <c r="B1785" t="s">
        <v>102</v>
      </c>
      <c r="C1785" s="8">
        <v>46129</v>
      </c>
      <c r="D1785" t="s">
        <v>332</v>
      </c>
      <c r="E1785" t="s">
        <v>339</v>
      </c>
      <c r="F1785" s="12">
        <v>416668</v>
      </c>
      <c r="G1785" s="13">
        <v>41</v>
      </c>
      <c r="H1785" t="s">
        <v>3565</v>
      </c>
      <c r="I1785" s="8">
        <v>46150</v>
      </c>
      <c r="J1785" t="s">
        <v>2674</v>
      </c>
      <c r="K1785" t="s">
        <v>2675</v>
      </c>
      <c r="L1785" s="13">
        <v>20000</v>
      </c>
      <c r="M1785" t="s">
        <v>2661</v>
      </c>
    </row>
    <row r="1786" spans="1:13">
      <c r="A1786" t="s">
        <v>476</v>
      </c>
      <c r="B1786" t="s">
        <v>102</v>
      </c>
      <c r="C1786" s="8">
        <v>46024</v>
      </c>
      <c r="D1786" t="s">
        <v>327</v>
      </c>
      <c r="E1786" t="s">
        <v>337</v>
      </c>
      <c r="F1786" s="12">
        <v>476157</v>
      </c>
      <c r="G1786" s="13">
        <v>47</v>
      </c>
      <c r="H1786" t="s">
        <v>2797</v>
      </c>
      <c r="I1786" s="8">
        <v>46163</v>
      </c>
      <c r="J1786" t="s">
        <v>2665</v>
      </c>
      <c r="K1786" t="s">
        <v>2666</v>
      </c>
      <c r="L1786" s="13">
        <v>2500</v>
      </c>
      <c r="M1786" t="s">
        <v>2661</v>
      </c>
    </row>
    <row r="1787" spans="1:13">
      <c r="A1787" t="s">
        <v>476</v>
      </c>
      <c r="B1787" t="s">
        <v>102</v>
      </c>
      <c r="C1787" s="8">
        <v>46024</v>
      </c>
      <c r="D1787" t="s">
        <v>327</v>
      </c>
      <c r="E1787" t="s">
        <v>337</v>
      </c>
      <c r="F1787" s="12">
        <v>476157</v>
      </c>
      <c r="G1787" s="13">
        <v>47</v>
      </c>
      <c r="H1787" t="s">
        <v>3355</v>
      </c>
      <c r="I1787" s="8">
        <v>46029</v>
      </c>
      <c r="J1787" t="s">
        <v>2659</v>
      </c>
      <c r="K1787" t="s">
        <v>2660</v>
      </c>
      <c r="L1787" s="13">
        <v>3500</v>
      </c>
      <c r="M1787" t="s">
        <v>2676</v>
      </c>
    </row>
    <row r="1788" spans="1:13">
      <c r="A1788" t="s">
        <v>476</v>
      </c>
      <c r="B1788" t="s">
        <v>102</v>
      </c>
      <c r="C1788" s="8">
        <v>46024</v>
      </c>
      <c r="D1788" t="s">
        <v>327</v>
      </c>
      <c r="E1788" t="s">
        <v>337</v>
      </c>
      <c r="F1788" s="12">
        <v>476157</v>
      </c>
      <c r="G1788" s="13">
        <v>47</v>
      </c>
      <c r="H1788" t="s">
        <v>3360</v>
      </c>
      <c r="I1788" s="8">
        <v>46231</v>
      </c>
      <c r="J1788" t="s">
        <v>2674</v>
      </c>
      <c r="K1788" t="s">
        <v>2675</v>
      </c>
      <c r="L1788" s="13">
        <v>20000</v>
      </c>
      <c r="M1788" t="s">
        <v>2661</v>
      </c>
    </row>
    <row r="1789" spans="1:13">
      <c r="A1789" t="s">
        <v>476</v>
      </c>
      <c r="B1789" t="s">
        <v>102</v>
      </c>
      <c r="C1789" s="8">
        <v>46024</v>
      </c>
      <c r="D1789" t="s">
        <v>327</v>
      </c>
      <c r="E1789" t="s">
        <v>337</v>
      </c>
      <c r="F1789" s="12">
        <v>476157</v>
      </c>
      <c r="G1789" s="13">
        <v>47</v>
      </c>
      <c r="H1789" t="s">
        <v>3439</v>
      </c>
      <c r="I1789" s="8">
        <v>46268</v>
      </c>
      <c r="J1789" t="s">
        <v>2663</v>
      </c>
      <c r="K1789" t="s">
        <v>3630</v>
      </c>
      <c r="L1789" s="13">
        <v>1500</v>
      </c>
      <c r="M1789" t="s">
        <v>2661</v>
      </c>
    </row>
    <row r="1790" spans="1:13">
      <c r="A1790" t="s">
        <v>476</v>
      </c>
      <c r="B1790" t="s">
        <v>102</v>
      </c>
      <c r="C1790" s="8">
        <v>46024</v>
      </c>
      <c r="D1790" t="s">
        <v>327</v>
      </c>
      <c r="E1790" t="s">
        <v>337</v>
      </c>
      <c r="F1790" s="12">
        <v>476157</v>
      </c>
      <c r="G1790" s="13">
        <v>47</v>
      </c>
      <c r="H1790" t="s">
        <v>3565</v>
      </c>
      <c r="I1790" s="8">
        <v>46150</v>
      </c>
      <c r="J1790" t="s">
        <v>2674</v>
      </c>
      <c r="K1790" t="s">
        <v>2675</v>
      </c>
      <c r="L1790" s="13">
        <v>20000</v>
      </c>
      <c r="M1790" t="s">
        <v>2661</v>
      </c>
    </row>
    <row r="1791" spans="1:13">
      <c r="A1791" t="s">
        <v>523</v>
      </c>
      <c r="B1791" t="s">
        <v>102</v>
      </c>
      <c r="C1791" s="8">
        <v>45989</v>
      </c>
      <c r="D1791" t="s">
        <v>327</v>
      </c>
      <c r="E1791" t="s">
        <v>334</v>
      </c>
      <c r="F1791" s="12">
        <v>496741</v>
      </c>
      <c r="G1791" s="13">
        <v>49</v>
      </c>
      <c r="H1791" t="s">
        <v>2797</v>
      </c>
      <c r="I1791" s="8">
        <v>46163</v>
      </c>
      <c r="J1791" t="s">
        <v>2665</v>
      </c>
      <c r="K1791" t="s">
        <v>2666</v>
      </c>
      <c r="L1791" s="13">
        <v>2500</v>
      </c>
      <c r="M1791" t="s">
        <v>2661</v>
      </c>
    </row>
    <row r="1792" spans="1:13">
      <c r="A1792" t="s">
        <v>523</v>
      </c>
      <c r="B1792" t="s">
        <v>102</v>
      </c>
      <c r="C1792" s="8">
        <v>45989</v>
      </c>
      <c r="D1792" t="s">
        <v>327</v>
      </c>
      <c r="E1792" t="s">
        <v>334</v>
      </c>
      <c r="F1792" s="12">
        <v>496741</v>
      </c>
      <c r="G1792" s="13">
        <v>49</v>
      </c>
      <c r="H1792" t="s">
        <v>3355</v>
      </c>
      <c r="I1792" s="8">
        <v>46029</v>
      </c>
      <c r="J1792" t="s">
        <v>2659</v>
      </c>
      <c r="K1792" t="s">
        <v>2660</v>
      </c>
      <c r="L1792" s="13">
        <v>3500</v>
      </c>
      <c r="M1792" t="s">
        <v>2676</v>
      </c>
    </row>
    <row r="1793" spans="1:13">
      <c r="A1793" t="s">
        <v>523</v>
      </c>
      <c r="B1793" t="s">
        <v>102</v>
      </c>
      <c r="C1793" s="8">
        <v>45989</v>
      </c>
      <c r="D1793" t="s">
        <v>327</v>
      </c>
      <c r="E1793" t="s">
        <v>334</v>
      </c>
      <c r="F1793" s="12">
        <v>496741</v>
      </c>
      <c r="G1793" s="13">
        <v>49</v>
      </c>
      <c r="H1793" t="s">
        <v>3360</v>
      </c>
      <c r="I1793" s="8">
        <v>46231</v>
      </c>
      <c r="J1793" t="s">
        <v>2674</v>
      </c>
      <c r="K1793" t="s">
        <v>2675</v>
      </c>
      <c r="L1793" s="13">
        <v>20000</v>
      </c>
      <c r="M1793" t="s">
        <v>2661</v>
      </c>
    </row>
    <row r="1794" spans="1:13">
      <c r="A1794" t="s">
        <v>523</v>
      </c>
      <c r="B1794" t="s">
        <v>102</v>
      </c>
      <c r="C1794" s="8">
        <v>45989</v>
      </c>
      <c r="D1794" t="s">
        <v>327</v>
      </c>
      <c r="E1794" t="s">
        <v>334</v>
      </c>
      <c r="F1794" s="12">
        <v>496741</v>
      </c>
      <c r="G1794" s="13">
        <v>49</v>
      </c>
      <c r="H1794" t="s">
        <v>3439</v>
      </c>
      <c r="I1794" s="8">
        <v>46268</v>
      </c>
      <c r="J1794" t="s">
        <v>2663</v>
      </c>
      <c r="K1794" t="s">
        <v>3630</v>
      </c>
      <c r="L1794" s="13">
        <v>1500</v>
      </c>
      <c r="M1794" t="s">
        <v>2661</v>
      </c>
    </row>
    <row r="1795" spans="1:13">
      <c r="A1795" t="s">
        <v>523</v>
      </c>
      <c r="B1795" t="s">
        <v>102</v>
      </c>
      <c r="C1795" s="8">
        <v>45989</v>
      </c>
      <c r="D1795" t="s">
        <v>327</v>
      </c>
      <c r="E1795" t="s">
        <v>334</v>
      </c>
      <c r="F1795" s="12">
        <v>496741</v>
      </c>
      <c r="G1795" s="13">
        <v>49</v>
      </c>
      <c r="H1795" t="s">
        <v>3565</v>
      </c>
      <c r="I1795" s="8">
        <v>46150</v>
      </c>
      <c r="J1795" t="s">
        <v>2674</v>
      </c>
      <c r="K1795" t="s">
        <v>2675</v>
      </c>
      <c r="L1795" s="13">
        <v>20000</v>
      </c>
      <c r="M1795" t="s">
        <v>2661</v>
      </c>
    </row>
    <row r="1796" spans="1:13">
      <c r="A1796" t="s">
        <v>590</v>
      </c>
      <c r="B1796" t="s">
        <v>102</v>
      </c>
      <c r="C1796" s="8">
        <v>46097</v>
      </c>
      <c r="D1796" t="s">
        <v>330</v>
      </c>
      <c r="E1796" t="s">
        <v>325</v>
      </c>
      <c r="F1796" s="12">
        <v>97129</v>
      </c>
      <c r="G1796" s="13">
        <v>9</v>
      </c>
      <c r="H1796" t="s">
        <v>2797</v>
      </c>
      <c r="I1796" s="8">
        <v>46163</v>
      </c>
      <c r="J1796" t="s">
        <v>2665</v>
      </c>
      <c r="K1796" t="s">
        <v>2666</v>
      </c>
      <c r="L1796" s="13">
        <v>2500</v>
      </c>
      <c r="M1796" t="s">
        <v>2661</v>
      </c>
    </row>
    <row r="1797" spans="1:13">
      <c r="A1797" t="s">
        <v>590</v>
      </c>
      <c r="B1797" t="s">
        <v>102</v>
      </c>
      <c r="C1797" s="8">
        <v>46097</v>
      </c>
      <c r="D1797" t="s">
        <v>330</v>
      </c>
      <c r="E1797" t="s">
        <v>325</v>
      </c>
      <c r="F1797" s="12">
        <v>97129</v>
      </c>
      <c r="G1797" s="13">
        <v>9</v>
      </c>
      <c r="H1797" t="s">
        <v>3355</v>
      </c>
      <c r="I1797" s="8">
        <v>46029</v>
      </c>
      <c r="J1797" t="s">
        <v>2659</v>
      </c>
      <c r="K1797" t="s">
        <v>2660</v>
      </c>
      <c r="L1797" s="13">
        <v>3500</v>
      </c>
      <c r="M1797" t="s">
        <v>2676</v>
      </c>
    </row>
    <row r="1798" spans="1:13">
      <c r="A1798" t="s">
        <v>590</v>
      </c>
      <c r="B1798" t="s">
        <v>102</v>
      </c>
      <c r="C1798" s="8">
        <v>46097</v>
      </c>
      <c r="D1798" t="s">
        <v>330</v>
      </c>
      <c r="E1798" t="s">
        <v>325</v>
      </c>
      <c r="F1798" s="12">
        <v>97129</v>
      </c>
      <c r="G1798" s="13">
        <v>9</v>
      </c>
      <c r="H1798" t="s">
        <v>3360</v>
      </c>
      <c r="I1798" s="8">
        <v>46231</v>
      </c>
      <c r="J1798" t="s">
        <v>2674</v>
      </c>
      <c r="K1798" t="s">
        <v>2675</v>
      </c>
      <c r="L1798" s="13">
        <v>20000</v>
      </c>
      <c r="M1798" t="s">
        <v>2661</v>
      </c>
    </row>
    <row r="1799" spans="1:13">
      <c r="A1799" t="s">
        <v>590</v>
      </c>
      <c r="B1799" t="s">
        <v>102</v>
      </c>
      <c r="C1799" s="8">
        <v>46097</v>
      </c>
      <c r="D1799" t="s">
        <v>330</v>
      </c>
      <c r="E1799" t="s">
        <v>325</v>
      </c>
      <c r="F1799" s="12">
        <v>97129</v>
      </c>
      <c r="G1799" s="13">
        <v>9</v>
      </c>
      <c r="H1799" t="s">
        <v>3439</v>
      </c>
      <c r="I1799" s="8">
        <v>46268</v>
      </c>
      <c r="J1799" t="s">
        <v>2663</v>
      </c>
      <c r="K1799" t="s">
        <v>3630</v>
      </c>
      <c r="L1799" s="13">
        <v>1500</v>
      </c>
      <c r="M1799" t="s">
        <v>2661</v>
      </c>
    </row>
    <row r="1800" spans="1:13">
      <c r="A1800" t="s">
        <v>590</v>
      </c>
      <c r="B1800" t="s">
        <v>102</v>
      </c>
      <c r="C1800" s="8">
        <v>46097</v>
      </c>
      <c r="D1800" t="s">
        <v>330</v>
      </c>
      <c r="E1800" t="s">
        <v>325</v>
      </c>
      <c r="F1800" s="12">
        <v>97129</v>
      </c>
      <c r="G1800" s="13">
        <v>9</v>
      </c>
      <c r="H1800" t="s">
        <v>3565</v>
      </c>
      <c r="I1800" s="8">
        <v>46150</v>
      </c>
      <c r="J1800" t="s">
        <v>2674</v>
      </c>
      <c r="K1800" t="s">
        <v>2675</v>
      </c>
      <c r="L1800" s="13">
        <v>20000</v>
      </c>
      <c r="M1800" t="s">
        <v>2661</v>
      </c>
    </row>
    <row r="1801" spans="1:13">
      <c r="A1801" t="s">
        <v>747</v>
      </c>
      <c r="B1801" t="s">
        <v>102</v>
      </c>
      <c r="C1801" s="8">
        <v>46258</v>
      </c>
      <c r="D1801" t="s">
        <v>332</v>
      </c>
      <c r="E1801" t="s">
        <v>325</v>
      </c>
      <c r="F1801" s="12">
        <v>350070</v>
      </c>
      <c r="G1801" s="13">
        <v>35</v>
      </c>
      <c r="H1801" t="s">
        <v>2797</v>
      </c>
      <c r="I1801" s="8">
        <v>46163</v>
      </c>
      <c r="J1801" t="s">
        <v>2665</v>
      </c>
      <c r="K1801" t="s">
        <v>2666</v>
      </c>
      <c r="L1801" s="13">
        <v>2500</v>
      </c>
      <c r="M1801" t="s">
        <v>2661</v>
      </c>
    </row>
    <row r="1802" spans="1:13">
      <c r="A1802" t="s">
        <v>747</v>
      </c>
      <c r="B1802" t="s">
        <v>102</v>
      </c>
      <c r="C1802" s="8">
        <v>46258</v>
      </c>
      <c r="D1802" t="s">
        <v>332</v>
      </c>
      <c r="E1802" t="s">
        <v>325</v>
      </c>
      <c r="F1802" s="12">
        <v>350070</v>
      </c>
      <c r="G1802" s="13">
        <v>35</v>
      </c>
      <c r="H1802" t="s">
        <v>3355</v>
      </c>
      <c r="I1802" s="8">
        <v>46029</v>
      </c>
      <c r="J1802" t="s">
        <v>2659</v>
      </c>
      <c r="K1802" t="s">
        <v>2660</v>
      </c>
      <c r="L1802" s="13">
        <v>3500</v>
      </c>
      <c r="M1802" t="s">
        <v>2676</v>
      </c>
    </row>
    <row r="1803" spans="1:13">
      <c r="A1803" t="s">
        <v>747</v>
      </c>
      <c r="B1803" t="s">
        <v>102</v>
      </c>
      <c r="C1803" s="8">
        <v>46258</v>
      </c>
      <c r="D1803" t="s">
        <v>332</v>
      </c>
      <c r="E1803" t="s">
        <v>325</v>
      </c>
      <c r="F1803" s="12">
        <v>350070</v>
      </c>
      <c r="G1803" s="13">
        <v>35</v>
      </c>
      <c r="H1803" t="s">
        <v>3360</v>
      </c>
      <c r="I1803" s="8">
        <v>46231</v>
      </c>
      <c r="J1803" t="s">
        <v>2674</v>
      </c>
      <c r="K1803" t="s">
        <v>2675</v>
      </c>
      <c r="L1803" s="13">
        <v>20000</v>
      </c>
      <c r="M1803" t="s">
        <v>2661</v>
      </c>
    </row>
    <row r="1804" spans="1:13">
      <c r="A1804" t="s">
        <v>747</v>
      </c>
      <c r="B1804" t="s">
        <v>102</v>
      </c>
      <c r="C1804" s="8">
        <v>46258</v>
      </c>
      <c r="D1804" t="s">
        <v>332</v>
      </c>
      <c r="E1804" t="s">
        <v>325</v>
      </c>
      <c r="F1804" s="12">
        <v>350070</v>
      </c>
      <c r="G1804" s="13">
        <v>35</v>
      </c>
      <c r="H1804" t="s">
        <v>3439</v>
      </c>
      <c r="I1804" s="8">
        <v>46268</v>
      </c>
      <c r="J1804" t="s">
        <v>2663</v>
      </c>
      <c r="K1804" t="s">
        <v>3630</v>
      </c>
      <c r="L1804" s="13">
        <v>1500</v>
      </c>
      <c r="M1804" t="s">
        <v>2661</v>
      </c>
    </row>
    <row r="1805" spans="1:13">
      <c r="A1805" t="s">
        <v>747</v>
      </c>
      <c r="B1805" t="s">
        <v>102</v>
      </c>
      <c r="C1805" s="8">
        <v>46258</v>
      </c>
      <c r="D1805" t="s">
        <v>332</v>
      </c>
      <c r="E1805" t="s">
        <v>325</v>
      </c>
      <c r="F1805" s="12">
        <v>350070</v>
      </c>
      <c r="G1805" s="13">
        <v>35</v>
      </c>
      <c r="H1805" t="s">
        <v>3565</v>
      </c>
      <c r="I1805" s="8">
        <v>46150</v>
      </c>
      <c r="J1805" t="s">
        <v>2674</v>
      </c>
      <c r="K1805" t="s">
        <v>2675</v>
      </c>
      <c r="L1805" s="13">
        <v>20000</v>
      </c>
      <c r="M1805" t="s">
        <v>2661</v>
      </c>
    </row>
    <row r="1806" spans="1:13">
      <c r="A1806" t="s">
        <v>935</v>
      </c>
      <c r="B1806" t="s">
        <v>102</v>
      </c>
      <c r="C1806" s="8">
        <v>45986</v>
      </c>
      <c r="D1806" t="s">
        <v>350</v>
      </c>
      <c r="E1806" t="s">
        <v>337</v>
      </c>
      <c r="F1806" s="12">
        <v>166919</v>
      </c>
      <c r="G1806" s="13">
        <v>16</v>
      </c>
      <c r="H1806" t="s">
        <v>2797</v>
      </c>
      <c r="I1806" s="8">
        <v>46163</v>
      </c>
      <c r="J1806" t="s">
        <v>2665</v>
      </c>
      <c r="K1806" t="s">
        <v>2666</v>
      </c>
      <c r="L1806" s="13">
        <v>2500</v>
      </c>
      <c r="M1806" t="s">
        <v>2661</v>
      </c>
    </row>
    <row r="1807" spans="1:13">
      <c r="A1807" t="s">
        <v>935</v>
      </c>
      <c r="B1807" t="s">
        <v>102</v>
      </c>
      <c r="C1807" s="8">
        <v>45986</v>
      </c>
      <c r="D1807" t="s">
        <v>350</v>
      </c>
      <c r="E1807" t="s">
        <v>337</v>
      </c>
      <c r="F1807" s="12">
        <v>166919</v>
      </c>
      <c r="G1807" s="13">
        <v>16</v>
      </c>
      <c r="H1807" t="s">
        <v>3355</v>
      </c>
      <c r="I1807" s="8">
        <v>46029</v>
      </c>
      <c r="J1807" t="s">
        <v>2659</v>
      </c>
      <c r="K1807" t="s">
        <v>2660</v>
      </c>
      <c r="L1807" s="13">
        <v>3500</v>
      </c>
      <c r="M1807" t="s">
        <v>2676</v>
      </c>
    </row>
    <row r="1808" spans="1:13">
      <c r="A1808" t="s">
        <v>935</v>
      </c>
      <c r="B1808" t="s">
        <v>102</v>
      </c>
      <c r="C1808" s="8">
        <v>45986</v>
      </c>
      <c r="D1808" t="s">
        <v>350</v>
      </c>
      <c r="E1808" t="s">
        <v>337</v>
      </c>
      <c r="F1808" s="12">
        <v>166919</v>
      </c>
      <c r="G1808" s="13">
        <v>16</v>
      </c>
      <c r="H1808" t="s">
        <v>3360</v>
      </c>
      <c r="I1808" s="8">
        <v>46231</v>
      </c>
      <c r="J1808" t="s">
        <v>2674</v>
      </c>
      <c r="K1808" t="s">
        <v>2675</v>
      </c>
      <c r="L1808" s="13">
        <v>20000</v>
      </c>
      <c r="M1808" t="s">
        <v>2661</v>
      </c>
    </row>
    <row r="1809" spans="1:13">
      <c r="A1809" t="s">
        <v>935</v>
      </c>
      <c r="B1809" t="s">
        <v>102</v>
      </c>
      <c r="C1809" s="8">
        <v>45986</v>
      </c>
      <c r="D1809" t="s">
        <v>350</v>
      </c>
      <c r="E1809" t="s">
        <v>337</v>
      </c>
      <c r="F1809" s="12">
        <v>166919</v>
      </c>
      <c r="G1809" s="13">
        <v>16</v>
      </c>
      <c r="H1809" t="s">
        <v>3439</v>
      </c>
      <c r="I1809" s="8">
        <v>46268</v>
      </c>
      <c r="J1809" t="s">
        <v>2663</v>
      </c>
      <c r="K1809" t="s">
        <v>3630</v>
      </c>
      <c r="L1809" s="13">
        <v>1500</v>
      </c>
      <c r="M1809" t="s">
        <v>2661</v>
      </c>
    </row>
    <row r="1810" spans="1:13">
      <c r="A1810" t="s">
        <v>935</v>
      </c>
      <c r="B1810" t="s">
        <v>102</v>
      </c>
      <c r="C1810" s="8">
        <v>45986</v>
      </c>
      <c r="D1810" t="s">
        <v>350</v>
      </c>
      <c r="E1810" t="s">
        <v>337</v>
      </c>
      <c r="F1810" s="12">
        <v>166919</v>
      </c>
      <c r="G1810" s="13">
        <v>16</v>
      </c>
      <c r="H1810" t="s">
        <v>3565</v>
      </c>
      <c r="I1810" s="8">
        <v>46150</v>
      </c>
      <c r="J1810" t="s">
        <v>2674</v>
      </c>
      <c r="K1810" t="s">
        <v>2675</v>
      </c>
      <c r="L1810" s="13">
        <v>20000</v>
      </c>
      <c r="M1810" t="s">
        <v>2661</v>
      </c>
    </row>
    <row r="1811" spans="1:13">
      <c r="A1811" t="s">
        <v>1034</v>
      </c>
      <c r="B1811" t="s">
        <v>102</v>
      </c>
      <c r="C1811" s="8">
        <v>46003</v>
      </c>
      <c r="D1811" t="s">
        <v>332</v>
      </c>
      <c r="E1811" t="s">
        <v>325</v>
      </c>
      <c r="F1811" s="12">
        <v>678163</v>
      </c>
      <c r="G1811" s="13">
        <v>67</v>
      </c>
      <c r="H1811" t="s">
        <v>2797</v>
      </c>
      <c r="I1811" s="8">
        <v>46163</v>
      </c>
      <c r="J1811" t="s">
        <v>2665</v>
      </c>
      <c r="K1811" t="s">
        <v>2666</v>
      </c>
      <c r="L1811" s="13">
        <v>2500</v>
      </c>
      <c r="M1811" t="s">
        <v>2661</v>
      </c>
    </row>
    <row r="1812" spans="1:13">
      <c r="A1812" t="s">
        <v>1034</v>
      </c>
      <c r="B1812" t="s">
        <v>102</v>
      </c>
      <c r="C1812" s="8">
        <v>46003</v>
      </c>
      <c r="D1812" t="s">
        <v>332</v>
      </c>
      <c r="E1812" t="s">
        <v>325</v>
      </c>
      <c r="F1812" s="12">
        <v>678163</v>
      </c>
      <c r="G1812" s="13">
        <v>67</v>
      </c>
      <c r="H1812" t="s">
        <v>3355</v>
      </c>
      <c r="I1812" s="8">
        <v>46029</v>
      </c>
      <c r="J1812" t="s">
        <v>2659</v>
      </c>
      <c r="K1812" t="s">
        <v>2660</v>
      </c>
      <c r="L1812" s="13">
        <v>3500</v>
      </c>
      <c r="M1812" t="s">
        <v>2676</v>
      </c>
    </row>
    <row r="1813" spans="1:13">
      <c r="A1813" t="s">
        <v>1034</v>
      </c>
      <c r="B1813" t="s">
        <v>102</v>
      </c>
      <c r="C1813" s="8">
        <v>46003</v>
      </c>
      <c r="D1813" t="s">
        <v>332</v>
      </c>
      <c r="E1813" t="s">
        <v>325</v>
      </c>
      <c r="F1813" s="12">
        <v>678163</v>
      </c>
      <c r="G1813" s="13">
        <v>67</v>
      </c>
      <c r="H1813" t="s">
        <v>3360</v>
      </c>
      <c r="I1813" s="8">
        <v>46231</v>
      </c>
      <c r="J1813" t="s">
        <v>2674</v>
      </c>
      <c r="K1813" t="s">
        <v>2675</v>
      </c>
      <c r="L1813" s="13">
        <v>20000</v>
      </c>
      <c r="M1813" t="s">
        <v>2661</v>
      </c>
    </row>
    <row r="1814" spans="1:13">
      <c r="A1814" t="s">
        <v>1034</v>
      </c>
      <c r="B1814" t="s">
        <v>102</v>
      </c>
      <c r="C1814" s="8">
        <v>46003</v>
      </c>
      <c r="D1814" t="s">
        <v>332</v>
      </c>
      <c r="E1814" t="s">
        <v>325</v>
      </c>
      <c r="F1814" s="12">
        <v>678163</v>
      </c>
      <c r="G1814" s="13">
        <v>67</v>
      </c>
      <c r="H1814" t="s">
        <v>3439</v>
      </c>
      <c r="I1814" s="8">
        <v>46268</v>
      </c>
      <c r="J1814" t="s">
        <v>2663</v>
      </c>
      <c r="K1814" t="s">
        <v>3630</v>
      </c>
      <c r="L1814" s="13">
        <v>1500</v>
      </c>
      <c r="M1814" t="s">
        <v>2661</v>
      </c>
    </row>
    <row r="1815" spans="1:13">
      <c r="A1815" t="s">
        <v>1034</v>
      </c>
      <c r="B1815" t="s">
        <v>102</v>
      </c>
      <c r="C1815" s="8">
        <v>46003</v>
      </c>
      <c r="D1815" t="s">
        <v>332</v>
      </c>
      <c r="E1815" t="s">
        <v>325</v>
      </c>
      <c r="F1815" s="12">
        <v>678163</v>
      </c>
      <c r="G1815" s="13">
        <v>67</v>
      </c>
      <c r="H1815" t="s">
        <v>3565</v>
      </c>
      <c r="I1815" s="8">
        <v>46150</v>
      </c>
      <c r="J1815" t="s">
        <v>2674</v>
      </c>
      <c r="K1815" t="s">
        <v>2675</v>
      </c>
      <c r="L1815" s="13">
        <v>20000</v>
      </c>
      <c r="M1815" t="s">
        <v>2661</v>
      </c>
    </row>
    <row r="1816" spans="1:13">
      <c r="A1816" t="s">
        <v>1039</v>
      </c>
      <c r="B1816" t="s">
        <v>102</v>
      </c>
      <c r="C1816" s="8">
        <v>46236</v>
      </c>
      <c r="D1816" t="s">
        <v>350</v>
      </c>
      <c r="E1816" t="s">
        <v>339</v>
      </c>
      <c r="F1816" s="12">
        <v>361800</v>
      </c>
      <c r="G1816" s="13">
        <v>36</v>
      </c>
      <c r="H1816" t="s">
        <v>2797</v>
      </c>
      <c r="I1816" s="8">
        <v>46163</v>
      </c>
      <c r="J1816" t="s">
        <v>2665</v>
      </c>
      <c r="K1816" t="s">
        <v>2666</v>
      </c>
      <c r="L1816" s="13">
        <v>2500</v>
      </c>
      <c r="M1816" t="s">
        <v>2661</v>
      </c>
    </row>
    <row r="1817" spans="1:13">
      <c r="A1817" t="s">
        <v>1039</v>
      </c>
      <c r="B1817" t="s">
        <v>102</v>
      </c>
      <c r="C1817" s="8">
        <v>46236</v>
      </c>
      <c r="D1817" t="s">
        <v>350</v>
      </c>
      <c r="E1817" t="s">
        <v>339</v>
      </c>
      <c r="F1817" s="12">
        <v>361800</v>
      </c>
      <c r="G1817" s="13">
        <v>36</v>
      </c>
      <c r="H1817" t="s">
        <v>3355</v>
      </c>
      <c r="I1817" s="8">
        <v>46029</v>
      </c>
      <c r="J1817" t="s">
        <v>2659</v>
      </c>
      <c r="K1817" t="s">
        <v>2660</v>
      </c>
      <c r="L1817" s="13">
        <v>3500</v>
      </c>
      <c r="M1817" t="s">
        <v>2676</v>
      </c>
    </row>
    <row r="1818" spans="1:13">
      <c r="A1818" t="s">
        <v>1039</v>
      </c>
      <c r="B1818" t="s">
        <v>102</v>
      </c>
      <c r="C1818" s="8">
        <v>46236</v>
      </c>
      <c r="D1818" t="s">
        <v>350</v>
      </c>
      <c r="E1818" t="s">
        <v>339</v>
      </c>
      <c r="F1818" s="12">
        <v>361800</v>
      </c>
      <c r="G1818" s="13">
        <v>36</v>
      </c>
      <c r="H1818" t="s">
        <v>3360</v>
      </c>
      <c r="I1818" s="8">
        <v>46231</v>
      </c>
      <c r="J1818" t="s">
        <v>2674</v>
      </c>
      <c r="K1818" t="s">
        <v>2675</v>
      </c>
      <c r="L1818" s="13">
        <v>20000</v>
      </c>
      <c r="M1818" t="s">
        <v>2661</v>
      </c>
    </row>
    <row r="1819" spans="1:13">
      <c r="A1819" t="s">
        <v>1039</v>
      </c>
      <c r="B1819" t="s">
        <v>102</v>
      </c>
      <c r="C1819" s="8">
        <v>46236</v>
      </c>
      <c r="D1819" t="s">
        <v>350</v>
      </c>
      <c r="E1819" t="s">
        <v>339</v>
      </c>
      <c r="F1819" s="12">
        <v>361800</v>
      </c>
      <c r="G1819" s="13">
        <v>36</v>
      </c>
      <c r="H1819" t="s">
        <v>3439</v>
      </c>
      <c r="I1819" s="8">
        <v>46268</v>
      </c>
      <c r="J1819" t="s">
        <v>2663</v>
      </c>
      <c r="K1819" t="s">
        <v>3630</v>
      </c>
      <c r="L1819" s="13">
        <v>1500</v>
      </c>
      <c r="M1819" t="s">
        <v>2661</v>
      </c>
    </row>
    <row r="1820" spans="1:13">
      <c r="A1820" t="s">
        <v>1039</v>
      </c>
      <c r="B1820" t="s">
        <v>102</v>
      </c>
      <c r="C1820" s="8">
        <v>46236</v>
      </c>
      <c r="D1820" t="s">
        <v>350</v>
      </c>
      <c r="E1820" t="s">
        <v>339</v>
      </c>
      <c r="F1820" s="12">
        <v>361800</v>
      </c>
      <c r="G1820" s="13">
        <v>36</v>
      </c>
      <c r="H1820" t="s">
        <v>3565</v>
      </c>
      <c r="I1820" s="8">
        <v>46150</v>
      </c>
      <c r="J1820" t="s">
        <v>2674</v>
      </c>
      <c r="K1820" t="s">
        <v>2675</v>
      </c>
      <c r="L1820" s="13">
        <v>20000</v>
      </c>
      <c r="M1820" t="s">
        <v>2661</v>
      </c>
    </row>
    <row r="1821" spans="1:13">
      <c r="A1821" t="s">
        <v>1130</v>
      </c>
      <c r="B1821" t="s">
        <v>102</v>
      </c>
      <c r="C1821" s="8">
        <v>46149</v>
      </c>
      <c r="D1821" t="s">
        <v>321</v>
      </c>
      <c r="E1821" t="s">
        <v>328</v>
      </c>
      <c r="F1821" s="12">
        <v>596300</v>
      </c>
      <c r="G1821" s="13">
        <v>59</v>
      </c>
      <c r="H1821" t="s">
        <v>2797</v>
      </c>
      <c r="I1821" s="8">
        <v>46163</v>
      </c>
      <c r="J1821" t="s">
        <v>2665</v>
      </c>
      <c r="K1821" t="s">
        <v>2666</v>
      </c>
      <c r="L1821" s="13">
        <v>2500</v>
      </c>
      <c r="M1821" t="s">
        <v>2661</v>
      </c>
    </row>
    <row r="1822" spans="1:13">
      <c r="A1822" t="s">
        <v>1130</v>
      </c>
      <c r="B1822" t="s">
        <v>102</v>
      </c>
      <c r="C1822" s="8">
        <v>46149</v>
      </c>
      <c r="D1822" t="s">
        <v>321</v>
      </c>
      <c r="E1822" t="s">
        <v>328</v>
      </c>
      <c r="F1822" s="12">
        <v>596300</v>
      </c>
      <c r="G1822" s="13">
        <v>59</v>
      </c>
      <c r="H1822" t="s">
        <v>3355</v>
      </c>
      <c r="I1822" s="8">
        <v>46029</v>
      </c>
      <c r="J1822" t="s">
        <v>2659</v>
      </c>
      <c r="K1822" t="s">
        <v>2660</v>
      </c>
      <c r="L1822" s="13">
        <v>3500</v>
      </c>
      <c r="M1822" t="s">
        <v>2676</v>
      </c>
    </row>
    <row r="1823" spans="1:13">
      <c r="A1823" t="s">
        <v>1130</v>
      </c>
      <c r="B1823" t="s">
        <v>102</v>
      </c>
      <c r="C1823" s="8">
        <v>46149</v>
      </c>
      <c r="D1823" t="s">
        <v>321</v>
      </c>
      <c r="E1823" t="s">
        <v>328</v>
      </c>
      <c r="F1823" s="12">
        <v>596300</v>
      </c>
      <c r="G1823" s="13">
        <v>59</v>
      </c>
      <c r="H1823" t="s">
        <v>3360</v>
      </c>
      <c r="I1823" s="8">
        <v>46231</v>
      </c>
      <c r="J1823" t="s">
        <v>2674</v>
      </c>
      <c r="K1823" t="s">
        <v>2675</v>
      </c>
      <c r="L1823" s="13">
        <v>20000</v>
      </c>
      <c r="M1823" t="s">
        <v>2661</v>
      </c>
    </row>
    <row r="1824" spans="1:13">
      <c r="A1824" t="s">
        <v>1130</v>
      </c>
      <c r="B1824" t="s">
        <v>102</v>
      </c>
      <c r="C1824" s="8">
        <v>46149</v>
      </c>
      <c r="D1824" t="s">
        <v>321</v>
      </c>
      <c r="E1824" t="s">
        <v>328</v>
      </c>
      <c r="F1824" s="12">
        <v>596300</v>
      </c>
      <c r="G1824" s="13">
        <v>59</v>
      </c>
      <c r="H1824" t="s">
        <v>3439</v>
      </c>
      <c r="I1824" s="8">
        <v>46268</v>
      </c>
      <c r="J1824" t="s">
        <v>2663</v>
      </c>
      <c r="K1824" t="s">
        <v>3630</v>
      </c>
      <c r="L1824" s="13">
        <v>1500</v>
      </c>
      <c r="M1824" t="s">
        <v>2661</v>
      </c>
    </row>
    <row r="1825" spans="1:13">
      <c r="A1825" t="s">
        <v>1130</v>
      </c>
      <c r="B1825" t="s">
        <v>102</v>
      </c>
      <c r="C1825" s="8">
        <v>46149</v>
      </c>
      <c r="D1825" t="s">
        <v>321</v>
      </c>
      <c r="E1825" t="s">
        <v>328</v>
      </c>
      <c r="F1825" s="12">
        <v>596300</v>
      </c>
      <c r="G1825" s="13">
        <v>59</v>
      </c>
      <c r="H1825" t="s">
        <v>3565</v>
      </c>
      <c r="I1825" s="8">
        <v>46150</v>
      </c>
      <c r="J1825" t="s">
        <v>2674</v>
      </c>
      <c r="K1825" t="s">
        <v>2675</v>
      </c>
      <c r="L1825" s="13">
        <v>20000</v>
      </c>
      <c r="M1825" t="s">
        <v>2661</v>
      </c>
    </row>
    <row r="1826" spans="1:13">
      <c r="A1826" t="s">
        <v>1185</v>
      </c>
      <c r="B1826" t="s">
        <v>102</v>
      </c>
      <c r="C1826" s="8">
        <v>46138</v>
      </c>
      <c r="D1826" t="s">
        <v>350</v>
      </c>
      <c r="E1826" t="s">
        <v>328</v>
      </c>
      <c r="F1826" s="12">
        <v>690685</v>
      </c>
      <c r="G1826" s="13">
        <v>69</v>
      </c>
      <c r="H1826" t="s">
        <v>2797</v>
      </c>
      <c r="I1826" s="8">
        <v>46163</v>
      </c>
      <c r="J1826" t="s">
        <v>2665</v>
      </c>
      <c r="K1826" t="s">
        <v>2666</v>
      </c>
      <c r="L1826" s="13">
        <v>2500</v>
      </c>
      <c r="M1826" t="s">
        <v>2661</v>
      </c>
    </row>
    <row r="1827" spans="1:13">
      <c r="A1827" t="s">
        <v>1185</v>
      </c>
      <c r="B1827" t="s">
        <v>102</v>
      </c>
      <c r="C1827" s="8">
        <v>46138</v>
      </c>
      <c r="D1827" t="s">
        <v>350</v>
      </c>
      <c r="E1827" t="s">
        <v>328</v>
      </c>
      <c r="F1827" s="12">
        <v>690685</v>
      </c>
      <c r="G1827" s="13">
        <v>69</v>
      </c>
      <c r="H1827" t="s">
        <v>3355</v>
      </c>
      <c r="I1827" s="8">
        <v>46029</v>
      </c>
      <c r="J1827" t="s">
        <v>2659</v>
      </c>
      <c r="K1827" t="s">
        <v>2660</v>
      </c>
      <c r="L1827" s="13">
        <v>3500</v>
      </c>
      <c r="M1827" t="s">
        <v>2676</v>
      </c>
    </row>
    <row r="1828" spans="1:13">
      <c r="A1828" t="s">
        <v>1185</v>
      </c>
      <c r="B1828" t="s">
        <v>102</v>
      </c>
      <c r="C1828" s="8">
        <v>46138</v>
      </c>
      <c r="D1828" t="s">
        <v>350</v>
      </c>
      <c r="E1828" t="s">
        <v>328</v>
      </c>
      <c r="F1828" s="12">
        <v>690685</v>
      </c>
      <c r="G1828" s="13">
        <v>69</v>
      </c>
      <c r="H1828" t="s">
        <v>3360</v>
      </c>
      <c r="I1828" s="8">
        <v>46231</v>
      </c>
      <c r="J1828" t="s">
        <v>2674</v>
      </c>
      <c r="K1828" t="s">
        <v>2675</v>
      </c>
      <c r="L1828" s="13">
        <v>20000</v>
      </c>
      <c r="M1828" t="s">
        <v>2661</v>
      </c>
    </row>
    <row r="1829" spans="1:13">
      <c r="A1829" t="s">
        <v>1185</v>
      </c>
      <c r="B1829" t="s">
        <v>102</v>
      </c>
      <c r="C1829" s="8">
        <v>46138</v>
      </c>
      <c r="D1829" t="s">
        <v>350</v>
      </c>
      <c r="E1829" t="s">
        <v>328</v>
      </c>
      <c r="F1829" s="12">
        <v>690685</v>
      </c>
      <c r="G1829" s="13">
        <v>69</v>
      </c>
      <c r="H1829" t="s">
        <v>3439</v>
      </c>
      <c r="I1829" s="8">
        <v>46268</v>
      </c>
      <c r="J1829" t="s">
        <v>2663</v>
      </c>
      <c r="K1829" t="s">
        <v>3630</v>
      </c>
      <c r="L1829" s="13">
        <v>1500</v>
      </c>
      <c r="M1829" t="s">
        <v>2661</v>
      </c>
    </row>
    <row r="1830" spans="1:13">
      <c r="A1830" t="s">
        <v>1185</v>
      </c>
      <c r="B1830" t="s">
        <v>102</v>
      </c>
      <c r="C1830" s="8">
        <v>46138</v>
      </c>
      <c r="D1830" t="s">
        <v>350</v>
      </c>
      <c r="E1830" t="s">
        <v>328</v>
      </c>
      <c r="F1830" s="12">
        <v>690685</v>
      </c>
      <c r="G1830" s="13">
        <v>69</v>
      </c>
      <c r="H1830" t="s">
        <v>3565</v>
      </c>
      <c r="I1830" s="8">
        <v>46150</v>
      </c>
      <c r="J1830" t="s">
        <v>2674</v>
      </c>
      <c r="K1830" t="s">
        <v>2675</v>
      </c>
      <c r="L1830" s="13">
        <v>20000</v>
      </c>
      <c r="M1830" t="s">
        <v>2661</v>
      </c>
    </row>
    <row r="1831" spans="1:13">
      <c r="A1831" t="s">
        <v>1199</v>
      </c>
      <c r="B1831" t="s">
        <v>102</v>
      </c>
      <c r="C1831" s="8">
        <v>46165</v>
      </c>
      <c r="D1831" t="s">
        <v>350</v>
      </c>
      <c r="E1831" t="s">
        <v>337</v>
      </c>
      <c r="F1831" s="12">
        <v>130218</v>
      </c>
      <c r="G1831" s="13">
        <v>13</v>
      </c>
      <c r="H1831" t="s">
        <v>2797</v>
      </c>
      <c r="I1831" s="8">
        <v>46163</v>
      </c>
      <c r="J1831" t="s">
        <v>2665</v>
      </c>
      <c r="K1831" t="s">
        <v>2666</v>
      </c>
      <c r="L1831" s="13">
        <v>2500</v>
      </c>
      <c r="M1831" t="s">
        <v>2661</v>
      </c>
    </row>
    <row r="1832" spans="1:13">
      <c r="A1832" t="s">
        <v>1199</v>
      </c>
      <c r="B1832" t="s">
        <v>102</v>
      </c>
      <c r="C1832" s="8">
        <v>46165</v>
      </c>
      <c r="D1832" t="s">
        <v>350</v>
      </c>
      <c r="E1832" t="s">
        <v>337</v>
      </c>
      <c r="F1832" s="12">
        <v>130218</v>
      </c>
      <c r="G1832" s="13">
        <v>13</v>
      </c>
      <c r="H1832" t="s">
        <v>3355</v>
      </c>
      <c r="I1832" s="8">
        <v>46029</v>
      </c>
      <c r="J1832" t="s">
        <v>2659</v>
      </c>
      <c r="K1832" t="s">
        <v>2660</v>
      </c>
      <c r="L1832" s="13">
        <v>3500</v>
      </c>
      <c r="M1832" t="s">
        <v>2676</v>
      </c>
    </row>
    <row r="1833" spans="1:13">
      <c r="A1833" t="s">
        <v>1199</v>
      </c>
      <c r="B1833" t="s">
        <v>102</v>
      </c>
      <c r="C1833" s="8">
        <v>46165</v>
      </c>
      <c r="D1833" t="s">
        <v>350</v>
      </c>
      <c r="E1833" t="s">
        <v>337</v>
      </c>
      <c r="F1833" s="12">
        <v>130218</v>
      </c>
      <c r="G1833" s="13">
        <v>13</v>
      </c>
      <c r="H1833" t="s">
        <v>3360</v>
      </c>
      <c r="I1833" s="8">
        <v>46231</v>
      </c>
      <c r="J1833" t="s">
        <v>2674</v>
      </c>
      <c r="K1833" t="s">
        <v>2675</v>
      </c>
      <c r="L1833" s="13">
        <v>20000</v>
      </c>
      <c r="M1833" t="s">
        <v>2661</v>
      </c>
    </row>
    <row r="1834" spans="1:13">
      <c r="A1834" t="s">
        <v>1199</v>
      </c>
      <c r="B1834" t="s">
        <v>102</v>
      </c>
      <c r="C1834" s="8">
        <v>46165</v>
      </c>
      <c r="D1834" t="s">
        <v>350</v>
      </c>
      <c r="E1834" t="s">
        <v>337</v>
      </c>
      <c r="F1834" s="12">
        <v>130218</v>
      </c>
      <c r="G1834" s="13">
        <v>13</v>
      </c>
      <c r="H1834" t="s">
        <v>3439</v>
      </c>
      <c r="I1834" s="8">
        <v>46268</v>
      </c>
      <c r="J1834" t="s">
        <v>2663</v>
      </c>
      <c r="K1834" t="s">
        <v>3630</v>
      </c>
      <c r="L1834" s="13">
        <v>1500</v>
      </c>
      <c r="M1834" t="s">
        <v>2661</v>
      </c>
    </row>
    <row r="1835" spans="1:13">
      <c r="A1835" t="s">
        <v>1199</v>
      </c>
      <c r="B1835" t="s">
        <v>102</v>
      </c>
      <c r="C1835" s="8">
        <v>46165</v>
      </c>
      <c r="D1835" t="s">
        <v>350</v>
      </c>
      <c r="E1835" t="s">
        <v>337</v>
      </c>
      <c r="F1835" s="12">
        <v>130218</v>
      </c>
      <c r="G1835" s="13">
        <v>13</v>
      </c>
      <c r="H1835" t="s">
        <v>3565</v>
      </c>
      <c r="I1835" s="8">
        <v>46150</v>
      </c>
      <c r="J1835" t="s">
        <v>2674</v>
      </c>
      <c r="K1835" t="s">
        <v>2675</v>
      </c>
      <c r="L1835" s="13">
        <v>20000</v>
      </c>
      <c r="M1835" t="s">
        <v>2661</v>
      </c>
    </row>
    <row r="1836" spans="1:13">
      <c r="A1836" t="s">
        <v>1228</v>
      </c>
      <c r="B1836" t="s">
        <v>102</v>
      </c>
      <c r="C1836" s="8">
        <v>46012</v>
      </c>
      <c r="D1836" t="s">
        <v>327</v>
      </c>
      <c r="E1836" t="s">
        <v>339</v>
      </c>
      <c r="F1836" s="12">
        <v>150092</v>
      </c>
      <c r="G1836" s="13">
        <v>15</v>
      </c>
      <c r="H1836" t="s">
        <v>2797</v>
      </c>
      <c r="I1836" s="8">
        <v>46163</v>
      </c>
      <c r="J1836" t="s">
        <v>2665</v>
      </c>
      <c r="K1836" t="s">
        <v>2666</v>
      </c>
      <c r="L1836" s="13">
        <v>2500</v>
      </c>
      <c r="M1836" t="s">
        <v>2661</v>
      </c>
    </row>
    <row r="1837" spans="1:13">
      <c r="A1837" t="s">
        <v>1228</v>
      </c>
      <c r="B1837" t="s">
        <v>102</v>
      </c>
      <c r="C1837" s="8">
        <v>46012</v>
      </c>
      <c r="D1837" t="s">
        <v>327</v>
      </c>
      <c r="E1837" t="s">
        <v>339</v>
      </c>
      <c r="F1837" s="12">
        <v>150092</v>
      </c>
      <c r="G1837" s="13">
        <v>15</v>
      </c>
      <c r="H1837" t="s">
        <v>3355</v>
      </c>
      <c r="I1837" s="8">
        <v>46029</v>
      </c>
      <c r="J1837" t="s">
        <v>2659</v>
      </c>
      <c r="K1837" t="s">
        <v>2660</v>
      </c>
      <c r="L1837" s="13">
        <v>3500</v>
      </c>
      <c r="M1837" t="s">
        <v>2676</v>
      </c>
    </row>
    <row r="1838" spans="1:13">
      <c r="A1838" t="s">
        <v>1228</v>
      </c>
      <c r="B1838" t="s">
        <v>102</v>
      </c>
      <c r="C1838" s="8">
        <v>46012</v>
      </c>
      <c r="D1838" t="s">
        <v>327</v>
      </c>
      <c r="E1838" t="s">
        <v>339</v>
      </c>
      <c r="F1838" s="12">
        <v>150092</v>
      </c>
      <c r="G1838" s="13">
        <v>15</v>
      </c>
      <c r="H1838" t="s">
        <v>3360</v>
      </c>
      <c r="I1838" s="8">
        <v>46231</v>
      </c>
      <c r="J1838" t="s">
        <v>2674</v>
      </c>
      <c r="K1838" t="s">
        <v>2675</v>
      </c>
      <c r="L1838" s="13">
        <v>20000</v>
      </c>
      <c r="M1838" t="s">
        <v>2661</v>
      </c>
    </row>
    <row r="1839" spans="1:13">
      <c r="A1839" t="s">
        <v>1228</v>
      </c>
      <c r="B1839" t="s">
        <v>102</v>
      </c>
      <c r="C1839" s="8">
        <v>46012</v>
      </c>
      <c r="D1839" t="s">
        <v>327</v>
      </c>
      <c r="E1839" t="s">
        <v>339</v>
      </c>
      <c r="F1839" s="12">
        <v>150092</v>
      </c>
      <c r="G1839" s="13">
        <v>15</v>
      </c>
      <c r="H1839" t="s">
        <v>3439</v>
      </c>
      <c r="I1839" s="8">
        <v>46268</v>
      </c>
      <c r="J1839" t="s">
        <v>2663</v>
      </c>
      <c r="K1839" t="s">
        <v>3630</v>
      </c>
      <c r="L1839" s="13">
        <v>1500</v>
      </c>
      <c r="M1839" t="s">
        <v>2661</v>
      </c>
    </row>
    <row r="1840" spans="1:13">
      <c r="A1840" t="s">
        <v>1228</v>
      </c>
      <c r="B1840" t="s">
        <v>102</v>
      </c>
      <c r="C1840" s="8">
        <v>46012</v>
      </c>
      <c r="D1840" t="s">
        <v>327</v>
      </c>
      <c r="E1840" t="s">
        <v>339</v>
      </c>
      <c r="F1840" s="12">
        <v>150092</v>
      </c>
      <c r="G1840" s="13">
        <v>15</v>
      </c>
      <c r="H1840" t="s">
        <v>3565</v>
      </c>
      <c r="I1840" s="8">
        <v>46150</v>
      </c>
      <c r="J1840" t="s">
        <v>2674</v>
      </c>
      <c r="K1840" t="s">
        <v>2675</v>
      </c>
      <c r="L1840" s="13">
        <v>20000</v>
      </c>
      <c r="M1840" t="s">
        <v>2661</v>
      </c>
    </row>
    <row r="1841" spans="1:13">
      <c r="A1841" t="s">
        <v>562</v>
      </c>
      <c r="B1841" t="s">
        <v>268</v>
      </c>
      <c r="C1841" s="8">
        <v>46071</v>
      </c>
      <c r="D1841" t="s">
        <v>350</v>
      </c>
      <c r="E1841" t="s">
        <v>325</v>
      </c>
      <c r="F1841" s="12">
        <v>65991</v>
      </c>
      <c r="G1841" s="13">
        <v>6</v>
      </c>
      <c r="H1841" t="s">
        <v>2792</v>
      </c>
      <c r="I1841" s="8">
        <v>46132</v>
      </c>
      <c r="J1841" t="s">
        <v>2671</v>
      </c>
      <c r="K1841" t="s">
        <v>2672</v>
      </c>
      <c r="L1841" s="13">
        <v>3000</v>
      </c>
      <c r="M1841" t="s">
        <v>2661</v>
      </c>
    </row>
    <row r="1842" spans="1:13">
      <c r="A1842" t="s">
        <v>562</v>
      </c>
      <c r="B1842" t="s">
        <v>268</v>
      </c>
      <c r="C1842" s="8">
        <v>46071</v>
      </c>
      <c r="D1842" t="s">
        <v>350</v>
      </c>
      <c r="E1842" t="s">
        <v>325</v>
      </c>
      <c r="F1842" s="12">
        <v>65991</v>
      </c>
      <c r="G1842" s="13">
        <v>6</v>
      </c>
      <c r="H1842" t="s">
        <v>2905</v>
      </c>
      <c r="I1842" s="8">
        <v>46049</v>
      </c>
      <c r="J1842" t="s">
        <v>2682</v>
      </c>
      <c r="K1842" t="s">
        <v>2683</v>
      </c>
      <c r="L1842" s="13">
        <v>6000</v>
      </c>
      <c r="M1842" t="s">
        <v>2661</v>
      </c>
    </row>
    <row r="1843" spans="1:13">
      <c r="A1843" t="s">
        <v>562</v>
      </c>
      <c r="B1843" t="s">
        <v>268</v>
      </c>
      <c r="C1843" s="8">
        <v>46071</v>
      </c>
      <c r="D1843" t="s">
        <v>350</v>
      </c>
      <c r="E1843" t="s">
        <v>325</v>
      </c>
      <c r="F1843" s="12">
        <v>65991</v>
      </c>
      <c r="G1843" s="13">
        <v>6</v>
      </c>
      <c r="H1843" t="s">
        <v>3397</v>
      </c>
      <c r="I1843" s="8">
        <v>46152</v>
      </c>
      <c r="J1843" t="s">
        <v>2688</v>
      </c>
      <c r="K1843" t="s">
        <v>2689</v>
      </c>
      <c r="L1843" s="13">
        <v>8000</v>
      </c>
      <c r="M1843" t="s">
        <v>2661</v>
      </c>
    </row>
    <row r="1844" spans="1:13">
      <c r="A1844" t="s">
        <v>562</v>
      </c>
      <c r="B1844" t="s">
        <v>268</v>
      </c>
      <c r="C1844" s="8">
        <v>46071</v>
      </c>
      <c r="D1844" t="s">
        <v>350</v>
      </c>
      <c r="E1844" t="s">
        <v>325</v>
      </c>
      <c r="F1844" s="12">
        <v>65991</v>
      </c>
      <c r="G1844" s="13">
        <v>6</v>
      </c>
      <c r="H1844" t="s">
        <v>3566</v>
      </c>
      <c r="I1844" s="8">
        <v>46049</v>
      </c>
      <c r="J1844" t="s">
        <v>2663</v>
      </c>
      <c r="K1844" t="s">
        <v>3630</v>
      </c>
      <c r="L1844" s="13">
        <v>1500</v>
      </c>
      <c r="M1844" t="s">
        <v>2661</v>
      </c>
    </row>
    <row r="1845" spans="1:13">
      <c r="A1845" t="s">
        <v>448</v>
      </c>
      <c r="B1845" t="s">
        <v>94</v>
      </c>
      <c r="C1845" s="8">
        <v>46217</v>
      </c>
      <c r="D1845" t="s">
        <v>330</v>
      </c>
      <c r="E1845" t="s">
        <v>339</v>
      </c>
      <c r="F1845" s="12">
        <v>333050</v>
      </c>
      <c r="G1845" s="13">
        <v>33</v>
      </c>
      <c r="H1845" t="s">
        <v>2994</v>
      </c>
      <c r="I1845" s="8">
        <v>46107</v>
      </c>
      <c r="J1845" t="s">
        <v>2682</v>
      </c>
      <c r="K1845" t="s">
        <v>2683</v>
      </c>
      <c r="L1845" s="13">
        <v>6000</v>
      </c>
      <c r="M1845" t="s">
        <v>2661</v>
      </c>
    </row>
    <row r="1846" spans="1:13">
      <c r="A1846" t="s">
        <v>507</v>
      </c>
      <c r="B1846" t="s">
        <v>94</v>
      </c>
      <c r="C1846" s="8">
        <v>45937</v>
      </c>
      <c r="D1846" t="s">
        <v>324</v>
      </c>
      <c r="E1846" t="s">
        <v>325</v>
      </c>
      <c r="F1846" s="12">
        <v>36360</v>
      </c>
      <c r="G1846" s="13">
        <v>3</v>
      </c>
      <c r="H1846" t="s">
        <v>2994</v>
      </c>
      <c r="I1846" s="8">
        <v>46107</v>
      </c>
      <c r="J1846" t="s">
        <v>2682</v>
      </c>
      <c r="K1846" t="s">
        <v>2683</v>
      </c>
      <c r="L1846" s="13">
        <v>6000</v>
      </c>
      <c r="M1846" t="s">
        <v>2661</v>
      </c>
    </row>
    <row r="1847" spans="1:13">
      <c r="A1847" t="s">
        <v>565</v>
      </c>
      <c r="B1847" t="s">
        <v>94</v>
      </c>
      <c r="C1847" s="8">
        <v>46279</v>
      </c>
      <c r="D1847" t="s">
        <v>332</v>
      </c>
      <c r="E1847" t="s">
        <v>322</v>
      </c>
      <c r="F1847" s="12">
        <v>265009</v>
      </c>
      <c r="G1847" s="13">
        <v>26</v>
      </c>
      <c r="H1847" t="s">
        <v>2994</v>
      </c>
      <c r="I1847" s="8">
        <v>46107</v>
      </c>
      <c r="J1847" t="s">
        <v>2682</v>
      </c>
      <c r="K1847" t="s">
        <v>2683</v>
      </c>
      <c r="L1847" s="13">
        <v>6000</v>
      </c>
      <c r="M1847" t="s">
        <v>2661</v>
      </c>
    </row>
    <row r="1848" spans="1:13">
      <c r="A1848" t="s">
        <v>621</v>
      </c>
      <c r="B1848" t="s">
        <v>94</v>
      </c>
      <c r="C1848" s="8">
        <v>46160</v>
      </c>
      <c r="D1848" t="s">
        <v>332</v>
      </c>
      <c r="E1848" t="s">
        <v>322</v>
      </c>
      <c r="F1848" s="12">
        <v>413723</v>
      </c>
      <c r="G1848" s="13">
        <v>41</v>
      </c>
      <c r="H1848" t="s">
        <v>2994</v>
      </c>
      <c r="I1848" s="8">
        <v>46107</v>
      </c>
      <c r="J1848" t="s">
        <v>2682</v>
      </c>
      <c r="K1848" t="s">
        <v>2683</v>
      </c>
      <c r="L1848" s="13">
        <v>6000</v>
      </c>
      <c r="M1848" t="s">
        <v>2661</v>
      </c>
    </row>
    <row r="1849" spans="1:13">
      <c r="A1849" t="s">
        <v>623</v>
      </c>
      <c r="B1849" t="s">
        <v>94</v>
      </c>
      <c r="C1849" s="8">
        <v>46214</v>
      </c>
      <c r="D1849" t="s">
        <v>342</v>
      </c>
      <c r="E1849" t="s">
        <v>339</v>
      </c>
      <c r="F1849" s="12">
        <v>126593</v>
      </c>
      <c r="G1849" s="13">
        <v>12</v>
      </c>
      <c r="H1849" t="s">
        <v>2994</v>
      </c>
      <c r="I1849" s="8">
        <v>46107</v>
      </c>
      <c r="J1849" t="s">
        <v>2682</v>
      </c>
      <c r="K1849" t="s">
        <v>2683</v>
      </c>
      <c r="L1849" s="13">
        <v>6000</v>
      </c>
      <c r="M1849" t="s">
        <v>2661</v>
      </c>
    </row>
    <row r="1850" spans="1:13">
      <c r="A1850" t="s">
        <v>630</v>
      </c>
      <c r="B1850" t="s">
        <v>94</v>
      </c>
      <c r="C1850" s="8">
        <v>45985</v>
      </c>
      <c r="D1850" t="s">
        <v>342</v>
      </c>
      <c r="E1850" t="s">
        <v>322</v>
      </c>
      <c r="F1850" s="12">
        <v>566177</v>
      </c>
      <c r="G1850" s="13">
        <v>56</v>
      </c>
      <c r="H1850" t="s">
        <v>2994</v>
      </c>
      <c r="I1850" s="8">
        <v>46107</v>
      </c>
      <c r="J1850" t="s">
        <v>2682</v>
      </c>
      <c r="K1850" t="s">
        <v>2683</v>
      </c>
      <c r="L1850" s="13">
        <v>6000</v>
      </c>
      <c r="M1850" t="s">
        <v>2661</v>
      </c>
    </row>
    <row r="1851" spans="1:13">
      <c r="A1851" t="s">
        <v>631</v>
      </c>
      <c r="B1851" t="s">
        <v>94</v>
      </c>
      <c r="C1851" s="8">
        <v>46237</v>
      </c>
      <c r="D1851" t="s">
        <v>327</v>
      </c>
      <c r="E1851" t="s">
        <v>325</v>
      </c>
      <c r="F1851" s="12">
        <v>70664</v>
      </c>
      <c r="G1851" s="13">
        <v>7</v>
      </c>
      <c r="H1851" t="s">
        <v>2994</v>
      </c>
      <c r="I1851" s="8">
        <v>46107</v>
      </c>
      <c r="J1851" t="s">
        <v>2682</v>
      </c>
      <c r="K1851" t="s">
        <v>2683</v>
      </c>
      <c r="L1851" s="13">
        <v>6000</v>
      </c>
      <c r="M1851" t="s">
        <v>2661</v>
      </c>
    </row>
    <row r="1852" spans="1:13">
      <c r="A1852" t="s">
        <v>676</v>
      </c>
      <c r="B1852" t="s">
        <v>94</v>
      </c>
      <c r="C1852" s="8">
        <v>45975</v>
      </c>
      <c r="D1852" t="s">
        <v>350</v>
      </c>
      <c r="E1852" t="s">
        <v>325</v>
      </c>
      <c r="F1852" s="12">
        <v>194790</v>
      </c>
      <c r="G1852" s="13">
        <v>19</v>
      </c>
      <c r="H1852" t="s">
        <v>2994</v>
      </c>
      <c r="I1852" s="8">
        <v>46107</v>
      </c>
      <c r="J1852" t="s">
        <v>2682</v>
      </c>
      <c r="K1852" t="s">
        <v>2683</v>
      </c>
      <c r="L1852" s="13">
        <v>6000</v>
      </c>
      <c r="M1852" t="s">
        <v>2661</v>
      </c>
    </row>
    <row r="1853" spans="1:13">
      <c r="A1853" t="s">
        <v>891</v>
      </c>
      <c r="B1853" t="s">
        <v>94</v>
      </c>
      <c r="C1853" s="8">
        <v>46123</v>
      </c>
      <c r="D1853" t="s">
        <v>332</v>
      </c>
      <c r="E1853" t="s">
        <v>328</v>
      </c>
      <c r="F1853" s="12">
        <v>374454</v>
      </c>
      <c r="G1853" s="13">
        <v>37</v>
      </c>
      <c r="H1853" t="s">
        <v>2994</v>
      </c>
      <c r="I1853" s="8">
        <v>46107</v>
      </c>
      <c r="J1853" t="s">
        <v>2682</v>
      </c>
      <c r="K1853" t="s">
        <v>2683</v>
      </c>
      <c r="L1853" s="13">
        <v>6000</v>
      </c>
      <c r="M1853" t="s">
        <v>2661</v>
      </c>
    </row>
    <row r="1854" spans="1:13">
      <c r="A1854" t="s">
        <v>899</v>
      </c>
      <c r="B1854" t="s">
        <v>94</v>
      </c>
      <c r="C1854" s="8">
        <v>46009</v>
      </c>
      <c r="D1854" t="s">
        <v>332</v>
      </c>
      <c r="E1854" t="s">
        <v>337</v>
      </c>
      <c r="F1854" s="12">
        <v>132903</v>
      </c>
      <c r="G1854" s="13">
        <v>13</v>
      </c>
      <c r="H1854" t="s">
        <v>2994</v>
      </c>
      <c r="I1854" s="8">
        <v>46107</v>
      </c>
      <c r="J1854" t="s">
        <v>2682</v>
      </c>
      <c r="K1854" t="s">
        <v>2683</v>
      </c>
      <c r="L1854" s="13">
        <v>6000</v>
      </c>
      <c r="M1854" t="s">
        <v>2661</v>
      </c>
    </row>
    <row r="1855" spans="1:13">
      <c r="A1855" t="s">
        <v>980</v>
      </c>
      <c r="B1855" t="s">
        <v>94</v>
      </c>
      <c r="C1855" s="8">
        <v>45968</v>
      </c>
      <c r="D1855" t="s">
        <v>342</v>
      </c>
      <c r="E1855" t="s">
        <v>334</v>
      </c>
      <c r="F1855" s="12">
        <v>64006</v>
      </c>
      <c r="G1855" s="13">
        <v>6</v>
      </c>
      <c r="H1855" t="s">
        <v>2994</v>
      </c>
      <c r="I1855" s="8">
        <v>46107</v>
      </c>
      <c r="J1855" t="s">
        <v>2682</v>
      </c>
      <c r="K1855" t="s">
        <v>2683</v>
      </c>
      <c r="L1855" s="13">
        <v>6000</v>
      </c>
      <c r="M1855" t="s">
        <v>2661</v>
      </c>
    </row>
    <row r="1856" spans="1:13">
      <c r="A1856" t="s">
        <v>1018</v>
      </c>
      <c r="B1856" t="s">
        <v>94</v>
      </c>
      <c r="C1856" s="8">
        <v>46255</v>
      </c>
      <c r="D1856" t="s">
        <v>350</v>
      </c>
      <c r="E1856" t="s">
        <v>337</v>
      </c>
      <c r="F1856" s="12">
        <v>573892</v>
      </c>
      <c r="G1856" s="13">
        <v>57</v>
      </c>
      <c r="H1856" t="s">
        <v>2994</v>
      </c>
      <c r="I1856" s="8">
        <v>46107</v>
      </c>
      <c r="J1856" t="s">
        <v>2682</v>
      </c>
      <c r="K1856" t="s">
        <v>2683</v>
      </c>
      <c r="L1856" s="13">
        <v>6000</v>
      </c>
      <c r="M1856" t="s">
        <v>2661</v>
      </c>
    </row>
    <row r="1857" spans="1:13">
      <c r="A1857" t="s">
        <v>449</v>
      </c>
      <c r="B1857" t="s">
        <v>245</v>
      </c>
      <c r="C1857" s="8">
        <v>45978</v>
      </c>
      <c r="D1857" t="s">
        <v>321</v>
      </c>
      <c r="E1857" t="s">
        <v>339</v>
      </c>
      <c r="F1857" s="12">
        <v>157885</v>
      </c>
      <c r="G1857" s="13">
        <v>15</v>
      </c>
      <c r="H1857" t="s">
        <v>2927</v>
      </c>
      <c r="I1857" s="8">
        <v>46075</v>
      </c>
      <c r="J1857" t="s">
        <v>2685</v>
      </c>
      <c r="K1857" t="s">
        <v>2686</v>
      </c>
      <c r="L1857" s="13">
        <v>5000</v>
      </c>
      <c r="M1857" t="s">
        <v>2661</v>
      </c>
    </row>
    <row r="1858" spans="1:13">
      <c r="A1858" t="s">
        <v>449</v>
      </c>
      <c r="B1858" t="s">
        <v>245</v>
      </c>
      <c r="C1858" s="8">
        <v>45978</v>
      </c>
      <c r="D1858" t="s">
        <v>321</v>
      </c>
      <c r="E1858" t="s">
        <v>339</v>
      </c>
      <c r="F1858" s="12">
        <v>157885</v>
      </c>
      <c r="G1858" s="13">
        <v>15</v>
      </c>
      <c r="H1858" t="s">
        <v>3031</v>
      </c>
      <c r="I1858" s="8">
        <v>46124</v>
      </c>
      <c r="J1858" t="s">
        <v>2688</v>
      </c>
      <c r="K1858" t="s">
        <v>2689</v>
      </c>
      <c r="L1858" s="13">
        <v>8000</v>
      </c>
      <c r="M1858" t="s">
        <v>2676</v>
      </c>
    </row>
    <row r="1859" spans="1:13">
      <c r="A1859" t="s">
        <v>449</v>
      </c>
      <c r="B1859" t="s">
        <v>245</v>
      </c>
      <c r="C1859" s="8">
        <v>45978</v>
      </c>
      <c r="D1859" t="s">
        <v>321</v>
      </c>
      <c r="E1859" t="s">
        <v>339</v>
      </c>
      <c r="F1859" s="12">
        <v>157885</v>
      </c>
      <c r="G1859" s="13">
        <v>15</v>
      </c>
      <c r="H1859" t="s">
        <v>3328</v>
      </c>
      <c r="I1859" s="8">
        <v>45934</v>
      </c>
      <c r="J1859" t="s">
        <v>2668</v>
      </c>
      <c r="K1859" t="s">
        <v>2669</v>
      </c>
      <c r="L1859" s="13">
        <v>4000</v>
      </c>
      <c r="M1859" t="s">
        <v>2661</v>
      </c>
    </row>
    <row r="1860" spans="1:13">
      <c r="A1860" t="s">
        <v>449</v>
      </c>
      <c r="B1860" t="s">
        <v>245</v>
      </c>
      <c r="C1860" s="8">
        <v>45978</v>
      </c>
      <c r="D1860" t="s">
        <v>321</v>
      </c>
      <c r="E1860" t="s">
        <v>339</v>
      </c>
      <c r="F1860" s="12">
        <v>157885</v>
      </c>
      <c r="G1860" s="13">
        <v>15</v>
      </c>
      <c r="H1860" t="s">
        <v>3343</v>
      </c>
      <c r="I1860" s="8">
        <v>46021</v>
      </c>
      <c r="J1860" t="s">
        <v>2674</v>
      </c>
      <c r="K1860" t="s">
        <v>2675</v>
      </c>
      <c r="L1860" s="13">
        <v>20000</v>
      </c>
      <c r="M1860" t="s">
        <v>2661</v>
      </c>
    </row>
    <row r="1861" spans="1:13">
      <c r="A1861" t="s">
        <v>920</v>
      </c>
      <c r="B1861" t="s">
        <v>245</v>
      </c>
      <c r="C1861" s="8">
        <v>45990</v>
      </c>
      <c r="D1861" t="s">
        <v>324</v>
      </c>
      <c r="E1861" t="s">
        <v>337</v>
      </c>
      <c r="F1861" s="12">
        <v>179581</v>
      </c>
      <c r="G1861" s="13">
        <v>17</v>
      </c>
      <c r="H1861" t="s">
        <v>2927</v>
      </c>
      <c r="I1861" s="8">
        <v>46075</v>
      </c>
      <c r="J1861" t="s">
        <v>2685</v>
      </c>
      <c r="K1861" t="s">
        <v>2686</v>
      </c>
      <c r="L1861" s="13">
        <v>5000</v>
      </c>
      <c r="M1861" t="s">
        <v>2661</v>
      </c>
    </row>
    <row r="1862" spans="1:13">
      <c r="A1862" t="s">
        <v>920</v>
      </c>
      <c r="B1862" t="s">
        <v>245</v>
      </c>
      <c r="C1862" s="8">
        <v>45990</v>
      </c>
      <c r="D1862" t="s">
        <v>324</v>
      </c>
      <c r="E1862" t="s">
        <v>337</v>
      </c>
      <c r="F1862" s="12">
        <v>179581</v>
      </c>
      <c r="G1862" s="13">
        <v>17</v>
      </c>
      <c r="H1862" t="s">
        <v>3031</v>
      </c>
      <c r="I1862" s="8">
        <v>46124</v>
      </c>
      <c r="J1862" t="s">
        <v>2688</v>
      </c>
      <c r="K1862" t="s">
        <v>2689</v>
      </c>
      <c r="L1862" s="13">
        <v>8000</v>
      </c>
      <c r="M1862" t="s">
        <v>2676</v>
      </c>
    </row>
    <row r="1863" spans="1:13">
      <c r="A1863" t="s">
        <v>920</v>
      </c>
      <c r="B1863" t="s">
        <v>245</v>
      </c>
      <c r="C1863" s="8">
        <v>45990</v>
      </c>
      <c r="D1863" t="s">
        <v>324</v>
      </c>
      <c r="E1863" t="s">
        <v>337</v>
      </c>
      <c r="F1863" s="12">
        <v>179581</v>
      </c>
      <c r="G1863" s="13">
        <v>17</v>
      </c>
      <c r="H1863" t="s">
        <v>3328</v>
      </c>
      <c r="I1863" s="8">
        <v>45934</v>
      </c>
      <c r="J1863" t="s">
        <v>2668</v>
      </c>
      <c r="K1863" t="s">
        <v>2669</v>
      </c>
      <c r="L1863" s="13">
        <v>4000</v>
      </c>
      <c r="M1863" t="s">
        <v>2661</v>
      </c>
    </row>
    <row r="1864" spans="1:13">
      <c r="A1864" t="s">
        <v>920</v>
      </c>
      <c r="B1864" t="s">
        <v>245</v>
      </c>
      <c r="C1864" s="8">
        <v>45990</v>
      </c>
      <c r="D1864" t="s">
        <v>324</v>
      </c>
      <c r="E1864" t="s">
        <v>337</v>
      </c>
      <c r="F1864" s="12">
        <v>179581</v>
      </c>
      <c r="G1864" s="13">
        <v>17</v>
      </c>
      <c r="H1864" t="s">
        <v>3343</v>
      </c>
      <c r="I1864" s="8">
        <v>46021</v>
      </c>
      <c r="J1864" t="s">
        <v>2674</v>
      </c>
      <c r="K1864" t="s">
        <v>2675</v>
      </c>
      <c r="L1864" s="13">
        <v>20000</v>
      </c>
      <c r="M1864" t="s">
        <v>2661</v>
      </c>
    </row>
    <row r="1865" spans="1:13">
      <c r="A1865" t="s">
        <v>1060</v>
      </c>
      <c r="B1865" t="s">
        <v>245</v>
      </c>
      <c r="C1865" s="8">
        <v>46052</v>
      </c>
      <c r="D1865" t="s">
        <v>327</v>
      </c>
      <c r="E1865" t="s">
        <v>325</v>
      </c>
      <c r="F1865" s="12">
        <v>344286</v>
      </c>
      <c r="G1865" s="13">
        <v>34</v>
      </c>
      <c r="H1865" t="s">
        <v>2927</v>
      </c>
      <c r="I1865" s="8">
        <v>46075</v>
      </c>
      <c r="J1865" t="s">
        <v>2685</v>
      </c>
      <c r="K1865" t="s">
        <v>2686</v>
      </c>
      <c r="L1865" s="13">
        <v>5000</v>
      </c>
      <c r="M1865" t="s">
        <v>2661</v>
      </c>
    </row>
    <row r="1866" spans="1:13">
      <c r="A1866" t="s">
        <v>1060</v>
      </c>
      <c r="B1866" t="s">
        <v>245</v>
      </c>
      <c r="C1866" s="8">
        <v>46052</v>
      </c>
      <c r="D1866" t="s">
        <v>327</v>
      </c>
      <c r="E1866" t="s">
        <v>325</v>
      </c>
      <c r="F1866" s="12">
        <v>344286</v>
      </c>
      <c r="G1866" s="13">
        <v>34</v>
      </c>
      <c r="H1866" t="s">
        <v>3031</v>
      </c>
      <c r="I1866" s="8">
        <v>46124</v>
      </c>
      <c r="J1866" t="s">
        <v>2688</v>
      </c>
      <c r="K1866" t="s">
        <v>2689</v>
      </c>
      <c r="L1866" s="13">
        <v>8000</v>
      </c>
      <c r="M1866" t="s">
        <v>2676</v>
      </c>
    </row>
    <row r="1867" spans="1:13">
      <c r="A1867" t="s">
        <v>1060</v>
      </c>
      <c r="B1867" t="s">
        <v>245</v>
      </c>
      <c r="C1867" s="8">
        <v>46052</v>
      </c>
      <c r="D1867" t="s">
        <v>327</v>
      </c>
      <c r="E1867" t="s">
        <v>325</v>
      </c>
      <c r="F1867" s="12">
        <v>344286</v>
      </c>
      <c r="G1867" s="13">
        <v>34</v>
      </c>
      <c r="H1867" t="s">
        <v>3328</v>
      </c>
      <c r="I1867" s="8">
        <v>45934</v>
      </c>
      <c r="J1867" t="s">
        <v>2668</v>
      </c>
      <c r="K1867" t="s">
        <v>2669</v>
      </c>
      <c r="L1867" s="13">
        <v>4000</v>
      </c>
      <c r="M1867" t="s">
        <v>2661</v>
      </c>
    </row>
    <row r="1868" spans="1:13">
      <c r="A1868" t="s">
        <v>1060</v>
      </c>
      <c r="B1868" t="s">
        <v>245</v>
      </c>
      <c r="C1868" s="8">
        <v>46052</v>
      </c>
      <c r="D1868" t="s">
        <v>327</v>
      </c>
      <c r="E1868" t="s">
        <v>325</v>
      </c>
      <c r="F1868" s="12">
        <v>344286</v>
      </c>
      <c r="G1868" s="13">
        <v>34</v>
      </c>
      <c r="H1868" t="s">
        <v>3343</v>
      </c>
      <c r="I1868" s="8">
        <v>46021</v>
      </c>
      <c r="J1868" t="s">
        <v>2674</v>
      </c>
      <c r="K1868" t="s">
        <v>2675</v>
      </c>
      <c r="L1868" s="13">
        <v>20000</v>
      </c>
      <c r="M1868" t="s">
        <v>2661</v>
      </c>
    </row>
    <row r="1869" spans="1:13">
      <c r="A1869" t="s">
        <v>1208</v>
      </c>
      <c r="B1869" t="s">
        <v>245</v>
      </c>
      <c r="C1869" s="8">
        <v>46122</v>
      </c>
      <c r="D1869" t="s">
        <v>344</v>
      </c>
      <c r="E1869" t="s">
        <v>328</v>
      </c>
      <c r="F1869" s="12">
        <v>179786</v>
      </c>
      <c r="G1869" s="13">
        <v>17</v>
      </c>
      <c r="H1869" t="s">
        <v>2927</v>
      </c>
      <c r="I1869" s="8">
        <v>46075</v>
      </c>
      <c r="J1869" t="s">
        <v>2685</v>
      </c>
      <c r="K1869" t="s">
        <v>2686</v>
      </c>
      <c r="L1869" s="13">
        <v>5000</v>
      </c>
      <c r="M1869" t="s">
        <v>2661</v>
      </c>
    </row>
    <row r="1870" spans="1:13">
      <c r="A1870" t="s">
        <v>1208</v>
      </c>
      <c r="B1870" t="s">
        <v>245</v>
      </c>
      <c r="C1870" s="8">
        <v>46122</v>
      </c>
      <c r="D1870" t="s">
        <v>344</v>
      </c>
      <c r="E1870" t="s">
        <v>328</v>
      </c>
      <c r="F1870" s="12">
        <v>179786</v>
      </c>
      <c r="G1870" s="13">
        <v>17</v>
      </c>
      <c r="H1870" t="s">
        <v>3031</v>
      </c>
      <c r="I1870" s="8">
        <v>46124</v>
      </c>
      <c r="J1870" t="s">
        <v>2688</v>
      </c>
      <c r="K1870" t="s">
        <v>2689</v>
      </c>
      <c r="L1870" s="13">
        <v>8000</v>
      </c>
      <c r="M1870" t="s">
        <v>2676</v>
      </c>
    </row>
    <row r="1871" spans="1:13">
      <c r="A1871" t="s">
        <v>1208</v>
      </c>
      <c r="B1871" t="s">
        <v>245</v>
      </c>
      <c r="C1871" s="8">
        <v>46122</v>
      </c>
      <c r="D1871" t="s">
        <v>344</v>
      </c>
      <c r="E1871" t="s">
        <v>328</v>
      </c>
      <c r="F1871" s="12">
        <v>179786</v>
      </c>
      <c r="G1871" s="13">
        <v>17</v>
      </c>
      <c r="H1871" t="s">
        <v>3328</v>
      </c>
      <c r="I1871" s="8">
        <v>45934</v>
      </c>
      <c r="J1871" t="s">
        <v>2668</v>
      </c>
      <c r="K1871" t="s">
        <v>2669</v>
      </c>
      <c r="L1871" s="13">
        <v>4000</v>
      </c>
      <c r="M1871" t="s">
        <v>2661</v>
      </c>
    </row>
    <row r="1872" spans="1:13">
      <c r="A1872" t="s">
        <v>1208</v>
      </c>
      <c r="B1872" t="s">
        <v>245</v>
      </c>
      <c r="C1872" s="8">
        <v>46122</v>
      </c>
      <c r="D1872" t="s">
        <v>344</v>
      </c>
      <c r="E1872" t="s">
        <v>328</v>
      </c>
      <c r="F1872" s="12">
        <v>179786</v>
      </c>
      <c r="G1872" s="13">
        <v>17</v>
      </c>
      <c r="H1872" t="s">
        <v>3343</v>
      </c>
      <c r="I1872" s="8">
        <v>46021</v>
      </c>
      <c r="J1872" t="s">
        <v>2674</v>
      </c>
      <c r="K1872" t="s">
        <v>2675</v>
      </c>
      <c r="L1872" s="13">
        <v>20000</v>
      </c>
      <c r="M1872" t="s">
        <v>2661</v>
      </c>
    </row>
    <row r="1873" spans="1:13">
      <c r="A1873" t="s">
        <v>454</v>
      </c>
      <c r="B1873" t="s">
        <v>203</v>
      </c>
      <c r="C1873" s="8">
        <v>46057</v>
      </c>
      <c r="D1873" t="s">
        <v>324</v>
      </c>
      <c r="E1873" t="s">
        <v>325</v>
      </c>
      <c r="F1873" s="12">
        <v>200606</v>
      </c>
      <c r="G1873" s="13">
        <v>20</v>
      </c>
      <c r="H1873" t="s">
        <v>2954</v>
      </c>
      <c r="I1873" s="8">
        <v>46243</v>
      </c>
      <c r="J1873" t="s">
        <v>2663</v>
      </c>
      <c r="K1873" t="s">
        <v>3630</v>
      </c>
      <c r="L1873" s="13">
        <v>1500</v>
      </c>
      <c r="M1873" t="s">
        <v>2676</v>
      </c>
    </row>
    <row r="1874" spans="1:13">
      <c r="A1874" t="s">
        <v>454</v>
      </c>
      <c r="B1874" t="s">
        <v>203</v>
      </c>
      <c r="C1874" s="8">
        <v>46057</v>
      </c>
      <c r="D1874" t="s">
        <v>324</v>
      </c>
      <c r="E1874" t="s">
        <v>325</v>
      </c>
      <c r="F1874" s="12">
        <v>200606</v>
      </c>
      <c r="G1874" s="13">
        <v>20</v>
      </c>
      <c r="H1874" t="s">
        <v>3073</v>
      </c>
      <c r="I1874" s="8">
        <v>46041</v>
      </c>
      <c r="J1874" t="s">
        <v>2682</v>
      </c>
      <c r="K1874" t="s">
        <v>2683</v>
      </c>
      <c r="L1874" s="13">
        <v>6000</v>
      </c>
      <c r="M1874" t="s">
        <v>2661</v>
      </c>
    </row>
    <row r="1875" spans="1:13">
      <c r="A1875" t="s">
        <v>454</v>
      </c>
      <c r="B1875" t="s">
        <v>203</v>
      </c>
      <c r="C1875" s="8">
        <v>46057</v>
      </c>
      <c r="D1875" t="s">
        <v>324</v>
      </c>
      <c r="E1875" t="s">
        <v>325</v>
      </c>
      <c r="F1875" s="12">
        <v>200606</v>
      </c>
      <c r="G1875" s="13">
        <v>20</v>
      </c>
      <c r="H1875" t="s">
        <v>3165</v>
      </c>
      <c r="I1875" s="8">
        <v>46230</v>
      </c>
      <c r="J1875" t="s">
        <v>2671</v>
      </c>
      <c r="K1875" t="s">
        <v>2672</v>
      </c>
      <c r="L1875" s="13">
        <v>3000</v>
      </c>
      <c r="M1875" t="s">
        <v>2676</v>
      </c>
    </row>
    <row r="1876" spans="1:13">
      <c r="A1876" t="s">
        <v>455</v>
      </c>
      <c r="B1876" t="s">
        <v>239</v>
      </c>
      <c r="C1876" s="8">
        <v>46140</v>
      </c>
      <c r="D1876" t="s">
        <v>321</v>
      </c>
      <c r="E1876" t="s">
        <v>322</v>
      </c>
      <c r="F1876" s="12">
        <v>529504</v>
      </c>
      <c r="G1876" s="13">
        <v>52</v>
      </c>
      <c r="H1876" t="s">
        <v>3498</v>
      </c>
      <c r="I1876" s="8">
        <v>46247</v>
      </c>
      <c r="J1876" t="s">
        <v>2671</v>
      </c>
      <c r="K1876" t="s">
        <v>2672</v>
      </c>
      <c r="L1876" s="13">
        <v>3000</v>
      </c>
      <c r="M1876" t="s">
        <v>2661</v>
      </c>
    </row>
    <row r="1877" spans="1:13">
      <c r="A1877" t="s">
        <v>1118</v>
      </c>
      <c r="B1877" t="s">
        <v>239</v>
      </c>
      <c r="C1877" s="8">
        <v>46183</v>
      </c>
      <c r="D1877" t="s">
        <v>330</v>
      </c>
      <c r="E1877" t="s">
        <v>328</v>
      </c>
      <c r="F1877" s="12">
        <v>321458</v>
      </c>
      <c r="G1877" s="13">
        <v>32</v>
      </c>
      <c r="H1877" t="s">
        <v>3498</v>
      </c>
      <c r="I1877" s="8">
        <v>46247</v>
      </c>
      <c r="J1877" t="s">
        <v>2671</v>
      </c>
      <c r="K1877" t="s">
        <v>2672</v>
      </c>
      <c r="L1877" s="13">
        <v>3000</v>
      </c>
      <c r="M1877" t="s">
        <v>2661</v>
      </c>
    </row>
    <row r="1878" spans="1:13">
      <c r="A1878" t="s">
        <v>456</v>
      </c>
      <c r="B1878" t="s">
        <v>217</v>
      </c>
      <c r="C1878" s="8">
        <v>46236</v>
      </c>
      <c r="D1878" t="s">
        <v>344</v>
      </c>
      <c r="E1878" t="s">
        <v>339</v>
      </c>
      <c r="F1878" s="12">
        <v>190374</v>
      </c>
      <c r="G1878" s="13">
        <v>19</v>
      </c>
      <c r="H1878" t="s">
        <v>3010</v>
      </c>
      <c r="I1878" s="8">
        <v>46213</v>
      </c>
      <c r="J1878" t="s">
        <v>2674</v>
      </c>
      <c r="K1878" t="s">
        <v>2675</v>
      </c>
      <c r="L1878" s="13">
        <v>20000</v>
      </c>
      <c r="M1878" t="s">
        <v>2661</v>
      </c>
    </row>
    <row r="1879" spans="1:13">
      <c r="A1879" t="s">
        <v>456</v>
      </c>
      <c r="B1879" t="s">
        <v>217</v>
      </c>
      <c r="C1879" s="8">
        <v>46236</v>
      </c>
      <c r="D1879" t="s">
        <v>344</v>
      </c>
      <c r="E1879" t="s">
        <v>339</v>
      </c>
      <c r="F1879" s="12">
        <v>190374</v>
      </c>
      <c r="G1879" s="13">
        <v>19</v>
      </c>
      <c r="H1879" t="s">
        <v>3493</v>
      </c>
      <c r="I1879" s="8">
        <v>46078</v>
      </c>
      <c r="J1879" t="s">
        <v>2682</v>
      </c>
      <c r="K1879" t="s">
        <v>2683</v>
      </c>
      <c r="L1879" s="13">
        <v>6000</v>
      </c>
      <c r="M1879" t="s">
        <v>2661</v>
      </c>
    </row>
    <row r="1880" spans="1:13">
      <c r="A1880" t="s">
        <v>461</v>
      </c>
      <c r="B1880" t="s">
        <v>217</v>
      </c>
      <c r="C1880" s="8">
        <v>46223</v>
      </c>
      <c r="D1880" t="s">
        <v>332</v>
      </c>
      <c r="E1880" t="s">
        <v>339</v>
      </c>
      <c r="F1880" s="12">
        <v>56457</v>
      </c>
      <c r="G1880" s="13">
        <v>5</v>
      </c>
      <c r="H1880" t="s">
        <v>3010</v>
      </c>
      <c r="I1880" s="8">
        <v>46213</v>
      </c>
      <c r="J1880" t="s">
        <v>2674</v>
      </c>
      <c r="K1880" t="s">
        <v>2675</v>
      </c>
      <c r="L1880" s="13">
        <v>20000</v>
      </c>
      <c r="M1880" t="s">
        <v>2661</v>
      </c>
    </row>
    <row r="1881" spans="1:13">
      <c r="A1881" t="s">
        <v>461</v>
      </c>
      <c r="B1881" t="s">
        <v>217</v>
      </c>
      <c r="C1881" s="8">
        <v>46223</v>
      </c>
      <c r="D1881" t="s">
        <v>332</v>
      </c>
      <c r="E1881" t="s">
        <v>339</v>
      </c>
      <c r="F1881" s="12">
        <v>56457</v>
      </c>
      <c r="G1881" s="13">
        <v>5</v>
      </c>
      <c r="H1881" t="s">
        <v>3493</v>
      </c>
      <c r="I1881" s="8">
        <v>46078</v>
      </c>
      <c r="J1881" t="s">
        <v>2682</v>
      </c>
      <c r="K1881" t="s">
        <v>2683</v>
      </c>
      <c r="L1881" s="13">
        <v>6000</v>
      </c>
      <c r="M1881" t="s">
        <v>2661</v>
      </c>
    </row>
    <row r="1882" spans="1:13">
      <c r="A1882" t="s">
        <v>468</v>
      </c>
      <c r="B1882" t="s">
        <v>217</v>
      </c>
      <c r="C1882" s="8">
        <v>46000</v>
      </c>
      <c r="D1882" t="s">
        <v>324</v>
      </c>
      <c r="E1882" t="s">
        <v>322</v>
      </c>
      <c r="F1882" s="12">
        <v>67345</v>
      </c>
      <c r="G1882" s="13">
        <v>6</v>
      </c>
      <c r="H1882" t="s">
        <v>3010</v>
      </c>
      <c r="I1882" s="8">
        <v>46213</v>
      </c>
      <c r="J1882" t="s">
        <v>2674</v>
      </c>
      <c r="K1882" t="s">
        <v>2675</v>
      </c>
      <c r="L1882" s="13">
        <v>20000</v>
      </c>
      <c r="M1882" t="s">
        <v>2661</v>
      </c>
    </row>
    <row r="1883" spans="1:13">
      <c r="A1883" t="s">
        <v>468</v>
      </c>
      <c r="B1883" t="s">
        <v>217</v>
      </c>
      <c r="C1883" s="8">
        <v>46000</v>
      </c>
      <c r="D1883" t="s">
        <v>324</v>
      </c>
      <c r="E1883" t="s">
        <v>322</v>
      </c>
      <c r="F1883" s="12">
        <v>67345</v>
      </c>
      <c r="G1883" s="13">
        <v>6</v>
      </c>
      <c r="H1883" t="s">
        <v>3493</v>
      </c>
      <c r="I1883" s="8">
        <v>46078</v>
      </c>
      <c r="J1883" t="s">
        <v>2682</v>
      </c>
      <c r="K1883" t="s">
        <v>2683</v>
      </c>
      <c r="L1883" s="13">
        <v>6000</v>
      </c>
      <c r="M1883" t="s">
        <v>2661</v>
      </c>
    </row>
    <row r="1884" spans="1:13">
      <c r="A1884" t="s">
        <v>576</v>
      </c>
      <c r="B1884" t="s">
        <v>217</v>
      </c>
      <c r="C1884" s="8">
        <v>46072</v>
      </c>
      <c r="D1884" t="s">
        <v>350</v>
      </c>
      <c r="E1884" t="s">
        <v>322</v>
      </c>
      <c r="F1884" s="12">
        <v>118083</v>
      </c>
      <c r="G1884" s="13">
        <v>11</v>
      </c>
      <c r="H1884" t="s">
        <v>3010</v>
      </c>
      <c r="I1884" s="8">
        <v>46213</v>
      </c>
      <c r="J1884" t="s">
        <v>2674</v>
      </c>
      <c r="K1884" t="s">
        <v>2675</v>
      </c>
      <c r="L1884" s="13">
        <v>20000</v>
      </c>
      <c r="M1884" t="s">
        <v>2661</v>
      </c>
    </row>
    <row r="1885" spans="1:13">
      <c r="A1885" t="s">
        <v>576</v>
      </c>
      <c r="B1885" t="s">
        <v>217</v>
      </c>
      <c r="C1885" s="8">
        <v>46072</v>
      </c>
      <c r="D1885" t="s">
        <v>350</v>
      </c>
      <c r="E1885" t="s">
        <v>322</v>
      </c>
      <c r="F1885" s="12">
        <v>118083</v>
      </c>
      <c r="G1885" s="13">
        <v>11</v>
      </c>
      <c r="H1885" t="s">
        <v>3493</v>
      </c>
      <c r="I1885" s="8">
        <v>46078</v>
      </c>
      <c r="J1885" t="s">
        <v>2682</v>
      </c>
      <c r="K1885" t="s">
        <v>2683</v>
      </c>
      <c r="L1885" s="13">
        <v>6000</v>
      </c>
      <c r="M1885" t="s">
        <v>2661</v>
      </c>
    </row>
    <row r="1886" spans="1:13">
      <c r="A1886" t="s">
        <v>683</v>
      </c>
      <c r="B1886" t="s">
        <v>217</v>
      </c>
      <c r="C1886" s="8">
        <v>46142</v>
      </c>
      <c r="D1886" t="s">
        <v>332</v>
      </c>
      <c r="E1886" t="s">
        <v>337</v>
      </c>
      <c r="F1886" s="12">
        <v>346905</v>
      </c>
      <c r="G1886" s="13">
        <v>34</v>
      </c>
      <c r="H1886" t="s">
        <v>3010</v>
      </c>
      <c r="I1886" s="8">
        <v>46213</v>
      </c>
      <c r="J1886" t="s">
        <v>2674</v>
      </c>
      <c r="K1886" t="s">
        <v>2675</v>
      </c>
      <c r="L1886" s="13">
        <v>20000</v>
      </c>
      <c r="M1886" t="s">
        <v>2661</v>
      </c>
    </row>
    <row r="1887" spans="1:13">
      <c r="A1887" t="s">
        <v>683</v>
      </c>
      <c r="B1887" t="s">
        <v>217</v>
      </c>
      <c r="C1887" s="8">
        <v>46142</v>
      </c>
      <c r="D1887" t="s">
        <v>332</v>
      </c>
      <c r="E1887" t="s">
        <v>337</v>
      </c>
      <c r="F1887" s="12">
        <v>346905</v>
      </c>
      <c r="G1887" s="13">
        <v>34</v>
      </c>
      <c r="H1887" t="s">
        <v>3493</v>
      </c>
      <c r="I1887" s="8">
        <v>46078</v>
      </c>
      <c r="J1887" t="s">
        <v>2682</v>
      </c>
      <c r="K1887" t="s">
        <v>2683</v>
      </c>
      <c r="L1887" s="13">
        <v>6000</v>
      </c>
      <c r="M1887" t="s">
        <v>2661</v>
      </c>
    </row>
    <row r="1888" spans="1:13">
      <c r="A1888" t="s">
        <v>768</v>
      </c>
      <c r="B1888" t="s">
        <v>217</v>
      </c>
      <c r="C1888" s="8">
        <v>46092</v>
      </c>
      <c r="D1888" t="s">
        <v>344</v>
      </c>
      <c r="E1888" t="s">
        <v>337</v>
      </c>
      <c r="F1888" s="12">
        <v>758941</v>
      </c>
      <c r="G1888" s="13">
        <v>75</v>
      </c>
      <c r="H1888" t="s">
        <v>3010</v>
      </c>
      <c r="I1888" s="8">
        <v>46213</v>
      </c>
      <c r="J1888" t="s">
        <v>2674</v>
      </c>
      <c r="K1888" t="s">
        <v>2675</v>
      </c>
      <c r="L1888" s="13">
        <v>20000</v>
      </c>
      <c r="M1888" t="s">
        <v>2661</v>
      </c>
    </row>
    <row r="1889" spans="1:13">
      <c r="A1889" t="s">
        <v>768</v>
      </c>
      <c r="B1889" t="s">
        <v>217</v>
      </c>
      <c r="C1889" s="8">
        <v>46092</v>
      </c>
      <c r="D1889" t="s">
        <v>344</v>
      </c>
      <c r="E1889" t="s">
        <v>337</v>
      </c>
      <c r="F1889" s="12">
        <v>758941</v>
      </c>
      <c r="G1889" s="13">
        <v>75</v>
      </c>
      <c r="H1889" t="s">
        <v>3493</v>
      </c>
      <c r="I1889" s="8">
        <v>46078</v>
      </c>
      <c r="J1889" t="s">
        <v>2682</v>
      </c>
      <c r="K1889" t="s">
        <v>2683</v>
      </c>
      <c r="L1889" s="13">
        <v>6000</v>
      </c>
      <c r="M1889" t="s">
        <v>2661</v>
      </c>
    </row>
    <row r="1890" spans="1:13">
      <c r="A1890" t="s">
        <v>833</v>
      </c>
      <c r="B1890" t="s">
        <v>217</v>
      </c>
      <c r="C1890" s="8">
        <v>46084</v>
      </c>
      <c r="D1890" t="s">
        <v>330</v>
      </c>
      <c r="E1890" t="s">
        <v>328</v>
      </c>
      <c r="F1890" s="12">
        <v>136246</v>
      </c>
      <c r="G1890" s="13">
        <v>13</v>
      </c>
      <c r="H1890" t="s">
        <v>3010</v>
      </c>
      <c r="I1890" s="8">
        <v>46213</v>
      </c>
      <c r="J1890" t="s">
        <v>2674</v>
      </c>
      <c r="K1890" t="s">
        <v>2675</v>
      </c>
      <c r="L1890" s="13">
        <v>20000</v>
      </c>
      <c r="M1890" t="s">
        <v>2661</v>
      </c>
    </row>
    <row r="1891" spans="1:13">
      <c r="A1891" t="s">
        <v>833</v>
      </c>
      <c r="B1891" t="s">
        <v>217</v>
      </c>
      <c r="C1891" s="8">
        <v>46084</v>
      </c>
      <c r="D1891" t="s">
        <v>330</v>
      </c>
      <c r="E1891" t="s">
        <v>328</v>
      </c>
      <c r="F1891" s="12">
        <v>136246</v>
      </c>
      <c r="G1891" s="13">
        <v>13</v>
      </c>
      <c r="H1891" t="s">
        <v>3493</v>
      </c>
      <c r="I1891" s="8">
        <v>46078</v>
      </c>
      <c r="J1891" t="s">
        <v>2682</v>
      </c>
      <c r="K1891" t="s">
        <v>2683</v>
      </c>
      <c r="L1891" s="13">
        <v>6000</v>
      </c>
      <c r="M1891" t="s">
        <v>2661</v>
      </c>
    </row>
    <row r="1892" spans="1:13">
      <c r="A1892" t="s">
        <v>843</v>
      </c>
      <c r="B1892" t="s">
        <v>217</v>
      </c>
      <c r="C1892" s="8">
        <v>45931</v>
      </c>
      <c r="D1892" t="s">
        <v>344</v>
      </c>
      <c r="E1892" t="s">
        <v>334</v>
      </c>
      <c r="F1892" s="12">
        <v>548327</v>
      </c>
      <c r="G1892" s="13">
        <v>54</v>
      </c>
      <c r="H1892" t="s">
        <v>3010</v>
      </c>
      <c r="I1892" s="8">
        <v>46213</v>
      </c>
      <c r="J1892" t="s">
        <v>2674</v>
      </c>
      <c r="K1892" t="s">
        <v>2675</v>
      </c>
      <c r="L1892" s="13">
        <v>20000</v>
      </c>
      <c r="M1892" t="s">
        <v>2661</v>
      </c>
    </row>
    <row r="1893" spans="1:13">
      <c r="A1893" t="s">
        <v>843</v>
      </c>
      <c r="B1893" t="s">
        <v>217</v>
      </c>
      <c r="C1893" s="8">
        <v>45931</v>
      </c>
      <c r="D1893" t="s">
        <v>344</v>
      </c>
      <c r="E1893" t="s">
        <v>334</v>
      </c>
      <c r="F1893" s="12">
        <v>548327</v>
      </c>
      <c r="G1893" s="13">
        <v>54</v>
      </c>
      <c r="H1893" t="s">
        <v>3493</v>
      </c>
      <c r="I1893" s="8">
        <v>46078</v>
      </c>
      <c r="J1893" t="s">
        <v>2682</v>
      </c>
      <c r="K1893" t="s">
        <v>2683</v>
      </c>
      <c r="L1893" s="13">
        <v>6000</v>
      </c>
      <c r="M1893" t="s">
        <v>2661</v>
      </c>
    </row>
    <row r="1894" spans="1:13">
      <c r="A1894" t="s">
        <v>852</v>
      </c>
      <c r="B1894" t="s">
        <v>217</v>
      </c>
      <c r="C1894" s="8">
        <v>46092</v>
      </c>
      <c r="D1894" t="s">
        <v>327</v>
      </c>
      <c r="E1894" t="s">
        <v>334</v>
      </c>
      <c r="F1894" s="12">
        <v>261597</v>
      </c>
      <c r="G1894" s="13">
        <v>26</v>
      </c>
      <c r="H1894" t="s">
        <v>3010</v>
      </c>
      <c r="I1894" s="8">
        <v>46213</v>
      </c>
      <c r="J1894" t="s">
        <v>2674</v>
      </c>
      <c r="K1894" t="s">
        <v>2675</v>
      </c>
      <c r="L1894" s="13">
        <v>20000</v>
      </c>
      <c r="M1894" t="s">
        <v>2661</v>
      </c>
    </row>
    <row r="1895" spans="1:13">
      <c r="A1895" t="s">
        <v>852</v>
      </c>
      <c r="B1895" t="s">
        <v>217</v>
      </c>
      <c r="C1895" s="8">
        <v>46092</v>
      </c>
      <c r="D1895" t="s">
        <v>327</v>
      </c>
      <c r="E1895" t="s">
        <v>334</v>
      </c>
      <c r="F1895" s="12">
        <v>261597</v>
      </c>
      <c r="G1895" s="13">
        <v>26</v>
      </c>
      <c r="H1895" t="s">
        <v>3493</v>
      </c>
      <c r="I1895" s="8">
        <v>46078</v>
      </c>
      <c r="J1895" t="s">
        <v>2682</v>
      </c>
      <c r="K1895" t="s">
        <v>2683</v>
      </c>
      <c r="L1895" s="13">
        <v>6000</v>
      </c>
      <c r="M1895" t="s">
        <v>2661</v>
      </c>
    </row>
    <row r="1896" spans="1:13">
      <c r="A1896" t="s">
        <v>926</v>
      </c>
      <c r="B1896" t="s">
        <v>217</v>
      </c>
      <c r="C1896" s="8">
        <v>46096</v>
      </c>
      <c r="D1896" t="s">
        <v>330</v>
      </c>
      <c r="E1896" t="s">
        <v>339</v>
      </c>
      <c r="F1896" s="12">
        <v>106070</v>
      </c>
      <c r="G1896" s="13">
        <v>10</v>
      </c>
      <c r="H1896" t="s">
        <v>3010</v>
      </c>
      <c r="I1896" s="8">
        <v>46213</v>
      </c>
      <c r="J1896" t="s">
        <v>2674</v>
      </c>
      <c r="K1896" t="s">
        <v>2675</v>
      </c>
      <c r="L1896" s="13">
        <v>20000</v>
      </c>
      <c r="M1896" t="s">
        <v>2661</v>
      </c>
    </row>
    <row r="1897" spans="1:13">
      <c r="A1897" t="s">
        <v>926</v>
      </c>
      <c r="B1897" t="s">
        <v>217</v>
      </c>
      <c r="C1897" s="8">
        <v>46096</v>
      </c>
      <c r="D1897" t="s">
        <v>330</v>
      </c>
      <c r="E1897" t="s">
        <v>339</v>
      </c>
      <c r="F1897" s="12">
        <v>106070</v>
      </c>
      <c r="G1897" s="13">
        <v>10</v>
      </c>
      <c r="H1897" t="s">
        <v>3493</v>
      </c>
      <c r="I1897" s="8">
        <v>46078</v>
      </c>
      <c r="J1897" t="s">
        <v>2682</v>
      </c>
      <c r="K1897" t="s">
        <v>2683</v>
      </c>
      <c r="L1897" s="13">
        <v>6000</v>
      </c>
      <c r="M1897" t="s">
        <v>2661</v>
      </c>
    </row>
    <row r="1898" spans="1:13">
      <c r="A1898" t="s">
        <v>968</v>
      </c>
      <c r="B1898" t="s">
        <v>217</v>
      </c>
      <c r="C1898" s="8">
        <v>46062</v>
      </c>
      <c r="D1898" t="s">
        <v>324</v>
      </c>
      <c r="E1898" t="s">
        <v>322</v>
      </c>
      <c r="F1898" s="12">
        <v>160866</v>
      </c>
      <c r="G1898" s="13">
        <v>16</v>
      </c>
      <c r="H1898" t="s">
        <v>3010</v>
      </c>
      <c r="I1898" s="8">
        <v>46213</v>
      </c>
      <c r="J1898" t="s">
        <v>2674</v>
      </c>
      <c r="K1898" t="s">
        <v>2675</v>
      </c>
      <c r="L1898" s="13">
        <v>20000</v>
      </c>
      <c r="M1898" t="s">
        <v>2661</v>
      </c>
    </row>
    <row r="1899" spans="1:13">
      <c r="A1899" t="s">
        <v>968</v>
      </c>
      <c r="B1899" t="s">
        <v>217</v>
      </c>
      <c r="C1899" s="8">
        <v>46062</v>
      </c>
      <c r="D1899" t="s">
        <v>324</v>
      </c>
      <c r="E1899" t="s">
        <v>322</v>
      </c>
      <c r="F1899" s="12">
        <v>160866</v>
      </c>
      <c r="G1899" s="13">
        <v>16</v>
      </c>
      <c r="H1899" t="s">
        <v>3493</v>
      </c>
      <c r="I1899" s="8">
        <v>46078</v>
      </c>
      <c r="J1899" t="s">
        <v>2682</v>
      </c>
      <c r="K1899" t="s">
        <v>2683</v>
      </c>
      <c r="L1899" s="13">
        <v>6000</v>
      </c>
      <c r="M1899" t="s">
        <v>2661</v>
      </c>
    </row>
    <row r="1900" spans="1:13">
      <c r="A1900" t="s">
        <v>1048</v>
      </c>
      <c r="B1900" t="s">
        <v>217</v>
      </c>
      <c r="C1900" s="8">
        <v>46165</v>
      </c>
      <c r="D1900" t="s">
        <v>332</v>
      </c>
      <c r="E1900" t="s">
        <v>322</v>
      </c>
      <c r="F1900" s="12">
        <v>288718</v>
      </c>
      <c r="G1900" s="13">
        <v>28</v>
      </c>
      <c r="H1900" t="s">
        <v>3010</v>
      </c>
      <c r="I1900" s="8">
        <v>46213</v>
      </c>
      <c r="J1900" t="s">
        <v>2674</v>
      </c>
      <c r="K1900" t="s">
        <v>2675</v>
      </c>
      <c r="L1900" s="13">
        <v>20000</v>
      </c>
      <c r="M1900" t="s">
        <v>2661</v>
      </c>
    </row>
    <row r="1901" spans="1:13">
      <c r="A1901" t="s">
        <v>1048</v>
      </c>
      <c r="B1901" t="s">
        <v>217</v>
      </c>
      <c r="C1901" s="8">
        <v>46165</v>
      </c>
      <c r="D1901" t="s">
        <v>332</v>
      </c>
      <c r="E1901" t="s">
        <v>322</v>
      </c>
      <c r="F1901" s="12">
        <v>288718</v>
      </c>
      <c r="G1901" s="13">
        <v>28</v>
      </c>
      <c r="H1901" t="s">
        <v>3493</v>
      </c>
      <c r="I1901" s="8">
        <v>46078</v>
      </c>
      <c r="J1901" t="s">
        <v>2682</v>
      </c>
      <c r="K1901" t="s">
        <v>2683</v>
      </c>
      <c r="L1901" s="13">
        <v>6000</v>
      </c>
      <c r="M1901" t="s">
        <v>2661</v>
      </c>
    </row>
    <row r="1902" spans="1:13">
      <c r="A1902" t="s">
        <v>1106</v>
      </c>
      <c r="B1902" t="s">
        <v>217</v>
      </c>
      <c r="C1902" s="8">
        <v>46011</v>
      </c>
      <c r="D1902" t="s">
        <v>321</v>
      </c>
      <c r="E1902" t="s">
        <v>334</v>
      </c>
      <c r="F1902" s="12">
        <v>142967</v>
      </c>
      <c r="G1902" s="13">
        <v>14</v>
      </c>
      <c r="H1902" t="s">
        <v>3010</v>
      </c>
      <c r="I1902" s="8">
        <v>46213</v>
      </c>
      <c r="J1902" t="s">
        <v>2674</v>
      </c>
      <c r="K1902" t="s">
        <v>2675</v>
      </c>
      <c r="L1902" s="13">
        <v>20000</v>
      </c>
      <c r="M1902" t="s">
        <v>2661</v>
      </c>
    </row>
    <row r="1903" spans="1:13">
      <c r="A1903" t="s">
        <v>1106</v>
      </c>
      <c r="B1903" t="s">
        <v>217</v>
      </c>
      <c r="C1903" s="8">
        <v>46011</v>
      </c>
      <c r="D1903" t="s">
        <v>321</v>
      </c>
      <c r="E1903" t="s">
        <v>334</v>
      </c>
      <c r="F1903" s="12">
        <v>142967</v>
      </c>
      <c r="G1903" s="13">
        <v>14</v>
      </c>
      <c r="H1903" t="s">
        <v>3493</v>
      </c>
      <c r="I1903" s="8">
        <v>46078</v>
      </c>
      <c r="J1903" t="s">
        <v>2682</v>
      </c>
      <c r="K1903" t="s">
        <v>2683</v>
      </c>
      <c r="L1903" s="13">
        <v>6000</v>
      </c>
      <c r="M1903" t="s">
        <v>2661</v>
      </c>
    </row>
    <row r="1904" spans="1:13">
      <c r="A1904" t="s">
        <v>1198</v>
      </c>
      <c r="B1904" t="s">
        <v>217</v>
      </c>
      <c r="C1904" s="8">
        <v>46136</v>
      </c>
      <c r="D1904" t="s">
        <v>327</v>
      </c>
      <c r="E1904" t="s">
        <v>337</v>
      </c>
      <c r="F1904" s="12">
        <v>25000</v>
      </c>
      <c r="G1904" s="13">
        <v>2</v>
      </c>
      <c r="H1904" t="s">
        <v>3010</v>
      </c>
      <c r="I1904" s="8">
        <v>46213</v>
      </c>
      <c r="J1904" t="s">
        <v>2674</v>
      </c>
      <c r="K1904" t="s">
        <v>2675</v>
      </c>
      <c r="L1904" s="13">
        <v>20000</v>
      </c>
      <c r="M1904" t="s">
        <v>2661</v>
      </c>
    </row>
    <row r="1905" spans="1:13">
      <c r="A1905" t="s">
        <v>1198</v>
      </c>
      <c r="B1905" t="s">
        <v>217</v>
      </c>
      <c r="C1905" s="8">
        <v>46136</v>
      </c>
      <c r="D1905" t="s">
        <v>327</v>
      </c>
      <c r="E1905" t="s">
        <v>337</v>
      </c>
      <c r="F1905" s="12">
        <v>25000</v>
      </c>
      <c r="G1905" s="13">
        <v>2</v>
      </c>
      <c r="H1905" t="s">
        <v>3493</v>
      </c>
      <c r="I1905" s="8">
        <v>46078</v>
      </c>
      <c r="J1905" t="s">
        <v>2682</v>
      </c>
      <c r="K1905" t="s">
        <v>2683</v>
      </c>
      <c r="L1905" s="13">
        <v>6000</v>
      </c>
      <c r="M1905" t="s">
        <v>2661</v>
      </c>
    </row>
    <row r="1906" spans="1:13">
      <c r="A1906" t="s">
        <v>814</v>
      </c>
      <c r="B1906" t="s">
        <v>65</v>
      </c>
      <c r="C1906" s="8">
        <v>46074</v>
      </c>
      <c r="D1906" t="s">
        <v>342</v>
      </c>
      <c r="E1906" t="s">
        <v>328</v>
      </c>
      <c r="F1906" s="12">
        <v>406660</v>
      </c>
      <c r="G1906" s="13">
        <v>40</v>
      </c>
      <c r="H1906" t="s">
        <v>2801</v>
      </c>
      <c r="I1906" s="8">
        <v>46162</v>
      </c>
      <c r="J1906" t="s">
        <v>2688</v>
      </c>
      <c r="K1906" t="s">
        <v>2689</v>
      </c>
      <c r="L1906" s="13">
        <v>8000</v>
      </c>
      <c r="M1906" t="s">
        <v>2661</v>
      </c>
    </row>
    <row r="1907" spans="1:13">
      <c r="A1907" t="s">
        <v>814</v>
      </c>
      <c r="B1907" t="s">
        <v>65</v>
      </c>
      <c r="C1907" s="8">
        <v>46074</v>
      </c>
      <c r="D1907" t="s">
        <v>342</v>
      </c>
      <c r="E1907" t="s">
        <v>328</v>
      </c>
      <c r="F1907" s="12">
        <v>406660</v>
      </c>
      <c r="G1907" s="13">
        <v>40</v>
      </c>
      <c r="H1907" t="s">
        <v>2826</v>
      </c>
      <c r="I1907" s="8">
        <v>46147</v>
      </c>
      <c r="J1907" t="s">
        <v>2674</v>
      </c>
      <c r="K1907" t="s">
        <v>2675</v>
      </c>
      <c r="L1907" s="13">
        <v>20000</v>
      </c>
      <c r="M1907" t="s">
        <v>2661</v>
      </c>
    </row>
    <row r="1908" spans="1:13">
      <c r="A1908" t="s">
        <v>814</v>
      </c>
      <c r="B1908" t="s">
        <v>65</v>
      </c>
      <c r="C1908" s="8">
        <v>46074</v>
      </c>
      <c r="D1908" t="s">
        <v>342</v>
      </c>
      <c r="E1908" t="s">
        <v>328</v>
      </c>
      <c r="F1908" s="12">
        <v>406660</v>
      </c>
      <c r="G1908" s="13">
        <v>40</v>
      </c>
      <c r="H1908" t="s">
        <v>3124</v>
      </c>
      <c r="I1908" s="8">
        <v>46278</v>
      </c>
      <c r="J1908" t="s">
        <v>2674</v>
      </c>
      <c r="K1908" t="s">
        <v>2675</v>
      </c>
      <c r="L1908" s="13">
        <v>20000</v>
      </c>
      <c r="M1908" t="s">
        <v>2661</v>
      </c>
    </row>
    <row r="1909" spans="1:13">
      <c r="A1909" t="s">
        <v>814</v>
      </c>
      <c r="B1909" t="s">
        <v>65</v>
      </c>
      <c r="C1909" s="8">
        <v>46074</v>
      </c>
      <c r="D1909" t="s">
        <v>342</v>
      </c>
      <c r="E1909" t="s">
        <v>328</v>
      </c>
      <c r="F1909" s="12">
        <v>406660</v>
      </c>
      <c r="G1909" s="13">
        <v>40</v>
      </c>
      <c r="H1909" t="s">
        <v>3167</v>
      </c>
      <c r="I1909" s="8">
        <v>46013</v>
      </c>
      <c r="J1909" t="s">
        <v>2685</v>
      </c>
      <c r="K1909" t="s">
        <v>2686</v>
      </c>
      <c r="L1909" s="13">
        <v>5000</v>
      </c>
      <c r="M1909" t="s">
        <v>2676</v>
      </c>
    </row>
    <row r="1910" spans="1:13">
      <c r="A1910" t="s">
        <v>814</v>
      </c>
      <c r="B1910" t="s">
        <v>65</v>
      </c>
      <c r="C1910" s="8">
        <v>46074</v>
      </c>
      <c r="D1910" t="s">
        <v>342</v>
      </c>
      <c r="E1910" t="s">
        <v>328</v>
      </c>
      <c r="F1910" s="12">
        <v>406660</v>
      </c>
      <c r="G1910" s="13">
        <v>40</v>
      </c>
      <c r="H1910" t="s">
        <v>3344</v>
      </c>
      <c r="I1910" s="8">
        <v>45982</v>
      </c>
      <c r="J1910" t="s">
        <v>2668</v>
      </c>
      <c r="K1910" t="s">
        <v>2669</v>
      </c>
      <c r="L1910" s="13">
        <v>4000</v>
      </c>
      <c r="M1910" t="s">
        <v>2661</v>
      </c>
    </row>
    <row r="1911" spans="1:13">
      <c r="A1911" t="s">
        <v>819</v>
      </c>
      <c r="B1911" t="s">
        <v>65</v>
      </c>
      <c r="C1911" s="8">
        <v>46222</v>
      </c>
      <c r="D1911" t="s">
        <v>330</v>
      </c>
      <c r="E1911" t="s">
        <v>334</v>
      </c>
      <c r="F1911" s="12">
        <v>295888</v>
      </c>
      <c r="G1911" s="13">
        <v>29</v>
      </c>
      <c r="H1911" t="s">
        <v>2801</v>
      </c>
      <c r="I1911" s="8">
        <v>46162</v>
      </c>
      <c r="J1911" t="s">
        <v>2688</v>
      </c>
      <c r="K1911" t="s">
        <v>2689</v>
      </c>
      <c r="L1911" s="13">
        <v>8000</v>
      </c>
      <c r="M1911" t="s">
        <v>2661</v>
      </c>
    </row>
    <row r="1912" spans="1:13">
      <c r="A1912" t="s">
        <v>819</v>
      </c>
      <c r="B1912" t="s">
        <v>65</v>
      </c>
      <c r="C1912" s="8">
        <v>46222</v>
      </c>
      <c r="D1912" t="s">
        <v>330</v>
      </c>
      <c r="E1912" t="s">
        <v>334</v>
      </c>
      <c r="F1912" s="12">
        <v>295888</v>
      </c>
      <c r="G1912" s="13">
        <v>29</v>
      </c>
      <c r="H1912" t="s">
        <v>2826</v>
      </c>
      <c r="I1912" s="8">
        <v>46147</v>
      </c>
      <c r="J1912" t="s">
        <v>2674</v>
      </c>
      <c r="K1912" t="s">
        <v>2675</v>
      </c>
      <c r="L1912" s="13">
        <v>20000</v>
      </c>
      <c r="M1912" t="s">
        <v>2661</v>
      </c>
    </row>
    <row r="1913" spans="1:13">
      <c r="A1913" t="s">
        <v>819</v>
      </c>
      <c r="B1913" t="s">
        <v>65</v>
      </c>
      <c r="C1913" s="8">
        <v>46222</v>
      </c>
      <c r="D1913" t="s">
        <v>330</v>
      </c>
      <c r="E1913" t="s">
        <v>334</v>
      </c>
      <c r="F1913" s="12">
        <v>295888</v>
      </c>
      <c r="G1913" s="13">
        <v>29</v>
      </c>
      <c r="H1913" t="s">
        <v>3124</v>
      </c>
      <c r="I1913" s="8">
        <v>46278</v>
      </c>
      <c r="J1913" t="s">
        <v>2674</v>
      </c>
      <c r="K1913" t="s">
        <v>2675</v>
      </c>
      <c r="L1913" s="13">
        <v>20000</v>
      </c>
      <c r="M1913" t="s">
        <v>2661</v>
      </c>
    </row>
    <row r="1914" spans="1:13">
      <c r="A1914" t="s">
        <v>819</v>
      </c>
      <c r="B1914" t="s">
        <v>65</v>
      </c>
      <c r="C1914" s="8">
        <v>46222</v>
      </c>
      <c r="D1914" t="s">
        <v>330</v>
      </c>
      <c r="E1914" t="s">
        <v>334</v>
      </c>
      <c r="F1914" s="12">
        <v>295888</v>
      </c>
      <c r="G1914" s="13">
        <v>29</v>
      </c>
      <c r="H1914" t="s">
        <v>3167</v>
      </c>
      <c r="I1914" s="8">
        <v>46013</v>
      </c>
      <c r="J1914" t="s">
        <v>2685</v>
      </c>
      <c r="K1914" t="s">
        <v>2686</v>
      </c>
      <c r="L1914" s="13">
        <v>5000</v>
      </c>
      <c r="M1914" t="s">
        <v>2676</v>
      </c>
    </row>
    <row r="1915" spans="1:13">
      <c r="A1915" t="s">
        <v>819</v>
      </c>
      <c r="B1915" t="s">
        <v>65</v>
      </c>
      <c r="C1915" s="8">
        <v>46222</v>
      </c>
      <c r="D1915" t="s">
        <v>330</v>
      </c>
      <c r="E1915" t="s">
        <v>334</v>
      </c>
      <c r="F1915" s="12">
        <v>295888</v>
      </c>
      <c r="G1915" s="13">
        <v>29</v>
      </c>
      <c r="H1915" t="s">
        <v>3344</v>
      </c>
      <c r="I1915" s="8">
        <v>45982</v>
      </c>
      <c r="J1915" t="s">
        <v>2668</v>
      </c>
      <c r="K1915" t="s">
        <v>2669</v>
      </c>
      <c r="L1915" s="13">
        <v>4000</v>
      </c>
      <c r="M1915" t="s">
        <v>2661</v>
      </c>
    </row>
    <row r="1916" spans="1:13">
      <c r="A1916" t="s">
        <v>1097</v>
      </c>
      <c r="B1916" t="s">
        <v>65</v>
      </c>
      <c r="C1916" s="8">
        <v>46118</v>
      </c>
      <c r="D1916" t="s">
        <v>332</v>
      </c>
      <c r="E1916" t="s">
        <v>334</v>
      </c>
      <c r="F1916" s="12">
        <v>783406</v>
      </c>
      <c r="G1916" s="13">
        <v>78</v>
      </c>
      <c r="H1916" t="s">
        <v>2801</v>
      </c>
      <c r="I1916" s="8">
        <v>46162</v>
      </c>
      <c r="J1916" t="s">
        <v>2688</v>
      </c>
      <c r="K1916" t="s">
        <v>2689</v>
      </c>
      <c r="L1916" s="13">
        <v>8000</v>
      </c>
      <c r="M1916" t="s">
        <v>2661</v>
      </c>
    </row>
    <row r="1917" spans="1:13">
      <c r="A1917" t="s">
        <v>1097</v>
      </c>
      <c r="B1917" t="s">
        <v>65</v>
      </c>
      <c r="C1917" s="8">
        <v>46118</v>
      </c>
      <c r="D1917" t="s">
        <v>332</v>
      </c>
      <c r="E1917" t="s">
        <v>334</v>
      </c>
      <c r="F1917" s="12">
        <v>783406</v>
      </c>
      <c r="G1917" s="13">
        <v>78</v>
      </c>
      <c r="H1917" t="s">
        <v>2826</v>
      </c>
      <c r="I1917" s="8">
        <v>46147</v>
      </c>
      <c r="J1917" t="s">
        <v>2674</v>
      </c>
      <c r="K1917" t="s">
        <v>2675</v>
      </c>
      <c r="L1917" s="13">
        <v>20000</v>
      </c>
      <c r="M1917" t="s">
        <v>2661</v>
      </c>
    </row>
    <row r="1918" spans="1:13">
      <c r="A1918" t="s">
        <v>1097</v>
      </c>
      <c r="B1918" t="s">
        <v>65</v>
      </c>
      <c r="C1918" s="8">
        <v>46118</v>
      </c>
      <c r="D1918" t="s">
        <v>332</v>
      </c>
      <c r="E1918" t="s">
        <v>334</v>
      </c>
      <c r="F1918" s="12">
        <v>783406</v>
      </c>
      <c r="G1918" s="13">
        <v>78</v>
      </c>
      <c r="H1918" t="s">
        <v>3124</v>
      </c>
      <c r="I1918" s="8">
        <v>46278</v>
      </c>
      <c r="J1918" t="s">
        <v>2674</v>
      </c>
      <c r="K1918" t="s">
        <v>2675</v>
      </c>
      <c r="L1918" s="13">
        <v>20000</v>
      </c>
      <c r="M1918" t="s">
        <v>2661</v>
      </c>
    </row>
    <row r="1919" spans="1:13">
      <c r="A1919" t="s">
        <v>1097</v>
      </c>
      <c r="B1919" t="s">
        <v>65</v>
      </c>
      <c r="C1919" s="8">
        <v>46118</v>
      </c>
      <c r="D1919" t="s">
        <v>332</v>
      </c>
      <c r="E1919" t="s">
        <v>334</v>
      </c>
      <c r="F1919" s="12">
        <v>783406</v>
      </c>
      <c r="G1919" s="13">
        <v>78</v>
      </c>
      <c r="H1919" t="s">
        <v>3167</v>
      </c>
      <c r="I1919" s="8">
        <v>46013</v>
      </c>
      <c r="J1919" t="s">
        <v>2685</v>
      </c>
      <c r="K1919" t="s">
        <v>2686</v>
      </c>
      <c r="L1919" s="13">
        <v>5000</v>
      </c>
      <c r="M1919" t="s">
        <v>2676</v>
      </c>
    </row>
    <row r="1920" spans="1:13">
      <c r="A1920" t="s">
        <v>1097</v>
      </c>
      <c r="B1920" t="s">
        <v>65</v>
      </c>
      <c r="C1920" s="8">
        <v>46118</v>
      </c>
      <c r="D1920" t="s">
        <v>332</v>
      </c>
      <c r="E1920" t="s">
        <v>334</v>
      </c>
      <c r="F1920" s="12">
        <v>783406</v>
      </c>
      <c r="G1920" s="13">
        <v>78</v>
      </c>
      <c r="H1920" t="s">
        <v>3344</v>
      </c>
      <c r="I1920" s="8">
        <v>45982</v>
      </c>
      <c r="J1920" t="s">
        <v>2668</v>
      </c>
      <c r="K1920" t="s">
        <v>2669</v>
      </c>
      <c r="L1920" s="13">
        <v>4000</v>
      </c>
      <c r="M1920" t="s">
        <v>2661</v>
      </c>
    </row>
    <row r="1921" spans="1:13">
      <c r="A1921" t="s">
        <v>724</v>
      </c>
      <c r="B1921" t="s">
        <v>259</v>
      </c>
      <c r="C1921" s="8">
        <v>46141</v>
      </c>
      <c r="D1921" t="s">
        <v>342</v>
      </c>
      <c r="E1921" t="s">
        <v>339</v>
      </c>
      <c r="F1921" s="12">
        <v>559064</v>
      </c>
      <c r="G1921" s="13">
        <v>55</v>
      </c>
      <c r="H1921" t="s">
        <v>2802</v>
      </c>
      <c r="I1921" s="8">
        <v>46222</v>
      </c>
      <c r="J1921" t="s">
        <v>2668</v>
      </c>
      <c r="K1921" t="s">
        <v>2669</v>
      </c>
      <c r="L1921" s="13">
        <v>4000</v>
      </c>
      <c r="M1921" t="s">
        <v>2661</v>
      </c>
    </row>
    <row r="1922" spans="1:13">
      <c r="A1922" t="s">
        <v>724</v>
      </c>
      <c r="B1922" t="s">
        <v>259</v>
      </c>
      <c r="C1922" s="8">
        <v>46141</v>
      </c>
      <c r="D1922" t="s">
        <v>342</v>
      </c>
      <c r="E1922" t="s">
        <v>339</v>
      </c>
      <c r="F1922" s="12">
        <v>559064</v>
      </c>
      <c r="G1922" s="13">
        <v>55</v>
      </c>
      <c r="H1922" t="s">
        <v>2933</v>
      </c>
      <c r="I1922" s="8">
        <v>46183</v>
      </c>
      <c r="J1922" t="s">
        <v>2674</v>
      </c>
      <c r="K1922" t="s">
        <v>2675</v>
      </c>
      <c r="L1922" s="13">
        <v>20000</v>
      </c>
      <c r="M1922" t="s">
        <v>2661</v>
      </c>
    </row>
    <row r="1923" spans="1:13">
      <c r="A1923" t="s">
        <v>724</v>
      </c>
      <c r="B1923" t="s">
        <v>259</v>
      </c>
      <c r="C1923" s="8">
        <v>46141</v>
      </c>
      <c r="D1923" t="s">
        <v>342</v>
      </c>
      <c r="E1923" t="s">
        <v>339</v>
      </c>
      <c r="F1923" s="12">
        <v>559064</v>
      </c>
      <c r="G1923" s="13">
        <v>55</v>
      </c>
      <c r="H1923" t="s">
        <v>2969</v>
      </c>
      <c r="I1923" s="8">
        <v>46173</v>
      </c>
      <c r="J1923" t="s">
        <v>2668</v>
      </c>
      <c r="K1923" t="s">
        <v>2669</v>
      </c>
      <c r="L1923" s="13">
        <v>4000</v>
      </c>
      <c r="M1923" t="s">
        <v>2661</v>
      </c>
    </row>
    <row r="1924" spans="1:13">
      <c r="A1924" t="s">
        <v>724</v>
      </c>
      <c r="B1924" t="s">
        <v>259</v>
      </c>
      <c r="C1924" s="8">
        <v>46141</v>
      </c>
      <c r="D1924" t="s">
        <v>342</v>
      </c>
      <c r="E1924" t="s">
        <v>339</v>
      </c>
      <c r="F1924" s="12">
        <v>559064</v>
      </c>
      <c r="G1924" s="13">
        <v>55</v>
      </c>
      <c r="H1924" t="s">
        <v>3300</v>
      </c>
      <c r="I1924" s="8">
        <v>46089</v>
      </c>
      <c r="J1924" t="s">
        <v>2688</v>
      </c>
      <c r="K1924" t="s">
        <v>2689</v>
      </c>
      <c r="L1924" s="13">
        <v>8000</v>
      </c>
      <c r="M1924" t="s">
        <v>2676</v>
      </c>
    </row>
    <row r="1925" spans="1:13">
      <c r="A1925" t="s">
        <v>992</v>
      </c>
      <c r="B1925" t="s">
        <v>259</v>
      </c>
      <c r="C1925" s="8">
        <v>46066</v>
      </c>
      <c r="D1925" t="s">
        <v>342</v>
      </c>
      <c r="E1925" t="s">
        <v>322</v>
      </c>
      <c r="F1925" s="12">
        <v>123541</v>
      </c>
      <c r="G1925" s="13">
        <v>12</v>
      </c>
      <c r="H1925" t="s">
        <v>2802</v>
      </c>
      <c r="I1925" s="8">
        <v>46222</v>
      </c>
      <c r="J1925" t="s">
        <v>2668</v>
      </c>
      <c r="K1925" t="s">
        <v>2669</v>
      </c>
      <c r="L1925" s="13">
        <v>4000</v>
      </c>
      <c r="M1925" t="s">
        <v>2661</v>
      </c>
    </row>
    <row r="1926" spans="1:13">
      <c r="A1926" t="s">
        <v>992</v>
      </c>
      <c r="B1926" t="s">
        <v>259</v>
      </c>
      <c r="C1926" s="8">
        <v>46066</v>
      </c>
      <c r="D1926" t="s">
        <v>342</v>
      </c>
      <c r="E1926" t="s">
        <v>322</v>
      </c>
      <c r="F1926" s="12">
        <v>123541</v>
      </c>
      <c r="G1926" s="13">
        <v>12</v>
      </c>
      <c r="H1926" t="s">
        <v>2933</v>
      </c>
      <c r="I1926" s="8">
        <v>46183</v>
      </c>
      <c r="J1926" t="s">
        <v>2674</v>
      </c>
      <c r="K1926" t="s">
        <v>2675</v>
      </c>
      <c r="L1926" s="13">
        <v>20000</v>
      </c>
      <c r="M1926" t="s">
        <v>2661</v>
      </c>
    </row>
    <row r="1927" spans="1:13">
      <c r="A1927" t="s">
        <v>992</v>
      </c>
      <c r="B1927" t="s">
        <v>259</v>
      </c>
      <c r="C1927" s="8">
        <v>46066</v>
      </c>
      <c r="D1927" t="s">
        <v>342</v>
      </c>
      <c r="E1927" t="s">
        <v>322</v>
      </c>
      <c r="F1927" s="12">
        <v>123541</v>
      </c>
      <c r="G1927" s="13">
        <v>12</v>
      </c>
      <c r="H1927" t="s">
        <v>2969</v>
      </c>
      <c r="I1927" s="8">
        <v>46173</v>
      </c>
      <c r="J1927" t="s">
        <v>2668</v>
      </c>
      <c r="K1927" t="s">
        <v>2669</v>
      </c>
      <c r="L1927" s="13">
        <v>4000</v>
      </c>
      <c r="M1927" t="s">
        <v>2661</v>
      </c>
    </row>
    <row r="1928" spans="1:13">
      <c r="A1928" t="s">
        <v>992</v>
      </c>
      <c r="B1928" t="s">
        <v>259</v>
      </c>
      <c r="C1928" s="8">
        <v>46066</v>
      </c>
      <c r="D1928" t="s">
        <v>342</v>
      </c>
      <c r="E1928" t="s">
        <v>322</v>
      </c>
      <c r="F1928" s="12">
        <v>123541</v>
      </c>
      <c r="G1928" s="13">
        <v>12</v>
      </c>
      <c r="H1928" t="s">
        <v>3300</v>
      </c>
      <c r="I1928" s="8">
        <v>46089</v>
      </c>
      <c r="J1928" t="s">
        <v>2688</v>
      </c>
      <c r="K1928" t="s">
        <v>2689</v>
      </c>
      <c r="L1928" s="13">
        <v>8000</v>
      </c>
      <c r="M1928" t="s">
        <v>2676</v>
      </c>
    </row>
    <row r="1929" spans="1:13">
      <c r="A1929" t="s">
        <v>1098</v>
      </c>
      <c r="B1929" t="s">
        <v>259</v>
      </c>
      <c r="C1929" s="8">
        <v>46061</v>
      </c>
      <c r="D1929" t="s">
        <v>332</v>
      </c>
      <c r="E1929" t="s">
        <v>325</v>
      </c>
      <c r="F1929" s="12">
        <v>223471</v>
      </c>
      <c r="G1929" s="13">
        <v>22</v>
      </c>
      <c r="H1929" t="s">
        <v>2802</v>
      </c>
      <c r="I1929" s="8">
        <v>46222</v>
      </c>
      <c r="J1929" t="s">
        <v>2668</v>
      </c>
      <c r="K1929" t="s">
        <v>2669</v>
      </c>
      <c r="L1929" s="13">
        <v>4000</v>
      </c>
      <c r="M1929" t="s">
        <v>2661</v>
      </c>
    </row>
    <row r="1930" spans="1:13">
      <c r="A1930" t="s">
        <v>1098</v>
      </c>
      <c r="B1930" t="s">
        <v>259</v>
      </c>
      <c r="C1930" s="8">
        <v>46061</v>
      </c>
      <c r="D1930" t="s">
        <v>332</v>
      </c>
      <c r="E1930" t="s">
        <v>325</v>
      </c>
      <c r="F1930" s="12">
        <v>223471</v>
      </c>
      <c r="G1930" s="13">
        <v>22</v>
      </c>
      <c r="H1930" t="s">
        <v>2933</v>
      </c>
      <c r="I1930" s="8">
        <v>46183</v>
      </c>
      <c r="J1930" t="s">
        <v>2674</v>
      </c>
      <c r="K1930" t="s">
        <v>2675</v>
      </c>
      <c r="L1930" s="13">
        <v>20000</v>
      </c>
      <c r="M1930" t="s">
        <v>2661</v>
      </c>
    </row>
    <row r="1931" spans="1:13">
      <c r="A1931" t="s">
        <v>1098</v>
      </c>
      <c r="B1931" t="s">
        <v>259</v>
      </c>
      <c r="C1931" s="8">
        <v>46061</v>
      </c>
      <c r="D1931" t="s">
        <v>332</v>
      </c>
      <c r="E1931" t="s">
        <v>325</v>
      </c>
      <c r="F1931" s="12">
        <v>223471</v>
      </c>
      <c r="G1931" s="13">
        <v>22</v>
      </c>
      <c r="H1931" t="s">
        <v>2969</v>
      </c>
      <c r="I1931" s="8">
        <v>46173</v>
      </c>
      <c r="J1931" t="s">
        <v>2668</v>
      </c>
      <c r="K1931" t="s">
        <v>2669</v>
      </c>
      <c r="L1931" s="13">
        <v>4000</v>
      </c>
      <c r="M1931" t="s">
        <v>2661</v>
      </c>
    </row>
    <row r="1932" spans="1:13">
      <c r="A1932" t="s">
        <v>1098</v>
      </c>
      <c r="B1932" t="s">
        <v>259</v>
      </c>
      <c r="C1932" s="8">
        <v>46061</v>
      </c>
      <c r="D1932" t="s">
        <v>332</v>
      </c>
      <c r="E1932" t="s">
        <v>325</v>
      </c>
      <c r="F1932" s="12">
        <v>223471</v>
      </c>
      <c r="G1932" s="13">
        <v>22</v>
      </c>
      <c r="H1932" t="s">
        <v>3300</v>
      </c>
      <c r="I1932" s="8">
        <v>46089</v>
      </c>
      <c r="J1932" t="s">
        <v>2688</v>
      </c>
      <c r="K1932" t="s">
        <v>2689</v>
      </c>
      <c r="L1932" s="13">
        <v>8000</v>
      </c>
      <c r="M1932" t="s">
        <v>2676</v>
      </c>
    </row>
    <row r="1933" spans="1:13">
      <c r="A1933" t="s">
        <v>458</v>
      </c>
      <c r="B1933" t="s">
        <v>91</v>
      </c>
      <c r="C1933" s="8">
        <v>45952</v>
      </c>
      <c r="D1933" t="s">
        <v>330</v>
      </c>
      <c r="E1933" t="s">
        <v>328</v>
      </c>
      <c r="F1933" s="12">
        <v>67496</v>
      </c>
      <c r="G1933" s="13">
        <v>6</v>
      </c>
      <c r="H1933" t="s">
        <v>2898</v>
      </c>
      <c r="I1933" s="8">
        <v>46143</v>
      </c>
      <c r="J1933" t="s">
        <v>2659</v>
      </c>
      <c r="K1933" t="s">
        <v>2660</v>
      </c>
      <c r="L1933" s="13">
        <v>3500</v>
      </c>
      <c r="M1933" t="s">
        <v>2661</v>
      </c>
    </row>
    <row r="1934" spans="1:13">
      <c r="A1934" t="s">
        <v>458</v>
      </c>
      <c r="B1934" t="s">
        <v>91</v>
      </c>
      <c r="C1934" s="8">
        <v>45952</v>
      </c>
      <c r="D1934" t="s">
        <v>330</v>
      </c>
      <c r="E1934" t="s">
        <v>328</v>
      </c>
      <c r="F1934" s="12">
        <v>67496</v>
      </c>
      <c r="G1934" s="13">
        <v>6</v>
      </c>
      <c r="H1934" t="s">
        <v>3065</v>
      </c>
      <c r="I1934" s="8">
        <v>46009</v>
      </c>
      <c r="J1934" t="s">
        <v>2659</v>
      </c>
      <c r="K1934" t="s">
        <v>2660</v>
      </c>
      <c r="L1934" s="13">
        <v>3500</v>
      </c>
      <c r="M1934" t="s">
        <v>2661</v>
      </c>
    </row>
    <row r="1935" spans="1:13">
      <c r="A1935" t="s">
        <v>713</v>
      </c>
      <c r="B1935" t="s">
        <v>91</v>
      </c>
      <c r="C1935" s="8">
        <v>45954</v>
      </c>
      <c r="D1935" t="s">
        <v>342</v>
      </c>
      <c r="E1935" t="s">
        <v>337</v>
      </c>
      <c r="F1935" s="12">
        <v>720699</v>
      </c>
      <c r="G1935" s="13">
        <v>72</v>
      </c>
      <c r="H1935" t="s">
        <v>2898</v>
      </c>
      <c r="I1935" s="8">
        <v>46143</v>
      </c>
      <c r="J1935" t="s">
        <v>2659</v>
      </c>
      <c r="K1935" t="s">
        <v>2660</v>
      </c>
      <c r="L1935" s="13">
        <v>3500</v>
      </c>
      <c r="M1935" t="s">
        <v>2661</v>
      </c>
    </row>
    <row r="1936" spans="1:13">
      <c r="A1936" t="s">
        <v>713</v>
      </c>
      <c r="B1936" t="s">
        <v>91</v>
      </c>
      <c r="C1936" s="8">
        <v>45954</v>
      </c>
      <c r="D1936" t="s">
        <v>342</v>
      </c>
      <c r="E1936" t="s">
        <v>337</v>
      </c>
      <c r="F1936" s="12">
        <v>720699</v>
      </c>
      <c r="G1936" s="13">
        <v>72</v>
      </c>
      <c r="H1936" t="s">
        <v>3065</v>
      </c>
      <c r="I1936" s="8">
        <v>46009</v>
      </c>
      <c r="J1936" t="s">
        <v>2659</v>
      </c>
      <c r="K1936" t="s">
        <v>2660</v>
      </c>
      <c r="L1936" s="13">
        <v>3500</v>
      </c>
      <c r="M1936" t="s">
        <v>2661</v>
      </c>
    </row>
    <row r="1937" spans="1:13">
      <c r="A1937" t="s">
        <v>873</v>
      </c>
      <c r="B1937" t="s">
        <v>91</v>
      </c>
      <c r="C1937" s="8">
        <v>46186</v>
      </c>
      <c r="D1937" t="s">
        <v>332</v>
      </c>
      <c r="E1937" t="s">
        <v>337</v>
      </c>
      <c r="F1937" s="12">
        <v>222599</v>
      </c>
      <c r="G1937" s="13">
        <v>22</v>
      </c>
      <c r="H1937" t="s">
        <v>2898</v>
      </c>
      <c r="I1937" s="8">
        <v>46143</v>
      </c>
      <c r="J1937" t="s">
        <v>2659</v>
      </c>
      <c r="K1937" t="s">
        <v>2660</v>
      </c>
      <c r="L1937" s="13">
        <v>3500</v>
      </c>
      <c r="M1937" t="s">
        <v>2661</v>
      </c>
    </row>
    <row r="1938" spans="1:13">
      <c r="A1938" t="s">
        <v>873</v>
      </c>
      <c r="B1938" t="s">
        <v>91</v>
      </c>
      <c r="C1938" s="8">
        <v>46186</v>
      </c>
      <c r="D1938" t="s">
        <v>332</v>
      </c>
      <c r="E1938" t="s">
        <v>337</v>
      </c>
      <c r="F1938" s="12">
        <v>222599</v>
      </c>
      <c r="G1938" s="13">
        <v>22</v>
      </c>
      <c r="H1938" t="s">
        <v>3065</v>
      </c>
      <c r="I1938" s="8">
        <v>46009</v>
      </c>
      <c r="J1938" t="s">
        <v>2659</v>
      </c>
      <c r="K1938" t="s">
        <v>2660</v>
      </c>
      <c r="L1938" s="13">
        <v>3500</v>
      </c>
      <c r="M1938" t="s">
        <v>2661</v>
      </c>
    </row>
    <row r="1939" spans="1:13">
      <c r="A1939" t="s">
        <v>964</v>
      </c>
      <c r="B1939" t="s">
        <v>91</v>
      </c>
      <c r="C1939" s="8">
        <v>46285</v>
      </c>
      <c r="D1939" t="s">
        <v>321</v>
      </c>
      <c r="E1939" t="s">
        <v>334</v>
      </c>
      <c r="F1939" s="12">
        <v>124429</v>
      </c>
      <c r="G1939" s="13">
        <v>12</v>
      </c>
      <c r="H1939" t="s">
        <v>2898</v>
      </c>
      <c r="I1939" s="8">
        <v>46143</v>
      </c>
      <c r="J1939" t="s">
        <v>2659</v>
      </c>
      <c r="K1939" t="s">
        <v>2660</v>
      </c>
      <c r="L1939" s="13">
        <v>3500</v>
      </c>
      <c r="M1939" t="s">
        <v>2661</v>
      </c>
    </row>
    <row r="1940" spans="1:13">
      <c r="A1940" t="s">
        <v>964</v>
      </c>
      <c r="B1940" t="s">
        <v>91</v>
      </c>
      <c r="C1940" s="8">
        <v>46285</v>
      </c>
      <c r="D1940" t="s">
        <v>321</v>
      </c>
      <c r="E1940" t="s">
        <v>334</v>
      </c>
      <c r="F1940" s="12">
        <v>124429</v>
      </c>
      <c r="G1940" s="13">
        <v>12</v>
      </c>
      <c r="H1940" t="s">
        <v>3065</v>
      </c>
      <c r="I1940" s="8">
        <v>46009</v>
      </c>
      <c r="J1940" t="s">
        <v>2659</v>
      </c>
      <c r="K1940" t="s">
        <v>2660</v>
      </c>
      <c r="L1940" s="13">
        <v>3500</v>
      </c>
      <c r="M1940" t="s">
        <v>2661</v>
      </c>
    </row>
    <row r="1941" spans="1:13">
      <c r="A1941" t="s">
        <v>1139</v>
      </c>
      <c r="B1941" t="s">
        <v>91</v>
      </c>
      <c r="C1941" s="8">
        <v>46100</v>
      </c>
      <c r="D1941" t="s">
        <v>342</v>
      </c>
      <c r="E1941" t="s">
        <v>339</v>
      </c>
      <c r="F1941" s="12">
        <v>156836</v>
      </c>
      <c r="G1941" s="13">
        <v>15</v>
      </c>
      <c r="H1941" t="s">
        <v>2898</v>
      </c>
      <c r="I1941" s="8">
        <v>46143</v>
      </c>
      <c r="J1941" t="s">
        <v>2659</v>
      </c>
      <c r="K1941" t="s">
        <v>2660</v>
      </c>
      <c r="L1941" s="13">
        <v>3500</v>
      </c>
      <c r="M1941" t="s">
        <v>2661</v>
      </c>
    </row>
    <row r="1942" spans="1:13">
      <c r="A1942" t="s">
        <v>1139</v>
      </c>
      <c r="B1942" t="s">
        <v>91</v>
      </c>
      <c r="C1942" s="8">
        <v>46100</v>
      </c>
      <c r="D1942" t="s">
        <v>342</v>
      </c>
      <c r="E1942" t="s">
        <v>339</v>
      </c>
      <c r="F1942" s="12">
        <v>156836</v>
      </c>
      <c r="G1942" s="13">
        <v>15</v>
      </c>
      <c r="H1942" t="s">
        <v>3065</v>
      </c>
      <c r="I1942" s="8">
        <v>46009</v>
      </c>
      <c r="J1942" t="s">
        <v>2659</v>
      </c>
      <c r="K1942" t="s">
        <v>2660</v>
      </c>
      <c r="L1942" s="13">
        <v>3500</v>
      </c>
      <c r="M1942" t="s">
        <v>2661</v>
      </c>
    </row>
    <row r="1943" spans="1:13">
      <c r="A1943" t="s">
        <v>522</v>
      </c>
      <c r="B1943" t="s">
        <v>178</v>
      </c>
      <c r="C1943" s="8">
        <v>46207</v>
      </c>
      <c r="D1943" t="s">
        <v>321</v>
      </c>
      <c r="E1943" t="s">
        <v>337</v>
      </c>
      <c r="F1943" s="12">
        <v>321801</v>
      </c>
      <c r="G1943" s="13">
        <v>32</v>
      </c>
      <c r="H1943" t="s">
        <v>2803</v>
      </c>
      <c r="I1943" s="8">
        <v>46039</v>
      </c>
      <c r="J1943" t="s">
        <v>2663</v>
      </c>
      <c r="K1943" t="s">
        <v>3630</v>
      </c>
      <c r="L1943" s="13">
        <v>1500</v>
      </c>
      <c r="M1943" t="s">
        <v>2661</v>
      </c>
    </row>
    <row r="1944" spans="1:13">
      <c r="A1944" t="s">
        <v>522</v>
      </c>
      <c r="B1944" t="s">
        <v>178</v>
      </c>
      <c r="C1944" s="8">
        <v>46207</v>
      </c>
      <c r="D1944" t="s">
        <v>321</v>
      </c>
      <c r="E1944" t="s">
        <v>337</v>
      </c>
      <c r="F1944" s="12">
        <v>321801</v>
      </c>
      <c r="G1944" s="13">
        <v>32</v>
      </c>
      <c r="H1944" t="s">
        <v>2900</v>
      </c>
      <c r="I1944" s="8">
        <v>46214</v>
      </c>
      <c r="J1944" t="s">
        <v>2665</v>
      </c>
      <c r="K1944" t="s">
        <v>2666</v>
      </c>
      <c r="L1944" s="13">
        <v>2500</v>
      </c>
      <c r="M1944" t="s">
        <v>2661</v>
      </c>
    </row>
    <row r="1945" spans="1:13">
      <c r="A1945" t="s">
        <v>522</v>
      </c>
      <c r="B1945" t="s">
        <v>178</v>
      </c>
      <c r="C1945" s="8">
        <v>46207</v>
      </c>
      <c r="D1945" t="s">
        <v>321</v>
      </c>
      <c r="E1945" t="s">
        <v>337</v>
      </c>
      <c r="F1945" s="12">
        <v>321801</v>
      </c>
      <c r="G1945" s="13">
        <v>32</v>
      </c>
      <c r="H1945" t="s">
        <v>2925</v>
      </c>
      <c r="I1945" s="8">
        <v>46172</v>
      </c>
      <c r="J1945" t="s">
        <v>2671</v>
      </c>
      <c r="K1945" t="s">
        <v>2672</v>
      </c>
      <c r="L1945" s="13">
        <v>3000</v>
      </c>
      <c r="M1945" t="s">
        <v>2661</v>
      </c>
    </row>
    <row r="1946" spans="1:13">
      <c r="A1946" t="s">
        <v>522</v>
      </c>
      <c r="B1946" t="s">
        <v>178</v>
      </c>
      <c r="C1946" s="8">
        <v>46207</v>
      </c>
      <c r="D1946" t="s">
        <v>321</v>
      </c>
      <c r="E1946" t="s">
        <v>337</v>
      </c>
      <c r="F1946" s="12">
        <v>321801</v>
      </c>
      <c r="G1946" s="13">
        <v>32</v>
      </c>
      <c r="H1946" t="s">
        <v>2964</v>
      </c>
      <c r="I1946" s="8">
        <v>46262</v>
      </c>
      <c r="J1946" t="s">
        <v>2685</v>
      </c>
      <c r="K1946" t="s">
        <v>2686</v>
      </c>
      <c r="L1946" s="13">
        <v>5000</v>
      </c>
      <c r="M1946" t="s">
        <v>2661</v>
      </c>
    </row>
    <row r="1947" spans="1:13">
      <c r="A1947" t="s">
        <v>522</v>
      </c>
      <c r="B1947" t="s">
        <v>178</v>
      </c>
      <c r="C1947" s="8">
        <v>46207</v>
      </c>
      <c r="D1947" t="s">
        <v>321</v>
      </c>
      <c r="E1947" t="s">
        <v>337</v>
      </c>
      <c r="F1947" s="12">
        <v>321801</v>
      </c>
      <c r="G1947" s="13">
        <v>32</v>
      </c>
      <c r="H1947" t="s">
        <v>3177</v>
      </c>
      <c r="I1947" s="8">
        <v>46293</v>
      </c>
      <c r="J1947" t="s">
        <v>2668</v>
      </c>
      <c r="K1947" t="s">
        <v>2669</v>
      </c>
      <c r="L1947" s="13">
        <v>4000</v>
      </c>
      <c r="M1947" t="s">
        <v>2661</v>
      </c>
    </row>
    <row r="1948" spans="1:13">
      <c r="A1948" t="s">
        <v>522</v>
      </c>
      <c r="B1948" t="s">
        <v>178</v>
      </c>
      <c r="C1948" s="8">
        <v>46207</v>
      </c>
      <c r="D1948" t="s">
        <v>321</v>
      </c>
      <c r="E1948" t="s">
        <v>337</v>
      </c>
      <c r="F1948" s="12">
        <v>321801</v>
      </c>
      <c r="G1948" s="13">
        <v>32</v>
      </c>
      <c r="H1948" t="s">
        <v>3280</v>
      </c>
      <c r="I1948" s="8">
        <v>46163</v>
      </c>
      <c r="J1948" t="s">
        <v>2685</v>
      </c>
      <c r="K1948" t="s">
        <v>2686</v>
      </c>
      <c r="L1948" s="13">
        <v>5000</v>
      </c>
      <c r="M1948" t="s">
        <v>2676</v>
      </c>
    </row>
    <row r="1949" spans="1:13">
      <c r="A1949" t="s">
        <v>1042</v>
      </c>
      <c r="B1949" t="s">
        <v>49</v>
      </c>
      <c r="C1949" s="8">
        <v>46078</v>
      </c>
      <c r="D1949" t="s">
        <v>330</v>
      </c>
      <c r="E1949" t="s">
        <v>334</v>
      </c>
      <c r="F1949" s="12">
        <v>127601</v>
      </c>
      <c r="G1949" s="13">
        <v>12</v>
      </c>
      <c r="H1949" t="s">
        <v>2805</v>
      </c>
      <c r="I1949" s="8">
        <v>46096</v>
      </c>
      <c r="J1949" t="s">
        <v>2663</v>
      </c>
      <c r="K1949" t="s">
        <v>3630</v>
      </c>
      <c r="L1949" s="13">
        <v>1500</v>
      </c>
      <c r="M1949" t="s">
        <v>2661</v>
      </c>
    </row>
    <row r="1950" spans="1:13">
      <c r="A1950" t="s">
        <v>1042</v>
      </c>
      <c r="B1950" t="s">
        <v>49</v>
      </c>
      <c r="C1950" s="8">
        <v>46078</v>
      </c>
      <c r="D1950" t="s">
        <v>330</v>
      </c>
      <c r="E1950" t="s">
        <v>334</v>
      </c>
      <c r="F1950" s="12">
        <v>127601</v>
      </c>
      <c r="G1950" s="13">
        <v>12</v>
      </c>
      <c r="H1950" t="s">
        <v>2830</v>
      </c>
      <c r="I1950" s="8">
        <v>46193</v>
      </c>
      <c r="J1950" t="s">
        <v>2688</v>
      </c>
      <c r="K1950" t="s">
        <v>2689</v>
      </c>
      <c r="L1950" s="13">
        <v>8000</v>
      </c>
      <c r="M1950" t="s">
        <v>2661</v>
      </c>
    </row>
    <row r="1951" spans="1:13">
      <c r="A1951" t="s">
        <v>1042</v>
      </c>
      <c r="B1951" t="s">
        <v>49</v>
      </c>
      <c r="C1951" s="8">
        <v>46078</v>
      </c>
      <c r="D1951" t="s">
        <v>330</v>
      </c>
      <c r="E1951" t="s">
        <v>334</v>
      </c>
      <c r="F1951" s="12">
        <v>127601</v>
      </c>
      <c r="G1951" s="13">
        <v>12</v>
      </c>
      <c r="H1951" t="s">
        <v>2894</v>
      </c>
      <c r="I1951" s="8">
        <v>46222</v>
      </c>
      <c r="J1951" t="s">
        <v>2671</v>
      </c>
      <c r="K1951" t="s">
        <v>2672</v>
      </c>
      <c r="L1951" s="13">
        <v>3000</v>
      </c>
      <c r="M1951" t="s">
        <v>2661</v>
      </c>
    </row>
    <row r="1952" spans="1:13">
      <c r="A1952" t="s">
        <v>1042</v>
      </c>
      <c r="B1952" t="s">
        <v>49</v>
      </c>
      <c r="C1952" s="8">
        <v>46078</v>
      </c>
      <c r="D1952" t="s">
        <v>330</v>
      </c>
      <c r="E1952" t="s">
        <v>334</v>
      </c>
      <c r="F1952" s="12">
        <v>127601</v>
      </c>
      <c r="G1952" s="13">
        <v>12</v>
      </c>
      <c r="H1952" t="s">
        <v>3341</v>
      </c>
      <c r="I1952" s="8">
        <v>46056</v>
      </c>
      <c r="J1952" t="s">
        <v>2668</v>
      </c>
      <c r="K1952" t="s">
        <v>2669</v>
      </c>
      <c r="L1952" s="13">
        <v>4000</v>
      </c>
      <c r="M1952" t="s">
        <v>2661</v>
      </c>
    </row>
    <row r="1953" spans="1:13">
      <c r="A1953" t="s">
        <v>646</v>
      </c>
      <c r="B1953" t="s">
        <v>225</v>
      </c>
      <c r="C1953" s="8">
        <v>46110</v>
      </c>
      <c r="D1953" t="s">
        <v>321</v>
      </c>
      <c r="E1953" t="s">
        <v>339</v>
      </c>
      <c r="F1953" s="12">
        <v>357696</v>
      </c>
      <c r="G1953" s="13">
        <v>35</v>
      </c>
      <c r="H1953" t="s">
        <v>2806</v>
      </c>
      <c r="I1953" s="8">
        <v>45967</v>
      </c>
      <c r="J1953" t="s">
        <v>2671</v>
      </c>
      <c r="K1953" t="s">
        <v>2672</v>
      </c>
      <c r="L1953" s="13">
        <v>3000</v>
      </c>
      <c r="M1953" t="s">
        <v>2676</v>
      </c>
    </row>
    <row r="1954" spans="1:13">
      <c r="A1954" t="s">
        <v>759</v>
      </c>
      <c r="B1954" t="s">
        <v>225</v>
      </c>
      <c r="C1954" s="8">
        <v>45974</v>
      </c>
      <c r="D1954" t="s">
        <v>342</v>
      </c>
      <c r="E1954" t="s">
        <v>337</v>
      </c>
      <c r="F1954" s="12">
        <v>233114</v>
      </c>
      <c r="G1954" s="13">
        <v>23</v>
      </c>
      <c r="H1954" t="s">
        <v>2806</v>
      </c>
      <c r="I1954" s="8">
        <v>45967</v>
      </c>
      <c r="J1954" t="s">
        <v>2671</v>
      </c>
      <c r="K1954" t="s">
        <v>2672</v>
      </c>
      <c r="L1954" s="13">
        <v>3000</v>
      </c>
      <c r="M1954" t="s">
        <v>2676</v>
      </c>
    </row>
    <row r="1955" spans="1:13">
      <c r="A1955" t="s">
        <v>930</v>
      </c>
      <c r="B1955" t="s">
        <v>225</v>
      </c>
      <c r="C1955" s="8">
        <v>46122</v>
      </c>
      <c r="D1955" t="s">
        <v>350</v>
      </c>
      <c r="E1955" t="s">
        <v>337</v>
      </c>
      <c r="F1955" s="12">
        <v>602043</v>
      </c>
      <c r="G1955" s="13">
        <v>60</v>
      </c>
      <c r="H1955" t="s">
        <v>2806</v>
      </c>
      <c r="I1955" s="8">
        <v>45967</v>
      </c>
      <c r="J1955" t="s">
        <v>2671</v>
      </c>
      <c r="K1955" t="s">
        <v>2672</v>
      </c>
      <c r="L1955" s="13">
        <v>3000</v>
      </c>
      <c r="M1955" t="s">
        <v>2676</v>
      </c>
    </row>
    <row r="1956" spans="1:13">
      <c r="A1956" t="s">
        <v>462</v>
      </c>
      <c r="B1956" t="s">
        <v>206</v>
      </c>
      <c r="C1956" s="8">
        <v>46164</v>
      </c>
      <c r="D1956" t="s">
        <v>321</v>
      </c>
      <c r="E1956" t="s">
        <v>334</v>
      </c>
      <c r="F1956" s="12">
        <v>278364</v>
      </c>
      <c r="G1956" s="13">
        <v>27</v>
      </c>
      <c r="H1956" t="s">
        <v>2868</v>
      </c>
      <c r="I1956" s="8">
        <v>45937</v>
      </c>
      <c r="J1956" t="s">
        <v>2688</v>
      </c>
      <c r="K1956" t="s">
        <v>2689</v>
      </c>
      <c r="L1956" s="13">
        <v>8000</v>
      </c>
      <c r="M1956" t="s">
        <v>2661</v>
      </c>
    </row>
    <row r="1957" spans="1:13">
      <c r="A1957" t="s">
        <v>462</v>
      </c>
      <c r="B1957" t="s">
        <v>206</v>
      </c>
      <c r="C1957" s="8">
        <v>46164</v>
      </c>
      <c r="D1957" t="s">
        <v>321</v>
      </c>
      <c r="E1957" t="s">
        <v>334</v>
      </c>
      <c r="F1957" s="12">
        <v>278364</v>
      </c>
      <c r="G1957" s="13">
        <v>27</v>
      </c>
      <c r="H1957" t="s">
        <v>2915</v>
      </c>
      <c r="I1957" s="8">
        <v>45941</v>
      </c>
      <c r="J1957" t="s">
        <v>2659</v>
      </c>
      <c r="K1957" t="s">
        <v>2660</v>
      </c>
      <c r="L1957" s="13">
        <v>3500</v>
      </c>
      <c r="M1957" t="s">
        <v>2661</v>
      </c>
    </row>
    <row r="1958" spans="1:13">
      <c r="A1958" t="s">
        <v>462</v>
      </c>
      <c r="B1958" t="s">
        <v>206</v>
      </c>
      <c r="C1958" s="8">
        <v>46164</v>
      </c>
      <c r="D1958" t="s">
        <v>321</v>
      </c>
      <c r="E1958" t="s">
        <v>334</v>
      </c>
      <c r="F1958" s="12">
        <v>278364</v>
      </c>
      <c r="G1958" s="13">
        <v>27</v>
      </c>
      <c r="H1958" t="s">
        <v>3362</v>
      </c>
      <c r="I1958" s="8">
        <v>46007</v>
      </c>
      <c r="J1958" t="s">
        <v>2685</v>
      </c>
      <c r="K1958" t="s">
        <v>2686</v>
      </c>
      <c r="L1958" s="13">
        <v>5000</v>
      </c>
      <c r="M1958" t="s">
        <v>2661</v>
      </c>
    </row>
    <row r="1959" spans="1:13">
      <c r="A1959" t="s">
        <v>494</v>
      </c>
      <c r="B1959" t="s">
        <v>206</v>
      </c>
      <c r="C1959" s="8">
        <v>46289</v>
      </c>
      <c r="D1959" t="s">
        <v>321</v>
      </c>
      <c r="E1959" t="s">
        <v>328</v>
      </c>
      <c r="F1959" s="12">
        <v>361907</v>
      </c>
      <c r="G1959" s="13">
        <v>36</v>
      </c>
      <c r="H1959" t="s">
        <v>2868</v>
      </c>
      <c r="I1959" s="8">
        <v>45937</v>
      </c>
      <c r="J1959" t="s">
        <v>2688</v>
      </c>
      <c r="K1959" t="s">
        <v>2689</v>
      </c>
      <c r="L1959" s="13">
        <v>8000</v>
      </c>
      <c r="M1959" t="s">
        <v>2661</v>
      </c>
    </row>
    <row r="1960" spans="1:13">
      <c r="A1960" t="s">
        <v>494</v>
      </c>
      <c r="B1960" t="s">
        <v>206</v>
      </c>
      <c r="C1960" s="8">
        <v>46289</v>
      </c>
      <c r="D1960" t="s">
        <v>321</v>
      </c>
      <c r="E1960" t="s">
        <v>328</v>
      </c>
      <c r="F1960" s="12">
        <v>361907</v>
      </c>
      <c r="G1960" s="13">
        <v>36</v>
      </c>
      <c r="H1960" t="s">
        <v>2915</v>
      </c>
      <c r="I1960" s="8">
        <v>45941</v>
      </c>
      <c r="J1960" t="s">
        <v>2659</v>
      </c>
      <c r="K1960" t="s">
        <v>2660</v>
      </c>
      <c r="L1960" s="13">
        <v>3500</v>
      </c>
      <c r="M1960" t="s">
        <v>2661</v>
      </c>
    </row>
    <row r="1961" spans="1:13">
      <c r="A1961" t="s">
        <v>494</v>
      </c>
      <c r="B1961" t="s">
        <v>206</v>
      </c>
      <c r="C1961" s="8">
        <v>46289</v>
      </c>
      <c r="D1961" t="s">
        <v>321</v>
      </c>
      <c r="E1961" t="s">
        <v>328</v>
      </c>
      <c r="F1961" s="12">
        <v>361907</v>
      </c>
      <c r="G1961" s="13">
        <v>36</v>
      </c>
      <c r="H1961" t="s">
        <v>3362</v>
      </c>
      <c r="I1961" s="8">
        <v>46007</v>
      </c>
      <c r="J1961" t="s">
        <v>2685</v>
      </c>
      <c r="K1961" t="s">
        <v>2686</v>
      </c>
      <c r="L1961" s="13">
        <v>5000</v>
      </c>
      <c r="M1961" t="s">
        <v>2661</v>
      </c>
    </row>
    <row r="1962" spans="1:13">
      <c r="A1962" t="s">
        <v>463</v>
      </c>
      <c r="B1962" t="s">
        <v>122</v>
      </c>
      <c r="C1962" s="8">
        <v>45952</v>
      </c>
      <c r="D1962" t="s">
        <v>321</v>
      </c>
      <c r="E1962" t="s">
        <v>322</v>
      </c>
      <c r="F1962" s="12">
        <v>218712</v>
      </c>
      <c r="G1962" s="13">
        <v>21</v>
      </c>
      <c r="H1962" t="s">
        <v>2998</v>
      </c>
      <c r="I1962" s="8">
        <v>46159</v>
      </c>
      <c r="J1962" t="s">
        <v>2659</v>
      </c>
      <c r="K1962" t="s">
        <v>2660</v>
      </c>
      <c r="L1962" s="13">
        <v>3500</v>
      </c>
      <c r="M1962" t="s">
        <v>2661</v>
      </c>
    </row>
    <row r="1963" spans="1:13">
      <c r="A1963" t="s">
        <v>463</v>
      </c>
      <c r="B1963" t="s">
        <v>122</v>
      </c>
      <c r="C1963" s="8">
        <v>45952</v>
      </c>
      <c r="D1963" t="s">
        <v>321</v>
      </c>
      <c r="E1963" t="s">
        <v>322</v>
      </c>
      <c r="F1963" s="12">
        <v>218712</v>
      </c>
      <c r="G1963" s="13">
        <v>21</v>
      </c>
      <c r="H1963" t="s">
        <v>3144</v>
      </c>
      <c r="I1963" s="8">
        <v>45940</v>
      </c>
      <c r="J1963" t="s">
        <v>2692</v>
      </c>
      <c r="K1963" t="s">
        <v>2693</v>
      </c>
      <c r="L1963" s="13">
        <v>10000</v>
      </c>
      <c r="M1963" t="s">
        <v>2661</v>
      </c>
    </row>
    <row r="1964" spans="1:13">
      <c r="A1964" t="s">
        <v>712</v>
      </c>
      <c r="B1964" t="s">
        <v>303</v>
      </c>
      <c r="C1964" s="8">
        <v>46223</v>
      </c>
      <c r="D1964" t="s">
        <v>332</v>
      </c>
      <c r="E1964" t="s">
        <v>334</v>
      </c>
      <c r="F1964" s="12">
        <v>178819</v>
      </c>
      <c r="G1964" s="13">
        <v>17</v>
      </c>
      <c r="H1964" t="s">
        <v>2809</v>
      </c>
      <c r="I1964" s="8">
        <v>46061</v>
      </c>
      <c r="J1964" t="s">
        <v>2682</v>
      </c>
      <c r="K1964" t="s">
        <v>2683</v>
      </c>
      <c r="L1964" s="13">
        <v>6000</v>
      </c>
      <c r="M1964" t="s">
        <v>2661</v>
      </c>
    </row>
    <row r="1965" spans="1:13">
      <c r="A1965" t="s">
        <v>1007</v>
      </c>
      <c r="B1965" t="s">
        <v>303</v>
      </c>
      <c r="C1965" s="8">
        <v>46185</v>
      </c>
      <c r="D1965" t="s">
        <v>327</v>
      </c>
      <c r="E1965" t="s">
        <v>328</v>
      </c>
      <c r="F1965" s="12">
        <v>190326</v>
      </c>
      <c r="G1965" s="13">
        <v>19</v>
      </c>
      <c r="H1965" t="s">
        <v>2809</v>
      </c>
      <c r="I1965" s="8">
        <v>46061</v>
      </c>
      <c r="J1965" t="s">
        <v>2682</v>
      </c>
      <c r="K1965" t="s">
        <v>2683</v>
      </c>
      <c r="L1965" s="13">
        <v>6000</v>
      </c>
      <c r="M1965" t="s">
        <v>2661</v>
      </c>
    </row>
    <row r="1966" spans="1:13">
      <c r="A1966" t="s">
        <v>466</v>
      </c>
      <c r="B1966" t="s">
        <v>112</v>
      </c>
      <c r="C1966" s="8">
        <v>46077</v>
      </c>
      <c r="D1966" t="s">
        <v>332</v>
      </c>
      <c r="E1966" t="s">
        <v>325</v>
      </c>
      <c r="F1966" s="12">
        <v>344426</v>
      </c>
      <c r="G1966" s="13">
        <v>34</v>
      </c>
      <c r="H1966" t="s">
        <v>3180</v>
      </c>
      <c r="I1966" s="8">
        <v>46105</v>
      </c>
      <c r="J1966" t="s">
        <v>2663</v>
      </c>
      <c r="K1966" t="s">
        <v>3630</v>
      </c>
      <c r="L1966" s="13">
        <v>1500</v>
      </c>
      <c r="M1966" t="s">
        <v>2661</v>
      </c>
    </row>
    <row r="1967" spans="1:13">
      <c r="A1967" t="s">
        <v>466</v>
      </c>
      <c r="B1967" t="s">
        <v>112</v>
      </c>
      <c r="C1967" s="8">
        <v>46077</v>
      </c>
      <c r="D1967" t="s">
        <v>332</v>
      </c>
      <c r="E1967" t="s">
        <v>325</v>
      </c>
      <c r="F1967" s="12">
        <v>344426</v>
      </c>
      <c r="G1967" s="13">
        <v>34</v>
      </c>
      <c r="H1967" t="s">
        <v>3203</v>
      </c>
      <c r="I1967" s="8">
        <v>46074</v>
      </c>
      <c r="J1967" t="s">
        <v>2668</v>
      </c>
      <c r="K1967" t="s">
        <v>2669</v>
      </c>
      <c r="L1967" s="13">
        <v>4000</v>
      </c>
      <c r="M1967" t="s">
        <v>2661</v>
      </c>
    </row>
    <row r="1968" spans="1:13">
      <c r="A1968" t="s">
        <v>466</v>
      </c>
      <c r="B1968" t="s">
        <v>112</v>
      </c>
      <c r="C1968" s="8">
        <v>46077</v>
      </c>
      <c r="D1968" t="s">
        <v>332</v>
      </c>
      <c r="E1968" t="s">
        <v>325</v>
      </c>
      <c r="F1968" s="12">
        <v>344426</v>
      </c>
      <c r="G1968" s="13">
        <v>34</v>
      </c>
      <c r="H1968" t="s">
        <v>3287</v>
      </c>
      <c r="I1968" s="8">
        <v>46257</v>
      </c>
      <c r="J1968" t="s">
        <v>2688</v>
      </c>
      <c r="K1968" t="s">
        <v>2689</v>
      </c>
      <c r="L1968" s="13">
        <v>8000</v>
      </c>
      <c r="M1968" t="s">
        <v>2676</v>
      </c>
    </row>
    <row r="1969" spans="1:13">
      <c r="A1969" t="s">
        <v>498</v>
      </c>
      <c r="B1969" t="s">
        <v>112</v>
      </c>
      <c r="C1969" s="8">
        <v>45961</v>
      </c>
      <c r="D1969" t="s">
        <v>332</v>
      </c>
      <c r="E1969" t="s">
        <v>339</v>
      </c>
      <c r="F1969" s="12">
        <v>94551</v>
      </c>
      <c r="G1969" s="13">
        <v>9</v>
      </c>
      <c r="H1969" t="s">
        <v>3180</v>
      </c>
      <c r="I1969" s="8">
        <v>46105</v>
      </c>
      <c r="J1969" t="s">
        <v>2663</v>
      </c>
      <c r="K1969" t="s">
        <v>3630</v>
      </c>
      <c r="L1969" s="13">
        <v>1500</v>
      </c>
      <c r="M1969" t="s">
        <v>2661</v>
      </c>
    </row>
    <row r="1970" spans="1:13">
      <c r="A1970" t="s">
        <v>498</v>
      </c>
      <c r="B1970" t="s">
        <v>112</v>
      </c>
      <c r="C1970" s="8">
        <v>45961</v>
      </c>
      <c r="D1970" t="s">
        <v>332</v>
      </c>
      <c r="E1970" t="s">
        <v>339</v>
      </c>
      <c r="F1970" s="12">
        <v>94551</v>
      </c>
      <c r="G1970" s="13">
        <v>9</v>
      </c>
      <c r="H1970" t="s">
        <v>3203</v>
      </c>
      <c r="I1970" s="8">
        <v>46074</v>
      </c>
      <c r="J1970" t="s">
        <v>2668</v>
      </c>
      <c r="K1970" t="s">
        <v>2669</v>
      </c>
      <c r="L1970" s="13">
        <v>4000</v>
      </c>
      <c r="M1970" t="s">
        <v>2661</v>
      </c>
    </row>
    <row r="1971" spans="1:13">
      <c r="A1971" t="s">
        <v>498</v>
      </c>
      <c r="B1971" t="s">
        <v>112</v>
      </c>
      <c r="C1971" s="8">
        <v>45961</v>
      </c>
      <c r="D1971" t="s">
        <v>332</v>
      </c>
      <c r="E1971" t="s">
        <v>339</v>
      </c>
      <c r="F1971" s="12">
        <v>94551</v>
      </c>
      <c r="G1971" s="13">
        <v>9</v>
      </c>
      <c r="H1971" t="s">
        <v>3287</v>
      </c>
      <c r="I1971" s="8">
        <v>46257</v>
      </c>
      <c r="J1971" t="s">
        <v>2688</v>
      </c>
      <c r="K1971" t="s">
        <v>2689</v>
      </c>
      <c r="L1971" s="13">
        <v>8000</v>
      </c>
      <c r="M1971" t="s">
        <v>2676</v>
      </c>
    </row>
    <row r="1972" spans="1:13">
      <c r="A1972" t="s">
        <v>1017</v>
      </c>
      <c r="B1972" t="s">
        <v>112</v>
      </c>
      <c r="C1972" s="8">
        <v>46290</v>
      </c>
      <c r="D1972" t="s">
        <v>332</v>
      </c>
      <c r="E1972" t="s">
        <v>322</v>
      </c>
      <c r="F1972" s="12">
        <v>469079</v>
      </c>
      <c r="G1972" s="13">
        <v>46</v>
      </c>
      <c r="H1972" t="s">
        <v>3180</v>
      </c>
      <c r="I1972" s="8">
        <v>46105</v>
      </c>
      <c r="J1972" t="s">
        <v>2663</v>
      </c>
      <c r="K1972" t="s">
        <v>3630</v>
      </c>
      <c r="L1972" s="13">
        <v>1500</v>
      </c>
      <c r="M1972" t="s">
        <v>2661</v>
      </c>
    </row>
    <row r="1973" spans="1:13">
      <c r="A1973" t="s">
        <v>1017</v>
      </c>
      <c r="B1973" t="s">
        <v>112</v>
      </c>
      <c r="C1973" s="8">
        <v>46290</v>
      </c>
      <c r="D1973" t="s">
        <v>332</v>
      </c>
      <c r="E1973" t="s">
        <v>322</v>
      </c>
      <c r="F1973" s="12">
        <v>469079</v>
      </c>
      <c r="G1973" s="13">
        <v>46</v>
      </c>
      <c r="H1973" t="s">
        <v>3203</v>
      </c>
      <c r="I1973" s="8">
        <v>46074</v>
      </c>
      <c r="J1973" t="s">
        <v>2668</v>
      </c>
      <c r="K1973" t="s">
        <v>2669</v>
      </c>
      <c r="L1973" s="13">
        <v>4000</v>
      </c>
      <c r="M1973" t="s">
        <v>2661</v>
      </c>
    </row>
    <row r="1974" spans="1:13">
      <c r="A1974" t="s">
        <v>1017</v>
      </c>
      <c r="B1974" t="s">
        <v>112</v>
      </c>
      <c r="C1974" s="8">
        <v>46290</v>
      </c>
      <c r="D1974" t="s">
        <v>332</v>
      </c>
      <c r="E1974" t="s">
        <v>322</v>
      </c>
      <c r="F1974" s="12">
        <v>469079</v>
      </c>
      <c r="G1974" s="13">
        <v>46</v>
      </c>
      <c r="H1974" t="s">
        <v>3287</v>
      </c>
      <c r="I1974" s="8">
        <v>46257</v>
      </c>
      <c r="J1974" t="s">
        <v>2688</v>
      </c>
      <c r="K1974" t="s">
        <v>2689</v>
      </c>
      <c r="L1974" s="13">
        <v>8000</v>
      </c>
      <c r="M1974" t="s">
        <v>2676</v>
      </c>
    </row>
    <row r="1975" spans="1:13">
      <c r="A1975" t="s">
        <v>832</v>
      </c>
      <c r="B1975" t="s">
        <v>207</v>
      </c>
      <c r="C1975" s="8">
        <v>45938</v>
      </c>
      <c r="D1975" t="s">
        <v>321</v>
      </c>
      <c r="E1975" t="s">
        <v>328</v>
      </c>
      <c r="F1975" s="12">
        <v>319391</v>
      </c>
      <c r="G1975" s="13">
        <v>31</v>
      </c>
      <c r="H1975" t="s">
        <v>2813</v>
      </c>
      <c r="I1975" s="8">
        <v>46129</v>
      </c>
      <c r="J1975" t="s">
        <v>2674</v>
      </c>
      <c r="K1975" t="s">
        <v>2675</v>
      </c>
      <c r="L1975" s="13">
        <v>20000</v>
      </c>
      <c r="M1975" t="s">
        <v>2661</v>
      </c>
    </row>
    <row r="1976" spans="1:13">
      <c r="A1976" t="s">
        <v>832</v>
      </c>
      <c r="B1976" t="s">
        <v>207</v>
      </c>
      <c r="C1976" s="8">
        <v>45938</v>
      </c>
      <c r="D1976" t="s">
        <v>321</v>
      </c>
      <c r="E1976" t="s">
        <v>328</v>
      </c>
      <c r="F1976" s="12">
        <v>319391</v>
      </c>
      <c r="G1976" s="13">
        <v>31</v>
      </c>
      <c r="H1976" t="s">
        <v>2879</v>
      </c>
      <c r="I1976" s="8">
        <v>46287</v>
      </c>
      <c r="J1976" t="s">
        <v>2688</v>
      </c>
      <c r="K1976" t="s">
        <v>2689</v>
      </c>
      <c r="L1976" s="13">
        <v>8000</v>
      </c>
      <c r="M1976" t="s">
        <v>2661</v>
      </c>
    </row>
    <row r="1977" spans="1:13">
      <c r="A1977" t="s">
        <v>832</v>
      </c>
      <c r="B1977" t="s">
        <v>207</v>
      </c>
      <c r="C1977" s="8">
        <v>45938</v>
      </c>
      <c r="D1977" t="s">
        <v>321</v>
      </c>
      <c r="E1977" t="s">
        <v>328</v>
      </c>
      <c r="F1977" s="12">
        <v>319391</v>
      </c>
      <c r="G1977" s="13">
        <v>31</v>
      </c>
      <c r="H1977" t="s">
        <v>2910</v>
      </c>
      <c r="I1977" s="8">
        <v>46262</v>
      </c>
      <c r="J1977" t="s">
        <v>2688</v>
      </c>
      <c r="K1977" t="s">
        <v>2689</v>
      </c>
      <c r="L1977" s="13">
        <v>8000</v>
      </c>
      <c r="M1977" t="s">
        <v>2661</v>
      </c>
    </row>
    <row r="1978" spans="1:13">
      <c r="A1978" t="s">
        <v>832</v>
      </c>
      <c r="B1978" t="s">
        <v>207</v>
      </c>
      <c r="C1978" s="8">
        <v>45938</v>
      </c>
      <c r="D1978" t="s">
        <v>321</v>
      </c>
      <c r="E1978" t="s">
        <v>328</v>
      </c>
      <c r="F1978" s="12">
        <v>319391</v>
      </c>
      <c r="G1978" s="13">
        <v>31</v>
      </c>
      <c r="H1978" t="s">
        <v>3252</v>
      </c>
      <c r="I1978" s="8">
        <v>45986</v>
      </c>
      <c r="J1978" t="s">
        <v>2671</v>
      </c>
      <c r="K1978" t="s">
        <v>2672</v>
      </c>
      <c r="L1978" s="13">
        <v>3000</v>
      </c>
      <c r="M1978" t="s">
        <v>2661</v>
      </c>
    </row>
    <row r="1979" spans="1:13">
      <c r="A1979" t="s">
        <v>832</v>
      </c>
      <c r="B1979" t="s">
        <v>207</v>
      </c>
      <c r="C1979" s="8">
        <v>45938</v>
      </c>
      <c r="D1979" t="s">
        <v>321</v>
      </c>
      <c r="E1979" t="s">
        <v>328</v>
      </c>
      <c r="F1979" s="12">
        <v>319391</v>
      </c>
      <c r="G1979" s="13">
        <v>31</v>
      </c>
      <c r="H1979" t="s">
        <v>3278</v>
      </c>
      <c r="I1979" s="8">
        <v>46248</v>
      </c>
      <c r="J1979" t="s">
        <v>2682</v>
      </c>
      <c r="K1979" t="s">
        <v>2683</v>
      </c>
      <c r="L1979" s="13">
        <v>6000</v>
      </c>
      <c r="M1979" t="s">
        <v>2661</v>
      </c>
    </row>
    <row r="1980" spans="1:13">
      <c r="A1980" t="s">
        <v>484</v>
      </c>
      <c r="B1980" t="s">
        <v>286</v>
      </c>
      <c r="C1980" s="8">
        <v>46230</v>
      </c>
      <c r="D1980" t="s">
        <v>324</v>
      </c>
      <c r="E1980" t="s">
        <v>325</v>
      </c>
      <c r="F1980" s="12">
        <v>265774</v>
      </c>
      <c r="G1980" s="13">
        <v>26</v>
      </c>
      <c r="H1980" t="s">
        <v>2814</v>
      </c>
      <c r="I1980" s="8">
        <v>46076</v>
      </c>
      <c r="J1980" t="s">
        <v>2663</v>
      </c>
      <c r="K1980" t="s">
        <v>3630</v>
      </c>
      <c r="L1980" s="13">
        <v>1500</v>
      </c>
      <c r="M1980" t="s">
        <v>2661</v>
      </c>
    </row>
    <row r="1981" spans="1:13">
      <c r="A1981" t="s">
        <v>484</v>
      </c>
      <c r="B1981" t="s">
        <v>286</v>
      </c>
      <c r="C1981" s="8">
        <v>46230</v>
      </c>
      <c r="D1981" t="s">
        <v>324</v>
      </c>
      <c r="E1981" t="s">
        <v>325</v>
      </c>
      <c r="F1981" s="12">
        <v>265774</v>
      </c>
      <c r="G1981" s="13">
        <v>26</v>
      </c>
      <c r="H1981" t="s">
        <v>3003</v>
      </c>
      <c r="I1981" s="8">
        <v>46032</v>
      </c>
      <c r="J1981" t="s">
        <v>2659</v>
      </c>
      <c r="K1981" t="s">
        <v>2660</v>
      </c>
      <c r="L1981" s="13">
        <v>3500</v>
      </c>
      <c r="M1981" t="s">
        <v>2661</v>
      </c>
    </row>
    <row r="1982" spans="1:13">
      <c r="A1982" t="s">
        <v>484</v>
      </c>
      <c r="B1982" t="s">
        <v>286</v>
      </c>
      <c r="C1982" s="8">
        <v>46230</v>
      </c>
      <c r="D1982" t="s">
        <v>324</v>
      </c>
      <c r="E1982" t="s">
        <v>325</v>
      </c>
      <c r="F1982" s="12">
        <v>265774</v>
      </c>
      <c r="G1982" s="13">
        <v>26</v>
      </c>
      <c r="H1982" t="s">
        <v>3081</v>
      </c>
      <c r="I1982" s="8">
        <v>46124</v>
      </c>
      <c r="J1982" t="s">
        <v>2692</v>
      </c>
      <c r="K1982" t="s">
        <v>2693</v>
      </c>
      <c r="L1982" s="13">
        <v>10000</v>
      </c>
      <c r="M1982" t="s">
        <v>2661</v>
      </c>
    </row>
    <row r="1983" spans="1:13">
      <c r="A1983" t="s">
        <v>484</v>
      </c>
      <c r="B1983" t="s">
        <v>286</v>
      </c>
      <c r="C1983" s="8">
        <v>46230</v>
      </c>
      <c r="D1983" t="s">
        <v>324</v>
      </c>
      <c r="E1983" t="s">
        <v>325</v>
      </c>
      <c r="F1983" s="12">
        <v>265774</v>
      </c>
      <c r="G1983" s="13">
        <v>26</v>
      </c>
      <c r="H1983" t="s">
        <v>3151</v>
      </c>
      <c r="I1983" s="8">
        <v>45973</v>
      </c>
      <c r="J1983" t="s">
        <v>2692</v>
      </c>
      <c r="K1983" t="s">
        <v>2693</v>
      </c>
      <c r="L1983" s="13">
        <v>10000</v>
      </c>
      <c r="M1983" t="s">
        <v>2676</v>
      </c>
    </row>
    <row r="1984" spans="1:13">
      <c r="A1984" t="s">
        <v>560</v>
      </c>
      <c r="B1984" t="s">
        <v>286</v>
      </c>
      <c r="C1984" s="8">
        <v>46065</v>
      </c>
      <c r="D1984" t="s">
        <v>324</v>
      </c>
      <c r="E1984" t="s">
        <v>337</v>
      </c>
      <c r="F1984" s="12">
        <v>573440</v>
      </c>
      <c r="G1984" s="13">
        <v>57</v>
      </c>
      <c r="H1984" t="s">
        <v>2814</v>
      </c>
      <c r="I1984" s="8">
        <v>46076</v>
      </c>
      <c r="J1984" t="s">
        <v>2663</v>
      </c>
      <c r="K1984" t="s">
        <v>3630</v>
      </c>
      <c r="L1984" s="13">
        <v>1500</v>
      </c>
      <c r="M1984" t="s">
        <v>2661</v>
      </c>
    </row>
    <row r="1985" spans="1:13">
      <c r="A1985" t="s">
        <v>560</v>
      </c>
      <c r="B1985" t="s">
        <v>286</v>
      </c>
      <c r="C1985" s="8">
        <v>46065</v>
      </c>
      <c r="D1985" t="s">
        <v>324</v>
      </c>
      <c r="E1985" t="s">
        <v>337</v>
      </c>
      <c r="F1985" s="12">
        <v>573440</v>
      </c>
      <c r="G1985" s="13">
        <v>57</v>
      </c>
      <c r="H1985" t="s">
        <v>3003</v>
      </c>
      <c r="I1985" s="8">
        <v>46032</v>
      </c>
      <c r="J1985" t="s">
        <v>2659</v>
      </c>
      <c r="K1985" t="s">
        <v>2660</v>
      </c>
      <c r="L1985" s="13">
        <v>3500</v>
      </c>
      <c r="M1985" t="s">
        <v>2661</v>
      </c>
    </row>
    <row r="1986" spans="1:13">
      <c r="A1986" t="s">
        <v>560</v>
      </c>
      <c r="B1986" t="s">
        <v>286</v>
      </c>
      <c r="C1986" s="8">
        <v>46065</v>
      </c>
      <c r="D1986" t="s">
        <v>324</v>
      </c>
      <c r="E1986" t="s">
        <v>337</v>
      </c>
      <c r="F1986" s="12">
        <v>573440</v>
      </c>
      <c r="G1986" s="13">
        <v>57</v>
      </c>
      <c r="H1986" t="s">
        <v>3081</v>
      </c>
      <c r="I1986" s="8">
        <v>46124</v>
      </c>
      <c r="J1986" t="s">
        <v>2692</v>
      </c>
      <c r="K1986" t="s">
        <v>2693</v>
      </c>
      <c r="L1986" s="13">
        <v>10000</v>
      </c>
      <c r="M1986" t="s">
        <v>2661</v>
      </c>
    </row>
    <row r="1987" spans="1:13">
      <c r="A1987" t="s">
        <v>560</v>
      </c>
      <c r="B1987" t="s">
        <v>286</v>
      </c>
      <c r="C1987" s="8">
        <v>46065</v>
      </c>
      <c r="D1987" t="s">
        <v>324</v>
      </c>
      <c r="E1987" t="s">
        <v>337</v>
      </c>
      <c r="F1987" s="12">
        <v>573440</v>
      </c>
      <c r="G1987" s="13">
        <v>57</v>
      </c>
      <c r="H1987" t="s">
        <v>3151</v>
      </c>
      <c r="I1987" s="8">
        <v>45973</v>
      </c>
      <c r="J1987" t="s">
        <v>2692</v>
      </c>
      <c r="K1987" t="s">
        <v>2693</v>
      </c>
      <c r="L1987" s="13">
        <v>10000</v>
      </c>
      <c r="M1987" t="s">
        <v>2676</v>
      </c>
    </row>
    <row r="1988" spans="1:13">
      <c r="A1988" t="s">
        <v>673</v>
      </c>
      <c r="B1988" t="s">
        <v>286</v>
      </c>
      <c r="C1988" s="8">
        <v>46256</v>
      </c>
      <c r="D1988" t="s">
        <v>321</v>
      </c>
      <c r="E1988" t="s">
        <v>322</v>
      </c>
      <c r="F1988" s="12">
        <v>98680</v>
      </c>
      <c r="G1988" s="13">
        <v>9</v>
      </c>
      <c r="H1988" t="s">
        <v>2814</v>
      </c>
      <c r="I1988" s="8">
        <v>46076</v>
      </c>
      <c r="J1988" t="s">
        <v>2663</v>
      </c>
      <c r="K1988" t="s">
        <v>3630</v>
      </c>
      <c r="L1988" s="13">
        <v>1500</v>
      </c>
      <c r="M1988" t="s">
        <v>2661</v>
      </c>
    </row>
    <row r="1989" spans="1:13">
      <c r="A1989" t="s">
        <v>673</v>
      </c>
      <c r="B1989" t="s">
        <v>286</v>
      </c>
      <c r="C1989" s="8">
        <v>46256</v>
      </c>
      <c r="D1989" t="s">
        <v>321</v>
      </c>
      <c r="E1989" t="s">
        <v>322</v>
      </c>
      <c r="F1989" s="12">
        <v>98680</v>
      </c>
      <c r="G1989" s="13">
        <v>9</v>
      </c>
      <c r="H1989" t="s">
        <v>3003</v>
      </c>
      <c r="I1989" s="8">
        <v>46032</v>
      </c>
      <c r="J1989" t="s">
        <v>2659</v>
      </c>
      <c r="K1989" t="s">
        <v>2660</v>
      </c>
      <c r="L1989" s="13">
        <v>3500</v>
      </c>
      <c r="M1989" t="s">
        <v>2661</v>
      </c>
    </row>
    <row r="1990" spans="1:13">
      <c r="A1990" t="s">
        <v>673</v>
      </c>
      <c r="B1990" t="s">
        <v>286</v>
      </c>
      <c r="C1990" s="8">
        <v>46256</v>
      </c>
      <c r="D1990" t="s">
        <v>321</v>
      </c>
      <c r="E1990" t="s">
        <v>322</v>
      </c>
      <c r="F1990" s="12">
        <v>98680</v>
      </c>
      <c r="G1990" s="13">
        <v>9</v>
      </c>
      <c r="H1990" t="s">
        <v>3081</v>
      </c>
      <c r="I1990" s="8">
        <v>46124</v>
      </c>
      <c r="J1990" t="s">
        <v>2692</v>
      </c>
      <c r="K1990" t="s">
        <v>2693</v>
      </c>
      <c r="L1990" s="13">
        <v>10000</v>
      </c>
      <c r="M1990" t="s">
        <v>2661</v>
      </c>
    </row>
    <row r="1991" spans="1:13">
      <c r="A1991" t="s">
        <v>673</v>
      </c>
      <c r="B1991" t="s">
        <v>286</v>
      </c>
      <c r="C1991" s="8">
        <v>46256</v>
      </c>
      <c r="D1991" t="s">
        <v>321</v>
      </c>
      <c r="E1991" t="s">
        <v>322</v>
      </c>
      <c r="F1991" s="12">
        <v>98680</v>
      </c>
      <c r="G1991" s="13">
        <v>9</v>
      </c>
      <c r="H1991" t="s">
        <v>3151</v>
      </c>
      <c r="I1991" s="8">
        <v>45973</v>
      </c>
      <c r="J1991" t="s">
        <v>2692</v>
      </c>
      <c r="K1991" t="s">
        <v>2693</v>
      </c>
      <c r="L1991" s="13">
        <v>10000</v>
      </c>
      <c r="M1991" t="s">
        <v>2676</v>
      </c>
    </row>
    <row r="1992" spans="1:13">
      <c r="A1992" t="s">
        <v>928</v>
      </c>
      <c r="B1992" t="s">
        <v>286</v>
      </c>
      <c r="C1992" s="8">
        <v>46182</v>
      </c>
      <c r="D1992" t="s">
        <v>344</v>
      </c>
      <c r="E1992" t="s">
        <v>334</v>
      </c>
      <c r="F1992" s="12">
        <v>456135</v>
      </c>
      <c r="G1992" s="13">
        <v>45</v>
      </c>
      <c r="H1992" t="s">
        <v>2814</v>
      </c>
      <c r="I1992" s="8">
        <v>46076</v>
      </c>
      <c r="J1992" t="s">
        <v>2663</v>
      </c>
      <c r="K1992" t="s">
        <v>3630</v>
      </c>
      <c r="L1992" s="13">
        <v>1500</v>
      </c>
      <c r="M1992" t="s">
        <v>2661</v>
      </c>
    </row>
    <row r="1993" spans="1:13">
      <c r="A1993" t="s">
        <v>928</v>
      </c>
      <c r="B1993" t="s">
        <v>286</v>
      </c>
      <c r="C1993" s="8">
        <v>46182</v>
      </c>
      <c r="D1993" t="s">
        <v>344</v>
      </c>
      <c r="E1993" t="s">
        <v>334</v>
      </c>
      <c r="F1993" s="12">
        <v>456135</v>
      </c>
      <c r="G1993" s="13">
        <v>45</v>
      </c>
      <c r="H1993" t="s">
        <v>3003</v>
      </c>
      <c r="I1993" s="8">
        <v>46032</v>
      </c>
      <c r="J1993" t="s">
        <v>2659</v>
      </c>
      <c r="K1993" t="s">
        <v>2660</v>
      </c>
      <c r="L1993" s="13">
        <v>3500</v>
      </c>
      <c r="M1993" t="s">
        <v>2661</v>
      </c>
    </row>
    <row r="1994" spans="1:13">
      <c r="A1994" t="s">
        <v>928</v>
      </c>
      <c r="B1994" t="s">
        <v>286</v>
      </c>
      <c r="C1994" s="8">
        <v>46182</v>
      </c>
      <c r="D1994" t="s">
        <v>344</v>
      </c>
      <c r="E1994" t="s">
        <v>334</v>
      </c>
      <c r="F1994" s="12">
        <v>456135</v>
      </c>
      <c r="G1994" s="13">
        <v>45</v>
      </c>
      <c r="H1994" t="s">
        <v>3081</v>
      </c>
      <c r="I1994" s="8">
        <v>46124</v>
      </c>
      <c r="J1994" t="s">
        <v>2692</v>
      </c>
      <c r="K1994" t="s">
        <v>2693</v>
      </c>
      <c r="L1994" s="13">
        <v>10000</v>
      </c>
      <c r="M1994" t="s">
        <v>2661</v>
      </c>
    </row>
    <row r="1995" spans="1:13">
      <c r="A1995" t="s">
        <v>928</v>
      </c>
      <c r="B1995" t="s">
        <v>286</v>
      </c>
      <c r="C1995" s="8">
        <v>46182</v>
      </c>
      <c r="D1995" t="s">
        <v>344</v>
      </c>
      <c r="E1995" t="s">
        <v>334</v>
      </c>
      <c r="F1995" s="12">
        <v>456135</v>
      </c>
      <c r="G1995" s="13">
        <v>45</v>
      </c>
      <c r="H1995" t="s">
        <v>3151</v>
      </c>
      <c r="I1995" s="8">
        <v>45973</v>
      </c>
      <c r="J1995" t="s">
        <v>2692</v>
      </c>
      <c r="K1995" t="s">
        <v>2693</v>
      </c>
      <c r="L1995" s="13">
        <v>10000</v>
      </c>
      <c r="M1995" t="s">
        <v>2676</v>
      </c>
    </row>
    <row r="1996" spans="1:13">
      <c r="A1996" t="s">
        <v>471</v>
      </c>
      <c r="B1996" t="s">
        <v>67</v>
      </c>
      <c r="C1996" s="8">
        <v>46132</v>
      </c>
      <c r="D1996" t="s">
        <v>324</v>
      </c>
      <c r="E1996" t="s">
        <v>339</v>
      </c>
      <c r="F1996" s="12">
        <v>279500</v>
      </c>
      <c r="G1996" s="13">
        <v>27</v>
      </c>
      <c r="H1996" t="s">
        <v>3272</v>
      </c>
      <c r="I1996" s="8">
        <v>46247</v>
      </c>
      <c r="J1996" t="s">
        <v>2665</v>
      </c>
      <c r="K1996" t="s">
        <v>2666</v>
      </c>
      <c r="L1996" s="13">
        <v>2500</v>
      </c>
      <c r="M1996" t="s">
        <v>2661</v>
      </c>
    </row>
    <row r="1997" spans="1:13">
      <c r="A1997" t="s">
        <v>867</v>
      </c>
      <c r="B1997" t="s">
        <v>67</v>
      </c>
      <c r="C1997" s="8">
        <v>46164</v>
      </c>
      <c r="D1997" t="s">
        <v>350</v>
      </c>
      <c r="E1997" t="s">
        <v>339</v>
      </c>
      <c r="F1997" s="12">
        <v>624534</v>
      </c>
      <c r="G1997" s="13">
        <v>62</v>
      </c>
      <c r="H1997" t="s">
        <v>3272</v>
      </c>
      <c r="I1997" s="8">
        <v>46247</v>
      </c>
      <c r="J1997" t="s">
        <v>2665</v>
      </c>
      <c r="K1997" t="s">
        <v>2666</v>
      </c>
      <c r="L1997" s="13">
        <v>2500</v>
      </c>
      <c r="M1997" t="s">
        <v>2661</v>
      </c>
    </row>
    <row r="1998" spans="1:13">
      <c r="A1998" t="s">
        <v>502</v>
      </c>
      <c r="B1998" t="s">
        <v>99</v>
      </c>
      <c r="C1998" s="8">
        <v>46033</v>
      </c>
      <c r="D1998" t="s">
        <v>350</v>
      </c>
      <c r="E1998" t="s">
        <v>337</v>
      </c>
      <c r="F1998" s="12">
        <v>385100</v>
      </c>
      <c r="G1998" s="13">
        <v>38</v>
      </c>
      <c r="H1998" t="s">
        <v>2816</v>
      </c>
      <c r="I1998" s="8">
        <v>46182</v>
      </c>
      <c r="J1998" t="s">
        <v>2668</v>
      </c>
      <c r="K1998" t="s">
        <v>2669</v>
      </c>
      <c r="L1998" s="13">
        <v>4000</v>
      </c>
      <c r="M1998" t="s">
        <v>2661</v>
      </c>
    </row>
    <row r="1999" spans="1:13">
      <c r="A1999" t="s">
        <v>510</v>
      </c>
      <c r="B1999" t="s">
        <v>99</v>
      </c>
      <c r="C1999" s="8">
        <v>46275</v>
      </c>
      <c r="D1999" t="s">
        <v>321</v>
      </c>
      <c r="E1999" t="s">
        <v>328</v>
      </c>
      <c r="F1999" s="12">
        <v>149035</v>
      </c>
      <c r="G1999" s="13">
        <v>14</v>
      </c>
      <c r="H1999" t="s">
        <v>2816</v>
      </c>
      <c r="I1999" s="8">
        <v>46182</v>
      </c>
      <c r="J1999" t="s">
        <v>2668</v>
      </c>
      <c r="K1999" t="s">
        <v>2669</v>
      </c>
      <c r="L1999" s="13">
        <v>4000</v>
      </c>
      <c r="M1999" t="s">
        <v>2661</v>
      </c>
    </row>
    <row r="2000" spans="1:13">
      <c r="A2000" t="s">
        <v>821</v>
      </c>
      <c r="B2000" t="s">
        <v>99</v>
      </c>
      <c r="C2000" s="8">
        <v>46167</v>
      </c>
      <c r="D2000" t="s">
        <v>330</v>
      </c>
      <c r="E2000" t="s">
        <v>325</v>
      </c>
      <c r="F2000" s="12">
        <v>279908</v>
      </c>
      <c r="G2000" s="13">
        <v>27</v>
      </c>
      <c r="H2000" t="s">
        <v>2816</v>
      </c>
      <c r="I2000" s="8">
        <v>46182</v>
      </c>
      <c r="J2000" t="s">
        <v>2668</v>
      </c>
      <c r="K2000" t="s">
        <v>2669</v>
      </c>
      <c r="L2000" s="13">
        <v>4000</v>
      </c>
      <c r="M2000" t="s">
        <v>2661</v>
      </c>
    </row>
    <row r="2001" spans="1:13">
      <c r="A2001" t="s">
        <v>912</v>
      </c>
      <c r="B2001" t="s">
        <v>99</v>
      </c>
      <c r="C2001" s="8">
        <v>46080</v>
      </c>
      <c r="D2001" t="s">
        <v>342</v>
      </c>
      <c r="E2001" t="s">
        <v>325</v>
      </c>
      <c r="F2001" s="12">
        <v>190240</v>
      </c>
      <c r="G2001" s="13">
        <v>19</v>
      </c>
      <c r="H2001" t="s">
        <v>2816</v>
      </c>
      <c r="I2001" s="8">
        <v>46182</v>
      </c>
      <c r="J2001" t="s">
        <v>2668</v>
      </c>
      <c r="K2001" t="s">
        <v>2669</v>
      </c>
      <c r="L2001" s="13">
        <v>4000</v>
      </c>
      <c r="M2001" t="s">
        <v>2661</v>
      </c>
    </row>
    <row r="2002" spans="1:13">
      <c r="A2002" t="s">
        <v>472</v>
      </c>
      <c r="B2002" t="s">
        <v>66</v>
      </c>
      <c r="C2002" s="8">
        <v>45951</v>
      </c>
      <c r="D2002" t="s">
        <v>344</v>
      </c>
      <c r="E2002" t="s">
        <v>322</v>
      </c>
      <c r="F2002" s="12">
        <v>444922</v>
      </c>
      <c r="G2002" s="13">
        <v>44</v>
      </c>
      <c r="H2002" t="s">
        <v>2982</v>
      </c>
      <c r="I2002" s="8">
        <v>46005</v>
      </c>
      <c r="J2002" t="s">
        <v>2671</v>
      </c>
      <c r="K2002" t="s">
        <v>2672</v>
      </c>
      <c r="L2002" s="13">
        <v>3000</v>
      </c>
      <c r="M2002" t="s">
        <v>2661</v>
      </c>
    </row>
    <row r="2003" spans="1:13">
      <c r="A2003" t="s">
        <v>472</v>
      </c>
      <c r="B2003" t="s">
        <v>66</v>
      </c>
      <c r="C2003" s="8">
        <v>45951</v>
      </c>
      <c r="D2003" t="s">
        <v>344</v>
      </c>
      <c r="E2003" t="s">
        <v>322</v>
      </c>
      <c r="F2003" s="12">
        <v>444922</v>
      </c>
      <c r="G2003" s="13">
        <v>44</v>
      </c>
      <c r="H2003" t="s">
        <v>3063</v>
      </c>
      <c r="I2003" s="8">
        <v>46223</v>
      </c>
      <c r="J2003" t="s">
        <v>2682</v>
      </c>
      <c r="K2003" t="s">
        <v>2683</v>
      </c>
      <c r="L2003" s="13">
        <v>6000</v>
      </c>
      <c r="M2003" t="s">
        <v>2661</v>
      </c>
    </row>
    <row r="2004" spans="1:13">
      <c r="A2004" t="s">
        <v>472</v>
      </c>
      <c r="B2004" t="s">
        <v>66</v>
      </c>
      <c r="C2004" s="8">
        <v>45951</v>
      </c>
      <c r="D2004" t="s">
        <v>344</v>
      </c>
      <c r="E2004" t="s">
        <v>322</v>
      </c>
      <c r="F2004" s="12">
        <v>444922</v>
      </c>
      <c r="G2004" s="13">
        <v>44</v>
      </c>
      <c r="H2004" t="s">
        <v>3201</v>
      </c>
      <c r="I2004" s="8">
        <v>46158</v>
      </c>
      <c r="J2004" t="s">
        <v>2663</v>
      </c>
      <c r="K2004" t="s">
        <v>3630</v>
      </c>
      <c r="L2004" s="13">
        <v>1500</v>
      </c>
      <c r="M2004" t="s">
        <v>2661</v>
      </c>
    </row>
    <row r="2005" spans="1:13">
      <c r="A2005" t="s">
        <v>472</v>
      </c>
      <c r="B2005" t="s">
        <v>66</v>
      </c>
      <c r="C2005" s="8">
        <v>45951</v>
      </c>
      <c r="D2005" t="s">
        <v>344</v>
      </c>
      <c r="E2005" t="s">
        <v>322</v>
      </c>
      <c r="F2005" s="12">
        <v>444922</v>
      </c>
      <c r="G2005" s="13">
        <v>44</v>
      </c>
      <c r="H2005" t="s">
        <v>3335</v>
      </c>
      <c r="I2005" s="8">
        <v>46115</v>
      </c>
      <c r="J2005" t="s">
        <v>2685</v>
      </c>
      <c r="K2005" t="s">
        <v>2686</v>
      </c>
      <c r="L2005" s="13">
        <v>5000</v>
      </c>
      <c r="M2005" t="s">
        <v>2661</v>
      </c>
    </row>
    <row r="2006" spans="1:13">
      <c r="A2006" t="s">
        <v>537</v>
      </c>
      <c r="B2006" t="s">
        <v>66</v>
      </c>
      <c r="C2006" s="8">
        <v>46216</v>
      </c>
      <c r="D2006" t="s">
        <v>327</v>
      </c>
      <c r="E2006" t="s">
        <v>328</v>
      </c>
      <c r="F2006" s="12">
        <v>382710</v>
      </c>
      <c r="G2006" s="13">
        <v>38</v>
      </c>
      <c r="H2006" t="s">
        <v>2982</v>
      </c>
      <c r="I2006" s="8">
        <v>46005</v>
      </c>
      <c r="J2006" t="s">
        <v>2671</v>
      </c>
      <c r="K2006" t="s">
        <v>2672</v>
      </c>
      <c r="L2006" s="13">
        <v>3000</v>
      </c>
      <c r="M2006" t="s">
        <v>2661</v>
      </c>
    </row>
    <row r="2007" spans="1:13">
      <c r="A2007" t="s">
        <v>537</v>
      </c>
      <c r="B2007" t="s">
        <v>66</v>
      </c>
      <c r="C2007" s="8">
        <v>46216</v>
      </c>
      <c r="D2007" t="s">
        <v>327</v>
      </c>
      <c r="E2007" t="s">
        <v>328</v>
      </c>
      <c r="F2007" s="12">
        <v>382710</v>
      </c>
      <c r="G2007" s="13">
        <v>38</v>
      </c>
      <c r="H2007" t="s">
        <v>3063</v>
      </c>
      <c r="I2007" s="8">
        <v>46223</v>
      </c>
      <c r="J2007" t="s">
        <v>2682</v>
      </c>
      <c r="K2007" t="s">
        <v>2683</v>
      </c>
      <c r="L2007" s="13">
        <v>6000</v>
      </c>
      <c r="M2007" t="s">
        <v>2661</v>
      </c>
    </row>
    <row r="2008" spans="1:13">
      <c r="A2008" t="s">
        <v>537</v>
      </c>
      <c r="B2008" t="s">
        <v>66</v>
      </c>
      <c r="C2008" s="8">
        <v>46216</v>
      </c>
      <c r="D2008" t="s">
        <v>327</v>
      </c>
      <c r="E2008" t="s">
        <v>328</v>
      </c>
      <c r="F2008" s="12">
        <v>382710</v>
      </c>
      <c r="G2008" s="13">
        <v>38</v>
      </c>
      <c r="H2008" t="s">
        <v>3201</v>
      </c>
      <c r="I2008" s="8">
        <v>46158</v>
      </c>
      <c r="J2008" t="s">
        <v>2663</v>
      </c>
      <c r="K2008" t="s">
        <v>3630</v>
      </c>
      <c r="L2008" s="13">
        <v>1500</v>
      </c>
      <c r="M2008" t="s">
        <v>2661</v>
      </c>
    </row>
    <row r="2009" spans="1:13">
      <c r="A2009" t="s">
        <v>537</v>
      </c>
      <c r="B2009" t="s">
        <v>66</v>
      </c>
      <c r="C2009" s="8">
        <v>46216</v>
      </c>
      <c r="D2009" t="s">
        <v>327</v>
      </c>
      <c r="E2009" t="s">
        <v>328</v>
      </c>
      <c r="F2009" s="12">
        <v>382710</v>
      </c>
      <c r="G2009" s="13">
        <v>38</v>
      </c>
      <c r="H2009" t="s">
        <v>3335</v>
      </c>
      <c r="I2009" s="8">
        <v>46115</v>
      </c>
      <c r="J2009" t="s">
        <v>2685</v>
      </c>
      <c r="K2009" t="s">
        <v>2686</v>
      </c>
      <c r="L2009" s="13">
        <v>5000</v>
      </c>
      <c r="M2009" t="s">
        <v>2661</v>
      </c>
    </row>
    <row r="2010" spans="1:13">
      <c r="A2010" t="s">
        <v>608</v>
      </c>
      <c r="B2010" t="s">
        <v>66</v>
      </c>
      <c r="C2010" s="8">
        <v>46132</v>
      </c>
      <c r="D2010" t="s">
        <v>327</v>
      </c>
      <c r="E2010" t="s">
        <v>334</v>
      </c>
      <c r="F2010" s="12">
        <v>805231</v>
      </c>
      <c r="G2010" s="13">
        <v>80</v>
      </c>
      <c r="H2010" t="s">
        <v>2982</v>
      </c>
      <c r="I2010" s="8">
        <v>46005</v>
      </c>
      <c r="J2010" t="s">
        <v>2671</v>
      </c>
      <c r="K2010" t="s">
        <v>2672</v>
      </c>
      <c r="L2010" s="13">
        <v>3000</v>
      </c>
      <c r="M2010" t="s">
        <v>2661</v>
      </c>
    </row>
    <row r="2011" spans="1:13">
      <c r="A2011" t="s">
        <v>608</v>
      </c>
      <c r="B2011" t="s">
        <v>66</v>
      </c>
      <c r="C2011" s="8">
        <v>46132</v>
      </c>
      <c r="D2011" t="s">
        <v>327</v>
      </c>
      <c r="E2011" t="s">
        <v>334</v>
      </c>
      <c r="F2011" s="12">
        <v>805231</v>
      </c>
      <c r="G2011" s="13">
        <v>80</v>
      </c>
      <c r="H2011" t="s">
        <v>3063</v>
      </c>
      <c r="I2011" s="8">
        <v>46223</v>
      </c>
      <c r="J2011" t="s">
        <v>2682</v>
      </c>
      <c r="K2011" t="s">
        <v>2683</v>
      </c>
      <c r="L2011" s="13">
        <v>6000</v>
      </c>
      <c r="M2011" t="s">
        <v>2661</v>
      </c>
    </row>
    <row r="2012" spans="1:13">
      <c r="A2012" t="s">
        <v>608</v>
      </c>
      <c r="B2012" t="s">
        <v>66</v>
      </c>
      <c r="C2012" s="8">
        <v>46132</v>
      </c>
      <c r="D2012" t="s">
        <v>327</v>
      </c>
      <c r="E2012" t="s">
        <v>334</v>
      </c>
      <c r="F2012" s="12">
        <v>805231</v>
      </c>
      <c r="G2012" s="13">
        <v>80</v>
      </c>
      <c r="H2012" t="s">
        <v>3201</v>
      </c>
      <c r="I2012" s="8">
        <v>46158</v>
      </c>
      <c r="J2012" t="s">
        <v>2663</v>
      </c>
      <c r="K2012" t="s">
        <v>3630</v>
      </c>
      <c r="L2012" s="13">
        <v>1500</v>
      </c>
      <c r="M2012" t="s">
        <v>2661</v>
      </c>
    </row>
    <row r="2013" spans="1:13">
      <c r="A2013" t="s">
        <v>608</v>
      </c>
      <c r="B2013" t="s">
        <v>66</v>
      </c>
      <c r="C2013" s="8">
        <v>46132</v>
      </c>
      <c r="D2013" t="s">
        <v>327</v>
      </c>
      <c r="E2013" t="s">
        <v>334</v>
      </c>
      <c r="F2013" s="12">
        <v>805231</v>
      </c>
      <c r="G2013" s="13">
        <v>80</v>
      </c>
      <c r="H2013" t="s">
        <v>3335</v>
      </c>
      <c r="I2013" s="8">
        <v>46115</v>
      </c>
      <c r="J2013" t="s">
        <v>2685</v>
      </c>
      <c r="K2013" t="s">
        <v>2686</v>
      </c>
      <c r="L2013" s="13">
        <v>5000</v>
      </c>
      <c r="M2013" t="s">
        <v>2661</v>
      </c>
    </row>
    <row r="2014" spans="1:13">
      <c r="A2014" t="s">
        <v>1203</v>
      </c>
      <c r="B2014" t="s">
        <v>66</v>
      </c>
      <c r="C2014" s="8">
        <v>46032</v>
      </c>
      <c r="D2014" t="s">
        <v>332</v>
      </c>
      <c r="E2014" t="s">
        <v>339</v>
      </c>
      <c r="F2014" s="12">
        <v>532025</v>
      </c>
      <c r="G2014" s="13">
        <v>53</v>
      </c>
      <c r="H2014" t="s">
        <v>2982</v>
      </c>
      <c r="I2014" s="8">
        <v>46005</v>
      </c>
      <c r="J2014" t="s">
        <v>2671</v>
      </c>
      <c r="K2014" t="s">
        <v>2672</v>
      </c>
      <c r="L2014" s="13">
        <v>3000</v>
      </c>
      <c r="M2014" t="s">
        <v>2661</v>
      </c>
    </row>
    <row r="2015" spans="1:13">
      <c r="A2015" t="s">
        <v>1203</v>
      </c>
      <c r="B2015" t="s">
        <v>66</v>
      </c>
      <c r="C2015" s="8">
        <v>46032</v>
      </c>
      <c r="D2015" t="s">
        <v>332</v>
      </c>
      <c r="E2015" t="s">
        <v>339</v>
      </c>
      <c r="F2015" s="12">
        <v>532025</v>
      </c>
      <c r="G2015" s="13">
        <v>53</v>
      </c>
      <c r="H2015" t="s">
        <v>3063</v>
      </c>
      <c r="I2015" s="8">
        <v>46223</v>
      </c>
      <c r="J2015" t="s">
        <v>2682</v>
      </c>
      <c r="K2015" t="s">
        <v>2683</v>
      </c>
      <c r="L2015" s="13">
        <v>6000</v>
      </c>
      <c r="M2015" t="s">
        <v>2661</v>
      </c>
    </row>
    <row r="2016" spans="1:13">
      <c r="A2016" t="s">
        <v>1203</v>
      </c>
      <c r="B2016" t="s">
        <v>66</v>
      </c>
      <c r="C2016" s="8">
        <v>46032</v>
      </c>
      <c r="D2016" t="s">
        <v>332</v>
      </c>
      <c r="E2016" t="s">
        <v>339</v>
      </c>
      <c r="F2016" s="12">
        <v>532025</v>
      </c>
      <c r="G2016" s="13">
        <v>53</v>
      </c>
      <c r="H2016" t="s">
        <v>3201</v>
      </c>
      <c r="I2016" s="8">
        <v>46158</v>
      </c>
      <c r="J2016" t="s">
        <v>2663</v>
      </c>
      <c r="K2016" t="s">
        <v>3630</v>
      </c>
      <c r="L2016" s="13">
        <v>1500</v>
      </c>
      <c r="M2016" t="s">
        <v>2661</v>
      </c>
    </row>
    <row r="2017" spans="1:13">
      <c r="A2017" t="s">
        <v>1203</v>
      </c>
      <c r="B2017" t="s">
        <v>66</v>
      </c>
      <c r="C2017" s="8">
        <v>46032</v>
      </c>
      <c r="D2017" t="s">
        <v>332</v>
      </c>
      <c r="E2017" t="s">
        <v>339</v>
      </c>
      <c r="F2017" s="12">
        <v>532025</v>
      </c>
      <c r="G2017" s="13">
        <v>53</v>
      </c>
      <c r="H2017" t="s">
        <v>3335</v>
      </c>
      <c r="I2017" s="8">
        <v>46115</v>
      </c>
      <c r="J2017" t="s">
        <v>2685</v>
      </c>
      <c r="K2017" t="s">
        <v>2686</v>
      </c>
      <c r="L2017" s="13">
        <v>5000</v>
      </c>
      <c r="M2017" t="s">
        <v>2661</v>
      </c>
    </row>
    <row r="2018" spans="1:13">
      <c r="A2018" t="s">
        <v>473</v>
      </c>
      <c r="B2018" t="s">
        <v>271</v>
      </c>
      <c r="C2018" s="8">
        <v>46285</v>
      </c>
      <c r="D2018" t="s">
        <v>344</v>
      </c>
      <c r="E2018" t="s">
        <v>339</v>
      </c>
      <c r="F2018" s="12">
        <v>141390</v>
      </c>
      <c r="G2018" s="13">
        <v>14</v>
      </c>
      <c r="H2018" t="s">
        <v>2917</v>
      </c>
      <c r="I2018" s="8">
        <v>46171</v>
      </c>
      <c r="J2018" t="s">
        <v>2671</v>
      </c>
      <c r="K2018" t="s">
        <v>2672</v>
      </c>
      <c r="L2018" s="13">
        <v>3000</v>
      </c>
      <c r="M2018" t="s">
        <v>2661</v>
      </c>
    </row>
    <row r="2019" spans="1:13">
      <c r="A2019" t="s">
        <v>473</v>
      </c>
      <c r="B2019" t="s">
        <v>271</v>
      </c>
      <c r="C2019" s="8">
        <v>46285</v>
      </c>
      <c r="D2019" t="s">
        <v>344</v>
      </c>
      <c r="E2019" t="s">
        <v>339</v>
      </c>
      <c r="F2019" s="12">
        <v>141390</v>
      </c>
      <c r="G2019" s="13">
        <v>14</v>
      </c>
      <c r="H2019" t="s">
        <v>3330</v>
      </c>
      <c r="I2019" s="8">
        <v>46114</v>
      </c>
      <c r="J2019" t="s">
        <v>2685</v>
      </c>
      <c r="K2019" t="s">
        <v>2686</v>
      </c>
      <c r="L2019" s="13">
        <v>5000</v>
      </c>
      <c r="M2019" t="s">
        <v>2661</v>
      </c>
    </row>
    <row r="2020" spans="1:13">
      <c r="A2020" t="s">
        <v>501</v>
      </c>
      <c r="B2020" t="s">
        <v>271</v>
      </c>
      <c r="C2020" s="8">
        <v>46023</v>
      </c>
      <c r="D2020" t="s">
        <v>321</v>
      </c>
      <c r="E2020" t="s">
        <v>339</v>
      </c>
      <c r="F2020" s="12">
        <v>552470</v>
      </c>
      <c r="G2020" s="13">
        <v>55</v>
      </c>
      <c r="H2020" t="s">
        <v>2917</v>
      </c>
      <c r="I2020" s="8">
        <v>46171</v>
      </c>
      <c r="J2020" t="s">
        <v>2671</v>
      </c>
      <c r="K2020" t="s">
        <v>2672</v>
      </c>
      <c r="L2020" s="13">
        <v>3000</v>
      </c>
      <c r="M2020" t="s">
        <v>2661</v>
      </c>
    </row>
    <row r="2021" spans="1:13">
      <c r="A2021" t="s">
        <v>501</v>
      </c>
      <c r="B2021" t="s">
        <v>271</v>
      </c>
      <c r="C2021" s="8">
        <v>46023</v>
      </c>
      <c r="D2021" t="s">
        <v>321</v>
      </c>
      <c r="E2021" t="s">
        <v>339</v>
      </c>
      <c r="F2021" s="12">
        <v>552470</v>
      </c>
      <c r="G2021" s="13">
        <v>55</v>
      </c>
      <c r="H2021" t="s">
        <v>3330</v>
      </c>
      <c r="I2021" s="8">
        <v>46114</v>
      </c>
      <c r="J2021" t="s">
        <v>2685</v>
      </c>
      <c r="K2021" t="s">
        <v>2686</v>
      </c>
      <c r="L2021" s="13">
        <v>5000</v>
      </c>
      <c r="M2021" t="s">
        <v>2661</v>
      </c>
    </row>
    <row r="2022" spans="1:13">
      <c r="A2022" t="s">
        <v>1214</v>
      </c>
      <c r="B2022" t="s">
        <v>42</v>
      </c>
      <c r="C2022" s="8">
        <v>46293</v>
      </c>
      <c r="D2022" t="s">
        <v>321</v>
      </c>
      <c r="E2022" t="s">
        <v>325</v>
      </c>
      <c r="F2022" s="12">
        <v>997902</v>
      </c>
      <c r="G2022" s="13">
        <v>99</v>
      </c>
      <c r="H2022" t="s">
        <v>2820</v>
      </c>
      <c r="I2022" s="8">
        <v>46119</v>
      </c>
      <c r="J2022" t="s">
        <v>2682</v>
      </c>
      <c r="K2022" t="s">
        <v>2683</v>
      </c>
      <c r="L2022" s="13">
        <v>6000</v>
      </c>
      <c r="M2022" t="s">
        <v>2676</v>
      </c>
    </row>
    <row r="2023" spans="1:13">
      <c r="A2023" t="s">
        <v>1214</v>
      </c>
      <c r="B2023" t="s">
        <v>42</v>
      </c>
      <c r="C2023" s="8">
        <v>46293</v>
      </c>
      <c r="D2023" t="s">
        <v>321</v>
      </c>
      <c r="E2023" t="s">
        <v>325</v>
      </c>
      <c r="F2023" s="12">
        <v>997902</v>
      </c>
      <c r="G2023" s="13">
        <v>99</v>
      </c>
      <c r="H2023" t="s">
        <v>3092</v>
      </c>
      <c r="I2023" s="8">
        <v>45954</v>
      </c>
      <c r="J2023" t="s">
        <v>2671</v>
      </c>
      <c r="K2023" t="s">
        <v>2672</v>
      </c>
      <c r="L2023" s="13">
        <v>3000</v>
      </c>
      <c r="M2023" t="s">
        <v>2661</v>
      </c>
    </row>
    <row r="2024" spans="1:13">
      <c r="A2024" t="s">
        <v>1214</v>
      </c>
      <c r="B2024" t="s">
        <v>42</v>
      </c>
      <c r="C2024" s="8">
        <v>46293</v>
      </c>
      <c r="D2024" t="s">
        <v>321</v>
      </c>
      <c r="E2024" t="s">
        <v>325</v>
      </c>
      <c r="F2024" s="12">
        <v>997902</v>
      </c>
      <c r="G2024" s="13">
        <v>99</v>
      </c>
      <c r="H2024" t="s">
        <v>3469</v>
      </c>
      <c r="I2024" s="8">
        <v>45960</v>
      </c>
      <c r="J2024" t="s">
        <v>2685</v>
      </c>
      <c r="K2024" t="s">
        <v>2686</v>
      </c>
      <c r="L2024" s="13">
        <v>5000</v>
      </c>
      <c r="M2024" t="s">
        <v>2661</v>
      </c>
    </row>
    <row r="2025" spans="1:13">
      <c r="A2025" t="s">
        <v>479</v>
      </c>
      <c r="B2025" t="s">
        <v>276</v>
      </c>
      <c r="C2025" s="8">
        <v>45981</v>
      </c>
      <c r="D2025" t="s">
        <v>321</v>
      </c>
      <c r="E2025" t="s">
        <v>325</v>
      </c>
      <c r="F2025" s="12">
        <v>500861</v>
      </c>
      <c r="G2025" s="13">
        <v>50</v>
      </c>
      <c r="H2025" t="s">
        <v>2991</v>
      </c>
      <c r="I2025" s="8">
        <v>46082</v>
      </c>
      <c r="J2025" t="s">
        <v>2674</v>
      </c>
      <c r="K2025" t="s">
        <v>2675</v>
      </c>
      <c r="L2025" s="13">
        <v>20000</v>
      </c>
      <c r="M2025" t="s">
        <v>2661</v>
      </c>
    </row>
    <row r="2026" spans="1:13">
      <c r="A2026" t="s">
        <v>479</v>
      </c>
      <c r="B2026" t="s">
        <v>276</v>
      </c>
      <c r="C2026" s="8">
        <v>45981</v>
      </c>
      <c r="D2026" t="s">
        <v>321</v>
      </c>
      <c r="E2026" t="s">
        <v>325</v>
      </c>
      <c r="F2026" s="12">
        <v>500861</v>
      </c>
      <c r="G2026" s="13">
        <v>50</v>
      </c>
      <c r="H2026" t="s">
        <v>3135</v>
      </c>
      <c r="I2026" s="8">
        <v>46231</v>
      </c>
      <c r="J2026" t="s">
        <v>2665</v>
      </c>
      <c r="K2026" t="s">
        <v>2666</v>
      </c>
      <c r="L2026" s="13">
        <v>2500</v>
      </c>
      <c r="M2026" t="s">
        <v>2661</v>
      </c>
    </row>
    <row r="2027" spans="1:13">
      <c r="A2027" t="s">
        <v>479</v>
      </c>
      <c r="B2027" t="s">
        <v>276</v>
      </c>
      <c r="C2027" s="8">
        <v>45981</v>
      </c>
      <c r="D2027" t="s">
        <v>321</v>
      </c>
      <c r="E2027" t="s">
        <v>325</v>
      </c>
      <c r="F2027" s="12">
        <v>500861</v>
      </c>
      <c r="G2027" s="13">
        <v>50</v>
      </c>
      <c r="H2027" t="s">
        <v>3350</v>
      </c>
      <c r="I2027" s="8">
        <v>46121</v>
      </c>
      <c r="J2027" t="s">
        <v>2685</v>
      </c>
      <c r="K2027" t="s">
        <v>2686</v>
      </c>
      <c r="L2027" s="13">
        <v>5000</v>
      </c>
      <c r="M2027" t="s">
        <v>2661</v>
      </c>
    </row>
    <row r="2028" spans="1:13">
      <c r="A2028" t="s">
        <v>615</v>
      </c>
      <c r="B2028" t="s">
        <v>276</v>
      </c>
      <c r="C2028" s="8">
        <v>46054</v>
      </c>
      <c r="D2028" t="s">
        <v>342</v>
      </c>
      <c r="E2028" t="s">
        <v>339</v>
      </c>
      <c r="F2028" s="12">
        <v>119478</v>
      </c>
      <c r="G2028" s="13">
        <v>11</v>
      </c>
      <c r="H2028" t="s">
        <v>2991</v>
      </c>
      <c r="I2028" s="8">
        <v>46082</v>
      </c>
      <c r="J2028" t="s">
        <v>2674</v>
      </c>
      <c r="K2028" t="s">
        <v>2675</v>
      </c>
      <c r="L2028" s="13">
        <v>20000</v>
      </c>
      <c r="M2028" t="s">
        <v>2661</v>
      </c>
    </row>
    <row r="2029" spans="1:13">
      <c r="A2029" t="s">
        <v>615</v>
      </c>
      <c r="B2029" t="s">
        <v>276</v>
      </c>
      <c r="C2029" s="8">
        <v>46054</v>
      </c>
      <c r="D2029" t="s">
        <v>342</v>
      </c>
      <c r="E2029" t="s">
        <v>339</v>
      </c>
      <c r="F2029" s="12">
        <v>119478</v>
      </c>
      <c r="G2029" s="13">
        <v>11</v>
      </c>
      <c r="H2029" t="s">
        <v>3135</v>
      </c>
      <c r="I2029" s="8">
        <v>46231</v>
      </c>
      <c r="J2029" t="s">
        <v>2665</v>
      </c>
      <c r="K2029" t="s">
        <v>2666</v>
      </c>
      <c r="L2029" s="13">
        <v>2500</v>
      </c>
      <c r="M2029" t="s">
        <v>2661</v>
      </c>
    </row>
    <row r="2030" spans="1:13">
      <c r="A2030" t="s">
        <v>615</v>
      </c>
      <c r="B2030" t="s">
        <v>276</v>
      </c>
      <c r="C2030" s="8">
        <v>46054</v>
      </c>
      <c r="D2030" t="s">
        <v>342</v>
      </c>
      <c r="E2030" t="s">
        <v>339</v>
      </c>
      <c r="F2030" s="12">
        <v>119478</v>
      </c>
      <c r="G2030" s="13">
        <v>11</v>
      </c>
      <c r="H2030" t="s">
        <v>3350</v>
      </c>
      <c r="I2030" s="8">
        <v>46121</v>
      </c>
      <c r="J2030" t="s">
        <v>2685</v>
      </c>
      <c r="K2030" t="s">
        <v>2686</v>
      </c>
      <c r="L2030" s="13">
        <v>5000</v>
      </c>
      <c r="M2030" t="s">
        <v>2661</v>
      </c>
    </row>
    <row r="2031" spans="1:13">
      <c r="A2031" t="s">
        <v>765</v>
      </c>
      <c r="B2031" t="s">
        <v>133</v>
      </c>
      <c r="C2031" s="8">
        <v>46269</v>
      </c>
      <c r="D2031" t="s">
        <v>324</v>
      </c>
      <c r="E2031" t="s">
        <v>322</v>
      </c>
      <c r="F2031" s="12">
        <v>229791</v>
      </c>
      <c r="G2031" s="13">
        <v>22</v>
      </c>
      <c r="H2031" t="s">
        <v>2824</v>
      </c>
      <c r="I2031" s="8">
        <v>46219</v>
      </c>
      <c r="J2031" t="s">
        <v>2663</v>
      </c>
      <c r="K2031" t="s">
        <v>3630</v>
      </c>
      <c r="L2031" s="13">
        <v>1500</v>
      </c>
      <c r="M2031" t="s">
        <v>2676</v>
      </c>
    </row>
    <row r="2032" spans="1:13">
      <c r="A2032" t="s">
        <v>765</v>
      </c>
      <c r="B2032" t="s">
        <v>133</v>
      </c>
      <c r="C2032" s="8">
        <v>46269</v>
      </c>
      <c r="D2032" t="s">
        <v>324</v>
      </c>
      <c r="E2032" t="s">
        <v>322</v>
      </c>
      <c r="F2032" s="12">
        <v>229791</v>
      </c>
      <c r="G2032" s="13">
        <v>22</v>
      </c>
      <c r="H2032" t="s">
        <v>2990</v>
      </c>
      <c r="I2032" s="8">
        <v>46254</v>
      </c>
      <c r="J2032" t="s">
        <v>2692</v>
      </c>
      <c r="K2032" t="s">
        <v>2693</v>
      </c>
      <c r="L2032" s="13">
        <v>10000</v>
      </c>
      <c r="M2032" t="s">
        <v>2676</v>
      </c>
    </row>
    <row r="2033" spans="1:13">
      <c r="A2033" t="s">
        <v>1160</v>
      </c>
      <c r="B2033" t="s">
        <v>133</v>
      </c>
      <c r="C2033" s="8">
        <v>46134</v>
      </c>
      <c r="D2033" t="s">
        <v>321</v>
      </c>
      <c r="E2033" t="s">
        <v>325</v>
      </c>
      <c r="F2033" s="12">
        <v>190767</v>
      </c>
      <c r="G2033" s="13">
        <v>19</v>
      </c>
      <c r="H2033" t="s">
        <v>2824</v>
      </c>
      <c r="I2033" s="8">
        <v>46219</v>
      </c>
      <c r="J2033" t="s">
        <v>2663</v>
      </c>
      <c r="K2033" t="s">
        <v>3630</v>
      </c>
      <c r="L2033" s="13">
        <v>1500</v>
      </c>
      <c r="M2033" t="s">
        <v>2676</v>
      </c>
    </row>
    <row r="2034" spans="1:13">
      <c r="A2034" t="s">
        <v>1160</v>
      </c>
      <c r="B2034" t="s">
        <v>133</v>
      </c>
      <c r="C2034" s="8">
        <v>46134</v>
      </c>
      <c r="D2034" t="s">
        <v>321</v>
      </c>
      <c r="E2034" t="s">
        <v>325</v>
      </c>
      <c r="F2034" s="12">
        <v>190767</v>
      </c>
      <c r="G2034" s="13">
        <v>19</v>
      </c>
      <c r="H2034" t="s">
        <v>2990</v>
      </c>
      <c r="I2034" s="8">
        <v>46254</v>
      </c>
      <c r="J2034" t="s">
        <v>2692</v>
      </c>
      <c r="K2034" t="s">
        <v>2693</v>
      </c>
      <c r="L2034" s="13">
        <v>10000</v>
      </c>
      <c r="M2034" t="s">
        <v>2676</v>
      </c>
    </row>
    <row r="2035" spans="1:13">
      <c r="A2035" t="s">
        <v>481</v>
      </c>
      <c r="B2035" t="s">
        <v>18</v>
      </c>
      <c r="C2035" s="8">
        <v>46262</v>
      </c>
      <c r="D2035" t="s">
        <v>342</v>
      </c>
      <c r="E2035" t="s">
        <v>337</v>
      </c>
      <c r="F2035" s="12">
        <v>295954</v>
      </c>
      <c r="G2035" s="13">
        <v>29</v>
      </c>
      <c r="H2035" t="s">
        <v>2899</v>
      </c>
      <c r="I2035" s="8">
        <v>46227</v>
      </c>
      <c r="J2035" t="s">
        <v>2665</v>
      </c>
      <c r="K2035" t="s">
        <v>2666</v>
      </c>
      <c r="L2035" s="13">
        <v>2500</v>
      </c>
      <c r="M2035" t="s">
        <v>2676</v>
      </c>
    </row>
    <row r="2036" spans="1:13">
      <c r="A2036" t="s">
        <v>481</v>
      </c>
      <c r="B2036" t="s">
        <v>18</v>
      </c>
      <c r="C2036" s="8">
        <v>46262</v>
      </c>
      <c r="D2036" t="s">
        <v>342</v>
      </c>
      <c r="E2036" t="s">
        <v>337</v>
      </c>
      <c r="F2036" s="12">
        <v>295954</v>
      </c>
      <c r="G2036" s="13">
        <v>29</v>
      </c>
      <c r="H2036" t="s">
        <v>3087</v>
      </c>
      <c r="I2036" s="8">
        <v>45976</v>
      </c>
      <c r="J2036" t="s">
        <v>2659</v>
      </c>
      <c r="K2036" t="s">
        <v>2660</v>
      </c>
      <c r="L2036" s="13">
        <v>3500</v>
      </c>
      <c r="M2036" t="s">
        <v>2676</v>
      </c>
    </row>
    <row r="2037" spans="1:13">
      <c r="A2037" t="s">
        <v>635</v>
      </c>
      <c r="B2037" t="s">
        <v>18</v>
      </c>
      <c r="C2037" s="8">
        <v>46168</v>
      </c>
      <c r="D2037" t="s">
        <v>324</v>
      </c>
      <c r="E2037" t="s">
        <v>337</v>
      </c>
      <c r="F2037" s="12">
        <v>252446</v>
      </c>
      <c r="G2037" s="13">
        <v>25</v>
      </c>
      <c r="H2037" t="s">
        <v>2899</v>
      </c>
      <c r="I2037" s="8">
        <v>46227</v>
      </c>
      <c r="J2037" t="s">
        <v>2665</v>
      </c>
      <c r="K2037" t="s">
        <v>2666</v>
      </c>
      <c r="L2037" s="13">
        <v>2500</v>
      </c>
      <c r="M2037" t="s">
        <v>2676</v>
      </c>
    </row>
    <row r="2038" spans="1:13">
      <c r="A2038" t="s">
        <v>635</v>
      </c>
      <c r="B2038" t="s">
        <v>18</v>
      </c>
      <c r="C2038" s="8">
        <v>46168</v>
      </c>
      <c r="D2038" t="s">
        <v>324</v>
      </c>
      <c r="E2038" t="s">
        <v>337</v>
      </c>
      <c r="F2038" s="12">
        <v>252446</v>
      </c>
      <c r="G2038" s="13">
        <v>25</v>
      </c>
      <c r="H2038" t="s">
        <v>3087</v>
      </c>
      <c r="I2038" s="8">
        <v>45976</v>
      </c>
      <c r="J2038" t="s">
        <v>2659</v>
      </c>
      <c r="K2038" t="s">
        <v>2660</v>
      </c>
      <c r="L2038" s="13">
        <v>3500</v>
      </c>
      <c r="M2038" t="s">
        <v>2676</v>
      </c>
    </row>
    <row r="2039" spans="1:13">
      <c r="A2039" t="s">
        <v>486</v>
      </c>
      <c r="B2039" t="s">
        <v>187</v>
      </c>
      <c r="C2039" s="8">
        <v>46264</v>
      </c>
      <c r="D2039" t="s">
        <v>324</v>
      </c>
      <c r="E2039" t="s">
        <v>334</v>
      </c>
      <c r="F2039" s="12">
        <v>349418</v>
      </c>
      <c r="G2039" s="13">
        <v>34</v>
      </c>
      <c r="H2039" t="s">
        <v>3154</v>
      </c>
      <c r="I2039" s="8">
        <v>46017</v>
      </c>
      <c r="J2039" t="s">
        <v>2682</v>
      </c>
      <c r="K2039" t="s">
        <v>2683</v>
      </c>
      <c r="L2039" s="13">
        <v>6000</v>
      </c>
      <c r="M2039" t="s">
        <v>2661</v>
      </c>
    </row>
    <row r="2040" spans="1:13">
      <c r="A2040" t="s">
        <v>486</v>
      </c>
      <c r="B2040" t="s">
        <v>187</v>
      </c>
      <c r="C2040" s="8">
        <v>46264</v>
      </c>
      <c r="D2040" t="s">
        <v>324</v>
      </c>
      <c r="E2040" t="s">
        <v>334</v>
      </c>
      <c r="F2040" s="12">
        <v>349418</v>
      </c>
      <c r="G2040" s="13">
        <v>34</v>
      </c>
      <c r="H2040" t="s">
        <v>3527</v>
      </c>
      <c r="I2040" s="8">
        <v>46155</v>
      </c>
      <c r="J2040" t="s">
        <v>2692</v>
      </c>
      <c r="K2040" t="s">
        <v>2693</v>
      </c>
      <c r="L2040" s="13">
        <v>10000</v>
      </c>
      <c r="M2040" t="s">
        <v>2661</v>
      </c>
    </row>
    <row r="2041" spans="1:13">
      <c r="A2041" t="s">
        <v>740</v>
      </c>
      <c r="B2041" t="s">
        <v>228</v>
      </c>
      <c r="C2041" s="8">
        <v>46287</v>
      </c>
      <c r="D2041" t="s">
        <v>324</v>
      </c>
      <c r="E2041" t="s">
        <v>322</v>
      </c>
      <c r="F2041" s="12">
        <v>25000</v>
      </c>
      <c r="G2041" s="13">
        <v>2</v>
      </c>
      <c r="H2041" t="s">
        <v>2833</v>
      </c>
      <c r="I2041" s="8">
        <v>46184</v>
      </c>
      <c r="J2041" t="s">
        <v>2671</v>
      </c>
      <c r="K2041" t="s">
        <v>2672</v>
      </c>
      <c r="L2041" s="13">
        <v>3000</v>
      </c>
      <c r="M2041" t="s">
        <v>2676</v>
      </c>
    </row>
    <row r="2042" spans="1:13">
      <c r="A2042" t="s">
        <v>740</v>
      </c>
      <c r="B2042" t="s">
        <v>228</v>
      </c>
      <c r="C2042" s="8">
        <v>46287</v>
      </c>
      <c r="D2042" t="s">
        <v>324</v>
      </c>
      <c r="E2042" t="s">
        <v>322</v>
      </c>
      <c r="F2042" s="12">
        <v>25000</v>
      </c>
      <c r="G2042" s="13">
        <v>2</v>
      </c>
      <c r="H2042" t="s">
        <v>2985</v>
      </c>
      <c r="I2042" s="8">
        <v>46092</v>
      </c>
      <c r="J2042" t="s">
        <v>2671</v>
      </c>
      <c r="K2042" t="s">
        <v>2672</v>
      </c>
      <c r="L2042" s="13">
        <v>3000</v>
      </c>
      <c r="M2042" t="s">
        <v>2661</v>
      </c>
    </row>
    <row r="2043" spans="1:13">
      <c r="A2043" t="s">
        <v>740</v>
      </c>
      <c r="B2043" t="s">
        <v>228</v>
      </c>
      <c r="C2043" s="8">
        <v>46287</v>
      </c>
      <c r="D2043" t="s">
        <v>324</v>
      </c>
      <c r="E2043" t="s">
        <v>322</v>
      </c>
      <c r="F2043" s="12">
        <v>25000</v>
      </c>
      <c r="G2043" s="13">
        <v>2</v>
      </c>
      <c r="H2043" t="s">
        <v>3370</v>
      </c>
      <c r="I2043" s="8">
        <v>46191</v>
      </c>
      <c r="J2043" t="s">
        <v>2659</v>
      </c>
      <c r="K2043" t="s">
        <v>2660</v>
      </c>
      <c r="L2043" s="13">
        <v>3500</v>
      </c>
      <c r="M2043" t="s">
        <v>2661</v>
      </c>
    </row>
    <row r="2044" spans="1:13">
      <c r="A2044" t="s">
        <v>740</v>
      </c>
      <c r="B2044" t="s">
        <v>228</v>
      </c>
      <c r="C2044" s="8">
        <v>46287</v>
      </c>
      <c r="D2044" t="s">
        <v>324</v>
      </c>
      <c r="E2044" t="s">
        <v>322</v>
      </c>
      <c r="F2044" s="12">
        <v>25000</v>
      </c>
      <c r="G2044" s="13">
        <v>2</v>
      </c>
      <c r="H2044" t="s">
        <v>3390</v>
      </c>
      <c r="I2044" s="8">
        <v>46082</v>
      </c>
      <c r="J2044" t="s">
        <v>2668</v>
      </c>
      <c r="K2044" t="s">
        <v>2669</v>
      </c>
      <c r="L2044" s="13">
        <v>4000</v>
      </c>
      <c r="M2044" t="s">
        <v>2661</v>
      </c>
    </row>
    <row r="2045" spans="1:13">
      <c r="A2045" t="s">
        <v>1001</v>
      </c>
      <c r="B2045" t="s">
        <v>228</v>
      </c>
      <c r="C2045" s="8">
        <v>45940</v>
      </c>
      <c r="D2045" t="s">
        <v>324</v>
      </c>
      <c r="E2045" t="s">
        <v>337</v>
      </c>
      <c r="F2045" s="12">
        <v>149983</v>
      </c>
      <c r="G2045" s="13">
        <v>14</v>
      </c>
      <c r="H2045" t="s">
        <v>2833</v>
      </c>
      <c r="I2045" s="8">
        <v>46184</v>
      </c>
      <c r="J2045" t="s">
        <v>2671</v>
      </c>
      <c r="K2045" t="s">
        <v>2672</v>
      </c>
      <c r="L2045" s="13">
        <v>3000</v>
      </c>
      <c r="M2045" t="s">
        <v>2676</v>
      </c>
    </row>
    <row r="2046" spans="1:13">
      <c r="A2046" t="s">
        <v>1001</v>
      </c>
      <c r="B2046" t="s">
        <v>228</v>
      </c>
      <c r="C2046" s="8">
        <v>45940</v>
      </c>
      <c r="D2046" t="s">
        <v>324</v>
      </c>
      <c r="E2046" t="s">
        <v>337</v>
      </c>
      <c r="F2046" s="12">
        <v>149983</v>
      </c>
      <c r="G2046" s="13">
        <v>14</v>
      </c>
      <c r="H2046" t="s">
        <v>2985</v>
      </c>
      <c r="I2046" s="8">
        <v>46092</v>
      </c>
      <c r="J2046" t="s">
        <v>2671</v>
      </c>
      <c r="K2046" t="s">
        <v>2672</v>
      </c>
      <c r="L2046" s="13">
        <v>3000</v>
      </c>
      <c r="M2046" t="s">
        <v>2661</v>
      </c>
    </row>
    <row r="2047" spans="1:13">
      <c r="A2047" t="s">
        <v>1001</v>
      </c>
      <c r="B2047" t="s">
        <v>228</v>
      </c>
      <c r="C2047" s="8">
        <v>45940</v>
      </c>
      <c r="D2047" t="s">
        <v>324</v>
      </c>
      <c r="E2047" t="s">
        <v>337</v>
      </c>
      <c r="F2047" s="12">
        <v>149983</v>
      </c>
      <c r="G2047" s="13">
        <v>14</v>
      </c>
      <c r="H2047" t="s">
        <v>3370</v>
      </c>
      <c r="I2047" s="8">
        <v>46191</v>
      </c>
      <c r="J2047" t="s">
        <v>2659</v>
      </c>
      <c r="K2047" t="s">
        <v>2660</v>
      </c>
      <c r="L2047" s="13">
        <v>3500</v>
      </c>
      <c r="M2047" t="s">
        <v>2661</v>
      </c>
    </row>
    <row r="2048" spans="1:13">
      <c r="A2048" t="s">
        <v>1001</v>
      </c>
      <c r="B2048" t="s">
        <v>228</v>
      </c>
      <c r="C2048" s="8">
        <v>45940</v>
      </c>
      <c r="D2048" t="s">
        <v>324</v>
      </c>
      <c r="E2048" t="s">
        <v>337</v>
      </c>
      <c r="F2048" s="12">
        <v>149983</v>
      </c>
      <c r="G2048" s="13">
        <v>14</v>
      </c>
      <c r="H2048" t="s">
        <v>3390</v>
      </c>
      <c r="I2048" s="8">
        <v>46082</v>
      </c>
      <c r="J2048" t="s">
        <v>2668</v>
      </c>
      <c r="K2048" t="s">
        <v>2669</v>
      </c>
      <c r="L2048" s="13">
        <v>4000</v>
      </c>
      <c r="M2048" t="s">
        <v>2661</v>
      </c>
    </row>
    <row r="2049" spans="1:13">
      <c r="A2049" t="s">
        <v>1092</v>
      </c>
      <c r="B2049" t="s">
        <v>228</v>
      </c>
      <c r="C2049" s="8">
        <v>46268</v>
      </c>
      <c r="D2049" t="s">
        <v>327</v>
      </c>
      <c r="E2049" t="s">
        <v>322</v>
      </c>
      <c r="F2049" s="12">
        <v>271791</v>
      </c>
      <c r="G2049" s="13">
        <v>27</v>
      </c>
      <c r="H2049" t="s">
        <v>2833</v>
      </c>
      <c r="I2049" s="8">
        <v>46184</v>
      </c>
      <c r="J2049" t="s">
        <v>2671</v>
      </c>
      <c r="K2049" t="s">
        <v>2672</v>
      </c>
      <c r="L2049" s="13">
        <v>3000</v>
      </c>
      <c r="M2049" t="s">
        <v>2676</v>
      </c>
    </row>
    <row r="2050" spans="1:13">
      <c r="A2050" t="s">
        <v>1092</v>
      </c>
      <c r="B2050" t="s">
        <v>228</v>
      </c>
      <c r="C2050" s="8">
        <v>46268</v>
      </c>
      <c r="D2050" t="s">
        <v>327</v>
      </c>
      <c r="E2050" t="s">
        <v>322</v>
      </c>
      <c r="F2050" s="12">
        <v>271791</v>
      </c>
      <c r="G2050" s="13">
        <v>27</v>
      </c>
      <c r="H2050" t="s">
        <v>2985</v>
      </c>
      <c r="I2050" s="8">
        <v>46092</v>
      </c>
      <c r="J2050" t="s">
        <v>2671</v>
      </c>
      <c r="K2050" t="s">
        <v>2672</v>
      </c>
      <c r="L2050" s="13">
        <v>3000</v>
      </c>
      <c r="M2050" t="s">
        <v>2661</v>
      </c>
    </row>
    <row r="2051" spans="1:13">
      <c r="A2051" t="s">
        <v>1092</v>
      </c>
      <c r="B2051" t="s">
        <v>228</v>
      </c>
      <c r="C2051" s="8">
        <v>46268</v>
      </c>
      <c r="D2051" t="s">
        <v>327</v>
      </c>
      <c r="E2051" t="s">
        <v>322</v>
      </c>
      <c r="F2051" s="12">
        <v>271791</v>
      </c>
      <c r="G2051" s="13">
        <v>27</v>
      </c>
      <c r="H2051" t="s">
        <v>3370</v>
      </c>
      <c r="I2051" s="8">
        <v>46191</v>
      </c>
      <c r="J2051" t="s">
        <v>2659</v>
      </c>
      <c r="K2051" t="s">
        <v>2660</v>
      </c>
      <c r="L2051" s="13">
        <v>3500</v>
      </c>
      <c r="M2051" t="s">
        <v>2661</v>
      </c>
    </row>
    <row r="2052" spans="1:13">
      <c r="A2052" t="s">
        <v>1092</v>
      </c>
      <c r="B2052" t="s">
        <v>228</v>
      </c>
      <c r="C2052" s="8">
        <v>46268</v>
      </c>
      <c r="D2052" t="s">
        <v>327</v>
      </c>
      <c r="E2052" t="s">
        <v>322</v>
      </c>
      <c r="F2052" s="12">
        <v>271791</v>
      </c>
      <c r="G2052" s="13">
        <v>27</v>
      </c>
      <c r="H2052" t="s">
        <v>3390</v>
      </c>
      <c r="I2052" s="8">
        <v>46082</v>
      </c>
      <c r="J2052" t="s">
        <v>2668</v>
      </c>
      <c r="K2052" t="s">
        <v>2669</v>
      </c>
      <c r="L2052" s="13">
        <v>4000</v>
      </c>
      <c r="M2052" t="s">
        <v>2661</v>
      </c>
    </row>
    <row r="2053" spans="1:13">
      <c r="A2053" t="s">
        <v>1165</v>
      </c>
      <c r="B2053" t="s">
        <v>228</v>
      </c>
      <c r="C2053" s="8">
        <v>46169</v>
      </c>
      <c r="D2053" t="s">
        <v>344</v>
      </c>
      <c r="E2053" t="s">
        <v>322</v>
      </c>
      <c r="F2053" s="12">
        <v>184213</v>
      </c>
      <c r="G2053" s="13">
        <v>18</v>
      </c>
      <c r="H2053" t="s">
        <v>2833</v>
      </c>
      <c r="I2053" s="8">
        <v>46184</v>
      </c>
      <c r="J2053" t="s">
        <v>2671</v>
      </c>
      <c r="K2053" t="s">
        <v>2672</v>
      </c>
      <c r="L2053" s="13">
        <v>3000</v>
      </c>
      <c r="M2053" t="s">
        <v>2676</v>
      </c>
    </row>
    <row r="2054" spans="1:13">
      <c r="A2054" t="s">
        <v>1165</v>
      </c>
      <c r="B2054" t="s">
        <v>228</v>
      </c>
      <c r="C2054" s="8">
        <v>46169</v>
      </c>
      <c r="D2054" t="s">
        <v>344</v>
      </c>
      <c r="E2054" t="s">
        <v>322</v>
      </c>
      <c r="F2054" s="12">
        <v>184213</v>
      </c>
      <c r="G2054" s="13">
        <v>18</v>
      </c>
      <c r="H2054" t="s">
        <v>2985</v>
      </c>
      <c r="I2054" s="8">
        <v>46092</v>
      </c>
      <c r="J2054" t="s">
        <v>2671</v>
      </c>
      <c r="K2054" t="s">
        <v>2672</v>
      </c>
      <c r="L2054" s="13">
        <v>3000</v>
      </c>
      <c r="M2054" t="s">
        <v>2661</v>
      </c>
    </row>
    <row r="2055" spans="1:13">
      <c r="A2055" t="s">
        <v>1165</v>
      </c>
      <c r="B2055" t="s">
        <v>228</v>
      </c>
      <c r="C2055" s="8">
        <v>46169</v>
      </c>
      <c r="D2055" t="s">
        <v>344</v>
      </c>
      <c r="E2055" t="s">
        <v>322</v>
      </c>
      <c r="F2055" s="12">
        <v>184213</v>
      </c>
      <c r="G2055" s="13">
        <v>18</v>
      </c>
      <c r="H2055" t="s">
        <v>3370</v>
      </c>
      <c r="I2055" s="8">
        <v>46191</v>
      </c>
      <c r="J2055" t="s">
        <v>2659</v>
      </c>
      <c r="K2055" t="s">
        <v>2660</v>
      </c>
      <c r="L2055" s="13">
        <v>3500</v>
      </c>
      <c r="M2055" t="s">
        <v>2661</v>
      </c>
    </row>
    <row r="2056" spans="1:13">
      <c r="A2056" t="s">
        <v>1165</v>
      </c>
      <c r="B2056" t="s">
        <v>228</v>
      </c>
      <c r="C2056" s="8">
        <v>46169</v>
      </c>
      <c r="D2056" t="s">
        <v>344</v>
      </c>
      <c r="E2056" t="s">
        <v>322</v>
      </c>
      <c r="F2056" s="12">
        <v>184213</v>
      </c>
      <c r="G2056" s="13">
        <v>18</v>
      </c>
      <c r="H2056" t="s">
        <v>3390</v>
      </c>
      <c r="I2056" s="8">
        <v>46082</v>
      </c>
      <c r="J2056" t="s">
        <v>2668</v>
      </c>
      <c r="K2056" t="s">
        <v>2669</v>
      </c>
      <c r="L2056" s="13">
        <v>4000</v>
      </c>
      <c r="M2056" t="s">
        <v>2661</v>
      </c>
    </row>
    <row r="2057" spans="1:13">
      <c r="A2057" t="s">
        <v>489</v>
      </c>
      <c r="B2057" t="s">
        <v>22</v>
      </c>
      <c r="C2057" s="8">
        <v>46101</v>
      </c>
      <c r="D2057" t="s">
        <v>330</v>
      </c>
      <c r="E2057" t="s">
        <v>328</v>
      </c>
      <c r="F2057" s="12">
        <v>614503</v>
      </c>
      <c r="G2057" s="13">
        <v>61</v>
      </c>
      <c r="H2057" t="s">
        <v>3212</v>
      </c>
      <c r="I2057" s="8">
        <v>45987</v>
      </c>
      <c r="J2057" t="s">
        <v>2659</v>
      </c>
      <c r="K2057" t="s">
        <v>2660</v>
      </c>
      <c r="L2057" s="13">
        <v>3500</v>
      </c>
      <c r="M2057" t="s">
        <v>2661</v>
      </c>
    </row>
    <row r="2058" spans="1:13">
      <c r="A2058" t="s">
        <v>489</v>
      </c>
      <c r="B2058" t="s">
        <v>22</v>
      </c>
      <c r="C2058" s="8">
        <v>46101</v>
      </c>
      <c r="D2058" t="s">
        <v>330</v>
      </c>
      <c r="E2058" t="s">
        <v>328</v>
      </c>
      <c r="F2058" s="12">
        <v>614503</v>
      </c>
      <c r="G2058" s="13">
        <v>61</v>
      </c>
      <c r="H2058" t="s">
        <v>3444</v>
      </c>
      <c r="I2058" s="8">
        <v>46084</v>
      </c>
      <c r="J2058" t="s">
        <v>2659</v>
      </c>
      <c r="K2058" t="s">
        <v>2660</v>
      </c>
      <c r="L2058" s="13">
        <v>3500</v>
      </c>
      <c r="M2058" t="s">
        <v>2661</v>
      </c>
    </row>
    <row r="2059" spans="1:13">
      <c r="A2059" t="s">
        <v>489</v>
      </c>
      <c r="B2059" t="s">
        <v>22</v>
      </c>
      <c r="C2059" s="8">
        <v>46101</v>
      </c>
      <c r="D2059" t="s">
        <v>330</v>
      </c>
      <c r="E2059" t="s">
        <v>328</v>
      </c>
      <c r="F2059" s="12">
        <v>614503</v>
      </c>
      <c r="G2059" s="13">
        <v>61</v>
      </c>
      <c r="H2059" t="s">
        <v>3537</v>
      </c>
      <c r="I2059" s="8">
        <v>46009</v>
      </c>
      <c r="J2059" t="s">
        <v>2659</v>
      </c>
      <c r="K2059" t="s">
        <v>2660</v>
      </c>
      <c r="L2059" s="13">
        <v>3500</v>
      </c>
      <c r="M2059" t="s">
        <v>2661</v>
      </c>
    </row>
    <row r="2060" spans="1:13">
      <c r="A2060" t="s">
        <v>950</v>
      </c>
      <c r="B2060" t="s">
        <v>22</v>
      </c>
      <c r="C2060" s="8">
        <v>46005</v>
      </c>
      <c r="D2060" t="s">
        <v>350</v>
      </c>
      <c r="E2060" t="s">
        <v>339</v>
      </c>
      <c r="F2060" s="12">
        <v>172580</v>
      </c>
      <c r="G2060" s="13">
        <v>17</v>
      </c>
      <c r="H2060" t="s">
        <v>3212</v>
      </c>
      <c r="I2060" s="8">
        <v>45987</v>
      </c>
      <c r="J2060" t="s">
        <v>2659</v>
      </c>
      <c r="K2060" t="s">
        <v>2660</v>
      </c>
      <c r="L2060" s="13">
        <v>3500</v>
      </c>
      <c r="M2060" t="s">
        <v>2661</v>
      </c>
    </row>
    <row r="2061" spans="1:13">
      <c r="A2061" t="s">
        <v>950</v>
      </c>
      <c r="B2061" t="s">
        <v>22</v>
      </c>
      <c r="C2061" s="8">
        <v>46005</v>
      </c>
      <c r="D2061" t="s">
        <v>350</v>
      </c>
      <c r="E2061" t="s">
        <v>339</v>
      </c>
      <c r="F2061" s="12">
        <v>172580</v>
      </c>
      <c r="G2061" s="13">
        <v>17</v>
      </c>
      <c r="H2061" t="s">
        <v>3444</v>
      </c>
      <c r="I2061" s="8">
        <v>46084</v>
      </c>
      <c r="J2061" t="s">
        <v>2659</v>
      </c>
      <c r="K2061" t="s">
        <v>2660</v>
      </c>
      <c r="L2061" s="13">
        <v>3500</v>
      </c>
      <c r="M2061" t="s">
        <v>2661</v>
      </c>
    </row>
    <row r="2062" spans="1:13">
      <c r="A2062" t="s">
        <v>950</v>
      </c>
      <c r="B2062" t="s">
        <v>22</v>
      </c>
      <c r="C2062" s="8">
        <v>46005</v>
      </c>
      <c r="D2062" t="s">
        <v>350</v>
      </c>
      <c r="E2062" t="s">
        <v>339</v>
      </c>
      <c r="F2062" s="12">
        <v>172580</v>
      </c>
      <c r="G2062" s="13">
        <v>17</v>
      </c>
      <c r="H2062" t="s">
        <v>3537</v>
      </c>
      <c r="I2062" s="8">
        <v>46009</v>
      </c>
      <c r="J2062" t="s">
        <v>2659</v>
      </c>
      <c r="K2062" t="s">
        <v>2660</v>
      </c>
      <c r="L2062" s="13">
        <v>3500</v>
      </c>
      <c r="M2062" t="s">
        <v>2661</v>
      </c>
    </row>
    <row r="2063" spans="1:13">
      <c r="A2063" t="s">
        <v>1138</v>
      </c>
      <c r="B2063" t="s">
        <v>22</v>
      </c>
      <c r="C2063" s="8">
        <v>45938</v>
      </c>
      <c r="D2063" t="s">
        <v>327</v>
      </c>
      <c r="E2063" t="s">
        <v>328</v>
      </c>
      <c r="F2063" s="12">
        <v>363438</v>
      </c>
      <c r="G2063" s="13">
        <v>36</v>
      </c>
      <c r="H2063" t="s">
        <v>3212</v>
      </c>
      <c r="I2063" s="8">
        <v>45987</v>
      </c>
      <c r="J2063" t="s">
        <v>2659</v>
      </c>
      <c r="K2063" t="s">
        <v>2660</v>
      </c>
      <c r="L2063" s="13">
        <v>3500</v>
      </c>
      <c r="M2063" t="s">
        <v>2661</v>
      </c>
    </row>
    <row r="2064" spans="1:13">
      <c r="A2064" t="s">
        <v>1138</v>
      </c>
      <c r="B2064" t="s">
        <v>22</v>
      </c>
      <c r="C2064" s="8">
        <v>45938</v>
      </c>
      <c r="D2064" t="s">
        <v>327</v>
      </c>
      <c r="E2064" t="s">
        <v>328</v>
      </c>
      <c r="F2064" s="12">
        <v>363438</v>
      </c>
      <c r="G2064" s="13">
        <v>36</v>
      </c>
      <c r="H2064" t="s">
        <v>3444</v>
      </c>
      <c r="I2064" s="8">
        <v>46084</v>
      </c>
      <c r="J2064" t="s">
        <v>2659</v>
      </c>
      <c r="K2064" t="s">
        <v>2660</v>
      </c>
      <c r="L2064" s="13">
        <v>3500</v>
      </c>
      <c r="M2064" t="s">
        <v>2661</v>
      </c>
    </row>
    <row r="2065" spans="1:13">
      <c r="A2065" t="s">
        <v>1138</v>
      </c>
      <c r="B2065" t="s">
        <v>22</v>
      </c>
      <c r="C2065" s="8">
        <v>45938</v>
      </c>
      <c r="D2065" t="s">
        <v>327</v>
      </c>
      <c r="E2065" t="s">
        <v>328</v>
      </c>
      <c r="F2065" s="12">
        <v>363438</v>
      </c>
      <c r="G2065" s="13">
        <v>36</v>
      </c>
      <c r="H2065" t="s">
        <v>3537</v>
      </c>
      <c r="I2065" s="8">
        <v>46009</v>
      </c>
      <c r="J2065" t="s">
        <v>2659</v>
      </c>
      <c r="K2065" t="s">
        <v>2660</v>
      </c>
      <c r="L2065" s="13">
        <v>3500</v>
      </c>
      <c r="M2065" t="s">
        <v>2661</v>
      </c>
    </row>
    <row r="2066" spans="1:13">
      <c r="A2066" t="s">
        <v>681</v>
      </c>
      <c r="B2066" t="s">
        <v>39</v>
      </c>
      <c r="C2066" s="8">
        <v>46227</v>
      </c>
      <c r="D2066" t="s">
        <v>321</v>
      </c>
      <c r="E2066" t="s">
        <v>337</v>
      </c>
      <c r="F2066" s="12">
        <v>267145</v>
      </c>
      <c r="G2066" s="13">
        <v>26</v>
      </c>
      <c r="H2066" t="s">
        <v>2837</v>
      </c>
      <c r="I2066" s="8">
        <v>45971</v>
      </c>
      <c r="J2066" t="s">
        <v>2668</v>
      </c>
      <c r="K2066" t="s">
        <v>2669</v>
      </c>
      <c r="L2066" s="13">
        <v>4000</v>
      </c>
      <c r="M2066" t="s">
        <v>2661</v>
      </c>
    </row>
    <row r="2067" spans="1:13">
      <c r="A2067" t="s">
        <v>681</v>
      </c>
      <c r="B2067" t="s">
        <v>39</v>
      </c>
      <c r="C2067" s="8">
        <v>46227</v>
      </c>
      <c r="D2067" t="s">
        <v>321</v>
      </c>
      <c r="E2067" t="s">
        <v>337</v>
      </c>
      <c r="F2067" s="12">
        <v>267145</v>
      </c>
      <c r="G2067" s="13">
        <v>26</v>
      </c>
      <c r="H2067" t="s">
        <v>3308</v>
      </c>
      <c r="I2067" s="8">
        <v>46107</v>
      </c>
      <c r="J2067" t="s">
        <v>2692</v>
      </c>
      <c r="K2067" t="s">
        <v>2693</v>
      </c>
      <c r="L2067" s="13">
        <v>10000</v>
      </c>
      <c r="M2067" t="s">
        <v>2661</v>
      </c>
    </row>
    <row r="2068" spans="1:13">
      <c r="A2068" t="s">
        <v>951</v>
      </c>
      <c r="B2068" t="s">
        <v>39</v>
      </c>
      <c r="C2068" s="8">
        <v>46220</v>
      </c>
      <c r="D2068" t="s">
        <v>327</v>
      </c>
      <c r="E2068" t="s">
        <v>337</v>
      </c>
      <c r="F2068" s="12">
        <v>221048</v>
      </c>
      <c r="G2068" s="13">
        <v>22</v>
      </c>
      <c r="H2068" t="s">
        <v>2837</v>
      </c>
      <c r="I2068" s="8">
        <v>45971</v>
      </c>
      <c r="J2068" t="s">
        <v>2668</v>
      </c>
      <c r="K2068" t="s">
        <v>2669</v>
      </c>
      <c r="L2068" s="13">
        <v>4000</v>
      </c>
      <c r="M2068" t="s">
        <v>2661</v>
      </c>
    </row>
    <row r="2069" spans="1:13">
      <c r="A2069" t="s">
        <v>951</v>
      </c>
      <c r="B2069" t="s">
        <v>39</v>
      </c>
      <c r="C2069" s="8">
        <v>46220</v>
      </c>
      <c r="D2069" t="s">
        <v>327</v>
      </c>
      <c r="E2069" t="s">
        <v>337</v>
      </c>
      <c r="F2069" s="12">
        <v>221048</v>
      </c>
      <c r="G2069" s="13">
        <v>22</v>
      </c>
      <c r="H2069" t="s">
        <v>3308</v>
      </c>
      <c r="I2069" s="8">
        <v>46107</v>
      </c>
      <c r="J2069" t="s">
        <v>2692</v>
      </c>
      <c r="K2069" t="s">
        <v>2693</v>
      </c>
      <c r="L2069" s="13">
        <v>10000</v>
      </c>
      <c r="M2069" t="s">
        <v>2661</v>
      </c>
    </row>
    <row r="2070" spans="1:13">
      <c r="A2070" t="s">
        <v>495</v>
      </c>
      <c r="B2070" t="s">
        <v>129</v>
      </c>
      <c r="C2070" s="8">
        <v>46155</v>
      </c>
      <c r="D2070" t="s">
        <v>332</v>
      </c>
      <c r="E2070" t="s">
        <v>328</v>
      </c>
      <c r="F2070" s="12">
        <v>628216</v>
      </c>
      <c r="G2070" s="13">
        <v>62</v>
      </c>
      <c r="H2070" t="s">
        <v>3185</v>
      </c>
      <c r="I2070" s="8">
        <v>46242</v>
      </c>
      <c r="J2070" t="s">
        <v>2665</v>
      </c>
      <c r="K2070" t="s">
        <v>2666</v>
      </c>
      <c r="L2070" s="13">
        <v>2500</v>
      </c>
      <c r="M2070" t="s">
        <v>2661</v>
      </c>
    </row>
    <row r="2071" spans="1:13">
      <c r="A2071" t="s">
        <v>741</v>
      </c>
      <c r="B2071" t="s">
        <v>129</v>
      </c>
      <c r="C2071" s="8">
        <v>46016</v>
      </c>
      <c r="D2071" t="s">
        <v>342</v>
      </c>
      <c r="E2071" t="s">
        <v>337</v>
      </c>
      <c r="F2071" s="12">
        <v>282251</v>
      </c>
      <c r="G2071" s="13">
        <v>28</v>
      </c>
      <c r="H2071" t="s">
        <v>3185</v>
      </c>
      <c r="I2071" s="8">
        <v>46242</v>
      </c>
      <c r="J2071" t="s">
        <v>2665</v>
      </c>
      <c r="K2071" t="s">
        <v>2666</v>
      </c>
      <c r="L2071" s="13">
        <v>2500</v>
      </c>
      <c r="M2071" t="s">
        <v>2661</v>
      </c>
    </row>
    <row r="2072" spans="1:13">
      <c r="A2072" t="s">
        <v>818</v>
      </c>
      <c r="B2072" t="s">
        <v>129</v>
      </c>
      <c r="C2072" s="8">
        <v>46110</v>
      </c>
      <c r="D2072" t="s">
        <v>332</v>
      </c>
      <c r="E2072" t="s">
        <v>322</v>
      </c>
      <c r="F2072" s="12">
        <v>224882</v>
      </c>
      <c r="G2072" s="13">
        <v>22</v>
      </c>
      <c r="H2072" t="s">
        <v>3185</v>
      </c>
      <c r="I2072" s="8">
        <v>46242</v>
      </c>
      <c r="J2072" t="s">
        <v>2665</v>
      </c>
      <c r="K2072" t="s">
        <v>2666</v>
      </c>
      <c r="L2072" s="13">
        <v>2500</v>
      </c>
      <c r="M2072" t="s">
        <v>2661</v>
      </c>
    </row>
    <row r="2073" spans="1:13">
      <c r="A2073" t="s">
        <v>955</v>
      </c>
      <c r="B2073" t="s">
        <v>129</v>
      </c>
      <c r="C2073" s="8">
        <v>46062</v>
      </c>
      <c r="D2073" t="s">
        <v>342</v>
      </c>
      <c r="E2073" t="s">
        <v>337</v>
      </c>
      <c r="F2073" s="12">
        <v>82773</v>
      </c>
      <c r="G2073" s="13">
        <v>8</v>
      </c>
      <c r="H2073" t="s">
        <v>3185</v>
      </c>
      <c r="I2073" s="8">
        <v>46242</v>
      </c>
      <c r="J2073" t="s">
        <v>2665</v>
      </c>
      <c r="K2073" t="s">
        <v>2666</v>
      </c>
      <c r="L2073" s="13">
        <v>2500</v>
      </c>
      <c r="M2073" t="s">
        <v>2661</v>
      </c>
    </row>
    <row r="2074" spans="1:13">
      <c r="A2074" t="s">
        <v>959</v>
      </c>
      <c r="B2074" t="s">
        <v>129</v>
      </c>
      <c r="C2074" s="8">
        <v>46274</v>
      </c>
      <c r="D2074" t="s">
        <v>327</v>
      </c>
      <c r="E2074" t="s">
        <v>325</v>
      </c>
      <c r="F2074" s="12">
        <v>99126</v>
      </c>
      <c r="G2074" s="13">
        <v>9</v>
      </c>
      <c r="H2074" t="s">
        <v>3185</v>
      </c>
      <c r="I2074" s="8">
        <v>46242</v>
      </c>
      <c r="J2074" t="s">
        <v>2665</v>
      </c>
      <c r="K2074" t="s">
        <v>2666</v>
      </c>
      <c r="L2074" s="13">
        <v>2500</v>
      </c>
      <c r="M2074" t="s">
        <v>2661</v>
      </c>
    </row>
    <row r="2075" spans="1:13">
      <c r="A2075" t="s">
        <v>1086</v>
      </c>
      <c r="B2075" t="s">
        <v>129</v>
      </c>
      <c r="C2075" s="8">
        <v>45931</v>
      </c>
      <c r="D2075" t="s">
        <v>344</v>
      </c>
      <c r="E2075" t="s">
        <v>325</v>
      </c>
      <c r="F2075" s="12">
        <v>473577</v>
      </c>
      <c r="G2075" s="13">
        <v>47</v>
      </c>
      <c r="H2075" t="s">
        <v>3185</v>
      </c>
      <c r="I2075" s="8">
        <v>46242</v>
      </c>
      <c r="J2075" t="s">
        <v>2665</v>
      </c>
      <c r="K2075" t="s">
        <v>2666</v>
      </c>
      <c r="L2075" s="13">
        <v>2500</v>
      </c>
      <c r="M2075" t="s">
        <v>2661</v>
      </c>
    </row>
    <row r="2076" spans="1:13">
      <c r="A2076" t="s">
        <v>499</v>
      </c>
      <c r="B2076" t="s">
        <v>160</v>
      </c>
      <c r="C2076" s="8">
        <v>46127</v>
      </c>
      <c r="D2076" t="s">
        <v>332</v>
      </c>
      <c r="E2076" t="s">
        <v>339</v>
      </c>
      <c r="F2076" s="12">
        <v>170421</v>
      </c>
      <c r="G2076" s="13">
        <v>17</v>
      </c>
      <c r="H2076" t="s">
        <v>2995</v>
      </c>
      <c r="I2076" s="8">
        <v>46074</v>
      </c>
      <c r="J2076" t="s">
        <v>2685</v>
      </c>
      <c r="K2076" t="s">
        <v>2686</v>
      </c>
      <c r="L2076" s="13">
        <v>5000</v>
      </c>
      <c r="M2076" t="s">
        <v>2676</v>
      </c>
    </row>
    <row r="2077" spans="1:13">
      <c r="A2077" t="s">
        <v>499</v>
      </c>
      <c r="B2077" t="s">
        <v>160</v>
      </c>
      <c r="C2077" s="8">
        <v>46127</v>
      </c>
      <c r="D2077" t="s">
        <v>332</v>
      </c>
      <c r="E2077" t="s">
        <v>339</v>
      </c>
      <c r="F2077" s="12">
        <v>170421</v>
      </c>
      <c r="G2077" s="13">
        <v>17</v>
      </c>
      <c r="H2077" t="s">
        <v>3105</v>
      </c>
      <c r="I2077" s="8">
        <v>46023</v>
      </c>
      <c r="J2077" t="s">
        <v>2671</v>
      </c>
      <c r="K2077" t="s">
        <v>2672</v>
      </c>
      <c r="L2077" s="13">
        <v>3000</v>
      </c>
      <c r="M2077" t="s">
        <v>2661</v>
      </c>
    </row>
    <row r="2078" spans="1:13">
      <c r="A2078" t="s">
        <v>499</v>
      </c>
      <c r="B2078" t="s">
        <v>160</v>
      </c>
      <c r="C2078" s="8">
        <v>46127</v>
      </c>
      <c r="D2078" t="s">
        <v>332</v>
      </c>
      <c r="E2078" t="s">
        <v>339</v>
      </c>
      <c r="F2078" s="12">
        <v>170421</v>
      </c>
      <c r="G2078" s="13">
        <v>17</v>
      </c>
      <c r="H2078" t="s">
        <v>3246</v>
      </c>
      <c r="I2078" s="8">
        <v>46099</v>
      </c>
      <c r="J2078" t="s">
        <v>2663</v>
      </c>
      <c r="K2078" t="s">
        <v>3630</v>
      </c>
      <c r="L2078" s="13">
        <v>1500</v>
      </c>
      <c r="M2078" t="s">
        <v>2661</v>
      </c>
    </row>
    <row r="2079" spans="1:13">
      <c r="A2079" t="s">
        <v>542</v>
      </c>
      <c r="B2079" t="s">
        <v>74</v>
      </c>
      <c r="C2079" s="8">
        <v>46163</v>
      </c>
      <c r="D2079" t="s">
        <v>321</v>
      </c>
      <c r="E2079" t="s">
        <v>328</v>
      </c>
      <c r="F2079" s="12">
        <v>86085</v>
      </c>
      <c r="G2079" s="13">
        <v>8</v>
      </c>
      <c r="H2079" t="s">
        <v>2844</v>
      </c>
      <c r="I2079" s="8">
        <v>45954</v>
      </c>
      <c r="J2079" t="s">
        <v>2671</v>
      </c>
      <c r="K2079" t="s">
        <v>2672</v>
      </c>
      <c r="L2079" s="13">
        <v>3000</v>
      </c>
      <c r="M2079" t="s">
        <v>2676</v>
      </c>
    </row>
    <row r="2080" spans="1:13">
      <c r="A2080" t="s">
        <v>542</v>
      </c>
      <c r="B2080" t="s">
        <v>74</v>
      </c>
      <c r="C2080" s="8">
        <v>46163</v>
      </c>
      <c r="D2080" t="s">
        <v>321</v>
      </c>
      <c r="E2080" t="s">
        <v>328</v>
      </c>
      <c r="F2080" s="12">
        <v>86085</v>
      </c>
      <c r="G2080" s="13">
        <v>8</v>
      </c>
      <c r="H2080" t="s">
        <v>2889</v>
      </c>
      <c r="I2080" s="8">
        <v>46009</v>
      </c>
      <c r="J2080" t="s">
        <v>2685</v>
      </c>
      <c r="K2080" t="s">
        <v>2686</v>
      </c>
      <c r="L2080" s="13">
        <v>5000</v>
      </c>
      <c r="M2080" t="s">
        <v>2661</v>
      </c>
    </row>
    <row r="2081" spans="1:13">
      <c r="A2081" t="s">
        <v>542</v>
      </c>
      <c r="B2081" t="s">
        <v>74</v>
      </c>
      <c r="C2081" s="8">
        <v>46163</v>
      </c>
      <c r="D2081" t="s">
        <v>321</v>
      </c>
      <c r="E2081" t="s">
        <v>328</v>
      </c>
      <c r="F2081" s="12">
        <v>86085</v>
      </c>
      <c r="G2081" s="13">
        <v>8</v>
      </c>
      <c r="H2081" t="s">
        <v>2928</v>
      </c>
      <c r="I2081" s="8">
        <v>46272</v>
      </c>
      <c r="J2081" t="s">
        <v>2692</v>
      </c>
      <c r="K2081" t="s">
        <v>2693</v>
      </c>
      <c r="L2081" s="13">
        <v>10000</v>
      </c>
      <c r="M2081" t="s">
        <v>2661</v>
      </c>
    </row>
    <row r="2082" spans="1:13">
      <c r="A2082" t="s">
        <v>542</v>
      </c>
      <c r="B2082" t="s">
        <v>74</v>
      </c>
      <c r="C2082" s="8">
        <v>46163</v>
      </c>
      <c r="D2082" t="s">
        <v>321</v>
      </c>
      <c r="E2082" t="s">
        <v>328</v>
      </c>
      <c r="F2082" s="12">
        <v>86085</v>
      </c>
      <c r="G2082" s="13">
        <v>8</v>
      </c>
      <c r="H2082" t="s">
        <v>3168</v>
      </c>
      <c r="I2082" s="8">
        <v>46219</v>
      </c>
      <c r="J2082" t="s">
        <v>2685</v>
      </c>
      <c r="K2082" t="s">
        <v>2686</v>
      </c>
      <c r="L2082" s="13">
        <v>5000</v>
      </c>
      <c r="M2082" t="s">
        <v>2661</v>
      </c>
    </row>
    <row r="2083" spans="1:13">
      <c r="A2083" t="s">
        <v>725</v>
      </c>
      <c r="B2083" t="s">
        <v>74</v>
      </c>
      <c r="C2083" s="8">
        <v>46014</v>
      </c>
      <c r="D2083" t="s">
        <v>321</v>
      </c>
      <c r="E2083" t="s">
        <v>337</v>
      </c>
      <c r="F2083" s="12">
        <v>205124</v>
      </c>
      <c r="G2083" s="13">
        <v>20</v>
      </c>
      <c r="H2083" t="s">
        <v>2844</v>
      </c>
      <c r="I2083" s="8">
        <v>45954</v>
      </c>
      <c r="J2083" t="s">
        <v>2671</v>
      </c>
      <c r="K2083" t="s">
        <v>2672</v>
      </c>
      <c r="L2083" s="13">
        <v>3000</v>
      </c>
      <c r="M2083" t="s">
        <v>2676</v>
      </c>
    </row>
    <row r="2084" spans="1:13">
      <c r="A2084" t="s">
        <v>725</v>
      </c>
      <c r="B2084" t="s">
        <v>74</v>
      </c>
      <c r="C2084" s="8">
        <v>46014</v>
      </c>
      <c r="D2084" t="s">
        <v>321</v>
      </c>
      <c r="E2084" t="s">
        <v>337</v>
      </c>
      <c r="F2084" s="12">
        <v>205124</v>
      </c>
      <c r="G2084" s="13">
        <v>20</v>
      </c>
      <c r="H2084" t="s">
        <v>2889</v>
      </c>
      <c r="I2084" s="8">
        <v>46009</v>
      </c>
      <c r="J2084" t="s">
        <v>2685</v>
      </c>
      <c r="K2084" t="s">
        <v>2686</v>
      </c>
      <c r="L2084" s="13">
        <v>5000</v>
      </c>
      <c r="M2084" t="s">
        <v>2661</v>
      </c>
    </row>
    <row r="2085" spans="1:13">
      <c r="A2085" t="s">
        <v>725</v>
      </c>
      <c r="B2085" t="s">
        <v>74</v>
      </c>
      <c r="C2085" s="8">
        <v>46014</v>
      </c>
      <c r="D2085" t="s">
        <v>321</v>
      </c>
      <c r="E2085" t="s">
        <v>337</v>
      </c>
      <c r="F2085" s="12">
        <v>205124</v>
      </c>
      <c r="G2085" s="13">
        <v>20</v>
      </c>
      <c r="H2085" t="s">
        <v>2928</v>
      </c>
      <c r="I2085" s="8">
        <v>46272</v>
      </c>
      <c r="J2085" t="s">
        <v>2692</v>
      </c>
      <c r="K2085" t="s">
        <v>2693</v>
      </c>
      <c r="L2085" s="13">
        <v>10000</v>
      </c>
      <c r="M2085" t="s">
        <v>2661</v>
      </c>
    </row>
    <row r="2086" spans="1:13">
      <c r="A2086" t="s">
        <v>725</v>
      </c>
      <c r="B2086" t="s">
        <v>74</v>
      </c>
      <c r="C2086" s="8">
        <v>46014</v>
      </c>
      <c r="D2086" t="s">
        <v>321</v>
      </c>
      <c r="E2086" t="s">
        <v>337</v>
      </c>
      <c r="F2086" s="12">
        <v>205124</v>
      </c>
      <c r="G2086" s="13">
        <v>20</v>
      </c>
      <c r="H2086" t="s">
        <v>3168</v>
      </c>
      <c r="I2086" s="8">
        <v>46219</v>
      </c>
      <c r="J2086" t="s">
        <v>2685</v>
      </c>
      <c r="K2086" t="s">
        <v>2686</v>
      </c>
      <c r="L2086" s="13">
        <v>5000</v>
      </c>
      <c r="M2086" t="s">
        <v>2661</v>
      </c>
    </row>
    <row r="2087" spans="1:13">
      <c r="A2087" t="s">
        <v>526</v>
      </c>
      <c r="B2087" t="s">
        <v>104</v>
      </c>
      <c r="C2087" s="8">
        <v>46182</v>
      </c>
      <c r="D2087" t="s">
        <v>332</v>
      </c>
      <c r="E2087" t="s">
        <v>337</v>
      </c>
      <c r="F2087" s="12">
        <v>219013</v>
      </c>
      <c r="G2087" s="13">
        <v>21</v>
      </c>
      <c r="H2087" t="s">
        <v>2847</v>
      </c>
      <c r="I2087" s="8">
        <v>45979</v>
      </c>
      <c r="J2087" t="s">
        <v>2671</v>
      </c>
      <c r="K2087" t="s">
        <v>2672</v>
      </c>
      <c r="L2087" s="13">
        <v>3000</v>
      </c>
      <c r="M2087" t="s">
        <v>2661</v>
      </c>
    </row>
    <row r="2088" spans="1:13">
      <c r="A2088" t="s">
        <v>526</v>
      </c>
      <c r="B2088" t="s">
        <v>104</v>
      </c>
      <c r="C2088" s="8">
        <v>46182</v>
      </c>
      <c r="D2088" t="s">
        <v>332</v>
      </c>
      <c r="E2088" t="s">
        <v>337</v>
      </c>
      <c r="F2088" s="12">
        <v>219013</v>
      </c>
      <c r="G2088" s="13">
        <v>21</v>
      </c>
      <c r="H2088" t="s">
        <v>2870</v>
      </c>
      <c r="I2088" s="8">
        <v>46166</v>
      </c>
      <c r="J2088" t="s">
        <v>2659</v>
      </c>
      <c r="K2088" t="s">
        <v>2660</v>
      </c>
      <c r="L2088" s="13">
        <v>3500</v>
      </c>
      <c r="M2088" t="s">
        <v>2661</v>
      </c>
    </row>
    <row r="2089" spans="1:13">
      <c r="A2089" t="s">
        <v>526</v>
      </c>
      <c r="B2089" t="s">
        <v>104</v>
      </c>
      <c r="C2089" s="8">
        <v>46182</v>
      </c>
      <c r="D2089" t="s">
        <v>332</v>
      </c>
      <c r="E2089" t="s">
        <v>337</v>
      </c>
      <c r="F2089" s="12">
        <v>219013</v>
      </c>
      <c r="G2089" s="13">
        <v>21</v>
      </c>
      <c r="H2089" t="s">
        <v>3310</v>
      </c>
      <c r="I2089" s="8">
        <v>45966</v>
      </c>
      <c r="J2089" t="s">
        <v>2671</v>
      </c>
      <c r="K2089" t="s">
        <v>2672</v>
      </c>
      <c r="L2089" s="13">
        <v>3000</v>
      </c>
      <c r="M2089" t="s">
        <v>2661</v>
      </c>
    </row>
    <row r="2090" spans="1:13">
      <c r="A2090" t="s">
        <v>526</v>
      </c>
      <c r="B2090" t="s">
        <v>104</v>
      </c>
      <c r="C2090" s="8">
        <v>46182</v>
      </c>
      <c r="D2090" t="s">
        <v>332</v>
      </c>
      <c r="E2090" t="s">
        <v>337</v>
      </c>
      <c r="F2090" s="12">
        <v>219013</v>
      </c>
      <c r="G2090" s="13">
        <v>21</v>
      </c>
      <c r="H2090" t="s">
        <v>3443</v>
      </c>
      <c r="I2090" s="8">
        <v>46284</v>
      </c>
      <c r="J2090" t="s">
        <v>2659</v>
      </c>
      <c r="K2090" t="s">
        <v>2660</v>
      </c>
      <c r="L2090" s="13">
        <v>3500</v>
      </c>
      <c r="M2090" t="s">
        <v>2676</v>
      </c>
    </row>
    <row r="2091" spans="1:13">
      <c r="A2091" t="s">
        <v>532</v>
      </c>
      <c r="B2091" t="s">
        <v>104</v>
      </c>
      <c r="C2091" s="8">
        <v>46080</v>
      </c>
      <c r="D2091" t="s">
        <v>344</v>
      </c>
      <c r="E2091" t="s">
        <v>334</v>
      </c>
      <c r="F2091" s="12">
        <v>421018</v>
      </c>
      <c r="G2091" s="13">
        <v>42</v>
      </c>
      <c r="H2091" t="s">
        <v>2847</v>
      </c>
      <c r="I2091" s="8">
        <v>45979</v>
      </c>
      <c r="J2091" t="s">
        <v>2671</v>
      </c>
      <c r="K2091" t="s">
        <v>2672</v>
      </c>
      <c r="L2091" s="13">
        <v>3000</v>
      </c>
      <c r="M2091" t="s">
        <v>2661</v>
      </c>
    </row>
    <row r="2092" spans="1:13">
      <c r="A2092" t="s">
        <v>532</v>
      </c>
      <c r="B2092" t="s">
        <v>104</v>
      </c>
      <c r="C2092" s="8">
        <v>46080</v>
      </c>
      <c r="D2092" t="s">
        <v>344</v>
      </c>
      <c r="E2092" t="s">
        <v>334</v>
      </c>
      <c r="F2092" s="12">
        <v>421018</v>
      </c>
      <c r="G2092" s="13">
        <v>42</v>
      </c>
      <c r="H2092" t="s">
        <v>2870</v>
      </c>
      <c r="I2092" s="8">
        <v>46166</v>
      </c>
      <c r="J2092" t="s">
        <v>2659</v>
      </c>
      <c r="K2092" t="s">
        <v>2660</v>
      </c>
      <c r="L2092" s="13">
        <v>3500</v>
      </c>
      <c r="M2092" t="s">
        <v>2661</v>
      </c>
    </row>
    <row r="2093" spans="1:13">
      <c r="A2093" t="s">
        <v>532</v>
      </c>
      <c r="B2093" t="s">
        <v>104</v>
      </c>
      <c r="C2093" s="8">
        <v>46080</v>
      </c>
      <c r="D2093" t="s">
        <v>344</v>
      </c>
      <c r="E2093" t="s">
        <v>334</v>
      </c>
      <c r="F2093" s="12">
        <v>421018</v>
      </c>
      <c r="G2093" s="13">
        <v>42</v>
      </c>
      <c r="H2093" t="s">
        <v>3310</v>
      </c>
      <c r="I2093" s="8">
        <v>45966</v>
      </c>
      <c r="J2093" t="s">
        <v>2671</v>
      </c>
      <c r="K2093" t="s">
        <v>2672</v>
      </c>
      <c r="L2093" s="13">
        <v>3000</v>
      </c>
      <c r="M2093" t="s">
        <v>2661</v>
      </c>
    </row>
    <row r="2094" spans="1:13">
      <c r="A2094" t="s">
        <v>532</v>
      </c>
      <c r="B2094" t="s">
        <v>104</v>
      </c>
      <c r="C2094" s="8">
        <v>46080</v>
      </c>
      <c r="D2094" t="s">
        <v>344</v>
      </c>
      <c r="E2094" t="s">
        <v>334</v>
      </c>
      <c r="F2094" s="12">
        <v>421018</v>
      </c>
      <c r="G2094" s="13">
        <v>42</v>
      </c>
      <c r="H2094" t="s">
        <v>3443</v>
      </c>
      <c r="I2094" s="8">
        <v>46284</v>
      </c>
      <c r="J2094" t="s">
        <v>2659</v>
      </c>
      <c r="K2094" t="s">
        <v>2660</v>
      </c>
      <c r="L2094" s="13">
        <v>3500</v>
      </c>
      <c r="M2094" t="s">
        <v>2676</v>
      </c>
    </row>
    <row r="2095" spans="1:13">
      <c r="A2095" t="s">
        <v>718</v>
      </c>
      <c r="B2095" t="s">
        <v>104</v>
      </c>
      <c r="C2095" s="8">
        <v>46158</v>
      </c>
      <c r="D2095" t="s">
        <v>321</v>
      </c>
      <c r="E2095" t="s">
        <v>328</v>
      </c>
      <c r="F2095" s="12">
        <v>308811</v>
      </c>
      <c r="G2095" s="13">
        <v>30</v>
      </c>
      <c r="H2095" t="s">
        <v>2847</v>
      </c>
      <c r="I2095" s="8">
        <v>45979</v>
      </c>
      <c r="J2095" t="s">
        <v>2671</v>
      </c>
      <c r="K2095" t="s">
        <v>2672</v>
      </c>
      <c r="L2095" s="13">
        <v>3000</v>
      </c>
      <c r="M2095" t="s">
        <v>2661</v>
      </c>
    </row>
    <row r="2096" spans="1:13">
      <c r="A2096" t="s">
        <v>718</v>
      </c>
      <c r="B2096" t="s">
        <v>104</v>
      </c>
      <c r="C2096" s="8">
        <v>46158</v>
      </c>
      <c r="D2096" t="s">
        <v>321</v>
      </c>
      <c r="E2096" t="s">
        <v>328</v>
      </c>
      <c r="F2096" s="12">
        <v>308811</v>
      </c>
      <c r="G2096" s="13">
        <v>30</v>
      </c>
      <c r="H2096" t="s">
        <v>2870</v>
      </c>
      <c r="I2096" s="8">
        <v>46166</v>
      </c>
      <c r="J2096" t="s">
        <v>2659</v>
      </c>
      <c r="K2096" t="s">
        <v>2660</v>
      </c>
      <c r="L2096" s="13">
        <v>3500</v>
      </c>
      <c r="M2096" t="s">
        <v>2661</v>
      </c>
    </row>
    <row r="2097" spans="1:13">
      <c r="A2097" t="s">
        <v>718</v>
      </c>
      <c r="B2097" t="s">
        <v>104</v>
      </c>
      <c r="C2097" s="8">
        <v>46158</v>
      </c>
      <c r="D2097" t="s">
        <v>321</v>
      </c>
      <c r="E2097" t="s">
        <v>328</v>
      </c>
      <c r="F2097" s="12">
        <v>308811</v>
      </c>
      <c r="G2097" s="13">
        <v>30</v>
      </c>
      <c r="H2097" t="s">
        <v>3310</v>
      </c>
      <c r="I2097" s="8">
        <v>45966</v>
      </c>
      <c r="J2097" t="s">
        <v>2671</v>
      </c>
      <c r="K2097" t="s">
        <v>2672</v>
      </c>
      <c r="L2097" s="13">
        <v>3000</v>
      </c>
      <c r="M2097" t="s">
        <v>2661</v>
      </c>
    </row>
    <row r="2098" spans="1:13">
      <c r="A2098" t="s">
        <v>718</v>
      </c>
      <c r="B2098" t="s">
        <v>104</v>
      </c>
      <c r="C2098" s="8">
        <v>46158</v>
      </c>
      <c r="D2098" t="s">
        <v>321</v>
      </c>
      <c r="E2098" t="s">
        <v>328</v>
      </c>
      <c r="F2098" s="12">
        <v>308811</v>
      </c>
      <c r="G2098" s="13">
        <v>30</v>
      </c>
      <c r="H2098" t="s">
        <v>3443</v>
      </c>
      <c r="I2098" s="8">
        <v>46284</v>
      </c>
      <c r="J2098" t="s">
        <v>2659</v>
      </c>
      <c r="K2098" t="s">
        <v>2660</v>
      </c>
      <c r="L2098" s="13">
        <v>3500</v>
      </c>
      <c r="M2098" t="s">
        <v>2676</v>
      </c>
    </row>
    <row r="2099" spans="1:13">
      <c r="A2099" t="s">
        <v>1197</v>
      </c>
      <c r="B2099" t="s">
        <v>104</v>
      </c>
      <c r="C2099" s="8">
        <v>46046</v>
      </c>
      <c r="D2099" t="s">
        <v>324</v>
      </c>
      <c r="E2099" t="s">
        <v>328</v>
      </c>
      <c r="F2099" s="12">
        <v>286718</v>
      </c>
      <c r="G2099" s="13">
        <v>28</v>
      </c>
      <c r="H2099" t="s">
        <v>2847</v>
      </c>
      <c r="I2099" s="8">
        <v>45979</v>
      </c>
      <c r="J2099" t="s">
        <v>2671</v>
      </c>
      <c r="K2099" t="s">
        <v>2672</v>
      </c>
      <c r="L2099" s="13">
        <v>3000</v>
      </c>
      <c r="M2099" t="s">
        <v>2661</v>
      </c>
    </row>
    <row r="2100" spans="1:13">
      <c r="A2100" t="s">
        <v>1197</v>
      </c>
      <c r="B2100" t="s">
        <v>104</v>
      </c>
      <c r="C2100" s="8">
        <v>46046</v>
      </c>
      <c r="D2100" t="s">
        <v>324</v>
      </c>
      <c r="E2100" t="s">
        <v>328</v>
      </c>
      <c r="F2100" s="12">
        <v>286718</v>
      </c>
      <c r="G2100" s="13">
        <v>28</v>
      </c>
      <c r="H2100" t="s">
        <v>2870</v>
      </c>
      <c r="I2100" s="8">
        <v>46166</v>
      </c>
      <c r="J2100" t="s">
        <v>2659</v>
      </c>
      <c r="K2100" t="s">
        <v>2660</v>
      </c>
      <c r="L2100" s="13">
        <v>3500</v>
      </c>
      <c r="M2100" t="s">
        <v>2661</v>
      </c>
    </row>
    <row r="2101" spans="1:13">
      <c r="A2101" t="s">
        <v>1197</v>
      </c>
      <c r="B2101" t="s">
        <v>104</v>
      </c>
      <c r="C2101" s="8">
        <v>46046</v>
      </c>
      <c r="D2101" t="s">
        <v>324</v>
      </c>
      <c r="E2101" t="s">
        <v>328</v>
      </c>
      <c r="F2101" s="12">
        <v>286718</v>
      </c>
      <c r="G2101" s="13">
        <v>28</v>
      </c>
      <c r="H2101" t="s">
        <v>3310</v>
      </c>
      <c r="I2101" s="8">
        <v>45966</v>
      </c>
      <c r="J2101" t="s">
        <v>2671</v>
      </c>
      <c r="K2101" t="s">
        <v>2672</v>
      </c>
      <c r="L2101" s="13">
        <v>3000</v>
      </c>
      <c r="M2101" t="s">
        <v>2661</v>
      </c>
    </row>
    <row r="2102" spans="1:13">
      <c r="A2102" t="s">
        <v>1197</v>
      </c>
      <c r="B2102" t="s">
        <v>104</v>
      </c>
      <c r="C2102" s="8">
        <v>46046</v>
      </c>
      <c r="D2102" t="s">
        <v>324</v>
      </c>
      <c r="E2102" t="s">
        <v>328</v>
      </c>
      <c r="F2102" s="12">
        <v>286718</v>
      </c>
      <c r="G2102" s="13">
        <v>28</v>
      </c>
      <c r="H2102" t="s">
        <v>3443</v>
      </c>
      <c r="I2102" s="8">
        <v>46284</v>
      </c>
      <c r="J2102" t="s">
        <v>2659</v>
      </c>
      <c r="K2102" t="s">
        <v>2660</v>
      </c>
      <c r="L2102" s="13">
        <v>3500</v>
      </c>
      <c r="M2102" t="s">
        <v>2676</v>
      </c>
    </row>
    <row r="2103" spans="1:13">
      <c r="A2103" t="s">
        <v>524</v>
      </c>
      <c r="B2103" t="s">
        <v>109</v>
      </c>
      <c r="C2103" s="8">
        <v>45935</v>
      </c>
      <c r="D2103" t="s">
        <v>327</v>
      </c>
      <c r="E2103" t="s">
        <v>322</v>
      </c>
      <c r="F2103" s="12">
        <v>363230</v>
      </c>
      <c r="G2103" s="13">
        <v>36</v>
      </c>
      <c r="H2103" t="s">
        <v>2848</v>
      </c>
      <c r="I2103" s="8">
        <v>46269</v>
      </c>
      <c r="J2103" t="s">
        <v>2659</v>
      </c>
      <c r="K2103" t="s">
        <v>2660</v>
      </c>
      <c r="L2103" s="13">
        <v>3500</v>
      </c>
      <c r="M2103" t="s">
        <v>2676</v>
      </c>
    </row>
    <row r="2104" spans="1:13">
      <c r="A2104" t="s">
        <v>524</v>
      </c>
      <c r="B2104" t="s">
        <v>109</v>
      </c>
      <c r="C2104" s="8">
        <v>45935</v>
      </c>
      <c r="D2104" t="s">
        <v>327</v>
      </c>
      <c r="E2104" t="s">
        <v>322</v>
      </c>
      <c r="F2104" s="12">
        <v>363230</v>
      </c>
      <c r="G2104" s="13">
        <v>36</v>
      </c>
      <c r="H2104" t="s">
        <v>3196</v>
      </c>
      <c r="I2104" s="8">
        <v>46238</v>
      </c>
      <c r="J2104" t="s">
        <v>2674</v>
      </c>
      <c r="K2104" t="s">
        <v>2675</v>
      </c>
      <c r="L2104" s="13">
        <v>20000</v>
      </c>
      <c r="M2104" t="s">
        <v>2661</v>
      </c>
    </row>
    <row r="2105" spans="1:13">
      <c r="A2105" t="s">
        <v>785</v>
      </c>
      <c r="B2105" t="s">
        <v>109</v>
      </c>
      <c r="C2105" s="8">
        <v>46279</v>
      </c>
      <c r="D2105" t="s">
        <v>321</v>
      </c>
      <c r="E2105" t="s">
        <v>322</v>
      </c>
      <c r="F2105" s="12">
        <v>50889</v>
      </c>
      <c r="G2105" s="13">
        <v>5</v>
      </c>
      <c r="H2105" t="s">
        <v>2848</v>
      </c>
      <c r="I2105" s="8">
        <v>46269</v>
      </c>
      <c r="J2105" t="s">
        <v>2659</v>
      </c>
      <c r="K2105" t="s">
        <v>2660</v>
      </c>
      <c r="L2105" s="13">
        <v>3500</v>
      </c>
      <c r="M2105" t="s">
        <v>2676</v>
      </c>
    </row>
    <row r="2106" spans="1:13">
      <c r="A2106" t="s">
        <v>785</v>
      </c>
      <c r="B2106" t="s">
        <v>109</v>
      </c>
      <c r="C2106" s="8">
        <v>46279</v>
      </c>
      <c r="D2106" t="s">
        <v>321</v>
      </c>
      <c r="E2106" t="s">
        <v>322</v>
      </c>
      <c r="F2106" s="12">
        <v>50889</v>
      </c>
      <c r="G2106" s="13">
        <v>5</v>
      </c>
      <c r="H2106" t="s">
        <v>3196</v>
      </c>
      <c r="I2106" s="8">
        <v>46238</v>
      </c>
      <c r="J2106" t="s">
        <v>2674</v>
      </c>
      <c r="K2106" t="s">
        <v>2675</v>
      </c>
      <c r="L2106" s="13">
        <v>20000</v>
      </c>
      <c r="M2106" t="s">
        <v>2661</v>
      </c>
    </row>
    <row r="2107" spans="1:13">
      <c r="A2107" t="s">
        <v>806</v>
      </c>
      <c r="B2107" t="s">
        <v>109</v>
      </c>
      <c r="C2107" s="8">
        <v>45998</v>
      </c>
      <c r="D2107" t="s">
        <v>330</v>
      </c>
      <c r="E2107" t="s">
        <v>339</v>
      </c>
      <c r="F2107" s="12">
        <v>170176</v>
      </c>
      <c r="G2107" s="13">
        <v>17</v>
      </c>
      <c r="H2107" t="s">
        <v>2848</v>
      </c>
      <c r="I2107" s="8">
        <v>46269</v>
      </c>
      <c r="J2107" t="s">
        <v>2659</v>
      </c>
      <c r="K2107" t="s">
        <v>2660</v>
      </c>
      <c r="L2107" s="13">
        <v>3500</v>
      </c>
      <c r="M2107" t="s">
        <v>2676</v>
      </c>
    </row>
    <row r="2108" spans="1:13">
      <c r="A2108" t="s">
        <v>806</v>
      </c>
      <c r="B2108" t="s">
        <v>109</v>
      </c>
      <c r="C2108" s="8">
        <v>45998</v>
      </c>
      <c r="D2108" t="s">
        <v>330</v>
      </c>
      <c r="E2108" t="s">
        <v>339</v>
      </c>
      <c r="F2108" s="12">
        <v>170176</v>
      </c>
      <c r="G2108" s="13">
        <v>17</v>
      </c>
      <c r="H2108" t="s">
        <v>3196</v>
      </c>
      <c r="I2108" s="8">
        <v>46238</v>
      </c>
      <c r="J2108" t="s">
        <v>2674</v>
      </c>
      <c r="K2108" t="s">
        <v>2675</v>
      </c>
      <c r="L2108" s="13">
        <v>20000</v>
      </c>
      <c r="M2108" t="s">
        <v>2661</v>
      </c>
    </row>
    <row r="2109" spans="1:13">
      <c r="A2109" t="s">
        <v>936</v>
      </c>
      <c r="B2109" t="s">
        <v>109</v>
      </c>
      <c r="C2109" s="8">
        <v>46091</v>
      </c>
      <c r="D2109" t="s">
        <v>327</v>
      </c>
      <c r="E2109" t="s">
        <v>334</v>
      </c>
      <c r="F2109" s="12">
        <v>150575</v>
      </c>
      <c r="G2109" s="13">
        <v>15</v>
      </c>
      <c r="H2109" t="s">
        <v>2848</v>
      </c>
      <c r="I2109" s="8">
        <v>46269</v>
      </c>
      <c r="J2109" t="s">
        <v>2659</v>
      </c>
      <c r="K2109" t="s">
        <v>2660</v>
      </c>
      <c r="L2109" s="13">
        <v>3500</v>
      </c>
      <c r="M2109" t="s">
        <v>2676</v>
      </c>
    </row>
    <row r="2110" spans="1:13">
      <c r="A2110" t="s">
        <v>936</v>
      </c>
      <c r="B2110" t="s">
        <v>109</v>
      </c>
      <c r="C2110" s="8">
        <v>46091</v>
      </c>
      <c r="D2110" t="s">
        <v>327</v>
      </c>
      <c r="E2110" t="s">
        <v>334</v>
      </c>
      <c r="F2110" s="12">
        <v>150575</v>
      </c>
      <c r="G2110" s="13">
        <v>15</v>
      </c>
      <c r="H2110" t="s">
        <v>3196</v>
      </c>
      <c r="I2110" s="8">
        <v>46238</v>
      </c>
      <c r="J2110" t="s">
        <v>2674</v>
      </c>
      <c r="K2110" t="s">
        <v>2675</v>
      </c>
      <c r="L2110" s="13">
        <v>20000</v>
      </c>
      <c r="M2110" t="s">
        <v>2661</v>
      </c>
    </row>
    <row r="2111" spans="1:13">
      <c r="A2111" t="s">
        <v>1210</v>
      </c>
      <c r="B2111" t="s">
        <v>109</v>
      </c>
      <c r="C2111" s="8">
        <v>45976</v>
      </c>
      <c r="D2111" t="s">
        <v>342</v>
      </c>
      <c r="E2111" t="s">
        <v>322</v>
      </c>
      <c r="F2111" s="12">
        <v>774192</v>
      </c>
      <c r="G2111" s="13">
        <v>77</v>
      </c>
      <c r="H2111" t="s">
        <v>2848</v>
      </c>
      <c r="I2111" s="8">
        <v>46269</v>
      </c>
      <c r="J2111" t="s">
        <v>2659</v>
      </c>
      <c r="K2111" t="s">
        <v>2660</v>
      </c>
      <c r="L2111" s="13">
        <v>3500</v>
      </c>
      <c r="M2111" t="s">
        <v>2676</v>
      </c>
    </row>
    <row r="2112" spans="1:13">
      <c r="A2112" t="s">
        <v>1210</v>
      </c>
      <c r="B2112" t="s">
        <v>109</v>
      </c>
      <c r="C2112" s="8">
        <v>45976</v>
      </c>
      <c r="D2112" t="s">
        <v>342</v>
      </c>
      <c r="E2112" t="s">
        <v>322</v>
      </c>
      <c r="F2112" s="12">
        <v>774192</v>
      </c>
      <c r="G2112" s="13">
        <v>77</v>
      </c>
      <c r="H2112" t="s">
        <v>3196</v>
      </c>
      <c r="I2112" s="8">
        <v>46238</v>
      </c>
      <c r="J2112" t="s">
        <v>2674</v>
      </c>
      <c r="K2112" t="s">
        <v>2675</v>
      </c>
      <c r="L2112" s="13">
        <v>20000</v>
      </c>
      <c r="M2112" t="s">
        <v>2661</v>
      </c>
    </row>
    <row r="2113" spans="1:13">
      <c r="A2113" t="s">
        <v>504</v>
      </c>
      <c r="B2113" t="s">
        <v>68</v>
      </c>
      <c r="C2113" s="8">
        <v>46284</v>
      </c>
      <c r="D2113" t="s">
        <v>330</v>
      </c>
      <c r="E2113" t="s">
        <v>325</v>
      </c>
      <c r="F2113" s="12">
        <v>137453</v>
      </c>
      <c r="G2113" s="13">
        <v>13</v>
      </c>
      <c r="H2113" t="s">
        <v>2869</v>
      </c>
      <c r="I2113" s="8">
        <v>46266</v>
      </c>
      <c r="J2113" t="s">
        <v>2671</v>
      </c>
      <c r="K2113" t="s">
        <v>2672</v>
      </c>
      <c r="L2113" s="13">
        <v>3000</v>
      </c>
      <c r="M2113" t="s">
        <v>2661</v>
      </c>
    </row>
    <row r="2114" spans="1:13">
      <c r="A2114" t="s">
        <v>504</v>
      </c>
      <c r="B2114" t="s">
        <v>68</v>
      </c>
      <c r="C2114" s="8">
        <v>46284</v>
      </c>
      <c r="D2114" t="s">
        <v>330</v>
      </c>
      <c r="E2114" t="s">
        <v>325</v>
      </c>
      <c r="F2114" s="12">
        <v>137453</v>
      </c>
      <c r="G2114" s="13">
        <v>13</v>
      </c>
      <c r="H2114" t="s">
        <v>3248</v>
      </c>
      <c r="I2114" s="8">
        <v>45945</v>
      </c>
      <c r="J2114" t="s">
        <v>2682</v>
      </c>
      <c r="K2114" t="s">
        <v>2683</v>
      </c>
      <c r="L2114" s="13">
        <v>6000</v>
      </c>
      <c r="M2114" t="s">
        <v>2661</v>
      </c>
    </row>
    <row r="2115" spans="1:13">
      <c r="A2115" t="s">
        <v>504</v>
      </c>
      <c r="B2115" t="s">
        <v>68</v>
      </c>
      <c r="C2115" s="8">
        <v>46284</v>
      </c>
      <c r="D2115" t="s">
        <v>330</v>
      </c>
      <c r="E2115" t="s">
        <v>325</v>
      </c>
      <c r="F2115" s="12">
        <v>137453</v>
      </c>
      <c r="G2115" s="13">
        <v>13</v>
      </c>
      <c r="H2115" t="s">
        <v>3506</v>
      </c>
      <c r="I2115" s="8">
        <v>46080</v>
      </c>
      <c r="J2115" t="s">
        <v>2668</v>
      </c>
      <c r="K2115" t="s">
        <v>2669</v>
      </c>
      <c r="L2115" s="13">
        <v>4000</v>
      </c>
      <c r="M2115" t="s">
        <v>2661</v>
      </c>
    </row>
    <row r="2116" spans="1:13">
      <c r="A2116" t="s">
        <v>941</v>
      </c>
      <c r="B2116" t="s">
        <v>68</v>
      </c>
      <c r="C2116" s="8">
        <v>46227</v>
      </c>
      <c r="D2116" t="s">
        <v>330</v>
      </c>
      <c r="E2116" t="s">
        <v>337</v>
      </c>
      <c r="F2116" s="12">
        <v>301469</v>
      </c>
      <c r="G2116" s="13">
        <v>30</v>
      </c>
      <c r="H2116" t="s">
        <v>2869</v>
      </c>
      <c r="I2116" s="8">
        <v>46266</v>
      </c>
      <c r="J2116" t="s">
        <v>2671</v>
      </c>
      <c r="K2116" t="s">
        <v>2672</v>
      </c>
      <c r="L2116" s="13">
        <v>3000</v>
      </c>
      <c r="M2116" t="s">
        <v>2661</v>
      </c>
    </row>
    <row r="2117" spans="1:13">
      <c r="A2117" t="s">
        <v>941</v>
      </c>
      <c r="B2117" t="s">
        <v>68</v>
      </c>
      <c r="C2117" s="8">
        <v>46227</v>
      </c>
      <c r="D2117" t="s">
        <v>330</v>
      </c>
      <c r="E2117" t="s">
        <v>337</v>
      </c>
      <c r="F2117" s="12">
        <v>301469</v>
      </c>
      <c r="G2117" s="13">
        <v>30</v>
      </c>
      <c r="H2117" t="s">
        <v>3248</v>
      </c>
      <c r="I2117" s="8">
        <v>45945</v>
      </c>
      <c r="J2117" t="s">
        <v>2682</v>
      </c>
      <c r="K2117" t="s">
        <v>2683</v>
      </c>
      <c r="L2117" s="13">
        <v>6000</v>
      </c>
      <c r="M2117" t="s">
        <v>2661</v>
      </c>
    </row>
    <row r="2118" spans="1:13">
      <c r="A2118" t="s">
        <v>941</v>
      </c>
      <c r="B2118" t="s">
        <v>68</v>
      </c>
      <c r="C2118" s="8">
        <v>46227</v>
      </c>
      <c r="D2118" t="s">
        <v>330</v>
      </c>
      <c r="E2118" t="s">
        <v>337</v>
      </c>
      <c r="F2118" s="12">
        <v>301469</v>
      </c>
      <c r="G2118" s="13">
        <v>30</v>
      </c>
      <c r="H2118" t="s">
        <v>3506</v>
      </c>
      <c r="I2118" s="8">
        <v>46080</v>
      </c>
      <c r="J2118" t="s">
        <v>2668</v>
      </c>
      <c r="K2118" t="s">
        <v>2669</v>
      </c>
      <c r="L2118" s="13">
        <v>4000</v>
      </c>
      <c r="M2118" t="s">
        <v>2661</v>
      </c>
    </row>
    <row r="2119" spans="1:13">
      <c r="A2119" t="s">
        <v>1009</v>
      </c>
      <c r="B2119" t="s">
        <v>68</v>
      </c>
      <c r="C2119" s="8">
        <v>46224</v>
      </c>
      <c r="D2119" t="s">
        <v>342</v>
      </c>
      <c r="E2119" t="s">
        <v>328</v>
      </c>
      <c r="F2119" s="12">
        <v>173130</v>
      </c>
      <c r="G2119" s="13">
        <v>17</v>
      </c>
      <c r="H2119" t="s">
        <v>2869</v>
      </c>
      <c r="I2119" s="8">
        <v>46266</v>
      </c>
      <c r="J2119" t="s">
        <v>2671</v>
      </c>
      <c r="K2119" t="s">
        <v>2672</v>
      </c>
      <c r="L2119" s="13">
        <v>3000</v>
      </c>
      <c r="M2119" t="s">
        <v>2661</v>
      </c>
    </row>
    <row r="2120" spans="1:13">
      <c r="A2120" t="s">
        <v>1009</v>
      </c>
      <c r="B2120" t="s">
        <v>68</v>
      </c>
      <c r="C2120" s="8">
        <v>46224</v>
      </c>
      <c r="D2120" t="s">
        <v>342</v>
      </c>
      <c r="E2120" t="s">
        <v>328</v>
      </c>
      <c r="F2120" s="12">
        <v>173130</v>
      </c>
      <c r="G2120" s="13">
        <v>17</v>
      </c>
      <c r="H2120" t="s">
        <v>3248</v>
      </c>
      <c r="I2120" s="8">
        <v>45945</v>
      </c>
      <c r="J2120" t="s">
        <v>2682</v>
      </c>
      <c r="K2120" t="s">
        <v>2683</v>
      </c>
      <c r="L2120" s="13">
        <v>6000</v>
      </c>
      <c r="M2120" t="s">
        <v>2661</v>
      </c>
    </row>
    <row r="2121" spans="1:13">
      <c r="A2121" t="s">
        <v>1009</v>
      </c>
      <c r="B2121" t="s">
        <v>68</v>
      </c>
      <c r="C2121" s="8">
        <v>46224</v>
      </c>
      <c r="D2121" t="s">
        <v>342</v>
      </c>
      <c r="E2121" t="s">
        <v>328</v>
      </c>
      <c r="F2121" s="12">
        <v>173130</v>
      </c>
      <c r="G2121" s="13">
        <v>17</v>
      </c>
      <c r="H2121" t="s">
        <v>3506</v>
      </c>
      <c r="I2121" s="8">
        <v>46080</v>
      </c>
      <c r="J2121" t="s">
        <v>2668</v>
      </c>
      <c r="K2121" t="s">
        <v>2669</v>
      </c>
      <c r="L2121" s="13">
        <v>4000</v>
      </c>
      <c r="M2121" t="s">
        <v>2661</v>
      </c>
    </row>
    <row r="2122" spans="1:13">
      <c r="A2122" t="s">
        <v>1088</v>
      </c>
      <c r="B2122" t="s">
        <v>68</v>
      </c>
      <c r="C2122" s="8">
        <v>46279</v>
      </c>
      <c r="D2122" t="s">
        <v>330</v>
      </c>
      <c r="E2122" t="s">
        <v>322</v>
      </c>
      <c r="F2122" s="12">
        <v>287905</v>
      </c>
      <c r="G2122" s="13">
        <v>28</v>
      </c>
      <c r="H2122" t="s">
        <v>2869</v>
      </c>
      <c r="I2122" s="8">
        <v>46266</v>
      </c>
      <c r="J2122" t="s">
        <v>2671</v>
      </c>
      <c r="K2122" t="s">
        <v>2672</v>
      </c>
      <c r="L2122" s="13">
        <v>3000</v>
      </c>
      <c r="M2122" t="s">
        <v>2661</v>
      </c>
    </row>
    <row r="2123" spans="1:13">
      <c r="A2123" t="s">
        <v>1088</v>
      </c>
      <c r="B2123" t="s">
        <v>68</v>
      </c>
      <c r="C2123" s="8">
        <v>46279</v>
      </c>
      <c r="D2123" t="s">
        <v>330</v>
      </c>
      <c r="E2123" t="s">
        <v>322</v>
      </c>
      <c r="F2123" s="12">
        <v>287905</v>
      </c>
      <c r="G2123" s="13">
        <v>28</v>
      </c>
      <c r="H2123" t="s">
        <v>3248</v>
      </c>
      <c r="I2123" s="8">
        <v>45945</v>
      </c>
      <c r="J2123" t="s">
        <v>2682</v>
      </c>
      <c r="K2123" t="s">
        <v>2683</v>
      </c>
      <c r="L2123" s="13">
        <v>6000</v>
      </c>
      <c r="M2123" t="s">
        <v>2661</v>
      </c>
    </row>
    <row r="2124" spans="1:13">
      <c r="A2124" t="s">
        <v>1088</v>
      </c>
      <c r="B2124" t="s">
        <v>68</v>
      </c>
      <c r="C2124" s="8">
        <v>46279</v>
      </c>
      <c r="D2124" t="s">
        <v>330</v>
      </c>
      <c r="E2124" t="s">
        <v>322</v>
      </c>
      <c r="F2124" s="12">
        <v>287905</v>
      </c>
      <c r="G2124" s="13">
        <v>28</v>
      </c>
      <c r="H2124" t="s">
        <v>3506</v>
      </c>
      <c r="I2124" s="8">
        <v>46080</v>
      </c>
      <c r="J2124" t="s">
        <v>2668</v>
      </c>
      <c r="K2124" t="s">
        <v>2669</v>
      </c>
      <c r="L2124" s="13">
        <v>4000</v>
      </c>
      <c r="M2124" t="s">
        <v>2661</v>
      </c>
    </row>
    <row r="2125" spans="1:13">
      <c r="A2125" t="s">
        <v>506</v>
      </c>
      <c r="B2125" t="s">
        <v>209</v>
      </c>
      <c r="C2125" s="8">
        <v>45967</v>
      </c>
      <c r="D2125" t="s">
        <v>321</v>
      </c>
      <c r="E2125" t="s">
        <v>328</v>
      </c>
      <c r="F2125" s="12">
        <v>407630</v>
      </c>
      <c r="G2125" s="13">
        <v>40</v>
      </c>
      <c r="H2125" t="s">
        <v>2877</v>
      </c>
      <c r="I2125" s="8">
        <v>45938</v>
      </c>
      <c r="J2125" t="s">
        <v>2682</v>
      </c>
      <c r="K2125" t="s">
        <v>2683</v>
      </c>
      <c r="L2125" s="13">
        <v>6000</v>
      </c>
      <c r="M2125" t="s">
        <v>2661</v>
      </c>
    </row>
    <row r="2126" spans="1:13">
      <c r="A2126" t="s">
        <v>506</v>
      </c>
      <c r="B2126" t="s">
        <v>209</v>
      </c>
      <c r="C2126" s="8">
        <v>45967</v>
      </c>
      <c r="D2126" t="s">
        <v>321</v>
      </c>
      <c r="E2126" t="s">
        <v>328</v>
      </c>
      <c r="F2126" s="12">
        <v>407630</v>
      </c>
      <c r="G2126" s="13">
        <v>40</v>
      </c>
      <c r="H2126" t="s">
        <v>2974</v>
      </c>
      <c r="I2126" s="8">
        <v>46253</v>
      </c>
      <c r="J2126" t="s">
        <v>2665</v>
      </c>
      <c r="K2126" t="s">
        <v>2666</v>
      </c>
      <c r="L2126" s="13">
        <v>2500</v>
      </c>
      <c r="M2126" t="s">
        <v>2661</v>
      </c>
    </row>
    <row r="2127" spans="1:13">
      <c r="A2127" t="s">
        <v>506</v>
      </c>
      <c r="B2127" t="s">
        <v>209</v>
      </c>
      <c r="C2127" s="8">
        <v>45967</v>
      </c>
      <c r="D2127" t="s">
        <v>321</v>
      </c>
      <c r="E2127" t="s">
        <v>328</v>
      </c>
      <c r="F2127" s="12">
        <v>407630</v>
      </c>
      <c r="G2127" s="13">
        <v>40</v>
      </c>
      <c r="H2127" t="s">
        <v>3120</v>
      </c>
      <c r="I2127" s="8">
        <v>46077</v>
      </c>
      <c r="J2127" t="s">
        <v>2668</v>
      </c>
      <c r="K2127" t="s">
        <v>2669</v>
      </c>
      <c r="L2127" s="13">
        <v>4000</v>
      </c>
      <c r="M2127" t="s">
        <v>2661</v>
      </c>
    </row>
    <row r="2128" spans="1:13">
      <c r="A2128" t="s">
        <v>506</v>
      </c>
      <c r="B2128" t="s">
        <v>209</v>
      </c>
      <c r="C2128" s="8">
        <v>45967</v>
      </c>
      <c r="D2128" t="s">
        <v>321</v>
      </c>
      <c r="E2128" t="s">
        <v>328</v>
      </c>
      <c r="F2128" s="12">
        <v>407630</v>
      </c>
      <c r="G2128" s="13">
        <v>40</v>
      </c>
      <c r="H2128" t="s">
        <v>3270</v>
      </c>
      <c r="I2128" s="8">
        <v>46081</v>
      </c>
      <c r="J2128" t="s">
        <v>2688</v>
      </c>
      <c r="K2128" t="s">
        <v>2689</v>
      </c>
      <c r="L2128" s="13">
        <v>8000</v>
      </c>
      <c r="M2128" t="s">
        <v>2661</v>
      </c>
    </row>
    <row r="2129" spans="1:13">
      <c r="A2129" t="s">
        <v>506</v>
      </c>
      <c r="B2129" t="s">
        <v>209</v>
      </c>
      <c r="C2129" s="8">
        <v>45967</v>
      </c>
      <c r="D2129" t="s">
        <v>321</v>
      </c>
      <c r="E2129" t="s">
        <v>328</v>
      </c>
      <c r="F2129" s="12">
        <v>407630</v>
      </c>
      <c r="G2129" s="13">
        <v>40</v>
      </c>
      <c r="H2129" t="s">
        <v>3423</v>
      </c>
      <c r="I2129" s="8">
        <v>46172</v>
      </c>
      <c r="J2129" t="s">
        <v>2688</v>
      </c>
      <c r="K2129" t="s">
        <v>2689</v>
      </c>
      <c r="L2129" s="13">
        <v>8000</v>
      </c>
      <c r="M2129" t="s">
        <v>2676</v>
      </c>
    </row>
    <row r="2130" spans="1:13">
      <c r="A2130" t="s">
        <v>1110</v>
      </c>
      <c r="B2130" t="s">
        <v>209</v>
      </c>
      <c r="C2130" s="8">
        <v>46029</v>
      </c>
      <c r="D2130" t="s">
        <v>324</v>
      </c>
      <c r="E2130" t="s">
        <v>325</v>
      </c>
      <c r="F2130" s="12">
        <v>806034</v>
      </c>
      <c r="G2130" s="13">
        <v>80</v>
      </c>
      <c r="H2130" t="s">
        <v>2877</v>
      </c>
      <c r="I2130" s="8">
        <v>45938</v>
      </c>
      <c r="J2130" t="s">
        <v>2682</v>
      </c>
      <c r="K2130" t="s">
        <v>2683</v>
      </c>
      <c r="L2130" s="13">
        <v>6000</v>
      </c>
      <c r="M2130" t="s">
        <v>2661</v>
      </c>
    </row>
    <row r="2131" spans="1:13">
      <c r="A2131" t="s">
        <v>1110</v>
      </c>
      <c r="B2131" t="s">
        <v>209</v>
      </c>
      <c r="C2131" s="8">
        <v>46029</v>
      </c>
      <c r="D2131" t="s">
        <v>324</v>
      </c>
      <c r="E2131" t="s">
        <v>325</v>
      </c>
      <c r="F2131" s="12">
        <v>806034</v>
      </c>
      <c r="G2131" s="13">
        <v>80</v>
      </c>
      <c r="H2131" t="s">
        <v>2974</v>
      </c>
      <c r="I2131" s="8">
        <v>46253</v>
      </c>
      <c r="J2131" t="s">
        <v>2665</v>
      </c>
      <c r="K2131" t="s">
        <v>2666</v>
      </c>
      <c r="L2131" s="13">
        <v>2500</v>
      </c>
      <c r="M2131" t="s">
        <v>2661</v>
      </c>
    </row>
    <row r="2132" spans="1:13">
      <c r="A2132" t="s">
        <v>1110</v>
      </c>
      <c r="B2132" t="s">
        <v>209</v>
      </c>
      <c r="C2132" s="8">
        <v>46029</v>
      </c>
      <c r="D2132" t="s">
        <v>324</v>
      </c>
      <c r="E2132" t="s">
        <v>325</v>
      </c>
      <c r="F2132" s="12">
        <v>806034</v>
      </c>
      <c r="G2132" s="13">
        <v>80</v>
      </c>
      <c r="H2132" t="s">
        <v>3120</v>
      </c>
      <c r="I2132" s="8">
        <v>46077</v>
      </c>
      <c r="J2132" t="s">
        <v>2668</v>
      </c>
      <c r="K2132" t="s">
        <v>2669</v>
      </c>
      <c r="L2132" s="13">
        <v>4000</v>
      </c>
      <c r="M2132" t="s">
        <v>2661</v>
      </c>
    </row>
    <row r="2133" spans="1:13">
      <c r="A2133" t="s">
        <v>1110</v>
      </c>
      <c r="B2133" t="s">
        <v>209</v>
      </c>
      <c r="C2133" s="8">
        <v>46029</v>
      </c>
      <c r="D2133" t="s">
        <v>324</v>
      </c>
      <c r="E2133" t="s">
        <v>325</v>
      </c>
      <c r="F2133" s="12">
        <v>806034</v>
      </c>
      <c r="G2133" s="13">
        <v>80</v>
      </c>
      <c r="H2133" t="s">
        <v>3270</v>
      </c>
      <c r="I2133" s="8">
        <v>46081</v>
      </c>
      <c r="J2133" t="s">
        <v>2688</v>
      </c>
      <c r="K2133" t="s">
        <v>2689</v>
      </c>
      <c r="L2133" s="13">
        <v>8000</v>
      </c>
      <c r="M2133" t="s">
        <v>2661</v>
      </c>
    </row>
    <row r="2134" spans="1:13">
      <c r="A2134" t="s">
        <v>1110</v>
      </c>
      <c r="B2134" t="s">
        <v>209</v>
      </c>
      <c r="C2134" s="8">
        <v>46029</v>
      </c>
      <c r="D2134" t="s">
        <v>324</v>
      </c>
      <c r="E2134" t="s">
        <v>325</v>
      </c>
      <c r="F2134" s="12">
        <v>806034</v>
      </c>
      <c r="G2134" s="13">
        <v>80</v>
      </c>
      <c r="H2134" t="s">
        <v>3423</v>
      </c>
      <c r="I2134" s="8">
        <v>46172</v>
      </c>
      <c r="J2134" t="s">
        <v>2688</v>
      </c>
      <c r="K2134" t="s">
        <v>2689</v>
      </c>
      <c r="L2134" s="13">
        <v>8000</v>
      </c>
      <c r="M2134" t="s">
        <v>2676</v>
      </c>
    </row>
    <row r="2135" spans="1:13">
      <c r="A2135" t="s">
        <v>1179</v>
      </c>
      <c r="B2135" t="s">
        <v>209</v>
      </c>
      <c r="C2135" s="8">
        <v>45937</v>
      </c>
      <c r="D2135" t="s">
        <v>342</v>
      </c>
      <c r="E2135" t="s">
        <v>337</v>
      </c>
      <c r="F2135" s="12">
        <v>269475</v>
      </c>
      <c r="G2135" s="13">
        <v>26</v>
      </c>
      <c r="H2135" t="s">
        <v>2877</v>
      </c>
      <c r="I2135" s="8">
        <v>45938</v>
      </c>
      <c r="J2135" t="s">
        <v>2682</v>
      </c>
      <c r="K2135" t="s">
        <v>2683</v>
      </c>
      <c r="L2135" s="13">
        <v>6000</v>
      </c>
      <c r="M2135" t="s">
        <v>2661</v>
      </c>
    </row>
    <row r="2136" spans="1:13">
      <c r="A2136" t="s">
        <v>1179</v>
      </c>
      <c r="B2136" t="s">
        <v>209</v>
      </c>
      <c r="C2136" s="8">
        <v>45937</v>
      </c>
      <c r="D2136" t="s">
        <v>342</v>
      </c>
      <c r="E2136" t="s">
        <v>337</v>
      </c>
      <c r="F2136" s="12">
        <v>269475</v>
      </c>
      <c r="G2136" s="13">
        <v>26</v>
      </c>
      <c r="H2136" t="s">
        <v>2974</v>
      </c>
      <c r="I2136" s="8">
        <v>46253</v>
      </c>
      <c r="J2136" t="s">
        <v>2665</v>
      </c>
      <c r="K2136" t="s">
        <v>2666</v>
      </c>
      <c r="L2136" s="13">
        <v>2500</v>
      </c>
      <c r="M2136" t="s">
        <v>2661</v>
      </c>
    </row>
    <row r="2137" spans="1:13">
      <c r="A2137" t="s">
        <v>1179</v>
      </c>
      <c r="B2137" t="s">
        <v>209</v>
      </c>
      <c r="C2137" s="8">
        <v>45937</v>
      </c>
      <c r="D2137" t="s">
        <v>342</v>
      </c>
      <c r="E2137" t="s">
        <v>337</v>
      </c>
      <c r="F2137" s="12">
        <v>269475</v>
      </c>
      <c r="G2137" s="13">
        <v>26</v>
      </c>
      <c r="H2137" t="s">
        <v>3120</v>
      </c>
      <c r="I2137" s="8">
        <v>46077</v>
      </c>
      <c r="J2137" t="s">
        <v>2668</v>
      </c>
      <c r="K2137" t="s">
        <v>2669</v>
      </c>
      <c r="L2137" s="13">
        <v>4000</v>
      </c>
      <c r="M2137" t="s">
        <v>2661</v>
      </c>
    </row>
    <row r="2138" spans="1:13">
      <c r="A2138" t="s">
        <v>1179</v>
      </c>
      <c r="B2138" t="s">
        <v>209</v>
      </c>
      <c r="C2138" s="8">
        <v>45937</v>
      </c>
      <c r="D2138" t="s">
        <v>342</v>
      </c>
      <c r="E2138" t="s">
        <v>337</v>
      </c>
      <c r="F2138" s="12">
        <v>269475</v>
      </c>
      <c r="G2138" s="13">
        <v>26</v>
      </c>
      <c r="H2138" t="s">
        <v>3270</v>
      </c>
      <c r="I2138" s="8">
        <v>46081</v>
      </c>
      <c r="J2138" t="s">
        <v>2688</v>
      </c>
      <c r="K2138" t="s">
        <v>2689</v>
      </c>
      <c r="L2138" s="13">
        <v>8000</v>
      </c>
      <c r="M2138" t="s">
        <v>2661</v>
      </c>
    </row>
    <row r="2139" spans="1:13">
      <c r="A2139" t="s">
        <v>1179</v>
      </c>
      <c r="B2139" t="s">
        <v>209</v>
      </c>
      <c r="C2139" s="8">
        <v>45937</v>
      </c>
      <c r="D2139" t="s">
        <v>342</v>
      </c>
      <c r="E2139" t="s">
        <v>337</v>
      </c>
      <c r="F2139" s="12">
        <v>269475</v>
      </c>
      <c r="G2139" s="13">
        <v>26</v>
      </c>
      <c r="H2139" t="s">
        <v>3423</v>
      </c>
      <c r="I2139" s="8">
        <v>46172</v>
      </c>
      <c r="J2139" t="s">
        <v>2688</v>
      </c>
      <c r="K2139" t="s">
        <v>2689</v>
      </c>
      <c r="L2139" s="13">
        <v>8000</v>
      </c>
      <c r="M2139" t="s">
        <v>2676</v>
      </c>
    </row>
    <row r="2140" spans="1:13">
      <c r="A2140" t="s">
        <v>508</v>
      </c>
      <c r="B2140" t="s">
        <v>48</v>
      </c>
      <c r="C2140" s="8">
        <v>46001</v>
      </c>
      <c r="D2140" t="s">
        <v>344</v>
      </c>
      <c r="E2140" t="s">
        <v>334</v>
      </c>
      <c r="F2140" s="12">
        <v>158841</v>
      </c>
      <c r="G2140" s="13">
        <v>15</v>
      </c>
      <c r="H2140" t="s">
        <v>3044</v>
      </c>
      <c r="I2140" s="8">
        <v>46137</v>
      </c>
      <c r="J2140" t="s">
        <v>2659</v>
      </c>
      <c r="K2140" t="s">
        <v>2660</v>
      </c>
      <c r="L2140" s="13">
        <v>3500</v>
      </c>
      <c r="M2140" t="s">
        <v>2676</v>
      </c>
    </row>
    <row r="2141" spans="1:13">
      <c r="A2141" t="s">
        <v>508</v>
      </c>
      <c r="B2141" t="s">
        <v>48</v>
      </c>
      <c r="C2141" s="8">
        <v>46001</v>
      </c>
      <c r="D2141" t="s">
        <v>344</v>
      </c>
      <c r="E2141" t="s">
        <v>334</v>
      </c>
      <c r="F2141" s="12">
        <v>158841</v>
      </c>
      <c r="G2141" s="13">
        <v>15</v>
      </c>
      <c r="H2141" t="s">
        <v>3368</v>
      </c>
      <c r="I2141" s="8">
        <v>46171</v>
      </c>
      <c r="J2141" t="s">
        <v>2659</v>
      </c>
      <c r="K2141" t="s">
        <v>2660</v>
      </c>
      <c r="L2141" s="13">
        <v>3500</v>
      </c>
      <c r="M2141" t="s">
        <v>2676</v>
      </c>
    </row>
    <row r="2142" spans="1:13">
      <c r="A2142" t="s">
        <v>508</v>
      </c>
      <c r="B2142" t="s">
        <v>48</v>
      </c>
      <c r="C2142" s="8">
        <v>46001</v>
      </c>
      <c r="D2142" t="s">
        <v>344</v>
      </c>
      <c r="E2142" t="s">
        <v>334</v>
      </c>
      <c r="F2142" s="12">
        <v>158841</v>
      </c>
      <c r="G2142" s="13">
        <v>15</v>
      </c>
      <c r="H2142" t="s">
        <v>3393</v>
      </c>
      <c r="I2142" s="8">
        <v>45952</v>
      </c>
      <c r="J2142" t="s">
        <v>2688</v>
      </c>
      <c r="K2142" t="s">
        <v>2689</v>
      </c>
      <c r="L2142" s="13">
        <v>8000</v>
      </c>
      <c r="M2142" t="s">
        <v>2661</v>
      </c>
    </row>
    <row r="2143" spans="1:13">
      <c r="A2143" t="s">
        <v>561</v>
      </c>
      <c r="B2143" t="s">
        <v>48</v>
      </c>
      <c r="C2143" s="8">
        <v>45981</v>
      </c>
      <c r="D2143" t="s">
        <v>327</v>
      </c>
      <c r="E2143" t="s">
        <v>328</v>
      </c>
      <c r="F2143" s="12">
        <v>243710</v>
      </c>
      <c r="G2143" s="13">
        <v>24</v>
      </c>
      <c r="H2143" t="s">
        <v>3044</v>
      </c>
      <c r="I2143" s="8">
        <v>46137</v>
      </c>
      <c r="J2143" t="s">
        <v>2659</v>
      </c>
      <c r="K2143" t="s">
        <v>2660</v>
      </c>
      <c r="L2143" s="13">
        <v>3500</v>
      </c>
      <c r="M2143" t="s">
        <v>2676</v>
      </c>
    </row>
    <row r="2144" spans="1:13">
      <c r="A2144" t="s">
        <v>561</v>
      </c>
      <c r="B2144" t="s">
        <v>48</v>
      </c>
      <c r="C2144" s="8">
        <v>45981</v>
      </c>
      <c r="D2144" t="s">
        <v>327</v>
      </c>
      <c r="E2144" t="s">
        <v>328</v>
      </c>
      <c r="F2144" s="12">
        <v>243710</v>
      </c>
      <c r="G2144" s="13">
        <v>24</v>
      </c>
      <c r="H2144" t="s">
        <v>3368</v>
      </c>
      <c r="I2144" s="8">
        <v>46171</v>
      </c>
      <c r="J2144" t="s">
        <v>2659</v>
      </c>
      <c r="K2144" t="s">
        <v>2660</v>
      </c>
      <c r="L2144" s="13">
        <v>3500</v>
      </c>
      <c r="M2144" t="s">
        <v>2676</v>
      </c>
    </row>
    <row r="2145" spans="1:13">
      <c r="A2145" t="s">
        <v>561</v>
      </c>
      <c r="B2145" t="s">
        <v>48</v>
      </c>
      <c r="C2145" s="8">
        <v>45981</v>
      </c>
      <c r="D2145" t="s">
        <v>327</v>
      </c>
      <c r="E2145" t="s">
        <v>328</v>
      </c>
      <c r="F2145" s="12">
        <v>243710</v>
      </c>
      <c r="G2145" s="13">
        <v>24</v>
      </c>
      <c r="H2145" t="s">
        <v>3393</v>
      </c>
      <c r="I2145" s="8">
        <v>45952</v>
      </c>
      <c r="J2145" t="s">
        <v>2688</v>
      </c>
      <c r="K2145" t="s">
        <v>2689</v>
      </c>
      <c r="L2145" s="13">
        <v>8000</v>
      </c>
      <c r="M2145" t="s">
        <v>2661</v>
      </c>
    </row>
    <row r="2146" spans="1:13">
      <c r="A2146" t="s">
        <v>866</v>
      </c>
      <c r="B2146" t="s">
        <v>243</v>
      </c>
      <c r="C2146" s="8">
        <v>46261</v>
      </c>
      <c r="D2146" t="s">
        <v>350</v>
      </c>
      <c r="E2146" t="s">
        <v>325</v>
      </c>
      <c r="F2146" s="12">
        <v>947307</v>
      </c>
      <c r="G2146" s="13">
        <v>94</v>
      </c>
      <c r="H2146" t="s">
        <v>2856</v>
      </c>
      <c r="I2146" s="8">
        <v>45973</v>
      </c>
      <c r="J2146" t="s">
        <v>2671</v>
      </c>
      <c r="K2146" t="s">
        <v>2672</v>
      </c>
      <c r="L2146" s="13">
        <v>3000</v>
      </c>
      <c r="M2146" t="s">
        <v>2661</v>
      </c>
    </row>
    <row r="2147" spans="1:13">
      <c r="A2147" t="s">
        <v>866</v>
      </c>
      <c r="B2147" t="s">
        <v>243</v>
      </c>
      <c r="C2147" s="8">
        <v>46261</v>
      </c>
      <c r="D2147" t="s">
        <v>350</v>
      </c>
      <c r="E2147" t="s">
        <v>325</v>
      </c>
      <c r="F2147" s="12">
        <v>947307</v>
      </c>
      <c r="G2147" s="13">
        <v>94</v>
      </c>
      <c r="H2147" t="s">
        <v>3127</v>
      </c>
      <c r="I2147" s="8">
        <v>45944</v>
      </c>
      <c r="J2147" t="s">
        <v>2682</v>
      </c>
      <c r="K2147" t="s">
        <v>2683</v>
      </c>
      <c r="L2147" s="13">
        <v>6000</v>
      </c>
      <c r="M2147" t="s">
        <v>2661</v>
      </c>
    </row>
    <row r="2148" spans="1:13">
      <c r="A2148" t="s">
        <v>512</v>
      </c>
      <c r="B2148" t="s">
        <v>54</v>
      </c>
      <c r="C2148" s="8">
        <v>46239</v>
      </c>
      <c r="D2148" t="s">
        <v>350</v>
      </c>
      <c r="E2148" t="s">
        <v>339</v>
      </c>
      <c r="F2148" s="12">
        <v>353139</v>
      </c>
      <c r="G2148" s="13">
        <v>35</v>
      </c>
      <c r="H2148" t="s">
        <v>2986</v>
      </c>
      <c r="I2148" s="8">
        <v>46015</v>
      </c>
      <c r="J2148" t="s">
        <v>2668</v>
      </c>
      <c r="K2148" t="s">
        <v>2669</v>
      </c>
      <c r="L2148" s="13">
        <v>4000</v>
      </c>
      <c r="M2148" t="s">
        <v>2661</v>
      </c>
    </row>
    <row r="2149" spans="1:13">
      <c r="A2149" t="s">
        <v>512</v>
      </c>
      <c r="B2149" t="s">
        <v>54</v>
      </c>
      <c r="C2149" s="8">
        <v>46239</v>
      </c>
      <c r="D2149" t="s">
        <v>350</v>
      </c>
      <c r="E2149" t="s">
        <v>339</v>
      </c>
      <c r="F2149" s="12">
        <v>353139</v>
      </c>
      <c r="G2149" s="13">
        <v>35</v>
      </c>
      <c r="H2149" t="s">
        <v>3317</v>
      </c>
      <c r="I2149" s="8">
        <v>46099</v>
      </c>
      <c r="J2149" t="s">
        <v>2671</v>
      </c>
      <c r="K2149" t="s">
        <v>2672</v>
      </c>
      <c r="L2149" s="13">
        <v>3000</v>
      </c>
      <c r="M2149" t="s">
        <v>2661</v>
      </c>
    </row>
    <row r="2150" spans="1:13">
      <c r="A2150" t="s">
        <v>512</v>
      </c>
      <c r="B2150" t="s">
        <v>54</v>
      </c>
      <c r="C2150" s="8">
        <v>46239</v>
      </c>
      <c r="D2150" t="s">
        <v>350</v>
      </c>
      <c r="E2150" t="s">
        <v>339</v>
      </c>
      <c r="F2150" s="12">
        <v>353139</v>
      </c>
      <c r="G2150" s="13">
        <v>35</v>
      </c>
      <c r="H2150" t="s">
        <v>3478</v>
      </c>
      <c r="I2150" s="8">
        <v>46036</v>
      </c>
      <c r="J2150" t="s">
        <v>2665</v>
      </c>
      <c r="K2150" t="s">
        <v>2666</v>
      </c>
      <c r="L2150" s="13">
        <v>2500</v>
      </c>
      <c r="M2150" t="s">
        <v>2661</v>
      </c>
    </row>
    <row r="2151" spans="1:13">
      <c r="A2151" t="s">
        <v>684</v>
      </c>
      <c r="B2151" t="s">
        <v>54</v>
      </c>
      <c r="C2151" s="8">
        <v>46196</v>
      </c>
      <c r="D2151" t="s">
        <v>324</v>
      </c>
      <c r="E2151" t="s">
        <v>322</v>
      </c>
      <c r="F2151" s="12">
        <v>104369</v>
      </c>
      <c r="G2151" s="13">
        <v>10</v>
      </c>
      <c r="H2151" t="s">
        <v>2986</v>
      </c>
      <c r="I2151" s="8">
        <v>46015</v>
      </c>
      <c r="J2151" t="s">
        <v>2668</v>
      </c>
      <c r="K2151" t="s">
        <v>2669</v>
      </c>
      <c r="L2151" s="13">
        <v>4000</v>
      </c>
      <c r="M2151" t="s">
        <v>2661</v>
      </c>
    </row>
    <row r="2152" spans="1:13">
      <c r="A2152" t="s">
        <v>684</v>
      </c>
      <c r="B2152" t="s">
        <v>54</v>
      </c>
      <c r="C2152" s="8">
        <v>46196</v>
      </c>
      <c r="D2152" t="s">
        <v>324</v>
      </c>
      <c r="E2152" t="s">
        <v>322</v>
      </c>
      <c r="F2152" s="12">
        <v>104369</v>
      </c>
      <c r="G2152" s="13">
        <v>10</v>
      </c>
      <c r="H2152" t="s">
        <v>3317</v>
      </c>
      <c r="I2152" s="8">
        <v>46099</v>
      </c>
      <c r="J2152" t="s">
        <v>2671</v>
      </c>
      <c r="K2152" t="s">
        <v>2672</v>
      </c>
      <c r="L2152" s="13">
        <v>3000</v>
      </c>
      <c r="M2152" t="s">
        <v>2661</v>
      </c>
    </row>
    <row r="2153" spans="1:13">
      <c r="A2153" t="s">
        <v>684</v>
      </c>
      <c r="B2153" t="s">
        <v>54</v>
      </c>
      <c r="C2153" s="8">
        <v>46196</v>
      </c>
      <c r="D2153" t="s">
        <v>324</v>
      </c>
      <c r="E2153" t="s">
        <v>322</v>
      </c>
      <c r="F2153" s="12">
        <v>104369</v>
      </c>
      <c r="G2153" s="13">
        <v>10</v>
      </c>
      <c r="H2153" t="s">
        <v>3478</v>
      </c>
      <c r="I2153" s="8">
        <v>46036</v>
      </c>
      <c r="J2153" t="s">
        <v>2665</v>
      </c>
      <c r="K2153" t="s">
        <v>2666</v>
      </c>
      <c r="L2153" s="13">
        <v>2500</v>
      </c>
      <c r="M2153" t="s">
        <v>2661</v>
      </c>
    </row>
    <row r="2154" spans="1:13">
      <c r="A2154" t="s">
        <v>1047</v>
      </c>
      <c r="B2154" t="s">
        <v>54</v>
      </c>
      <c r="C2154" s="8">
        <v>46148</v>
      </c>
      <c r="D2154" t="s">
        <v>342</v>
      </c>
      <c r="E2154" t="s">
        <v>325</v>
      </c>
      <c r="F2154" s="12">
        <v>506943</v>
      </c>
      <c r="G2154" s="13">
        <v>50</v>
      </c>
      <c r="H2154" t="s">
        <v>2986</v>
      </c>
      <c r="I2154" s="8">
        <v>46015</v>
      </c>
      <c r="J2154" t="s">
        <v>2668</v>
      </c>
      <c r="K2154" t="s">
        <v>2669</v>
      </c>
      <c r="L2154" s="13">
        <v>4000</v>
      </c>
      <c r="M2154" t="s">
        <v>2661</v>
      </c>
    </row>
    <row r="2155" spans="1:13">
      <c r="A2155" t="s">
        <v>1047</v>
      </c>
      <c r="B2155" t="s">
        <v>54</v>
      </c>
      <c r="C2155" s="8">
        <v>46148</v>
      </c>
      <c r="D2155" t="s">
        <v>342</v>
      </c>
      <c r="E2155" t="s">
        <v>325</v>
      </c>
      <c r="F2155" s="12">
        <v>506943</v>
      </c>
      <c r="G2155" s="13">
        <v>50</v>
      </c>
      <c r="H2155" t="s">
        <v>3317</v>
      </c>
      <c r="I2155" s="8">
        <v>46099</v>
      </c>
      <c r="J2155" t="s">
        <v>2671</v>
      </c>
      <c r="K2155" t="s">
        <v>2672</v>
      </c>
      <c r="L2155" s="13">
        <v>3000</v>
      </c>
      <c r="M2155" t="s">
        <v>2661</v>
      </c>
    </row>
    <row r="2156" spans="1:13">
      <c r="A2156" t="s">
        <v>1047</v>
      </c>
      <c r="B2156" t="s">
        <v>54</v>
      </c>
      <c r="C2156" s="8">
        <v>46148</v>
      </c>
      <c r="D2156" t="s">
        <v>342</v>
      </c>
      <c r="E2156" t="s">
        <v>325</v>
      </c>
      <c r="F2156" s="12">
        <v>506943</v>
      </c>
      <c r="G2156" s="13">
        <v>50</v>
      </c>
      <c r="H2156" t="s">
        <v>3478</v>
      </c>
      <c r="I2156" s="8">
        <v>46036</v>
      </c>
      <c r="J2156" t="s">
        <v>2665</v>
      </c>
      <c r="K2156" t="s">
        <v>2666</v>
      </c>
      <c r="L2156" s="13">
        <v>2500</v>
      </c>
      <c r="M2156" t="s">
        <v>2661</v>
      </c>
    </row>
    <row r="2157" spans="1:13">
      <c r="A2157" t="s">
        <v>514</v>
      </c>
      <c r="B2157" t="s">
        <v>100</v>
      </c>
      <c r="C2157" s="8">
        <v>46262</v>
      </c>
      <c r="D2157" t="s">
        <v>344</v>
      </c>
      <c r="E2157" t="s">
        <v>339</v>
      </c>
      <c r="F2157" s="12">
        <v>427708</v>
      </c>
      <c r="G2157" s="13">
        <v>42</v>
      </c>
      <c r="H2157" t="s">
        <v>3294</v>
      </c>
      <c r="I2157" s="8">
        <v>46090</v>
      </c>
      <c r="J2157" t="s">
        <v>2671</v>
      </c>
      <c r="K2157" t="s">
        <v>2672</v>
      </c>
      <c r="L2157" s="13">
        <v>3000</v>
      </c>
      <c r="M2157" t="s">
        <v>2676</v>
      </c>
    </row>
    <row r="2158" spans="1:13">
      <c r="A2158" t="s">
        <v>514</v>
      </c>
      <c r="B2158" t="s">
        <v>100</v>
      </c>
      <c r="C2158" s="8">
        <v>46262</v>
      </c>
      <c r="D2158" t="s">
        <v>344</v>
      </c>
      <c r="E2158" t="s">
        <v>339</v>
      </c>
      <c r="F2158" s="12">
        <v>427708</v>
      </c>
      <c r="G2158" s="13">
        <v>42</v>
      </c>
      <c r="H2158" t="s">
        <v>3327</v>
      </c>
      <c r="I2158" s="8">
        <v>46135</v>
      </c>
      <c r="J2158" t="s">
        <v>2682</v>
      </c>
      <c r="K2158" t="s">
        <v>2683</v>
      </c>
      <c r="L2158" s="13">
        <v>6000</v>
      </c>
      <c r="M2158" t="s">
        <v>2661</v>
      </c>
    </row>
    <row r="2159" spans="1:13">
      <c r="A2159" t="s">
        <v>514</v>
      </c>
      <c r="B2159" t="s">
        <v>100</v>
      </c>
      <c r="C2159" s="8">
        <v>46262</v>
      </c>
      <c r="D2159" t="s">
        <v>344</v>
      </c>
      <c r="E2159" t="s">
        <v>339</v>
      </c>
      <c r="F2159" s="12">
        <v>427708</v>
      </c>
      <c r="G2159" s="13">
        <v>42</v>
      </c>
      <c r="H2159" t="s">
        <v>3375</v>
      </c>
      <c r="I2159" s="8">
        <v>46122</v>
      </c>
      <c r="J2159" t="s">
        <v>2685</v>
      </c>
      <c r="K2159" t="s">
        <v>2686</v>
      </c>
      <c r="L2159" s="13">
        <v>5000</v>
      </c>
      <c r="M2159" t="s">
        <v>2676</v>
      </c>
    </row>
    <row r="2160" spans="1:13">
      <c r="A2160" t="s">
        <v>644</v>
      </c>
      <c r="B2160" t="s">
        <v>100</v>
      </c>
      <c r="C2160" s="8">
        <v>46192</v>
      </c>
      <c r="D2160" t="s">
        <v>330</v>
      </c>
      <c r="E2160" t="s">
        <v>325</v>
      </c>
      <c r="F2160" s="12">
        <v>333806</v>
      </c>
      <c r="G2160" s="13">
        <v>33</v>
      </c>
      <c r="H2160" t="s">
        <v>3294</v>
      </c>
      <c r="I2160" s="8">
        <v>46090</v>
      </c>
      <c r="J2160" t="s">
        <v>2671</v>
      </c>
      <c r="K2160" t="s">
        <v>2672</v>
      </c>
      <c r="L2160" s="13">
        <v>3000</v>
      </c>
      <c r="M2160" t="s">
        <v>2676</v>
      </c>
    </row>
    <row r="2161" spans="1:13">
      <c r="A2161" t="s">
        <v>644</v>
      </c>
      <c r="B2161" t="s">
        <v>100</v>
      </c>
      <c r="C2161" s="8">
        <v>46192</v>
      </c>
      <c r="D2161" t="s">
        <v>330</v>
      </c>
      <c r="E2161" t="s">
        <v>325</v>
      </c>
      <c r="F2161" s="12">
        <v>333806</v>
      </c>
      <c r="G2161" s="13">
        <v>33</v>
      </c>
      <c r="H2161" t="s">
        <v>3327</v>
      </c>
      <c r="I2161" s="8">
        <v>46135</v>
      </c>
      <c r="J2161" t="s">
        <v>2682</v>
      </c>
      <c r="K2161" t="s">
        <v>2683</v>
      </c>
      <c r="L2161" s="13">
        <v>6000</v>
      </c>
      <c r="M2161" t="s">
        <v>2661</v>
      </c>
    </row>
    <row r="2162" spans="1:13">
      <c r="A2162" t="s">
        <v>644</v>
      </c>
      <c r="B2162" t="s">
        <v>100</v>
      </c>
      <c r="C2162" s="8">
        <v>46192</v>
      </c>
      <c r="D2162" t="s">
        <v>330</v>
      </c>
      <c r="E2162" t="s">
        <v>325</v>
      </c>
      <c r="F2162" s="12">
        <v>333806</v>
      </c>
      <c r="G2162" s="13">
        <v>33</v>
      </c>
      <c r="H2162" t="s">
        <v>3375</v>
      </c>
      <c r="I2162" s="8">
        <v>46122</v>
      </c>
      <c r="J2162" t="s">
        <v>2685</v>
      </c>
      <c r="K2162" t="s">
        <v>2686</v>
      </c>
      <c r="L2162" s="13">
        <v>5000</v>
      </c>
      <c r="M2162" t="s">
        <v>2676</v>
      </c>
    </row>
    <row r="2163" spans="1:13">
      <c r="A2163" t="s">
        <v>679</v>
      </c>
      <c r="B2163" t="s">
        <v>100</v>
      </c>
      <c r="C2163" s="8">
        <v>45990</v>
      </c>
      <c r="D2163" t="s">
        <v>350</v>
      </c>
      <c r="E2163" t="s">
        <v>334</v>
      </c>
      <c r="F2163" s="12">
        <v>173608</v>
      </c>
      <c r="G2163" s="13">
        <v>17</v>
      </c>
      <c r="H2163" t="s">
        <v>3294</v>
      </c>
      <c r="I2163" s="8">
        <v>46090</v>
      </c>
      <c r="J2163" t="s">
        <v>2671</v>
      </c>
      <c r="K2163" t="s">
        <v>2672</v>
      </c>
      <c r="L2163" s="13">
        <v>3000</v>
      </c>
      <c r="M2163" t="s">
        <v>2676</v>
      </c>
    </row>
    <row r="2164" spans="1:13">
      <c r="A2164" t="s">
        <v>679</v>
      </c>
      <c r="B2164" t="s">
        <v>100</v>
      </c>
      <c r="C2164" s="8">
        <v>45990</v>
      </c>
      <c r="D2164" t="s">
        <v>350</v>
      </c>
      <c r="E2164" t="s">
        <v>334</v>
      </c>
      <c r="F2164" s="12">
        <v>173608</v>
      </c>
      <c r="G2164" s="13">
        <v>17</v>
      </c>
      <c r="H2164" t="s">
        <v>3327</v>
      </c>
      <c r="I2164" s="8">
        <v>46135</v>
      </c>
      <c r="J2164" t="s">
        <v>2682</v>
      </c>
      <c r="K2164" t="s">
        <v>2683</v>
      </c>
      <c r="L2164" s="13">
        <v>6000</v>
      </c>
      <c r="M2164" t="s">
        <v>2661</v>
      </c>
    </row>
    <row r="2165" spans="1:13">
      <c r="A2165" t="s">
        <v>679</v>
      </c>
      <c r="B2165" t="s">
        <v>100</v>
      </c>
      <c r="C2165" s="8">
        <v>45990</v>
      </c>
      <c r="D2165" t="s">
        <v>350</v>
      </c>
      <c r="E2165" t="s">
        <v>334</v>
      </c>
      <c r="F2165" s="12">
        <v>173608</v>
      </c>
      <c r="G2165" s="13">
        <v>17</v>
      </c>
      <c r="H2165" t="s">
        <v>3375</v>
      </c>
      <c r="I2165" s="8">
        <v>46122</v>
      </c>
      <c r="J2165" t="s">
        <v>2685</v>
      </c>
      <c r="K2165" t="s">
        <v>2686</v>
      </c>
      <c r="L2165" s="13">
        <v>5000</v>
      </c>
      <c r="M2165" t="s">
        <v>2676</v>
      </c>
    </row>
    <row r="2166" spans="1:13">
      <c r="A2166" t="s">
        <v>877</v>
      </c>
      <c r="B2166" t="s">
        <v>100</v>
      </c>
      <c r="C2166" s="8">
        <v>45949</v>
      </c>
      <c r="D2166" t="s">
        <v>327</v>
      </c>
      <c r="E2166" t="s">
        <v>337</v>
      </c>
      <c r="F2166" s="12">
        <v>67733</v>
      </c>
      <c r="G2166" s="13">
        <v>6</v>
      </c>
      <c r="H2166" t="s">
        <v>3294</v>
      </c>
      <c r="I2166" s="8">
        <v>46090</v>
      </c>
      <c r="J2166" t="s">
        <v>2671</v>
      </c>
      <c r="K2166" t="s">
        <v>2672</v>
      </c>
      <c r="L2166" s="13">
        <v>3000</v>
      </c>
      <c r="M2166" t="s">
        <v>2676</v>
      </c>
    </row>
    <row r="2167" spans="1:13">
      <c r="A2167" t="s">
        <v>877</v>
      </c>
      <c r="B2167" t="s">
        <v>100</v>
      </c>
      <c r="C2167" s="8">
        <v>45949</v>
      </c>
      <c r="D2167" t="s">
        <v>327</v>
      </c>
      <c r="E2167" t="s">
        <v>337</v>
      </c>
      <c r="F2167" s="12">
        <v>67733</v>
      </c>
      <c r="G2167" s="13">
        <v>6</v>
      </c>
      <c r="H2167" t="s">
        <v>3327</v>
      </c>
      <c r="I2167" s="8">
        <v>46135</v>
      </c>
      <c r="J2167" t="s">
        <v>2682</v>
      </c>
      <c r="K2167" t="s">
        <v>2683</v>
      </c>
      <c r="L2167" s="13">
        <v>6000</v>
      </c>
      <c r="M2167" t="s">
        <v>2661</v>
      </c>
    </row>
    <row r="2168" spans="1:13">
      <c r="A2168" t="s">
        <v>877</v>
      </c>
      <c r="B2168" t="s">
        <v>100</v>
      </c>
      <c r="C2168" s="8">
        <v>45949</v>
      </c>
      <c r="D2168" t="s">
        <v>327</v>
      </c>
      <c r="E2168" t="s">
        <v>337</v>
      </c>
      <c r="F2168" s="12">
        <v>67733</v>
      </c>
      <c r="G2168" s="13">
        <v>6</v>
      </c>
      <c r="H2168" t="s">
        <v>3375</v>
      </c>
      <c r="I2168" s="8">
        <v>46122</v>
      </c>
      <c r="J2168" t="s">
        <v>2685</v>
      </c>
      <c r="K2168" t="s">
        <v>2686</v>
      </c>
      <c r="L2168" s="13">
        <v>5000</v>
      </c>
      <c r="M2168" t="s">
        <v>2676</v>
      </c>
    </row>
    <row r="2169" spans="1:13">
      <c r="A2169" t="s">
        <v>1014</v>
      </c>
      <c r="B2169" t="s">
        <v>100</v>
      </c>
      <c r="C2169" s="8">
        <v>46086</v>
      </c>
      <c r="D2169" t="s">
        <v>330</v>
      </c>
      <c r="E2169" t="s">
        <v>334</v>
      </c>
      <c r="F2169" s="12">
        <v>195882</v>
      </c>
      <c r="G2169" s="13">
        <v>19</v>
      </c>
      <c r="H2169" t="s">
        <v>3294</v>
      </c>
      <c r="I2169" s="8">
        <v>46090</v>
      </c>
      <c r="J2169" t="s">
        <v>2671</v>
      </c>
      <c r="K2169" t="s">
        <v>2672</v>
      </c>
      <c r="L2169" s="13">
        <v>3000</v>
      </c>
      <c r="M2169" t="s">
        <v>2676</v>
      </c>
    </row>
    <row r="2170" spans="1:13">
      <c r="A2170" t="s">
        <v>1014</v>
      </c>
      <c r="B2170" t="s">
        <v>100</v>
      </c>
      <c r="C2170" s="8">
        <v>46086</v>
      </c>
      <c r="D2170" t="s">
        <v>330</v>
      </c>
      <c r="E2170" t="s">
        <v>334</v>
      </c>
      <c r="F2170" s="12">
        <v>195882</v>
      </c>
      <c r="G2170" s="13">
        <v>19</v>
      </c>
      <c r="H2170" t="s">
        <v>3327</v>
      </c>
      <c r="I2170" s="8">
        <v>46135</v>
      </c>
      <c r="J2170" t="s">
        <v>2682</v>
      </c>
      <c r="K2170" t="s">
        <v>2683</v>
      </c>
      <c r="L2170" s="13">
        <v>6000</v>
      </c>
      <c r="M2170" t="s">
        <v>2661</v>
      </c>
    </row>
    <row r="2171" spans="1:13">
      <c r="A2171" t="s">
        <v>1014</v>
      </c>
      <c r="B2171" t="s">
        <v>100</v>
      </c>
      <c r="C2171" s="8">
        <v>46086</v>
      </c>
      <c r="D2171" t="s">
        <v>330</v>
      </c>
      <c r="E2171" t="s">
        <v>334</v>
      </c>
      <c r="F2171" s="12">
        <v>195882</v>
      </c>
      <c r="G2171" s="13">
        <v>19</v>
      </c>
      <c r="H2171" t="s">
        <v>3375</v>
      </c>
      <c r="I2171" s="8">
        <v>46122</v>
      </c>
      <c r="J2171" t="s">
        <v>2685</v>
      </c>
      <c r="K2171" t="s">
        <v>2686</v>
      </c>
      <c r="L2171" s="13">
        <v>5000</v>
      </c>
      <c r="M2171" t="s">
        <v>2676</v>
      </c>
    </row>
    <row r="2172" spans="1:13">
      <c r="A2172" t="s">
        <v>1015</v>
      </c>
      <c r="B2172" t="s">
        <v>100</v>
      </c>
      <c r="C2172" s="8">
        <v>46136</v>
      </c>
      <c r="D2172" t="s">
        <v>332</v>
      </c>
      <c r="E2172" t="s">
        <v>339</v>
      </c>
      <c r="F2172" s="12">
        <v>58607</v>
      </c>
      <c r="G2172" s="13">
        <v>5</v>
      </c>
      <c r="H2172" t="s">
        <v>3294</v>
      </c>
      <c r="I2172" s="8">
        <v>46090</v>
      </c>
      <c r="J2172" t="s">
        <v>2671</v>
      </c>
      <c r="K2172" t="s">
        <v>2672</v>
      </c>
      <c r="L2172" s="13">
        <v>3000</v>
      </c>
      <c r="M2172" t="s">
        <v>2676</v>
      </c>
    </row>
    <row r="2173" spans="1:13">
      <c r="A2173" t="s">
        <v>1015</v>
      </c>
      <c r="B2173" t="s">
        <v>100</v>
      </c>
      <c r="C2173" s="8">
        <v>46136</v>
      </c>
      <c r="D2173" t="s">
        <v>332</v>
      </c>
      <c r="E2173" t="s">
        <v>339</v>
      </c>
      <c r="F2173" s="12">
        <v>58607</v>
      </c>
      <c r="G2173" s="13">
        <v>5</v>
      </c>
      <c r="H2173" t="s">
        <v>3327</v>
      </c>
      <c r="I2173" s="8">
        <v>46135</v>
      </c>
      <c r="J2173" t="s">
        <v>2682</v>
      </c>
      <c r="K2173" t="s">
        <v>2683</v>
      </c>
      <c r="L2173" s="13">
        <v>6000</v>
      </c>
      <c r="M2173" t="s">
        <v>2661</v>
      </c>
    </row>
    <row r="2174" spans="1:13">
      <c r="A2174" t="s">
        <v>1015</v>
      </c>
      <c r="B2174" t="s">
        <v>100</v>
      </c>
      <c r="C2174" s="8">
        <v>46136</v>
      </c>
      <c r="D2174" t="s">
        <v>332</v>
      </c>
      <c r="E2174" t="s">
        <v>339</v>
      </c>
      <c r="F2174" s="12">
        <v>58607</v>
      </c>
      <c r="G2174" s="13">
        <v>5</v>
      </c>
      <c r="H2174" t="s">
        <v>3375</v>
      </c>
      <c r="I2174" s="8">
        <v>46122</v>
      </c>
      <c r="J2174" t="s">
        <v>2685</v>
      </c>
      <c r="K2174" t="s">
        <v>2686</v>
      </c>
      <c r="L2174" s="13">
        <v>5000</v>
      </c>
      <c r="M2174" t="s">
        <v>2676</v>
      </c>
    </row>
    <row r="2175" spans="1:13">
      <c r="A2175" t="s">
        <v>1016</v>
      </c>
      <c r="B2175" t="s">
        <v>100</v>
      </c>
      <c r="C2175" s="8">
        <v>46122</v>
      </c>
      <c r="D2175" t="s">
        <v>332</v>
      </c>
      <c r="E2175" t="s">
        <v>325</v>
      </c>
      <c r="F2175" s="12">
        <v>247046</v>
      </c>
      <c r="G2175" s="13">
        <v>24</v>
      </c>
      <c r="H2175" t="s">
        <v>3294</v>
      </c>
      <c r="I2175" s="8">
        <v>46090</v>
      </c>
      <c r="J2175" t="s">
        <v>2671</v>
      </c>
      <c r="K2175" t="s">
        <v>2672</v>
      </c>
      <c r="L2175" s="13">
        <v>3000</v>
      </c>
      <c r="M2175" t="s">
        <v>2676</v>
      </c>
    </row>
    <row r="2176" spans="1:13">
      <c r="A2176" t="s">
        <v>1016</v>
      </c>
      <c r="B2176" t="s">
        <v>100</v>
      </c>
      <c r="C2176" s="8">
        <v>46122</v>
      </c>
      <c r="D2176" t="s">
        <v>332</v>
      </c>
      <c r="E2176" t="s">
        <v>325</v>
      </c>
      <c r="F2176" s="12">
        <v>247046</v>
      </c>
      <c r="G2176" s="13">
        <v>24</v>
      </c>
      <c r="H2176" t="s">
        <v>3327</v>
      </c>
      <c r="I2176" s="8">
        <v>46135</v>
      </c>
      <c r="J2176" t="s">
        <v>2682</v>
      </c>
      <c r="K2176" t="s">
        <v>2683</v>
      </c>
      <c r="L2176" s="13">
        <v>6000</v>
      </c>
      <c r="M2176" t="s">
        <v>2661</v>
      </c>
    </row>
    <row r="2177" spans="1:13">
      <c r="A2177" t="s">
        <v>1016</v>
      </c>
      <c r="B2177" t="s">
        <v>100</v>
      </c>
      <c r="C2177" s="8">
        <v>46122</v>
      </c>
      <c r="D2177" t="s">
        <v>332</v>
      </c>
      <c r="E2177" t="s">
        <v>325</v>
      </c>
      <c r="F2177" s="12">
        <v>247046</v>
      </c>
      <c r="G2177" s="13">
        <v>24</v>
      </c>
      <c r="H2177" t="s">
        <v>3375</v>
      </c>
      <c r="I2177" s="8">
        <v>46122</v>
      </c>
      <c r="J2177" t="s">
        <v>2685</v>
      </c>
      <c r="K2177" t="s">
        <v>2686</v>
      </c>
      <c r="L2177" s="13">
        <v>5000</v>
      </c>
      <c r="M2177" t="s">
        <v>2676</v>
      </c>
    </row>
    <row r="2178" spans="1:13">
      <c r="A2178" t="s">
        <v>1020</v>
      </c>
      <c r="B2178" t="s">
        <v>100</v>
      </c>
      <c r="C2178" s="8">
        <v>45943</v>
      </c>
      <c r="D2178" t="s">
        <v>321</v>
      </c>
      <c r="E2178" t="s">
        <v>322</v>
      </c>
      <c r="F2178" s="12">
        <v>560676</v>
      </c>
      <c r="G2178" s="13">
        <v>56</v>
      </c>
      <c r="H2178" t="s">
        <v>3294</v>
      </c>
      <c r="I2178" s="8">
        <v>46090</v>
      </c>
      <c r="J2178" t="s">
        <v>2671</v>
      </c>
      <c r="K2178" t="s">
        <v>2672</v>
      </c>
      <c r="L2178" s="13">
        <v>3000</v>
      </c>
      <c r="M2178" t="s">
        <v>2676</v>
      </c>
    </row>
    <row r="2179" spans="1:13">
      <c r="A2179" t="s">
        <v>1020</v>
      </c>
      <c r="B2179" t="s">
        <v>100</v>
      </c>
      <c r="C2179" s="8">
        <v>45943</v>
      </c>
      <c r="D2179" t="s">
        <v>321</v>
      </c>
      <c r="E2179" t="s">
        <v>322</v>
      </c>
      <c r="F2179" s="12">
        <v>560676</v>
      </c>
      <c r="G2179" s="13">
        <v>56</v>
      </c>
      <c r="H2179" t="s">
        <v>3327</v>
      </c>
      <c r="I2179" s="8">
        <v>46135</v>
      </c>
      <c r="J2179" t="s">
        <v>2682</v>
      </c>
      <c r="K2179" t="s">
        <v>2683</v>
      </c>
      <c r="L2179" s="13">
        <v>6000</v>
      </c>
      <c r="M2179" t="s">
        <v>2661</v>
      </c>
    </row>
    <row r="2180" spans="1:13">
      <c r="A2180" t="s">
        <v>1020</v>
      </c>
      <c r="B2180" t="s">
        <v>100</v>
      </c>
      <c r="C2180" s="8">
        <v>45943</v>
      </c>
      <c r="D2180" t="s">
        <v>321</v>
      </c>
      <c r="E2180" t="s">
        <v>322</v>
      </c>
      <c r="F2180" s="12">
        <v>560676</v>
      </c>
      <c r="G2180" s="13">
        <v>56</v>
      </c>
      <c r="H2180" t="s">
        <v>3375</v>
      </c>
      <c r="I2180" s="8">
        <v>46122</v>
      </c>
      <c r="J2180" t="s">
        <v>2685</v>
      </c>
      <c r="K2180" t="s">
        <v>2686</v>
      </c>
      <c r="L2180" s="13">
        <v>5000</v>
      </c>
      <c r="M2180" t="s">
        <v>2676</v>
      </c>
    </row>
    <row r="2181" spans="1:13">
      <c r="A2181" t="s">
        <v>1129</v>
      </c>
      <c r="B2181" t="s">
        <v>100</v>
      </c>
      <c r="C2181" s="8">
        <v>46151</v>
      </c>
      <c r="D2181" t="s">
        <v>342</v>
      </c>
      <c r="E2181" t="s">
        <v>322</v>
      </c>
      <c r="F2181" s="12">
        <v>25000</v>
      </c>
      <c r="G2181" s="13">
        <v>2</v>
      </c>
      <c r="H2181" t="s">
        <v>3294</v>
      </c>
      <c r="I2181" s="8">
        <v>46090</v>
      </c>
      <c r="J2181" t="s">
        <v>2671</v>
      </c>
      <c r="K2181" t="s">
        <v>2672</v>
      </c>
      <c r="L2181" s="13">
        <v>3000</v>
      </c>
      <c r="M2181" t="s">
        <v>2676</v>
      </c>
    </row>
    <row r="2182" spans="1:13">
      <c r="A2182" t="s">
        <v>1129</v>
      </c>
      <c r="B2182" t="s">
        <v>100</v>
      </c>
      <c r="C2182" s="8">
        <v>46151</v>
      </c>
      <c r="D2182" t="s">
        <v>342</v>
      </c>
      <c r="E2182" t="s">
        <v>322</v>
      </c>
      <c r="F2182" s="12">
        <v>25000</v>
      </c>
      <c r="G2182" s="13">
        <v>2</v>
      </c>
      <c r="H2182" t="s">
        <v>3327</v>
      </c>
      <c r="I2182" s="8">
        <v>46135</v>
      </c>
      <c r="J2182" t="s">
        <v>2682</v>
      </c>
      <c r="K2182" t="s">
        <v>2683</v>
      </c>
      <c r="L2182" s="13">
        <v>6000</v>
      </c>
      <c r="M2182" t="s">
        <v>2661</v>
      </c>
    </row>
    <row r="2183" spans="1:13">
      <c r="A2183" t="s">
        <v>1129</v>
      </c>
      <c r="B2183" t="s">
        <v>100</v>
      </c>
      <c r="C2183" s="8">
        <v>46151</v>
      </c>
      <c r="D2183" t="s">
        <v>342</v>
      </c>
      <c r="E2183" t="s">
        <v>322</v>
      </c>
      <c r="F2183" s="12">
        <v>25000</v>
      </c>
      <c r="G2183" s="13">
        <v>2</v>
      </c>
      <c r="H2183" t="s">
        <v>3375</v>
      </c>
      <c r="I2183" s="8">
        <v>46122</v>
      </c>
      <c r="J2183" t="s">
        <v>2685</v>
      </c>
      <c r="K2183" t="s">
        <v>2686</v>
      </c>
      <c r="L2183" s="13">
        <v>5000</v>
      </c>
      <c r="M2183" t="s">
        <v>2676</v>
      </c>
    </row>
    <row r="2184" spans="1:13">
      <c r="A2184" t="s">
        <v>1190</v>
      </c>
      <c r="B2184" t="s">
        <v>100</v>
      </c>
      <c r="C2184" s="8">
        <v>46082</v>
      </c>
      <c r="D2184" t="s">
        <v>332</v>
      </c>
      <c r="E2184" t="s">
        <v>322</v>
      </c>
      <c r="F2184" s="12">
        <v>220540</v>
      </c>
      <c r="G2184" s="13">
        <v>22</v>
      </c>
      <c r="H2184" t="s">
        <v>3294</v>
      </c>
      <c r="I2184" s="8">
        <v>46090</v>
      </c>
      <c r="J2184" t="s">
        <v>2671</v>
      </c>
      <c r="K2184" t="s">
        <v>2672</v>
      </c>
      <c r="L2184" s="13">
        <v>3000</v>
      </c>
      <c r="M2184" t="s">
        <v>2676</v>
      </c>
    </row>
    <row r="2185" spans="1:13">
      <c r="A2185" t="s">
        <v>1190</v>
      </c>
      <c r="B2185" t="s">
        <v>100</v>
      </c>
      <c r="C2185" s="8">
        <v>46082</v>
      </c>
      <c r="D2185" t="s">
        <v>332</v>
      </c>
      <c r="E2185" t="s">
        <v>322</v>
      </c>
      <c r="F2185" s="12">
        <v>220540</v>
      </c>
      <c r="G2185" s="13">
        <v>22</v>
      </c>
      <c r="H2185" t="s">
        <v>3327</v>
      </c>
      <c r="I2185" s="8">
        <v>46135</v>
      </c>
      <c r="J2185" t="s">
        <v>2682</v>
      </c>
      <c r="K2185" t="s">
        <v>2683</v>
      </c>
      <c r="L2185" s="13">
        <v>6000</v>
      </c>
      <c r="M2185" t="s">
        <v>2661</v>
      </c>
    </row>
    <row r="2186" spans="1:13">
      <c r="A2186" t="s">
        <v>1190</v>
      </c>
      <c r="B2186" t="s">
        <v>100</v>
      </c>
      <c r="C2186" s="8">
        <v>46082</v>
      </c>
      <c r="D2186" t="s">
        <v>332</v>
      </c>
      <c r="E2186" t="s">
        <v>322</v>
      </c>
      <c r="F2186" s="12">
        <v>220540</v>
      </c>
      <c r="G2186" s="13">
        <v>22</v>
      </c>
      <c r="H2186" t="s">
        <v>3375</v>
      </c>
      <c r="I2186" s="8">
        <v>46122</v>
      </c>
      <c r="J2186" t="s">
        <v>2685</v>
      </c>
      <c r="K2186" t="s">
        <v>2686</v>
      </c>
      <c r="L2186" s="13">
        <v>5000</v>
      </c>
      <c r="M2186" t="s">
        <v>2676</v>
      </c>
    </row>
    <row r="2187" spans="1:13">
      <c r="A2187" t="s">
        <v>1202</v>
      </c>
      <c r="B2187" t="s">
        <v>100</v>
      </c>
      <c r="C2187" s="8">
        <v>46058</v>
      </c>
      <c r="D2187" t="s">
        <v>327</v>
      </c>
      <c r="E2187" t="s">
        <v>328</v>
      </c>
      <c r="F2187" s="12">
        <v>370196</v>
      </c>
      <c r="G2187" s="13">
        <v>37</v>
      </c>
      <c r="H2187" t="s">
        <v>3294</v>
      </c>
      <c r="I2187" s="8">
        <v>46090</v>
      </c>
      <c r="J2187" t="s">
        <v>2671</v>
      </c>
      <c r="K2187" t="s">
        <v>2672</v>
      </c>
      <c r="L2187" s="13">
        <v>3000</v>
      </c>
      <c r="M2187" t="s">
        <v>2676</v>
      </c>
    </row>
    <row r="2188" spans="1:13">
      <c r="A2188" t="s">
        <v>1202</v>
      </c>
      <c r="B2188" t="s">
        <v>100</v>
      </c>
      <c r="C2188" s="8">
        <v>46058</v>
      </c>
      <c r="D2188" t="s">
        <v>327</v>
      </c>
      <c r="E2188" t="s">
        <v>328</v>
      </c>
      <c r="F2188" s="12">
        <v>370196</v>
      </c>
      <c r="G2188" s="13">
        <v>37</v>
      </c>
      <c r="H2188" t="s">
        <v>3327</v>
      </c>
      <c r="I2188" s="8">
        <v>46135</v>
      </c>
      <c r="J2188" t="s">
        <v>2682</v>
      </c>
      <c r="K2188" t="s">
        <v>2683</v>
      </c>
      <c r="L2188" s="13">
        <v>6000</v>
      </c>
      <c r="M2188" t="s">
        <v>2661</v>
      </c>
    </row>
    <row r="2189" spans="1:13">
      <c r="A2189" t="s">
        <v>1202</v>
      </c>
      <c r="B2189" t="s">
        <v>100</v>
      </c>
      <c r="C2189" s="8">
        <v>46058</v>
      </c>
      <c r="D2189" t="s">
        <v>327</v>
      </c>
      <c r="E2189" t="s">
        <v>328</v>
      </c>
      <c r="F2189" s="12">
        <v>370196</v>
      </c>
      <c r="G2189" s="13">
        <v>37</v>
      </c>
      <c r="H2189" t="s">
        <v>3375</v>
      </c>
      <c r="I2189" s="8">
        <v>46122</v>
      </c>
      <c r="J2189" t="s">
        <v>2685</v>
      </c>
      <c r="K2189" t="s">
        <v>2686</v>
      </c>
      <c r="L2189" s="13">
        <v>5000</v>
      </c>
      <c r="M2189" t="s">
        <v>2676</v>
      </c>
    </row>
    <row r="2190" spans="1:13">
      <c r="A2190" t="s">
        <v>515</v>
      </c>
      <c r="B2190" t="s">
        <v>253</v>
      </c>
      <c r="C2190" s="8">
        <v>46021</v>
      </c>
      <c r="D2190" t="s">
        <v>324</v>
      </c>
      <c r="E2190" t="s">
        <v>325</v>
      </c>
      <c r="F2190" s="12">
        <v>716803</v>
      </c>
      <c r="G2190" s="13">
        <v>71</v>
      </c>
      <c r="H2190" t="s">
        <v>2862</v>
      </c>
      <c r="I2190" s="8">
        <v>46039</v>
      </c>
      <c r="J2190" t="s">
        <v>2663</v>
      </c>
      <c r="K2190" t="s">
        <v>3630</v>
      </c>
      <c r="L2190" s="13">
        <v>1500</v>
      </c>
      <c r="M2190" t="s">
        <v>2661</v>
      </c>
    </row>
    <row r="2191" spans="1:13">
      <c r="A2191" t="s">
        <v>515</v>
      </c>
      <c r="B2191" t="s">
        <v>253</v>
      </c>
      <c r="C2191" s="8">
        <v>46021</v>
      </c>
      <c r="D2191" t="s">
        <v>324</v>
      </c>
      <c r="E2191" t="s">
        <v>325</v>
      </c>
      <c r="F2191" s="12">
        <v>716803</v>
      </c>
      <c r="G2191" s="13">
        <v>71</v>
      </c>
      <c r="H2191" t="s">
        <v>3158</v>
      </c>
      <c r="I2191" s="8">
        <v>46168</v>
      </c>
      <c r="J2191" t="s">
        <v>2685</v>
      </c>
      <c r="K2191" t="s">
        <v>2686</v>
      </c>
      <c r="L2191" s="13">
        <v>5000</v>
      </c>
      <c r="M2191" t="s">
        <v>2676</v>
      </c>
    </row>
    <row r="2192" spans="1:13">
      <c r="A2192" t="s">
        <v>515</v>
      </c>
      <c r="B2192" t="s">
        <v>253</v>
      </c>
      <c r="C2192" s="8">
        <v>46021</v>
      </c>
      <c r="D2192" t="s">
        <v>324</v>
      </c>
      <c r="E2192" t="s">
        <v>325</v>
      </c>
      <c r="F2192" s="12">
        <v>716803</v>
      </c>
      <c r="G2192" s="13">
        <v>71</v>
      </c>
      <c r="H2192" t="s">
        <v>3173</v>
      </c>
      <c r="I2192" s="8">
        <v>46038</v>
      </c>
      <c r="J2192" t="s">
        <v>2682</v>
      </c>
      <c r="K2192" t="s">
        <v>2683</v>
      </c>
      <c r="L2192" s="13">
        <v>6000</v>
      </c>
      <c r="M2192" t="s">
        <v>2676</v>
      </c>
    </row>
    <row r="2193" spans="1:13">
      <c r="A2193" t="s">
        <v>515</v>
      </c>
      <c r="B2193" t="s">
        <v>253</v>
      </c>
      <c r="C2193" s="8">
        <v>46021</v>
      </c>
      <c r="D2193" t="s">
        <v>324</v>
      </c>
      <c r="E2193" t="s">
        <v>325</v>
      </c>
      <c r="F2193" s="12">
        <v>716803</v>
      </c>
      <c r="G2193" s="13">
        <v>71</v>
      </c>
      <c r="H2193" t="s">
        <v>3235</v>
      </c>
      <c r="I2193" s="8">
        <v>45953</v>
      </c>
      <c r="J2193" t="s">
        <v>2663</v>
      </c>
      <c r="K2193" t="s">
        <v>3630</v>
      </c>
      <c r="L2193" s="13">
        <v>1500</v>
      </c>
      <c r="M2193" t="s">
        <v>2661</v>
      </c>
    </row>
    <row r="2194" spans="1:13">
      <c r="A2194" t="s">
        <v>516</v>
      </c>
      <c r="B2194" t="s">
        <v>267</v>
      </c>
      <c r="C2194" s="8">
        <v>46149</v>
      </c>
      <c r="D2194" t="s">
        <v>327</v>
      </c>
      <c r="E2194" t="s">
        <v>337</v>
      </c>
      <c r="F2194" s="12">
        <v>178338</v>
      </c>
      <c r="G2194" s="13">
        <v>17</v>
      </c>
      <c r="H2194" t="s">
        <v>3119</v>
      </c>
      <c r="I2194" s="8">
        <v>46208</v>
      </c>
      <c r="J2194" t="s">
        <v>2671</v>
      </c>
      <c r="K2194" t="s">
        <v>2672</v>
      </c>
      <c r="L2194" s="13">
        <v>3000</v>
      </c>
      <c r="M2194" t="s">
        <v>2661</v>
      </c>
    </row>
    <row r="2195" spans="1:13">
      <c r="A2195" t="s">
        <v>516</v>
      </c>
      <c r="B2195" t="s">
        <v>267</v>
      </c>
      <c r="C2195" s="8">
        <v>46149</v>
      </c>
      <c r="D2195" t="s">
        <v>327</v>
      </c>
      <c r="E2195" t="s">
        <v>337</v>
      </c>
      <c r="F2195" s="12">
        <v>178338</v>
      </c>
      <c r="G2195" s="13">
        <v>17</v>
      </c>
      <c r="H2195" t="s">
        <v>3125</v>
      </c>
      <c r="I2195" s="8">
        <v>45961</v>
      </c>
      <c r="J2195" t="s">
        <v>2685</v>
      </c>
      <c r="K2195" t="s">
        <v>2686</v>
      </c>
      <c r="L2195" s="13">
        <v>5000</v>
      </c>
      <c r="M2195" t="s">
        <v>2676</v>
      </c>
    </row>
    <row r="2196" spans="1:13">
      <c r="A2196" t="s">
        <v>516</v>
      </c>
      <c r="B2196" t="s">
        <v>267</v>
      </c>
      <c r="C2196" s="8">
        <v>46149</v>
      </c>
      <c r="D2196" t="s">
        <v>327</v>
      </c>
      <c r="E2196" t="s">
        <v>337</v>
      </c>
      <c r="F2196" s="12">
        <v>178338</v>
      </c>
      <c r="G2196" s="13">
        <v>17</v>
      </c>
      <c r="H2196" t="s">
        <v>3307</v>
      </c>
      <c r="I2196" s="8">
        <v>45958</v>
      </c>
      <c r="J2196" t="s">
        <v>2674</v>
      </c>
      <c r="K2196" t="s">
        <v>2675</v>
      </c>
      <c r="L2196" s="13">
        <v>20000</v>
      </c>
      <c r="M2196" t="s">
        <v>2661</v>
      </c>
    </row>
    <row r="2197" spans="1:13">
      <c r="A2197" t="s">
        <v>516</v>
      </c>
      <c r="B2197" t="s">
        <v>267</v>
      </c>
      <c r="C2197" s="8">
        <v>46149</v>
      </c>
      <c r="D2197" t="s">
        <v>327</v>
      </c>
      <c r="E2197" t="s">
        <v>337</v>
      </c>
      <c r="F2197" s="12">
        <v>178338</v>
      </c>
      <c r="G2197" s="13">
        <v>17</v>
      </c>
      <c r="H2197" t="s">
        <v>3449</v>
      </c>
      <c r="I2197" s="8">
        <v>46253</v>
      </c>
      <c r="J2197" t="s">
        <v>2668</v>
      </c>
      <c r="K2197" t="s">
        <v>2669</v>
      </c>
      <c r="L2197" s="13">
        <v>4000</v>
      </c>
      <c r="M2197" t="s">
        <v>2676</v>
      </c>
    </row>
    <row r="2198" spans="1:13">
      <c r="A2198" t="s">
        <v>1126</v>
      </c>
      <c r="B2198" t="s">
        <v>267</v>
      </c>
      <c r="C2198" s="8">
        <v>46040</v>
      </c>
      <c r="D2198" t="s">
        <v>344</v>
      </c>
      <c r="E2198" t="s">
        <v>339</v>
      </c>
      <c r="F2198" s="12">
        <v>219507</v>
      </c>
      <c r="G2198" s="13">
        <v>21</v>
      </c>
      <c r="H2198" t="s">
        <v>3119</v>
      </c>
      <c r="I2198" s="8">
        <v>46208</v>
      </c>
      <c r="J2198" t="s">
        <v>2671</v>
      </c>
      <c r="K2198" t="s">
        <v>2672</v>
      </c>
      <c r="L2198" s="13">
        <v>3000</v>
      </c>
      <c r="M2198" t="s">
        <v>2661</v>
      </c>
    </row>
    <row r="2199" spans="1:13">
      <c r="A2199" t="s">
        <v>1126</v>
      </c>
      <c r="B2199" t="s">
        <v>267</v>
      </c>
      <c r="C2199" s="8">
        <v>46040</v>
      </c>
      <c r="D2199" t="s">
        <v>344</v>
      </c>
      <c r="E2199" t="s">
        <v>339</v>
      </c>
      <c r="F2199" s="12">
        <v>219507</v>
      </c>
      <c r="G2199" s="13">
        <v>21</v>
      </c>
      <c r="H2199" t="s">
        <v>3125</v>
      </c>
      <c r="I2199" s="8">
        <v>45961</v>
      </c>
      <c r="J2199" t="s">
        <v>2685</v>
      </c>
      <c r="K2199" t="s">
        <v>2686</v>
      </c>
      <c r="L2199" s="13">
        <v>5000</v>
      </c>
      <c r="M2199" t="s">
        <v>2676</v>
      </c>
    </row>
    <row r="2200" spans="1:13">
      <c r="A2200" t="s">
        <v>1126</v>
      </c>
      <c r="B2200" t="s">
        <v>267</v>
      </c>
      <c r="C2200" s="8">
        <v>46040</v>
      </c>
      <c r="D2200" t="s">
        <v>344</v>
      </c>
      <c r="E2200" t="s">
        <v>339</v>
      </c>
      <c r="F2200" s="12">
        <v>219507</v>
      </c>
      <c r="G2200" s="13">
        <v>21</v>
      </c>
      <c r="H2200" t="s">
        <v>3307</v>
      </c>
      <c r="I2200" s="8">
        <v>45958</v>
      </c>
      <c r="J2200" t="s">
        <v>2674</v>
      </c>
      <c r="K2200" t="s">
        <v>2675</v>
      </c>
      <c r="L2200" s="13">
        <v>20000</v>
      </c>
      <c r="M2200" t="s">
        <v>2661</v>
      </c>
    </row>
    <row r="2201" spans="1:13">
      <c r="A2201" t="s">
        <v>1126</v>
      </c>
      <c r="B2201" t="s">
        <v>267</v>
      </c>
      <c r="C2201" s="8">
        <v>46040</v>
      </c>
      <c r="D2201" t="s">
        <v>344</v>
      </c>
      <c r="E2201" t="s">
        <v>339</v>
      </c>
      <c r="F2201" s="12">
        <v>219507</v>
      </c>
      <c r="G2201" s="13">
        <v>21</v>
      </c>
      <c r="H2201" t="s">
        <v>3449</v>
      </c>
      <c r="I2201" s="8">
        <v>46253</v>
      </c>
      <c r="J2201" t="s">
        <v>2668</v>
      </c>
      <c r="K2201" t="s">
        <v>2669</v>
      </c>
      <c r="L2201" s="13">
        <v>4000</v>
      </c>
      <c r="M2201" t="s">
        <v>2676</v>
      </c>
    </row>
    <row r="2202" spans="1:13">
      <c r="A2202" t="s">
        <v>688</v>
      </c>
      <c r="B2202" t="s">
        <v>52</v>
      </c>
      <c r="C2202" s="8">
        <v>46081</v>
      </c>
      <c r="D2202" t="s">
        <v>330</v>
      </c>
      <c r="E2202" t="s">
        <v>322</v>
      </c>
      <c r="F2202" s="12">
        <v>335531</v>
      </c>
      <c r="G2202" s="13">
        <v>33</v>
      </c>
      <c r="H2202" t="s">
        <v>2861</v>
      </c>
      <c r="I2202" s="8">
        <v>46105</v>
      </c>
      <c r="J2202" t="s">
        <v>2685</v>
      </c>
      <c r="K2202" t="s">
        <v>2686</v>
      </c>
      <c r="L2202" s="13">
        <v>5000</v>
      </c>
      <c r="M2202" t="s">
        <v>2661</v>
      </c>
    </row>
    <row r="2203" spans="1:13">
      <c r="A2203" t="s">
        <v>688</v>
      </c>
      <c r="B2203" t="s">
        <v>52</v>
      </c>
      <c r="C2203" s="8">
        <v>46081</v>
      </c>
      <c r="D2203" t="s">
        <v>330</v>
      </c>
      <c r="E2203" t="s">
        <v>322</v>
      </c>
      <c r="F2203" s="12">
        <v>335531</v>
      </c>
      <c r="G2203" s="13">
        <v>33</v>
      </c>
      <c r="H2203" t="s">
        <v>3122</v>
      </c>
      <c r="I2203" s="8">
        <v>45976</v>
      </c>
      <c r="J2203" t="s">
        <v>2668</v>
      </c>
      <c r="K2203" t="s">
        <v>2669</v>
      </c>
      <c r="L2203" s="13">
        <v>4000</v>
      </c>
      <c r="M2203" t="s">
        <v>2661</v>
      </c>
    </row>
    <row r="2204" spans="1:13">
      <c r="A2204" t="s">
        <v>688</v>
      </c>
      <c r="B2204" t="s">
        <v>52</v>
      </c>
      <c r="C2204" s="8">
        <v>46081</v>
      </c>
      <c r="D2204" t="s">
        <v>330</v>
      </c>
      <c r="E2204" t="s">
        <v>322</v>
      </c>
      <c r="F2204" s="12">
        <v>335531</v>
      </c>
      <c r="G2204" s="13">
        <v>33</v>
      </c>
      <c r="H2204" t="s">
        <v>3497</v>
      </c>
      <c r="I2204" s="8">
        <v>46058</v>
      </c>
      <c r="J2204" t="s">
        <v>2665</v>
      </c>
      <c r="K2204" t="s">
        <v>2666</v>
      </c>
      <c r="L2204" s="13">
        <v>2500</v>
      </c>
      <c r="M2204" t="s">
        <v>2661</v>
      </c>
    </row>
    <row r="2205" spans="1:13">
      <c r="A2205" t="s">
        <v>707</v>
      </c>
      <c r="B2205" t="s">
        <v>52</v>
      </c>
      <c r="C2205" s="8">
        <v>46254</v>
      </c>
      <c r="D2205" t="s">
        <v>350</v>
      </c>
      <c r="E2205" t="s">
        <v>328</v>
      </c>
      <c r="F2205" s="12">
        <v>743425</v>
      </c>
      <c r="G2205" s="13">
        <v>74</v>
      </c>
      <c r="H2205" t="s">
        <v>2861</v>
      </c>
      <c r="I2205" s="8">
        <v>46105</v>
      </c>
      <c r="J2205" t="s">
        <v>2685</v>
      </c>
      <c r="K2205" t="s">
        <v>2686</v>
      </c>
      <c r="L2205" s="13">
        <v>5000</v>
      </c>
      <c r="M2205" t="s">
        <v>2661</v>
      </c>
    </row>
    <row r="2206" spans="1:13">
      <c r="A2206" t="s">
        <v>707</v>
      </c>
      <c r="B2206" t="s">
        <v>52</v>
      </c>
      <c r="C2206" s="8">
        <v>46254</v>
      </c>
      <c r="D2206" t="s">
        <v>350</v>
      </c>
      <c r="E2206" t="s">
        <v>328</v>
      </c>
      <c r="F2206" s="12">
        <v>743425</v>
      </c>
      <c r="G2206" s="13">
        <v>74</v>
      </c>
      <c r="H2206" t="s">
        <v>3122</v>
      </c>
      <c r="I2206" s="8">
        <v>45976</v>
      </c>
      <c r="J2206" t="s">
        <v>2668</v>
      </c>
      <c r="K2206" t="s">
        <v>2669</v>
      </c>
      <c r="L2206" s="13">
        <v>4000</v>
      </c>
      <c r="M2206" t="s">
        <v>2661</v>
      </c>
    </row>
    <row r="2207" spans="1:13">
      <c r="A2207" t="s">
        <v>707</v>
      </c>
      <c r="B2207" t="s">
        <v>52</v>
      </c>
      <c r="C2207" s="8">
        <v>46254</v>
      </c>
      <c r="D2207" t="s">
        <v>350</v>
      </c>
      <c r="E2207" t="s">
        <v>328</v>
      </c>
      <c r="F2207" s="12">
        <v>743425</v>
      </c>
      <c r="G2207" s="13">
        <v>74</v>
      </c>
      <c r="H2207" t="s">
        <v>3497</v>
      </c>
      <c r="I2207" s="8">
        <v>46058</v>
      </c>
      <c r="J2207" t="s">
        <v>2665</v>
      </c>
      <c r="K2207" t="s">
        <v>2666</v>
      </c>
      <c r="L2207" s="13">
        <v>2500</v>
      </c>
      <c r="M2207" t="s">
        <v>2661</v>
      </c>
    </row>
    <row r="2208" spans="1:13">
      <c r="A2208" t="s">
        <v>775</v>
      </c>
      <c r="B2208" t="s">
        <v>52</v>
      </c>
      <c r="C2208" s="8">
        <v>46113</v>
      </c>
      <c r="D2208" t="s">
        <v>344</v>
      </c>
      <c r="E2208" t="s">
        <v>337</v>
      </c>
      <c r="F2208" s="12">
        <v>284569</v>
      </c>
      <c r="G2208" s="13">
        <v>28</v>
      </c>
      <c r="H2208" t="s">
        <v>2861</v>
      </c>
      <c r="I2208" s="8">
        <v>46105</v>
      </c>
      <c r="J2208" t="s">
        <v>2685</v>
      </c>
      <c r="K2208" t="s">
        <v>2686</v>
      </c>
      <c r="L2208" s="13">
        <v>5000</v>
      </c>
      <c r="M2208" t="s">
        <v>2661</v>
      </c>
    </row>
    <row r="2209" spans="1:13">
      <c r="A2209" t="s">
        <v>775</v>
      </c>
      <c r="B2209" t="s">
        <v>52</v>
      </c>
      <c r="C2209" s="8">
        <v>46113</v>
      </c>
      <c r="D2209" t="s">
        <v>344</v>
      </c>
      <c r="E2209" t="s">
        <v>337</v>
      </c>
      <c r="F2209" s="12">
        <v>284569</v>
      </c>
      <c r="G2209" s="13">
        <v>28</v>
      </c>
      <c r="H2209" t="s">
        <v>3122</v>
      </c>
      <c r="I2209" s="8">
        <v>45976</v>
      </c>
      <c r="J2209" t="s">
        <v>2668</v>
      </c>
      <c r="K2209" t="s">
        <v>2669</v>
      </c>
      <c r="L2209" s="13">
        <v>4000</v>
      </c>
      <c r="M2209" t="s">
        <v>2661</v>
      </c>
    </row>
    <row r="2210" spans="1:13">
      <c r="A2210" t="s">
        <v>775</v>
      </c>
      <c r="B2210" t="s">
        <v>52</v>
      </c>
      <c r="C2210" s="8">
        <v>46113</v>
      </c>
      <c r="D2210" t="s">
        <v>344</v>
      </c>
      <c r="E2210" t="s">
        <v>337</v>
      </c>
      <c r="F2210" s="12">
        <v>284569</v>
      </c>
      <c r="G2210" s="13">
        <v>28</v>
      </c>
      <c r="H2210" t="s">
        <v>3497</v>
      </c>
      <c r="I2210" s="8">
        <v>46058</v>
      </c>
      <c r="J2210" t="s">
        <v>2665</v>
      </c>
      <c r="K2210" t="s">
        <v>2666</v>
      </c>
      <c r="L2210" s="13">
        <v>2500</v>
      </c>
      <c r="M2210" t="s">
        <v>2661</v>
      </c>
    </row>
    <row r="2211" spans="1:13">
      <c r="A2211" t="s">
        <v>556</v>
      </c>
      <c r="B2211" t="s">
        <v>235</v>
      </c>
      <c r="C2211" s="8">
        <v>46147</v>
      </c>
      <c r="D2211" t="s">
        <v>324</v>
      </c>
      <c r="E2211" t="s">
        <v>339</v>
      </c>
      <c r="F2211" s="12">
        <v>135887</v>
      </c>
      <c r="G2211" s="13">
        <v>13</v>
      </c>
      <c r="H2211" t="s">
        <v>2864</v>
      </c>
      <c r="I2211" s="8">
        <v>46063</v>
      </c>
      <c r="J2211" t="s">
        <v>2671</v>
      </c>
      <c r="K2211" t="s">
        <v>2672</v>
      </c>
      <c r="L2211" s="13">
        <v>3000</v>
      </c>
      <c r="M2211" t="s">
        <v>2661</v>
      </c>
    </row>
    <row r="2212" spans="1:13">
      <c r="A2212" t="s">
        <v>556</v>
      </c>
      <c r="B2212" t="s">
        <v>235</v>
      </c>
      <c r="C2212" s="8">
        <v>46147</v>
      </c>
      <c r="D2212" t="s">
        <v>324</v>
      </c>
      <c r="E2212" t="s">
        <v>339</v>
      </c>
      <c r="F2212" s="12">
        <v>135887</v>
      </c>
      <c r="G2212" s="13">
        <v>13</v>
      </c>
      <c r="H2212" t="s">
        <v>3530</v>
      </c>
      <c r="I2212" s="8">
        <v>45940</v>
      </c>
      <c r="J2212" t="s">
        <v>2659</v>
      </c>
      <c r="K2212" t="s">
        <v>2660</v>
      </c>
      <c r="L2212" s="13">
        <v>3500</v>
      </c>
      <c r="M2212" t="s">
        <v>2676</v>
      </c>
    </row>
    <row r="2213" spans="1:13">
      <c r="A2213" t="s">
        <v>556</v>
      </c>
      <c r="B2213" t="s">
        <v>235</v>
      </c>
      <c r="C2213" s="8">
        <v>46147</v>
      </c>
      <c r="D2213" t="s">
        <v>324</v>
      </c>
      <c r="E2213" t="s">
        <v>339</v>
      </c>
      <c r="F2213" s="12">
        <v>135887</v>
      </c>
      <c r="G2213" s="13">
        <v>13</v>
      </c>
      <c r="H2213" t="s">
        <v>3533</v>
      </c>
      <c r="I2213" s="8">
        <v>46204</v>
      </c>
      <c r="J2213" t="s">
        <v>2685</v>
      </c>
      <c r="K2213" t="s">
        <v>2686</v>
      </c>
      <c r="L2213" s="13">
        <v>5000</v>
      </c>
      <c r="M2213" t="s">
        <v>2661</v>
      </c>
    </row>
    <row r="2214" spans="1:13">
      <c r="A2214" t="s">
        <v>975</v>
      </c>
      <c r="B2214" t="s">
        <v>235</v>
      </c>
      <c r="C2214" s="8">
        <v>46077</v>
      </c>
      <c r="D2214" t="s">
        <v>321</v>
      </c>
      <c r="E2214" t="s">
        <v>328</v>
      </c>
      <c r="F2214" s="12">
        <v>115252</v>
      </c>
      <c r="G2214" s="13">
        <v>11</v>
      </c>
      <c r="H2214" t="s">
        <v>2864</v>
      </c>
      <c r="I2214" s="8">
        <v>46063</v>
      </c>
      <c r="J2214" t="s">
        <v>2671</v>
      </c>
      <c r="K2214" t="s">
        <v>2672</v>
      </c>
      <c r="L2214" s="13">
        <v>3000</v>
      </c>
      <c r="M2214" t="s">
        <v>2661</v>
      </c>
    </row>
    <row r="2215" spans="1:13">
      <c r="A2215" t="s">
        <v>975</v>
      </c>
      <c r="B2215" t="s">
        <v>235</v>
      </c>
      <c r="C2215" s="8">
        <v>46077</v>
      </c>
      <c r="D2215" t="s">
        <v>321</v>
      </c>
      <c r="E2215" t="s">
        <v>328</v>
      </c>
      <c r="F2215" s="12">
        <v>115252</v>
      </c>
      <c r="G2215" s="13">
        <v>11</v>
      </c>
      <c r="H2215" t="s">
        <v>3530</v>
      </c>
      <c r="I2215" s="8">
        <v>45940</v>
      </c>
      <c r="J2215" t="s">
        <v>2659</v>
      </c>
      <c r="K2215" t="s">
        <v>2660</v>
      </c>
      <c r="L2215" s="13">
        <v>3500</v>
      </c>
      <c r="M2215" t="s">
        <v>2676</v>
      </c>
    </row>
    <row r="2216" spans="1:13">
      <c r="A2216" t="s">
        <v>975</v>
      </c>
      <c r="B2216" t="s">
        <v>235</v>
      </c>
      <c r="C2216" s="8">
        <v>46077</v>
      </c>
      <c r="D2216" t="s">
        <v>321</v>
      </c>
      <c r="E2216" t="s">
        <v>328</v>
      </c>
      <c r="F2216" s="12">
        <v>115252</v>
      </c>
      <c r="G2216" s="13">
        <v>11</v>
      </c>
      <c r="H2216" t="s">
        <v>3533</v>
      </c>
      <c r="I2216" s="8">
        <v>46204</v>
      </c>
      <c r="J2216" t="s">
        <v>2685</v>
      </c>
      <c r="K2216" t="s">
        <v>2686</v>
      </c>
      <c r="L2216" s="13">
        <v>5000</v>
      </c>
      <c r="M2216" t="s">
        <v>2661</v>
      </c>
    </row>
    <row r="2217" spans="1:13">
      <c r="A2217" t="s">
        <v>521</v>
      </c>
      <c r="B2217" t="s">
        <v>164</v>
      </c>
      <c r="C2217" s="8">
        <v>46021</v>
      </c>
      <c r="D2217" t="s">
        <v>342</v>
      </c>
      <c r="E2217" t="s">
        <v>328</v>
      </c>
      <c r="F2217" s="12">
        <v>25000</v>
      </c>
      <c r="G2217" s="13">
        <v>2</v>
      </c>
      <c r="H2217" t="s">
        <v>2971</v>
      </c>
      <c r="I2217" s="8">
        <v>46018</v>
      </c>
      <c r="J2217" t="s">
        <v>2665</v>
      </c>
      <c r="K2217" t="s">
        <v>2666</v>
      </c>
      <c r="L2217" s="13">
        <v>2500</v>
      </c>
      <c r="M2217" t="s">
        <v>2661</v>
      </c>
    </row>
    <row r="2218" spans="1:13">
      <c r="A2218" t="s">
        <v>521</v>
      </c>
      <c r="B2218" t="s">
        <v>164</v>
      </c>
      <c r="C2218" s="8">
        <v>46021</v>
      </c>
      <c r="D2218" t="s">
        <v>342</v>
      </c>
      <c r="E2218" t="s">
        <v>328</v>
      </c>
      <c r="F2218" s="12">
        <v>25000</v>
      </c>
      <c r="G2218" s="13">
        <v>2</v>
      </c>
      <c r="H2218" t="s">
        <v>3109</v>
      </c>
      <c r="I2218" s="8">
        <v>46204</v>
      </c>
      <c r="J2218" t="s">
        <v>2668</v>
      </c>
      <c r="K2218" t="s">
        <v>2669</v>
      </c>
      <c r="L2218" s="13">
        <v>4000</v>
      </c>
      <c r="M2218" t="s">
        <v>2676</v>
      </c>
    </row>
    <row r="2219" spans="1:13">
      <c r="A2219" t="s">
        <v>521</v>
      </c>
      <c r="B2219" t="s">
        <v>164</v>
      </c>
      <c r="C2219" s="8">
        <v>46021</v>
      </c>
      <c r="D2219" t="s">
        <v>342</v>
      </c>
      <c r="E2219" t="s">
        <v>328</v>
      </c>
      <c r="F2219" s="12">
        <v>25000</v>
      </c>
      <c r="G2219" s="13">
        <v>2</v>
      </c>
      <c r="H2219" t="s">
        <v>3298</v>
      </c>
      <c r="I2219" s="8">
        <v>46208</v>
      </c>
      <c r="J2219" t="s">
        <v>2692</v>
      </c>
      <c r="K2219" t="s">
        <v>2693</v>
      </c>
      <c r="L2219" s="13">
        <v>10000</v>
      </c>
      <c r="M2219" t="s">
        <v>2661</v>
      </c>
    </row>
    <row r="2220" spans="1:13">
      <c r="A2220" t="s">
        <v>521</v>
      </c>
      <c r="B2220" t="s">
        <v>164</v>
      </c>
      <c r="C2220" s="8">
        <v>46021</v>
      </c>
      <c r="D2220" t="s">
        <v>342</v>
      </c>
      <c r="E2220" t="s">
        <v>328</v>
      </c>
      <c r="F2220" s="12">
        <v>25000</v>
      </c>
      <c r="G2220" s="13">
        <v>2</v>
      </c>
      <c r="H2220" t="s">
        <v>3523</v>
      </c>
      <c r="I2220" s="8">
        <v>46098</v>
      </c>
      <c r="J2220" t="s">
        <v>2659</v>
      </c>
      <c r="K2220" t="s">
        <v>2660</v>
      </c>
      <c r="L2220" s="13">
        <v>3500</v>
      </c>
      <c r="M2220" t="s">
        <v>2661</v>
      </c>
    </row>
    <row r="2221" spans="1:13">
      <c r="A2221" t="s">
        <v>612</v>
      </c>
      <c r="B2221" t="s">
        <v>164</v>
      </c>
      <c r="C2221" s="8">
        <v>46013</v>
      </c>
      <c r="D2221" t="s">
        <v>324</v>
      </c>
      <c r="E2221" t="s">
        <v>322</v>
      </c>
      <c r="F2221" s="12">
        <v>516553</v>
      </c>
      <c r="G2221" s="13">
        <v>51</v>
      </c>
      <c r="H2221" t="s">
        <v>2971</v>
      </c>
      <c r="I2221" s="8">
        <v>46018</v>
      </c>
      <c r="J2221" t="s">
        <v>2665</v>
      </c>
      <c r="K2221" t="s">
        <v>2666</v>
      </c>
      <c r="L2221" s="13">
        <v>2500</v>
      </c>
      <c r="M2221" t="s">
        <v>2661</v>
      </c>
    </row>
    <row r="2222" spans="1:13">
      <c r="A2222" t="s">
        <v>612</v>
      </c>
      <c r="B2222" t="s">
        <v>164</v>
      </c>
      <c r="C2222" s="8">
        <v>46013</v>
      </c>
      <c r="D2222" t="s">
        <v>324</v>
      </c>
      <c r="E2222" t="s">
        <v>322</v>
      </c>
      <c r="F2222" s="12">
        <v>516553</v>
      </c>
      <c r="G2222" s="13">
        <v>51</v>
      </c>
      <c r="H2222" t="s">
        <v>3109</v>
      </c>
      <c r="I2222" s="8">
        <v>46204</v>
      </c>
      <c r="J2222" t="s">
        <v>2668</v>
      </c>
      <c r="K2222" t="s">
        <v>2669</v>
      </c>
      <c r="L2222" s="13">
        <v>4000</v>
      </c>
      <c r="M2222" t="s">
        <v>2676</v>
      </c>
    </row>
    <row r="2223" spans="1:13">
      <c r="A2223" t="s">
        <v>612</v>
      </c>
      <c r="B2223" t="s">
        <v>164</v>
      </c>
      <c r="C2223" s="8">
        <v>46013</v>
      </c>
      <c r="D2223" t="s">
        <v>324</v>
      </c>
      <c r="E2223" t="s">
        <v>322</v>
      </c>
      <c r="F2223" s="12">
        <v>516553</v>
      </c>
      <c r="G2223" s="13">
        <v>51</v>
      </c>
      <c r="H2223" t="s">
        <v>3298</v>
      </c>
      <c r="I2223" s="8">
        <v>46208</v>
      </c>
      <c r="J2223" t="s">
        <v>2692</v>
      </c>
      <c r="K2223" t="s">
        <v>2693</v>
      </c>
      <c r="L2223" s="13">
        <v>10000</v>
      </c>
      <c r="M2223" t="s">
        <v>2661</v>
      </c>
    </row>
    <row r="2224" spans="1:13">
      <c r="A2224" t="s">
        <v>612</v>
      </c>
      <c r="B2224" t="s">
        <v>164</v>
      </c>
      <c r="C2224" s="8">
        <v>46013</v>
      </c>
      <c r="D2224" t="s">
        <v>324</v>
      </c>
      <c r="E2224" t="s">
        <v>322</v>
      </c>
      <c r="F2224" s="12">
        <v>516553</v>
      </c>
      <c r="G2224" s="13">
        <v>51</v>
      </c>
      <c r="H2224" t="s">
        <v>3523</v>
      </c>
      <c r="I2224" s="8">
        <v>46098</v>
      </c>
      <c r="J2224" t="s">
        <v>2659</v>
      </c>
      <c r="K2224" t="s">
        <v>2660</v>
      </c>
      <c r="L2224" s="13">
        <v>3500</v>
      </c>
      <c r="M2224" t="s">
        <v>2661</v>
      </c>
    </row>
    <row r="2225" spans="1:13">
      <c r="A2225" t="s">
        <v>628</v>
      </c>
      <c r="B2225" t="s">
        <v>164</v>
      </c>
      <c r="C2225" s="8">
        <v>46157</v>
      </c>
      <c r="D2225" t="s">
        <v>330</v>
      </c>
      <c r="E2225" t="s">
        <v>337</v>
      </c>
      <c r="F2225" s="12">
        <v>360026</v>
      </c>
      <c r="G2225" s="13">
        <v>36</v>
      </c>
      <c r="H2225" t="s">
        <v>2971</v>
      </c>
      <c r="I2225" s="8">
        <v>46018</v>
      </c>
      <c r="J2225" t="s">
        <v>2665</v>
      </c>
      <c r="K2225" t="s">
        <v>2666</v>
      </c>
      <c r="L2225" s="13">
        <v>2500</v>
      </c>
      <c r="M2225" t="s">
        <v>2661</v>
      </c>
    </row>
    <row r="2226" spans="1:13">
      <c r="A2226" t="s">
        <v>628</v>
      </c>
      <c r="B2226" t="s">
        <v>164</v>
      </c>
      <c r="C2226" s="8">
        <v>46157</v>
      </c>
      <c r="D2226" t="s">
        <v>330</v>
      </c>
      <c r="E2226" t="s">
        <v>337</v>
      </c>
      <c r="F2226" s="12">
        <v>360026</v>
      </c>
      <c r="G2226" s="13">
        <v>36</v>
      </c>
      <c r="H2226" t="s">
        <v>3109</v>
      </c>
      <c r="I2226" s="8">
        <v>46204</v>
      </c>
      <c r="J2226" t="s">
        <v>2668</v>
      </c>
      <c r="K2226" t="s">
        <v>2669</v>
      </c>
      <c r="L2226" s="13">
        <v>4000</v>
      </c>
      <c r="M2226" t="s">
        <v>2676</v>
      </c>
    </row>
    <row r="2227" spans="1:13">
      <c r="A2227" t="s">
        <v>628</v>
      </c>
      <c r="B2227" t="s">
        <v>164</v>
      </c>
      <c r="C2227" s="8">
        <v>46157</v>
      </c>
      <c r="D2227" t="s">
        <v>330</v>
      </c>
      <c r="E2227" t="s">
        <v>337</v>
      </c>
      <c r="F2227" s="12">
        <v>360026</v>
      </c>
      <c r="G2227" s="13">
        <v>36</v>
      </c>
      <c r="H2227" t="s">
        <v>3298</v>
      </c>
      <c r="I2227" s="8">
        <v>46208</v>
      </c>
      <c r="J2227" t="s">
        <v>2692</v>
      </c>
      <c r="K2227" t="s">
        <v>2693</v>
      </c>
      <c r="L2227" s="13">
        <v>10000</v>
      </c>
      <c r="M2227" t="s">
        <v>2661</v>
      </c>
    </row>
    <row r="2228" spans="1:13">
      <c r="A2228" t="s">
        <v>628</v>
      </c>
      <c r="B2228" t="s">
        <v>164</v>
      </c>
      <c r="C2228" s="8">
        <v>46157</v>
      </c>
      <c r="D2228" t="s">
        <v>330</v>
      </c>
      <c r="E2228" t="s">
        <v>337</v>
      </c>
      <c r="F2228" s="12">
        <v>360026</v>
      </c>
      <c r="G2228" s="13">
        <v>36</v>
      </c>
      <c r="H2228" t="s">
        <v>3523</v>
      </c>
      <c r="I2228" s="8">
        <v>46098</v>
      </c>
      <c r="J2228" t="s">
        <v>2659</v>
      </c>
      <c r="K2228" t="s">
        <v>2660</v>
      </c>
      <c r="L2228" s="13">
        <v>3500</v>
      </c>
      <c r="M2228" t="s">
        <v>2661</v>
      </c>
    </row>
    <row r="2229" spans="1:13">
      <c r="A2229" t="s">
        <v>657</v>
      </c>
      <c r="B2229" t="s">
        <v>164</v>
      </c>
      <c r="C2229" s="8">
        <v>46210</v>
      </c>
      <c r="D2229" t="s">
        <v>330</v>
      </c>
      <c r="E2229" t="s">
        <v>337</v>
      </c>
      <c r="F2229" s="12">
        <v>411214</v>
      </c>
      <c r="G2229" s="13">
        <v>41</v>
      </c>
      <c r="H2229" t="s">
        <v>2971</v>
      </c>
      <c r="I2229" s="8">
        <v>46018</v>
      </c>
      <c r="J2229" t="s">
        <v>2665</v>
      </c>
      <c r="K2229" t="s">
        <v>2666</v>
      </c>
      <c r="L2229" s="13">
        <v>2500</v>
      </c>
      <c r="M2229" t="s">
        <v>2661</v>
      </c>
    </row>
    <row r="2230" spans="1:13">
      <c r="A2230" t="s">
        <v>657</v>
      </c>
      <c r="B2230" t="s">
        <v>164</v>
      </c>
      <c r="C2230" s="8">
        <v>46210</v>
      </c>
      <c r="D2230" t="s">
        <v>330</v>
      </c>
      <c r="E2230" t="s">
        <v>337</v>
      </c>
      <c r="F2230" s="12">
        <v>411214</v>
      </c>
      <c r="G2230" s="13">
        <v>41</v>
      </c>
      <c r="H2230" t="s">
        <v>3109</v>
      </c>
      <c r="I2230" s="8">
        <v>46204</v>
      </c>
      <c r="J2230" t="s">
        <v>2668</v>
      </c>
      <c r="K2230" t="s">
        <v>2669</v>
      </c>
      <c r="L2230" s="13">
        <v>4000</v>
      </c>
      <c r="M2230" t="s">
        <v>2676</v>
      </c>
    </row>
    <row r="2231" spans="1:13">
      <c r="A2231" t="s">
        <v>657</v>
      </c>
      <c r="B2231" t="s">
        <v>164</v>
      </c>
      <c r="C2231" s="8">
        <v>46210</v>
      </c>
      <c r="D2231" t="s">
        <v>330</v>
      </c>
      <c r="E2231" t="s">
        <v>337</v>
      </c>
      <c r="F2231" s="12">
        <v>411214</v>
      </c>
      <c r="G2231" s="13">
        <v>41</v>
      </c>
      <c r="H2231" t="s">
        <v>3298</v>
      </c>
      <c r="I2231" s="8">
        <v>46208</v>
      </c>
      <c r="J2231" t="s">
        <v>2692</v>
      </c>
      <c r="K2231" t="s">
        <v>2693</v>
      </c>
      <c r="L2231" s="13">
        <v>10000</v>
      </c>
      <c r="M2231" t="s">
        <v>2661</v>
      </c>
    </row>
    <row r="2232" spans="1:13">
      <c r="A2232" t="s">
        <v>657</v>
      </c>
      <c r="B2232" t="s">
        <v>164</v>
      </c>
      <c r="C2232" s="8">
        <v>46210</v>
      </c>
      <c r="D2232" t="s">
        <v>330</v>
      </c>
      <c r="E2232" t="s">
        <v>337</v>
      </c>
      <c r="F2232" s="12">
        <v>411214</v>
      </c>
      <c r="G2232" s="13">
        <v>41</v>
      </c>
      <c r="H2232" t="s">
        <v>3523</v>
      </c>
      <c r="I2232" s="8">
        <v>46098</v>
      </c>
      <c r="J2232" t="s">
        <v>2659</v>
      </c>
      <c r="K2232" t="s">
        <v>2660</v>
      </c>
      <c r="L2232" s="13">
        <v>3500</v>
      </c>
      <c r="M2232" t="s">
        <v>2661</v>
      </c>
    </row>
    <row r="2233" spans="1:13">
      <c r="A2233" t="s">
        <v>665</v>
      </c>
      <c r="B2233" t="s">
        <v>164</v>
      </c>
      <c r="C2233" s="8">
        <v>46030</v>
      </c>
      <c r="D2233" t="s">
        <v>324</v>
      </c>
      <c r="E2233" t="s">
        <v>325</v>
      </c>
      <c r="F2233" s="12">
        <v>340703</v>
      </c>
      <c r="G2233" s="13">
        <v>34</v>
      </c>
      <c r="H2233" t="s">
        <v>2971</v>
      </c>
      <c r="I2233" s="8">
        <v>46018</v>
      </c>
      <c r="J2233" t="s">
        <v>2665</v>
      </c>
      <c r="K2233" t="s">
        <v>2666</v>
      </c>
      <c r="L2233" s="13">
        <v>2500</v>
      </c>
      <c r="M2233" t="s">
        <v>2661</v>
      </c>
    </row>
    <row r="2234" spans="1:13">
      <c r="A2234" t="s">
        <v>665</v>
      </c>
      <c r="B2234" t="s">
        <v>164</v>
      </c>
      <c r="C2234" s="8">
        <v>46030</v>
      </c>
      <c r="D2234" t="s">
        <v>324</v>
      </c>
      <c r="E2234" t="s">
        <v>325</v>
      </c>
      <c r="F2234" s="12">
        <v>340703</v>
      </c>
      <c r="G2234" s="13">
        <v>34</v>
      </c>
      <c r="H2234" t="s">
        <v>3109</v>
      </c>
      <c r="I2234" s="8">
        <v>46204</v>
      </c>
      <c r="J2234" t="s">
        <v>2668</v>
      </c>
      <c r="K2234" t="s">
        <v>2669</v>
      </c>
      <c r="L2234" s="13">
        <v>4000</v>
      </c>
      <c r="M2234" t="s">
        <v>2676</v>
      </c>
    </row>
    <row r="2235" spans="1:13">
      <c r="A2235" t="s">
        <v>665</v>
      </c>
      <c r="B2235" t="s">
        <v>164</v>
      </c>
      <c r="C2235" s="8">
        <v>46030</v>
      </c>
      <c r="D2235" t="s">
        <v>324</v>
      </c>
      <c r="E2235" t="s">
        <v>325</v>
      </c>
      <c r="F2235" s="12">
        <v>340703</v>
      </c>
      <c r="G2235" s="13">
        <v>34</v>
      </c>
      <c r="H2235" t="s">
        <v>3298</v>
      </c>
      <c r="I2235" s="8">
        <v>46208</v>
      </c>
      <c r="J2235" t="s">
        <v>2692</v>
      </c>
      <c r="K2235" t="s">
        <v>2693</v>
      </c>
      <c r="L2235" s="13">
        <v>10000</v>
      </c>
      <c r="M2235" t="s">
        <v>2661</v>
      </c>
    </row>
    <row r="2236" spans="1:13">
      <c r="A2236" t="s">
        <v>665</v>
      </c>
      <c r="B2236" t="s">
        <v>164</v>
      </c>
      <c r="C2236" s="8">
        <v>46030</v>
      </c>
      <c r="D2236" t="s">
        <v>324</v>
      </c>
      <c r="E2236" t="s">
        <v>325</v>
      </c>
      <c r="F2236" s="12">
        <v>340703</v>
      </c>
      <c r="G2236" s="13">
        <v>34</v>
      </c>
      <c r="H2236" t="s">
        <v>3523</v>
      </c>
      <c r="I2236" s="8">
        <v>46098</v>
      </c>
      <c r="J2236" t="s">
        <v>2659</v>
      </c>
      <c r="K2236" t="s">
        <v>2660</v>
      </c>
      <c r="L2236" s="13">
        <v>3500</v>
      </c>
      <c r="M2236" t="s">
        <v>2661</v>
      </c>
    </row>
    <row r="2237" spans="1:13">
      <c r="A2237" t="s">
        <v>703</v>
      </c>
      <c r="B2237" t="s">
        <v>164</v>
      </c>
      <c r="C2237" s="8">
        <v>46224</v>
      </c>
      <c r="D2237" t="s">
        <v>327</v>
      </c>
      <c r="E2237" t="s">
        <v>322</v>
      </c>
      <c r="F2237" s="12">
        <v>278807</v>
      </c>
      <c r="G2237" s="13">
        <v>27</v>
      </c>
      <c r="H2237" t="s">
        <v>2971</v>
      </c>
      <c r="I2237" s="8">
        <v>46018</v>
      </c>
      <c r="J2237" t="s">
        <v>2665</v>
      </c>
      <c r="K2237" t="s">
        <v>2666</v>
      </c>
      <c r="L2237" s="13">
        <v>2500</v>
      </c>
      <c r="M2237" t="s">
        <v>2661</v>
      </c>
    </row>
    <row r="2238" spans="1:13">
      <c r="A2238" t="s">
        <v>703</v>
      </c>
      <c r="B2238" t="s">
        <v>164</v>
      </c>
      <c r="C2238" s="8">
        <v>46224</v>
      </c>
      <c r="D2238" t="s">
        <v>327</v>
      </c>
      <c r="E2238" t="s">
        <v>322</v>
      </c>
      <c r="F2238" s="12">
        <v>278807</v>
      </c>
      <c r="G2238" s="13">
        <v>27</v>
      </c>
      <c r="H2238" t="s">
        <v>3109</v>
      </c>
      <c r="I2238" s="8">
        <v>46204</v>
      </c>
      <c r="J2238" t="s">
        <v>2668</v>
      </c>
      <c r="K2238" t="s">
        <v>2669</v>
      </c>
      <c r="L2238" s="13">
        <v>4000</v>
      </c>
      <c r="M2238" t="s">
        <v>2676</v>
      </c>
    </row>
    <row r="2239" spans="1:13">
      <c r="A2239" t="s">
        <v>703</v>
      </c>
      <c r="B2239" t="s">
        <v>164</v>
      </c>
      <c r="C2239" s="8">
        <v>46224</v>
      </c>
      <c r="D2239" t="s">
        <v>327</v>
      </c>
      <c r="E2239" t="s">
        <v>322</v>
      </c>
      <c r="F2239" s="12">
        <v>278807</v>
      </c>
      <c r="G2239" s="13">
        <v>27</v>
      </c>
      <c r="H2239" t="s">
        <v>3298</v>
      </c>
      <c r="I2239" s="8">
        <v>46208</v>
      </c>
      <c r="J2239" t="s">
        <v>2692</v>
      </c>
      <c r="K2239" t="s">
        <v>2693</v>
      </c>
      <c r="L2239" s="13">
        <v>10000</v>
      </c>
      <c r="M2239" t="s">
        <v>2661</v>
      </c>
    </row>
    <row r="2240" spans="1:13">
      <c r="A2240" t="s">
        <v>703</v>
      </c>
      <c r="B2240" t="s">
        <v>164</v>
      </c>
      <c r="C2240" s="8">
        <v>46224</v>
      </c>
      <c r="D2240" t="s">
        <v>327</v>
      </c>
      <c r="E2240" t="s">
        <v>322</v>
      </c>
      <c r="F2240" s="12">
        <v>278807</v>
      </c>
      <c r="G2240" s="13">
        <v>27</v>
      </c>
      <c r="H2240" t="s">
        <v>3523</v>
      </c>
      <c r="I2240" s="8">
        <v>46098</v>
      </c>
      <c r="J2240" t="s">
        <v>2659</v>
      </c>
      <c r="K2240" t="s">
        <v>2660</v>
      </c>
      <c r="L2240" s="13">
        <v>3500</v>
      </c>
      <c r="M2240" t="s">
        <v>2661</v>
      </c>
    </row>
    <row r="2241" spans="1:13">
      <c r="A2241" t="s">
        <v>761</v>
      </c>
      <c r="B2241" t="s">
        <v>164</v>
      </c>
      <c r="C2241" s="8">
        <v>46059</v>
      </c>
      <c r="D2241" t="s">
        <v>330</v>
      </c>
      <c r="E2241" t="s">
        <v>339</v>
      </c>
      <c r="F2241" s="12">
        <v>187039</v>
      </c>
      <c r="G2241" s="13">
        <v>18</v>
      </c>
      <c r="H2241" t="s">
        <v>2971</v>
      </c>
      <c r="I2241" s="8">
        <v>46018</v>
      </c>
      <c r="J2241" t="s">
        <v>2665</v>
      </c>
      <c r="K2241" t="s">
        <v>2666</v>
      </c>
      <c r="L2241" s="13">
        <v>2500</v>
      </c>
      <c r="M2241" t="s">
        <v>2661</v>
      </c>
    </row>
    <row r="2242" spans="1:13">
      <c r="A2242" t="s">
        <v>761</v>
      </c>
      <c r="B2242" t="s">
        <v>164</v>
      </c>
      <c r="C2242" s="8">
        <v>46059</v>
      </c>
      <c r="D2242" t="s">
        <v>330</v>
      </c>
      <c r="E2242" t="s">
        <v>339</v>
      </c>
      <c r="F2242" s="12">
        <v>187039</v>
      </c>
      <c r="G2242" s="13">
        <v>18</v>
      </c>
      <c r="H2242" t="s">
        <v>3109</v>
      </c>
      <c r="I2242" s="8">
        <v>46204</v>
      </c>
      <c r="J2242" t="s">
        <v>2668</v>
      </c>
      <c r="K2242" t="s">
        <v>2669</v>
      </c>
      <c r="L2242" s="13">
        <v>4000</v>
      </c>
      <c r="M2242" t="s">
        <v>2676</v>
      </c>
    </row>
    <row r="2243" spans="1:13">
      <c r="A2243" t="s">
        <v>761</v>
      </c>
      <c r="B2243" t="s">
        <v>164</v>
      </c>
      <c r="C2243" s="8">
        <v>46059</v>
      </c>
      <c r="D2243" t="s">
        <v>330</v>
      </c>
      <c r="E2243" t="s">
        <v>339</v>
      </c>
      <c r="F2243" s="12">
        <v>187039</v>
      </c>
      <c r="G2243" s="13">
        <v>18</v>
      </c>
      <c r="H2243" t="s">
        <v>3298</v>
      </c>
      <c r="I2243" s="8">
        <v>46208</v>
      </c>
      <c r="J2243" t="s">
        <v>2692</v>
      </c>
      <c r="K2243" t="s">
        <v>2693</v>
      </c>
      <c r="L2243" s="13">
        <v>10000</v>
      </c>
      <c r="M2243" t="s">
        <v>2661</v>
      </c>
    </row>
    <row r="2244" spans="1:13">
      <c r="A2244" t="s">
        <v>761</v>
      </c>
      <c r="B2244" t="s">
        <v>164</v>
      </c>
      <c r="C2244" s="8">
        <v>46059</v>
      </c>
      <c r="D2244" t="s">
        <v>330</v>
      </c>
      <c r="E2244" t="s">
        <v>339</v>
      </c>
      <c r="F2244" s="12">
        <v>187039</v>
      </c>
      <c r="G2244" s="13">
        <v>18</v>
      </c>
      <c r="H2244" t="s">
        <v>3523</v>
      </c>
      <c r="I2244" s="8">
        <v>46098</v>
      </c>
      <c r="J2244" t="s">
        <v>2659</v>
      </c>
      <c r="K2244" t="s">
        <v>2660</v>
      </c>
      <c r="L2244" s="13">
        <v>3500</v>
      </c>
      <c r="M2244" t="s">
        <v>2661</v>
      </c>
    </row>
    <row r="2245" spans="1:13">
      <c r="A2245" t="s">
        <v>988</v>
      </c>
      <c r="B2245" t="s">
        <v>164</v>
      </c>
      <c r="C2245" s="8">
        <v>45983</v>
      </c>
      <c r="D2245" t="s">
        <v>330</v>
      </c>
      <c r="E2245" t="s">
        <v>337</v>
      </c>
      <c r="F2245" s="12">
        <v>433211</v>
      </c>
      <c r="G2245" s="13">
        <v>43</v>
      </c>
      <c r="H2245" t="s">
        <v>2971</v>
      </c>
      <c r="I2245" s="8">
        <v>46018</v>
      </c>
      <c r="J2245" t="s">
        <v>2665</v>
      </c>
      <c r="K2245" t="s">
        <v>2666</v>
      </c>
      <c r="L2245" s="13">
        <v>2500</v>
      </c>
      <c r="M2245" t="s">
        <v>2661</v>
      </c>
    </row>
    <row r="2246" spans="1:13">
      <c r="A2246" t="s">
        <v>988</v>
      </c>
      <c r="B2246" t="s">
        <v>164</v>
      </c>
      <c r="C2246" s="8">
        <v>45983</v>
      </c>
      <c r="D2246" t="s">
        <v>330</v>
      </c>
      <c r="E2246" t="s">
        <v>337</v>
      </c>
      <c r="F2246" s="12">
        <v>433211</v>
      </c>
      <c r="G2246" s="13">
        <v>43</v>
      </c>
      <c r="H2246" t="s">
        <v>3109</v>
      </c>
      <c r="I2246" s="8">
        <v>46204</v>
      </c>
      <c r="J2246" t="s">
        <v>2668</v>
      </c>
      <c r="K2246" t="s">
        <v>2669</v>
      </c>
      <c r="L2246" s="13">
        <v>4000</v>
      </c>
      <c r="M2246" t="s">
        <v>2676</v>
      </c>
    </row>
    <row r="2247" spans="1:13">
      <c r="A2247" t="s">
        <v>988</v>
      </c>
      <c r="B2247" t="s">
        <v>164</v>
      </c>
      <c r="C2247" s="8">
        <v>45983</v>
      </c>
      <c r="D2247" t="s">
        <v>330</v>
      </c>
      <c r="E2247" t="s">
        <v>337</v>
      </c>
      <c r="F2247" s="12">
        <v>433211</v>
      </c>
      <c r="G2247" s="13">
        <v>43</v>
      </c>
      <c r="H2247" t="s">
        <v>3298</v>
      </c>
      <c r="I2247" s="8">
        <v>46208</v>
      </c>
      <c r="J2247" t="s">
        <v>2692</v>
      </c>
      <c r="K2247" t="s">
        <v>2693</v>
      </c>
      <c r="L2247" s="13">
        <v>10000</v>
      </c>
      <c r="M2247" t="s">
        <v>2661</v>
      </c>
    </row>
    <row r="2248" spans="1:13">
      <c r="A2248" t="s">
        <v>988</v>
      </c>
      <c r="B2248" t="s">
        <v>164</v>
      </c>
      <c r="C2248" s="8">
        <v>45983</v>
      </c>
      <c r="D2248" t="s">
        <v>330</v>
      </c>
      <c r="E2248" t="s">
        <v>337</v>
      </c>
      <c r="F2248" s="12">
        <v>433211</v>
      </c>
      <c r="G2248" s="13">
        <v>43</v>
      </c>
      <c r="H2248" t="s">
        <v>3523</v>
      </c>
      <c r="I2248" s="8">
        <v>46098</v>
      </c>
      <c r="J2248" t="s">
        <v>2659</v>
      </c>
      <c r="K2248" t="s">
        <v>2660</v>
      </c>
      <c r="L2248" s="13">
        <v>3500</v>
      </c>
      <c r="M2248" t="s">
        <v>2661</v>
      </c>
    </row>
    <row r="2249" spans="1:13">
      <c r="A2249" t="s">
        <v>1143</v>
      </c>
      <c r="B2249" t="s">
        <v>164</v>
      </c>
      <c r="C2249" s="8">
        <v>46100</v>
      </c>
      <c r="D2249" t="s">
        <v>321</v>
      </c>
      <c r="E2249" t="s">
        <v>337</v>
      </c>
      <c r="F2249" s="12">
        <v>389528</v>
      </c>
      <c r="G2249" s="13">
        <v>38</v>
      </c>
      <c r="H2249" t="s">
        <v>2971</v>
      </c>
      <c r="I2249" s="8">
        <v>46018</v>
      </c>
      <c r="J2249" t="s">
        <v>2665</v>
      </c>
      <c r="K2249" t="s">
        <v>2666</v>
      </c>
      <c r="L2249" s="13">
        <v>2500</v>
      </c>
      <c r="M2249" t="s">
        <v>2661</v>
      </c>
    </row>
    <row r="2250" spans="1:13">
      <c r="A2250" t="s">
        <v>1143</v>
      </c>
      <c r="B2250" t="s">
        <v>164</v>
      </c>
      <c r="C2250" s="8">
        <v>46100</v>
      </c>
      <c r="D2250" t="s">
        <v>321</v>
      </c>
      <c r="E2250" t="s">
        <v>337</v>
      </c>
      <c r="F2250" s="12">
        <v>389528</v>
      </c>
      <c r="G2250" s="13">
        <v>38</v>
      </c>
      <c r="H2250" t="s">
        <v>3109</v>
      </c>
      <c r="I2250" s="8">
        <v>46204</v>
      </c>
      <c r="J2250" t="s">
        <v>2668</v>
      </c>
      <c r="K2250" t="s">
        <v>2669</v>
      </c>
      <c r="L2250" s="13">
        <v>4000</v>
      </c>
      <c r="M2250" t="s">
        <v>2676</v>
      </c>
    </row>
    <row r="2251" spans="1:13">
      <c r="A2251" t="s">
        <v>1143</v>
      </c>
      <c r="B2251" t="s">
        <v>164</v>
      </c>
      <c r="C2251" s="8">
        <v>46100</v>
      </c>
      <c r="D2251" t="s">
        <v>321</v>
      </c>
      <c r="E2251" t="s">
        <v>337</v>
      </c>
      <c r="F2251" s="12">
        <v>389528</v>
      </c>
      <c r="G2251" s="13">
        <v>38</v>
      </c>
      <c r="H2251" t="s">
        <v>3298</v>
      </c>
      <c r="I2251" s="8">
        <v>46208</v>
      </c>
      <c r="J2251" t="s">
        <v>2692</v>
      </c>
      <c r="K2251" t="s">
        <v>2693</v>
      </c>
      <c r="L2251" s="13">
        <v>10000</v>
      </c>
      <c r="M2251" t="s">
        <v>2661</v>
      </c>
    </row>
    <row r="2252" spans="1:13">
      <c r="A2252" t="s">
        <v>1143</v>
      </c>
      <c r="B2252" t="s">
        <v>164</v>
      </c>
      <c r="C2252" s="8">
        <v>46100</v>
      </c>
      <c r="D2252" t="s">
        <v>321</v>
      </c>
      <c r="E2252" t="s">
        <v>337</v>
      </c>
      <c r="F2252" s="12">
        <v>389528</v>
      </c>
      <c r="G2252" s="13">
        <v>38</v>
      </c>
      <c r="H2252" t="s">
        <v>3523</v>
      </c>
      <c r="I2252" s="8">
        <v>46098</v>
      </c>
      <c r="J2252" t="s">
        <v>2659</v>
      </c>
      <c r="K2252" t="s">
        <v>2660</v>
      </c>
      <c r="L2252" s="13">
        <v>3500</v>
      </c>
      <c r="M2252" t="s">
        <v>2661</v>
      </c>
    </row>
    <row r="2253" spans="1:13">
      <c r="A2253" t="s">
        <v>1220</v>
      </c>
      <c r="B2253" t="s">
        <v>164</v>
      </c>
      <c r="C2253" s="8">
        <v>46293</v>
      </c>
      <c r="D2253" t="s">
        <v>327</v>
      </c>
      <c r="E2253" t="s">
        <v>339</v>
      </c>
      <c r="F2253" s="12">
        <v>98949</v>
      </c>
      <c r="G2253" s="13">
        <v>9</v>
      </c>
      <c r="H2253" t="s">
        <v>2971</v>
      </c>
      <c r="I2253" s="8">
        <v>46018</v>
      </c>
      <c r="J2253" t="s">
        <v>2665</v>
      </c>
      <c r="K2253" t="s">
        <v>2666</v>
      </c>
      <c r="L2253" s="13">
        <v>2500</v>
      </c>
      <c r="M2253" t="s">
        <v>2661</v>
      </c>
    </row>
    <row r="2254" spans="1:13">
      <c r="A2254" t="s">
        <v>1220</v>
      </c>
      <c r="B2254" t="s">
        <v>164</v>
      </c>
      <c r="C2254" s="8">
        <v>46293</v>
      </c>
      <c r="D2254" t="s">
        <v>327</v>
      </c>
      <c r="E2254" t="s">
        <v>339</v>
      </c>
      <c r="F2254" s="12">
        <v>98949</v>
      </c>
      <c r="G2254" s="13">
        <v>9</v>
      </c>
      <c r="H2254" t="s">
        <v>3109</v>
      </c>
      <c r="I2254" s="8">
        <v>46204</v>
      </c>
      <c r="J2254" t="s">
        <v>2668</v>
      </c>
      <c r="K2254" t="s">
        <v>2669</v>
      </c>
      <c r="L2254" s="13">
        <v>4000</v>
      </c>
      <c r="M2254" t="s">
        <v>2676</v>
      </c>
    </row>
    <row r="2255" spans="1:13">
      <c r="A2255" t="s">
        <v>1220</v>
      </c>
      <c r="B2255" t="s">
        <v>164</v>
      </c>
      <c r="C2255" s="8">
        <v>46293</v>
      </c>
      <c r="D2255" t="s">
        <v>327</v>
      </c>
      <c r="E2255" t="s">
        <v>339</v>
      </c>
      <c r="F2255" s="12">
        <v>98949</v>
      </c>
      <c r="G2255" s="13">
        <v>9</v>
      </c>
      <c r="H2255" t="s">
        <v>3298</v>
      </c>
      <c r="I2255" s="8">
        <v>46208</v>
      </c>
      <c r="J2255" t="s">
        <v>2692</v>
      </c>
      <c r="K2255" t="s">
        <v>2693</v>
      </c>
      <c r="L2255" s="13">
        <v>10000</v>
      </c>
      <c r="M2255" t="s">
        <v>2661</v>
      </c>
    </row>
    <row r="2256" spans="1:13">
      <c r="A2256" t="s">
        <v>1220</v>
      </c>
      <c r="B2256" t="s">
        <v>164</v>
      </c>
      <c r="C2256" s="8">
        <v>46293</v>
      </c>
      <c r="D2256" t="s">
        <v>327</v>
      </c>
      <c r="E2256" t="s">
        <v>339</v>
      </c>
      <c r="F2256" s="12">
        <v>98949</v>
      </c>
      <c r="G2256" s="13">
        <v>9</v>
      </c>
      <c r="H2256" t="s">
        <v>3523</v>
      </c>
      <c r="I2256" s="8">
        <v>46098</v>
      </c>
      <c r="J2256" t="s">
        <v>2659</v>
      </c>
      <c r="K2256" t="s">
        <v>2660</v>
      </c>
      <c r="L2256" s="13">
        <v>3500</v>
      </c>
      <c r="M2256" t="s">
        <v>2661</v>
      </c>
    </row>
    <row r="2257" spans="1:13">
      <c r="A2257" t="s">
        <v>922</v>
      </c>
      <c r="B2257" t="s">
        <v>296</v>
      </c>
      <c r="C2257" s="8">
        <v>46252</v>
      </c>
      <c r="D2257" t="s">
        <v>350</v>
      </c>
      <c r="E2257" t="s">
        <v>322</v>
      </c>
      <c r="F2257" s="12">
        <v>152283</v>
      </c>
      <c r="G2257" s="13">
        <v>15</v>
      </c>
      <c r="H2257" t="s">
        <v>2866</v>
      </c>
      <c r="I2257" s="8">
        <v>45940</v>
      </c>
      <c r="J2257" t="s">
        <v>2685</v>
      </c>
      <c r="K2257" t="s">
        <v>2686</v>
      </c>
      <c r="L2257" s="13">
        <v>5000</v>
      </c>
      <c r="M2257" t="s">
        <v>2661</v>
      </c>
    </row>
    <row r="2258" spans="1:13">
      <c r="A2258" t="s">
        <v>1051</v>
      </c>
      <c r="B2258" t="s">
        <v>296</v>
      </c>
      <c r="C2258" s="8">
        <v>46186</v>
      </c>
      <c r="D2258" t="s">
        <v>344</v>
      </c>
      <c r="E2258" t="s">
        <v>328</v>
      </c>
      <c r="F2258" s="12">
        <v>283184</v>
      </c>
      <c r="G2258" s="13">
        <v>28</v>
      </c>
      <c r="H2258" t="s">
        <v>2866</v>
      </c>
      <c r="I2258" s="8">
        <v>45940</v>
      </c>
      <c r="J2258" t="s">
        <v>2685</v>
      </c>
      <c r="K2258" t="s">
        <v>2686</v>
      </c>
      <c r="L2258" s="13">
        <v>5000</v>
      </c>
      <c r="M2258" t="s">
        <v>2661</v>
      </c>
    </row>
    <row r="2259" spans="1:13">
      <c r="A2259" t="s">
        <v>1230</v>
      </c>
      <c r="B2259" t="s">
        <v>296</v>
      </c>
      <c r="C2259" s="8">
        <v>46086</v>
      </c>
      <c r="D2259" t="s">
        <v>342</v>
      </c>
      <c r="E2259" t="s">
        <v>322</v>
      </c>
      <c r="F2259" s="12">
        <v>293055</v>
      </c>
      <c r="G2259" s="13">
        <v>29</v>
      </c>
      <c r="H2259" t="s">
        <v>2866</v>
      </c>
      <c r="I2259" s="8">
        <v>45940</v>
      </c>
      <c r="J2259" t="s">
        <v>2685</v>
      </c>
      <c r="K2259" t="s">
        <v>2686</v>
      </c>
      <c r="L2259" s="13">
        <v>5000</v>
      </c>
      <c r="M2259" t="s">
        <v>2661</v>
      </c>
    </row>
    <row r="2260" spans="1:13">
      <c r="A2260" t="s">
        <v>984</v>
      </c>
      <c r="B2260" t="s">
        <v>72</v>
      </c>
      <c r="C2260" s="8">
        <v>45949</v>
      </c>
      <c r="D2260" t="s">
        <v>332</v>
      </c>
      <c r="E2260" t="s">
        <v>325</v>
      </c>
      <c r="F2260" s="12">
        <v>105607</v>
      </c>
      <c r="G2260" s="13">
        <v>10</v>
      </c>
      <c r="H2260" t="s">
        <v>2867</v>
      </c>
      <c r="I2260" s="8">
        <v>46133</v>
      </c>
      <c r="J2260" t="s">
        <v>2692</v>
      </c>
      <c r="K2260" t="s">
        <v>2693</v>
      </c>
      <c r="L2260" s="13">
        <v>10000</v>
      </c>
      <c r="M2260" t="s">
        <v>2661</v>
      </c>
    </row>
    <row r="2261" spans="1:13">
      <c r="A2261" t="s">
        <v>984</v>
      </c>
      <c r="B2261" t="s">
        <v>72</v>
      </c>
      <c r="C2261" s="8">
        <v>45949</v>
      </c>
      <c r="D2261" t="s">
        <v>332</v>
      </c>
      <c r="E2261" t="s">
        <v>325</v>
      </c>
      <c r="F2261" s="12">
        <v>105607</v>
      </c>
      <c r="G2261" s="13">
        <v>10</v>
      </c>
      <c r="H2261" t="s">
        <v>2882</v>
      </c>
      <c r="I2261" s="8">
        <v>46263</v>
      </c>
      <c r="J2261" t="s">
        <v>2659</v>
      </c>
      <c r="K2261" t="s">
        <v>2660</v>
      </c>
      <c r="L2261" s="13">
        <v>3500</v>
      </c>
      <c r="M2261" t="s">
        <v>2661</v>
      </c>
    </row>
    <row r="2262" spans="1:13">
      <c r="A2262" t="s">
        <v>984</v>
      </c>
      <c r="B2262" t="s">
        <v>72</v>
      </c>
      <c r="C2262" s="8">
        <v>45949</v>
      </c>
      <c r="D2262" t="s">
        <v>332</v>
      </c>
      <c r="E2262" t="s">
        <v>325</v>
      </c>
      <c r="F2262" s="12">
        <v>105607</v>
      </c>
      <c r="G2262" s="13">
        <v>10</v>
      </c>
      <c r="H2262" t="s">
        <v>2960</v>
      </c>
      <c r="I2262" s="8">
        <v>46011</v>
      </c>
      <c r="J2262" t="s">
        <v>2671</v>
      </c>
      <c r="K2262" t="s">
        <v>2672</v>
      </c>
      <c r="L2262" s="13">
        <v>3000</v>
      </c>
      <c r="M2262" t="s">
        <v>2661</v>
      </c>
    </row>
    <row r="2263" spans="1:13">
      <c r="A2263" t="s">
        <v>984</v>
      </c>
      <c r="B2263" t="s">
        <v>72</v>
      </c>
      <c r="C2263" s="8">
        <v>45949</v>
      </c>
      <c r="D2263" t="s">
        <v>332</v>
      </c>
      <c r="E2263" t="s">
        <v>325</v>
      </c>
      <c r="F2263" s="12">
        <v>105607</v>
      </c>
      <c r="G2263" s="13">
        <v>10</v>
      </c>
      <c r="H2263" t="s">
        <v>3202</v>
      </c>
      <c r="I2263" s="8">
        <v>46044</v>
      </c>
      <c r="J2263" t="s">
        <v>2685</v>
      </c>
      <c r="K2263" t="s">
        <v>2686</v>
      </c>
      <c r="L2263" s="13">
        <v>5000</v>
      </c>
      <c r="M2263" t="s">
        <v>2661</v>
      </c>
    </row>
    <row r="2264" spans="1:13">
      <c r="A2264" t="s">
        <v>984</v>
      </c>
      <c r="B2264" t="s">
        <v>72</v>
      </c>
      <c r="C2264" s="8">
        <v>45949</v>
      </c>
      <c r="D2264" t="s">
        <v>332</v>
      </c>
      <c r="E2264" t="s">
        <v>325</v>
      </c>
      <c r="F2264" s="12">
        <v>105607</v>
      </c>
      <c r="G2264" s="13">
        <v>10</v>
      </c>
      <c r="H2264" t="s">
        <v>3453</v>
      </c>
      <c r="I2264" s="8">
        <v>45963</v>
      </c>
      <c r="J2264" t="s">
        <v>2692</v>
      </c>
      <c r="K2264" t="s">
        <v>2693</v>
      </c>
      <c r="L2264" s="13">
        <v>10000</v>
      </c>
      <c r="M2264" t="s">
        <v>2676</v>
      </c>
    </row>
    <row r="2265" spans="1:13">
      <c r="A2265" t="s">
        <v>545</v>
      </c>
      <c r="B2265" t="s">
        <v>154</v>
      </c>
      <c r="C2265" s="8">
        <v>46265</v>
      </c>
      <c r="D2265" t="s">
        <v>344</v>
      </c>
      <c r="E2265" t="s">
        <v>322</v>
      </c>
      <c r="F2265" s="12">
        <v>407847</v>
      </c>
      <c r="G2265" s="13">
        <v>40</v>
      </c>
      <c r="H2265" t="s">
        <v>2871</v>
      </c>
      <c r="I2265" s="8">
        <v>46267</v>
      </c>
      <c r="J2265" t="s">
        <v>2692</v>
      </c>
      <c r="K2265" t="s">
        <v>2693</v>
      </c>
      <c r="L2265" s="13">
        <v>10000</v>
      </c>
      <c r="M2265" t="s">
        <v>2676</v>
      </c>
    </row>
    <row r="2266" spans="1:13">
      <c r="A2266" t="s">
        <v>545</v>
      </c>
      <c r="B2266" t="s">
        <v>154</v>
      </c>
      <c r="C2266" s="8">
        <v>46265</v>
      </c>
      <c r="D2266" t="s">
        <v>344</v>
      </c>
      <c r="E2266" t="s">
        <v>322</v>
      </c>
      <c r="F2266" s="12">
        <v>407847</v>
      </c>
      <c r="G2266" s="13">
        <v>40</v>
      </c>
      <c r="H2266" t="s">
        <v>2963</v>
      </c>
      <c r="I2266" s="8">
        <v>45981</v>
      </c>
      <c r="J2266" t="s">
        <v>2659</v>
      </c>
      <c r="K2266" t="s">
        <v>2660</v>
      </c>
      <c r="L2266" s="13">
        <v>3500</v>
      </c>
      <c r="M2266" t="s">
        <v>2661</v>
      </c>
    </row>
    <row r="2267" spans="1:13">
      <c r="A2267" t="s">
        <v>545</v>
      </c>
      <c r="B2267" t="s">
        <v>154</v>
      </c>
      <c r="C2267" s="8">
        <v>46265</v>
      </c>
      <c r="D2267" t="s">
        <v>344</v>
      </c>
      <c r="E2267" t="s">
        <v>322</v>
      </c>
      <c r="F2267" s="12">
        <v>407847</v>
      </c>
      <c r="G2267" s="13">
        <v>40</v>
      </c>
      <c r="H2267" t="s">
        <v>2967</v>
      </c>
      <c r="I2267" s="8">
        <v>46155</v>
      </c>
      <c r="J2267" t="s">
        <v>2668</v>
      </c>
      <c r="K2267" t="s">
        <v>2669</v>
      </c>
      <c r="L2267" s="13">
        <v>4000</v>
      </c>
      <c r="M2267" t="s">
        <v>2661</v>
      </c>
    </row>
    <row r="2268" spans="1:13">
      <c r="A2268" t="s">
        <v>545</v>
      </c>
      <c r="B2268" t="s">
        <v>154</v>
      </c>
      <c r="C2268" s="8">
        <v>46265</v>
      </c>
      <c r="D2268" t="s">
        <v>344</v>
      </c>
      <c r="E2268" t="s">
        <v>322</v>
      </c>
      <c r="F2268" s="12">
        <v>407847</v>
      </c>
      <c r="G2268" s="13">
        <v>40</v>
      </c>
      <c r="H2268" t="s">
        <v>3013</v>
      </c>
      <c r="I2268" s="8">
        <v>45942</v>
      </c>
      <c r="J2268" t="s">
        <v>2682</v>
      </c>
      <c r="K2268" t="s">
        <v>2683</v>
      </c>
      <c r="L2268" s="13">
        <v>6000</v>
      </c>
      <c r="M2268" t="s">
        <v>2661</v>
      </c>
    </row>
    <row r="2269" spans="1:13">
      <c r="A2269" t="s">
        <v>545</v>
      </c>
      <c r="B2269" t="s">
        <v>154</v>
      </c>
      <c r="C2269" s="8">
        <v>46265</v>
      </c>
      <c r="D2269" t="s">
        <v>344</v>
      </c>
      <c r="E2269" t="s">
        <v>322</v>
      </c>
      <c r="F2269" s="12">
        <v>407847</v>
      </c>
      <c r="G2269" s="13">
        <v>40</v>
      </c>
      <c r="H2269" t="s">
        <v>3188</v>
      </c>
      <c r="I2269" s="8">
        <v>46142</v>
      </c>
      <c r="J2269" t="s">
        <v>2665</v>
      </c>
      <c r="K2269" t="s">
        <v>2666</v>
      </c>
      <c r="L2269" s="13">
        <v>2500</v>
      </c>
      <c r="M2269" t="s">
        <v>2676</v>
      </c>
    </row>
    <row r="2270" spans="1:13">
      <c r="A2270" t="s">
        <v>545</v>
      </c>
      <c r="B2270" t="s">
        <v>154</v>
      </c>
      <c r="C2270" s="8">
        <v>46265</v>
      </c>
      <c r="D2270" t="s">
        <v>344</v>
      </c>
      <c r="E2270" t="s">
        <v>322</v>
      </c>
      <c r="F2270" s="12">
        <v>407847</v>
      </c>
      <c r="G2270" s="13">
        <v>40</v>
      </c>
      <c r="H2270" t="s">
        <v>3240</v>
      </c>
      <c r="I2270" s="8">
        <v>46030</v>
      </c>
      <c r="J2270" t="s">
        <v>2671</v>
      </c>
      <c r="K2270" t="s">
        <v>2672</v>
      </c>
      <c r="L2270" s="13">
        <v>3000</v>
      </c>
      <c r="M2270" t="s">
        <v>2661</v>
      </c>
    </row>
    <row r="2271" spans="1:13">
      <c r="A2271" t="s">
        <v>545</v>
      </c>
      <c r="B2271" t="s">
        <v>154</v>
      </c>
      <c r="C2271" s="8">
        <v>46265</v>
      </c>
      <c r="D2271" t="s">
        <v>344</v>
      </c>
      <c r="E2271" t="s">
        <v>322</v>
      </c>
      <c r="F2271" s="12">
        <v>407847</v>
      </c>
      <c r="G2271" s="13">
        <v>40</v>
      </c>
      <c r="H2271" t="s">
        <v>3316</v>
      </c>
      <c r="I2271" s="8">
        <v>46084</v>
      </c>
      <c r="J2271" t="s">
        <v>2688</v>
      </c>
      <c r="K2271" t="s">
        <v>2689</v>
      </c>
      <c r="L2271" s="13">
        <v>8000</v>
      </c>
      <c r="M2271" t="s">
        <v>2661</v>
      </c>
    </row>
    <row r="2272" spans="1:13">
      <c r="A2272" t="s">
        <v>588</v>
      </c>
      <c r="B2272" t="s">
        <v>154</v>
      </c>
      <c r="C2272" s="8">
        <v>46240</v>
      </c>
      <c r="D2272" t="s">
        <v>324</v>
      </c>
      <c r="E2272" t="s">
        <v>339</v>
      </c>
      <c r="F2272" s="12">
        <v>113217</v>
      </c>
      <c r="G2272" s="13">
        <v>11</v>
      </c>
      <c r="H2272" t="s">
        <v>2871</v>
      </c>
      <c r="I2272" s="8">
        <v>46267</v>
      </c>
      <c r="J2272" t="s">
        <v>2692</v>
      </c>
      <c r="K2272" t="s">
        <v>2693</v>
      </c>
      <c r="L2272" s="13">
        <v>10000</v>
      </c>
      <c r="M2272" t="s">
        <v>2676</v>
      </c>
    </row>
    <row r="2273" spans="1:13">
      <c r="A2273" t="s">
        <v>588</v>
      </c>
      <c r="B2273" t="s">
        <v>154</v>
      </c>
      <c r="C2273" s="8">
        <v>46240</v>
      </c>
      <c r="D2273" t="s">
        <v>324</v>
      </c>
      <c r="E2273" t="s">
        <v>339</v>
      </c>
      <c r="F2273" s="12">
        <v>113217</v>
      </c>
      <c r="G2273" s="13">
        <v>11</v>
      </c>
      <c r="H2273" t="s">
        <v>2963</v>
      </c>
      <c r="I2273" s="8">
        <v>45981</v>
      </c>
      <c r="J2273" t="s">
        <v>2659</v>
      </c>
      <c r="K2273" t="s">
        <v>2660</v>
      </c>
      <c r="L2273" s="13">
        <v>3500</v>
      </c>
      <c r="M2273" t="s">
        <v>2661</v>
      </c>
    </row>
    <row r="2274" spans="1:13">
      <c r="A2274" t="s">
        <v>588</v>
      </c>
      <c r="B2274" t="s">
        <v>154</v>
      </c>
      <c r="C2274" s="8">
        <v>46240</v>
      </c>
      <c r="D2274" t="s">
        <v>324</v>
      </c>
      <c r="E2274" t="s">
        <v>339</v>
      </c>
      <c r="F2274" s="12">
        <v>113217</v>
      </c>
      <c r="G2274" s="13">
        <v>11</v>
      </c>
      <c r="H2274" t="s">
        <v>2967</v>
      </c>
      <c r="I2274" s="8">
        <v>46155</v>
      </c>
      <c r="J2274" t="s">
        <v>2668</v>
      </c>
      <c r="K2274" t="s">
        <v>2669</v>
      </c>
      <c r="L2274" s="13">
        <v>4000</v>
      </c>
      <c r="M2274" t="s">
        <v>2661</v>
      </c>
    </row>
    <row r="2275" spans="1:13">
      <c r="A2275" t="s">
        <v>588</v>
      </c>
      <c r="B2275" t="s">
        <v>154</v>
      </c>
      <c r="C2275" s="8">
        <v>46240</v>
      </c>
      <c r="D2275" t="s">
        <v>324</v>
      </c>
      <c r="E2275" t="s">
        <v>339</v>
      </c>
      <c r="F2275" s="12">
        <v>113217</v>
      </c>
      <c r="G2275" s="13">
        <v>11</v>
      </c>
      <c r="H2275" t="s">
        <v>3013</v>
      </c>
      <c r="I2275" s="8">
        <v>45942</v>
      </c>
      <c r="J2275" t="s">
        <v>2682</v>
      </c>
      <c r="K2275" t="s">
        <v>2683</v>
      </c>
      <c r="L2275" s="13">
        <v>6000</v>
      </c>
      <c r="M2275" t="s">
        <v>2661</v>
      </c>
    </row>
    <row r="2276" spans="1:13">
      <c r="A2276" t="s">
        <v>588</v>
      </c>
      <c r="B2276" t="s">
        <v>154</v>
      </c>
      <c r="C2276" s="8">
        <v>46240</v>
      </c>
      <c r="D2276" t="s">
        <v>324</v>
      </c>
      <c r="E2276" t="s">
        <v>339</v>
      </c>
      <c r="F2276" s="12">
        <v>113217</v>
      </c>
      <c r="G2276" s="13">
        <v>11</v>
      </c>
      <c r="H2276" t="s">
        <v>3188</v>
      </c>
      <c r="I2276" s="8">
        <v>46142</v>
      </c>
      <c r="J2276" t="s">
        <v>2665</v>
      </c>
      <c r="K2276" t="s">
        <v>2666</v>
      </c>
      <c r="L2276" s="13">
        <v>2500</v>
      </c>
      <c r="M2276" t="s">
        <v>2676</v>
      </c>
    </row>
    <row r="2277" spans="1:13">
      <c r="A2277" t="s">
        <v>588</v>
      </c>
      <c r="B2277" t="s">
        <v>154</v>
      </c>
      <c r="C2277" s="8">
        <v>46240</v>
      </c>
      <c r="D2277" t="s">
        <v>324</v>
      </c>
      <c r="E2277" t="s">
        <v>339</v>
      </c>
      <c r="F2277" s="12">
        <v>113217</v>
      </c>
      <c r="G2277" s="13">
        <v>11</v>
      </c>
      <c r="H2277" t="s">
        <v>3240</v>
      </c>
      <c r="I2277" s="8">
        <v>46030</v>
      </c>
      <c r="J2277" t="s">
        <v>2671</v>
      </c>
      <c r="K2277" t="s">
        <v>2672</v>
      </c>
      <c r="L2277" s="13">
        <v>3000</v>
      </c>
      <c r="M2277" t="s">
        <v>2661</v>
      </c>
    </row>
    <row r="2278" spans="1:13">
      <c r="A2278" t="s">
        <v>588</v>
      </c>
      <c r="B2278" t="s">
        <v>154</v>
      </c>
      <c r="C2278" s="8">
        <v>46240</v>
      </c>
      <c r="D2278" t="s">
        <v>324</v>
      </c>
      <c r="E2278" t="s">
        <v>339</v>
      </c>
      <c r="F2278" s="12">
        <v>113217</v>
      </c>
      <c r="G2278" s="13">
        <v>11</v>
      </c>
      <c r="H2278" t="s">
        <v>3316</v>
      </c>
      <c r="I2278" s="8">
        <v>46084</v>
      </c>
      <c r="J2278" t="s">
        <v>2688</v>
      </c>
      <c r="K2278" t="s">
        <v>2689</v>
      </c>
      <c r="L2278" s="13">
        <v>8000</v>
      </c>
      <c r="M2278" t="s">
        <v>2661</v>
      </c>
    </row>
    <row r="2279" spans="1:13">
      <c r="A2279" t="s">
        <v>617</v>
      </c>
      <c r="B2279" t="s">
        <v>154</v>
      </c>
      <c r="C2279" s="8">
        <v>46274</v>
      </c>
      <c r="D2279" t="s">
        <v>321</v>
      </c>
      <c r="E2279" t="s">
        <v>334</v>
      </c>
      <c r="F2279" s="12">
        <v>215136</v>
      </c>
      <c r="G2279" s="13">
        <v>21</v>
      </c>
      <c r="H2279" t="s">
        <v>2871</v>
      </c>
      <c r="I2279" s="8">
        <v>46267</v>
      </c>
      <c r="J2279" t="s">
        <v>2692</v>
      </c>
      <c r="K2279" t="s">
        <v>2693</v>
      </c>
      <c r="L2279" s="13">
        <v>10000</v>
      </c>
      <c r="M2279" t="s">
        <v>2676</v>
      </c>
    </row>
    <row r="2280" spans="1:13">
      <c r="A2280" t="s">
        <v>617</v>
      </c>
      <c r="B2280" t="s">
        <v>154</v>
      </c>
      <c r="C2280" s="8">
        <v>46274</v>
      </c>
      <c r="D2280" t="s">
        <v>321</v>
      </c>
      <c r="E2280" t="s">
        <v>334</v>
      </c>
      <c r="F2280" s="12">
        <v>215136</v>
      </c>
      <c r="G2280" s="13">
        <v>21</v>
      </c>
      <c r="H2280" t="s">
        <v>2963</v>
      </c>
      <c r="I2280" s="8">
        <v>45981</v>
      </c>
      <c r="J2280" t="s">
        <v>2659</v>
      </c>
      <c r="K2280" t="s">
        <v>2660</v>
      </c>
      <c r="L2280" s="13">
        <v>3500</v>
      </c>
      <c r="M2280" t="s">
        <v>2661</v>
      </c>
    </row>
    <row r="2281" spans="1:13">
      <c r="A2281" t="s">
        <v>617</v>
      </c>
      <c r="B2281" t="s">
        <v>154</v>
      </c>
      <c r="C2281" s="8">
        <v>46274</v>
      </c>
      <c r="D2281" t="s">
        <v>321</v>
      </c>
      <c r="E2281" t="s">
        <v>334</v>
      </c>
      <c r="F2281" s="12">
        <v>215136</v>
      </c>
      <c r="G2281" s="13">
        <v>21</v>
      </c>
      <c r="H2281" t="s">
        <v>2967</v>
      </c>
      <c r="I2281" s="8">
        <v>46155</v>
      </c>
      <c r="J2281" t="s">
        <v>2668</v>
      </c>
      <c r="K2281" t="s">
        <v>2669</v>
      </c>
      <c r="L2281" s="13">
        <v>4000</v>
      </c>
      <c r="M2281" t="s">
        <v>2661</v>
      </c>
    </row>
    <row r="2282" spans="1:13">
      <c r="A2282" t="s">
        <v>617</v>
      </c>
      <c r="B2282" t="s">
        <v>154</v>
      </c>
      <c r="C2282" s="8">
        <v>46274</v>
      </c>
      <c r="D2282" t="s">
        <v>321</v>
      </c>
      <c r="E2282" t="s">
        <v>334</v>
      </c>
      <c r="F2282" s="12">
        <v>215136</v>
      </c>
      <c r="G2282" s="13">
        <v>21</v>
      </c>
      <c r="H2282" t="s">
        <v>3013</v>
      </c>
      <c r="I2282" s="8">
        <v>45942</v>
      </c>
      <c r="J2282" t="s">
        <v>2682</v>
      </c>
      <c r="K2282" t="s">
        <v>2683</v>
      </c>
      <c r="L2282" s="13">
        <v>6000</v>
      </c>
      <c r="M2282" t="s">
        <v>2661</v>
      </c>
    </row>
    <row r="2283" spans="1:13">
      <c r="A2283" t="s">
        <v>617</v>
      </c>
      <c r="B2283" t="s">
        <v>154</v>
      </c>
      <c r="C2283" s="8">
        <v>46274</v>
      </c>
      <c r="D2283" t="s">
        <v>321</v>
      </c>
      <c r="E2283" t="s">
        <v>334</v>
      </c>
      <c r="F2283" s="12">
        <v>215136</v>
      </c>
      <c r="G2283" s="13">
        <v>21</v>
      </c>
      <c r="H2283" t="s">
        <v>3188</v>
      </c>
      <c r="I2283" s="8">
        <v>46142</v>
      </c>
      <c r="J2283" t="s">
        <v>2665</v>
      </c>
      <c r="K2283" t="s">
        <v>2666</v>
      </c>
      <c r="L2283" s="13">
        <v>2500</v>
      </c>
      <c r="M2283" t="s">
        <v>2676</v>
      </c>
    </row>
    <row r="2284" spans="1:13">
      <c r="A2284" t="s">
        <v>617</v>
      </c>
      <c r="B2284" t="s">
        <v>154</v>
      </c>
      <c r="C2284" s="8">
        <v>46274</v>
      </c>
      <c r="D2284" t="s">
        <v>321</v>
      </c>
      <c r="E2284" t="s">
        <v>334</v>
      </c>
      <c r="F2284" s="12">
        <v>215136</v>
      </c>
      <c r="G2284" s="13">
        <v>21</v>
      </c>
      <c r="H2284" t="s">
        <v>3240</v>
      </c>
      <c r="I2284" s="8">
        <v>46030</v>
      </c>
      <c r="J2284" t="s">
        <v>2671</v>
      </c>
      <c r="K2284" t="s">
        <v>2672</v>
      </c>
      <c r="L2284" s="13">
        <v>3000</v>
      </c>
      <c r="M2284" t="s">
        <v>2661</v>
      </c>
    </row>
    <row r="2285" spans="1:13">
      <c r="A2285" t="s">
        <v>617</v>
      </c>
      <c r="B2285" t="s">
        <v>154</v>
      </c>
      <c r="C2285" s="8">
        <v>46274</v>
      </c>
      <c r="D2285" t="s">
        <v>321</v>
      </c>
      <c r="E2285" t="s">
        <v>334</v>
      </c>
      <c r="F2285" s="12">
        <v>215136</v>
      </c>
      <c r="G2285" s="13">
        <v>21</v>
      </c>
      <c r="H2285" t="s">
        <v>3316</v>
      </c>
      <c r="I2285" s="8">
        <v>46084</v>
      </c>
      <c r="J2285" t="s">
        <v>2688</v>
      </c>
      <c r="K2285" t="s">
        <v>2689</v>
      </c>
      <c r="L2285" s="13">
        <v>8000</v>
      </c>
      <c r="M2285" t="s">
        <v>2661</v>
      </c>
    </row>
    <row r="2286" spans="1:13">
      <c r="A2286" t="s">
        <v>1079</v>
      </c>
      <c r="B2286" t="s">
        <v>154</v>
      </c>
      <c r="C2286" s="8">
        <v>45971</v>
      </c>
      <c r="D2286" t="s">
        <v>321</v>
      </c>
      <c r="E2286" t="s">
        <v>325</v>
      </c>
      <c r="F2286" s="12">
        <v>465747</v>
      </c>
      <c r="G2286" s="13">
        <v>46</v>
      </c>
      <c r="H2286" t="s">
        <v>2871</v>
      </c>
      <c r="I2286" s="8">
        <v>46267</v>
      </c>
      <c r="J2286" t="s">
        <v>2692</v>
      </c>
      <c r="K2286" t="s">
        <v>2693</v>
      </c>
      <c r="L2286" s="13">
        <v>10000</v>
      </c>
      <c r="M2286" t="s">
        <v>2676</v>
      </c>
    </row>
    <row r="2287" spans="1:13">
      <c r="A2287" t="s">
        <v>1079</v>
      </c>
      <c r="B2287" t="s">
        <v>154</v>
      </c>
      <c r="C2287" s="8">
        <v>45971</v>
      </c>
      <c r="D2287" t="s">
        <v>321</v>
      </c>
      <c r="E2287" t="s">
        <v>325</v>
      </c>
      <c r="F2287" s="12">
        <v>465747</v>
      </c>
      <c r="G2287" s="13">
        <v>46</v>
      </c>
      <c r="H2287" t="s">
        <v>2963</v>
      </c>
      <c r="I2287" s="8">
        <v>45981</v>
      </c>
      <c r="J2287" t="s">
        <v>2659</v>
      </c>
      <c r="K2287" t="s">
        <v>2660</v>
      </c>
      <c r="L2287" s="13">
        <v>3500</v>
      </c>
      <c r="M2287" t="s">
        <v>2661</v>
      </c>
    </row>
    <row r="2288" spans="1:13">
      <c r="A2288" t="s">
        <v>1079</v>
      </c>
      <c r="B2288" t="s">
        <v>154</v>
      </c>
      <c r="C2288" s="8">
        <v>45971</v>
      </c>
      <c r="D2288" t="s">
        <v>321</v>
      </c>
      <c r="E2288" t="s">
        <v>325</v>
      </c>
      <c r="F2288" s="12">
        <v>465747</v>
      </c>
      <c r="G2288" s="13">
        <v>46</v>
      </c>
      <c r="H2288" t="s">
        <v>2967</v>
      </c>
      <c r="I2288" s="8">
        <v>46155</v>
      </c>
      <c r="J2288" t="s">
        <v>2668</v>
      </c>
      <c r="K2288" t="s">
        <v>2669</v>
      </c>
      <c r="L2288" s="13">
        <v>4000</v>
      </c>
      <c r="M2288" t="s">
        <v>2661</v>
      </c>
    </row>
    <row r="2289" spans="1:13">
      <c r="A2289" t="s">
        <v>1079</v>
      </c>
      <c r="B2289" t="s">
        <v>154</v>
      </c>
      <c r="C2289" s="8">
        <v>45971</v>
      </c>
      <c r="D2289" t="s">
        <v>321</v>
      </c>
      <c r="E2289" t="s">
        <v>325</v>
      </c>
      <c r="F2289" s="12">
        <v>465747</v>
      </c>
      <c r="G2289" s="13">
        <v>46</v>
      </c>
      <c r="H2289" t="s">
        <v>3013</v>
      </c>
      <c r="I2289" s="8">
        <v>45942</v>
      </c>
      <c r="J2289" t="s">
        <v>2682</v>
      </c>
      <c r="K2289" t="s">
        <v>2683</v>
      </c>
      <c r="L2289" s="13">
        <v>6000</v>
      </c>
      <c r="M2289" t="s">
        <v>2661</v>
      </c>
    </row>
    <row r="2290" spans="1:13">
      <c r="A2290" t="s">
        <v>1079</v>
      </c>
      <c r="B2290" t="s">
        <v>154</v>
      </c>
      <c r="C2290" s="8">
        <v>45971</v>
      </c>
      <c r="D2290" t="s">
        <v>321</v>
      </c>
      <c r="E2290" t="s">
        <v>325</v>
      </c>
      <c r="F2290" s="12">
        <v>465747</v>
      </c>
      <c r="G2290" s="13">
        <v>46</v>
      </c>
      <c r="H2290" t="s">
        <v>3188</v>
      </c>
      <c r="I2290" s="8">
        <v>46142</v>
      </c>
      <c r="J2290" t="s">
        <v>2665</v>
      </c>
      <c r="K2290" t="s">
        <v>2666</v>
      </c>
      <c r="L2290" s="13">
        <v>2500</v>
      </c>
      <c r="M2290" t="s">
        <v>2676</v>
      </c>
    </row>
    <row r="2291" spans="1:13">
      <c r="A2291" t="s">
        <v>1079</v>
      </c>
      <c r="B2291" t="s">
        <v>154</v>
      </c>
      <c r="C2291" s="8">
        <v>45971</v>
      </c>
      <c r="D2291" t="s">
        <v>321</v>
      </c>
      <c r="E2291" t="s">
        <v>325</v>
      </c>
      <c r="F2291" s="12">
        <v>465747</v>
      </c>
      <c r="G2291" s="13">
        <v>46</v>
      </c>
      <c r="H2291" t="s">
        <v>3240</v>
      </c>
      <c r="I2291" s="8">
        <v>46030</v>
      </c>
      <c r="J2291" t="s">
        <v>2671</v>
      </c>
      <c r="K2291" t="s">
        <v>2672</v>
      </c>
      <c r="L2291" s="13">
        <v>3000</v>
      </c>
      <c r="M2291" t="s">
        <v>2661</v>
      </c>
    </row>
    <row r="2292" spans="1:13">
      <c r="A2292" t="s">
        <v>1079</v>
      </c>
      <c r="B2292" t="s">
        <v>154</v>
      </c>
      <c r="C2292" s="8">
        <v>45971</v>
      </c>
      <c r="D2292" t="s">
        <v>321</v>
      </c>
      <c r="E2292" t="s">
        <v>325</v>
      </c>
      <c r="F2292" s="12">
        <v>465747</v>
      </c>
      <c r="G2292" s="13">
        <v>46</v>
      </c>
      <c r="H2292" t="s">
        <v>3316</v>
      </c>
      <c r="I2292" s="8">
        <v>46084</v>
      </c>
      <c r="J2292" t="s">
        <v>2688</v>
      </c>
      <c r="K2292" t="s">
        <v>2689</v>
      </c>
      <c r="L2292" s="13">
        <v>8000</v>
      </c>
      <c r="M2292" t="s">
        <v>2661</v>
      </c>
    </row>
    <row r="2293" spans="1:13">
      <c r="A2293" t="s">
        <v>528</v>
      </c>
      <c r="B2293" t="s">
        <v>234</v>
      </c>
      <c r="C2293" s="8">
        <v>46080</v>
      </c>
      <c r="D2293" t="s">
        <v>321</v>
      </c>
      <c r="E2293" t="s">
        <v>325</v>
      </c>
      <c r="F2293" s="12">
        <v>279787</v>
      </c>
      <c r="G2293" s="13">
        <v>27</v>
      </c>
      <c r="H2293" t="s">
        <v>2930</v>
      </c>
      <c r="I2293" s="8">
        <v>46033</v>
      </c>
      <c r="J2293" t="s">
        <v>2665</v>
      </c>
      <c r="K2293" t="s">
        <v>2666</v>
      </c>
      <c r="L2293" s="13">
        <v>2500</v>
      </c>
      <c r="M2293" t="s">
        <v>2661</v>
      </c>
    </row>
    <row r="2294" spans="1:13">
      <c r="A2294" t="s">
        <v>528</v>
      </c>
      <c r="B2294" t="s">
        <v>234</v>
      </c>
      <c r="C2294" s="8">
        <v>46080</v>
      </c>
      <c r="D2294" t="s">
        <v>321</v>
      </c>
      <c r="E2294" t="s">
        <v>325</v>
      </c>
      <c r="F2294" s="12">
        <v>279787</v>
      </c>
      <c r="G2294" s="13">
        <v>27</v>
      </c>
      <c r="H2294" t="s">
        <v>3017</v>
      </c>
      <c r="I2294" s="8">
        <v>46189</v>
      </c>
      <c r="J2294" t="s">
        <v>2692</v>
      </c>
      <c r="K2294" t="s">
        <v>2693</v>
      </c>
      <c r="L2294" s="13">
        <v>10000</v>
      </c>
      <c r="M2294" t="s">
        <v>2661</v>
      </c>
    </row>
    <row r="2295" spans="1:13">
      <c r="A2295" t="s">
        <v>528</v>
      </c>
      <c r="B2295" t="s">
        <v>234</v>
      </c>
      <c r="C2295" s="8">
        <v>46080</v>
      </c>
      <c r="D2295" t="s">
        <v>321</v>
      </c>
      <c r="E2295" t="s">
        <v>325</v>
      </c>
      <c r="F2295" s="12">
        <v>279787</v>
      </c>
      <c r="G2295" s="13">
        <v>27</v>
      </c>
      <c r="H2295" t="s">
        <v>3268</v>
      </c>
      <c r="I2295" s="8">
        <v>46277</v>
      </c>
      <c r="J2295" t="s">
        <v>2668</v>
      </c>
      <c r="K2295" t="s">
        <v>2669</v>
      </c>
      <c r="L2295" s="13">
        <v>4000</v>
      </c>
      <c r="M2295" t="s">
        <v>2661</v>
      </c>
    </row>
    <row r="2296" spans="1:13">
      <c r="A2296" t="s">
        <v>528</v>
      </c>
      <c r="B2296" t="s">
        <v>234</v>
      </c>
      <c r="C2296" s="8">
        <v>46080</v>
      </c>
      <c r="D2296" t="s">
        <v>321</v>
      </c>
      <c r="E2296" t="s">
        <v>325</v>
      </c>
      <c r="F2296" s="12">
        <v>279787</v>
      </c>
      <c r="G2296" s="13">
        <v>27</v>
      </c>
      <c r="H2296" t="s">
        <v>3274</v>
      </c>
      <c r="I2296" s="8">
        <v>46268</v>
      </c>
      <c r="J2296" t="s">
        <v>2663</v>
      </c>
      <c r="K2296" t="s">
        <v>3630</v>
      </c>
      <c r="L2296" s="13">
        <v>1500</v>
      </c>
      <c r="M2296" t="s">
        <v>2676</v>
      </c>
    </row>
    <row r="2297" spans="1:13">
      <c r="A2297" t="s">
        <v>528</v>
      </c>
      <c r="B2297" t="s">
        <v>234</v>
      </c>
      <c r="C2297" s="8">
        <v>46080</v>
      </c>
      <c r="D2297" t="s">
        <v>321</v>
      </c>
      <c r="E2297" t="s">
        <v>325</v>
      </c>
      <c r="F2297" s="12">
        <v>279787</v>
      </c>
      <c r="G2297" s="13">
        <v>27</v>
      </c>
      <c r="H2297" t="s">
        <v>3403</v>
      </c>
      <c r="I2297" s="8">
        <v>46261</v>
      </c>
      <c r="J2297" t="s">
        <v>2692</v>
      </c>
      <c r="K2297" t="s">
        <v>2693</v>
      </c>
      <c r="L2297" s="13">
        <v>10000</v>
      </c>
      <c r="M2297" t="s">
        <v>2661</v>
      </c>
    </row>
    <row r="2298" spans="1:13">
      <c r="A2298" t="s">
        <v>528</v>
      </c>
      <c r="B2298" t="s">
        <v>234</v>
      </c>
      <c r="C2298" s="8">
        <v>46080</v>
      </c>
      <c r="D2298" t="s">
        <v>321</v>
      </c>
      <c r="E2298" t="s">
        <v>325</v>
      </c>
      <c r="F2298" s="12">
        <v>279787</v>
      </c>
      <c r="G2298" s="13">
        <v>27</v>
      </c>
      <c r="H2298" t="s">
        <v>3452</v>
      </c>
      <c r="I2298" s="8">
        <v>46035</v>
      </c>
      <c r="J2298" t="s">
        <v>2688</v>
      </c>
      <c r="K2298" t="s">
        <v>2689</v>
      </c>
      <c r="L2298" s="13">
        <v>8000</v>
      </c>
      <c r="M2298" t="s">
        <v>2661</v>
      </c>
    </row>
    <row r="2299" spans="1:13">
      <c r="A2299" t="s">
        <v>1155</v>
      </c>
      <c r="B2299" t="s">
        <v>234</v>
      </c>
      <c r="C2299" s="8">
        <v>46253</v>
      </c>
      <c r="D2299" t="s">
        <v>344</v>
      </c>
      <c r="E2299" t="s">
        <v>328</v>
      </c>
      <c r="F2299" s="12">
        <v>328160</v>
      </c>
      <c r="G2299" s="13">
        <v>32</v>
      </c>
      <c r="H2299" t="s">
        <v>2930</v>
      </c>
      <c r="I2299" s="8">
        <v>46033</v>
      </c>
      <c r="J2299" t="s">
        <v>2665</v>
      </c>
      <c r="K2299" t="s">
        <v>2666</v>
      </c>
      <c r="L2299" s="13">
        <v>2500</v>
      </c>
      <c r="M2299" t="s">
        <v>2661</v>
      </c>
    </row>
    <row r="2300" spans="1:13">
      <c r="A2300" t="s">
        <v>1155</v>
      </c>
      <c r="B2300" t="s">
        <v>234</v>
      </c>
      <c r="C2300" s="8">
        <v>46253</v>
      </c>
      <c r="D2300" t="s">
        <v>344</v>
      </c>
      <c r="E2300" t="s">
        <v>328</v>
      </c>
      <c r="F2300" s="12">
        <v>328160</v>
      </c>
      <c r="G2300" s="13">
        <v>32</v>
      </c>
      <c r="H2300" t="s">
        <v>3017</v>
      </c>
      <c r="I2300" s="8">
        <v>46189</v>
      </c>
      <c r="J2300" t="s">
        <v>2692</v>
      </c>
      <c r="K2300" t="s">
        <v>2693</v>
      </c>
      <c r="L2300" s="13">
        <v>10000</v>
      </c>
      <c r="M2300" t="s">
        <v>2661</v>
      </c>
    </row>
    <row r="2301" spans="1:13">
      <c r="A2301" t="s">
        <v>1155</v>
      </c>
      <c r="B2301" t="s">
        <v>234</v>
      </c>
      <c r="C2301" s="8">
        <v>46253</v>
      </c>
      <c r="D2301" t="s">
        <v>344</v>
      </c>
      <c r="E2301" t="s">
        <v>328</v>
      </c>
      <c r="F2301" s="12">
        <v>328160</v>
      </c>
      <c r="G2301" s="13">
        <v>32</v>
      </c>
      <c r="H2301" t="s">
        <v>3268</v>
      </c>
      <c r="I2301" s="8">
        <v>46277</v>
      </c>
      <c r="J2301" t="s">
        <v>2668</v>
      </c>
      <c r="K2301" t="s">
        <v>2669</v>
      </c>
      <c r="L2301" s="13">
        <v>4000</v>
      </c>
      <c r="M2301" t="s">
        <v>2661</v>
      </c>
    </row>
    <row r="2302" spans="1:13">
      <c r="A2302" t="s">
        <v>1155</v>
      </c>
      <c r="B2302" t="s">
        <v>234</v>
      </c>
      <c r="C2302" s="8">
        <v>46253</v>
      </c>
      <c r="D2302" t="s">
        <v>344</v>
      </c>
      <c r="E2302" t="s">
        <v>328</v>
      </c>
      <c r="F2302" s="12">
        <v>328160</v>
      </c>
      <c r="G2302" s="13">
        <v>32</v>
      </c>
      <c r="H2302" t="s">
        <v>3274</v>
      </c>
      <c r="I2302" s="8">
        <v>46268</v>
      </c>
      <c r="J2302" t="s">
        <v>2663</v>
      </c>
      <c r="K2302" t="s">
        <v>3630</v>
      </c>
      <c r="L2302" s="13">
        <v>1500</v>
      </c>
      <c r="M2302" t="s">
        <v>2676</v>
      </c>
    </row>
    <row r="2303" spans="1:13">
      <c r="A2303" t="s">
        <v>1155</v>
      </c>
      <c r="B2303" t="s">
        <v>234</v>
      </c>
      <c r="C2303" s="8">
        <v>46253</v>
      </c>
      <c r="D2303" t="s">
        <v>344</v>
      </c>
      <c r="E2303" t="s">
        <v>328</v>
      </c>
      <c r="F2303" s="12">
        <v>328160</v>
      </c>
      <c r="G2303" s="13">
        <v>32</v>
      </c>
      <c r="H2303" t="s">
        <v>3403</v>
      </c>
      <c r="I2303" s="8">
        <v>46261</v>
      </c>
      <c r="J2303" t="s">
        <v>2692</v>
      </c>
      <c r="K2303" t="s">
        <v>2693</v>
      </c>
      <c r="L2303" s="13">
        <v>10000</v>
      </c>
      <c r="M2303" t="s">
        <v>2661</v>
      </c>
    </row>
    <row r="2304" spans="1:13">
      <c r="A2304" t="s">
        <v>1155</v>
      </c>
      <c r="B2304" t="s">
        <v>234</v>
      </c>
      <c r="C2304" s="8">
        <v>46253</v>
      </c>
      <c r="D2304" t="s">
        <v>344</v>
      </c>
      <c r="E2304" t="s">
        <v>328</v>
      </c>
      <c r="F2304" s="12">
        <v>328160</v>
      </c>
      <c r="G2304" s="13">
        <v>32</v>
      </c>
      <c r="H2304" t="s">
        <v>3452</v>
      </c>
      <c r="I2304" s="8">
        <v>46035</v>
      </c>
      <c r="J2304" t="s">
        <v>2688</v>
      </c>
      <c r="K2304" t="s">
        <v>2689</v>
      </c>
      <c r="L2304" s="13">
        <v>8000</v>
      </c>
      <c r="M2304" t="s">
        <v>2661</v>
      </c>
    </row>
    <row r="2305" spans="1:13">
      <c r="A2305" t="s">
        <v>1054</v>
      </c>
      <c r="B2305" t="s">
        <v>236</v>
      </c>
      <c r="C2305" s="8">
        <v>46034</v>
      </c>
      <c r="D2305" t="s">
        <v>321</v>
      </c>
      <c r="E2305" t="s">
        <v>322</v>
      </c>
      <c r="F2305" s="12">
        <v>462474</v>
      </c>
      <c r="G2305" s="13">
        <v>46</v>
      </c>
      <c r="H2305" t="s">
        <v>2873</v>
      </c>
      <c r="I2305" s="8">
        <v>46247</v>
      </c>
      <c r="J2305" t="s">
        <v>2671</v>
      </c>
      <c r="K2305" t="s">
        <v>2672</v>
      </c>
      <c r="L2305" s="13">
        <v>3000</v>
      </c>
      <c r="M2305" t="s">
        <v>2676</v>
      </c>
    </row>
    <row r="2306" spans="1:13">
      <c r="A2306" t="s">
        <v>1054</v>
      </c>
      <c r="B2306" t="s">
        <v>236</v>
      </c>
      <c r="C2306" s="8">
        <v>46034</v>
      </c>
      <c r="D2306" t="s">
        <v>321</v>
      </c>
      <c r="E2306" t="s">
        <v>322</v>
      </c>
      <c r="F2306" s="12">
        <v>462474</v>
      </c>
      <c r="G2306" s="13">
        <v>46</v>
      </c>
      <c r="H2306" t="s">
        <v>3429</v>
      </c>
      <c r="I2306" s="8">
        <v>46170</v>
      </c>
      <c r="J2306" t="s">
        <v>2692</v>
      </c>
      <c r="K2306" t="s">
        <v>2693</v>
      </c>
      <c r="L2306" s="13">
        <v>10000</v>
      </c>
      <c r="M2306" t="s">
        <v>2661</v>
      </c>
    </row>
    <row r="2307" spans="1:13">
      <c r="A2307" t="s">
        <v>530</v>
      </c>
      <c r="B2307" t="s">
        <v>270</v>
      </c>
      <c r="C2307" s="8">
        <v>45934</v>
      </c>
      <c r="D2307" t="s">
        <v>350</v>
      </c>
      <c r="E2307" t="s">
        <v>322</v>
      </c>
      <c r="F2307" s="12">
        <v>118115</v>
      </c>
      <c r="G2307" s="13">
        <v>11</v>
      </c>
      <c r="H2307" t="s">
        <v>2881</v>
      </c>
      <c r="I2307" s="8">
        <v>46177</v>
      </c>
      <c r="J2307" t="s">
        <v>2685</v>
      </c>
      <c r="K2307" t="s">
        <v>2686</v>
      </c>
      <c r="L2307" s="13">
        <v>5000</v>
      </c>
      <c r="M2307" t="s">
        <v>2661</v>
      </c>
    </row>
    <row r="2308" spans="1:13">
      <c r="A2308" t="s">
        <v>530</v>
      </c>
      <c r="B2308" t="s">
        <v>270</v>
      </c>
      <c r="C2308" s="8">
        <v>45934</v>
      </c>
      <c r="D2308" t="s">
        <v>350</v>
      </c>
      <c r="E2308" t="s">
        <v>322</v>
      </c>
      <c r="F2308" s="12">
        <v>118115</v>
      </c>
      <c r="G2308" s="13">
        <v>11</v>
      </c>
      <c r="H2308" t="s">
        <v>3386</v>
      </c>
      <c r="I2308" s="8">
        <v>46223</v>
      </c>
      <c r="J2308" t="s">
        <v>2663</v>
      </c>
      <c r="K2308" t="s">
        <v>3630</v>
      </c>
      <c r="L2308" s="13">
        <v>1500</v>
      </c>
      <c r="M2308" t="s">
        <v>2661</v>
      </c>
    </row>
    <row r="2309" spans="1:13">
      <c r="A2309" t="s">
        <v>829</v>
      </c>
      <c r="B2309" t="s">
        <v>270</v>
      </c>
      <c r="C2309" s="8">
        <v>46292</v>
      </c>
      <c r="D2309" t="s">
        <v>324</v>
      </c>
      <c r="E2309" t="s">
        <v>325</v>
      </c>
      <c r="F2309" s="12">
        <v>269394</v>
      </c>
      <c r="G2309" s="13">
        <v>26</v>
      </c>
      <c r="H2309" t="s">
        <v>2881</v>
      </c>
      <c r="I2309" s="8">
        <v>46177</v>
      </c>
      <c r="J2309" t="s">
        <v>2685</v>
      </c>
      <c r="K2309" t="s">
        <v>2686</v>
      </c>
      <c r="L2309" s="13">
        <v>5000</v>
      </c>
      <c r="M2309" t="s">
        <v>2661</v>
      </c>
    </row>
    <row r="2310" spans="1:13">
      <c r="A2310" t="s">
        <v>829</v>
      </c>
      <c r="B2310" t="s">
        <v>270</v>
      </c>
      <c r="C2310" s="8">
        <v>46292</v>
      </c>
      <c r="D2310" t="s">
        <v>324</v>
      </c>
      <c r="E2310" t="s">
        <v>325</v>
      </c>
      <c r="F2310" s="12">
        <v>269394</v>
      </c>
      <c r="G2310" s="13">
        <v>26</v>
      </c>
      <c r="H2310" t="s">
        <v>3386</v>
      </c>
      <c r="I2310" s="8">
        <v>46223</v>
      </c>
      <c r="J2310" t="s">
        <v>2663</v>
      </c>
      <c r="K2310" t="s">
        <v>3630</v>
      </c>
      <c r="L2310" s="13">
        <v>1500</v>
      </c>
      <c r="M2310" t="s">
        <v>2661</v>
      </c>
    </row>
    <row r="2311" spans="1:13">
      <c r="A2311" t="s">
        <v>1030</v>
      </c>
      <c r="B2311" t="s">
        <v>270</v>
      </c>
      <c r="C2311" s="8">
        <v>46286</v>
      </c>
      <c r="D2311" t="s">
        <v>321</v>
      </c>
      <c r="E2311" t="s">
        <v>337</v>
      </c>
      <c r="F2311" s="12">
        <v>182953</v>
      </c>
      <c r="G2311" s="13">
        <v>18</v>
      </c>
      <c r="H2311" t="s">
        <v>2881</v>
      </c>
      <c r="I2311" s="8">
        <v>46177</v>
      </c>
      <c r="J2311" t="s">
        <v>2685</v>
      </c>
      <c r="K2311" t="s">
        <v>2686</v>
      </c>
      <c r="L2311" s="13">
        <v>5000</v>
      </c>
      <c r="M2311" t="s">
        <v>2661</v>
      </c>
    </row>
    <row r="2312" spans="1:13">
      <c r="A2312" t="s">
        <v>1030</v>
      </c>
      <c r="B2312" t="s">
        <v>270</v>
      </c>
      <c r="C2312" s="8">
        <v>46286</v>
      </c>
      <c r="D2312" t="s">
        <v>321</v>
      </c>
      <c r="E2312" t="s">
        <v>337</v>
      </c>
      <c r="F2312" s="12">
        <v>182953</v>
      </c>
      <c r="G2312" s="13">
        <v>18</v>
      </c>
      <c r="H2312" t="s">
        <v>3386</v>
      </c>
      <c r="I2312" s="8">
        <v>46223</v>
      </c>
      <c r="J2312" t="s">
        <v>2663</v>
      </c>
      <c r="K2312" t="s">
        <v>3630</v>
      </c>
      <c r="L2312" s="13">
        <v>1500</v>
      </c>
      <c r="M2312" t="s">
        <v>2661</v>
      </c>
    </row>
    <row r="2313" spans="1:13">
      <c r="A2313" t="s">
        <v>547</v>
      </c>
      <c r="B2313" t="s">
        <v>186</v>
      </c>
      <c r="C2313" s="8">
        <v>46198</v>
      </c>
      <c r="D2313" t="s">
        <v>342</v>
      </c>
      <c r="E2313" t="s">
        <v>339</v>
      </c>
      <c r="F2313" s="12">
        <v>398580</v>
      </c>
      <c r="G2313" s="13">
        <v>39</v>
      </c>
      <c r="H2313" t="s">
        <v>3509</v>
      </c>
      <c r="I2313" s="8">
        <v>46214</v>
      </c>
      <c r="J2313" t="s">
        <v>2668</v>
      </c>
      <c r="K2313" t="s">
        <v>2669</v>
      </c>
      <c r="L2313" s="13">
        <v>4000</v>
      </c>
      <c r="M2313" t="s">
        <v>2661</v>
      </c>
    </row>
    <row r="2314" spans="1:13">
      <c r="A2314" t="s">
        <v>548</v>
      </c>
      <c r="B2314" t="s">
        <v>117</v>
      </c>
      <c r="C2314" s="8">
        <v>46045</v>
      </c>
      <c r="D2314" t="s">
        <v>344</v>
      </c>
      <c r="E2314" t="s">
        <v>325</v>
      </c>
      <c r="F2314" s="12">
        <v>289563</v>
      </c>
      <c r="G2314" s="13">
        <v>28</v>
      </c>
      <c r="H2314" t="s">
        <v>2952</v>
      </c>
      <c r="I2314" s="8">
        <v>46155</v>
      </c>
      <c r="J2314" t="s">
        <v>2674</v>
      </c>
      <c r="K2314" t="s">
        <v>2675</v>
      </c>
      <c r="L2314" s="13">
        <v>20000</v>
      </c>
      <c r="M2314" t="s">
        <v>2661</v>
      </c>
    </row>
    <row r="2315" spans="1:13">
      <c r="A2315" t="s">
        <v>548</v>
      </c>
      <c r="B2315" t="s">
        <v>117</v>
      </c>
      <c r="C2315" s="8">
        <v>46045</v>
      </c>
      <c r="D2315" t="s">
        <v>344</v>
      </c>
      <c r="E2315" t="s">
        <v>325</v>
      </c>
      <c r="F2315" s="12">
        <v>289563</v>
      </c>
      <c r="G2315" s="13">
        <v>28</v>
      </c>
      <c r="H2315" t="s">
        <v>3244</v>
      </c>
      <c r="I2315" s="8">
        <v>45969</v>
      </c>
      <c r="J2315" t="s">
        <v>2663</v>
      </c>
      <c r="K2315" t="s">
        <v>3630</v>
      </c>
      <c r="L2315" s="13">
        <v>1500</v>
      </c>
      <c r="M2315" t="s">
        <v>2661</v>
      </c>
    </row>
    <row r="2316" spans="1:13">
      <c r="A2316" t="s">
        <v>808</v>
      </c>
      <c r="B2316" t="s">
        <v>117</v>
      </c>
      <c r="C2316" s="8">
        <v>45966</v>
      </c>
      <c r="D2316" t="s">
        <v>321</v>
      </c>
      <c r="E2316" t="s">
        <v>334</v>
      </c>
      <c r="F2316" s="12">
        <v>187656</v>
      </c>
      <c r="G2316" s="13">
        <v>18</v>
      </c>
      <c r="H2316" t="s">
        <v>2952</v>
      </c>
      <c r="I2316" s="8">
        <v>46155</v>
      </c>
      <c r="J2316" t="s">
        <v>2674</v>
      </c>
      <c r="K2316" t="s">
        <v>2675</v>
      </c>
      <c r="L2316" s="13">
        <v>20000</v>
      </c>
      <c r="M2316" t="s">
        <v>2661</v>
      </c>
    </row>
    <row r="2317" spans="1:13">
      <c r="A2317" t="s">
        <v>808</v>
      </c>
      <c r="B2317" t="s">
        <v>117</v>
      </c>
      <c r="C2317" s="8">
        <v>45966</v>
      </c>
      <c r="D2317" t="s">
        <v>321</v>
      </c>
      <c r="E2317" t="s">
        <v>334</v>
      </c>
      <c r="F2317" s="12">
        <v>187656</v>
      </c>
      <c r="G2317" s="13">
        <v>18</v>
      </c>
      <c r="H2317" t="s">
        <v>3244</v>
      </c>
      <c r="I2317" s="8">
        <v>45969</v>
      </c>
      <c r="J2317" t="s">
        <v>2663</v>
      </c>
      <c r="K2317" t="s">
        <v>3630</v>
      </c>
      <c r="L2317" s="13">
        <v>1500</v>
      </c>
      <c r="M2317" t="s">
        <v>2661</v>
      </c>
    </row>
    <row r="2318" spans="1:13">
      <c r="A2318" t="s">
        <v>977</v>
      </c>
      <c r="B2318" t="s">
        <v>117</v>
      </c>
      <c r="C2318" s="8">
        <v>46223</v>
      </c>
      <c r="D2318" t="s">
        <v>327</v>
      </c>
      <c r="E2318" t="s">
        <v>322</v>
      </c>
      <c r="F2318" s="12">
        <v>342451</v>
      </c>
      <c r="G2318" s="13">
        <v>34</v>
      </c>
      <c r="H2318" t="s">
        <v>2952</v>
      </c>
      <c r="I2318" s="8">
        <v>46155</v>
      </c>
      <c r="J2318" t="s">
        <v>2674</v>
      </c>
      <c r="K2318" t="s">
        <v>2675</v>
      </c>
      <c r="L2318" s="13">
        <v>20000</v>
      </c>
      <c r="M2318" t="s">
        <v>2661</v>
      </c>
    </row>
    <row r="2319" spans="1:13">
      <c r="A2319" t="s">
        <v>977</v>
      </c>
      <c r="B2319" t="s">
        <v>117</v>
      </c>
      <c r="C2319" s="8">
        <v>46223</v>
      </c>
      <c r="D2319" t="s">
        <v>327</v>
      </c>
      <c r="E2319" t="s">
        <v>322</v>
      </c>
      <c r="F2319" s="12">
        <v>342451</v>
      </c>
      <c r="G2319" s="13">
        <v>34</v>
      </c>
      <c r="H2319" t="s">
        <v>3244</v>
      </c>
      <c r="I2319" s="8">
        <v>45969</v>
      </c>
      <c r="J2319" t="s">
        <v>2663</v>
      </c>
      <c r="K2319" t="s">
        <v>3630</v>
      </c>
      <c r="L2319" s="13">
        <v>1500</v>
      </c>
      <c r="M2319" t="s">
        <v>2661</v>
      </c>
    </row>
    <row r="2320" spans="1:13">
      <c r="A2320" t="s">
        <v>1012</v>
      </c>
      <c r="B2320" t="s">
        <v>117</v>
      </c>
      <c r="C2320" s="8">
        <v>46214</v>
      </c>
      <c r="D2320" t="s">
        <v>332</v>
      </c>
      <c r="E2320" t="s">
        <v>328</v>
      </c>
      <c r="F2320" s="12">
        <v>254719</v>
      </c>
      <c r="G2320" s="13">
        <v>25</v>
      </c>
      <c r="H2320" t="s">
        <v>2952</v>
      </c>
      <c r="I2320" s="8">
        <v>46155</v>
      </c>
      <c r="J2320" t="s">
        <v>2674</v>
      </c>
      <c r="K2320" t="s">
        <v>2675</v>
      </c>
      <c r="L2320" s="13">
        <v>20000</v>
      </c>
      <c r="M2320" t="s">
        <v>2661</v>
      </c>
    </row>
    <row r="2321" spans="1:13">
      <c r="A2321" t="s">
        <v>1012</v>
      </c>
      <c r="B2321" t="s">
        <v>117</v>
      </c>
      <c r="C2321" s="8">
        <v>46214</v>
      </c>
      <c r="D2321" t="s">
        <v>332</v>
      </c>
      <c r="E2321" t="s">
        <v>328</v>
      </c>
      <c r="F2321" s="12">
        <v>254719</v>
      </c>
      <c r="G2321" s="13">
        <v>25</v>
      </c>
      <c r="H2321" t="s">
        <v>3244</v>
      </c>
      <c r="I2321" s="8">
        <v>45969</v>
      </c>
      <c r="J2321" t="s">
        <v>2663</v>
      </c>
      <c r="K2321" t="s">
        <v>3630</v>
      </c>
      <c r="L2321" s="13">
        <v>1500</v>
      </c>
      <c r="M2321" t="s">
        <v>2661</v>
      </c>
    </row>
    <row r="2322" spans="1:13">
      <c r="A2322" t="s">
        <v>551</v>
      </c>
      <c r="B2322" t="s">
        <v>143</v>
      </c>
      <c r="C2322" s="8">
        <v>46023</v>
      </c>
      <c r="D2322" t="s">
        <v>342</v>
      </c>
      <c r="E2322" t="s">
        <v>325</v>
      </c>
      <c r="F2322" s="12">
        <v>87956</v>
      </c>
      <c r="G2322" s="13">
        <v>8</v>
      </c>
      <c r="H2322" t="s">
        <v>3050</v>
      </c>
      <c r="I2322" s="8">
        <v>46144</v>
      </c>
      <c r="J2322" t="s">
        <v>2663</v>
      </c>
      <c r="K2322" t="s">
        <v>3630</v>
      </c>
      <c r="L2322" s="13">
        <v>1500</v>
      </c>
      <c r="M2322" t="s">
        <v>2661</v>
      </c>
    </row>
    <row r="2323" spans="1:13">
      <c r="A2323" t="s">
        <v>551</v>
      </c>
      <c r="B2323" t="s">
        <v>143</v>
      </c>
      <c r="C2323" s="8">
        <v>46023</v>
      </c>
      <c r="D2323" t="s">
        <v>342</v>
      </c>
      <c r="E2323" t="s">
        <v>325</v>
      </c>
      <c r="F2323" s="12">
        <v>87956</v>
      </c>
      <c r="G2323" s="13">
        <v>8</v>
      </c>
      <c r="H2323" t="s">
        <v>3097</v>
      </c>
      <c r="I2323" s="8">
        <v>46260</v>
      </c>
      <c r="J2323" t="s">
        <v>2688</v>
      </c>
      <c r="K2323" t="s">
        <v>2689</v>
      </c>
      <c r="L2323" s="13">
        <v>8000</v>
      </c>
      <c r="M2323" t="s">
        <v>2676</v>
      </c>
    </row>
    <row r="2324" spans="1:13">
      <c r="A2324" t="s">
        <v>551</v>
      </c>
      <c r="B2324" t="s">
        <v>143</v>
      </c>
      <c r="C2324" s="8">
        <v>46023</v>
      </c>
      <c r="D2324" t="s">
        <v>342</v>
      </c>
      <c r="E2324" t="s">
        <v>325</v>
      </c>
      <c r="F2324" s="12">
        <v>87956</v>
      </c>
      <c r="G2324" s="13">
        <v>8</v>
      </c>
      <c r="H2324" t="s">
        <v>3107</v>
      </c>
      <c r="I2324" s="8">
        <v>46056</v>
      </c>
      <c r="J2324" t="s">
        <v>2663</v>
      </c>
      <c r="K2324" t="s">
        <v>3630</v>
      </c>
      <c r="L2324" s="13">
        <v>1500</v>
      </c>
      <c r="M2324" t="s">
        <v>2676</v>
      </c>
    </row>
    <row r="2325" spans="1:13">
      <c r="A2325" t="s">
        <v>551</v>
      </c>
      <c r="B2325" t="s">
        <v>143</v>
      </c>
      <c r="C2325" s="8">
        <v>46023</v>
      </c>
      <c r="D2325" t="s">
        <v>342</v>
      </c>
      <c r="E2325" t="s">
        <v>325</v>
      </c>
      <c r="F2325" s="12">
        <v>87956</v>
      </c>
      <c r="G2325" s="13">
        <v>8</v>
      </c>
      <c r="H2325" t="s">
        <v>3131</v>
      </c>
      <c r="I2325" s="8">
        <v>46096</v>
      </c>
      <c r="J2325" t="s">
        <v>2688</v>
      </c>
      <c r="K2325" t="s">
        <v>2689</v>
      </c>
      <c r="L2325" s="13">
        <v>8000</v>
      </c>
      <c r="M2325" t="s">
        <v>2661</v>
      </c>
    </row>
    <row r="2326" spans="1:13">
      <c r="A2326" t="s">
        <v>551</v>
      </c>
      <c r="B2326" t="s">
        <v>143</v>
      </c>
      <c r="C2326" s="8">
        <v>46023</v>
      </c>
      <c r="D2326" t="s">
        <v>342</v>
      </c>
      <c r="E2326" t="s">
        <v>325</v>
      </c>
      <c r="F2326" s="12">
        <v>87956</v>
      </c>
      <c r="G2326" s="13">
        <v>8</v>
      </c>
      <c r="H2326" t="s">
        <v>3414</v>
      </c>
      <c r="I2326" s="8">
        <v>46059</v>
      </c>
      <c r="J2326" t="s">
        <v>2674</v>
      </c>
      <c r="K2326" t="s">
        <v>2675</v>
      </c>
      <c r="L2326" s="13">
        <v>20000</v>
      </c>
      <c r="M2326" t="s">
        <v>2661</v>
      </c>
    </row>
    <row r="2327" spans="1:13">
      <c r="A2327" t="s">
        <v>604</v>
      </c>
      <c r="B2327" t="s">
        <v>143</v>
      </c>
      <c r="C2327" s="8">
        <v>46101</v>
      </c>
      <c r="D2327" t="s">
        <v>350</v>
      </c>
      <c r="E2327" t="s">
        <v>334</v>
      </c>
      <c r="F2327" s="12">
        <v>403612</v>
      </c>
      <c r="G2327" s="13">
        <v>40</v>
      </c>
      <c r="H2327" t="s">
        <v>3050</v>
      </c>
      <c r="I2327" s="8">
        <v>46144</v>
      </c>
      <c r="J2327" t="s">
        <v>2663</v>
      </c>
      <c r="K2327" t="s">
        <v>3630</v>
      </c>
      <c r="L2327" s="13">
        <v>1500</v>
      </c>
      <c r="M2327" t="s">
        <v>2661</v>
      </c>
    </row>
    <row r="2328" spans="1:13">
      <c r="A2328" t="s">
        <v>604</v>
      </c>
      <c r="B2328" t="s">
        <v>143</v>
      </c>
      <c r="C2328" s="8">
        <v>46101</v>
      </c>
      <c r="D2328" t="s">
        <v>350</v>
      </c>
      <c r="E2328" t="s">
        <v>334</v>
      </c>
      <c r="F2328" s="12">
        <v>403612</v>
      </c>
      <c r="G2328" s="13">
        <v>40</v>
      </c>
      <c r="H2328" t="s">
        <v>3097</v>
      </c>
      <c r="I2328" s="8">
        <v>46260</v>
      </c>
      <c r="J2328" t="s">
        <v>2688</v>
      </c>
      <c r="K2328" t="s">
        <v>2689</v>
      </c>
      <c r="L2328" s="13">
        <v>8000</v>
      </c>
      <c r="M2328" t="s">
        <v>2676</v>
      </c>
    </row>
    <row r="2329" spans="1:13">
      <c r="A2329" t="s">
        <v>604</v>
      </c>
      <c r="B2329" t="s">
        <v>143</v>
      </c>
      <c r="C2329" s="8">
        <v>46101</v>
      </c>
      <c r="D2329" t="s">
        <v>350</v>
      </c>
      <c r="E2329" t="s">
        <v>334</v>
      </c>
      <c r="F2329" s="12">
        <v>403612</v>
      </c>
      <c r="G2329" s="13">
        <v>40</v>
      </c>
      <c r="H2329" t="s">
        <v>3107</v>
      </c>
      <c r="I2329" s="8">
        <v>46056</v>
      </c>
      <c r="J2329" t="s">
        <v>2663</v>
      </c>
      <c r="K2329" t="s">
        <v>3630</v>
      </c>
      <c r="L2329" s="13">
        <v>1500</v>
      </c>
      <c r="M2329" t="s">
        <v>2676</v>
      </c>
    </row>
    <row r="2330" spans="1:13">
      <c r="A2330" t="s">
        <v>604</v>
      </c>
      <c r="B2330" t="s">
        <v>143</v>
      </c>
      <c r="C2330" s="8">
        <v>46101</v>
      </c>
      <c r="D2330" t="s">
        <v>350</v>
      </c>
      <c r="E2330" t="s">
        <v>334</v>
      </c>
      <c r="F2330" s="12">
        <v>403612</v>
      </c>
      <c r="G2330" s="13">
        <v>40</v>
      </c>
      <c r="H2330" t="s">
        <v>3131</v>
      </c>
      <c r="I2330" s="8">
        <v>46096</v>
      </c>
      <c r="J2330" t="s">
        <v>2688</v>
      </c>
      <c r="K2330" t="s">
        <v>2689</v>
      </c>
      <c r="L2330" s="13">
        <v>8000</v>
      </c>
      <c r="M2330" t="s">
        <v>2661</v>
      </c>
    </row>
    <row r="2331" spans="1:13">
      <c r="A2331" t="s">
        <v>604</v>
      </c>
      <c r="B2331" t="s">
        <v>143</v>
      </c>
      <c r="C2331" s="8">
        <v>46101</v>
      </c>
      <c r="D2331" t="s">
        <v>350</v>
      </c>
      <c r="E2331" t="s">
        <v>334</v>
      </c>
      <c r="F2331" s="12">
        <v>403612</v>
      </c>
      <c r="G2331" s="13">
        <v>40</v>
      </c>
      <c r="H2331" t="s">
        <v>3414</v>
      </c>
      <c r="I2331" s="8">
        <v>46059</v>
      </c>
      <c r="J2331" t="s">
        <v>2674</v>
      </c>
      <c r="K2331" t="s">
        <v>2675</v>
      </c>
      <c r="L2331" s="13">
        <v>20000</v>
      </c>
      <c r="M2331" t="s">
        <v>2661</v>
      </c>
    </row>
    <row r="2332" spans="1:13">
      <c r="A2332" t="s">
        <v>886</v>
      </c>
      <c r="B2332" t="s">
        <v>143</v>
      </c>
      <c r="C2332" s="8">
        <v>46255</v>
      </c>
      <c r="D2332" t="s">
        <v>344</v>
      </c>
      <c r="E2332" t="s">
        <v>322</v>
      </c>
      <c r="F2332" s="12">
        <v>94580</v>
      </c>
      <c r="G2332" s="13">
        <v>9</v>
      </c>
      <c r="H2332" t="s">
        <v>3050</v>
      </c>
      <c r="I2332" s="8">
        <v>46144</v>
      </c>
      <c r="J2332" t="s">
        <v>2663</v>
      </c>
      <c r="K2332" t="s">
        <v>3630</v>
      </c>
      <c r="L2332" s="13">
        <v>1500</v>
      </c>
      <c r="M2332" t="s">
        <v>2661</v>
      </c>
    </row>
    <row r="2333" spans="1:13">
      <c r="A2333" t="s">
        <v>886</v>
      </c>
      <c r="B2333" t="s">
        <v>143</v>
      </c>
      <c r="C2333" s="8">
        <v>46255</v>
      </c>
      <c r="D2333" t="s">
        <v>344</v>
      </c>
      <c r="E2333" t="s">
        <v>322</v>
      </c>
      <c r="F2333" s="12">
        <v>94580</v>
      </c>
      <c r="G2333" s="13">
        <v>9</v>
      </c>
      <c r="H2333" t="s">
        <v>3097</v>
      </c>
      <c r="I2333" s="8">
        <v>46260</v>
      </c>
      <c r="J2333" t="s">
        <v>2688</v>
      </c>
      <c r="K2333" t="s">
        <v>2689</v>
      </c>
      <c r="L2333" s="13">
        <v>8000</v>
      </c>
      <c r="M2333" t="s">
        <v>2676</v>
      </c>
    </row>
    <row r="2334" spans="1:13">
      <c r="A2334" t="s">
        <v>886</v>
      </c>
      <c r="B2334" t="s">
        <v>143</v>
      </c>
      <c r="C2334" s="8">
        <v>46255</v>
      </c>
      <c r="D2334" t="s">
        <v>344</v>
      </c>
      <c r="E2334" t="s">
        <v>322</v>
      </c>
      <c r="F2334" s="12">
        <v>94580</v>
      </c>
      <c r="G2334" s="13">
        <v>9</v>
      </c>
      <c r="H2334" t="s">
        <v>3107</v>
      </c>
      <c r="I2334" s="8">
        <v>46056</v>
      </c>
      <c r="J2334" t="s">
        <v>2663</v>
      </c>
      <c r="K2334" t="s">
        <v>3630</v>
      </c>
      <c r="L2334" s="13">
        <v>1500</v>
      </c>
      <c r="M2334" t="s">
        <v>2676</v>
      </c>
    </row>
    <row r="2335" spans="1:13">
      <c r="A2335" t="s">
        <v>886</v>
      </c>
      <c r="B2335" t="s">
        <v>143</v>
      </c>
      <c r="C2335" s="8">
        <v>46255</v>
      </c>
      <c r="D2335" t="s">
        <v>344</v>
      </c>
      <c r="E2335" t="s">
        <v>322</v>
      </c>
      <c r="F2335" s="12">
        <v>94580</v>
      </c>
      <c r="G2335" s="13">
        <v>9</v>
      </c>
      <c r="H2335" t="s">
        <v>3131</v>
      </c>
      <c r="I2335" s="8">
        <v>46096</v>
      </c>
      <c r="J2335" t="s">
        <v>2688</v>
      </c>
      <c r="K2335" t="s">
        <v>2689</v>
      </c>
      <c r="L2335" s="13">
        <v>8000</v>
      </c>
      <c r="M2335" t="s">
        <v>2661</v>
      </c>
    </row>
    <row r="2336" spans="1:13">
      <c r="A2336" t="s">
        <v>886</v>
      </c>
      <c r="B2336" t="s">
        <v>143</v>
      </c>
      <c r="C2336" s="8">
        <v>46255</v>
      </c>
      <c r="D2336" t="s">
        <v>344</v>
      </c>
      <c r="E2336" t="s">
        <v>322</v>
      </c>
      <c r="F2336" s="12">
        <v>94580</v>
      </c>
      <c r="G2336" s="13">
        <v>9</v>
      </c>
      <c r="H2336" t="s">
        <v>3414</v>
      </c>
      <c r="I2336" s="8">
        <v>46059</v>
      </c>
      <c r="J2336" t="s">
        <v>2674</v>
      </c>
      <c r="K2336" t="s">
        <v>2675</v>
      </c>
      <c r="L2336" s="13">
        <v>20000</v>
      </c>
      <c r="M2336" t="s">
        <v>2661</v>
      </c>
    </row>
    <row r="2337" spans="1:13">
      <c r="A2337" t="s">
        <v>701</v>
      </c>
      <c r="B2337" t="s">
        <v>128</v>
      </c>
      <c r="C2337" s="8">
        <v>45970</v>
      </c>
      <c r="D2337" t="s">
        <v>330</v>
      </c>
      <c r="E2337" t="s">
        <v>334</v>
      </c>
      <c r="F2337" s="12">
        <v>33970</v>
      </c>
      <c r="G2337" s="13">
        <v>3</v>
      </c>
      <c r="H2337" t="s">
        <v>2897</v>
      </c>
      <c r="I2337" s="8">
        <v>46253</v>
      </c>
      <c r="J2337" t="s">
        <v>2682</v>
      </c>
      <c r="K2337" t="s">
        <v>2683</v>
      </c>
      <c r="L2337" s="13">
        <v>6000</v>
      </c>
      <c r="M2337" t="s">
        <v>2661</v>
      </c>
    </row>
    <row r="2338" spans="1:13">
      <c r="A2338" t="s">
        <v>701</v>
      </c>
      <c r="B2338" t="s">
        <v>128</v>
      </c>
      <c r="C2338" s="8">
        <v>45970</v>
      </c>
      <c r="D2338" t="s">
        <v>330</v>
      </c>
      <c r="E2338" t="s">
        <v>334</v>
      </c>
      <c r="F2338" s="12">
        <v>33970</v>
      </c>
      <c r="G2338" s="13">
        <v>3</v>
      </c>
      <c r="H2338" t="s">
        <v>2966</v>
      </c>
      <c r="I2338" s="8">
        <v>45993</v>
      </c>
      <c r="J2338" t="s">
        <v>2663</v>
      </c>
      <c r="K2338" t="s">
        <v>3630</v>
      </c>
      <c r="L2338" s="13">
        <v>1500</v>
      </c>
      <c r="M2338" t="s">
        <v>2661</v>
      </c>
    </row>
    <row r="2339" spans="1:13">
      <c r="A2339" t="s">
        <v>701</v>
      </c>
      <c r="B2339" t="s">
        <v>128</v>
      </c>
      <c r="C2339" s="8">
        <v>45970</v>
      </c>
      <c r="D2339" t="s">
        <v>330</v>
      </c>
      <c r="E2339" t="s">
        <v>334</v>
      </c>
      <c r="F2339" s="12">
        <v>33970</v>
      </c>
      <c r="G2339" s="13">
        <v>3</v>
      </c>
      <c r="H2339" t="s">
        <v>3407</v>
      </c>
      <c r="I2339" s="8">
        <v>46260</v>
      </c>
      <c r="J2339" t="s">
        <v>2668</v>
      </c>
      <c r="K2339" t="s">
        <v>2669</v>
      </c>
      <c r="L2339" s="13">
        <v>4000</v>
      </c>
      <c r="M2339" t="s">
        <v>2661</v>
      </c>
    </row>
    <row r="2340" spans="1:13">
      <c r="A2340" t="s">
        <v>981</v>
      </c>
      <c r="B2340" t="s">
        <v>128</v>
      </c>
      <c r="C2340" s="8">
        <v>46271</v>
      </c>
      <c r="D2340" t="s">
        <v>350</v>
      </c>
      <c r="E2340" t="s">
        <v>325</v>
      </c>
      <c r="F2340" s="12">
        <v>345718</v>
      </c>
      <c r="G2340" s="13">
        <v>34</v>
      </c>
      <c r="H2340" t="s">
        <v>2897</v>
      </c>
      <c r="I2340" s="8">
        <v>46253</v>
      </c>
      <c r="J2340" t="s">
        <v>2682</v>
      </c>
      <c r="K2340" t="s">
        <v>2683</v>
      </c>
      <c r="L2340" s="13">
        <v>6000</v>
      </c>
      <c r="M2340" t="s">
        <v>2661</v>
      </c>
    </row>
    <row r="2341" spans="1:13">
      <c r="A2341" t="s">
        <v>981</v>
      </c>
      <c r="B2341" t="s">
        <v>128</v>
      </c>
      <c r="C2341" s="8">
        <v>46271</v>
      </c>
      <c r="D2341" t="s">
        <v>350</v>
      </c>
      <c r="E2341" t="s">
        <v>325</v>
      </c>
      <c r="F2341" s="12">
        <v>345718</v>
      </c>
      <c r="G2341" s="13">
        <v>34</v>
      </c>
      <c r="H2341" t="s">
        <v>2966</v>
      </c>
      <c r="I2341" s="8">
        <v>45993</v>
      </c>
      <c r="J2341" t="s">
        <v>2663</v>
      </c>
      <c r="K2341" t="s">
        <v>3630</v>
      </c>
      <c r="L2341" s="13">
        <v>1500</v>
      </c>
      <c r="M2341" t="s">
        <v>2661</v>
      </c>
    </row>
    <row r="2342" spans="1:13">
      <c r="A2342" t="s">
        <v>981</v>
      </c>
      <c r="B2342" t="s">
        <v>128</v>
      </c>
      <c r="C2342" s="8">
        <v>46271</v>
      </c>
      <c r="D2342" t="s">
        <v>350</v>
      </c>
      <c r="E2342" t="s">
        <v>325</v>
      </c>
      <c r="F2342" s="12">
        <v>345718</v>
      </c>
      <c r="G2342" s="13">
        <v>34</v>
      </c>
      <c r="H2342" t="s">
        <v>3407</v>
      </c>
      <c r="I2342" s="8">
        <v>46260</v>
      </c>
      <c r="J2342" t="s">
        <v>2668</v>
      </c>
      <c r="K2342" t="s">
        <v>2669</v>
      </c>
      <c r="L2342" s="13">
        <v>4000</v>
      </c>
      <c r="M2342" t="s">
        <v>2661</v>
      </c>
    </row>
    <row r="2343" spans="1:13">
      <c r="A2343" t="s">
        <v>1021</v>
      </c>
      <c r="B2343" t="s">
        <v>128</v>
      </c>
      <c r="C2343" s="8">
        <v>46220</v>
      </c>
      <c r="D2343" t="s">
        <v>342</v>
      </c>
      <c r="E2343" t="s">
        <v>325</v>
      </c>
      <c r="F2343" s="12">
        <v>271617</v>
      </c>
      <c r="G2343" s="13">
        <v>27</v>
      </c>
      <c r="H2343" t="s">
        <v>2897</v>
      </c>
      <c r="I2343" s="8">
        <v>46253</v>
      </c>
      <c r="J2343" t="s">
        <v>2682</v>
      </c>
      <c r="K2343" t="s">
        <v>2683</v>
      </c>
      <c r="L2343" s="13">
        <v>6000</v>
      </c>
      <c r="M2343" t="s">
        <v>2661</v>
      </c>
    </row>
    <row r="2344" spans="1:13">
      <c r="A2344" t="s">
        <v>1021</v>
      </c>
      <c r="B2344" t="s">
        <v>128</v>
      </c>
      <c r="C2344" s="8">
        <v>46220</v>
      </c>
      <c r="D2344" t="s">
        <v>342</v>
      </c>
      <c r="E2344" t="s">
        <v>325</v>
      </c>
      <c r="F2344" s="12">
        <v>271617</v>
      </c>
      <c r="G2344" s="13">
        <v>27</v>
      </c>
      <c r="H2344" t="s">
        <v>2966</v>
      </c>
      <c r="I2344" s="8">
        <v>45993</v>
      </c>
      <c r="J2344" t="s">
        <v>2663</v>
      </c>
      <c r="K2344" t="s">
        <v>3630</v>
      </c>
      <c r="L2344" s="13">
        <v>1500</v>
      </c>
      <c r="M2344" t="s">
        <v>2661</v>
      </c>
    </row>
    <row r="2345" spans="1:13">
      <c r="A2345" t="s">
        <v>1021</v>
      </c>
      <c r="B2345" t="s">
        <v>128</v>
      </c>
      <c r="C2345" s="8">
        <v>46220</v>
      </c>
      <c r="D2345" t="s">
        <v>342</v>
      </c>
      <c r="E2345" t="s">
        <v>325</v>
      </c>
      <c r="F2345" s="12">
        <v>271617</v>
      </c>
      <c r="G2345" s="13">
        <v>27</v>
      </c>
      <c r="H2345" t="s">
        <v>3407</v>
      </c>
      <c r="I2345" s="8">
        <v>46260</v>
      </c>
      <c r="J2345" t="s">
        <v>2668</v>
      </c>
      <c r="K2345" t="s">
        <v>2669</v>
      </c>
      <c r="L2345" s="13">
        <v>4000</v>
      </c>
      <c r="M2345" t="s">
        <v>2661</v>
      </c>
    </row>
    <row r="2346" spans="1:13">
      <c r="A2346" t="s">
        <v>1232</v>
      </c>
      <c r="B2346" t="s">
        <v>128</v>
      </c>
      <c r="C2346" s="8">
        <v>46224</v>
      </c>
      <c r="D2346" t="s">
        <v>332</v>
      </c>
      <c r="E2346" t="s">
        <v>339</v>
      </c>
      <c r="F2346" s="12">
        <v>483723</v>
      </c>
      <c r="G2346" s="13">
        <v>48</v>
      </c>
      <c r="H2346" t="s">
        <v>2897</v>
      </c>
      <c r="I2346" s="8">
        <v>46253</v>
      </c>
      <c r="J2346" t="s">
        <v>2682</v>
      </c>
      <c r="K2346" t="s">
        <v>2683</v>
      </c>
      <c r="L2346" s="13">
        <v>6000</v>
      </c>
      <c r="M2346" t="s">
        <v>2661</v>
      </c>
    </row>
    <row r="2347" spans="1:13">
      <c r="A2347" t="s">
        <v>1232</v>
      </c>
      <c r="B2347" t="s">
        <v>128</v>
      </c>
      <c r="C2347" s="8">
        <v>46224</v>
      </c>
      <c r="D2347" t="s">
        <v>332</v>
      </c>
      <c r="E2347" t="s">
        <v>339</v>
      </c>
      <c r="F2347" s="12">
        <v>483723</v>
      </c>
      <c r="G2347" s="13">
        <v>48</v>
      </c>
      <c r="H2347" t="s">
        <v>2966</v>
      </c>
      <c r="I2347" s="8">
        <v>45993</v>
      </c>
      <c r="J2347" t="s">
        <v>2663</v>
      </c>
      <c r="K2347" t="s">
        <v>3630</v>
      </c>
      <c r="L2347" s="13">
        <v>1500</v>
      </c>
      <c r="M2347" t="s">
        <v>2661</v>
      </c>
    </row>
    <row r="2348" spans="1:13">
      <c r="A2348" t="s">
        <v>1232</v>
      </c>
      <c r="B2348" t="s">
        <v>128</v>
      </c>
      <c r="C2348" s="8">
        <v>46224</v>
      </c>
      <c r="D2348" t="s">
        <v>332</v>
      </c>
      <c r="E2348" t="s">
        <v>339</v>
      </c>
      <c r="F2348" s="12">
        <v>483723</v>
      </c>
      <c r="G2348" s="13">
        <v>48</v>
      </c>
      <c r="H2348" t="s">
        <v>3407</v>
      </c>
      <c r="I2348" s="8">
        <v>46260</v>
      </c>
      <c r="J2348" t="s">
        <v>2668</v>
      </c>
      <c r="K2348" t="s">
        <v>2669</v>
      </c>
      <c r="L2348" s="13">
        <v>4000</v>
      </c>
      <c r="M2348" t="s">
        <v>2661</v>
      </c>
    </row>
    <row r="2349" spans="1:13">
      <c r="A2349" t="s">
        <v>557</v>
      </c>
      <c r="B2349" t="s">
        <v>90</v>
      </c>
      <c r="C2349" s="8">
        <v>46213</v>
      </c>
      <c r="D2349" t="s">
        <v>321</v>
      </c>
      <c r="E2349" t="s">
        <v>322</v>
      </c>
      <c r="F2349" s="12">
        <v>338998</v>
      </c>
      <c r="G2349" s="13">
        <v>33</v>
      </c>
      <c r="H2349" t="s">
        <v>3041</v>
      </c>
      <c r="I2349" s="8">
        <v>46040</v>
      </c>
      <c r="J2349" t="s">
        <v>2685</v>
      </c>
      <c r="K2349" t="s">
        <v>2686</v>
      </c>
      <c r="L2349" s="13">
        <v>5000</v>
      </c>
      <c r="M2349" t="s">
        <v>2661</v>
      </c>
    </row>
    <row r="2350" spans="1:13">
      <c r="A2350" t="s">
        <v>863</v>
      </c>
      <c r="B2350" t="s">
        <v>90</v>
      </c>
      <c r="C2350" s="8">
        <v>46067</v>
      </c>
      <c r="D2350" t="s">
        <v>332</v>
      </c>
      <c r="E2350" t="s">
        <v>322</v>
      </c>
      <c r="F2350" s="12">
        <v>138393</v>
      </c>
      <c r="G2350" s="13">
        <v>13</v>
      </c>
      <c r="H2350" t="s">
        <v>3041</v>
      </c>
      <c r="I2350" s="8">
        <v>46040</v>
      </c>
      <c r="J2350" t="s">
        <v>2685</v>
      </c>
      <c r="K2350" t="s">
        <v>2686</v>
      </c>
      <c r="L2350" s="13">
        <v>5000</v>
      </c>
      <c r="M2350" t="s">
        <v>2661</v>
      </c>
    </row>
    <row r="2351" spans="1:13">
      <c r="A2351" t="s">
        <v>890</v>
      </c>
      <c r="B2351" t="s">
        <v>90</v>
      </c>
      <c r="C2351" s="8">
        <v>46189</v>
      </c>
      <c r="D2351" t="s">
        <v>321</v>
      </c>
      <c r="E2351" t="s">
        <v>334</v>
      </c>
      <c r="F2351" s="12">
        <v>270966</v>
      </c>
      <c r="G2351" s="13">
        <v>27</v>
      </c>
      <c r="H2351" t="s">
        <v>3041</v>
      </c>
      <c r="I2351" s="8">
        <v>46040</v>
      </c>
      <c r="J2351" t="s">
        <v>2685</v>
      </c>
      <c r="K2351" t="s">
        <v>2686</v>
      </c>
      <c r="L2351" s="13">
        <v>5000</v>
      </c>
      <c r="M2351" t="s">
        <v>2661</v>
      </c>
    </row>
    <row r="2352" spans="1:13">
      <c r="A2352" t="s">
        <v>913</v>
      </c>
      <c r="B2352" t="s">
        <v>90</v>
      </c>
      <c r="C2352" s="8">
        <v>46220</v>
      </c>
      <c r="D2352" t="s">
        <v>330</v>
      </c>
      <c r="E2352" t="s">
        <v>337</v>
      </c>
      <c r="F2352" s="12">
        <v>577826</v>
      </c>
      <c r="G2352" s="13">
        <v>57</v>
      </c>
      <c r="H2352" t="s">
        <v>3041</v>
      </c>
      <c r="I2352" s="8">
        <v>46040</v>
      </c>
      <c r="J2352" t="s">
        <v>2685</v>
      </c>
      <c r="K2352" t="s">
        <v>2686</v>
      </c>
      <c r="L2352" s="13">
        <v>5000</v>
      </c>
      <c r="M2352" t="s">
        <v>2661</v>
      </c>
    </row>
    <row r="2353" spans="1:13">
      <c r="A2353" t="s">
        <v>1074</v>
      </c>
      <c r="B2353" t="s">
        <v>90</v>
      </c>
      <c r="C2353" s="8">
        <v>46248</v>
      </c>
      <c r="D2353" t="s">
        <v>324</v>
      </c>
      <c r="E2353" t="s">
        <v>334</v>
      </c>
      <c r="F2353" s="12">
        <v>78204</v>
      </c>
      <c r="G2353" s="13">
        <v>7</v>
      </c>
      <c r="H2353" t="s">
        <v>3041</v>
      </c>
      <c r="I2353" s="8">
        <v>46040</v>
      </c>
      <c r="J2353" t="s">
        <v>2685</v>
      </c>
      <c r="K2353" t="s">
        <v>2686</v>
      </c>
      <c r="L2353" s="13">
        <v>5000</v>
      </c>
      <c r="M2353" t="s">
        <v>2661</v>
      </c>
    </row>
    <row r="2354" spans="1:13">
      <c r="A2354" t="s">
        <v>1094</v>
      </c>
      <c r="B2354" t="s">
        <v>90</v>
      </c>
      <c r="C2354" s="8">
        <v>46008</v>
      </c>
      <c r="D2354" t="s">
        <v>344</v>
      </c>
      <c r="E2354" t="s">
        <v>328</v>
      </c>
      <c r="F2354" s="12">
        <v>208974</v>
      </c>
      <c r="G2354" s="13">
        <v>20</v>
      </c>
      <c r="H2354" t="s">
        <v>3041</v>
      </c>
      <c r="I2354" s="8">
        <v>46040</v>
      </c>
      <c r="J2354" t="s">
        <v>2685</v>
      </c>
      <c r="K2354" t="s">
        <v>2686</v>
      </c>
      <c r="L2354" s="13">
        <v>5000</v>
      </c>
      <c r="M2354" t="s">
        <v>2661</v>
      </c>
    </row>
    <row r="2355" spans="1:13">
      <c r="A2355" t="s">
        <v>1146</v>
      </c>
      <c r="B2355" t="s">
        <v>90</v>
      </c>
      <c r="C2355" s="8">
        <v>45939</v>
      </c>
      <c r="D2355" t="s">
        <v>324</v>
      </c>
      <c r="E2355" t="s">
        <v>339</v>
      </c>
      <c r="F2355" s="12">
        <v>618132</v>
      </c>
      <c r="G2355" s="13">
        <v>61</v>
      </c>
      <c r="H2355" t="s">
        <v>3041</v>
      </c>
      <c r="I2355" s="8">
        <v>46040</v>
      </c>
      <c r="J2355" t="s">
        <v>2685</v>
      </c>
      <c r="K2355" t="s">
        <v>2686</v>
      </c>
      <c r="L2355" s="13">
        <v>5000</v>
      </c>
      <c r="M2355" t="s">
        <v>2661</v>
      </c>
    </row>
    <row r="2356" spans="1:13">
      <c r="A2356" t="s">
        <v>686</v>
      </c>
      <c r="B2356" t="s">
        <v>165</v>
      </c>
      <c r="C2356" s="8">
        <v>46025</v>
      </c>
      <c r="D2356" t="s">
        <v>342</v>
      </c>
      <c r="E2356" t="s">
        <v>339</v>
      </c>
      <c r="F2356" s="12">
        <v>68891</v>
      </c>
      <c r="G2356" s="13">
        <v>6</v>
      </c>
      <c r="H2356" t="s">
        <v>2903</v>
      </c>
      <c r="I2356" s="8">
        <v>46193</v>
      </c>
      <c r="J2356" t="s">
        <v>2682</v>
      </c>
      <c r="K2356" t="s">
        <v>2683</v>
      </c>
      <c r="L2356" s="13">
        <v>6000</v>
      </c>
      <c r="M2356" t="s">
        <v>2676</v>
      </c>
    </row>
    <row r="2357" spans="1:13">
      <c r="A2357" t="s">
        <v>686</v>
      </c>
      <c r="B2357" t="s">
        <v>165</v>
      </c>
      <c r="C2357" s="8">
        <v>46025</v>
      </c>
      <c r="D2357" t="s">
        <v>342</v>
      </c>
      <c r="E2357" t="s">
        <v>339</v>
      </c>
      <c r="F2357" s="12">
        <v>68891</v>
      </c>
      <c r="G2357" s="13">
        <v>6</v>
      </c>
      <c r="H2357" t="s">
        <v>3138</v>
      </c>
      <c r="I2357" s="8">
        <v>45989</v>
      </c>
      <c r="J2357" t="s">
        <v>2685</v>
      </c>
      <c r="K2357" t="s">
        <v>2686</v>
      </c>
      <c r="L2357" s="13">
        <v>5000</v>
      </c>
      <c r="M2357" t="s">
        <v>2661</v>
      </c>
    </row>
    <row r="2358" spans="1:13">
      <c r="A2358" t="s">
        <v>686</v>
      </c>
      <c r="B2358" t="s">
        <v>165</v>
      </c>
      <c r="C2358" s="8">
        <v>46025</v>
      </c>
      <c r="D2358" t="s">
        <v>342</v>
      </c>
      <c r="E2358" t="s">
        <v>339</v>
      </c>
      <c r="F2358" s="12">
        <v>68891</v>
      </c>
      <c r="G2358" s="13">
        <v>6</v>
      </c>
      <c r="H2358" t="s">
        <v>3510</v>
      </c>
      <c r="I2358" s="8">
        <v>46119</v>
      </c>
      <c r="J2358" t="s">
        <v>2668</v>
      </c>
      <c r="K2358" t="s">
        <v>2669</v>
      </c>
      <c r="L2358" s="13">
        <v>4000</v>
      </c>
      <c r="M2358" t="s">
        <v>2661</v>
      </c>
    </row>
    <row r="2359" spans="1:13">
      <c r="A2359" t="s">
        <v>869</v>
      </c>
      <c r="B2359" t="s">
        <v>165</v>
      </c>
      <c r="C2359" s="8">
        <v>46012</v>
      </c>
      <c r="D2359" t="s">
        <v>332</v>
      </c>
      <c r="E2359" t="s">
        <v>339</v>
      </c>
      <c r="F2359" s="12">
        <v>146870</v>
      </c>
      <c r="G2359" s="13">
        <v>14</v>
      </c>
      <c r="H2359" t="s">
        <v>2903</v>
      </c>
      <c r="I2359" s="8">
        <v>46193</v>
      </c>
      <c r="J2359" t="s">
        <v>2682</v>
      </c>
      <c r="K2359" t="s">
        <v>2683</v>
      </c>
      <c r="L2359" s="13">
        <v>6000</v>
      </c>
      <c r="M2359" t="s">
        <v>2676</v>
      </c>
    </row>
    <row r="2360" spans="1:13">
      <c r="A2360" t="s">
        <v>869</v>
      </c>
      <c r="B2360" t="s">
        <v>165</v>
      </c>
      <c r="C2360" s="8">
        <v>46012</v>
      </c>
      <c r="D2360" t="s">
        <v>332</v>
      </c>
      <c r="E2360" t="s">
        <v>339</v>
      </c>
      <c r="F2360" s="12">
        <v>146870</v>
      </c>
      <c r="G2360" s="13">
        <v>14</v>
      </c>
      <c r="H2360" t="s">
        <v>3138</v>
      </c>
      <c r="I2360" s="8">
        <v>45989</v>
      </c>
      <c r="J2360" t="s">
        <v>2685</v>
      </c>
      <c r="K2360" t="s">
        <v>2686</v>
      </c>
      <c r="L2360" s="13">
        <v>5000</v>
      </c>
      <c r="M2360" t="s">
        <v>2661</v>
      </c>
    </row>
    <row r="2361" spans="1:13">
      <c r="A2361" t="s">
        <v>869</v>
      </c>
      <c r="B2361" t="s">
        <v>165</v>
      </c>
      <c r="C2361" s="8">
        <v>46012</v>
      </c>
      <c r="D2361" t="s">
        <v>332</v>
      </c>
      <c r="E2361" t="s">
        <v>339</v>
      </c>
      <c r="F2361" s="12">
        <v>146870</v>
      </c>
      <c r="G2361" s="13">
        <v>14</v>
      </c>
      <c r="H2361" t="s">
        <v>3510</v>
      </c>
      <c r="I2361" s="8">
        <v>46119</v>
      </c>
      <c r="J2361" t="s">
        <v>2668</v>
      </c>
      <c r="K2361" t="s">
        <v>2669</v>
      </c>
      <c r="L2361" s="13">
        <v>4000</v>
      </c>
      <c r="M2361" t="s">
        <v>2661</v>
      </c>
    </row>
    <row r="2362" spans="1:13">
      <c r="A2362" t="s">
        <v>605</v>
      </c>
      <c r="B2362" t="s">
        <v>265</v>
      </c>
      <c r="C2362" s="8">
        <v>46105</v>
      </c>
      <c r="D2362" t="s">
        <v>342</v>
      </c>
      <c r="E2362" t="s">
        <v>325</v>
      </c>
      <c r="F2362" s="12">
        <v>152835</v>
      </c>
      <c r="G2362" s="13">
        <v>15</v>
      </c>
      <c r="H2362" t="s">
        <v>2909</v>
      </c>
      <c r="I2362" s="8">
        <v>45963</v>
      </c>
      <c r="J2362" t="s">
        <v>2659</v>
      </c>
      <c r="K2362" t="s">
        <v>2660</v>
      </c>
      <c r="L2362" s="13">
        <v>3500</v>
      </c>
      <c r="M2362" t="s">
        <v>2661</v>
      </c>
    </row>
    <row r="2363" spans="1:13">
      <c r="A2363" t="s">
        <v>905</v>
      </c>
      <c r="B2363" t="s">
        <v>265</v>
      </c>
      <c r="C2363" s="8">
        <v>46269</v>
      </c>
      <c r="D2363" t="s">
        <v>330</v>
      </c>
      <c r="E2363" t="s">
        <v>334</v>
      </c>
      <c r="F2363" s="12">
        <v>172859</v>
      </c>
      <c r="G2363" s="13">
        <v>17</v>
      </c>
      <c r="H2363" t="s">
        <v>2909</v>
      </c>
      <c r="I2363" s="8">
        <v>45963</v>
      </c>
      <c r="J2363" t="s">
        <v>2659</v>
      </c>
      <c r="K2363" t="s">
        <v>2660</v>
      </c>
      <c r="L2363" s="13">
        <v>3500</v>
      </c>
      <c r="M2363" t="s">
        <v>2661</v>
      </c>
    </row>
    <row r="2364" spans="1:13">
      <c r="A2364" t="s">
        <v>753</v>
      </c>
      <c r="B2364" t="s">
        <v>241</v>
      </c>
      <c r="C2364" s="8">
        <v>46079</v>
      </c>
      <c r="D2364" t="s">
        <v>330</v>
      </c>
      <c r="E2364" t="s">
        <v>322</v>
      </c>
      <c r="F2364" s="12">
        <v>349633</v>
      </c>
      <c r="G2364" s="13">
        <v>34</v>
      </c>
      <c r="H2364" t="s">
        <v>2911</v>
      </c>
      <c r="I2364" s="8">
        <v>46173</v>
      </c>
      <c r="J2364" t="s">
        <v>2692</v>
      </c>
      <c r="K2364" t="s">
        <v>2693</v>
      </c>
      <c r="L2364" s="13">
        <v>10000</v>
      </c>
      <c r="M2364" t="s">
        <v>2661</v>
      </c>
    </row>
    <row r="2365" spans="1:13">
      <c r="A2365" t="s">
        <v>753</v>
      </c>
      <c r="B2365" t="s">
        <v>241</v>
      </c>
      <c r="C2365" s="8">
        <v>46079</v>
      </c>
      <c r="D2365" t="s">
        <v>330</v>
      </c>
      <c r="E2365" t="s">
        <v>322</v>
      </c>
      <c r="F2365" s="12">
        <v>349633</v>
      </c>
      <c r="G2365" s="13">
        <v>34</v>
      </c>
      <c r="H2365" t="s">
        <v>3174</v>
      </c>
      <c r="I2365" s="8">
        <v>46189</v>
      </c>
      <c r="J2365" t="s">
        <v>2674</v>
      </c>
      <c r="K2365" t="s">
        <v>2675</v>
      </c>
      <c r="L2365" s="13">
        <v>20000</v>
      </c>
      <c r="M2365" t="s">
        <v>2661</v>
      </c>
    </row>
    <row r="2366" spans="1:13">
      <c r="A2366" t="s">
        <v>753</v>
      </c>
      <c r="B2366" t="s">
        <v>241</v>
      </c>
      <c r="C2366" s="8">
        <v>46079</v>
      </c>
      <c r="D2366" t="s">
        <v>330</v>
      </c>
      <c r="E2366" t="s">
        <v>322</v>
      </c>
      <c r="F2366" s="12">
        <v>349633</v>
      </c>
      <c r="G2366" s="13">
        <v>34</v>
      </c>
      <c r="H2366" t="s">
        <v>3419</v>
      </c>
      <c r="I2366" s="8">
        <v>46084</v>
      </c>
      <c r="J2366" t="s">
        <v>2665</v>
      </c>
      <c r="K2366" t="s">
        <v>2666</v>
      </c>
      <c r="L2366" s="13">
        <v>2500</v>
      </c>
      <c r="M2366" t="s">
        <v>2661</v>
      </c>
    </row>
    <row r="2367" spans="1:13">
      <c r="A2367" t="s">
        <v>753</v>
      </c>
      <c r="B2367" t="s">
        <v>241</v>
      </c>
      <c r="C2367" s="8">
        <v>46079</v>
      </c>
      <c r="D2367" t="s">
        <v>330</v>
      </c>
      <c r="E2367" t="s">
        <v>322</v>
      </c>
      <c r="F2367" s="12">
        <v>349633</v>
      </c>
      <c r="G2367" s="13">
        <v>34</v>
      </c>
      <c r="H2367" t="s">
        <v>3526</v>
      </c>
      <c r="I2367" s="8">
        <v>46211</v>
      </c>
      <c r="J2367" t="s">
        <v>2671</v>
      </c>
      <c r="K2367" t="s">
        <v>2672</v>
      </c>
      <c r="L2367" s="13">
        <v>3000</v>
      </c>
      <c r="M2367" t="s">
        <v>2661</v>
      </c>
    </row>
    <row r="2368" spans="1:13">
      <c r="A2368" t="s">
        <v>967</v>
      </c>
      <c r="B2368" t="s">
        <v>241</v>
      </c>
      <c r="C2368" s="8">
        <v>46088</v>
      </c>
      <c r="D2368" t="s">
        <v>324</v>
      </c>
      <c r="E2368" t="s">
        <v>339</v>
      </c>
      <c r="F2368" s="12">
        <v>335848</v>
      </c>
      <c r="G2368" s="13">
        <v>33</v>
      </c>
      <c r="H2368" t="s">
        <v>2911</v>
      </c>
      <c r="I2368" s="8">
        <v>46173</v>
      </c>
      <c r="J2368" t="s">
        <v>2692</v>
      </c>
      <c r="K2368" t="s">
        <v>2693</v>
      </c>
      <c r="L2368" s="13">
        <v>10000</v>
      </c>
      <c r="M2368" t="s">
        <v>2661</v>
      </c>
    </row>
    <row r="2369" spans="1:13">
      <c r="A2369" t="s">
        <v>967</v>
      </c>
      <c r="B2369" t="s">
        <v>241</v>
      </c>
      <c r="C2369" s="8">
        <v>46088</v>
      </c>
      <c r="D2369" t="s">
        <v>324</v>
      </c>
      <c r="E2369" t="s">
        <v>339</v>
      </c>
      <c r="F2369" s="12">
        <v>335848</v>
      </c>
      <c r="G2369" s="13">
        <v>33</v>
      </c>
      <c r="H2369" t="s">
        <v>3174</v>
      </c>
      <c r="I2369" s="8">
        <v>46189</v>
      </c>
      <c r="J2369" t="s">
        <v>2674</v>
      </c>
      <c r="K2369" t="s">
        <v>2675</v>
      </c>
      <c r="L2369" s="13">
        <v>20000</v>
      </c>
      <c r="M2369" t="s">
        <v>2661</v>
      </c>
    </row>
    <row r="2370" spans="1:13">
      <c r="A2370" t="s">
        <v>967</v>
      </c>
      <c r="B2370" t="s">
        <v>241</v>
      </c>
      <c r="C2370" s="8">
        <v>46088</v>
      </c>
      <c r="D2370" t="s">
        <v>324</v>
      </c>
      <c r="E2370" t="s">
        <v>339</v>
      </c>
      <c r="F2370" s="12">
        <v>335848</v>
      </c>
      <c r="G2370" s="13">
        <v>33</v>
      </c>
      <c r="H2370" t="s">
        <v>3419</v>
      </c>
      <c r="I2370" s="8">
        <v>46084</v>
      </c>
      <c r="J2370" t="s">
        <v>2665</v>
      </c>
      <c r="K2370" t="s">
        <v>2666</v>
      </c>
      <c r="L2370" s="13">
        <v>2500</v>
      </c>
      <c r="M2370" t="s">
        <v>2661</v>
      </c>
    </row>
    <row r="2371" spans="1:13">
      <c r="A2371" t="s">
        <v>967</v>
      </c>
      <c r="B2371" t="s">
        <v>241</v>
      </c>
      <c r="C2371" s="8">
        <v>46088</v>
      </c>
      <c r="D2371" t="s">
        <v>324</v>
      </c>
      <c r="E2371" t="s">
        <v>339</v>
      </c>
      <c r="F2371" s="12">
        <v>335848</v>
      </c>
      <c r="G2371" s="13">
        <v>33</v>
      </c>
      <c r="H2371" t="s">
        <v>3526</v>
      </c>
      <c r="I2371" s="8">
        <v>46211</v>
      </c>
      <c r="J2371" t="s">
        <v>2671</v>
      </c>
      <c r="K2371" t="s">
        <v>2672</v>
      </c>
      <c r="L2371" s="13">
        <v>3000</v>
      </c>
      <c r="M2371" t="s">
        <v>2661</v>
      </c>
    </row>
    <row r="2372" spans="1:13">
      <c r="A2372" t="s">
        <v>1090</v>
      </c>
      <c r="B2372" t="s">
        <v>241</v>
      </c>
      <c r="C2372" s="8">
        <v>46251</v>
      </c>
      <c r="D2372" t="s">
        <v>342</v>
      </c>
      <c r="E2372" t="s">
        <v>337</v>
      </c>
      <c r="F2372" s="12">
        <v>86565</v>
      </c>
      <c r="G2372" s="13">
        <v>8</v>
      </c>
      <c r="H2372" t="s">
        <v>2911</v>
      </c>
      <c r="I2372" s="8">
        <v>46173</v>
      </c>
      <c r="J2372" t="s">
        <v>2692</v>
      </c>
      <c r="K2372" t="s">
        <v>2693</v>
      </c>
      <c r="L2372" s="13">
        <v>10000</v>
      </c>
      <c r="M2372" t="s">
        <v>2661</v>
      </c>
    </row>
    <row r="2373" spans="1:13">
      <c r="A2373" t="s">
        <v>1090</v>
      </c>
      <c r="B2373" t="s">
        <v>241</v>
      </c>
      <c r="C2373" s="8">
        <v>46251</v>
      </c>
      <c r="D2373" t="s">
        <v>342</v>
      </c>
      <c r="E2373" t="s">
        <v>337</v>
      </c>
      <c r="F2373" s="12">
        <v>86565</v>
      </c>
      <c r="G2373" s="13">
        <v>8</v>
      </c>
      <c r="H2373" t="s">
        <v>3174</v>
      </c>
      <c r="I2373" s="8">
        <v>46189</v>
      </c>
      <c r="J2373" t="s">
        <v>2674</v>
      </c>
      <c r="K2373" t="s">
        <v>2675</v>
      </c>
      <c r="L2373" s="13">
        <v>20000</v>
      </c>
      <c r="M2373" t="s">
        <v>2661</v>
      </c>
    </row>
    <row r="2374" spans="1:13">
      <c r="A2374" t="s">
        <v>1090</v>
      </c>
      <c r="B2374" t="s">
        <v>241</v>
      </c>
      <c r="C2374" s="8">
        <v>46251</v>
      </c>
      <c r="D2374" t="s">
        <v>342</v>
      </c>
      <c r="E2374" t="s">
        <v>337</v>
      </c>
      <c r="F2374" s="12">
        <v>86565</v>
      </c>
      <c r="G2374" s="13">
        <v>8</v>
      </c>
      <c r="H2374" t="s">
        <v>3419</v>
      </c>
      <c r="I2374" s="8">
        <v>46084</v>
      </c>
      <c r="J2374" t="s">
        <v>2665</v>
      </c>
      <c r="K2374" t="s">
        <v>2666</v>
      </c>
      <c r="L2374" s="13">
        <v>2500</v>
      </c>
      <c r="M2374" t="s">
        <v>2661</v>
      </c>
    </row>
    <row r="2375" spans="1:13">
      <c r="A2375" t="s">
        <v>1090</v>
      </c>
      <c r="B2375" t="s">
        <v>241</v>
      </c>
      <c r="C2375" s="8">
        <v>46251</v>
      </c>
      <c r="D2375" t="s">
        <v>342</v>
      </c>
      <c r="E2375" t="s">
        <v>337</v>
      </c>
      <c r="F2375" s="12">
        <v>86565</v>
      </c>
      <c r="G2375" s="13">
        <v>8</v>
      </c>
      <c r="H2375" t="s">
        <v>3526</v>
      </c>
      <c r="I2375" s="8">
        <v>46211</v>
      </c>
      <c r="J2375" t="s">
        <v>2671</v>
      </c>
      <c r="K2375" t="s">
        <v>2672</v>
      </c>
      <c r="L2375" s="13">
        <v>3000</v>
      </c>
      <c r="M2375" t="s">
        <v>2661</v>
      </c>
    </row>
    <row r="2376" spans="1:13">
      <c r="A2376" t="s">
        <v>600</v>
      </c>
      <c r="B2376" t="s">
        <v>135</v>
      </c>
      <c r="C2376" s="8">
        <v>46179</v>
      </c>
      <c r="D2376" t="s">
        <v>321</v>
      </c>
      <c r="E2376" t="s">
        <v>322</v>
      </c>
      <c r="F2376" s="12">
        <v>365102</v>
      </c>
      <c r="G2376" s="13">
        <v>36</v>
      </c>
      <c r="H2376" t="s">
        <v>2922</v>
      </c>
      <c r="I2376" s="8">
        <v>45998</v>
      </c>
      <c r="J2376" t="s">
        <v>2682</v>
      </c>
      <c r="K2376" t="s">
        <v>2683</v>
      </c>
      <c r="L2376" s="13">
        <v>6000</v>
      </c>
      <c r="M2376" t="s">
        <v>2661</v>
      </c>
    </row>
    <row r="2377" spans="1:13">
      <c r="A2377" t="s">
        <v>600</v>
      </c>
      <c r="B2377" t="s">
        <v>135</v>
      </c>
      <c r="C2377" s="8">
        <v>46179</v>
      </c>
      <c r="D2377" t="s">
        <v>321</v>
      </c>
      <c r="E2377" t="s">
        <v>322</v>
      </c>
      <c r="F2377" s="12">
        <v>365102</v>
      </c>
      <c r="G2377" s="13">
        <v>36</v>
      </c>
      <c r="H2377" t="s">
        <v>3053</v>
      </c>
      <c r="I2377" s="8">
        <v>46165</v>
      </c>
      <c r="J2377" t="s">
        <v>2692</v>
      </c>
      <c r="K2377" t="s">
        <v>2693</v>
      </c>
      <c r="L2377" s="13">
        <v>10000</v>
      </c>
      <c r="M2377" t="s">
        <v>2661</v>
      </c>
    </row>
    <row r="2378" spans="1:13">
      <c r="A2378" t="s">
        <v>600</v>
      </c>
      <c r="B2378" t="s">
        <v>135</v>
      </c>
      <c r="C2378" s="8">
        <v>46179</v>
      </c>
      <c r="D2378" t="s">
        <v>321</v>
      </c>
      <c r="E2378" t="s">
        <v>322</v>
      </c>
      <c r="F2378" s="12">
        <v>365102</v>
      </c>
      <c r="G2378" s="13">
        <v>36</v>
      </c>
      <c r="H2378" t="s">
        <v>3118</v>
      </c>
      <c r="I2378" s="8">
        <v>45989</v>
      </c>
      <c r="J2378" t="s">
        <v>2692</v>
      </c>
      <c r="K2378" t="s">
        <v>2693</v>
      </c>
      <c r="L2378" s="13">
        <v>10000</v>
      </c>
      <c r="M2378" t="s">
        <v>2661</v>
      </c>
    </row>
    <row r="2379" spans="1:13">
      <c r="A2379" t="s">
        <v>600</v>
      </c>
      <c r="B2379" t="s">
        <v>135</v>
      </c>
      <c r="C2379" s="8">
        <v>46179</v>
      </c>
      <c r="D2379" t="s">
        <v>321</v>
      </c>
      <c r="E2379" t="s">
        <v>322</v>
      </c>
      <c r="F2379" s="12">
        <v>365102</v>
      </c>
      <c r="G2379" s="13">
        <v>36</v>
      </c>
      <c r="H2379" t="s">
        <v>3262</v>
      </c>
      <c r="I2379" s="8">
        <v>46091</v>
      </c>
      <c r="J2379" t="s">
        <v>2682</v>
      </c>
      <c r="K2379" t="s">
        <v>2683</v>
      </c>
      <c r="L2379" s="13">
        <v>6000</v>
      </c>
      <c r="M2379" t="s">
        <v>2661</v>
      </c>
    </row>
    <row r="2380" spans="1:13">
      <c r="A2380" t="s">
        <v>687</v>
      </c>
      <c r="B2380" t="s">
        <v>135</v>
      </c>
      <c r="C2380" s="8">
        <v>46205</v>
      </c>
      <c r="D2380" t="s">
        <v>327</v>
      </c>
      <c r="E2380" t="s">
        <v>325</v>
      </c>
      <c r="F2380" s="12">
        <v>515335</v>
      </c>
      <c r="G2380" s="13">
        <v>51</v>
      </c>
      <c r="H2380" t="s">
        <v>2922</v>
      </c>
      <c r="I2380" s="8">
        <v>45998</v>
      </c>
      <c r="J2380" t="s">
        <v>2682</v>
      </c>
      <c r="K2380" t="s">
        <v>2683</v>
      </c>
      <c r="L2380" s="13">
        <v>6000</v>
      </c>
      <c r="M2380" t="s">
        <v>2661</v>
      </c>
    </row>
    <row r="2381" spans="1:13">
      <c r="A2381" t="s">
        <v>687</v>
      </c>
      <c r="B2381" t="s">
        <v>135</v>
      </c>
      <c r="C2381" s="8">
        <v>46205</v>
      </c>
      <c r="D2381" t="s">
        <v>327</v>
      </c>
      <c r="E2381" t="s">
        <v>325</v>
      </c>
      <c r="F2381" s="12">
        <v>515335</v>
      </c>
      <c r="G2381" s="13">
        <v>51</v>
      </c>
      <c r="H2381" t="s">
        <v>3053</v>
      </c>
      <c r="I2381" s="8">
        <v>46165</v>
      </c>
      <c r="J2381" t="s">
        <v>2692</v>
      </c>
      <c r="K2381" t="s">
        <v>2693</v>
      </c>
      <c r="L2381" s="13">
        <v>10000</v>
      </c>
      <c r="M2381" t="s">
        <v>2661</v>
      </c>
    </row>
    <row r="2382" spans="1:13">
      <c r="A2382" t="s">
        <v>687</v>
      </c>
      <c r="B2382" t="s">
        <v>135</v>
      </c>
      <c r="C2382" s="8">
        <v>46205</v>
      </c>
      <c r="D2382" t="s">
        <v>327</v>
      </c>
      <c r="E2382" t="s">
        <v>325</v>
      </c>
      <c r="F2382" s="12">
        <v>515335</v>
      </c>
      <c r="G2382" s="13">
        <v>51</v>
      </c>
      <c r="H2382" t="s">
        <v>3118</v>
      </c>
      <c r="I2382" s="8">
        <v>45989</v>
      </c>
      <c r="J2382" t="s">
        <v>2692</v>
      </c>
      <c r="K2382" t="s">
        <v>2693</v>
      </c>
      <c r="L2382" s="13">
        <v>10000</v>
      </c>
      <c r="M2382" t="s">
        <v>2661</v>
      </c>
    </row>
    <row r="2383" spans="1:13">
      <c r="A2383" t="s">
        <v>687</v>
      </c>
      <c r="B2383" t="s">
        <v>135</v>
      </c>
      <c r="C2383" s="8">
        <v>46205</v>
      </c>
      <c r="D2383" t="s">
        <v>327</v>
      </c>
      <c r="E2383" t="s">
        <v>325</v>
      </c>
      <c r="F2383" s="12">
        <v>515335</v>
      </c>
      <c r="G2383" s="13">
        <v>51</v>
      </c>
      <c r="H2383" t="s">
        <v>3262</v>
      </c>
      <c r="I2383" s="8">
        <v>46091</v>
      </c>
      <c r="J2383" t="s">
        <v>2682</v>
      </c>
      <c r="K2383" t="s">
        <v>2683</v>
      </c>
      <c r="L2383" s="13">
        <v>6000</v>
      </c>
      <c r="M2383" t="s">
        <v>2661</v>
      </c>
    </row>
    <row r="2384" spans="1:13">
      <c r="A2384" t="s">
        <v>772</v>
      </c>
      <c r="B2384" t="s">
        <v>135</v>
      </c>
      <c r="C2384" s="8">
        <v>46219</v>
      </c>
      <c r="D2384" t="s">
        <v>342</v>
      </c>
      <c r="E2384" t="s">
        <v>334</v>
      </c>
      <c r="F2384" s="12">
        <v>621786</v>
      </c>
      <c r="G2384" s="13">
        <v>62</v>
      </c>
      <c r="H2384" t="s">
        <v>2922</v>
      </c>
      <c r="I2384" s="8">
        <v>45998</v>
      </c>
      <c r="J2384" t="s">
        <v>2682</v>
      </c>
      <c r="K2384" t="s">
        <v>2683</v>
      </c>
      <c r="L2384" s="13">
        <v>6000</v>
      </c>
      <c r="M2384" t="s">
        <v>2661</v>
      </c>
    </row>
    <row r="2385" spans="1:13">
      <c r="A2385" t="s">
        <v>772</v>
      </c>
      <c r="B2385" t="s">
        <v>135</v>
      </c>
      <c r="C2385" s="8">
        <v>46219</v>
      </c>
      <c r="D2385" t="s">
        <v>342</v>
      </c>
      <c r="E2385" t="s">
        <v>334</v>
      </c>
      <c r="F2385" s="12">
        <v>621786</v>
      </c>
      <c r="G2385" s="13">
        <v>62</v>
      </c>
      <c r="H2385" t="s">
        <v>3053</v>
      </c>
      <c r="I2385" s="8">
        <v>46165</v>
      </c>
      <c r="J2385" t="s">
        <v>2692</v>
      </c>
      <c r="K2385" t="s">
        <v>2693</v>
      </c>
      <c r="L2385" s="13">
        <v>10000</v>
      </c>
      <c r="M2385" t="s">
        <v>2661</v>
      </c>
    </row>
    <row r="2386" spans="1:13">
      <c r="A2386" t="s">
        <v>772</v>
      </c>
      <c r="B2386" t="s">
        <v>135</v>
      </c>
      <c r="C2386" s="8">
        <v>46219</v>
      </c>
      <c r="D2386" t="s">
        <v>342</v>
      </c>
      <c r="E2386" t="s">
        <v>334</v>
      </c>
      <c r="F2386" s="12">
        <v>621786</v>
      </c>
      <c r="G2386" s="13">
        <v>62</v>
      </c>
      <c r="H2386" t="s">
        <v>3118</v>
      </c>
      <c r="I2386" s="8">
        <v>45989</v>
      </c>
      <c r="J2386" t="s">
        <v>2692</v>
      </c>
      <c r="K2386" t="s">
        <v>2693</v>
      </c>
      <c r="L2386" s="13">
        <v>10000</v>
      </c>
      <c r="M2386" t="s">
        <v>2661</v>
      </c>
    </row>
    <row r="2387" spans="1:13">
      <c r="A2387" t="s">
        <v>772</v>
      </c>
      <c r="B2387" t="s">
        <v>135</v>
      </c>
      <c r="C2387" s="8">
        <v>46219</v>
      </c>
      <c r="D2387" t="s">
        <v>342</v>
      </c>
      <c r="E2387" t="s">
        <v>334</v>
      </c>
      <c r="F2387" s="12">
        <v>621786</v>
      </c>
      <c r="G2387" s="13">
        <v>62</v>
      </c>
      <c r="H2387" t="s">
        <v>3262</v>
      </c>
      <c r="I2387" s="8">
        <v>46091</v>
      </c>
      <c r="J2387" t="s">
        <v>2682</v>
      </c>
      <c r="K2387" t="s">
        <v>2683</v>
      </c>
      <c r="L2387" s="13">
        <v>6000</v>
      </c>
      <c r="M2387" t="s">
        <v>2661</v>
      </c>
    </row>
    <row r="2388" spans="1:13">
      <c r="A2388" t="s">
        <v>865</v>
      </c>
      <c r="B2388" t="s">
        <v>135</v>
      </c>
      <c r="C2388" s="8">
        <v>46157</v>
      </c>
      <c r="D2388" t="s">
        <v>327</v>
      </c>
      <c r="E2388" t="s">
        <v>334</v>
      </c>
      <c r="F2388" s="12">
        <v>456947</v>
      </c>
      <c r="G2388" s="13">
        <v>45</v>
      </c>
      <c r="H2388" t="s">
        <v>2922</v>
      </c>
      <c r="I2388" s="8">
        <v>45998</v>
      </c>
      <c r="J2388" t="s">
        <v>2682</v>
      </c>
      <c r="K2388" t="s">
        <v>2683</v>
      </c>
      <c r="L2388" s="13">
        <v>6000</v>
      </c>
      <c r="M2388" t="s">
        <v>2661</v>
      </c>
    </row>
    <row r="2389" spans="1:13">
      <c r="A2389" t="s">
        <v>865</v>
      </c>
      <c r="B2389" t="s">
        <v>135</v>
      </c>
      <c r="C2389" s="8">
        <v>46157</v>
      </c>
      <c r="D2389" t="s">
        <v>327</v>
      </c>
      <c r="E2389" t="s">
        <v>334</v>
      </c>
      <c r="F2389" s="12">
        <v>456947</v>
      </c>
      <c r="G2389" s="13">
        <v>45</v>
      </c>
      <c r="H2389" t="s">
        <v>3053</v>
      </c>
      <c r="I2389" s="8">
        <v>46165</v>
      </c>
      <c r="J2389" t="s">
        <v>2692</v>
      </c>
      <c r="K2389" t="s">
        <v>2693</v>
      </c>
      <c r="L2389" s="13">
        <v>10000</v>
      </c>
      <c r="M2389" t="s">
        <v>2661</v>
      </c>
    </row>
    <row r="2390" spans="1:13">
      <c r="A2390" t="s">
        <v>865</v>
      </c>
      <c r="B2390" t="s">
        <v>135</v>
      </c>
      <c r="C2390" s="8">
        <v>46157</v>
      </c>
      <c r="D2390" t="s">
        <v>327</v>
      </c>
      <c r="E2390" t="s">
        <v>334</v>
      </c>
      <c r="F2390" s="12">
        <v>456947</v>
      </c>
      <c r="G2390" s="13">
        <v>45</v>
      </c>
      <c r="H2390" t="s">
        <v>3118</v>
      </c>
      <c r="I2390" s="8">
        <v>45989</v>
      </c>
      <c r="J2390" t="s">
        <v>2692</v>
      </c>
      <c r="K2390" t="s">
        <v>2693</v>
      </c>
      <c r="L2390" s="13">
        <v>10000</v>
      </c>
      <c r="M2390" t="s">
        <v>2661</v>
      </c>
    </row>
    <row r="2391" spans="1:13">
      <c r="A2391" t="s">
        <v>865</v>
      </c>
      <c r="B2391" t="s">
        <v>135</v>
      </c>
      <c r="C2391" s="8">
        <v>46157</v>
      </c>
      <c r="D2391" t="s">
        <v>327</v>
      </c>
      <c r="E2391" t="s">
        <v>334</v>
      </c>
      <c r="F2391" s="12">
        <v>456947</v>
      </c>
      <c r="G2391" s="13">
        <v>45</v>
      </c>
      <c r="H2391" t="s">
        <v>3262</v>
      </c>
      <c r="I2391" s="8">
        <v>46091</v>
      </c>
      <c r="J2391" t="s">
        <v>2682</v>
      </c>
      <c r="K2391" t="s">
        <v>2683</v>
      </c>
      <c r="L2391" s="13">
        <v>6000</v>
      </c>
      <c r="M2391" t="s">
        <v>2661</v>
      </c>
    </row>
    <row r="2392" spans="1:13">
      <c r="A2392" t="s">
        <v>934</v>
      </c>
      <c r="B2392" t="s">
        <v>135</v>
      </c>
      <c r="C2392" s="8">
        <v>46066</v>
      </c>
      <c r="D2392" t="s">
        <v>332</v>
      </c>
      <c r="E2392" t="s">
        <v>337</v>
      </c>
      <c r="F2392" s="12">
        <v>295769</v>
      </c>
      <c r="G2392" s="13">
        <v>29</v>
      </c>
      <c r="H2392" t="s">
        <v>2922</v>
      </c>
      <c r="I2392" s="8">
        <v>45998</v>
      </c>
      <c r="J2392" t="s">
        <v>2682</v>
      </c>
      <c r="K2392" t="s">
        <v>2683</v>
      </c>
      <c r="L2392" s="13">
        <v>6000</v>
      </c>
      <c r="M2392" t="s">
        <v>2661</v>
      </c>
    </row>
    <row r="2393" spans="1:13">
      <c r="A2393" t="s">
        <v>934</v>
      </c>
      <c r="B2393" t="s">
        <v>135</v>
      </c>
      <c r="C2393" s="8">
        <v>46066</v>
      </c>
      <c r="D2393" t="s">
        <v>332</v>
      </c>
      <c r="E2393" t="s">
        <v>337</v>
      </c>
      <c r="F2393" s="12">
        <v>295769</v>
      </c>
      <c r="G2393" s="13">
        <v>29</v>
      </c>
      <c r="H2393" t="s">
        <v>3053</v>
      </c>
      <c r="I2393" s="8">
        <v>46165</v>
      </c>
      <c r="J2393" t="s">
        <v>2692</v>
      </c>
      <c r="K2393" t="s">
        <v>2693</v>
      </c>
      <c r="L2393" s="13">
        <v>10000</v>
      </c>
      <c r="M2393" t="s">
        <v>2661</v>
      </c>
    </row>
    <row r="2394" spans="1:13">
      <c r="A2394" t="s">
        <v>934</v>
      </c>
      <c r="B2394" t="s">
        <v>135</v>
      </c>
      <c r="C2394" s="8">
        <v>46066</v>
      </c>
      <c r="D2394" t="s">
        <v>332</v>
      </c>
      <c r="E2394" t="s">
        <v>337</v>
      </c>
      <c r="F2394" s="12">
        <v>295769</v>
      </c>
      <c r="G2394" s="13">
        <v>29</v>
      </c>
      <c r="H2394" t="s">
        <v>3118</v>
      </c>
      <c r="I2394" s="8">
        <v>45989</v>
      </c>
      <c r="J2394" t="s">
        <v>2692</v>
      </c>
      <c r="K2394" t="s">
        <v>2693</v>
      </c>
      <c r="L2394" s="13">
        <v>10000</v>
      </c>
      <c r="M2394" t="s">
        <v>2661</v>
      </c>
    </row>
    <row r="2395" spans="1:13">
      <c r="A2395" t="s">
        <v>934</v>
      </c>
      <c r="B2395" t="s">
        <v>135</v>
      </c>
      <c r="C2395" s="8">
        <v>46066</v>
      </c>
      <c r="D2395" t="s">
        <v>332</v>
      </c>
      <c r="E2395" t="s">
        <v>337</v>
      </c>
      <c r="F2395" s="12">
        <v>295769</v>
      </c>
      <c r="G2395" s="13">
        <v>29</v>
      </c>
      <c r="H2395" t="s">
        <v>3262</v>
      </c>
      <c r="I2395" s="8">
        <v>46091</v>
      </c>
      <c r="J2395" t="s">
        <v>2682</v>
      </c>
      <c r="K2395" t="s">
        <v>2683</v>
      </c>
      <c r="L2395" s="13">
        <v>6000</v>
      </c>
      <c r="M2395" t="s">
        <v>2661</v>
      </c>
    </row>
    <row r="2396" spans="1:13">
      <c r="A2396" t="s">
        <v>1080</v>
      </c>
      <c r="B2396" t="s">
        <v>135</v>
      </c>
      <c r="C2396" s="8">
        <v>46004</v>
      </c>
      <c r="D2396" t="s">
        <v>332</v>
      </c>
      <c r="E2396" t="s">
        <v>322</v>
      </c>
      <c r="F2396" s="12">
        <v>213699</v>
      </c>
      <c r="G2396" s="13">
        <v>21</v>
      </c>
      <c r="H2396" t="s">
        <v>2922</v>
      </c>
      <c r="I2396" s="8">
        <v>45998</v>
      </c>
      <c r="J2396" t="s">
        <v>2682</v>
      </c>
      <c r="K2396" t="s">
        <v>2683</v>
      </c>
      <c r="L2396" s="13">
        <v>6000</v>
      </c>
      <c r="M2396" t="s">
        <v>2661</v>
      </c>
    </row>
    <row r="2397" spans="1:13">
      <c r="A2397" t="s">
        <v>1080</v>
      </c>
      <c r="B2397" t="s">
        <v>135</v>
      </c>
      <c r="C2397" s="8">
        <v>46004</v>
      </c>
      <c r="D2397" t="s">
        <v>332</v>
      </c>
      <c r="E2397" t="s">
        <v>322</v>
      </c>
      <c r="F2397" s="12">
        <v>213699</v>
      </c>
      <c r="G2397" s="13">
        <v>21</v>
      </c>
      <c r="H2397" t="s">
        <v>3053</v>
      </c>
      <c r="I2397" s="8">
        <v>46165</v>
      </c>
      <c r="J2397" t="s">
        <v>2692</v>
      </c>
      <c r="K2397" t="s">
        <v>2693</v>
      </c>
      <c r="L2397" s="13">
        <v>10000</v>
      </c>
      <c r="M2397" t="s">
        <v>2661</v>
      </c>
    </row>
    <row r="2398" spans="1:13">
      <c r="A2398" t="s">
        <v>1080</v>
      </c>
      <c r="B2398" t="s">
        <v>135</v>
      </c>
      <c r="C2398" s="8">
        <v>46004</v>
      </c>
      <c r="D2398" t="s">
        <v>332</v>
      </c>
      <c r="E2398" t="s">
        <v>322</v>
      </c>
      <c r="F2398" s="12">
        <v>213699</v>
      </c>
      <c r="G2398" s="13">
        <v>21</v>
      </c>
      <c r="H2398" t="s">
        <v>3118</v>
      </c>
      <c r="I2398" s="8">
        <v>45989</v>
      </c>
      <c r="J2398" t="s">
        <v>2692</v>
      </c>
      <c r="K2398" t="s">
        <v>2693</v>
      </c>
      <c r="L2398" s="13">
        <v>10000</v>
      </c>
      <c r="M2398" t="s">
        <v>2661</v>
      </c>
    </row>
    <row r="2399" spans="1:13">
      <c r="A2399" t="s">
        <v>1080</v>
      </c>
      <c r="B2399" t="s">
        <v>135</v>
      </c>
      <c r="C2399" s="8">
        <v>46004</v>
      </c>
      <c r="D2399" t="s">
        <v>332</v>
      </c>
      <c r="E2399" t="s">
        <v>322</v>
      </c>
      <c r="F2399" s="12">
        <v>213699</v>
      </c>
      <c r="G2399" s="13">
        <v>21</v>
      </c>
      <c r="H2399" t="s">
        <v>3262</v>
      </c>
      <c r="I2399" s="8">
        <v>46091</v>
      </c>
      <c r="J2399" t="s">
        <v>2682</v>
      </c>
      <c r="K2399" t="s">
        <v>2683</v>
      </c>
      <c r="L2399" s="13">
        <v>6000</v>
      </c>
      <c r="M2399" t="s">
        <v>2661</v>
      </c>
    </row>
    <row r="2400" spans="1:13">
      <c r="A2400" t="s">
        <v>1211</v>
      </c>
      <c r="B2400" t="s">
        <v>135</v>
      </c>
      <c r="C2400" s="8">
        <v>46052</v>
      </c>
      <c r="D2400" t="s">
        <v>344</v>
      </c>
      <c r="E2400" t="s">
        <v>337</v>
      </c>
      <c r="F2400" s="12">
        <v>383457</v>
      </c>
      <c r="G2400" s="13">
        <v>38</v>
      </c>
      <c r="H2400" t="s">
        <v>2922</v>
      </c>
      <c r="I2400" s="8">
        <v>45998</v>
      </c>
      <c r="J2400" t="s">
        <v>2682</v>
      </c>
      <c r="K2400" t="s">
        <v>2683</v>
      </c>
      <c r="L2400" s="13">
        <v>6000</v>
      </c>
      <c r="M2400" t="s">
        <v>2661</v>
      </c>
    </row>
    <row r="2401" spans="1:13">
      <c r="A2401" t="s">
        <v>1211</v>
      </c>
      <c r="B2401" t="s">
        <v>135</v>
      </c>
      <c r="C2401" s="8">
        <v>46052</v>
      </c>
      <c r="D2401" t="s">
        <v>344</v>
      </c>
      <c r="E2401" t="s">
        <v>337</v>
      </c>
      <c r="F2401" s="12">
        <v>383457</v>
      </c>
      <c r="G2401" s="13">
        <v>38</v>
      </c>
      <c r="H2401" t="s">
        <v>3053</v>
      </c>
      <c r="I2401" s="8">
        <v>46165</v>
      </c>
      <c r="J2401" t="s">
        <v>2692</v>
      </c>
      <c r="K2401" t="s">
        <v>2693</v>
      </c>
      <c r="L2401" s="13">
        <v>10000</v>
      </c>
      <c r="M2401" t="s">
        <v>2661</v>
      </c>
    </row>
    <row r="2402" spans="1:13">
      <c r="A2402" t="s">
        <v>1211</v>
      </c>
      <c r="B2402" t="s">
        <v>135</v>
      </c>
      <c r="C2402" s="8">
        <v>46052</v>
      </c>
      <c r="D2402" t="s">
        <v>344</v>
      </c>
      <c r="E2402" t="s">
        <v>337</v>
      </c>
      <c r="F2402" s="12">
        <v>383457</v>
      </c>
      <c r="G2402" s="13">
        <v>38</v>
      </c>
      <c r="H2402" t="s">
        <v>3118</v>
      </c>
      <c r="I2402" s="8">
        <v>45989</v>
      </c>
      <c r="J2402" t="s">
        <v>2692</v>
      </c>
      <c r="K2402" t="s">
        <v>2693</v>
      </c>
      <c r="L2402" s="13">
        <v>10000</v>
      </c>
      <c r="M2402" t="s">
        <v>2661</v>
      </c>
    </row>
    <row r="2403" spans="1:13">
      <c r="A2403" t="s">
        <v>1211</v>
      </c>
      <c r="B2403" t="s">
        <v>135</v>
      </c>
      <c r="C2403" s="8">
        <v>46052</v>
      </c>
      <c r="D2403" t="s">
        <v>344</v>
      </c>
      <c r="E2403" t="s">
        <v>337</v>
      </c>
      <c r="F2403" s="12">
        <v>383457</v>
      </c>
      <c r="G2403" s="13">
        <v>38</v>
      </c>
      <c r="H2403" t="s">
        <v>3262</v>
      </c>
      <c r="I2403" s="8">
        <v>46091</v>
      </c>
      <c r="J2403" t="s">
        <v>2682</v>
      </c>
      <c r="K2403" t="s">
        <v>2683</v>
      </c>
      <c r="L2403" s="13">
        <v>6000</v>
      </c>
      <c r="M2403" t="s">
        <v>2661</v>
      </c>
    </row>
    <row r="2404" spans="1:13">
      <c r="A2404" t="s">
        <v>578</v>
      </c>
      <c r="B2404" t="s">
        <v>170</v>
      </c>
      <c r="C2404" s="8">
        <v>46138</v>
      </c>
      <c r="D2404" t="s">
        <v>332</v>
      </c>
      <c r="E2404" t="s">
        <v>334</v>
      </c>
      <c r="F2404" s="12">
        <v>111093</v>
      </c>
      <c r="G2404" s="13">
        <v>11</v>
      </c>
      <c r="H2404" t="s">
        <v>2987</v>
      </c>
      <c r="I2404" s="8">
        <v>45962</v>
      </c>
      <c r="J2404" t="s">
        <v>2665</v>
      </c>
      <c r="K2404" t="s">
        <v>2666</v>
      </c>
      <c r="L2404" s="13">
        <v>2500</v>
      </c>
      <c r="M2404" t="s">
        <v>2661</v>
      </c>
    </row>
    <row r="2405" spans="1:13">
      <c r="A2405" t="s">
        <v>578</v>
      </c>
      <c r="B2405" t="s">
        <v>170</v>
      </c>
      <c r="C2405" s="8">
        <v>46138</v>
      </c>
      <c r="D2405" t="s">
        <v>332</v>
      </c>
      <c r="E2405" t="s">
        <v>334</v>
      </c>
      <c r="F2405" s="12">
        <v>111093</v>
      </c>
      <c r="G2405" s="13">
        <v>11</v>
      </c>
      <c r="H2405" t="s">
        <v>3043</v>
      </c>
      <c r="I2405" s="8">
        <v>46277</v>
      </c>
      <c r="J2405" t="s">
        <v>2663</v>
      </c>
      <c r="K2405" t="s">
        <v>3630</v>
      </c>
      <c r="L2405" s="13">
        <v>1500</v>
      </c>
      <c r="M2405" t="s">
        <v>2676</v>
      </c>
    </row>
    <row r="2406" spans="1:13">
      <c r="A2406" t="s">
        <v>620</v>
      </c>
      <c r="B2406" t="s">
        <v>170</v>
      </c>
      <c r="C2406" s="8">
        <v>46129</v>
      </c>
      <c r="D2406" t="s">
        <v>321</v>
      </c>
      <c r="E2406" t="s">
        <v>337</v>
      </c>
      <c r="F2406" s="12">
        <v>89538</v>
      </c>
      <c r="G2406" s="13">
        <v>8</v>
      </c>
      <c r="H2406" t="s">
        <v>2987</v>
      </c>
      <c r="I2406" s="8">
        <v>45962</v>
      </c>
      <c r="J2406" t="s">
        <v>2665</v>
      </c>
      <c r="K2406" t="s">
        <v>2666</v>
      </c>
      <c r="L2406" s="13">
        <v>2500</v>
      </c>
      <c r="M2406" t="s">
        <v>2661</v>
      </c>
    </row>
    <row r="2407" spans="1:13">
      <c r="A2407" t="s">
        <v>620</v>
      </c>
      <c r="B2407" t="s">
        <v>170</v>
      </c>
      <c r="C2407" s="8">
        <v>46129</v>
      </c>
      <c r="D2407" t="s">
        <v>321</v>
      </c>
      <c r="E2407" t="s">
        <v>337</v>
      </c>
      <c r="F2407" s="12">
        <v>89538</v>
      </c>
      <c r="G2407" s="13">
        <v>8</v>
      </c>
      <c r="H2407" t="s">
        <v>3043</v>
      </c>
      <c r="I2407" s="8">
        <v>46277</v>
      </c>
      <c r="J2407" t="s">
        <v>2663</v>
      </c>
      <c r="K2407" t="s">
        <v>3630</v>
      </c>
      <c r="L2407" s="13">
        <v>1500</v>
      </c>
      <c r="M2407" t="s">
        <v>2676</v>
      </c>
    </row>
    <row r="2408" spans="1:13">
      <c r="A2408" t="s">
        <v>909</v>
      </c>
      <c r="B2408" t="s">
        <v>170</v>
      </c>
      <c r="C2408" s="8">
        <v>46230</v>
      </c>
      <c r="D2408" t="s">
        <v>344</v>
      </c>
      <c r="E2408" t="s">
        <v>337</v>
      </c>
      <c r="F2408" s="12">
        <v>551772</v>
      </c>
      <c r="G2408" s="13">
        <v>55</v>
      </c>
      <c r="H2408" t="s">
        <v>2987</v>
      </c>
      <c r="I2408" s="8">
        <v>45962</v>
      </c>
      <c r="J2408" t="s">
        <v>2665</v>
      </c>
      <c r="K2408" t="s">
        <v>2666</v>
      </c>
      <c r="L2408" s="13">
        <v>2500</v>
      </c>
      <c r="M2408" t="s">
        <v>2661</v>
      </c>
    </row>
    <row r="2409" spans="1:13">
      <c r="A2409" t="s">
        <v>909</v>
      </c>
      <c r="B2409" t="s">
        <v>170</v>
      </c>
      <c r="C2409" s="8">
        <v>46230</v>
      </c>
      <c r="D2409" t="s">
        <v>344</v>
      </c>
      <c r="E2409" t="s">
        <v>337</v>
      </c>
      <c r="F2409" s="12">
        <v>551772</v>
      </c>
      <c r="G2409" s="13">
        <v>55</v>
      </c>
      <c r="H2409" t="s">
        <v>3043</v>
      </c>
      <c r="I2409" s="8">
        <v>46277</v>
      </c>
      <c r="J2409" t="s">
        <v>2663</v>
      </c>
      <c r="K2409" t="s">
        <v>3630</v>
      </c>
      <c r="L2409" s="13">
        <v>1500</v>
      </c>
      <c r="M2409" t="s">
        <v>2676</v>
      </c>
    </row>
    <row r="2410" spans="1:13">
      <c r="A2410" t="s">
        <v>1031</v>
      </c>
      <c r="B2410" t="s">
        <v>170</v>
      </c>
      <c r="C2410" s="8">
        <v>46247</v>
      </c>
      <c r="D2410" t="s">
        <v>342</v>
      </c>
      <c r="E2410" t="s">
        <v>337</v>
      </c>
      <c r="F2410" s="12">
        <v>512599</v>
      </c>
      <c r="G2410" s="13">
        <v>51</v>
      </c>
      <c r="H2410" t="s">
        <v>2987</v>
      </c>
      <c r="I2410" s="8">
        <v>45962</v>
      </c>
      <c r="J2410" t="s">
        <v>2665</v>
      </c>
      <c r="K2410" t="s">
        <v>2666</v>
      </c>
      <c r="L2410" s="13">
        <v>2500</v>
      </c>
      <c r="M2410" t="s">
        <v>2661</v>
      </c>
    </row>
    <row r="2411" spans="1:13">
      <c r="A2411" t="s">
        <v>1031</v>
      </c>
      <c r="B2411" t="s">
        <v>170</v>
      </c>
      <c r="C2411" s="8">
        <v>46247</v>
      </c>
      <c r="D2411" t="s">
        <v>342</v>
      </c>
      <c r="E2411" t="s">
        <v>337</v>
      </c>
      <c r="F2411" s="12">
        <v>512599</v>
      </c>
      <c r="G2411" s="13">
        <v>51</v>
      </c>
      <c r="H2411" t="s">
        <v>3043</v>
      </c>
      <c r="I2411" s="8">
        <v>46277</v>
      </c>
      <c r="J2411" t="s">
        <v>2663</v>
      </c>
      <c r="K2411" t="s">
        <v>3630</v>
      </c>
      <c r="L2411" s="13">
        <v>1500</v>
      </c>
      <c r="M2411" t="s">
        <v>2676</v>
      </c>
    </row>
    <row r="2412" spans="1:13">
      <c r="A2412" t="s">
        <v>581</v>
      </c>
      <c r="B2412" t="s">
        <v>119</v>
      </c>
      <c r="C2412" s="8">
        <v>46230</v>
      </c>
      <c r="D2412" t="s">
        <v>342</v>
      </c>
      <c r="E2412" t="s">
        <v>328</v>
      </c>
      <c r="F2412" s="12">
        <v>394157</v>
      </c>
      <c r="G2412" s="13">
        <v>39</v>
      </c>
      <c r="H2412" t="s">
        <v>3432</v>
      </c>
      <c r="I2412" s="8">
        <v>46150</v>
      </c>
      <c r="J2412" t="s">
        <v>2692</v>
      </c>
      <c r="K2412" t="s">
        <v>2693</v>
      </c>
      <c r="L2412" s="13">
        <v>10000</v>
      </c>
      <c r="M2412" t="s">
        <v>2661</v>
      </c>
    </row>
    <row r="2413" spans="1:13">
      <c r="A2413" t="s">
        <v>1078</v>
      </c>
      <c r="B2413" t="s">
        <v>119</v>
      </c>
      <c r="C2413" s="8">
        <v>46289</v>
      </c>
      <c r="D2413" t="s">
        <v>327</v>
      </c>
      <c r="E2413" t="s">
        <v>334</v>
      </c>
      <c r="F2413" s="12">
        <v>140382</v>
      </c>
      <c r="G2413" s="13">
        <v>14</v>
      </c>
      <c r="H2413" t="s">
        <v>3432</v>
      </c>
      <c r="I2413" s="8">
        <v>46150</v>
      </c>
      <c r="J2413" t="s">
        <v>2692</v>
      </c>
      <c r="K2413" t="s">
        <v>2693</v>
      </c>
      <c r="L2413" s="13">
        <v>10000</v>
      </c>
      <c r="M2413" t="s">
        <v>2661</v>
      </c>
    </row>
    <row r="2414" spans="1:13">
      <c r="A2414" t="s">
        <v>609</v>
      </c>
      <c r="B2414" t="s">
        <v>298</v>
      </c>
      <c r="C2414" s="8">
        <v>46161</v>
      </c>
      <c r="D2414" t="s">
        <v>327</v>
      </c>
      <c r="E2414" t="s">
        <v>325</v>
      </c>
      <c r="F2414" s="12">
        <v>197650</v>
      </c>
      <c r="G2414" s="13">
        <v>19</v>
      </c>
      <c r="H2414" t="s">
        <v>2931</v>
      </c>
      <c r="I2414" s="8">
        <v>46241</v>
      </c>
      <c r="J2414" t="s">
        <v>2671</v>
      </c>
      <c r="K2414" t="s">
        <v>2672</v>
      </c>
      <c r="L2414" s="13">
        <v>3000</v>
      </c>
      <c r="M2414" t="s">
        <v>2661</v>
      </c>
    </row>
    <row r="2415" spans="1:13">
      <c r="A2415" t="s">
        <v>609</v>
      </c>
      <c r="B2415" t="s">
        <v>298</v>
      </c>
      <c r="C2415" s="8">
        <v>46161</v>
      </c>
      <c r="D2415" t="s">
        <v>327</v>
      </c>
      <c r="E2415" t="s">
        <v>325</v>
      </c>
      <c r="F2415" s="12">
        <v>197650</v>
      </c>
      <c r="G2415" s="13">
        <v>19</v>
      </c>
      <c r="H2415" t="s">
        <v>3012</v>
      </c>
      <c r="I2415" s="8">
        <v>46256</v>
      </c>
      <c r="J2415" t="s">
        <v>2682</v>
      </c>
      <c r="K2415" t="s">
        <v>2683</v>
      </c>
      <c r="L2415" s="13">
        <v>6000</v>
      </c>
      <c r="M2415" t="s">
        <v>2661</v>
      </c>
    </row>
    <row r="2416" spans="1:13">
      <c r="A2416" t="s">
        <v>773</v>
      </c>
      <c r="B2416" t="s">
        <v>298</v>
      </c>
      <c r="C2416" s="8">
        <v>46151</v>
      </c>
      <c r="D2416" t="s">
        <v>342</v>
      </c>
      <c r="E2416" t="s">
        <v>325</v>
      </c>
      <c r="F2416" s="12">
        <v>427808</v>
      </c>
      <c r="G2416" s="13">
        <v>42</v>
      </c>
      <c r="H2416" t="s">
        <v>2931</v>
      </c>
      <c r="I2416" s="8">
        <v>46241</v>
      </c>
      <c r="J2416" t="s">
        <v>2671</v>
      </c>
      <c r="K2416" t="s">
        <v>2672</v>
      </c>
      <c r="L2416" s="13">
        <v>3000</v>
      </c>
      <c r="M2416" t="s">
        <v>2661</v>
      </c>
    </row>
    <row r="2417" spans="1:13">
      <c r="A2417" t="s">
        <v>773</v>
      </c>
      <c r="B2417" t="s">
        <v>298</v>
      </c>
      <c r="C2417" s="8">
        <v>46151</v>
      </c>
      <c r="D2417" t="s">
        <v>342</v>
      </c>
      <c r="E2417" t="s">
        <v>325</v>
      </c>
      <c r="F2417" s="12">
        <v>427808</v>
      </c>
      <c r="G2417" s="13">
        <v>42</v>
      </c>
      <c r="H2417" t="s">
        <v>3012</v>
      </c>
      <c r="I2417" s="8">
        <v>46256</v>
      </c>
      <c r="J2417" t="s">
        <v>2682</v>
      </c>
      <c r="K2417" t="s">
        <v>2683</v>
      </c>
      <c r="L2417" s="13">
        <v>6000</v>
      </c>
      <c r="M2417" t="s">
        <v>2661</v>
      </c>
    </row>
    <row r="2418" spans="1:13">
      <c r="A2418" t="s">
        <v>915</v>
      </c>
      <c r="B2418" t="s">
        <v>298</v>
      </c>
      <c r="C2418" s="8">
        <v>46268</v>
      </c>
      <c r="D2418" t="s">
        <v>324</v>
      </c>
      <c r="E2418" t="s">
        <v>337</v>
      </c>
      <c r="F2418" s="12">
        <v>225274</v>
      </c>
      <c r="G2418" s="13">
        <v>22</v>
      </c>
      <c r="H2418" t="s">
        <v>2931</v>
      </c>
      <c r="I2418" s="8">
        <v>46241</v>
      </c>
      <c r="J2418" t="s">
        <v>2671</v>
      </c>
      <c r="K2418" t="s">
        <v>2672</v>
      </c>
      <c r="L2418" s="13">
        <v>3000</v>
      </c>
      <c r="M2418" t="s">
        <v>2661</v>
      </c>
    </row>
    <row r="2419" spans="1:13">
      <c r="A2419" t="s">
        <v>915</v>
      </c>
      <c r="B2419" t="s">
        <v>298</v>
      </c>
      <c r="C2419" s="8">
        <v>46268</v>
      </c>
      <c r="D2419" t="s">
        <v>324</v>
      </c>
      <c r="E2419" t="s">
        <v>337</v>
      </c>
      <c r="F2419" s="12">
        <v>225274</v>
      </c>
      <c r="G2419" s="13">
        <v>22</v>
      </c>
      <c r="H2419" t="s">
        <v>3012</v>
      </c>
      <c r="I2419" s="8">
        <v>46256</v>
      </c>
      <c r="J2419" t="s">
        <v>2682</v>
      </c>
      <c r="K2419" t="s">
        <v>2683</v>
      </c>
      <c r="L2419" s="13">
        <v>6000</v>
      </c>
      <c r="M2419" t="s">
        <v>2661</v>
      </c>
    </row>
    <row r="2420" spans="1:13">
      <c r="A2420" t="s">
        <v>587</v>
      </c>
      <c r="B2420" t="s">
        <v>26</v>
      </c>
      <c r="C2420" s="8">
        <v>46091</v>
      </c>
      <c r="D2420" t="s">
        <v>324</v>
      </c>
      <c r="E2420" t="s">
        <v>334</v>
      </c>
      <c r="F2420" s="12">
        <v>484327</v>
      </c>
      <c r="G2420" s="13">
        <v>48</v>
      </c>
      <c r="H2420" t="s">
        <v>3227</v>
      </c>
      <c r="I2420" s="8">
        <v>46279</v>
      </c>
      <c r="J2420" t="s">
        <v>2682</v>
      </c>
      <c r="K2420" t="s">
        <v>2683</v>
      </c>
      <c r="L2420" s="13">
        <v>6000</v>
      </c>
      <c r="M2420" t="s">
        <v>2676</v>
      </c>
    </row>
    <row r="2421" spans="1:13">
      <c r="A2421" t="s">
        <v>587</v>
      </c>
      <c r="B2421" t="s">
        <v>26</v>
      </c>
      <c r="C2421" s="8">
        <v>46091</v>
      </c>
      <c r="D2421" t="s">
        <v>324</v>
      </c>
      <c r="E2421" t="s">
        <v>334</v>
      </c>
      <c r="F2421" s="12">
        <v>484327</v>
      </c>
      <c r="G2421" s="13">
        <v>48</v>
      </c>
      <c r="H2421" t="s">
        <v>3503</v>
      </c>
      <c r="I2421" s="8">
        <v>46288</v>
      </c>
      <c r="J2421" t="s">
        <v>2674</v>
      </c>
      <c r="K2421" t="s">
        <v>2675</v>
      </c>
      <c r="L2421" s="13">
        <v>20000</v>
      </c>
      <c r="M2421" t="s">
        <v>2661</v>
      </c>
    </row>
    <row r="2422" spans="1:13">
      <c r="A2422" t="s">
        <v>587</v>
      </c>
      <c r="B2422" t="s">
        <v>26</v>
      </c>
      <c r="C2422" s="8">
        <v>46091</v>
      </c>
      <c r="D2422" t="s">
        <v>324</v>
      </c>
      <c r="E2422" t="s">
        <v>334</v>
      </c>
      <c r="F2422" s="12">
        <v>484327</v>
      </c>
      <c r="G2422" s="13">
        <v>48</v>
      </c>
      <c r="H2422" t="s">
        <v>3534</v>
      </c>
      <c r="I2422" s="8">
        <v>46017</v>
      </c>
      <c r="J2422" t="s">
        <v>2671</v>
      </c>
      <c r="K2422" t="s">
        <v>2672</v>
      </c>
      <c r="L2422" s="13">
        <v>3000</v>
      </c>
      <c r="M2422" t="s">
        <v>2661</v>
      </c>
    </row>
    <row r="2423" spans="1:13">
      <c r="A2423" t="s">
        <v>902</v>
      </c>
      <c r="B2423" t="s">
        <v>26</v>
      </c>
      <c r="C2423" s="8">
        <v>45977</v>
      </c>
      <c r="D2423" t="s">
        <v>342</v>
      </c>
      <c r="E2423" t="s">
        <v>322</v>
      </c>
      <c r="F2423" s="12">
        <v>125748</v>
      </c>
      <c r="G2423" s="13">
        <v>12</v>
      </c>
      <c r="H2423" t="s">
        <v>3227</v>
      </c>
      <c r="I2423" s="8">
        <v>46279</v>
      </c>
      <c r="J2423" t="s">
        <v>2682</v>
      </c>
      <c r="K2423" t="s">
        <v>2683</v>
      </c>
      <c r="L2423" s="13">
        <v>6000</v>
      </c>
      <c r="M2423" t="s">
        <v>2676</v>
      </c>
    </row>
    <row r="2424" spans="1:13">
      <c r="A2424" t="s">
        <v>902</v>
      </c>
      <c r="B2424" t="s">
        <v>26</v>
      </c>
      <c r="C2424" s="8">
        <v>45977</v>
      </c>
      <c r="D2424" t="s">
        <v>342</v>
      </c>
      <c r="E2424" t="s">
        <v>322</v>
      </c>
      <c r="F2424" s="12">
        <v>125748</v>
      </c>
      <c r="G2424" s="13">
        <v>12</v>
      </c>
      <c r="H2424" t="s">
        <v>3503</v>
      </c>
      <c r="I2424" s="8">
        <v>46288</v>
      </c>
      <c r="J2424" t="s">
        <v>2674</v>
      </c>
      <c r="K2424" t="s">
        <v>2675</v>
      </c>
      <c r="L2424" s="13">
        <v>20000</v>
      </c>
      <c r="M2424" t="s">
        <v>2661</v>
      </c>
    </row>
    <row r="2425" spans="1:13">
      <c r="A2425" t="s">
        <v>902</v>
      </c>
      <c r="B2425" t="s">
        <v>26</v>
      </c>
      <c r="C2425" s="8">
        <v>45977</v>
      </c>
      <c r="D2425" t="s">
        <v>342</v>
      </c>
      <c r="E2425" t="s">
        <v>322</v>
      </c>
      <c r="F2425" s="12">
        <v>125748</v>
      </c>
      <c r="G2425" s="13">
        <v>12</v>
      </c>
      <c r="H2425" t="s">
        <v>3534</v>
      </c>
      <c r="I2425" s="8">
        <v>46017</v>
      </c>
      <c r="J2425" t="s">
        <v>2671</v>
      </c>
      <c r="K2425" t="s">
        <v>2672</v>
      </c>
      <c r="L2425" s="13">
        <v>3000</v>
      </c>
      <c r="M2425" t="s">
        <v>2661</v>
      </c>
    </row>
    <row r="2426" spans="1:13">
      <c r="A2426" t="s">
        <v>589</v>
      </c>
      <c r="B2426" t="s">
        <v>184</v>
      </c>
      <c r="C2426" s="8">
        <v>46124</v>
      </c>
      <c r="D2426" t="s">
        <v>332</v>
      </c>
      <c r="E2426" t="s">
        <v>328</v>
      </c>
      <c r="F2426" s="12">
        <v>569682</v>
      </c>
      <c r="G2426" s="13">
        <v>56</v>
      </c>
      <c r="H2426" t="s">
        <v>3030</v>
      </c>
      <c r="I2426" s="8">
        <v>46275</v>
      </c>
      <c r="J2426" t="s">
        <v>2692</v>
      </c>
      <c r="K2426" t="s">
        <v>2693</v>
      </c>
      <c r="L2426" s="13">
        <v>10000</v>
      </c>
      <c r="M2426" t="s">
        <v>2661</v>
      </c>
    </row>
    <row r="2427" spans="1:13">
      <c r="A2427" t="s">
        <v>589</v>
      </c>
      <c r="B2427" t="s">
        <v>184</v>
      </c>
      <c r="C2427" s="8">
        <v>46124</v>
      </c>
      <c r="D2427" t="s">
        <v>332</v>
      </c>
      <c r="E2427" t="s">
        <v>328</v>
      </c>
      <c r="F2427" s="12">
        <v>569682</v>
      </c>
      <c r="G2427" s="13">
        <v>56</v>
      </c>
      <c r="H2427" t="s">
        <v>3284</v>
      </c>
      <c r="I2427" s="8">
        <v>46235</v>
      </c>
      <c r="J2427" t="s">
        <v>2688</v>
      </c>
      <c r="K2427" t="s">
        <v>2689</v>
      </c>
      <c r="L2427" s="13">
        <v>8000</v>
      </c>
      <c r="M2427" t="s">
        <v>2661</v>
      </c>
    </row>
    <row r="2428" spans="1:13">
      <c r="A2428" t="s">
        <v>589</v>
      </c>
      <c r="B2428" t="s">
        <v>184</v>
      </c>
      <c r="C2428" s="8">
        <v>46124</v>
      </c>
      <c r="D2428" t="s">
        <v>332</v>
      </c>
      <c r="E2428" t="s">
        <v>328</v>
      </c>
      <c r="F2428" s="12">
        <v>569682</v>
      </c>
      <c r="G2428" s="13">
        <v>56</v>
      </c>
      <c r="H2428" t="s">
        <v>3311</v>
      </c>
      <c r="I2428" s="8">
        <v>46027</v>
      </c>
      <c r="J2428" t="s">
        <v>2668</v>
      </c>
      <c r="K2428" t="s">
        <v>2669</v>
      </c>
      <c r="L2428" s="13">
        <v>4000</v>
      </c>
      <c r="M2428" t="s">
        <v>2661</v>
      </c>
    </row>
    <row r="2429" spans="1:13">
      <c r="A2429" t="s">
        <v>589</v>
      </c>
      <c r="B2429" t="s">
        <v>184</v>
      </c>
      <c r="C2429" s="8">
        <v>46124</v>
      </c>
      <c r="D2429" t="s">
        <v>332</v>
      </c>
      <c r="E2429" t="s">
        <v>328</v>
      </c>
      <c r="F2429" s="12">
        <v>569682</v>
      </c>
      <c r="G2429" s="13">
        <v>56</v>
      </c>
      <c r="H2429" t="s">
        <v>3417</v>
      </c>
      <c r="I2429" s="8">
        <v>46001</v>
      </c>
      <c r="J2429" t="s">
        <v>2663</v>
      </c>
      <c r="K2429" t="s">
        <v>3630</v>
      </c>
      <c r="L2429" s="13">
        <v>1500</v>
      </c>
      <c r="M2429" t="s">
        <v>2676</v>
      </c>
    </row>
    <row r="2430" spans="1:13">
      <c r="A2430" t="s">
        <v>589</v>
      </c>
      <c r="B2430" t="s">
        <v>184</v>
      </c>
      <c r="C2430" s="8">
        <v>46124</v>
      </c>
      <c r="D2430" t="s">
        <v>332</v>
      </c>
      <c r="E2430" t="s">
        <v>328</v>
      </c>
      <c r="F2430" s="12">
        <v>569682</v>
      </c>
      <c r="G2430" s="13">
        <v>56</v>
      </c>
      <c r="H2430" t="s">
        <v>3456</v>
      </c>
      <c r="I2430" s="8">
        <v>46099</v>
      </c>
      <c r="J2430" t="s">
        <v>2682</v>
      </c>
      <c r="K2430" t="s">
        <v>2683</v>
      </c>
      <c r="L2430" s="13">
        <v>6000</v>
      </c>
      <c r="M2430" t="s">
        <v>2676</v>
      </c>
    </row>
    <row r="2431" spans="1:13">
      <c r="A2431" t="s">
        <v>728</v>
      </c>
      <c r="B2431" t="s">
        <v>184</v>
      </c>
      <c r="C2431" s="8">
        <v>46236</v>
      </c>
      <c r="D2431" t="s">
        <v>342</v>
      </c>
      <c r="E2431" t="s">
        <v>328</v>
      </c>
      <c r="F2431" s="12">
        <v>239853</v>
      </c>
      <c r="G2431" s="13">
        <v>23</v>
      </c>
      <c r="H2431" t="s">
        <v>3030</v>
      </c>
      <c r="I2431" s="8">
        <v>46275</v>
      </c>
      <c r="J2431" t="s">
        <v>2692</v>
      </c>
      <c r="K2431" t="s">
        <v>2693</v>
      </c>
      <c r="L2431" s="13">
        <v>10000</v>
      </c>
      <c r="M2431" t="s">
        <v>2661</v>
      </c>
    </row>
    <row r="2432" spans="1:13">
      <c r="A2432" t="s">
        <v>728</v>
      </c>
      <c r="B2432" t="s">
        <v>184</v>
      </c>
      <c r="C2432" s="8">
        <v>46236</v>
      </c>
      <c r="D2432" t="s">
        <v>342</v>
      </c>
      <c r="E2432" t="s">
        <v>328</v>
      </c>
      <c r="F2432" s="12">
        <v>239853</v>
      </c>
      <c r="G2432" s="13">
        <v>23</v>
      </c>
      <c r="H2432" t="s">
        <v>3284</v>
      </c>
      <c r="I2432" s="8">
        <v>46235</v>
      </c>
      <c r="J2432" t="s">
        <v>2688</v>
      </c>
      <c r="K2432" t="s">
        <v>2689</v>
      </c>
      <c r="L2432" s="13">
        <v>8000</v>
      </c>
      <c r="M2432" t="s">
        <v>2661</v>
      </c>
    </row>
    <row r="2433" spans="1:13">
      <c r="A2433" t="s">
        <v>728</v>
      </c>
      <c r="B2433" t="s">
        <v>184</v>
      </c>
      <c r="C2433" s="8">
        <v>46236</v>
      </c>
      <c r="D2433" t="s">
        <v>342</v>
      </c>
      <c r="E2433" t="s">
        <v>328</v>
      </c>
      <c r="F2433" s="12">
        <v>239853</v>
      </c>
      <c r="G2433" s="13">
        <v>23</v>
      </c>
      <c r="H2433" t="s">
        <v>3311</v>
      </c>
      <c r="I2433" s="8">
        <v>46027</v>
      </c>
      <c r="J2433" t="s">
        <v>2668</v>
      </c>
      <c r="K2433" t="s">
        <v>2669</v>
      </c>
      <c r="L2433" s="13">
        <v>4000</v>
      </c>
      <c r="M2433" t="s">
        <v>2661</v>
      </c>
    </row>
    <row r="2434" spans="1:13">
      <c r="A2434" t="s">
        <v>728</v>
      </c>
      <c r="B2434" t="s">
        <v>184</v>
      </c>
      <c r="C2434" s="8">
        <v>46236</v>
      </c>
      <c r="D2434" t="s">
        <v>342</v>
      </c>
      <c r="E2434" t="s">
        <v>328</v>
      </c>
      <c r="F2434" s="12">
        <v>239853</v>
      </c>
      <c r="G2434" s="13">
        <v>23</v>
      </c>
      <c r="H2434" t="s">
        <v>3417</v>
      </c>
      <c r="I2434" s="8">
        <v>46001</v>
      </c>
      <c r="J2434" t="s">
        <v>2663</v>
      </c>
      <c r="K2434" t="s">
        <v>3630</v>
      </c>
      <c r="L2434" s="13">
        <v>1500</v>
      </c>
      <c r="M2434" t="s">
        <v>2676</v>
      </c>
    </row>
    <row r="2435" spans="1:13">
      <c r="A2435" t="s">
        <v>728</v>
      </c>
      <c r="B2435" t="s">
        <v>184</v>
      </c>
      <c r="C2435" s="8">
        <v>46236</v>
      </c>
      <c r="D2435" t="s">
        <v>342</v>
      </c>
      <c r="E2435" t="s">
        <v>328</v>
      </c>
      <c r="F2435" s="12">
        <v>239853</v>
      </c>
      <c r="G2435" s="13">
        <v>23</v>
      </c>
      <c r="H2435" t="s">
        <v>3456</v>
      </c>
      <c r="I2435" s="8">
        <v>46099</v>
      </c>
      <c r="J2435" t="s">
        <v>2682</v>
      </c>
      <c r="K2435" t="s">
        <v>2683</v>
      </c>
      <c r="L2435" s="13">
        <v>6000</v>
      </c>
      <c r="M2435" t="s">
        <v>2676</v>
      </c>
    </row>
    <row r="2436" spans="1:13">
      <c r="A2436" t="s">
        <v>750</v>
      </c>
      <c r="B2436" t="s">
        <v>184</v>
      </c>
      <c r="C2436" s="8">
        <v>46268</v>
      </c>
      <c r="D2436" t="s">
        <v>324</v>
      </c>
      <c r="E2436" t="s">
        <v>328</v>
      </c>
      <c r="F2436" s="12">
        <v>308377</v>
      </c>
      <c r="G2436" s="13">
        <v>30</v>
      </c>
      <c r="H2436" t="s">
        <v>3030</v>
      </c>
      <c r="I2436" s="8">
        <v>46275</v>
      </c>
      <c r="J2436" t="s">
        <v>2692</v>
      </c>
      <c r="K2436" t="s">
        <v>2693</v>
      </c>
      <c r="L2436" s="13">
        <v>10000</v>
      </c>
      <c r="M2436" t="s">
        <v>2661</v>
      </c>
    </row>
    <row r="2437" spans="1:13">
      <c r="A2437" t="s">
        <v>750</v>
      </c>
      <c r="B2437" t="s">
        <v>184</v>
      </c>
      <c r="C2437" s="8">
        <v>46268</v>
      </c>
      <c r="D2437" t="s">
        <v>324</v>
      </c>
      <c r="E2437" t="s">
        <v>328</v>
      </c>
      <c r="F2437" s="12">
        <v>308377</v>
      </c>
      <c r="G2437" s="13">
        <v>30</v>
      </c>
      <c r="H2437" t="s">
        <v>3284</v>
      </c>
      <c r="I2437" s="8">
        <v>46235</v>
      </c>
      <c r="J2437" t="s">
        <v>2688</v>
      </c>
      <c r="K2437" t="s">
        <v>2689</v>
      </c>
      <c r="L2437" s="13">
        <v>8000</v>
      </c>
      <c r="M2437" t="s">
        <v>2661</v>
      </c>
    </row>
    <row r="2438" spans="1:13">
      <c r="A2438" t="s">
        <v>750</v>
      </c>
      <c r="B2438" t="s">
        <v>184</v>
      </c>
      <c r="C2438" s="8">
        <v>46268</v>
      </c>
      <c r="D2438" t="s">
        <v>324</v>
      </c>
      <c r="E2438" t="s">
        <v>328</v>
      </c>
      <c r="F2438" s="12">
        <v>308377</v>
      </c>
      <c r="G2438" s="13">
        <v>30</v>
      </c>
      <c r="H2438" t="s">
        <v>3311</v>
      </c>
      <c r="I2438" s="8">
        <v>46027</v>
      </c>
      <c r="J2438" t="s">
        <v>2668</v>
      </c>
      <c r="K2438" t="s">
        <v>2669</v>
      </c>
      <c r="L2438" s="13">
        <v>4000</v>
      </c>
      <c r="M2438" t="s">
        <v>2661</v>
      </c>
    </row>
    <row r="2439" spans="1:13">
      <c r="A2439" t="s">
        <v>750</v>
      </c>
      <c r="B2439" t="s">
        <v>184</v>
      </c>
      <c r="C2439" s="8">
        <v>46268</v>
      </c>
      <c r="D2439" t="s">
        <v>324</v>
      </c>
      <c r="E2439" t="s">
        <v>328</v>
      </c>
      <c r="F2439" s="12">
        <v>308377</v>
      </c>
      <c r="G2439" s="13">
        <v>30</v>
      </c>
      <c r="H2439" t="s">
        <v>3417</v>
      </c>
      <c r="I2439" s="8">
        <v>46001</v>
      </c>
      <c r="J2439" t="s">
        <v>2663</v>
      </c>
      <c r="K2439" t="s">
        <v>3630</v>
      </c>
      <c r="L2439" s="13">
        <v>1500</v>
      </c>
      <c r="M2439" t="s">
        <v>2676</v>
      </c>
    </row>
    <row r="2440" spans="1:13">
      <c r="A2440" t="s">
        <v>750</v>
      </c>
      <c r="B2440" t="s">
        <v>184</v>
      </c>
      <c r="C2440" s="8">
        <v>46268</v>
      </c>
      <c r="D2440" t="s">
        <v>324</v>
      </c>
      <c r="E2440" t="s">
        <v>328</v>
      </c>
      <c r="F2440" s="12">
        <v>308377</v>
      </c>
      <c r="G2440" s="13">
        <v>30</v>
      </c>
      <c r="H2440" t="s">
        <v>3456</v>
      </c>
      <c r="I2440" s="8">
        <v>46099</v>
      </c>
      <c r="J2440" t="s">
        <v>2682</v>
      </c>
      <c r="K2440" t="s">
        <v>2683</v>
      </c>
      <c r="L2440" s="13">
        <v>6000</v>
      </c>
      <c r="M2440" t="s">
        <v>2676</v>
      </c>
    </row>
    <row r="2441" spans="1:13">
      <c r="A2441" t="s">
        <v>872</v>
      </c>
      <c r="B2441" t="s">
        <v>184</v>
      </c>
      <c r="C2441" s="8">
        <v>46269</v>
      </c>
      <c r="D2441" t="s">
        <v>324</v>
      </c>
      <c r="E2441" t="s">
        <v>322</v>
      </c>
      <c r="F2441" s="12">
        <v>207262</v>
      </c>
      <c r="G2441" s="13">
        <v>20</v>
      </c>
      <c r="H2441" t="s">
        <v>3030</v>
      </c>
      <c r="I2441" s="8">
        <v>46275</v>
      </c>
      <c r="J2441" t="s">
        <v>2692</v>
      </c>
      <c r="K2441" t="s">
        <v>2693</v>
      </c>
      <c r="L2441" s="13">
        <v>10000</v>
      </c>
      <c r="M2441" t="s">
        <v>2661</v>
      </c>
    </row>
    <row r="2442" spans="1:13">
      <c r="A2442" t="s">
        <v>872</v>
      </c>
      <c r="B2442" t="s">
        <v>184</v>
      </c>
      <c r="C2442" s="8">
        <v>46269</v>
      </c>
      <c r="D2442" t="s">
        <v>324</v>
      </c>
      <c r="E2442" t="s">
        <v>322</v>
      </c>
      <c r="F2442" s="12">
        <v>207262</v>
      </c>
      <c r="G2442" s="13">
        <v>20</v>
      </c>
      <c r="H2442" t="s">
        <v>3284</v>
      </c>
      <c r="I2442" s="8">
        <v>46235</v>
      </c>
      <c r="J2442" t="s">
        <v>2688</v>
      </c>
      <c r="K2442" t="s">
        <v>2689</v>
      </c>
      <c r="L2442" s="13">
        <v>8000</v>
      </c>
      <c r="M2442" t="s">
        <v>2661</v>
      </c>
    </row>
    <row r="2443" spans="1:13">
      <c r="A2443" t="s">
        <v>872</v>
      </c>
      <c r="B2443" t="s">
        <v>184</v>
      </c>
      <c r="C2443" s="8">
        <v>46269</v>
      </c>
      <c r="D2443" t="s">
        <v>324</v>
      </c>
      <c r="E2443" t="s">
        <v>322</v>
      </c>
      <c r="F2443" s="12">
        <v>207262</v>
      </c>
      <c r="G2443" s="13">
        <v>20</v>
      </c>
      <c r="H2443" t="s">
        <v>3311</v>
      </c>
      <c r="I2443" s="8">
        <v>46027</v>
      </c>
      <c r="J2443" t="s">
        <v>2668</v>
      </c>
      <c r="K2443" t="s">
        <v>2669</v>
      </c>
      <c r="L2443" s="13">
        <v>4000</v>
      </c>
      <c r="M2443" t="s">
        <v>2661</v>
      </c>
    </row>
    <row r="2444" spans="1:13">
      <c r="A2444" t="s">
        <v>872</v>
      </c>
      <c r="B2444" t="s">
        <v>184</v>
      </c>
      <c r="C2444" s="8">
        <v>46269</v>
      </c>
      <c r="D2444" t="s">
        <v>324</v>
      </c>
      <c r="E2444" t="s">
        <v>322</v>
      </c>
      <c r="F2444" s="12">
        <v>207262</v>
      </c>
      <c r="G2444" s="13">
        <v>20</v>
      </c>
      <c r="H2444" t="s">
        <v>3417</v>
      </c>
      <c r="I2444" s="8">
        <v>46001</v>
      </c>
      <c r="J2444" t="s">
        <v>2663</v>
      </c>
      <c r="K2444" t="s">
        <v>3630</v>
      </c>
      <c r="L2444" s="13">
        <v>1500</v>
      </c>
      <c r="M2444" t="s">
        <v>2676</v>
      </c>
    </row>
    <row r="2445" spans="1:13">
      <c r="A2445" t="s">
        <v>872</v>
      </c>
      <c r="B2445" t="s">
        <v>184</v>
      </c>
      <c r="C2445" s="8">
        <v>46269</v>
      </c>
      <c r="D2445" t="s">
        <v>324</v>
      </c>
      <c r="E2445" t="s">
        <v>322</v>
      </c>
      <c r="F2445" s="12">
        <v>207262</v>
      </c>
      <c r="G2445" s="13">
        <v>20</v>
      </c>
      <c r="H2445" t="s">
        <v>3456</v>
      </c>
      <c r="I2445" s="8">
        <v>46099</v>
      </c>
      <c r="J2445" t="s">
        <v>2682</v>
      </c>
      <c r="K2445" t="s">
        <v>2683</v>
      </c>
      <c r="L2445" s="13">
        <v>6000</v>
      </c>
      <c r="M2445" t="s">
        <v>2676</v>
      </c>
    </row>
    <row r="2446" spans="1:13">
      <c r="A2446" t="s">
        <v>878</v>
      </c>
      <c r="B2446" t="s">
        <v>184</v>
      </c>
      <c r="C2446" s="8">
        <v>46207</v>
      </c>
      <c r="D2446" t="s">
        <v>344</v>
      </c>
      <c r="E2446" t="s">
        <v>337</v>
      </c>
      <c r="F2446" s="12">
        <v>452917</v>
      </c>
      <c r="G2446" s="13">
        <v>45</v>
      </c>
      <c r="H2446" t="s">
        <v>3030</v>
      </c>
      <c r="I2446" s="8">
        <v>46275</v>
      </c>
      <c r="J2446" t="s">
        <v>2692</v>
      </c>
      <c r="K2446" t="s">
        <v>2693</v>
      </c>
      <c r="L2446" s="13">
        <v>10000</v>
      </c>
      <c r="M2446" t="s">
        <v>2661</v>
      </c>
    </row>
    <row r="2447" spans="1:13">
      <c r="A2447" t="s">
        <v>878</v>
      </c>
      <c r="B2447" t="s">
        <v>184</v>
      </c>
      <c r="C2447" s="8">
        <v>46207</v>
      </c>
      <c r="D2447" t="s">
        <v>344</v>
      </c>
      <c r="E2447" t="s">
        <v>337</v>
      </c>
      <c r="F2447" s="12">
        <v>452917</v>
      </c>
      <c r="G2447" s="13">
        <v>45</v>
      </c>
      <c r="H2447" t="s">
        <v>3284</v>
      </c>
      <c r="I2447" s="8">
        <v>46235</v>
      </c>
      <c r="J2447" t="s">
        <v>2688</v>
      </c>
      <c r="K2447" t="s">
        <v>2689</v>
      </c>
      <c r="L2447" s="13">
        <v>8000</v>
      </c>
      <c r="M2447" t="s">
        <v>2661</v>
      </c>
    </row>
    <row r="2448" spans="1:13">
      <c r="A2448" t="s">
        <v>878</v>
      </c>
      <c r="B2448" t="s">
        <v>184</v>
      </c>
      <c r="C2448" s="8">
        <v>46207</v>
      </c>
      <c r="D2448" t="s">
        <v>344</v>
      </c>
      <c r="E2448" t="s">
        <v>337</v>
      </c>
      <c r="F2448" s="12">
        <v>452917</v>
      </c>
      <c r="G2448" s="13">
        <v>45</v>
      </c>
      <c r="H2448" t="s">
        <v>3311</v>
      </c>
      <c r="I2448" s="8">
        <v>46027</v>
      </c>
      <c r="J2448" t="s">
        <v>2668</v>
      </c>
      <c r="K2448" t="s">
        <v>2669</v>
      </c>
      <c r="L2448" s="13">
        <v>4000</v>
      </c>
      <c r="M2448" t="s">
        <v>2661</v>
      </c>
    </row>
    <row r="2449" spans="1:13">
      <c r="A2449" t="s">
        <v>878</v>
      </c>
      <c r="B2449" t="s">
        <v>184</v>
      </c>
      <c r="C2449" s="8">
        <v>46207</v>
      </c>
      <c r="D2449" t="s">
        <v>344</v>
      </c>
      <c r="E2449" t="s">
        <v>337</v>
      </c>
      <c r="F2449" s="12">
        <v>452917</v>
      </c>
      <c r="G2449" s="13">
        <v>45</v>
      </c>
      <c r="H2449" t="s">
        <v>3417</v>
      </c>
      <c r="I2449" s="8">
        <v>46001</v>
      </c>
      <c r="J2449" t="s">
        <v>2663</v>
      </c>
      <c r="K2449" t="s">
        <v>3630</v>
      </c>
      <c r="L2449" s="13">
        <v>1500</v>
      </c>
      <c r="M2449" t="s">
        <v>2676</v>
      </c>
    </row>
    <row r="2450" spans="1:13">
      <c r="A2450" t="s">
        <v>878</v>
      </c>
      <c r="B2450" t="s">
        <v>184</v>
      </c>
      <c r="C2450" s="8">
        <v>46207</v>
      </c>
      <c r="D2450" t="s">
        <v>344</v>
      </c>
      <c r="E2450" t="s">
        <v>337</v>
      </c>
      <c r="F2450" s="12">
        <v>452917</v>
      </c>
      <c r="G2450" s="13">
        <v>45</v>
      </c>
      <c r="H2450" t="s">
        <v>3456</v>
      </c>
      <c r="I2450" s="8">
        <v>46099</v>
      </c>
      <c r="J2450" t="s">
        <v>2682</v>
      </c>
      <c r="K2450" t="s">
        <v>2683</v>
      </c>
      <c r="L2450" s="13">
        <v>6000</v>
      </c>
      <c r="M2450" t="s">
        <v>2676</v>
      </c>
    </row>
    <row r="2451" spans="1:13">
      <c r="A2451" t="s">
        <v>898</v>
      </c>
      <c r="B2451" t="s">
        <v>184</v>
      </c>
      <c r="C2451" s="8">
        <v>46041</v>
      </c>
      <c r="D2451" t="s">
        <v>321</v>
      </c>
      <c r="E2451" t="s">
        <v>339</v>
      </c>
      <c r="F2451" s="12">
        <v>196342</v>
      </c>
      <c r="G2451" s="13">
        <v>19</v>
      </c>
      <c r="H2451" t="s">
        <v>3030</v>
      </c>
      <c r="I2451" s="8">
        <v>46275</v>
      </c>
      <c r="J2451" t="s">
        <v>2692</v>
      </c>
      <c r="K2451" t="s">
        <v>2693</v>
      </c>
      <c r="L2451" s="13">
        <v>10000</v>
      </c>
      <c r="M2451" t="s">
        <v>2661</v>
      </c>
    </row>
    <row r="2452" spans="1:13">
      <c r="A2452" t="s">
        <v>898</v>
      </c>
      <c r="B2452" t="s">
        <v>184</v>
      </c>
      <c r="C2452" s="8">
        <v>46041</v>
      </c>
      <c r="D2452" t="s">
        <v>321</v>
      </c>
      <c r="E2452" t="s">
        <v>339</v>
      </c>
      <c r="F2452" s="12">
        <v>196342</v>
      </c>
      <c r="G2452" s="13">
        <v>19</v>
      </c>
      <c r="H2452" t="s">
        <v>3284</v>
      </c>
      <c r="I2452" s="8">
        <v>46235</v>
      </c>
      <c r="J2452" t="s">
        <v>2688</v>
      </c>
      <c r="K2452" t="s">
        <v>2689</v>
      </c>
      <c r="L2452" s="13">
        <v>8000</v>
      </c>
      <c r="M2452" t="s">
        <v>2661</v>
      </c>
    </row>
    <row r="2453" spans="1:13">
      <c r="A2453" t="s">
        <v>898</v>
      </c>
      <c r="B2453" t="s">
        <v>184</v>
      </c>
      <c r="C2453" s="8">
        <v>46041</v>
      </c>
      <c r="D2453" t="s">
        <v>321</v>
      </c>
      <c r="E2453" t="s">
        <v>339</v>
      </c>
      <c r="F2453" s="12">
        <v>196342</v>
      </c>
      <c r="G2453" s="13">
        <v>19</v>
      </c>
      <c r="H2453" t="s">
        <v>3311</v>
      </c>
      <c r="I2453" s="8">
        <v>46027</v>
      </c>
      <c r="J2453" t="s">
        <v>2668</v>
      </c>
      <c r="K2453" t="s">
        <v>2669</v>
      </c>
      <c r="L2453" s="13">
        <v>4000</v>
      </c>
      <c r="M2453" t="s">
        <v>2661</v>
      </c>
    </row>
    <row r="2454" spans="1:13">
      <c r="A2454" t="s">
        <v>898</v>
      </c>
      <c r="B2454" t="s">
        <v>184</v>
      </c>
      <c r="C2454" s="8">
        <v>46041</v>
      </c>
      <c r="D2454" t="s">
        <v>321</v>
      </c>
      <c r="E2454" t="s">
        <v>339</v>
      </c>
      <c r="F2454" s="12">
        <v>196342</v>
      </c>
      <c r="G2454" s="13">
        <v>19</v>
      </c>
      <c r="H2454" t="s">
        <v>3417</v>
      </c>
      <c r="I2454" s="8">
        <v>46001</v>
      </c>
      <c r="J2454" t="s">
        <v>2663</v>
      </c>
      <c r="K2454" t="s">
        <v>3630</v>
      </c>
      <c r="L2454" s="13">
        <v>1500</v>
      </c>
      <c r="M2454" t="s">
        <v>2676</v>
      </c>
    </row>
    <row r="2455" spans="1:13">
      <c r="A2455" t="s">
        <v>898</v>
      </c>
      <c r="B2455" t="s">
        <v>184</v>
      </c>
      <c r="C2455" s="8">
        <v>46041</v>
      </c>
      <c r="D2455" t="s">
        <v>321</v>
      </c>
      <c r="E2455" t="s">
        <v>339</v>
      </c>
      <c r="F2455" s="12">
        <v>196342</v>
      </c>
      <c r="G2455" s="13">
        <v>19</v>
      </c>
      <c r="H2455" t="s">
        <v>3456</v>
      </c>
      <c r="I2455" s="8">
        <v>46099</v>
      </c>
      <c r="J2455" t="s">
        <v>2682</v>
      </c>
      <c r="K2455" t="s">
        <v>2683</v>
      </c>
      <c r="L2455" s="13">
        <v>6000</v>
      </c>
      <c r="M2455" t="s">
        <v>2676</v>
      </c>
    </row>
    <row r="2456" spans="1:13">
      <c r="A2456" t="s">
        <v>939</v>
      </c>
      <c r="B2456" t="s">
        <v>184</v>
      </c>
      <c r="C2456" s="8">
        <v>46172</v>
      </c>
      <c r="D2456" t="s">
        <v>321</v>
      </c>
      <c r="E2456" t="s">
        <v>328</v>
      </c>
      <c r="F2456" s="12">
        <v>240403</v>
      </c>
      <c r="G2456" s="13">
        <v>24</v>
      </c>
      <c r="H2456" t="s">
        <v>3030</v>
      </c>
      <c r="I2456" s="8">
        <v>46275</v>
      </c>
      <c r="J2456" t="s">
        <v>2692</v>
      </c>
      <c r="K2456" t="s">
        <v>2693</v>
      </c>
      <c r="L2456" s="13">
        <v>10000</v>
      </c>
      <c r="M2456" t="s">
        <v>2661</v>
      </c>
    </row>
    <row r="2457" spans="1:13">
      <c r="A2457" t="s">
        <v>939</v>
      </c>
      <c r="B2457" t="s">
        <v>184</v>
      </c>
      <c r="C2457" s="8">
        <v>46172</v>
      </c>
      <c r="D2457" t="s">
        <v>321</v>
      </c>
      <c r="E2457" t="s">
        <v>328</v>
      </c>
      <c r="F2457" s="12">
        <v>240403</v>
      </c>
      <c r="G2457" s="13">
        <v>24</v>
      </c>
      <c r="H2457" t="s">
        <v>3284</v>
      </c>
      <c r="I2457" s="8">
        <v>46235</v>
      </c>
      <c r="J2457" t="s">
        <v>2688</v>
      </c>
      <c r="K2457" t="s">
        <v>2689</v>
      </c>
      <c r="L2457" s="13">
        <v>8000</v>
      </c>
      <c r="M2457" t="s">
        <v>2661</v>
      </c>
    </row>
    <row r="2458" spans="1:13">
      <c r="A2458" t="s">
        <v>939</v>
      </c>
      <c r="B2458" t="s">
        <v>184</v>
      </c>
      <c r="C2458" s="8">
        <v>46172</v>
      </c>
      <c r="D2458" t="s">
        <v>321</v>
      </c>
      <c r="E2458" t="s">
        <v>328</v>
      </c>
      <c r="F2458" s="12">
        <v>240403</v>
      </c>
      <c r="G2458" s="13">
        <v>24</v>
      </c>
      <c r="H2458" t="s">
        <v>3311</v>
      </c>
      <c r="I2458" s="8">
        <v>46027</v>
      </c>
      <c r="J2458" t="s">
        <v>2668</v>
      </c>
      <c r="K2458" t="s">
        <v>2669</v>
      </c>
      <c r="L2458" s="13">
        <v>4000</v>
      </c>
      <c r="M2458" t="s">
        <v>2661</v>
      </c>
    </row>
    <row r="2459" spans="1:13">
      <c r="A2459" t="s">
        <v>939</v>
      </c>
      <c r="B2459" t="s">
        <v>184</v>
      </c>
      <c r="C2459" s="8">
        <v>46172</v>
      </c>
      <c r="D2459" t="s">
        <v>321</v>
      </c>
      <c r="E2459" t="s">
        <v>328</v>
      </c>
      <c r="F2459" s="12">
        <v>240403</v>
      </c>
      <c r="G2459" s="13">
        <v>24</v>
      </c>
      <c r="H2459" t="s">
        <v>3417</v>
      </c>
      <c r="I2459" s="8">
        <v>46001</v>
      </c>
      <c r="J2459" t="s">
        <v>2663</v>
      </c>
      <c r="K2459" t="s">
        <v>3630</v>
      </c>
      <c r="L2459" s="13">
        <v>1500</v>
      </c>
      <c r="M2459" t="s">
        <v>2676</v>
      </c>
    </row>
    <row r="2460" spans="1:13">
      <c r="A2460" t="s">
        <v>939</v>
      </c>
      <c r="B2460" t="s">
        <v>184</v>
      </c>
      <c r="C2460" s="8">
        <v>46172</v>
      </c>
      <c r="D2460" t="s">
        <v>321</v>
      </c>
      <c r="E2460" t="s">
        <v>328</v>
      </c>
      <c r="F2460" s="12">
        <v>240403</v>
      </c>
      <c r="G2460" s="13">
        <v>24</v>
      </c>
      <c r="H2460" t="s">
        <v>3456</v>
      </c>
      <c r="I2460" s="8">
        <v>46099</v>
      </c>
      <c r="J2460" t="s">
        <v>2682</v>
      </c>
      <c r="K2460" t="s">
        <v>2683</v>
      </c>
      <c r="L2460" s="13">
        <v>6000</v>
      </c>
      <c r="M2460" t="s">
        <v>2676</v>
      </c>
    </row>
    <row r="2461" spans="1:13">
      <c r="A2461" t="s">
        <v>983</v>
      </c>
      <c r="B2461" t="s">
        <v>184</v>
      </c>
      <c r="C2461" s="8">
        <v>45986</v>
      </c>
      <c r="D2461" t="s">
        <v>344</v>
      </c>
      <c r="E2461" t="s">
        <v>328</v>
      </c>
      <c r="F2461" s="12">
        <v>71668</v>
      </c>
      <c r="G2461" s="13">
        <v>7</v>
      </c>
      <c r="H2461" t="s">
        <v>3030</v>
      </c>
      <c r="I2461" s="8">
        <v>46275</v>
      </c>
      <c r="J2461" t="s">
        <v>2692</v>
      </c>
      <c r="K2461" t="s">
        <v>2693</v>
      </c>
      <c r="L2461" s="13">
        <v>10000</v>
      </c>
      <c r="M2461" t="s">
        <v>2661</v>
      </c>
    </row>
    <row r="2462" spans="1:13">
      <c r="A2462" t="s">
        <v>983</v>
      </c>
      <c r="B2462" t="s">
        <v>184</v>
      </c>
      <c r="C2462" s="8">
        <v>45986</v>
      </c>
      <c r="D2462" t="s">
        <v>344</v>
      </c>
      <c r="E2462" t="s">
        <v>328</v>
      </c>
      <c r="F2462" s="12">
        <v>71668</v>
      </c>
      <c r="G2462" s="13">
        <v>7</v>
      </c>
      <c r="H2462" t="s">
        <v>3284</v>
      </c>
      <c r="I2462" s="8">
        <v>46235</v>
      </c>
      <c r="J2462" t="s">
        <v>2688</v>
      </c>
      <c r="K2462" t="s">
        <v>2689</v>
      </c>
      <c r="L2462" s="13">
        <v>8000</v>
      </c>
      <c r="M2462" t="s">
        <v>2661</v>
      </c>
    </row>
    <row r="2463" spans="1:13">
      <c r="A2463" t="s">
        <v>983</v>
      </c>
      <c r="B2463" t="s">
        <v>184</v>
      </c>
      <c r="C2463" s="8">
        <v>45986</v>
      </c>
      <c r="D2463" t="s">
        <v>344</v>
      </c>
      <c r="E2463" t="s">
        <v>328</v>
      </c>
      <c r="F2463" s="12">
        <v>71668</v>
      </c>
      <c r="G2463" s="13">
        <v>7</v>
      </c>
      <c r="H2463" t="s">
        <v>3311</v>
      </c>
      <c r="I2463" s="8">
        <v>46027</v>
      </c>
      <c r="J2463" t="s">
        <v>2668</v>
      </c>
      <c r="K2463" t="s">
        <v>2669</v>
      </c>
      <c r="L2463" s="13">
        <v>4000</v>
      </c>
      <c r="M2463" t="s">
        <v>2661</v>
      </c>
    </row>
    <row r="2464" spans="1:13">
      <c r="A2464" t="s">
        <v>983</v>
      </c>
      <c r="B2464" t="s">
        <v>184</v>
      </c>
      <c r="C2464" s="8">
        <v>45986</v>
      </c>
      <c r="D2464" t="s">
        <v>344</v>
      </c>
      <c r="E2464" t="s">
        <v>328</v>
      </c>
      <c r="F2464" s="12">
        <v>71668</v>
      </c>
      <c r="G2464" s="13">
        <v>7</v>
      </c>
      <c r="H2464" t="s">
        <v>3417</v>
      </c>
      <c r="I2464" s="8">
        <v>46001</v>
      </c>
      <c r="J2464" t="s">
        <v>2663</v>
      </c>
      <c r="K2464" t="s">
        <v>3630</v>
      </c>
      <c r="L2464" s="13">
        <v>1500</v>
      </c>
      <c r="M2464" t="s">
        <v>2676</v>
      </c>
    </row>
    <row r="2465" spans="1:13">
      <c r="A2465" t="s">
        <v>983</v>
      </c>
      <c r="B2465" t="s">
        <v>184</v>
      </c>
      <c r="C2465" s="8">
        <v>45986</v>
      </c>
      <c r="D2465" t="s">
        <v>344</v>
      </c>
      <c r="E2465" t="s">
        <v>328</v>
      </c>
      <c r="F2465" s="12">
        <v>71668</v>
      </c>
      <c r="G2465" s="13">
        <v>7</v>
      </c>
      <c r="H2465" t="s">
        <v>3456</v>
      </c>
      <c r="I2465" s="8">
        <v>46099</v>
      </c>
      <c r="J2465" t="s">
        <v>2682</v>
      </c>
      <c r="K2465" t="s">
        <v>2683</v>
      </c>
      <c r="L2465" s="13">
        <v>6000</v>
      </c>
      <c r="M2465" t="s">
        <v>2676</v>
      </c>
    </row>
    <row r="2466" spans="1:13">
      <c r="A2466" t="s">
        <v>1120</v>
      </c>
      <c r="B2466" t="s">
        <v>184</v>
      </c>
      <c r="C2466" s="8">
        <v>46174</v>
      </c>
      <c r="D2466" t="s">
        <v>344</v>
      </c>
      <c r="E2466" t="s">
        <v>339</v>
      </c>
      <c r="F2466" s="12">
        <v>237899</v>
      </c>
      <c r="G2466" s="13">
        <v>23</v>
      </c>
      <c r="H2466" t="s">
        <v>3030</v>
      </c>
      <c r="I2466" s="8">
        <v>46275</v>
      </c>
      <c r="J2466" t="s">
        <v>2692</v>
      </c>
      <c r="K2466" t="s">
        <v>2693</v>
      </c>
      <c r="L2466" s="13">
        <v>10000</v>
      </c>
      <c r="M2466" t="s">
        <v>2661</v>
      </c>
    </row>
    <row r="2467" spans="1:13">
      <c r="A2467" t="s">
        <v>1120</v>
      </c>
      <c r="B2467" t="s">
        <v>184</v>
      </c>
      <c r="C2467" s="8">
        <v>46174</v>
      </c>
      <c r="D2467" t="s">
        <v>344</v>
      </c>
      <c r="E2467" t="s">
        <v>339</v>
      </c>
      <c r="F2467" s="12">
        <v>237899</v>
      </c>
      <c r="G2467" s="13">
        <v>23</v>
      </c>
      <c r="H2467" t="s">
        <v>3284</v>
      </c>
      <c r="I2467" s="8">
        <v>46235</v>
      </c>
      <c r="J2467" t="s">
        <v>2688</v>
      </c>
      <c r="K2467" t="s">
        <v>2689</v>
      </c>
      <c r="L2467" s="13">
        <v>8000</v>
      </c>
      <c r="M2467" t="s">
        <v>2661</v>
      </c>
    </row>
    <row r="2468" spans="1:13">
      <c r="A2468" t="s">
        <v>1120</v>
      </c>
      <c r="B2468" t="s">
        <v>184</v>
      </c>
      <c r="C2468" s="8">
        <v>46174</v>
      </c>
      <c r="D2468" t="s">
        <v>344</v>
      </c>
      <c r="E2468" t="s">
        <v>339</v>
      </c>
      <c r="F2468" s="12">
        <v>237899</v>
      </c>
      <c r="G2468" s="13">
        <v>23</v>
      </c>
      <c r="H2468" t="s">
        <v>3311</v>
      </c>
      <c r="I2468" s="8">
        <v>46027</v>
      </c>
      <c r="J2468" t="s">
        <v>2668</v>
      </c>
      <c r="K2468" t="s">
        <v>2669</v>
      </c>
      <c r="L2468" s="13">
        <v>4000</v>
      </c>
      <c r="M2468" t="s">
        <v>2661</v>
      </c>
    </row>
    <row r="2469" spans="1:13">
      <c r="A2469" t="s">
        <v>1120</v>
      </c>
      <c r="B2469" t="s">
        <v>184</v>
      </c>
      <c r="C2469" s="8">
        <v>46174</v>
      </c>
      <c r="D2469" t="s">
        <v>344</v>
      </c>
      <c r="E2469" t="s">
        <v>339</v>
      </c>
      <c r="F2469" s="12">
        <v>237899</v>
      </c>
      <c r="G2469" s="13">
        <v>23</v>
      </c>
      <c r="H2469" t="s">
        <v>3417</v>
      </c>
      <c r="I2469" s="8">
        <v>46001</v>
      </c>
      <c r="J2469" t="s">
        <v>2663</v>
      </c>
      <c r="K2469" t="s">
        <v>3630</v>
      </c>
      <c r="L2469" s="13">
        <v>1500</v>
      </c>
      <c r="M2469" t="s">
        <v>2676</v>
      </c>
    </row>
    <row r="2470" spans="1:13">
      <c r="A2470" t="s">
        <v>1120</v>
      </c>
      <c r="B2470" t="s">
        <v>184</v>
      </c>
      <c r="C2470" s="8">
        <v>46174</v>
      </c>
      <c r="D2470" t="s">
        <v>344</v>
      </c>
      <c r="E2470" t="s">
        <v>339</v>
      </c>
      <c r="F2470" s="12">
        <v>237899</v>
      </c>
      <c r="G2470" s="13">
        <v>23</v>
      </c>
      <c r="H2470" t="s">
        <v>3456</v>
      </c>
      <c r="I2470" s="8">
        <v>46099</v>
      </c>
      <c r="J2470" t="s">
        <v>2682</v>
      </c>
      <c r="K2470" t="s">
        <v>2683</v>
      </c>
      <c r="L2470" s="13">
        <v>6000</v>
      </c>
      <c r="M2470" t="s">
        <v>2676</v>
      </c>
    </row>
    <row r="2471" spans="1:13">
      <c r="A2471" t="s">
        <v>591</v>
      </c>
      <c r="B2471" t="s">
        <v>282</v>
      </c>
      <c r="C2471" s="8">
        <v>45978</v>
      </c>
      <c r="D2471" t="s">
        <v>327</v>
      </c>
      <c r="E2471" t="s">
        <v>322</v>
      </c>
      <c r="F2471" s="12">
        <v>477525</v>
      </c>
      <c r="G2471" s="13">
        <v>47</v>
      </c>
      <c r="H2471" t="s">
        <v>3045</v>
      </c>
      <c r="I2471" s="8">
        <v>46217</v>
      </c>
      <c r="J2471" t="s">
        <v>2659</v>
      </c>
      <c r="K2471" t="s">
        <v>2660</v>
      </c>
      <c r="L2471" s="13">
        <v>3500</v>
      </c>
      <c r="M2471" t="s">
        <v>2676</v>
      </c>
    </row>
    <row r="2472" spans="1:13">
      <c r="A2472" t="s">
        <v>591</v>
      </c>
      <c r="B2472" t="s">
        <v>282</v>
      </c>
      <c r="C2472" s="8">
        <v>45978</v>
      </c>
      <c r="D2472" t="s">
        <v>327</v>
      </c>
      <c r="E2472" t="s">
        <v>322</v>
      </c>
      <c r="F2472" s="12">
        <v>477525</v>
      </c>
      <c r="G2472" s="13">
        <v>47</v>
      </c>
      <c r="H2472" t="s">
        <v>3568</v>
      </c>
      <c r="I2472" s="8">
        <v>46096</v>
      </c>
      <c r="J2472" t="s">
        <v>2674</v>
      </c>
      <c r="K2472" t="s">
        <v>2675</v>
      </c>
      <c r="L2472" s="13">
        <v>20000</v>
      </c>
      <c r="M2472" t="s">
        <v>2661</v>
      </c>
    </row>
    <row r="2473" spans="1:13">
      <c r="A2473" t="s">
        <v>685</v>
      </c>
      <c r="B2473" t="s">
        <v>282</v>
      </c>
      <c r="C2473" s="8">
        <v>45943</v>
      </c>
      <c r="D2473" t="s">
        <v>332</v>
      </c>
      <c r="E2473" t="s">
        <v>339</v>
      </c>
      <c r="F2473" s="12">
        <v>291784</v>
      </c>
      <c r="G2473" s="13">
        <v>29</v>
      </c>
      <c r="H2473" t="s">
        <v>3045</v>
      </c>
      <c r="I2473" s="8">
        <v>46217</v>
      </c>
      <c r="J2473" t="s">
        <v>2659</v>
      </c>
      <c r="K2473" t="s">
        <v>2660</v>
      </c>
      <c r="L2473" s="13">
        <v>3500</v>
      </c>
      <c r="M2473" t="s">
        <v>2676</v>
      </c>
    </row>
    <row r="2474" spans="1:13">
      <c r="A2474" t="s">
        <v>685</v>
      </c>
      <c r="B2474" t="s">
        <v>282</v>
      </c>
      <c r="C2474" s="8">
        <v>45943</v>
      </c>
      <c r="D2474" t="s">
        <v>332</v>
      </c>
      <c r="E2474" t="s">
        <v>339</v>
      </c>
      <c r="F2474" s="12">
        <v>291784</v>
      </c>
      <c r="G2474" s="13">
        <v>29</v>
      </c>
      <c r="H2474" t="s">
        <v>3568</v>
      </c>
      <c r="I2474" s="8">
        <v>46096</v>
      </c>
      <c r="J2474" t="s">
        <v>2674</v>
      </c>
      <c r="K2474" t="s">
        <v>2675</v>
      </c>
      <c r="L2474" s="13">
        <v>20000</v>
      </c>
      <c r="M2474" t="s">
        <v>2661</v>
      </c>
    </row>
    <row r="2475" spans="1:13">
      <c r="A2475" t="s">
        <v>745</v>
      </c>
      <c r="B2475" t="s">
        <v>282</v>
      </c>
      <c r="C2475" s="8">
        <v>46079</v>
      </c>
      <c r="D2475" t="s">
        <v>350</v>
      </c>
      <c r="E2475" t="s">
        <v>339</v>
      </c>
      <c r="F2475" s="12">
        <v>86773</v>
      </c>
      <c r="G2475" s="13">
        <v>8</v>
      </c>
      <c r="H2475" t="s">
        <v>3045</v>
      </c>
      <c r="I2475" s="8">
        <v>46217</v>
      </c>
      <c r="J2475" t="s">
        <v>2659</v>
      </c>
      <c r="K2475" t="s">
        <v>2660</v>
      </c>
      <c r="L2475" s="13">
        <v>3500</v>
      </c>
      <c r="M2475" t="s">
        <v>2676</v>
      </c>
    </row>
    <row r="2476" spans="1:13">
      <c r="A2476" t="s">
        <v>745</v>
      </c>
      <c r="B2476" t="s">
        <v>282</v>
      </c>
      <c r="C2476" s="8">
        <v>46079</v>
      </c>
      <c r="D2476" t="s">
        <v>350</v>
      </c>
      <c r="E2476" t="s">
        <v>339</v>
      </c>
      <c r="F2476" s="12">
        <v>86773</v>
      </c>
      <c r="G2476" s="13">
        <v>8</v>
      </c>
      <c r="H2476" t="s">
        <v>3568</v>
      </c>
      <c r="I2476" s="8">
        <v>46096</v>
      </c>
      <c r="J2476" t="s">
        <v>2674</v>
      </c>
      <c r="K2476" t="s">
        <v>2675</v>
      </c>
      <c r="L2476" s="13">
        <v>20000</v>
      </c>
      <c r="M2476" t="s">
        <v>2661</v>
      </c>
    </row>
    <row r="2477" spans="1:13">
      <c r="A2477" t="s">
        <v>793</v>
      </c>
      <c r="B2477" t="s">
        <v>282</v>
      </c>
      <c r="C2477" s="8">
        <v>45988</v>
      </c>
      <c r="D2477" t="s">
        <v>321</v>
      </c>
      <c r="E2477" t="s">
        <v>322</v>
      </c>
      <c r="F2477" s="12">
        <v>364062</v>
      </c>
      <c r="G2477" s="13">
        <v>36</v>
      </c>
      <c r="H2477" t="s">
        <v>3045</v>
      </c>
      <c r="I2477" s="8">
        <v>46217</v>
      </c>
      <c r="J2477" t="s">
        <v>2659</v>
      </c>
      <c r="K2477" t="s">
        <v>2660</v>
      </c>
      <c r="L2477" s="13">
        <v>3500</v>
      </c>
      <c r="M2477" t="s">
        <v>2676</v>
      </c>
    </row>
    <row r="2478" spans="1:13">
      <c r="A2478" t="s">
        <v>793</v>
      </c>
      <c r="B2478" t="s">
        <v>282</v>
      </c>
      <c r="C2478" s="8">
        <v>45988</v>
      </c>
      <c r="D2478" t="s">
        <v>321</v>
      </c>
      <c r="E2478" t="s">
        <v>322</v>
      </c>
      <c r="F2478" s="12">
        <v>364062</v>
      </c>
      <c r="G2478" s="13">
        <v>36</v>
      </c>
      <c r="H2478" t="s">
        <v>3568</v>
      </c>
      <c r="I2478" s="8">
        <v>46096</v>
      </c>
      <c r="J2478" t="s">
        <v>2674</v>
      </c>
      <c r="K2478" t="s">
        <v>2675</v>
      </c>
      <c r="L2478" s="13">
        <v>20000</v>
      </c>
      <c r="M2478" t="s">
        <v>2661</v>
      </c>
    </row>
    <row r="2479" spans="1:13">
      <c r="A2479" t="s">
        <v>903</v>
      </c>
      <c r="B2479" t="s">
        <v>282</v>
      </c>
      <c r="C2479" s="8">
        <v>46190</v>
      </c>
      <c r="D2479" t="s">
        <v>327</v>
      </c>
      <c r="E2479" t="s">
        <v>337</v>
      </c>
      <c r="F2479" s="12">
        <v>704899</v>
      </c>
      <c r="G2479" s="13">
        <v>70</v>
      </c>
      <c r="H2479" t="s">
        <v>3045</v>
      </c>
      <c r="I2479" s="8">
        <v>46217</v>
      </c>
      <c r="J2479" t="s">
        <v>2659</v>
      </c>
      <c r="K2479" t="s">
        <v>2660</v>
      </c>
      <c r="L2479" s="13">
        <v>3500</v>
      </c>
      <c r="M2479" t="s">
        <v>2676</v>
      </c>
    </row>
    <row r="2480" spans="1:13">
      <c r="A2480" t="s">
        <v>903</v>
      </c>
      <c r="B2480" t="s">
        <v>282</v>
      </c>
      <c r="C2480" s="8">
        <v>46190</v>
      </c>
      <c r="D2480" t="s">
        <v>327</v>
      </c>
      <c r="E2480" t="s">
        <v>337</v>
      </c>
      <c r="F2480" s="12">
        <v>704899</v>
      </c>
      <c r="G2480" s="13">
        <v>70</v>
      </c>
      <c r="H2480" t="s">
        <v>3568</v>
      </c>
      <c r="I2480" s="8">
        <v>46096</v>
      </c>
      <c r="J2480" t="s">
        <v>2674</v>
      </c>
      <c r="K2480" t="s">
        <v>2675</v>
      </c>
      <c r="L2480" s="13">
        <v>20000</v>
      </c>
      <c r="M2480" t="s">
        <v>2661</v>
      </c>
    </row>
    <row r="2481" spans="1:13">
      <c r="A2481" t="s">
        <v>1061</v>
      </c>
      <c r="B2481" t="s">
        <v>282</v>
      </c>
      <c r="C2481" s="8">
        <v>46292</v>
      </c>
      <c r="D2481" t="s">
        <v>324</v>
      </c>
      <c r="E2481" t="s">
        <v>325</v>
      </c>
      <c r="F2481" s="12">
        <v>439722</v>
      </c>
      <c r="G2481" s="13">
        <v>43</v>
      </c>
      <c r="H2481" t="s">
        <v>3045</v>
      </c>
      <c r="I2481" s="8">
        <v>46217</v>
      </c>
      <c r="J2481" t="s">
        <v>2659</v>
      </c>
      <c r="K2481" t="s">
        <v>2660</v>
      </c>
      <c r="L2481" s="13">
        <v>3500</v>
      </c>
      <c r="M2481" t="s">
        <v>2676</v>
      </c>
    </row>
    <row r="2482" spans="1:13">
      <c r="A2482" t="s">
        <v>1061</v>
      </c>
      <c r="B2482" t="s">
        <v>282</v>
      </c>
      <c r="C2482" s="8">
        <v>46292</v>
      </c>
      <c r="D2482" t="s">
        <v>324</v>
      </c>
      <c r="E2482" t="s">
        <v>325</v>
      </c>
      <c r="F2482" s="12">
        <v>439722</v>
      </c>
      <c r="G2482" s="13">
        <v>43</v>
      </c>
      <c r="H2482" t="s">
        <v>3568</v>
      </c>
      <c r="I2482" s="8">
        <v>46096</v>
      </c>
      <c r="J2482" t="s">
        <v>2674</v>
      </c>
      <c r="K2482" t="s">
        <v>2675</v>
      </c>
      <c r="L2482" s="13">
        <v>20000</v>
      </c>
      <c r="M2482" t="s">
        <v>2661</v>
      </c>
    </row>
    <row r="2483" spans="1:13">
      <c r="A2483" t="s">
        <v>1183</v>
      </c>
      <c r="B2483" t="s">
        <v>282</v>
      </c>
      <c r="C2483" s="8">
        <v>46043</v>
      </c>
      <c r="D2483" t="s">
        <v>321</v>
      </c>
      <c r="E2483" t="s">
        <v>334</v>
      </c>
      <c r="F2483" s="12">
        <v>429573</v>
      </c>
      <c r="G2483" s="13">
        <v>42</v>
      </c>
      <c r="H2483" t="s">
        <v>3045</v>
      </c>
      <c r="I2483" s="8">
        <v>46217</v>
      </c>
      <c r="J2483" t="s">
        <v>2659</v>
      </c>
      <c r="K2483" t="s">
        <v>2660</v>
      </c>
      <c r="L2483" s="13">
        <v>3500</v>
      </c>
      <c r="M2483" t="s">
        <v>2676</v>
      </c>
    </row>
    <row r="2484" spans="1:13">
      <c r="A2484" t="s">
        <v>1183</v>
      </c>
      <c r="B2484" t="s">
        <v>282</v>
      </c>
      <c r="C2484" s="8">
        <v>46043</v>
      </c>
      <c r="D2484" t="s">
        <v>321</v>
      </c>
      <c r="E2484" t="s">
        <v>334</v>
      </c>
      <c r="F2484" s="12">
        <v>429573</v>
      </c>
      <c r="G2484" s="13">
        <v>42</v>
      </c>
      <c r="H2484" t="s">
        <v>3568</v>
      </c>
      <c r="I2484" s="8">
        <v>46096</v>
      </c>
      <c r="J2484" t="s">
        <v>2674</v>
      </c>
      <c r="K2484" t="s">
        <v>2675</v>
      </c>
      <c r="L2484" s="13">
        <v>20000</v>
      </c>
      <c r="M2484" t="s">
        <v>2661</v>
      </c>
    </row>
    <row r="2485" spans="1:13">
      <c r="A2485" t="s">
        <v>1192</v>
      </c>
      <c r="B2485" t="s">
        <v>282</v>
      </c>
      <c r="C2485" s="8">
        <v>46242</v>
      </c>
      <c r="D2485" t="s">
        <v>330</v>
      </c>
      <c r="E2485" t="s">
        <v>339</v>
      </c>
      <c r="F2485" s="12">
        <v>177923</v>
      </c>
      <c r="G2485" s="13">
        <v>17</v>
      </c>
      <c r="H2485" t="s">
        <v>3045</v>
      </c>
      <c r="I2485" s="8">
        <v>46217</v>
      </c>
      <c r="J2485" t="s">
        <v>2659</v>
      </c>
      <c r="K2485" t="s">
        <v>2660</v>
      </c>
      <c r="L2485" s="13">
        <v>3500</v>
      </c>
      <c r="M2485" t="s">
        <v>2676</v>
      </c>
    </row>
    <row r="2486" spans="1:13">
      <c r="A2486" t="s">
        <v>1192</v>
      </c>
      <c r="B2486" t="s">
        <v>282</v>
      </c>
      <c r="C2486" s="8">
        <v>46242</v>
      </c>
      <c r="D2486" t="s">
        <v>330</v>
      </c>
      <c r="E2486" t="s">
        <v>339</v>
      </c>
      <c r="F2486" s="12">
        <v>177923</v>
      </c>
      <c r="G2486" s="13">
        <v>17</v>
      </c>
      <c r="H2486" t="s">
        <v>3568</v>
      </c>
      <c r="I2486" s="8">
        <v>46096</v>
      </c>
      <c r="J2486" t="s">
        <v>2674</v>
      </c>
      <c r="K2486" t="s">
        <v>2675</v>
      </c>
      <c r="L2486" s="13">
        <v>20000</v>
      </c>
      <c r="M2486" t="s">
        <v>2661</v>
      </c>
    </row>
    <row r="2487" spans="1:13">
      <c r="A2487" t="s">
        <v>592</v>
      </c>
      <c r="B2487" t="s">
        <v>292</v>
      </c>
      <c r="C2487" s="8">
        <v>46033</v>
      </c>
      <c r="D2487" t="s">
        <v>350</v>
      </c>
      <c r="E2487" t="s">
        <v>337</v>
      </c>
      <c r="F2487" s="12">
        <v>248205</v>
      </c>
      <c r="G2487" s="13">
        <v>24</v>
      </c>
      <c r="H2487" t="s">
        <v>2945</v>
      </c>
      <c r="I2487" s="8">
        <v>46180</v>
      </c>
      <c r="J2487" t="s">
        <v>2663</v>
      </c>
      <c r="K2487" t="s">
        <v>3630</v>
      </c>
      <c r="L2487" s="13">
        <v>1500</v>
      </c>
      <c r="M2487" t="s">
        <v>2661</v>
      </c>
    </row>
    <row r="2488" spans="1:13">
      <c r="A2488" t="s">
        <v>592</v>
      </c>
      <c r="B2488" t="s">
        <v>292</v>
      </c>
      <c r="C2488" s="8">
        <v>46033</v>
      </c>
      <c r="D2488" t="s">
        <v>350</v>
      </c>
      <c r="E2488" t="s">
        <v>337</v>
      </c>
      <c r="F2488" s="12">
        <v>248205</v>
      </c>
      <c r="G2488" s="13">
        <v>24</v>
      </c>
      <c r="H2488" t="s">
        <v>3229</v>
      </c>
      <c r="I2488" s="8">
        <v>46149</v>
      </c>
      <c r="J2488" t="s">
        <v>2692</v>
      </c>
      <c r="K2488" t="s">
        <v>2693</v>
      </c>
      <c r="L2488" s="13">
        <v>10000</v>
      </c>
      <c r="M2488" t="s">
        <v>2661</v>
      </c>
    </row>
    <row r="2489" spans="1:13">
      <c r="A2489" t="s">
        <v>619</v>
      </c>
      <c r="B2489" t="s">
        <v>172</v>
      </c>
      <c r="C2489" s="8">
        <v>46173</v>
      </c>
      <c r="D2489" t="s">
        <v>350</v>
      </c>
      <c r="E2489" t="s">
        <v>339</v>
      </c>
      <c r="F2489" s="12">
        <v>245466</v>
      </c>
      <c r="G2489" s="13">
        <v>24</v>
      </c>
      <c r="H2489" t="s">
        <v>2937</v>
      </c>
      <c r="I2489" s="8">
        <v>46064</v>
      </c>
      <c r="J2489" t="s">
        <v>2665</v>
      </c>
      <c r="K2489" t="s">
        <v>2666</v>
      </c>
      <c r="L2489" s="13">
        <v>2500</v>
      </c>
      <c r="M2489" t="s">
        <v>2661</v>
      </c>
    </row>
    <row r="2490" spans="1:13">
      <c r="A2490" t="s">
        <v>619</v>
      </c>
      <c r="B2490" t="s">
        <v>172</v>
      </c>
      <c r="C2490" s="8">
        <v>46173</v>
      </c>
      <c r="D2490" t="s">
        <v>350</v>
      </c>
      <c r="E2490" t="s">
        <v>339</v>
      </c>
      <c r="F2490" s="12">
        <v>245466</v>
      </c>
      <c r="G2490" s="13">
        <v>24</v>
      </c>
      <c r="H2490" t="s">
        <v>2996</v>
      </c>
      <c r="I2490" s="8">
        <v>46243</v>
      </c>
      <c r="J2490" t="s">
        <v>2665</v>
      </c>
      <c r="K2490" t="s">
        <v>2666</v>
      </c>
      <c r="L2490" s="13">
        <v>2500</v>
      </c>
      <c r="M2490" t="s">
        <v>2661</v>
      </c>
    </row>
    <row r="2491" spans="1:13">
      <c r="A2491" t="s">
        <v>619</v>
      </c>
      <c r="B2491" t="s">
        <v>172</v>
      </c>
      <c r="C2491" s="8">
        <v>46173</v>
      </c>
      <c r="D2491" t="s">
        <v>350</v>
      </c>
      <c r="E2491" t="s">
        <v>339</v>
      </c>
      <c r="F2491" s="12">
        <v>245466</v>
      </c>
      <c r="G2491" s="13">
        <v>24</v>
      </c>
      <c r="H2491" t="s">
        <v>3395</v>
      </c>
      <c r="I2491" s="8">
        <v>46103</v>
      </c>
      <c r="J2491" t="s">
        <v>2659</v>
      </c>
      <c r="K2491" t="s">
        <v>2660</v>
      </c>
      <c r="L2491" s="13">
        <v>3500</v>
      </c>
      <c r="M2491" t="s">
        <v>2661</v>
      </c>
    </row>
    <row r="2492" spans="1:13">
      <c r="A2492" t="s">
        <v>619</v>
      </c>
      <c r="B2492" t="s">
        <v>172</v>
      </c>
      <c r="C2492" s="8">
        <v>46173</v>
      </c>
      <c r="D2492" t="s">
        <v>350</v>
      </c>
      <c r="E2492" t="s">
        <v>339</v>
      </c>
      <c r="F2492" s="12">
        <v>245466</v>
      </c>
      <c r="G2492" s="13">
        <v>24</v>
      </c>
      <c r="H2492" t="s">
        <v>3546</v>
      </c>
      <c r="I2492" s="8">
        <v>46158</v>
      </c>
      <c r="J2492" t="s">
        <v>2668</v>
      </c>
      <c r="K2492" t="s">
        <v>2669</v>
      </c>
      <c r="L2492" s="13">
        <v>4000</v>
      </c>
      <c r="M2492" t="s">
        <v>2661</v>
      </c>
    </row>
    <row r="2493" spans="1:13">
      <c r="A2493" t="s">
        <v>943</v>
      </c>
      <c r="B2493" t="s">
        <v>264</v>
      </c>
      <c r="C2493" s="8">
        <v>46254</v>
      </c>
      <c r="D2493" t="s">
        <v>342</v>
      </c>
      <c r="E2493" t="s">
        <v>334</v>
      </c>
      <c r="F2493" s="12">
        <v>286179</v>
      </c>
      <c r="G2493" s="13">
        <v>28</v>
      </c>
      <c r="H2493" t="s">
        <v>2941</v>
      </c>
      <c r="I2493" s="8">
        <v>46103</v>
      </c>
      <c r="J2493" t="s">
        <v>2665</v>
      </c>
      <c r="K2493" t="s">
        <v>2666</v>
      </c>
      <c r="L2493" s="13">
        <v>2500</v>
      </c>
      <c r="M2493" t="s">
        <v>2661</v>
      </c>
    </row>
    <row r="2494" spans="1:13">
      <c r="A2494" t="s">
        <v>943</v>
      </c>
      <c r="B2494" t="s">
        <v>264</v>
      </c>
      <c r="C2494" s="8">
        <v>46254</v>
      </c>
      <c r="D2494" t="s">
        <v>342</v>
      </c>
      <c r="E2494" t="s">
        <v>334</v>
      </c>
      <c r="F2494" s="12">
        <v>286179</v>
      </c>
      <c r="G2494" s="13">
        <v>28</v>
      </c>
      <c r="H2494" t="s">
        <v>3126</v>
      </c>
      <c r="I2494" s="8">
        <v>46097</v>
      </c>
      <c r="J2494" t="s">
        <v>2688</v>
      </c>
      <c r="K2494" t="s">
        <v>2689</v>
      </c>
      <c r="L2494" s="13">
        <v>8000</v>
      </c>
      <c r="M2494" t="s">
        <v>2661</v>
      </c>
    </row>
    <row r="2495" spans="1:13">
      <c r="A2495" t="s">
        <v>943</v>
      </c>
      <c r="B2495" t="s">
        <v>264</v>
      </c>
      <c r="C2495" s="8">
        <v>46254</v>
      </c>
      <c r="D2495" t="s">
        <v>342</v>
      </c>
      <c r="E2495" t="s">
        <v>334</v>
      </c>
      <c r="F2495" s="12">
        <v>286179</v>
      </c>
      <c r="G2495" s="13">
        <v>28</v>
      </c>
      <c r="H2495" t="s">
        <v>3430</v>
      </c>
      <c r="I2495" s="8">
        <v>46105</v>
      </c>
      <c r="J2495" t="s">
        <v>2665</v>
      </c>
      <c r="K2495" t="s">
        <v>2666</v>
      </c>
      <c r="L2495" s="13">
        <v>2500</v>
      </c>
      <c r="M2495" t="s">
        <v>2661</v>
      </c>
    </row>
    <row r="2496" spans="1:13">
      <c r="A2496" t="s">
        <v>749</v>
      </c>
      <c r="B2496" t="s">
        <v>75</v>
      </c>
      <c r="C2496" s="8">
        <v>46258</v>
      </c>
      <c r="D2496" t="s">
        <v>332</v>
      </c>
      <c r="E2496" t="s">
        <v>325</v>
      </c>
      <c r="F2496" s="12">
        <v>154902</v>
      </c>
      <c r="G2496" s="13">
        <v>15</v>
      </c>
      <c r="H2496" t="s">
        <v>2944</v>
      </c>
      <c r="I2496" s="8">
        <v>46218</v>
      </c>
      <c r="J2496" t="s">
        <v>2665</v>
      </c>
      <c r="K2496" t="s">
        <v>2666</v>
      </c>
      <c r="L2496" s="13">
        <v>2500</v>
      </c>
      <c r="M2496" t="s">
        <v>2661</v>
      </c>
    </row>
    <row r="2497" spans="1:13">
      <c r="A2497" t="s">
        <v>749</v>
      </c>
      <c r="B2497" t="s">
        <v>75</v>
      </c>
      <c r="C2497" s="8">
        <v>46258</v>
      </c>
      <c r="D2497" t="s">
        <v>332</v>
      </c>
      <c r="E2497" t="s">
        <v>325</v>
      </c>
      <c r="F2497" s="12">
        <v>154902</v>
      </c>
      <c r="G2497" s="13">
        <v>15</v>
      </c>
      <c r="H2497" t="s">
        <v>3396</v>
      </c>
      <c r="I2497" s="8">
        <v>46161</v>
      </c>
      <c r="J2497" t="s">
        <v>2659</v>
      </c>
      <c r="K2497" t="s">
        <v>2660</v>
      </c>
      <c r="L2497" s="13">
        <v>3500</v>
      </c>
      <c r="M2497" t="s">
        <v>2661</v>
      </c>
    </row>
    <row r="2498" spans="1:13">
      <c r="A2498" t="s">
        <v>749</v>
      </c>
      <c r="B2498" t="s">
        <v>75</v>
      </c>
      <c r="C2498" s="8">
        <v>46258</v>
      </c>
      <c r="D2498" t="s">
        <v>332</v>
      </c>
      <c r="E2498" t="s">
        <v>325</v>
      </c>
      <c r="F2498" s="12">
        <v>154902</v>
      </c>
      <c r="G2498" s="13">
        <v>15</v>
      </c>
      <c r="H2498" t="s">
        <v>3549</v>
      </c>
      <c r="I2498" s="8">
        <v>46034</v>
      </c>
      <c r="J2498" t="s">
        <v>2692</v>
      </c>
      <c r="K2498" t="s">
        <v>2693</v>
      </c>
      <c r="L2498" s="13">
        <v>10000</v>
      </c>
      <c r="M2498" t="s">
        <v>2661</v>
      </c>
    </row>
    <row r="2499" spans="1:13">
      <c r="A2499" t="s">
        <v>999</v>
      </c>
      <c r="B2499" t="s">
        <v>75</v>
      </c>
      <c r="C2499" s="8">
        <v>46002</v>
      </c>
      <c r="D2499" t="s">
        <v>321</v>
      </c>
      <c r="E2499" t="s">
        <v>334</v>
      </c>
      <c r="F2499" s="12">
        <v>475203</v>
      </c>
      <c r="G2499" s="13">
        <v>47</v>
      </c>
      <c r="H2499" t="s">
        <v>2944</v>
      </c>
      <c r="I2499" s="8">
        <v>46218</v>
      </c>
      <c r="J2499" t="s">
        <v>2665</v>
      </c>
      <c r="K2499" t="s">
        <v>2666</v>
      </c>
      <c r="L2499" s="13">
        <v>2500</v>
      </c>
      <c r="M2499" t="s">
        <v>2661</v>
      </c>
    </row>
    <row r="2500" spans="1:13">
      <c r="A2500" t="s">
        <v>999</v>
      </c>
      <c r="B2500" t="s">
        <v>75</v>
      </c>
      <c r="C2500" s="8">
        <v>46002</v>
      </c>
      <c r="D2500" t="s">
        <v>321</v>
      </c>
      <c r="E2500" t="s">
        <v>334</v>
      </c>
      <c r="F2500" s="12">
        <v>475203</v>
      </c>
      <c r="G2500" s="13">
        <v>47</v>
      </c>
      <c r="H2500" t="s">
        <v>3396</v>
      </c>
      <c r="I2500" s="8">
        <v>46161</v>
      </c>
      <c r="J2500" t="s">
        <v>2659</v>
      </c>
      <c r="K2500" t="s">
        <v>2660</v>
      </c>
      <c r="L2500" s="13">
        <v>3500</v>
      </c>
      <c r="M2500" t="s">
        <v>2661</v>
      </c>
    </row>
    <row r="2501" spans="1:13">
      <c r="A2501" t="s">
        <v>999</v>
      </c>
      <c r="B2501" t="s">
        <v>75</v>
      </c>
      <c r="C2501" s="8">
        <v>46002</v>
      </c>
      <c r="D2501" t="s">
        <v>321</v>
      </c>
      <c r="E2501" t="s">
        <v>334</v>
      </c>
      <c r="F2501" s="12">
        <v>475203</v>
      </c>
      <c r="G2501" s="13">
        <v>47</v>
      </c>
      <c r="H2501" t="s">
        <v>3549</v>
      </c>
      <c r="I2501" s="8">
        <v>46034</v>
      </c>
      <c r="J2501" t="s">
        <v>2692</v>
      </c>
      <c r="K2501" t="s">
        <v>2693</v>
      </c>
      <c r="L2501" s="13">
        <v>10000</v>
      </c>
      <c r="M2501" t="s">
        <v>2661</v>
      </c>
    </row>
    <row r="2502" spans="1:13">
      <c r="A2502" t="s">
        <v>1105</v>
      </c>
      <c r="B2502" t="s">
        <v>75</v>
      </c>
      <c r="C2502" s="8">
        <v>46136</v>
      </c>
      <c r="D2502" t="s">
        <v>342</v>
      </c>
      <c r="E2502" t="s">
        <v>328</v>
      </c>
      <c r="F2502" s="12">
        <v>630685</v>
      </c>
      <c r="G2502" s="13">
        <v>63</v>
      </c>
      <c r="H2502" t="s">
        <v>2944</v>
      </c>
      <c r="I2502" s="8">
        <v>46218</v>
      </c>
      <c r="J2502" t="s">
        <v>2665</v>
      </c>
      <c r="K2502" t="s">
        <v>2666</v>
      </c>
      <c r="L2502" s="13">
        <v>2500</v>
      </c>
      <c r="M2502" t="s">
        <v>2661</v>
      </c>
    </row>
    <row r="2503" spans="1:13">
      <c r="A2503" t="s">
        <v>1105</v>
      </c>
      <c r="B2503" t="s">
        <v>75</v>
      </c>
      <c r="C2503" s="8">
        <v>46136</v>
      </c>
      <c r="D2503" t="s">
        <v>342</v>
      </c>
      <c r="E2503" t="s">
        <v>328</v>
      </c>
      <c r="F2503" s="12">
        <v>630685</v>
      </c>
      <c r="G2503" s="13">
        <v>63</v>
      </c>
      <c r="H2503" t="s">
        <v>3396</v>
      </c>
      <c r="I2503" s="8">
        <v>46161</v>
      </c>
      <c r="J2503" t="s">
        <v>2659</v>
      </c>
      <c r="K2503" t="s">
        <v>2660</v>
      </c>
      <c r="L2503" s="13">
        <v>3500</v>
      </c>
      <c r="M2503" t="s">
        <v>2661</v>
      </c>
    </row>
    <row r="2504" spans="1:13">
      <c r="A2504" t="s">
        <v>1105</v>
      </c>
      <c r="B2504" t="s">
        <v>75</v>
      </c>
      <c r="C2504" s="8">
        <v>46136</v>
      </c>
      <c r="D2504" t="s">
        <v>342</v>
      </c>
      <c r="E2504" t="s">
        <v>328</v>
      </c>
      <c r="F2504" s="12">
        <v>630685</v>
      </c>
      <c r="G2504" s="13">
        <v>63</v>
      </c>
      <c r="H2504" t="s">
        <v>3549</v>
      </c>
      <c r="I2504" s="8">
        <v>46034</v>
      </c>
      <c r="J2504" t="s">
        <v>2692</v>
      </c>
      <c r="K2504" t="s">
        <v>2693</v>
      </c>
      <c r="L2504" s="13">
        <v>10000</v>
      </c>
      <c r="M2504" t="s">
        <v>2661</v>
      </c>
    </row>
    <row r="2505" spans="1:13">
      <c r="A2505" t="s">
        <v>602</v>
      </c>
      <c r="B2505" t="s">
        <v>130</v>
      </c>
      <c r="C2505" s="8">
        <v>45984</v>
      </c>
      <c r="D2505" t="s">
        <v>342</v>
      </c>
      <c r="E2505" t="s">
        <v>334</v>
      </c>
      <c r="F2505" s="12">
        <v>92657</v>
      </c>
      <c r="G2505" s="13">
        <v>9</v>
      </c>
      <c r="H2505" t="s">
        <v>3547</v>
      </c>
      <c r="I2505" s="8">
        <v>46237</v>
      </c>
      <c r="J2505" t="s">
        <v>2659</v>
      </c>
      <c r="K2505" t="s">
        <v>2660</v>
      </c>
      <c r="L2505" s="13">
        <v>3500</v>
      </c>
      <c r="M2505" t="s">
        <v>2661</v>
      </c>
    </row>
    <row r="2506" spans="1:13">
      <c r="A2506" t="s">
        <v>606</v>
      </c>
      <c r="B2506" t="s">
        <v>130</v>
      </c>
      <c r="C2506" s="8">
        <v>46015</v>
      </c>
      <c r="D2506" t="s">
        <v>332</v>
      </c>
      <c r="E2506" t="s">
        <v>328</v>
      </c>
      <c r="F2506" s="12">
        <v>629369</v>
      </c>
      <c r="G2506" s="13">
        <v>62</v>
      </c>
      <c r="H2506" t="s">
        <v>3547</v>
      </c>
      <c r="I2506" s="8">
        <v>46237</v>
      </c>
      <c r="J2506" t="s">
        <v>2659</v>
      </c>
      <c r="K2506" t="s">
        <v>2660</v>
      </c>
      <c r="L2506" s="13">
        <v>3500</v>
      </c>
      <c r="M2506" t="s">
        <v>2661</v>
      </c>
    </row>
    <row r="2507" spans="1:13">
      <c r="A2507" t="s">
        <v>655</v>
      </c>
      <c r="B2507" t="s">
        <v>130</v>
      </c>
      <c r="C2507" s="8">
        <v>46036</v>
      </c>
      <c r="D2507" t="s">
        <v>330</v>
      </c>
      <c r="E2507" t="s">
        <v>325</v>
      </c>
      <c r="F2507" s="12">
        <v>124163</v>
      </c>
      <c r="G2507" s="13">
        <v>12</v>
      </c>
      <c r="H2507" t="s">
        <v>3547</v>
      </c>
      <c r="I2507" s="8">
        <v>46237</v>
      </c>
      <c r="J2507" t="s">
        <v>2659</v>
      </c>
      <c r="K2507" t="s">
        <v>2660</v>
      </c>
      <c r="L2507" s="13">
        <v>3500</v>
      </c>
      <c r="M2507" t="s">
        <v>2661</v>
      </c>
    </row>
    <row r="2508" spans="1:13">
      <c r="A2508" t="s">
        <v>671</v>
      </c>
      <c r="B2508" t="s">
        <v>213</v>
      </c>
      <c r="C2508" s="8">
        <v>45997</v>
      </c>
      <c r="D2508" t="s">
        <v>350</v>
      </c>
      <c r="E2508" t="s">
        <v>322</v>
      </c>
      <c r="F2508" s="12">
        <v>107257</v>
      </c>
      <c r="G2508" s="13">
        <v>10</v>
      </c>
      <c r="H2508" t="s">
        <v>2951</v>
      </c>
      <c r="I2508" s="8">
        <v>46292</v>
      </c>
      <c r="J2508" t="s">
        <v>2692</v>
      </c>
      <c r="K2508" t="s">
        <v>2693</v>
      </c>
      <c r="L2508" s="13">
        <v>10000</v>
      </c>
      <c r="M2508" t="s">
        <v>2661</v>
      </c>
    </row>
    <row r="2509" spans="1:13">
      <c r="A2509" t="s">
        <v>671</v>
      </c>
      <c r="B2509" t="s">
        <v>213</v>
      </c>
      <c r="C2509" s="8">
        <v>45997</v>
      </c>
      <c r="D2509" t="s">
        <v>350</v>
      </c>
      <c r="E2509" t="s">
        <v>322</v>
      </c>
      <c r="F2509" s="12">
        <v>107257</v>
      </c>
      <c r="G2509" s="13">
        <v>10</v>
      </c>
      <c r="H2509" t="s">
        <v>3382</v>
      </c>
      <c r="I2509" s="8">
        <v>46034</v>
      </c>
      <c r="J2509" t="s">
        <v>2688</v>
      </c>
      <c r="K2509" t="s">
        <v>2689</v>
      </c>
      <c r="L2509" s="13">
        <v>8000</v>
      </c>
      <c r="M2509" t="s">
        <v>2661</v>
      </c>
    </row>
    <row r="2510" spans="1:13">
      <c r="A2510" t="s">
        <v>674</v>
      </c>
      <c r="B2510" t="s">
        <v>183</v>
      </c>
      <c r="C2510" s="8">
        <v>46055</v>
      </c>
      <c r="D2510" t="s">
        <v>344</v>
      </c>
      <c r="E2510" t="s">
        <v>328</v>
      </c>
      <c r="F2510" s="12">
        <v>250654</v>
      </c>
      <c r="G2510" s="13">
        <v>25</v>
      </c>
      <c r="H2510" t="s">
        <v>2955</v>
      </c>
      <c r="I2510" s="8">
        <v>45983</v>
      </c>
      <c r="J2510" t="s">
        <v>2671</v>
      </c>
      <c r="K2510" t="s">
        <v>2672</v>
      </c>
      <c r="L2510" s="13">
        <v>3000</v>
      </c>
      <c r="M2510" t="s">
        <v>2676</v>
      </c>
    </row>
    <row r="2511" spans="1:13">
      <c r="A2511" t="s">
        <v>704</v>
      </c>
      <c r="B2511" t="s">
        <v>183</v>
      </c>
      <c r="C2511" s="8">
        <v>46176</v>
      </c>
      <c r="D2511" t="s">
        <v>330</v>
      </c>
      <c r="E2511" t="s">
        <v>339</v>
      </c>
      <c r="F2511" s="12">
        <v>815520</v>
      </c>
      <c r="G2511" s="13">
        <v>81</v>
      </c>
      <c r="H2511" t="s">
        <v>2955</v>
      </c>
      <c r="I2511" s="8">
        <v>45983</v>
      </c>
      <c r="J2511" t="s">
        <v>2671</v>
      </c>
      <c r="K2511" t="s">
        <v>2672</v>
      </c>
      <c r="L2511" s="13">
        <v>3000</v>
      </c>
      <c r="M2511" t="s">
        <v>2676</v>
      </c>
    </row>
    <row r="2512" spans="1:13">
      <c r="A2512" t="s">
        <v>763</v>
      </c>
      <c r="B2512" t="s">
        <v>183</v>
      </c>
      <c r="C2512" s="8">
        <v>46013</v>
      </c>
      <c r="D2512" t="s">
        <v>332</v>
      </c>
      <c r="E2512" t="s">
        <v>322</v>
      </c>
      <c r="F2512" s="12">
        <v>333292</v>
      </c>
      <c r="G2512" s="13">
        <v>33</v>
      </c>
      <c r="H2512" t="s">
        <v>2955</v>
      </c>
      <c r="I2512" s="8">
        <v>45983</v>
      </c>
      <c r="J2512" t="s">
        <v>2671</v>
      </c>
      <c r="K2512" t="s">
        <v>2672</v>
      </c>
      <c r="L2512" s="13">
        <v>3000</v>
      </c>
      <c r="M2512" t="s">
        <v>2676</v>
      </c>
    </row>
    <row r="2513" spans="1:13">
      <c r="A2513" t="s">
        <v>1055</v>
      </c>
      <c r="B2513" t="s">
        <v>183</v>
      </c>
      <c r="C2513" s="8">
        <v>46006</v>
      </c>
      <c r="D2513" t="s">
        <v>344</v>
      </c>
      <c r="E2513" t="s">
        <v>328</v>
      </c>
      <c r="F2513" s="12">
        <v>113610</v>
      </c>
      <c r="G2513" s="13">
        <v>11</v>
      </c>
      <c r="H2513" t="s">
        <v>2955</v>
      </c>
      <c r="I2513" s="8">
        <v>45983</v>
      </c>
      <c r="J2513" t="s">
        <v>2671</v>
      </c>
      <c r="K2513" t="s">
        <v>2672</v>
      </c>
      <c r="L2513" s="13">
        <v>3000</v>
      </c>
      <c r="M2513" t="s">
        <v>2676</v>
      </c>
    </row>
    <row r="2514" spans="1:13">
      <c r="A2514" t="s">
        <v>656</v>
      </c>
      <c r="B2514" t="s">
        <v>84</v>
      </c>
      <c r="C2514" s="8">
        <v>46278</v>
      </c>
      <c r="D2514" t="s">
        <v>332</v>
      </c>
      <c r="E2514" t="s">
        <v>339</v>
      </c>
      <c r="F2514" s="12">
        <v>147617</v>
      </c>
      <c r="G2514" s="13">
        <v>14</v>
      </c>
      <c r="H2514" t="s">
        <v>2962</v>
      </c>
      <c r="I2514" s="8">
        <v>46190</v>
      </c>
      <c r="J2514" t="s">
        <v>2671</v>
      </c>
      <c r="K2514" t="s">
        <v>2672</v>
      </c>
      <c r="L2514" s="13">
        <v>3000</v>
      </c>
      <c r="M2514" t="s">
        <v>2661</v>
      </c>
    </row>
    <row r="2515" spans="1:13">
      <c r="A2515" t="s">
        <v>656</v>
      </c>
      <c r="B2515" t="s">
        <v>84</v>
      </c>
      <c r="C2515" s="8">
        <v>46278</v>
      </c>
      <c r="D2515" t="s">
        <v>332</v>
      </c>
      <c r="E2515" t="s">
        <v>339</v>
      </c>
      <c r="F2515" s="12">
        <v>147617</v>
      </c>
      <c r="G2515" s="13">
        <v>14</v>
      </c>
      <c r="H2515" t="s">
        <v>3204</v>
      </c>
      <c r="I2515" s="8">
        <v>46029</v>
      </c>
      <c r="J2515" t="s">
        <v>2671</v>
      </c>
      <c r="K2515" t="s">
        <v>2672</v>
      </c>
      <c r="L2515" s="13">
        <v>3000</v>
      </c>
      <c r="M2515" t="s">
        <v>2661</v>
      </c>
    </row>
    <row r="2516" spans="1:13">
      <c r="A2516" t="s">
        <v>656</v>
      </c>
      <c r="B2516" t="s">
        <v>84</v>
      </c>
      <c r="C2516" s="8">
        <v>46278</v>
      </c>
      <c r="D2516" t="s">
        <v>332</v>
      </c>
      <c r="E2516" t="s">
        <v>339</v>
      </c>
      <c r="F2516" s="12">
        <v>147617</v>
      </c>
      <c r="G2516" s="13">
        <v>14</v>
      </c>
      <c r="H2516" t="s">
        <v>3273</v>
      </c>
      <c r="I2516" s="8">
        <v>46050</v>
      </c>
      <c r="J2516" t="s">
        <v>2668</v>
      </c>
      <c r="K2516" t="s">
        <v>2669</v>
      </c>
      <c r="L2516" s="13">
        <v>4000</v>
      </c>
      <c r="M2516" t="s">
        <v>2676</v>
      </c>
    </row>
    <row r="2517" spans="1:13">
      <c r="A2517" t="s">
        <v>656</v>
      </c>
      <c r="B2517" t="s">
        <v>84</v>
      </c>
      <c r="C2517" s="8">
        <v>46278</v>
      </c>
      <c r="D2517" t="s">
        <v>332</v>
      </c>
      <c r="E2517" t="s">
        <v>339</v>
      </c>
      <c r="F2517" s="12">
        <v>147617</v>
      </c>
      <c r="G2517" s="13">
        <v>14</v>
      </c>
      <c r="H2517" t="s">
        <v>3305</v>
      </c>
      <c r="I2517" s="8">
        <v>45960</v>
      </c>
      <c r="J2517" t="s">
        <v>2682</v>
      </c>
      <c r="K2517" t="s">
        <v>2683</v>
      </c>
      <c r="L2517" s="13">
        <v>6000</v>
      </c>
      <c r="M2517" t="s">
        <v>2661</v>
      </c>
    </row>
    <row r="2518" spans="1:13">
      <c r="A2518" t="s">
        <v>996</v>
      </c>
      <c r="B2518" t="s">
        <v>193</v>
      </c>
      <c r="C2518" s="8">
        <v>46072</v>
      </c>
      <c r="D2518" t="s">
        <v>332</v>
      </c>
      <c r="E2518" t="s">
        <v>334</v>
      </c>
      <c r="F2518" s="12">
        <v>79221</v>
      </c>
      <c r="G2518" s="13">
        <v>7</v>
      </c>
      <c r="H2518" t="s">
        <v>2972</v>
      </c>
      <c r="I2518" s="8">
        <v>46067</v>
      </c>
      <c r="J2518" t="s">
        <v>2665</v>
      </c>
      <c r="K2518" t="s">
        <v>2666</v>
      </c>
      <c r="L2518" s="13">
        <v>2500</v>
      </c>
      <c r="M2518" t="s">
        <v>2661</v>
      </c>
    </row>
    <row r="2519" spans="1:13">
      <c r="A2519" t="s">
        <v>996</v>
      </c>
      <c r="B2519" t="s">
        <v>193</v>
      </c>
      <c r="C2519" s="8">
        <v>46072</v>
      </c>
      <c r="D2519" t="s">
        <v>332</v>
      </c>
      <c r="E2519" t="s">
        <v>334</v>
      </c>
      <c r="F2519" s="12">
        <v>79221</v>
      </c>
      <c r="G2519" s="13">
        <v>7</v>
      </c>
      <c r="H2519" t="s">
        <v>3029</v>
      </c>
      <c r="I2519" s="8">
        <v>46076</v>
      </c>
      <c r="J2519" t="s">
        <v>2674</v>
      </c>
      <c r="K2519" t="s">
        <v>2675</v>
      </c>
      <c r="L2519" s="13">
        <v>20000</v>
      </c>
      <c r="M2519" t="s">
        <v>2676</v>
      </c>
    </row>
    <row r="2520" spans="1:13">
      <c r="A2520" t="s">
        <v>996</v>
      </c>
      <c r="B2520" t="s">
        <v>193</v>
      </c>
      <c r="C2520" s="8">
        <v>46072</v>
      </c>
      <c r="D2520" t="s">
        <v>332</v>
      </c>
      <c r="E2520" t="s">
        <v>334</v>
      </c>
      <c r="F2520" s="12">
        <v>79221</v>
      </c>
      <c r="G2520" s="13">
        <v>7</v>
      </c>
      <c r="H2520" t="s">
        <v>3136</v>
      </c>
      <c r="I2520" s="8">
        <v>46183</v>
      </c>
      <c r="J2520" t="s">
        <v>2671</v>
      </c>
      <c r="K2520" t="s">
        <v>2672</v>
      </c>
      <c r="L2520" s="13">
        <v>3000</v>
      </c>
      <c r="M2520" t="s">
        <v>2676</v>
      </c>
    </row>
    <row r="2521" spans="1:13">
      <c r="A2521" t="s">
        <v>996</v>
      </c>
      <c r="B2521" t="s">
        <v>193</v>
      </c>
      <c r="C2521" s="8">
        <v>46072</v>
      </c>
      <c r="D2521" t="s">
        <v>332</v>
      </c>
      <c r="E2521" t="s">
        <v>334</v>
      </c>
      <c r="F2521" s="12">
        <v>79221</v>
      </c>
      <c r="G2521" s="13">
        <v>7</v>
      </c>
      <c r="H2521" t="s">
        <v>3243</v>
      </c>
      <c r="I2521" s="8">
        <v>46284</v>
      </c>
      <c r="J2521" t="s">
        <v>2685</v>
      </c>
      <c r="K2521" t="s">
        <v>2686</v>
      </c>
      <c r="L2521" s="13">
        <v>5000</v>
      </c>
      <c r="M2521" t="s">
        <v>2661</v>
      </c>
    </row>
    <row r="2522" spans="1:13">
      <c r="A2522" t="s">
        <v>996</v>
      </c>
      <c r="B2522" t="s">
        <v>193</v>
      </c>
      <c r="C2522" s="8">
        <v>46072</v>
      </c>
      <c r="D2522" t="s">
        <v>332</v>
      </c>
      <c r="E2522" t="s">
        <v>334</v>
      </c>
      <c r="F2522" s="12">
        <v>79221</v>
      </c>
      <c r="G2522" s="13">
        <v>7</v>
      </c>
      <c r="H2522" t="s">
        <v>3306</v>
      </c>
      <c r="I2522" s="8">
        <v>46190</v>
      </c>
      <c r="J2522" t="s">
        <v>2685</v>
      </c>
      <c r="K2522" t="s">
        <v>2686</v>
      </c>
      <c r="L2522" s="13">
        <v>5000</v>
      </c>
      <c r="M2522" t="s">
        <v>2676</v>
      </c>
    </row>
    <row r="2523" spans="1:13">
      <c r="A2523" t="s">
        <v>637</v>
      </c>
      <c r="B2523" t="s">
        <v>44</v>
      </c>
      <c r="C2523" s="8">
        <v>46229</v>
      </c>
      <c r="D2523" t="s">
        <v>350</v>
      </c>
      <c r="E2523" t="s">
        <v>334</v>
      </c>
      <c r="F2523" s="12">
        <v>104327</v>
      </c>
      <c r="G2523" s="13">
        <v>10</v>
      </c>
      <c r="H2523" t="s">
        <v>3032</v>
      </c>
      <c r="I2523" s="8">
        <v>46057</v>
      </c>
      <c r="J2523" t="s">
        <v>2668</v>
      </c>
      <c r="K2523" t="s">
        <v>2669</v>
      </c>
      <c r="L2523" s="13">
        <v>4000</v>
      </c>
      <c r="M2523" t="s">
        <v>2661</v>
      </c>
    </row>
    <row r="2524" spans="1:13">
      <c r="A2524" t="s">
        <v>637</v>
      </c>
      <c r="B2524" t="s">
        <v>44</v>
      </c>
      <c r="C2524" s="8">
        <v>46229</v>
      </c>
      <c r="D2524" t="s">
        <v>350</v>
      </c>
      <c r="E2524" t="s">
        <v>334</v>
      </c>
      <c r="F2524" s="12">
        <v>104327</v>
      </c>
      <c r="G2524" s="13">
        <v>10</v>
      </c>
      <c r="H2524" t="s">
        <v>3447</v>
      </c>
      <c r="I2524" s="8">
        <v>46002</v>
      </c>
      <c r="J2524" t="s">
        <v>2663</v>
      </c>
      <c r="K2524" t="s">
        <v>3630</v>
      </c>
      <c r="L2524" s="13">
        <v>1500</v>
      </c>
      <c r="M2524" t="s">
        <v>2661</v>
      </c>
    </row>
    <row r="2525" spans="1:13">
      <c r="A2525" t="s">
        <v>637</v>
      </c>
      <c r="B2525" t="s">
        <v>44</v>
      </c>
      <c r="C2525" s="8">
        <v>46229</v>
      </c>
      <c r="D2525" t="s">
        <v>350</v>
      </c>
      <c r="E2525" t="s">
        <v>334</v>
      </c>
      <c r="F2525" s="12">
        <v>104327</v>
      </c>
      <c r="G2525" s="13">
        <v>10</v>
      </c>
      <c r="H2525" t="s">
        <v>3548</v>
      </c>
      <c r="I2525" s="8">
        <v>45955</v>
      </c>
      <c r="J2525" t="s">
        <v>2682</v>
      </c>
      <c r="K2525" t="s">
        <v>2683</v>
      </c>
      <c r="L2525" s="13">
        <v>6000</v>
      </c>
      <c r="M2525" t="s">
        <v>2661</v>
      </c>
    </row>
    <row r="2526" spans="1:13">
      <c r="A2526" t="s">
        <v>642</v>
      </c>
      <c r="B2526" t="s">
        <v>110</v>
      </c>
      <c r="C2526" s="8">
        <v>46008</v>
      </c>
      <c r="D2526" t="s">
        <v>332</v>
      </c>
      <c r="E2526" t="s">
        <v>339</v>
      </c>
      <c r="F2526" s="12">
        <v>208657</v>
      </c>
      <c r="G2526" s="13">
        <v>20</v>
      </c>
      <c r="H2526" t="s">
        <v>3413</v>
      </c>
      <c r="I2526" s="8">
        <v>46031</v>
      </c>
      <c r="J2526" t="s">
        <v>2685</v>
      </c>
      <c r="K2526" t="s">
        <v>2686</v>
      </c>
      <c r="L2526" s="13">
        <v>5000</v>
      </c>
      <c r="M2526" t="s">
        <v>2661</v>
      </c>
    </row>
    <row r="2527" spans="1:13">
      <c r="A2527" t="s">
        <v>642</v>
      </c>
      <c r="B2527" t="s">
        <v>110</v>
      </c>
      <c r="C2527" s="8">
        <v>46008</v>
      </c>
      <c r="D2527" t="s">
        <v>332</v>
      </c>
      <c r="E2527" t="s">
        <v>339</v>
      </c>
      <c r="F2527" s="12">
        <v>208657</v>
      </c>
      <c r="G2527" s="13">
        <v>20</v>
      </c>
      <c r="H2527" t="s">
        <v>3438</v>
      </c>
      <c r="I2527" s="8">
        <v>45935</v>
      </c>
      <c r="J2527" t="s">
        <v>2668</v>
      </c>
      <c r="K2527" t="s">
        <v>2669</v>
      </c>
      <c r="L2527" s="13">
        <v>4000</v>
      </c>
      <c r="M2527" t="s">
        <v>2661</v>
      </c>
    </row>
    <row r="2528" spans="1:13">
      <c r="A2528" t="s">
        <v>642</v>
      </c>
      <c r="B2528" t="s">
        <v>110</v>
      </c>
      <c r="C2528" s="8">
        <v>46008</v>
      </c>
      <c r="D2528" t="s">
        <v>332</v>
      </c>
      <c r="E2528" t="s">
        <v>339</v>
      </c>
      <c r="F2528" s="12">
        <v>208657</v>
      </c>
      <c r="G2528" s="13">
        <v>20</v>
      </c>
      <c r="H2528" t="s">
        <v>3543</v>
      </c>
      <c r="I2528" s="8">
        <v>46256</v>
      </c>
      <c r="J2528" t="s">
        <v>2663</v>
      </c>
      <c r="K2528" t="s">
        <v>3630</v>
      </c>
      <c r="L2528" s="13">
        <v>1500</v>
      </c>
      <c r="M2528" t="s">
        <v>2676</v>
      </c>
    </row>
    <row r="2529" spans="1:13">
      <c r="A2529" t="s">
        <v>650</v>
      </c>
      <c r="B2529" t="s">
        <v>110</v>
      </c>
      <c r="C2529" s="8">
        <v>46219</v>
      </c>
      <c r="D2529" t="s">
        <v>344</v>
      </c>
      <c r="E2529" t="s">
        <v>339</v>
      </c>
      <c r="F2529" s="12">
        <v>570811</v>
      </c>
      <c r="G2529" s="13">
        <v>57</v>
      </c>
      <c r="H2529" t="s">
        <v>3413</v>
      </c>
      <c r="I2529" s="8">
        <v>46031</v>
      </c>
      <c r="J2529" t="s">
        <v>2685</v>
      </c>
      <c r="K2529" t="s">
        <v>2686</v>
      </c>
      <c r="L2529" s="13">
        <v>5000</v>
      </c>
      <c r="M2529" t="s">
        <v>2661</v>
      </c>
    </row>
    <row r="2530" spans="1:13">
      <c r="A2530" t="s">
        <v>650</v>
      </c>
      <c r="B2530" t="s">
        <v>110</v>
      </c>
      <c r="C2530" s="8">
        <v>46219</v>
      </c>
      <c r="D2530" t="s">
        <v>344</v>
      </c>
      <c r="E2530" t="s">
        <v>339</v>
      </c>
      <c r="F2530" s="12">
        <v>570811</v>
      </c>
      <c r="G2530" s="13">
        <v>57</v>
      </c>
      <c r="H2530" t="s">
        <v>3438</v>
      </c>
      <c r="I2530" s="8">
        <v>45935</v>
      </c>
      <c r="J2530" t="s">
        <v>2668</v>
      </c>
      <c r="K2530" t="s">
        <v>2669</v>
      </c>
      <c r="L2530" s="13">
        <v>4000</v>
      </c>
      <c r="M2530" t="s">
        <v>2661</v>
      </c>
    </row>
    <row r="2531" spans="1:13">
      <c r="A2531" t="s">
        <v>650</v>
      </c>
      <c r="B2531" t="s">
        <v>110</v>
      </c>
      <c r="C2531" s="8">
        <v>46219</v>
      </c>
      <c r="D2531" t="s">
        <v>344</v>
      </c>
      <c r="E2531" t="s">
        <v>339</v>
      </c>
      <c r="F2531" s="12">
        <v>570811</v>
      </c>
      <c r="G2531" s="13">
        <v>57</v>
      </c>
      <c r="H2531" t="s">
        <v>3543</v>
      </c>
      <c r="I2531" s="8">
        <v>46256</v>
      </c>
      <c r="J2531" t="s">
        <v>2663</v>
      </c>
      <c r="K2531" t="s">
        <v>3630</v>
      </c>
      <c r="L2531" s="13">
        <v>1500</v>
      </c>
      <c r="M2531" t="s">
        <v>2676</v>
      </c>
    </row>
    <row r="2532" spans="1:13">
      <c r="A2532" t="s">
        <v>900</v>
      </c>
      <c r="B2532" t="s">
        <v>110</v>
      </c>
      <c r="C2532" s="8">
        <v>46282</v>
      </c>
      <c r="D2532" t="s">
        <v>321</v>
      </c>
      <c r="E2532" t="s">
        <v>328</v>
      </c>
      <c r="F2532" s="12">
        <v>328101</v>
      </c>
      <c r="G2532" s="13">
        <v>32</v>
      </c>
      <c r="H2532" t="s">
        <v>3413</v>
      </c>
      <c r="I2532" s="8">
        <v>46031</v>
      </c>
      <c r="J2532" t="s">
        <v>2685</v>
      </c>
      <c r="K2532" t="s">
        <v>2686</v>
      </c>
      <c r="L2532" s="13">
        <v>5000</v>
      </c>
      <c r="M2532" t="s">
        <v>2661</v>
      </c>
    </row>
    <row r="2533" spans="1:13">
      <c r="A2533" t="s">
        <v>900</v>
      </c>
      <c r="B2533" t="s">
        <v>110</v>
      </c>
      <c r="C2533" s="8">
        <v>46282</v>
      </c>
      <c r="D2533" t="s">
        <v>321</v>
      </c>
      <c r="E2533" t="s">
        <v>328</v>
      </c>
      <c r="F2533" s="12">
        <v>328101</v>
      </c>
      <c r="G2533" s="13">
        <v>32</v>
      </c>
      <c r="H2533" t="s">
        <v>3438</v>
      </c>
      <c r="I2533" s="8">
        <v>45935</v>
      </c>
      <c r="J2533" t="s">
        <v>2668</v>
      </c>
      <c r="K2533" t="s">
        <v>2669</v>
      </c>
      <c r="L2533" s="13">
        <v>4000</v>
      </c>
      <c r="M2533" t="s">
        <v>2661</v>
      </c>
    </row>
    <row r="2534" spans="1:13">
      <c r="A2534" t="s">
        <v>900</v>
      </c>
      <c r="B2534" t="s">
        <v>110</v>
      </c>
      <c r="C2534" s="8">
        <v>46282</v>
      </c>
      <c r="D2534" t="s">
        <v>321</v>
      </c>
      <c r="E2534" t="s">
        <v>328</v>
      </c>
      <c r="F2534" s="12">
        <v>328101</v>
      </c>
      <c r="G2534" s="13">
        <v>32</v>
      </c>
      <c r="H2534" t="s">
        <v>3543</v>
      </c>
      <c r="I2534" s="8">
        <v>46256</v>
      </c>
      <c r="J2534" t="s">
        <v>2663</v>
      </c>
      <c r="K2534" t="s">
        <v>3630</v>
      </c>
      <c r="L2534" s="13">
        <v>1500</v>
      </c>
      <c r="M2534" t="s">
        <v>2676</v>
      </c>
    </row>
    <row r="2535" spans="1:13">
      <c r="A2535" t="s">
        <v>837</v>
      </c>
      <c r="B2535" t="s">
        <v>199</v>
      </c>
      <c r="C2535" s="8">
        <v>46228</v>
      </c>
      <c r="D2535" t="s">
        <v>342</v>
      </c>
      <c r="E2535" t="s">
        <v>334</v>
      </c>
      <c r="F2535" s="12">
        <v>86786</v>
      </c>
      <c r="G2535" s="13">
        <v>8</v>
      </c>
      <c r="H2535" t="s">
        <v>2993</v>
      </c>
      <c r="I2535" s="8">
        <v>46086</v>
      </c>
      <c r="J2535" t="s">
        <v>2659</v>
      </c>
      <c r="K2535" t="s">
        <v>2660</v>
      </c>
      <c r="L2535" s="13">
        <v>3500</v>
      </c>
      <c r="M2535" t="s">
        <v>2661</v>
      </c>
    </row>
    <row r="2536" spans="1:13">
      <c r="A2536" t="s">
        <v>837</v>
      </c>
      <c r="B2536" t="s">
        <v>199</v>
      </c>
      <c r="C2536" s="8">
        <v>46228</v>
      </c>
      <c r="D2536" t="s">
        <v>342</v>
      </c>
      <c r="E2536" t="s">
        <v>334</v>
      </c>
      <c r="F2536" s="12">
        <v>86786</v>
      </c>
      <c r="G2536" s="13">
        <v>8</v>
      </c>
      <c r="H2536" t="s">
        <v>3004</v>
      </c>
      <c r="I2536" s="8">
        <v>45974</v>
      </c>
      <c r="J2536" t="s">
        <v>2688</v>
      </c>
      <c r="K2536" t="s">
        <v>2689</v>
      </c>
      <c r="L2536" s="13">
        <v>8000</v>
      </c>
      <c r="M2536" t="s">
        <v>2661</v>
      </c>
    </row>
    <row r="2537" spans="1:13">
      <c r="A2537" t="s">
        <v>837</v>
      </c>
      <c r="B2537" t="s">
        <v>199</v>
      </c>
      <c r="C2537" s="8">
        <v>46228</v>
      </c>
      <c r="D2537" t="s">
        <v>342</v>
      </c>
      <c r="E2537" t="s">
        <v>334</v>
      </c>
      <c r="F2537" s="12">
        <v>86786</v>
      </c>
      <c r="G2537" s="13">
        <v>8</v>
      </c>
      <c r="H2537" t="s">
        <v>3399</v>
      </c>
      <c r="I2537" s="8">
        <v>46093</v>
      </c>
      <c r="J2537" t="s">
        <v>2659</v>
      </c>
      <c r="K2537" t="s">
        <v>2660</v>
      </c>
      <c r="L2537" s="13">
        <v>3500</v>
      </c>
      <c r="M2537" t="s">
        <v>2661</v>
      </c>
    </row>
    <row r="2538" spans="1:13">
      <c r="A2538" t="s">
        <v>837</v>
      </c>
      <c r="B2538" t="s">
        <v>199</v>
      </c>
      <c r="C2538" s="8">
        <v>46228</v>
      </c>
      <c r="D2538" t="s">
        <v>342</v>
      </c>
      <c r="E2538" t="s">
        <v>334</v>
      </c>
      <c r="F2538" s="12">
        <v>86786</v>
      </c>
      <c r="G2538" s="13">
        <v>8</v>
      </c>
      <c r="H2538" t="s">
        <v>3496</v>
      </c>
      <c r="I2538" s="8">
        <v>46020</v>
      </c>
      <c r="J2538" t="s">
        <v>2674</v>
      </c>
      <c r="K2538" t="s">
        <v>2675</v>
      </c>
      <c r="L2538" s="13">
        <v>20000</v>
      </c>
      <c r="M2538" t="s">
        <v>2661</v>
      </c>
    </row>
    <row r="2539" spans="1:13">
      <c r="A2539" t="s">
        <v>963</v>
      </c>
      <c r="B2539" t="s">
        <v>199</v>
      </c>
      <c r="C2539" s="8">
        <v>46023</v>
      </c>
      <c r="D2539" t="s">
        <v>350</v>
      </c>
      <c r="E2539" t="s">
        <v>339</v>
      </c>
      <c r="F2539" s="12">
        <v>124351</v>
      </c>
      <c r="G2539" s="13">
        <v>12</v>
      </c>
      <c r="H2539" t="s">
        <v>2993</v>
      </c>
      <c r="I2539" s="8">
        <v>46086</v>
      </c>
      <c r="J2539" t="s">
        <v>2659</v>
      </c>
      <c r="K2539" t="s">
        <v>2660</v>
      </c>
      <c r="L2539" s="13">
        <v>3500</v>
      </c>
      <c r="M2539" t="s">
        <v>2661</v>
      </c>
    </row>
    <row r="2540" spans="1:13">
      <c r="A2540" t="s">
        <v>963</v>
      </c>
      <c r="B2540" t="s">
        <v>199</v>
      </c>
      <c r="C2540" s="8">
        <v>46023</v>
      </c>
      <c r="D2540" t="s">
        <v>350</v>
      </c>
      <c r="E2540" t="s">
        <v>339</v>
      </c>
      <c r="F2540" s="12">
        <v>124351</v>
      </c>
      <c r="G2540" s="13">
        <v>12</v>
      </c>
      <c r="H2540" t="s">
        <v>3004</v>
      </c>
      <c r="I2540" s="8">
        <v>45974</v>
      </c>
      <c r="J2540" t="s">
        <v>2688</v>
      </c>
      <c r="K2540" t="s">
        <v>2689</v>
      </c>
      <c r="L2540" s="13">
        <v>8000</v>
      </c>
      <c r="M2540" t="s">
        <v>2661</v>
      </c>
    </row>
    <row r="2541" spans="1:13">
      <c r="A2541" t="s">
        <v>963</v>
      </c>
      <c r="B2541" t="s">
        <v>199</v>
      </c>
      <c r="C2541" s="8">
        <v>46023</v>
      </c>
      <c r="D2541" t="s">
        <v>350</v>
      </c>
      <c r="E2541" t="s">
        <v>339</v>
      </c>
      <c r="F2541" s="12">
        <v>124351</v>
      </c>
      <c r="G2541" s="13">
        <v>12</v>
      </c>
      <c r="H2541" t="s">
        <v>3399</v>
      </c>
      <c r="I2541" s="8">
        <v>46093</v>
      </c>
      <c r="J2541" t="s">
        <v>2659</v>
      </c>
      <c r="K2541" t="s">
        <v>2660</v>
      </c>
      <c r="L2541" s="13">
        <v>3500</v>
      </c>
      <c r="M2541" t="s">
        <v>2661</v>
      </c>
    </row>
    <row r="2542" spans="1:13">
      <c r="A2542" t="s">
        <v>963</v>
      </c>
      <c r="B2542" t="s">
        <v>199</v>
      </c>
      <c r="C2542" s="8">
        <v>46023</v>
      </c>
      <c r="D2542" t="s">
        <v>350</v>
      </c>
      <c r="E2542" t="s">
        <v>339</v>
      </c>
      <c r="F2542" s="12">
        <v>124351</v>
      </c>
      <c r="G2542" s="13">
        <v>12</v>
      </c>
      <c r="H2542" t="s">
        <v>3496</v>
      </c>
      <c r="I2542" s="8">
        <v>46020</v>
      </c>
      <c r="J2542" t="s">
        <v>2674</v>
      </c>
      <c r="K2542" t="s">
        <v>2675</v>
      </c>
      <c r="L2542" s="13">
        <v>20000</v>
      </c>
      <c r="M2542" t="s">
        <v>2661</v>
      </c>
    </row>
    <row r="2543" spans="1:13">
      <c r="A2543" t="s">
        <v>972</v>
      </c>
      <c r="B2543" t="s">
        <v>199</v>
      </c>
      <c r="C2543" s="8">
        <v>46283</v>
      </c>
      <c r="D2543" t="s">
        <v>344</v>
      </c>
      <c r="E2543" t="s">
        <v>322</v>
      </c>
      <c r="F2543" s="12">
        <v>374407</v>
      </c>
      <c r="G2543" s="13">
        <v>37</v>
      </c>
      <c r="H2543" t="s">
        <v>2993</v>
      </c>
      <c r="I2543" s="8">
        <v>46086</v>
      </c>
      <c r="J2543" t="s">
        <v>2659</v>
      </c>
      <c r="K2543" t="s">
        <v>2660</v>
      </c>
      <c r="L2543" s="13">
        <v>3500</v>
      </c>
      <c r="M2543" t="s">
        <v>2661</v>
      </c>
    </row>
    <row r="2544" spans="1:13">
      <c r="A2544" t="s">
        <v>972</v>
      </c>
      <c r="B2544" t="s">
        <v>199</v>
      </c>
      <c r="C2544" s="8">
        <v>46283</v>
      </c>
      <c r="D2544" t="s">
        <v>344</v>
      </c>
      <c r="E2544" t="s">
        <v>322</v>
      </c>
      <c r="F2544" s="12">
        <v>374407</v>
      </c>
      <c r="G2544" s="13">
        <v>37</v>
      </c>
      <c r="H2544" t="s">
        <v>3004</v>
      </c>
      <c r="I2544" s="8">
        <v>45974</v>
      </c>
      <c r="J2544" t="s">
        <v>2688</v>
      </c>
      <c r="K2544" t="s">
        <v>2689</v>
      </c>
      <c r="L2544" s="13">
        <v>8000</v>
      </c>
      <c r="M2544" t="s">
        <v>2661</v>
      </c>
    </row>
    <row r="2545" spans="1:13">
      <c r="A2545" t="s">
        <v>972</v>
      </c>
      <c r="B2545" t="s">
        <v>199</v>
      </c>
      <c r="C2545" s="8">
        <v>46283</v>
      </c>
      <c r="D2545" t="s">
        <v>344</v>
      </c>
      <c r="E2545" t="s">
        <v>322</v>
      </c>
      <c r="F2545" s="12">
        <v>374407</v>
      </c>
      <c r="G2545" s="13">
        <v>37</v>
      </c>
      <c r="H2545" t="s">
        <v>3399</v>
      </c>
      <c r="I2545" s="8">
        <v>46093</v>
      </c>
      <c r="J2545" t="s">
        <v>2659</v>
      </c>
      <c r="K2545" t="s">
        <v>2660</v>
      </c>
      <c r="L2545" s="13">
        <v>3500</v>
      </c>
      <c r="M2545" t="s">
        <v>2661</v>
      </c>
    </row>
    <row r="2546" spans="1:13">
      <c r="A2546" t="s">
        <v>972</v>
      </c>
      <c r="B2546" t="s">
        <v>199</v>
      </c>
      <c r="C2546" s="8">
        <v>46283</v>
      </c>
      <c r="D2546" t="s">
        <v>344</v>
      </c>
      <c r="E2546" t="s">
        <v>322</v>
      </c>
      <c r="F2546" s="12">
        <v>374407</v>
      </c>
      <c r="G2546" s="13">
        <v>37</v>
      </c>
      <c r="H2546" t="s">
        <v>3496</v>
      </c>
      <c r="I2546" s="8">
        <v>46020</v>
      </c>
      <c r="J2546" t="s">
        <v>2674</v>
      </c>
      <c r="K2546" t="s">
        <v>2675</v>
      </c>
      <c r="L2546" s="13">
        <v>20000</v>
      </c>
      <c r="M2546" t="s">
        <v>2661</v>
      </c>
    </row>
    <row r="2547" spans="1:13">
      <c r="A2547" t="s">
        <v>732</v>
      </c>
      <c r="B2547" t="s">
        <v>71</v>
      </c>
      <c r="C2547" s="8">
        <v>45950</v>
      </c>
      <c r="D2547" t="s">
        <v>350</v>
      </c>
      <c r="E2547" t="s">
        <v>325</v>
      </c>
      <c r="F2547" s="12">
        <v>341771</v>
      </c>
      <c r="G2547" s="13">
        <v>34</v>
      </c>
      <c r="H2547" t="s">
        <v>3016</v>
      </c>
      <c r="I2547" s="8">
        <v>46086</v>
      </c>
      <c r="J2547" t="s">
        <v>2659</v>
      </c>
      <c r="K2547" t="s">
        <v>2660</v>
      </c>
      <c r="L2547" s="13">
        <v>3500</v>
      </c>
      <c r="M2547" t="s">
        <v>2661</v>
      </c>
    </row>
    <row r="2548" spans="1:13">
      <c r="A2548" t="s">
        <v>732</v>
      </c>
      <c r="B2548" t="s">
        <v>71</v>
      </c>
      <c r="C2548" s="8">
        <v>45950</v>
      </c>
      <c r="D2548" t="s">
        <v>350</v>
      </c>
      <c r="E2548" t="s">
        <v>325</v>
      </c>
      <c r="F2548" s="12">
        <v>341771</v>
      </c>
      <c r="G2548" s="13">
        <v>34</v>
      </c>
      <c r="H2548" t="s">
        <v>3292</v>
      </c>
      <c r="I2548" s="8">
        <v>46001</v>
      </c>
      <c r="J2548" t="s">
        <v>2663</v>
      </c>
      <c r="K2548" t="s">
        <v>3630</v>
      </c>
      <c r="L2548" s="13">
        <v>1500</v>
      </c>
      <c r="M2548" t="s">
        <v>2661</v>
      </c>
    </row>
    <row r="2549" spans="1:13">
      <c r="A2549" t="s">
        <v>732</v>
      </c>
      <c r="B2549" t="s">
        <v>71</v>
      </c>
      <c r="C2549" s="8">
        <v>45950</v>
      </c>
      <c r="D2549" t="s">
        <v>350</v>
      </c>
      <c r="E2549" t="s">
        <v>325</v>
      </c>
      <c r="F2549" s="12">
        <v>341771</v>
      </c>
      <c r="G2549" s="13">
        <v>34</v>
      </c>
      <c r="H2549" t="s">
        <v>3359</v>
      </c>
      <c r="I2549" s="8">
        <v>45954</v>
      </c>
      <c r="J2549" t="s">
        <v>2692</v>
      </c>
      <c r="K2549" t="s">
        <v>2693</v>
      </c>
      <c r="L2549" s="13">
        <v>10000</v>
      </c>
      <c r="M2549" t="s">
        <v>2676</v>
      </c>
    </row>
    <row r="2550" spans="1:13">
      <c r="A2550" t="s">
        <v>1163</v>
      </c>
      <c r="B2550" t="s">
        <v>155</v>
      </c>
      <c r="C2550" s="8">
        <v>46267</v>
      </c>
      <c r="D2550" t="s">
        <v>327</v>
      </c>
      <c r="E2550" t="s">
        <v>337</v>
      </c>
      <c r="F2550" s="12">
        <v>247666</v>
      </c>
      <c r="G2550" s="13">
        <v>24</v>
      </c>
      <c r="H2550" t="s">
        <v>3027</v>
      </c>
      <c r="I2550" s="8">
        <v>46235</v>
      </c>
      <c r="J2550" t="s">
        <v>2663</v>
      </c>
      <c r="K2550" t="s">
        <v>3630</v>
      </c>
      <c r="L2550" s="13">
        <v>1500</v>
      </c>
      <c r="M2550" t="s">
        <v>2661</v>
      </c>
    </row>
    <row r="2551" spans="1:13">
      <c r="A2551" t="s">
        <v>1163</v>
      </c>
      <c r="B2551" t="s">
        <v>155</v>
      </c>
      <c r="C2551" s="8">
        <v>46267</v>
      </c>
      <c r="D2551" t="s">
        <v>327</v>
      </c>
      <c r="E2551" t="s">
        <v>337</v>
      </c>
      <c r="F2551" s="12">
        <v>247666</v>
      </c>
      <c r="G2551" s="13">
        <v>24</v>
      </c>
      <c r="H2551" t="s">
        <v>3147</v>
      </c>
      <c r="I2551" s="8">
        <v>46057</v>
      </c>
      <c r="J2551" t="s">
        <v>2685</v>
      </c>
      <c r="K2551" t="s">
        <v>2686</v>
      </c>
      <c r="L2551" s="13">
        <v>5000</v>
      </c>
      <c r="M2551" t="s">
        <v>2676</v>
      </c>
    </row>
    <row r="2552" spans="1:13">
      <c r="A2552" t="s">
        <v>1163</v>
      </c>
      <c r="B2552" t="s">
        <v>155</v>
      </c>
      <c r="C2552" s="8">
        <v>46267</v>
      </c>
      <c r="D2552" t="s">
        <v>327</v>
      </c>
      <c r="E2552" t="s">
        <v>337</v>
      </c>
      <c r="F2552" s="12">
        <v>247666</v>
      </c>
      <c r="G2552" s="13">
        <v>24</v>
      </c>
      <c r="H2552" t="s">
        <v>3234</v>
      </c>
      <c r="I2552" s="8">
        <v>46116</v>
      </c>
      <c r="J2552" t="s">
        <v>2659</v>
      </c>
      <c r="K2552" t="s">
        <v>2660</v>
      </c>
      <c r="L2552" s="13">
        <v>3500</v>
      </c>
      <c r="M2552" t="s">
        <v>2676</v>
      </c>
    </row>
    <row r="2553" spans="1:13">
      <c r="A2553" t="s">
        <v>1163</v>
      </c>
      <c r="B2553" t="s">
        <v>155</v>
      </c>
      <c r="C2553" s="8">
        <v>46267</v>
      </c>
      <c r="D2553" t="s">
        <v>327</v>
      </c>
      <c r="E2553" t="s">
        <v>337</v>
      </c>
      <c r="F2553" s="12">
        <v>247666</v>
      </c>
      <c r="G2553" s="13">
        <v>24</v>
      </c>
      <c r="H2553" t="s">
        <v>3373</v>
      </c>
      <c r="I2553" s="8">
        <v>46196</v>
      </c>
      <c r="J2553" t="s">
        <v>2671</v>
      </c>
      <c r="K2553" t="s">
        <v>2672</v>
      </c>
      <c r="L2553" s="13">
        <v>3000</v>
      </c>
      <c r="M2553" t="s">
        <v>2661</v>
      </c>
    </row>
    <row r="2554" spans="1:13">
      <c r="A2554" t="s">
        <v>998</v>
      </c>
      <c r="B2554" t="s">
        <v>21</v>
      </c>
      <c r="C2554" s="8">
        <v>46163</v>
      </c>
      <c r="D2554" t="s">
        <v>342</v>
      </c>
      <c r="E2554" t="s">
        <v>337</v>
      </c>
      <c r="F2554" s="12">
        <v>555011</v>
      </c>
      <c r="G2554" s="13">
        <v>55</v>
      </c>
      <c r="H2554" t="s">
        <v>3036</v>
      </c>
      <c r="I2554" s="8">
        <v>45981</v>
      </c>
      <c r="J2554" t="s">
        <v>2692</v>
      </c>
      <c r="K2554" t="s">
        <v>2693</v>
      </c>
      <c r="L2554" s="13">
        <v>10000</v>
      </c>
      <c r="M2554" t="s">
        <v>2661</v>
      </c>
    </row>
    <row r="2555" spans="1:13">
      <c r="A2555" t="s">
        <v>998</v>
      </c>
      <c r="B2555" t="s">
        <v>21</v>
      </c>
      <c r="C2555" s="8">
        <v>46163</v>
      </c>
      <c r="D2555" t="s">
        <v>342</v>
      </c>
      <c r="E2555" t="s">
        <v>337</v>
      </c>
      <c r="F2555" s="12">
        <v>555011</v>
      </c>
      <c r="G2555" s="13">
        <v>55</v>
      </c>
      <c r="H2555" t="s">
        <v>3186</v>
      </c>
      <c r="I2555" s="8">
        <v>45933</v>
      </c>
      <c r="J2555" t="s">
        <v>2668</v>
      </c>
      <c r="K2555" t="s">
        <v>2669</v>
      </c>
      <c r="L2555" s="13">
        <v>4000</v>
      </c>
      <c r="M2555" t="s">
        <v>2661</v>
      </c>
    </row>
    <row r="2556" spans="1:13">
      <c r="A2556" t="s">
        <v>998</v>
      </c>
      <c r="B2556" t="s">
        <v>21</v>
      </c>
      <c r="C2556" s="8">
        <v>46163</v>
      </c>
      <c r="D2556" t="s">
        <v>342</v>
      </c>
      <c r="E2556" t="s">
        <v>337</v>
      </c>
      <c r="F2556" s="12">
        <v>555011</v>
      </c>
      <c r="G2556" s="13">
        <v>55</v>
      </c>
      <c r="H2556" t="s">
        <v>3468</v>
      </c>
      <c r="I2556" s="8">
        <v>45966</v>
      </c>
      <c r="J2556" t="s">
        <v>2659</v>
      </c>
      <c r="K2556" t="s">
        <v>2660</v>
      </c>
      <c r="L2556" s="13">
        <v>3500</v>
      </c>
      <c r="M2556" t="s">
        <v>2661</v>
      </c>
    </row>
    <row r="2557" spans="1:13">
      <c r="A2557" t="s">
        <v>874</v>
      </c>
      <c r="B2557" t="s">
        <v>250</v>
      </c>
      <c r="C2557" s="8">
        <v>46089</v>
      </c>
      <c r="D2557" t="s">
        <v>321</v>
      </c>
      <c r="E2557" t="s">
        <v>325</v>
      </c>
      <c r="F2557" s="12">
        <v>626029</v>
      </c>
      <c r="G2557" s="13">
        <v>62</v>
      </c>
      <c r="H2557" t="s">
        <v>3038</v>
      </c>
      <c r="I2557" s="8">
        <v>45972</v>
      </c>
      <c r="J2557" t="s">
        <v>2688</v>
      </c>
      <c r="K2557" t="s">
        <v>2689</v>
      </c>
      <c r="L2557" s="13">
        <v>8000</v>
      </c>
      <c r="M2557" t="s">
        <v>2661</v>
      </c>
    </row>
    <row r="2558" spans="1:13">
      <c r="A2558" t="s">
        <v>874</v>
      </c>
      <c r="B2558" t="s">
        <v>250</v>
      </c>
      <c r="C2558" s="8">
        <v>46089</v>
      </c>
      <c r="D2558" t="s">
        <v>321</v>
      </c>
      <c r="E2558" t="s">
        <v>325</v>
      </c>
      <c r="F2558" s="12">
        <v>626029</v>
      </c>
      <c r="G2558" s="13">
        <v>62</v>
      </c>
      <c r="H2558" t="s">
        <v>3199</v>
      </c>
      <c r="I2558" s="8">
        <v>45994</v>
      </c>
      <c r="J2558" t="s">
        <v>2685</v>
      </c>
      <c r="K2558" t="s">
        <v>2686</v>
      </c>
      <c r="L2558" s="13">
        <v>5000</v>
      </c>
      <c r="M2558" t="s">
        <v>2661</v>
      </c>
    </row>
    <row r="2559" spans="1:13">
      <c r="A2559" t="s">
        <v>874</v>
      </c>
      <c r="B2559" t="s">
        <v>250</v>
      </c>
      <c r="C2559" s="8">
        <v>46089</v>
      </c>
      <c r="D2559" t="s">
        <v>321</v>
      </c>
      <c r="E2559" t="s">
        <v>325</v>
      </c>
      <c r="F2559" s="12">
        <v>626029</v>
      </c>
      <c r="G2559" s="13">
        <v>62</v>
      </c>
      <c r="H2559" t="s">
        <v>3255</v>
      </c>
      <c r="I2559" s="8">
        <v>46197</v>
      </c>
      <c r="J2559" t="s">
        <v>2671</v>
      </c>
      <c r="K2559" t="s">
        <v>2672</v>
      </c>
      <c r="L2559" s="13">
        <v>3000</v>
      </c>
      <c r="M2559" t="s">
        <v>2661</v>
      </c>
    </row>
    <row r="2560" spans="1:13">
      <c r="A2560" t="s">
        <v>874</v>
      </c>
      <c r="B2560" t="s">
        <v>250</v>
      </c>
      <c r="C2560" s="8">
        <v>46089</v>
      </c>
      <c r="D2560" t="s">
        <v>321</v>
      </c>
      <c r="E2560" t="s">
        <v>325</v>
      </c>
      <c r="F2560" s="12">
        <v>626029</v>
      </c>
      <c r="G2560" s="13">
        <v>62</v>
      </c>
      <c r="H2560" t="s">
        <v>3333</v>
      </c>
      <c r="I2560" s="8">
        <v>46156</v>
      </c>
      <c r="J2560" t="s">
        <v>2668</v>
      </c>
      <c r="K2560" t="s">
        <v>2669</v>
      </c>
      <c r="L2560" s="13">
        <v>4000</v>
      </c>
      <c r="M2560" t="s">
        <v>2661</v>
      </c>
    </row>
    <row r="2561" spans="1:13">
      <c r="A2561" t="s">
        <v>1147</v>
      </c>
      <c r="B2561" t="s">
        <v>250</v>
      </c>
      <c r="C2561" s="8">
        <v>46131</v>
      </c>
      <c r="D2561" t="s">
        <v>350</v>
      </c>
      <c r="E2561" t="s">
        <v>337</v>
      </c>
      <c r="F2561" s="12">
        <v>678814</v>
      </c>
      <c r="G2561" s="13">
        <v>67</v>
      </c>
      <c r="H2561" t="s">
        <v>3038</v>
      </c>
      <c r="I2561" s="8">
        <v>45972</v>
      </c>
      <c r="J2561" t="s">
        <v>2688</v>
      </c>
      <c r="K2561" t="s">
        <v>2689</v>
      </c>
      <c r="L2561" s="13">
        <v>8000</v>
      </c>
      <c r="M2561" t="s">
        <v>2661</v>
      </c>
    </row>
    <row r="2562" spans="1:13">
      <c r="A2562" t="s">
        <v>1147</v>
      </c>
      <c r="B2562" t="s">
        <v>250</v>
      </c>
      <c r="C2562" s="8">
        <v>46131</v>
      </c>
      <c r="D2562" t="s">
        <v>350</v>
      </c>
      <c r="E2562" t="s">
        <v>337</v>
      </c>
      <c r="F2562" s="12">
        <v>678814</v>
      </c>
      <c r="G2562" s="13">
        <v>67</v>
      </c>
      <c r="H2562" t="s">
        <v>3199</v>
      </c>
      <c r="I2562" s="8">
        <v>45994</v>
      </c>
      <c r="J2562" t="s">
        <v>2685</v>
      </c>
      <c r="K2562" t="s">
        <v>2686</v>
      </c>
      <c r="L2562" s="13">
        <v>5000</v>
      </c>
      <c r="M2562" t="s">
        <v>2661</v>
      </c>
    </row>
    <row r="2563" spans="1:13">
      <c r="A2563" t="s">
        <v>1147</v>
      </c>
      <c r="B2563" t="s">
        <v>250</v>
      </c>
      <c r="C2563" s="8">
        <v>46131</v>
      </c>
      <c r="D2563" t="s">
        <v>350</v>
      </c>
      <c r="E2563" t="s">
        <v>337</v>
      </c>
      <c r="F2563" s="12">
        <v>678814</v>
      </c>
      <c r="G2563" s="13">
        <v>67</v>
      </c>
      <c r="H2563" t="s">
        <v>3255</v>
      </c>
      <c r="I2563" s="8">
        <v>46197</v>
      </c>
      <c r="J2563" t="s">
        <v>2671</v>
      </c>
      <c r="K2563" t="s">
        <v>2672</v>
      </c>
      <c r="L2563" s="13">
        <v>3000</v>
      </c>
      <c r="M2563" t="s">
        <v>2661</v>
      </c>
    </row>
    <row r="2564" spans="1:13">
      <c r="A2564" t="s">
        <v>1147</v>
      </c>
      <c r="B2564" t="s">
        <v>250</v>
      </c>
      <c r="C2564" s="8">
        <v>46131</v>
      </c>
      <c r="D2564" t="s">
        <v>350</v>
      </c>
      <c r="E2564" t="s">
        <v>337</v>
      </c>
      <c r="F2564" s="12">
        <v>678814</v>
      </c>
      <c r="G2564" s="13">
        <v>67</v>
      </c>
      <c r="H2564" t="s">
        <v>3333</v>
      </c>
      <c r="I2564" s="8">
        <v>46156</v>
      </c>
      <c r="J2564" t="s">
        <v>2668</v>
      </c>
      <c r="K2564" t="s">
        <v>2669</v>
      </c>
      <c r="L2564" s="13">
        <v>4000</v>
      </c>
      <c r="M2564" t="s">
        <v>2661</v>
      </c>
    </row>
    <row r="2565" spans="1:13">
      <c r="A2565" t="s">
        <v>1157</v>
      </c>
      <c r="B2565" t="s">
        <v>250</v>
      </c>
      <c r="C2565" s="8">
        <v>46271</v>
      </c>
      <c r="D2565" t="s">
        <v>327</v>
      </c>
      <c r="E2565" t="s">
        <v>334</v>
      </c>
      <c r="F2565" s="12">
        <v>402134</v>
      </c>
      <c r="G2565" s="13">
        <v>40</v>
      </c>
      <c r="H2565" t="s">
        <v>3038</v>
      </c>
      <c r="I2565" s="8">
        <v>45972</v>
      </c>
      <c r="J2565" t="s">
        <v>2688</v>
      </c>
      <c r="K2565" t="s">
        <v>2689</v>
      </c>
      <c r="L2565" s="13">
        <v>8000</v>
      </c>
      <c r="M2565" t="s">
        <v>2661</v>
      </c>
    </row>
    <row r="2566" spans="1:13">
      <c r="A2566" t="s">
        <v>1157</v>
      </c>
      <c r="B2566" t="s">
        <v>250</v>
      </c>
      <c r="C2566" s="8">
        <v>46271</v>
      </c>
      <c r="D2566" t="s">
        <v>327</v>
      </c>
      <c r="E2566" t="s">
        <v>334</v>
      </c>
      <c r="F2566" s="12">
        <v>402134</v>
      </c>
      <c r="G2566" s="13">
        <v>40</v>
      </c>
      <c r="H2566" t="s">
        <v>3199</v>
      </c>
      <c r="I2566" s="8">
        <v>45994</v>
      </c>
      <c r="J2566" t="s">
        <v>2685</v>
      </c>
      <c r="K2566" t="s">
        <v>2686</v>
      </c>
      <c r="L2566" s="13">
        <v>5000</v>
      </c>
      <c r="M2566" t="s">
        <v>2661</v>
      </c>
    </row>
    <row r="2567" spans="1:13">
      <c r="A2567" t="s">
        <v>1157</v>
      </c>
      <c r="B2567" t="s">
        <v>250</v>
      </c>
      <c r="C2567" s="8">
        <v>46271</v>
      </c>
      <c r="D2567" t="s">
        <v>327</v>
      </c>
      <c r="E2567" t="s">
        <v>334</v>
      </c>
      <c r="F2567" s="12">
        <v>402134</v>
      </c>
      <c r="G2567" s="13">
        <v>40</v>
      </c>
      <c r="H2567" t="s">
        <v>3255</v>
      </c>
      <c r="I2567" s="8">
        <v>46197</v>
      </c>
      <c r="J2567" t="s">
        <v>2671</v>
      </c>
      <c r="K2567" t="s">
        <v>2672</v>
      </c>
      <c r="L2567" s="13">
        <v>3000</v>
      </c>
      <c r="M2567" t="s">
        <v>2661</v>
      </c>
    </row>
    <row r="2568" spans="1:13">
      <c r="A2568" t="s">
        <v>1157</v>
      </c>
      <c r="B2568" t="s">
        <v>250</v>
      </c>
      <c r="C2568" s="8">
        <v>46271</v>
      </c>
      <c r="D2568" t="s">
        <v>327</v>
      </c>
      <c r="E2568" t="s">
        <v>334</v>
      </c>
      <c r="F2568" s="12">
        <v>402134</v>
      </c>
      <c r="G2568" s="13">
        <v>40</v>
      </c>
      <c r="H2568" t="s">
        <v>3333</v>
      </c>
      <c r="I2568" s="8">
        <v>46156</v>
      </c>
      <c r="J2568" t="s">
        <v>2668</v>
      </c>
      <c r="K2568" t="s">
        <v>2669</v>
      </c>
      <c r="L2568" s="13">
        <v>4000</v>
      </c>
      <c r="M2568" t="s">
        <v>2661</v>
      </c>
    </row>
    <row r="2569" spans="1:13">
      <c r="A2569" t="s">
        <v>700</v>
      </c>
      <c r="B2569" t="s">
        <v>247</v>
      </c>
      <c r="C2569" s="8">
        <v>45989</v>
      </c>
      <c r="D2569" t="s">
        <v>344</v>
      </c>
      <c r="E2569" t="s">
        <v>339</v>
      </c>
      <c r="F2569" s="12">
        <v>168442</v>
      </c>
      <c r="G2569" s="13">
        <v>16</v>
      </c>
      <c r="H2569" t="s">
        <v>3106</v>
      </c>
      <c r="I2569" s="8">
        <v>46071</v>
      </c>
      <c r="J2569" t="s">
        <v>2668</v>
      </c>
      <c r="K2569" t="s">
        <v>2669</v>
      </c>
      <c r="L2569" s="13">
        <v>4000</v>
      </c>
      <c r="M2569" t="s">
        <v>2661</v>
      </c>
    </row>
    <row r="2570" spans="1:13">
      <c r="A2570" t="s">
        <v>901</v>
      </c>
      <c r="B2570" t="s">
        <v>247</v>
      </c>
      <c r="C2570" s="8">
        <v>46029</v>
      </c>
      <c r="D2570" t="s">
        <v>324</v>
      </c>
      <c r="E2570" t="s">
        <v>334</v>
      </c>
      <c r="F2570" s="12">
        <v>278307</v>
      </c>
      <c r="G2570" s="13">
        <v>27</v>
      </c>
      <c r="H2570" t="s">
        <v>3106</v>
      </c>
      <c r="I2570" s="8">
        <v>46071</v>
      </c>
      <c r="J2570" t="s">
        <v>2668</v>
      </c>
      <c r="K2570" t="s">
        <v>2669</v>
      </c>
      <c r="L2570" s="13">
        <v>4000</v>
      </c>
      <c r="M2570" t="s">
        <v>2661</v>
      </c>
    </row>
    <row r="2571" spans="1:13">
      <c r="A2571" t="s">
        <v>976</v>
      </c>
      <c r="B2571" t="s">
        <v>247</v>
      </c>
      <c r="C2571" s="8">
        <v>46217</v>
      </c>
      <c r="D2571" t="s">
        <v>342</v>
      </c>
      <c r="E2571" t="s">
        <v>328</v>
      </c>
      <c r="F2571" s="12">
        <v>77203</v>
      </c>
      <c r="G2571" s="13">
        <v>7</v>
      </c>
      <c r="H2571" t="s">
        <v>3106</v>
      </c>
      <c r="I2571" s="8">
        <v>46071</v>
      </c>
      <c r="J2571" t="s">
        <v>2668</v>
      </c>
      <c r="K2571" t="s">
        <v>2669</v>
      </c>
      <c r="L2571" s="13">
        <v>4000</v>
      </c>
      <c r="M2571" t="s">
        <v>2661</v>
      </c>
    </row>
    <row r="2572" spans="1:13">
      <c r="A2572" t="s">
        <v>709</v>
      </c>
      <c r="B2572" t="s">
        <v>12</v>
      </c>
      <c r="C2572" s="8">
        <v>46185</v>
      </c>
      <c r="D2572" t="s">
        <v>324</v>
      </c>
      <c r="E2572" t="s">
        <v>328</v>
      </c>
      <c r="F2572" s="12">
        <v>113392</v>
      </c>
      <c r="G2572" s="13">
        <v>11</v>
      </c>
      <c r="H2572" t="s">
        <v>3271</v>
      </c>
      <c r="I2572" s="8">
        <v>46136</v>
      </c>
      <c r="J2572" t="s">
        <v>2685</v>
      </c>
      <c r="K2572" t="s">
        <v>2686</v>
      </c>
      <c r="L2572" s="13">
        <v>5000</v>
      </c>
      <c r="M2572" t="s">
        <v>2661</v>
      </c>
    </row>
    <row r="2573" spans="1:13">
      <c r="A2573" t="s">
        <v>709</v>
      </c>
      <c r="B2573" t="s">
        <v>12</v>
      </c>
      <c r="C2573" s="8">
        <v>46185</v>
      </c>
      <c r="D2573" t="s">
        <v>324</v>
      </c>
      <c r="E2573" t="s">
        <v>328</v>
      </c>
      <c r="F2573" s="12">
        <v>113392</v>
      </c>
      <c r="G2573" s="13">
        <v>11</v>
      </c>
      <c r="H2573" t="s">
        <v>3392</v>
      </c>
      <c r="I2573" s="8">
        <v>46048</v>
      </c>
      <c r="J2573" t="s">
        <v>2688</v>
      </c>
      <c r="K2573" t="s">
        <v>2689</v>
      </c>
      <c r="L2573" s="13">
        <v>8000</v>
      </c>
      <c r="M2573" t="s">
        <v>2676</v>
      </c>
    </row>
    <row r="2574" spans="1:13">
      <c r="A2574" t="s">
        <v>709</v>
      </c>
      <c r="B2574" t="s">
        <v>12</v>
      </c>
      <c r="C2574" s="8">
        <v>46185</v>
      </c>
      <c r="D2574" t="s">
        <v>324</v>
      </c>
      <c r="E2574" t="s">
        <v>328</v>
      </c>
      <c r="F2574" s="12">
        <v>113392</v>
      </c>
      <c r="G2574" s="13">
        <v>11</v>
      </c>
      <c r="H2574" t="s">
        <v>3555</v>
      </c>
      <c r="I2574" s="8">
        <v>46279</v>
      </c>
      <c r="J2574" t="s">
        <v>2671</v>
      </c>
      <c r="K2574" t="s">
        <v>2672</v>
      </c>
      <c r="L2574" s="13">
        <v>3000</v>
      </c>
      <c r="M2574" t="s">
        <v>2661</v>
      </c>
    </row>
    <row r="2575" spans="1:13">
      <c r="A2575" t="s">
        <v>1006</v>
      </c>
      <c r="B2575" t="s">
        <v>12</v>
      </c>
      <c r="C2575" s="8">
        <v>45935</v>
      </c>
      <c r="D2575" t="s">
        <v>344</v>
      </c>
      <c r="E2575" t="s">
        <v>339</v>
      </c>
      <c r="F2575" s="12">
        <v>247635</v>
      </c>
      <c r="G2575" s="13">
        <v>24</v>
      </c>
      <c r="H2575" t="s">
        <v>3271</v>
      </c>
      <c r="I2575" s="8">
        <v>46136</v>
      </c>
      <c r="J2575" t="s">
        <v>2685</v>
      </c>
      <c r="K2575" t="s">
        <v>2686</v>
      </c>
      <c r="L2575" s="13">
        <v>5000</v>
      </c>
      <c r="M2575" t="s">
        <v>2661</v>
      </c>
    </row>
    <row r="2576" spans="1:13">
      <c r="A2576" t="s">
        <v>1006</v>
      </c>
      <c r="B2576" t="s">
        <v>12</v>
      </c>
      <c r="C2576" s="8">
        <v>45935</v>
      </c>
      <c r="D2576" t="s">
        <v>344</v>
      </c>
      <c r="E2576" t="s">
        <v>339</v>
      </c>
      <c r="F2576" s="12">
        <v>247635</v>
      </c>
      <c r="G2576" s="13">
        <v>24</v>
      </c>
      <c r="H2576" t="s">
        <v>3392</v>
      </c>
      <c r="I2576" s="8">
        <v>46048</v>
      </c>
      <c r="J2576" t="s">
        <v>2688</v>
      </c>
      <c r="K2576" t="s">
        <v>2689</v>
      </c>
      <c r="L2576" s="13">
        <v>8000</v>
      </c>
      <c r="M2576" t="s">
        <v>2676</v>
      </c>
    </row>
    <row r="2577" spans="1:13">
      <c r="A2577" t="s">
        <v>1006</v>
      </c>
      <c r="B2577" t="s">
        <v>12</v>
      </c>
      <c r="C2577" s="8">
        <v>45935</v>
      </c>
      <c r="D2577" t="s">
        <v>344</v>
      </c>
      <c r="E2577" t="s">
        <v>339</v>
      </c>
      <c r="F2577" s="12">
        <v>247635</v>
      </c>
      <c r="G2577" s="13">
        <v>24</v>
      </c>
      <c r="H2577" t="s">
        <v>3555</v>
      </c>
      <c r="I2577" s="8">
        <v>46279</v>
      </c>
      <c r="J2577" t="s">
        <v>2671</v>
      </c>
      <c r="K2577" t="s">
        <v>2672</v>
      </c>
      <c r="L2577" s="13">
        <v>3000</v>
      </c>
      <c r="M2577" t="s">
        <v>2661</v>
      </c>
    </row>
    <row r="2578" spans="1:13">
      <c r="A2578" t="s">
        <v>794</v>
      </c>
      <c r="B2578" t="s">
        <v>97</v>
      </c>
      <c r="C2578" s="8">
        <v>46286</v>
      </c>
      <c r="D2578" t="s">
        <v>321</v>
      </c>
      <c r="E2578" t="s">
        <v>339</v>
      </c>
      <c r="F2578" s="12">
        <v>262694</v>
      </c>
      <c r="G2578" s="13">
        <v>26</v>
      </c>
      <c r="H2578" t="s">
        <v>3056</v>
      </c>
      <c r="I2578" s="8">
        <v>46286</v>
      </c>
      <c r="J2578" t="s">
        <v>2674</v>
      </c>
      <c r="K2578" t="s">
        <v>2675</v>
      </c>
      <c r="L2578" s="13">
        <v>20000</v>
      </c>
      <c r="M2578" t="s">
        <v>2661</v>
      </c>
    </row>
    <row r="2579" spans="1:13">
      <c r="A2579" t="s">
        <v>794</v>
      </c>
      <c r="B2579" t="s">
        <v>97</v>
      </c>
      <c r="C2579" s="8">
        <v>46286</v>
      </c>
      <c r="D2579" t="s">
        <v>321</v>
      </c>
      <c r="E2579" t="s">
        <v>339</v>
      </c>
      <c r="F2579" s="12">
        <v>262694</v>
      </c>
      <c r="G2579" s="13">
        <v>26</v>
      </c>
      <c r="H2579" t="s">
        <v>3176</v>
      </c>
      <c r="I2579" s="8">
        <v>46256</v>
      </c>
      <c r="J2579" t="s">
        <v>2692</v>
      </c>
      <c r="K2579" t="s">
        <v>2693</v>
      </c>
      <c r="L2579" s="13">
        <v>10000</v>
      </c>
      <c r="M2579" t="s">
        <v>2661</v>
      </c>
    </row>
    <row r="2580" spans="1:13">
      <c r="A2580" t="s">
        <v>794</v>
      </c>
      <c r="B2580" t="s">
        <v>97</v>
      </c>
      <c r="C2580" s="8">
        <v>46286</v>
      </c>
      <c r="D2580" t="s">
        <v>321</v>
      </c>
      <c r="E2580" t="s">
        <v>339</v>
      </c>
      <c r="F2580" s="12">
        <v>262694</v>
      </c>
      <c r="G2580" s="13">
        <v>26</v>
      </c>
      <c r="H2580" t="s">
        <v>3528</v>
      </c>
      <c r="I2580" s="8">
        <v>46172</v>
      </c>
      <c r="J2580" t="s">
        <v>2688</v>
      </c>
      <c r="K2580" t="s">
        <v>2689</v>
      </c>
      <c r="L2580" s="13">
        <v>8000</v>
      </c>
      <c r="M2580" t="s">
        <v>2661</v>
      </c>
    </row>
    <row r="2581" spans="1:13">
      <c r="A2581" t="s">
        <v>742</v>
      </c>
      <c r="B2581" t="s">
        <v>251</v>
      </c>
      <c r="C2581" s="8">
        <v>46075</v>
      </c>
      <c r="D2581" t="s">
        <v>327</v>
      </c>
      <c r="E2581" t="s">
        <v>339</v>
      </c>
      <c r="F2581" s="12">
        <v>843167</v>
      </c>
      <c r="G2581" s="13">
        <v>84</v>
      </c>
      <c r="H2581" t="s">
        <v>3057</v>
      </c>
      <c r="I2581" s="8">
        <v>46164</v>
      </c>
      <c r="J2581" t="s">
        <v>2685</v>
      </c>
      <c r="K2581" t="s">
        <v>2686</v>
      </c>
      <c r="L2581" s="13">
        <v>5000</v>
      </c>
      <c r="M2581" t="s">
        <v>2661</v>
      </c>
    </row>
    <row r="2582" spans="1:13">
      <c r="A2582" t="s">
        <v>742</v>
      </c>
      <c r="B2582" t="s">
        <v>251</v>
      </c>
      <c r="C2582" s="8">
        <v>46075</v>
      </c>
      <c r="D2582" t="s">
        <v>327</v>
      </c>
      <c r="E2582" t="s">
        <v>339</v>
      </c>
      <c r="F2582" s="12">
        <v>843167</v>
      </c>
      <c r="G2582" s="13">
        <v>84</v>
      </c>
      <c r="H2582" t="s">
        <v>3146</v>
      </c>
      <c r="I2582" s="8">
        <v>46276</v>
      </c>
      <c r="J2582" t="s">
        <v>2692</v>
      </c>
      <c r="K2582" t="s">
        <v>2693</v>
      </c>
      <c r="L2582" s="13">
        <v>10000</v>
      </c>
      <c r="M2582" t="s">
        <v>2661</v>
      </c>
    </row>
    <row r="2583" spans="1:13">
      <c r="A2583" t="s">
        <v>1072</v>
      </c>
      <c r="B2583" t="s">
        <v>251</v>
      </c>
      <c r="C2583" s="8">
        <v>46174</v>
      </c>
      <c r="D2583" t="s">
        <v>342</v>
      </c>
      <c r="E2583" t="s">
        <v>334</v>
      </c>
      <c r="F2583" s="12">
        <v>210900</v>
      </c>
      <c r="G2583" s="13">
        <v>21</v>
      </c>
      <c r="H2583" t="s">
        <v>3057</v>
      </c>
      <c r="I2583" s="8">
        <v>46164</v>
      </c>
      <c r="J2583" t="s">
        <v>2685</v>
      </c>
      <c r="K2583" t="s">
        <v>2686</v>
      </c>
      <c r="L2583" s="13">
        <v>5000</v>
      </c>
      <c r="M2583" t="s">
        <v>2661</v>
      </c>
    </row>
    <row r="2584" spans="1:13">
      <c r="A2584" t="s">
        <v>1072</v>
      </c>
      <c r="B2584" t="s">
        <v>251</v>
      </c>
      <c r="C2584" s="8">
        <v>46174</v>
      </c>
      <c r="D2584" t="s">
        <v>342</v>
      </c>
      <c r="E2584" t="s">
        <v>334</v>
      </c>
      <c r="F2584" s="12">
        <v>210900</v>
      </c>
      <c r="G2584" s="13">
        <v>21</v>
      </c>
      <c r="H2584" t="s">
        <v>3146</v>
      </c>
      <c r="I2584" s="8">
        <v>46276</v>
      </c>
      <c r="J2584" t="s">
        <v>2692</v>
      </c>
      <c r="K2584" t="s">
        <v>2693</v>
      </c>
      <c r="L2584" s="13">
        <v>10000</v>
      </c>
      <c r="M2584" t="s">
        <v>2661</v>
      </c>
    </row>
    <row r="2585" spans="1:13">
      <c r="A2585" t="s">
        <v>1162</v>
      </c>
      <c r="B2585" t="s">
        <v>251</v>
      </c>
      <c r="C2585" s="8">
        <v>46180</v>
      </c>
      <c r="D2585" t="s">
        <v>344</v>
      </c>
      <c r="E2585" t="s">
        <v>322</v>
      </c>
      <c r="F2585" s="12">
        <v>191869</v>
      </c>
      <c r="G2585" s="13">
        <v>19</v>
      </c>
      <c r="H2585" t="s">
        <v>3057</v>
      </c>
      <c r="I2585" s="8">
        <v>46164</v>
      </c>
      <c r="J2585" t="s">
        <v>2685</v>
      </c>
      <c r="K2585" t="s">
        <v>2686</v>
      </c>
      <c r="L2585" s="13">
        <v>5000</v>
      </c>
      <c r="M2585" t="s">
        <v>2661</v>
      </c>
    </row>
    <row r="2586" spans="1:13">
      <c r="A2586" t="s">
        <v>1162</v>
      </c>
      <c r="B2586" t="s">
        <v>251</v>
      </c>
      <c r="C2586" s="8">
        <v>46180</v>
      </c>
      <c r="D2586" t="s">
        <v>344</v>
      </c>
      <c r="E2586" t="s">
        <v>322</v>
      </c>
      <c r="F2586" s="12">
        <v>191869</v>
      </c>
      <c r="G2586" s="13">
        <v>19</v>
      </c>
      <c r="H2586" t="s">
        <v>3146</v>
      </c>
      <c r="I2586" s="8">
        <v>46276</v>
      </c>
      <c r="J2586" t="s">
        <v>2692</v>
      </c>
      <c r="K2586" t="s">
        <v>2693</v>
      </c>
      <c r="L2586" s="13">
        <v>10000</v>
      </c>
      <c r="M2586" t="s">
        <v>2661</v>
      </c>
    </row>
    <row r="2587" spans="1:13">
      <c r="A2587" t="s">
        <v>721</v>
      </c>
      <c r="B2587" t="s">
        <v>180</v>
      </c>
      <c r="C2587" s="8">
        <v>46059</v>
      </c>
      <c r="D2587" t="s">
        <v>332</v>
      </c>
      <c r="E2587" t="s">
        <v>328</v>
      </c>
      <c r="F2587" s="12">
        <v>490575</v>
      </c>
      <c r="G2587" s="13">
        <v>49</v>
      </c>
      <c r="H2587" t="s">
        <v>3461</v>
      </c>
      <c r="I2587" s="8">
        <v>46283</v>
      </c>
      <c r="J2587" t="s">
        <v>2682</v>
      </c>
      <c r="K2587" t="s">
        <v>2683</v>
      </c>
      <c r="L2587" s="13">
        <v>6000</v>
      </c>
      <c r="M2587" t="s">
        <v>2676</v>
      </c>
    </row>
    <row r="2588" spans="1:13">
      <c r="A2588" t="s">
        <v>812</v>
      </c>
      <c r="B2588" t="s">
        <v>180</v>
      </c>
      <c r="C2588" s="8">
        <v>46065</v>
      </c>
      <c r="D2588" t="s">
        <v>350</v>
      </c>
      <c r="E2588" t="s">
        <v>325</v>
      </c>
      <c r="F2588" s="12">
        <v>110095</v>
      </c>
      <c r="G2588" s="13">
        <v>11</v>
      </c>
      <c r="H2588" t="s">
        <v>3461</v>
      </c>
      <c r="I2588" s="8">
        <v>46283</v>
      </c>
      <c r="J2588" t="s">
        <v>2682</v>
      </c>
      <c r="K2588" t="s">
        <v>2683</v>
      </c>
      <c r="L2588" s="13">
        <v>6000</v>
      </c>
      <c r="M2588" t="s">
        <v>2676</v>
      </c>
    </row>
    <row r="2589" spans="1:13">
      <c r="A2589" t="s">
        <v>727</v>
      </c>
      <c r="B2589" t="s">
        <v>123</v>
      </c>
      <c r="C2589" s="8">
        <v>46224</v>
      </c>
      <c r="D2589" t="s">
        <v>332</v>
      </c>
      <c r="E2589" t="s">
        <v>337</v>
      </c>
      <c r="F2589" s="12">
        <v>263812</v>
      </c>
      <c r="G2589" s="13">
        <v>26</v>
      </c>
      <c r="H2589" t="s">
        <v>3222</v>
      </c>
      <c r="I2589" s="8">
        <v>46222</v>
      </c>
      <c r="J2589" t="s">
        <v>2668</v>
      </c>
      <c r="K2589" t="s">
        <v>2669</v>
      </c>
      <c r="L2589" s="13">
        <v>4000</v>
      </c>
      <c r="M2589" t="s">
        <v>2661</v>
      </c>
    </row>
    <row r="2590" spans="1:13">
      <c r="A2590" t="s">
        <v>727</v>
      </c>
      <c r="B2590" t="s">
        <v>123</v>
      </c>
      <c r="C2590" s="8">
        <v>46224</v>
      </c>
      <c r="D2590" t="s">
        <v>332</v>
      </c>
      <c r="E2590" t="s">
        <v>337</v>
      </c>
      <c r="F2590" s="12">
        <v>263812</v>
      </c>
      <c r="G2590" s="13">
        <v>26</v>
      </c>
      <c r="H2590" t="s">
        <v>3257</v>
      </c>
      <c r="I2590" s="8">
        <v>46248</v>
      </c>
      <c r="J2590" t="s">
        <v>2682</v>
      </c>
      <c r="K2590" t="s">
        <v>2683</v>
      </c>
      <c r="L2590" s="13">
        <v>6000</v>
      </c>
      <c r="M2590" t="s">
        <v>2661</v>
      </c>
    </row>
    <row r="2591" spans="1:13">
      <c r="A2591" t="s">
        <v>727</v>
      </c>
      <c r="B2591" t="s">
        <v>123</v>
      </c>
      <c r="C2591" s="8">
        <v>46224</v>
      </c>
      <c r="D2591" t="s">
        <v>332</v>
      </c>
      <c r="E2591" t="s">
        <v>337</v>
      </c>
      <c r="F2591" s="12">
        <v>263812</v>
      </c>
      <c r="G2591" s="13">
        <v>26</v>
      </c>
      <c r="H2591" t="s">
        <v>3351</v>
      </c>
      <c r="I2591" s="8">
        <v>46200</v>
      </c>
      <c r="J2591" t="s">
        <v>2692</v>
      </c>
      <c r="K2591" t="s">
        <v>2693</v>
      </c>
      <c r="L2591" s="13">
        <v>10000</v>
      </c>
      <c r="M2591" t="s">
        <v>2676</v>
      </c>
    </row>
    <row r="2592" spans="1:13">
      <c r="A2592" t="s">
        <v>1166</v>
      </c>
      <c r="B2592" t="s">
        <v>163</v>
      </c>
      <c r="C2592" s="8">
        <v>46013</v>
      </c>
      <c r="D2592" t="s">
        <v>324</v>
      </c>
      <c r="E2592" t="s">
        <v>337</v>
      </c>
      <c r="F2592" s="12">
        <v>340849</v>
      </c>
      <c r="G2592" s="13">
        <v>34</v>
      </c>
      <c r="H2592" t="s">
        <v>3074</v>
      </c>
      <c r="I2592" s="8">
        <v>46181</v>
      </c>
      <c r="J2592" t="s">
        <v>2663</v>
      </c>
      <c r="K2592" t="s">
        <v>3630</v>
      </c>
      <c r="L2592" s="13">
        <v>1500</v>
      </c>
      <c r="M2592" t="s">
        <v>2661</v>
      </c>
    </row>
    <row r="2593" spans="1:13">
      <c r="A2593" t="s">
        <v>743</v>
      </c>
      <c r="B2593" t="s">
        <v>202</v>
      </c>
      <c r="C2593" s="8">
        <v>46016</v>
      </c>
      <c r="D2593" t="s">
        <v>332</v>
      </c>
      <c r="E2593" t="s">
        <v>322</v>
      </c>
      <c r="F2593" s="12">
        <v>451976</v>
      </c>
      <c r="G2593" s="13">
        <v>45</v>
      </c>
      <c r="H2593" t="s">
        <v>3145</v>
      </c>
      <c r="I2593" s="8">
        <v>46214</v>
      </c>
      <c r="J2593" t="s">
        <v>2665</v>
      </c>
      <c r="K2593" t="s">
        <v>2666</v>
      </c>
      <c r="L2593" s="13">
        <v>2500</v>
      </c>
      <c r="M2593" t="s">
        <v>2676</v>
      </c>
    </row>
    <row r="2594" spans="1:13">
      <c r="A2594" t="s">
        <v>743</v>
      </c>
      <c r="B2594" t="s">
        <v>202</v>
      </c>
      <c r="C2594" s="8">
        <v>46016</v>
      </c>
      <c r="D2594" t="s">
        <v>332</v>
      </c>
      <c r="E2594" t="s">
        <v>322</v>
      </c>
      <c r="F2594" s="12">
        <v>451976</v>
      </c>
      <c r="G2594" s="13">
        <v>45</v>
      </c>
      <c r="H2594" t="s">
        <v>3155</v>
      </c>
      <c r="I2594" s="8">
        <v>46206</v>
      </c>
      <c r="J2594" t="s">
        <v>2659</v>
      </c>
      <c r="K2594" t="s">
        <v>2660</v>
      </c>
      <c r="L2594" s="13">
        <v>3500</v>
      </c>
      <c r="M2594" t="s">
        <v>2661</v>
      </c>
    </row>
    <row r="2595" spans="1:13">
      <c r="A2595" t="s">
        <v>799</v>
      </c>
      <c r="B2595" t="s">
        <v>202</v>
      </c>
      <c r="C2595" s="8">
        <v>45995</v>
      </c>
      <c r="D2595" t="s">
        <v>330</v>
      </c>
      <c r="E2595" t="s">
        <v>337</v>
      </c>
      <c r="F2595" s="12">
        <v>334275</v>
      </c>
      <c r="G2595" s="13">
        <v>33</v>
      </c>
      <c r="H2595" t="s">
        <v>3145</v>
      </c>
      <c r="I2595" s="8">
        <v>46214</v>
      </c>
      <c r="J2595" t="s">
        <v>2665</v>
      </c>
      <c r="K2595" t="s">
        <v>2666</v>
      </c>
      <c r="L2595" s="13">
        <v>2500</v>
      </c>
      <c r="M2595" t="s">
        <v>2676</v>
      </c>
    </row>
    <row r="2596" spans="1:13">
      <c r="A2596" t="s">
        <v>799</v>
      </c>
      <c r="B2596" t="s">
        <v>202</v>
      </c>
      <c r="C2596" s="8">
        <v>45995</v>
      </c>
      <c r="D2596" t="s">
        <v>330</v>
      </c>
      <c r="E2596" t="s">
        <v>337</v>
      </c>
      <c r="F2596" s="12">
        <v>334275</v>
      </c>
      <c r="G2596" s="13">
        <v>33</v>
      </c>
      <c r="H2596" t="s">
        <v>3155</v>
      </c>
      <c r="I2596" s="8">
        <v>46206</v>
      </c>
      <c r="J2596" t="s">
        <v>2659</v>
      </c>
      <c r="K2596" t="s">
        <v>2660</v>
      </c>
      <c r="L2596" s="13">
        <v>3500</v>
      </c>
      <c r="M2596" t="s">
        <v>2661</v>
      </c>
    </row>
    <row r="2597" spans="1:13">
      <c r="A2597" t="s">
        <v>816</v>
      </c>
      <c r="B2597" t="s">
        <v>202</v>
      </c>
      <c r="C2597" s="8">
        <v>46016</v>
      </c>
      <c r="D2597" t="s">
        <v>350</v>
      </c>
      <c r="E2597" t="s">
        <v>322</v>
      </c>
      <c r="F2597" s="12">
        <v>443124</v>
      </c>
      <c r="G2597" s="13">
        <v>44</v>
      </c>
      <c r="H2597" t="s">
        <v>3145</v>
      </c>
      <c r="I2597" s="8">
        <v>46214</v>
      </c>
      <c r="J2597" t="s">
        <v>2665</v>
      </c>
      <c r="K2597" t="s">
        <v>2666</v>
      </c>
      <c r="L2597" s="13">
        <v>2500</v>
      </c>
      <c r="M2597" t="s">
        <v>2676</v>
      </c>
    </row>
    <row r="2598" spans="1:13">
      <c r="A2598" t="s">
        <v>816</v>
      </c>
      <c r="B2598" t="s">
        <v>202</v>
      </c>
      <c r="C2598" s="8">
        <v>46016</v>
      </c>
      <c r="D2598" t="s">
        <v>350</v>
      </c>
      <c r="E2598" t="s">
        <v>322</v>
      </c>
      <c r="F2598" s="12">
        <v>443124</v>
      </c>
      <c r="G2598" s="13">
        <v>44</v>
      </c>
      <c r="H2598" t="s">
        <v>3155</v>
      </c>
      <c r="I2598" s="8">
        <v>46206</v>
      </c>
      <c r="J2598" t="s">
        <v>2659</v>
      </c>
      <c r="K2598" t="s">
        <v>2660</v>
      </c>
      <c r="L2598" s="13">
        <v>3500</v>
      </c>
      <c r="M2598" t="s">
        <v>2661</v>
      </c>
    </row>
    <row r="2599" spans="1:13">
      <c r="A2599" t="s">
        <v>846</v>
      </c>
      <c r="B2599" t="s">
        <v>202</v>
      </c>
      <c r="C2599" s="8">
        <v>46134</v>
      </c>
      <c r="D2599" t="s">
        <v>342</v>
      </c>
      <c r="E2599" t="s">
        <v>322</v>
      </c>
      <c r="F2599" s="12">
        <v>483216</v>
      </c>
      <c r="G2599" s="13">
        <v>48</v>
      </c>
      <c r="H2599" t="s">
        <v>3145</v>
      </c>
      <c r="I2599" s="8">
        <v>46214</v>
      </c>
      <c r="J2599" t="s">
        <v>2665</v>
      </c>
      <c r="K2599" t="s">
        <v>2666</v>
      </c>
      <c r="L2599" s="13">
        <v>2500</v>
      </c>
      <c r="M2599" t="s">
        <v>2676</v>
      </c>
    </row>
    <row r="2600" spans="1:13">
      <c r="A2600" t="s">
        <v>846</v>
      </c>
      <c r="B2600" t="s">
        <v>202</v>
      </c>
      <c r="C2600" s="8">
        <v>46134</v>
      </c>
      <c r="D2600" t="s">
        <v>342</v>
      </c>
      <c r="E2600" t="s">
        <v>322</v>
      </c>
      <c r="F2600" s="12">
        <v>483216</v>
      </c>
      <c r="G2600" s="13">
        <v>48</v>
      </c>
      <c r="H2600" t="s">
        <v>3155</v>
      </c>
      <c r="I2600" s="8">
        <v>46206</v>
      </c>
      <c r="J2600" t="s">
        <v>2659</v>
      </c>
      <c r="K2600" t="s">
        <v>2660</v>
      </c>
      <c r="L2600" s="13">
        <v>3500</v>
      </c>
      <c r="M2600" t="s">
        <v>2661</v>
      </c>
    </row>
    <row r="2601" spans="1:13">
      <c r="A2601" t="s">
        <v>880</v>
      </c>
      <c r="B2601" t="s">
        <v>202</v>
      </c>
      <c r="C2601" s="8">
        <v>46059</v>
      </c>
      <c r="D2601" t="s">
        <v>342</v>
      </c>
      <c r="E2601" t="s">
        <v>328</v>
      </c>
      <c r="F2601" s="12">
        <v>199789</v>
      </c>
      <c r="G2601" s="13">
        <v>19</v>
      </c>
      <c r="H2601" t="s">
        <v>3145</v>
      </c>
      <c r="I2601" s="8">
        <v>46214</v>
      </c>
      <c r="J2601" t="s">
        <v>2665</v>
      </c>
      <c r="K2601" t="s">
        <v>2666</v>
      </c>
      <c r="L2601" s="13">
        <v>2500</v>
      </c>
      <c r="M2601" t="s">
        <v>2676</v>
      </c>
    </row>
    <row r="2602" spans="1:13">
      <c r="A2602" t="s">
        <v>880</v>
      </c>
      <c r="B2602" t="s">
        <v>202</v>
      </c>
      <c r="C2602" s="8">
        <v>46059</v>
      </c>
      <c r="D2602" t="s">
        <v>342</v>
      </c>
      <c r="E2602" t="s">
        <v>328</v>
      </c>
      <c r="F2602" s="12">
        <v>199789</v>
      </c>
      <c r="G2602" s="13">
        <v>19</v>
      </c>
      <c r="H2602" t="s">
        <v>3155</v>
      </c>
      <c r="I2602" s="8">
        <v>46206</v>
      </c>
      <c r="J2602" t="s">
        <v>2659</v>
      </c>
      <c r="K2602" t="s">
        <v>2660</v>
      </c>
      <c r="L2602" s="13">
        <v>3500</v>
      </c>
      <c r="M2602" t="s">
        <v>2661</v>
      </c>
    </row>
    <row r="2603" spans="1:13">
      <c r="A2603" t="s">
        <v>921</v>
      </c>
      <c r="B2603" t="s">
        <v>202</v>
      </c>
      <c r="C2603" s="8">
        <v>46065</v>
      </c>
      <c r="D2603" t="s">
        <v>350</v>
      </c>
      <c r="E2603" t="s">
        <v>322</v>
      </c>
      <c r="F2603" s="12">
        <v>185530</v>
      </c>
      <c r="G2603" s="13">
        <v>18</v>
      </c>
      <c r="H2603" t="s">
        <v>3145</v>
      </c>
      <c r="I2603" s="8">
        <v>46214</v>
      </c>
      <c r="J2603" t="s">
        <v>2665</v>
      </c>
      <c r="K2603" t="s">
        <v>2666</v>
      </c>
      <c r="L2603" s="13">
        <v>2500</v>
      </c>
      <c r="M2603" t="s">
        <v>2676</v>
      </c>
    </row>
    <row r="2604" spans="1:13">
      <c r="A2604" t="s">
        <v>921</v>
      </c>
      <c r="B2604" t="s">
        <v>202</v>
      </c>
      <c r="C2604" s="8">
        <v>46065</v>
      </c>
      <c r="D2604" t="s">
        <v>350</v>
      </c>
      <c r="E2604" t="s">
        <v>322</v>
      </c>
      <c r="F2604" s="12">
        <v>185530</v>
      </c>
      <c r="G2604" s="13">
        <v>18</v>
      </c>
      <c r="H2604" t="s">
        <v>3155</v>
      </c>
      <c r="I2604" s="8">
        <v>46206</v>
      </c>
      <c r="J2604" t="s">
        <v>2659</v>
      </c>
      <c r="K2604" t="s">
        <v>2660</v>
      </c>
      <c r="L2604" s="13">
        <v>3500</v>
      </c>
      <c r="M2604" t="s">
        <v>2661</v>
      </c>
    </row>
    <row r="2605" spans="1:13">
      <c r="A2605" t="s">
        <v>751</v>
      </c>
      <c r="B2605" t="s">
        <v>82</v>
      </c>
      <c r="C2605" s="8">
        <v>46072</v>
      </c>
      <c r="D2605" t="s">
        <v>330</v>
      </c>
      <c r="E2605" t="s">
        <v>337</v>
      </c>
      <c r="F2605" s="12">
        <v>188282</v>
      </c>
      <c r="G2605" s="13">
        <v>18</v>
      </c>
      <c r="H2605" t="s">
        <v>3207</v>
      </c>
      <c r="I2605" s="8">
        <v>46183</v>
      </c>
      <c r="J2605" t="s">
        <v>2665</v>
      </c>
      <c r="K2605" t="s">
        <v>2666</v>
      </c>
      <c r="L2605" s="13">
        <v>2500</v>
      </c>
      <c r="M2605" t="s">
        <v>2661</v>
      </c>
    </row>
    <row r="2606" spans="1:13">
      <c r="A2606" t="s">
        <v>764</v>
      </c>
      <c r="B2606" t="s">
        <v>82</v>
      </c>
      <c r="C2606" s="8">
        <v>46209</v>
      </c>
      <c r="D2606" t="s">
        <v>332</v>
      </c>
      <c r="E2606" t="s">
        <v>339</v>
      </c>
      <c r="F2606" s="12">
        <v>53486</v>
      </c>
      <c r="G2606" s="13">
        <v>5</v>
      </c>
      <c r="H2606" t="s">
        <v>3207</v>
      </c>
      <c r="I2606" s="8">
        <v>46183</v>
      </c>
      <c r="J2606" t="s">
        <v>2665</v>
      </c>
      <c r="K2606" t="s">
        <v>2666</v>
      </c>
      <c r="L2606" s="13">
        <v>2500</v>
      </c>
      <c r="M2606" t="s">
        <v>2661</v>
      </c>
    </row>
    <row r="2607" spans="1:13">
      <c r="A2607" t="s">
        <v>1125</v>
      </c>
      <c r="B2607" t="s">
        <v>82</v>
      </c>
      <c r="C2607" s="8">
        <v>46125</v>
      </c>
      <c r="D2607" t="s">
        <v>330</v>
      </c>
      <c r="E2607" t="s">
        <v>328</v>
      </c>
      <c r="F2607" s="12">
        <v>175922</v>
      </c>
      <c r="G2607" s="13">
        <v>17</v>
      </c>
      <c r="H2607" t="s">
        <v>3207</v>
      </c>
      <c r="I2607" s="8">
        <v>46183</v>
      </c>
      <c r="J2607" t="s">
        <v>2665</v>
      </c>
      <c r="K2607" t="s">
        <v>2666</v>
      </c>
      <c r="L2607" s="13">
        <v>2500</v>
      </c>
      <c r="M2607" t="s">
        <v>2661</v>
      </c>
    </row>
    <row r="2608" spans="1:13">
      <c r="A2608" t="s">
        <v>774</v>
      </c>
      <c r="B2608" t="s">
        <v>294</v>
      </c>
      <c r="C2608" s="8">
        <v>46286</v>
      </c>
      <c r="D2608" t="s">
        <v>342</v>
      </c>
      <c r="E2608" t="s">
        <v>337</v>
      </c>
      <c r="F2608" s="12">
        <v>38120</v>
      </c>
      <c r="G2608" s="13">
        <v>3</v>
      </c>
      <c r="H2608" t="s">
        <v>3571</v>
      </c>
      <c r="I2608" s="8">
        <v>45937</v>
      </c>
      <c r="J2608" t="s">
        <v>2663</v>
      </c>
      <c r="K2608" t="s">
        <v>3630</v>
      </c>
      <c r="L2608" s="13">
        <v>1500</v>
      </c>
      <c r="M2608" t="s">
        <v>2661</v>
      </c>
    </row>
    <row r="2609" spans="1:13">
      <c r="A2609" t="s">
        <v>774</v>
      </c>
      <c r="B2609" t="s">
        <v>294</v>
      </c>
      <c r="C2609" s="8">
        <v>46286</v>
      </c>
      <c r="D2609" t="s">
        <v>342</v>
      </c>
      <c r="E2609" t="s">
        <v>337</v>
      </c>
      <c r="F2609" s="12">
        <v>38120</v>
      </c>
      <c r="G2609" s="13">
        <v>3</v>
      </c>
      <c r="H2609" t="s">
        <v>3572</v>
      </c>
      <c r="I2609" s="8">
        <v>46039</v>
      </c>
      <c r="J2609" t="s">
        <v>2668</v>
      </c>
      <c r="K2609" t="s">
        <v>2669</v>
      </c>
      <c r="L2609" s="13">
        <v>4000</v>
      </c>
      <c r="M2609" t="s">
        <v>2661</v>
      </c>
    </row>
    <row r="2610" spans="1:13">
      <c r="A2610" t="s">
        <v>864</v>
      </c>
      <c r="B2610" t="s">
        <v>294</v>
      </c>
      <c r="C2610" s="8">
        <v>46169</v>
      </c>
      <c r="D2610" t="s">
        <v>342</v>
      </c>
      <c r="E2610" t="s">
        <v>339</v>
      </c>
      <c r="F2610" s="12">
        <v>92733</v>
      </c>
      <c r="G2610" s="13">
        <v>9</v>
      </c>
      <c r="H2610" t="s">
        <v>3571</v>
      </c>
      <c r="I2610" s="8">
        <v>45937</v>
      </c>
      <c r="J2610" t="s">
        <v>2663</v>
      </c>
      <c r="K2610" t="s">
        <v>3630</v>
      </c>
      <c r="L2610" s="13">
        <v>1500</v>
      </c>
      <c r="M2610" t="s">
        <v>2661</v>
      </c>
    </row>
    <row r="2611" spans="1:13">
      <c r="A2611" t="s">
        <v>864</v>
      </c>
      <c r="B2611" t="s">
        <v>294</v>
      </c>
      <c r="C2611" s="8">
        <v>46169</v>
      </c>
      <c r="D2611" t="s">
        <v>342</v>
      </c>
      <c r="E2611" t="s">
        <v>339</v>
      </c>
      <c r="F2611" s="12">
        <v>92733</v>
      </c>
      <c r="G2611" s="13">
        <v>9</v>
      </c>
      <c r="H2611" t="s">
        <v>3572</v>
      </c>
      <c r="I2611" s="8">
        <v>46039</v>
      </c>
      <c r="J2611" t="s">
        <v>2668</v>
      </c>
      <c r="K2611" t="s">
        <v>2669</v>
      </c>
      <c r="L2611" s="13">
        <v>4000</v>
      </c>
      <c r="M2611" t="s">
        <v>2661</v>
      </c>
    </row>
    <row r="2612" spans="1:13">
      <c r="A2612" t="s">
        <v>884</v>
      </c>
      <c r="B2612" t="s">
        <v>294</v>
      </c>
      <c r="C2612" s="8">
        <v>45988</v>
      </c>
      <c r="D2612" t="s">
        <v>327</v>
      </c>
      <c r="E2612" t="s">
        <v>322</v>
      </c>
      <c r="F2612" s="12">
        <v>300214</v>
      </c>
      <c r="G2612" s="13">
        <v>30</v>
      </c>
      <c r="H2612" t="s">
        <v>3571</v>
      </c>
      <c r="I2612" s="8">
        <v>45937</v>
      </c>
      <c r="J2612" t="s">
        <v>2663</v>
      </c>
      <c r="K2612" t="s">
        <v>3630</v>
      </c>
      <c r="L2612" s="13">
        <v>1500</v>
      </c>
      <c r="M2612" t="s">
        <v>2661</v>
      </c>
    </row>
    <row r="2613" spans="1:13">
      <c r="A2613" t="s">
        <v>884</v>
      </c>
      <c r="B2613" t="s">
        <v>294</v>
      </c>
      <c r="C2613" s="8">
        <v>45988</v>
      </c>
      <c r="D2613" t="s">
        <v>327</v>
      </c>
      <c r="E2613" t="s">
        <v>322</v>
      </c>
      <c r="F2613" s="12">
        <v>300214</v>
      </c>
      <c r="G2613" s="13">
        <v>30</v>
      </c>
      <c r="H2613" t="s">
        <v>3572</v>
      </c>
      <c r="I2613" s="8">
        <v>46039</v>
      </c>
      <c r="J2613" t="s">
        <v>2668</v>
      </c>
      <c r="K2613" t="s">
        <v>2669</v>
      </c>
      <c r="L2613" s="13">
        <v>4000</v>
      </c>
      <c r="M2613" t="s">
        <v>2661</v>
      </c>
    </row>
    <row r="2614" spans="1:13">
      <c r="A2614" t="s">
        <v>965</v>
      </c>
      <c r="B2614" t="s">
        <v>294</v>
      </c>
      <c r="C2614" s="8">
        <v>45984</v>
      </c>
      <c r="D2614" t="s">
        <v>332</v>
      </c>
      <c r="E2614" t="s">
        <v>325</v>
      </c>
      <c r="F2614" s="12">
        <v>809436</v>
      </c>
      <c r="G2614" s="13">
        <v>80</v>
      </c>
      <c r="H2614" t="s">
        <v>3571</v>
      </c>
      <c r="I2614" s="8">
        <v>45937</v>
      </c>
      <c r="J2614" t="s">
        <v>2663</v>
      </c>
      <c r="K2614" t="s">
        <v>3630</v>
      </c>
      <c r="L2614" s="13">
        <v>1500</v>
      </c>
      <c r="M2614" t="s">
        <v>2661</v>
      </c>
    </row>
    <row r="2615" spans="1:13">
      <c r="A2615" t="s">
        <v>965</v>
      </c>
      <c r="B2615" t="s">
        <v>294</v>
      </c>
      <c r="C2615" s="8">
        <v>45984</v>
      </c>
      <c r="D2615" t="s">
        <v>332</v>
      </c>
      <c r="E2615" t="s">
        <v>325</v>
      </c>
      <c r="F2615" s="12">
        <v>809436</v>
      </c>
      <c r="G2615" s="13">
        <v>80</v>
      </c>
      <c r="H2615" t="s">
        <v>3572</v>
      </c>
      <c r="I2615" s="8">
        <v>46039</v>
      </c>
      <c r="J2615" t="s">
        <v>2668</v>
      </c>
      <c r="K2615" t="s">
        <v>2669</v>
      </c>
      <c r="L2615" s="13">
        <v>4000</v>
      </c>
      <c r="M2615" t="s">
        <v>2661</v>
      </c>
    </row>
    <row r="2616" spans="1:13">
      <c r="A2616" t="s">
        <v>1056</v>
      </c>
      <c r="B2616" t="s">
        <v>294</v>
      </c>
      <c r="C2616" s="8">
        <v>46000</v>
      </c>
      <c r="D2616" t="s">
        <v>321</v>
      </c>
      <c r="E2616" t="s">
        <v>334</v>
      </c>
      <c r="F2616" s="12">
        <v>272021</v>
      </c>
      <c r="G2616" s="13">
        <v>27</v>
      </c>
      <c r="H2616" t="s">
        <v>3571</v>
      </c>
      <c r="I2616" s="8">
        <v>45937</v>
      </c>
      <c r="J2616" t="s">
        <v>2663</v>
      </c>
      <c r="K2616" t="s">
        <v>3630</v>
      </c>
      <c r="L2616" s="13">
        <v>1500</v>
      </c>
      <c r="M2616" t="s">
        <v>2661</v>
      </c>
    </row>
    <row r="2617" spans="1:13">
      <c r="A2617" t="s">
        <v>1056</v>
      </c>
      <c r="B2617" t="s">
        <v>294</v>
      </c>
      <c r="C2617" s="8">
        <v>46000</v>
      </c>
      <c r="D2617" t="s">
        <v>321</v>
      </c>
      <c r="E2617" t="s">
        <v>334</v>
      </c>
      <c r="F2617" s="12">
        <v>272021</v>
      </c>
      <c r="G2617" s="13">
        <v>27</v>
      </c>
      <c r="H2617" t="s">
        <v>3572</v>
      </c>
      <c r="I2617" s="8">
        <v>46039</v>
      </c>
      <c r="J2617" t="s">
        <v>2668</v>
      </c>
      <c r="K2617" t="s">
        <v>2669</v>
      </c>
      <c r="L2617" s="13">
        <v>4000</v>
      </c>
      <c r="M2617" t="s">
        <v>2661</v>
      </c>
    </row>
    <row r="2618" spans="1:13">
      <c r="A2618" t="s">
        <v>1067</v>
      </c>
      <c r="B2618" t="s">
        <v>294</v>
      </c>
      <c r="C2618" s="8">
        <v>45937</v>
      </c>
      <c r="D2618" t="s">
        <v>321</v>
      </c>
      <c r="E2618" t="s">
        <v>337</v>
      </c>
      <c r="F2618" s="12">
        <v>374457</v>
      </c>
      <c r="G2618" s="13">
        <v>37</v>
      </c>
      <c r="H2618" t="s">
        <v>3571</v>
      </c>
      <c r="I2618" s="8">
        <v>45937</v>
      </c>
      <c r="J2618" t="s">
        <v>2663</v>
      </c>
      <c r="K2618" t="s">
        <v>3630</v>
      </c>
      <c r="L2618" s="13">
        <v>1500</v>
      </c>
      <c r="M2618" t="s">
        <v>2661</v>
      </c>
    </row>
    <row r="2619" spans="1:13">
      <c r="A2619" t="s">
        <v>1067</v>
      </c>
      <c r="B2619" t="s">
        <v>294</v>
      </c>
      <c r="C2619" s="8">
        <v>45937</v>
      </c>
      <c r="D2619" t="s">
        <v>321</v>
      </c>
      <c r="E2619" t="s">
        <v>337</v>
      </c>
      <c r="F2619" s="12">
        <v>374457</v>
      </c>
      <c r="G2619" s="13">
        <v>37</v>
      </c>
      <c r="H2619" t="s">
        <v>3572</v>
      </c>
      <c r="I2619" s="8">
        <v>46039</v>
      </c>
      <c r="J2619" t="s">
        <v>2668</v>
      </c>
      <c r="K2619" t="s">
        <v>2669</v>
      </c>
      <c r="L2619" s="13">
        <v>4000</v>
      </c>
      <c r="M2619" t="s">
        <v>2661</v>
      </c>
    </row>
    <row r="2620" spans="1:13">
      <c r="A2620" t="s">
        <v>1121</v>
      </c>
      <c r="B2620" t="s">
        <v>294</v>
      </c>
      <c r="C2620" s="8">
        <v>46017</v>
      </c>
      <c r="D2620" t="s">
        <v>342</v>
      </c>
      <c r="E2620" t="s">
        <v>334</v>
      </c>
      <c r="F2620" s="12">
        <v>248924</v>
      </c>
      <c r="G2620" s="13">
        <v>24</v>
      </c>
      <c r="H2620" t="s">
        <v>3571</v>
      </c>
      <c r="I2620" s="8">
        <v>45937</v>
      </c>
      <c r="J2620" t="s">
        <v>2663</v>
      </c>
      <c r="K2620" t="s">
        <v>3630</v>
      </c>
      <c r="L2620" s="13">
        <v>1500</v>
      </c>
      <c r="M2620" t="s">
        <v>2661</v>
      </c>
    </row>
    <row r="2621" spans="1:13">
      <c r="A2621" t="s">
        <v>1121</v>
      </c>
      <c r="B2621" t="s">
        <v>294</v>
      </c>
      <c r="C2621" s="8">
        <v>46017</v>
      </c>
      <c r="D2621" t="s">
        <v>342</v>
      </c>
      <c r="E2621" t="s">
        <v>334</v>
      </c>
      <c r="F2621" s="12">
        <v>248924</v>
      </c>
      <c r="G2621" s="13">
        <v>24</v>
      </c>
      <c r="H2621" t="s">
        <v>3572</v>
      </c>
      <c r="I2621" s="8">
        <v>46039</v>
      </c>
      <c r="J2621" t="s">
        <v>2668</v>
      </c>
      <c r="K2621" t="s">
        <v>2669</v>
      </c>
      <c r="L2621" s="13">
        <v>4000</v>
      </c>
      <c r="M2621" t="s">
        <v>2661</v>
      </c>
    </row>
    <row r="2622" spans="1:13">
      <c r="A2622" t="s">
        <v>1156</v>
      </c>
      <c r="B2622" t="s">
        <v>294</v>
      </c>
      <c r="C2622" s="8">
        <v>46275</v>
      </c>
      <c r="D2622" t="s">
        <v>342</v>
      </c>
      <c r="E2622" t="s">
        <v>328</v>
      </c>
      <c r="F2622" s="12">
        <v>165743</v>
      </c>
      <c r="G2622" s="13">
        <v>16</v>
      </c>
      <c r="H2622" t="s">
        <v>3571</v>
      </c>
      <c r="I2622" s="8">
        <v>45937</v>
      </c>
      <c r="J2622" t="s">
        <v>2663</v>
      </c>
      <c r="K2622" t="s">
        <v>3630</v>
      </c>
      <c r="L2622" s="13">
        <v>1500</v>
      </c>
      <c r="M2622" t="s">
        <v>2661</v>
      </c>
    </row>
    <row r="2623" spans="1:13">
      <c r="A2623" t="s">
        <v>1156</v>
      </c>
      <c r="B2623" t="s">
        <v>294</v>
      </c>
      <c r="C2623" s="8">
        <v>46275</v>
      </c>
      <c r="D2623" t="s">
        <v>342</v>
      </c>
      <c r="E2623" t="s">
        <v>328</v>
      </c>
      <c r="F2623" s="12">
        <v>165743</v>
      </c>
      <c r="G2623" s="13">
        <v>16</v>
      </c>
      <c r="H2623" t="s">
        <v>3572</v>
      </c>
      <c r="I2623" s="8">
        <v>46039</v>
      </c>
      <c r="J2623" t="s">
        <v>2668</v>
      </c>
      <c r="K2623" t="s">
        <v>2669</v>
      </c>
      <c r="L2623" s="13">
        <v>4000</v>
      </c>
      <c r="M2623" t="s">
        <v>2661</v>
      </c>
    </row>
    <row r="2624" spans="1:13">
      <c r="A2624" t="s">
        <v>778</v>
      </c>
      <c r="B2624" t="s">
        <v>227</v>
      </c>
      <c r="C2624" s="8">
        <v>46229</v>
      </c>
      <c r="D2624" t="s">
        <v>344</v>
      </c>
      <c r="E2624" t="s">
        <v>334</v>
      </c>
      <c r="F2624" s="12">
        <v>229176</v>
      </c>
      <c r="G2624" s="13">
        <v>22</v>
      </c>
      <c r="H2624" t="s">
        <v>3182</v>
      </c>
      <c r="I2624" s="8">
        <v>46099</v>
      </c>
      <c r="J2624" t="s">
        <v>2663</v>
      </c>
      <c r="K2624" t="s">
        <v>3630</v>
      </c>
      <c r="L2624" s="13">
        <v>1500</v>
      </c>
      <c r="M2624" t="s">
        <v>2661</v>
      </c>
    </row>
    <row r="2625" spans="1:13">
      <c r="A2625" t="s">
        <v>778</v>
      </c>
      <c r="B2625" t="s">
        <v>227</v>
      </c>
      <c r="C2625" s="8">
        <v>46229</v>
      </c>
      <c r="D2625" t="s">
        <v>344</v>
      </c>
      <c r="E2625" t="s">
        <v>334</v>
      </c>
      <c r="F2625" s="12">
        <v>229176</v>
      </c>
      <c r="G2625" s="13">
        <v>22</v>
      </c>
      <c r="H2625" t="s">
        <v>3238</v>
      </c>
      <c r="I2625" s="8">
        <v>46160</v>
      </c>
      <c r="J2625" t="s">
        <v>2663</v>
      </c>
      <c r="K2625" t="s">
        <v>3630</v>
      </c>
      <c r="L2625" s="13">
        <v>1500</v>
      </c>
      <c r="M2625" t="s">
        <v>2661</v>
      </c>
    </row>
    <row r="2626" spans="1:13">
      <c r="A2626" t="s">
        <v>778</v>
      </c>
      <c r="B2626" t="s">
        <v>227</v>
      </c>
      <c r="C2626" s="8">
        <v>46229</v>
      </c>
      <c r="D2626" t="s">
        <v>344</v>
      </c>
      <c r="E2626" t="s">
        <v>334</v>
      </c>
      <c r="F2626" s="12">
        <v>229176</v>
      </c>
      <c r="G2626" s="13">
        <v>22</v>
      </c>
      <c r="H2626" t="s">
        <v>3536</v>
      </c>
      <c r="I2626" s="8">
        <v>46277</v>
      </c>
      <c r="J2626" t="s">
        <v>2692</v>
      </c>
      <c r="K2626" t="s">
        <v>2693</v>
      </c>
      <c r="L2626" s="13">
        <v>10000</v>
      </c>
      <c r="M2626" t="s">
        <v>2661</v>
      </c>
    </row>
    <row r="2627" spans="1:13">
      <c r="A2627" t="s">
        <v>875</v>
      </c>
      <c r="B2627" t="s">
        <v>227</v>
      </c>
      <c r="C2627" s="8">
        <v>46249</v>
      </c>
      <c r="D2627" t="s">
        <v>350</v>
      </c>
      <c r="E2627" t="s">
        <v>337</v>
      </c>
      <c r="F2627" s="12">
        <v>136480</v>
      </c>
      <c r="G2627" s="13">
        <v>13</v>
      </c>
      <c r="H2627" t="s">
        <v>3182</v>
      </c>
      <c r="I2627" s="8">
        <v>46099</v>
      </c>
      <c r="J2627" t="s">
        <v>2663</v>
      </c>
      <c r="K2627" t="s">
        <v>3630</v>
      </c>
      <c r="L2627" s="13">
        <v>1500</v>
      </c>
      <c r="M2627" t="s">
        <v>2661</v>
      </c>
    </row>
    <row r="2628" spans="1:13">
      <c r="A2628" t="s">
        <v>875</v>
      </c>
      <c r="B2628" t="s">
        <v>227</v>
      </c>
      <c r="C2628" s="8">
        <v>46249</v>
      </c>
      <c r="D2628" t="s">
        <v>350</v>
      </c>
      <c r="E2628" t="s">
        <v>337</v>
      </c>
      <c r="F2628" s="12">
        <v>136480</v>
      </c>
      <c r="G2628" s="13">
        <v>13</v>
      </c>
      <c r="H2628" t="s">
        <v>3238</v>
      </c>
      <c r="I2628" s="8">
        <v>46160</v>
      </c>
      <c r="J2628" t="s">
        <v>2663</v>
      </c>
      <c r="K2628" t="s">
        <v>3630</v>
      </c>
      <c r="L2628" s="13">
        <v>1500</v>
      </c>
      <c r="M2628" t="s">
        <v>2661</v>
      </c>
    </row>
    <row r="2629" spans="1:13">
      <c r="A2629" t="s">
        <v>875</v>
      </c>
      <c r="B2629" t="s">
        <v>227</v>
      </c>
      <c r="C2629" s="8">
        <v>46249</v>
      </c>
      <c r="D2629" t="s">
        <v>350</v>
      </c>
      <c r="E2629" t="s">
        <v>337</v>
      </c>
      <c r="F2629" s="12">
        <v>136480</v>
      </c>
      <c r="G2629" s="13">
        <v>13</v>
      </c>
      <c r="H2629" t="s">
        <v>3536</v>
      </c>
      <c r="I2629" s="8">
        <v>46277</v>
      </c>
      <c r="J2629" t="s">
        <v>2692</v>
      </c>
      <c r="K2629" t="s">
        <v>2693</v>
      </c>
      <c r="L2629" s="13">
        <v>10000</v>
      </c>
      <c r="M2629" t="s">
        <v>2661</v>
      </c>
    </row>
    <row r="2630" spans="1:13">
      <c r="A2630" t="s">
        <v>1019</v>
      </c>
      <c r="B2630" t="s">
        <v>227</v>
      </c>
      <c r="C2630" s="8">
        <v>46018</v>
      </c>
      <c r="D2630" t="s">
        <v>344</v>
      </c>
      <c r="E2630" t="s">
        <v>334</v>
      </c>
      <c r="F2630" s="12">
        <v>113462</v>
      </c>
      <c r="G2630" s="13">
        <v>11</v>
      </c>
      <c r="H2630" t="s">
        <v>3182</v>
      </c>
      <c r="I2630" s="8">
        <v>46099</v>
      </c>
      <c r="J2630" t="s">
        <v>2663</v>
      </c>
      <c r="K2630" t="s">
        <v>3630</v>
      </c>
      <c r="L2630" s="13">
        <v>1500</v>
      </c>
      <c r="M2630" t="s">
        <v>2661</v>
      </c>
    </row>
    <row r="2631" spans="1:13">
      <c r="A2631" t="s">
        <v>1019</v>
      </c>
      <c r="B2631" t="s">
        <v>227</v>
      </c>
      <c r="C2631" s="8">
        <v>46018</v>
      </c>
      <c r="D2631" t="s">
        <v>344</v>
      </c>
      <c r="E2631" t="s">
        <v>334</v>
      </c>
      <c r="F2631" s="12">
        <v>113462</v>
      </c>
      <c r="G2631" s="13">
        <v>11</v>
      </c>
      <c r="H2631" t="s">
        <v>3238</v>
      </c>
      <c r="I2631" s="8">
        <v>46160</v>
      </c>
      <c r="J2631" t="s">
        <v>2663</v>
      </c>
      <c r="K2631" t="s">
        <v>3630</v>
      </c>
      <c r="L2631" s="13">
        <v>1500</v>
      </c>
      <c r="M2631" t="s">
        <v>2661</v>
      </c>
    </row>
    <row r="2632" spans="1:13">
      <c r="A2632" t="s">
        <v>1019</v>
      </c>
      <c r="B2632" t="s">
        <v>227</v>
      </c>
      <c r="C2632" s="8">
        <v>46018</v>
      </c>
      <c r="D2632" t="s">
        <v>344</v>
      </c>
      <c r="E2632" t="s">
        <v>334</v>
      </c>
      <c r="F2632" s="12">
        <v>113462</v>
      </c>
      <c r="G2632" s="13">
        <v>11</v>
      </c>
      <c r="H2632" t="s">
        <v>3536</v>
      </c>
      <c r="I2632" s="8">
        <v>46277</v>
      </c>
      <c r="J2632" t="s">
        <v>2692</v>
      </c>
      <c r="K2632" t="s">
        <v>2693</v>
      </c>
      <c r="L2632" s="13">
        <v>10000</v>
      </c>
      <c r="M2632" t="s">
        <v>2661</v>
      </c>
    </row>
    <row r="2633" spans="1:13">
      <c r="A2633" t="s">
        <v>779</v>
      </c>
      <c r="B2633" t="s">
        <v>92</v>
      </c>
      <c r="C2633" s="8">
        <v>46209</v>
      </c>
      <c r="D2633" t="s">
        <v>344</v>
      </c>
      <c r="E2633" t="s">
        <v>328</v>
      </c>
      <c r="F2633" s="12">
        <v>377162</v>
      </c>
      <c r="G2633" s="13">
        <v>37</v>
      </c>
      <c r="H2633" t="s">
        <v>3415</v>
      </c>
      <c r="I2633" s="8">
        <v>46280</v>
      </c>
      <c r="J2633" t="s">
        <v>2663</v>
      </c>
      <c r="K2633" t="s">
        <v>3630</v>
      </c>
      <c r="L2633" s="13">
        <v>1500</v>
      </c>
      <c r="M2633" t="s">
        <v>2661</v>
      </c>
    </row>
    <row r="2634" spans="1:13">
      <c r="A2634" t="s">
        <v>779</v>
      </c>
      <c r="B2634" t="s">
        <v>92</v>
      </c>
      <c r="C2634" s="8">
        <v>46209</v>
      </c>
      <c r="D2634" t="s">
        <v>344</v>
      </c>
      <c r="E2634" t="s">
        <v>328</v>
      </c>
      <c r="F2634" s="12">
        <v>377162</v>
      </c>
      <c r="G2634" s="13">
        <v>37</v>
      </c>
      <c r="H2634" t="s">
        <v>3577</v>
      </c>
      <c r="I2634" s="8">
        <v>45965</v>
      </c>
      <c r="J2634" t="s">
        <v>2663</v>
      </c>
      <c r="K2634" t="s">
        <v>3630</v>
      </c>
      <c r="L2634" s="13">
        <v>1500</v>
      </c>
      <c r="M2634" t="s">
        <v>2661</v>
      </c>
    </row>
    <row r="2635" spans="1:13">
      <c r="A2635" t="s">
        <v>853</v>
      </c>
      <c r="B2635" t="s">
        <v>92</v>
      </c>
      <c r="C2635" s="8">
        <v>46134</v>
      </c>
      <c r="D2635" t="s">
        <v>342</v>
      </c>
      <c r="E2635" t="s">
        <v>334</v>
      </c>
      <c r="F2635" s="12">
        <v>100483</v>
      </c>
      <c r="G2635" s="13">
        <v>10</v>
      </c>
      <c r="H2635" t="s">
        <v>3415</v>
      </c>
      <c r="I2635" s="8">
        <v>46280</v>
      </c>
      <c r="J2635" t="s">
        <v>2663</v>
      </c>
      <c r="K2635" t="s">
        <v>3630</v>
      </c>
      <c r="L2635" s="13">
        <v>1500</v>
      </c>
      <c r="M2635" t="s">
        <v>2661</v>
      </c>
    </row>
    <row r="2636" spans="1:13">
      <c r="A2636" t="s">
        <v>853</v>
      </c>
      <c r="B2636" t="s">
        <v>92</v>
      </c>
      <c r="C2636" s="8">
        <v>46134</v>
      </c>
      <c r="D2636" t="s">
        <v>342</v>
      </c>
      <c r="E2636" t="s">
        <v>334</v>
      </c>
      <c r="F2636" s="12">
        <v>100483</v>
      </c>
      <c r="G2636" s="13">
        <v>10</v>
      </c>
      <c r="H2636" t="s">
        <v>3577</v>
      </c>
      <c r="I2636" s="8">
        <v>45965</v>
      </c>
      <c r="J2636" t="s">
        <v>2663</v>
      </c>
      <c r="K2636" t="s">
        <v>3630</v>
      </c>
      <c r="L2636" s="13">
        <v>1500</v>
      </c>
      <c r="M2636" t="s">
        <v>2661</v>
      </c>
    </row>
    <row r="2637" spans="1:13">
      <c r="A2637" t="s">
        <v>1057</v>
      </c>
      <c r="B2637" t="s">
        <v>168</v>
      </c>
      <c r="C2637" s="8">
        <v>46038</v>
      </c>
      <c r="D2637" t="s">
        <v>330</v>
      </c>
      <c r="E2637" t="s">
        <v>337</v>
      </c>
      <c r="F2637" s="12">
        <v>292323</v>
      </c>
      <c r="G2637" s="13">
        <v>29</v>
      </c>
      <c r="H2637" t="s">
        <v>3128</v>
      </c>
      <c r="I2637" s="8">
        <v>46083</v>
      </c>
      <c r="J2637" t="s">
        <v>2674</v>
      </c>
      <c r="K2637" t="s">
        <v>2675</v>
      </c>
      <c r="L2637" s="13">
        <v>20000</v>
      </c>
      <c r="M2637" t="s">
        <v>2661</v>
      </c>
    </row>
    <row r="2638" spans="1:13">
      <c r="A2638" t="s">
        <v>1159</v>
      </c>
      <c r="B2638" t="s">
        <v>168</v>
      </c>
      <c r="C2638" s="8">
        <v>46166</v>
      </c>
      <c r="D2638" t="s">
        <v>327</v>
      </c>
      <c r="E2638" t="s">
        <v>322</v>
      </c>
      <c r="F2638" s="12">
        <v>73337</v>
      </c>
      <c r="G2638" s="13">
        <v>7</v>
      </c>
      <c r="H2638" t="s">
        <v>3128</v>
      </c>
      <c r="I2638" s="8">
        <v>46083</v>
      </c>
      <c r="J2638" t="s">
        <v>2674</v>
      </c>
      <c r="K2638" t="s">
        <v>2675</v>
      </c>
      <c r="L2638" s="13">
        <v>20000</v>
      </c>
      <c r="M2638" t="s">
        <v>2661</v>
      </c>
    </row>
    <row r="2639" spans="1:13">
      <c r="A2639" t="s">
        <v>811</v>
      </c>
      <c r="B2639" t="s">
        <v>87</v>
      </c>
      <c r="C2639" s="8">
        <v>46027</v>
      </c>
      <c r="D2639" t="s">
        <v>330</v>
      </c>
      <c r="E2639" t="s">
        <v>325</v>
      </c>
      <c r="F2639" s="12">
        <v>79664</v>
      </c>
      <c r="G2639" s="13">
        <v>7</v>
      </c>
      <c r="H2639" t="s">
        <v>3531</v>
      </c>
      <c r="I2639" s="8">
        <v>45982</v>
      </c>
      <c r="J2639" t="s">
        <v>2685</v>
      </c>
      <c r="K2639" t="s">
        <v>2686</v>
      </c>
      <c r="L2639" s="13">
        <v>5000</v>
      </c>
      <c r="M2639" t="s">
        <v>2661</v>
      </c>
    </row>
    <row r="2640" spans="1:13">
      <c r="A2640" t="s">
        <v>888</v>
      </c>
      <c r="B2640" t="s">
        <v>87</v>
      </c>
      <c r="C2640" s="8">
        <v>45991</v>
      </c>
      <c r="D2640" t="s">
        <v>321</v>
      </c>
      <c r="E2640" t="s">
        <v>328</v>
      </c>
      <c r="F2640" s="12">
        <v>217960</v>
      </c>
      <c r="G2640" s="13">
        <v>21</v>
      </c>
      <c r="H2640" t="s">
        <v>3531</v>
      </c>
      <c r="I2640" s="8">
        <v>45982</v>
      </c>
      <c r="J2640" t="s">
        <v>2685</v>
      </c>
      <c r="K2640" t="s">
        <v>2686</v>
      </c>
      <c r="L2640" s="13">
        <v>5000</v>
      </c>
      <c r="M2640" t="s">
        <v>2661</v>
      </c>
    </row>
    <row r="2641" spans="1:13">
      <c r="A2641" t="s">
        <v>1093</v>
      </c>
      <c r="B2641" t="s">
        <v>87</v>
      </c>
      <c r="C2641" s="8">
        <v>45938</v>
      </c>
      <c r="D2641" t="s">
        <v>330</v>
      </c>
      <c r="E2641" t="s">
        <v>328</v>
      </c>
      <c r="F2641" s="12">
        <v>622237</v>
      </c>
      <c r="G2641" s="13">
        <v>62</v>
      </c>
      <c r="H2641" t="s">
        <v>3531</v>
      </c>
      <c r="I2641" s="8">
        <v>45982</v>
      </c>
      <c r="J2641" t="s">
        <v>2685</v>
      </c>
      <c r="K2641" t="s">
        <v>2686</v>
      </c>
      <c r="L2641" s="13">
        <v>5000</v>
      </c>
      <c r="M2641" t="s">
        <v>2661</v>
      </c>
    </row>
    <row r="2642" spans="1:13">
      <c r="A2642" t="s">
        <v>1011</v>
      </c>
      <c r="B2642" t="s">
        <v>312</v>
      </c>
      <c r="C2642" s="8">
        <v>45972</v>
      </c>
      <c r="D2642" t="s">
        <v>321</v>
      </c>
      <c r="E2642" t="s">
        <v>325</v>
      </c>
      <c r="F2642" s="12">
        <v>355129</v>
      </c>
      <c r="G2642" s="13">
        <v>35</v>
      </c>
      <c r="H2642" t="s">
        <v>3172</v>
      </c>
      <c r="I2642" s="8">
        <v>46074</v>
      </c>
      <c r="J2642" t="s">
        <v>2663</v>
      </c>
      <c r="K2642" t="s">
        <v>3630</v>
      </c>
      <c r="L2642" s="13">
        <v>1500</v>
      </c>
      <c r="M2642" t="s">
        <v>2661</v>
      </c>
    </row>
    <row r="2643" spans="1:13">
      <c r="A2643" t="s">
        <v>1011</v>
      </c>
      <c r="B2643" t="s">
        <v>312</v>
      </c>
      <c r="C2643" s="8">
        <v>45972</v>
      </c>
      <c r="D2643" t="s">
        <v>321</v>
      </c>
      <c r="E2643" t="s">
        <v>325</v>
      </c>
      <c r="F2643" s="12">
        <v>355129</v>
      </c>
      <c r="G2643" s="13">
        <v>35</v>
      </c>
      <c r="H2643" t="s">
        <v>3267</v>
      </c>
      <c r="I2643" s="8">
        <v>45964</v>
      </c>
      <c r="J2643" t="s">
        <v>2682</v>
      </c>
      <c r="K2643" t="s">
        <v>2683</v>
      </c>
      <c r="L2643" s="13">
        <v>6000</v>
      </c>
      <c r="M2643" t="s">
        <v>2661</v>
      </c>
    </row>
    <row r="2644" spans="1:13">
      <c r="A2644" t="s">
        <v>1142</v>
      </c>
      <c r="B2644" t="s">
        <v>312</v>
      </c>
      <c r="C2644" s="8">
        <v>46155</v>
      </c>
      <c r="D2644" t="s">
        <v>327</v>
      </c>
      <c r="E2644" t="s">
        <v>337</v>
      </c>
      <c r="F2644" s="12">
        <v>31237</v>
      </c>
      <c r="G2644" s="13">
        <v>3</v>
      </c>
      <c r="H2644" t="s">
        <v>3172</v>
      </c>
      <c r="I2644" s="8">
        <v>46074</v>
      </c>
      <c r="J2644" t="s">
        <v>2663</v>
      </c>
      <c r="K2644" t="s">
        <v>3630</v>
      </c>
      <c r="L2644" s="13">
        <v>1500</v>
      </c>
      <c r="M2644" t="s">
        <v>2661</v>
      </c>
    </row>
    <row r="2645" spans="1:13">
      <c r="A2645" t="s">
        <v>1142</v>
      </c>
      <c r="B2645" t="s">
        <v>312</v>
      </c>
      <c r="C2645" s="8">
        <v>46155</v>
      </c>
      <c r="D2645" t="s">
        <v>327</v>
      </c>
      <c r="E2645" t="s">
        <v>337</v>
      </c>
      <c r="F2645" s="12">
        <v>31237</v>
      </c>
      <c r="G2645" s="13">
        <v>3</v>
      </c>
      <c r="H2645" t="s">
        <v>3267</v>
      </c>
      <c r="I2645" s="8">
        <v>45964</v>
      </c>
      <c r="J2645" t="s">
        <v>2682</v>
      </c>
      <c r="K2645" t="s">
        <v>2683</v>
      </c>
      <c r="L2645" s="13">
        <v>6000</v>
      </c>
      <c r="M2645" t="s">
        <v>2661</v>
      </c>
    </row>
    <row r="2646" spans="1:13">
      <c r="A2646" t="s">
        <v>834</v>
      </c>
      <c r="B2646" t="s">
        <v>89</v>
      </c>
      <c r="C2646" s="8">
        <v>46001</v>
      </c>
      <c r="D2646" t="s">
        <v>330</v>
      </c>
      <c r="E2646" t="s">
        <v>322</v>
      </c>
      <c r="F2646" s="12">
        <v>103925</v>
      </c>
      <c r="G2646" s="13">
        <v>10</v>
      </c>
      <c r="H2646" t="s">
        <v>3245</v>
      </c>
      <c r="I2646" s="8">
        <v>46031</v>
      </c>
      <c r="J2646" t="s">
        <v>2685</v>
      </c>
      <c r="K2646" t="s">
        <v>2686</v>
      </c>
      <c r="L2646" s="13">
        <v>5000</v>
      </c>
      <c r="M2646" t="s">
        <v>2661</v>
      </c>
    </row>
    <row r="2647" spans="1:13">
      <c r="A2647" t="s">
        <v>834</v>
      </c>
      <c r="B2647" t="s">
        <v>89</v>
      </c>
      <c r="C2647" s="8">
        <v>46001</v>
      </c>
      <c r="D2647" t="s">
        <v>330</v>
      </c>
      <c r="E2647" t="s">
        <v>322</v>
      </c>
      <c r="F2647" s="12">
        <v>103925</v>
      </c>
      <c r="G2647" s="13">
        <v>10</v>
      </c>
      <c r="H2647" t="s">
        <v>3283</v>
      </c>
      <c r="I2647" s="8">
        <v>45983</v>
      </c>
      <c r="J2647" t="s">
        <v>2674</v>
      </c>
      <c r="K2647" t="s">
        <v>2675</v>
      </c>
      <c r="L2647" s="13">
        <v>20000</v>
      </c>
      <c r="M2647" t="s">
        <v>2661</v>
      </c>
    </row>
    <row r="2648" spans="1:13">
      <c r="A2648" t="s">
        <v>1076</v>
      </c>
      <c r="B2648" t="s">
        <v>89</v>
      </c>
      <c r="C2648" s="8">
        <v>45955</v>
      </c>
      <c r="D2648" t="s">
        <v>344</v>
      </c>
      <c r="E2648" t="s">
        <v>325</v>
      </c>
      <c r="F2648" s="12">
        <v>52528</v>
      </c>
      <c r="G2648" s="13">
        <v>5</v>
      </c>
      <c r="H2648" t="s">
        <v>3245</v>
      </c>
      <c r="I2648" s="8">
        <v>46031</v>
      </c>
      <c r="J2648" t="s">
        <v>2685</v>
      </c>
      <c r="K2648" t="s">
        <v>2686</v>
      </c>
      <c r="L2648" s="13">
        <v>5000</v>
      </c>
      <c r="M2648" t="s">
        <v>2661</v>
      </c>
    </row>
    <row r="2649" spans="1:13">
      <c r="A2649" t="s">
        <v>1076</v>
      </c>
      <c r="B2649" t="s">
        <v>89</v>
      </c>
      <c r="C2649" s="8">
        <v>45955</v>
      </c>
      <c r="D2649" t="s">
        <v>344</v>
      </c>
      <c r="E2649" t="s">
        <v>325</v>
      </c>
      <c r="F2649" s="12">
        <v>52528</v>
      </c>
      <c r="G2649" s="13">
        <v>5</v>
      </c>
      <c r="H2649" t="s">
        <v>3283</v>
      </c>
      <c r="I2649" s="8">
        <v>45983</v>
      </c>
      <c r="J2649" t="s">
        <v>2674</v>
      </c>
      <c r="K2649" t="s">
        <v>2675</v>
      </c>
      <c r="L2649" s="13">
        <v>20000</v>
      </c>
      <c r="M2649" t="s">
        <v>2661</v>
      </c>
    </row>
    <row r="2650" spans="1:13">
      <c r="A2650" t="s">
        <v>1176</v>
      </c>
      <c r="B2650" t="s">
        <v>260</v>
      </c>
      <c r="C2650" s="8">
        <v>46281</v>
      </c>
      <c r="D2650" t="s">
        <v>321</v>
      </c>
      <c r="E2650" t="s">
        <v>334</v>
      </c>
      <c r="F2650" s="12">
        <v>234135</v>
      </c>
      <c r="G2650" s="13">
        <v>23</v>
      </c>
      <c r="H2650" t="s">
        <v>3236</v>
      </c>
      <c r="I2650" s="8">
        <v>45955</v>
      </c>
      <c r="J2650" t="s">
        <v>2674</v>
      </c>
      <c r="K2650" t="s">
        <v>2675</v>
      </c>
      <c r="L2650" s="13">
        <v>20000</v>
      </c>
      <c r="M2650" t="s">
        <v>2661</v>
      </c>
    </row>
    <row r="2651" spans="1:13">
      <c r="A2651" t="s">
        <v>1176</v>
      </c>
      <c r="B2651" t="s">
        <v>260</v>
      </c>
      <c r="C2651" s="8">
        <v>46281</v>
      </c>
      <c r="D2651" t="s">
        <v>321</v>
      </c>
      <c r="E2651" t="s">
        <v>334</v>
      </c>
      <c r="F2651" s="12">
        <v>234135</v>
      </c>
      <c r="G2651" s="13">
        <v>23</v>
      </c>
      <c r="H2651" t="s">
        <v>3279</v>
      </c>
      <c r="I2651" s="8">
        <v>46104</v>
      </c>
      <c r="J2651" t="s">
        <v>2692</v>
      </c>
      <c r="K2651" t="s">
        <v>2693</v>
      </c>
      <c r="L2651" s="13">
        <v>10000</v>
      </c>
      <c r="M2651" t="s">
        <v>2661</v>
      </c>
    </row>
    <row r="2652" spans="1:13">
      <c r="A2652" t="s">
        <v>1189</v>
      </c>
      <c r="B2652" t="s">
        <v>181</v>
      </c>
      <c r="C2652" s="8">
        <v>46180</v>
      </c>
      <c r="D2652" t="s">
        <v>321</v>
      </c>
      <c r="E2652" t="s">
        <v>339</v>
      </c>
      <c r="F2652" s="12">
        <v>136228</v>
      </c>
      <c r="G2652" s="13">
        <v>13</v>
      </c>
      <c r="H2652" t="s">
        <v>3293</v>
      </c>
      <c r="I2652" s="8">
        <v>45961</v>
      </c>
      <c r="J2652" t="s">
        <v>2659</v>
      </c>
      <c r="K2652" t="s">
        <v>2660</v>
      </c>
      <c r="L2652" s="13">
        <v>3500</v>
      </c>
      <c r="M2652" t="s">
        <v>2661</v>
      </c>
    </row>
    <row r="2653" spans="1:13">
      <c r="A2653" t="s">
        <v>1187</v>
      </c>
      <c r="B2653" t="s">
        <v>131</v>
      </c>
      <c r="C2653" s="8">
        <v>45956</v>
      </c>
      <c r="D2653" t="s">
        <v>332</v>
      </c>
      <c r="E2653" t="s">
        <v>339</v>
      </c>
      <c r="F2653" s="12">
        <v>341438</v>
      </c>
      <c r="G2653" s="13">
        <v>34</v>
      </c>
      <c r="H2653" t="s">
        <v>3428</v>
      </c>
      <c r="I2653" s="8">
        <v>46231</v>
      </c>
      <c r="J2653" t="s">
        <v>2692</v>
      </c>
      <c r="K2653" t="s">
        <v>2693</v>
      </c>
      <c r="L2653" s="13">
        <v>10000</v>
      </c>
      <c r="M2653" t="s">
        <v>2676</v>
      </c>
    </row>
    <row r="2654" spans="1:13">
      <c r="A2654" t="s">
        <v>1187</v>
      </c>
      <c r="B2654" t="s">
        <v>131</v>
      </c>
      <c r="C2654" s="8">
        <v>45956</v>
      </c>
      <c r="D2654" t="s">
        <v>332</v>
      </c>
      <c r="E2654" t="s">
        <v>339</v>
      </c>
      <c r="F2654" s="12">
        <v>341438</v>
      </c>
      <c r="G2654" s="13">
        <v>34</v>
      </c>
      <c r="H2654" t="s">
        <v>3464</v>
      </c>
      <c r="I2654" s="8">
        <v>45966</v>
      </c>
      <c r="J2654" t="s">
        <v>2688</v>
      </c>
      <c r="K2654" t="s">
        <v>2689</v>
      </c>
      <c r="L2654" s="13">
        <v>8000</v>
      </c>
      <c r="M2654" t="s">
        <v>2661</v>
      </c>
    </row>
    <row r="2655" spans="1:13">
      <c r="A2655" t="s">
        <v>1235</v>
      </c>
      <c r="B2655" t="s">
        <v>302</v>
      </c>
      <c r="C2655" s="8">
        <v>45974</v>
      </c>
      <c r="D2655" t="s">
        <v>342</v>
      </c>
      <c r="E2655" t="s">
        <v>334</v>
      </c>
      <c r="F2655" s="12">
        <v>125791</v>
      </c>
      <c r="G2655" s="13">
        <v>12</v>
      </c>
      <c r="H2655" t="s">
        <v>3325</v>
      </c>
      <c r="I2655" s="8">
        <v>46177</v>
      </c>
      <c r="J2655" t="s">
        <v>2692</v>
      </c>
      <c r="K2655" t="s">
        <v>2693</v>
      </c>
      <c r="L2655" s="13">
        <v>10000</v>
      </c>
      <c r="M2655" t="s">
        <v>2661</v>
      </c>
    </row>
    <row r="2656" spans="1:13">
      <c r="A2656" t="s">
        <v>1236</v>
      </c>
      <c r="B2656" t="s">
        <v>280</v>
      </c>
      <c r="C2656" s="8">
        <v>46049</v>
      </c>
      <c r="D2656" t="s">
        <v>327</v>
      </c>
      <c r="E2656" t="s">
        <v>325</v>
      </c>
      <c r="F2656" s="12">
        <v>425480</v>
      </c>
      <c r="G2656" s="13">
        <v>42</v>
      </c>
      <c r="H2656" t="s">
        <v>2673</v>
      </c>
      <c r="I2656" s="8">
        <v>46091</v>
      </c>
      <c r="J2656" t="s">
        <v>2674</v>
      </c>
      <c r="K2656" t="s">
        <v>2675</v>
      </c>
      <c r="L2656" s="13">
        <v>20000</v>
      </c>
      <c r="M2656" t="s">
        <v>2676</v>
      </c>
    </row>
    <row r="2657" spans="1:13">
      <c r="A2657" t="s">
        <v>1236</v>
      </c>
      <c r="B2657" t="s">
        <v>280</v>
      </c>
      <c r="C2657" s="8">
        <v>46049</v>
      </c>
      <c r="D2657" t="s">
        <v>327</v>
      </c>
      <c r="E2657" t="s">
        <v>325</v>
      </c>
      <c r="F2657" s="12">
        <v>425480</v>
      </c>
      <c r="G2657" s="13">
        <v>42</v>
      </c>
      <c r="H2657" t="s">
        <v>2924</v>
      </c>
      <c r="I2657" s="8">
        <v>46275</v>
      </c>
      <c r="J2657" t="s">
        <v>2663</v>
      </c>
      <c r="K2657" t="s">
        <v>3630</v>
      </c>
      <c r="L2657" s="13">
        <v>1500</v>
      </c>
      <c r="M2657" t="s">
        <v>2661</v>
      </c>
    </row>
    <row r="2658" spans="1:13">
      <c r="A2658" t="s">
        <v>1236</v>
      </c>
      <c r="B2658" t="s">
        <v>280</v>
      </c>
      <c r="C2658" s="8">
        <v>46049</v>
      </c>
      <c r="D2658" t="s">
        <v>327</v>
      </c>
      <c r="E2658" t="s">
        <v>325</v>
      </c>
      <c r="F2658" s="12">
        <v>425480</v>
      </c>
      <c r="G2658" s="13">
        <v>42</v>
      </c>
      <c r="H2658" t="s">
        <v>3163</v>
      </c>
      <c r="I2658" s="8">
        <v>46279</v>
      </c>
      <c r="J2658" t="s">
        <v>2668</v>
      </c>
      <c r="K2658" t="s">
        <v>2669</v>
      </c>
      <c r="L2658" s="13">
        <v>4000</v>
      </c>
      <c r="M2658" t="s">
        <v>2661</v>
      </c>
    </row>
    <row r="2659" spans="1:13">
      <c r="A2659" t="s">
        <v>1236</v>
      </c>
      <c r="B2659" t="s">
        <v>280</v>
      </c>
      <c r="C2659" s="8">
        <v>46049</v>
      </c>
      <c r="D2659" t="s">
        <v>327</v>
      </c>
      <c r="E2659" t="s">
        <v>325</v>
      </c>
      <c r="F2659" s="12">
        <v>425480</v>
      </c>
      <c r="G2659" s="13">
        <v>42</v>
      </c>
      <c r="H2659" t="s">
        <v>3286</v>
      </c>
      <c r="I2659" s="8">
        <v>46224</v>
      </c>
      <c r="J2659" t="s">
        <v>2685</v>
      </c>
      <c r="K2659" t="s">
        <v>2686</v>
      </c>
      <c r="L2659" s="13">
        <v>5000</v>
      </c>
      <c r="M2659" t="s">
        <v>2661</v>
      </c>
    </row>
    <row r="2660" spans="1:13">
      <c r="A2660" t="s">
        <v>1236</v>
      </c>
      <c r="B2660" t="s">
        <v>280</v>
      </c>
      <c r="C2660" s="8">
        <v>46049</v>
      </c>
      <c r="D2660" t="s">
        <v>327</v>
      </c>
      <c r="E2660" t="s">
        <v>325</v>
      </c>
      <c r="F2660" s="12">
        <v>425480</v>
      </c>
      <c r="G2660" s="13">
        <v>42</v>
      </c>
      <c r="H2660" t="s">
        <v>3400</v>
      </c>
      <c r="I2660" s="8">
        <v>46126</v>
      </c>
      <c r="J2660" t="s">
        <v>2692</v>
      </c>
      <c r="K2660" t="s">
        <v>2693</v>
      </c>
      <c r="L2660" s="13">
        <v>10000</v>
      </c>
      <c r="M2660" t="s">
        <v>2661</v>
      </c>
    </row>
    <row r="2661" spans="1:13">
      <c r="A2661" t="s">
        <v>1236</v>
      </c>
      <c r="B2661" t="s">
        <v>280</v>
      </c>
      <c r="C2661" s="8">
        <v>46049</v>
      </c>
      <c r="D2661" t="s">
        <v>327</v>
      </c>
      <c r="E2661" t="s">
        <v>325</v>
      </c>
      <c r="F2661" s="12">
        <v>425480</v>
      </c>
      <c r="G2661" s="13">
        <v>42</v>
      </c>
      <c r="H2661" t="s">
        <v>3535</v>
      </c>
      <c r="I2661" s="8">
        <v>46274</v>
      </c>
      <c r="J2661" t="s">
        <v>2659</v>
      </c>
      <c r="K2661" t="s">
        <v>2660</v>
      </c>
      <c r="L2661" s="13">
        <v>3500</v>
      </c>
      <c r="M2661" t="s">
        <v>2661</v>
      </c>
    </row>
    <row r="2662" spans="1:13">
      <c r="A2662" t="s">
        <v>1237</v>
      </c>
      <c r="B2662" t="s">
        <v>89</v>
      </c>
      <c r="C2662" s="8">
        <v>46210</v>
      </c>
      <c r="D2662" t="s">
        <v>321</v>
      </c>
      <c r="E2662" t="s">
        <v>328</v>
      </c>
      <c r="F2662" s="12">
        <v>103268</v>
      </c>
      <c r="G2662" s="13">
        <v>10</v>
      </c>
      <c r="H2662" t="s">
        <v>3245</v>
      </c>
      <c r="I2662" s="8">
        <v>46031</v>
      </c>
      <c r="J2662" t="s">
        <v>2685</v>
      </c>
      <c r="K2662" t="s">
        <v>2686</v>
      </c>
      <c r="L2662" s="13">
        <v>5000</v>
      </c>
      <c r="M2662" t="s">
        <v>2661</v>
      </c>
    </row>
    <row r="2663" spans="1:13">
      <c r="A2663" t="s">
        <v>1237</v>
      </c>
      <c r="B2663" t="s">
        <v>89</v>
      </c>
      <c r="C2663" s="8">
        <v>46210</v>
      </c>
      <c r="D2663" t="s">
        <v>321</v>
      </c>
      <c r="E2663" t="s">
        <v>328</v>
      </c>
      <c r="F2663" s="12">
        <v>103268</v>
      </c>
      <c r="G2663" s="13">
        <v>10</v>
      </c>
      <c r="H2663" t="s">
        <v>3283</v>
      </c>
      <c r="I2663" s="8">
        <v>45983</v>
      </c>
      <c r="J2663" t="s">
        <v>2674</v>
      </c>
      <c r="K2663" t="s">
        <v>2675</v>
      </c>
      <c r="L2663" s="13">
        <v>20000</v>
      </c>
      <c r="M2663" t="s">
        <v>2661</v>
      </c>
    </row>
    <row r="2664" spans="1:13">
      <c r="A2664" t="s">
        <v>1239</v>
      </c>
      <c r="B2664" t="s">
        <v>122</v>
      </c>
      <c r="C2664" s="8">
        <v>46261</v>
      </c>
      <c r="D2664" t="s">
        <v>342</v>
      </c>
      <c r="E2664" t="s">
        <v>339</v>
      </c>
      <c r="F2664" s="12">
        <v>96433</v>
      </c>
      <c r="G2664" s="13">
        <v>9</v>
      </c>
      <c r="H2664" t="s">
        <v>2998</v>
      </c>
      <c r="I2664" s="8">
        <v>46159</v>
      </c>
      <c r="J2664" t="s">
        <v>2659</v>
      </c>
      <c r="K2664" t="s">
        <v>2660</v>
      </c>
      <c r="L2664" s="13">
        <v>3500</v>
      </c>
      <c r="M2664" t="s">
        <v>2661</v>
      </c>
    </row>
    <row r="2665" spans="1:13">
      <c r="A2665" t="s">
        <v>1239</v>
      </c>
      <c r="B2665" t="s">
        <v>122</v>
      </c>
      <c r="C2665" s="8">
        <v>46261</v>
      </c>
      <c r="D2665" t="s">
        <v>342</v>
      </c>
      <c r="E2665" t="s">
        <v>339</v>
      </c>
      <c r="F2665" s="12">
        <v>96433</v>
      </c>
      <c r="G2665" s="13">
        <v>9</v>
      </c>
      <c r="H2665" t="s">
        <v>3144</v>
      </c>
      <c r="I2665" s="8">
        <v>45940</v>
      </c>
      <c r="J2665" t="s">
        <v>2692</v>
      </c>
      <c r="K2665" t="s">
        <v>2693</v>
      </c>
      <c r="L2665" s="13">
        <v>10000</v>
      </c>
      <c r="M2665" t="s">
        <v>2661</v>
      </c>
    </row>
    <row r="2666" spans="1:13">
      <c r="A2666" t="s">
        <v>1240</v>
      </c>
      <c r="B2666" t="s">
        <v>155</v>
      </c>
      <c r="C2666" s="8">
        <v>45958</v>
      </c>
      <c r="D2666" t="s">
        <v>330</v>
      </c>
      <c r="E2666" t="s">
        <v>325</v>
      </c>
      <c r="F2666" s="12">
        <v>474317</v>
      </c>
      <c r="G2666" s="13">
        <v>47</v>
      </c>
      <c r="H2666" t="s">
        <v>3027</v>
      </c>
      <c r="I2666" s="8">
        <v>46235</v>
      </c>
      <c r="J2666" t="s">
        <v>2663</v>
      </c>
      <c r="K2666" t="s">
        <v>3630</v>
      </c>
      <c r="L2666" s="13">
        <v>1500</v>
      </c>
      <c r="M2666" t="s">
        <v>2661</v>
      </c>
    </row>
    <row r="2667" spans="1:13">
      <c r="A2667" t="s">
        <v>1240</v>
      </c>
      <c r="B2667" t="s">
        <v>155</v>
      </c>
      <c r="C2667" s="8">
        <v>45958</v>
      </c>
      <c r="D2667" t="s">
        <v>330</v>
      </c>
      <c r="E2667" t="s">
        <v>325</v>
      </c>
      <c r="F2667" s="12">
        <v>474317</v>
      </c>
      <c r="G2667" s="13">
        <v>47</v>
      </c>
      <c r="H2667" t="s">
        <v>3147</v>
      </c>
      <c r="I2667" s="8">
        <v>46057</v>
      </c>
      <c r="J2667" t="s">
        <v>2685</v>
      </c>
      <c r="K2667" t="s">
        <v>2686</v>
      </c>
      <c r="L2667" s="13">
        <v>5000</v>
      </c>
      <c r="M2667" t="s">
        <v>2676</v>
      </c>
    </row>
    <row r="2668" spans="1:13">
      <c r="A2668" t="s">
        <v>1240</v>
      </c>
      <c r="B2668" t="s">
        <v>155</v>
      </c>
      <c r="C2668" s="8">
        <v>45958</v>
      </c>
      <c r="D2668" t="s">
        <v>330</v>
      </c>
      <c r="E2668" t="s">
        <v>325</v>
      </c>
      <c r="F2668" s="12">
        <v>474317</v>
      </c>
      <c r="G2668" s="13">
        <v>47</v>
      </c>
      <c r="H2668" t="s">
        <v>3234</v>
      </c>
      <c r="I2668" s="8">
        <v>46116</v>
      </c>
      <c r="J2668" t="s">
        <v>2659</v>
      </c>
      <c r="K2668" t="s">
        <v>2660</v>
      </c>
      <c r="L2668" s="13">
        <v>3500</v>
      </c>
      <c r="M2668" t="s">
        <v>2676</v>
      </c>
    </row>
    <row r="2669" spans="1:13">
      <c r="A2669" t="s">
        <v>1240</v>
      </c>
      <c r="B2669" t="s">
        <v>155</v>
      </c>
      <c r="C2669" s="8">
        <v>45958</v>
      </c>
      <c r="D2669" t="s">
        <v>330</v>
      </c>
      <c r="E2669" t="s">
        <v>325</v>
      </c>
      <c r="F2669" s="12">
        <v>474317</v>
      </c>
      <c r="G2669" s="13">
        <v>47</v>
      </c>
      <c r="H2669" t="s">
        <v>3373</v>
      </c>
      <c r="I2669" s="8">
        <v>46196</v>
      </c>
      <c r="J2669" t="s">
        <v>2671</v>
      </c>
      <c r="K2669" t="s">
        <v>2672</v>
      </c>
      <c r="L2669" s="13">
        <v>3000</v>
      </c>
      <c r="M2669" t="s">
        <v>2661</v>
      </c>
    </row>
    <row r="2670" spans="1:13">
      <c r="A2670" t="s">
        <v>1242</v>
      </c>
      <c r="B2670" t="s">
        <v>107</v>
      </c>
      <c r="C2670" s="8">
        <v>46039</v>
      </c>
      <c r="D2670" t="s">
        <v>321</v>
      </c>
      <c r="E2670" t="s">
        <v>334</v>
      </c>
      <c r="F2670" s="12">
        <v>505365</v>
      </c>
      <c r="G2670" s="13">
        <v>50</v>
      </c>
      <c r="H2670" t="s">
        <v>2865</v>
      </c>
      <c r="I2670" s="8">
        <v>46153</v>
      </c>
      <c r="J2670" t="s">
        <v>2692</v>
      </c>
      <c r="K2670" t="s">
        <v>2693</v>
      </c>
      <c r="L2670" s="13">
        <v>10000</v>
      </c>
      <c r="M2670" t="s">
        <v>2676</v>
      </c>
    </row>
    <row r="2671" spans="1:13">
      <c r="A2671" t="s">
        <v>1242</v>
      </c>
      <c r="B2671" t="s">
        <v>107</v>
      </c>
      <c r="C2671" s="8">
        <v>46039</v>
      </c>
      <c r="D2671" t="s">
        <v>321</v>
      </c>
      <c r="E2671" t="s">
        <v>334</v>
      </c>
      <c r="F2671" s="12">
        <v>505365</v>
      </c>
      <c r="G2671" s="13">
        <v>50</v>
      </c>
      <c r="H2671" t="s">
        <v>3214</v>
      </c>
      <c r="I2671" s="8">
        <v>46183</v>
      </c>
      <c r="J2671" t="s">
        <v>2692</v>
      </c>
      <c r="K2671" t="s">
        <v>2693</v>
      </c>
      <c r="L2671" s="13">
        <v>10000</v>
      </c>
      <c r="M2671" t="s">
        <v>2661</v>
      </c>
    </row>
    <row r="2672" spans="1:13">
      <c r="A2672" t="s">
        <v>1242</v>
      </c>
      <c r="B2672" t="s">
        <v>107</v>
      </c>
      <c r="C2672" s="8">
        <v>46039</v>
      </c>
      <c r="D2672" t="s">
        <v>321</v>
      </c>
      <c r="E2672" t="s">
        <v>334</v>
      </c>
      <c r="F2672" s="12">
        <v>505365</v>
      </c>
      <c r="G2672" s="13">
        <v>50</v>
      </c>
      <c r="H2672" t="s">
        <v>3424</v>
      </c>
      <c r="I2672" s="8">
        <v>46007</v>
      </c>
      <c r="J2672" t="s">
        <v>2674</v>
      </c>
      <c r="K2672" t="s">
        <v>2675</v>
      </c>
      <c r="L2672" s="13">
        <v>20000</v>
      </c>
      <c r="M2672" t="s">
        <v>2661</v>
      </c>
    </row>
    <row r="2673" spans="1:13">
      <c r="A2673" t="s">
        <v>1242</v>
      </c>
      <c r="B2673" t="s">
        <v>107</v>
      </c>
      <c r="C2673" s="8">
        <v>46039</v>
      </c>
      <c r="D2673" t="s">
        <v>321</v>
      </c>
      <c r="E2673" t="s">
        <v>334</v>
      </c>
      <c r="F2673" s="12">
        <v>505365</v>
      </c>
      <c r="G2673" s="13">
        <v>50</v>
      </c>
      <c r="H2673" t="s">
        <v>3569</v>
      </c>
      <c r="I2673" s="8">
        <v>45938</v>
      </c>
      <c r="J2673" t="s">
        <v>2692</v>
      </c>
      <c r="K2673" t="s">
        <v>2693</v>
      </c>
      <c r="L2673" s="13">
        <v>10000</v>
      </c>
      <c r="M2673" t="s">
        <v>2661</v>
      </c>
    </row>
    <row r="2674" spans="1:13">
      <c r="A2674" t="s">
        <v>1243</v>
      </c>
      <c r="B2674" t="s">
        <v>69</v>
      </c>
      <c r="C2674" s="8">
        <v>46083</v>
      </c>
      <c r="D2674" t="s">
        <v>324</v>
      </c>
      <c r="E2674" t="s">
        <v>337</v>
      </c>
      <c r="F2674" s="12">
        <v>398231</v>
      </c>
      <c r="G2674" s="13">
        <v>39</v>
      </c>
      <c r="H2674" t="s">
        <v>2723</v>
      </c>
      <c r="I2674" s="8">
        <v>46140</v>
      </c>
      <c r="J2674" t="s">
        <v>2688</v>
      </c>
      <c r="K2674" t="s">
        <v>2689</v>
      </c>
      <c r="L2674" s="13">
        <v>8000</v>
      </c>
      <c r="M2674" t="s">
        <v>2661</v>
      </c>
    </row>
    <row r="2675" spans="1:13">
      <c r="A2675" t="s">
        <v>1243</v>
      </c>
      <c r="B2675" t="s">
        <v>69</v>
      </c>
      <c r="C2675" s="8">
        <v>46083</v>
      </c>
      <c r="D2675" t="s">
        <v>324</v>
      </c>
      <c r="E2675" t="s">
        <v>337</v>
      </c>
      <c r="F2675" s="12">
        <v>398231</v>
      </c>
      <c r="G2675" s="13">
        <v>39</v>
      </c>
      <c r="H2675" t="s">
        <v>2822</v>
      </c>
      <c r="I2675" s="8">
        <v>46159</v>
      </c>
      <c r="J2675" t="s">
        <v>2668</v>
      </c>
      <c r="K2675" t="s">
        <v>2669</v>
      </c>
      <c r="L2675" s="13">
        <v>4000</v>
      </c>
      <c r="M2675" t="s">
        <v>2661</v>
      </c>
    </row>
    <row r="2676" spans="1:13">
      <c r="A2676" t="s">
        <v>1243</v>
      </c>
      <c r="B2676" t="s">
        <v>69</v>
      </c>
      <c r="C2676" s="8">
        <v>46083</v>
      </c>
      <c r="D2676" t="s">
        <v>324</v>
      </c>
      <c r="E2676" t="s">
        <v>337</v>
      </c>
      <c r="F2676" s="12">
        <v>398231</v>
      </c>
      <c r="G2676" s="13">
        <v>39</v>
      </c>
      <c r="H2676" t="s">
        <v>3513</v>
      </c>
      <c r="I2676" s="8">
        <v>46161</v>
      </c>
      <c r="J2676" t="s">
        <v>2692</v>
      </c>
      <c r="K2676" t="s">
        <v>2693</v>
      </c>
      <c r="L2676" s="13">
        <v>10000</v>
      </c>
      <c r="M2676" t="s">
        <v>2661</v>
      </c>
    </row>
    <row r="2677" spans="1:13">
      <c r="A2677" t="s">
        <v>1244</v>
      </c>
      <c r="B2677" t="s">
        <v>10</v>
      </c>
      <c r="C2677" s="8">
        <v>46114</v>
      </c>
      <c r="D2677" t="s">
        <v>324</v>
      </c>
      <c r="E2677" t="s">
        <v>337</v>
      </c>
      <c r="F2677" s="12">
        <v>548012</v>
      </c>
      <c r="G2677" s="13">
        <v>54</v>
      </c>
      <c r="H2677" t="s">
        <v>2754</v>
      </c>
      <c r="I2677" s="8">
        <v>46003</v>
      </c>
      <c r="J2677" t="s">
        <v>2692</v>
      </c>
      <c r="K2677" t="s">
        <v>2693</v>
      </c>
      <c r="L2677" s="13">
        <v>10000</v>
      </c>
      <c r="M2677" t="s">
        <v>2661</v>
      </c>
    </row>
    <row r="2678" spans="1:13">
      <c r="A2678" t="s">
        <v>1244</v>
      </c>
      <c r="B2678" t="s">
        <v>10</v>
      </c>
      <c r="C2678" s="8">
        <v>46114</v>
      </c>
      <c r="D2678" t="s">
        <v>324</v>
      </c>
      <c r="E2678" t="s">
        <v>337</v>
      </c>
      <c r="F2678" s="12">
        <v>548012</v>
      </c>
      <c r="G2678" s="13">
        <v>54</v>
      </c>
      <c r="H2678" t="s">
        <v>2821</v>
      </c>
      <c r="I2678" s="8">
        <v>46033</v>
      </c>
      <c r="J2678" t="s">
        <v>2665</v>
      </c>
      <c r="K2678" t="s">
        <v>2666</v>
      </c>
      <c r="L2678" s="13">
        <v>2500</v>
      </c>
      <c r="M2678" t="s">
        <v>2661</v>
      </c>
    </row>
    <row r="2679" spans="1:13">
      <c r="A2679" t="s">
        <v>1244</v>
      </c>
      <c r="B2679" t="s">
        <v>10</v>
      </c>
      <c r="C2679" s="8">
        <v>46114</v>
      </c>
      <c r="D2679" t="s">
        <v>324</v>
      </c>
      <c r="E2679" t="s">
        <v>337</v>
      </c>
      <c r="F2679" s="12">
        <v>548012</v>
      </c>
      <c r="G2679" s="13">
        <v>54</v>
      </c>
      <c r="H2679" t="s">
        <v>3047</v>
      </c>
      <c r="I2679" s="8">
        <v>46230</v>
      </c>
      <c r="J2679" t="s">
        <v>2659</v>
      </c>
      <c r="K2679" t="s">
        <v>2660</v>
      </c>
      <c r="L2679" s="13">
        <v>3500</v>
      </c>
      <c r="M2679" t="s">
        <v>2661</v>
      </c>
    </row>
    <row r="2680" spans="1:13">
      <c r="A2680" t="s">
        <v>1244</v>
      </c>
      <c r="B2680" t="s">
        <v>10</v>
      </c>
      <c r="C2680" s="8">
        <v>46114</v>
      </c>
      <c r="D2680" t="s">
        <v>324</v>
      </c>
      <c r="E2680" t="s">
        <v>337</v>
      </c>
      <c r="F2680" s="12">
        <v>548012</v>
      </c>
      <c r="G2680" s="13">
        <v>54</v>
      </c>
      <c r="H2680" t="s">
        <v>3313</v>
      </c>
      <c r="I2680" s="8">
        <v>46238</v>
      </c>
      <c r="J2680" t="s">
        <v>2682</v>
      </c>
      <c r="K2680" t="s">
        <v>2683</v>
      </c>
      <c r="L2680" s="13">
        <v>6000</v>
      </c>
      <c r="M2680" t="s">
        <v>2661</v>
      </c>
    </row>
    <row r="2681" spans="1:13">
      <c r="A2681" t="s">
        <v>1245</v>
      </c>
      <c r="B2681" t="s">
        <v>115</v>
      </c>
      <c r="C2681" s="8">
        <v>46108</v>
      </c>
      <c r="D2681" t="s">
        <v>324</v>
      </c>
      <c r="E2681" t="s">
        <v>328</v>
      </c>
      <c r="F2681" s="12">
        <v>312430</v>
      </c>
      <c r="G2681" s="13">
        <v>31</v>
      </c>
      <c r="H2681" t="s">
        <v>2708</v>
      </c>
      <c r="I2681" s="8">
        <v>46007</v>
      </c>
      <c r="J2681" t="s">
        <v>2663</v>
      </c>
      <c r="K2681" t="s">
        <v>3630</v>
      </c>
      <c r="L2681" s="13">
        <v>1500</v>
      </c>
      <c r="M2681" t="s">
        <v>2661</v>
      </c>
    </row>
    <row r="2682" spans="1:13">
      <c r="A2682" t="s">
        <v>1245</v>
      </c>
      <c r="B2682" t="s">
        <v>115</v>
      </c>
      <c r="C2682" s="8">
        <v>46108</v>
      </c>
      <c r="D2682" t="s">
        <v>324</v>
      </c>
      <c r="E2682" t="s">
        <v>328</v>
      </c>
      <c r="F2682" s="12">
        <v>312430</v>
      </c>
      <c r="G2682" s="13">
        <v>31</v>
      </c>
      <c r="H2682" t="s">
        <v>3206</v>
      </c>
      <c r="I2682" s="8">
        <v>46044</v>
      </c>
      <c r="J2682" t="s">
        <v>2659</v>
      </c>
      <c r="K2682" t="s">
        <v>2660</v>
      </c>
      <c r="L2682" s="13">
        <v>3500</v>
      </c>
      <c r="M2682" t="s">
        <v>2661</v>
      </c>
    </row>
    <row r="2683" spans="1:13">
      <c r="A2683" t="s">
        <v>1245</v>
      </c>
      <c r="B2683" t="s">
        <v>115</v>
      </c>
      <c r="C2683" s="8">
        <v>46108</v>
      </c>
      <c r="D2683" t="s">
        <v>324</v>
      </c>
      <c r="E2683" t="s">
        <v>328</v>
      </c>
      <c r="F2683" s="12">
        <v>312430</v>
      </c>
      <c r="G2683" s="13">
        <v>31</v>
      </c>
      <c r="H2683" t="s">
        <v>3437</v>
      </c>
      <c r="I2683" s="8">
        <v>45996</v>
      </c>
      <c r="J2683" t="s">
        <v>2668</v>
      </c>
      <c r="K2683" t="s">
        <v>2669</v>
      </c>
      <c r="L2683" s="13">
        <v>4000</v>
      </c>
      <c r="M2683" t="s">
        <v>2661</v>
      </c>
    </row>
    <row r="2684" spans="1:13">
      <c r="A2684" t="s">
        <v>1246</v>
      </c>
      <c r="B2684" t="s">
        <v>102</v>
      </c>
      <c r="C2684" s="8">
        <v>46055</v>
      </c>
      <c r="D2684" t="s">
        <v>350</v>
      </c>
      <c r="E2684" t="s">
        <v>339</v>
      </c>
      <c r="F2684" s="12">
        <v>943665</v>
      </c>
      <c r="G2684" s="13">
        <v>94</v>
      </c>
      <c r="H2684" t="s">
        <v>2797</v>
      </c>
      <c r="I2684" s="8">
        <v>46163</v>
      </c>
      <c r="J2684" t="s">
        <v>2665</v>
      </c>
      <c r="K2684" t="s">
        <v>2666</v>
      </c>
      <c r="L2684" s="13">
        <v>2500</v>
      </c>
      <c r="M2684" t="s">
        <v>2661</v>
      </c>
    </row>
    <row r="2685" spans="1:13">
      <c r="A2685" t="s">
        <v>1246</v>
      </c>
      <c r="B2685" t="s">
        <v>102</v>
      </c>
      <c r="C2685" s="8">
        <v>46055</v>
      </c>
      <c r="D2685" t="s">
        <v>350</v>
      </c>
      <c r="E2685" t="s">
        <v>339</v>
      </c>
      <c r="F2685" s="12">
        <v>943665</v>
      </c>
      <c r="G2685" s="13">
        <v>94</v>
      </c>
      <c r="H2685" t="s">
        <v>3355</v>
      </c>
      <c r="I2685" s="8">
        <v>46029</v>
      </c>
      <c r="J2685" t="s">
        <v>2659</v>
      </c>
      <c r="K2685" t="s">
        <v>2660</v>
      </c>
      <c r="L2685" s="13">
        <v>3500</v>
      </c>
      <c r="M2685" t="s">
        <v>2676</v>
      </c>
    </row>
    <row r="2686" spans="1:13">
      <c r="A2686" t="s">
        <v>1246</v>
      </c>
      <c r="B2686" t="s">
        <v>102</v>
      </c>
      <c r="C2686" s="8">
        <v>46055</v>
      </c>
      <c r="D2686" t="s">
        <v>350</v>
      </c>
      <c r="E2686" t="s">
        <v>339</v>
      </c>
      <c r="F2686" s="12">
        <v>943665</v>
      </c>
      <c r="G2686" s="13">
        <v>94</v>
      </c>
      <c r="H2686" t="s">
        <v>3360</v>
      </c>
      <c r="I2686" s="8">
        <v>46231</v>
      </c>
      <c r="J2686" t="s">
        <v>2674</v>
      </c>
      <c r="K2686" t="s">
        <v>2675</v>
      </c>
      <c r="L2686" s="13">
        <v>20000</v>
      </c>
      <c r="M2686" t="s">
        <v>2661</v>
      </c>
    </row>
    <row r="2687" spans="1:13">
      <c r="A2687" t="s">
        <v>1246</v>
      </c>
      <c r="B2687" t="s">
        <v>102</v>
      </c>
      <c r="C2687" s="8">
        <v>46055</v>
      </c>
      <c r="D2687" t="s">
        <v>350</v>
      </c>
      <c r="E2687" t="s">
        <v>339</v>
      </c>
      <c r="F2687" s="12">
        <v>943665</v>
      </c>
      <c r="G2687" s="13">
        <v>94</v>
      </c>
      <c r="H2687" t="s">
        <v>3439</v>
      </c>
      <c r="I2687" s="8">
        <v>46268</v>
      </c>
      <c r="J2687" t="s">
        <v>2663</v>
      </c>
      <c r="K2687" t="s">
        <v>3630</v>
      </c>
      <c r="L2687" s="13">
        <v>1500</v>
      </c>
      <c r="M2687" t="s">
        <v>2661</v>
      </c>
    </row>
    <row r="2688" spans="1:13">
      <c r="A2688" t="s">
        <v>1246</v>
      </c>
      <c r="B2688" t="s">
        <v>102</v>
      </c>
      <c r="C2688" s="8">
        <v>46055</v>
      </c>
      <c r="D2688" t="s">
        <v>350</v>
      </c>
      <c r="E2688" t="s">
        <v>339</v>
      </c>
      <c r="F2688" s="12">
        <v>943665</v>
      </c>
      <c r="G2688" s="13">
        <v>94</v>
      </c>
      <c r="H2688" t="s">
        <v>3565</v>
      </c>
      <c r="I2688" s="8">
        <v>46150</v>
      </c>
      <c r="J2688" t="s">
        <v>2674</v>
      </c>
      <c r="K2688" t="s">
        <v>2675</v>
      </c>
      <c r="L2688" s="13">
        <v>20000</v>
      </c>
      <c r="M2688" t="s">
        <v>2661</v>
      </c>
    </row>
    <row r="2689" spans="1:13">
      <c r="A2689" t="s">
        <v>1247</v>
      </c>
      <c r="B2689" t="s">
        <v>191</v>
      </c>
      <c r="C2689" s="8">
        <v>46242</v>
      </c>
      <c r="D2689" t="s">
        <v>344</v>
      </c>
      <c r="E2689" t="s">
        <v>337</v>
      </c>
      <c r="F2689" s="12">
        <v>112195</v>
      </c>
      <c r="G2689" s="13">
        <v>11</v>
      </c>
      <c r="H2689" t="s">
        <v>2707</v>
      </c>
      <c r="I2689" s="8">
        <v>46238</v>
      </c>
      <c r="J2689" t="s">
        <v>2665</v>
      </c>
      <c r="K2689" t="s">
        <v>2666</v>
      </c>
      <c r="L2689" s="13">
        <v>2500</v>
      </c>
      <c r="M2689" t="s">
        <v>2661</v>
      </c>
    </row>
    <row r="2690" spans="1:13">
      <c r="A2690" t="s">
        <v>1247</v>
      </c>
      <c r="B2690" t="s">
        <v>191</v>
      </c>
      <c r="C2690" s="8">
        <v>46242</v>
      </c>
      <c r="D2690" t="s">
        <v>344</v>
      </c>
      <c r="E2690" t="s">
        <v>337</v>
      </c>
      <c r="F2690" s="12">
        <v>112195</v>
      </c>
      <c r="G2690" s="13">
        <v>11</v>
      </c>
      <c r="H2690" t="s">
        <v>2934</v>
      </c>
      <c r="I2690" s="8">
        <v>46051</v>
      </c>
      <c r="J2690" t="s">
        <v>2668</v>
      </c>
      <c r="K2690" t="s">
        <v>2669</v>
      </c>
      <c r="L2690" s="13">
        <v>4000</v>
      </c>
      <c r="M2690" t="s">
        <v>2661</v>
      </c>
    </row>
    <row r="2691" spans="1:13">
      <c r="A2691" t="s">
        <v>1247</v>
      </c>
      <c r="B2691" t="s">
        <v>191</v>
      </c>
      <c r="C2691" s="8">
        <v>46242</v>
      </c>
      <c r="D2691" t="s">
        <v>344</v>
      </c>
      <c r="E2691" t="s">
        <v>337</v>
      </c>
      <c r="F2691" s="12">
        <v>112195</v>
      </c>
      <c r="G2691" s="13">
        <v>11</v>
      </c>
      <c r="H2691" t="s">
        <v>3388</v>
      </c>
      <c r="I2691" s="8">
        <v>46212</v>
      </c>
      <c r="J2691" t="s">
        <v>2663</v>
      </c>
      <c r="K2691" t="s">
        <v>3630</v>
      </c>
      <c r="L2691" s="13">
        <v>1500</v>
      </c>
      <c r="M2691" t="s">
        <v>2661</v>
      </c>
    </row>
    <row r="2692" spans="1:13">
      <c r="A2692" t="s">
        <v>1248</v>
      </c>
      <c r="B2692" t="s">
        <v>158</v>
      </c>
      <c r="C2692" s="8">
        <v>45954</v>
      </c>
      <c r="D2692" t="s">
        <v>342</v>
      </c>
      <c r="E2692" t="s">
        <v>325</v>
      </c>
      <c r="F2692" s="12">
        <v>256672</v>
      </c>
      <c r="G2692" s="13">
        <v>25</v>
      </c>
      <c r="H2692" t="s">
        <v>2831</v>
      </c>
      <c r="I2692" s="8">
        <v>46168</v>
      </c>
      <c r="J2692" t="s">
        <v>2659</v>
      </c>
      <c r="K2692" t="s">
        <v>2660</v>
      </c>
      <c r="L2692" s="13">
        <v>3500</v>
      </c>
      <c r="M2692" t="s">
        <v>2661</v>
      </c>
    </row>
    <row r="2693" spans="1:13">
      <c r="A2693" t="s">
        <v>1248</v>
      </c>
      <c r="B2693" t="s">
        <v>158</v>
      </c>
      <c r="C2693" s="8">
        <v>45954</v>
      </c>
      <c r="D2693" t="s">
        <v>342</v>
      </c>
      <c r="E2693" t="s">
        <v>325</v>
      </c>
      <c r="F2693" s="12">
        <v>256672</v>
      </c>
      <c r="G2693" s="13">
        <v>25</v>
      </c>
      <c r="H2693" t="s">
        <v>3034</v>
      </c>
      <c r="I2693" s="8">
        <v>46229</v>
      </c>
      <c r="J2693" t="s">
        <v>2665</v>
      </c>
      <c r="K2693" t="s">
        <v>2666</v>
      </c>
      <c r="L2693" s="13">
        <v>2500</v>
      </c>
      <c r="M2693" t="s">
        <v>2661</v>
      </c>
    </row>
    <row r="2694" spans="1:13">
      <c r="A2694" t="s">
        <v>1249</v>
      </c>
      <c r="B2694" t="s">
        <v>108</v>
      </c>
      <c r="C2694" s="8">
        <v>46263</v>
      </c>
      <c r="D2694" t="s">
        <v>350</v>
      </c>
      <c r="E2694" t="s">
        <v>322</v>
      </c>
      <c r="F2694" s="12">
        <v>208656</v>
      </c>
      <c r="G2694" s="13">
        <v>20</v>
      </c>
      <c r="H2694" t="s">
        <v>2694</v>
      </c>
      <c r="I2694" s="8">
        <v>46032</v>
      </c>
      <c r="J2694" t="s">
        <v>2682</v>
      </c>
      <c r="K2694" t="s">
        <v>2683</v>
      </c>
      <c r="L2694" s="13">
        <v>6000</v>
      </c>
      <c r="M2694" t="s">
        <v>2661</v>
      </c>
    </row>
    <row r="2695" spans="1:13">
      <c r="A2695" t="s">
        <v>1249</v>
      </c>
      <c r="B2695" t="s">
        <v>108</v>
      </c>
      <c r="C2695" s="8">
        <v>46263</v>
      </c>
      <c r="D2695" t="s">
        <v>350</v>
      </c>
      <c r="E2695" t="s">
        <v>322</v>
      </c>
      <c r="F2695" s="12">
        <v>208656</v>
      </c>
      <c r="G2695" s="13">
        <v>20</v>
      </c>
      <c r="H2695" t="s">
        <v>3089</v>
      </c>
      <c r="I2695" s="8">
        <v>46140</v>
      </c>
      <c r="J2695" t="s">
        <v>2659</v>
      </c>
      <c r="K2695" t="s">
        <v>2660</v>
      </c>
      <c r="L2695" s="13">
        <v>3500</v>
      </c>
      <c r="M2695" t="s">
        <v>2661</v>
      </c>
    </row>
    <row r="2696" spans="1:13">
      <c r="A2696" t="s">
        <v>1249</v>
      </c>
      <c r="B2696" t="s">
        <v>108</v>
      </c>
      <c r="C2696" s="8">
        <v>46263</v>
      </c>
      <c r="D2696" t="s">
        <v>350</v>
      </c>
      <c r="E2696" t="s">
        <v>322</v>
      </c>
      <c r="F2696" s="12">
        <v>208656</v>
      </c>
      <c r="G2696" s="13">
        <v>20</v>
      </c>
      <c r="H2696" t="s">
        <v>3140</v>
      </c>
      <c r="I2696" s="8">
        <v>46168</v>
      </c>
      <c r="J2696" t="s">
        <v>2671</v>
      </c>
      <c r="K2696" t="s">
        <v>2672</v>
      </c>
      <c r="L2696" s="13">
        <v>3000</v>
      </c>
      <c r="M2696" t="s">
        <v>2676</v>
      </c>
    </row>
    <row r="2697" spans="1:13">
      <c r="A2697" t="s">
        <v>1249</v>
      </c>
      <c r="B2697" t="s">
        <v>108</v>
      </c>
      <c r="C2697" s="8">
        <v>46263</v>
      </c>
      <c r="D2697" t="s">
        <v>350</v>
      </c>
      <c r="E2697" t="s">
        <v>322</v>
      </c>
      <c r="F2697" s="12">
        <v>208656</v>
      </c>
      <c r="G2697" s="13">
        <v>20</v>
      </c>
      <c r="H2697" t="s">
        <v>3219</v>
      </c>
      <c r="I2697" s="8">
        <v>45964</v>
      </c>
      <c r="J2697" t="s">
        <v>2692</v>
      </c>
      <c r="K2697" t="s">
        <v>2693</v>
      </c>
      <c r="L2697" s="13">
        <v>10000</v>
      </c>
      <c r="M2697" t="s">
        <v>2676</v>
      </c>
    </row>
    <row r="2698" spans="1:13">
      <c r="A2698" t="s">
        <v>1250</v>
      </c>
      <c r="B2698" t="s">
        <v>253</v>
      </c>
      <c r="C2698" s="8">
        <v>46273</v>
      </c>
      <c r="D2698" t="s">
        <v>342</v>
      </c>
      <c r="E2698" t="s">
        <v>337</v>
      </c>
      <c r="F2698" s="12">
        <v>341517</v>
      </c>
      <c r="G2698" s="13">
        <v>34</v>
      </c>
      <c r="H2698" t="s">
        <v>2862</v>
      </c>
      <c r="I2698" s="8">
        <v>46039</v>
      </c>
      <c r="J2698" t="s">
        <v>2663</v>
      </c>
      <c r="K2698" t="s">
        <v>3630</v>
      </c>
      <c r="L2698" s="13">
        <v>1500</v>
      </c>
      <c r="M2698" t="s">
        <v>2661</v>
      </c>
    </row>
    <row r="2699" spans="1:13">
      <c r="A2699" t="s">
        <v>1250</v>
      </c>
      <c r="B2699" t="s">
        <v>253</v>
      </c>
      <c r="C2699" s="8">
        <v>46273</v>
      </c>
      <c r="D2699" t="s">
        <v>342</v>
      </c>
      <c r="E2699" t="s">
        <v>337</v>
      </c>
      <c r="F2699" s="12">
        <v>341517</v>
      </c>
      <c r="G2699" s="13">
        <v>34</v>
      </c>
      <c r="H2699" t="s">
        <v>3158</v>
      </c>
      <c r="I2699" s="8">
        <v>46168</v>
      </c>
      <c r="J2699" t="s">
        <v>2685</v>
      </c>
      <c r="K2699" t="s">
        <v>2686</v>
      </c>
      <c r="L2699" s="13">
        <v>5000</v>
      </c>
      <c r="M2699" t="s">
        <v>2676</v>
      </c>
    </row>
    <row r="2700" spans="1:13">
      <c r="A2700" t="s">
        <v>1250</v>
      </c>
      <c r="B2700" t="s">
        <v>253</v>
      </c>
      <c r="C2700" s="8">
        <v>46273</v>
      </c>
      <c r="D2700" t="s">
        <v>342</v>
      </c>
      <c r="E2700" t="s">
        <v>337</v>
      </c>
      <c r="F2700" s="12">
        <v>341517</v>
      </c>
      <c r="G2700" s="13">
        <v>34</v>
      </c>
      <c r="H2700" t="s">
        <v>3173</v>
      </c>
      <c r="I2700" s="8">
        <v>46038</v>
      </c>
      <c r="J2700" t="s">
        <v>2682</v>
      </c>
      <c r="K2700" t="s">
        <v>2683</v>
      </c>
      <c r="L2700" s="13">
        <v>6000</v>
      </c>
      <c r="M2700" t="s">
        <v>2676</v>
      </c>
    </row>
    <row r="2701" spans="1:13">
      <c r="A2701" t="s">
        <v>1250</v>
      </c>
      <c r="B2701" t="s">
        <v>253</v>
      </c>
      <c r="C2701" s="8">
        <v>46273</v>
      </c>
      <c r="D2701" t="s">
        <v>342</v>
      </c>
      <c r="E2701" t="s">
        <v>337</v>
      </c>
      <c r="F2701" s="12">
        <v>341517</v>
      </c>
      <c r="G2701" s="13">
        <v>34</v>
      </c>
      <c r="H2701" t="s">
        <v>3235</v>
      </c>
      <c r="I2701" s="8">
        <v>45953</v>
      </c>
      <c r="J2701" t="s">
        <v>2663</v>
      </c>
      <c r="K2701" t="s">
        <v>3630</v>
      </c>
      <c r="L2701" s="13">
        <v>1500</v>
      </c>
      <c r="M2701" t="s">
        <v>2661</v>
      </c>
    </row>
    <row r="2702" spans="1:13">
      <c r="A2702" t="s">
        <v>1251</v>
      </c>
      <c r="B2702" t="s">
        <v>68</v>
      </c>
      <c r="C2702" s="8">
        <v>46187</v>
      </c>
      <c r="D2702" t="s">
        <v>321</v>
      </c>
      <c r="E2702" t="s">
        <v>337</v>
      </c>
      <c r="F2702" s="12">
        <v>156633</v>
      </c>
      <c r="G2702" s="13">
        <v>15</v>
      </c>
      <c r="H2702" t="s">
        <v>2869</v>
      </c>
      <c r="I2702" s="8">
        <v>46266</v>
      </c>
      <c r="J2702" t="s">
        <v>2671</v>
      </c>
      <c r="K2702" t="s">
        <v>2672</v>
      </c>
      <c r="L2702" s="13">
        <v>3000</v>
      </c>
      <c r="M2702" t="s">
        <v>2661</v>
      </c>
    </row>
    <row r="2703" spans="1:13">
      <c r="A2703" t="s">
        <v>1251</v>
      </c>
      <c r="B2703" t="s">
        <v>68</v>
      </c>
      <c r="C2703" s="8">
        <v>46187</v>
      </c>
      <c r="D2703" t="s">
        <v>321</v>
      </c>
      <c r="E2703" t="s">
        <v>337</v>
      </c>
      <c r="F2703" s="12">
        <v>156633</v>
      </c>
      <c r="G2703" s="13">
        <v>15</v>
      </c>
      <c r="H2703" t="s">
        <v>3248</v>
      </c>
      <c r="I2703" s="8">
        <v>45945</v>
      </c>
      <c r="J2703" t="s">
        <v>2682</v>
      </c>
      <c r="K2703" t="s">
        <v>2683</v>
      </c>
      <c r="L2703" s="13">
        <v>6000</v>
      </c>
      <c r="M2703" t="s">
        <v>2661</v>
      </c>
    </row>
    <row r="2704" spans="1:13">
      <c r="A2704" t="s">
        <v>1251</v>
      </c>
      <c r="B2704" t="s">
        <v>68</v>
      </c>
      <c r="C2704" s="8">
        <v>46187</v>
      </c>
      <c r="D2704" t="s">
        <v>321</v>
      </c>
      <c r="E2704" t="s">
        <v>337</v>
      </c>
      <c r="F2704" s="12">
        <v>156633</v>
      </c>
      <c r="G2704" s="13">
        <v>15</v>
      </c>
      <c r="H2704" t="s">
        <v>3506</v>
      </c>
      <c r="I2704" s="8">
        <v>46080</v>
      </c>
      <c r="J2704" t="s">
        <v>2668</v>
      </c>
      <c r="K2704" t="s">
        <v>2669</v>
      </c>
      <c r="L2704" s="13">
        <v>4000</v>
      </c>
      <c r="M2704" t="s">
        <v>2661</v>
      </c>
    </row>
    <row r="2705" spans="1:13">
      <c r="A2705" t="s">
        <v>1252</v>
      </c>
      <c r="B2705" t="s">
        <v>265</v>
      </c>
      <c r="C2705" s="8">
        <v>46029</v>
      </c>
      <c r="D2705" t="s">
        <v>344</v>
      </c>
      <c r="E2705" t="s">
        <v>337</v>
      </c>
      <c r="F2705" s="12">
        <v>123297</v>
      </c>
      <c r="G2705" s="13">
        <v>12</v>
      </c>
      <c r="H2705" t="s">
        <v>2909</v>
      </c>
      <c r="I2705" s="8">
        <v>45963</v>
      </c>
      <c r="J2705" t="s">
        <v>2659</v>
      </c>
      <c r="K2705" t="s">
        <v>2660</v>
      </c>
      <c r="L2705" s="13">
        <v>3500</v>
      </c>
      <c r="M2705" t="s">
        <v>2661</v>
      </c>
    </row>
    <row r="2706" spans="1:13">
      <c r="A2706" t="s">
        <v>1254</v>
      </c>
      <c r="B2706" t="s">
        <v>259</v>
      </c>
      <c r="C2706" s="8">
        <v>46092</v>
      </c>
      <c r="D2706" t="s">
        <v>344</v>
      </c>
      <c r="E2706" t="s">
        <v>322</v>
      </c>
      <c r="F2706" s="12">
        <v>186559</v>
      </c>
      <c r="G2706" s="13">
        <v>18</v>
      </c>
      <c r="H2706" t="s">
        <v>2802</v>
      </c>
      <c r="I2706" s="8">
        <v>46222</v>
      </c>
      <c r="J2706" t="s">
        <v>2668</v>
      </c>
      <c r="K2706" t="s">
        <v>2669</v>
      </c>
      <c r="L2706" s="13">
        <v>4000</v>
      </c>
      <c r="M2706" t="s">
        <v>2661</v>
      </c>
    </row>
    <row r="2707" spans="1:13">
      <c r="A2707" t="s">
        <v>1254</v>
      </c>
      <c r="B2707" t="s">
        <v>259</v>
      </c>
      <c r="C2707" s="8">
        <v>46092</v>
      </c>
      <c r="D2707" t="s">
        <v>344</v>
      </c>
      <c r="E2707" t="s">
        <v>322</v>
      </c>
      <c r="F2707" s="12">
        <v>186559</v>
      </c>
      <c r="G2707" s="13">
        <v>18</v>
      </c>
      <c r="H2707" t="s">
        <v>2933</v>
      </c>
      <c r="I2707" s="8">
        <v>46183</v>
      </c>
      <c r="J2707" t="s">
        <v>2674</v>
      </c>
      <c r="K2707" t="s">
        <v>2675</v>
      </c>
      <c r="L2707" s="13">
        <v>20000</v>
      </c>
      <c r="M2707" t="s">
        <v>2661</v>
      </c>
    </row>
    <row r="2708" spans="1:13">
      <c r="A2708" t="s">
        <v>1254</v>
      </c>
      <c r="B2708" t="s">
        <v>259</v>
      </c>
      <c r="C2708" s="8">
        <v>46092</v>
      </c>
      <c r="D2708" t="s">
        <v>344</v>
      </c>
      <c r="E2708" t="s">
        <v>322</v>
      </c>
      <c r="F2708" s="12">
        <v>186559</v>
      </c>
      <c r="G2708" s="13">
        <v>18</v>
      </c>
      <c r="H2708" t="s">
        <v>2969</v>
      </c>
      <c r="I2708" s="8">
        <v>46173</v>
      </c>
      <c r="J2708" t="s">
        <v>2668</v>
      </c>
      <c r="K2708" t="s">
        <v>2669</v>
      </c>
      <c r="L2708" s="13">
        <v>4000</v>
      </c>
      <c r="M2708" t="s">
        <v>2661</v>
      </c>
    </row>
    <row r="2709" spans="1:13">
      <c r="A2709" t="s">
        <v>1254</v>
      </c>
      <c r="B2709" t="s">
        <v>259</v>
      </c>
      <c r="C2709" s="8">
        <v>46092</v>
      </c>
      <c r="D2709" t="s">
        <v>344</v>
      </c>
      <c r="E2709" t="s">
        <v>322</v>
      </c>
      <c r="F2709" s="12">
        <v>186559</v>
      </c>
      <c r="G2709" s="13">
        <v>18</v>
      </c>
      <c r="H2709" t="s">
        <v>3300</v>
      </c>
      <c r="I2709" s="8">
        <v>46089</v>
      </c>
      <c r="J2709" t="s">
        <v>2688</v>
      </c>
      <c r="K2709" t="s">
        <v>2689</v>
      </c>
      <c r="L2709" s="13">
        <v>8000</v>
      </c>
      <c r="M2709" t="s">
        <v>2676</v>
      </c>
    </row>
    <row r="2710" spans="1:13">
      <c r="A2710" t="s">
        <v>1255</v>
      </c>
      <c r="B2710" t="s">
        <v>173</v>
      </c>
      <c r="C2710" s="8">
        <v>46082</v>
      </c>
      <c r="D2710" t="s">
        <v>350</v>
      </c>
      <c r="E2710" t="s">
        <v>334</v>
      </c>
      <c r="F2710" s="12">
        <v>225394</v>
      </c>
      <c r="G2710" s="13">
        <v>22</v>
      </c>
      <c r="H2710" t="s">
        <v>2961</v>
      </c>
      <c r="I2710" s="8">
        <v>46293</v>
      </c>
      <c r="J2710" t="s">
        <v>2663</v>
      </c>
      <c r="K2710" t="s">
        <v>3630</v>
      </c>
      <c r="L2710" s="13">
        <v>1500</v>
      </c>
      <c r="M2710" t="s">
        <v>2661</v>
      </c>
    </row>
    <row r="2711" spans="1:13">
      <c r="A2711" t="s">
        <v>1255</v>
      </c>
      <c r="B2711" t="s">
        <v>173</v>
      </c>
      <c r="C2711" s="8">
        <v>46082</v>
      </c>
      <c r="D2711" t="s">
        <v>350</v>
      </c>
      <c r="E2711" t="s">
        <v>334</v>
      </c>
      <c r="F2711" s="12">
        <v>225394</v>
      </c>
      <c r="G2711" s="13">
        <v>22</v>
      </c>
      <c r="H2711" t="s">
        <v>3113</v>
      </c>
      <c r="I2711" s="8">
        <v>46105</v>
      </c>
      <c r="J2711" t="s">
        <v>2663</v>
      </c>
      <c r="K2711" t="s">
        <v>3630</v>
      </c>
      <c r="L2711" s="13">
        <v>1500</v>
      </c>
      <c r="M2711" t="s">
        <v>2661</v>
      </c>
    </row>
    <row r="2712" spans="1:13">
      <c r="A2712" t="s">
        <v>1255</v>
      </c>
      <c r="B2712" t="s">
        <v>173</v>
      </c>
      <c r="C2712" s="8">
        <v>46082</v>
      </c>
      <c r="D2712" t="s">
        <v>350</v>
      </c>
      <c r="E2712" t="s">
        <v>334</v>
      </c>
      <c r="F2712" s="12">
        <v>225394</v>
      </c>
      <c r="G2712" s="13">
        <v>22</v>
      </c>
      <c r="H2712" t="s">
        <v>3225</v>
      </c>
      <c r="I2712" s="8">
        <v>46285</v>
      </c>
      <c r="J2712" t="s">
        <v>2665</v>
      </c>
      <c r="K2712" t="s">
        <v>2666</v>
      </c>
      <c r="L2712" s="13">
        <v>2500</v>
      </c>
      <c r="M2712" t="s">
        <v>2676</v>
      </c>
    </row>
    <row r="2713" spans="1:13">
      <c r="A2713" t="s">
        <v>1255</v>
      </c>
      <c r="B2713" t="s">
        <v>173</v>
      </c>
      <c r="C2713" s="8">
        <v>46082</v>
      </c>
      <c r="D2713" t="s">
        <v>350</v>
      </c>
      <c r="E2713" t="s">
        <v>334</v>
      </c>
      <c r="F2713" s="12">
        <v>225394</v>
      </c>
      <c r="G2713" s="13">
        <v>22</v>
      </c>
      <c r="H2713" t="s">
        <v>3228</v>
      </c>
      <c r="I2713" s="8">
        <v>46163</v>
      </c>
      <c r="J2713" t="s">
        <v>2659</v>
      </c>
      <c r="K2713" t="s">
        <v>2660</v>
      </c>
      <c r="L2713" s="13">
        <v>3500</v>
      </c>
      <c r="M2713" t="s">
        <v>2661</v>
      </c>
    </row>
    <row r="2714" spans="1:13">
      <c r="A2714" t="s">
        <v>1256</v>
      </c>
      <c r="B2714" t="s">
        <v>92</v>
      </c>
      <c r="C2714" s="8">
        <v>46092</v>
      </c>
      <c r="D2714" t="s">
        <v>344</v>
      </c>
      <c r="E2714" t="s">
        <v>328</v>
      </c>
      <c r="F2714" s="12">
        <v>716503</v>
      </c>
      <c r="G2714" s="13">
        <v>71</v>
      </c>
      <c r="H2714" t="s">
        <v>3415</v>
      </c>
      <c r="I2714" s="8">
        <v>46280</v>
      </c>
      <c r="J2714" t="s">
        <v>2663</v>
      </c>
      <c r="K2714" t="s">
        <v>3630</v>
      </c>
      <c r="L2714" s="13">
        <v>1500</v>
      </c>
      <c r="M2714" t="s">
        <v>2661</v>
      </c>
    </row>
    <row r="2715" spans="1:13">
      <c r="A2715" t="s">
        <v>1256</v>
      </c>
      <c r="B2715" t="s">
        <v>92</v>
      </c>
      <c r="C2715" s="8">
        <v>46092</v>
      </c>
      <c r="D2715" t="s">
        <v>344</v>
      </c>
      <c r="E2715" t="s">
        <v>328</v>
      </c>
      <c r="F2715" s="12">
        <v>716503</v>
      </c>
      <c r="G2715" s="13">
        <v>71</v>
      </c>
      <c r="H2715" t="s">
        <v>3577</v>
      </c>
      <c r="I2715" s="8">
        <v>45965</v>
      </c>
      <c r="J2715" t="s">
        <v>2663</v>
      </c>
      <c r="K2715" t="s">
        <v>3630</v>
      </c>
      <c r="L2715" s="13">
        <v>1500</v>
      </c>
      <c r="M2715" t="s">
        <v>2661</v>
      </c>
    </row>
    <row r="2716" spans="1:13">
      <c r="A2716" t="s">
        <v>1257</v>
      </c>
      <c r="B2716" t="s">
        <v>22</v>
      </c>
      <c r="C2716" s="8">
        <v>46220</v>
      </c>
      <c r="D2716" t="s">
        <v>330</v>
      </c>
      <c r="E2716" t="s">
        <v>322</v>
      </c>
      <c r="F2716" s="12">
        <v>228468</v>
      </c>
      <c r="G2716" s="13">
        <v>22</v>
      </c>
      <c r="H2716" t="s">
        <v>3212</v>
      </c>
      <c r="I2716" s="8">
        <v>45987</v>
      </c>
      <c r="J2716" t="s">
        <v>2659</v>
      </c>
      <c r="K2716" t="s">
        <v>2660</v>
      </c>
      <c r="L2716" s="13">
        <v>3500</v>
      </c>
      <c r="M2716" t="s">
        <v>2661</v>
      </c>
    </row>
    <row r="2717" spans="1:13">
      <c r="A2717" t="s">
        <v>1257</v>
      </c>
      <c r="B2717" t="s">
        <v>22</v>
      </c>
      <c r="C2717" s="8">
        <v>46220</v>
      </c>
      <c r="D2717" t="s">
        <v>330</v>
      </c>
      <c r="E2717" t="s">
        <v>322</v>
      </c>
      <c r="F2717" s="12">
        <v>228468</v>
      </c>
      <c r="G2717" s="13">
        <v>22</v>
      </c>
      <c r="H2717" t="s">
        <v>3444</v>
      </c>
      <c r="I2717" s="8">
        <v>46084</v>
      </c>
      <c r="J2717" t="s">
        <v>2659</v>
      </c>
      <c r="K2717" t="s">
        <v>2660</v>
      </c>
      <c r="L2717" s="13">
        <v>3500</v>
      </c>
      <c r="M2717" t="s">
        <v>2661</v>
      </c>
    </row>
    <row r="2718" spans="1:13">
      <c r="A2718" t="s">
        <v>1257</v>
      </c>
      <c r="B2718" t="s">
        <v>22</v>
      </c>
      <c r="C2718" s="8">
        <v>46220</v>
      </c>
      <c r="D2718" t="s">
        <v>330</v>
      </c>
      <c r="E2718" t="s">
        <v>322</v>
      </c>
      <c r="F2718" s="12">
        <v>228468</v>
      </c>
      <c r="G2718" s="13">
        <v>22</v>
      </c>
      <c r="H2718" t="s">
        <v>3537</v>
      </c>
      <c r="I2718" s="8">
        <v>46009</v>
      </c>
      <c r="J2718" t="s">
        <v>2659</v>
      </c>
      <c r="K2718" t="s">
        <v>2660</v>
      </c>
      <c r="L2718" s="13">
        <v>3500</v>
      </c>
      <c r="M2718" t="s">
        <v>2661</v>
      </c>
    </row>
    <row r="2719" spans="1:13">
      <c r="A2719" t="s">
        <v>1258</v>
      </c>
      <c r="B2719" t="s">
        <v>298</v>
      </c>
      <c r="C2719" s="8">
        <v>45947</v>
      </c>
      <c r="D2719" t="s">
        <v>350</v>
      </c>
      <c r="E2719" t="s">
        <v>339</v>
      </c>
      <c r="F2719" s="12">
        <v>28477</v>
      </c>
      <c r="G2719" s="13">
        <v>2</v>
      </c>
      <c r="H2719" t="s">
        <v>2931</v>
      </c>
      <c r="I2719" s="8">
        <v>46241</v>
      </c>
      <c r="J2719" t="s">
        <v>2671</v>
      </c>
      <c r="K2719" t="s">
        <v>2672</v>
      </c>
      <c r="L2719" s="13">
        <v>3000</v>
      </c>
      <c r="M2719" t="s">
        <v>2661</v>
      </c>
    </row>
    <row r="2720" spans="1:13">
      <c r="A2720" t="s">
        <v>1258</v>
      </c>
      <c r="B2720" t="s">
        <v>298</v>
      </c>
      <c r="C2720" s="8">
        <v>45947</v>
      </c>
      <c r="D2720" t="s">
        <v>350</v>
      </c>
      <c r="E2720" t="s">
        <v>339</v>
      </c>
      <c r="F2720" s="12">
        <v>28477</v>
      </c>
      <c r="G2720" s="13">
        <v>2</v>
      </c>
      <c r="H2720" t="s">
        <v>3012</v>
      </c>
      <c r="I2720" s="8">
        <v>46256</v>
      </c>
      <c r="J2720" t="s">
        <v>2682</v>
      </c>
      <c r="K2720" t="s">
        <v>2683</v>
      </c>
      <c r="L2720" s="13">
        <v>6000</v>
      </c>
      <c r="M2720" t="s">
        <v>2661</v>
      </c>
    </row>
    <row r="2721" spans="1:13">
      <c r="A2721" t="s">
        <v>1259</v>
      </c>
      <c r="B2721" t="s">
        <v>256</v>
      </c>
      <c r="C2721" s="8">
        <v>46100</v>
      </c>
      <c r="D2721" t="s">
        <v>332</v>
      </c>
      <c r="E2721" t="s">
        <v>334</v>
      </c>
      <c r="F2721" s="12">
        <v>250132</v>
      </c>
      <c r="G2721" s="13">
        <v>25</v>
      </c>
      <c r="H2721" t="s">
        <v>3289</v>
      </c>
      <c r="I2721" s="8">
        <v>46146</v>
      </c>
      <c r="J2721" t="s">
        <v>2659</v>
      </c>
      <c r="K2721" t="s">
        <v>2660</v>
      </c>
      <c r="L2721" s="13">
        <v>3500</v>
      </c>
      <c r="M2721" t="s">
        <v>2661</v>
      </c>
    </row>
    <row r="2722" spans="1:13">
      <c r="A2722" t="s">
        <v>1260</v>
      </c>
      <c r="B2722" t="s">
        <v>211</v>
      </c>
      <c r="C2722" s="8">
        <v>46230</v>
      </c>
      <c r="D2722" t="s">
        <v>342</v>
      </c>
      <c r="E2722" t="s">
        <v>325</v>
      </c>
      <c r="F2722" s="12">
        <v>657363</v>
      </c>
      <c r="G2722" s="13">
        <v>65</v>
      </c>
      <c r="H2722" t="s">
        <v>2724</v>
      </c>
      <c r="I2722" s="8">
        <v>45945</v>
      </c>
      <c r="J2722" t="s">
        <v>2665</v>
      </c>
      <c r="K2722" t="s">
        <v>2666</v>
      </c>
      <c r="L2722" s="13">
        <v>2500</v>
      </c>
      <c r="M2722" t="s">
        <v>2661</v>
      </c>
    </row>
    <row r="2723" spans="1:13">
      <c r="A2723" t="s">
        <v>1261</v>
      </c>
      <c r="B2723" t="s">
        <v>103</v>
      </c>
      <c r="C2723" s="8">
        <v>46256</v>
      </c>
      <c r="D2723" t="s">
        <v>350</v>
      </c>
      <c r="E2723" t="s">
        <v>339</v>
      </c>
      <c r="F2723" s="12">
        <v>120157</v>
      </c>
      <c r="G2723" s="13">
        <v>12</v>
      </c>
      <c r="H2723" t="s">
        <v>2729</v>
      </c>
      <c r="I2723" s="8">
        <v>45974</v>
      </c>
      <c r="J2723" t="s">
        <v>2692</v>
      </c>
      <c r="K2723" t="s">
        <v>2693</v>
      </c>
      <c r="L2723" s="13">
        <v>10000</v>
      </c>
      <c r="M2723" t="s">
        <v>2661</v>
      </c>
    </row>
    <row r="2724" spans="1:13">
      <c r="A2724" t="s">
        <v>1261</v>
      </c>
      <c r="B2724" t="s">
        <v>103</v>
      </c>
      <c r="C2724" s="8">
        <v>46256</v>
      </c>
      <c r="D2724" t="s">
        <v>350</v>
      </c>
      <c r="E2724" t="s">
        <v>339</v>
      </c>
      <c r="F2724" s="12">
        <v>120157</v>
      </c>
      <c r="G2724" s="13">
        <v>12</v>
      </c>
      <c r="H2724" t="s">
        <v>2768</v>
      </c>
      <c r="I2724" s="8">
        <v>46048</v>
      </c>
      <c r="J2724" t="s">
        <v>2682</v>
      </c>
      <c r="K2724" t="s">
        <v>2683</v>
      </c>
      <c r="L2724" s="13">
        <v>6000</v>
      </c>
      <c r="M2724" t="s">
        <v>2661</v>
      </c>
    </row>
    <row r="2725" spans="1:13">
      <c r="A2725" t="s">
        <v>1261</v>
      </c>
      <c r="B2725" t="s">
        <v>103</v>
      </c>
      <c r="C2725" s="8">
        <v>46256</v>
      </c>
      <c r="D2725" t="s">
        <v>350</v>
      </c>
      <c r="E2725" t="s">
        <v>339</v>
      </c>
      <c r="F2725" s="12">
        <v>120157</v>
      </c>
      <c r="G2725" s="13">
        <v>12</v>
      </c>
      <c r="H2725" t="s">
        <v>3094</v>
      </c>
      <c r="I2725" s="8">
        <v>46015</v>
      </c>
      <c r="J2725" t="s">
        <v>2665</v>
      </c>
      <c r="K2725" t="s">
        <v>2666</v>
      </c>
      <c r="L2725" s="13">
        <v>2500</v>
      </c>
      <c r="M2725" t="s">
        <v>2661</v>
      </c>
    </row>
    <row r="2726" spans="1:13">
      <c r="A2726" t="s">
        <v>1261</v>
      </c>
      <c r="B2726" t="s">
        <v>103</v>
      </c>
      <c r="C2726" s="8">
        <v>46256</v>
      </c>
      <c r="D2726" t="s">
        <v>350</v>
      </c>
      <c r="E2726" t="s">
        <v>339</v>
      </c>
      <c r="F2726" s="12">
        <v>120157</v>
      </c>
      <c r="G2726" s="13">
        <v>12</v>
      </c>
      <c r="H2726" t="s">
        <v>3371</v>
      </c>
      <c r="I2726" s="8">
        <v>46261</v>
      </c>
      <c r="J2726" t="s">
        <v>2674</v>
      </c>
      <c r="K2726" t="s">
        <v>2675</v>
      </c>
      <c r="L2726" s="13">
        <v>20000</v>
      </c>
      <c r="M2726" t="s">
        <v>2676</v>
      </c>
    </row>
    <row r="2727" spans="1:13">
      <c r="A2727" t="s">
        <v>1261</v>
      </c>
      <c r="B2727" t="s">
        <v>103</v>
      </c>
      <c r="C2727" s="8">
        <v>46256</v>
      </c>
      <c r="D2727" t="s">
        <v>350</v>
      </c>
      <c r="E2727" t="s">
        <v>339</v>
      </c>
      <c r="F2727" s="12">
        <v>120157</v>
      </c>
      <c r="G2727" s="13">
        <v>12</v>
      </c>
      <c r="H2727" t="s">
        <v>3394</v>
      </c>
      <c r="I2727" s="8">
        <v>46193</v>
      </c>
      <c r="J2727" t="s">
        <v>2659</v>
      </c>
      <c r="K2727" t="s">
        <v>2660</v>
      </c>
      <c r="L2727" s="13">
        <v>3500</v>
      </c>
      <c r="M2727" t="s">
        <v>2676</v>
      </c>
    </row>
    <row r="2728" spans="1:13">
      <c r="A2728" t="s">
        <v>1261</v>
      </c>
      <c r="B2728" t="s">
        <v>103</v>
      </c>
      <c r="C2728" s="8">
        <v>46256</v>
      </c>
      <c r="D2728" t="s">
        <v>350</v>
      </c>
      <c r="E2728" t="s">
        <v>339</v>
      </c>
      <c r="F2728" s="12">
        <v>120157</v>
      </c>
      <c r="G2728" s="13">
        <v>12</v>
      </c>
      <c r="H2728" t="s">
        <v>3445</v>
      </c>
      <c r="I2728" s="8">
        <v>46231</v>
      </c>
      <c r="J2728" t="s">
        <v>2688</v>
      </c>
      <c r="K2728" t="s">
        <v>2689</v>
      </c>
      <c r="L2728" s="13">
        <v>8000</v>
      </c>
      <c r="M2728" t="s">
        <v>2661</v>
      </c>
    </row>
    <row r="2729" spans="1:13">
      <c r="A2729" t="s">
        <v>1261</v>
      </c>
      <c r="B2729" t="s">
        <v>103</v>
      </c>
      <c r="C2729" s="8">
        <v>46256</v>
      </c>
      <c r="D2729" t="s">
        <v>350</v>
      </c>
      <c r="E2729" t="s">
        <v>339</v>
      </c>
      <c r="F2729" s="12">
        <v>120157</v>
      </c>
      <c r="G2729" s="13">
        <v>12</v>
      </c>
      <c r="H2729" t="s">
        <v>3522</v>
      </c>
      <c r="I2729" s="8">
        <v>45989</v>
      </c>
      <c r="J2729" t="s">
        <v>2665</v>
      </c>
      <c r="K2729" t="s">
        <v>2666</v>
      </c>
      <c r="L2729" s="13">
        <v>2500</v>
      </c>
      <c r="M2729" t="s">
        <v>2661</v>
      </c>
    </row>
    <row r="2730" spans="1:13">
      <c r="A2730" t="s">
        <v>1261</v>
      </c>
      <c r="B2730" t="s">
        <v>103</v>
      </c>
      <c r="C2730" s="8">
        <v>46256</v>
      </c>
      <c r="D2730" t="s">
        <v>350</v>
      </c>
      <c r="E2730" t="s">
        <v>339</v>
      </c>
      <c r="F2730" s="12">
        <v>120157</v>
      </c>
      <c r="G2730" s="13">
        <v>12</v>
      </c>
      <c r="H2730" t="s">
        <v>3539</v>
      </c>
      <c r="I2730" s="8">
        <v>46041</v>
      </c>
      <c r="J2730" t="s">
        <v>2682</v>
      </c>
      <c r="K2730" t="s">
        <v>2683</v>
      </c>
      <c r="L2730" s="13">
        <v>6000</v>
      </c>
      <c r="M2730" t="s">
        <v>2661</v>
      </c>
    </row>
    <row r="2731" spans="1:13">
      <c r="A2731" t="s">
        <v>1262</v>
      </c>
      <c r="B2731" t="s">
        <v>231</v>
      </c>
      <c r="C2731" s="8">
        <v>46027</v>
      </c>
      <c r="D2731" t="s">
        <v>342</v>
      </c>
      <c r="E2731" t="s">
        <v>328</v>
      </c>
      <c r="F2731" s="12">
        <v>731781</v>
      </c>
      <c r="G2731" s="13">
        <v>73</v>
      </c>
      <c r="H2731" t="s">
        <v>2875</v>
      </c>
      <c r="I2731" s="8">
        <v>46085</v>
      </c>
      <c r="J2731" t="s">
        <v>2665</v>
      </c>
      <c r="K2731" t="s">
        <v>2666</v>
      </c>
      <c r="L2731" s="13">
        <v>2500</v>
      </c>
      <c r="M2731" t="s">
        <v>2661</v>
      </c>
    </row>
    <row r="2732" spans="1:13">
      <c r="A2732" t="s">
        <v>1262</v>
      </c>
      <c r="B2732" t="s">
        <v>231</v>
      </c>
      <c r="C2732" s="8">
        <v>46027</v>
      </c>
      <c r="D2732" t="s">
        <v>342</v>
      </c>
      <c r="E2732" t="s">
        <v>328</v>
      </c>
      <c r="F2732" s="12">
        <v>731781</v>
      </c>
      <c r="G2732" s="13">
        <v>73</v>
      </c>
      <c r="H2732" t="s">
        <v>3014</v>
      </c>
      <c r="I2732" s="8">
        <v>46207</v>
      </c>
      <c r="J2732" t="s">
        <v>2665</v>
      </c>
      <c r="K2732" t="s">
        <v>2666</v>
      </c>
      <c r="L2732" s="13">
        <v>2500</v>
      </c>
      <c r="M2732" t="s">
        <v>2676</v>
      </c>
    </row>
    <row r="2733" spans="1:13">
      <c r="A2733" t="s">
        <v>1263</v>
      </c>
      <c r="B2733" t="s">
        <v>176</v>
      </c>
      <c r="C2733" s="8">
        <v>46159</v>
      </c>
      <c r="D2733" t="s">
        <v>327</v>
      </c>
      <c r="E2733" t="s">
        <v>334</v>
      </c>
      <c r="F2733" s="12">
        <v>157965</v>
      </c>
      <c r="G2733" s="13">
        <v>15</v>
      </c>
      <c r="H2733" t="s">
        <v>2717</v>
      </c>
      <c r="I2733" s="8">
        <v>46184</v>
      </c>
      <c r="J2733" t="s">
        <v>2692</v>
      </c>
      <c r="K2733" t="s">
        <v>2693</v>
      </c>
      <c r="L2733" s="13">
        <v>10000</v>
      </c>
      <c r="M2733" t="s">
        <v>2661</v>
      </c>
    </row>
    <row r="2734" spans="1:13">
      <c r="A2734" t="s">
        <v>1263</v>
      </c>
      <c r="B2734" t="s">
        <v>176</v>
      </c>
      <c r="C2734" s="8">
        <v>46159</v>
      </c>
      <c r="D2734" t="s">
        <v>327</v>
      </c>
      <c r="E2734" t="s">
        <v>334</v>
      </c>
      <c r="F2734" s="12">
        <v>157965</v>
      </c>
      <c r="G2734" s="13">
        <v>15</v>
      </c>
      <c r="H2734" t="s">
        <v>3103</v>
      </c>
      <c r="I2734" s="8">
        <v>46188</v>
      </c>
      <c r="J2734" t="s">
        <v>2692</v>
      </c>
      <c r="K2734" t="s">
        <v>2693</v>
      </c>
      <c r="L2734" s="13">
        <v>10000</v>
      </c>
      <c r="M2734" t="s">
        <v>2661</v>
      </c>
    </row>
    <row r="2735" spans="1:13">
      <c r="A2735" t="s">
        <v>1263</v>
      </c>
      <c r="B2735" t="s">
        <v>176</v>
      </c>
      <c r="C2735" s="8">
        <v>46159</v>
      </c>
      <c r="D2735" t="s">
        <v>327</v>
      </c>
      <c r="E2735" t="s">
        <v>334</v>
      </c>
      <c r="F2735" s="12">
        <v>157965</v>
      </c>
      <c r="G2735" s="13">
        <v>15</v>
      </c>
      <c r="H2735" t="s">
        <v>3218</v>
      </c>
      <c r="I2735" s="8">
        <v>46220</v>
      </c>
      <c r="J2735" t="s">
        <v>2665</v>
      </c>
      <c r="K2735" t="s">
        <v>2666</v>
      </c>
      <c r="L2735" s="13">
        <v>2500</v>
      </c>
      <c r="M2735" t="s">
        <v>2661</v>
      </c>
    </row>
    <row r="2736" spans="1:13">
      <c r="A2736" t="s">
        <v>1263</v>
      </c>
      <c r="B2736" t="s">
        <v>176</v>
      </c>
      <c r="C2736" s="8">
        <v>46159</v>
      </c>
      <c r="D2736" t="s">
        <v>327</v>
      </c>
      <c r="E2736" t="s">
        <v>334</v>
      </c>
      <c r="F2736" s="12">
        <v>157965</v>
      </c>
      <c r="G2736" s="13">
        <v>15</v>
      </c>
      <c r="H2736" t="s">
        <v>3249</v>
      </c>
      <c r="I2736" s="8">
        <v>46152</v>
      </c>
      <c r="J2736" t="s">
        <v>2688</v>
      </c>
      <c r="K2736" t="s">
        <v>2689</v>
      </c>
      <c r="L2736" s="13">
        <v>8000</v>
      </c>
      <c r="M2736" t="s">
        <v>2661</v>
      </c>
    </row>
    <row r="2737" spans="1:13">
      <c r="A2737" t="s">
        <v>1263</v>
      </c>
      <c r="B2737" t="s">
        <v>176</v>
      </c>
      <c r="C2737" s="8">
        <v>46159</v>
      </c>
      <c r="D2737" t="s">
        <v>327</v>
      </c>
      <c r="E2737" t="s">
        <v>334</v>
      </c>
      <c r="F2737" s="12">
        <v>157965</v>
      </c>
      <c r="G2737" s="13">
        <v>15</v>
      </c>
      <c r="H2737" t="s">
        <v>3517</v>
      </c>
      <c r="I2737" s="8">
        <v>45968</v>
      </c>
      <c r="J2737" t="s">
        <v>2663</v>
      </c>
      <c r="K2737" t="s">
        <v>3630</v>
      </c>
      <c r="L2737" s="13">
        <v>1500</v>
      </c>
      <c r="M2737" t="s">
        <v>2661</v>
      </c>
    </row>
    <row r="2738" spans="1:13">
      <c r="A2738" t="s">
        <v>1263</v>
      </c>
      <c r="B2738" t="s">
        <v>176</v>
      </c>
      <c r="C2738" s="8">
        <v>46159</v>
      </c>
      <c r="D2738" t="s">
        <v>327</v>
      </c>
      <c r="E2738" t="s">
        <v>334</v>
      </c>
      <c r="F2738" s="12">
        <v>157965</v>
      </c>
      <c r="G2738" s="13">
        <v>15</v>
      </c>
      <c r="H2738" t="s">
        <v>3532</v>
      </c>
      <c r="I2738" s="8">
        <v>46081</v>
      </c>
      <c r="J2738" t="s">
        <v>2671</v>
      </c>
      <c r="K2738" t="s">
        <v>2672</v>
      </c>
      <c r="L2738" s="13">
        <v>3000</v>
      </c>
      <c r="M2738" t="s">
        <v>2661</v>
      </c>
    </row>
    <row r="2739" spans="1:13">
      <c r="A2739" t="s">
        <v>1264</v>
      </c>
      <c r="B2739" t="s">
        <v>166</v>
      </c>
      <c r="C2739" s="8">
        <v>46081</v>
      </c>
      <c r="D2739" t="s">
        <v>330</v>
      </c>
      <c r="E2739" t="s">
        <v>339</v>
      </c>
      <c r="F2739" s="12">
        <v>221009</v>
      </c>
      <c r="G2739" s="13">
        <v>22</v>
      </c>
      <c r="H2739" t="s">
        <v>2711</v>
      </c>
      <c r="I2739" s="8">
        <v>45938</v>
      </c>
      <c r="J2739" t="s">
        <v>2674</v>
      </c>
      <c r="K2739" t="s">
        <v>2675</v>
      </c>
      <c r="L2739" s="13">
        <v>20000</v>
      </c>
      <c r="M2739" t="s">
        <v>2676</v>
      </c>
    </row>
    <row r="2740" spans="1:13">
      <c r="A2740" t="s">
        <v>1264</v>
      </c>
      <c r="B2740" t="s">
        <v>166</v>
      </c>
      <c r="C2740" s="8">
        <v>46081</v>
      </c>
      <c r="D2740" t="s">
        <v>330</v>
      </c>
      <c r="E2740" t="s">
        <v>339</v>
      </c>
      <c r="F2740" s="12">
        <v>221009</v>
      </c>
      <c r="G2740" s="13">
        <v>22</v>
      </c>
      <c r="H2740" t="s">
        <v>2854</v>
      </c>
      <c r="I2740" s="8">
        <v>46022</v>
      </c>
      <c r="J2740" t="s">
        <v>2685</v>
      </c>
      <c r="K2740" t="s">
        <v>2686</v>
      </c>
      <c r="L2740" s="13">
        <v>5000</v>
      </c>
      <c r="M2740" t="s">
        <v>2661</v>
      </c>
    </row>
    <row r="2741" spans="1:13">
      <c r="A2741" t="s">
        <v>1264</v>
      </c>
      <c r="B2741" t="s">
        <v>166</v>
      </c>
      <c r="C2741" s="8">
        <v>46081</v>
      </c>
      <c r="D2741" t="s">
        <v>330</v>
      </c>
      <c r="E2741" t="s">
        <v>339</v>
      </c>
      <c r="F2741" s="12">
        <v>221009</v>
      </c>
      <c r="G2741" s="13">
        <v>22</v>
      </c>
      <c r="H2741" t="s">
        <v>3215</v>
      </c>
      <c r="I2741" s="8">
        <v>46213</v>
      </c>
      <c r="J2741" t="s">
        <v>2682</v>
      </c>
      <c r="K2741" t="s">
        <v>2683</v>
      </c>
      <c r="L2741" s="13">
        <v>6000</v>
      </c>
      <c r="M2741" t="s">
        <v>2661</v>
      </c>
    </row>
    <row r="2742" spans="1:13">
      <c r="A2742" t="s">
        <v>1264</v>
      </c>
      <c r="B2742" t="s">
        <v>166</v>
      </c>
      <c r="C2742" s="8">
        <v>46081</v>
      </c>
      <c r="D2742" t="s">
        <v>330</v>
      </c>
      <c r="E2742" t="s">
        <v>339</v>
      </c>
      <c r="F2742" s="12">
        <v>221009</v>
      </c>
      <c r="G2742" s="13">
        <v>22</v>
      </c>
      <c r="H2742" t="s">
        <v>3254</v>
      </c>
      <c r="I2742" s="8">
        <v>45958</v>
      </c>
      <c r="J2742" t="s">
        <v>2663</v>
      </c>
      <c r="K2742" t="s">
        <v>3630</v>
      </c>
      <c r="L2742" s="13">
        <v>1500</v>
      </c>
      <c r="M2742" t="s">
        <v>2661</v>
      </c>
    </row>
    <row r="2743" spans="1:13">
      <c r="A2743" t="s">
        <v>1265</v>
      </c>
      <c r="B2743" t="s">
        <v>98</v>
      </c>
      <c r="C2743" s="8">
        <v>46097</v>
      </c>
      <c r="D2743" t="s">
        <v>332</v>
      </c>
      <c r="E2743" t="s">
        <v>334</v>
      </c>
      <c r="F2743" s="12">
        <v>29400</v>
      </c>
      <c r="G2743" s="13">
        <v>2</v>
      </c>
      <c r="H2743" t="s">
        <v>2747</v>
      </c>
      <c r="I2743" s="8">
        <v>45952</v>
      </c>
      <c r="J2743" t="s">
        <v>2671</v>
      </c>
      <c r="K2743" t="s">
        <v>2672</v>
      </c>
      <c r="L2743" s="13">
        <v>3000</v>
      </c>
      <c r="M2743" t="s">
        <v>2676</v>
      </c>
    </row>
    <row r="2744" spans="1:13">
      <c r="A2744" t="s">
        <v>1265</v>
      </c>
      <c r="B2744" t="s">
        <v>98</v>
      </c>
      <c r="C2744" s="8">
        <v>46097</v>
      </c>
      <c r="D2744" t="s">
        <v>332</v>
      </c>
      <c r="E2744" t="s">
        <v>334</v>
      </c>
      <c r="F2744" s="12">
        <v>29400</v>
      </c>
      <c r="G2744" s="13">
        <v>2</v>
      </c>
      <c r="H2744" t="s">
        <v>3387</v>
      </c>
      <c r="I2744" s="8">
        <v>46122</v>
      </c>
      <c r="J2744" t="s">
        <v>2685</v>
      </c>
      <c r="K2744" t="s">
        <v>2686</v>
      </c>
      <c r="L2744" s="13">
        <v>5000</v>
      </c>
      <c r="M2744" t="s">
        <v>2661</v>
      </c>
    </row>
    <row r="2745" spans="1:13">
      <c r="A2745" t="s">
        <v>1266</v>
      </c>
      <c r="B2745" t="s">
        <v>276</v>
      </c>
      <c r="C2745" s="8">
        <v>46053</v>
      </c>
      <c r="D2745" t="s">
        <v>342</v>
      </c>
      <c r="E2745" t="s">
        <v>322</v>
      </c>
      <c r="F2745" s="12">
        <v>808952</v>
      </c>
      <c r="G2745" s="13">
        <v>80</v>
      </c>
      <c r="H2745" t="s">
        <v>2991</v>
      </c>
      <c r="I2745" s="8">
        <v>46082</v>
      </c>
      <c r="J2745" t="s">
        <v>2674</v>
      </c>
      <c r="K2745" t="s">
        <v>2675</v>
      </c>
      <c r="L2745" s="13">
        <v>20000</v>
      </c>
      <c r="M2745" t="s">
        <v>2661</v>
      </c>
    </row>
    <row r="2746" spans="1:13">
      <c r="A2746" t="s">
        <v>1266</v>
      </c>
      <c r="B2746" t="s">
        <v>276</v>
      </c>
      <c r="C2746" s="8">
        <v>46053</v>
      </c>
      <c r="D2746" t="s">
        <v>342</v>
      </c>
      <c r="E2746" t="s">
        <v>322</v>
      </c>
      <c r="F2746" s="12">
        <v>808952</v>
      </c>
      <c r="G2746" s="13">
        <v>80</v>
      </c>
      <c r="H2746" t="s">
        <v>3135</v>
      </c>
      <c r="I2746" s="8">
        <v>46231</v>
      </c>
      <c r="J2746" t="s">
        <v>2665</v>
      </c>
      <c r="K2746" t="s">
        <v>2666</v>
      </c>
      <c r="L2746" s="13">
        <v>2500</v>
      </c>
      <c r="M2746" t="s">
        <v>2661</v>
      </c>
    </row>
    <row r="2747" spans="1:13">
      <c r="A2747" t="s">
        <v>1266</v>
      </c>
      <c r="B2747" t="s">
        <v>276</v>
      </c>
      <c r="C2747" s="8">
        <v>46053</v>
      </c>
      <c r="D2747" t="s">
        <v>342</v>
      </c>
      <c r="E2747" t="s">
        <v>322</v>
      </c>
      <c r="F2747" s="12">
        <v>808952</v>
      </c>
      <c r="G2747" s="13">
        <v>80</v>
      </c>
      <c r="H2747" t="s">
        <v>3350</v>
      </c>
      <c r="I2747" s="8">
        <v>46121</v>
      </c>
      <c r="J2747" t="s">
        <v>2685</v>
      </c>
      <c r="K2747" t="s">
        <v>2686</v>
      </c>
      <c r="L2747" s="13">
        <v>5000</v>
      </c>
      <c r="M2747" t="s">
        <v>2661</v>
      </c>
    </row>
    <row r="2748" spans="1:13">
      <c r="A2748" t="s">
        <v>1267</v>
      </c>
      <c r="B2748" t="s">
        <v>240</v>
      </c>
      <c r="C2748" s="8">
        <v>46038</v>
      </c>
      <c r="D2748" t="s">
        <v>330</v>
      </c>
      <c r="E2748" t="s">
        <v>339</v>
      </c>
      <c r="F2748" s="12">
        <v>205888</v>
      </c>
      <c r="G2748" s="13">
        <v>20</v>
      </c>
      <c r="H2748" t="s">
        <v>3066</v>
      </c>
      <c r="I2748" s="8">
        <v>46121</v>
      </c>
      <c r="J2748" t="s">
        <v>2685</v>
      </c>
      <c r="K2748" t="s">
        <v>2686</v>
      </c>
      <c r="L2748" s="13">
        <v>5000</v>
      </c>
      <c r="M2748" t="s">
        <v>2661</v>
      </c>
    </row>
    <row r="2749" spans="1:13">
      <c r="A2749" t="s">
        <v>1267</v>
      </c>
      <c r="B2749" t="s">
        <v>240</v>
      </c>
      <c r="C2749" s="8">
        <v>46038</v>
      </c>
      <c r="D2749" t="s">
        <v>330</v>
      </c>
      <c r="E2749" t="s">
        <v>339</v>
      </c>
      <c r="F2749" s="12">
        <v>205888</v>
      </c>
      <c r="G2749" s="13">
        <v>20</v>
      </c>
      <c r="H2749" t="s">
        <v>3319</v>
      </c>
      <c r="I2749" s="8">
        <v>45952</v>
      </c>
      <c r="J2749" t="s">
        <v>2685</v>
      </c>
      <c r="K2749" t="s">
        <v>2686</v>
      </c>
      <c r="L2749" s="13">
        <v>5000</v>
      </c>
      <c r="M2749" t="s">
        <v>2661</v>
      </c>
    </row>
    <row r="2750" spans="1:13">
      <c r="A2750" t="s">
        <v>1267</v>
      </c>
      <c r="B2750" t="s">
        <v>240</v>
      </c>
      <c r="C2750" s="8">
        <v>46038</v>
      </c>
      <c r="D2750" t="s">
        <v>330</v>
      </c>
      <c r="E2750" t="s">
        <v>339</v>
      </c>
      <c r="F2750" s="12">
        <v>205888</v>
      </c>
      <c r="G2750" s="13">
        <v>20</v>
      </c>
      <c r="H2750" t="s">
        <v>3380</v>
      </c>
      <c r="I2750" s="8">
        <v>46263</v>
      </c>
      <c r="J2750" t="s">
        <v>2682</v>
      </c>
      <c r="K2750" t="s">
        <v>2683</v>
      </c>
      <c r="L2750" s="13">
        <v>6000</v>
      </c>
      <c r="M2750" t="s">
        <v>2661</v>
      </c>
    </row>
    <row r="2751" spans="1:13">
      <c r="A2751" t="s">
        <v>1268</v>
      </c>
      <c r="B2751" t="s">
        <v>36</v>
      </c>
      <c r="C2751" s="8">
        <v>46154</v>
      </c>
      <c r="D2751" t="s">
        <v>332</v>
      </c>
      <c r="E2751" t="s">
        <v>339</v>
      </c>
      <c r="F2751" s="12">
        <v>143825</v>
      </c>
      <c r="G2751" s="13">
        <v>14</v>
      </c>
      <c r="H2751" t="s">
        <v>2780</v>
      </c>
      <c r="I2751" s="8">
        <v>46076</v>
      </c>
      <c r="J2751" t="s">
        <v>2671</v>
      </c>
      <c r="K2751" t="s">
        <v>2672</v>
      </c>
      <c r="L2751" s="13">
        <v>3000</v>
      </c>
      <c r="M2751" t="s">
        <v>2661</v>
      </c>
    </row>
    <row r="2752" spans="1:13">
      <c r="A2752" t="s">
        <v>1268</v>
      </c>
      <c r="B2752" t="s">
        <v>36</v>
      </c>
      <c r="C2752" s="8">
        <v>46154</v>
      </c>
      <c r="D2752" t="s">
        <v>332</v>
      </c>
      <c r="E2752" t="s">
        <v>339</v>
      </c>
      <c r="F2752" s="12">
        <v>143825</v>
      </c>
      <c r="G2752" s="13">
        <v>14</v>
      </c>
      <c r="H2752" t="s">
        <v>3169</v>
      </c>
      <c r="I2752" s="8">
        <v>46084</v>
      </c>
      <c r="J2752" t="s">
        <v>2685</v>
      </c>
      <c r="K2752" t="s">
        <v>2686</v>
      </c>
      <c r="L2752" s="13">
        <v>5000</v>
      </c>
      <c r="M2752" t="s">
        <v>2661</v>
      </c>
    </row>
    <row r="2753" spans="1:13">
      <c r="A2753" t="s">
        <v>1268</v>
      </c>
      <c r="B2753" t="s">
        <v>36</v>
      </c>
      <c r="C2753" s="8">
        <v>46154</v>
      </c>
      <c r="D2753" t="s">
        <v>332</v>
      </c>
      <c r="E2753" t="s">
        <v>339</v>
      </c>
      <c r="F2753" s="12">
        <v>143825</v>
      </c>
      <c r="G2753" s="13">
        <v>14</v>
      </c>
      <c r="H2753" t="s">
        <v>3458</v>
      </c>
      <c r="I2753" s="8">
        <v>45978</v>
      </c>
      <c r="J2753" t="s">
        <v>2665</v>
      </c>
      <c r="K2753" t="s">
        <v>2666</v>
      </c>
      <c r="L2753" s="13">
        <v>2500</v>
      </c>
      <c r="M2753" t="s">
        <v>2661</v>
      </c>
    </row>
    <row r="2754" spans="1:13">
      <c r="A2754" t="s">
        <v>1268</v>
      </c>
      <c r="B2754" t="s">
        <v>36</v>
      </c>
      <c r="C2754" s="8">
        <v>46154</v>
      </c>
      <c r="D2754" t="s">
        <v>332</v>
      </c>
      <c r="E2754" t="s">
        <v>339</v>
      </c>
      <c r="F2754" s="12">
        <v>143825</v>
      </c>
      <c r="G2754" s="13">
        <v>14</v>
      </c>
      <c r="H2754" t="s">
        <v>3521</v>
      </c>
      <c r="I2754" s="8">
        <v>45936</v>
      </c>
      <c r="J2754" t="s">
        <v>2674</v>
      </c>
      <c r="K2754" t="s">
        <v>2675</v>
      </c>
      <c r="L2754" s="13">
        <v>20000</v>
      </c>
      <c r="M2754" t="s">
        <v>2661</v>
      </c>
    </row>
    <row r="2755" spans="1:13">
      <c r="A2755" t="s">
        <v>1269</v>
      </c>
      <c r="B2755" t="s">
        <v>197</v>
      </c>
      <c r="C2755" s="8">
        <v>46247</v>
      </c>
      <c r="D2755" t="s">
        <v>327</v>
      </c>
      <c r="E2755" t="s">
        <v>328</v>
      </c>
      <c r="F2755" s="12">
        <v>164294</v>
      </c>
      <c r="G2755" s="13">
        <v>16</v>
      </c>
      <c r="H2755" t="s">
        <v>2907</v>
      </c>
      <c r="I2755" s="8">
        <v>46147</v>
      </c>
      <c r="J2755" t="s">
        <v>2659</v>
      </c>
      <c r="K2755" t="s">
        <v>2660</v>
      </c>
      <c r="L2755" s="13">
        <v>3500</v>
      </c>
      <c r="M2755" t="s">
        <v>2676</v>
      </c>
    </row>
    <row r="2756" spans="1:13">
      <c r="A2756" t="s">
        <v>1269</v>
      </c>
      <c r="B2756" t="s">
        <v>197</v>
      </c>
      <c r="C2756" s="8">
        <v>46247</v>
      </c>
      <c r="D2756" t="s">
        <v>327</v>
      </c>
      <c r="E2756" t="s">
        <v>328</v>
      </c>
      <c r="F2756" s="12">
        <v>164294</v>
      </c>
      <c r="G2756" s="13">
        <v>16</v>
      </c>
      <c r="H2756" t="s">
        <v>3356</v>
      </c>
      <c r="I2756" s="8">
        <v>46124</v>
      </c>
      <c r="J2756" t="s">
        <v>2685</v>
      </c>
      <c r="K2756" t="s">
        <v>2686</v>
      </c>
      <c r="L2756" s="13">
        <v>5000</v>
      </c>
      <c r="M2756" t="s">
        <v>2661</v>
      </c>
    </row>
    <row r="2757" spans="1:13">
      <c r="A2757" t="s">
        <v>1269</v>
      </c>
      <c r="B2757" t="s">
        <v>197</v>
      </c>
      <c r="C2757" s="8">
        <v>46247</v>
      </c>
      <c r="D2757" t="s">
        <v>327</v>
      </c>
      <c r="E2757" t="s">
        <v>328</v>
      </c>
      <c r="F2757" s="12">
        <v>164294</v>
      </c>
      <c r="G2757" s="13">
        <v>16</v>
      </c>
      <c r="H2757" t="s">
        <v>3465</v>
      </c>
      <c r="I2757" s="8">
        <v>46076</v>
      </c>
      <c r="J2757" t="s">
        <v>2692</v>
      </c>
      <c r="K2757" t="s">
        <v>2693</v>
      </c>
      <c r="L2757" s="13">
        <v>10000</v>
      </c>
      <c r="M2757" t="s">
        <v>2661</v>
      </c>
    </row>
    <row r="2758" spans="1:13">
      <c r="A2758" t="s">
        <v>1269</v>
      </c>
      <c r="B2758" t="s">
        <v>197</v>
      </c>
      <c r="C2758" s="8">
        <v>46247</v>
      </c>
      <c r="D2758" t="s">
        <v>327</v>
      </c>
      <c r="E2758" t="s">
        <v>328</v>
      </c>
      <c r="F2758" s="12">
        <v>164294</v>
      </c>
      <c r="G2758" s="13">
        <v>16</v>
      </c>
      <c r="H2758" t="s">
        <v>3529</v>
      </c>
      <c r="I2758" s="8">
        <v>46013</v>
      </c>
      <c r="J2758" t="s">
        <v>2688</v>
      </c>
      <c r="K2758" t="s">
        <v>2689</v>
      </c>
      <c r="L2758" s="13">
        <v>8000</v>
      </c>
      <c r="M2758" t="s">
        <v>2661</v>
      </c>
    </row>
    <row r="2759" spans="1:13">
      <c r="A2759" t="s">
        <v>1269</v>
      </c>
      <c r="B2759" t="s">
        <v>197</v>
      </c>
      <c r="C2759" s="8">
        <v>46247</v>
      </c>
      <c r="D2759" t="s">
        <v>327</v>
      </c>
      <c r="E2759" t="s">
        <v>328</v>
      </c>
      <c r="F2759" s="12">
        <v>164294</v>
      </c>
      <c r="G2759" s="13">
        <v>16</v>
      </c>
      <c r="H2759" t="s">
        <v>3540</v>
      </c>
      <c r="I2759" s="8">
        <v>46276</v>
      </c>
      <c r="J2759" t="s">
        <v>2692</v>
      </c>
      <c r="K2759" t="s">
        <v>2693</v>
      </c>
      <c r="L2759" s="13">
        <v>10000</v>
      </c>
      <c r="M2759" t="s">
        <v>2676</v>
      </c>
    </row>
    <row r="2760" spans="1:13">
      <c r="A2760" t="s">
        <v>1270</v>
      </c>
      <c r="B2760" t="s">
        <v>241</v>
      </c>
      <c r="C2760" s="8">
        <v>45991</v>
      </c>
      <c r="D2760" t="s">
        <v>344</v>
      </c>
      <c r="E2760" t="s">
        <v>325</v>
      </c>
      <c r="F2760" s="12">
        <v>104223</v>
      </c>
      <c r="G2760" s="13">
        <v>10</v>
      </c>
      <c r="H2760" t="s">
        <v>2911</v>
      </c>
      <c r="I2760" s="8">
        <v>46173</v>
      </c>
      <c r="J2760" t="s">
        <v>2692</v>
      </c>
      <c r="K2760" t="s">
        <v>2693</v>
      </c>
      <c r="L2760" s="13">
        <v>10000</v>
      </c>
      <c r="M2760" t="s">
        <v>2661</v>
      </c>
    </row>
    <row r="2761" spans="1:13">
      <c r="A2761" t="s">
        <v>1270</v>
      </c>
      <c r="B2761" t="s">
        <v>241</v>
      </c>
      <c r="C2761" s="8">
        <v>45991</v>
      </c>
      <c r="D2761" t="s">
        <v>344</v>
      </c>
      <c r="E2761" t="s">
        <v>325</v>
      </c>
      <c r="F2761" s="12">
        <v>104223</v>
      </c>
      <c r="G2761" s="13">
        <v>10</v>
      </c>
      <c r="H2761" t="s">
        <v>3174</v>
      </c>
      <c r="I2761" s="8">
        <v>46189</v>
      </c>
      <c r="J2761" t="s">
        <v>2674</v>
      </c>
      <c r="K2761" t="s">
        <v>2675</v>
      </c>
      <c r="L2761" s="13">
        <v>20000</v>
      </c>
      <c r="M2761" t="s">
        <v>2661</v>
      </c>
    </row>
    <row r="2762" spans="1:13">
      <c r="A2762" t="s">
        <v>1270</v>
      </c>
      <c r="B2762" t="s">
        <v>241</v>
      </c>
      <c r="C2762" s="8">
        <v>45991</v>
      </c>
      <c r="D2762" t="s">
        <v>344</v>
      </c>
      <c r="E2762" t="s">
        <v>325</v>
      </c>
      <c r="F2762" s="12">
        <v>104223</v>
      </c>
      <c r="G2762" s="13">
        <v>10</v>
      </c>
      <c r="H2762" t="s">
        <v>3419</v>
      </c>
      <c r="I2762" s="8">
        <v>46084</v>
      </c>
      <c r="J2762" t="s">
        <v>2665</v>
      </c>
      <c r="K2762" t="s">
        <v>2666</v>
      </c>
      <c r="L2762" s="13">
        <v>2500</v>
      </c>
      <c r="M2762" t="s">
        <v>2661</v>
      </c>
    </row>
    <row r="2763" spans="1:13">
      <c r="A2763" t="s">
        <v>1270</v>
      </c>
      <c r="B2763" t="s">
        <v>241</v>
      </c>
      <c r="C2763" s="8">
        <v>45991</v>
      </c>
      <c r="D2763" t="s">
        <v>344</v>
      </c>
      <c r="E2763" t="s">
        <v>325</v>
      </c>
      <c r="F2763" s="12">
        <v>104223</v>
      </c>
      <c r="G2763" s="13">
        <v>10</v>
      </c>
      <c r="H2763" t="s">
        <v>3526</v>
      </c>
      <c r="I2763" s="8">
        <v>46211</v>
      </c>
      <c r="J2763" t="s">
        <v>2671</v>
      </c>
      <c r="K2763" t="s">
        <v>2672</v>
      </c>
      <c r="L2763" s="13">
        <v>3000</v>
      </c>
      <c r="M2763" t="s">
        <v>2661</v>
      </c>
    </row>
    <row r="2764" spans="1:13">
      <c r="A2764" t="s">
        <v>1271</v>
      </c>
      <c r="B2764" t="s">
        <v>179</v>
      </c>
      <c r="C2764" s="8">
        <v>46178</v>
      </c>
      <c r="D2764" t="s">
        <v>327</v>
      </c>
      <c r="E2764" t="s">
        <v>322</v>
      </c>
      <c r="F2764" s="12">
        <v>319020</v>
      </c>
      <c r="G2764" s="13">
        <v>31</v>
      </c>
      <c r="H2764" t="s">
        <v>2677</v>
      </c>
      <c r="I2764" s="8">
        <v>45973</v>
      </c>
      <c r="J2764" t="s">
        <v>2663</v>
      </c>
      <c r="K2764" t="s">
        <v>3630</v>
      </c>
      <c r="L2764" s="13">
        <v>1500</v>
      </c>
      <c r="M2764" t="s">
        <v>2661</v>
      </c>
    </row>
    <row r="2765" spans="1:13">
      <c r="A2765" t="s">
        <v>1271</v>
      </c>
      <c r="B2765" t="s">
        <v>179</v>
      </c>
      <c r="C2765" s="8">
        <v>46178</v>
      </c>
      <c r="D2765" t="s">
        <v>327</v>
      </c>
      <c r="E2765" t="s">
        <v>322</v>
      </c>
      <c r="F2765" s="12">
        <v>319020</v>
      </c>
      <c r="G2765" s="13">
        <v>31</v>
      </c>
      <c r="H2765" t="s">
        <v>2695</v>
      </c>
      <c r="I2765" s="8">
        <v>46143</v>
      </c>
      <c r="J2765" t="s">
        <v>2671</v>
      </c>
      <c r="K2765" t="s">
        <v>2672</v>
      </c>
      <c r="L2765" s="13">
        <v>3000</v>
      </c>
      <c r="M2765" t="s">
        <v>2661</v>
      </c>
    </row>
    <row r="2766" spans="1:13">
      <c r="A2766" t="s">
        <v>1272</v>
      </c>
      <c r="B2766" t="s">
        <v>188</v>
      </c>
      <c r="C2766" s="8">
        <v>46213</v>
      </c>
      <c r="D2766" t="s">
        <v>321</v>
      </c>
      <c r="E2766" t="s">
        <v>328</v>
      </c>
      <c r="F2766" s="12">
        <v>632127</v>
      </c>
      <c r="G2766" s="13">
        <v>63</v>
      </c>
      <c r="H2766" t="s">
        <v>2719</v>
      </c>
      <c r="I2766" s="8">
        <v>46036</v>
      </c>
      <c r="J2766" t="s">
        <v>2674</v>
      </c>
      <c r="K2766" t="s">
        <v>2675</v>
      </c>
      <c r="L2766" s="13">
        <v>20000</v>
      </c>
      <c r="M2766" t="s">
        <v>2676</v>
      </c>
    </row>
    <row r="2767" spans="1:13">
      <c r="A2767" t="s">
        <v>1272</v>
      </c>
      <c r="B2767" t="s">
        <v>188</v>
      </c>
      <c r="C2767" s="8">
        <v>46213</v>
      </c>
      <c r="D2767" t="s">
        <v>321</v>
      </c>
      <c r="E2767" t="s">
        <v>328</v>
      </c>
      <c r="F2767" s="12">
        <v>632127</v>
      </c>
      <c r="G2767" s="13">
        <v>63</v>
      </c>
      <c r="H2767" t="s">
        <v>3384</v>
      </c>
      <c r="I2767" s="8">
        <v>46042</v>
      </c>
      <c r="J2767" t="s">
        <v>2663</v>
      </c>
      <c r="K2767" t="s">
        <v>3630</v>
      </c>
      <c r="L2767" s="13">
        <v>1500</v>
      </c>
      <c r="M2767" t="s">
        <v>2661</v>
      </c>
    </row>
    <row r="2768" spans="1:13">
      <c r="A2768" t="s">
        <v>1272</v>
      </c>
      <c r="B2768" t="s">
        <v>188</v>
      </c>
      <c r="C2768" s="8">
        <v>46213</v>
      </c>
      <c r="D2768" t="s">
        <v>321</v>
      </c>
      <c r="E2768" t="s">
        <v>328</v>
      </c>
      <c r="F2768" s="12">
        <v>632127</v>
      </c>
      <c r="G2768" s="13">
        <v>63</v>
      </c>
      <c r="H2768" t="s">
        <v>3500</v>
      </c>
      <c r="I2768" s="8">
        <v>46268</v>
      </c>
      <c r="J2768" t="s">
        <v>2671</v>
      </c>
      <c r="K2768" t="s">
        <v>2672</v>
      </c>
      <c r="L2768" s="13">
        <v>3000</v>
      </c>
      <c r="M2768" t="s">
        <v>2661</v>
      </c>
    </row>
    <row r="2769" spans="1:13">
      <c r="A2769" t="s">
        <v>1273</v>
      </c>
      <c r="B2769" t="s">
        <v>135</v>
      </c>
      <c r="C2769" s="8">
        <v>46165</v>
      </c>
      <c r="D2769" t="s">
        <v>344</v>
      </c>
      <c r="E2769" t="s">
        <v>337</v>
      </c>
      <c r="F2769" s="12">
        <v>244375</v>
      </c>
      <c r="G2769" s="13">
        <v>24</v>
      </c>
      <c r="H2769" t="s">
        <v>2922</v>
      </c>
      <c r="I2769" s="8">
        <v>45998</v>
      </c>
      <c r="J2769" t="s">
        <v>2682</v>
      </c>
      <c r="K2769" t="s">
        <v>2683</v>
      </c>
      <c r="L2769" s="13">
        <v>6000</v>
      </c>
      <c r="M2769" t="s">
        <v>2661</v>
      </c>
    </row>
    <row r="2770" spans="1:13">
      <c r="A2770" t="s">
        <v>1273</v>
      </c>
      <c r="B2770" t="s">
        <v>135</v>
      </c>
      <c r="C2770" s="8">
        <v>46165</v>
      </c>
      <c r="D2770" t="s">
        <v>344</v>
      </c>
      <c r="E2770" t="s">
        <v>337</v>
      </c>
      <c r="F2770" s="12">
        <v>244375</v>
      </c>
      <c r="G2770" s="13">
        <v>24</v>
      </c>
      <c r="H2770" t="s">
        <v>3053</v>
      </c>
      <c r="I2770" s="8">
        <v>46165</v>
      </c>
      <c r="J2770" t="s">
        <v>2692</v>
      </c>
      <c r="K2770" t="s">
        <v>2693</v>
      </c>
      <c r="L2770" s="13">
        <v>10000</v>
      </c>
      <c r="M2770" t="s">
        <v>2661</v>
      </c>
    </row>
    <row r="2771" spans="1:13">
      <c r="A2771" t="s">
        <v>1273</v>
      </c>
      <c r="B2771" t="s">
        <v>135</v>
      </c>
      <c r="C2771" s="8">
        <v>46165</v>
      </c>
      <c r="D2771" t="s">
        <v>344</v>
      </c>
      <c r="E2771" t="s">
        <v>337</v>
      </c>
      <c r="F2771" s="12">
        <v>244375</v>
      </c>
      <c r="G2771" s="13">
        <v>24</v>
      </c>
      <c r="H2771" t="s">
        <v>3118</v>
      </c>
      <c r="I2771" s="8">
        <v>45989</v>
      </c>
      <c r="J2771" t="s">
        <v>2692</v>
      </c>
      <c r="K2771" t="s">
        <v>2693</v>
      </c>
      <c r="L2771" s="13">
        <v>10000</v>
      </c>
      <c r="M2771" t="s">
        <v>2661</v>
      </c>
    </row>
    <row r="2772" spans="1:13">
      <c r="A2772" t="s">
        <v>1273</v>
      </c>
      <c r="B2772" t="s">
        <v>135</v>
      </c>
      <c r="C2772" s="8">
        <v>46165</v>
      </c>
      <c r="D2772" t="s">
        <v>344</v>
      </c>
      <c r="E2772" t="s">
        <v>337</v>
      </c>
      <c r="F2772" s="12">
        <v>244375</v>
      </c>
      <c r="G2772" s="13">
        <v>24</v>
      </c>
      <c r="H2772" t="s">
        <v>3262</v>
      </c>
      <c r="I2772" s="8">
        <v>46091</v>
      </c>
      <c r="J2772" t="s">
        <v>2682</v>
      </c>
      <c r="K2772" t="s">
        <v>2683</v>
      </c>
      <c r="L2772" s="13">
        <v>6000</v>
      </c>
      <c r="M2772" t="s">
        <v>2661</v>
      </c>
    </row>
    <row r="2773" spans="1:13">
      <c r="A2773" t="s">
        <v>1274</v>
      </c>
      <c r="B2773" t="s">
        <v>286</v>
      </c>
      <c r="C2773" s="8">
        <v>46217</v>
      </c>
      <c r="D2773" t="s">
        <v>321</v>
      </c>
      <c r="E2773" t="s">
        <v>328</v>
      </c>
      <c r="F2773" s="12">
        <v>91895</v>
      </c>
      <c r="G2773" s="13">
        <v>9</v>
      </c>
      <c r="H2773" t="s">
        <v>2814</v>
      </c>
      <c r="I2773" s="8">
        <v>46076</v>
      </c>
      <c r="J2773" t="s">
        <v>2663</v>
      </c>
      <c r="K2773" t="s">
        <v>3630</v>
      </c>
      <c r="L2773" s="13">
        <v>1500</v>
      </c>
      <c r="M2773" t="s">
        <v>2661</v>
      </c>
    </row>
    <row r="2774" spans="1:13">
      <c r="A2774" t="s">
        <v>1274</v>
      </c>
      <c r="B2774" t="s">
        <v>286</v>
      </c>
      <c r="C2774" s="8">
        <v>46217</v>
      </c>
      <c r="D2774" t="s">
        <v>321</v>
      </c>
      <c r="E2774" t="s">
        <v>328</v>
      </c>
      <c r="F2774" s="12">
        <v>91895</v>
      </c>
      <c r="G2774" s="13">
        <v>9</v>
      </c>
      <c r="H2774" t="s">
        <v>3003</v>
      </c>
      <c r="I2774" s="8">
        <v>46032</v>
      </c>
      <c r="J2774" t="s">
        <v>2659</v>
      </c>
      <c r="K2774" t="s">
        <v>2660</v>
      </c>
      <c r="L2774" s="13">
        <v>3500</v>
      </c>
      <c r="M2774" t="s">
        <v>2661</v>
      </c>
    </row>
    <row r="2775" spans="1:13">
      <c r="A2775" t="s">
        <v>1274</v>
      </c>
      <c r="B2775" t="s">
        <v>286</v>
      </c>
      <c r="C2775" s="8">
        <v>46217</v>
      </c>
      <c r="D2775" t="s">
        <v>321</v>
      </c>
      <c r="E2775" t="s">
        <v>328</v>
      </c>
      <c r="F2775" s="12">
        <v>91895</v>
      </c>
      <c r="G2775" s="13">
        <v>9</v>
      </c>
      <c r="H2775" t="s">
        <v>3081</v>
      </c>
      <c r="I2775" s="8">
        <v>46124</v>
      </c>
      <c r="J2775" t="s">
        <v>2692</v>
      </c>
      <c r="K2775" t="s">
        <v>2693</v>
      </c>
      <c r="L2775" s="13">
        <v>10000</v>
      </c>
      <c r="M2775" t="s">
        <v>2661</v>
      </c>
    </row>
    <row r="2776" spans="1:13">
      <c r="A2776" t="s">
        <v>1274</v>
      </c>
      <c r="B2776" t="s">
        <v>286</v>
      </c>
      <c r="C2776" s="8">
        <v>46217</v>
      </c>
      <c r="D2776" t="s">
        <v>321</v>
      </c>
      <c r="E2776" t="s">
        <v>328</v>
      </c>
      <c r="F2776" s="12">
        <v>91895</v>
      </c>
      <c r="G2776" s="13">
        <v>9</v>
      </c>
      <c r="H2776" t="s">
        <v>3151</v>
      </c>
      <c r="I2776" s="8">
        <v>45973</v>
      </c>
      <c r="J2776" t="s">
        <v>2692</v>
      </c>
      <c r="K2776" t="s">
        <v>2693</v>
      </c>
      <c r="L2776" s="13">
        <v>10000</v>
      </c>
      <c r="M2776" t="s">
        <v>2676</v>
      </c>
    </row>
    <row r="2777" spans="1:13">
      <c r="A2777" t="s">
        <v>1275</v>
      </c>
      <c r="B2777" t="s">
        <v>184</v>
      </c>
      <c r="C2777" s="8">
        <v>46198</v>
      </c>
      <c r="D2777" t="s">
        <v>332</v>
      </c>
      <c r="E2777" t="s">
        <v>328</v>
      </c>
      <c r="F2777" s="12">
        <v>212717</v>
      </c>
      <c r="G2777" s="13">
        <v>21</v>
      </c>
      <c r="H2777" t="s">
        <v>3030</v>
      </c>
      <c r="I2777" s="8">
        <v>46275</v>
      </c>
      <c r="J2777" t="s">
        <v>2692</v>
      </c>
      <c r="K2777" t="s">
        <v>2693</v>
      </c>
      <c r="L2777" s="13">
        <v>10000</v>
      </c>
      <c r="M2777" t="s">
        <v>2661</v>
      </c>
    </row>
    <row r="2778" spans="1:13">
      <c r="A2778" t="s">
        <v>1275</v>
      </c>
      <c r="B2778" t="s">
        <v>184</v>
      </c>
      <c r="C2778" s="8">
        <v>46198</v>
      </c>
      <c r="D2778" t="s">
        <v>332</v>
      </c>
      <c r="E2778" t="s">
        <v>328</v>
      </c>
      <c r="F2778" s="12">
        <v>212717</v>
      </c>
      <c r="G2778" s="13">
        <v>21</v>
      </c>
      <c r="H2778" t="s">
        <v>3284</v>
      </c>
      <c r="I2778" s="8">
        <v>46235</v>
      </c>
      <c r="J2778" t="s">
        <v>2688</v>
      </c>
      <c r="K2778" t="s">
        <v>2689</v>
      </c>
      <c r="L2778" s="13">
        <v>8000</v>
      </c>
      <c r="M2778" t="s">
        <v>2661</v>
      </c>
    </row>
    <row r="2779" spans="1:13">
      <c r="A2779" t="s">
        <v>1275</v>
      </c>
      <c r="B2779" t="s">
        <v>184</v>
      </c>
      <c r="C2779" s="8">
        <v>46198</v>
      </c>
      <c r="D2779" t="s">
        <v>332</v>
      </c>
      <c r="E2779" t="s">
        <v>328</v>
      </c>
      <c r="F2779" s="12">
        <v>212717</v>
      </c>
      <c r="G2779" s="13">
        <v>21</v>
      </c>
      <c r="H2779" t="s">
        <v>3311</v>
      </c>
      <c r="I2779" s="8">
        <v>46027</v>
      </c>
      <c r="J2779" t="s">
        <v>2668</v>
      </c>
      <c r="K2779" t="s">
        <v>2669</v>
      </c>
      <c r="L2779" s="13">
        <v>4000</v>
      </c>
      <c r="M2779" t="s">
        <v>2661</v>
      </c>
    </row>
    <row r="2780" spans="1:13">
      <c r="A2780" t="s">
        <v>1275</v>
      </c>
      <c r="B2780" t="s">
        <v>184</v>
      </c>
      <c r="C2780" s="8">
        <v>46198</v>
      </c>
      <c r="D2780" t="s">
        <v>332</v>
      </c>
      <c r="E2780" t="s">
        <v>328</v>
      </c>
      <c r="F2780" s="12">
        <v>212717</v>
      </c>
      <c r="G2780" s="13">
        <v>21</v>
      </c>
      <c r="H2780" t="s">
        <v>3417</v>
      </c>
      <c r="I2780" s="8">
        <v>46001</v>
      </c>
      <c r="J2780" t="s">
        <v>2663</v>
      </c>
      <c r="K2780" t="s">
        <v>3630</v>
      </c>
      <c r="L2780" s="13">
        <v>1500</v>
      </c>
      <c r="M2780" t="s">
        <v>2676</v>
      </c>
    </row>
    <row r="2781" spans="1:13">
      <c r="A2781" t="s">
        <v>1275</v>
      </c>
      <c r="B2781" t="s">
        <v>184</v>
      </c>
      <c r="C2781" s="8">
        <v>46198</v>
      </c>
      <c r="D2781" t="s">
        <v>332</v>
      </c>
      <c r="E2781" t="s">
        <v>328</v>
      </c>
      <c r="F2781" s="12">
        <v>212717</v>
      </c>
      <c r="G2781" s="13">
        <v>21</v>
      </c>
      <c r="H2781" t="s">
        <v>3456</v>
      </c>
      <c r="I2781" s="8">
        <v>46099</v>
      </c>
      <c r="J2781" t="s">
        <v>2682</v>
      </c>
      <c r="K2781" t="s">
        <v>2683</v>
      </c>
      <c r="L2781" s="13">
        <v>6000</v>
      </c>
      <c r="M2781" t="s">
        <v>2676</v>
      </c>
    </row>
    <row r="2782" spans="1:13">
      <c r="A2782" t="s">
        <v>1276</v>
      </c>
      <c r="B2782" t="s">
        <v>273</v>
      </c>
      <c r="C2782" s="8">
        <v>46059</v>
      </c>
      <c r="D2782" t="s">
        <v>327</v>
      </c>
      <c r="E2782" t="s">
        <v>339</v>
      </c>
      <c r="F2782" s="12">
        <v>222073</v>
      </c>
      <c r="G2782" s="13">
        <v>22</v>
      </c>
      <c r="H2782" t="s">
        <v>3007</v>
      </c>
      <c r="I2782" s="8">
        <v>46197</v>
      </c>
      <c r="J2782" t="s">
        <v>2671</v>
      </c>
      <c r="K2782" t="s">
        <v>2672</v>
      </c>
      <c r="L2782" s="13">
        <v>3000</v>
      </c>
      <c r="M2782" t="s">
        <v>2676</v>
      </c>
    </row>
    <row r="2783" spans="1:13">
      <c r="A2783" t="s">
        <v>1276</v>
      </c>
      <c r="B2783" t="s">
        <v>273</v>
      </c>
      <c r="C2783" s="8">
        <v>46059</v>
      </c>
      <c r="D2783" t="s">
        <v>327</v>
      </c>
      <c r="E2783" t="s">
        <v>339</v>
      </c>
      <c r="F2783" s="12">
        <v>222073</v>
      </c>
      <c r="G2783" s="13">
        <v>22</v>
      </c>
      <c r="H2783" t="s">
        <v>3060</v>
      </c>
      <c r="I2783" s="8">
        <v>45991</v>
      </c>
      <c r="J2783" t="s">
        <v>2685</v>
      </c>
      <c r="K2783" t="s">
        <v>2686</v>
      </c>
      <c r="L2783" s="13">
        <v>5000</v>
      </c>
      <c r="M2783" t="s">
        <v>2676</v>
      </c>
    </row>
    <row r="2784" spans="1:13">
      <c r="A2784" t="s">
        <v>1276</v>
      </c>
      <c r="B2784" t="s">
        <v>273</v>
      </c>
      <c r="C2784" s="8">
        <v>46059</v>
      </c>
      <c r="D2784" t="s">
        <v>327</v>
      </c>
      <c r="E2784" t="s">
        <v>339</v>
      </c>
      <c r="F2784" s="12">
        <v>222073</v>
      </c>
      <c r="G2784" s="13">
        <v>22</v>
      </c>
      <c r="H2784" t="s">
        <v>3435</v>
      </c>
      <c r="I2784" s="8">
        <v>45946</v>
      </c>
      <c r="J2784" t="s">
        <v>2671</v>
      </c>
      <c r="K2784" t="s">
        <v>2672</v>
      </c>
      <c r="L2784" s="13">
        <v>3000</v>
      </c>
      <c r="M2784" t="s">
        <v>2661</v>
      </c>
    </row>
    <row r="2785" spans="1:13">
      <c r="A2785" t="s">
        <v>1277</v>
      </c>
      <c r="B2785" t="s">
        <v>200</v>
      </c>
      <c r="C2785" s="8">
        <v>46195</v>
      </c>
      <c r="D2785" t="s">
        <v>327</v>
      </c>
      <c r="E2785" t="s">
        <v>325</v>
      </c>
      <c r="F2785" s="12">
        <v>217306</v>
      </c>
      <c r="G2785" s="13">
        <v>21</v>
      </c>
      <c r="H2785" t="s">
        <v>2975</v>
      </c>
      <c r="I2785" s="8">
        <v>46008</v>
      </c>
      <c r="J2785" t="s">
        <v>2671</v>
      </c>
      <c r="K2785" t="s">
        <v>2672</v>
      </c>
      <c r="L2785" s="13">
        <v>3000</v>
      </c>
      <c r="M2785" t="s">
        <v>2676</v>
      </c>
    </row>
    <row r="2786" spans="1:13">
      <c r="A2786" t="s">
        <v>1277</v>
      </c>
      <c r="B2786" t="s">
        <v>200</v>
      </c>
      <c r="C2786" s="8">
        <v>46195</v>
      </c>
      <c r="D2786" t="s">
        <v>327</v>
      </c>
      <c r="E2786" t="s">
        <v>325</v>
      </c>
      <c r="F2786" s="12">
        <v>217306</v>
      </c>
      <c r="G2786" s="13">
        <v>21</v>
      </c>
      <c r="H2786" t="s">
        <v>3381</v>
      </c>
      <c r="I2786" s="8">
        <v>46037</v>
      </c>
      <c r="J2786" t="s">
        <v>2663</v>
      </c>
      <c r="K2786" t="s">
        <v>3630</v>
      </c>
      <c r="L2786" s="13">
        <v>1500</v>
      </c>
      <c r="M2786" t="s">
        <v>2661</v>
      </c>
    </row>
    <row r="2787" spans="1:13">
      <c r="A2787" t="s">
        <v>1278</v>
      </c>
      <c r="B2787" t="s">
        <v>199</v>
      </c>
      <c r="C2787" s="8">
        <v>46276</v>
      </c>
      <c r="D2787" t="s">
        <v>330</v>
      </c>
      <c r="E2787" t="s">
        <v>325</v>
      </c>
      <c r="F2787" s="12">
        <v>299704</v>
      </c>
      <c r="G2787" s="13">
        <v>29</v>
      </c>
      <c r="H2787" t="s">
        <v>2993</v>
      </c>
      <c r="I2787" s="8">
        <v>46086</v>
      </c>
      <c r="J2787" t="s">
        <v>2659</v>
      </c>
      <c r="K2787" t="s">
        <v>2660</v>
      </c>
      <c r="L2787" s="13">
        <v>3500</v>
      </c>
      <c r="M2787" t="s">
        <v>2661</v>
      </c>
    </row>
    <row r="2788" spans="1:13">
      <c r="A2788" t="s">
        <v>1278</v>
      </c>
      <c r="B2788" t="s">
        <v>199</v>
      </c>
      <c r="C2788" s="8">
        <v>46276</v>
      </c>
      <c r="D2788" t="s">
        <v>330</v>
      </c>
      <c r="E2788" t="s">
        <v>325</v>
      </c>
      <c r="F2788" s="12">
        <v>299704</v>
      </c>
      <c r="G2788" s="13">
        <v>29</v>
      </c>
      <c r="H2788" t="s">
        <v>3004</v>
      </c>
      <c r="I2788" s="8">
        <v>45974</v>
      </c>
      <c r="J2788" t="s">
        <v>2688</v>
      </c>
      <c r="K2788" t="s">
        <v>2689</v>
      </c>
      <c r="L2788" s="13">
        <v>8000</v>
      </c>
      <c r="M2788" t="s">
        <v>2661</v>
      </c>
    </row>
    <row r="2789" spans="1:13">
      <c r="A2789" t="s">
        <v>1278</v>
      </c>
      <c r="B2789" t="s">
        <v>199</v>
      </c>
      <c r="C2789" s="8">
        <v>46276</v>
      </c>
      <c r="D2789" t="s">
        <v>330</v>
      </c>
      <c r="E2789" t="s">
        <v>325</v>
      </c>
      <c r="F2789" s="12">
        <v>299704</v>
      </c>
      <c r="G2789" s="13">
        <v>29</v>
      </c>
      <c r="H2789" t="s">
        <v>3399</v>
      </c>
      <c r="I2789" s="8">
        <v>46093</v>
      </c>
      <c r="J2789" t="s">
        <v>2659</v>
      </c>
      <c r="K2789" t="s">
        <v>2660</v>
      </c>
      <c r="L2789" s="13">
        <v>3500</v>
      </c>
      <c r="M2789" t="s">
        <v>2661</v>
      </c>
    </row>
    <row r="2790" spans="1:13">
      <c r="A2790" t="s">
        <v>1278</v>
      </c>
      <c r="B2790" t="s">
        <v>199</v>
      </c>
      <c r="C2790" s="8">
        <v>46276</v>
      </c>
      <c r="D2790" t="s">
        <v>330</v>
      </c>
      <c r="E2790" t="s">
        <v>325</v>
      </c>
      <c r="F2790" s="12">
        <v>299704</v>
      </c>
      <c r="G2790" s="13">
        <v>29</v>
      </c>
      <c r="H2790" t="s">
        <v>3496</v>
      </c>
      <c r="I2790" s="8">
        <v>46020</v>
      </c>
      <c r="J2790" t="s">
        <v>2674</v>
      </c>
      <c r="K2790" t="s">
        <v>2675</v>
      </c>
      <c r="L2790" s="13">
        <v>20000</v>
      </c>
      <c r="M2790" t="s">
        <v>2661</v>
      </c>
    </row>
    <row r="2791" spans="1:13">
      <c r="A2791" t="s">
        <v>1279</v>
      </c>
      <c r="B2791" t="s">
        <v>233</v>
      </c>
      <c r="C2791" s="8">
        <v>46242</v>
      </c>
      <c r="D2791" t="s">
        <v>332</v>
      </c>
      <c r="E2791" t="s">
        <v>337</v>
      </c>
      <c r="F2791" s="12">
        <v>479161</v>
      </c>
      <c r="G2791" s="13">
        <v>47</v>
      </c>
      <c r="H2791" t="s">
        <v>2912</v>
      </c>
      <c r="I2791" s="8">
        <v>46184</v>
      </c>
      <c r="J2791" t="s">
        <v>2688</v>
      </c>
      <c r="K2791" t="s">
        <v>2689</v>
      </c>
      <c r="L2791" s="13">
        <v>8000</v>
      </c>
      <c r="M2791" t="s">
        <v>2676</v>
      </c>
    </row>
    <row r="2792" spans="1:13">
      <c r="A2792" t="s">
        <v>1279</v>
      </c>
      <c r="B2792" t="s">
        <v>233</v>
      </c>
      <c r="C2792" s="8">
        <v>46242</v>
      </c>
      <c r="D2792" t="s">
        <v>332</v>
      </c>
      <c r="E2792" t="s">
        <v>337</v>
      </c>
      <c r="F2792" s="12">
        <v>479161</v>
      </c>
      <c r="G2792" s="13">
        <v>47</v>
      </c>
      <c r="H2792" t="s">
        <v>3508</v>
      </c>
      <c r="I2792" s="8">
        <v>46183</v>
      </c>
      <c r="J2792" t="s">
        <v>2671</v>
      </c>
      <c r="K2792" t="s">
        <v>2672</v>
      </c>
      <c r="L2792" s="13">
        <v>3000</v>
      </c>
      <c r="M2792" t="s">
        <v>2661</v>
      </c>
    </row>
    <row r="2793" spans="1:13">
      <c r="A2793" t="s">
        <v>1280</v>
      </c>
      <c r="B2793" t="s">
        <v>271</v>
      </c>
      <c r="C2793" s="8">
        <v>46069</v>
      </c>
      <c r="D2793" t="s">
        <v>321</v>
      </c>
      <c r="E2793" t="s">
        <v>325</v>
      </c>
      <c r="F2793" s="12">
        <v>180280</v>
      </c>
      <c r="G2793" s="13">
        <v>18</v>
      </c>
      <c r="H2793" t="s">
        <v>2917</v>
      </c>
      <c r="I2793" s="8">
        <v>46171</v>
      </c>
      <c r="J2793" t="s">
        <v>2671</v>
      </c>
      <c r="K2793" t="s">
        <v>2672</v>
      </c>
      <c r="L2793" s="13">
        <v>3000</v>
      </c>
      <c r="M2793" t="s">
        <v>2661</v>
      </c>
    </row>
    <row r="2794" spans="1:13">
      <c r="A2794" t="s">
        <v>1280</v>
      </c>
      <c r="B2794" t="s">
        <v>271</v>
      </c>
      <c r="C2794" s="8">
        <v>46069</v>
      </c>
      <c r="D2794" t="s">
        <v>321</v>
      </c>
      <c r="E2794" t="s">
        <v>325</v>
      </c>
      <c r="F2794" s="12">
        <v>180280</v>
      </c>
      <c r="G2794" s="13">
        <v>18</v>
      </c>
      <c r="H2794" t="s">
        <v>3330</v>
      </c>
      <c r="I2794" s="8">
        <v>46114</v>
      </c>
      <c r="J2794" t="s">
        <v>2685</v>
      </c>
      <c r="K2794" t="s">
        <v>2686</v>
      </c>
      <c r="L2794" s="13">
        <v>5000</v>
      </c>
      <c r="M2794" t="s">
        <v>2661</v>
      </c>
    </row>
    <row r="2795" spans="1:13">
      <c r="A2795" t="s">
        <v>1281</v>
      </c>
      <c r="B2795" t="s">
        <v>36</v>
      </c>
      <c r="C2795" s="8">
        <v>46151</v>
      </c>
      <c r="D2795" t="s">
        <v>350</v>
      </c>
      <c r="E2795" t="s">
        <v>328</v>
      </c>
      <c r="F2795" s="12">
        <v>112217</v>
      </c>
      <c r="G2795" s="13">
        <v>11</v>
      </c>
      <c r="H2795" t="s">
        <v>2780</v>
      </c>
      <c r="I2795" s="8">
        <v>46076</v>
      </c>
      <c r="J2795" t="s">
        <v>2671</v>
      </c>
      <c r="K2795" t="s">
        <v>2672</v>
      </c>
      <c r="L2795" s="13">
        <v>3000</v>
      </c>
      <c r="M2795" t="s">
        <v>2661</v>
      </c>
    </row>
    <row r="2796" spans="1:13">
      <c r="A2796" t="s">
        <v>1281</v>
      </c>
      <c r="B2796" t="s">
        <v>36</v>
      </c>
      <c r="C2796" s="8">
        <v>46151</v>
      </c>
      <c r="D2796" t="s">
        <v>350</v>
      </c>
      <c r="E2796" t="s">
        <v>328</v>
      </c>
      <c r="F2796" s="12">
        <v>112217</v>
      </c>
      <c r="G2796" s="13">
        <v>11</v>
      </c>
      <c r="H2796" t="s">
        <v>3169</v>
      </c>
      <c r="I2796" s="8">
        <v>46084</v>
      </c>
      <c r="J2796" t="s">
        <v>2685</v>
      </c>
      <c r="K2796" t="s">
        <v>2686</v>
      </c>
      <c r="L2796" s="13">
        <v>5000</v>
      </c>
      <c r="M2796" t="s">
        <v>2661</v>
      </c>
    </row>
    <row r="2797" spans="1:13">
      <c r="A2797" t="s">
        <v>1281</v>
      </c>
      <c r="B2797" t="s">
        <v>36</v>
      </c>
      <c r="C2797" s="8">
        <v>46151</v>
      </c>
      <c r="D2797" t="s">
        <v>350</v>
      </c>
      <c r="E2797" t="s">
        <v>328</v>
      </c>
      <c r="F2797" s="12">
        <v>112217</v>
      </c>
      <c r="G2797" s="13">
        <v>11</v>
      </c>
      <c r="H2797" t="s">
        <v>3458</v>
      </c>
      <c r="I2797" s="8">
        <v>45978</v>
      </c>
      <c r="J2797" t="s">
        <v>2665</v>
      </c>
      <c r="K2797" t="s">
        <v>2666</v>
      </c>
      <c r="L2797" s="13">
        <v>2500</v>
      </c>
      <c r="M2797" t="s">
        <v>2661</v>
      </c>
    </row>
    <row r="2798" spans="1:13">
      <c r="A2798" t="s">
        <v>1281</v>
      </c>
      <c r="B2798" t="s">
        <v>36</v>
      </c>
      <c r="C2798" s="8">
        <v>46151</v>
      </c>
      <c r="D2798" t="s">
        <v>350</v>
      </c>
      <c r="E2798" t="s">
        <v>328</v>
      </c>
      <c r="F2798" s="12">
        <v>112217</v>
      </c>
      <c r="G2798" s="13">
        <v>11</v>
      </c>
      <c r="H2798" t="s">
        <v>3521</v>
      </c>
      <c r="I2798" s="8">
        <v>45936</v>
      </c>
      <c r="J2798" t="s">
        <v>2674</v>
      </c>
      <c r="K2798" t="s">
        <v>2675</v>
      </c>
      <c r="L2798" s="13">
        <v>20000</v>
      </c>
      <c r="M2798" t="s">
        <v>2661</v>
      </c>
    </row>
    <row r="2799" spans="1:13">
      <c r="A2799" t="s">
        <v>1282</v>
      </c>
      <c r="B2799" t="s">
        <v>134</v>
      </c>
      <c r="C2799" s="8">
        <v>46219</v>
      </c>
      <c r="D2799" t="s">
        <v>344</v>
      </c>
      <c r="E2799" t="s">
        <v>328</v>
      </c>
      <c r="F2799" s="12">
        <v>126372</v>
      </c>
      <c r="G2799" s="13">
        <v>12</v>
      </c>
      <c r="H2799" t="s">
        <v>3183</v>
      </c>
      <c r="I2799" s="8">
        <v>46285</v>
      </c>
      <c r="J2799" t="s">
        <v>2663</v>
      </c>
      <c r="K2799" t="s">
        <v>3630</v>
      </c>
      <c r="L2799" s="13">
        <v>1500</v>
      </c>
      <c r="M2799" t="s">
        <v>2661</v>
      </c>
    </row>
    <row r="2800" spans="1:13">
      <c r="A2800" t="s">
        <v>1283</v>
      </c>
      <c r="B2800" t="s">
        <v>286</v>
      </c>
      <c r="C2800" s="8">
        <v>46265</v>
      </c>
      <c r="D2800" t="s">
        <v>324</v>
      </c>
      <c r="E2800" t="s">
        <v>325</v>
      </c>
      <c r="F2800" s="12">
        <v>383955</v>
      </c>
      <c r="G2800" s="13">
        <v>38</v>
      </c>
      <c r="H2800" t="s">
        <v>2814</v>
      </c>
      <c r="I2800" s="8">
        <v>46076</v>
      </c>
      <c r="J2800" t="s">
        <v>2663</v>
      </c>
      <c r="K2800" t="s">
        <v>3630</v>
      </c>
      <c r="L2800" s="13">
        <v>1500</v>
      </c>
      <c r="M2800" t="s">
        <v>2661</v>
      </c>
    </row>
    <row r="2801" spans="1:13">
      <c r="A2801" t="s">
        <v>1283</v>
      </c>
      <c r="B2801" t="s">
        <v>286</v>
      </c>
      <c r="C2801" s="8">
        <v>46265</v>
      </c>
      <c r="D2801" t="s">
        <v>324</v>
      </c>
      <c r="E2801" t="s">
        <v>325</v>
      </c>
      <c r="F2801" s="12">
        <v>383955</v>
      </c>
      <c r="G2801" s="13">
        <v>38</v>
      </c>
      <c r="H2801" t="s">
        <v>3003</v>
      </c>
      <c r="I2801" s="8">
        <v>46032</v>
      </c>
      <c r="J2801" t="s">
        <v>2659</v>
      </c>
      <c r="K2801" t="s">
        <v>2660</v>
      </c>
      <c r="L2801" s="13">
        <v>3500</v>
      </c>
      <c r="M2801" t="s">
        <v>2661</v>
      </c>
    </row>
    <row r="2802" spans="1:13">
      <c r="A2802" t="s">
        <v>1283</v>
      </c>
      <c r="B2802" t="s">
        <v>286</v>
      </c>
      <c r="C2802" s="8">
        <v>46265</v>
      </c>
      <c r="D2802" t="s">
        <v>324</v>
      </c>
      <c r="E2802" t="s">
        <v>325</v>
      </c>
      <c r="F2802" s="12">
        <v>383955</v>
      </c>
      <c r="G2802" s="13">
        <v>38</v>
      </c>
      <c r="H2802" t="s">
        <v>3081</v>
      </c>
      <c r="I2802" s="8">
        <v>46124</v>
      </c>
      <c r="J2802" t="s">
        <v>2692</v>
      </c>
      <c r="K2802" t="s">
        <v>2693</v>
      </c>
      <c r="L2802" s="13">
        <v>10000</v>
      </c>
      <c r="M2802" t="s">
        <v>2661</v>
      </c>
    </row>
    <row r="2803" spans="1:13">
      <c r="A2803" t="s">
        <v>1283</v>
      </c>
      <c r="B2803" t="s">
        <v>286</v>
      </c>
      <c r="C2803" s="8">
        <v>46265</v>
      </c>
      <c r="D2803" t="s">
        <v>324</v>
      </c>
      <c r="E2803" t="s">
        <v>325</v>
      </c>
      <c r="F2803" s="12">
        <v>383955</v>
      </c>
      <c r="G2803" s="13">
        <v>38</v>
      </c>
      <c r="H2803" t="s">
        <v>3151</v>
      </c>
      <c r="I2803" s="8">
        <v>45973</v>
      </c>
      <c r="J2803" t="s">
        <v>2692</v>
      </c>
      <c r="K2803" t="s">
        <v>2693</v>
      </c>
      <c r="L2803" s="13">
        <v>10000</v>
      </c>
      <c r="M2803" t="s">
        <v>2676</v>
      </c>
    </row>
    <row r="2804" spans="1:13">
      <c r="A2804" t="s">
        <v>1284</v>
      </c>
      <c r="B2804" t="s">
        <v>180</v>
      </c>
      <c r="C2804" s="8">
        <v>46195</v>
      </c>
      <c r="D2804" t="s">
        <v>332</v>
      </c>
      <c r="E2804" t="s">
        <v>334</v>
      </c>
      <c r="F2804" s="12">
        <v>473369</v>
      </c>
      <c r="G2804" s="13">
        <v>47</v>
      </c>
      <c r="H2804" t="s">
        <v>3461</v>
      </c>
      <c r="I2804" s="8">
        <v>46283</v>
      </c>
      <c r="J2804" t="s">
        <v>2682</v>
      </c>
      <c r="K2804" t="s">
        <v>2683</v>
      </c>
      <c r="L2804" s="13">
        <v>6000</v>
      </c>
      <c r="M2804" t="s">
        <v>2676</v>
      </c>
    </row>
    <row r="2805" spans="1:13">
      <c r="A2805" t="s">
        <v>1285</v>
      </c>
      <c r="B2805" t="s">
        <v>176</v>
      </c>
      <c r="C2805" s="8">
        <v>46261</v>
      </c>
      <c r="D2805" t="s">
        <v>342</v>
      </c>
      <c r="E2805" t="s">
        <v>334</v>
      </c>
      <c r="F2805" s="12">
        <v>254948</v>
      </c>
      <c r="G2805" s="13">
        <v>25</v>
      </c>
      <c r="H2805" t="s">
        <v>2717</v>
      </c>
      <c r="I2805" s="8">
        <v>46184</v>
      </c>
      <c r="J2805" t="s">
        <v>2692</v>
      </c>
      <c r="K2805" t="s">
        <v>2693</v>
      </c>
      <c r="L2805" s="13">
        <v>10000</v>
      </c>
      <c r="M2805" t="s">
        <v>2661</v>
      </c>
    </row>
    <row r="2806" spans="1:13">
      <c r="A2806" t="s">
        <v>1285</v>
      </c>
      <c r="B2806" t="s">
        <v>176</v>
      </c>
      <c r="C2806" s="8">
        <v>46261</v>
      </c>
      <c r="D2806" t="s">
        <v>342</v>
      </c>
      <c r="E2806" t="s">
        <v>334</v>
      </c>
      <c r="F2806" s="12">
        <v>254948</v>
      </c>
      <c r="G2806" s="13">
        <v>25</v>
      </c>
      <c r="H2806" t="s">
        <v>3103</v>
      </c>
      <c r="I2806" s="8">
        <v>46188</v>
      </c>
      <c r="J2806" t="s">
        <v>2692</v>
      </c>
      <c r="K2806" t="s">
        <v>2693</v>
      </c>
      <c r="L2806" s="13">
        <v>10000</v>
      </c>
      <c r="M2806" t="s">
        <v>2661</v>
      </c>
    </row>
    <row r="2807" spans="1:13">
      <c r="A2807" t="s">
        <v>1285</v>
      </c>
      <c r="B2807" t="s">
        <v>176</v>
      </c>
      <c r="C2807" s="8">
        <v>46261</v>
      </c>
      <c r="D2807" t="s">
        <v>342</v>
      </c>
      <c r="E2807" t="s">
        <v>334</v>
      </c>
      <c r="F2807" s="12">
        <v>254948</v>
      </c>
      <c r="G2807" s="13">
        <v>25</v>
      </c>
      <c r="H2807" t="s">
        <v>3218</v>
      </c>
      <c r="I2807" s="8">
        <v>46220</v>
      </c>
      <c r="J2807" t="s">
        <v>2665</v>
      </c>
      <c r="K2807" t="s">
        <v>2666</v>
      </c>
      <c r="L2807" s="13">
        <v>2500</v>
      </c>
      <c r="M2807" t="s">
        <v>2661</v>
      </c>
    </row>
    <row r="2808" spans="1:13">
      <c r="A2808" t="s">
        <v>1285</v>
      </c>
      <c r="B2808" t="s">
        <v>176</v>
      </c>
      <c r="C2808" s="8">
        <v>46261</v>
      </c>
      <c r="D2808" t="s">
        <v>342</v>
      </c>
      <c r="E2808" t="s">
        <v>334</v>
      </c>
      <c r="F2808" s="12">
        <v>254948</v>
      </c>
      <c r="G2808" s="13">
        <v>25</v>
      </c>
      <c r="H2808" t="s">
        <v>3249</v>
      </c>
      <c r="I2808" s="8">
        <v>46152</v>
      </c>
      <c r="J2808" t="s">
        <v>2688</v>
      </c>
      <c r="K2808" t="s">
        <v>2689</v>
      </c>
      <c r="L2808" s="13">
        <v>8000</v>
      </c>
      <c r="M2808" t="s">
        <v>2661</v>
      </c>
    </row>
    <row r="2809" spans="1:13">
      <c r="A2809" t="s">
        <v>1285</v>
      </c>
      <c r="B2809" t="s">
        <v>176</v>
      </c>
      <c r="C2809" s="8">
        <v>46261</v>
      </c>
      <c r="D2809" t="s">
        <v>342</v>
      </c>
      <c r="E2809" t="s">
        <v>334</v>
      </c>
      <c r="F2809" s="12">
        <v>254948</v>
      </c>
      <c r="G2809" s="13">
        <v>25</v>
      </c>
      <c r="H2809" t="s">
        <v>3517</v>
      </c>
      <c r="I2809" s="8">
        <v>45968</v>
      </c>
      <c r="J2809" t="s">
        <v>2663</v>
      </c>
      <c r="K2809" t="s">
        <v>3630</v>
      </c>
      <c r="L2809" s="13">
        <v>1500</v>
      </c>
      <c r="M2809" t="s">
        <v>2661</v>
      </c>
    </row>
    <row r="2810" spans="1:13">
      <c r="A2810" t="s">
        <v>1285</v>
      </c>
      <c r="B2810" t="s">
        <v>176</v>
      </c>
      <c r="C2810" s="8">
        <v>46261</v>
      </c>
      <c r="D2810" t="s">
        <v>342</v>
      </c>
      <c r="E2810" t="s">
        <v>334</v>
      </c>
      <c r="F2810" s="12">
        <v>254948</v>
      </c>
      <c r="G2810" s="13">
        <v>25</v>
      </c>
      <c r="H2810" t="s">
        <v>3532</v>
      </c>
      <c r="I2810" s="8">
        <v>46081</v>
      </c>
      <c r="J2810" t="s">
        <v>2671</v>
      </c>
      <c r="K2810" t="s">
        <v>2672</v>
      </c>
      <c r="L2810" s="13">
        <v>3000</v>
      </c>
      <c r="M2810" t="s">
        <v>2661</v>
      </c>
    </row>
    <row r="2811" spans="1:13">
      <c r="A2811" t="s">
        <v>1288</v>
      </c>
      <c r="B2811" t="s">
        <v>224</v>
      </c>
      <c r="C2811" s="8">
        <v>45967</v>
      </c>
      <c r="D2811" t="s">
        <v>324</v>
      </c>
      <c r="E2811" t="s">
        <v>325</v>
      </c>
      <c r="F2811" s="12">
        <v>85760</v>
      </c>
      <c r="G2811" s="13">
        <v>8</v>
      </c>
      <c r="H2811" t="s">
        <v>2735</v>
      </c>
      <c r="I2811" s="8">
        <v>45968</v>
      </c>
      <c r="J2811" t="s">
        <v>2682</v>
      </c>
      <c r="K2811" t="s">
        <v>2683</v>
      </c>
      <c r="L2811" s="13">
        <v>6000</v>
      </c>
      <c r="M2811" t="s">
        <v>2661</v>
      </c>
    </row>
    <row r="2812" spans="1:13">
      <c r="A2812" t="s">
        <v>1288</v>
      </c>
      <c r="B2812" t="s">
        <v>224</v>
      </c>
      <c r="C2812" s="8">
        <v>45967</v>
      </c>
      <c r="D2812" t="s">
        <v>324</v>
      </c>
      <c r="E2812" t="s">
        <v>325</v>
      </c>
      <c r="F2812" s="12">
        <v>85760</v>
      </c>
      <c r="G2812" s="13">
        <v>8</v>
      </c>
      <c r="H2812" t="s">
        <v>3406</v>
      </c>
      <c r="I2812" s="8">
        <v>46193</v>
      </c>
      <c r="J2812" t="s">
        <v>2682</v>
      </c>
      <c r="K2812" t="s">
        <v>2683</v>
      </c>
      <c r="L2812" s="13">
        <v>6000</v>
      </c>
      <c r="M2812" t="s">
        <v>2676</v>
      </c>
    </row>
    <row r="2813" spans="1:13">
      <c r="A2813" t="s">
        <v>1288</v>
      </c>
      <c r="B2813" t="s">
        <v>224</v>
      </c>
      <c r="C2813" s="8">
        <v>45967</v>
      </c>
      <c r="D2813" t="s">
        <v>324</v>
      </c>
      <c r="E2813" t="s">
        <v>325</v>
      </c>
      <c r="F2813" s="12">
        <v>85760</v>
      </c>
      <c r="G2813" s="13">
        <v>8</v>
      </c>
      <c r="H2813" t="s">
        <v>3410</v>
      </c>
      <c r="I2813" s="8">
        <v>45967</v>
      </c>
      <c r="J2813" t="s">
        <v>2692</v>
      </c>
      <c r="K2813" t="s">
        <v>2693</v>
      </c>
      <c r="L2813" s="13">
        <v>10000</v>
      </c>
      <c r="M2813" t="s">
        <v>2661</v>
      </c>
    </row>
    <row r="2814" spans="1:13">
      <c r="A2814" t="s">
        <v>1289</v>
      </c>
      <c r="B2814" t="s">
        <v>71</v>
      </c>
      <c r="C2814" s="8">
        <v>46264</v>
      </c>
      <c r="D2814" t="s">
        <v>330</v>
      </c>
      <c r="E2814" t="s">
        <v>339</v>
      </c>
      <c r="F2814" s="12">
        <v>435131</v>
      </c>
      <c r="G2814" s="13">
        <v>43</v>
      </c>
      <c r="H2814" t="s">
        <v>3016</v>
      </c>
      <c r="I2814" s="8">
        <v>46086</v>
      </c>
      <c r="J2814" t="s">
        <v>2659</v>
      </c>
      <c r="K2814" t="s">
        <v>2660</v>
      </c>
      <c r="L2814" s="13">
        <v>3500</v>
      </c>
      <c r="M2814" t="s">
        <v>2661</v>
      </c>
    </row>
    <row r="2815" spans="1:13">
      <c r="A2815" t="s">
        <v>1289</v>
      </c>
      <c r="B2815" t="s">
        <v>71</v>
      </c>
      <c r="C2815" s="8">
        <v>46264</v>
      </c>
      <c r="D2815" t="s">
        <v>330</v>
      </c>
      <c r="E2815" t="s">
        <v>339</v>
      </c>
      <c r="F2815" s="12">
        <v>435131</v>
      </c>
      <c r="G2815" s="13">
        <v>43</v>
      </c>
      <c r="H2815" t="s">
        <v>3292</v>
      </c>
      <c r="I2815" s="8">
        <v>46001</v>
      </c>
      <c r="J2815" t="s">
        <v>2663</v>
      </c>
      <c r="K2815" t="s">
        <v>3630</v>
      </c>
      <c r="L2815" s="13">
        <v>1500</v>
      </c>
      <c r="M2815" t="s">
        <v>2661</v>
      </c>
    </row>
    <row r="2816" spans="1:13">
      <c r="A2816" t="s">
        <v>1289</v>
      </c>
      <c r="B2816" t="s">
        <v>71</v>
      </c>
      <c r="C2816" s="8">
        <v>46264</v>
      </c>
      <c r="D2816" t="s">
        <v>330</v>
      </c>
      <c r="E2816" t="s">
        <v>339</v>
      </c>
      <c r="F2816" s="12">
        <v>435131</v>
      </c>
      <c r="G2816" s="13">
        <v>43</v>
      </c>
      <c r="H2816" t="s">
        <v>3359</v>
      </c>
      <c r="I2816" s="8">
        <v>45954</v>
      </c>
      <c r="J2816" t="s">
        <v>2692</v>
      </c>
      <c r="K2816" t="s">
        <v>2693</v>
      </c>
      <c r="L2816" s="13">
        <v>10000</v>
      </c>
      <c r="M2816" t="s">
        <v>2676</v>
      </c>
    </row>
    <row r="2817" spans="1:13">
      <c r="A2817" t="s">
        <v>1290</v>
      </c>
      <c r="B2817" t="s">
        <v>250</v>
      </c>
      <c r="C2817" s="8">
        <v>46049</v>
      </c>
      <c r="D2817" t="s">
        <v>330</v>
      </c>
      <c r="E2817" t="s">
        <v>328</v>
      </c>
      <c r="F2817" s="12">
        <v>186356</v>
      </c>
      <c r="G2817" s="13">
        <v>18</v>
      </c>
      <c r="H2817" t="s">
        <v>3038</v>
      </c>
      <c r="I2817" s="8">
        <v>45972</v>
      </c>
      <c r="J2817" t="s">
        <v>2688</v>
      </c>
      <c r="K2817" t="s">
        <v>2689</v>
      </c>
      <c r="L2817" s="13">
        <v>8000</v>
      </c>
      <c r="M2817" t="s">
        <v>2661</v>
      </c>
    </row>
    <row r="2818" spans="1:13">
      <c r="A2818" t="s">
        <v>1290</v>
      </c>
      <c r="B2818" t="s">
        <v>250</v>
      </c>
      <c r="C2818" s="8">
        <v>46049</v>
      </c>
      <c r="D2818" t="s">
        <v>330</v>
      </c>
      <c r="E2818" t="s">
        <v>328</v>
      </c>
      <c r="F2818" s="12">
        <v>186356</v>
      </c>
      <c r="G2818" s="13">
        <v>18</v>
      </c>
      <c r="H2818" t="s">
        <v>3199</v>
      </c>
      <c r="I2818" s="8">
        <v>45994</v>
      </c>
      <c r="J2818" t="s">
        <v>2685</v>
      </c>
      <c r="K2818" t="s">
        <v>2686</v>
      </c>
      <c r="L2818" s="13">
        <v>5000</v>
      </c>
      <c r="M2818" t="s">
        <v>2661</v>
      </c>
    </row>
    <row r="2819" spans="1:13">
      <c r="A2819" t="s">
        <v>1290</v>
      </c>
      <c r="B2819" t="s">
        <v>250</v>
      </c>
      <c r="C2819" s="8">
        <v>46049</v>
      </c>
      <c r="D2819" t="s">
        <v>330</v>
      </c>
      <c r="E2819" t="s">
        <v>328</v>
      </c>
      <c r="F2819" s="12">
        <v>186356</v>
      </c>
      <c r="G2819" s="13">
        <v>18</v>
      </c>
      <c r="H2819" t="s">
        <v>3255</v>
      </c>
      <c r="I2819" s="8">
        <v>46197</v>
      </c>
      <c r="J2819" t="s">
        <v>2671</v>
      </c>
      <c r="K2819" t="s">
        <v>2672</v>
      </c>
      <c r="L2819" s="13">
        <v>3000</v>
      </c>
      <c r="M2819" t="s">
        <v>2661</v>
      </c>
    </row>
    <row r="2820" spans="1:13">
      <c r="A2820" t="s">
        <v>1290</v>
      </c>
      <c r="B2820" t="s">
        <v>250</v>
      </c>
      <c r="C2820" s="8">
        <v>46049</v>
      </c>
      <c r="D2820" t="s">
        <v>330</v>
      </c>
      <c r="E2820" t="s">
        <v>328</v>
      </c>
      <c r="F2820" s="12">
        <v>186356</v>
      </c>
      <c r="G2820" s="13">
        <v>18</v>
      </c>
      <c r="H2820" t="s">
        <v>3333</v>
      </c>
      <c r="I2820" s="8">
        <v>46156</v>
      </c>
      <c r="J2820" t="s">
        <v>2668</v>
      </c>
      <c r="K2820" t="s">
        <v>2669</v>
      </c>
      <c r="L2820" s="13">
        <v>4000</v>
      </c>
      <c r="M2820" t="s">
        <v>2661</v>
      </c>
    </row>
    <row r="2821" spans="1:13">
      <c r="A2821" t="s">
        <v>1291</v>
      </c>
      <c r="B2821" t="s">
        <v>57</v>
      </c>
      <c r="C2821" s="8">
        <v>46158</v>
      </c>
      <c r="D2821" t="s">
        <v>327</v>
      </c>
      <c r="E2821" t="s">
        <v>325</v>
      </c>
      <c r="F2821" s="12">
        <v>75061</v>
      </c>
      <c r="G2821" s="13">
        <v>7</v>
      </c>
      <c r="H2821" t="s">
        <v>3486</v>
      </c>
      <c r="I2821" s="8">
        <v>46159</v>
      </c>
      <c r="J2821" t="s">
        <v>2665</v>
      </c>
      <c r="K2821" t="s">
        <v>2666</v>
      </c>
      <c r="L2821" s="13">
        <v>2500</v>
      </c>
      <c r="M2821" t="s">
        <v>2661</v>
      </c>
    </row>
    <row r="2822" spans="1:13">
      <c r="A2822" t="s">
        <v>1292</v>
      </c>
      <c r="B2822" t="s">
        <v>170</v>
      </c>
      <c r="C2822" s="8">
        <v>45991</v>
      </c>
      <c r="D2822" t="s">
        <v>344</v>
      </c>
      <c r="E2822" t="s">
        <v>337</v>
      </c>
      <c r="F2822" s="12">
        <v>321924</v>
      </c>
      <c r="G2822" s="13">
        <v>32</v>
      </c>
      <c r="H2822" t="s">
        <v>2987</v>
      </c>
      <c r="I2822" s="8">
        <v>45962</v>
      </c>
      <c r="J2822" t="s">
        <v>2665</v>
      </c>
      <c r="K2822" t="s">
        <v>2666</v>
      </c>
      <c r="L2822" s="13">
        <v>2500</v>
      </c>
      <c r="M2822" t="s">
        <v>2661</v>
      </c>
    </row>
    <row r="2823" spans="1:13">
      <c r="A2823" t="s">
        <v>1292</v>
      </c>
      <c r="B2823" t="s">
        <v>170</v>
      </c>
      <c r="C2823" s="8">
        <v>45991</v>
      </c>
      <c r="D2823" t="s">
        <v>344</v>
      </c>
      <c r="E2823" t="s">
        <v>337</v>
      </c>
      <c r="F2823" s="12">
        <v>321924</v>
      </c>
      <c r="G2823" s="13">
        <v>32</v>
      </c>
      <c r="H2823" t="s">
        <v>3043</v>
      </c>
      <c r="I2823" s="8">
        <v>46277</v>
      </c>
      <c r="J2823" t="s">
        <v>2663</v>
      </c>
      <c r="K2823" t="s">
        <v>3630</v>
      </c>
      <c r="L2823" s="13">
        <v>1500</v>
      </c>
      <c r="M2823" t="s">
        <v>2676</v>
      </c>
    </row>
    <row r="2824" spans="1:13">
      <c r="A2824" t="s">
        <v>1293</v>
      </c>
      <c r="B2824" t="s">
        <v>303</v>
      </c>
      <c r="C2824" s="8">
        <v>46256</v>
      </c>
      <c r="D2824" t="s">
        <v>342</v>
      </c>
      <c r="E2824" t="s">
        <v>339</v>
      </c>
      <c r="F2824" s="12">
        <v>151499</v>
      </c>
      <c r="G2824" s="13">
        <v>15</v>
      </c>
      <c r="H2824" t="s">
        <v>2809</v>
      </c>
      <c r="I2824" s="8">
        <v>46061</v>
      </c>
      <c r="J2824" t="s">
        <v>2682</v>
      </c>
      <c r="K2824" t="s">
        <v>2683</v>
      </c>
      <c r="L2824" s="13">
        <v>6000</v>
      </c>
      <c r="M2824" t="s">
        <v>2661</v>
      </c>
    </row>
    <row r="2825" spans="1:13">
      <c r="A2825" t="s">
        <v>1295</v>
      </c>
      <c r="B2825" t="s">
        <v>226</v>
      </c>
      <c r="C2825" s="8">
        <v>46206</v>
      </c>
      <c r="D2825" t="s">
        <v>330</v>
      </c>
      <c r="E2825" t="s">
        <v>328</v>
      </c>
      <c r="F2825" s="12">
        <v>231297</v>
      </c>
      <c r="G2825" s="13">
        <v>23</v>
      </c>
      <c r="H2825" t="s">
        <v>2958</v>
      </c>
      <c r="I2825" s="8">
        <v>46253</v>
      </c>
      <c r="J2825" t="s">
        <v>2668</v>
      </c>
      <c r="K2825" t="s">
        <v>2669</v>
      </c>
      <c r="L2825" s="13">
        <v>4000</v>
      </c>
      <c r="M2825" t="s">
        <v>2661</v>
      </c>
    </row>
    <row r="2826" spans="1:13">
      <c r="A2826" t="s">
        <v>1295</v>
      </c>
      <c r="B2826" t="s">
        <v>226</v>
      </c>
      <c r="C2826" s="8">
        <v>46206</v>
      </c>
      <c r="D2826" t="s">
        <v>330</v>
      </c>
      <c r="E2826" t="s">
        <v>328</v>
      </c>
      <c r="F2826" s="12">
        <v>231297</v>
      </c>
      <c r="G2826" s="13">
        <v>23</v>
      </c>
      <c r="H2826" t="s">
        <v>2981</v>
      </c>
      <c r="I2826" s="8">
        <v>45946</v>
      </c>
      <c r="J2826" t="s">
        <v>2674</v>
      </c>
      <c r="K2826" t="s">
        <v>2675</v>
      </c>
      <c r="L2826" s="13">
        <v>20000</v>
      </c>
      <c r="M2826" t="s">
        <v>2661</v>
      </c>
    </row>
    <row r="2827" spans="1:13">
      <c r="A2827" t="s">
        <v>1295</v>
      </c>
      <c r="B2827" t="s">
        <v>226</v>
      </c>
      <c r="C2827" s="8">
        <v>46206</v>
      </c>
      <c r="D2827" t="s">
        <v>330</v>
      </c>
      <c r="E2827" t="s">
        <v>328</v>
      </c>
      <c r="F2827" s="12">
        <v>231297</v>
      </c>
      <c r="G2827" s="13">
        <v>23</v>
      </c>
      <c r="H2827" t="s">
        <v>3349</v>
      </c>
      <c r="I2827" s="8">
        <v>46053</v>
      </c>
      <c r="J2827" t="s">
        <v>2665</v>
      </c>
      <c r="K2827" t="s">
        <v>2666</v>
      </c>
      <c r="L2827" s="13">
        <v>2500</v>
      </c>
      <c r="M2827" t="s">
        <v>2661</v>
      </c>
    </row>
    <row r="2828" spans="1:13">
      <c r="A2828" t="s">
        <v>1295</v>
      </c>
      <c r="B2828" t="s">
        <v>226</v>
      </c>
      <c r="C2828" s="8">
        <v>46206</v>
      </c>
      <c r="D2828" t="s">
        <v>330</v>
      </c>
      <c r="E2828" t="s">
        <v>328</v>
      </c>
      <c r="F2828" s="12">
        <v>231297</v>
      </c>
      <c r="G2828" s="13">
        <v>23</v>
      </c>
      <c r="H2828" t="s">
        <v>3491</v>
      </c>
      <c r="I2828" s="8">
        <v>46167</v>
      </c>
      <c r="J2828" t="s">
        <v>2685</v>
      </c>
      <c r="K2828" t="s">
        <v>2686</v>
      </c>
      <c r="L2828" s="13">
        <v>5000</v>
      </c>
      <c r="M2828" t="s">
        <v>2676</v>
      </c>
    </row>
    <row r="2829" spans="1:13">
      <c r="A2829" t="s">
        <v>1296</v>
      </c>
      <c r="B2829" t="s">
        <v>277</v>
      </c>
      <c r="C2829" s="8">
        <v>46251</v>
      </c>
      <c r="D2829" t="s">
        <v>321</v>
      </c>
      <c r="E2829" t="s">
        <v>337</v>
      </c>
      <c r="F2829" s="12">
        <v>350679</v>
      </c>
      <c r="G2829" s="13">
        <v>35</v>
      </c>
      <c r="H2829" t="s">
        <v>2843</v>
      </c>
      <c r="I2829" s="8">
        <v>46213</v>
      </c>
      <c r="J2829" t="s">
        <v>2682</v>
      </c>
      <c r="K2829" t="s">
        <v>2683</v>
      </c>
      <c r="L2829" s="13">
        <v>6000</v>
      </c>
      <c r="M2829" t="s">
        <v>2661</v>
      </c>
    </row>
    <row r="2830" spans="1:13">
      <c r="A2830" t="s">
        <v>1296</v>
      </c>
      <c r="B2830" t="s">
        <v>277</v>
      </c>
      <c r="C2830" s="8">
        <v>46251</v>
      </c>
      <c r="D2830" t="s">
        <v>321</v>
      </c>
      <c r="E2830" t="s">
        <v>337</v>
      </c>
      <c r="F2830" s="12">
        <v>350679</v>
      </c>
      <c r="G2830" s="13">
        <v>35</v>
      </c>
      <c r="H2830" t="s">
        <v>2957</v>
      </c>
      <c r="I2830" s="8">
        <v>45984</v>
      </c>
      <c r="J2830" t="s">
        <v>2671</v>
      </c>
      <c r="K2830" t="s">
        <v>2672</v>
      </c>
      <c r="L2830" s="13">
        <v>3000</v>
      </c>
      <c r="M2830" t="s">
        <v>2661</v>
      </c>
    </row>
    <row r="2831" spans="1:13">
      <c r="A2831" t="s">
        <v>1296</v>
      </c>
      <c r="B2831" t="s">
        <v>277</v>
      </c>
      <c r="C2831" s="8">
        <v>46251</v>
      </c>
      <c r="D2831" t="s">
        <v>321</v>
      </c>
      <c r="E2831" t="s">
        <v>337</v>
      </c>
      <c r="F2831" s="12">
        <v>350679</v>
      </c>
      <c r="G2831" s="13">
        <v>35</v>
      </c>
      <c r="H2831" t="s">
        <v>2978</v>
      </c>
      <c r="I2831" s="8">
        <v>46142</v>
      </c>
      <c r="J2831" t="s">
        <v>2659</v>
      </c>
      <c r="K2831" t="s">
        <v>2660</v>
      </c>
      <c r="L2831" s="13">
        <v>3500</v>
      </c>
      <c r="M2831" t="s">
        <v>2661</v>
      </c>
    </row>
    <row r="2832" spans="1:13">
      <c r="A2832" t="s">
        <v>1296</v>
      </c>
      <c r="B2832" t="s">
        <v>277</v>
      </c>
      <c r="C2832" s="8">
        <v>46251</v>
      </c>
      <c r="D2832" t="s">
        <v>321</v>
      </c>
      <c r="E2832" t="s">
        <v>337</v>
      </c>
      <c r="F2832" s="12">
        <v>350679</v>
      </c>
      <c r="G2832" s="13">
        <v>35</v>
      </c>
      <c r="H2832" t="s">
        <v>3059</v>
      </c>
      <c r="I2832" s="8">
        <v>46217</v>
      </c>
      <c r="J2832" t="s">
        <v>2659</v>
      </c>
      <c r="K2832" t="s">
        <v>2660</v>
      </c>
      <c r="L2832" s="13">
        <v>3500</v>
      </c>
      <c r="M2832" t="s">
        <v>2661</v>
      </c>
    </row>
    <row r="2833" spans="1:13">
      <c r="A2833" t="s">
        <v>1296</v>
      </c>
      <c r="B2833" t="s">
        <v>277</v>
      </c>
      <c r="C2833" s="8">
        <v>46251</v>
      </c>
      <c r="D2833" t="s">
        <v>321</v>
      </c>
      <c r="E2833" t="s">
        <v>337</v>
      </c>
      <c r="F2833" s="12">
        <v>350679</v>
      </c>
      <c r="G2833" s="13">
        <v>35</v>
      </c>
      <c r="H2833" t="s">
        <v>3102</v>
      </c>
      <c r="I2833" s="8">
        <v>46027</v>
      </c>
      <c r="J2833" t="s">
        <v>2692</v>
      </c>
      <c r="K2833" t="s">
        <v>2693</v>
      </c>
      <c r="L2833" s="13">
        <v>10000</v>
      </c>
      <c r="M2833" t="s">
        <v>2661</v>
      </c>
    </row>
    <row r="2834" spans="1:13">
      <c r="A2834" t="s">
        <v>1296</v>
      </c>
      <c r="B2834" t="s">
        <v>277</v>
      </c>
      <c r="C2834" s="8">
        <v>46251</v>
      </c>
      <c r="D2834" t="s">
        <v>321</v>
      </c>
      <c r="E2834" t="s">
        <v>337</v>
      </c>
      <c r="F2834" s="12">
        <v>350679</v>
      </c>
      <c r="G2834" s="13">
        <v>35</v>
      </c>
      <c r="H2834" t="s">
        <v>3553</v>
      </c>
      <c r="I2834" s="8">
        <v>45945</v>
      </c>
      <c r="J2834" t="s">
        <v>2685</v>
      </c>
      <c r="K2834" t="s">
        <v>2686</v>
      </c>
      <c r="L2834" s="13">
        <v>5000</v>
      </c>
      <c r="M2834" t="s">
        <v>2661</v>
      </c>
    </row>
    <row r="2835" spans="1:13">
      <c r="A2835" t="s">
        <v>1296</v>
      </c>
      <c r="B2835" t="s">
        <v>277</v>
      </c>
      <c r="C2835" s="8">
        <v>46251</v>
      </c>
      <c r="D2835" t="s">
        <v>321</v>
      </c>
      <c r="E2835" t="s">
        <v>337</v>
      </c>
      <c r="F2835" s="12">
        <v>350679</v>
      </c>
      <c r="G2835" s="13">
        <v>35</v>
      </c>
      <c r="H2835" t="s">
        <v>3560</v>
      </c>
      <c r="I2835" s="8">
        <v>45986</v>
      </c>
      <c r="J2835" t="s">
        <v>2685</v>
      </c>
      <c r="K2835" t="s">
        <v>2686</v>
      </c>
      <c r="L2835" s="13">
        <v>5000</v>
      </c>
      <c r="M2835" t="s">
        <v>2661</v>
      </c>
    </row>
    <row r="2836" spans="1:13">
      <c r="A2836" t="s">
        <v>1297</v>
      </c>
      <c r="B2836" t="s">
        <v>280</v>
      </c>
      <c r="C2836" s="8">
        <v>46234</v>
      </c>
      <c r="D2836" t="s">
        <v>321</v>
      </c>
      <c r="E2836" t="s">
        <v>325</v>
      </c>
      <c r="F2836" s="12">
        <v>192962</v>
      </c>
      <c r="G2836" s="13">
        <v>19</v>
      </c>
      <c r="H2836" t="s">
        <v>2673</v>
      </c>
      <c r="I2836" s="8">
        <v>46091</v>
      </c>
      <c r="J2836" t="s">
        <v>2674</v>
      </c>
      <c r="K2836" t="s">
        <v>2675</v>
      </c>
      <c r="L2836" s="13">
        <v>20000</v>
      </c>
      <c r="M2836" t="s">
        <v>2676</v>
      </c>
    </row>
    <row r="2837" spans="1:13">
      <c r="A2837" t="s">
        <v>1297</v>
      </c>
      <c r="B2837" t="s">
        <v>280</v>
      </c>
      <c r="C2837" s="8">
        <v>46234</v>
      </c>
      <c r="D2837" t="s">
        <v>321</v>
      </c>
      <c r="E2837" t="s">
        <v>325</v>
      </c>
      <c r="F2837" s="12">
        <v>192962</v>
      </c>
      <c r="G2837" s="13">
        <v>19</v>
      </c>
      <c r="H2837" t="s">
        <v>2924</v>
      </c>
      <c r="I2837" s="8">
        <v>46275</v>
      </c>
      <c r="J2837" t="s">
        <v>2663</v>
      </c>
      <c r="K2837" t="s">
        <v>3630</v>
      </c>
      <c r="L2837" s="13">
        <v>1500</v>
      </c>
      <c r="M2837" t="s">
        <v>2661</v>
      </c>
    </row>
    <row r="2838" spans="1:13">
      <c r="A2838" t="s">
        <v>1297</v>
      </c>
      <c r="B2838" t="s">
        <v>280</v>
      </c>
      <c r="C2838" s="8">
        <v>46234</v>
      </c>
      <c r="D2838" t="s">
        <v>321</v>
      </c>
      <c r="E2838" t="s">
        <v>325</v>
      </c>
      <c r="F2838" s="12">
        <v>192962</v>
      </c>
      <c r="G2838" s="13">
        <v>19</v>
      </c>
      <c r="H2838" t="s">
        <v>3163</v>
      </c>
      <c r="I2838" s="8">
        <v>46279</v>
      </c>
      <c r="J2838" t="s">
        <v>2668</v>
      </c>
      <c r="K2838" t="s">
        <v>2669</v>
      </c>
      <c r="L2838" s="13">
        <v>4000</v>
      </c>
      <c r="M2838" t="s">
        <v>2661</v>
      </c>
    </row>
    <row r="2839" spans="1:13">
      <c r="A2839" t="s">
        <v>1297</v>
      </c>
      <c r="B2839" t="s">
        <v>280</v>
      </c>
      <c r="C2839" s="8">
        <v>46234</v>
      </c>
      <c r="D2839" t="s">
        <v>321</v>
      </c>
      <c r="E2839" t="s">
        <v>325</v>
      </c>
      <c r="F2839" s="12">
        <v>192962</v>
      </c>
      <c r="G2839" s="13">
        <v>19</v>
      </c>
      <c r="H2839" t="s">
        <v>3286</v>
      </c>
      <c r="I2839" s="8">
        <v>46224</v>
      </c>
      <c r="J2839" t="s">
        <v>2685</v>
      </c>
      <c r="K2839" t="s">
        <v>2686</v>
      </c>
      <c r="L2839" s="13">
        <v>5000</v>
      </c>
      <c r="M2839" t="s">
        <v>2661</v>
      </c>
    </row>
    <row r="2840" spans="1:13">
      <c r="A2840" t="s">
        <v>1297</v>
      </c>
      <c r="B2840" t="s">
        <v>280</v>
      </c>
      <c r="C2840" s="8">
        <v>46234</v>
      </c>
      <c r="D2840" t="s">
        <v>321</v>
      </c>
      <c r="E2840" t="s">
        <v>325</v>
      </c>
      <c r="F2840" s="12">
        <v>192962</v>
      </c>
      <c r="G2840" s="13">
        <v>19</v>
      </c>
      <c r="H2840" t="s">
        <v>3400</v>
      </c>
      <c r="I2840" s="8">
        <v>46126</v>
      </c>
      <c r="J2840" t="s">
        <v>2692</v>
      </c>
      <c r="K2840" t="s">
        <v>2693</v>
      </c>
      <c r="L2840" s="13">
        <v>10000</v>
      </c>
      <c r="M2840" t="s">
        <v>2661</v>
      </c>
    </row>
    <row r="2841" spans="1:13">
      <c r="A2841" t="s">
        <v>1297</v>
      </c>
      <c r="B2841" t="s">
        <v>280</v>
      </c>
      <c r="C2841" s="8">
        <v>46234</v>
      </c>
      <c r="D2841" t="s">
        <v>321</v>
      </c>
      <c r="E2841" t="s">
        <v>325</v>
      </c>
      <c r="F2841" s="12">
        <v>192962</v>
      </c>
      <c r="G2841" s="13">
        <v>19</v>
      </c>
      <c r="H2841" t="s">
        <v>3535</v>
      </c>
      <c r="I2841" s="8">
        <v>46274</v>
      </c>
      <c r="J2841" t="s">
        <v>2659</v>
      </c>
      <c r="K2841" t="s">
        <v>2660</v>
      </c>
      <c r="L2841" s="13">
        <v>3500</v>
      </c>
      <c r="M2841" t="s">
        <v>2661</v>
      </c>
    </row>
    <row r="2842" spans="1:13">
      <c r="A2842" t="s">
        <v>1298</v>
      </c>
      <c r="B2842" t="s">
        <v>28</v>
      </c>
      <c r="C2842" s="8">
        <v>46147</v>
      </c>
      <c r="D2842" t="s">
        <v>344</v>
      </c>
      <c r="E2842" t="s">
        <v>334</v>
      </c>
      <c r="F2842" s="12">
        <v>137505</v>
      </c>
      <c r="G2842" s="13">
        <v>13</v>
      </c>
      <c r="H2842" t="s">
        <v>2744</v>
      </c>
      <c r="I2842" s="8">
        <v>46085</v>
      </c>
      <c r="J2842" t="s">
        <v>2692</v>
      </c>
      <c r="K2842" t="s">
        <v>2693</v>
      </c>
      <c r="L2842" s="13">
        <v>10000</v>
      </c>
      <c r="M2842" t="s">
        <v>2661</v>
      </c>
    </row>
    <row r="2843" spans="1:13">
      <c r="A2843" t="s">
        <v>1298</v>
      </c>
      <c r="B2843" t="s">
        <v>28</v>
      </c>
      <c r="C2843" s="8">
        <v>46147</v>
      </c>
      <c r="D2843" t="s">
        <v>344</v>
      </c>
      <c r="E2843" t="s">
        <v>334</v>
      </c>
      <c r="F2843" s="12">
        <v>137505</v>
      </c>
      <c r="G2843" s="13">
        <v>13</v>
      </c>
      <c r="H2843" t="s">
        <v>2849</v>
      </c>
      <c r="I2843" s="8">
        <v>46060</v>
      </c>
      <c r="J2843" t="s">
        <v>2659</v>
      </c>
      <c r="K2843" t="s">
        <v>2660</v>
      </c>
      <c r="L2843" s="13">
        <v>3500</v>
      </c>
      <c r="M2843" t="s">
        <v>2661</v>
      </c>
    </row>
    <row r="2844" spans="1:13">
      <c r="A2844" t="s">
        <v>1298</v>
      </c>
      <c r="B2844" t="s">
        <v>28</v>
      </c>
      <c r="C2844" s="8">
        <v>46147</v>
      </c>
      <c r="D2844" t="s">
        <v>344</v>
      </c>
      <c r="E2844" t="s">
        <v>334</v>
      </c>
      <c r="F2844" s="12">
        <v>137505</v>
      </c>
      <c r="G2844" s="13">
        <v>13</v>
      </c>
      <c r="H2844" t="s">
        <v>2940</v>
      </c>
      <c r="I2844" s="8">
        <v>45947</v>
      </c>
      <c r="J2844" t="s">
        <v>2688</v>
      </c>
      <c r="K2844" t="s">
        <v>2689</v>
      </c>
      <c r="L2844" s="13">
        <v>8000</v>
      </c>
      <c r="M2844" t="s">
        <v>2661</v>
      </c>
    </row>
    <row r="2845" spans="1:13">
      <c r="A2845" t="s">
        <v>1298</v>
      </c>
      <c r="B2845" t="s">
        <v>28</v>
      </c>
      <c r="C2845" s="8">
        <v>46147</v>
      </c>
      <c r="D2845" t="s">
        <v>344</v>
      </c>
      <c r="E2845" t="s">
        <v>334</v>
      </c>
      <c r="F2845" s="12">
        <v>137505</v>
      </c>
      <c r="G2845" s="13">
        <v>13</v>
      </c>
      <c r="H2845" t="s">
        <v>3361</v>
      </c>
      <c r="I2845" s="8">
        <v>46205</v>
      </c>
      <c r="J2845" t="s">
        <v>2685</v>
      </c>
      <c r="K2845" t="s">
        <v>2686</v>
      </c>
      <c r="L2845" s="13">
        <v>5000</v>
      </c>
      <c r="M2845" t="s">
        <v>2661</v>
      </c>
    </row>
    <row r="2846" spans="1:13">
      <c r="A2846" t="s">
        <v>1298</v>
      </c>
      <c r="B2846" t="s">
        <v>28</v>
      </c>
      <c r="C2846" s="8">
        <v>46147</v>
      </c>
      <c r="D2846" t="s">
        <v>344</v>
      </c>
      <c r="E2846" t="s">
        <v>334</v>
      </c>
      <c r="F2846" s="12">
        <v>137505</v>
      </c>
      <c r="G2846" s="13">
        <v>13</v>
      </c>
      <c r="H2846" t="s">
        <v>3416</v>
      </c>
      <c r="I2846" s="8">
        <v>46028</v>
      </c>
      <c r="J2846" t="s">
        <v>2659</v>
      </c>
      <c r="K2846" t="s">
        <v>2660</v>
      </c>
      <c r="L2846" s="13">
        <v>3500</v>
      </c>
      <c r="M2846" t="s">
        <v>2676</v>
      </c>
    </row>
    <row r="2847" spans="1:13">
      <c r="A2847" t="s">
        <v>1298</v>
      </c>
      <c r="B2847" t="s">
        <v>28</v>
      </c>
      <c r="C2847" s="8">
        <v>46147</v>
      </c>
      <c r="D2847" t="s">
        <v>344</v>
      </c>
      <c r="E2847" t="s">
        <v>334</v>
      </c>
      <c r="F2847" s="12">
        <v>137505</v>
      </c>
      <c r="G2847" s="13">
        <v>13</v>
      </c>
      <c r="H2847" t="s">
        <v>3459</v>
      </c>
      <c r="I2847" s="8">
        <v>45984</v>
      </c>
      <c r="J2847" t="s">
        <v>2674</v>
      </c>
      <c r="K2847" t="s">
        <v>2675</v>
      </c>
      <c r="L2847" s="13">
        <v>20000</v>
      </c>
      <c r="M2847" t="s">
        <v>2676</v>
      </c>
    </row>
    <row r="2848" spans="1:13">
      <c r="A2848" t="s">
        <v>1299</v>
      </c>
      <c r="B2848" t="s">
        <v>147</v>
      </c>
      <c r="C2848" s="8">
        <v>46181</v>
      </c>
      <c r="D2848" t="s">
        <v>327</v>
      </c>
      <c r="E2848" t="s">
        <v>328</v>
      </c>
      <c r="F2848" s="12">
        <v>416459</v>
      </c>
      <c r="G2848" s="13">
        <v>41</v>
      </c>
      <c r="H2848" t="s">
        <v>3143</v>
      </c>
      <c r="I2848" s="8">
        <v>46139</v>
      </c>
      <c r="J2848" t="s">
        <v>2692</v>
      </c>
      <c r="K2848" t="s">
        <v>2693</v>
      </c>
      <c r="L2848" s="13">
        <v>10000</v>
      </c>
      <c r="M2848" t="s">
        <v>2661</v>
      </c>
    </row>
    <row r="2849" spans="1:13">
      <c r="A2849" t="s">
        <v>1299</v>
      </c>
      <c r="B2849" t="s">
        <v>147</v>
      </c>
      <c r="C2849" s="8">
        <v>46181</v>
      </c>
      <c r="D2849" t="s">
        <v>327</v>
      </c>
      <c r="E2849" t="s">
        <v>328</v>
      </c>
      <c r="F2849" s="12">
        <v>416459</v>
      </c>
      <c r="G2849" s="13">
        <v>41</v>
      </c>
      <c r="H2849" t="s">
        <v>3264</v>
      </c>
      <c r="I2849" s="8">
        <v>46157</v>
      </c>
      <c r="J2849" t="s">
        <v>2692</v>
      </c>
      <c r="K2849" t="s">
        <v>2693</v>
      </c>
      <c r="L2849" s="13">
        <v>10000</v>
      </c>
      <c r="M2849" t="s">
        <v>2661</v>
      </c>
    </row>
    <row r="2850" spans="1:13">
      <c r="A2850" t="s">
        <v>1300</v>
      </c>
      <c r="B2850" t="s">
        <v>313</v>
      </c>
      <c r="C2850" s="8">
        <v>46147</v>
      </c>
      <c r="D2850" t="s">
        <v>342</v>
      </c>
      <c r="E2850" t="s">
        <v>328</v>
      </c>
      <c r="F2850" s="12">
        <v>545259</v>
      </c>
      <c r="G2850" s="13">
        <v>54</v>
      </c>
      <c r="H2850" t="s">
        <v>2765</v>
      </c>
      <c r="I2850" s="8">
        <v>46267</v>
      </c>
      <c r="J2850" t="s">
        <v>2671</v>
      </c>
      <c r="K2850" t="s">
        <v>2672</v>
      </c>
      <c r="L2850" s="13">
        <v>3000</v>
      </c>
      <c r="M2850" t="s">
        <v>2661</v>
      </c>
    </row>
    <row r="2851" spans="1:13">
      <c r="A2851" t="s">
        <v>1300</v>
      </c>
      <c r="B2851" t="s">
        <v>313</v>
      </c>
      <c r="C2851" s="8">
        <v>46147</v>
      </c>
      <c r="D2851" t="s">
        <v>342</v>
      </c>
      <c r="E2851" t="s">
        <v>328</v>
      </c>
      <c r="F2851" s="12">
        <v>545259</v>
      </c>
      <c r="G2851" s="13">
        <v>54</v>
      </c>
      <c r="H2851" t="s">
        <v>3541</v>
      </c>
      <c r="I2851" s="8">
        <v>46041</v>
      </c>
      <c r="J2851" t="s">
        <v>2663</v>
      </c>
      <c r="K2851" t="s">
        <v>3630</v>
      </c>
      <c r="L2851" s="13">
        <v>1500</v>
      </c>
      <c r="M2851" t="s">
        <v>2661</v>
      </c>
    </row>
    <row r="2852" spans="1:13">
      <c r="A2852" t="s">
        <v>1301</v>
      </c>
      <c r="B2852" t="s">
        <v>83</v>
      </c>
      <c r="C2852" s="8">
        <v>46050</v>
      </c>
      <c r="D2852" t="s">
        <v>330</v>
      </c>
      <c r="E2852" t="s">
        <v>322</v>
      </c>
      <c r="F2852" s="12">
        <v>420405</v>
      </c>
      <c r="G2852" s="13">
        <v>42</v>
      </c>
      <c r="H2852" t="s">
        <v>2696</v>
      </c>
      <c r="I2852" s="8">
        <v>46024</v>
      </c>
      <c r="J2852" t="s">
        <v>2663</v>
      </c>
      <c r="K2852" t="s">
        <v>3630</v>
      </c>
      <c r="L2852" s="13">
        <v>1500</v>
      </c>
      <c r="M2852" t="s">
        <v>2661</v>
      </c>
    </row>
    <row r="2853" spans="1:13">
      <c r="A2853" t="s">
        <v>1301</v>
      </c>
      <c r="B2853" t="s">
        <v>83</v>
      </c>
      <c r="C2853" s="8">
        <v>46050</v>
      </c>
      <c r="D2853" t="s">
        <v>330</v>
      </c>
      <c r="E2853" t="s">
        <v>322</v>
      </c>
      <c r="F2853" s="12">
        <v>420405</v>
      </c>
      <c r="G2853" s="13">
        <v>42</v>
      </c>
      <c r="H2853" t="s">
        <v>2725</v>
      </c>
      <c r="I2853" s="8">
        <v>46065</v>
      </c>
      <c r="J2853" t="s">
        <v>2688</v>
      </c>
      <c r="K2853" t="s">
        <v>2689</v>
      </c>
      <c r="L2853" s="13">
        <v>8000</v>
      </c>
      <c r="M2853" t="s">
        <v>2661</v>
      </c>
    </row>
    <row r="2854" spans="1:13">
      <c r="A2854" t="s">
        <v>1301</v>
      </c>
      <c r="B2854" t="s">
        <v>83</v>
      </c>
      <c r="C2854" s="8">
        <v>46050</v>
      </c>
      <c r="D2854" t="s">
        <v>330</v>
      </c>
      <c r="E2854" t="s">
        <v>322</v>
      </c>
      <c r="F2854" s="12">
        <v>420405</v>
      </c>
      <c r="G2854" s="13">
        <v>42</v>
      </c>
      <c r="H2854" t="s">
        <v>2938</v>
      </c>
      <c r="I2854" s="8">
        <v>46277</v>
      </c>
      <c r="J2854" t="s">
        <v>2692</v>
      </c>
      <c r="K2854" t="s">
        <v>2693</v>
      </c>
      <c r="L2854" s="13">
        <v>10000</v>
      </c>
      <c r="M2854" t="s">
        <v>2661</v>
      </c>
    </row>
    <row r="2855" spans="1:13">
      <c r="A2855" t="s">
        <v>1302</v>
      </c>
      <c r="B2855" t="s">
        <v>199</v>
      </c>
      <c r="C2855" s="8">
        <v>46145</v>
      </c>
      <c r="D2855" t="s">
        <v>327</v>
      </c>
      <c r="E2855" t="s">
        <v>334</v>
      </c>
      <c r="F2855" s="12">
        <v>391015</v>
      </c>
      <c r="G2855" s="13">
        <v>39</v>
      </c>
      <c r="H2855" t="s">
        <v>2993</v>
      </c>
      <c r="I2855" s="8">
        <v>46086</v>
      </c>
      <c r="J2855" t="s">
        <v>2659</v>
      </c>
      <c r="K2855" t="s">
        <v>2660</v>
      </c>
      <c r="L2855" s="13">
        <v>3500</v>
      </c>
      <c r="M2855" t="s">
        <v>2661</v>
      </c>
    </row>
    <row r="2856" spans="1:13">
      <c r="A2856" t="s">
        <v>1302</v>
      </c>
      <c r="B2856" t="s">
        <v>199</v>
      </c>
      <c r="C2856" s="8">
        <v>46145</v>
      </c>
      <c r="D2856" t="s">
        <v>327</v>
      </c>
      <c r="E2856" t="s">
        <v>334</v>
      </c>
      <c r="F2856" s="12">
        <v>391015</v>
      </c>
      <c r="G2856" s="13">
        <v>39</v>
      </c>
      <c r="H2856" t="s">
        <v>3004</v>
      </c>
      <c r="I2856" s="8">
        <v>45974</v>
      </c>
      <c r="J2856" t="s">
        <v>2688</v>
      </c>
      <c r="K2856" t="s">
        <v>2689</v>
      </c>
      <c r="L2856" s="13">
        <v>8000</v>
      </c>
      <c r="M2856" t="s">
        <v>2661</v>
      </c>
    </row>
    <row r="2857" spans="1:13">
      <c r="A2857" t="s">
        <v>1302</v>
      </c>
      <c r="B2857" t="s">
        <v>199</v>
      </c>
      <c r="C2857" s="8">
        <v>46145</v>
      </c>
      <c r="D2857" t="s">
        <v>327</v>
      </c>
      <c r="E2857" t="s">
        <v>334</v>
      </c>
      <c r="F2857" s="12">
        <v>391015</v>
      </c>
      <c r="G2857" s="13">
        <v>39</v>
      </c>
      <c r="H2857" t="s">
        <v>3399</v>
      </c>
      <c r="I2857" s="8">
        <v>46093</v>
      </c>
      <c r="J2857" t="s">
        <v>2659</v>
      </c>
      <c r="K2857" t="s">
        <v>2660</v>
      </c>
      <c r="L2857" s="13">
        <v>3500</v>
      </c>
      <c r="M2857" t="s">
        <v>2661</v>
      </c>
    </row>
    <row r="2858" spans="1:13">
      <c r="A2858" t="s">
        <v>1302</v>
      </c>
      <c r="B2858" t="s">
        <v>199</v>
      </c>
      <c r="C2858" s="8">
        <v>46145</v>
      </c>
      <c r="D2858" t="s">
        <v>327</v>
      </c>
      <c r="E2858" t="s">
        <v>334</v>
      </c>
      <c r="F2858" s="12">
        <v>391015</v>
      </c>
      <c r="G2858" s="13">
        <v>39</v>
      </c>
      <c r="H2858" t="s">
        <v>3496</v>
      </c>
      <c r="I2858" s="8">
        <v>46020</v>
      </c>
      <c r="J2858" t="s">
        <v>2674</v>
      </c>
      <c r="K2858" t="s">
        <v>2675</v>
      </c>
      <c r="L2858" s="13">
        <v>20000</v>
      </c>
      <c r="M2858" t="s">
        <v>2661</v>
      </c>
    </row>
    <row r="2859" spans="1:13">
      <c r="A2859" t="s">
        <v>1303</v>
      </c>
      <c r="B2859" t="s">
        <v>28</v>
      </c>
      <c r="C2859" s="8">
        <v>46119</v>
      </c>
      <c r="D2859" t="s">
        <v>342</v>
      </c>
      <c r="E2859" t="s">
        <v>334</v>
      </c>
      <c r="F2859" s="12">
        <v>154250</v>
      </c>
      <c r="G2859" s="13">
        <v>15</v>
      </c>
      <c r="H2859" t="s">
        <v>2744</v>
      </c>
      <c r="I2859" s="8">
        <v>46085</v>
      </c>
      <c r="J2859" t="s">
        <v>2692</v>
      </c>
      <c r="K2859" t="s">
        <v>2693</v>
      </c>
      <c r="L2859" s="13">
        <v>10000</v>
      </c>
      <c r="M2859" t="s">
        <v>2661</v>
      </c>
    </row>
    <row r="2860" spans="1:13">
      <c r="A2860" t="s">
        <v>1303</v>
      </c>
      <c r="B2860" t="s">
        <v>28</v>
      </c>
      <c r="C2860" s="8">
        <v>46119</v>
      </c>
      <c r="D2860" t="s">
        <v>342</v>
      </c>
      <c r="E2860" t="s">
        <v>334</v>
      </c>
      <c r="F2860" s="12">
        <v>154250</v>
      </c>
      <c r="G2860" s="13">
        <v>15</v>
      </c>
      <c r="H2860" t="s">
        <v>2849</v>
      </c>
      <c r="I2860" s="8">
        <v>46060</v>
      </c>
      <c r="J2860" t="s">
        <v>2659</v>
      </c>
      <c r="K2860" t="s">
        <v>2660</v>
      </c>
      <c r="L2860" s="13">
        <v>3500</v>
      </c>
      <c r="M2860" t="s">
        <v>2661</v>
      </c>
    </row>
    <row r="2861" spans="1:13">
      <c r="A2861" t="s">
        <v>1303</v>
      </c>
      <c r="B2861" t="s">
        <v>28</v>
      </c>
      <c r="C2861" s="8">
        <v>46119</v>
      </c>
      <c r="D2861" t="s">
        <v>342</v>
      </c>
      <c r="E2861" t="s">
        <v>334</v>
      </c>
      <c r="F2861" s="12">
        <v>154250</v>
      </c>
      <c r="G2861" s="13">
        <v>15</v>
      </c>
      <c r="H2861" t="s">
        <v>2940</v>
      </c>
      <c r="I2861" s="8">
        <v>45947</v>
      </c>
      <c r="J2861" t="s">
        <v>2688</v>
      </c>
      <c r="K2861" t="s">
        <v>2689</v>
      </c>
      <c r="L2861" s="13">
        <v>8000</v>
      </c>
      <c r="M2861" t="s">
        <v>2661</v>
      </c>
    </row>
    <row r="2862" spans="1:13">
      <c r="A2862" t="s">
        <v>1303</v>
      </c>
      <c r="B2862" t="s">
        <v>28</v>
      </c>
      <c r="C2862" s="8">
        <v>46119</v>
      </c>
      <c r="D2862" t="s">
        <v>342</v>
      </c>
      <c r="E2862" t="s">
        <v>334</v>
      </c>
      <c r="F2862" s="12">
        <v>154250</v>
      </c>
      <c r="G2862" s="13">
        <v>15</v>
      </c>
      <c r="H2862" t="s">
        <v>3361</v>
      </c>
      <c r="I2862" s="8">
        <v>46205</v>
      </c>
      <c r="J2862" t="s">
        <v>2685</v>
      </c>
      <c r="K2862" t="s">
        <v>2686</v>
      </c>
      <c r="L2862" s="13">
        <v>5000</v>
      </c>
      <c r="M2862" t="s">
        <v>2661</v>
      </c>
    </row>
    <row r="2863" spans="1:13">
      <c r="A2863" t="s">
        <v>1303</v>
      </c>
      <c r="B2863" t="s">
        <v>28</v>
      </c>
      <c r="C2863" s="8">
        <v>46119</v>
      </c>
      <c r="D2863" t="s">
        <v>342</v>
      </c>
      <c r="E2863" t="s">
        <v>334</v>
      </c>
      <c r="F2863" s="12">
        <v>154250</v>
      </c>
      <c r="G2863" s="13">
        <v>15</v>
      </c>
      <c r="H2863" t="s">
        <v>3416</v>
      </c>
      <c r="I2863" s="8">
        <v>46028</v>
      </c>
      <c r="J2863" t="s">
        <v>2659</v>
      </c>
      <c r="K2863" t="s">
        <v>2660</v>
      </c>
      <c r="L2863" s="13">
        <v>3500</v>
      </c>
      <c r="M2863" t="s">
        <v>2676</v>
      </c>
    </row>
    <row r="2864" spans="1:13">
      <c r="A2864" t="s">
        <v>1303</v>
      </c>
      <c r="B2864" t="s">
        <v>28</v>
      </c>
      <c r="C2864" s="8">
        <v>46119</v>
      </c>
      <c r="D2864" t="s">
        <v>342</v>
      </c>
      <c r="E2864" t="s">
        <v>334</v>
      </c>
      <c r="F2864" s="12">
        <v>154250</v>
      </c>
      <c r="G2864" s="13">
        <v>15</v>
      </c>
      <c r="H2864" t="s">
        <v>3459</v>
      </c>
      <c r="I2864" s="8">
        <v>45984</v>
      </c>
      <c r="J2864" t="s">
        <v>2674</v>
      </c>
      <c r="K2864" t="s">
        <v>2675</v>
      </c>
      <c r="L2864" s="13">
        <v>20000</v>
      </c>
      <c r="M2864" t="s">
        <v>2676</v>
      </c>
    </row>
    <row r="2865" spans="1:13">
      <c r="A2865" t="s">
        <v>1304</v>
      </c>
      <c r="B2865" t="s">
        <v>275</v>
      </c>
      <c r="C2865" s="8">
        <v>46202</v>
      </c>
      <c r="D2865" t="s">
        <v>332</v>
      </c>
      <c r="E2865" t="s">
        <v>325</v>
      </c>
      <c r="F2865" s="12">
        <v>132745</v>
      </c>
      <c r="G2865" s="13">
        <v>13</v>
      </c>
      <c r="H2865" t="s">
        <v>2769</v>
      </c>
      <c r="I2865" s="8">
        <v>45949</v>
      </c>
      <c r="J2865" t="s">
        <v>2659</v>
      </c>
      <c r="K2865" t="s">
        <v>2660</v>
      </c>
      <c r="L2865" s="13">
        <v>3500</v>
      </c>
      <c r="M2865" t="s">
        <v>2661</v>
      </c>
    </row>
    <row r="2866" spans="1:13">
      <c r="A2866" t="s">
        <v>1304</v>
      </c>
      <c r="B2866" t="s">
        <v>275</v>
      </c>
      <c r="C2866" s="8">
        <v>46202</v>
      </c>
      <c r="D2866" t="s">
        <v>332</v>
      </c>
      <c r="E2866" t="s">
        <v>325</v>
      </c>
      <c r="F2866" s="12">
        <v>132745</v>
      </c>
      <c r="G2866" s="13">
        <v>13</v>
      </c>
      <c r="H2866" t="s">
        <v>2812</v>
      </c>
      <c r="I2866" s="8">
        <v>46037</v>
      </c>
      <c r="J2866" t="s">
        <v>2671</v>
      </c>
      <c r="K2866" t="s">
        <v>2672</v>
      </c>
      <c r="L2866" s="13">
        <v>3000</v>
      </c>
      <c r="M2866" t="s">
        <v>2661</v>
      </c>
    </row>
    <row r="2867" spans="1:13">
      <c r="A2867" t="s">
        <v>1304</v>
      </c>
      <c r="B2867" t="s">
        <v>275</v>
      </c>
      <c r="C2867" s="8">
        <v>46202</v>
      </c>
      <c r="D2867" t="s">
        <v>332</v>
      </c>
      <c r="E2867" t="s">
        <v>325</v>
      </c>
      <c r="F2867" s="12">
        <v>132745</v>
      </c>
      <c r="G2867" s="13">
        <v>13</v>
      </c>
      <c r="H2867" t="s">
        <v>2988</v>
      </c>
      <c r="I2867" s="8">
        <v>45949</v>
      </c>
      <c r="J2867" t="s">
        <v>2692</v>
      </c>
      <c r="K2867" t="s">
        <v>2693</v>
      </c>
      <c r="L2867" s="13">
        <v>10000</v>
      </c>
      <c r="M2867" t="s">
        <v>2661</v>
      </c>
    </row>
    <row r="2868" spans="1:13">
      <c r="A2868" t="s">
        <v>1304</v>
      </c>
      <c r="B2868" t="s">
        <v>275</v>
      </c>
      <c r="C2868" s="8">
        <v>46202</v>
      </c>
      <c r="D2868" t="s">
        <v>332</v>
      </c>
      <c r="E2868" t="s">
        <v>325</v>
      </c>
      <c r="F2868" s="12">
        <v>132745</v>
      </c>
      <c r="G2868" s="13">
        <v>13</v>
      </c>
      <c r="H2868" t="s">
        <v>3251</v>
      </c>
      <c r="I2868" s="8">
        <v>46059</v>
      </c>
      <c r="J2868" t="s">
        <v>2685</v>
      </c>
      <c r="K2868" t="s">
        <v>2686</v>
      </c>
      <c r="L2868" s="13">
        <v>5000</v>
      </c>
      <c r="M2868" t="s">
        <v>2661</v>
      </c>
    </row>
    <row r="2869" spans="1:13">
      <c r="A2869" t="s">
        <v>1304</v>
      </c>
      <c r="B2869" t="s">
        <v>275</v>
      </c>
      <c r="C2869" s="8">
        <v>46202</v>
      </c>
      <c r="D2869" t="s">
        <v>332</v>
      </c>
      <c r="E2869" t="s">
        <v>325</v>
      </c>
      <c r="F2869" s="12">
        <v>132745</v>
      </c>
      <c r="G2869" s="13">
        <v>13</v>
      </c>
      <c r="H2869" t="s">
        <v>3366</v>
      </c>
      <c r="I2869" s="8">
        <v>46230</v>
      </c>
      <c r="J2869" t="s">
        <v>2671</v>
      </c>
      <c r="K2869" t="s">
        <v>2672</v>
      </c>
      <c r="L2869" s="13">
        <v>3000</v>
      </c>
      <c r="M2869" t="s">
        <v>2661</v>
      </c>
    </row>
    <row r="2870" spans="1:13">
      <c r="A2870" t="s">
        <v>1305</v>
      </c>
      <c r="B2870" t="s">
        <v>88</v>
      </c>
      <c r="C2870" s="8">
        <v>46181</v>
      </c>
      <c r="D2870" t="s">
        <v>321</v>
      </c>
      <c r="E2870" t="s">
        <v>325</v>
      </c>
      <c r="F2870" s="12">
        <v>130574</v>
      </c>
      <c r="G2870" s="13">
        <v>13</v>
      </c>
      <c r="H2870" t="s">
        <v>2726</v>
      </c>
      <c r="I2870" s="8">
        <v>46247</v>
      </c>
      <c r="J2870" t="s">
        <v>2668</v>
      </c>
      <c r="K2870" t="s">
        <v>2669</v>
      </c>
      <c r="L2870" s="13">
        <v>4000</v>
      </c>
      <c r="M2870" t="s">
        <v>2661</v>
      </c>
    </row>
    <row r="2871" spans="1:13">
      <c r="A2871" t="s">
        <v>1306</v>
      </c>
      <c r="B2871" t="s">
        <v>293</v>
      </c>
      <c r="C2871" s="8">
        <v>46013</v>
      </c>
      <c r="D2871" t="s">
        <v>330</v>
      </c>
      <c r="E2871" t="s">
        <v>339</v>
      </c>
      <c r="F2871" s="12">
        <v>307868</v>
      </c>
      <c r="G2871" s="13">
        <v>30</v>
      </c>
      <c r="H2871" t="s">
        <v>2680</v>
      </c>
      <c r="I2871" s="8">
        <v>46235</v>
      </c>
      <c r="J2871" t="s">
        <v>2665</v>
      </c>
      <c r="K2871" t="s">
        <v>2666</v>
      </c>
      <c r="L2871" s="13">
        <v>2500</v>
      </c>
      <c r="M2871" t="s">
        <v>2661</v>
      </c>
    </row>
    <row r="2872" spans="1:13">
      <c r="A2872" t="s">
        <v>1306</v>
      </c>
      <c r="B2872" t="s">
        <v>293</v>
      </c>
      <c r="C2872" s="8">
        <v>46013</v>
      </c>
      <c r="D2872" t="s">
        <v>330</v>
      </c>
      <c r="E2872" t="s">
        <v>339</v>
      </c>
      <c r="F2872" s="12">
        <v>307868</v>
      </c>
      <c r="G2872" s="13">
        <v>30</v>
      </c>
      <c r="H2872" t="s">
        <v>2795</v>
      </c>
      <c r="I2872" s="8">
        <v>45945</v>
      </c>
      <c r="J2872" t="s">
        <v>2663</v>
      </c>
      <c r="K2872" t="s">
        <v>3630</v>
      </c>
      <c r="L2872" s="13">
        <v>1500</v>
      </c>
      <c r="M2872" t="s">
        <v>2661</v>
      </c>
    </row>
    <row r="2873" spans="1:13">
      <c r="A2873" t="s">
        <v>1306</v>
      </c>
      <c r="B2873" t="s">
        <v>293</v>
      </c>
      <c r="C2873" s="8">
        <v>46013</v>
      </c>
      <c r="D2873" t="s">
        <v>330</v>
      </c>
      <c r="E2873" t="s">
        <v>339</v>
      </c>
      <c r="F2873" s="12">
        <v>307868</v>
      </c>
      <c r="G2873" s="13">
        <v>30</v>
      </c>
      <c r="H2873" t="s">
        <v>2977</v>
      </c>
      <c r="I2873" s="8">
        <v>46001</v>
      </c>
      <c r="J2873" t="s">
        <v>2659</v>
      </c>
      <c r="K2873" t="s">
        <v>2660</v>
      </c>
      <c r="L2873" s="13">
        <v>3500</v>
      </c>
      <c r="M2873" t="s">
        <v>2661</v>
      </c>
    </row>
    <row r="2874" spans="1:13">
      <c r="A2874" t="s">
        <v>1306</v>
      </c>
      <c r="B2874" t="s">
        <v>293</v>
      </c>
      <c r="C2874" s="8">
        <v>46013</v>
      </c>
      <c r="D2874" t="s">
        <v>330</v>
      </c>
      <c r="E2874" t="s">
        <v>339</v>
      </c>
      <c r="F2874" s="12">
        <v>307868</v>
      </c>
      <c r="G2874" s="13">
        <v>30</v>
      </c>
      <c r="H2874" t="s">
        <v>3042</v>
      </c>
      <c r="I2874" s="8">
        <v>45970</v>
      </c>
      <c r="J2874" t="s">
        <v>2682</v>
      </c>
      <c r="K2874" t="s">
        <v>2683</v>
      </c>
      <c r="L2874" s="13">
        <v>6000</v>
      </c>
      <c r="M2874" t="s">
        <v>2661</v>
      </c>
    </row>
    <row r="2875" spans="1:13">
      <c r="A2875" t="s">
        <v>1306</v>
      </c>
      <c r="B2875" t="s">
        <v>293</v>
      </c>
      <c r="C2875" s="8">
        <v>46013</v>
      </c>
      <c r="D2875" t="s">
        <v>330</v>
      </c>
      <c r="E2875" t="s">
        <v>339</v>
      </c>
      <c r="F2875" s="12">
        <v>307868</v>
      </c>
      <c r="G2875" s="13">
        <v>30</v>
      </c>
      <c r="H2875" t="s">
        <v>3354</v>
      </c>
      <c r="I2875" s="8">
        <v>45997</v>
      </c>
      <c r="J2875" t="s">
        <v>2659</v>
      </c>
      <c r="K2875" t="s">
        <v>2660</v>
      </c>
      <c r="L2875" s="13">
        <v>3500</v>
      </c>
      <c r="M2875" t="s">
        <v>2661</v>
      </c>
    </row>
    <row r="2876" spans="1:13">
      <c r="A2876" t="s">
        <v>1306</v>
      </c>
      <c r="B2876" t="s">
        <v>293</v>
      </c>
      <c r="C2876" s="8">
        <v>46013</v>
      </c>
      <c r="D2876" t="s">
        <v>330</v>
      </c>
      <c r="E2876" t="s">
        <v>339</v>
      </c>
      <c r="F2876" s="12">
        <v>307868</v>
      </c>
      <c r="G2876" s="13">
        <v>30</v>
      </c>
      <c r="H2876" t="s">
        <v>3448</v>
      </c>
      <c r="I2876" s="8">
        <v>46100</v>
      </c>
      <c r="J2876" t="s">
        <v>2668</v>
      </c>
      <c r="K2876" t="s">
        <v>2669</v>
      </c>
      <c r="L2876" s="13">
        <v>4000</v>
      </c>
      <c r="M2876" t="s">
        <v>2676</v>
      </c>
    </row>
    <row r="2877" spans="1:13">
      <c r="A2877" t="s">
        <v>1307</v>
      </c>
      <c r="B2877" t="s">
        <v>46</v>
      </c>
      <c r="C2877" s="8">
        <v>46274</v>
      </c>
      <c r="D2877" t="s">
        <v>332</v>
      </c>
      <c r="E2877" t="s">
        <v>339</v>
      </c>
      <c r="F2877" s="12">
        <v>39527</v>
      </c>
      <c r="G2877" s="13">
        <v>3</v>
      </c>
      <c r="H2877" t="s">
        <v>2743</v>
      </c>
      <c r="I2877" s="8">
        <v>46248</v>
      </c>
      <c r="J2877" t="s">
        <v>2685</v>
      </c>
      <c r="K2877" t="s">
        <v>2686</v>
      </c>
      <c r="L2877" s="13">
        <v>5000</v>
      </c>
      <c r="M2877" t="s">
        <v>2661</v>
      </c>
    </row>
    <row r="2878" spans="1:13">
      <c r="A2878" t="s">
        <v>1307</v>
      </c>
      <c r="B2878" t="s">
        <v>46</v>
      </c>
      <c r="C2878" s="8">
        <v>46274</v>
      </c>
      <c r="D2878" t="s">
        <v>332</v>
      </c>
      <c r="E2878" t="s">
        <v>339</v>
      </c>
      <c r="F2878" s="12">
        <v>39527</v>
      </c>
      <c r="G2878" s="13">
        <v>3</v>
      </c>
      <c r="H2878" t="s">
        <v>3021</v>
      </c>
      <c r="I2878" s="8">
        <v>45955</v>
      </c>
      <c r="J2878" t="s">
        <v>2665</v>
      </c>
      <c r="K2878" t="s">
        <v>2666</v>
      </c>
      <c r="L2878" s="13">
        <v>2500</v>
      </c>
      <c r="M2878" t="s">
        <v>2661</v>
      </c>
    </row>
    <row r="2879" spans="1:13">
      <c r="A2879" t="s">
        <v>1307</v>
      </c>
      <c r="B2879" t="s">
        <v>46</v>
      </c>
      <c r="C2879" s="8">
        <v>46274</v>
      </c>
      <c r="D2879" t="s">
        <v>332</v>
      </c>
      <c r="E2879" t="s">
        <v>339</v>
      </c>
      <c r="F2879" s="12">
        <v>39527</v>
      </c>
      <c r="G2879" s="13">
        <v>3</v>
      </c>
      <c r="H2879" t="s">
        <v>3069</v>
      </c>
      <c r="I2879" s="8">
        <v>45945</v>
      </c>
      <c r="J2879" t="s">
        <v>2668</v>
      </c>
      <c r="K2879" t="s">
        <v>2669</v>
      </c>
      <c r="L2879" s="13">
        <v>4000</v>
      </c>
      <c r="M2879" t="s">
        <v>2661</v>
      </c>
    </row>
    <row r="2880" spans="1:13">
      <c r="A2880" t="s">
        <v>1307</v>
      </c>
      <c r="B2880" t="s">
        <v>46</v>
      </c>
      <c r="C2880" s="8">
        <v>46274</v>
      </c>
      <c r="D2880" t="s">
        <v>332</v>
      </c>
      <c r="E2880" t="s">
        <v>339</v>
      </c>
      <c r="F2880" s="12">
        <v>39527</v>
      </c>
      <c r="G2880" s="13">
        <v>3</v>
      </c>
      <c r="H2880" t="s">
        <v>3408</v>
      </c>
      <c r="I2880" s="8">
        <v>46072</v>
      </c>
      <c r="J2880" t="s">
        <v>2668</v>
      </c>
      <c r="K2880" t="s">
        <v>2669</v>
      </c>
      <c r="L2880" s="13">
        <v>4000</v>
      </c>
      <c r="M2880" t="s">
        <v>2661</v>
      </c>
    </row>
    <row r="2881" spans="1:13">
      <c r="A2881" t="s">
        <v>1307</v>
      </c>
      <c r="B2881" t="s">
        <v>46</v>
      </c>
      <c r="C2881" s="8">
        <v>46274</v>
      </c>
      <c r="D2881" t="s">
        <v>332</v>
      </c>
      <c r="E2881" t="s">
        <v>339</v>
      </c>
      <c r="F2881" s="12">
        <v>39527</v>
      </c>
      <c r="G2881" s="13">
        <v>3</v>
      </c>
      <c r="H2881" t="s">
        <v>3494</v>
      </c>
      <c r="I2881" s="8">
        <v>46108</v>
      </c>
      <c r="J2881" t="s">
        <v>2688</v>
      </c>
      <c r="K2881" t="s">
        <v>2689</v>
      </c>
      <c r="L2881" s="13">
        <v>8000</v>
      </c>
      <c r="M2881" t="s">
        <v>2661</v>
      </c>
    </row>
    <row r="2882" spans="1:13">
      <c r="A2882" t="s">
        <v>1308</v>
      </c>
      <c r="B2882" t="s">
        <v>214</v>
      </c>
      <c r="C2882" s="8">
        <v>46181</v>
      </c>
      <c r="D2882" t="s">
        <v>324</v>
      </c>
      <c r="E2882" t="s">
        <v>322</v>
      </c>
      <c r="F2882" s="12">
        <v>32659</v>
      </c>
      <c r="G2882" s="13">
        <v>3</v>
      </c>
      <c r="H2882" t="s">
        <v>2664</v>
      </c>
      <c r="I2882" s="8">
        <v>46259</v>
      </c>
      <c r="J2882" t="s">
        <v>2665</v>
      </c>
      <c r="K2882" t="s">
        <v>2666</v>
      </c>
      <c r="L2882" s="13">
        <v>2500</v>
      </c>
      <c r="M2882" t="s">
        <v>2661</v>
      </c>
    </row>
    <row r="2883" spans="1:13">
      <c r="A2883" t="s">
        <v>1308</v>
      </c>
      <c r="B2883" t="s">
        <v>214</v>
      </c>
      <c r="C2883" s="8">
        <v>46181</v>
      </c>
      <c r="D2883" t="s">
        <v>324</v>
      </c>
      <c r="E2883" t="s">
        <v>322</v>
      </c>
      <c r="F2883" s="12">
        <v>32659</v>
      </c>
      <c r="G2883" s="13">
        <v>3</v>
      </c>
      <c r="H2883" t="s">
        <v>3137</v>
      </c>
      <c r="I2883" s="8">
        <v>46189</v>
      </c>
      <c r="J2883" t="s">
        <v>2685</v>
      </c>
      <c r="K2883" t="s">
        <v>2686</v>
      </c>
      <c r="L2883" s="13">
        <v>5000</v>
      </c>
      <c r="M2883" t="s">
        <v>2661</v>
      </c>
    </row>
    <row r="2884" spans="1:13">
      <c r="A2884" t="s">
        <v>1308</v>
      </c>
      <c r="B2884" t="s">
        <v>214</v>
      </c>
      <c r="C2884" s="8">
        <v>46181</v>
      </c>
      <c r="D2884" t="s">
        <v>324</v>
      </c>
      <c r="E2884" t="s">
        <v>322</v>
      </c>
      <c r="F2884" s="12">
        <v>32659</v>
      </c>
      <c r="G2884" s="13">
        <v>3</v>
      </c>
      <c r="H2884" t="s">
        <v>3302</v>
      </c>
      <c r="I2884" s="8">
        <v>46119</v>
      </c>
      <c r="J2884" t="s">
        <v>2659</v>
      </c>
      <c r="K2884" t="s">
        <v>2660</v>
      </c>
      <c r="L2884" s="13">
        <v>3500</v>
      </c>
      <c r="M2884" t="s">
        <v>2661</v>
      </c>
    </row>
    <row r="2885" spans="1:13">
      <c r="A2885" t="s">
        <v>1308</v>
      </c>
      <c r="B2885" t="s">
        <v>214</v>
      </c>
      <c r="C2885" s="8">
        <v>46181</v>
      </c>
      <c r="D2885" t="s">
        <v>324</v>
      </c>
      <c r="E2885" t="s">
        <v>322</v>
      </c>
      <c r="F2885" s="12">
        <v>32659</v>
      </c>
      <c r="G2885" s="13">
        <v>3</v>
      </c>
      <c r="H2885" t="s">
        <v>3564</v>
      </c>
      <c r="I2885" s="8">
        <v>46208</v>
      </c>
      <c r="J2885" t="s">
        <v>2674</v>
      </c>
      <c r="K2885" t="s">
        <v>2675</v>
      </c>
      <c r="L2885" s="13">
        <v>20000</v>
      </c>
      <c r="M2885" t="s">
        <v>2661</v>
      </c>
    </row>
    <row r="2886" spans="1:13">
      <c r="A2886" t="s">
        <v>1309</v>
      </c>
      <c r="B2886" t="s">
        <v>144</v>
      </c>
      <c r="C2886" s="8">
        <v>46095</v>
      </c>
      <c r="D2886" t="s">
        <v>330</v>
      </c>
      <c r="E2886" t="s">
        <v>322</v>
      </c>
      <c r="F2886" s="12">
        <v>101814</v>
      </c>
      <c r="G2886" s="13">
        <v>10</v>
      </c>
      <c r="H2886" t="s">
        <v>3481</v>
      </c>
      <c r="I2886" s="8">
        <v>46225</v>
      </c>
      <c r="J2886" t="s">
        <v>2682</v>
      </c>
      <c r="K2886" t="s">
        <v>2683</v>
      </c>
      <c r="L2886" s="13">
        <v>6000</v>
      </c>
      <c r="M2886" t="s">
        <v>2661</v>
      </c>
    </row>
    <row r="2887" spans="1:13">
      <c r="A2887" t="s">
        <v>1309</v>
      </c>
      <c r="B2887" t="s">
        <v>144</v>
      </c>
      <c r="C2887" s="8">
        <v>46095</v>
      </c>
      <c r="D2887" t="s">
        <v>330</v>
      </c>
      <c r="E2887" t="s">
        <v>322</v>
      </c>
      <c r="F2887" s="12">
        <v>101814</v>
      </c>
      <c r="G2887" s="13">
        <v>10</v>
      </c>
      <c r="H2887" t="s">
        <v>3512</v>
      </c>
      <c r="I2887" s="8">
        <v>46097</v>
      </c>
      <c r="J2887" t="s">
        <v>2685</v>
      </c>
      <c r="K2887" t="s">
        <v>2686</v>
      </c>
      <c r="L2887" s="13">
        <v>5000</v>
      </c>
      <c r="M2887" t="s">
        <v>2661</v>
      </c>
    </row>
    <row r="2888" spans="1:13">
      <c r="A2888" t="s">
        <v>1309</v>
      </c>
      <c r="B2888" t="s">
        <v>144</v>
      </c>
      <c r="C2888" s="8">
        <v>46095</v>
      </c>
      <c r="D2888" t="s">
        <v>330</v>
      </c>
      <c r="E2888" t="s">
        <v>322</v>
      </c>
      <c r="F2888" s="12">
        <v>101814</v>
      </c>
      <c r="G2888" s="13">
        <v>10</v>
      </c>
      <c r="H2888" t="s">
        <v>3542</v>
      </c>
      <c r="I2888" s="8">
        <v>46287</v>
      </c>
      <c r="J2888" t="s">
        <v>2659</v>
      </c>
      <c r="K2888" t="s">
        <v>2660</v>
      </c>
      <c r="L2888" s="13">
        <v>3500</v>
      </c>
      <c r="M2888" t="s">
        <v>2661</v>
      </c>
    </row>
    <row r="2889" spans="1:13">
      <c r="A2889" t="s">
        <v>1310</v>
      </c>
      <c r="B2889" t="s">
        <v>52</v>
      </c>
      <c r="C2889" s="8">
        <v>46262</v>
      </c>
      <c r="D2889" t="s">
        <v>330</v>
      </c>
      <c r="E2889" t="s">
        <v>334</v>
      </c>
      <c r="F2889" s="12">
        <v>43537</v>
      </c>
      <c r="G2889" s="13">
        <v>4</v>
      </c>
      <c r="H2889" t="s">
        <v>2861</v>
      </c>
      <c r="I2889" s="8">
        <v>46105</v>
      </c>
      <c r="J2889" t="s">
        <v>2685</v>
      </c>
      <c r="K2889" t="s">
        <v>2686</v>
      </c>
      <c r="L2889" s="13">
        <v>5000</v>
      </c>
      <c r="M2889" t="s">
        <v>2661</v>
      </c>
    </row>
    <row r="2890" spans="1:13">
      <c r="A2890" t="s">
        <v>1310</v>
      </c>
      <c r="B2890" t="s">
        <v>52</v>
      </c>
      <c r="C2890" s="8">
        <v>46262</v>
      </c>
      <c r="D2890" t="s">
        <v>330</v>
      </c>
      <c r="E2890" t="s">
        <v>334</v>
      </c>
      <c r="F2890" s="12">
        <v>43537</v>
      </c>
      <c r="G2890" s="13">
        <v>4</v>
      </c>
      <c r="H2890" t="s">
        <v>3122</v>
      </c>
      <c r="I2890" s="8">
        <v>45976</v>
      </c>
      <c r="J2890" t="s">
        <v>2668</v>
      </c>
      <c r="K2890" t="s">
        <v>2669</v>
      </c>
      <c r="L2890" s="13">
        <v>4000</v>
      </c>
      <c r="M2890" t="s">
        <v>2661</v>
      </c>
    </row>
    <row r="2891" spans="1:13">
      <c r="A2891" t="s">
        <v>1310</v>
      </c>
      <c r="B2891" t="s">
        <v>52</v>
      </c>
      <c r="C2891" s="8">
        <v>46262</v>
      </c>
      <c r="D2891" t="s">
        <v>330</v>
      </c>
      <c r="E2891" t="s">
        <v>334</v>
      </c>
      <c r="F2891" s="12">
        <v>43537</v>
      </c>
      <c r="G2891" s="13">
        <v>4</v>
      </c>
      <c r="H2891" t="s">
        <v>3497</v>
      </c>
      <c r="I2891" s="8">
        <v>46058</v>
      </c>
      <c r="J2891" t="s">
        <v>2665</v>
      </c>
      <c r="K2891" t="s">
        <v>2666</v>
      </c>
      <c r="L2891" s="13">
        <v>2500</v>
      </c>
      <c r="M2891" t="s">
        <v>2661</v>
      </c>
    </row>
    <row r="2892" spans="1:13">
      <c r="A2892" t="s">
        <v>1311</v>
      </c>
      <c r="B2892" t="s">
        <v>156</v>
      </c>
      <c r="C2892" s="8">
        <v>45989</v>
      </c>
      <c r="D2892" t="s">
        <v>342</v>
      </c>
      <c r="E2892" t="s">
        <v>337</v>
      </c>
      <c r="F2892" s="12">
        <v>464075</v>
      </c>
      <c r="G2892" s="13">
        <v>46</v>
      </c>
      <c r="H2892" t="s">
        <v>3301</v>
      </c>
      <c r="I2892" s="8">
        <v>46106</v>
      </c>
      <c r="J2892" t="s">
        <v>2674</v>
      </c>
      <c r="K2892" t="s">
        <v>2675</v>
      </c>
      <c r="L2892" s="13">
        <v>20000</v>
      </c>
      <c r="M2892" t="s">
        <v>2661</v>
      </c>
    </row>
    <row r="2893" spans="1:13">
      <c r="A2893" t="s">
        <v>1311</v>
      </c>
      <c r="B2893" t="s">
        <v>156</v>
      </c>
      <c r="C2893" s="8">
        <v>45989</v>
      </c>
      <c r="D2893" t="s">
        <v>342</v>
      </c>
      <c r="E2893" t="s">
        <v>337</v>
      </c>
      <c r="F2893" s="12">
        <v>464075</v>
      </c>
      <c r="G2893" s="13">
        <v>46</v>
      </c>
      <c r="H2893" t="s">
        <v>3309</v>
      </c>
      <c r="I2893" s="8">
        <v>46033</v>
      </c>
      <c r="J2893" t="s">
        <v>2692</v>
      </c>
      <c r="K2893" t="s">
        <v>2693</v>
      </c>
      <c r="L2893" s="13">
        <v>10000</v>
      </c>
      <c r="M2893" t="s">
        <v>2661</v>
      </c>
    </row>
    <row r="2894" spans="1:13">
      <c r="A2894" t="s">
        <v>1313</v>
      </c>
      <c r="B2894" t="s">
        <v>111</v>
      </c>
      <c r="C2894" s="8">
        <v>45937</v>
      </c>
      <c r="D2894" t="s">
        <v>327</v>
      </c>
      <c r="E2894" t="s">
        <v>334</v>
      </c>
      <c r="F2894" s="12">
        <v>133022</v>
      </c>
      <c r="G2894" s="13">
        <v>13</v>
      </c>
      <c r="H2894" t="s">
        <v>3231</v>
      </c>
      <c r="I2894" s="8">
        <v>46139</v>
      </c>
      <c r="J2894" t="s">
        <v>2668</v>
      </c>
      <c r="K2894" t="s">
        <v>2669</v>
      </c>
      <c r="L2894" s="13">
        <v>4000</v>
      </c>
      <c r="M2894" t="s">
        <v>2661</v>
      </c>
    </row>
    <row r="2895" spans="1:13">
      <c r="A2895" t="s">
        <v>1313</v>
      </c>
      <c r="B2895" t="s">
        <v>111</v>
      </c>
      <c r="C2895" s="8">
        <v>45937</v>
      </c>
      <c r="D2895" t="s">
        <v>327</v>
      </c>
      <c r="E2895" t="s">
        <v>334</v>
      </c>
      <c r="F2895" s="12">
        <v>133022</v>
      </c>
      <c r="G2895" s="13">
        <v>13</v>
      </c>
      <c r="H2895" t="s">
        <v>3411</v>
      </c>
      <c r="I2895" s="8">
        <v>45950</v>
      </c>
      <c r="J2895" t="s">
        <v>2659</v>
      </c>
      <c r="K2895" t="s">
        <v>2660</v>
      </c>
      <c r="L2895" s="13">
        <v>3500</v>
      </c>
      <c r="M2895" t="s">
        <v>2676</v>
      </c>
    </row>
    <row r="2896" spans="1:13">
      <c r="A2896" t="s">
        <v>1314</v>
      </c>
      <c r="B2896" t="s">
        <v>295</v>
      </c>
      <c r="C2896" s="8">
        <v>46272</v>
      </c>
      <c r="D2896" t="s">
        <v>332</v>
      </c>
      <c r="E2896" t="s">
        <v>325</v>
      </c>
      <c r="F2896" s="12">
        <v>53040</v>
      </c>
      <c r="G2896" s="13">
        <v>5</v>
      </c>
      <c r="H2896" t="s">
        <v>3005</v>
      </c>
      <c r="I2896" s="8">
        <v>46206</v>
      </c>
      <c r="J2896" t="s">
        <v>2659</v>
      </c>
      <c r="K2896" t="s">
        <v>2660</v>
      </c>
      <c r="L2896" s="13">
        <v>3500</v>
      </c>
      <c r="M2896" t="s">
        <v>2661</v>
      </c>
    </row>
    <row r="2897" spans="1:13">
      <c r="A2897" t="s">
        <v>1315</v>
      </c>
      <c r="B2897" t="s">
        <v>57</v>
      </c>
      <c r="C2897" s="8">
        <v>46224</v>
      </c>
      <c r="D2897" t="s">
        <v>350</v>
      </c>
      <c r="E2897" t="s">
        <v>339</v>
      </c>
      <c r="F2897" s="12">
        <v>137057</v>
      </c>
      <c r="G2897" s="13">
        <v>13</v>
      </c>
      <c r="H2897" t="s">
        <v>3486</v>
      </c>
      <c r="I2897" s="8">
        <v>46159</v>
      </c>
      <c r="J2897" t="s">
        <v>2665</v>
      </c>
      <c r="K2897" t="s">
        <v>2666</v>
      </c>
      <c r="L2897" s="13">
        <v>2500</v>
      </c>
      <c r="M2897" t="s">
        <v>2661</v>
      </c>
    </row>
    <row r="2898" spans="1:13">
      <c r="A2898" t="s">
        <v>1316</v>
      </c>
      <c r="B2898" t="s">
        <v>309</v>
      </c>
      <c r="C2898" s="8">
        <v>46239</v>
      </c>
      <c r="D2898" t="s">
        <v>324</v>
      </c>
      <c r="E2898" t="s">
        <v>322</v>
      </c>
      <c r="F2898" s="12">
        <v>318214</v>
      </c>
      <c r="G2898" s="13">
        <v>31</v>
      </c>
      <c r="H2898" t="s">
        <v>2727</v>
      </c>
      <c r="I2898" s="8">
        <v>46058</v>
      </c>
      <c r="J2898" t="s">
        <v>2659</v>
      </c>
      <c r="K2898" t="s">
        <v>2660</v>
      </c>
      <c r="L2898" s="13">
        <v>3500</v>
      </c>
      <c r="M2898" t="s">
        <v>2661</v>
      </c>
    </row>
    <row r="2899" spans="1:13">
      <c r="A2899" t="s">
        <v>1316</v>
      </c>
      <c r="B2899" t="s">
        <v>309</v>
      </c>
      <c r="C2899" s="8">
        <v>46239</v>
      </c>
      <c r="D2899" t="s">
        <v>324</v>
      </c>
      <c r="E2899" t="s">
        <v>322</v>
      </c>
      <c r="F2899" s="12">
        <v>318214</v>
      </c>
      <c r="G2899" s="13">
        <v>31</v>
      </c>
      <c r="H2899" t="s">
        <v>3115</v>
      </c>
      <c r="I2899" s="8">
        <v>45943</v>
      </c>
      <c r="J2899" t="s">
        <v>2682</v>
      </c>
      <c r="K2899" t="s">
        <v>2683</v>
      </c>
      <c r="L2899" s="13">
        <v>6000</v>
      </c>
      <c r="M2899" t="s">
        <v>2676</v>
      </c>
    </row>
    <row r="2900" spans="1:13">
      <c r="A2900" t="s">
        <v>1316</v>
      </c>
      <c r="B2900" t="s">
        <v>309</v>
      </c>
      <c r="C2900" s="8">
        <v>46239</v>
      </c>
      <c r="D2900" t="s">
        <v>324</v>
      </c>
      <c r="E2900" t="s">
        <v>322</v>
      </c>
      <c r="F2900" s="12">
        <v>318214</v>
      </c>
      <c r="G2900" s="13">
        <v>31</v>
      </c>
      <c r="H2900" t="s">
        <v>3418</v>
      </c>
      <c r="I2900" s="8">
        <v>46064</v>
      </c>
      <c r="J2900" t="s">
        <v>2665</v>
      </c>
      <c r="K2900" t="s">
        <v>2666</v>
      </c>
      <c r="L2900" s="13">
        <v>2500</v>
      </c>
      <c r="M2900" t="s">
        <v>2661</v>
      </c>
    </row>
    <row r="2901" spans="1:13">
      <c r="A2901" t="s">
        <v>1317</v>
      </c>
      <c r="B2901" t="s">
        <v>214</v>
      </c>
      <c r="C2901" s="8">
        <v>46216</v>
      </c>
      <c r="D2901" t="s">
        <v>332</v>
      </c>
      <c r="E2901" t="s">
        <v>334</v>
      </c>
      <c r="F2901" s="12">
        <v>54131</v>
      </c>
      <c r="G2901" s="13">
        <v>5</v>
      </c>
      <c r="H2901" t="s">
        <v>2664</v>
      </c>
      <c r="I2901" s="8">
        <v>46259</v>
      </c>
      <c r="J2901" t="s">
        <v>2665</v>
      </c>
      <c r="K2901" t="s">
        <v>2666</v>
      </c>
      <c r="L2901" s="13">
        <v>2500</v>
      </c>
      <c r="M2901" t="s">
        <v>2661</v>
      </c>
    </row>
    <row r="2902" spans="1:13">
      <c r="A2902" t="s">
        <v>1317</v>
      </c>
      <c r="B2902" t="s">
        <v>214</v>
      </c>
      <c r="C2902" s="8">
        <v>46216</v>
      </c>
      <c r="D2902" t="s">
        <v>332</v>
      </c>
      <c r="E2902" t="s">
        <v>334</v>
      </c>
      <c r="F2902" s="12">
        <v>54131</v>
      </c>
      <c r="G2902" s="13">
        <v>5</v>
      </c>
      <c r="H2902" t="s">
        <v>3137</v>
      </c>
      <c r="I2902" s="8">
        <v>46189</v>
      </c>
      <c r="J2902" t="s">
        <v>2685</v>
      </c>
      <c r="K2902" t="s">
        <v>2686</v>
      </c>
      <c r="L2902" s="13">
        <v>5000</v>
      </c>
      <c r="M2902" t="s">
        <v>2661</v>
      </c>
    </row>
    <row r="2903" spans="1:13">
      <c r="A2903" t="s">
        <v>1317</v>
      </c>
      <c r="B2903" t="s">
        <v>214</v>
      </c>
      <c r="C2903" s="8">
        <v>46216</v>
      </c>
      <c r="D2903" t="s">
        <v>332</v>
      </c>
      <c r="E2903" t="s">
        <v>334</v>
      </c>
      <c r="F2903" s="12">
        <v>54131</v>
      </c>
      <c r="G2903" s="13">
        <v>5</v>
      </c>
      <c r="H2903" t="s">
        <v>3302</v>
      </c>
      <c r="I2903" s="8">
        <v>46119</v>
      </c>
      <c r="J2903" t="s">
        <v>2659</v>
      </c>
      <c r="K2903" t="s">
        <v>2660</v>
      </c>
      <c r="L2903" s="13">
        <v>3500</v>
      </c>
      <c r="M2903" t="s">
        <v>2661</v>
      </c>
    </row>
    <row r="2904" spans="1:13">
      <c r="A2904" t="s">
        <v>1317</v>
      </c>
      <c r="B2904" t="s">
        <v>214</v>
      </c>
      <c r="C2904" s="8">
        <v>46216</v>
      </c>
      <c r="D2904" t="s">
        <v>332</v>
      </c>
      <c r="E2904" t="s">
        <v>334</v>
      </c>
      <c r="F2904" s="12">
        <v>54131</v>
      </c>
      <c r="G2904" s="13">
        <v>5</v>
      </c>
      <c r="H2904" t="s">
        <v>3564</v>
      </c>
      <c r="I2904" s="8">
        <v>46208</v>
      </c>
      <c r="J2904" t="s">
        <v>2674</v>
      </c>
      <c r="K2904" t="s">
        <v>2675</v>
      </c>
      <c r="L2904" s="13">
        <v>20000</v>
      </c>
      <c r="M2904" t="s">
        <v>2661</v>
      </c>
    </row>
    <row r="2905" spans="1:13">
      <c r="A2905" t="s">
        <v>1318</v>
      </c>
      <c r="B2905" t="s">
        <v>312</v>
      </c>
      <c r="C2905" s="8">
        <v>46083</v>
      </c>
      <c r="D2905" t="s">
        <v>330</v>
      </c>
      <c r="E2905" t="s">
        <v>328</v>
      </c>
      <c r="F2905" s="12">
        <v>406216</v>
      </c>
      <c r="G2905" s="13">
        <v>40</v>
      </c>
      <c r="H2905" t="s">
        <v>3172</v>
      </c>
      <c r="I2905" s="8">
        <v>46074</v>
      </c>
      <c r="J2905" t="s">
        <v>2663</v>
      </c>
      <c r="K2905" t="s">
        <v>3630</v>
      </c>
      <c r="L2905" s="13">
        <v>1500</v>
      </c>
      <c r="M2905" t="s">
        <v>2661</v>
      </c>
    </row>
    <row r="2906" spans="1:13">
      <c r="A2906" t="s">
        <v>1318</v>
      </c>
      <c r="B2906" t="s">
        <v>312</v>
      </c>
      <c r="C2906" s="8">
        <v>46083</v>
      </c>
      <c r="D2906" t="s">
        <v>330</v>
      </c>
      <c r="E2906" t="s">
        <v>328</v>
      </c>
      <c r="F2906" s="12">
        <v>406216</v>
      </c>
      <c r="G2906" s="13">
        <v>40</v>
      </c>
      <c r="H2906" t="s">
        <v>3267</v>
      </c>
      <c r="I2906" s="8">
        <v>45964</v>
      </c>
      <c r="J2906" t="s">
        <v>2682</v>
      </c>
      <c r="K2906" t="s">
        <v>2683</v>
      </c>
      <c r="L2906" s="13">
        <v>6000</v>
      </c>
      <c r="M2906" t="s">
        <v>2661</v>
      </c>
    </row>
    <row r="2907" spans="1:13">
      <c r="A2907" t="s">
        <v>1319</v>
      </c>
      <c r="B2907" t="s">
        <v>96</v>
      </c>
      <c r="C2907" s="8">
        <v>46102</v>
      </c>
      <c r="D2907" t="s">
        <v>332</v>
      </c>
      <c r="E2907" t="s">
        <v>337</v>
      </c>
      <c r="F2907" s="12">
        <v>72294</v>
      </c>
      <c r="G2907" s="13">
        <v>7</v>
      </c>
      <c r="H2907" t="s">
        <v>2761</v>
      </c>
      <c r="I2907" s="8">
        <v>46195</v>
      </c>
      <c r="J2907" t="s">
        <v>2665</v>
      </c>
      <c r="K2907" t="s">
        <v>2666</v>
      </c>
      <c r="L2907" s="13">
        <v>2500</v>
      </c>
      <c r="M2907" t="s">
        <v>2661</v>
      </c>
    </row>
    <row r="2908" spans="1:13">
      <c r="A2908" t="s">
        <v>1319</v>
      </c>
      <c r="B2908" t="s">
        <v>96</v>
      </c>
      <c r="C2908" s="8">
        <v>46102</v>
      </c>
      <c r="D2908" t="s">
        <v>332</v>
      </c>
      <c r="E2908" t="s">
        <v>337</v>
      </c>
      <c r="F2908" s="12">
        <v>72294</v>
      </c>
      <c r="G2908" s="13">
        <v>7</v>
      </c>
      <c r="H2908" t="s">
        <v>2839</v>
      </c>
      <c r="I2908" s="8">
        <v>45996</v>
      </c>
      <c r="J2908" t="s">
        <v>2685</v>
      </c>
      <c r="K2908" t="s">
        <v>2686</v>
      </c>
      <c r="L2908" s="13">
        <v>5000</v>
      </c>
      <c r="M2908" t="s">
        <v>2661</v>
      </c>
    </row>
    <row r="2909" spans="1:13">
      <c r="A2909" t="s">
        <v>1319</v>
      </c>
      <c r="B2909" t="s">
        <v>96</v>
      </c>
      <c r="C2909" s="8">
        <v>46102</v>
      </c>
      <c r="D2909" t="s">
        <v>332</v>
      </c>
      <c r="E2909" t="s">
        <v>337</v>
      </c>
      <c r="F2909" s="12">
        <v>72294</v>
      </c>
      <c r="G2909" s="13">
        <v>7</v>
      </c>
      <c r="H2909" t="s">
        <v>3048</v>
      </c>
      <c r="I2909" s="8">
        <v>46256</v>
      </c>
      <c r="J2909" t="s">
        <v>2659</v>
      </c>
      <c r="K2909" t="s">
        <v>2660</v>
      </c>
      <c r="L2909" s="13">
        <v>3500</v>
      </c>
      <c r="M2909" t="s">
        <v>2661</v>
      </c>
    </row>
    <row r="2910" spans="1:13">
      <c r="A2910" t="s">
        <v>1319</v>
      </c>
      <c r="B2910" t="s">
        <v>96</v>
      </c>
      <c r="C2910" s="8">
        <v>46102</v>
      </c>
      <c r="D2910" t="s">
        <v>332</v>
      </c>
      <c r="E2910" t="s">
        <v>337</v>
      </c>
      <c r="F2910" s="12">
        <v>72294</v>
      </c>
      <c r="G2910" s="13">
        <v>7</v>
      </c>
      <c r="H2910" t="s">
        <v>3112</v>
      </c>
      <c r="I2910" s="8">
        <v>46182</v>
      </c>
      <c r="J2910" t="s">
        <v>2668</v>
      </c>
      <c r="K2910" t="s">
        <v>2669</v>
      </c>
      <c r="L2910" s="13">
        <v>4000</v>
      </c>
      <c r="M2910" t="s">
        <v>2661</v>
      </c>
    </row>
    <row r="2911" spans="1:13">
      <c r="A2911" t="s">
        <v>1319</v>
      </c>
      <c r="B2911" t="s">
        <v>96</v>
      </c>
      <c r="C2911" s="8">
        <v>46102</v>
      </c>
      <c r="D2911" t="s">
        <v>332</v>
      </c>
      <c r="E2911" t="s">
        <v>337</v>
      </c>
      <c r="F2911" s="12">
        <v>72294</v>
      </c>
      <c r="G2911" s="13">
        <v>7</v>
      </c>
      <c r="H2911" t="s">
        <v>3389</v>
      </c>
      <c r="I2911" s="8">
        <v>45999</v>
      </c>
      <c r="J2911" t="s">
        <v>2671</v>
      </c>
      <c r="K2911" t="s">
        <v>2672</v>
      </c>
      <c r="L2911" s="13">
        <v>3000</v>
      </c>
      <c r="M2911" t="s">
        <v>2661</v>
      </c>
    </row>
    <row r="2912" spans="1:13">
      <c r="A2912" t="s">
        <v>1319</v>
      </c>
      <c r="B2912" t="s">
        <v>96</v>
      </c>
      <c r="C2912" s="8">
        <v>46102</v>
      </c>
      <c r="D2912" t="s">
        <v>332</v>
      </c>
      <c r="E2912" t="s">
        <v>337</v>
      </c>
      <c r="F2912" s="12">
        <v>72294</v>
      </c>
      <c r="G2912" s="13">
        <v>7</v>
      </c>
      <c r="H2912" t="s">
        <v>3431</v>
      </c>
      <c r="I2912" s="8">
        <v>46091</v>
      </c>
      <c r="J2912" t="s">
        <v>2685</v>
      </c>
      <c r="K2912" t="s">
        <v>2686</v>
      </c>
      <c r="L2912" s="13">
        <v>5000</v>
      </c>
      <c r="M2912" t="s">
        <v>2661</v>
      </c>
    </row>
    <row r="2913" spans="1:13">
      <c r="A2913" t="s">
        <v>1320</v>
      </c>
      <c r="B2913" t="s">
        <v>302</v>
      </c>
      <c r="C2913" s="8">
        <v>46056</v>
      </c>
      <c r="D2913" t="s">
        <v>330</v>
      </c>
      <c r="E2913" t="s">
        <v>328</v>
      </c>
      <c r="F2913" s="12">
        <v>55550</v>
      </c>
      <c r="G2913" s="13">
        <v>5</v>
      </c>
      <c r="H2913" t="s">
        <v>3325</v>
      </c>
      <c r="I2913" s="8">
        <v>46177</v>
      </c>
      <c r="J2913" t="s">
        <v>2692</v>
      </c>
      <c r="K2913" t="s">
        <v>2693</v>
      </c>
      <c r="L2913" s="13">
        <v>10000</v>
      </c>
      <c r="M2913" t="s">
        <v>2661</v>
      </c>
    </row>
    <row r="2914" spans="1:13">
      <c r="A2914" t="s">
        <v>1321</v>
      </c>
      <c r="B2914" t="s">
        <v>297</v>
      </c>
      <c r="C2914" s="8">
        <v>46189</v>
      </c>
      <c r="D2914" t="s">
        <v>324</v>
      </c>
      <c r="E2914" t="s">
        <v>339</v>
      </c>
      <c r="F2914" s="12">
        <v>232658</v>
      </c>
      <c r="G2914" s="13">
        <v>23</v>
      </c>
      <c r="H2914" t="s">
        <v>2776</v>
      </c>
      <c r="I2914" s="8">
        <v>46165</v>
      </c>
      <c r="J2914" t="s">
        <v>2674</v>
      </c>
      <c r="K2914" t="s">
        <v>2675</v>
      </c>
      <c r="L2914" s="13">
        <v>20000</v>
      </c>
      <c r="M2914" t="s">
        <v>2661</v>
      </c>
    </row>
    <row r="2915" spans="1:13">
      <c r="A2915" t="s">
        <v>1321</v>
      </c>
      <c r="B2915" t="s">
        <v>297</v>
      </c>
      <c r="C2915" s="8">
        <v>46189</v>
      </c>
      <c r="D2915" t="s">
        <v>324</v>
      </c>
      <c r="E2915" t="s">
        <v>339</v>
      </c>
      <c r="F2915" s="12">
        <v>232658</v>
      </c>
      <c r="G2915" s="13">
        <v>23</v>
      </c>
      <c r="H2915" t="s">
        <v>3239</v>
      </c>
      <c r="I2915" s="8">
        <v>45933</v>
      </c>
      <c r="J2915" t="s">
        <v>2682</v>
      </c>
      <c r="K2915" t="s">
        <v>2683</v>
      </c>
      <c r="L2915" s="13">
        <v>6000</v>
      </c>
      <c r="M2915" t="s">
        <v>2661</v>
      </c>
    </row>
    <row r="2916" spans="1:13">
      <c r="A2916" t="s">
        <v>1321</v>
      </c>
      <c r="B2916" t="s">
        <v>297</v>
      </c>
      <c r="C2916" s="8">
        <v>46189</v>
      </c>
      <c r="D2916" t="s">
        <v>324</v>
      </c>
      <c r="E2916" t="s">
        <v>339</v>
      </c>
      <c r="F2916" s="12">
        <v>232658</v>
      </c>
      <c r="G2916" s="13">
        <v>23</v>
      </c>
      <c r="H2916" t="s">
        <v>3321</v>
      </c>
      <c r="I2916" s="8">
        <v>46258</v>
      </c>
      <c r="J2916" t="s">
        <v>2668</v>
      </c>
      <c r="K2916" t="s">
        <v>2669</v>
      </c>
      <c r="L2916" s="13">
        <v>4000</v>
      </c>
      <c r="M2916" t="s">
        <v>2661</v>
      </c>
    </row>
    <row r="2917" spans="1:13">
      <c r="A2917" t="s">
        <v>1321</v>
      </c>
      <c r="B2917" t="s">
        <v>297</v>
      </c>
      <c r="C2917" s="8">
        <v>46189</v>
      </c>
      <c r="D2917" t="s">
        <v>324</v>
      </c>
      <c r="E2917" t="s">
        <v>339</v>
      </c>
      <c r="F2917" s="12">
        <v>232658</v>
      </c>
      <c r="G2917" s="13">
        <v>23</v>
      </c>
      <c r="H2917" t="s">
        <v>3412</v>
      </c>
      <c r="I2917" s="8">
        <v>46033</v>
      </c>
      <c r="J2917" t="s">
        <v>2659</v>
      </c>
      <c r="K2917" t="s">
        <v>2660</v>
      </c>
      <c r="L2917" s="13">
        <v>3500</v>
      </c>
      <c r="M2917" t="s">
        <v>2661</v>
      </c>
    </row>
    <row r="2918" spans="1:13">
      <c r="A2918" t="s">
        <v>1322</v>
      </c>
      <c r="B2918" t="s">
        <v>174</v>
      </c>
      <c r="C2918" s="8">
        <v>45981</v>
      </c>
      <c r="D2918" t="s">
        <v>330</v>
      </c>
      <c r="E2918" t="s">
        <v>337</v>
      </c>
      <c r="F2918" s="12">
        <v>352994</v>
      </c>
      <c r="G2918" s="13">
        <v>35</v>
      </c>
      <c r="H2918" t="s">
        <v>3297</v>
      </c>
      <c r="I2918" s="8">
        <v>46090</v>
      </c>
      <c r="J2918" t="s">
        <v>2685</v>
      </c>
      <c r="K2918" t="s">
        <v>2686</v>
      </c>
      <c r="L2918" s="13">
        <v>5000</v>
      </c>
      <c r="M2918" t="s">
        <v>2676</v>
      </c>
    </row>
    <row r="2919" spans="1:13">
      <c r="A2919" t="s">
        <v>1323</v>
      </c>
      <c r="B2919" t="s">
        <v>218</v>
      </c>
      <c r="C2919" s="8">
        <v>45959</v>
      </c>
      <c r="D2919" t="s">
        <v>327</v>
      </c>
      <c r="E2919" t="s">
        <v>334</v>
      </c>
      <c r="F2919" s="12">
        <v>432155</v>
      </c>
      <c r="G2919" s="13">
        <v>43</v>
      </c>
      <c r="H2919" t="s">
        <v>2946</v>
      </c>
      <c r="I2919" s="8">
        <v>46105</v>
      </c>
      <c r="J2919" t="s">
        <v>2668</v>
      </c>
      <c r="K2919" t="s">
        <v>2669</v>
      </c>
      <c r="L2919" s="13">
        <v>4000</v>
      </c>
      <c r="M2919" t="s">
        <v>2661</v>
      </c>
    </row>
    <row r="2920" spans="1:13">
      <c r="A2920" t="s">
        <v>1323</v>
      </c>
      <c r="B2920" t="s">
        <v>218</v>
      </c>
      <c r="C2920" s="8">
        <v>45959</v>
      </c>
      <c r="D2920" t="s">
        <v>327</v>
      </c>
      <c r="E2920" t="s">
        <v>334</v>
      </c>
      <c r="F2920" s="12">
        <v>432155</v>
      </c>
      <c r="G2920" s="13">
        <v>43</v>
      </c>
      <c r="H2920" t="s">
        <v>3095</v>
      </c>
      <c r="I2920" s="8">
        <v>46223</v>
      </c>
      <c r="J2920" t="s">
        <v>2668</v>
      </c>
      <c r="K2920" t="s">
        <v>2669</v>
      </c>
      <c r="L2920" s="13">
        <v>4000</v>
      </c>
      <c r="M2920" t="s">
        <v>2661</v>
      </c>
    </row>
    <row r="2921" spans="1:13">
      <c r="A2921" t="s">
        <v>1323</v>
      </c>
      <c r="B2921" t="s">
        <v>218</v>
      </c>
      <c r="C2921" s="8">
        <v>45959</v>
      </c>
      <c r="D2921" t="s">
        <v>327</v>
      </c>
      <c r="E2921" t="s">
        <v>334</v>
      </c>
      <c r="F2921" s="12">
        <v>432155</v>
      </c>
      <c r="G2921" s="13">
        <v>43</v>
      </c>
      <c r="H2921" t="s">
        <v>3260</v>
      </c>
      <c r="I2921" s="8">
        <v>45974</v>
      </c>
      <c r="J2921" t="s">
        <v>2668</v>
      </c>
      <c r="K2921" t="s">
        <v>2669</v>
      </c>
      <c r="L2921" s="13">
        <v>4000</v>
      </c>
      <c r="M2921" t="s">
        <v>2661</v>
      </c>
    </row>
    <row r="2922" spans="1:13">
      <c r="A2922" t="s">
        <v>1324</v>
      </c>
      <c r="B2922" t="s">
        <v>174</v>
      </c>
      <c r="C2922" s="8">
        <v>46023</v>
      </c>
      <c r="D2922" t="s">
        <v>344</v>
      </c>
      <c r="E2922" t="s">
        <v>339</v>
      </c>
      <c r="F2922" s="12">
        <v>153656</v>
      </c>
      <c r="G2922" s="13">
        <v>15</v>
      </c>
      <c r="H2922" t="s">
        <v>3297</v>
      </c>
      <c r="I2922" s="8">
        <v>46090</v>
      </c>
      <c r="J2922" t="s">
        <v>2685</v>
      </c>
      <c r="K2922" t="s">
        <v>2686</v>
      </c>
      <c r="L2922" s="13">
        <v>5000</v>
      </c>
      <c r="M2922" t="s">
        <v>2676</v>
      </c>
    </row>
    <row r="2923" spans="1:13">
      <c r="A2923" t="s">
        <v>1325</v>
      </c>
      <c r="B2923" t="s">
        <v>164</v>
      </c>
      <c r="C2923" s="8">
        <v>46262</v>
      </c>
      <c r="D2923" t="s">
        <v>332</v>
      </c>
      <c r="E2923" t="s">
        <v>328</v>
      </c>
      <c r="F2923" s="12">
        <v>248917</v>
      </c>
      <c r="G2923" s="13">
        <v>24</v>
      </c>
      <c r="H2923" t="s">
        <v>2971</v>
      </c>
      <c r="I2923" s="8">
        <v>46018</v>
      </c>
      <c r="J2923" t="s">
        <v>2665</v>
      </c>
      <c r="K2923" t="s">
        <v>2666</v>
      </c>
      <c r="L2923" s="13">
        <v>2500</v>
      </c>
      <c r="M2923" t="s">
        <v>2661</v>
      </c>
    </row>
    <row r="2924" spans="1:13">
      <c r="A2924" t="s">
        <v>1325</v>
      </c>
      <c r="B2924" t="s">
        <v>164</v>
      </c>
      <c r="C2924" s="8">
        <v>46262</v>
      </c>
      <c r="D2924" t="s">
        <v>332</v>
      </c>
      <c r="E2924" t="s">
        <v>328</v>
      </c>
      <c r="F2924" s="12">
        <v>248917</v>
      </c>
      <c r="G2924" s="13">
        <v>24</v>
      </c>
      <c r="H2924" t="s">
        <v>3109</v>
      </c>
      <c r="I2924" s="8">
        <v>46204</v>
      </c>
      <c r="J2924" t="s">
        <v>2668</v>
      </c>
      <c r="K2924" t="s">
        <v>2669</v>
      </c>
      <c r="L2924" s="13">
        <v>4000</v>
      </c>
      <c r="M2924" t="s">
        <v>2676</v>
      </c>
    </row>
    <row r="2925" spans="1:13">
      <c r="A2925" t="s">
        <v>1325</v>
      </c>
      <c r="B2925" t="s">
        <v>164</v>
      </c>
      <c r="C2925" s="8">
        <v>46262</v>
      </c>
      <c r="D2925" t="s">
        <v>332</v>
      </c>
      <c r="E2925" t="s">
        <v>328</v>
      </c>
      <c r="F2925" s="12">
        <v>248917</v>
      </c>
      <c r="G2925" s="13">
        <v>24</v>
      </c>
      <c r="H2925" t="s">
        <v>3298</v>
      </c>
      <c r="I2925" s="8">
        <v>46208</v>
      </c>
      <c r="J2925" t="s">
        <v>2692</v>
      </c>
      <c r="K2925" t="s">
        <v>2693</v>
      </c>
      <c r="L2925" s="13">
        <v>10000</v>
      </c>
      <c r="M2925" t="s">
        <v>2661</v>
      </c>
    </row>
    <row r="2926" spans="1:13">
      <c r="A2926" t="s">
        <v>1325</v>
      </c>
      <c r="B2926" t="s">
        <v>164</v>
      </c>
      <c r="C2926" s="8">
        <v>46262</v>
      </c>
      <c r="D2926" t="s">
        <v>332</v>
      </c>
      <c r="E2926" t="s">
        <v>328</v>
      </c>
      <c r="F2926" s="12">
        <v>248917</v>
      </c>
      <c r="G2926" s="13">
        <v>24</v>
      </c>
      <c r="H2926" t="s">
        <v>3523</v>
      </c>
      <c r="I2926" s="8">
        <v>46098</v>
      </c>
      <c r="J2926" t="s">
        <v>2659</v>
      </c>
      <c r="K2926" t="s">
        <v>2660</v>
      </c>
      <c r="L2926" s="13">
        <v>3500</v>
      </c>
      <c r="M2926" t="s">
        <v>2661</v>
      </c>
    </row>
    <row r="2927" spans="1:13">
      <c r="A2927" t="s">
        <v>1326</v>
      </c>
      <c r="B2927" t="s">
        <v>23</v>
      </c>
      <c r="C2927" s="8">
        <v>46066</v>
      </c>
      <c r="D2927" t="s">
        <v>344</v>
      </c>
      <c r="E2927" t="s">
        <v>328</v>
      </c>
      <c r="F2927" s="12">
        <v>588019</v>
      </c>
      <c r="G2927" s="13">
        <v>58</v>
      </c>
      <c r="H2927" t="s">
        <v>2807</v>
      </c>
      <c r="I2927" s="8">
        <v>46239</v>
      </c>
      <c r="J2927" t="s">
        <v>2663</v>
      </c>
      <c r="K2927" t="s">
        <v>3630</v>
      </c>
      <c r="L2927" s="13">
        <v>1500</v>
      </c>
      <c r="M2927" t="s">
        <v>2661</v>
      </c>
    </row>
    <row r="2928" spans="1:13">
      <c r="A2928" t="s">
        <v>1326</v>
      </c>
      <c r="B2928" t="s">
        <v>23</v>
      </c>
      <c r="C2928" s="8">
        <v>46066</v>
      </c>
      <c r="D2928" t="s">
        <v>344</v>
      </c>
      <c r="E2928" t="s">
        <v>328</v>
      </c>
      <c r="F2928" s="12">
        <v>588019</v>
      </c>
      <c r="G2928" s="13">
        <v>58</v>
      </c>
      <c r="H2928" t="s">
        <v>2846</v>
      </c>
      <c r="I2928" s="8">
        <v>46148</v>
      </c>
      <c r="J2928" t="s">
        <v>2685</v>
      </c>
      <c r="K2928" t="s">
        <v>2686</v>
      </c>
      <c r="L2928" s="13">
        <v>5000</v>
      </c>
      <c r="M2928" t="s">
        <v>2661</v>
      </c>
    </row>
    <row r="2929" spans="1:13">
      <c r="A2929" t="s">
        <v>1326</v>
      </c>
      <c r="B2929" t="s">
        <v>23</v>
      </c>
      <c r="C2929" s="8">
        <v>46066</v>
      </c>
      <c r="D2929" t="s">
        <v>344</v>
      </c>
      <c r="E2929" t="s">
        <v>328</v>
      </c>
      <c r="F2929" s="12">
        <v>588019</v>
      </c>
      <c r="G2929" s="13">
        <v>58</v>
      </c>
      <c r="H2929" t="s">
        <v>2872</v>
      </c>
      <c r="I2929" s="8">
        <v>46180</v>
      </c>
      <c r="J2929" t="s">
        <v>2659</v>
      </c>
      <c r="K2929" t="s">
        <v>2660</v>
      </c>
      <c r="L2929" s="13">
        <v>3500</v>
      </c>
      <c r="M2929" t="s">
        <v>2661</v>
      </c>
    </row>
    <row r="2930" spans="1:13">
      <c r="A2930" t="s">
        <v>1326</v>
      </c>
      <c r="B2930" t="s">
        <v>23</v>
      </c>
      <c r="C2930" s="8">
        <v>46066</v>
      </c>
      <c r="D2930" t="s">
        <v>344</v>
      </c>
      <c r="E2930" t="s">
        <v>328</v>
      </c>
      <c r="F2930" s="12">
        <v>588019</v>
      </c>
      <c r="G2930" s="13">
        <v>58</v>
      </c>
      <c r="H2930" t="s">
        <v>2887</v>
      </c>
      <c r="I2930" s="8">
        <v>46147</v>
      </c>
      <c r="J2930" t="s">
        <v>2682</v>
      </c>
      <c r="K2930" t="s">
        <v>2683</v>
      </c>
      <c r="L2930" s="13">
        <v>6000</v>
      </c>
      <c r="M2930" t="s">
        <v>2661</v>
      </c>
    </row>
    <row r="2931" spans="1:13">
      <c r="A2931" t="s">
        <v>1326</v>
      </c>
      <c r="B2931" t="s">
        <v>23</v>
      </c>
      <c r="C2931" s="8">
        <v>46066</v>
      </c>
      <c r="D2931" t="s">
        <v>344</v>
      </c>
      <c r="E2931" t="s">
        <v>328</v>
      </c>
      <c r="F2931" s="12">
        <v>588019</v>
      </c>
      <c r="G2931" s="13">
        <v>58</v>
      </c>
      <c r="H2931" t="s">
        <v>3153</v>
      </c>
      <c r="I2931" s="8">
        <v>46122</v>
      </c>
      <c r="J2931" t="s">
        <v>2665</v>
      </c>
      <c r="K2931" t="s">
        <v>2666</v>
      </c>
      <c r="L2931" s="13">
        <v>2500</v>
      </c>
      <c r="M2931" t="s">
        <v>2676</v>
      </c>
    </row>
    <row r="2932" spans="1:13">
      <c r="A2932" t="s">
        <v>1326</v>
      </c>
      <c r="B2932" t="s">
        <v>23</v>
      </c>
      <c r="C2932" s="8">
        <v>46066</v>
      </c>
      <c r="D2932" t="s">
        <v>344</v>
      </c>
      <c r="E2932" t="s">
        <v>328</v>
      </c>
      <c r="F2932" s="12">
        <v>588019</v>
      </c>
      <c r="G2932" s="13">
        <v>58</v>
      </c>
      <c r="H2932" t="s">
        <v>3426</v>
      </c>
      <c r="I2932" s="8">
        <v>46038</v>
      </c>
      <c r="J2932" t="s">
        <v>2688</v>
      </c>
      <c r="K2932" t="s">
        <v>2689</v>
      </c>
      <c r="L2932" s="13">
        <v>8000</v>
      </c>
      <c r="M2932" t="s">
        <v>2661</v>
      </c>
    </row>
    <row r="2933" spans="1:13">
      <c r="A2933" t="s">
        <v>1327</v>
      </c>
      <c r="B2933" t="s">
        <v>265</v>
      </c>
      <c r="C2933" s="8">
        <v>46253</v>
      </c>
      <c r="D2933" t="s">
        <v>327</v>
      </c>
      <c r="E2933" t="s">
        <v>325</v>
      </c>
      <c r="F2933" s="12">
        <v>890595</v>
      </c>
      <c r="G2933" s="13">
        <v>89</v>
      </c>
      <c r="H2933" t="s">
        <v>2909</v>
      </c>
      <c r="I2933" s="8">
        <v>45963</v>
      </c>
      <c r="J2933" t="s">
        <v>2659</v>
      </c>
      <c r="K2933" t="s">
        <v>2660</v>
      </c>
      <c r="L2933" s="13">
        <v>3500</v>
      </c>
      <c r="M2933" t="s">
        <v>2661</v>
      </c>
    </row>
    <row r="2934" spans="1:13">
      <c r="A2934" t="s">
        <v>1328</v>
      </c>
      <c r="B2934" t="s">
        <v>46</v>
      </c>
      <c r="C2934" s="8">
        <v>45970</v>
      </c>
      <c r="D2934" t="s">
        <v>324</v>
      </c>
      <c r="E2934" t="s">
        <v>322</v>
      </c>
      <c r="F2934" s="12">
        <v>418526</v>
      </c>
      <c r="G2934" s="13">
        <v>41</v>
      </c>
      <c r="H2934" t="s">
        <v>2743</v>
      </c>
      <c r="I2934" s="8">
        <v>46248</v>
      </c>
      <c r="J2934" t="s">
        <v>2685</v>
      </c>
      <c r="K2934" t="s">
        <v>2686</v>
      </c>
      <c r="L2934" s="13">
        <v>5000</v>
      </c>
      <c r="M2934" t="s">
        <v>2661</v>
      </c>
    </row>
    <row r="2935" spans="1:13">
      <c r="A2935" t="s">
        <v>1328</v>
      </c>
      <c r="B2935" t="s">
        <v>46</v>
      </c>
      <c r="C2935" s="8">
        <v>45970</v>
      </c>
      <c r="D2935" t="s">
        <v>324</v>
      </c>
      <c r="E2935" t="s">
        <v>322</v>
      </c>
      <c r="F2935" s="12">
        <v>418526</v>
      </c>
      <c r="G2935" s="13">
        <v>41</v>
      </c>
      <c r="H2935" t="s">
        <v>3021</v>
      </c>
      <c r="I2935" s="8">
        <v>45955</v>
      </c>
      <c r="J2935" t="s">
        <v>2665</v>
      </c>
      <c r="K2935" t="s">
        <v>2666</v>
      </c>
      <c r="L2935" s="13">
        <v>2500</v>
      </c>
      <c r="M2935" t="s">
        <v>2661</v>
      </c>
    </row>
    <row r="2936" spans="1:13">
      <c r="A2936" t="s">
        <v>1328</v>
      </c>
      <c r="B2936" t="s">
        <v>46</v>
      </c>
      <c r="C2936" s="8">
        <v>45970</v>
      </c>
      <c r="D2936" t="s">
        <v>324</v>
      </c>
      <c r="E2936" t="s">
        <v>322</v>
      </c>
      <c r="F2936" s="12">
        <v>418526</v>
      </c>
      <c r="G2936" s="13">
        <v>41</v>
      </c>
      <c r="H2936" t="s">
        <v>3069</v>
      </c>
      <c r="I2936" s="8">
        <v>45945</v>
      </c>
      <c r="J2936" t="s">
        <v>2668</v>
      </c>
      <c r="K2936" t="s">
        <v>2669</v>
      </c>
      <c r="L2936" s="13">
        <v>4000</v>
      </c>
      <c r="M2936" t="s">
        <v>2661</v>
      </c>
    </row>
    <row r="2937" spans="1:13">
      <c r="A2937" t="s">
        <v>1328</v>
      </c>
      <c r="B2937" t="s">
        <v>46</v>
      </c>
      <c r="C2937" s="8">
        <v>45970</v>
      </c>
      <c r="D2937" t="s">
        <v>324</v>
      </c>
      <c r="E2937" t="s">
        <v>322</v>
      </c>
      <c r="F2937" s="12">
        <v>418526</v>
      </c>
      <c r="G2937" s="13">
        <v>41</v>
      </c>
      <c r="H2937" t="s">
        <v>3408</v>
      </c>
      <c r="I2937" s="8">
        <v>46072</v>
      </c>
      <c r="J2937" t="s">
        <v>2668</v>
      </c>
      <c r="K2937" t="s">
        <v>2669</v>
      </c>
      <c r="L2937" s="13">
        <v>4000</v>
      </c>
      <c r="M2937" t="s">
        <v>2661</v>
      </c>
    </row>
    <row r="2938" spans="1:13">
      <c r="A2938" t="s">
        <v>1328</v>
      </c>
      <c r="B2938" t="s">
        <v>46</v>
      </c>
      <c r="C2938" s="8">
        <v>45970</v>
      </c>
      <c r="D2938" t="s">
        <v>324</v>
      </c>
      <c r="E2938" t="s">
        <v>322</v>
      </c>
      <c r="F2938" s="12">
        <v>418526</v>
      </c>
      <c r="G2938" s="13">
        <v>41</v>
      </c>
      <c r="H2938" t="s">
        <v>3494</v>
      </c>
      <c r="I2938" s="8">
        <v>46108</v>
      </c>
      <c r="J2938" t="s">
        <v>2688</v>
      </c>
      <c r="K2938" t="s">
        <v>2689</v>
      </c>
      <c r="L2938" s="13">
        <v>8000</v>
      </c>
      <c r="M2938" t="s">
        <v>2661</v>
      </c>
    </row>
    <row r="2939" spans="1:13">
      <c r="A2939" t="s">
        <v>1329</v>
      </c>
      <c r="B2939" t="s">
        <v>8</v>
      </c>
      <c r="C2939" s="8">
        <v>46078</v>
      </c>
      <c r="D2939" t="s">
        <v>350</v>
      </c>
      <c r="E2939" t="s">
        <v>322</v>
      </c>
      <c r="F2939" s="12">
        <v>597593</v>
      </c>
      <c r="G2939" s="13">
        <v>59</v>
      </c>
      <c r="H2939" t="s">
        <v>3033</v>
      </c>
      <c r="I2939" s="8">
        <v>46098</v>
      </c>
      <c r="J2939" t="s">
        <v>2659</v>
      </c>
      <c r="K2939" t="s">
        <v>2660</v>
      </c>
      <c r="L2939" s="13">
        <v>3500</v>
      </c>
      <c r="M2939" t="s">
        <v>2676</v>
      </c>
    </row>
    <row r="2940" spans="1:13">
      <c r="A2940" t="s">
        <v>1329</v>
      </c>
      <c r="B2940" t="s">
        <v>8</v>
      </c>
      <c r="C2940" s="8">
        <v>46078</v>
      </c>
      <c r="D2940" t="s">
        <v>350</v>
      </c>
      <c r="E2940" t="s">
        <v>322</v>
      </c>
      <c r="F2940" s="12">
        <v>597593</v>
      </c>
      <c r="G2940" s="13">
        <v>59</v>
      </c>
      <c r="H2940" t="s">
        <v>3159</v>
      </c>
      <c r="I2940" s="8">
        <v>46079</v>
      </c>
      <c r="J2940" t="s">
        <v>2659</v>
      </c>
      <c r="K2940" t="s">
        <v>2660</v>
      </c>
      <c r="L2940" s="13">
        <v>3500</v>
      </c>
      <c r="M2940" t="s">
        <v>2661</v>
      </c>
    </row>
    <row r="2941" spans="1:13">
      <c r="A2941" t="s">
        <v>1329</v>
      </c>
      <c r="B2941" t="s">
        <v>8</v>
      </c>
      <c r="C2941" s="8">
        <v>46078</v>
      </c>
      <c r="D2941" t="s">
        <v>350</v>
      </c>
      <c r="E2941" t="s">
        <v>322</v>
      </c>
      <c r="F2941" s="12">
        <v>597593</v>
      </c>
      <c r="G2941" s="13">
        <v>59</v>
      </c>
      <c r="H2941" t="s">
        <v>3184</v>
      </c>
      <c r="I2941" s="8">
        <v>46261</v>
      </c>
      <c r="J2941" t="s">
        <v>2685</v>
      </c>
      <c r="K2941" t="s">
        <v>2686</v>
      </c>
      <c r="L2941" s="13">
        <v>5000</v>
      </c>
      <c r="M2941" t="s">
        <v>2661</v>
      </c>
    </row>
    <row r="2942" spans="1:13">
      <c r="A2942" t="s">
        <v>1329</v>
      </c>
      <c r="B2942" t="s">
        <v>8</v>
      </c>
      <c r="C2942" s="8">
        <v>46078</v>
      </c>
      <c r="D2942" t="s">
        <v>350</v>
      </c>
      <c r="E2942" t="s">
        <v>322</v>
      </c>
      <c r="F2942" s="12">
        <v>597593</v>
      </c>
      <c r="G2942" s="13">
        <v>59</v>
      </c>
      <c r="H2942" t="s">
        <v>3303</v>
      </c>
      <c r="I2942" s="8">
        <v>46196</v>
      </c>
      <c r="J2942" t="s">
        <v>2682</v>
      </c>
      <c r="K2942" t="s">
        <v>2683</v>
      </c>
      <c r="L2942" s="13">
        <v>6000</v>
      </c>
      <c r="M2942" t="s">
        <v>2676</v>
      </c>
    </row>
    <row r="2943" spans="1:13">
      <c r="A2943" t="s">
        <v>1329</v>
      </c>
      <c r="B2943" t="s">
        <v>8</v>
      </c>
      <c r="C2943" s="8">
        <v>46078</v>
      </c>
      <c r="D2943" t="s">
        <v>350</v>
      </c>
      <c r="E2943" t="s">
        <v>322</v>
      </c>
      <c r="F2943" s="12">
        <v>597593</v>
      </c>
      <c r="G2943" s="13">
        <v>59</v>
      </c>
      <c r="H2943" t="s">
        <v>3353</v>
      </c>
      <c r="I2943" s="8">
        <v>45991</v>
      </c>
      <c r="J2943" t="s">
        <v>2659</v>
      </c>
      <c r="K2943" t="s">
        <v>2660</v>
      </c>
      <c r="L2943" s="13">
        <v>3500</v>
      </c>
      <c r="M2943" t="s">
        <v>2661</v>
      </c>
    </row>
    <row r="2944" spans="1:13">
      <c r="A2944" t="s">
        <v>1330</v>
      </c>
      <c r="B2944" t="s">
        <v>283</v>
      </c>
      <c r="C2944" s="8">
        <v>45942</v>
      </c>
      <c r="D2944" t="s">
        <v>342</v>
      </c>
      <c r="E2944" t="s">
        <v>339</v>
      </c>
      <c r="F2944" s="12">
        <v>334159</v>
      </c>
      <c r="G2944" s="13">
        <v>33</v>
      </c>
      <c r="H2944" t="s">
        <v>2758</v>
      </c>
      <c r="I2944" s="8">
        <v>46115</v>
      </c>
      <c r="J2944" t="s">
        <v>2663</v>
      </c>
      <c r="K2944" t="s">
        <v>3630</v>
      </c>
      <c r="L2944" s="13">
        <v>1500</v>
      </c>
      <c r="M2944" t="s">
        <v>2661</v>
      </c>
    </row>
    <row r="2945" spans="1:13">
      <c r="A2945" t="s">
        <v>1330</v>
      </c>
      <c r="B2945" t="s">
        <v>283</v>
      </c>
      <c r="C2945" s="8">
        <v>45942</v>
      </c>
      <c r="D2945" t="s">
        <v>342</v>
      </c>
      <c r="E2945" t="s">
        <v>339</v>
      </c>
      <c r="F2945" s="12">
        <v>334159</v>
      </c>
      <c r="G2945" s="13">
        <v>33</v>
      </c>
      <c r="H2945" t="s">
        <v>2838</v>
      </c>
      <c r="I2945" s="8">
        <v>46084</v>
      </c>
      <c r="J2945" t="s">
        <v>2682</v>
      </c>
      <c r="K2945" t="s">
        <v>2683</v>
      </c>
      <c r="L2945" s="13">
        <v>6000</v>
      </c>
      <c r="M2945" t="s">
        <v>2661</v>
      </c>
    </row>
    <row r="2946" spans="1:13">
      <c r="A2946" t="s">
        <v>1331</v>
      </c>
      <c r="B2946" t="s">
        <v>140</v>
      </c>
      <c r="C2946" s="8">
        <v>46270</v>
      </c>
      <c r="D2946" t="s">
        <v>327</v>
      </c>
      <c r="E2946" t="s">
        <v>339</v>
      </c>
      <c r="F2946" s="12">
        <v>163824</v>
      </c>
      <c r="G2946" s="13">
        <v>16</v>
      </c>
      <c r="H2946" t="s">
        <v>3192</v>
      </c>
      <c r="I2946" s="8">
        <v>46206</v>
      </c>
      <c r="J2946" t="s">
        <v>2682</v>
      </c>
      <c r="K2946" t="s">
        <v>2683</v>
      </c>
      <c r="L2946" s="13">
        <v>6000</v>
      </c>
      <c r="M2946" t="s">
        <v>2661</v>
      </c>
    </row>
    <row r="2947" spans="1:13">
      <c r="A2947" t="s">
        <v>1332</v>
      </c>
      <c r="B2947" t="s">
        <v>293</v>
      </c>
      <c r="C2947" s="8">
        <v>46018</v>
      </c>
      <c r="D2947" t="s">
        <v>344</v>
      </c>
      <c r="E2947" t="s">
        <v>337</v>
      </c>
      <c r="F2947" s="12">
        <v>177688</v>
      </c>
      <c r="G2947" s="13">
        <v>17</v>
      </c>
      <c r="H2947" t="s">
        <v>2680</v>
      </c>
      <c r="I2947" s="8">
        <v>46235</v>
      </c>
      <c r="J2947" t="s">
        <v>2665</v>
      </c>
      <c r="K2947" t="s">
        <v>2666</v>
      </c>
      <c r="L2947" s="13">
        <v>2500</v>
      </c>
      <c r="M2947" t="s">
        <v>2661</v>
      </c>
    </row>
    <row r="2948" spans="1:13">
      <c r="A2948" t="s">
        <v>1332</v>
      </c>
      <c r="B2948" t="s">
        <v>293</v>
      </c>
      <c r="C2948" s="8">
        <v>46018</v>
      </c>
      <c r="D2948" t="s">
        <v>344</v>
      </c>
      <c r="E2948" t="s">
        <v>337</v>
      </c>
      <c r="F2948" s="12">
        <v>177688</v>
      </c>
      <c r="G2948" s="13">
        <v>17</v>
      </c>
      <c r="H2948" t="s">
        <v>2795</v>
      </c>
      <c r="I2948" s="8">
        <v>45945</v>
      </c>
      <c r="J2948" t="s">
        <v>2663</v>
      </c>
      <c r="K2948" t="s">
        <v>3630</v>
      </c>
      <c r="L2948" s="13">
        <v>1500</v>
      </c>
      <c r="M2948" t="s">
        <v>2661</v>
      </c>
    </row>
    <row r="2949" spans="1:13">
      <c r="A2949" t="s">
        <v>1332</v>
      </c>
      <c r="B2949" t="s">
        <v>293</v>
      </c>
      <c r="C2949" s="8">
        <v>46018</v>
      </c>
      <c r="D2949" t="s">
        <v>344</v>
      </c>
      <c r="E2949" t="s">
        <v>337</v>
      </c>
      <c r="F2949" s="12">
        <v>177688</v>
      </c>
      <c r="G2949" s="13">
        <v>17</v>
      </c>
      <c r="H2949" t="s">
        <v>2977</v>
      </c>
      <c r="I2949" s="8">
        <v>46001</v>
      </c>
      <c r="J2949" t="s">
        <v>2659</v>
      </c>
      <c r="K2949" t="s">
        <v>2660</v>
      </c>
      <c r="L2949" s="13">
        <v>3500</v>
      </c>
      <c r="M2949" t="s">
        <v>2661</v>
      </c>
    </row>
    <row r="2950" spans="1:13">
      <c r="A2950" t="s">
        <v>1332</v>
      </c>
      <c r="B2950" t="s">
        <v>293</v>
      </c>
      <c r="C2950" s="8">
        <v>46018</v>
      </c>
      <c r="D2950" t="s">
        <v>344</v>
      </c>
      <c r="E2950" t="s">
        <v>337</v>
      </c>
      <c r="F2950" s="12">
        <v>177688</v>
      </c>
      <c r="G2950" s="13">
        <v>17</v>
      </c>
      <c r="H2950" t="s">
        <v>3042</v>
      </c>
      <c r="I2950" s="8">
        <v>45970</v>
      </c>
      <c r="J2950" t="s">
        <v>2682</v>
      </c>
      <c r="K2950" t="s">
        <v>2683</v>
      </c>
      <c r="L2950" s="13">
        <v>6000</v>
      </c>
      <c r="M2950" t="s">
        <v>2661</v>
      </c>
    </row>
    <row r="2951" spans="1:13">
      <c r="A2951" t="s">
        <v>1332</v>
      </c>
      <c r="B2951" t="s">
        <v>293</v>
      </c>
      <c r="C2951" s="8">
        <v>46018</v>
      </c>
      <c r="D2951" t="s">
        <v>344</v>
      </c>
      <c r="E2951" t="s">
        <v>337</v>
      </c>
      <c r="F2951" s="12">
        <v>177688</v>
      </c>
      <c r="G2951" s="13">
        <v>17</v>
      </c>
      <c r="H2951" t="s">
        <v>3354</v>
      </c>
      <c r="I2951" s="8">
        <v>45997</v>
      </c>
      <c r="J2951" t="s">
        <v>2659</v>
      </c>
      <c r="K2951" t="s">
        <v>2660</v>
      </c>
      <c r="L2951" s="13">
        <v>3500</v>
      </c>
      <c r="M2951" t="s">
        <v>2661</v>
      </c>
    </row>
    <row r="2952" spans="1:13">
      <c r="A2952" t="s">
        <v>1332</v>
      </c>
      <c r="B2952" t="s">
        <v>293</v>
      </c>
      <c r="C2952" s="8">
        <v>46018</v>
      </c>
      <c r="D2952" t="s">
        <v>344</v>
      </c>
      <c r="E2952" t="s">
        <v>337</v>
      </c>
      <c r="F2952" s="12">
        <v>177688</v>
      </c>
      <c r="G2952" s="13">
        <v>17</v>
      </c>
      <c r="H2952" t="s">
        <v>3448</v>
      </c>
      <c r="I2952" s="8">
        <v>46100</v>
      </c>
      <c r="J2952" t="s">
        <v>2668</v>
      </c>
      <c r="K2952" t="s">
        <v>2669</v>
      </c>
      <c r="L2952" s="13">
        <v>4000</v>
      </c>
      <c r="M2952" t="s">
        <v>2676</v>
      </c>
    </row>
    <row r="2953" spans="1:13">
      <c r="A2953" t="s">
        <v>1333</v>
      </c>
      <c r="B2953" t="s">
        <v>134</v>
      </c>
      <c r="C2953" s="8">
        <v>46209</v>
      </c>
      <c r="D2953" t="s">
        <v>332</v>
      </c>
      <c r="E2953" t="s">
        <v>328</v>
      </c>
      <c r="F2953" s="12">
        <v>347108</v>
      </c>
      <c r="G2953" s="13">
        <v>34</v>
      </c>
      <c r="H2953" t="s">
        <v>3183</v>
      </c>
      <c r="I2953" s="8">
        <v>46285</v>
      </c>
      <c r="J2953" t="s">
        <v>2663</v>
      </c>
      <c r="K2953" t="s">
        <v>3630</v>
      </c>
      <c r="L2953" s="13">
        <v>1500</v>
      </c>
      <c r="M2953" t="s">
        <v>2661</v>
      </c>
    </row>
    <row r="2954" spans="1:13">
      <c r="A2954" t="s">
        <v>1334</v>
      </c>
      <c r="B2954" t="s">
        <v>156</v>
      </c>
      <c r="C2954" s="8">
        <v>46183</v>
      </c>
      <c r="D2954" t="s">
        <v>350</v>
      </c>
      <c r="E2954" t="s">
        <v>337</v>
      </c>
      <c r="F2954" s="12">
        <v>39534</v>
      </c>
      <c r="G2954" s="13">
        <v>3</v>
      </c>
      <c r="H2954" t="s">
        <v>3301</v>
      </c>
      <c r="I2954" s="8">
        <v>46106</v>
      </c>
      <c r="J2954" t="s">
        <v>2674</v>
      </c>
      <c r="K2954" t="s">
        <v>2675</v>
      </c>
      <c r="L2954" s="13">
        <v>20000</v>
      </c>
      <c r="M2954" t="s">
        <v>2661</v>
      </c>
    </row>
    <row r="2955" spans="1:13">
      <c r="A2955" t="s">
        <v>1334</v>
      </c>
      <c r="B2955" t="s">
        <v>156</v>
      </c>
      <c r="C2955" s="8">
        <v>46183</v>
      </c>
      <c r="D2955" t="s">
        <v>350</v>
      </c>
      <c r="E2955" t="s">
        <v>337</v>
      </c>
      <c r="F2955" s="12">
        <v>39534</v>
      </c>
      <c r="G2955" s="13">
        <v>3</v>
      </c>
      <c r="H2955" t="s">
        <v>3309</v>
      </c>
      <c r="I2955" s="8">
        <v>46033</v>
      </c>
      <c r="J2955" t="s">
        <v>2692</v>
      </c>
      <c r="K2955" t="s">
        <v>2693</v>
      </c>
      <c r="L2955" s="13">
        <v>10000</v>
      </c>
      <c r="M2955" t="s">
        <v>2661</v>
      </c>
    </row>
    <row r="2956" spans="1:13">
      <c r="A2956" t="s">
        <v>1335</v>
      </c>
      <c r="B2956" t="s">
        <v>292</v>
      </c>
      <c r="C2956" s="8">
        <v>46085</v>
      </c>
      <c r="D2956" t="s">
        <v>344</v>
      </c>
      <c r="E2956" t="s">
        <v>322</v>
      </c>
      <c r="F2956" s="12">
        <v>167472</v>
      </c>
      <c r="G2956" s="13">
        <v>16</v>
      </c>
      <c r="H2956" t="s">
        <v>2945</v>
      </c>
      <c r="I2956" s="8">
        <v>46180</v>
      </c>
      <c r="J2956" t="s">
        <v>2663</v>
      </c>
      <c r="K2956" t="s">
        <v>3630</v>
      </c>
      <c r="L2956" s="13">
        <v>1500</v>
      </c>
      <c r="M2956" t="s">
        <v>2661</v>
      </c>
    </row>
    <row r="2957" spans="1:13">
      <c r="A2957" t="s">
        <v>1335</v>
      </c>
      <c r="B2957" t="s">
        <v>292</v>
      </c>
      <c r="C2957" s="8">
        <v>46085</v>
      </c>
      <c r="D2957" t="s">
        <v>344</v>
      </c>
      <c r="E2957" t="s">
        <v>322</v>
      </c>
      <c r="F2957" s="12">
        <v>167472</v>
      </c>
      <c r="G2957" s="13">
        <v>16</v>
      </c>
      <c r="H2957" t="s">
        <v>3229</v>
      </c>
      <c r="I2957" s="8">
        <v>46149</v>
      </c>
      <c r="J2957" t="s">
        <v>2692</v>
      </c>
      <c r="K2957" t="s">
        <v>2693</v>
      </c>
      <c r="L2957" s="13">
        <v>10000</v>
      </c>
      <c r="M2957" t="s">
        <v>2661</v>
      </c>
    </row>
    <row r="2958" spans="1:13">
      <c r="A2958" t="s">
        <v>1336</v>
      </c>
      <c r="B2958" t="s">
        <v>65</v>
      </c>
      <c r="C2958" s="8">
        <v>46128</v>
      </c>
      <c r="D2958" t="s">
        <v>321</v>
      </c>
      <c r="E2958" t="s">
        <v>339</v>
      </c>
      <c r="F2958" s="12">
        <v>160644</v>
      </c>
      <c r="G2958" s="13">
        <v>16</v>
      </c>
      <c r="H2958" t="s">
        <v>2801</v>
      </c>
      <c r="I2958" s="8">
        <v>46162</v>
      </c>
      <c r="J2958" t="s">
        <v>2688</v>
      </c>
      <c r="K2958" t="s">
        <v>2689</v>
      </c>
      <c r="L2958" s="13">
        <v>8000</v>
      </c>
      <c r="M2958" t="s">
        <v>2661</v>
      </c>
    </row>
    <row r="2959" spans="1:13">
      <c r="A2959" t="s">
        <v>1336</v>
      </c>
      <c r="B2959" t="s">
        <v>65</v>
      </c>
      <c r="C2959" s="8">
        <v>46128</v>
      </c>
      <c r="D2959" t="s">
        <v>321</v>
      </c>
      <c r="E2959" t="s">
        <v>339</v>
      </c>
      <c r="F2959" s="12">
        <v>160644</v>
      </c>
      <c r="G2959" s="13">
        <v>16</v>
      </c>
      <c r="H2959" t="s">
        <v>2826</v>
      </c>
      <c r="I2959" s="8">
        <v>46147</v>
      </c>
      <c r="J2959" t="s">
        <v>2674</v>
      </c>
      <c r="K2959" t="s">
        <v>2675</v>
      </c>
      <c r="L2959" s="13">
        <v>20000</v>
      </c>
      <c r="M2959" t="s">
        <v>2661</v>
      </c>
    </row>
    <row r="2960" spans="1:13">
      <c r="A2960" t="s">
        <v>1336</v>
      </c>
      <c r="B2960" t="s">
        <v>65</v>
      </c>
      <c r="C2960" s="8">
        <v>46128</v>
      </c>
      <c r="D2960" t="s">
        <v>321</v>
      </c>
      <c r="E2960" t="s">
        <v>339</v>
      </c>
      <c r="F2960" s="12">
        <v>160644</v>
      </c>
      <c r="G2960" s="13">
        <v>16</v>
      </c>
      <c r="H2960" t="s">
        <v>3124</v>
      </c>
      <c r="I2960" s="8">
        <v>46278</v>
      </c>
      <c r="J2960" t="s">
        <v>2674</v>
      </c>
      <c r="K2960" t="s">
        <v>2675</v>
      </c>
      <c r="L2960" s="13">
        <v>20000</v>
      </c>
      <c r="M2960" t="s">
        <v>2661</v>
      </c>
    </row>
    <row r="2961" spans="1:13">
      <c r="A2961" t="s">
        <v>1336</v>
      </c>
      <c r="B2961" t="s">
        <v>65</v>
      </c>
      <c r="C2961" s="8">
        <v>46128</v>
      </c>
      <c r="D2961" t="s">
        <v>321</v>
      </c>
      <c r="E2961" t="s">
        <v>339</v>
      </c>
      <c r="F2961" s="12">
        <v>160644</v>
      </c>
      <c r="G2961" s="13">
        <v>16</v>
      </c>
      <c r="H2961" t="s">
        <v>3167</v>
      </c>
      <c r="I2961" s="8">
        <v>46013</v>
      </c>
      <c r="J2961" t="s">
        <v>2685</v>
      </c>
      <c r="K2961" t="s">
        <v>2686</v>
      </c>
      <c r="L2961" s="13">
        <v>5000</v>
      </c>
      <c r="M2961" t="s">
        <v>2676</v>
      </c>
    </row>
    <row r="2962" spans="1:13">
      <c r="A2962" t="s">
        <v>1336</v>
      </c>
      <c r="B2962" t="s">
        <v>65</v>
      </c>
      <c r="C2962" s="8">
        <v>46128</v>
      </c>
      <c r="D2962" t="s">
        <v>321</v>
      </c>
      <c r="E2962" t="s">
        <v>339</v>
      </c>
      <c r="F2962" s="12">
        <v>160644</v>
      </c>
      <c r="G2962" s="13">
        <v>16</v>
      </c>
      <c r="H2962" t="s">
        <v>3344</v>
      </c>
      <c r="I2962" s="8">
        <v>45982</v>
      </c>
      <c r="J2962" t="s">
        <v>2668</v>
      </c>
      <c r="K2962" t="s">
        <v>2669</v>
      </c>
      <c r="L2962" s="13">
        <v>4000</v>
      </c>
      <c r="M2962" t="s">
        <v>2661</v>
      </c>
    </row>
    <row r="2963" spans="1:13">
      <c r="A2963" t="s">
        <v>1337</v>
      </c>
      <c r="B2963" t="s">
        <v>274</v>
      </c>
      <c r="C2963" s="8">
        <v>46142</v>
      </c>
      <c r="D2963" t="s">
        <v>330</v>
      </c>
      <c r="E2963" t="s">
        <v>325</v>
      </c>
      <c r="F2963" s="12">
        <v>210528</v>
      </c>
      <c r="G2963" s="13">
        <v>21</v>
      </c>
      <c r="H2963" t="s">
        <v>2774</v>
      </c>
      <c r="I2963" s="8">
        <v>46157</v>
      </c>
      <c r="J2963" t="s">
        <v>2685</v>
      </c>
      <c r="K2963" t="s">
        <v>2686</v>
      </c>
      <c r="L2963" s="13">
        <v>5000</v>
      </c>
      <c r="M2963" t="s">
        <v>2661</v>
      </c>
    </row>
    <row r="2964" spans="1:13">
      <c r="A2964" t="s">
        <v>1337</v>
      </c>
      <c r="B2964" t="s">
        <v>274</v>
      </c>
      <c r="C2964" s="8">
        <v>46142</v>
      </c>
      <c r="D2964" t="s">
        <v>330</v>
      </c>
      <c r="E2964" t="s">
        <v>325</v>
      </c>
      <c r="F2964" s="12">
        <v>210528</v>
      </c>
      <c r="G2964" s="13">
        <v>21</v>
      </c>
      <c r="H2964" t="s">
        <v>2811</v>
      </c>
      <c r="I2964" s="8">
        <v>45976</v>
      </c>
      <c r="J2964" t="s">
        <v>2688</v>
      </c>
      <c r="K2964" t="s">
        <v>2689</v>
      </c>
      <c r="L2964" s="13">
        <v>8000</v>
      </c>
      <c r="M2964" t="s">
        <v>2661</v>
      </c>
    </row>
    <row r="2965" spans="1:13">
      <c r="A2965" t="s">
        <v>1337</v>
      </c>
      <c r="B2965" t="s">
        <v>274</v>
      </c>
      <c r="C2965" s="8">
        <v>46142</v>
      </c>
      <c r="D2965" t="s">
        <v>330</v>
      </c>
      <c r="E2965" t="s">
        <v>325</v>
      </c>
      <c r="F2965" s="12">
        <v>210528</v>
      </c>
      <c r="G2965" s="13">
        <v>21</v>
      </c>
      <c r="H2965" t="s">
        <v>2842</v>
      </c>
      <c r="I2965" s="8">
        <v>46222</v>
      </c>
      <c r="J2965" t="s">
        <v>2682</v>
      </c>
      <c r="K2965" t="s">
        <v>2683</v>
      </c>
      <c r="L2965" s="13">
        <v>6000</v>
      </c>
      <c r="M2965" t="s">
        <v>2661</v>
      </c>
    </row>
    <row r="2966" spans="1:13">
      <c r="A2966" t="s">
        <v>1337</v>
      </c>
      <c r="B2966" t="s">
        <v>274</v>
      </c>
      <c r="C2966" s="8">
        <v>46142</v>
      </c>
      <c r="D2966" t="s">
        <v>330</v>
      </c>
      <c r="E2966" t="s">
        <v>325</v>
      </c>
      <c r="F2966" s="12">
        <v>210528</v>
      </c>
      <c r="G2966" s="13">
        <v>21</v>
      </c>
      <c r="H2966" t="s">
        <v>2855</v>
      </c>
      <c r="I2966" s="8">
        <v>46132</v>
      </c>
      <c r="J2966" t="s">
        <v>2688</v>
      </c>
      <c r="K2966" t="s">
        <v>2689</v>
      </c>
      <c r="L2966" s="13">
        <v>8000</v>
      </c>
      <c r="M2966" t="s">
        <v>2661</v>
      </c>
    </row>
    <row r="2967" spans="1:13">
      <c r="A2967" t="s">
        <v>1337</v>
      </c>
      <c r="B2967" t="s">
        <v>274</v>
      </c>
      <c r="C2967" s="8">
        <v>46142</v>
      </c>
      <c r="D2967" t="s">
        <v>330</v>
      </c>
      <c r="E2967" t="s">
        <v>325</v>
      </c>
      <c r="F2967" s="12">
        <v>210528</v>
      </c>
      <c r="G2967" s="13">
        <v>21</v>
      </c>
      <c r="H2967" t="s">
        <v>3433</v>
      </c>
      <c r="I2967" s="8">
        <v>46038</v>
      </c>
      <c r="J2967" t="s">
        <v>2692</v>
      </c>
      <c r="K2967" t="s">
        <v>2693</v>
      </c>
      <c r="L2967" s="13">
        <v>10000</v>
      </c>
      <c r="M2967" t="s">
        <v>2661</v>
      </c>
    </row>
    <row r="2968" spans="1:13">
      <c r="A2968" t="s">
        <v>1337</v>
      </c>
      <c r="B2968" t="s">
        <v>274</v>
      </c>
      <c r="C2968" s="8">
        <v>46142</v>
      </c>
      <c r="D2968" t="s">
        <v>330</v>
      </c>
      <c r="E2968" t="s">
        <v>325</v>
      </c>
      <c r="F2968" s="12">
        <v>210528</v>
      </c>
      <c r="G2968" s="13">
        <v>21</v>
      </c>
      <c r="H2968" t="s">
        <v>3488</v>
      </c>
      <c r="I2968" s="8">
        <v>46057</v>
      </c>
      <c r="J2968" t="s">
        <v>2665</v>
      </c>
      <c r="K2968" t="s">
        <v>2666</v>
      </c>
      <c r="L2968" s="13">
        <v>2500</v>
      </c>
      <c r="M2968" t="s">
        <v>2676</v>
      </c>
    </row>
    <row r="2969" spans="1:13">
      <c r="A2969" t="s">
        <v>1338</v>
      </c>
      <c r="B2969" t="s">
        <v>88</v>
      </c>
      <c r="C2969" s="8">
        <v>46266</v>
      </c>
      <c r="D2969" t="s">
        <v>327</v>
      </c>
      <c r="E2969" t="s">
        <v>334</v>
      </c>
      <c r="F2969" s="12">
        <v>308501</v>
      </c>
      <c r="G2969" s="13">
        <v>30</v>
      </c>
      <c r="H2969" t="s">
        <v>2726</v>
      </c>
      <c r="I2969" s="8">
        <v>46247</v>
      </c>
      <c r="J2969" t="s">
        <v>2668</v>
      </c>
      <c r="K2969" t="s">
        <v>2669</v>
      </c>
      <c r="L2969" s="13">
        <v>4000</v>
      </c>
      <c r="M2969" t="s">
        <v>2661</v>
      </c>
    </row>
    <row r="2970" spans="1:13">
      <c r="A2970" t="s">
        <v>1339</v>
      </c>
      <c r="B2970" t="s">
        <v>8</v>
      </c>
      <c r="C2970" s="8">
        <v>46061</v>
      </c>
      <c r="D2970" t="s">
        <v>344</v>
      </c>
      <c r="E2970" t="s">
        <v>325</v>
      </c>
      <c r="F2970" s="12">
        <v>442942</v>
      </c>
      <c r="G2970" s="13">
        <v>44</v>
      </c>
      <c r="H2970" t="s">
        <v>3033</v>
      </c>
      <c r="I2970" s="8">
        <v>46098</v>
      </c>
      <c r="J2970" t="s">
        <v>2659</v>
      </c>
      <c r="K2970" t="s">
        <v>2660</v>
      </c>
      <c r="L2970" s="13">
        <v>3500</v>
      </c>
      <c r="M2970" t="s">
        <v>2676</v>
      </c>
    </row>
    <row r="2971" spans="1:13">
      <c r="A2971" t="s">
        <v>1339</v>
      </c>
      <c r="B2971" t="s">
        <v>8</v>
      </c>
      <c r="C2971" s="8">
        <v>46061</v>
      </c>
      <c r="D2971" t="s">
        <v>344</v>
      </c>
      <c r="E2971" t="s">
        <v>325</v>
      </c>
      <c r="F2971" s="12">
        <v>442942</v>
      </c>
      <c r="G2971" s="13">
        <v>44</v>
      </c>
      <c r="H2971" t="s">
        <v>3159</v>
      </c>
      <c r="I2971" s="8">
        <v>46079</v>
      </c>
      <c r="J2971" t="s">
        <v>2659</v>
      </c>
      <c r="K2971" t="s">
        <v>2660</v>
      </c>
      <c r="L2971" s="13">
        <v>3500</v>
      </c>
      <c r="M2971" t="s">
        <v>2661</v>
      </c>
    </row>
    <row r="2972" spans="1:13">
      <c r="A2972" t="s">
        <v>1339</v>
      </c>
      <c r="B2972" t="s">
        <v>8</v>
      </c>
      <c r="C2972" s="8">
        <v>46061</v>
      </c>
      <c r="D2972" t="s">
        <v>344</v>
      </c>
      <c r="E2972" t="s">
        <v>325</v>
      </c>
      <c r="F2972" s="12">
        <v>442942</v>
      </c>
      <c r="G2972" s="13">
        <v>44</v>
      </c>
      <c r="H2972" t="s">
        <v>3184</v>
      </c>
      <c r="I2972" s="8">
        <v>46261</v>
      </c>
      <c r="J2972" t="s">
        <v>2685</v>
      </c>
      <c r="K2972" t="s">
        <v>2686</v>
      </c>
      <c r="L2972" s="13">
        <v>5000</v>
      </c>
      <c r="M2972" t="s">
        <v>2661</v>
      </c>
    </row>
    <row r="2973" spans="1:13">
      <c r="A2973" t="s">
        <v>1339</v>
      </c>
      <c r="B2973" t="s">
        <v>8</v>
      </c>
      <c r="C2973" s="8">
        <v>46061</v>
      </c>
      <c r="D2973" t="s">
        <v>344</v>
      </c>
      <c r="E2973" t="s">
        <v>325</v>
      </c>
      <c r="F2973" s="12">
        <v>442942</v>
      </c>
      <c r="G2973" s="13">
        <v>44</v>
      </c>
      <c r="H2973" t="s">
        <v>3303</v>
      </c>
      <c r="I2973" s="8">
        <v>46196</v>
      </c>
      <c r="J2973" t="s">
        <v>2682</v>
      </c>
      <c r="K2973" t="s">
        <v>2683</v>
      </c>
      <c r="L2973" s="13">
        <v>6000</v>
      </c>
      <c r="M2973" t="s">
        <v>2676</v>
      </c>
    </row>
    <row r="2974" spans="1:13">
      <c r="A2974" t="s">
        <v>1339</v>
      </c>
      <c r="B2974" t="s">
        <v>8</v>
      </c>
      <c r="C2974" s="8">
        <v>46061</v>
      </c>
      <c r="D2974" t="s">
        <v>344</v>
      </c>
      <c r="E2974" t="s">
        <v>325</v>
      </c>
      <c r="F2974" s="12">
        <v>442942</v>
      </c>
      <c r="G2974" s="13">
        <v>44</v>
      </c>
      <c r="H2974" t="s">
        <v>3353</v>
      </c>
      <c r="I2974" s="8">
        <v>45991</v>
      </c>
      <c r="J2974" t="s">
        <v>2659</v>
      </c>
      <c r="K2974" t="s">
        <v>2660</v>
      </c>
      <c r="L2974" s="13">
        <v>3500</v>
      </c>
      <c r="M2974" t="s">
        <v>2661</v>
      </c>
    </row>
    <row r="2975" spans="1:13">
      <c r="A2975" t="s">
        <v>1340</v>
      </c>
      <c r="B2975" t="s">
        <v>294</v>
      </c>
      <c r="C2975" s="8">
        <v>46004</v>
      </c>
      <c r="D2975" t="s">
        <v>332</v>
      </c>
      <c r="E2975" t="s">
        <v>325</v>
      </c>
      <c r="F2975" s="12">
        <v>318241</v>
      </c>
      <c r="G2975" s="13">
        <v>31</v>
      </c>
      <c r="H2975" t="s">
        <v>3571</v>
      </c>
      <c r="I2975" s="8">
        <v>45937</v>
      </c>
      <c r="J2975" t="s">
        <v>2663</v>
      </c>
      <c r="K2975" t="s">
        <v>3630</v>
      </c>
      <c r="L2975" s="13">
        <v>1500</v>
      </c>
      <c r="M2975" t="s">
        <v>2661</v>
      </c>
    </row>
    <row r="2976" spans="1:13">
      <c r="A2976" t="s">
        <v>1340</v>
      </c>
      <c r="B2976" t="s">
        <v>294</v>
      </c>
      <c r="C2976" s="8">
        <v>46004</v>
      </c>
      <c r="D2976" t="s">
        <v>332</v>
      </c>
      <c r="E2976" t="s">
        <v>325</v>
      </c>
      <c r="F2976" s="12">
        <v>318241</v>
      </c>
      <c r="G2976" s="13">
        <v>31</v>
      </c>
      <c r="H2976" t="s">
        <v>3572</v>
      </c>
      <c r="I2976" s="8">
        <v>46039</v>
      </c>
      <c r="J2976" t="s">
        <v>2668</v>
      </c>
      <c r="K2976" t="s">
        <v>2669</v>
      </c>
      <c r="L2976" s="13">
        <v>4000</v>
      </c>
      <c r="M2976" t="s">
        <v>2661</v>
      </c>
    </row>
    <row r="2977" spans="1:13">
      <c r="A2977" t="s">
        <v>1341</v>
      </c>
      <c r="B2977" t="s">
        <v>82</v>
      </c>
      <c r="C2977" s="8">
        <v>45988</v>
      </c>
      <c r="D2977" t="s">
        <v>344</v>
      </c>
      <c r="E2977" t="s">
        <v>337</v>
      </c>
      <c r="F2977" s="12">
        <v>192744</v>
      </c>
      <c r="G2977" s="13">
        <v>19</v>
      </c>
      <c r="H2977" t="s">
        <v>3207</v>
      </c>
      <c r="I2977" s="8">
        <v>46183</v>
      </c>
      <c r="J2977" t="s">
        <v>2665</v>
      </c>
      <c r="K2977" t="s">
        <v>2666</v>
      </c>
      <c r="L2977" s="13">
        <v>2500</v>
      </c>
      <c r="M2977" t="s">
        <v>2661</v>
      </c>
    </row>
    <row r="2978" spans="1:13">
      <c r="A2978" t="s">
        <v>1342</v>
      </c>
      <c r="B2978" t="s">
        <v>88</v>
      </c>
      <c r="C2978" s="8">
        <v>46048</v>
      </c>
      <c r="D2978" t="s">
        <v>332</v>
      </c>
      <c r="E2978" t="s">
        <v>339</v>
      </c>
      <c r="F2978" s="12">
        <v>375871</v>
      </c>
      <c r="G2978" s="13">
        <v>37</v>
      </c>
      <c r="H2978" t="s">
        <v>2726</v>
      </c>
      <c r="I2978" s="8">
        <v>46247</v>
      </c>
      <c r="J2978" t="s">
        <v>2668</v>
      </c>
      <c r="K2978" t="s">
        <v>2669</v>
      </c>
      <c r="L2978" s="13">
        <v>4000</v>
      </c>
      <c r="M2978" t="s">
        <v>2661</v>
      </c>
    </row>
    <row r="2979" spans="1:13">
      <c r="A2979" t="s">
        <v>1343</v>
      </c>
      <c r="B2979" t="s">
        <v>76</v>
      </c>
      <c r="C2979" s="8">
        <v>46163</v>
      </c>
      <c r="D2979" t="s">
        <v>327</v>
      </c>
      <c r="E2979" t="s">
        <v>325</v>
      </c>
      <c r="F2979" s="12">
        <v>755944</v>
      </c>
      <c r="G2979" s="13">
        <v>75</v>
      </c>
      <c r="H2979" t="s">
        <v>3181</v>
      </c>
      <c r="I2979" s="8">
        <v>46166</v>
      </c>
      <c r="J2979" t="s">
        <v>2674</v>
      </c>
      <c r="K2979" t="s">
        <v>2675</v>
      </c>
      <c r="L2979" s="13">
        <v>20000</v>
      </c>
      <c r="M2979" t="s">
        <v>2676</v>
      </c>
    </row>
    <row r="2980" spans="1:13">
      <c r="A2980" t="s">
        <v>1343</v>
      </c>
      <c r="B2980" t="s">
        <v>76</v>
      </c>
      <c r="C2980" s="8">
        <v>46163</v>
      </c>
      <c r="D2980" t="s">
        <v>327</v>
      </c>
      <c r="E2980" t="s">
        <v>325</v>
      </c>
      <c r="F2980" s="12">
        <v>755944</v>
      </c>
      <c r="G2980" s="13">
        <v>75</v>
      </c>
      <c r="H2980" t="s">
        <v>3261</v>
      </c>
      <c r="I2980" s="8">
        <v>45948</v>
      </c>
      <c r="J2980" t="s">
        <v>2665</v>
      </c>
      <c r="K2980" t="s">
        <v>2666</v>
      </c>
      <c r="L2980" s="13">
        <v>2500</v>
      </c>
      <c r="M2980" t="s">
        <v>2661</v>
      </c>
    </row>
    <row r="2981" spans="1:13">
      <c r="A2981" t="s">
        <v>1343</v>
      </c>
      <c r="B2981" t="s">
        <v>76</v>
      </c>
      <c r="C2981" s="8">
        <v>46163</v>
      </c>
      <c r="D2981" t="s">
        <v>327</v>
      </c>
      <c r="E2981" t="s">
        <v>325</v>
      </c>
      <c r="F2981" s="12">
        <v>755944</v>
      </c>
      <c r="G2981" s="13">
        <v>75</v>
      </c>
      <c r="H2981" t="s">
        <v>3346</v>
      </c>
      <c r="I2981" s="8">
        <v>46125</v>
      </c>
      <c r="J2981" t="s">
        <v>2671</v>
      </c>
      <c r="K2981" t="s">
        <v>2672</v>
      </c>
      <c r="L2981" s="13">
        <v>3000</v>
      </c>
      <c r="M2981" t="s">
        <v>2661</v>
      </c>
    </row>
    <row r="2982" spans="1:13">
      <c r="A2982" t="s">
        <v>1343</v>
      </c>
      <c r="B2982" t="s">
        <v>76</v>
      </c>
      <c r="C2982" s="8">
        <v>46163</v>
      </c>
      <c r="D2982" t="s">
        <v>327</v>
      </c>
      <c r="E2982" t="s">
        <v>325</v>
      </c>
      <c r="F2982" s="12">
        <v>755944</v>
      </c>
      <c r="G2982" s="13">
        <v>75</v>
      </c>
      <c r="H2982" t="s">
        <v>3451</v>
      </c>
      <c r="I2982" s="8">
        <v>46131</v>
      </c>
      <c r="J2982" t="s">
        <v>2671</v>
      </c>
      <c r="K2982" t="s">
        <v>2672</v>
      </c>
      <c r="L2982" s="13">
        <v>3000</v>
      </c>
      <c r="M2982" t="s">
        <v>2661</v>
      </c>
    </row>
    <row r="2983" spans="1:13">
      <c r="A2983" t="s">
        <v>1343</v>
      </c>
      <c r="B2983" t="s">
        <v>76</v>
      </c>
      <c r="C2983" s="8">
        <v>46163</v>
      </c>
      <c r="D2983" t="s">
        <v>327</v>
      </c>
      <c r="E2983" t="s">
        <v>325</v>
      </c>
      <c r="F2983" s="12">
        <v>755944</v>
      </c>
      <c r="G2983" s="13">
        <v>75</v>
      </c>
      <c r="H2983" t="s">
        <v>3505</v>
      </c>
      <c r="I2983" s="8">
        <v>46071</v>
      </c>
      <c r="J2983" t="s">
        <v>2692</v>
      </c>
      <c r="K2983" t="s">
        <v>2693</v>
      </c>
      <c r="L2983" s="13">
        <v>10000</v>
      </c>
      <c r="M2983" t="s">
        <v>2676</v>
      </c>
    </row>
    <row r="2984" spans="1:13">
      <c r="A2984" t="s">
        <v>1344</v>
      </c>
      <c r="B2984" t="s">
        <v>290</v>
      </c>
      <c r="C2984" s="8">
        <v>46286</v>
      </c>
      <c r="D2984" t="s">
        <v>350</v>
      </c>
      <c r="E2984" t="s">
        <v>337</v>
      </c>
      <c r="F2984" s="12">
        <v>366453</v>
      </c>
      <c r="G2984" s="13">
        <v>36</v>
      </c>
      <c r="H2984" t="s">
        <v>3253</v>
      </c>
      <c r="I2984" s="8">
        <v>46053</v>
      </c>
      <c r="J2984" t="s">
        <v>2688</v>
      </c>
      <c r="K2984" t="s">
        <v>2689</v>
      </c>
      <c r="L2984" s="13">
        <v>8000</v>
      </c>
      <c r="M2984" t="s">
        <v>2661</v>
      </c>
    </row>
    <row r="2985" spans="1:13">
      <c r="A2985" t="s">
        <v>1344</v>
      </c>
      <c r="B2985" t="s">
        <v>290</v>
      </c>
      <c r="C2985" s="8">
        <v>46286</v>
      </c>
      <c r="D2985" t="s">
        <v>350</v>
      </c>
      <c r="E2985" t="s">
        <v>337</v>
      </c>
      <c r="F2985" s="12">
        <v>366453</v>
      </c>
      <c r="G2985" s="13">
        <v>36</v>
      </c>
      <c r="H2985" t="s">
        <v>3256</v>
      </c>
      <c r="I2985" s="8">
        <v>45968</v>
      </c>
      <c r="J2985" t="s">
        <v>2688</v>
      </c>
      <c r="K2985" t="s">
        <v>2689</v>
      </c>
      <c r="L2985" s="13">
        <v>8000</v>
      </c>
      <c r="M2985" t="s">
        <v>2676</v>
      </c>
    </row>
    <row r="2986" spans="1:13">
      <c r="A2986" t="s">
        <v>1345</v>
      </c>
      <c r="B2986" t="s">
        <v>93</v>
      </c>
      <c r="C2986" s="8">
        <v>46182</v>
      </c>
      <c r="D2986" t="s">
        <v>330</v>
      </c>
      <c r="E2986" t="s">
        <v>334</v>
      </c>
      <c r="F2986" s="12">
        <v>340238</v>
      </c>
      <c r="G2986" s="13">
        <v>34</v>
      </c>
      <c r="H2986" t="s">
        <v>2662</v>
      </c>
      <c r="I2986" s="8">
        <v>46253</v>
      </c>
      <c r="J2986" t="s">
        <v>2663</v>
      </c>
      <c r="K2986" t="s">
        <v>3630</v>
      </c>
      <c r="L2986" s="13">
        <v>1500</v>
      </c>
      <c r="M2986" t="s">
        <v>2661</v>
      </c>
    </row>
    <row r="2987" spans="1:13">
      <c r="A2987" t="s">
        <v>1345</v>
      </c>
      <c r="B2987" t="s">
        <v>93</v>
      </c>
      <c r="C2987" s="8">
        <v>46182</v>
      </c>
      <c r="D2987" t="s">
        <v>330</v>
      </c>
      <c r="E2987" t="s">
        <v>334</v>
      </c>
      <c r="F2987" s="12">
        <v>340238</v>
      </c>
      <c r="G2987" s="13">
        <v>34</v>
      </c>
      <c r="H2987" t="s">
        <v>2968</v>
      </c>
      <c r="I2987" s="8">
        <v>45934</v>
      </c>
      <c r="J2987" t="s">
        <v>2659</v>
      </c>
      <c r="K2987" t="s">
        <v>2660</v>
      </c>
      <c r="L2987" s="13">
        <v>3500</v>
      </c>
      <c r="M2987" t="s">
        <v>2661</v>
      </c>
    </row>
    <row r="2988" spans="1:13">
      <c r="A2988" t="s">
        <v>1345</v>
      </c>
      <c r="B2988" t="s">
        <v>93</v>
      </c>
      <c r="C2988" s="8">
        <v>46182</v>
      </c>
      <c r="D2988" t="s">
        <v>330</v>
      </c>
      <c r="E2988" t="s">
        <v>334</v>
      </c>
      <c r="F2988" s="12">
        <v>340238</v>
      </c>
      <c r="G2988" s="13">
        <v>34</v>
      </c>
      <c r="H2988" t="s">
        <v>3086</v>
      </c>
      <c r="I2988" s="8">
        <v>46007</v>
      </c>
      <c r="J2988" t="s">
        <v>2663</v>
      </c>
      <c r="K2988" t="s">
        <v>3630</v>
      </c>
      <c r="L2988" s="13">
        <v>1500</v>
      </c>
      <c r="M2988" t="s">
        <v>2661</v>
      </c>
    </row>
    <row r="2989" spans="1:13">
      <c r="A2989" t="s">
        <v>1345</v>
      </c>
      <c r="B2989" t="s">
        <v>93</v>
      </c>
      <c r="C2989" s="8">
        <v>46182</v>
      </c>
      <c r="D2989" t="s">
        <v>330</v>
      </c>
      <c r="E2989" t="s">
        <v>334</v>
      </c>
      <c r="F2989" s="12">
        <v>340238</v>
      </c>
      <c r="G2989" s="13">
        <v>34</v>
      </c>
      <c r="H2989" t="s">
        <v>3194</v>
      </c>
      <c r="I2989" s="8">
        <v>46275</v>
      </c>
      <c r="J2989" t="s">
        <v>2674</v>
      </c>
      <c r="K2989" t="s">
        <v>2675</v>
      </c>
      <c r="L2989" s="13">
        <v>20000</v>
      </c>
      <c r="M2989" t="s">
        <v>2661</v>
      </c>
    </row>
    <row r="2990" spans="1:13">
      <c r="A2990" t="s">
        <v>1345</v>
      </c>
      <c r="B2990" t="s">
        <v>93</v>
      </c>
      <c r="C2990" s="8">
        <v>46182</v>
      </c>
      <c r="D2990" t="s">
        <v>330</v>
      </c>
      <c r="E2990" t="s">
        <v>334</v>
      </c>
      <c r="F2990" s="12">
        <v>340238</v>
      </c>
      <c r="G2990" s="13">
        <v>34</v>
      </c>
      <c r="H2990" t="s">
        <v>3282</v>
      </c>
      <c r="I2990" s="8">
        <v>46029</v>
      </c>
      <c r="J2990" t="s">
        <v>2665</v>
      </c>
      <c r="K2990" t="s">
        <v>2666</v>
      </c>
      <c r="L2990" s="13">
        <v>2500</v>
      </c>
      <c r="M2990" t="s">
        <v>2661</v>
      </c>
    </row>
    <row r="2991" spans="1:13">
      <c r="A2991" t="s">
        <v>1345</v>
      </c>
      <c r="B2991" t="s">
        <v>93</v>
      </c>
      <c r="C2991" s="8">
        <v>46182</v>
      </c>
      <c r="D2991" t="s">
        <v>330</v>
      </c>
      <c r="E2991" t="s">
        <v>334</v>
      </c>
      <c r="F2991" s="12">
        <v>340238</v>
      </c>
      <c r="G2991" s="13">
        <v>34</v>
      </c>
      <c r="H2991" t="s">
        <v>3551</v>
      </c>
      <c r="I2991" s="8">
        <v>46033</v>
      </c>
      <c r="J2991" t="s">
        <v>2692</v>
      </c>
      <c r="K2991" t="s">
        <v>2693</v>
      </c>
      <c r="L2991" s="13">
        <v>10000</v>
      </c>
      <c r="M2991" t="s">
        <v>2661</v>
      </c>
    </row>
    <row r="2992" spans="1:13">
      <c r="A2992" t="s">
        <v>1346</v>
      </c>
      <c r="B2992" t="s">
        <v>23</v>
      </c>
      <c r="C2992" s="8">
        <v>46176</v>
      </c>
      <c r="D2992" t="s">
        <v>332</v>
      </c>
      <c r="E2992" t="s">
        <v>325</v>
      </c>
      <c r="F2992" s="12">
        <v>516078</v>
      </c>
      <c r="G2992" s="13">
        <v>51</v>
      </c>
      <c r="H2992" t="s">
        <v>2807</v>
      </c>
      <c r="I2992" s="8">
        <v>46239</v>
      </c>
      <c r="J2992" t="s">
        <v>2663</v>
      </c>
      <c r="K2992" t="s">
        <v>3630</v>
      </c>
      <c r="L2992" s="13">
        <v>1500</v>
      </c>
      <c r="M2992" t="s">
        <v>2661</v>
      </c>
    </row>
    <row r="2993" spans="1:13">
      <c r="A2993" t="s">
        <v>1346</v>
      </c>
      <c r="B2993" t="s">
        <v>23</v>
      </c>
      <c r="C2993" s="8">
        <v>46176</v>
      </c>
      <c r="D2993" t="s">
        <v>332</v>
      </c>
      <c r="E2993" t="s">
        <v>325</v>
      </c>
      <c r="F2993" s="12">
        <v>516078</v>
      </c>
      <c r="G2993" s="13">
        <v>51</v>
      </c>
      <c r="H2993" t="s">
        <v>2846</v>
      </c>
      <c r="I2993" s="8">
        <v>46148</v>
      </c>
      <c r="J2993" t="s">
        <v>2685</v>
      </c>
      <c r="K2993" t="s">
        <v>2686</v>
      </c>
      <c r="L2993" s="13">
        <v>5000</v>
      </c>
      <c r="M2993" t="s">
        <v>2661</v>
      </c>
    </row>
    <row r="2994" spans="1:13">
      <c r="A2994" t="s">
        <v>1346</v>
      </c>
      <c r="B2994" t="s">
        <v>23</v>
      </c>
      <c r="C2994" s="8">
        <v>46176</v>
      </c>
      <c r="D2994" t="s">
        <v>332</v>
      </c>
      <c r="E2994" t="s">
        <v>325</v>
      </c>
      <c r="F2994" s="12">
        <v>516078</v>
      </c>
      <c r="G2994" s="13">
        <v>51</v>
      </c>
      <c r="H2994" t="s">
        <v>2872</v>
      </c>
      <c r="I2994" s="8">
        <v>46180</v>
      </c>
      <c r="J2994" t="s">
        <v>2659</v>
      </c>
      <c r="K2994" t="s">
        <v>2660</v>
      </c>
      <c r="L2994" s="13">
        <v>3500</v>
      </c>
      <c r="M2994" t="s">
        <v>2661</v>
      </c>
    </row>
    <row r="2995" spans="1:13">
      <c r="A2995" t="s">
        <v>1346</v>
      </c>
      <c r="B2995" t="s">
        <v>23</v>
      </c>
      <c r="C2995" s="8">
        <v>46176</v>
      </c>
      <c r="D2995" t="s">
        <v>332</v>
      </c>
      <c r="E2995" t="s">
        <v>325</v>
      </c>
      <c r="F2995" s="12">
        <v>516078</v>
      </c>
      <c r="G2995" s="13">
        <v>51</v>
      </c>
      <c r="H2995" t="s">
        <v>2887</v>
      </c>
      <c r="I2995" s="8">
        <v>46147</v>
      </c>
      <c r="J2995" t="s">
        <v>2682</v>
      </c>
      <c r="K2995" t="s">
        <v>2683</v>
      </c>
      <c r="L2995" s="13">
        <v>6000</v>
      </c>
      <c r="M2995" t="s">
        <v>2661</v>
      </c>
    </row>
    <row r="2996" spans="1:13">
      <c r="A2996" t="s">
        <v>1346</v>
      </c>
      <c r="B2996" t="s">
        <v>23</v>
      </c>
      <c r="C2996" s="8">
        <v>46176</v>
      </c>
      <c r="D2996" t="s">
        <v>332</v>
      </c>
      <c r="E2996" t="s">
        <v>325</v>
      </c>
      <c r="F2996" s="12">
        <v>516078</v>
      </c>
      <c r="G2996" s="13">
        <v>51</v>
      </c>
      <c r="H2996" t="s">
        <v>3153</v>
      </c>
      <c r="I2996" s="8">
        <v>46122</v>
      </c>
      <c r="J2996" t="s">
        <v>2665</v>
      </c>
      <c r="K2996" t="s">
        <v>2666</v>
      </c>
      <c r="L2996" s="13">
        <v>2500</v>
      </c>
      <c r="M2996" t="s">
        <v>2676</v>
      </c>
    </row>
    <row r="2997" spans="1:13">
      <c r="A2997" t="s">
        <v>1346</v>
      </c>
      <c r="B2997" t="s">
        <v>23</v>
      </c>
      <c r="C2997" s="8">
        <v>46176</v>
      </c>
      <c r="D2997" t="s">
        <v>332</v>
      </c>
      <c r="E2997" t="s">
        <v>325</v>
      </c>
      <c r="F2997" s="12">
        <v>516078</v>
      </c>
      <c r="G2997" s="13">
        <v>51</v>
      </c>
      <c r="H2997" t="s">
        <v>3426</v>
      </c>
      <c r="I2997" s="8">
        <v>46038</v>
      </c>
      <c r="J2997" t="s">
        <v>2688</v>
      </c>
      <c r="K2997" t="s">
        <v>2689</v>
      </c>
      <c r="L2997" s="13">
        <v>8000</v>
      </c>
      <c r="M2997" t="s">
        <v>2661</v>
      </c>
    </row>
    <row r="2998" spans="1:13">
      <c r="A2998" t="s">
        <v>1347</v>
      </c>
      <c r="B2998" t="s">
        <v>210</v>
      </c>
      <c r="C2998" s="8">
        <v>46212</v>
      </c>
      <c r="D2998" t="s">
        <v>342</v>
      </c>
      <c r="E2998" t="s">
        <v>334</v>
      </c>
      <c r="F2998" s="12">
        <v>458908</v>
      </c>
      <c r="G2998" s="13">
        <v>45</v>
      </c>
      <c r="H2998" t="s">
        <v>2771</v>
      </c>
      <c r="I2998" s="8">
        <v>46292</v>
      </c>
      <c r="J2998" t="s">
        <v>2674</v>
      </c>
      <c r="K2998" t="s">
        <v>2675</v>
      </c>
      <c r="L2998" s="13">
        <v>20000</v>
      </c>
      <c r="M2998" t="s">
        <v>2661</v>
      </c>
    </row>
    <row r="2999" spans="1:13">
      <c r="A2999" t="s">
        <v>1347</v>
      </c>
      <c r="B2999" t="s">
        <v>210</v>
      </c>
      <c r="C2999" s="8">
        <v>46212</v>
      </c>
      <c r="D2999" t="s">
        <v>342</v>
      </c>
      <c r="E2999" t="s">
        <v>334</v>
      </c>
      <c r="F2999" s="12">
        <v>458908</v>
      </c>
      <c r="G2999" s="13">
        <v>45</v>
      </c>
      <c r="H2999" t="s">
        <v>2860</v>
      </c>
      <c r="I2999" s="8">
        <v>46250</v>
      </c>
      <c r="J2999" t="s">
        <v>2688</v>
      </c>
      <c r="K2999" t="s">
        <v>2689</v>
      </c>
      <c r="L2999" s="13">
        <v>8000</v>
      </c>
      <c r="M2999" t="s">
        <v>2661</v>
      </c>
    </row>
    <row r="3000" spans="1:13">
      <c r="A3000" t="s">
        <v>1347</v>
      </c>
      <c r="B3000" t="s">
        <v>210</v>
      </c>
      <c r="C3000" s="8">
        <v>46212</v>
      </c>
      <c r="D3000" t="s">
        <v>342</v>
      </c>
      <c r="E3000" t="s">
        <v>334</v>
      </c>
      <c r="F3000" s="12">
        <v>458908</v>
      </c>
      <c r="G3000" s="13">
        <v>45</v>
      </c>
      <c r="H3000" t="s">
        <v>2892</v>
      </c>
      <c r="I3000" s="8">
        <v>46230</v>
      </c>
      <c r="J3000" t="s">
        <v>2671</v>
      </c>
      <c r="K3000" t="s">
        <v>2672</v>
      </c>
      <c r="L3000" s="13">
        <v>3000</v>
      </c>
      <c r="M3000" t="s">
        <v>2661</v>
      </c>
    </row>
    <row r="3001" spans="1:13">
      <c r="A3001" t="s">
        <v>1347</v>
      </c>
      <c r="B3001" t="s">
        <v>210</v>
      </c>
      <c r="C3001" s="8">
        <v>46212</v>
      </c>
      <c r="D3001" t="s">
        <v>342</v>
      </c>
      <c r="E3001" t="s">
        <v>334</v>
      </c>
      <c r="F3001" s="12">
        <v>458908</v>
      </c>
      <c r="G3001" s="13">
        <v>45</v>
      </c>
      <c r="H3001" t="s">
        <v>3054</v>
      </c>
      <c r="I3001" s="8">
        <v>46291</v>
      </c>
      <c r="J3001" t="s">
        <v>2685</v>
      </c>
      <c r="K3001" t="s">
        <v>2686</v>
      </c>
      <c r="L3001" s="13">
        <v>5000</v>
      </c>
      <c r="M3001" t="s">
        <v>2676</v>
      </c>
    </row>
    <row r="3002" spans="1:13">
      <c r="A3002" t="s">
        <v>1347</v>
      </c>
      <c r="B3002" t="s">
        <v>210</v>
      </c>
      <c r="C3002" s="8">
        <v>46212</v>
      </c>
      <c r="D3002" t="s">
        <v>342</v>
      </c>
      <c r="E3002" t="s">
        <v>334</v>
      </c>
      <c r="F3002" s="12">
        <v>458908</v>
      </c>
      <c r="G3002" s="13">
        <v>45</v>
      </c>
      <c r="H3002" t="s">
        <v>3111</v>
      </c>
      <c r="I3002" s="8">
        <v>46232</v>
      </c>
      <c r="J3002" t="s">
        <v>2665</v>
      </c>
      <c r="K3002" t="s">
        <v>2666</v>
      </c>
      <c r="L3002" s="13">
        <v>2500</v>
      </c>
      <c r="M3002" t="s">
        <v>2661</v>
      </c>
    </row>
    <row r="3003" spans="1:13">
      <c r="A3003" t="s">
        <v>1348</v>
      </c>
      <c r="B3003" t="s">
        <v>296</v>
      </c>
      <c r="C3003" s="8">
        <v>46126</v>
      </c>
      <c r="D3003" t="s">
        <v>327</v>
      </c>
      <c r="E3003" t="s">
        <v>328</v>
      </c>
      <c r="F3003" s="12">
        <v>521408</v>
      </c>
      <c r="G3003" s="13">
        <v>52</v>
      </c>
      <c r="H3003" t="s">
        <v>2866</v>
      </c>
      <c r="I3003" s="8">
        <v>45940</v>
      </c>
      <c r="J3003" t="s">
        <v>2685</v>
      </c>
      <c r="K3003" t="s">
        <v>2686</v>
      </c>
      <c r="L3003" s="13">
        <v>5000</v>
      </c>
      <c r="M3003" t="s">
        <v>2661</v>
      </c>
    </row>
    <row r="3004" spans="1:13">
      <c r="A3004" t="s">
        <v>1349</v>
      </c>
      <c r="B3004" t="s">
        <v>170</v>
      </c>
      <c r="C3004" s="8">
        <v>46047</v>
      </c>
      <c r="D3004" t="s">
        <v>324</v>
      </c>
      <c r="E3004" t="s">
        <v>325</v>
      </c>
      <c r="F3004" s="12">
        <v>87050</v>
      </c>
      <c r="G3004" s="13">
        <v>8</v>
      </c>
      <c r="H3004" t="s">
        <v>2987</v>
      </c>
      <c r="I3004" s="8">
        <v>45962</v>
      </c>
      <c r="J3004" t="s">
        <v>2665</v>
      </c>
      <c r="K3004" t="s">
        <v>2666</v>
      </c>
      <c r="L3004" s="13">
        <v>2500</v>
      </c>
      <c r="M3004" t="s">
        <v>2661</v>
      </c>
    </row>
    <row r="3005" spans="1:13">
      <c r="A3005" t="s">
        <v>1349</v>
      </c>
      <c r="B3005" t="s">
        <v>170</v>
      </c>
      <c r="C3005" s="8">
        <v>46047</v>
      </c>
      <c r="D3005" t="s">
        <v>324</v>
      </c>
      <c r="E3005" t="s">
        <v>325</v>
      </c>
      <c r="F3005" s="12">
        <v>87050</v>
      </c>
      <c r="G3005" s="13">
        <v>8</v>
      </c>
      <c r="H3005" t="s">
        <v>3043</v>
      </c>
      <c r="I3005" s="8">
        <v>46277</v>
      </c>
      <c r="J3005" t="s">
        <v>2663</v>
      </c>
      <c r="K3005" t="s">
        <v>3630</v>
      </c>
      <c r="L3005" s="13">
        <v>1500</v>
      </c>
      <c r="M3005" t="s">
        <v>2676</v>
      </c>
    </row>
    <row r="3006" spans="1:13">
      <c r="A3006" t="s">
        <v>1350</v>
      </c>
      <c r="B3006" t="s">
        <v>236</v>
      </c>
      <c r="C3006" s="8">
        <v>46059</v>
      </c>
      <c r="D3006" t="s">
        <v>327</v>
      </c>
      <c r="E3006" t="s">
        <v>337</v>
      </c>
      <c r="F3006" s="12">
        <v>417262</v>
      </c>
      <c r="G3006" s="13">
        <v>41</v>
      </c>
      <c r="H3006" t="s">
        <v>2873</v>
      </c>
      <c r="I3006" s="8">
        <v>46247</v>
      </c>
      <c r="J3006" t="s">
        <v>2671</v>
      </c>
      <c r="K3006" t="s">
        <v>2672</v>
      </c>
      <c r="L3006" s="13">
        <v>3000</v>
      </c>
      <c r="M3006" t="s">
        <v>2676</v>
      </c>
    </row>
    <row r="3007" spans="1:13">
      <c r="A3007" t="s">
        <v>1350</v>
      </c>
      <c r="B3007" t="s">
        <v>236</v>
      </c>
      <c r="C3007" s="8">
        <v>46059</v>
      </c>
      <c r="D3007" t="s">
        <v>327</v>
      </c>
      <c r="E3007" t="s">
        <v>337</v>
      </c>
      <c r="F3007" s="12">
        <v>417262</v>
      </c>
      <c r="G3007" s="13">
        <v>41</v>
      </c>
      <c r="H3007" t="s">
        <v>3429</v>
      </c>
      <c r="I3007" s="8">
        <v>46170</v>
      </c>
      <c r="J3007" t="s">
        <v>2692</v>
      </c>
      <c r="K3007" t="s">
        <v>2693</v>
      </c>
      <c r="L3007" s="13">
        <v>10000</v>
      </c>
      <c r="M3007" t="s">
        <v>2661</v>
      </c>
    </row>
    <row r="3008" spans="1:13">
      <c r="A3008" t="s">
        <v>1351</v>
      </c>
      <c r="B3008" t="s">
        <v>96</v>
      </c>
      <c r="C3008" s="8">
        <v>46000</v>
      </c>
      <c r="D3008" t="s">
        <v>324</v>
      </c>
      <c r="E3008" t="s">
        <v>322</v>
      </c>
      <c r="F3008" s="12">
        <v>245184</v>
      </c>
      <c r="G3008" s="13">
        <v>24</v>
      </c>
      <c r="H3008" t="s">
        <v>2761</v>
      </c>
      <c r="I3008" s="8">
        <v>46195</v>
      </c>
      <c r="J3008" t="s">
        <v>2665</v>
      </c>
      <c r="K3008" t="s">
        <v>2666</v>
      </c>
      <c r="L3008" s="13">
        <v>2500</v>
      </c>
      <c r="M3008" t="s">
        <v>2661</v>
      </c>
    </row>
    <row r="3009" spans="1:13">
      <c r="A3009" t="s">
        <v>1351</v>
      </c>
      <c r="B3009" t="s">
        <v>96</v>
      </c>
      <c r="C3009" s="8">
        <v>46000</v>
      </c>
      <c r="D3009" t="s">
        <v>324</v>
      </c>
      <c r="E3009" t="s">
        <v>322</v>
      </c>
      <c r="F3009" s="12">
        <v>245184</v>
      </c>
      <c r="G3009" s="13">
        <v>24</v>
      </c>
      <c r="H3009" t="s">
        <v>2839</v>
      </c>
      <c r="I3009" s="8">
        <v>45996</v>
      </c>
      <c r="J3009" t="s">
        <v>2685</v>
      </c>
      <c r="K3009" t="s">
        <v>2686</v>
      </c>
      <c r="L3009" s="13">
        <v>5000</v>
      </c>
      <c r="M3009" t="s">
        <v>2661</v>
      </c>
    </row>
    <row r="3010" spans="1:13">
      <c r="A3010" t="s">
        <v>1351</v>
      </c>
      <c r="B3010" t="s">
        <v>96</v>
      </c>
      <c r="C3010" s="8">
        <v>46000</v>
      </c>
      <c r="D3010" t="s">
        <v>324</v>
      </c>
      <c r="E3010" t="s">
        <v>322</v>
      </c>
      <c r="F3010" s="12">
        <v>245184</v>
      </c>
      <c r="G3010" s="13">
        <v>24</v>
      </c>
      <c r="H3010" t="s">
        <v>3048</v>
      </c>
      <c r="I3010" s="8">
        <v>46256</v>
      </c>
      <c r="J3010" t="s">
        <v>2659</v>
      </c>
      <c r="K3010" t="s">
        <v>2660</v>
      </c>
      <c r="L3010" s="13">
        <v>3500</v>
      </c>
      <c r="M3010" t="s">
        <v>2661</v>
      </c>
    </row>
    <row r="3011" spans="1:13">
      <c r="A3011" t="s">
        <v>1351</v>
      </c>
      <c r="B3011" t="s">
        <v>96</v>
      </c>
      <c r="C3011" s="8">
        <v>46000</v>
      </c>
      <c r="D3011" t="s">
        <v>324</v>
      </c>
      <c r="E3011" t="s">
        <v>322</v>
      </c>
      <c r="F3011" s="12">
        <v>245184</v>
      </c>
      <c r="G3011" s="13">
        <v>24</v>
      </c>
      <c r="H3011" t="s">
        <v>3112</v>
      </c>
      <c r="I3011" s="8">
        <v>46182</v>
      </c>
      <c r="J3011" t="s">
        <v>2668</v>
      </c>
      <c r="K3011" t="s">
        <v>2669</v>
      </c>
      <c r="L3011" s="13">
        <v>4000</v>
      </c>
      <c r="M3011" t="s">
        <v>2661</v>
      </c>
    </row>
    <row r="3012" spans="1:13">
      <c r="A3012" t="s">
        <v>1351</v>
      </c>
      <c r="B3012" t="s">
        <v>96</v>
      </c>
      <c r="C3012" s="8">
        <v>46000</v>
      </c>
      <c r="D3012" t="s">
        <v>324</v>
      </c>
      <c r="E3012" t="s">
        <v>322</v>
      </c>
      <c r="F3012" s="12">
        <v>245184</v>
      </c>
      <c r="G3012" s="13">
        <v>24</v>
      </c>
      <c r="H3012" t="s">
        <v>3389</v>
      </c>
      <c r="I3012" s="8">
        <v>45999</v>
      </c>
      <c r="J3012" t="s">
        <v>2671</v>
      </c>
      <c r="K3012" t="s">
        <v>2672</v>
      </c>
      <c r="L3012" s="13">
        <v>3000</v>
      </c>
      <c r="M3012" t="s">
        <v>2661</v>
      </c>
    </row>
    <row r="3013" spans="1:13">
      <c r="A3013" t="s">
        <v>1351</v>
      </c>
      <c r="B3013" t="s">
        <v>96</v>
      </c>
      <c r="C3013" s="8">
        <v>46000</v>
      </c>
      <c r="D3013" t="s">
        <v>324</v>
      </c>
      <c r="E3013" t="s">
        <v>322</v>
      </c>
      <c r="F3013" s="12">
        <v>245184</v>
      </c>
      <c r="G3013" s="13">
        <v>24</v>
      </c>
      <c r="H3013" t="s">
        <v>3431</v>
      </c>
      <c r="I3013" s="8">
        <v>46091</v>
      </c>
      <c r="J3013" t="s">
        <v>2685</v>
      </c>
      <c r="K3013" t="s">
        <v>2686</v>
      </c>
      <c r="L3013" s="13">
        <v>5000</v>
      </c>
      <c r="M3013" t="s">
        <v>2661</v>
      </c>
    </row>
    <row r="3014" spans="1:13">
      <c r="A3014" t="s">
        <v>1352</v>
      </c>
      <c r="B3014" t="s">
        <v>294</v>
      </c>
      <c r="C3014" s="8">
        <v>46150</v>
      </c>
      <c r="D3014" t="s">
        <v>330</v>
      </c>
      <c r="E3014" t="s">
        <v>322</v>
      </c>
      <c r="F3014" s="12">
        <v>35136</v>
      </c>
      <c r="G3014" s="13">
        <v>3</v>
      </c>
      <c r="H3014" t="s">
        <v>3571</v>
      </c>
      <c r="I3014" s="8">
        <v>45937</v>
      </c>
      <c r="J3014" t="s">
        <v>2663</v>
      </c>
      <c r="K3014" t="s">
        <v>3630</v>
      </c>
      <c r="L3014" s="13">
        <v>1500</v>
      </c>
      <c r="M3014" t="s">
        <v>2661</v>
      </c>
    </row>
    <row r="3015" spans="1:13">
      <c r="A3015" t="s">
        <v>1352</v>
      </c>
      <c r="B3015" t="s">
        <v>294</v>
      </c>
      <c r="C3015" s="8">
        <v>46150</v>
      </c>
      <c r="D3015" t="s">
        <v>330</v>
      </c>
      <c r="E3015" t="s">
        <v>322</v>
      </c>
      <c r="F3015" s="12">
        <v>35136</v>
      </c>
      <c r="G3015" s="13">
        <v>3</v>
      </c>
      <c r="H3015" t="s">
        <v>3572</v>
      </c>
      <c r="I3015" s="8">
        <v>46039</v>
      </c>
      <c r="J3015" t="s">
        <v>2668</v>
      </c>
      <c r="K3015" t="s">
        <v>2669</v>
      </c>
      <c r="L3015" s="13">
        <v>4000</v>
      </c>
      <c r="M3015" t="s">
        <v>2661</v>
      </c>
    </row>
    <row r="3016" spans="1:13">
      <c r="A3016" t="s">
        <v>1353</v>
      </c>
      <c r="B3016" t="s">
        <v>57</v>
      </c>
      <c r="C3016" s="8">
        <v>46019</v>
      </c>
      <c r="D3016" t="s">
        <v>321</v>
      </c>
      <c r="E3016" t="s">
        <v>322</v>
      </c>
      <c r="F3016" s="12">
        <v>387859</v>
      </c>
      <c r="G3016" s="13">
        <v>38</v>
      </c>
      <c r="H3016" t="s">
        <v>3486</v>
      </c>
      <c r="I3016" s="8">
        <v>46159</v>
      </c>
      <c r="J3016" t="s">
        <v>2665</v>
      </c>
      <c r="K3016" t="s">
        <v>2666</v>
      </c>
      <c r="L3016" s="13">
        <v>2500</v>
      </c>
      <c r="M3016" t="s">
        <v>2661</v>
      </c>
    </row>
    <row r="3017" spans="1:13">
      <c r="A3017" t="s">
        <v>1355</v>
      </c>
      <c r="B3017" t="s">
        <v>134</v>
      </c>
      <c r="C3017" s="8">
        <v>46039</v>
      </c>
      <c r="D3017" t="s">
        <v>330</v>
      </c>
      <c r="E3017" t="s">
        <v>328</v>
      </c>
      <c r="F3017" s="12">
        <v>302425</v>
      </c>
      <c r="G3017" s="13">
        <v>30</v>
      </c>
      <c r="H3017" t="s">
        <v>3183</v>
      </c>
      <c r="I3017" s="8">
        <v>46285</v>
      </c>
      <c r="J3017" t="s">
        <v>2663</v>
      </c>
      <c r="K3017" t="s">
        <v>3630</v>
      </c>
      <c r="L3017" s="13">
        <v>1500</v>
      </c>
      <c r="M3017" t="s">
        <v>2661</v>
      </c>
    </row>
    <row r="3018" spans="1:13">
      <c r="A3018" t="s">
        <v>1356</v>
      </c>
      <c r="B3018" t="s">
        <v>15</v>
      </c>
      <c r="C3018" s="8">
        <v>46033</v>
      </c>
      <c r="D3018" t="s">
        <v>350</v>
      </c>
      <c r="E3018" t="s">
        <v>339</v>
      </c>
      <c r="F3018" s="12">
        <v>297682</v>
      </c>
      <c r="G3018" s="13">
        <v>29</v>
      </c>
      <c r="H3018" t="s">
        <v>2759</v>
      </c>
      <c r="I3018" s="8">
        <v>46075</v>
      </c>
      <c r="J3018" t="s">
        <v>2668</v>
      </c>
      <c r="K3018" t="s">
        <v>2669</v>
      </c>
      <c r="L3018" s="13">
        <v>4000</v>
      </c>
      <c r="M3018" t="s">
        <v>2661</v>
      </c>
    </row>
    <row r="3019" spans="1:13">
      <c r="A3019" t="s">
        <v>1356</v>
      </c>
      <c r="B3019" t="s">
        <v>15</v>
      </c>
      <c r="C3019" s="8">
        <v>46033</v>
      </c>
      <c r="D3019" t="s">
        <v>350</v>
      </c>
      <c r="E3019" t="s">
        <v>339</v>
      </c>
      <c r="F3019" s="12">
        <v>297682</v>
      </c>
      <c r="G3019" s="13">
        <v>29</v>
      </c>
      <c r="H3019" t="s">
        <v>2950</v>
      </c>
      <c r="I3019" s="8">
        <v>46240</v>
      </c>
      <c r="J3019" t="s">
        <v>2671</v>
      </c>
      <c r="K3019" t="s">
        <v>2672</v>
      </c>
      <c r="L3019" s="13">
        <v>3000</v>
      </c>
      <c r="M3019" t="s">
        <v>2661</v>
      </c>
    </row>
    <row r="3020" spans="1:13">
      <c r="A3020" t="s">
        <v>1357</v>
      </c>
      <c r="B3020" t="s">
        <v>203</v>
      </c>
      <c r="C3020" s="8">
        <v>46251</v>
      </c>
      <c r="D3020" t="s">
        <v>350</v>
      </c>
      <c r="E3020" t="s">
        <v>328</v>
      </c>
      <c r="F3020" s="12">
        <v>829730</v>
      </c>
      <c r="G3020" s="13">
        <v>82</v>
      </c>
      <c r="H3020" t="s">
        <v>2954</v>
      </c>
      <c r="I3020" s="8">
        <v>46243</v>
      </c>
      <c r="J3020" t="s">
        <v>2663</v>
      </c>
      <c r="K3020" t="s">
        <v>3630</v>
      </c>
      <c r="L3020" s="13">
        <v>1500</v>
      </c>
      <c r="M3020" t="s">
        <v>2676</v>
      </c>
    </row>
    <row r="3021" spans="1:13">
      <c r="A3021" t="s">
        <v>1357</v>
      </c>
      <c r="B3021" t="s">
        <v>203</v>
      </c>
      <c r="C3021" s="8">
        <v>46251</v>
      </c>
      <c r="D3021" t="s">
        <v>350</v>
      </c>
      <c r="E3021" t="s">
        <v>328</v>
      </c>
      <c r="F3021" s="12">
        <v>829730</v>
      </c>
      <c r="G3021" s="13">
        <v>82</v>
      </c>
      <c r="H3021" t="s">
        <v>3073</v>
      </c>
      <c r="I3021" s="8">
        <v>46041</v>
      </c>
      <c r="J3021" t="s">
        <v>2682</v>
      </c>
      <c r="K3021" t="s">
        <v>2683</v>
      </c>
      <c r="L3021" s="13">
        <v>6000</v>
      </c>
      <c r="M3021" t="s">
        <v>2661</v>
      </c>
    </row>
    <row r="3022" spans="1:13">
      <c r="A3022" t="s">
        <v>1357</v>
      </c>
      <c r="B3022" t="s">
        <v>203</v>
      </c>
      <c r="C3022" s="8">
        <v>46251</v>
      </c>
      <c r="D3022" t="s">
        <v>350</v>
      </c>
      <c r="E3022" t="s">
        <v>328</v>
      </c>
      <c r="F3022" s="12">
        <v>829730</v>
      </c>
      <c r="G3022" s="13">
        <v>82</v>
      </c>
      <c r="H3022" t="s">
        <v>3165</v>
      </c>
      <c r="I3022" s="8">
        <v>46230</v>
      </c>
      <c r="J3022" t="s">
        <v>2671</v>
      </c>
      <c r="K3022" t="s">
        <v>2672</v>
      </c>
      <c r="L3022" s="13">
        <v>3000</v>
      </c>
      <c r="M3022" t="s">
        <v>2676</v>
      </c>
    </row>
    <row r="3023" spans="1:13">
      <c r="A3023" t="s">
        <v>1358</v>
      </c>
      <c r="B3023" t="s">
        <v>140</v>
      </c>
      <c r="C3023" s="8">
        <v>46193</v>
      </c>
      <c r="D3023" t="s">
        <v>344</v>
      </c>
      <c r="E3023" t="s">
        <v>337</v>
      </c>
      <c r="F3023" s="12">
        <v>394340</v>
      </c>
      <c r="G3023" s="13">
        <v>39</v>
      </c>
      <c r="H3023" t="s">
        <v>3192</v>
      </c>
      <c r="I3023" s="8">
        <v>46206</v>
      </c>
      <c r="J3023" t="s">
        <v>2682</v>
      </c>
      <c r="K3023" t="s">
        <v>2683</v>
      </c>
      <c r="L3023" s="13">
        <v>6000</v>
      </c>
      <c r="M3023" t="s">
        <v>2661</v>
      </c>
    </row>
    <row r="3024" spans="1:13">
      <c r="A3024" t="s">
        <v>1359</v>
      </c>
      <c r="B3024" t="s">
        <v>197</v>
      </c>
      <c r="C3024" s="8">
        <v>46280</v>
      </c>
      <c r="D3024" t="s">
        <v>330</v>
      </c>
      <c r="E3024" t="s">
        <v>325</v>
      </c>
      <c r="F3024" s="12">
        <v>328167</v>
      </c>
      <c r="G3024" s="13">
        <v>32</v>
      </c>
      <c r="H3024" t="s">
        <v>2907</v>
      </c>
      <c r="I3024" s="8">
        <v>46147</v>
      </c>
      <c r="J3024" t="s">
        <v>2659</v>
      </c>
      <c r="K3024" t="s">
        <v>2660</v>
      </c>
      <c r="L3024" s="13">
        <v>3500</v>
      </c>
      <c r="M3024" t="s">
        <v>2676</v>
      </c>
    </row>
    <row r="3025" spans="1:13">
      <c r="A3025" t="s">
        <v>1359</v>
      </c>
      <c r="B3025" t="s">
        <v>197</v>
      </c>
      <c r="C3025" s="8">
        <v>46280</v>
      </c>
      <c r="D3025" t="s">
        <v>330</v>
      </c>
      <c r="E3025" t="s">
        <v>325</v>
      </c>
      <c r="F3025" s="12">
        <v>328167</v>
      </c>
      <c r="G3025" s="13">
        <v>32</v>
      </c>
      <c r="H3025" t="s">
        <v>3356</v>
      </c>
      <c r="I3025" s="8">
        <v>46124</v>
      </c>
      <c r="J3025" t="s">
        <v>2685</v>
      </c>
      <c r="K3025" t="s">
        <v>2686</v>
      </c>
      <c r="L3025" s="13">
        <v>5000</v>
      </c>
      <c r="M3025" t="s">
        <v>2661</v>
      </c>
    </row>
    <row r="3026" spans="1:13">
      <c r="A3026" t="s">
        <v>1359</v>
      </c>
      <c r="B3026" t="s">
        <v>197</v>
      </c>
      <c r="C3026" s="8">
        <v>46280</v>
      </c>
      <c r="D3026" t="s">
        <v>330</v>
      </c>
      <c r="E3026" t="s">
        <v>325</v>
      </c>
      <c r="F3026" s="12">
        <v>328167</v>
      </c>
      <c r="G3026" s="13">
        <v>32</v>
      </c>
      <c r="H3026" t="s">
        <v>3465</v>
      </c>
      <c r="I3026" s="8">
        <v>46076</v>
      </c>
      <c r="J3026" t="s">
        <v>2692</v>
      </c>
      <c r="K3026" t="s">
        <v>2693</v>
      </c>
      <c r="L3026" s="13">
        <v>10000</v>
      </c>
      <c r="M3026" t="s">
        <v>2661</v>
      </c>
    </row>
    <row r="3027" spans="1:13">
      <c r="A3027" t="s">
        <v>1359</v>
      </c>
      <c r="B3027" t="s">
        <v>197</v>
      </c>
      <c r="C3027" s="8">
        <v>46280</v>
      </c>
      <c r="D3027" t="s">
        <v>330</v>
      </c>
      <c r="E3027" t="s">
        <v>325</v>
      </c>
      <c r="F3027" s="12">
        <v>328167</v>
      </c>
      <c r="G3027" s="13">
        <v>32</v>
      </c>
      <c r="H3027" t="s">
        <v>3529</v>
      </c>
      <c r="I3027" s="8">
        <v>46013</v>
      </c>
      <c r="J3027" t="s">
        <v>2688</v>
      </c>
      <c r="K3027" t="s">
        <v>2689</v>
      </c>
      <c r="L3027" s="13">
        <v>8000</v>
      </c>
      <c r="M3027" t="s">
        <v>2661</v>
      </c>
    </row>
    <row r="3028" spans="1:13">
      <c r="A3028" t="s">
        <v>1359</v>
      </c>
      <c r="B3028" t="s">
        <v>197</v>
      </c>
      <c r="C3028" s="8">
        <v>46280</v>
      </c>
      <c r="D3028" t="s">
        <v>330</v>
      </c>
      <c r="E3028" t="s">
        <v>325</v>
      </c>
      <c r="F3028" s="12">
        <v>328167</v>
      </c>
      <c r="G3028" s="13">
        <v>32</v>
      </c>
      <c r="H3028" t="s">
        <v>3540</v>
      </c>
      <c r="I3028" s="8">
        <v>46276</v>
      </c>
      <c r="J3028" t="s">
        <v>2692</v>
      </c>
      <c r="K3028" t="s">
        <v>2693</v>
      </c>
      <c r="L3028" s="13">
        <v>10000</v>
      </c>
      <c r="M3028" t="s">
        <v>2676</v>
      </c>
    </row>
    <row r="3029" spans="1:13">
      <c r="A3029" t="s">
        <v>1360</v>
      </c>
      <c r="B3029" t="s">
        <v>62</v>
      </c>
      <c r="C3029" s="8">
        <v>46268</v>
      </c>
      <c r="D3029" t="s">
        <v>327</v>
      </c>
      <c r="E3029" t="s">
        <v>339</v>
      </c>
      <c r="F3029" s="12">
        <v>650274</v>
      </c>
      <c r="G3029" s="13">
        <v>65</v>
      </c>
      <c r="H3029" t="s">
        <v>2679</v>
      </c>
      <c r="I3029" s="8">
        <v>46195</v>
      </c>
      <c r="J3029" t="s">
        <v>2674</v>
      </c>
      <c r="K3029" t="s">
        <v>2675</v>
      </c>
      <c r="L3029" s="13">
        <v>20000</v>
      </c>
      <c r="M3029" t="s">
        <v>2661</v>
      </c>
    </row>
    <row r="3030" spans="1:13">
      <c r="A3030" t="s">
        <v>1360</v>
      </c>
      <c r="B3030" t="s">
        <v>62</v>
      </c>
      <c r="C3030" s="8">
        <v>46268</v>
      </c>
      <c r="D3030" t="s">
        <v>327</v>
      </c>
      <c r="E3030" t="s">
        <v>339</v>
      </c>
      <c r="F3030" s="12">
        <v>650274</v>
      </c>
      <c r="G3030" s="13">
        <v>65</v>
      </c>
      <c r="H3030" t="s">
        <v>2793</v>
      </c>
      <c r="I3030" s="8">
        <v>46233</v>
      </c>
      <c r="J3030" t="s">
        <v>2663</v>
      </c>
      <c r="K3030" t="s">
        <v>3630</v>
      </c>
      <c r="L3030" s="13">
        <v>1500</v>
      </c>
      <c r="M3030" t="s">
        <v>2661</v>
      </c>
    </row>
    <row r="3031" spans="1:13">
      <c r="A3031" t="s">
        <v>1360</v>
      </c>
      <c r="B3031" t="s">
        <v>62</v>
      </c>
      <c r="C3031" s="8">
        <v>46268</v>
      </c>
      <c r="D3031" t="s">
        <v>327</v>
      </c>
      <c r="E3031" t="s">
        <v>339</v>
      </c>
      <c r="F3031" s="12">
        <v>650274</v>
      </c>
      <c r="G3031" s="13">
        <v>65</v>
      </c>
      <c r="H3031" t="s">
        <v>2794</v>
      </c>
      <c r="I3031" s="8">
        <v>46096</v>
      </c>
      <c r="J3031" t="s">
        <v>2659</v>
      </c>
      <c r="K3031" t="s">
        <v>2660</v>
      </c>
      <c r="L3031" s="13">
        <v>3500</v>
      </c>
      <c r="M3031" t="s">
        <v>2661</v>
      </c>
    </row>
    <row r="3032" spans="1:13">
      <c r="A3032" t="s">
        <v>1360</v>
      </c>
      <c r="B3032" t="s">
        <v>62</v>
      </c>
      <c r="C3032" s="8">
        <v>46268</v>
      </c>
      <c r="D3032" t="s">
        <v>327</v>
      </c>
      <c r="E3032" t="s">
        <v>339</v>
      </c>
      <c r="F3032" s="12">
        <v>650274</v>
      </c>
      <c r="G3032" s="13">
        <v>65</v>
      </c>
      <c r="H3032" t="s">
        <v>2804</v>
      </c>
      <c r="I3032" s="8">
        <v>46260</v>
      </c>
      <c r="J3032" t="s">
        <v>2659</v>
      </c>
      <c r="K3032" t="s">
        <v>2660</v>
      </c>
      <c r="L3032" s="13">
        <v>3500</v>
      </c>
      <c r="M3032" t="s">
        <v>2661</v>
      </c>
    </row>
    <row r="3033" spans="1:13">
      <c r="A3033" t="s">
        <v>1360</v>
      </c>
      <c r="B3033" t="s">
        <v>62</v>
      </c>
      <c r="C3033" s="8">
        <v>46268</v>
      </c>
      <c r="D3033" t="s">
        <v>327</v>
      </c>
      <c r="E3033" t="s">
        <v>339</v>
      </c>
      <c r="F3033" s="12">
        <v>650274</v>
      </c>
      <c r="G3033" s="13">
        <v>65</v>
      </c>
      <c r="H3033" t="s">
        <v>2885</v>
      </c>
      <c r="I3033" s="8">
        <v>46085</v>
      </c>
      <c r="J3033" t="s">
        <v>2692</v>
      </c>
      <c r="K3033" t="s">
        <v>2693</v>
      </c>
      <c r="L3033" s="13">
        <v>10000</v>
      </c>
      <c r="M3033" t="s">
        <v>2661</v>
      </c>
    </row>
    <row r="3034" spans="1:13">
      <c r="A3034" t="s">
        <v>1360</v>
      </c>
      <c r="B3034" t="s">
        <v>62</v>
      </c>
      <c r="C3034" s="8">
        <v>46268</v>
      </c>
      <c r="D3034" t="s">
        <v>327</v>
      </c>
      <c r="E3034" t="s">
        <v>339</v>
      </c>
      <c r="F3034" s="12">
        <v>650274</v>
      </c>
      <c r="G3034" s="13">
        <v>65</v>
      </c>
      <c r="H3034" t="s">
        <v>3000</v>
      </c>
      <c r="I3034" s="8">
        <v>46247</v>
      </c>
      <c r="J3034" t="s">
        <v>2692</v>
      </c>
      <c r="K3034" t="s">
        <v>2693</v>
      </c>
      <c r="L3034" s="13">
        <v>10000</v>
      </c>
      <c r="M3034" t="s">
        <v>2661</v>
      </c>
    </row>
    <row r="3035" spans="1:13">
      <c r="A3035" t="s">
        <v>1360</v>
      </c>
      <c r="B3035" t="s">
        <v>62</v>
      </c>
      <c r="C3035" s="8">
        <v>46268</v>
      </c>
      <c r="D3035" t="s">
        <v>327</v>
      </c>
      <c r="E3035" t="s">
        <v>339</v>
      </c>
      <c r="F3035" s="12">
        <v>650274</v>
      </c>
      <c r="G3035" s="13">
        <v>65</v>
      </c>
      <c r="H3035" t="s">
        <v>3197</v>
      </c>
      <c r="I3035" s="8">
        <v>46129</v>
      </c>
      <c r="J3035" t="s">
        <v>2671</v>
      </c>
      <c r="K3035" t="s">
        <v>2672</v>
      </c>
      <c r="L3035" s="13">
        <v>3000</v>
      </c>
      <c r="M3035" t="s">
        <v>2661</v>
      </c>
    </row>
    <row r="3036" spans="1:13">
      <c r="A3036" t="s">
        <v>1361</v>
      </c>
      <c r="B3036" t="s">
        <v>275</v>
      </c>
      <c r="C3036" s="8">
        <v>45951</v>
      </c>
      <c r="D3036" t="s">
        <v>321</v>
      </c>
      <c r="E3036" t="s">
        <v>337</v>
      </c>
      <c r="F3036" s="12">
        <v>192680</v>
      </c>
      <c r="G3036" s="13">
        <v>19</v>
      </c>
      <c r="H3036" t="s">
        <v>2769</v>
      </c>
      <c r="I3036" s="8">
        <v>45949</v>
      </c>
      <c r="J3036" t="s">
        <v>2659</v>
      </c>
      <c r="K3036" t="s">
        <v>2660</v>
      </c>
      <c r="L3036" s="13">
        <v>3500</v>
      </c>
      <c r="M3036" t="s">
        <v>2661</v>
      </c>
    </row>
    <row r="3037" spans="1:13">
      <c r="A3037" t="s">
        <v>1361</v>
      </c>
      <c r="B3037" t="s">
        <v>275</v>
      </c>
      <c r="C3037" s="8">
        <v>45951</v>
      </c>
      <c r="D3037" t="s">
        <v>321</v>
      </c>
      <c r="E3037" t="s">
        <v>337</v>
      </c>
      <c r="F3037" s="12">
        <v>192680</v>
      </c>
      <c r="G3037" s="13">
        <v>19</v>
      </c>
      <c r="H3037" t="s">
        <v>2812</v>
      </c>
      <c r="I3037" s="8">
        <v>46037</v>
      </c>
      <c r="J3037" t="s">
        <v>2671</v>
      </c>
      <c r="K3037" t="s">
        <v>2672</v>
      </c>
      <c r="L3037" s="13">
        <v>3000</v>
      </c>
      <c r="M3037" t="s">
        <v>2661</v>
      </c>
    </row>
    <row r="3038" spans="1:13">
      <c r="A3038" t="s">
        <v>1361</v>
      </c>
      <c r="B3038" t="s">
        <v>275</v>
      </c>
      <c r="C3038" s="8">
        <v>45951</v>
      </c>
      <c r="D3038" t="s">
        <v>321</v>
      </c>
      <c r="E3038" t="s">
        <v>337</v>
      </c>
      <c r="F3038" s="12">
        <v>192680</v>
      </c>
      <c r="G3038" s="13">
        <v>19</v>
      </c>
      <c r="H3038" t="s">
        <v>2988</v>
      </c>
      <c r="I3038" s="8">
        <v>45949</v>
      </c>
      <c r="J3038" t="s">
        <v>2692</v>
      </c>
      <c r="K3038" t="s">
        <v>2693</v>
      </c>
      <c r="L3038" s="13">
        <v>10000</v>
      </c>
      <c r="M3038" t="s">
        <v>2661</v>
      </c>
    </row>
    <row r="3039" spans="1:13">
      <c r="A3039" t="s">
        <v>1361</v>
      </c>
      <c r="B3039" t="s">
        <v>275</v>
      </c>
      <c r="C3039" s="8">
        <v>45951</v>
      </c>
      <c r="D3039" t="s">
        <v>321</v>
      </c>
      <c r="E3039" t="s">
        <v>337</v>
      </c>
      <c r="F3039" s="12">
        <v>192680</v>
      </c>
      <c r="G3039" s="13">
        <v>19</v>
      </c>
      <c r="H3039" t="s">
        <v>3251</v>
      </c>
      <c r="I3039" s="8">
        <v>46059</v>
      </c>
      <c r="J3039" t="s">
        <v>2685</v>
      </c>
      <c r="K3039" t="s">
        <v>2686</v>
      </c>
      <c r="L3039" s="13">
        <v>5000</v>
      </c>
      <c r="M3039" t="s">
        <v>2661</v>
      </c>
    </row>
    <row r="3040" spans="1:13">
      <c r="A3040" t="s">
        <v>1361</v>
      </c>
      <c r="B3040" t="s">
        <v>275</v>
      </c>
      <c r="C3040" s="8">
        <v>45951</v>
      </c>
      <c r="D3040" t="s">
        <v>321</v>
      </c>
      <c r="E3040" t="s">
        <v>337</v>
      </c>
      <c r="F3040" s="12">
        <v>192680</v>
      </c>
      <c r="G3040" s="13">
        <v>19</v>
      </c>
      <c r="H3040" t="s">
        <v>3366</v>
      </c>
      <c r="I3040" s="8">
        <v>46230</v>
      </c>
      <c r="J3040" t="s">
        <v>2671</v>
      </c>
      <c r="K3040" t="s">
        <v>2672</v>
      </c>
      <c r="L3040" s="13">
        <v>3000</v>
      </c>
      <c r="M3040" t="s">
        <v>2661</v>
      </c>
    </row>
    <row r="3041" spans="1:13">
      <c r="A3041" t="s">
        <v>1362</v>
      </c>
      <c r="B3041" t="s">
        <v>294</v>
      </c>
      <c r="C3041" s="8">
        <v>46214</v>
      </c>
      <c r="D3041" t="s">
        <v>332</v>
      </c>
      <c r="E3041" t="s">
        <v>334</v>
      </c>
      <c r="F3041" s="12">
        <v>438515</v>
      </c>
      <c r="G3041" s="13">
        <v>43</v>
      </c>
      <c r="H3041" t="s">
        <v>3571</v>
      </c>
      <c r="I3041" s="8">
        <v>45937</v>
      </c>
      <c r="J3041" t="s">
        <v>2663</v>
      </c>
      <c r="K3041" t="s">
        <v>3630</v>
      </c>
      <c r="L3041" s="13">
        <v>1500</v>
      </c>
      <c r="M3041" t="s">
        <v>2661</v>
      </c>
    </row>
    <row r="3042" spans="1:13">
      <c r="A3042" t="s">
        <v>1362</v>
      </c>
      <c r="B3042" t="s">
        <v>294</v>
      </c>
      <c r="C3042" s="8">
        <v>46214</v>
      </c>
      <c r="D3042" t="s">
        <v>332</v>
      </c>
      <c r="E3042" t="s">
        <v>334</v>
      </c>
      <c r="F3042" s="12">
        <v>438515</v>
      </c>
      <c r="G3042" s="13">
        <v>43</v>
      </c>
      <c r="H3042" t="s">
        <v>3572</v>
      </c>
      <c r="I3042" s="8">
        <v>46039</v>
      </c>
      <c r="J3042" t="s">
        <v>2668</v>
      </c>
      <c r="K3042" t="s">
        <v>2669</v>
      </c>
      <c r="L3042" s="13">
        <v>4000</v>
      </c>
      <c r="M3042" t="s">
        <v>2661</v>
      </c>
    </row>
    <row r="3043" spans="1:13">
      <c r="A3043" t="s">
        <v>1363</v>
      </c>
      <c r="B3043" t="s">
        <v>252</v>
      </c>
      <c r="C3043" s="8">
        <v>46203</v>
      </c>
      <c r="D3043" t="s">
        <v>321</v>
      </c>
      <c r="E3043" t="s">
        <v>325</v>
      </c>
      <c r="F3043" s="12">
        <v>260046</v>
      </c>
      <c r="G3043" s="13">
        <v>26</v>
      </c>
      <c r="H3043" t="s">
        <v>2815</v>
      </c>
      <c r="I3043" s="8">
        <v>45992</v>
      </c>
      <c r="J3043" t="s">
        <v>2688</v>
      </c>
      <c r="K3043" t="s">
        <v>2689</v>
      </c>
      <c r="L3043" s="13">
        <v>8000</v>
      </c>
      <c r="M3043" t="s">
        <v>2661</v>
      </c>
    </row>
    <row r="3044" spans="1:13">
      <c r="A3044" t="s">
        <v>1363</v>
      </c>
      <c r="B3044" t="s">
        <v>252</v>
      </c>
      <c r="C3044" s="8">
        <v>46203</v>
      </c>
      <c r="D3044" t="s">
        <v>321</v>
      </c>
      <c r="E3044" t="s">
        <v>325</v>
      </c>
      <c r="F3044" s="12">
        <v>260046</v>
      </c>
      <c r="G3044" s="13">
        <v>26</v>
      </c>
      <c r="H3044" t="s">
        <v>3320</v>
      </c>
      <c r="I3044" s="8">
        <v>46043</v>
      </c>
      <c r="J3044" t="s">
        <v>2663</v>
      </c>
      <c r="K3044" t="s">
        <v>3630</v>
      </c>
      <c r="L3044" s="13">
        <v>1500</v>
      </c>
      <c r="M3044" t="s">
        <v>2661</v>
      </c>
    </row>
    <row r="3045" spans="1:13">
      <c r="A3045" t="s">
        <v>1363</v>
      </c>
      <c r="B3045" t="s">
        <v>252</v>
      </c>
      <c r="C3045" s="8">
        <v>46203</v>
      </c>
      <c r="D3045" t="s">
        <v>321</v>
      </c>
      <c r="E3045" t="s">
        <v>325</v>
      </c>
      <c r="F3045" s="12">
        <v>260046</v>
      </c>
      <c r="G3045" s="13">
        <v>26</v>
      </c>
      <c r="H3045" t="s">
        <v>3575</v>
      </c>
      <c r="I3045" s="8">
        <v>46263</v>
      </c>
      <c r="J3045" t="s">
        <v>2668</v>
      </c>
      <c r="K3045" t="s">
        <v>2669</v>
      </c>
      <c r="L3045" s="13">
        <v>4000</v>
      </c>
      <c r="M3045" t="s">
        <v>2676</v>
      </c>
    </row>
    <row r="3046" spans="1:13">
      <c r="A3046" t="s">
        <v>1364</v>
      </c>
      <c r="B3046" t="s">
        <v>205</v>
      </c>
      <c r="C3046" s="8">
        <v>46141</v>
      </c>
      <c r="D3046" t="s">
        <v>332</v>
      </c>
      <c r="E3046" t="s">
        <v>325</v>
      </c>
      <c r="F3046" s="12">
        <v>25000</v>
      </c>
      <c r="G3046" s="13">
        <v>2</v>
      </c>
      <c r="H3046" t="s">
        <v>3241</v>
      </c>
      <c r="I3046" s="8">
        <v>45972</v>
      </c>
      <c r="J3046" t="s">
        <v>2671</v>
      </c>
      <c r="K3046" t="s">
        <v>2672</v>
      </c>
      <c r="L3046" s="13">
        <v>3000</v>
      </c>
      <c r="M3046" t="s">
        <v>2676</v>
      </c>
    </row>
    <row r="3047" spans="1:13">
      <c r="A3047" t="s">
        <v>1365</v>
      </c>
      <c r="B3047" t="s">
        <v>100</v>
      </c>
      <c r="C3047" s="8">
        <v>46278</v>
      </c>
      <c r="D3047" t="s">
        <v>350</v>
      </c>
      <c r="E3047" t="s">
        <v>334</v>
      </c>
      <c r="F3047" s="12">
        <v>379794</v>
      </c>
      <c r="G3047" s="13">
        <v>37</v>
      </c>
      <c r="H3047" t="s">
        <v>3294</v>
      </c>
      <c r="I3047" s="8">
        <v>46090</v>
      </c>
      <c r="J3047" t="s">
        <v>2671</v>
      </c>
      <c r="K3047" t="s">
        <v>2672</v>
      </c>
      <c r="L3047" s="13">
        <v>3000</v>
      </c>
      <c r="M3047" t="s">
        <v>2676</v>
      </c>
    </row>
    <row r="3048" spans="1:13">
      <c r="A3048" t="s">
        <v>1365</v>
      </c>
      <c r="B3048" t="s">
        <v>100</v>
      </c>
      <c r="C3048" s="8">
        <v>46278</v>
      </c>
      <c r="D3048" t="s">
        <v>350</v>
      </c>
      <c r="E3048" t="s">
        <v>334</v>
      </c>
      <c r="F3048" s="12">
        <v>379794</v>
      </c>
      <c r="G3048" s="13">
        <v>37</v>
      </c>
      <c r="H3048" t="s">
        <v>3327</v>
      </c>
      <c r="I3048" s="8">
        <v>46135</v>
      </c>
      <c r="J3048" t="s">
        <v>2682</v>
      </c>
      <c r="K3048" t="s">
        <v>2683</v>
      </c>
      <c r="L3048" s="13">
        <v>6000</v>
      </c>
      <c r="M3048" t="s">
        <v>2661</v>
      </c>
    </row>
    <row r="3049" spans="1:13">
      <c r="A3049" t="s">
        <v>1365</v>
      </c>
      <c r="B3049" t="s">
        <v>100</v>
      </c>
      <c r="C3049" s="8">
        <v>46278</v>
      </c>
      <c r="D3049" t="s">
        <v>350</v>
      </c>
      <c r="E3049" t="s">
        <v>334</v>
      </c>
      <c r="F3049" s="12">
        <v>379794</v>
      </c>
      <c r="G3049" s="13">
        <v>37</v>
      </c>
      <c r="H3049" t="s">
        <v>3375</v>
      </c>
      <c r="I3049" s="8">
        <v>46122</v>
      </c>
      <c r="J3049" t="s">
        <v>2685</v>
      </c>
      <c r="K3049" t="s">
        <v>2686</v>
      </c>
      <c r="L3049" s="13">
        <v>5000</v>
      </c>
      <c r="M3049" t="s">
        <v>2676</v>
      </c>
    </row>
    <row r="3050" spans="1:13">
      <c r="A3050" t="s">
        <v>1366</v>
      </c>
      <c r="B3050" t="s">
        <v>176</v>
      </c>
      <c r="C3050" s="8">
        <v>46259</v>
      </c>
      <c r="D3050" t="s">
        <v>332</v>
      </c>
      <c r="E3050" t="s">
        <v>334</v>
      </c>
      <c r="F3050" s="12">
        <v>409621</v>
      </c>
      <c r="G3050" s="13">
        <v>40</v>
      </c>
      <c r="H3050" t="s">
        <v>2717</v>
      </c>
      <c r="I3050" s="8">
        <v>46184</v>
      </c>
      <c r="J3050" t="s">
        <v>2692</v>
      </c>
      <c r="K3050" t="s">
        <v>2693</v>
      </c>
      <c r="L3050" s="13">
        <v>10000</v>
      </c>
      <c r="M3050" t="s">
        <v>2661</v>
      </c>
    </row>
    <row r="3051" spans="1:13">
      <c r="A3051" t="s">
        <v>1366</v>
      </c>
      <c r="B3051" t="s">
        <v>176</v>
      </c>
      <c r="C3051" s="8">
        <v>46259</v>
      </c>
      <c r="D3051" t="s">
        <v>332</v>
      </c>
      <c r="E3051" t="s">
        <v>334</v>
      </c>
      <c r="F3051" s="12">
        <v>409621</v>
      </c>
      <c r="G3051" s="13">
        <v>40</v>
      </c>
      <c r="H3051" t="s">
        <v>3103</v>
      </c>
      <c r="I3051" s="8">
        <v>46188</v>
      </c>
      <c r="J3051" t="s">
        <v>2692</v>
      </c>
      <c r="K3051" t="s">
        <v>2693</v>
      </c>
      <c r="L3051" s="13">
        <v>10000</v>
      </c>
      <c r="M3051" t="s">
        <v>2661</v>
      </c>
    </row>
    <row r="3052" spans="1:13">
      <c r="A3052" t="s">
        <v>1366</v>
      </c>
      <c r="B3052" t="s">
        <v>176</v>
      </c>
      <c r="C3052" s="8">
        <v>46259</v>
      </c>
      <c r="D3052" t="s">
        <v>332</v>
      </c>
      <c r="E3052" t="s">
        <v>334</v>
      </c>
      <c r="F3052" s="12">
        <v>409621</v>
      </c>
      <c r="G3052" s="13">
        <v>40</v>
      </c>
      <c r="H3052" t="s">
        <v>3218</v>
      </c>
      <c r="I3052" s="8">
        <v>46220</v>
      </c>
      <c r="J3052" t="s">
        <v>2665</v>
      </c>
      <c r="K3052" t="s">
        <v>2666</v>
      </c>
      <c r="L3052" s="13">
        <v>2500</v>
      </c>
      <c r="M3052" t="s">
        <v>2661</v>
      </c>
    </row>
    <row r="3053" spans="1:13">
      <c r="A3053" t="s">
        <v>1366</v>
      </c>
      <c r="B3053" t="s">
        <v>176</v>
      </c>
      <c r="C3053" s="8">
        <v>46259</v>
      </c>
      <c r="D3053" t="s">
        <v>332</v>
      </c>
      <c r="E3053" t="s">
        <v>334</v>
      </c>
      <c r="F3053" s="12">
        <v>409621</v>
      </c>
      <c r="G3053" s="13">
        <v>40</v>
      </c>
      <c r="H3053" t="s">
        <v>3249</v>
      </c>
      <c r="I3053" s="8">
        <v>46152</v>
      </c>
      <c r="J3053" t="s">
        <v>2688</v>
      </c>
      <c r="K3053" t="s">
        <v>2689</v>
      </c>
      <c r="L3053" s="13">
        <v>8000</v>
      </c>
      <c r="M3053" t="s">
        <v>2661</v>
      </c>
    </row>
    <row r="3054" spans="1:13">
      <c r="A3054" t="s">
        <v>1366</v>
      </c>
      <c r="B3054" t="s">
        <v>176</v>
      </c>
      <c r="C3054" s="8">
        <v>46259</v>
      </c>
      <c r="D3054" t="s">
        <v>332</v>
      </c>
      <c r="E3054" t="s">
        <v>334</v>
      </c>
      <c r="F3054" s="12">
        <v>409621</v>
      </c>
      <c r="G3054" s="13">
        <v>40</v>
      </c>
      <c r="H3054" t="s">
        <v>3517</v>
      </c>
      <c r="I3054" s="8">
        <v>45968</v>
      </c>
      <c r="J3054" t="s">
        <v>2663</v>
      </c>
      <c r="K3054" t="s">
        <v>3630</v>
      </c>
      <c r="L3054" s="13">
        <v>1500</v>
      </c>
      <c r="M3054" t="s">
        <v>2661</v>
      </c>
    </row>
    <row r="3055" spans="1:13">
      <c r="A3055" t="s">
        <v>1366</v>
      </c>
      <c r="B3055" t="s">
        <v>176</v>
      </c>
      <c r="C3055" s="8">
        <v>46259</v>
      </c>
      <c r="D3055" t="s">
        <v>332</v>
      </c>
      <c r="E3055" t="s">
        <v>334</v>
      </c>
      <c r="F3055" s="12">
        <v>409621</v>
      </c>
      <c r="G3055" s="13">
        <v>40</v>
      </c>
      <c r="H3055" t="s">
        <v>3532</v>
      </c>
      <c r="I3055" s="8">
        <v>46081</v>
      </c>
      <c r="J3055" t="s">
        <v>2671</v>
      </c>
      <c r="K3055" t="s">
        <v>2672</v>
      </c>
      <c r="L3055" s="13">
        <v>3000</v>
      </c>
      <c r="M3055" t="s">
        <v>2661</v>
      </c>
    </row>
    <row r="3056" spans="1:13">
      <c r="A3056" t="s">
        <v>1367</v>
      </c>
      <c r="B3056" t="s">
        <v>186</v>
      </c>
      <c r="C3056" s="8">
        <v>45934</v>
      </c>
      <c r="D3056" t="s">
        <v>332</v>
      </c>
      <c r="E3056" t="s">
        <v>337</v>
      </c>
      <c r="F3056" s="12">
        <v>88067</v>
      </c>
      <c r="G3056" s="13">
        <v>8</v>
      </c>
      <c r="H3056" t="s">
        <v>3509</v>
      </c>
      <c r="I3056" s="8">
        <v>46214</v>
      </c>
      <c r="J3056" t="s">
        <v>2668</v>
      </c>
      <c r="K3056" t="s">
        <v>2669</v>
      </c>
      <c r="L3056" s="13">
        <v>4000</v>
      </c>
      <c r="M3056" t="s">
        <v>2661</v>
      </c>
    </row>
    <row r="3057" spans="1:13">
      <c r="A3057" t="s">
        <v>1368</v>
      </c>
      <c r="B3057" t="s">
        <v>290</v>
      </c>
      <c r="C3057" s="8">
        <v>45991</v>
      </c>
      <c r="D3057" t="s">
        <v>330</v>
      </c>
      <c r="E3057" t="s">
        <v>328</v>
      </c>
      <c r="F3057" s="12">
        <v>131460</v>
      </c>
      <c r="G3057" s="13">
        <v>13</v>
      </c>
      <c r="H3057" t="s">
        <v>3253</v>
      </c>
      <c r="I3057" s="8">
        <v>46053</v>
      </c>
      <c r="J3057" t="s">
        <v>2688</v>
      </c>
      <c r="K3057" t="s">
        <v>2689</v>
      </c>
      <c r="L3057" s="13">
        <v>8000</v>
      </c>
      <c r="M3057" t="s">
        <v>2661</v>
      </c>
    </row>
    <row r="3058" spans="1:13">
      <c r="A3058" t="s">
        <v>1368</v>
      </c>
      <c r="B3058" t="s">
        <v>290</v>
      </c>
      <c r="C3058" s="8">
        <v>45991</v>
      </c>
      <c r="D3058" t="s">
        <v>330</v>
      </c>
      <c r="E3058" t="s">
        <v>328</v>
      </c>
      <c r="F3058" s="12">
        <v>131460</v>
      </c>
      <c r="G3058" s="13">
        <v>13</v>
      </c>
      <c r="H3058" t="s">
        <v>3256</v>
      </c>
      <c r="I3058" s="8">
        <v>45968</v>
      </c>
      <c r="J3058" t="s">
        <v>2688</v>
      </c>
      <c r="K3058" t="s">
        <v>2689</v>
      </c>
      <c r="L3058" s="13">
        <v>8000</v>
      </c>
      <c r="M3058" t="s">
        <v>2676</v>
      </c>
    </row>
    <row r="3059" spans="1:13">
      <c r="A3059" t="s">
        <v>1369</v>
      </c>
      <c r="B3059" t="s">
        <v>212</v>
      </c>
      <c r="C3059" s="8">
        <v>45985</v>
      </c>
      <c r="D3059" t="s">
        <v>350</v>
      </c>
      <c r="E3059" t="s">
        <v>325</v>
      </c>
      <c r="F3059" s="12">
        <v>266866</v>
      </c>
      <c r="G3059" s="13">
        <v>26</v>
      </c>
      <c r="H3059" t="s">
        <v>2760</v>
      </c>
      <c r="I3059" s="8">
        <v>46244</v>
      </c>
      <c r="J3059" t="s">
        <v>2668</v>
      </c>
      <c r="K3059" t="s">
        <v>2669</v>
      </c>
      <c r="L3059" s="13">
        <v>4000</v>
      </c>
      <c r="M3059" t="s">
        <v>2661</v>
      </c>
    </row>
    <row r="3060" spans="1:13">
      <c r="A3060" t="s">
        <v>1369</v>
      </c>
      <c r="B3060" t="s">
        <v>212</v>
      </c>
      <c r="C3060" s="8">
        <v>45985</v>
      </c>
      <c r="D3060" t="s">
        <v>350</v>
      </c>
      <c r="E3060" t="s">
        <v>325</v>
      </c>
      <c r="F3060" s="12">
        <v>266866</v>
      </c>
      <c r="G3060" s="13">
        <v>26</v>
      </c>
      <c r="H3060" t="s">
        <v>2935</v>
      </c>
      <c r="I3060" s="8">
        <v>46216</v>
      </c>
      <c r="J3060" t="s">
        <v>2665</v>
      </c>
      <c r="K3060" t="s">
        <v>2666</v>
      </c>
      <c r="L3060" s="13">
        <v>2500</v>
      </c>
      <c r="M3060" t="s">
        <v>2661</v>
      </c>
    </row>
    <row r="3061" spans="1:13">
      <c r="A3061" t="s">
        <v>1369</v>
      </c>
      <c r="B3061" t="s">
        <v>212</v>
      </c>
      <c r="C3061" s="8">
        <v>45985</v>
      </c>
      <c r="D3061" t="s">
        <v>350</v>
      </c>
      <c r="E3061" t="s">
        <v>325</v>
      </c>
      <c r="F3061" s="12">
        <v>266866</v>
      </c>
      <c r="G3061" s="13">
        <v>26</v>
      </c>
      <c r="H3061" t="s">
        <v>3100</v>
      </c>
      <c r="I3061" s="8">
        <v>46226</v>
      </c>
      <c r="J3061" t="s">
        <v>2665</v>
      </c>
      <c r="K3061" t="s">
        <v>2666</v>
      </c>
      <c r="L3061" s="13">
        <v>2500</v>
      </c>
      <c r="M3061" t="s">
        <v>2661</v>
      </c>
    </row>
    <row r="3062" spans="1:13">
      <c r="A3062" t="s">
        <v>1370</v>
      </c>
      <c r="B3062" t="s">
        <v>287</v>
      </c>
      <c r="C3062" s="8">
        <v>45992</v>
      </c>
      <c r="D3062" t="s">
        <v>324</v>
      </c>
      <c r="E3062" t="s">
        <v>325</v>
      </c>
      <c r="F3062" s="12">
        <v>57486</v>
      </c>
      <c r="G3062" s="13">
        <v>5</v>
      </c>
      <c r="H3062" t="s">
        <v>2902</v>
      </c>
      <c r="I3062" s="8">
        <v>46135</v>
      </c>
      <c r="J3062" t="s">
        <v>2692</v>
      </c>
      <c r="K3062" t="s">
        <v>2693</v>
      </c>
      <c r="L3062" s="13">
        <v>10000</v>
      </c>
      <c r="M3062" t="s">
        <v>2661</v>
      </c>
    </row>
    <row r="3063" spans="1:13">
      <c r="A3063" t="s">
        <v>1370</v>
      </c>
      <c r="B3063" t="s">
        <v>287</v>
      </c>
      <c r="C3063" s="8">
        <v>45992</v>
      </c>
      <c r="D3063" t="s">
        <v>324</v>
      </c>
      <c r="E3063" t="s">
        <v>325</v>
      </c>
      <c r="F3063" s="12">
        <v>57486</v>
      </c>
      <c r="G3063" s="13">
        <v>5</v>
      </c>
      <c r="H3063" t="s">
        <v>2980</v>
      </c>
      <c r="I3063" s="8">
        <v>46280</v>
      </c>
      <c r="J3063" t="s">
        <v>2663</v>
      </c>
      <c r="K3063" t="s">
        <v>3630</v>
      </c>
      <c r="L3063" s="13">
        <v>1500</v>
      </c>
      <c r="M3063" t="s">
        <v>2661</v>
      </c>
    </row>
    <row r="3064" spans="1:13">
      <c r="A3064" t="s">
        <v>1370</v>
      </c>
      <c r="B3064" t="s">
        <v>287</v>
      </c>
      <c r="C3064" s="8">
        <v>45992</v>
      </c>
      <c r="D3064" t="s">
        <v>324</v>
      </c>
      <c r="E3064" t="s">
        <v>325</v>
      </c>
      <c r="F3064" s="12">
        <v>57486</v>
      </c>
      <c r="G3064" s="13">
        <v>5</v>
      </c>
      <c r="H3064" t="s">
        <v>3096</v>
      </c>
      <c r="I3064" s="8">
        <v>46218</v>
      </c>
      <c r="J3064" t="s">
        <v>2688</v>
      </c>
      <c r="K3064" t="s">
        <v>2689</v>
      </c>
      <c r="L3064" s="13">
        <v>8000</v>
      </c>
      <c r="M3064" t="s">
        <v>2661</v>
      </c>
    </row>
    <row r="3065" spans="1:13">
      <c r="A3065" t="s">
        <v>1370</v>
      </c>
      <c r="B3065" t="s">
        <v>287</v>
      </c>
      <c r="C3065" s="8">
        <v>45992</v>
      </c>
      <c r="D3065" t="s">
        <v>324</v>
      </c>
      <c r="E3065" t="s">
        <v>325</v>
      </c>
      <c r="F3065" s="12">
        <v>57486</v>
      </c>
      <c r="G3065" s="13">
        <v>5</v>
      </c>
      <c r="H3065" t="s">
        <v>3129</v>
      </c>
      <c r="I3065" s="8">
        <v>45981</v>
      </c>
      <c r="J3065" t="s">
        <v>2685</v>
      </c>
      <c r="K3065" t="s">
        <v>2686</v>
      </c>
      <c r="L3065" s="13">
        <v>5000</v>
      </c>
      <c r="M3065" t="s">
        <v>2661</v>
      </c>
    </row>
    <row r="3066" spans="1:13">
      <c r="A3066" t="s">
        <v>1370</v>
      </c>
      <c r="B3066" t="s">
        <v>287</v>
      </c>
      <c r="C3066" s="8">
        <v>45992</v>
      </c>
      <c r="D3066" t="s">
        <v>324</v>
      </c>
      <c r="E3066" t="s">
        <v>325</v>
      </c>
      <c r="F3066" s="12">
        <v>57486</v>
      </c>
      <c r="G3066" s="13">
        <v>5</v>
      </c>
      <c r="H3066" t="s">
        <v>3237</v>
      </c>
      <c r="I3066" s="8">
        <v>46146</v>
      </c>
      <c r="J3066" t="s">
        <v>2682</v>
      </c>
      <c r="K3066" t="s">
        <v>2683</v>
      </c>
      <c r="L3066" s="13">
        <v>6000</v>
      </c>
      <c r="M3066" t="s">
        <v>2676</v>
      </c>
    </row>
    <row r="3067" spans="1:13">
      <c r="A3067" t="s">
        <v>1370</v>
      </c>
      <c r="B3067" t="s">
        <v>287</v>
      </c>
      <c r="C3067" s="8">
        <v>45992</v>
      </c>
      <c r="D3067" t="s">
        <v>324</v>
      </c>
      <c r="E3067" t="s">
        <v>325</v>
      </c>
      <c r="F3067" s="12">
        <v>57486</v>
      </c>
      <c r="G3067" s="13">
        <v>5</v>
      </c>
      <c r="H3067" t="s">
        <v>3576</v>
      </c>
      <c r="I3067" s="8">
        <v>46119</v>
      </c>
      <c r="J3067" t="s">
        <v>2688</v>
      </c>
      <c r="K3067" t="s">
        <v>2689</v>
      </c>
      <c r="L3067" s="13">
        <v>8000</v>
      </c>
      <c r="M3067" t="s">
        <v>2661</v>
      </c>
    </row>
    <row r="3068" spans="1:13">
      <c r="A3068" t="s">
        <v>1372</v>
      </c>
      <c r="B3068" t="s">
        <v>241</v>
      </c>
      <c r="C3068" s="8">
        <v>46037</v>
      </c>
      <c r="D3068" t="s">
        <v>332</v>
      </c>
      <c r="E3068" t="s">
        <v>325</v>
      </c>
      <c r="F3068" s="12">
        <v>44930</v>
      </c>
      <c r="G3068" s="13">
        <v>4</v>
      </c>
      <c r="H3068" t="s">
        <v>2911</v>
      </c>
      <c r="I3068" s="8">
        <v>46173</v>
      </c>
      <c r="J3068" t="s">
        <v>2692</v>
      </c>
      <c r="K3068" t="s">
        <v>2693</v>
      </c>
      <c r="L3068" s="13">
        <v>10000</v>
      </c>
      <c r="M3068" t="s">
        <v>2661</v>
      </c>
    </row>
    <row r="3069" spans="1:13">
      <c r="A3069" t="s">
        <v>1372</v>
      </c>
      <c r="B3069" t="s">
        <v>241</v>
      </c>
      <c r="C3069" s="8">
        <v>46037</v>
      </c>
      <c r="D3069" t="s">
        <v>332</v>
      </c>
      <c r="E3069" t="s">
        <v>325</v>
      </c>
      <c r="F3069" s="12">
        <v>44930</v>
      </c>
      <c r="G3069" s="13">
        <v>4</v>
      </c>
      <c r="H3069" t="s">
        <v>3174</v>
      </c>
      <c r="I3069" s="8">
        <v>46189</v>
      </c>
      <c r="J3069" t="s">
        <v>2674</v>
      </c>
      <c r="K3069" t="s">
        <v>2675</v>
      </c>
      <c r="L3069" s="13">
        <v>20000</v>
      </c>
      <c r="M3069" t="s">
        <v>2661</v>
      </c>
    </row>
    <row r="3070" spans="1:13">
      <c r="A3070" t="s">
        <v>1372</v>
      </c>
      <c r="B3070" t="s">
        <v>241</v>
      </c>
      <c r="C3070" s="8">
        <v>46037</v>
      </c>
      <c r="D3070" t="s">
        <v>332</v>
      </c>
      <c r="E3070" t="s">
        <v>325</v>
      </c>
      <c r="F3070" s="12">
        <v>44930</v>
      </c>
      <c r="G3070" s="13">
        <v>4</v>
      </c>
      <c r="H3070" t="s">
        <v>3419</v>
      </c>
      <c r="I3070" s="8">
        <v>46084</v>
      </c>
      <c r="J3070" t="s">
        <v>2665</v>
      </c>
      <c r="K3070" t="s">
        <v>2666</v>
      </c>
      <c r="L3070" s="13">
        <v>2500</v>
      </c>
      <c r="M3070" t="s">
        <v>2661</v>
      </c>
    </row>
    <row r="3071" spans="1:13">
      <c r="A3071" t="s">
        <v>1372</v>
      </c>
      <c r="B3071" t="s">
        <v>241</v>
      </c>
      <c r="C3071" s="8">
        <v>46037</v>
      </c>
      <c r="D3071" t="s">
        <v>332</v>
      </c>
      <c r="E3071" t="s">
        <v>325</v>
      </c>
      <c r="F3071" s="12">
        <v>44930</v>
      </c>
      <c r="G3071" s="13">
        <v>4</v>
      </c>
      <c r="H3071" t="s">
        <v>3526</v>
      </c>
      <c r="I3071" s="8">
        <v>46211</v>
      </c>
      <c r="J3071" t="s">
        <v>2671</v>
      </c>
      <c r="K3071" t="s">
        <v>2672</v>
      </c>
      <c r="L3071" s="13">
        <v>3000</v>
      </c>
      <c r="M3071" t="s">
        <v>2661</v>
      </c>
    </row>
    <row r="3072" spans="1:13">
      <c r="A3072" t="s">
        <v>1373</v>
      </c>
      <c r="B3072" t="s">
        <v>77</v>
      </c>
      <c r="C3072" s="8">
        <v>46163</v>
      </c>
      <c r="D3072" t="s">
        <v>350</v>
      </c>
      <c r="E3072" t="s">
        <v>339</v>
      </c>
      <c r="F3072" s="12">
        <v>398792</v>
      </c>
      <c r="G3072" s="13">
        <v>39</v>
      </c>
      <c r="H3072" t="s">
        <v>2808</v>
      </c>
      <c r="I3072" s="8">
        <v>45978</v>
      </c>
      <c r="J3072" t="s">
        <v>2688</v>
      </c>
      <c r="K3072" t="s">
        <v>2689</v>
      </c>
      <c r="L3072" s="13">
        <v>8000</v>
      </c>
      <c r="M3072" t="s">
        <v>2661</v>
      </c>
    </row>
    <row r="3073" spans="1:13">
      <c r="A3073" t="s">
        <v>1373</v>
      </c>
      <c r="B3073" t="s">
        <v>77</v>
      </c>
      <c r="C3073" s="8">
        <v>46163</v>
      </c>
      <c r="D3073" t="s">
        <v>350</v>
      </c>
      <c r="E3073" t="s">
        <v>339</v>
      </c>
      <c r="F3073" s="12">
        <v>398792</v>
      </c>
      <c r="G3073" s="13">
        <v>39</v>
      </c>
      <c r="H3073" t="s">
        <v>3166</v>
      </c>
      <c r="I3073" s="8">
        <v>46075</v>
      </c>
      <c r="J3073" t="s">
        <v>2668</v>
      </c>
      <c r="K3073" t="s">
        <v>2669</v>
      </c>
      <c r="L3073" s="13">
        <v>4000</v>
      </c>
      <c r="M3073" t="s">
        <v>2661</v>
      </c>
    </row>
    <row r="3074" spans="1:13">
      <c r="A3074" t="s">
        <v>1373</v>
      </c>
      <c r="B3074" t="s">
        <v>77</v>
      </c>
      <c r="C3074" s="8">
        <v>46163</v>
      </c>
      <c r="D3074" t="s">
        <v>350</v>
      </c>
      <c r="E3074" t="s">
        <v>339</v>
      </c>
      <c r="F3074" s="12">
        <v>398792</v>
      </c>
      <c r="G3074" s="13">
        <v>39</v>
      </c>
      <c r="H3074" t="s">
        <v>3326</v>
      </c>
      <c r="I3074" s="8">
        <v>46123</v>
      </c>
      <c r="J3074" t="s">
        <v>2688</v>
      </c>
      <c r="K3074" t="s">
        <v>2689</v>
      </c>
      <c r="L3074" s="13">
        <v>8000</v>
      </c>
      <c r="M3074" t="s">
        <v>2661</v>
      </c>
    </row>
    <row r="3075" spans="1:13">
      <c r="A3075" t="s">
        <v>1375</v>
      </c>
      <c r="B3075" t="s">
        <v>35</v>
      </c>
      <c r="C3075" s="8">
        <v>45992</v>
      </c>
      <c r="D3075" t="s">
        <v>344</v>
      </c>
      <c r="E3075" t="s">
        <v>325</v>
      </c>
      <c r="F3075" s="12">
        <v>206524</v>
      </c>
      <c r="G3075" s="13">
        <v>20</v>
      </c>
      <c r="H3075" t="s">
        <v>2710</v>
      </c>
      <c r="I3075" s="8">
        <v>46221</v>
      </c>
      <c r="J3075" t="s">
        <v>2674</v>
      </c>
      <c r="K3075" t="s">
        <v>2675</v>
      </c>
      <c r="L3075" s="13">
        <v>20000</v>
      </c>
      <c r="M3075" t="s">
        <v>2661</v>
      </c>
    </row>
    <row r="3076" spans="1:13">
      <c r="A3076" t="s">
        <v>1375</v>
      </c>
      <c r="B3076" t="s">
        <v>35</v>
      </c>
      <c r="C3076" s="8">
        <v>45992</v>
      </c>
      <c r="D3076" t="s">
        <v>344</v>
      </c>
      <c r="E3076" t="s">
        <v>325</v>
      </c>
      <c r="F3076" s="12">
        <v>206524</v>
      </c>
      <c r="G3076" s="13">
        <v>20</v>
      </c>
      <c r="H3076" t="s">
        <v>2851</v>
      </c>
      <c r="I3076" s="8">
        <v>45972</v>
      </c>
      <c r="J3076" t="s">
        <v>2685</v>
      </c>
      <c r="K3076" t="s">
        <v>2686</v>
      </c>
      <c r="L3076" s="13">
        <v>5000</v>
      </c>
      <c r="M3076" t="s">
        <v>2676</v>
      </c>
    </row>
    <row r="3077" spans="1:13">
      <c r="A3077" t="s">
        <v>1375</v>
      </c>
      <c r="B3077" t="s">
        <v>35</v>
      </c>
      <c r="C3077" s="8">
        <v>45992</v>
      </c>
      <c r="D3077" t="s">
        <v>344</v>
      </c>
      <c r="E3077" t="s">
        <v>325</v>
      </c>
      <c r="F3077" s="12">
        <v>206524</v>
      </c>
      <c r="G3077" s="13">
        <v>20</v>
      </c>
      <c r="H3077" t="s">
        <v>3028</v>
      </c>
      <c r="I3077" s="8">
        <v>46110</v>
      </c>
      <c r="J3077" t="s">
        <v>2665</v>
      </c>
      <c r="K3077" t="s">
        <v>2666</v>
      </c>
      <c r="L3077" s="13">
        <v>2500</v>
      </c>
      <c r="M3077" t="s">
        <v>2661</v>
      </c>
    </row>
    <row r="3078" spans="1:13">
      <c r="A3078" t="s">
        <v>1375</v>
      </c>
      <c r="B3078" t="s">
        <v>35</v>
      </c>
      <c r="C3078" s="8">
        <v>45992</v>
      </c>
      <c r="D3078" t="s">
        <v>344</v>
      </c>
      <c r="E3078" t="s">
        <v>325</v>
      </c>
      <c r="F3078" s="12">
        <v>206524</v>
      </c>
      <c r="G3078" s="13">
        <v>20</v>
      </c>
      <c r="H3078" t="s">
        <v>3205</v>
      </c>
      <c r="I3078" s="8">
        <v>46245</v>
      </c>
      <c r="J3078" t="s">
        <v>2668</v>
      </c>
      <c r="K3078" t="s">
        <v>2669</v>
      </c>
      <c r="L3078" s="13">
        <v>4000</v>
      </c>
      <c r="M3078" t="s">
        <v>2661</v>
      </c>
    </row>
    <row r="3079" spans="1:13">
      <c r="A3079" t="s">
        <v>1375</v>
      </c>
      <c r="B3079" t="s">
        <v>35</v>
      </c>
      <c r="C3079" s="8">
        <v>45992</v>
      </c>
      <c r="D3079" t="s">
        <v>344</v>
      </c>
      <c r="E3079" t="s">
        <v>325</v>
      </c>
      <c r="F3079" s="12">
        <v>206524</v>
      </c>
      <c r="G3079" s="13">
        <v>20</v>
      </c>
      <c r="H3079" t="s">
        <v>3247</v>
      </c>
      <c r="I3079" s="8">
        <v>45963</v>
      </c>
      <c r="J3079" t="s">
        <v>2682</v>
      </c>
      <c r="K3079" t="s">
        <v>2683</v>
      </c>
      <c r="L3079" s="13">
        <v>6000</v>
      </c>
      <c r="M3079" t="s">
        <v>2661</v>
      </c>
    </row>
    <row r="3080" spans="1:13">
      <c r="A3080" t="s">
        <v>1375</v>
      </c>
      <c r="B3080" t="s">
        <v>35</v>
      </c>
      <c r="C3080" s="8">
        <v>45992</v>
      </c>
      <c r="D3080" t="s">
        <v>344</v>
      </c>
      <c r="E3080" t="s">
        <v>325</v>
      </c>
      <c r="F3080" s="12">
        <v>206524</v>
      </c>
      <c r="G3080" s="13">
        <v>20</v>
      </c>
      <c r="H3080" t="s">
        <v>3455</v>
      </c>
      <c r="I3080" s="8">
        <v>46174</v>
      </c>
      <c r="J3080" t="s">
        <v>2663</v>
      </c>
      <c r="K3080" t="s">
        <v>3630</v>
      </c>
      <c r="L3080" s="13">
        <v>1500</v>
      </c>
      <c r="M3080" t="s">
        <v>2661</v>
      </c>
    </row>
    <row r="3081" spans="1:13">
      <c r="A3081" t="s">
        <v>1376</v>
      </c>
      <c r="B3081" t="s">
        <v>110</v>
      </c>
      <c r="C3081" s="8">
        <v>45994</v>
      </c>
      <c r="D3081" t="s">
        <v>332</v>
      </c>
      <c r="E3081" t="s">
        <v>334</v>
      </c>
      <c r="F3081" s="12">
        <v>201086</v>
      </c>
      <c r="G3081" s="13">
        <v>20</v>
      </c>
      <c r="H3081" t="s">
        <v>3413</v>
      </c>
      <c r="I3081" s="8">
        <v>46031</v>
      </c>
      <c r="J3081" t="s">
        <v>2685</v>
      </c>
      <c r="K3081" t="s">
        <v>2686</v>
      </c>
      <c r="L3081" s="13">
        <v>5000</v>
      </c>
      <c r="M3081" t="s">
        <v>2661</v>
      </c>
    </row>
    <row r="3082" spans="1:13">
      <c r="A3082" t="s">
        <v>1376</v>
      </c>
      <c r="B3082" t="s">
        <v>110</v>
      </c>
      <c r="C3082" s="8">
        <v>45994</v>
      </c>
      <c r="D3082" t="s">
        <v>332</v>
      </c>
      <c r="E3082" t="s">
        <v>334</v>
      </c>
      <c r="F3082" s="12">
        <v>201086</v>
      </c>
      <c r="G3082" s="13">
        <v>20</v>
      </c>
      <c r="H3082" t="s">
        <v>3438</v>
      </c>
      <c r="I3082" s="8">
        <v>45935</v>
      </c>
      <c r="J3082" t="s">
        <v>2668</v>
      </c>
      <c r="K3082" t="s">
        <v>2669</v>
      </c>
      <c r="L3082" s="13">
        <v>4000</v>
      </c>
      <c r="M3082" t="s">
        <v>2661</v>
      </c>
    </row>
    <row r="3083" spans="1:13">
      <c r="A3083" t="s">
        <v>1376</v>
      </c>
      <c r="B3083" t="s">
        <v>110</v>
      </c>
      <c r="C3083" s="8">
        <v>45994</v>
      </c>
      <c r="D3083" t="s">
        <v>332</v>
      </c>
      <c r="E3083" t="s">
        <v>334</v>
      </c>
      <c r="F3083" s="12">
        <v>201086</v>
      </c>
      <c r="G3083" s="13">
        <v>20</v>
      </c>
      <c r="H3083" t="s">
        <v>3543</v>
      </c>
      <c r="I3083" s="8">
        <v>46256</v>
      </c>
      <c r="J3083" t="s">
        <v>2663</v>
      </c>
      <c r="K3083" t="s">
        <v>3630</v>
      </c>
      <c r="L3083" s="13">
        <v>1500</v>
      </c>
      <c r="M3083" t="s">
        <v>2676</v>
      </c>
    </row>
    <row r="3084" spans="1:13">
      <c r="A3084" t="s">
        <v>1377</v>
      </c>
      <c r="B3084" t="s">
        <v>198</v>
      </c>
      <c r="C3084" s="8">
        <v>46044</v>
      </c>
      <c r="D3084" t="s">
        <v>350</v>
      </c>
      <c r="E3084" t="s">
        <v>322</v>
      </c>
      <c r="F3084" s="12">
        <v>190554</v>
      </c>
      <c r="G3084" s="13">
        <v>19</v>
      </c>
      <c r="H3084" t="s">
        <v>2904</v>
      </c>
      <c r="I3084" s="8">
        <v>46244</v>
      </c>
      <c r="J3084" t="s">
        <v>2659</v>
      </c>
      <c r="K3084" t="s">
        <v>2660</v>
      </c>
      <c r="L3084" s="13">
        <v>3500</v>
      </c>
      <c r="M3084" t="s">
        <v>2661</v>
      </c>
    </row>
    <row r="3085" spans="1:13">
      <c r="A3085" t="s">
        <v>1378</v>
      </c>
      <c r="B3085" t="s">
        <v>194</v>
      </c>
      <c r="C3085" s="8">
        <v>46291</v>
      </c>
      <c r="D3085" t="s">
        <v>342</v>
      </c>
      <c r="E3085" t="s">
        <v>322</v>
      </c>
      <c r="F3085" s="12">
        <v>101138</v>
      </c>
      <c r="G3085" s="13">
        <v>10</v>
      </c>
      <c r="H3085" t="s">
        <v>2698</v>
      </c>
      <c r="I3085" s="8">
        <v>46045</v>
      </c>
      <c r="J3085" t="s">
        <v>2671</v>
      </c>
      <c r="K3085" t="s">
        <v>2672</v>
      </c>
      <c r="L3085" s="13">
        <v>3000</v>
      </c>
      <c r="M3085" t="s">
        <v>2661</v>
      </c>
    </row>
    <row r="3086" spans="1:13">
      <c r="A3086" t="s">
        <v>1378</v>
      </c>
      <c r="B3086" t="s">
        <v>194</v>
      </c>
      <c r="C3086" s="8">
        <v>46291</v>
      </c>
      <c r="D3086" t="s">
        <v>342</v>
      </c>
      <c r="E3086" t="s">
        <v>322</v>
      </c>
      <c r="F3086" s="12">
        <v>101138</v>
      </c>
      <c r="G3086" s="13">
        <v>10</v>
      </c>
      <c r="H3086" t="s">
        <v>2939</v>
      </c>
      <c r="I3086" s="8">
        <v>46020</v>
      </c>
      <c r="J3086" t="s">
        <v>2692</v>
      </c>
      <c r="K3086" t="s">
        <v>2693</v>
      </c>
      <c r="L3086" s="13">
        <v>10000</v>
      </c>
      <c r="M3086" t="s">
        <v>2676</v>
      </c>
    </row>
    <row r="3087" spans="1:13">
      <c r="A3087" t="s">
        <v>1378</v>
      </c>
      <c r="B3087" t="s">
        <v>194</v>
      </c>
      <c r="C3087" s="8">
        <v>46291</v>
      </c>
      <c r="D3087" t="s">
        <v>342</v>
      </c>
      <c r="E3087" t="s">
        <v>322</v>
      </c>
      <c r="F3087" s="12">
        <v>101138</v>
      </c>
      <c r="G3087" s="13">
        <v>10</v>
      </c>
      <c r="H3087" t="s">
        <v>3288</v>
      </c>
      <c r="I3087" s="8">
        <v>46062</v>
      </c>
      <c r="J3087" t="s">
        <v>2688</v>
      </c>
      <c r="K3087" t="s">
        <v>2689</v>
      </c>
      <c r="L3087" s="13">
        <v>8000</v>
      </c>
      <c r="M3087" t="s">
        <v>2661</v>
      </c>
    </row>
    <row r="3088" spans="1:13">
      <c r="A3088" t="s">
        <v>1379</v>
      </c>
      <c r="B3088" t="s">
        <v>232</v>
      </c>
      <c r="C3088" s="8">
        <v>45944</v>
      </c>
      <c r="D3088" t="s">
        <v>327</v>
      </c>
      <c r="E3088" t="s">
        <v>322</v>
      </c>
      <c r="F3088" s="12">
        <v>96797</v>
      </c>
      <c r="G3088" s="13">
        <v>9</v>
      </c>
      <c r="H3088" t="s">
        <v>2819</v>
      </c>
      <c r="I3088" s="8">
        <v>46271</v>
      </c>
      <c r="J3088" t="s">
        <v>2674</v>
      </c>
      <c r="K3088" t="s">
        <v>2675</v>
      </c>
      <c r="L3088" s="13">
        <v>20000</v>
      </c>
      <c r="M3088" t="s">
        <v>2661</v>
      </c>
    </row>
    <row r="3089" spans="1:13">
      <c r="A3089" t="s">
        <v>1379</v>
      </c>
      <c r="B3089" t="s">
        <v>232</v>
      </c>
      <c r="C3089" s="8">
        <v>45944</v>
      </c>
      <c r="D3089" t="s">
        <v>327</v>
      </c>
      <c r="E3089" t="s">
        <v>322</v>
      </c>
      <c r="F3089" s="12">
        <v>96797</v>
      </c>
      <c r="G3089" s="13">
        <v>9</v>
      </c>
      <c r="H3089" t="s">
        <v>2884</v>
      </c>
      <c r="I3089" s="8">
        <v>46028</v>
      </c>
      <c r="J3089" t="s">
        <v>2671</v>
      </c>
      <c r="K3089" t="s">
        <v>2672</v>
      </c>
      <c r="L3089" s="13">
        <v>3000</v>
      </c>
      <c r="M3089" t="s">
        <v>2661</v>
      </c>
    </row>
    <row r="3090" spans="1:13">
      <c r="A3090" t="s">
        <v>1379</v>
      </c>
      <c r="B3090" t="s">
        <v>232</v>
      </c>
      <c r="C3090" s="8">
        <v>45944</v>
      </c>
      <c r="D3090" t="s">
        <v>327</v>
      </c>
      <c r="E3090" t="s">
        <v>322</v>
      </c>
      <c r="F3090" s="12">
        <v>96797</v>
      </c>
      <c r="G3090" s="13">
        <v>9</v>
      </c>
      <c r="H3090" t="s">
        <v>3101</v>
      </c>
      <c r="I3090" s="8">
        <v>46222</v>
      </c>
      <c r="J3090" t="s">
        <v>2688</v>
      </c>
      <c r="K3090" t="s">
        <v>2689</v>
      </c>
      <c r="L3090" s="13">
        <v>8000</v>
      </c>
      <c r="M3090" t="s">
        <v>2676</v>
      </c>
    </row>
    <row r="3091" spans="1:13">
      <c r="A3091" t="s">
        <v>1379</v>
      </c>
      <c r="B3091" t="s">
        <v>232</v>
      </c>
      <c r="C3091" s="8">
        <v>45944</v>
      </c>
      <c r="D3091" t="s">
        <v>327</v>
      </c>
      <c r="E3091" t="s">
        <v>322</v>
      </c>
      <c r="F3091" s="12">
        <v>96797</v>
      </c>
      <c r="G3091" s="13">
        <v>9</v>
      </c>
      <c r="H3091" t="s">
        <v>3463</v>
      </c>
      <c r="I3091" s="8">
        <v>46026</v>
      </c>
      <c r="J3091" t="s">
        <v>2674</v>
      </c>
      <c r="K3091" t="s">
        <v>2675</v>
      </c>
      <c r="L3091" s="13">
        <v>20000</v>
      </c>
      <c r="M3091" t="s">
        <v>2661</v>
      </c>
    </row>
    <row r="3092" spans="1:13">
      <c r="A3092" t="s">
        <v>1379</v>
      </c>
      <c r="B3092" t="s">
        <v>232</v>
      </c>
      <c r="C3092" s="8">
        <v>45944</v>
      </c>
      <c r="D3092" t="s">
        <v>327</v>
      </c>
      <c r="E3092" t="s">
        <v>322</v>
      </c>
      <c r="F3092" s="12">
        <v>96797</v>
      </c>
      <c r="G3092" s="13">
        <v>9</v>
      </c>
      <c r="H3092" t="s">
        <v>3578</v>
      </c>
      <c r="I3092" s="8">
        <v>46141</v>
      </c>
      <c r="J3092" t="s">
        <v>2692</v>
      </c>
      <c r="K3092" t="s">
        <v>2693</v>
      </c>
      <c r="L3092" s="13">
        <v>10000</v>
      </c>
      <c r="M3092" t="s">
        <v>2661</v>
      </c>
    </row>
    <row r="3093" spans="1:13">
      <c r="A3093" t="s">
        <v>1380</v>
      </c>
      <c r="B3093" t="s">
        <v>176</v>
      </c>
      <c r="C3093" s="8">
        <v>46057</v>
      </c>
      <c r="D3093" t="s">
        <v>330</v>
      </c>
      <c r="E3093" t="s">
        <v>337</v>
      </c>
      <c r="F3093" s="12">
        <v>70051</v>
      </c>
      <c r="G3093" s="13">
        <v>7</v>
      </c>
      <c r="H3093" t="s">
        <v>2717</v>
      </c>
      <c r="I3093" s="8">
        <v>46184</v>
      </c>
      <c r="J3093" t="s">
        <v>2692</v>
      </c>
      <c r="K3093" t="s">
        <v>2693</v>
      </c>
      <c r="L3093" s="13">
        <v>10000</v>
      </c>
      <c r="M3093" t="s">
        <v>2661</v>
      </c>
    </row>
    <row r="3094" spans="1:13">
      <c r="A3094" t="s">
        <v>1380</v>
      </c>
      <c r="B3094" t="s">
        <v>176</v>
      </c>
      <c r="C3094" s="8">
        <v>46057</v>
      </c>
      <c r="D3094" t="s">
        <v>330</v>
      </c>
      <c r="E3094" t="s">
        <v>337</v>
      </c>
      <c r="F3094" s="12">
        <v>70051</v>
      </c>
      <c r="G3094" s="13">
        <v>7</v>
      </c>
      <c r="H3094" t="s">
        <v>3103</v>
      </c>
      <c r="I3094" s="8">
        <v>46188</v>
      </c>
      <c r="J3094" t="s">
        <v>2692</v>
      </c>
      <c r="K3094" t="s">
        <v>2693</v>
      </c>
      <c r="L3094" s="13">
        <v>10000</v>
      </c>
      <c r="M3094" t="s">
        <v>2661</v>
      </c>
    </row>
    <row r="3095" spans="1:13">
      <c r="A3095" t="s">
        <v>1380</v>
      </c>
      <c r="B3095" t="s">
        <v>176</v>
      </c>
      <c r="C3095" s="8">
        <v>46057</v>
      </c>
      <c r="D3095" t="s">
        <v>330</v>
      </c>
      <c r="E3095" t="s">
        <v>337</v>
      </c>
      <c r="F3095" s="12">
        <v>70051</v>
      </c>
      <c r="G3095" s="13">
        <v>7</v>
      </c>
      <c r="H3095" t="s">
        <v>3218</v>
      </c>
      <c r="I3095" s="8">
        <v>46220</v>
      </c>
      <c r="J3095" t="s">
        <v>2665</v>
      </c>
      <c r="K3095" t="s">
        <v>2666</v>
      </c>
      <c r="L3095" s="13">
        <v>2500</v>
      </c>
      <c r="M3095" t="s">
        <v>2661</v>
      </c>
    </row>
    <row r="3096" spans="1:13">
      <c r="A3096" t="s">
        <v>1380</v>
      </c>
      <c r="B3096" t="s">
        <v>176</v>
      </c>
      <c r="C3096" s="8">
        <v>46057</v>
      </c>
      <c r="D3096" t="s">
        <v>330</v>
      </c>
      <c r="E3096" t="s">
        <v>337</v>
      </c>
      <c r="F3096" s="12">
        <v>70051</v>
      </c>
      <c r="G3096" s="13">
        <v>7</v>
      </c>
      <c r="H3096" t="s">
        <v>3249</v>
      </c>
      <c r="I3096" s="8">
        <v>46152</v>
      </c>
      <c r="J3096" t="s">
        <v>2688</v>
      </c>
      <c r="K3096" t="s">
        <v>2689</v>
      </c>
      <c r="L3096" s="13">
        <v>8000</v>
      </c>
      <c r="M3096" t="s">
        <v>2661</v>
      </c>
    </row>
    <row r="3097" spans="1:13">
      <c r="A3097" t="s">
        <v>1380</v>
      </c>
      <c r="B3097" t="s">
        <v>176</v>
      </c>
      <c r="C3097" s="8">
        <v>46057</v>
      </c>
      <c r="D3097" t="s">
        <v>330</v>
      </c>
      <c r="E3097" t="s">
        <v>337</v>
      </c>
      <c r="F3097" s="12">
        <v>70051</v>
      </c>
      <c r="G3097" s="13">
        <v>7</v>
      </c>
      <c r="H3097" t="s">
        <v>3517</v>
      </c>
      <c r="I3097" s="8">
        <v>45968</v>
      </c>
      <c r="J3097" t="s">
        <v>2663</v>
      </c>
      <c r="K3097" t="s">
        <v>3630</v>
      </c>
      <c r="L3097" s="13">
        <v>1500</v>
      </c>
      <c r="M3097" t="s">
        <v>2661</v>
      </c>
    </row>
    <row r="3098" spans="1:13">
      <c r="A3098" t="s">
        <v>1380</v>
      </c>
      <c r="B3098" t="s">
        <v>176</v>
      </c>
      <c r="C3098" s="8">
        <v>46057</v>
      </c>
      <c r="D3098" t="s">
        <v>330</v>
      </c>
      <c r="E3098" t="s">
        <v>337</v>
      </c>
      <c r="F3098" s="12">
        <v>70051</v>
      </c>
      <c r="G3098" s="13">
        <v>7</v>
      </c>
      <c r="H3098" t="s">
        <v>3532</v>
      </c>
      <c r="I3098" s="8">
        <v>46081</v>
      </c>
      <c r="J3098" t="s">
        <v>2671</v>
      </c>
      <c r="K3098" t="s">
        <v>2672</v>
      </c>
      <c r="L3098" s="13">
        <v>3000</v>
      </c>
      <c r="M3098" t="s">
        <v>2661</v>
      </c>
    </row>
    <row r="3099" spans="1:13">
      <c r="A3099" t="s">
        <v>1382</v>
      </c>
      <c r="B3099" t="s">
        <v>294</v>
      </c>
      <c r="C3099" s="8">
        <v>46112</v>
      </c>
      <c r="D3099" t="s">
        <v>332</v>
      </c>
      <c r="E3099" t="s">
        <v>325</v>
      </c>
      <c r="F3099" s="12">
        <v>528380</v>
      </c>
      <c r="G3099" s="13">
        <v>52</v>
      </c>
      <c r="H3099" t="s">
        <v>3571</v>
      </c>
      <c r="I3099" s="8">
        <v>45937</v>
      </c>
      <c r="J3099" t="s">
        <v>2663</v>
      </c>
      <c r="K3099" t="s">
        <v>3630</v>
      </c>
      <c r="L3099" s="13">
        <v>1500</v>
      </c>
      <c r="M3099" t="s">
        <v>2661</v>
      </c>
    </row>
    <row r="3100" spans="1:13">
      <c r="A3100" t="s">
        <v>1382</v>
      </c>
      <c r="B3100" t="s">
        <v>294</v>
      </c>
      <c r="C3100" s="8">
        <v>46112</v>
      </c>
      <c r="D3100" t="s">
        <v>332</v>
      </c>
      <c r="E3100" t="s">
        <v>325</v>
      </c>
      <c r="F3100" s="12">
        <v>528380</v>
      </c>
      <c r="G3100" s="13">
        <v>52</v>
      </c>
      <c r="H3100" t="s">
        <v>3572</v>
      </c>
      <c r="I3100" s="8">
        <v>46039</v>
      </c>
      <c r="J3100" t="s">
        <v>2668</v>
      </c>
      <c r="K3100" t="s">
        <v>2669</v>
      </c>
      <c r="L3100" s="13">
        <v>4000</v>
      </c>
      <c r="M3100" t="s">
        <v>2661</v>
      </c>
    </row>
    <row r="3101" spans="1:13">
      <c r="A3101" t="s">
        <v>1383</v>
      </c>
      <c r="B3101" t="s">
        <v>74</v>
      </c>
      <c r="C3101" s="8">
        <v>46029</v>
      </c>
      <c r="D3101" t="s">
        <v>342</v>
      </c>
      <c r="E3101" t="s">
        <v>334</v>
      </c>
      <c r="F3101" s="12">
        <v>255242</v>
      </c>
      <c r="G3101" s="13">
        <v>25</v>
      </c>
      <c r="H3101" t="s">
        <v>2844</v>
      </c>
      <c r="I3101" s="8">
        <v>45954</v>
      </c>
      <c r="J3101" t="s">
        <v>2671</v>
      </c>
      <c r="K3101" t="s">
        <v>2672</v>
      </c>
      <c r="L3101" s="13">
        <v>3000</v>
      </c>
      <c r="M3101" t="s">
        <v>2676</v>
      </c>
    </row>
    <row r="3102" spans="1:13">
      <c r="A3102" t="s">
        <v>1383</v>
      </c>
      <c r="B3102" t="s">
        <v>74</v>
      </c>
      <c r="C3102" s="8">
        <v>46029</v>
      </c>
      <c r="D3102" t="s">
        <v>342</v>
      </c>
      <c r="E3102" t="s">
        <v>334</v>
      </c>
      <c r="F3102" s="12">
        <v>255242</v>
      </c>
      <c r="G3102" s="13">
        <v>25</v>
      </c>
      <c r="H3102" t="s">
        <v>2889</v>
      </c>
      <c r="I3102" s="8">
        <v>46009</v>
      </c>
      <c r="J3102" t="s">
        <v>2685</v>
      </c>
      <c r="K3102" t="s">
        <v>2686</v>
      </c>
      <c r="L3102" s="13">
        <v>5000</v>
      </c>
      <c r="M3102" t="s">
        <v>2661</v>
      </c>
    </row>
    <row r="3103" spans="1:13">
      <c r="A3103" t="s">
        <v>1383</v>
      </c>
      <c r="B3103" t="s">
        <v>74</v>
      </c>
      <c r="C3103" s="8">
        <v>46029</v>
      </c>
      <c r="D3103" t="s">
        <v>342</v>
      </c>
      <c r="E3103" t="s">
        <v>334</v>
      </c>
      <c r="F3103" s="12">
        <v>255242</v>
      </c>
      <c r="G3103" s="13">
        <v>25</v>
      </c>
      <c r="H3103" t="s">
        <v>2928</v>
      </c>
      <c r="I3103" s="8">
        <v>46272</v>
      </c>
      <c r="J3103" t="s">
        <v>2692</v>
      </c>
      <c r="K3103" t="s">
        <v>2693</v>
      </c>
      <c r="L3103" s="13">
        <v>10000</v>
      </c>
      <c r="M3103" t="s">
        <v>2661</v>
      </c>
    </row>
    <row r="3104" spans="1:13">
      <c r="A3104" t="s">
        <v>1383</v>
      </c>
      <c r="B3104" t="s">
        <v>74</v>
      </c>
      <c r="C3104" s="8">
        <v>46029</v>
      </c>
      <c r="D3104" t="s">
        <v>342</v>
      </c>
      <c r="E3104" t="s">
        <v>334</v>
      </c>
      <c r="F3104" s="12">
        <v>255242</v>
      </c>
      <c r="G3104" s="13">
        <v>25</v>
      </c>
      <c r="H3104" t="s">
        <v>3168</v>
      </c>
      <c r="I3104" s="8">
        <v>46219</v>
      </c>
      <c r="J3104" t="s">
        <v>2685</v>
      </c>
      <c r="K3104" t="s">
        <v>2686</v>
      </c>
      <c r="L3104" s="13">
        <v>5000</v>
      </c>
      <c r="M3104" t="s">
        <v>2661</v>
      </c>
    </row>
    <row r="3105" spans="1:13">
      <c r="A3105" t="s">
        <v>1384</v>
      </c>
      <c r="B3105" t="s">
        <v>57</v>
      </c>
      <c r="C3105" s="8">
        <v>45960</v>
      </c>
      <c r="D3105" t="s">
        <v>342</v>
      </c>
      <c r="E3105" t="s">
        <v>337</v>
      </c>
      <c r="F3105" s="12">
        <v>149293</v>
      </c>
      <c r="G3105" s="13">
        <v>14</v>
      </c>
      <c r="H3105" t="s">
        <v>3486</v>
      </c>
      <c r="I3105" s="8">
        <v>46159</v>
      </c>
      <c r="J3105" t="s">
        <v>2665</v>
      </c>
      <c r="K3105" t="s">
        <v>2666</v>
      </c>
      <c r="L3105" s="13">
        <v>2500</v>
      </c>
      <c r="M3105" t="s">
        <v>2661</v>
      </c>
    </row>
    <row r="3106" spans="1:13">
      <c r="A3106" t="s">
        <v>1386</v>
      </c>
      <c r="B3106" t="s">
        <v>48</v>
      </c>
      <c r="C3106" s="8">
        <v>46128</v>
      </c>
      <c r="D3106" t="s">
        <v>342</v>
      </c>
      <c r="E3106" t="s">
        <v>334</v>
      </c>
      <c r="F3106" s="12">
        <v>290354</v>
      </c>
      <c r="G3106" s="13">
        <v>29</v>
      </c>
      <c r="H3106" t="s">
        <v>3044</v>
      </c>
      <c r="I3106" s="8">
        <v>46137</v>
      </c>
      <c r="J3106" t="s">
        <v>2659</v>
      </c>
      <c r="K3106" t="s">
        <v>2660</v>
      </c>
      <c r="L3106" s="13">
        <v>3500</v>
      </c>
      <c r="M3106" t="s">
        <v>2676</v>
      </c>
    </row>
    <row r="3107" spans="1:13">
      <c r="A3107" t="s">
        <v>1386</v>
      </c>
      <c r="B3107" t="s">
        <v>48</v>
      </c>
      <c r="C3107" s="8">
        <v>46128</v>
      </c>
      <c r="D3107" t="s">
        <v>342</v>
      </c>
      <c r="E3107" t="s">
        <v>334</v>
      </c>
      <c r="F3107" s="12">
        <v>290354</v>
      </c>
      <c r="G3107" s="13">
        <v>29</v>
      </c>
      <c r="H3107" t="s">
        <v>3368</v>
      </c>
      <c r="I3107" s="8">
        <v>46171</v>
      </c>
      <c r="J3107" t="s">
        <v>2659</v>
      </c>
      <c r="K3107" t="s">
        <v>2660</v>
      </c>
      <c r="L3107" s="13">
        <v>3500</v>
      </c>
      <c r="M3107" t="s">
        <v>2676</v>
      </c>
    </row>
    <row r="3108" spans="1:13">
      <c r="A3108" t="s">
        <v>1386</v>
      </c>
      <c r="B3108" t="s">
        <v>48</v>
      </c>
      <c r="C3108" s="8">
        <v>46128</v>
      </c>
      <c r="D3108" t="s">
        <v>342</v>
      </c>
      <c r="E3108" t="s">
        <v>334</v>
      </c>
      <c r="F3108" s="12">
        <v>290354</v>
      </c>
      <c r="G3108" s="13">
        <v>29</v>
      </c>
      <c r="H3108" t="s">
        <v>3393</v>
      </c>
      <c r="I3108" s="8">
        <v>45952</v>
      </c>
      <c r="J3108" t="s">
        <v>2688</v>
      </c>
      <c r="K3108" t="s">
        <v>2689</v>
      </c>
      <c r="L3108" s="13">
        <v>8000</v>
      </c>
      <c r="M3108" t="s">
        <v>2661</v>
      </c>
    </row>
    <row r="3109" spans="1:13">
      <c r="A3109" t="s">
        <v>1387</v>
      </c>
      <c r="B3109" t="s">
        <v>115</v>
      </c>
      <c r="C3109" s="8">
        <v>45937</v>
      </c>
      <c r="D3109" t="s">
        <v>350</v>
      </c>
      <c r="E3109" t="s">
        <v>337</v>
      </c>
      <c r="F3109" s="12">
        <v>462971</v>
      </c>
      <c r="G3109" s="13">
        <v>46</v>
      </c>
      <c r="H3109" t="s">
        <v>2708</v>
      </c>
      <c r="I3109" s="8">
        <v>46007</v>
      </c>
      <c r="J3109" t="s">
        <v>2663</v>
      </c>
      <c r="K3109" t="s">
        <v>3630</v>
      </c>
      <c r="L3109" s="13">
        <v>1500</v>
      </c>
      <c r="M3109" t="s">
        <v>2661</v>
      </c>
    </row>
    <row r="3110" spans="1:13">
      <c r="A3110" t="s">
        <v>1387</v>
      </c>
      <c r="B3110" t="s">
        <v>115</v>
      </c>
      <c r="C3110" s="8">
        <v>45937</v>
      </c>
      <c r="D3110" t="s">
        <v>350</v>
      </c>
      <c r="E3110" t="s">
        <v>337</v>
      </c>
      <c r="F3110" s="12">
        <v>462971</v>
      </c>
      <c r="G3110" s="13">
        <v>46</v>
      </c>
      <c r="H3110" t="s">
        <v>3206</v>
      </c>
      <c r="I3110" s="8">
        <v>46044</v>
      </c>
      <c r="J3110" t="s">
        <v>2659</v>
      </c>
      <c r="K3110" t="s">
        <v>2660</v>
      </c>
      <c r="L3110" s="13">
        <v>3500</v>
      </c>
      <c r="M3110" t="s">
        <v>2661</v>
      </c>
    </row>
    <row r="3111" spans="1:13">
      <c r="A3111" t="s">
        <v>1387</v>
      </c>
      <c r="B3111" t="s">
        <v>115</v>
      </c>
      <c r="C3111" s="8">
        <v>45937</v>
      </c>
      <c r="D3111" t="s">
        <v>350</v>
      </c>
      <c r="E3111" t="s">
        <v>337</v>
      </c>
      <c r="F3111" s="12">
        <v>462971</v>
      </c>
      <c r="G3111" s="13">
        <v>46</v>
      </c>
      <c r="H3111" t="s">
        <v>3437</v>
      </c>
      <c r="I3111" s="8">
        <v>45996</v>
      </c>
      <c r="J3111" t="s">
        <v>2668</v>
      </c>
      <c r="K3111" t="s">
        <v>2669</v>
      </c>
      <c r="L3111" s="13">
        <v>4000</v>
      </c>
      <c r="M3111" t="s">
        <v>2661</v>
      </c>
    </row>
    <row r="3112" spans="1:13">
      <c r="A3112" t="s">
        <v>1388</v>
      </c>
      <c r="B3112" t="s">
        <v>69</v>
      </c>
      <c r="C3112" s="8">
        <v>46176</v>
      </c>
      <c r="D3112" t="s">
        <v>327</v>
      </c>
      <c r="E3112" t="s">
        <v>339</v>
      </c>
      <c r="F3112" s="12">
        <v>138523</v>
      </c>
      <c r="G3112" s="13">
        <v>13</v>
      </c>
      <c r="H3112" t="s">
        <v>2723</v>
      </c>
      <c r="I3112" s="8">
        <v>46140</v>
      </c>
      <c r="J3112" t="s">
        <v>2688</v>
      </c>
      <c r="K3112" t="s">
        <v>2689</v>
      </c>
      <c r="L3112" s="13">
        <v>8000</v>
      </c>
      <c r="M3112" t="s">
        <v>2661</v>
      </c>
    </row>
    <row r="3113" spans="1:13">
      <c r="A3113" t="s">
        <v>1388</v>
      </c>
      <c r="B3113" t="s">
        <v>69</v>
      </c>
      <c r="C3113" s="8">
        <v>46176</v>
      </c>
      <c r="D3113" t="s">
        <v>327</v>
      </c>
      <c r="E3113" t="s">
        <v>339</v>
      </c>
      <c r="F3113" s="12">
        <v>138523</v>
      </c>
      <c r="G3113" s="13">
        <v>13</v>
      </c>
      <c r="H3113" t="s">
        <v>2822</v>
      </c>
      <c r="I3113" s="8">
        <v>46159</v>
      </c>
      <c r="J3113" t="s">
        <v>2668</v>
      </c>
      <c r="K3113" t="s">
        <v>2669</v>
      </c>
      <c r="L3113" s="13">
        <v>4000</v>
      </c>
      <c r="M3113" t="s">
        <v>2661</v>
      </c>
    </row>
    <row r="3114" spans="1:13">
      <c r="A3114" t="s">
        <v>1388</v>
      </c>
      <c r="B3114" t="s">
        <v>69</v>
      </c>
      <c r="C3114" s="8">
        <v>46176</v>
      </c>
      <c r="D3114" t="s">
        <v>327</v>
      </c>
      <c r="E3114" t="s">
        <v>339</v>
      </c>
      <c r="F3114" s="12">
        <v>138523</v>
      </c>
      <c r="G3114" s="13">
        <v>13</v>
      </c>
      <c r="H3114" t="s">
        <v>3513</v>
      </c>
      <c r="I3114" s="8">
        <v>46161</v>
      </c>
      <c r="J3114" t="s">
        <v>2692</v>
      </c>
      <c r="K3114" t="s">
        <v>2693</v>
      </c>
      <c r="L3114" s="13">
        <v>10000</v>
      </c>
      <c r="M3114" t="s">
        <v>2661</v>
      </c>
    </row>
    <row r="3115" spans="1:13">
      <c r="A3115" t="s">
        <v>1389</v>
      </c>
      <c r="B3115" t="s">
        <v>33</v>
      </c>
      <c r="C3115" s="8">
        <v>46076</v>
      </c>
      <c r="D3115" t="s">
        <v>321</v>
      </c>
      <c r="E3115" t="s">
        <v>339</v>
      </c>
      <c r="F3115" s="12">
        <v>375633</v>
      </c>
      <c r="G3115" s="13">
        <v>37</v>
      </c>
      <c r="H3115" t="s">
        <v>2913</v>
      </c>
      <c r="I3115" s="8">
        <v>46261</v>
      </c>
      <c r="J3115" t="s">
        <v>2688</v>
      </c>
      <c r="K3115" t="s">
        <v>2689</v>
      </c>
      <c r="L3115" s="13">
        <v>8000</v>
      </c>
      <c r="M3115" t="s">
        <v>2661</v>
      </c>
    </row>
    <row r="3116" spans="1:13">
      <c r="A3116" t="s">
        <v>1389</v>
      </c>
      <c r="B3116" t="s">
        <v>33</v>
      </c>
      <c r="C3116" s="8">
        <v>46076</v>
      </c>
      <c r="D3116" t="s">
        <v>321</v>
      </c>
      <c r="E3116" t="s">
        <v>339</v>
      </c>
      <c r="F3116" s="12">
        <v>375633</v>
      </c>
      <c r="G3116" s="13">
        <v>37</v>
      </c>
      <c r="H3116" t="s">
        <v>3372</v>
      </c>
      <c r="I3116" s="8">
        <v>46122</v>
      </c>
      <c r="J3116" t="s">
        <v>2665</v>
      </c>
      <c r="K3116" t="s">
        <v>2666</v>
      </c>
      <c r="L3116" s="13">
        <v>2500</v>
      </c>
      <c r="M3116" t="s">
        <v>2661</v>
      </c>
    </row>
    <row r="3117" spans="1:13">
      <c r="A3117" t="s">
        <v>1390</v>
      </c>
      <c r="B3117" t="s">
        <v>100</v>
      </c>
      <c r="C3117" s="8">
        <v>46160</v>
      </c>
      <c r="D3117" t="s">
        <v>321</v>
      </c>
      <c r="E3117" t="s">
        <v>339</v>
      </c>
      <c r="F3117" s="12">
        <v>482647</v>
      </c>
      <c r="G3117" s="13">
        <v>48</v>
      </c>
      <c r="H3117" t="s">
        <v>3294</v>
      </c>
      <c r="I3117" s="8">
        <v>46090</v>
      </c>
      <c r="J3117" t="s">
        <v>2671</v>
      </c>
      <c r="K3117" t="s">
        <v>2672</v>
      </c>
      <c r="L3117" s="13">
        <v>3000</v>
      </c>
      <c r="M3117" t="s">
        <v>2676</v>
      </c>
    </row>
    <row r="3118" spans="1:13">
      <c r="A3118" t="s">
        <v>1390</v>
      </c>
      <c r="B3118" t="s">
        <v>100</v>
      </c>
      <c r="C3118" s="8">
        <v>46160</v>
      </c>
      <c r="D3118" t="s">
        <v>321</v>
      </c>
      <c r="E3118" t="s">
        <v>339</v>
      </c>
      <c r="F3118" s="12">
        <v>482647</v>
      </c>
      <c r="G3118" s="13">
        <v>48</v>
      </c>
      <c r="H3118" t="s">
        <v>3327</v>
      </c>
      <c r="I3118" s="8">
        <v>46135</v>
      </c>
      <c r="J3118" t="s">
        <v>2682</v>
      </c>
      <c r="K3118" t="s">
        <v>2683</v>
      </c>
      <c r="L3118" s="13">
        <v>6000</v>
      </c>
      <c r="M3118" t="s">
        <v>2661</v>
      </c>
    </row>
    <row r="3119" spans="1:13">
      <c r="A3119" t="s">
        <v>1390</v>
      </c>
      <c r="B3119" t="s">
        <v>100</v>
      </c>
      <c r="C3119" s="8">
        <v>46160</v>
      </c>
      <c r="D3119" t="s">
        <v>321</v>
      </c>
      <c r="E3119" t="s">
        <v>339</v>
      </c>
      <c r="F3119" s="12">
        <v>482647</v>
      </c>
      <c r="G3119" s="13">
        <v>48</v>
      </c>
      <c r="H3119" t="s">
        <v>3375</v>
      </c>
      <c r="I3119" s="8">
        <v>46122</v>
      </c>
      <c r="J3119" t="s">
        <v>2685</v>
      </c>
      <c r="K3119" t="s">
        <v>2686</v>
      </c>
      <c r="L3119" s="13">
        <v>5000</v>
      </c>
      <c r="M3119" t="s">
        <v>2676</v>
      </c>
    </row>
    <row r="3120" spans="1:13">
      <c r="A3120" t="s">
        <v>1391</v>
      </c>
      <c r="B3120" t="s">
        <v>301</v>
      </c>
      <c r="C3120" s="8">
        <v>46229</v>
      </c>
      <c r="D3120" t="s">
        <v>344</v>
      </c>
      <c r="E3120" t="s">
        <v>337</v>
      </c>
      <c r="F3120" s="12">
        <v>175586</v>
      </c>
      <c r="G3120" s="13">
        <v>17</v>
      </c>
      <c r="H3120" t="s">
        <v>3559</v>
      </c>
      <c r="I3120" s="8">
        <v>46143</v>
      </c>
      <c r="J3120" t="s">
        <v>2663</v>
      </c>
      <c r="K3120" t="s">
        <v>3630</v>
      </c>
      <c r="L3120" s="13">
        <v>1500</v>
      </c>
      <c r="M3120" t="s">
        <v>2676</v>
      </c>
    </row>
    <row r="3121" spans="1:13">
      <c r="A3121" t="s">
        <v>1392</v>
      </c>
      <c r="B3121" t="s">
        <v>57</v>
      </c>
      <c r="C3121" s="8">
        <v>46127</v>
      </c>
      <c r="D3121" t="s">
        <v>344</v>
      </c>
      <c r="E3121" t="s">
        <v>339</v>
      </c>
      <c r="F3121" s="12">
        <v>154275</v>
      </c>
      <c r="G3121" s="13">
        <v>15</v>
      </c>
      <c r="H3121" t="s">
        <v>3486</v>
      </c>
      <c r="I3121" s="8">
        <v>46159</v>
      </c>
      <c r="J3121" t="s">
        <v>2665</v>
      </c>
      <c r="K3121" t="s">
        <v>2666</v>
      </c>
      <c r="L3121" s="13">
        <v>2500</v>
      </c>
      <c r="M3121" t="s">
        <v>2661</v>
      </c>
    </row>
    <row r="3122" spans="1:13">
      <c r="A3122" t="s">
        <v>1393</v>
      </c>
      <c r="B3122" t="s">
        <v>234</v>
      </c>
      <c r="C3122" s="8">
        <v>46216</v>
      </c>
      <c r="D3122" t="s">
        <v>332</v>
      </c>
      <c r="E3122" t="s">
        <v>339</v>
      </c>
      <c r="F3122" s="12">
        <v>312297</v>
      </c>
      <c r="G3122" s="13">
        <v>31</v>
      </c>
      <c r="H3122" t="s">
        <v>2930</v>
      </c>
      <c r="I3122" s="8">
        <v>46033</v>
      </c>
      <c r="J3122" t="s">
        <v>2665</v>
      </c>
      <c r="K3122" t="s">
        <v>2666</v>
      </c>
      <c r="L3122" s="13">
        <v>2500</v>
      </c>
      <c r="M3122" t="s">
        <v>2661</v>
      </c>
    </row>
    <row r="3123" spans="1:13">
      <c r="A3123" t="s">
        <v>1393</v>
      </c>
      <c r="B3123" t="s">
        <v>234</v>
      </c>
      <c r="C3123" s="8">
        <v>46216</v>
      </c>
      <c r="D3123" t="s">
        <v>332</v>
      </c>
      <c r="E3123" t="s">
        <v>339</v>
      </c>
      <c r="F3123" s="12">
        <v>312297</v>
      </c>
      <c r="G3123" s="13">
        <v>31</v>
      </c>
      <c r="H3123" t="s">
        <v>3017</v>
      </c>
      <c r="I3123" s="8">
        <v>46189</v>
      </c>
      <c r="J3123" t="s">
        <v>2692</v>
      </c>
      <c r="K3123" t="s">
        <v>2693</v>
      </c>
      <c r="L3123" s="13">
        <v>10000</v>
      </c>
      <c r="M3123" t="s">
        <v>2661</v>
      </c>
    </row>
    <row r="3124" spans="1:13">
      <c r="A3124" t="s">
        <v>1393</v>
      </c>
      <c r="B3124" t="s">
        <v>234</v>
      </c>
      <c r="C3124" s="8">
        <v>46216</v>
      </c>
      <c r="D3124" t="s">
        <v>332</v>
      </c>
      <c r="E3124" t="s">
        <v>339</v>
      </c>
      <c r="F3124" s="12">
        <v>312297</v>
      </c>
      <c r="G3124" s="13">
        <v>31</v>
      </c>
      <c r="H3124" t="s">
        <v>3268</v>
      </c>
      <c r="I3124" s="8">
        <v>46277</v>
      </c>
      <c r="J3124" t="s">
        <v>2668</v>
      </c>
      <c r="K3124" t="s">
        <v>2669</v>
      </c>
      <c r="L3124" s="13">
        <v>4000</v>
      </c>
      <c r="M3124" t="s">
        <v>2661</v>
      </c>
    </row>
    <row r="3125" spans="1:13">
      <c r="A3125" t="s">
        <v>1393</v>
      </c>
      <c r="B3125" t="s">
        <v>234</v>
      </c>
      <c r="C3125" s="8">
        <v>46216</v>
      </c>
      <c r="D3125" t="s">
        <v>332</v>
      </c>
      <c r="E3125" t="s">
        <v>339</v>
      </c>
      <c r="F3125" s="12">
        <v>312297</v>
      </c>
      <c r="G3125" s="13">
        <v>31</v>
      </c>
      <c r="H3125" t="s">
        <v>3274</v>
      </c>
      <c r="I3125" s="8">
        <v>46268</v>
      </c>
      <c r="J3125" t="s">
        <v>2663</v>
      </c>
      <c r="K3125" t="s">
        <v>3630</v>
      </c>
      <c r="L3125" s="13">
        <v>1500</v>
      </c>
      <c r="M3125" t="s">
        <v>2676</v>
      </c>
    </row>
    <row r="3126" spans="1:13">
      <c r="A3126" t="s">
        <v>1393</v>
      </c>
      <c r="B3126" t="s">
        <v>234</v>
      </c>
      <c r="C3126" s="8">
        <v>46216</v>
      </c>
      <c r="D3126" t="s">
        <v>332</v>
      </c>
      <c r="E3126" t="s">
        <v>339</v>
      </c>
      <c r="F3126" s="12">
        <v>312297</v>
      </c>
      <c r="G3126" s="13">
        <v>31</v>
      </c>
      <c r="H3126" t="s">
        <v>3403</v>
      </c>
      <c r="I3126" s="8">
        <v>46261</v>
      </c>
      <c r="J3126" t="s">
        <v>2692</v>
      </c>
      <c r="K3126" t="s">
        <v>2693</v>
      </c>
      <c r="L3126" s="13">
        <v>10000</v>
      </c>
      <c r="M3126" t="s">
        <v>2661</v>
      </c>
    </row>
    <row r="3127" spans="1:13">
      <c r="A3127" t="s">
        <v>1393</v>
      </c>
      <c r="B3127" t="s">
        <v>234</v>
      </c>
      <c r="C3127" s="8">
        <v>46216</v>
      </c>
      <c r="D3127" t="s">
        <v>332</v>
      </c>
      <c r="E3127" t="s">
        <v>339</v>
      </c>
      <c r="F3127" s="12">
        <v>312297</v>
      </c>
      <c r="G3127" s="13">
        <v>31</v>
      </c>
      <c r="H3127" t="s">
        <v>3452</v>
      </c>
      <c r="I3127" s="8">
        <v>46035</v>
      </c>
      <c r="J3127" t="s">
        <v>2688</v>
      </c>
      <c r="K3127" t="s">
        <v>2689</v>
      </c>
      <c r="L3127" s="13">
        <v>8000</v>
      </c>
      <c r="M3127" t="s">
        <v>2661</v>
      </c>
    </row>
    <row r="3128" spans="1:13">
      <c r="A3128" t="s">
        <v>1394</v>
      </c>
      <c r="B3128" t="s">
        <v>54</v>
      </c>
      <c r="C3128" s="8">
        <v>46185</v>
      </c>
      <c r="D3128" t="s">
        <v>321</v>
      </c>
      <c r="E3128" t="s">
        <v>334</v>
      </c>
      <c r="F3128" s="12">
        <v>289875</v>
      </c>
      <c r="G3128" s="13">
        <v>28</v>
      </c>
      <c r="H3128" t="s">
        <v>2986</v>
      </c>
      <c r="I3128" s="8">
        <v>46015</v>
      </c>
      <c r="J3128" t="s">
        <v>2668</v>
      </c>
      <c r="K3128" t="s">
        <v>2669</v>
      </c>
      <c r="L3128" s="13">
        <v>4000</v>
      </c>
      <c r="M3128" t="s">
        <v>2661</v>
      </c>
    </row>
    <row r="3129" spans="1:13">
      <c r="A3129" t="s">
        <v>1394</v>
      </c>
      <c r="B3129" t="s">
        <v>54</v>
      </c>
      <c r="C3129" s="8">
        <v>46185</v>
      </c>
      <c r="D3129" t="s">
        <v>321</v>
      </c>
      <c r="E3129" t="s">
        <v>334</v>
      </c>
      <c r="F3129" s="12">
        <v>289875</v>
      </c>
      <c r="G3129" s="13">
        <v>28</v>
      </c>
      <c r="H3129" t="s">
        <v>3317</v>
      </c>
      <c r="I3129" s="8">
        <v>46099</v>
      </c>
      <c r="J3129" t="s">
        <v>2671</v>
      </c>
      <c r="K3129" t="s">
        <v>2672</v>
      </c>
      <c r="L3129" s="13">
        <v>3000</v>
      </c>
      <c r="M3129" t="s">
        <v>2661</v>
      </c>
    </row>
    <row r="3130" spans="1:13">
      <c r="A3130" t="s">
        <v>1394</v>
      </c>
      <c r="B3130" t="s">
        <v>54</v>
      </c>
      <c r="C3130" s="8">
        <v>46185</v>
      </c>
      <c r="D3130" t="s">
        <v>321</v>
      </c>
      <c r="E3130" t="s">
        <v>334</v>
      </c>
      <c r="F3130" s="12">
        <v>289875</v>
      </c>
      <c r="G3130" s="13">
        <v>28</v>
      </c>
      <c r="H3130" t="s">
        <v>3478</v>
      </c>
      <c r="I3130" s="8">
        <v>46036</v>
      </c>
      <c r="J3130" t="s">
        <v>2665</v>
      </c>
      <c r="K3130" t="s">
        <v>2666</v>
      </c>
      <c r="L3130" s="13">
        <v>2500</v>
      </c>
      <c r="M3130" t="s">
        <v>2661</v>
      </c>
    </row>
    <row r="3131" spans="1:13">
      <c r="A3131" t="s">
        <v>1395</v>
      </c>
      <c r="B3131" t="s">
        <v>94</v>
      </c>
      <c r="C3131" s="8">
        <v>46069</v>
      </c>
      <c r="D3131" t="s">
        <v>342</v>
      </c>
      <c r="E3131" t="s">
        <v>328</v>
      </c>
      <c r="F3131" s="12">
        <v>289064</v>
      </c>
      <c r="G3131" s="13">
        <v>28</v>
      </c>
      <c r="H3131" t="s">
        <v>2994</v>
      </c>
      <c r="I3131" s="8">
        <v>46107</v>
      </c>
      <c r="J3131" t="s">
        <v>2682</v>
      </c>
      <c r="K3131" t="s">
        <v>2683</v>
      </c>
      <c r="L3131" s="13">
        <v>6000</v>
      </c>
      <c r="M3131" t="s">
        <v>2661</v>
      </c>
    </row>
    <row r="3132" spans="1:13">
      <c r="A3132" t="s">
        <v>1396</v>
      </c>
      <c r="B3132" t="s">
        <v>294</v>
      </c>
      <c r="C3132" s="8">
        <v>46232</v>
      </c>
      <c r="D3132" t="s">
        <v>350</v>
      </c>
      <c r="E3132" t="s">
        <v>325</v>
      </c>
      <c r="F3132" s="12">
        <v>304588</v>
      </c>
      <c r="G3132" s="13">
        <v>30</v>
      </c>
      <c r="H3132" t="s">
        <v>3571</v>
      </c>
      <c r="I3132" s="8">
        <v>45937</v>
      </c>
      <c r="J3132" t="s">
        <v>2663</v>
      </c>
      <c r="K3132" t="s">
        <v>3630</v>
      </c>
      <c r="L3132" s="13">
        <v>1500</v>
      </c>
      <c r="M3132" t="s">
        <v>2661</v>
      </c>
    </row>
    <row r="3133" spans="1:13">
      <c r="A3133" t="s">
        <v>1396</v>
      </c>
      <c r="B3133" t="s">
        <v>294</v>
      </c>
      <c r="C3133" s="8">
        <v>46232</v>
      </c>
      <c r="D3133" t="s">
        <v>350</v>
      </c>
      <c r="E3133" t="s">
        <v>325</v>
      </c>
      <c r="F3133" s="12">
        <v>304588</v>
      </c>
      <c r="G3133" s="13">
        <v>30</v>
      </c>
      <c r="H3133" t="s">
        <v>3572</v>
      </c>
      <c r="I3133" s="8">
        <v>46039</v>
      </c>
      <c r="J3133" t="s">
        <v>2668</v>
      </c>
      <c r="K3133" t="s">
        <v>2669</v>
      </c>
      <c r="L3133" s="13">
        <v>4000</v>
      </c>
      <c r="M3133" t="s">
        <v>2661</v>
      </c>
    </row>
    <row r="3134" spans="1:13">
      <c r="A3134" t="s">
        <v>1397</v>
      </c>
      <c r="B3134" t="s">
        <v>241</v>
      </c>
      <c r="C3134" s="8">
        <v>46217</v>
      </c>
      <c r="D3134" t="s">
        <v>330</v>
      </c>
      <c r="E3134" t="s">
        <v>322</v>
      </c>
      <c r="F3134" s="12">
        <v>68664</v>
      </c>
      <c r="G3134" s="13">
        <v>6</v>
      </c>
      <c r="H3134" t="s">
        <v>2911</v>
      </c>
      <c r="I3134" s="8">
        <v>46173</v>
      </c>
      <c r="J3134" t="s">
        <v>2692</v>
      </c>
      <c r="K3134" t="s">
        <v>2693</v>
      </c>
      <c r="L3134" s="13">
        <v>10000</v>
      </c>
      <c r="M3134" t="s">
        <v>2661</v>
      </c>
    </row>
    <row r="3135" spans="1:13">
      <c r="A3135" t="s">
        <v>1397</v>
      </c>
      <c r="B3135" t="s">
        <v>241</v>
      </c>
      <c r="C3135" s="8">
        <v>46217</v>
      </c>
      <c r="D3135" t="s">
        <v>330</v>
      </c>
      <c r="E3135" t="s">
        <v>322</v>
      </c>
      <c r="F3135" s="12">
        <v>68664</v>
      </c>
      <c r="G3135" s="13">
        <v>6</v>
      </c>
      <c r="H3135" t="s">
        <v>3174</v>
      </c>
      <c r="I3135" s="8">
        <v>46189</v>
      </c>
      <c r="J3135" t="s">
        <v>2674</v>
      </c>
      <c r="K3135" t="s">
        <v>2675</v>
      </c>
      <c r="L3135" s="13">
        <v>20000</v>
      </c>
      <c r="M3135" t="s">
        <v>2661</v>
      </c>
    </row>
    <row r="3136" spans="1:13">
      <c r="A3136" t="s">
        <v>1397</v>
      </c>
      <c r="B3136" t="s">
        <v>241</v>
      </c>
      <c r="C3136" s="8">
        <v>46217</v>
      </c>
      <c r="D3136" t="s">
        <v>330</v>
      </c>
      <c r="E3136" t="s">
        <v>322</v>
      </c>
      <c r="F3136" s="12">
        <v>68664</v>
      </c>
      <c r="G3136" s="13">
        <v>6</v>
      </c>
      <c r="H3136" t="s">
        <v>3419</v>
      </c>
      <c r="I3136" s="8">
        <v>46084</v>
      </c>
      <c r="J3136" t="s">
        <v>2665</v>
      </c>
      <c r="K3136" t="s">
        <v>2666</v>
      </c>
      <c r="L3136" s="13">
        <v>2500</v>
      </c>
      <c r="M3136" t="s">
        <v>2661</v>
      </c>
    </row>
    <row r="3137" spans="1:13">
      <c r="A3137" t="s">
        <v>1397</v>
      </c>
      <c r="B3137" t="s">
        <v>241</v>
      </c>
      <c r="C3137" s="8">
        <v>46217</v>
      </c>
      <c r="D3137" t="s">
        <v>330</v>
      </c>
      <c r="E3137" t="s">
        <v>322</v>
      </c>
      <c r="F3137" s="12">
        <v>68664</v>
      </c>
      <c r="G3137" s="13">
        <v>6</v>
      </c>
      <c r="H3137" t="s">
        <v>3526</v>
      </c>
      <c r="I3137" s="8">
        <v>46211</v>
      </c>
      <c r="J3137" t="s">
        <v>2671</v>
      </c>
      <c r="K3137" t="s">
        <v>2672</v>
      </c>
      <c r="L3137" s="13">
        <v>3000</v>
      </c>
      <c r="M3137" t="s">
        <v>2661</v>
      </c>
    </row>
    <row r="3138" spans="1:13">
      <c r="A3138" t="s">
        <v>1398</v>
      </c>
      <c r="B3138" t="s">
        <v>237</v>
      </c>
      <c r="C3138" s="8">
        <v>46089</v>
      </c>
      <c r="D3138" t="s">
        <v>321</v>
      </c>
      <c r="E3138" t="s">
        <v>334</v>
      </c>
      <c r="F3138" s="12">
        <v>637592</v>
      </c>
      <c r="G3138" s="13">
        <v>63</v>
      </c>
      <c r="H3138" t="s">
        <v>2750</v>
      </c>
      <c r="I3138" s="8">
        <v>46183</v>
      </c>
      <c r="J3138" t="s">
        <v>2659</v>
      </c>
      <c r="K3138" t="s">
        <v>2660</v>
      </c>
      <c r="L3138" s="13">
        <v>3500</v>
      </c>
      <c r="M3138" t="s">
        <v>2661</v>
      </c>
    </row>
    <row r="3139" spans="1:13">
      <c r="A3139" t="s">
        <v>1398</v>
      </c>
      <c r="B3139" t="s">
        <v>237</v>
      </c>
      <c r="C3139" s="8">
        <v>46089</v>
      </c>
      <c r="D3139" t="s">
        <v>321</v>
      </c>
      <c r="E3139" t="s">
        <v>334</v>
      </c>
      <c r="F3139" s="12">
        <v>637592</v>
      </c>
      <c r="G3139" s="13">
        <v>63</v>
      </c>
      <c r="H3139" t="s">
        <v>2787</v>
      </c>
      <c r="I3139" s="8">
        <v>46144</v>
      </c>
      <c r="J3139" t="s">
        <v>2692</v>
      </c>
      <c r="K3139" t="s">
        <v>2693</v>
      </c>
      <c r="L3139" s="13">
        <v>10000</v>
      </c>
      <c r="M3139" t="s">
        <v>2661</v>
      </c>
    </row>
    <row r="3140" spans="1:13">
      <c r="A3140" t="s">
        <v>1398</v>
      </c>
      <c r="B3140" t="s">
        <v>237</v>
      </c>
      <c r="C3140" s="8">
        <v>46089</v>
      </c>
      <c r="D3140" t="s">
        <v>321</v>
      </c>
      <c r="E3140" t="s">
        <v>334</v>
      </c>
      <c r="F3140" s="12">
        <v>637592</v>
      </c>
      <c r="G3140" s="13">
        <v>63</v>
      </c>
      <c r="H3140" t="s">
        <v>3055</v>
      </c>
      <c r="I3140" s="8">
        <v>46201</v>
      </c>
      <c r="J3140" t="s">
        <v>2659</v>
      </c>
      <c r="K3140" t="s">
        <v>2660</v>
      </c>
      <c r="L3140" s="13">
        <v>3500</v>
      </c>
      <c r="M3140" t="s">
        <v>2661</v>
      </c>
    </row>
    <row r="3141" spans="1:13">
      <c r="A3141" t="s">
        <v>1398</v>
      </c>
      <c r="B3141" t="s">
        <v>237</v>
      </c>
      <c r="C3141" s="8">
        <v>46089</v>
      </c>
      <c r="D3141" t="s">
        <v>321</v>
      </c>
      <c r="E3141" t="s">
        <v>334</v>
      </c>
      <c r="F3141" s="12">
        <v>637592</v>
      </c>
      <c r="G3141" s="13">
        <v>63</v>
      </c>
      <c r="H3141" t="s">
        <v>3067</v>
      </c>
      <c r="I3141" s="8">
        <v>46122</v>
      </c>
      <c r="J3141" t="s">
        <v>2668</v>
      </c>
      <c r="K3141" t="s">
        <v>2669</v>
      </c>
      <c r="L3141" s="13">
        <v>4000</v>
      </c>
      <c r="M3141" t="s">
        <v>2661</v>
      </c>
    </row>
    <row r="3142" spans="1:13">
      <c r="A3142" t="s">
        <v>1398</v>
      </c>
      <c r="B3142" t="s">
        <v>237</v>
      </c>
      <c r="C3142" s="8">
        <v>46089</v>
      </c>
      <c r="D3142" t="s">
        <v>321</v>
      </c>
      <c r="E3142" t="s">
        <v>334</v>
      </c>
      <c r="F3142" s="12">
        <v>637592</v>
      </c>
      <c r="G3142" s="13">
        <v>63</v>
      </c>
      <c r="H3142" t="s">
        <v>3130</v>
      </c>
      <c r="I3142" s="8">
        <v>46003</v>
      </c>
      <c r="J3142" t="s">
        <v>2663</v>
      </c>
      <c r="K3142" t="s">
        <v>3630</v>
      </c>
      <c r="L3142" s="13">
        <v>1500</v>
      </c>
      <c r="M3142" t="s">
        <v>2661</v>
      </c>
    </row>
    <row r="3143" spans="1:13">
      <c r="A3143" t="s">
        <v>1398</v>
      </c>
      <c r="B3143" t="s">
        <v>237</v>
      </c>
      <c r="C3143" s="8">
        <v>46089</v>
      </c>
      <c r="D3143" t="s">
        <v>321</v>
      </c>
      <c r="E3143" t="s">
        <v>334</v>
      </c>
      <c r="F3143" s="12">
        <v>637592</v>
      </c>
      <c r="G3143" s="13">
        <v>63</v>
      </c>
      <c r="H3143" t="s">
        <v>3258</v>
      </c>
      <c r="I3143" s="8">
        <v>45979</v>
      </c>
      <c r="J3143" t="s">
        <v>2692</v>
      </c>
      <c r="K3143" t="s">
        <v>2693</v>
      </c>
      <c r="L3143" s="13">
        <v>10000</v>
      </c>
      <c r="M3143" t="s">
        <v>2661</v>
      </c>
    </row>
    <row r="3144" spans="1:13">
      <c r="A3144" t="s">
        <v>1398</v>
      </c>
      <c r="B3144" t="s">
        <v>237</v>
      </c>
      <c r="C3144" s="8">
        <v>46089</v>
      </c>
      <c r="D3144" t="s">
        <v>321</v>
      </c>
      <c r="E3144" t="s">
        <v>334</v>
      </c>
      <c r="F3144" s="12">
        <v>637592</v>
      </c>
      <c r="G3144" s="13">
        <v>63</v>
      </c>
      <c r="H3144" t="s">
        <v>3276</v>
      </c>
      <c r="I3144" s="8">
        <v>46127</v>
      </c>
      <c r="J3144" t="s">
        <v>2682</v>
      </c>
      <c r="K3144" t="s">
        <v>2683</v>
      </c>
      <c r="L3144" s="13">
        <v>6000</v>
      </c>
      <c r="M3144" t="s">
        <v>2661</v>
      </c>
    </row>
    <row r="3145" spans="1:13">
      <c r="A3145" t="s">
        <v>1399</v>
      </c>
      <c r="B3145" t="s">
        <v>174</v>
      </c>
      <c r="C3145" s="8">
        <v>46274</v>
      </c>
      <c r="D3145" t="s">
        <v>342</v>
      </c>
      <c r="E3145" t="s">
        <v>334</v>
      </c>
      <c r="F3145" s="12">
        <v>359784</v>
      </c>
      <c r="G3145" s="13">
        <v>35</v>
      </c>
      <c r="H3145" t="s">
        <v>3297</v>
      </c>
      <c r="I3145" s="8">
        <v>46090</v>
      </c>
      <c r="J3145" t="s">
        <v>2685</v>
      </c>
      <c r="K3145" t="s">
        <v>2686</v>
      </c>
      <c r="L3145" s="13">
        <v>5000</v>
      </c>
      <c r="M3145" t="s">
        <v>2676</v>
      </c>
    </row>
    <row r="3146" spans="1:13">
      <c r="A3146" t="s">
        <v>1400</v>
      </c>
      <c r="B3146" t="s">
        <v>108</v>
      </c>
      <c r="C3146" s="8">
        <v>45973</v>
      </c>
      <c r="D3146" t="s">
        <v>327</v>
      </c>
      <c r="E3146" t="s">
        <v>337</v>
      </c>
      <c r="F3146" s="12">
        <v>808354</v>
      </c>
      <c r="G3146" s="13">
        <v>80</v>
      </c>
      <c r="H3146" t="s">
        <v>2694</v>
      </c>
      <c r="I3146" s="8">
        <v>46032</v>
      </c>
      <c r="J3146" t="s">
        <v>2682</v>
      </c>
      <c r="K3146" t="s">
        <v>2683</v>
      </c>
      <c r="L3146" s="13">
        <v>6000</v>
      </c>
      <c r="M3146" t="s">
        <v>2661</v>
      </c>
    </row>
    <row r="3147" spans="1:13">
      <c r="A3147" t="s">
        <v>1400</v>
      </c>
      <c r="B3147" t="s">
        <v>108</v>
      </c>
      <c r="C3147" s="8">
        <v>45973</v>
      </c>
      <c r="D3147" t="s">
        <v>327</v>
      </c>
      <c r="E3147" t="s">
        <v>337</v>
      </c>
      <c r="F3147" s="12">
        <v>808354</v>
      </c>
      <c r="G3147" s="13">
        <v>80</v>
      </c>
      <c r="H3147" t="s">
        <v>3089</v>
      </c>
      <c r="I3147" s="8">
        <v>46140</v>
      </c>
      <c r="J3147" t="s">
        <v>2659</v>
      </c>
      <c r="K3147" t="s">
        <v>2660</v>
      </c>
      <c r="L3147" s="13">
        <v>3500</v>
      </c>
      <c r="M3147" t="s">
        <v>2661</v>
      </c>
    </row>
    <row r="3148" spans="1:13">
      <c r="A3148" t="s">
        <v>1400</v>
      </c>
      <c r="B3148" t="s">
        <v>108</v>
      </c>
      <c r="C3148" s="8">
        <v>45973</v>
      </c>
      <c r="D3148" t="s">
        <v>327</v>
      </c>
      <c r="E3148" t="s">
        <v>337</v>
      </c>
      <c r="F3148" s="12">
        <v>808354</v>
      </c>
      <c r="G3148" s="13">
        <v>80</v>
      </c>
      <c r="H3148" t="s">
        <v>3140</v>
      </c>
      <c r="I3148" s="8">
        <v>46168</v>
      </c>
      <c r="J3148" t="s">
        <v>2671</v>
      </c>
      <c r="K3148" t="s">
        <v>2672</v>
      </c>
      <c r="L3148" s="13">
        <v>3000</v>
      </c>
      <c r="M3148" t="s">
        <v>2676</v>
      </c>
    </row>
    <row r="3149" spans="1:13">
      <c r="A3149" t="s">
        <v>1400</v>
      </c>
      <c r="B3149" t="s">
        <v>108</v>
      </c>
      <c r="C3149" s="8">
        <v>45973</v>
      </c>
      <c r="D3149" t="s">
        <v>327</v>
      </c>
      <c r="E3149" t="s">
        <v>337</v>
      </c>
      <c r="F3149" s="12">
        <v>808354</v>
      </c>
      <c r="G3149" s="13">
        <v>80</v>
      </c>
      <c r="H3149" t="s">
        <v>3219</v>
      </c>
      <c r="I3149" s="8">
        <v>45964</v>
      </c>
      <c r="J3149" t="s">
        <v>2692</v>
      </c>
      <c r="K3149" t="s">
        <v>2693</v>
      </c>
      <c r="L3149" s="13">
        <v>10000</v>
      </c>
      <c r="M3149" t="s">
        <v>2676</v>
      </c>
    </row>
    <row r="3150" spans="1:13">
      <c r="A3150" t="s">
        <v>1401</v>
      </c>
      <c r="B3150" t="s">
        <v>265</v>
      </c>
      <c r="C3150" s="8">
        <v>46287</v>
      </c>
      <c r="D3150" t="s">
        <v>332</v>
      </c>
      <c r="E3150" t="s">
        <v>322</v>
      </c>
      <c r="F3150" s="12">
        <v>270570</v>
      </c>
      <c r="G3150" s="13">
        <v>27</v>
      </c>
      <c r="H3150" t="s">
        <v>2909</v>
      </c>
      <c r="I3150" s="8">
        <v>45963</v>
      </c>
      <c r="J3150" t="s">
        <v>2659</v>
      </c>
      <c r="K3150" t="s">
        <v>2660</v>
      </c>
      <c r="L3150" s="13">
        <v>3500</v>
      </c>
      <c r="M3150" t="s">
        <v>2661</v>
      </c>
    </row>
    <row r="3151" spans="1:13">
      <c r="A3151" t="s">
        <v>1402</v>
      </c>
      <c r="B3151" t="s">
        <v>95</v>
      </c>
      <c r="C3151" s="8">
        <v>46084</v>
      </c>
      <c r="D3151" t="s">
        <v>321</v>
      </c>
      <c r="E3151" t="s">
        <v>322</v>
      </c>
      <c r="F3151" s="12">
        <v>217626</v>
      </c>
      <c r="G3151" s="13">
        <v>21</v>
      </c>
      <c r="H3151" t="s">
        <v>3519</v>
      </c>
      <c r="I3151" s="8">
        <v>46135</v>
      </c>
      <c r="J3151" t="s">
        <v>2692</v>
      </c>
      <c r="K3151" t="s">
        <v>2693</v>
      </c>
      <c r="L3151" s="13">
        <v>10000</v>
      </c>
      <c r="M3151" t="s">
        <v>2661</v>
      </c>
    </row>
    <row r="3152" spans="1:13">
      <c r="A3152" t="s">
        <v>1402</v>
      </c>
      <c r="B3152" t="s">
        <v>95</v>
      </c>
      <c r="C3152" s="8">
        <v>46084</v>
      </c>
      <c r="D3152" t="s">
        <v>321</v>
      </c>
      <c r="E3152" t="s">
        <v>322</v>
      </c>
      <c r="F3152" s="12">
        <v>217626</v>
      </c>
      <c r="G3152" s="13">
        <v>21</v>
      </c>
      <c r="H3152" t="s">
        <v>3574</v>
      </c>
      <c r="I3152" s="8">
        <v>46267</v>
      </c>
      <c r="J3152" t="s">
        <v>2665</v>
      </c>
      <c r="K3152" t="s">
        <v>2666</v>
      </c>
      <c r="L3152" s="13">
        <v>2500</v>
      </c>
      <c r="M3152" t="s">
        <v>2661</v>
      </c>
    </row>
    <row r="3153" spans="1:13">
      <c r="A3153" t="s">
        <v>1403</v>
      </c>
      <c r="B3153" t="s">
        <v>136</v>
      </c>
      <c r="C3153" s="8">
        <v>46194</v>
      </c>
      <c r="D3153" t="s">
        <v>350</v>
      </c>
      <c r="E3153" t="s">
        <v>322</v>
      </c>
      <c r="F3153" s="12">
        <v>363871</v>
      </c>
      <c r="G3153" s="13">
        <v>36</v>
      </c>
      <c r="H3153" t="s">
        <v>2748</v>
      </c>
      <c r="I3153" s="8">
        <v>46022</v>
      </c>
      <c r="J3153" t="s">
        <v>2674</v>
      </c>
      <c r="K3153" t="s">
        <v>2675</v>
      </c>
      <c r="L3153" s="13">
        <v>20000</v>
      </c>
      <c r="M3153" t="s">
        <v>2661</v>
      </c>
    </row>
    <row r="3154" spans="1:13">
      <c r="A3154" t="s">
        <v>1403</v>
      </c>
      <c r="B3154" t="s">
        <v>136</v>
      </c>
      <c r="C3154" s="8">
        <v>46194</v>
      </c>
      <c r="D3154" t="s">
        <v>350</v>
      </c>
      <c r="E3154" t="s">
        <v>322</v>
      </c>
      <c r="F3154" s="12">
        <v>363871</v>
      </c>
      <c r="G3154" s="13">
        <v>36</v>
      </c>
      <c r="H3154" t="s">
        <v>2749</v>
      </c>
      <c r="I3154" s="8">
        <v>46017</v>
      </c>
      <c r="J3154" t="s">
        <v>2688</v>
      </c>
      <c r="K3154" t="s">
        <v>2689</v>
      </c>
      <c r="L3154" s="13">
        <v>8000</v>
      </c>
      <c r="M3154" t="s">
        <v>2676</v>
      </c>
    </row>
    <row r="3155" spans="1:13">
      <c r="A3155" t="s">
        <v>1403</v>
      </c>
      <c r="B3155" t="s">
        <v>136</v>
      </c>
      <c r="C3155" s="8">
        <v>46194</v>
      </c>
      <c r="D3155" t="s">
        <v>350</v>
      </c>
      <c r="E3155" t="s">
        <v>322</v>
      </c>
      <c r="F3155" s="12">
        <v>363871</v>
      </c>
      <c r="G3155" s="13">
        <v>36</v>
      </c>
      <c r="H3155" t="s">
        <v>2817</v>
      </c>
      <c r="I3155" s="8">
        <v>46089</v>
      </c>
      <c r="J3155" t="s">
        <v>2663</v>
      </c>
      <c r="K3155" t="s">
        <v>3630</v>
      </c>
      <c r="L3155" s="13">
        <v>1500</v>
      </c>
      <c r="M3155" t="s">
        <v>2676</v>
      </c>
    </row>
    <row r="3156" spans="1:13">
      <c r="A3156" t="s">
        <v>1403</v>
      </c>
      <c r="B3156" t="s">
        <v>136</v>
      </c>
      <c r="C3156" s="8">
        <v>46194</v>
      </c>
      <c r="D3156" t="s">
        <v>350</v>
      </c>
      <c r="E3156" t="s">
        <v>322</v>
      </c>
      <c r="F3156" s="12">
        <v>363871</v>
      </c>
      <c r="G3156" s="13">
        <v>36</v>
      </c>
      <c r="H3156" t="s">
        <v>2878</v>
      </c>
      <c r="I3156" s="8">
        <v>45988</v>
      </c>
      <c r="J3156" t="s">
        <v>2671</v>
      </c>
      <c r="K3156" t="s">
        <v>2672</v>
      </c>
      <c r="L3156" s="13">
        <v>3000</v>
      </c>
      <c r="M3156" t="s">
        <v>2661</v>
      </c>
    </row>
    <row r="3157" spans="1:13">
      <c r="A3157" t="s">
        <v>1404</v>
      </c>
      <c r="B3157" t="s">
        <v>106</v>
      </c>
      <c r="C3157" s="8">
        <v>46226</v>
      </c>
      <c r="D3157" t="s">
        <v>324</v>
      </c>
      <c r="E3157" t="s">
        <v>337</v>
      </c>
      <c r="F3157" s="12">
        <v>180321</v>
      </c>
      <c r="G3157" s="13">
        <v>18</v>
      </c>
      <c r="H3157" t="s">
        <v>2700</v>
      </c>
      <c r="I3157" s="8">
        <v>46262</v>
      </c>
      <c r="J3157" t="s">
        <v>2692</v>
      </c>
      <c r="K3157" t="s">
        <v>2693</v>
      </c>
      <c r="L3157" s="13">
        <v>10000</v>
      </c>
      <c r="M3157" t="s">
        <v>2676</v>
      </c>
    </row>
    <row r="3158" spans="1:13">
      <c r="A3158" t="s">
        <v>1404</v>
      </c>
      <c r="B3158" t="s">
        <v>106</v>
      </c>
      <c r="C3158" s="8">
        <v>46226</v>
      </c>
      <c r="D3158" t="s">
        <v>324</v>
      </c>
      <c r="E3158" t="s">
        <v>337</v>
      </c>
      <c r="F3158" s="12">
        <v>180321</v>
      </c>
      <c r="G3158" s="13">
        <v>18</v>
      </c>
      <c r="H3158" t="s">
        <v>2973</v>
      </c>
      <c r="I3158" s="8">
        <v>46143</v>
      </c>
      <c r="J3158" t="s">
        <v>2682</v>
      </c>
      <c r="K3158" t="s">
        <v>2683</v>
      </c>
      <c r="L3158" s="13">
        <v>6000</v>
      </c>
      <c r="M3158" t="s">
        <v>2661</v>
      </c>
    </row>
    <row r="3159" spans="1:13">
      <c r="A3159" t="s">
        <v>1404</v>
      </c>
      <c r="B3159" t="s">
        <v>106</v>
      </c>
      <c r="C3159" s="8">
        <v>46226</v>
      </c>
      <c r="D3159" t="s">
        <v>324</v>
      </c>
      <c r="E3159" t="s">
        <v>337</v>
      </c>
      <c r="F3159" s="12">
        <v>180321</v>
      </c>
      <c r="G3159" s="13">
        <v>18</v>
      </c>
      <c r="H3159" t="s">
        <v>3217</v>
      </c>
      <c r="I3159" s="8">
        <v>46275</v>
      </c>
      <c r="J3159" t="s">
        <v>2682</v>
      </c>
      <c r="K3159" t="s">
        <v>2683</v>
      </c>
      <c r="L3159" s="13">
        <v>6000</v>
      </c>
      <c r="M3159" t="s">
        <v>2676</v>
      </c>
    </row>
    <row r="3160" spans="1:13">
      <c r="A3160" t="s">
        <v>1404</v>
      </c>
      <c r="B3160" t="s">
        <v>106</v>
      </c>
      <c r="C3160" s="8">
        <v>46226</v>
      </c>
      <c r="D3160" t="s">
        <v>324</v>
      </c>
      <c r="E3160" t="s">
        <v>337</v>
      </c>
      <c r="F3160" s="12">
        <v>180321</v>
      </c>
      <c r="G3160" s="13">
        <v>18</v>
      </c>
      <c r="H3160" t="s">
        <v>3285</v>
      </c>
      <c r="I3160" s="8">
        <v>46234</v>
      </c>
      <c r="J3160" t="s">
        <v>2668</v>
      </c>
      <c r="K3160" t="s">
        <v>2669</v>
      </c>
      <c r="L3160" s="13">
        <v>4000</v>
      </c>
      <c r="M3160" t="s">
        <v>2661</v>
      </c>
    </row>
    <row r="3161" spans="1:13">
      <c r="A3161" t="s">
        <v>1404</v>
      </c>
      <c r="B3161" t="s">
        <v>106</v>
      </c>
      <c r="C3161" s="8">
        <v>46226</v>
      </c>
      <c r="D3161" t="s">
        <v>324</v>
      </c>
      <c r="E3161" t="s">
        <v>337</v>
      </c>
      <c r="F3161" s="12">
        <v>180321</v>
      </c>
      <c r="G3161" s="13">
        <v>18</v>
      </c>
      <c r="H3161" t="s">
        <v>3476</v>
      </c>
      <c r="I3161" s="8">
        <v>45966</v>
      </c>
      <c r="J3161" t="s">
        <v>2674</v>
      </c>
      <c r="K3161" t="s">
        <v>2675</v>
      </c>
      <c r="L3161" s="13">
        <v>20000</v>
      </c>
      <c r="M3161" t="s">
        <v>2661</v>
      </c>
    </row>
    <row r="3162" spans="1:13">
      <c r="A3162" t="s">
        <v>1406</v>
      </c>
      <c r="B3162" t="s">
        <v>135</v>
      </c>
      <c r="C3162" s="8">
        <v>46143</v>
      </c>
      <c r="D3162" t="s">
        <v>350</v>
      </c>
      <c r="E3162" t="s">
        <v>328</v>
      </c>
      <c r="F3162" s="12">
        <v>582640</v>
      </c>
      <c r="G3162" s="13">
        <v>58</v>
      </c>
      <c r="H3162" t="s">
        <v>2922</v>
      </c>
      <c r="I3162" s="8">
        <v>45998</v>
      </c>
      <c r="J3162" t="s">
        <v>2682</v>
      </c>
      <c r="K3162" t="s">
        <v>2683</v>
      </c>
      <c r="L3162" s="13">
        <v>6000</v>
      </c>
      <c r="M3162" t="s">
        <v>2661</v>
      </c>
    </row>
    <row r="3163" spans="1:13">
      <c r="A3163" t="s">
        <v>1406</v>
      </c>
      <c r="B3163" t="s">
        <v>135</v>
      </c>
      <c r="C3163" s="8">
        <v>46143</v>
      </c>
      <c r="D3163" t="s">
        <v>350</v>
      </c>
      <c r="E3163" t="s">
        <v>328</v>
      </c>
      <c r="F3163" s="12">
        <v>582640</v>
      </c>
      <c r="G3163" s="13">
        <v>58</v>
      </c>
      <c r="H3163" t="s">
        <v>3053</v>
      </c>
      <c r="I3163" s="8">
        <v>46165</v>
      </c>
      <c r="J3163" t="s">
        <v>2692</v>
      </c>
      <c r="K3163" t="s">
        <v>2693</v>
      </c>
      <c r="L3163" s="13">
        <v>10000</v>
      </c>
      <c r="M3163" t="s">
        <v>2661</v>
      </c>
    </row>
    <row r="3164" spans="1:13">
      <c r="A3164" t="s">
        <v>1406</v>
      </c>
      <c r="B3164" t="s">
        <v>135</v>
      </c>
      <c r="C3164" s="8">
        <v>46143</v>
      </c>
      <c r="D3164" t="s">
        <v>350</v>
      </c>
      <c r="E3164" t="s">
        <v>328</v>
      </c>
      <c r="F3164" s="12">
        <v>582640</v>
      </c>
      <c r="G3164" s="13">
        <v>58</v>
      </c>
      <c r="H3164" t="s">
        <v>3118</v>
      </c>
      <c r="I3164" s="8">
        <v>45989</v>
      </c>
      <c r="J3164" t="s">
        <v>2692</v>
      </c>
      <c r="K3164" t="s">
        <v>2693</v>
      </c>
      <c r="L3164" s="13">
        <v>10000</v>
      </c>
      <c r="M3164" t="s">
        <v>2661</v>
      </c>
    </row>
    <row r="3165" spans="1:13">
      <c r="A3165" t="s">
        <v>1406</v>
      </c>
      <c r="B3165" t="s">
        <v>135</v>
      </c>
      <c r="C3165" s="8">
        <v>46143</v>
      </c>
      <c r="D3165" t="s">
        <v>350</v>
      </c>
      <c r="E3165" t="s">
        <v>328</v>
      </c>
      <c r="F3165" s="12">
        <v>582640</v>
      </c>
      <c r="G3165" s="13">
        <v>58</v>
      </c>
      <c r="H3165" t="s">
        <v>3262</v>
      </c>
      <c r="I3165" s="8">
        <v>46091</v>
      </c>
      <c r="J3165" t="s">
        <v>2682</v>
      </c>
      <c r="K3165" t="s">
        <v>2683</v>
      </c>
      <c r="L3165" s="13">
        <v>6000</v>
      </c>
      <c r="M3165" t="s">
        <v>2661</v>
      </c>
    </row>
    <row r="3166" spans="1:13">
      <c r="A3166" t="s">
        <v>1407</v>
      </c>
      <c r="B3166" t="s">
        <v>74</v>
      </c>
      <c r="C3166" s="8">
        <v>46189</v>
      </c>
      <c r="D3166" t="s">
        <v>321</v>
      </c>
      <c r="E3166" t="s">
        <v>334</v>
      </c>
      <c r="F3166" s="12">
        <v>209605</v>
      </c>
      <c r="G3166" s="13">
        <v>20</v>
      </c>
      <c r="H3166" t="s">
        <v>2844</v>
      </c>
      <c r="I3166" s="8">
        <v>45954</v>
      </c>
      <c r="J3166" t="s">
        <v>2671</v>
      </c>
      <c r="K3166" t="s">
        <v>2672</v>
      </c>
      <c r="L3166" s="13">
        <v>3000</v>
      </c>
      <c r="M3166" t="s">
        <v>2676</v>
      </c>
    </row>
    <row r="3167" spans="1:13">
      <c r="A3167" t="s">
        <v>1407</v>
      </c>
      <c r="B3167" t="s">
        <v>74</v>
      </c>
      <c r="C3167" s="8">
        <v>46189</v>
      </c>
      <c r="D3167" t="s">
        <v>321</v>
      </c>
      <c r="E3167" t="s">
        <v>334</v>
      </c>
      <c r="F3167" s="12">
        <v>209605</v>
      </c>
      <c r="G3167" s="13">
        <v>20</v>
      </c>
      <c r="H3167" t="s">
        <v>2889</v>
      </c>
      <c r="I3167" s="8">
        <v>46009</v>
      </c>
      <c r="J3167" t="s">
        <v>2685</v>
      </c>
      <c r="K3167" t="s">
        <v>2686</v>
      </c>
      <c r="L3167" s="13">
        <v>5000</v>
      </c>
      <c r="M3167" t="s">
        <v>2661</v>
      </c>
    </row>
    <row r="3168" spans="1:13">
      <c r="A3168" t="s">
        <v>1407</v>
      </c>
      <c r="B3168" t="s">
        <v>74</v>
      </c>
      <c r="C3168" s="8">
        <v>46189</v>
      </c>
      <c r="D3168" t="s">
        <v>321</v>
      </c>
      <c r="E3168" t="s">
        <v>334</v>
      </c>
      <c r="F3168" s="12">
        <v>209605</v>
      </c>
      <c r="G3168" s="13">
        <v>20</v>
      </c>
      <c r="H3168" t="s">
        <v>2928</v>
      </c>
      <c r="I3168" s="8">
        <v>46272</v>
      </c>
      <c r="J3168" t="s">
        <v>2692</v>
      </c>
      <c r="K3168" t="s">
        <v>2693</v>
      </c>
      <c r="L3168" s="13">
        <v>10000</v>
      </c>
      <c r="M3168" t="s">
        <v>2661</v>
      </c>
    </row>
    <row r="3169" spans="1:13">
      <c r="A3169" t="s">
        <v>1407</v>
      </c>
      <c r="B3169" t="s">
        <v>74</v>
      </c>
      <c r="C3169" s="8">
        <v>46189</v>
      </c>
      <c r="D3169" t="s">
        <v>321</v>
      </c>
      <c r="E3169" t="s">
        <v>334</v>
      </c>
      <c r="F3169" s="12">
        <v>209605</v>
      </c>
      <c r="G3169" s="13">
        <v>20</v>
      </c>
      <c r="H3169" t="s">
        <v>3168</v>
      </c>
      <c r="I3169" s="8">
        <v>46219</v>
      </c>
      <c r="J3169" t="s">
        <v>2685</v>
      </c>
      <c r="K3169" t="s">
        <v>2686</v>
      </c>
      <c r="L3169" s="13">
        <v>5000</v>
      </c>
      <c r="M3169" t="s">
        <v>2661</v>
      </c>
    </row>
    <row r="3170" spans="1:13">
      <c r="A3170" t="s">
        <v>1410</v>
      </c>
      <c r="B3170" t="s">
        <v>95</v>
      </c>
      <c r="C3170" s="8">
        <v>46005</v>
      </c>
      <c r="D3170" t="s">
        <v>342</v>
      </c>
      <c r="E3170" t="s">
        <v>328</v>
      </c>
      <c r="F3170" s="12">
        <v>305437</v>
      </c>
      <c r="G3170" s="13">
        <v>30</v>
      </c>
      <c r="H3170" t="s">
        <v>3519</v>
      </c>
      <c r="I3170" s="8">
        <v>46135</v>
      </c>
      <c r="J3170" t="s">
        <v>2692</v>
      </c>
      <c r="K3170" t="s">
        <v>2693</v>
      </c>
      <c r="L3170" s="13">
        <v>10000</v>
      </c>
      <c r="M3170" t="s">
        <v>2661</v>
      </c>
    </row>
    <row r="3171" spans="1:13">
      <c r="A3171" t="s">
        <v>1410</v>
      </c>
      <c r="B3171" t="s">
        <v>95</v>
      </c>
      <c r="C3171" s="8">
        <v>46005</v>
      </c>
      <c r="D3171" t="s">
        <v>342</v>
      </c>
      <c r="E3171" t="s">
        <v>328</v>
      </c>
      <c r="F3171" s="12">
        <v>305437</v>
      </c>
      <c r="G3171" s="13">
        <v>30</v>
      </c>
      <c r="H3171" t="s">
        <v>3574</v>
      </c>
      <c r="I3171" s="8">
        <v>46267</v>
      </c>
      <c r="J3171" t="s">
        <v>2665</v>
      </c>
      <c r="K3171" t="s">
        <v>2666</v>
      </c>
      <c r="L3171" s="13">
        <v>2500</v>
      </c>
      <c r="M3171" t="s">
        <v>2661</v>
      </c>
    </row>
    <row r="3172" spans="1:13">
      <c r="A3172" t="s">
        <v>1411</v>
      </c>
      <c r="B3172" t="s">
        <v>265</v>
      </c>
      <c r="C3172" s="8">
        <v>46028</v>
      </c>
      <c r="D3172" t="s">
        <v>350</v>
      </c>
      <c r="E3172" t="s">
        <v>322</v>
      </c>
      <c r="F3172" s="12">
        <v>245710</v>
      </c>
      <c r="G3172" s="13">
        <v>24</v>
      </c>
      <c r="H3172" t="s">
        <v>2909</v>
      </c>
      <c r="I3172" s="8">
        <v>45963</v>
      </c>
      <c r="J3172" t="s">
        <v>2659</v>
      </c>
      <c r="K3172" t="s">
        <v>2660</v>
      </c>
      <c r="L3172" s="13">
        <v>3500</v>
      </c>
      <c r="M3172" t="s">
        <v>2661</v>
      </c>
    </row>
    <row r="3173" spans="1:13">
      <c r="A3173" t="s">
        <v>1412</v>
      </c>
      <c r="B3173" t="s">
        <v>290</v>
      </c>
      <c r="C3173" s="8">
        <v>46086</v>
      </c>
      <c r="D3173" t="s">
        <v>344</v>
      </c>
      <c r="E3173" t="s">
        <v>337</v>
      </c>
      <c r="F3173" s="12">
        <v>267048</v>
      </c>
      <c r="G3173" s="13">
        <v>26</v>
      </c>
      <c r="H3173" t="s">
        <v>3253</v>
      </c>
      <c r="I3173" s="8">
        <v>46053</v>
      </c>
      <c r="J3173" t="s">
        <v>2688</v>
      </c>
      <c r="K3173" t="s">
        <v>2689</v>
      </c>
      <c r="L3173" s="13">
        <v>8000</v>
      </c>
      <c r="M3173" t="s">
        <v>2661</v>
      </c>
    </row>
    <row r="3174" spans="1:13">
      <c r="A3174" t="s">
        <v>1412</v>
      </c>
      <c r="B3174" t="s">
        <v>290</v>
      </c>
      <c r="C3174" s="8">
        <v>46086</v>
      </c>
      <c r="D3174" t="s">
        <v>344</v>
      </c>
      <c r="E3174" t="s">
        <v>337</v>
      </c>
      <c r="F3174" s="12">
        <v>267048</v>
      </c>
      <c r="G3174" s="13">
        <v>26</v>
      </c>
      <c r="H3174" t="s">
        <v>3256</v>
      </c>
      <c r="I3174" s="8">
        <v>45968</v>
      </c>
      <c r="J3174" t="s">
        <v>2688</v>
      </c>
      <c r="K3174" t="s">
        <v>2689</v>
      </c>
      <c r="L3174" s="13">
        <v>8000</v>
      </c>
      <c r="M3174" t="s">
        <v>2676</v>
      </c>
    </row>
    <row r="3175" spans="1:13">
      <c r="A3175" t="s">
        <v>1413</v>
      </c>
      <c r="B3175" t="s">
        <v>83</v>
      </c>
      <c r="C3175" s="8">
        <v>46085</v>
      </c>
      <c r="D3175" t="s">
        <v>350</v>
      </c>
      <c r="E3175" t="s">
        <v>337</v>
      </c>
      <c r="F3175" s="12">
        <v>911672</v>
      </c>
      <c r="G3175" s="13">
        <v>91</v>
      </c>
      <c r="H3175" t="s">
        <v>2696</v>
      </c>
      <c r="I3175" s="8">
        <v>46024</v>
      </c>
      <c r="J3175" t="s">
        <v>2663</v>
      </c>
      <c r="K3175" t="s">
        <v>3630</v>
      </c>
      <c r="L3175" s="13">
        <v>1500</v>
      </c>
      <c r="M3175" t="s">
        <v>2661</v>
      </c>
    </row>
    <row r="3176" spans="1:13">
      <c r="A3176" t="s">
        <v>1413</v>
      </c>
      <c r="B3176" t="s">
        <v>83</v>
      </c>
      <c r="C3176" s="8">
        <v>46085</v>
      </c>
      <c r="D3176" t="s">
        <v>350</v>
      </c>
      <c r="E3176" t="s">
        <v>337</v>
      </c>
      <c r="F3176" s="12">
        <v>911672</v>
      </c>
      <c r="G3176" s="13">
        <v>91</v>
      </c>
      <c r="H3176" t="s">
        <v>2725</v>
      </c>
      <c r="I3176" s="8">
        <v>46065</v>
      </c>
      <c r="J3176" t="s">
        <v>2688</v>
      </c>
      <c r="K3176" t="s">
        <v>2689</v>
      </c>
      <c r="L3176" s="13">
        <v>8000</v>
      </c>
      <c r="M3176" t="s">
        <v>2661</v>
      </c>
    </row>
    <row r="3177" spans="1:13">
      <c r="A3177" t="s">
        <v>1413</v>
      </c>
      <c r="B3177" t="s">
        <v>83</v>
      </c>
      <c r="C3177" s="8">
        <v>46085</v>
      </c>
      <c r="D3177" t="s">
        <v>350</v>
      </c>
      <c r="E3177" t="s">
        <v>337</v>
      </c>
      <c r="F3177" s="12">
        <v>911672</v>
      </c>
      <c r="G3177" s="13">
        <v>91</v>
      </c>
      <c r="H3177" t="s">
        <v>2938</v>
      </c>
      <c r="I3177" s="8">
        <v>46277</v>
      </c>
      <c r="J3177" t="s">
        <v>2692</v>
      </c>
      <c r="K3177" t="s">
        <v>2693</v>
      </c>
      <c r="L3177" s="13">
        <v>10000</v>
      </c>
      <c r="M3177" t="s">
        <v>2661</v>
      </c>
    </row>
    <row r="3178" spans="1:13">
      <c r="A3178" t="s">
        <v>1414</v>
      </c>
      <c r="B3178" t="s">
        <v>288</v>
      </c>
      <c r="C3178" s="8">
        <v>46115</v>
      </c>
      <c r="D3178" t="s">
        <v>332</v>
      </c>
      <c r="E3178" t="s">
        <v>337</v>
      </c>
      <c r="F3178" s="12">
        <v>184553</v>
      </c>
      <c r="G3178" s="13">
        <v>18</v>
      </c>
      <c r="H3178" t="s">
        <v>2753</v>
      </c>
      <c r="I3178" s="8">
        <v>46202</v>
      </c>
      <c r="J3178" t="s">
        <v>2671</v>
      </c>
      <c r="K3178" t="s">
        <v>2672</v>
      </c>
      <c r="L3178" s="13">
        <v>3000</v>
      </c>
      <c r="M3178" t="s">
        <v>2661</v>
      </c>
    </row>
    <row r="3179" spans="1:13">
      <c r="A3179" t="s">
        <v>1414</v>
      </c>
      <c r="B3179" t="s">
        <v>288</v>
      </c>
      <c r="C3179" s="8">
        <v>46115</v>
      </c>
      <c r="D3179" t="s">
        <v>332</v>
      </c>
      <c r="E3179" t="s">
        <v>337</v>
      </c>
      <c r="F3179" s="12">
        <v>184553</v>
      </c>
      <c r="G3179" s="13">
        <v>18</v>
      </c>
      <c r="H3179" t="s">
        <v>2764</v>
      </c>
      <c r="I3179" s="8">
        <v>46008</v>
      </c>
      <c r="J3179" t="s">
        <v>2668</v>
      </c>
      <c r="K3179" t="s">
        <v>2669</v>
      </c>
      <c r="L3179" s="13">
        <v>4000</v>
      </c>
      <c r="M3179" t="s">
        <v>2676</v>
      </c>
    </row>
    <row r="3180" spans="1:13">
      <c r="A3180" t="s">
        <v>1414</v>
      </c>
      <c r="B3180" t="s">
        <v>288</v>
      </c>
      <c r="C3180" s="8">
        <v>46115</v>
      </c>
      <c r="D3180" t="s">
        <v>332</v>
      </c>
      <c r="E3180" t="s">
        <v>337</v>
      </c>
      <c r="F3180" s="12">
        <v>184553</v>
      </c>
      <c r="G3180" s="13">
        <v>18</v>
      </c>
      <c r="H3180" t="s">
        <v>2863</v>
      </c>
      <c r="I3180" s="8">
        <v>45971</v>
      </c>
      <c r="J3180" t="s">
        <v>2659</v>
      </c>
      <c r="K3180" t="s">
        <v>2660</v>
      </c>
      <c r="L3180" s="13">
        <v>3500</v>
      </c>
      <c r="M3180" t="s">
        <v>2676</v>
      </c>
    </row>
    <row r="3181" spans="1:13">
      <c r="A3181" t="s">
        <v>1414</v>
      </c>
      <c r="B3181" t="s">
        <v>288</v>
      </c>
      <c r="C3181" s="8">
        <v>46115</v>
      </c>
      <c r="D3181" t="s">
        <v>332</v>
      </c>
      <c r="E3181" t="s">
        <v>337</v>
      </c>
      <c r="F3181" s="12">
        <v>184553</v>
      </c>
      <c r="G3181" s="13">
        <v>18</v>
      </c>
      <c r="H3181" t="s">
        <v>3009</v>
      </c>
      <c r="I3181" s="8">
        <v>45978</v>
      </c>
      <c r="J3181" t="s">
        <v>2674</v>
      </c>
      <c r="K3181" t="s">
        <v>2675</v>
      </c>
      <c r="L3181" s="13">
        <v>20000</v>
      </c>
      <c r="M3181" t="s">
        <v>2676</v>
      </c>
    </row>
    <row r="3182" spans="1:13">
      <c r="A3182" t="s">
        <v>1414</v>
      </c>
      <c r="B3182" t="s">
        <v>288</v>
      </c>
      <c r="C3182" s="8">
        <v>46115</v>
      </c>
      <c r="D3182" t="s">
        <v>332</v>
      </c>
      <c r="E3182" t="s">
        <v>337</v>
      </c>
      <c r="F3182" s="12">
        <v>184553</v>
      </c>
      <c r="G3182" s="13">
        <v>18</v>
      </c>
      <c r="H3182" t="s">
        <v>3139</v>
      </c>
      <c r="I3182" s="8">
        <v>45962</v>
      </c>
      <c r="J3182" t="s">
        <v>2659</v>
      </c>
      <c r="K3182" t="s">
        <v>2660</v>
      </c>
      <c r="L3182" s="13">
        <v>3500</v>
      </c>
      <c r="M3182" t="s">
        <v>2661</v>
      </c>
    </row>
    <row r="3183" spans="1:13">
      <c r="A3183" t="s">
        <v>1415</v>
      </c>
      <c r="B3183" t="s">
        <v>303</v>
      </c>
      <c r="C3183" s="8">
        <v>46154</v>
      </c>
      <c r="D3183" t="s">
        <v>330</v>
      </c>
      <c r="E3183" t="s">
        <v>325</v>
      </c>
      <c r="F3183" s="12">
        <v>94092</v>
      </c>
      <c r="G3183" s="13">
        <v>9</v>
      </c>
      <c r="H3183" t="s">
        <v>2809</v>
      </c>
      <c r="I3183" s="8">
        <v>46061</v>
      </c>
      <c r="J3183" t="s">
        <v>2682</v>
      </c>
      <c r="K3183" t="s">
        <v>2683</v>
      </c>
      <c r="L3183" s="13">
        <v>6000</v>
      </c>
      <c r="M3183" t="s">
        <v>2661</v>
      </c>
    </row>
    <row r="3184" spans="1:13">
      <c r="A3184" t="s">
        <v>1416</v>
      </c>
      <c r="B3184" t="s">
        <v>196</v>
      </c>
      <c r="C3184" s="8">
        <v>45968</v>
      </c>
      <c r="D3184" t="s">
        <v>324</v>
      </c>
      <c r="E3184" t="s">
        <v>334</v>
      </c>
      <c r="F3184" s="12">
        <v>316357</v>
      </c>
      <c r="G3184" s="13">
        <v>31</v>
      </c>
      <c r="H3184" t="s">
        <v>3132</v>
      </c>
      <c r="I3184" s="8">
        <v>46123</v>
      </c>
      <c r="J3184" t="s">
        <v>2668</v>
      </c>
      <c r="K3184" t="s">
        <v>2669</v>
      </c>
      <c r="L3184" s="13">
        <v>4000</v>
      </c>
      <c r="M3184" t="s">
        <v>2661</v>
      </c>
    </row>
    <row r="3185" spans="1:13">
      <c r="A3185" t="s">
        <v>1416</v>
      </c>
      <c r="B3185" t="s">
        <v>196</v>
      </c>
      <c r="C3185" s="8">
        <v>45968</v>
      </c>
      <c r="D3185" t="s">
        <v>324</v>
      </c>
      <c r="E3185" t="s">
        <v>334</v>
      </c>
      <c r="F3185" s="12">
        <v>316357</v>
      </c>
      <c r="G3185" s="13">
        <v>31</v>
      </c>
      <c r="H3185" t="s">
        <v>3338</v>
      </c>
      <c r="I3185" s="8">
        <v>46020</v>
      </c>
      <c r="J3185" t="s">
        <v>2692</v>
      </c>
      <c r="K3185" t="s">
        <v>2693</v>
      </c>
      <c r="L3185" s="13">
        <v>10000</v>
      </c>
      <c r="M3185" t="s">
        <v>2661</v>
      </c>
    </row>
    <row r="3186" spans="1:13">
      <c r="A3186" t="s">
        <v>1416</v>
      </c>
      <c r="B3186" t="s">
        <v>196</v>
      </c>
      <c r="C3186" s="8">
        <v>45968</v>
      </c>
      <c r="D3186" t="s">
        <v>324</v>
      </c>
      <c r="E3186" t="s">
        <v>334</v>
      </c>
      <c r="F3186" s="12">
        <v>316357</v>
      </c>
      <c r="G3186" s="13">
        <v>31</v>
      </c>
      <c r="H3186" t="s">
        <v>3502</v>
      </c>
      <c r="I3186" s="8">
        <v>45979</v>
      </c>
      <c r="J3186" t="s">
        <v>2692</v>
      </c>
      <c r="K3186" t="s">
        <v>2693</v>
      </c>
      <c r="L3186" s="13">
        <v>10000</v>
      </c>
      <c r="M3186" t="s">
        <v>2661</v>
      </c>
    </row>
    <row r="3187" spans="1:13">
      <c r="A3187" t="s">
        <v>1418</v>
      </c>
      <c r="B3187" t="s">
        <v>84</v>
      </c>
      <c r="C3187" s="8">
        <v>46233</v>
      </c>
      <c r="D3187" t="s">
        <v>350</v>
      </c>
      <c r="E3187" t="s">
        <v>337</v>
      </c>
      <c r="F3187" s="12">
        <v>97853</v>
      </c>
      <c r="G3187" s="13">
        <v>9</v>
      </c>
      <c r="H3187" t="s">
        <v>2962</v>
      </c>
      <c r="I3187" s="8">
        <v>46190</v>
      </c>
      <c r="J3187" t="s">
        <v>2671</v>
      </c>
      <c r="K3187" t="s">
        <v>2672</v>
      </c>
      <c r="L3187" s="13">
        <v>3000</v>
      </c>
      <c r="M3187" t="s">
        <v>2661</v>
      </c>
    </row>
    <row r="3188" spans="1:13">
      <c r="A3188" t="s">
        <v>1418</v>
      </c>
      <c r="B3188" t="s">
        <v>84</v>
      </c>
      <c r="C3188" s="8">
        <v>46233</v>
      </c>
      <c r="D3188" t="s">
        <v>350</v>
      </c>
      <c r="E3188" t="s">
        <v>337</v>
      </c>
      <c r="F3188" s="12">
        <v>97853</v>
      </c>
      <c r="G3188" s="13">
        <v>9</v>
      </c>
      <c r="H3188" t="s">
        <v>3204</v>
      </c>
      <c r="I3188" s="8">
        <v>46029</v>
      </c>
      <c r="J3188" t="s">
        <v>2671</v>
      </c>
      <c r="K3188" t="s">
        <v>2672</v>
      </c>
      <c r="L3188" s="13">
        <v>3000</v>
      </c>
      <c r="M3188" t="s">
        <v>2661</v>
      </c>
    </row>
    <row r="3189" spans="1:13">
      <c r="A3189" t="s">
        <v>1418</v>
      </c>
      <c r="B3189" t="s">
        <v>84</v>
      </c>
      <c r="C3189" s="8">
        <v>46233</v>
      </c>
      <c r="D3189" t="s">
        <v>350</v>
      </c>
      <c r="E3189" t="s">
        <v>337</v>
      </c>
      <c r="F3189" s="12">
        <v>97853</v>
      </c>
      <c r="G3189" s="13">
        <v>9</v>
      </c>
      <c r="H3189" t="s">
        <v>3273</v>
      </c>
      <c r="I3189" s="8">
        <v>46050</v>
      </c>
      <c r="J3189" t="s">
        <v>2668</v>
      </c>
      <c r="K3189" t="s">
        <v>2669</v>
      </c>
      <c r="L3189" s="13">
        <v>4000</v>
      </c>
      <c r="M3189" t="s">
        <v>2676</v>
      </c>
    </row>
    <row r="3190" spans="1:13">
      <c r="A3190" t="s">
        <v>1418</v>
      </c>
      <c r="B3190" t="s">
        <v>84</v>
      </c>
      <c r="C3190" s="8">
        <v>46233</v>
      </c>
      <c r="D3190" t="s">
        <v>350</v>
      </c>
      <c r="E3190" t="s">
        <v>337</v>
      </c>
      <c r="F3190" s="12">
        <v>97853</v>
      </c>
      <c r="G3190" s="13">
        <v>9</v>
      </c>
      <c r="H3190" t="s">
        <v>3305</v>
      </c>
      <c r="I3190" s="8">
        <v>45960</v>
      </c>
      <c r="J3190" t="s">
        <v>2682</v>
      </c>
      <c r="K3190" t="s">
        <v>2683</v>
      </c>
      <c r="L3190" s="13">
        <v>6000</v>
      </c>
      <c r="M3190" t="s">
        <v>2661</v>
      </c>
    </row>
    <row r="3191" spans="1:13">
      <c r="A3191" t="s">
        <v>1419</v>
      </c>
      <c r="B3191" t="s">
        <v>118</v>
      </c>
      <c r="C3191" s="8">
        <v>46050</v>
      </c>
      <c r="D3191" t="s">
        <v>327</v>
      </c>
      <c r="E3191" t="s">
        <v>337</v>
      </c>
      <c r="F3191" s="12">
        <v>371523</v>
      </c>
      <c r="G3191" s="13">
        <v>37</v>
      </c>
      <c r="H3191" t="s">
        <v>2709</v>
      </c>
      <c r="I3191" s="8">
        <v>46119</v>
      </c>
      <c r="J3191" t="s">
        <v>2685</v>
      </c>
      <c r="K3191" t="s">
        <v>2686</v>
      </c>
      <c r="L3191" s="13">
        <v>5000</v>
      </c>
      <c r="M3191" t="s">
        <v>2661</v>
      </c>
    </row>
    <row r="3192" spans="1:13">
      <c r="A3192" t="s">
        <v>1419</v>
      </c>
      <c r="B3192" t="s">
        <v>118</v>
      </c>
      <c r="C3192" s="8">
        <v>46050</v>
      </c>
      <c r="D3192" t="s">
        <v>327</v>
      </c>
      <c r="E3192" t="s">
        <v>337</v>
      </c>
      <c r="F3192" s="12">
        <v>371523</v>
      </c>
      <c r="G3192" s="13">
        <v>37</v>
      </c>
      <c r="H3192" t="s">
        <v>2853</v>
      </c>
      <c r="I3192" s="8">
        <v>46269</v>
      </c>
      <c r="J3192" t="s">
        <v>2688</v>
      </c>
      <c r="K3192" t="s">
        <v>2689</v>
      </c>
      <c r="L3192" s="13">
        <v>8000</v>
      </c>
      <c r="M3192" t="s">
        <v>2661</v>
      </c>
    </row>
    <row r="3193" spans="1:13">
      <c r="A3193" t="s">
        <v>1419</v>
      </c>
      <c r="B3193" t="s">
        <v>118</v>
      </c>
      <c r="C3193" s="8">
        <v>46050</v>
      </c>
      <c r="D3193" t="s">
        <v>327</v>
      </c>
      <c r="E3193" t="s">
        <v>337</v>
      </c>
      <c r="F3193" s="12">
        <v>371523</v>
      </c>
      <c r="G3193" s="13">
        <v>37</v>
      </c>
      <c r="H3193" t="s">
        <v>2932</v>
      </c>
      <c r="I3193" s="8">
        <v>45982</v>
      </c>
      <c r="J3193" t="s">
        <v>2685</v>
      </c>
      <c r="K3193" t="s">
        <v>2686</v>
      </c>
      <c r="L3193" s="13">
        <v>5000</v>
      </c>
      <c r="M3193" t="s">
        <v>2661</v>
      </c>
    </row>
    <row r="3194" spans="1:13">
      <c r="A3194" t="s">
        <v>1419</v>
      </c>
      <c r="B3194" t="s">
        <v>118</v>
      </c>
      <c r="C3194" s="8">
        <v>46050</v>
      </c>
      <c r="D3194" t="s">
        <v>327</v>
      </c>
      <c r="E3194" t="s">
        <v>337</v>
      </c>
      <c r="F3194" s="12">
        <v>371523</v>
      </c>
      <c r="G3194" s="13">
        <v>37</v>
      </c>
      <c r="H3194" t="s">
        <v>3562</v>
      </c>
      <c r="I3194" s="8">
        <v>46251</v>
      </c>
      <c r="J3194" t="s">
        <v>2692</v>
      </c>
      <c r="K3194" t="s">
        <v>2693</v>
      </c>
      <c r="L3194" s="13">
        <v>10000</v>
      </c>
      <c r="M3194" t="s">
        <v>2661</v>
      </c>
    </row>
    <row r="3195" spans="1:13">
      <c r="A3195" t="s">
        <v>1420</v>
      </c>
      <c r="B3195" t="s">
        <v>275</v>
      </c>
      <c r="C3195" s="8">
        <v>46240</v>
      </c>
      <c r="D3195" t="s">
        <v>350</v>
      </c>
      <c r="E3195" t="s">
        <v>337</v>
      </c>
      <c r="F3195" s="12">
        <v>219900</v>
      </c>
      <c r="G3195" s="13">
        <v>21</v>
      </c>
      <c r="H3195" t="s">
        <v>2769</v>
      </c>
      <c r="I3195" s="8">
        <v>45949</v>
      </c>
      <c r="J3195" t="s">
        <v>2659</v>
      </c>
      <c r="K3195" t="s">
        <v>2660</v>
      </c>
      <c r="L3195" s="13">
        <v>3500</v>
      </c>
      <c r="M3195" t="s">
        <v>2661</v>
      </c>
    </row>
    <row r="3196" spans="1:13">
      <c r="A3196" t="s">
        <v>1420</v>
      </c>
      <c r="B3196" t="s">
        <v>275</v>
      </c>
      <c r="C3196" s="8">
        <v>46240</v>
      </c>
      <c r="D3196" t="s">
        <v>350</v>
      </c>
      <c r="E3196" t="s">
        <v>337</v>
      </c>
      <c r="F3196" s="12">
        <v>219900</v>
      </c>
      <c r="G3196" s="13">
        <v>21</v>
      </c>
      <c r="H3196" t="s">
        <v>2812</v>
      </c>
      <c r="I3196" s="8">
        <v>46037</v>
      </c>
      <c r="J3196" t="s">
        <v>2671</v>
      </c>
      <c r="K3196" t="s">
        <v>2672</v>
      </c>
      <c r="L3196" s="13">
        <v>3000</v>
      </c>
      <c r="M3196" t="s">
        <v>2661</v>
      </c>
    </row>
    <row r="3197" spans="1:13">
      <c r="A3197" t="s">
        <v>1420</v>
      </c>
      <c r="B3197" t="s">
        <v>275</v>
      </c>
      <c r="C3197" s="8">
        <v>46240</v>
      </c>
      <c r="D3197" t="s">
        <v>350</v>
      </c>
      <c r="E3197" t="s">
        <v>337</v>
      </c>
      <c r="F3197" s="12">
        <v>219900</v>
      </c>
      <c r="G3197" s="13">
        <v>21</v>
      </c>
      <c r="H3197" t="s">
        <v>2988</v>
      </c>
      <c r="I3197" s="8">
        <v>45949</v>
      </c>
      <c r="J3197" t="s">
        <v>2692</v>
      </c>
      <c r="K3197" t="s">
        <v>2693</v>
      </c>
      <c r="L3197" s="13">
        <v>10000</v>
      </c>
      <c r="M3197" t="s">
        <v>2661</v>
      </c>
    </row>
    <row r="3198" spans="1:13">
      <c r="A3198" t="s">
        <v>1420</v>
      </c>
      <c r="B3198" t="s">
        <v>275</v>
      </c>
      <c r="C3198" s="8">
        <v>46240</v>
      </c>
      <c r="D3198" t="s">
        <v>350</v>
      </c>
      <c r="E3198" t="s">
        <v>337</v>
      </c>
      <c r="F3198" s="12">
        <v>219900</v>
      </c>
      <c r="G3198" s="13">
        <v>21</v>
      </c>
      <c r="H3198" t="s">
        <v>3251</v>
      </c>
      <c r="I3198" s="8">
        <v>46059</v>
      </c>
      <c r="J3198" t="s">
        <v>2685</v>
      </c>
      <c r="K3198" t="s">
        <v>2686</v>
      </c>
      <c r="L3198" s="13">
        <v>5000</v>
      </c>
      <c r="M3198" t="s">
        <v>2661</v>
      </c>
    </row>
    <row r="3199" spans="1:13">
      <c r="A3199" t="s">
        <v>1420</v>
      </c>
      <c r="B3199" t="s">
        <v>275</v>
      </c>
      <c r="C3199" s="8">
        <v>46240</v>
      </c>
      <c r="D3199" t="s">
        <v>350</v>
      </c>
      <c r="E3199" t="s">
        <v>337</v>
      </c>
      <c r="F3199" s="12">
        <v>219900</v>
      </c>
      <c r="G3199" s="13">
        <v>21</v>
      </c>
      <c r="H3199" t="s">
        <v>3366</v>
      </c>
      <c r="I3199" s="8">
        <v>46230</v>
      </c>
      <c r="J3199" t="s">
        <v>2671</v>
      </c>
      <c r="K3199" t="s">
        <v>2672</v>
      </c>
      <c r="L3199" s="13">
        <v>3000</v>
      </c>
      <c r="M3199" t="s">
        <v>2661</v>
      </c>
    </row>
    <row r="3200" spans="1:13">
      <c r="A3200" t="s">
        <v>1421</v>
      </c>
      <c r="B3200" t="s">
        <v>125</v>
      </c>
      <c r="C3200" s="8">
        <v>46082</v>
      </c>
      <c r="D3200" t="s">
        <v>321</v>
      </c>
      <c r="E3200" t="s">
        <v>325</v>
      </c>
      <c r="F3200" s="12">
        <v>405586</v>
      </c>
      <c r="G3200" s="13">
        <v>40</v>
      </c>
      <c r="H3200" t="s">
        <v>2832</v>
      </c>
      <c r="I3200" s="8">
        <v>46262</v>
      </c>
      <c r="J3200" t="s">
        <v>2671</v>
      </c>
      <c r="K3200" t="s">
        <v>2672</v>
      </c>
      <c r="L3200" s="13">
        <v>3000</v>
      </c>
      <c r="M3200" t="s">
        <v>2661</v>
      </c>
    </row>
    <row r="3201" spans="1:13">
      <c r="A3201" t="s">
        <v>1421</v>
      </c>
      <c r="B3201" t="s">
        <v>125</v>
      </c>
      <c r="C3201" s="8">
        <v>46082</v>
      </c>
      <c r="D3201" t="s">
        <v>321</v>
      </c>
      <c r="E3201" t="s">
        <v>325</v>
      </c>
      <c r="F3201" s="12">
        <v>405586</v>
      </c>
      <c r="G3201" s="13">
        <v>40</v>
      </c>
      <c r="H3201" t="s">
        <v>3039</v>
      </c>
      <c r="I3201" s="8">
        <v>45962</v>
      </c>
      <c r="J3201" t="s">
        <v>2682</v>
      </c>
      <c r="K3201" t="s">
        <v>2683</v>
      </c>
      <c r="L3201" s="13">
        <v>6000</v>
      </c>
      <c r="M3201" t="s">
        <v>2661</v>
      </c>
    </row>
    <row r="3202" spans="1:13">
      <c r="A3202" t="s">
        <v>1422</v>
      </c>
      <c r="B3202" t="s">
        <v>174</v>
      </c>
      <c r="C3202" s="8">
        <v>46167</v>
      </c>
      <c r="D3202" t="s">
        <v>342</v>
      </c>
      <c r="E3202" t="s">
        <v>334</v>
      </c>
      <c r="F3202" s="12">
        <v>299285</v>
      </c>
      <c r="G3202" s="13">
        <v>29</v>
      </c>
      <c r="H3202" t="s">
        <v>3297</v>
      </c>
      <c r="I3202" s="8">
        <v>46090</v>
      </c>
      <c r="J3202" t="s">
        <v>2685</v>
      </c>
      <c r="K3202" t="s">
        <v>2686</v>
      </c>
      <c r="L3202" s="13">
        <v>5000</v>
      </c>
      <c r="M3202" t="s">
        <v>2676</v>
      </c>
    </row>
    <row r="3203" spans="1:13">
      <c r="A3203" t="s">
        <v>1423</v>
      </c>
      <c r="B3203" t="s">
        <v>290</v>
      </c>
      <c r="C3203" s="8">
        <v>46038</v>
      </c>
      <c r="D3203" t="s">
        <v>350</v>
      </c>
      <c r="E3203" t="s">
        <v>322</v>
      </c>
      <c r="F3203" s="12">
        <v>252492</v>
      </c>
      <c r="G3203" s="13">
        <v>25</v>
      </c>
      <c r="H3203" t="s">
        <v>3253</v>
      </c>
      <c r="I3203" s="8">
        <v>46053</v>
      </c>
      <c r="J3203" t="s">
        <v>2688</v>
      </c>
      <c r="K3203" t="s">
        <v>2689</v>
      </c>
      <c r="L3203" s="13">
        <v>8000</v>
      </c>
      <c r="M3203" t="s">
        <v>2661</v>
      </c>
    </row>
    <row r="3204" spans="1:13">
      <c r="A3204" t="s">
        <v>1423</v>
      </c>
      <c r="B3204" t="s">
        <v>290</v>
      </c>
      <c r="C3204" s="8">
        <v>46038</v>
      </c>
      <c r="D3204" t="s">
        <v>350</v>
      </c>
      <c r="E3204" t="s">
        <v>322</v>
      </c>
      <c r="F3204" s="12">
        <v>252492</v>
      </c>
      <c r="G3204" s="13">
        <v>25</v>
      </c>
      <c r="H3204" t="s">
        <v>3256</v>
      </c>
      <c r="I3204" s="8">
        <v>45968</v>
      </c>
      <c r="J3204" t="s">
        <v>2688</v>
      </c>
      <c r="K3204" t="s">
        <v>2689</v>
      </c>
      <c r="L3204" s="13">
        <v>8000</v>
      </c>
      <c r="M3204" t="s">
        <v>2676</v>
      </c>
    </row>
    <row r="3205" spans="1:13">
      <c r="A3205" t="s">
        <v>1424</v>
      </c>
      <c r="B3205" t="s">
        <v>128</v>
      </c>
      <c r="C3205" s="8">
        <v>46021</v>
      </c>
      <c r="D3205" t="s">
        <v>344</v>
      </c>
      <c r="E3205" t="s">
        <v>337</v>
      </c>
      <c r="F3205" s="12">
        <v>253668</v>
      </c>
      <c r="G3205" s="13">
        <v>25</v>
      </c>
      <c r="H3205" t="s">
        <v>2897</v>
      </c>
      <c r="I3205" s="8">
        <v>46253</v>
      </c>
      <c r="J3205" t="s">
        <v>2682</v>
      </c>
      <c r="K3205" t="s">
        <v>2683</v>
      </c>
      <c r="L3205" s="13">
        <v>6000</v>
      </c>
      <c r="M3205" t="s">
        <v>2661</v>
      </c>
    </row>
    <row r="3206" spans="1:13">
      <c r="A3206" t="s">
        <v>1424</v>
      </c>
      <c r="B3206" t="s">
        <v>128</v>
      </c>
      <c r="C3206" s="8">
        <v>46021</v>
      </c>
      <c r="D3206" t="s">
        <v>344</v>
      </c>
      <c r="E3206" t="s">
        <v>337</v>
      </c>
      <c r="F3206" s="12">
        <v>253668</v>
      </c>
      <c r="G3206" s="13">
        <v>25</v>
      </c>
      <c r="H3206" t="s">
        <v>2966</v>
      </c>
      <c r="I3206" s="8">
        <v>45993</v>
      </c>
      <c r="J3206" t="s">
        <v>2663</v>
      </c>
      <c r="K3206" t="s">
        <v>3630</v>
      </c>
      <c r="L3206" s="13">
        <v>1500</v>
      </c>
      <c r="M3206" t="s">
        <v>2661</v>
      </c>
    </row>
    <row r="3207" spans="1:13">
      <c r="A3207" t="s">
        <v>1424</v>
      </c>
      <c r="B3207" t="s">
        <v>128</v>
      </c>
      <c r="C3207" s="8">
        <v>46021</v>
      </c>
      <c r="D3207" t="s">
        <v>344</v>
      </c>
      <c r="E3207" t="s">
        <v>337</v>
      </c>
      <c r="F3207" s="12">
        <v>253668</v>
      </c>
      <c r="G3207" s="13">
        <v>25</v>
      </c>
      <c r="H3207" t="s">
        <v>3407</v>
      </c>
      <c r="I3207" s="8">
        <v>46260</v>
      </c>
      <c r="J3207" t="s">
        <v>2668</v>
      </c>
      <c r="K3207" t="s">
        <v>2669</v>
      </c>
      <c r="L3207" s="13">
        <v>4000</v>
      </c>
      <c r="M3207" t="s">
        <v>2661</v>
      </c>
    </row>
    <row r="3208" spans="1:13">
      <c r="A3208" t="s">
        <v>1425</v>
      </c>
      <c r="B3208" t="s">
        <v>256</v>
      </c>
      <c r="C3208" s="8">
        <v>46253</v>
      </c>
      <c r="D3208" t="s">
        <v>321</v>
      </c>
      <c r="E3208" t="s">
        <v>339</v>
      </c>
      <c r="F3208" s="12">
        <v>272193</v>
      </c>
      <c r="G3208" s="13">
        <v>27</v>
      </c>
      <c r="H3208" t="s">
        <v>3289</v>
      </c>
      <c r="I3208" s="8">
        <v>46146</v>
      </c>
      <c r="J3208" t="s">
        <v>2659</v>
      </c>
      <c r="K3208" t="s">
        <v>2660</v>
      </c>
      <c r="L3208" s="13">
        <v>3500</v>
      </c>
      <c r="M3208" t="s">
        <v>2661</v>
      </c>
    </row>
    <row r="3209" spans="1:13">
      <c r="A3209" t="s">
        <v>1426</v>
      </c>
      <c r="B3209" t="s">
        <v>259</v>
      </c>
      <c r="C3209" s="8">
        <v>46275</v>
      </c>
      <c r="D3209" t="s">
        <v>330</v>
      </c>
      <c r="E3209" t="s">
        <v>339</v>
      </c>
      <c r="F3209" s="12">
        <v>507037</v>
      </c>
      <c r="G3209" s="13">
        <v>50</v>
      </c>
      <c r="H3209" t="s">
        <v>2802</v>
      </c>
      <c r="I3209" s="8">
        <v>46222</v>
      </c>
      <c r="J3209" t="s">
        <v>2668</v>
      </c>
      <c r="K3209" t="s">
        <v>2669</v>
      </c>
      <c r="L3209" s="13">
        <v>4000</v>
      </c>
      <c r="M3209" t="s">
        <v>2661</v>
      </c>
    </row>
    <row r="3210" spans="1:13">
      <c r="A3210" t="s">
        <v>1426</v>
      </c>
      <c r="B3210" t="s">
        <v>259</v>
      </c>
      <c r="C3210" s="8">
        <v>46275</v>
      </c>
      <c r="D3210" t="s">
        <v>330</v>
      </c>
      <c r="E3210" t="s">
        <v>339</v>
      </c>
      <c r="F3210" s="12">
        <v>507037</v>
      </c>
      <c r="G3210" s="13">
        <v>50</v>
      </c>
      <c r="H3210" t="s">
        <v>2933</v>
      </c>
      <c r="I3210" s="8">
        <v>46183</v>
      </c>
      <c r="J3210" t="s">
        <v>2674</v>
      </c>
      <c r="K3210" t="s">
        <v>2675</v>
      </c>
      <c r="L3210" s="13">
        <v>20000</v>
      </c>
      <c r="M3210" t="s">
        <v>2661</v>
      </c>
    </row>
    <row r="3211" spans="1:13">
      <c r="A3211" t="s">
        <v>1426</v>
      </c>
      <c r="B3211" t="s">
        <v>259</v>
      </c>
      <c r="C3211" s="8">
        <v>46275</v>
      </c>
      <c r="D3211" t="s">
        <v>330</v>
      </c>
      <c r="E3211" t="s">
        <v>339</v>
      </c>
      <c r="F3211" s="12">
        <v>507037</v>
      </c>
      <c r="G3211" s="13">
        <v>50</v>
      </c>
      <c r="H3211" t="s">
        <v>2969</v>
      </c>
      <c r="I3211" s="8">
        <v>46173</v>
      </c>
      <c r="J3211" t="s">
        <v>2668</v>
      </c>
      <c r="K3211" t="s">
        <v>2669</v>
      </c>
      <c r="L3211" s="13">
        <v>4000</v>
      </c>
      <c r="M3211" t="s">
        <v>2661</v>
      </c>
    </row>
    <row r="3212" spans="1:13">
      <c r="A3212" t="s">
        <v>1426</v>
      </c>
      <c r="B3212" t="s">
        <v>259</v>
      </c>
      <c r="C3212" s="8">
        <v>46275</v>
      </c>
      <c r="D3212" t="s">
        <v>330</v>
      </c>
      <c r="E3212" t="s">
        <v>339</v>
      </c>
      <c r="F3212" s="12">
        <v>507037</v>
      </c>
      <c r="G3212" s="13">
        <v>50</v>
      </c>
      <c r="H3212" t="s">
        <v>3300</v>
      </c>
      <c r="I3212" s="8">
        <v>46089</v>
      </c>
      <c r="J3212" t="s">
        <v>2688</v>
      </c>
      <c r="K3212" t="s">
        <v>2689</v>
      </c>
      <c r="L3212" s="13">
        <v>8000</v>
      </c>
      <c r="M3212" t="s">
        <v>2676</v>
      </c>
    </row>
    <row r="3213" spans="1:13">
      <c r="A3213" t="s">
        <v>1427</v>
      </c>
      <c r="B3213" t="s">
        <v>205</v>
      </c>
      <c r="C3213" s="8">
        <v>46043</v>
      </c>
      <c r="D3213" t="s">
        <v>324</v>
      </c>
      <c r="E3213" t="s">
        <v>322</v>
      </c>
      <c r="F3213" s="12">
        <v>141700</v>
      </c>
      <c r="G3213" s="13">
        <v>14</v>
      </c>
      <c r="H3213" t="s">
        <v>3241</v>
      </c>
      <c r="I3213" s="8">
        <v>45972</v>
      </c>
      <c r="J3213" t="s">
        <v>2671</v>
      </c>
      <c r="K3213" t="s">
        <v>2672</v>
      </c>
      <c r="L3213" s="13">
        <v>3000</v>
      </c>
      <c r="M3213" t="s">
        <v>2676</v>
      </c>
    </row>
    <row r="3214" spans="1:13">
      <c r="A3214" t="s">
        <v>1428</v>
      </c>
      <c r="B3214" t="s">
        <v>306</v>
      </c>
      <c r="C3214" s="8">
        <v>46252</v>
      </c>
      <c r="D3214" t="s">
        <v>350</v>
      </c>
      <c r="E3214" t="s">
        <v>339</v>
      </c>
      <c r="F3214" s="12">
        <v>26666</v>
      </c>
      <c r="G3214" s="13">
        <v>2</v>
      </c>
      <c r="H3214" t="s">
        <v>2845</v>
      </c>
      <c r="I3214" s="8">
        <v>45986</v>
      </c>
      <c r="J3214" t="s">
        <v>2665</v>
      </c>
      <c r="K3214" t="s">
        <v>2666</v>
      </c>
      <c r="L3214" s="13">
        <v>2500</v>
      </c>
      <c r="M3214" t="s">
        <v>2676</v>
      </c>
    </row>
    <row r="3215" spans="1:13">
      <c r="A3215" t="s">
        <v>1428</v>
      </c>
      <c r="B3215" t="s">
        <v>306</v>
      </c>
      <c r="C3215" s="8">
        <v>46252</v>
      </c>
      <c r="D3215" t="s">
        <v>350</v>
      </c>
      <c r="E3215" t="s">
        <v>339</v>
      </c>
      <c r="F3215" s="12">
        <v>26666</v>
      </c>
      <c r="G3215" s="13">
        <v>2</v>
      </c>
      <c r="H3215" t="s">
        <v>3198</v>
      </c>
      <c r="I3215" s="8">
        <v>46287</v>
      </c>
      <c r="J3215" t="s">
        <v>2659</v>
      </c>
      <c r="K3215" t="s">
        <v>2660</v>
      </c>
      <c r="L3215" s="13">
        <v>3500</v>
      </c>
      <c r="M3215" t="s">
        <v>2661</v>
      </c>
    </row>
    <row r="3216" spans="1:13">
      <c r="A3216" t="s">
        <v>1430</v>
      </c>
      <c r="B3216" t="s">
        <v>309</v>
      </c>
      <c r="C3216" s="8">
        <v>46267</v>
      </c>
      <c r="D3216" t="s">
        <v>342</v>
      </c>
      <c r="E3216" t="s">
        <v>325</v>
      </c>
      <c r="F3216" s="12">
        <v>113002</v>
      </c>
      <c r="G3216" s="13">
        <v>11</v>
      </c>
      <c r="H3216" t="s">
        <v>2727</v>
      </c>
      <c r="I3216" s="8">
        <v>46058</v>
      </c>
      <c r="J3216" t="s">
        <v>2659</v>
      </c>
      <c r="K3216" t="s">
        <v>2660</v>
      </c>
      <c r="L3216" s="13">
        <v>3500</v>
      </c>
      <c r="M3216" t="s">
        <v>2661</v>
      </c>
    </row>
    <row r="3217" spans="1:13">
      <c r="A3217" t="s">
        <v>1430</v>
      </c>
      <c r="B3217" t="s">
        <v>309</v>
      </c>
      <c r="C3217" s="8">
        <v>46267</v>
      </c>
      <c r="D3217" t="s">
        <v>342</v>
      </c>
      <c r="E3217" t="s">
        <v>325</v>
      </c>
      <c r="F3217" s="12">
        <v>113002</v>
      </c>
      <c r="G3217" s="13">
        <v>11</v>
      </c>
      <c r="H3217" t="s">
        <v>3115</v>
      </c>
      <c r="I3217" s="8">
        <v>45943</v>
      </c>
      <c r="J3217" t="s">
        <v>2682</v>
      </c>
      <c r="K3217" t="s">
        <v>2683</v>
      </c>
      <c r="L3217" s="13">
        <v>6000</v>
      </c>
      <c r="M3217" t="s">
        <v>2676</v>
      </c>
    </row>
    <row r="3218" spans="1:13">
      <c r="A3218" t="s">
        <v>1430</v>
      </c>
      <c r="B3218" t="s">
        <v>309</v>
      </c>
      <c r="C3218" s="8">
        <v>46267</v>
      </c>
      <c r="D3218" t="s">
        <v>342</v>
      </c>
      <c r="E3218" t="s">
        <v>325</v>
      </c>
      <c r="F3218" s="12">
        <v>113002</v>
      </c>
      <c r="G3218" s="13">
        <v>11</v>
      </c>
      <c r="H3218" t="s">
        <v>3418</v>
      </c>
      <c r="I3218" s="8">
        <v>46064</v>
      </c>
      <c r="J3218" t="s">
        <v>2665</v>
      </c>
      <c r="K3218" t="s">
        <v>2666</v>
      </c>
      <c r="L3218" s="13">
        <v>2500</v>
      </c>
      <c r="M3218" t="s">
        <v>2661</v>
      </c>
    </row>
    <row r="3219" spans="1:13">
      <c r="A3219" t="s">
        <v>1431</v>
      </c>
      <c r="B3219" t="s">
        <v>239</v>
      </c>
      <c r="C3219" s="8">
        <v>46186</v>
      </c>
      <c r="D3219" t="s">
        <v>344</v>
      </c>
      <c r="E3219" t="s">
        <v>339</v>
      </c>
      <c r="F3219" s="12">
        <v>107965</v>
      </c>
      <c r="G3219" s="13">
        <v>10</v>
      </c>
      <c r="H3219" t="s">
        <v>3498</v>
      </c>
      <c r="I3219" s="8">
        <v>46247</v>
      </c>
      <c r="J3219" t="s">
        <v>2671</v>
      </c>
      <c r="K3219" t="s">
        <v>2672</v>
      </c>
      <c r="L3219" s="13">
        <v>3000</v>
      </c>
      <c r="M3219" t="s">
        <v>2661</v>
      </c>
    </row>
    <row r="3220" spans="1:13">
      <c r="A3220" t="s">
        <v>1432</v>
      </c>
      <c r="B3220" t="s">
        <v>69</v>
      </c>
      <c r="C3220" s="8">
        <v>46206</v>
      </c>
      <c r="D3220" t="s">
        <v>324</v>
      </c>
      <c r="E3220" t="s">
        <v>339</v>
      </c>
      <c r="F3220" s="12">
        <v>605826</v>
      </c>
      <c r="G3220" s="13">
        <v>60</v>
      </c>
      <c r="H3220" t="s">
        <v>2723</v>
      </c>
      <c r="I3220" s="8">
        <v>46140</v>
      </c>
      <c r="J3220" t="s">
        <v>2688</v>
      </c>
      <c r="K3220" t="s">
        <v>2689</v>
      </c>
      <c r="L3220" s="13">
        <v>8000</v>
      </c>
      <c r="M3220" t="s">
        <v>2661</v>
      </c>
    </row>
    <row r="3221" spans="1:13">
      <c r="A3221" t="s">
        <v>1432</v>
      </c>
      <c r="B3221" t="s">
        <v>69</v>
      </c>
      <c r="C3221" s="8">
        <v>46206</v>
      </c>
      <c r="D3221" t="s">
        <v>324</v>
      </c>
      <c r="E3221" t="s">
        <v>339</v>
      </c>
      <c r="F3221" s="12">
        <v>605826</v>
      </c>
      <c r="G3221" s="13">
        <v>60</v>
      </c>
      <c r="H3221" t="s">
        <v>2822</v>
      </c>
      <c r="I3221" s="8">
        <v>46159</v>
      </c>
      <c r="J3221" t="s">
        <v>2668</v>
      </c>
      <c r="K3221" t="s">
        <v>2669</v>
      </c>
      <c r="L3221" s="13">
        <v>4000</v>
      </c>
      <c r="M3221" t="s">
        <v>2661</v>
      </c>
    </row>
    <row r="3222" spans="1:13">
      <c r="A3222" t="s">
        <v>1432</v>
      </c>
      <c r="B3222" t="s">
        <v>69</v>
      </c>
      <c r="C3222" s="8">
        <v>46206</v>
      </c>
      <c r="D3222" t="s">
        <v>324</v>
      </c>
      <c r="E3222" t="s">
        <v>339</v>
      </c>
      <c r="F3222" s="12">
        <v>605826</v>
      </c>
      <c r="G3222" s="13">
        <v>60</v>
      </c>
      <c r="H3222" t="s">
        <v>3513</v>
      </c>
      <c r="I3222" s="8">
        <v>46161</v>
      </c>
      <c r="J3222" t="s">
        <v>2692</v>
      </c>
      <c r="K3222" t="s">
        <v>2693</v>
      </c>
      <c r="L3222" s="13">
        <v>10000</v>
      </c>
      <c r="M3222" t="s">
        <v>2661</v>
      </c>
    </row>
    <row r="3223" spans="1:13">
      <c r="A3223" t="s">
        <v>1434</v>
      </c>
      <c r="B3223" t="s">
        <v>198</v>
      </c>
      <c r="C3223" s="8">
        <v>46225</v>
      </c>
      <c r="D3223" t="s">
        <v>324</v>
      </c>
      <c r="E3223" t="s">
        <v>325</v>
      </c>
      <c r="F3223" s="12">
        <v>375610</v>
      </c>
      <c r="G3223" s="13">
        <v>37</v>
      </c>
      <c r="H3223" t="s">
        <v>2904</v>
      </c>
      <c r="I3223" s="8">
        <v>46244</v>
      </c>
      <c r="J3223" t="s">
        <v>2659</v>
      </c>
      <c r="K3223" t="s">
        <v>2660</v>
      </c>
      <c r="L3223" s="13">
        <v>3500</v>
      </c>
      <c r="M3223" t="s">
        <v>2661</v>
      </c>
    </row>
    <row r="3224" spans="1:13">
      <c r="A3224" t="s">
        <v>1435</v>
      </c>
      <c r="B3224" t="s">
        <v>69</v>
      </c>
      <c r="C3224" s="8">
        <v>46107</v>
      </c>
      <c r="D3224" t="s">
        <v>350</v>
      </c>
      <c r="E3224" t="s">
        <v>334</v>
      </c>
      <c r="F3224" s="12">
        <v>77521</v>
      </c>
      <c r="G3224" s="13">
        <v>7</v>
      </c>
      <c r="H3224" t="s">
        <v>2723</v>
      </c>
      <c r="I3224" s="8">
        <v>46140</v>
      </c>
      <c r="J3224" t="s">
        <v>2688</v>
      </c>
      <c r="K3224" t="s">
        <v>2689</v>
      </c>
      <c r="L3224" s="13">
        <v>8000</v>
      </c>
      <c r="M3224" t="s">
        <v>2661</v>
      </c>
    </row>
    <row r="3225" spans="1:13">
      <c r="A3225" t="s">
        <v>1435</v>
      </c>
      <c r="B3225" t="s">
        <v>69</v>
      </c>
      <c r="C3225" s="8">
        <v>46107</v>
      </c>
      <c r="D3225" t="s">
        <v>350</v>
      </c>
      <c r="E3225" t="s">
        <v>334</v>
      </c>
      <c r="F3225" s="12">
        <v>77521</v>
      </c>
      <c r="G3225" s="13">
        <v>7</v>
      </c>
      <c r="H3225" t="s">
        <v>2822</v>
      </c>
      <c r="I3225" s="8">
        <v>46159</v>
      </c>
      <c r="J3225" t="s">
        <v>2668</v>
      </c>
      <c r="K3225" t="s">
        <v>2669</v>
      </c>
      <c r="L3225" s="13">
        <v>4000</v>
      </c>
      <c r="M3225" t="s">
        <v>2661</v>
      </c>
    </row>
    <row r="3226" spans="1:13">
      <c r="A3226" t="s">
        <v>1435</v>
      </c>
      <c r="B3226" t="s">
        <v>69</v>
      </c>
      <c r="C3226" s="8">
        <v>46107</v>
      </c>
      <c r="D3226" t="s">
        <v>350</v>
      </c>
      <c r="E3226" t="s">
        <v>334</v>
      </c>
      <c r="F3226" s="12">
        <v>77521</v>
      </c>
      <c r="G3226" s="13">
        <v>7</v>
      </c>
      <c r="H3226" t="s">
        <v>3513</v>
      </c>
      <c r="I3226" s="8">
        <v>46161</v>
      </c>
      <c r="J3226" t="s">
        <v>2692</v>
      </c>
      <c r="K3226" t="s">
        <v>2693</v>
      </c>
      <c r="L3226" s="13">
        <v>10000</v>
      </c>
      <c r="M3226" t="s">
        <v>2661</v>
      </c>
    </row>
    <row r="3227" spans="1:13">
      <c r="A3227" t="s">
        <v>1437</v>
      </c>
      <c r="B3227" t="s">
        <v>259</v>
      </c>
      <c r="C3227" s="8">
        <v>45935</v>
      </c>
      <c r="D3227" t="s">
        <v>342</v>
      </c>
      <c r="E3227" t="s">
        <v>322</v>
      </c>
      <c r="F3227" s="12">
        <v>264379</v>
      </c>
      <c r="G3227" s="13">
        <v>26</v>
      </c>
      <c r="H3227" t="s">
        <v>2802</v>
      </c>
      <c r="I3227" s="8">
        <v>46222</v>
      </c>
      <c r="J3227" t="s">
        <v>2668</v>
      </c>
      <c r="K3227" t="s">
        <v>2669</v>
      </c>
      <c r="L3227" s="13">
        <v>4000</v>
      </c>
      <c r="M3227" t="s">
        <v>2661</v>
      </c>
    </row>
    <row r="3228" spans="1:13">
      <c r="A3228" t="s">
        <v>1437</v>
      </c>
      <c r="B3228" t="s">
        <v>259</v>
      </c>
      <c r="C3228" s="8">
        <v>45935</v>
      </c>
      <c r="D3228" t="s">
        <v>342</v>
      </c>
      <c r="E3228" t="s">
        <v>322</v>
      </c>
      <c r="F3228" s="12">
        <v>264379</v>
      </c>
      <c r="G3228" s="13">
        <v>26</v>
      </c>
      <c r="H3228" t="s">
        <v>2933</v>
      </c>
      <c r="I3228" s="8">
        <v>46183</v>
      </c>
      <c r="J3228" t="s">
        <v>2674</v>
      </c>
      <c r="K3228" t="s">
        <v>2675</v>
      </c>
      <c r="L3228" s="13">
        <v>20000</v>
      </c>
      <c r="M3228" t="s">
        <v>2661</v>
      </c>
    </row>
    <row r="3229" spans="1:13">
      <c r="A3229" t="s">
        <v>1437</v>
      </c>
      <c r="B3229" t="s">
        <v>259</v>
      </c>
      <c r="C3229" s="8">
        <v>45935</v>
      </c>
      <c r="D3229" t="s">
        <v>342</v>
      </c>
      <c r="E3229" t="s">
        <v>322</v>
      </c>
      <c r="F3229" s="12">
        <v>264379</v>
      </c>
      <c r="G3229" s="13">
        <v>26</v>
      </c>
      <c r="H3229" t="s">
        <v>2969</v>
      </c>
      <c r="I3229" s="8">
        <v>46173</v>
      </c>
      <c r="J3229" t="s">
        <v>2668</v>
      </c>
      <c r="K3229" t="s">
        <v>2669</v>
      </c>
      <c r="L3229" s="13">
        <v>4000</v>
      </c>
      <c r="M3229" t="s">
        <v>2661</v>
      </c>
    </row>
    <row r="3230" spans="1:13">
      <c r="A3230" t="s">
        <v>1437</v>
      </c>
      <c r="B3230" t="s">
        <v>259</v>
      </c>
      <c r="C3230" s="8">
        <v>45935</v>
      </c>
      <c r="D3230" t="s">
        <v>342</v>
      </c>
      <c r="E3230" t="s">
        <v>322</v>
      </c>
      <c r="F3230" s="12">
        <v>264379</v>
      </c>
      <c r="G3230" s="13">
        <v>26</v>
      </c>
      <c r="H3230" t="s">
        <v>3300</v>
      </c>
      <c r="I3230" s="8">
        <v>46089</v>
      </c>
      <c r="J3230" t="s">
        <v>2688</v>
      </c>
      <c r="K3230" t="s">
        <v>2689</v>
      </c>
      <c r="L3230" s="13">
        <v>8000</v>
      </c>
      <c r="M3230" t="s">
        <v>2676</v>
      </c>
    </row>
    <row r="3231" spans="1:13">
      <c r="A3231" t="s">
        <v>1438</v>
      </c>
      <c r="B3231" t="s">
        <v>135</v>
      </c>
      <c r="C3231" s="8">
        <v>46221</v>
      </c>
      <c r="D3231" t="s">
        <v>342</v>
      </c>
      <c r="E3231" t="s">
        <v>322</v>
      </c>
      <c r="F3231" s="12">
        <v>151481</v>
      </c>
      <c r="G3231" s="13">
        <v>15</v>
      </c>
      <c r="H3231" t="s">
        <v>2922</v>
      </c>
      <c r="I3231" s="8">
        <v>45998</v>
      </c>
      <c r="J3231" t="s">
        <v>2682</v>
      </c>
      <c r="K3231" t="s">
        <v>2683</v>
      </c>
      <c r="L3231" s="13">
        <v>6000</v>
      </c>
      <c r="M3231" t="s">
        <v>2661</v>
      </c>
    </row>
    <row r="3232" spans="1:13">
      <c r="A3232" t="s">
        <v>1438</v>
      </c>
      <c r="B3232" t="s">
        <v>135</v>
      </c>
      <c r="C3232" s="8">
        <v>46221</v>
      </c>
      <c r="D3232" t="s">
        <v>342</v>
      </c>
      <c r="E3232" t="s">
        <v>322</v>
      </c>
      <c r="F3232" s="12">
        <v>151481</v>
      </c>
      <c r="G3232" s="13">
        <v>15</v>
      </c>
      <c r="H3232" t="s">
        <v>3053</v>
      </c>
      <c r="I3232" s="8">
        <v>46165</v>
      </c>
      <c r="J3232" t="s">
        <v>2692</v>
      </c>
      <c r="K3232" t="s">
        <v>2693</v>
      </c>
      <c r="L3232" s="13">
        <v>10000</v>
      </c>
      <c r="M3232" t="s">
        <v>2661</v>
      </c>
    </row>
    <row r="3233" spans="1:13">
      <c r="A3233" t="s">
        <v>1438</v>
      </c>
      <c r="B3233" t="s">
        <v>135</v>
      </c>
      <c r="C3233" s="8">
        <v>46221</v>
      </c>
      <c r="D3233" t="s">
        <v>342</v>
      </c>
      <c r="E3233" t="s">
        <v>322</v>
      </c>
      <c r="F3233" s="12">
        <v>151481</v>
      </c>
      <c r="G3233" s="13">
        <v>15</v>
      </c>
      <c r="H3233" t="s">
        <v>3118</v>
      </c>
      <c r="I3233" s="8">
        <v>45989</v>
      </c>
      <c r="J3233" t="s">
        <v>2692</v>
      </c>
      <c r="K3233" t="s">
        <v>2693</v>
      </c>
      <c r="L3233" s="13">
        <v>10000</v>
      </c>
      <c r="M3233" t="s">
        <v>2661</v>
      </c>
    </row>
    <row r="3234" spans="1:13">
      <c r="A3234" t="s">
        <v>1438</v>
      </c>
      <c r="B3234" t="s">
        <v>135</v>
      </c>
      <c r="C3234" s="8">
        <v>46221</v>
      </c>
      <c r="D3234" t="s">
        <v>342</v>
      </c>
      <c r="E3234" t="s">
        <v>322</v>
      </c>
      <c r="F3234" s="12">
        <v>151481</v>
      </c>
      <c r="G3234" s="13">
        <v>15</v>
      </c>
      <c r="H3234" t="s">
        <v>3262</v>
      </c>
      <c r="I3234" s="8">
        <v>46091</v>
      </c>
      <c r="J3234" t="s">
        <v>2682</v>
      </c>
      <c r="K3234" t="s">
        <v>2683</v>
      </c>
      <c r="L3234" s="13">
        <v>6000</v>
      </c>
      <c r="M3234" t="s">
        <v>2661</v>
      </c>
    </row>
    <row r="3235" spans="1:13">
      <c r="A3235" t="s">
        <v>1439</v>
      </c>
      <c r="B3235" t="s">
        <v>274</v>
      </c>
      <c r="C3235" s="8">
        <v>46230</v>
      </c>
      <c r="D3235" t="s">
        <v>321</v>
      </c>
      <c r="E3235" t="s">
        <v>322</v>
      </c>
      <c r="F3235" s="12">
        <v>726402</v>
      </c>
      <c r="G3235" s="13">
        <v>72</v>
      </c>
      <c r="H3235" t="s">
        <v>2774</v>
      </c>
      <c r="I3235" s="8">
        <v>46157</v>
      </c>
      <c r="J3235" t="s">
        <v>2685</v>
      </c>
      <c r="K3235" t="s">
        <v>2686</v>
      </c>
      <c r="L3235" s="13">
        <v>5000</v>
      </c>
      <c r="M3235" t="s">
        <v>2661</v>
      </c>
    </row>
    <row r="3236" spans="1:13">
      <c r="A3236" t="s">
        <v>1439</v>
      </c>
      <c r="B3236" t="s">
        <v>274</v>
      </c>
      <c r="C3236" s="8">
        <v>46230</v>
      </c>
      <c r="D3236" t="s">
        <v>321</v>
      </c>
      <c r="E3236" t="s">
        <v>322</v>
      </c>
      <c r="F3236" s="12">
        <v>726402</v>
      </c>
      <c r="G3236" s="13">
        <v>72</v>
      </c>
      <c r="H3236" t="s">
        <v>2811</v>
      </c>
      <c r="I3236" s="8">
        <v>45976</v>
      </c>
      <c r="J3236" t="s">
        <v>2688</v>
      </c>
      <c r="K3236" t="s">
        <v>2689</v>
      </c>
      <c r="L3236" s="13">
        <v>8000</v>
      </c>
      <c r="M3236" t="s">
        <v>2661</v>
      </c>
    </row>
    <row r="3237" spans="1:13">
      <c r="A3237" t="s">
        <v>1439</v>
      </c>
      <c r="B3237" t="s">
        <v>274</v>
      </c>
      <c r="C3237" s="8">
        <v>46230</v>
      </c>
      <c r="D3237" t="s">
        <v>321</v>
      </c>
      <c r="E3237" t="s">
        <v>322</v>
      </c>
      <c r="F3237" s="12">
        <v>726402</v>
      </c>
      <c r="G3237" s="13">
        <v>72</v>
      </c>
      <c r="H3237" t="s">
        <v>2842</v>
      </c>
      <c r="I3237" s="8">
        <v>46222</v>
      </c>
      <c r="J3237" t="s">
        <v>2682</v>
      </c>
      <c r="K3237" t="s">
        <v>2683</v>
      </c>
      <c r="L3237" s="13">
        <v>6000</v>
      </c>
      <c r="M3237" t="s">
        <v>2661</v>
      </c>
    </row>
    <row r="3238" spans="1:13">
      <c r="A3238" t="s">
        <v>1439</v>
      </c>
      <c r="B3238" t="s">
        <v>274</v>
      </c>
      <c r="C3238" s="8">
        <v>46230</v>
      </c>
      <c r="D3238" t="s">
        <v>321</v>
      </c>
      <c r="E3238" t="s">
        <v>322</v>
      </c>
      <c r="F3238" s="12">
        <v>726402</v>
      </c>
      <c r="G3238" s="13">
        <v>72</v>
      </c>
      <c r="H3238" t="s">
        <v>2855</v>
      </c>
      <c r="I3238" s="8">
        <v>46132</v>
      </c>
      <c r="J3238" t="s">
        <v>2688</v>
      </c>
      <c r="K3238" t="s">
        <v>2689</v>
      </c>
      <c r="L3238" s="13">
        <v>8000</v>
      </c>
      <c r="M3238" t="s">
        <v>2661</v>
      </c>
    </row>
    <row r="3239" spans="1:13">
      <c r="A3239" t="s">
        <v>1439</v>
      </c>
      <c r="B3239" t="s">
        <v>274</v>
      </c>
      <c r="C3239" s="8">
        <v>46230</v>
      </c>
      <c r="D3239" t="s">
        <v>321</v>
      </c>
      <c r="E3239" t="s">
        <v>322</v>
      </c>
      <c r="F3239" s="12">
        <v>726402</v>
      </c>
      <c r="G3239" s="13">
        <v>72</v>
      </c>
      <c r="H3239" t="s">
        <v>3433</v>
      </c>
      <c r="I3239" s="8">
        <v>46038</v>
      </c>
      <c r="J3239" t="s">
        <v>2692</v>
      </c>
      <c r="K3239" t="s">
        <v>2693</v>
      </c>
      <c r="L3239" s="13">
        <v>10000</v>
      </c>
      <c r="M3239" t="s">
        <v>2661</v>
      </c>
    </row>
    <row r="3240" spans="1:13">
      <c r="A3240" t="s">
        <v>1439</v>
      </c>
      <c r="B3240" t="s">
        <v>274</v>
      </c>
      <c r="C3240" s="8">
        <v>46230</v>
      </c>
      <c r="D3240" t="s">
        <v>321</v>
      </c>
      <c r="E3240" t="s">
        <v>322</v>
      </c>
      <c r="F3240" s="12">
        <v>726402</v>
      </c>
      <c r="G3240" s="13">
        <v>72</v>
      </c>
      <c r="H3240" t="s">
        <v>3488</v>
      </c>
      <c r="I3240" s="8">
        <v>46057</v>
      </c>
      <c r="J3240" t="s">
        <v>2665</v>
      </c>
      <c r="K3240" t="s">
        <v>2666</v>
      </c>
      <c r="L3240" s="13">
        <v>2500</v>
      </c>
      <c r="M3240" t="s">
        <v>2676</v>
      </c>
    </row>
    <row r="3241" spans="1:13">
      <c r="A3241" t="s">
        <v>1440</v>
      </c>
      <c r="B3241" t="s">
        <v>137</v>
      </c>
      <c r="C3241" s="8">
        <v>46115</v>
      </c>
      <c r="D3241" t="s">
        <v>330</v>
      </c>
      <c r="E3241" t="s">
        <v>334</v>
      </c>
      <c r="F3241" s="12">
        <v>219733</v>
      </c>
      <c r="G3241" s="13">
        <v>21</v>
      </c>
      <c r="H3241" t="s">
        <v>3110</v>
      </c>
      <c r="I3241" s="8">
        <v>46095</v>
      </c>
      <c r="J3241" t="s">
        <v>2685</v>
      </c>
      <c r="K3241" t="s">
        <v>2686</v>
      </c>
      <c r="L3241" s="13">
        <v>5000</v>
      </c>
      <c r="M3241" t="s">
        <v>2661</v>
      </c>
    </row>
    <row r="3242" spans="1:13">
      <c r="A3242" t="s">
        <v>1440</v>
      </c>
      <c r="B3242" t="s">
        <v>137</v>
      </c>
      <c r="C3242" s="8">
        <v>46115</v>
      </c>
      <c r="D3242" t="s">
        <v>330</v>
      </c>
      <c r="E3242" t="s">
        <v>334</v>
      </c>
      <c r="F3242" s="12">
        <v>219733</v>
      </c>
      <c r="G3242" s="13">
        <v>21</v>
      </c>
      <c r="H3242" t="s">
        <v>3230</v>
      </c>
      <c r="I3242" s="8">
        <v>46096</v>
      </c>
      <c r="J3242" t="s">
        <v>2692</v>
      </c>
      <c r="K3242" t="s">
        <v>2693</v>
      </c>
      <c r="L3242" s="13">
        <v>10000</v>
      </c>
      <c r="M3242" t="s">
        <v>2661</v>
      </c>
    </row>
    <row r="3243" spans="1:13">
      <c r="A3243" t="s">
        <v>1441</v>
      </c>
      <c r="B3243" t="s">
        <v>197</v>
      </c>
      <c r="C3243" s="8">
        <v>46033</v>
      </c>
      <c r="D3243" t="s">
        <v>330</v>
      </c>
      <c r="E3243" t="s">
        <v>337</v>
      </c>
      <c r="F3243" s="12">
        <v>391745</v>
      </c>
      <c r="G3243" s="13">
        <v>39</v>
      </c>
      <c r="H3243" t="s">
        <v>2907</v>
      </c>
      <c r="I3243" s="8">
        <v>46147</v>
      </c>
      <c r="J3243" t="s">
        <v>2659</v>
      </c>
      <c r="K3243" t="s">
        <v>2660</v>
      </c>
      <c r="L3243" s="13">
        <v>3500</v>
      </c>
      <c r="M3243" t="s">
        <v>2676</v>
      </c>
    </row>
    <row r="3244" spans="1:13">
      <c r="A3244" t="s">
        <v>1441</v>
      </c>
      <c r="B3244" t="s">
        <v>197</v>
      </c>
      <c r="C3244" s="8">
        <v>46033</v>
      </c>
      <c r="D3244" t="s">
        <v>330</v>
      </c>
      <c r="E3244" t="s">
        <v>337</v>
      </c>
      <c r="F3244" s="12">
        <v>391745</v>
      </c>
      <c r="G3244" s="13">
        <v>39</v>
      </c>
      <c r="H3244" t="s">
        <v>3356</v>
      </c>
      <c r="I3244" s="8">
        <v>46124</v>
      </c>
      <c r="J3244" t="s">
        <v>2685</v>
      </c>
      <c r="K3244" t="s">
        <v>2686</v>
      </c>
      <c r="L3244" s="13">
        <v>5000</v>
      </c>
      <c r="M3244" t="s">
        <v>2661</v>
      </c>
    </row>
    <row r="3245" spans="1:13">
      <c r="A3245" t="s">
        <v>1441</v>
      </c>
      <c r="B3245" t="s">
        <v>197</v>
      </c>
      <c r="C3245" s="8">
        <v>46033</v>
      </c>
      <c r="D3245" t="s">
        <v>330</v>
      </c>
      <c r="E3245" t="s">
        <v>337</v>
      </c>
      <c r="F3245" s="12">
        <v>391745</v>
      </c>
      <c r="G3245" s="13">
        <v>39</v>
      </c>
      <c r="H3245" t="s">
        <v>3465</v>
      </c>
      <c r="I3245" s="8">
        <v>46076</v>
      </c>
      <c r="J3245" t="s">
        <v>2692</v>
      </c>
      <c r="K3245" t="s">
        <v>2693</v>
      </c>
      <c r="L3245" s="13">
        <v>10000</v>
      </c>
      <c r="M3245" t="s">
        <v>2661</v>
      </c>
    </row>
    <row r="3246" spans="1:13">
      <c r="A3246" t="s">
        <v>1441</v>
      </c>
      <c r="B3246" t="s">
        <v>197</v>
      </c>
      <c r="C3246" s="8">
        <v>46033</v>
      </c>
      <c r="D3246" t="s">
        <v>330</v>
      </c>
      <c r="E3246" t="s">
        <v>337</v>
      </c>
      <c r="F3246" s="12">
        <v>391745</v>
      </c>
      <c r="G3246" s="13">
        <v>39</v>
      </c>
      <c r="H3246" t="s">
        <v>3529</v>
      </c>
      <c r="I3246" s="8">
        <v>46013</v>
      </c>
      <c r="J3246" t="s">
        <v>2688</v>
      </c>
      <c r="K3246" t="s">
        <v>2689</v>
      </c>
      <c r="L3246" s="13">
        <v>8000</v>
      </c>
      <c r="M3246" t="s">
        <v>2661</v>
      </c>
    </row>
    <row r="3247" spans="1:13">
      <c r="A3247" t="s">
        <v>1441</v>
      </c>
      <c r="B3247" t="s">
        <v>197</v>
      </c>
      <c r="C3247" s="8">
        <v>46033</v>
      </c>
      <c r="D3247" t="s">
        <v>330</v>
      </c>
      <c r="E3247" t="s">
        <v>337</v>
      </c>
      <c r="F3247" s="12">
        <v>391745</v>
      </c>
      <c r="G3247" s="13">
        <v>39</v>
      </c>
      <c r="H3247" t="s">
        <v>3540</v>
      </c>
      <c r="I3247" s="8">
        <v>46276</v>
      </c>
      <c r="J3247" t="s">
        <v>2692</v>
      </c>
      <c r="K3247" t="s">
        <v>2693</v>
      </c>
      <c r="L3247" s="13">
        <v>10000</v>
      </c>
      <c r="M3247" t="s">
        <v>2676</v>
      </c>
    </row>
    <row r="3248" spans="1:13">
      <c r="A3248" t="s">
        <v>1442</v>
      </c>
      <c r="B3248" t="s">
        <v>46</v>
      </c>
      <c r="C3248" s="8">
        <v>46046</v>
      </c>
      <c r="D3248" t="s">
        <v>350</v>
      </c>
      <c r="E3248" t="s">
        <v>328</v>
      </c>
      <c r="F3248" s="12">
        <v>271788</v>
      </c>
      <c r="G3248" s="13">
        <v>27</v>
      </c>
      <c r="H3248" t="s">
        <v>2743</v>
      </c>
      <c r="I3248" s="8">
        <v>46248</v>
      </c>
      <c r="J3248" t="s">
        <v>2685</v>
      </c>
      <c r="K3248" t="s">
        <v>2686</v>
      </c>
      <c r="L3248" s="13">
        <v>5000</v>
      </c>
      <c r="M3248" t="s">
        <v>2661</v>
      </c>
    </row>
    <row r="3249" spans="1:13">
      <c r="A3249" t="s">
        <v>1442</v>
      </c>
      <c r="B3249" t="s">
        <v>46</v>
      </c>
      <c r="C3249" s="8">
        <v>46046</v>
      </c>
      <c r="D3249" t="s">
        <v>350</v>
      </c>
      <c r="E3249" t="s">
        <v>328</v>
      </c>
      <c r="F3249" s="12">
        <v>271788</v>
      </c>
      <c r="G3249" s="13">
        <v>27</v>
      </c>
      <c r="H3249" t="s">
        <v>3021</v>
      </c>
      <c r="I3249" s="8">
        <v>45955</v>
      </c>
      <c r="J3249" t="s">
        <v>2665</v>
      </c>
      <c r="K3249" t="s">
        <v>2666</v>
      </c>
      <c r="L3249" s="13">
        <v>2500</v>
      </c>
      <c r="M3249" t="s">
        <v>2661</v>
      </c>
    </row>
    <row r="3250" spans="1:13">
      <c r="A3250" t="s">
        <v>1442</v>
      </c>
      <c r="B3250" t="s">
        <v>46</v>
      </c>
      <c r="C3250" s="8">
        <v>46046</v>
      </c>
      <c r="D3250" t="s">
        <v>350</v>
      </c>
      <c r="E3250" t="s">
        <v>328</v>
      </c>
      <c r="F3250" s="12">
        <v>271788</v>
      </c>
      <c r="G3250" s="13">
        <v>27</v>
      </c>
      <c r="H3250" t="s">
        <v>3069</v>
      </c>
      <c r="I3250" s="8">
        <v>45945</v>
      </c>
      <c r="J3250" t="s">
        <v>2668</v>
      </c>
      <c r="K3250" t="s">
        <v>2669</v>
      </c>
      <c r="L3250" s="13">
        <v>4000</v>
      </c>
      <c r="M3250" t="s">
        <v>2661</v>
      </c>
    </row>
    <row r="3251" spans="1:13">
      <c r="A3251" t="s">
        <v>1442</v>
      </c>
      <c r="B3251" t="s">
        <v>46</v>
      </c>
      <c r="C3251" s="8">
        <v>46046</v>
      </c>
      <c r="D3251" t="s">
        <v>350</v>
      </c>
      <c r="E3251" t="s">
        <v>328</v>
      </c>
      <c r="F3251" s="12">
        <v>271788</v>
      </c>
      <c r="G3251" s="13">
        <v>27</v>
      </c>
      <c r="H3251" t="s">
        <v>3408</v>
      </c>
      <c r="I3251" s="8">
        <v>46072</v>
      </c>
      <c r="J3251" t="s">
        <v>2668</v>
      </c>
      <c r="K3251" t="s">
        <v>2669</v>
      </c>
      <c r="L3251" s="13">
        <v>4000</v>
      </c>
      <c r="M3251" t="s">
        <v>2661</v>
      </c>
    </row>
    <row r="3252" spans="1:13">
      <c r="A3252" t="s">
        <v>1442</v>
      </c>
      <c r="B3252" t="s">
        <v>46</v>
      </c>
      <c r="C3252" s="8">
        <v>46046</v>
      </c>
      <c r="D3252" t="s">
        <v>350</v>
      </c>
      <c r="E3252" t="s">
        <v>328</v>
      </c>
      <c r="F3252" s="12">
        <v>271788</v>
      </c>
      <c r="G3252" s="13">
        <v>27</v>
      </c>
      <c r="H3252" t="s">
        <v>3494</v>
      </c>
      <c r="I3252" s="8">
        <v>46108</v>
      </c>
      <c r="J3252" t="s">
        <v>2688</v>
      </c>
      <c r="K3252" t="s">
        <v>2689</v>
      </c>
      <c r="L3252" s="13">
        <v>8000</v>
      </c>
      <c r="M3252" t="s">
        <v>2661</v>
      </c>
    </row>
    <row r="3253" spans="1:13">
      <c r="A3253" t="s">
        <v>1443</v>
      </c>
      <c r="B3253" t="s">
        <v>294</v>
      </c>
      <c r="C3253" s="8">
        <v>45951</v>
      </c>
      <c r="D3253" t="s">
        <v>342</v>
      </c>
      <c r="E3253" t="s">
        <v>334</v>
      </c>
      <c r="F3253" s="12">
        <v>358399</v>
      </c>
      <c r="G3253" s="13">
        <v>35</v>
      </c>
      <c r="H3253" t="s">
        <v>3571</v>
      </c>
      <c r="I3253" s="8">
        <v>45937</v>
      </c>
      <c r="J3253" t="s">
        <v>2663</v>
      </c>
      <c r="K3253" t="s">
        <v>3630</v>
      </c>
      <c r="L3253" s="13">
        <v>1500</v>
      </c>
      <c r="M3253" t="s">
        <v>2661</v>
      </c>
    </row>
    <row r="3254" spans="1:13">
      <c r="A3254" t="s">
        <v>1443</v>
      </c>
      <c r="B3254" t="s">
        <v>294</v>
      </c>
      <c r="C3254" s="8">
        <v>45951</v>
      </c>
      <c r="D3254" t="s">
        <v>342</v>
      </c>
      <c r="E3254" t="s">
        <v>334</v>
      </c>
      <c r="F3254" s="12">
        <v>358399</v>
      </c>
      <c r="G3254" s="13">
        <v>35</v>
      </c>
      <c r="H3254" t="s">
        <v>3572</v>
      </c>
      <c r="I3254" s="8">
        <v>46039</v>
      </c>
      <c r="J3254" t="s">
        <v>2668</v>
      </c>
      <c r="K3254" t="s">
        <v>2669</v>
      </c>
      <c r="L3254" s="13">
        <v>4000</v>
      </c>
      <c r="M3254" t="s">
        <v>2661</v>
      </c>
    </row>
    <row r="3255" spans="1:13">
      <c r="A3255" t="s">
        <v>1444</v>
      </c>
      <c r="B3255" t="s">
        <v>244</v>
      </c>
      <c r="C3255" s="8">
        <v>46205</v>
      </c>
      <c r="D3255" t="s">
        <v>344</v>
      </c>
      <c r="E3255" t="s">
        <v>328</v>
      </c>
      <c r="F3255" s="12">
        <v>277907</v>
      </c>
      <c r="G3255" s="13">
        <v>27</v>
      </c>
      <c r="H3255" t="s">
        <v>2778</v>
      </c>
      <c r="I3255" s="8">
        <v>45994</v>
      </c>
      <c r="J3255" t="s">
        <v>2692</v>
      </c>
      <c r="K3255" t="s">
        <v>2693</v>
      </c>
      <c r="L3255" s="13">
        <v>10000</v>
      </c>
      <c r="M3255" t="s">
        <v>2661</v>
      </c>
    </row>
    <row r="3256" spans="1:13">
      <c r="A3256" t="s">
        <v>1444</v>
      </c>
      <c r="B3256" t="s">
        <v>244</v>
      </c>
      <c r="C3256" s="8">
        <v>46205</v>
      </c>
      <c r="D3256" t="s">
        <v>344</v>
      </c>
      <c r="E3256" t="s">
        <v>328</v>
      </c>
      <c r="F3256" s="12">
        <v>277907</v>
      </c>
      <c r="G3256" s="13">
        <v>27</v>
      </c>
      <c r="H3256" t="s">
        <v>2916</v>
      </c>
      <c r="I3256" s="8">
        <v>46078</v>
      </c>
      <c r="J3256" t="s">
        <v>2668</v>
      </c>
      <c r="K3256" t="s">
        <v>2669</v>
      </c>
      <c r="L3256" s="13">
        <v>4000</v>
      </c>
      <c r="M3256" t="s">
        <v>2661</v>
      </c>
    </row>
    <row r="3257" spans="1:13">
      <c r="A3257" t="s">
        <v>1445</v>
      </c>
      <c r="B3257" t="s">
        <v>81</v>
      </c>
      <c r="C3257" s="8">
        <v>46123</v>
      </c>
      <c r="D3257" t="s">
        <v>342</v>
      </c>
      <c r="E3257" t="s">
        <v>337</v>
      </c>
      <c r="F3257" s="12">
        <v>73757</v>
      </c>
      <c r="G3257" s="13">
        <v>7</v>
      </c>
      <c r="H3257" t="s">
        <v>2691</v>
      </c>
      <c r="I3257" s="8">
        <v>46098</v>
      </c>
      <c r="J3257" t="s">
        <v>2692</v>
      </c>
      <c r="K3257" t="s">
        <v>2693</v>
      </c>
      <c r="L3257" s="13">
        <v>10000</v>
      </c>
      <c r="M3257" t="s">
        <v>2661</v>
      </c>
    </row>
    <row r="3258" spans="1:13">
      <c r="A3258" t="s">
        <v>1445</v>
      </c>
      <c r="B3258" t="s">
        <v>81</v>
      </c>
      <c r="C3258" s="8">
        <v>46123</v>
      </c>
      <c r="D3258" t="s">
        <v>342</v>
      </c>
      <c r="E3258" t="s">
        <v>337</v>
      </c>
      <c r="F3258" s="12">
        <v>73757</v>
      </c>
      <c r="G3258" s="13">
        <v>7</v>
      </c>
      <c r="H3258" t="s">
        <v>2788</v>
      </c>
      <c r="I3258" s="8">
        <v>46057</v>
      </c>
      <c r="J3258" t="s">
        <v>2668</v>
      </c>
      <c r="K3258" t="s">
        <v>2669</v>
      </c>
      <c r="L3258" s="13">
        <v>4000</v>
      </c>
      <c r="M3258" t="s">
        <v>2661</v>
      </c>
    </row>
    <row r="3259" spans="1:13">
      <c r="A3259" t="s">
        <v>1445</v>
      </c>
      <c r="B3259" t="s">
        <v>81</v>
      </c>
      <c r="C3259" s="8">
        <v>46123</v>
      </c>
      <c r="D3259" t="s">
        <v>342</v>
      </c>
      <c r="E3259" t="s">
        <v>337</v>
      </c>
      <c r="F3259" s="12">
        <v>73757</v>
      </c>
      <c r="G3259" s="13">
        <v>7</v>
      </c>
      <c r="H3259" t="s">
        <v>2827</v>
      </c>
      <c r="I3259" s="8">
        <v>46245</v>
      </c>
      <c r="J3259" t="s">
        <v>2668</v>
      </c>
      <c r="K3259" t="s">
        <v>2669</v>
      </c>
      <c r="L3259" s="13">
        <v>4000</v>
      </c>
      <c r="M3259" t="s">
        <v>2661</v>
      </c>
    </row>
    <row r="3260" spans="1:13">
      <c r="A3260" t="s">
        <v>1445</v>
      </c>
      <c r="B3260" t="s">
        <v>81</v>
      </c>
      <c r="C3260" s="8">
        <v>46123</v>
      </c>
      <c r="D3260" t="s">
        <v>342</v>
      </c>
      <c r="E3260" t="s">
        <v>337</v>
      </c>
      <c r="F3260" s="12">
        <v>73757</v>
      </c>
      <c r="G3260" s="13">
        <v>7</v>
      </c>
      <c r="H3260" t="s">
        <v>2893</v>
      </c>
      <c r="I3260" s="8">
        <v>46034</v>
      </c>
      <c r="J3260" t="s">
        <v>2663</v>
      </c>
      <c r="K3260" t="s">
        <v>3630</v>
      </c>
      <c r="L3260" s="13">
        <v>1500</v>
      </c>
      <c r="M3260" t="s">
        <v>2661</v>
      </c>
    </row>
    <row r="3261" spans="1:13">
      <c r="A3261" t="s">
        <v>1445</v>
      </c>
      <c r="B3261" t="s">
        <v>81</v>
      </c>
      <c r="C3261" s="8">
        <v>46123</v>
      </c>
      <c r="D3261" t="s">
        <v>342</v>
      </c>
      <c r="E3261" t="s">
        <v>337</v>
      </c>
      <c r="F3261" s="12">
        <v>73757</v>
      </c>
      <c r="G3261" s="13">
        <v>7</v>
      </c>
      <c r="H3261" t="s">
        <v>3088</v>
      </c>
      <c r="I3261" s="8">
        <v>46271</v>
      </c>
      <c r="J3261" t="s">
        <v>2663</v>
      </c>
      <c r="K3261" t="s">
        <v>3630</v>
      </c>
      <c r="L3261" s="13">
        <v>1500</v>
      </c>
      <c r="M3261" t="s">
        <v>2676</v>
      </c>
    </row>
    <row r="3262" spans="1:13">
      <c r="A3262" t="s">
        <v>1445</v>
      </c>
      <c r="B3262" t="s">
        <v>81</v>
      </c>
      <c r="C3262" s="8">
        <v>46123</v>
      </c>
      <c r="D3262" t="s">
        <v>342</v>
      </c>
      <c r="E3262" t="s">
        <v>337</v>
      </c>
      <c r="F3262" s="12">
        <v>73757</v>
      </c>
      <c r="G3262" s="13">
        <v>7</v>
      </c>
      <c r="H3262" t="s">
        <v>3099</v>
      </c>
      <c r="I3262" s="8">
        <v>46247</v>
      </c>
      <c r="J3262" t="s">
        <v>2668</v>
      </c>
      <c r="K3262" t="s">
        <v>2669</v>
      </c>
      <c r="L3262" s="13">
        <v>4000</v>
      </c>
      <c r="M3262" t="s">
        <v>2676</v>
      </c>
    </row>
    <row r="3263" spans="1:13">
      <c r="A3263" t="s">
        <v>1445</v>
      </c>
      <c r="B3263" t="s">
        <v>81</v>
      </c>
      <c r="C3263" s="8">
        <v>46123</v>
      </c>
      <c r="D3263" t="s">
        <v>342</v>
      </c>
      <c r="E3263" t="s">
        <v>337</v>
      </c>
      <c r="F3263" s="12">
        <v>73757</v>
      </c>
      <c r="G3263" s="13">
        <v>7</v>
      </c>
      <c r="H3263" t="s">
        <v>3200</v>
      </c>
      <c r="I3263" s="8">
        <v>46120</v>
      </c>
      <c r="J3263" t="s">
        <v>2685</v>
      </c>
      <c r="K3263" t="s">
        <v>2686</v>
      </c>
      <c r="L3263" s="13">
        <v>5000</v>
      </c>
      <c r="M3263" t="s">
        <v>2661</v>
      </c>
    </row>
    <row r="3264" spans="1:13">
      <c r="A3264" t="s">
        <v>1445</v>
      </c>
      <c r="B3264" t="s">
        <v>81</v>
      </c>
      <c r="C3264" s="8">
        <v>46123</v>
      </c>
      <c r="D3264" t="s">
        <v>342</v>
      </c>
      <c r="E3264" t="s">
        <v>337</v>
      </c>
      <c r="F3264" s="12">
        <v>73757</v>
      </c>
      <c r="G3264" s="13">
        <v>7</v>
      </c>
      <c r="H3264" t="s">
        <v>3250</v>
      </c>
      <c r="I3264" s="8">
        <v>46234</v>
      </c>
      <c r="J3264" t="s">
        <v>2659</v>
      </c>
      <c r="K3264" t="s">
        <v>2660</v>
      </c>
      <c r="L3264" s="13">
        <v>3500</v>
      </c>
      <c r="M3264" t="s">
        <v>2661</v>
      </c>
    </row>
    <row r="3265" spans="1:13">
      <c r="A3265" t="s">
        <v>1445</v>
      </c>
      <c r="B3265" t="s">
        <v>81</v>
      </c>
      <c r="C3265" s="8">
        <v>46123</v>
      </c>
      <c r="D3265" t="s">
        <v>342</v>
      </c>
      <c r="E3265" t="s">
        <v>337</v>
      </c>
      <c r="F3265" s="12">
        <v>73757</v>
      </c>
      <c r="G3265" s="13">
        <v>7</v>
      </c>
      <c r="H3265" t="s">
        <v>3263</v>
      </c>
      <c r="I3265" s="8">
        <v>45996</v>
      </c>
      <c r="J3265" t="s">
        <v>2682</v>
      </c>
      <c r="K3265" t="s">
        <v>2683</v>
      </c>
      <c r="L3265" s="13">
        <v>6000</v>
      </c>
      <c r="M3265" t="s">
        <v>2661</v>
      </c>
    </row>
    <row r="3266" spans="1:13">
      <c r="A3266" t="s">
        <v>1445</v>
      </c>
      <c r="B3266" t="s">
        <v>81</v>
      </c>
      <c r="C3266" s="8">
        <v>46123</v>
      </c>
      <c r="D3266" t="s">
        <v>342</v>
      </c>
      <c r="E3266" t="s">
        <v>337</v>
      </c>
      <c r="F3266" s="12">
        <v>73757</v>
      </c>
      <c r="G3266" s="13">
        <v>7</v>
      </c>
      <c r="H3266" t="s">
        <v>3561</v>
      </c>
      <c r="I3266" s="8">
        <v>46096</v>
      </c>
      <c r="J3266" t="s">
        <v>2692</v>
      </c>
      <c r="K3266" t="s">
        <v>2693</v>
      </c>
      <c r="L3266" s="13">
        <v>10000</v>
      </c>
      <c r="M3266" t="s">
        <v>2676</v>
      </c>
    </row>
    <row r="3267" spans="1:13">
      <c r="A3267" t="s">
        <v>1446</v>
      </c>
      <c r="B3267" t="s">
        <v>196</v>
      </c>
      <c r="C3267" s="8">
        <v>46290</v>
      </c>
      <c r="D3267" t="s">
        <v>330</v>
      </c>
      <c r="E3267" t="s">
        <v>334</v>
      </c>
      <c r="F3267" s="12">
        <v>332635</v>
      </c>
      <c r="G3267" s="13">
        <v>33</v>
      </c>
      <c r="H3267" t="s">
        <v>3132</v>
      </c>
      <c r="I3267" s="8">
        <v>46123</v>
      </c>
      <c r="J3267" t="s">
        <v>2668</v>
      </c>
      <c r="K3267" t="s">
        <v>2669</v>
      </c>
      <c r="L3267" s="13">
        <v>4000</v>
      </c>
      <c r="M3267" t="s">
        <v>2661</v>
      </c>
    </row>
    <row r="3268" spans="1:13">
      <c r="A3268" t="s">
        <v>1446</v>
      </c>
      <c r="B3268" t="s">
        <v>196</v>
      </c>
      <c r="C3268" s="8">
        <v>46290</v>
      </c>
      <c r="D3268" t="s">
        <v>330</v>
      </c>
      <c r="E3268" t="s">
        <v>334</v>
      </c>
      <c r="F3268" s="12">
        <v>332635</v>
      </c>
      <c r="G3268" s="13">
        <v>33</v>
      </c>
      <c r="H3268" t="s">
        <v>3338</v>
      </c>
      <c r="I3268" s="8">
        <v>46020</v>
      </c>
      <c r="J3268" t="s">
        <v>2692</v>
      </c>
      <c r="K3268" t="s">
        <v>2693</v>
      </c>
      <c r="L3268" s="13">
        <v>10000</v>
      </c>
      <c r="M3268" t="s">
        <v>2661</v>
      </c>
    </row>
    <row r="3269" spans="1:13">
      <c r="A3269" t="s">
        <v>1446</v>
      </c>
      <c r="B3269" t="s">
        <v>196</v>
      </c>
      <c r="C3269" s="8">
        <v>46290</v>
      </c>
      <c r="D3269" t="s">
        <v>330</v>
      </c>
      <c r="E3269" t="s">
        <v>334</v>
      </c>
      <c r="F3269" s="12">
        <v>332635</v>
      </c>
      <c r="G3269" s="13">
        <v>33</v>
      </c>
      <c r="H3269" t="s">
        <v>3502</v>
      </c>
      <c r="I3269" s="8">
        <v>45979</v>
      </c>
      <c r="J3269" t="s">
        <v>2692</v>
      </c>
      <c r="K3269" t="s">
        <v>2693</v>
      </c>
      <c r="L3269" s="13">
        <v>10000</v>
      </c>
      <c r="M3269" t="s">
        <v>2661</v>
      </c>
    </row>
    <row r="3270" spans="1:13">
      <c r="A3270" t="s">
        <v>1447</v>
      </c>
      <c r="B3270" t="s">
        <v>90</v>
      </c>
      <c r="C3270" s="8">
        <v>45961</v>
      </c>
      <c r="D3270" t="s">
        <v>321</v>
      </c>
      <c r="E3270" t="s">
        <v>337</v>
      </c>
      <c r="F3270" s="12">
        <v>70431</v>
      </c>
      <c r="G3270" s="13">
        <v>7</v>
      </c>
      <c r="H3270" t="s">
        <v>3041</v>
      </c>
      <c r="I3270" s="8">
        <v>46040</v>
      </c>
      <c r="J3270" t="s">
        <v>2685</v>
      </c>
      <c r="K3270" t="s">
        <v>2686</v>
      </c>
      <c r="L3270" s="13">
        <v>5000</v>
      </c>
      <c r="M3270" t="s">
        <v>2661</v>
      </c>
    </row>
    <row r="3271" spans="1:13">
      <c r="A3271" t="s">
        <v>1448</v>
      </c>
      <c r="B3271" t="s">
        <v>164</v>
      </c>
      <c r="C3271" s="8">
        <v>46271</v>
      </c>
      <c r="D3271" t="s">
        <v>344</v>
      </c>
      <c r="E3271" t="s">
        <v>325</v>
      </c>
      <c r="F3271" s="12">
        <v>410326</v>
      </c>
      <c r="G3271" s="13">
        <v>41</v>
      </c>
      <c r="H3271" t="s">
        <v>2971</v>
      </c>
      <c r="I3271" s="8">
        <v>46018</v>
      </c>
      <c r="J3271" t="s">
        <v>2665</v>
      </c>
      <c r="K3271" t="s">
        <v>2666</v>
      </c>
      <c r="L3271" s="13">
        <v>2500</v>
      </c>
      <c r="M3271" t="s">
        <v>2661</v>
      </c>
    </row>
    <row r="3272" spans="1:13">
      <c r="A3272" t="s">
        <v>1448</v>
      </c>
      <c r="B3272" t="s">
        <v>164</v>
      </c>
      <c r="C3272" s="8">
        <v>46271</v>
      </c>
      <c r="D3272" t="s">
        <v>344</v>
      </c>
      <c r="E3272" t="s">
        <v>325</v>
      </c>
      <c r="F3272" s="12">
        <v>410326</v>
      </c>
      <c r="G3272" s="13">
        <v>41</v>
      </c>
      <c r="H3272" t="s">
        <v>3109</v>
      </c>
      <c r="I3272" s="8">
        <v>46204</v>
      </c>
      <c r="J3272" t="s">
        <v>2668</v>
      </c>
      <c r="K3272" t="s">
        <v>2669</v>
      </c>
      <c r="L3272" s="13">
        <v>4000</v>
      </c>
      <c r="M3272" t="s">
        <v>2676</v>
      </c>
    </row>
    <row r="3273" spans="1:13">
      <c r="A3273" t="s">
        <v>1448</v>
      </c>
      <c r="B3273" t="s">
        <v>164</v>
      </c>
      <c r="C3273" s="8">
        <v>46271</v>
      </c>
      <c r="D3273" t="s">
        <v>344</v>
      </c>
      <c r="E3273" t="s">
        <v>325</v>
      </c>
      <c r="F3273" s="12">
        <v>410326</v>
      </c>
      <c r="G3273" s="13">
        <v>41</v>
      </c>
      <c r="H3273" t="s">
        <v>3298</v>
      </c>
      <c r="I3273" s="8">
        <v>46208</v>
      </c>
      <c r="J3273" t="s">
        <v>2692</v>
      </c>
      <c r="K3273" t="s">
        <v>2693</v>
      </c>
      <c r="L3273" s="13">
        <v>10000</v>
      </c>
      <c r="M3273" t="s">
        <v>2661</v>
      </c>
    </row>
    <row r="3274" spans="1:13">
      <c r="A3274" t="s">
        <v>1448</v>
      </c>
      <c r="B3274" t="s">
        <v>164</v>
      </c>
      <c r="C3274" s="8">
        <v>46271</v>
      </c>
      <c r="D3274" t="s">
        <v>344</v>
      </c>
      <c r="E3274" t="s">
        <v>325</v>
      </c>
      <c r="F3274" s="12">
        <v>410326</v>
      </c>
      <c r="G3274" s="13">
        <v>41</v>
      </c>
      <c r="H3274" t="s">
        <v>3523</v>
      </c>
      <c r="I3274" s="8">
        <v>46098</v>
      </c>
      <c r="J3274" t="s">
        <v>2659</v>
      </c>
      <c r="K3274" t="s">
        <v>2660</v>
      </c>
      <c r="L3274" s="13">
        <v>3500</v>
      </c>
      <c r="M3274" t="s">
        <v>2661</v>
      </c>
    </row>
    <row r="3275" spans="1:13">
      <c r="A3275" t="s">
        <v>1449</v>
      </c>
      <c r="B3275" t="s">
        <v>140</v>
      </c>
      <c r="C3275" s="8">
        <v>46242</v>
      </c>
      <c r="D3275" t="s">
        <v>324</v>
      </c>
      <c r="E3275" t="s">
        <v>337</v>
      </c>
      <c r="F3275" s="12">
        <v>287319</v>
      </c>
      <c r="G3275" s="13">
        <v>28</v>
      </c>
      <c r="H3275" t="s">
        <v>3192</v>
      </c>
      <c r="I3275" s="8">
        <v>46206</v>
      </c>
      <c r="J3275" t="s">
        <v>2682</v>
      </c>
      <c r="K3275" t="s">
        <v>2683</v>
      </c>
      <c r="L3275" s="13">
        <v>6000</v>
      </c>
      <c r="M3275" t="s">
        <v>2661</v>
      </c>
    </row>
    <row r="3276" spans="1:13">
      <c r="A3276" t="s">
        <v>1450</v>
      </c>
      <c r="B3276" t="s">
        <v>309</v>
      </c>
      <c r="C3276" s="8">
        <v>45949</v>
      </c>
      <c r="D3276" t="s">
        <v>330</v>
      </c>
      <c r="E3276" t="s">
        <v>328</v>
      </c>
      <c r="F3276" s="12">
        <v>281678</v>
      </c>
      <c r="G3276" s="13">
        <v>28</v>
      </c>
      <c r="H3276" t="s">
        <v>2727</v>
      </c>
      <c r="I3276" s="8">
        <v>46058</v>
      </c>
      <c r="J3276" t="s">
        <v>2659</v>
      </c>
      <c r="K3276" t="s">
        <v>2660</v>
      </c>
      <c r="L3276" s="13">
        <v>3500</v>
      </c>
      <c r="M3276" t="s">
        <v>2661</v>
      </c>
    </row>
    <row r="3277" spans="1:13">
      <c r="A3277" t="s">
        <v>1450</v>
      </c>
      <c r="B3277" t="s">
        <v>309</v>
      </c>
      <c r="C3277" s="8">
        <v>45949</v>
      </c>
      <c r="D3277" t="s">
        <v>330</v>
      </c>
      <c r="E3277" t="s">
        <v>328</v>
      </c>
      <c r="F3277" s="12">
        <v>281678</v>
      </c>
      <c r="G3277" s="13">
        <v>28</v>
      </c>
      <c r="H3277" t="s">
        <v>3115</v>
      </c>
      <c r="I3277" s="8">
        <v>45943</v>
      </c>
      <c r="J3277" t="s">
        <v>2682</v>
      </c>
      <c r="K3277" t="s">
        <v>2683</v>
      </c>
      <c r="L3277" s="13">
        <v>6000</v>
      </c>
      <c r="M3277" t="s">
        <v>2676</v>
      </c>
    </row>
    <row r="3278" spans="1:13">
      <c r="A3278" t="s">
        <v>1450</v>
      </c>
      <c r="B3278" t="s">
        <v>309</v>
      </c>
      <c r="C3278" s="8">
        <v>45949</v>
      </c>
      <c r="D3278" t="s">
        <v>330</v>
      </c>
      <c r="E3278" t="s">
        <v>328</v>
      </c>
      <c r="F3278" s="12">
        <v>281678</v>
      </c>
      <c r="G3278" s="13">
        <v>28</v>
      </c>
      <c r="H3278" t="s">
        <v>3418</v>
      </c>
      <c r="I3278" s="8">
        <v>46064</v>
      </c>
      <c r="J3278" t="s">
        <v>2665</v>
      </c>
      <c r="K3278" t="s">
        <v>2666</v>
      </c>
      <c r="L3278" s="13">
        <v>2500</v>
      </c>
      <c r="M3278" t="s">
        <v>2661</v>
      </c>
    </row>
    <row r="3279" spans="1:13">
      <c r="A3279" t="s">
        <v>1451</v>
      </c>
      <c r="B3279" t="s">
        <v>141</v>
      </c>
      <c r="C3279" s="8">
        <v>46293</v>
      </c>
      <c r="D3279" t="s">
        <v>330</v>
      </c>
      <c r="E3279" t="s">
        <v>334</v>
      </c>
      <c r="F3279" s="12">
        <v>289393</v>
      </c>
      <c r="G3279" s="13">
        <v>28</v>
      </c>
      <c r="H3279" t="s">
        <v>2784</v>
      </c>
      <c r="I3279" s="8">
        <v>46039</v>
      </c>
      <c r="J3279" t="s">
        <v>2692</v>
      </c>
      <c r="K3279" t="s">
        <v>2693</v>
      </c>
      <c r="L3279" s="13">
        <v>10000</v>
      </c>
      <c r="M3279" t="s">
        <v>2676</v>
      </c>
    </row>
    <row r="3280" spans="1:13">
      <c r="A3280" t="s">
        <v>1451</v>
      </c>
      <c r="B3280" t="s">
        <v>141</v>
      </c>
      <c r="C3280" s="8">
        <v>46293</v>
      </c>
      <c r="D3280" t="s">
        <v>330</v>
      </c>
      <c r="E3280" t="s">
        <v>334</v>
      </c>
      <c r="F3280" s="12">
        <v>289393</v>
      </c>
      <c r="G3280" s="13">
        <v>28</v>
      </c>
      <c r="H3280" t="s">
        <v>2983</v>
      </c>
      <c r="I3280" s="8">
        <v>46195</v>
      </c>
      <c r="J3280" t="s">
        <v>2665</v>
      </c>
      <c r="K3280" t="s">
        <v>2666</v>
      </c>
      <c r="L3280" s="13">
        <v>2500</v>
      </c>
      <c r="M3280" t="s">
        <v>2661</v>
      </c>
    </row>
    <row r="3281" spans="1:13">
      <c r="A3281" t="s">
        <v>1451</v>
      </c>
      <c r="B3281" t="s">
        <v>141</v>
      </c>
      <c r="C3281" s="8">
        <v>46293</v>
      </c>
      <c r="D3281" t="s">
        <v>330</v>
      </c>
      <c r="E3281" t="s">
        <v>334</v>
      </c>
      <c r="F3281" s="12">
        <v>289393</v>
      </c>
      <c r="G3281" s="13">
        <v>28</v>
      </c>
      <c r="H3281" t="s">
        <v>3011</v>
      </c>
      <c r="I3281" s="8">
        <v>46197</v>
      </c>
      <c r="J3281" t="s">
        <v>2674</v>
      </c>
      <c r="K3281" t="s">
        <v>2675</v>
      </c>
      <c r="L3281" s="13">
        <v>20000</v>
      </c>
      <c r="M3281" t="s">
        <v>2661</v>
      </c>
    </row>
    <row r="3282" spans="1:13">
      <c r="A3282" t="s">
        <v>1451</v>
      </c>
      <c r="B3282" t="s">
        <v>141</v>
      </c>
      <c r="C3282" s="8">
        <v>46293</v>
      </c>
      <c r="D3282" t="s">
        <v>330</v>
      </c>
      <c r="E3282" t="s">
        <v>334</v>
      </c>
      <c r="F3282" s="12">
        <v>289393</v>
      </c>
      <c r="G3282" s="13">
        <v>28</v>
      </c>
      <c r="H3282" t="s">
        <v>3035</v>
      </c>
      <c r="I3282" s="8">
        <v>46115</v>
      </c>
      <c r="J3282" t="s">
        <v>2663</v>
      </c>
      <c r="K3282" t="s">
        <v>3630</v>
      </c>
      <c r="L3282" s="13">
        <v>1500</v>
      </c>
      <c r="M3282" t="s">
        <v>2661</v>
      </c>
    </row>
    <row r="3283" spans="1:13">
      <c r="A3283" t="s">
        <v>1451</v>
      </c>
      <c r="B3283" t="s">
        <v>141</v>
      </c>
      <c r="C3283" s="8">
        <v>46293</v>
      </c>
      <c r="D3283" t="s">
        <v>330</v>
      </c>
      <c r="E3283" t="s">
        <v>334</v>
      </c>
      <c r="F3283" s="12">
        <v>289393</v>
      </c>
      <c r="G3283" s="13">
        <v>28</v>
      </c>
      <c r="H3283" t="s">
        <v>3161</v>
      </c>
      <c r="I3283" s="8">
        <v>46177</v>
      </c>
      <c r="J3283" t="s">
        <v>2663</v>
      </c>
      <c r="K3283" t="s">
        <v>3630</v>
      </c>
      <c r="L3283" s="13">
        <v>1500</v>
      </c>
      <c r="M3283" t="s">
        <v>2661</v>
      </c>
    </row>
    <row r="3284" spans="1:13">
      <c r="A3284" t="s">
        <v>1451</v>
      </c>
      <c r="B3284" t="s">
        <v>141</v>
      </c>
      <c r="C3284" s="8">
        <v>46293</v>
      </c>
      <c r="D3284" t="s">
        <v>330</v>
      </c>
      <c r="E3284" t="s">
        <v>334</v>
      </c>
      <c r="F3284" s="12">
        <v>289393</v>
      </c>
      <c r="G3284" s="13">
        <v>28</v>
      </c>
      <c r="H3284" t="s">
        <v>3357</v>
      </c>
      <c r="I3284" s="8">
        <v>46093</v>
      </c>
      <c r="J3284" t="s">
        <v>2685</v>
      </c>
      <c r="K3284" t="s">
        <v>2686</v>
      </c>
      <c r="L3284" s="13">
        <v>5000</v>
      </c>
      <c r="M3284" t="s">
        <v>2676</v>
      </c>
    </row>
    <row r="3285" spans="1:13">
      <c r="A3285" t="s">
        <v>1452</v>
      </c>
      <c r="B3285" t="s">
        <v>304</v>
      </c>
      <c r="C3285" s="8">
        <v>46078</v>
      </c>
      <c r="D3285" t="s">
        <v>324</v>
      </c>
      <c r="E3285" t="s">
        <v>322</v>
      </c>
      <c r="F3285" s="12">
        <v>468078</v>
      </c>
      <c r="G3285" s="13">
        <v>46</v>
      </c>
      <c r="H3285" t="s">
        <v>2738</v>
      </c>
      <c r="I3285" s="8">
        <v>46051</v>
      </c>
      <c r="J3285" t="s">
        <v>2665</v>
      </c>
      <c r="K3285" t="s">
        <v>2666</v>
      </c>
      <c r="L3285" s="13">
        <v>2500</v>
      </c>
      <c r="M3285" t="s">
        <v>2661</v>
      </c>
    </row>
    <row r="3286" spans="1:13">
      <c r="A3286" t="s">
        <v>1452</v>
      </c>
      <c r="B3286" t="s">
        <v>304</v>
      </c>
      <c r="C3286" s="8">
        <v>46078</v>
      </c>
      <c r="D3286" t="s">
        <v>324</v>
      </c>
      <c r="E3286" t="s">
        <v>322</v>
      </c>
      <c r="F3286" s="12">
        <v>468078</v>
      </c>
      <c r="G3286" s="13">
        <v>46</v>
      </c>
      <c r="H3286" t="s">
        <v>2857</v>
      </c>
      <c r="I3286" s="8">
        <v>46291</v>
      </c>
      <c r="J3286" t="s">
        <v>2685</v>
      </c>
      <c r="K3286" t="s">
        <v>2686</v>
      </c>
      <c r="L3286" s="13">
        <v>5000</v>
      </c>
      <c r="M3286" t="s">
        <v>2661</v>
      </c>
    </row>
    <row r="3287" spans="1:13">
      <c r="A3287" t="s">
        <v>1452</v>
      </c>
      <c r="B3287" t="s">
        <v>304</v>
      </c>
      <c r="C3287" s="8">
        <v>46078</v>
      </c>
      <c r="D3287" t="s">
        <v>324</v>
      </c>
      <c r="E3287" t="s">
        <v>322</v>
      </c>
      <c r="F3287" s="12">
        <v>468078</v>
      </c>
      <c r="G3287" s="13">
        <v>46</v>
      </c>
      <c r="H3287" t="s">
        <v>2989</v>
      </c>
      <c r="I3287" s="8">
        <v>46225</v>
      </c>
      <c r="J3287" t="s">
        <v>2668</v>
      </c>
      <c r="K3287" t="s">
        <v>2669</v>
      </c>
      <c r="L3287" s="13">
        <v>4000</v>
      </c>
      <c r="M3287" t="s">
        <v>2661</v>
      </c>
    </row>
    <row r="3288" spans="1:13">
      <c r="A3288" t="s">
        <v>1452</v>
      </c>
      <c r="B3288" t="s">
        <v>304</v>
      </c>
      <c r="C3288" s="8">
        <v>46078</v>
      </c>
      <c r="D3288" t="s">
        <v>324</v>
      </c>
      <c r="E3288" t="s">
        <v>322</v>
      </c>
      <c r="F3288" s="12">
        <v>468078</v>
      </c>
      <c r="G3288" s="13">
        <v>46</v>
      </c>
      <c r="H3288" t="s">
        <v>3336</v>
      </c>
      <c r="I3288" s="8">
        <v>45946</v>
      </c>
      <c r="J3288" t="s">
        <v>2688</v>
      </c>
      <c r="K3288" t="s">
        <v>2689</v>
      </c>
      <c r="L3288" s="13">
        <v>8000</v>
      </c>
      <c r="M3288" t="s">
        <v>2661</v>
      </c>
    </row>
    <row r="3289" spans="1:13">
      <c r="A3289" t="s">
        <v>1452</v>
      </c>
      <c r="B3289" t="s">
        <v>304</v>
      </c>
      <c r="C3289" s="8">
        <v>46078</v>
      </c>
      <c r="D3289" t="s">
        <v>324</v>
      </c>
      <c r="E3289" t="s">
        <v>322</v>
      </c>
      <c r="F3289" s="12">
        <v>468078</v>
      </c>
      <c r="G3289" s="13">
        <v>46</v>
      </c>
      <c r="H3289" t="s">
        <v>3473</v>
      </c>
      <c r="I3289" s="8">
        <v>46011</v>
      </c>
      <c r="J3289" t="s">
        <v>2688</v>
      </c>
      <c r="K3289" t="s">
        <v>2689</v>
      </c>
      <c r="L3289" s="13">
        <v>8000</v>
      </c>
      <c r="M3289" t="s">
        <v>2661</v>
      </c>
    </row>
    <row r="3290" spans="1:13">
      <c r="A3290" t="s">
        <v>1453</v>
      </c>
      <c r="B3290" t="s">
        <v>126</v>
      </c>
      <c r="C3290" s="8">
        <v>46100</v>
      </c>
      <c r="D3290" t="s">
        <v>330</v>
      </c>
      <c r="E3290" t="s">
        <v>328</v>
      </c>
      <c r="F3290" s="12">
        <v>305378</v>
      </c>
      <c r="G3290" s="13">
        <v>30</v>
      </c>
      <c r="H3290" t="s">
        <v>2798</v>
      </c>
      <c r="I3290" s="8">
        <v>46235</v>
      </c>
      <c r="J3290" t="s">
        <v>2659</v>
      </c>
      <c r="K3290" t="s">
        <v>2660</v>
      </c>
      <c r="L3290" s="13">
        <v>3500</v>
      </c>
      <c r="M3290" t="s">
        <v>2661</v>
      </c>
    </row>
    <row r="3291" spans="1:13">
      <c r="A3291" t="s">
        <v>1453</v>
      </c>
      <c r="B3291" t="s">
        <v>126</v>
      </c>
      <c r="C3291" s="8">
        <v>46100</v>
      </c>
      <c r="D3291" t="s">
        <v>330</v>
      </c>
      <c r="E3291" t="s">
        <v>328</v>
      </c>
      <c r="F3291" s="12">
        <v>305378</v>
      </c>
      <c r="G3291" s="13">
        <v>30</v>
      </c>
      <c r="H3291" t="s">
        <v>3334</v>
      </c>
      <c r="I3291" s="8">
        <v>46254</v>
      </c>
      <c r="J3291" t="s">
        <v>2692</v>
      </c>
      <c r="K3291" t="s">
        <v>2693</v>
      </c>
      <c r="L3291" s="13">
        <v>10000</v>
      </c>
      <c r="M3291" t="s">
        <v>2676</v>
      </c>
    </row>
    <row r="3292" spans="1:13">
      <c r="A3292" t="s">
        <v>1454</v>
      </c>
      <c r="B3292" t="s">
        <v>84</v>
      </c>
      <c r="C3292" s="8">
        <v>46184</v>
      </c>
      <c r="D3292" t="s">
        <v>344</v>
      </c>
      <c r="E3292" t="s">
        <v>334</v>
      </c>
      <c r="F3292" s="12">
        <v>834001</v>
      </c>
      <c r="G3292" s="13">
        <v>83</v>
      </c>
      <c r="H3292" t="s">
        <v>2962</v>
      </c>
      <c r="I3292" s="8">
        <v>46190</v>
      </c>
      <c r="J3292" t="s">
        <v>2671</v>
      </c>
      <c r="K3292" t="s">
        <v>2672</v>
      </c>
      <c r="L3292" s="13">
        <v>3000</v>
      </c>
      <c r="M3292" t="s">
        <v>2661</v>
      </c>
    </row>
    <row r="3293" spans="1:13">
      <c r="A3293" t="s">
        <v>1454</v>
      </c>
      <c r="B3293" t="s">
        <v>84</v>
      </c>
      <c r="C3293" s="8">
        <v>46184</v>
      </c>
      <c r="D3293" t="s">
        <v>344</v>
      </c>
      <c r="E3293" t="s">
        <v>334</v>
      </c>
      <c r="F3293" s="12">
        <v>834001</v>
      </c>
      <c r="G3293" s="13">
        <v>83</v>
      </c>
      <c r="H3293" t="s">
        <v>3204</v>
      </c>
      <c r="I3293" s="8">
        <v>46029</v>
      </c>
      <c r="J3293" t="s">
        <v>2671</v>
      </c>
      <c r="K3293" t="s">
        <v>2672</v>
      </c>
      <c r="L3293" s="13">
        <v>3000</v>
      </c>
      <c r="M3293" t="s">
        <v>2661</v>
      </c>
    </row>
    <row r="3294" spans="1:13">
      <c r="A3294" t="s">
        <v>1454</v>
      </c>
      <c r="B3294" t="s">
        <v>84</v>
      </c>
      <c r="C3294" s="8">
        <v>46184</v>
      </c>
      <c r="D3294" t="s">
        <v>344</v>
      </c>
      <c r="E3294" t="s">
        <v>334</v>
      </c>
      <c r="F3294" s="12">
        <v>834001</v>
      </c>
      <c r="G3294" s="13">
        <v>83</v>
      </c>
      <c r="H3294" t="s">
        <v>3273</v>
      </c>
      <c r="I3294" s="8">
        <v>46050</v>
      </c>
      <c r="J3294" t="s">
        <v>2668</v>
      </c>
      <c r="K3294" t="s">
        <v>2669</v>
      </c>
      <c r="L3294" s="13">
        <v>4000</v>
      </c>
      <c r="M3294" t="s">
        <v>2676</v>
      </c>
    </row>
    <row r="3295" spans="1:13">
      <c r="A3295" t="s">
        <v>1454</v>
      </c>
      <c r="B3295" t="s">
        <v>84</v>
      </c>
      <c r="C3295" s="8">
        <v>46184</v>
      </c>
      <c r="D3295" t="s">
        <v>344</v>
      </c>
      <c r="E3295" t="s">
        <v>334</v>
      </c>
      <c r="F3295" s="12">
        <v>834001</v>
      </c>
      <c r="G3295" s="13">
        <v>83</v>
      </c>
      <c r="H3295" t="s">
        <v>3305</v>
      </c>
      <c r="I3295" s="8">
        <v>45960</v>
      </c>
      <c r="J3295" t="s">
        <v>2682</v>
      </c>
      <c r="K3295" t="s">
        <v>2683</v>
      </c>
      <c r="L3295" s="13">
        <v>6000</v>
      </c>
      <c r="M3295" t="s">
        <v>2661</v>
      </c>
    </row>
    <row r="3296" spans="1:13">
      <c r="A3296" t="s">
        <v>1455</v>
      </c>
      <c r="B3296" t="s">
        <v>58</v>
      </c>
      <c r="C3296" s="8">
        <v>46011</v>
      </c>
      <c r="D3296" t="s">
        <v>350</v>
      </c>
      <c r="E3296" t="s">
        <v>334</v>
      </c>
      <c r="F3296" s="12">
        <v>342765</v>
      </c>
      <c r="G3296" s="13">
        <v>34</v>
      </c>
      <c r="H3296" t="s">
        <v>2699</v>
      </c>
      <c r="I3296" s="8">
        <v>45942</v>
      </c>
      <c r="J3296" t="s">
        <v>2688</v>
      </c>
      <c r="K3296" t="s">
        <v>2689</v>
      </c>
      <c r="L3296" s="13">
        <v>8000</v>
      </c>
      <c r="M3296" t="s">
        <v>2676</v>
      </c>
    </row>
    <row r="3297" spans="1:13">
      <c r="A3297" t="s">
        <v>1455</v>
      </c>
      <c r="B3297" t="s">
        <v>58</v>
      </c>
      <c r="C3297" s="8">
        <v>46011</v>
      </c>
      <c r="D3297" t="s">
        <v>350</v>
      </c>
      <c r="E3297" t="s">
        <v>334</v>
      </c>
      <c r="F3297" s="12">
        <v>342765</v>
      </c>
      <c r="G3297" s="13">
        <v>34</v>
      </c>
      <c r="H3297" t="s">
        <v>2731</v>
      </c>
      <c r="I3297" s="8">
        <v>46096</v>
      </c>
      <c r="J3297" t="s">
        <v>2671</v>
      </c>
      <c r="K3297" t="s">
        <v>2672</v>
      </c>
      <c r="L3297" s="13">
        <v>3000</v>
      </c>
      <c r="M3297" t="s">
        <v>2661</v>
      </c>
    </row>
    <row r="3298" spans="1:13">
      <c r="A3298" t="s">
        <v>1455</v>
      </c>
      <c r="B3298" t="s">
        <v>58</v>
      </c>
      <c r="C3298" s="8">
        <v>46011</v>
      </c>
      <c r="D3298" t="s">
        <v>350</v>
      </c>
      <c r="E3298" t="s">
        <v>334</v>
      </c>
      <c r="F3298" s="12">
        <v>342765</v>
      </c>
      <c r="G3298" s="13">
        <v>34</v>
      </c>
      <c r="H3298" t="s">
        <v>2947</v>
      </c>
      <c r="I3298" s="8">
        <v>45954</v>
      </c>
      <c r="J3298" t="s">
        <v>2668</v>
      </c>
      <c r="K3298" t="s">
        <v>2669</v>
      </c>
      <c r="L3298" s="13">
        <v>4000</v>
      </c>
      <c r="M3298" t="s">
        <v>2676</v>
      </c>
    </row>
    <row r="3299" spans="1:13">
      <c r="A3299" t="s">
        <v>1456</v>
      </c>
      <c r="B3299" t="s">
        <v>28</v>
      </c>
      <c r="C3299" s="8">
        <v>46238</v>
      </c>
      <c r="D3299" t="s">
        <v>324</v>
      </c>
      <c r="E3299" t="s">
        <v>334</v>
      </c>
      <c r="F3299" s="12">
        <v>293768</v>
      </c>
      <c r="G3299" s="13">
        <v>29</v>
      </c>
      <c r="H3299" t="s">
        <v>2744</v>
      </c>
      <c r="I3299" s="8">
        <v>46085</v>
      </c>
      <c r="J3299" t="s">
        <v>2692</v>
      </c>
      <c r="K3299" t="s">
        <v>2693</v>
      </c>
      <c r="L3299" s="13">
        <v>10000</v>
      </c>
      <c r="M3299" t="s">
        <v>2661</v>
      </c>
    </row>
    <row r="3300" spans="1:13">
      <c r="A3300" t="s">
        <v>1456</v>
      </c>
      <c r="B3300" t="s">
        <v>28</v>
      </c>
      <c r="C3300" s="8">
        <v>46238</v>
      </c>
      <c r="D3300" t="s">
        <v>324</v>
      </c>
      <c r="E3300" t="s">
        <v>334</v>
      </c>
      <c r="F3300" s="12">
        <v>293768</v>
      </c>
      <c r="G3300" s="13">
        <v>29</v>
      </c>
      <c r="H3300" t="s">
        <v>2849</v>
      </c>
      <c r="I3300" s="8">
        <v>46060</v>
      </c>
      <c r="J3300" t="s">
        <v>2659</v>
      </c>
      <c r="K3300" t="s">
        <v>2660</v>
      </c>
      <c r="L3300" s="13">
        <v>3500</v>
      </c>
      <c r="M3300" t="s">
        <v>2661</v>
      </c>
    </row>
    <row r="3301" spans="1:13">
      <c r="A3301" t="s">
        <v>1456</v>
      </c>
      <c r="B3301" t="s">
        <v>28</v>
      </c>
      <c r="C3301" s="8">
        <v>46238</v>
      </c>
      <c r="D3301" t="s">
        <v>324</v>
      </c>
      <c r="E3301" t="s">
        <v>334</v>
      </c>
      <c r="F3301" s="12">
        <v>293768</v>
      </c>
      <c r="G3301" s="13">
        <v>29</v>
      </c>
      <c r="H3301" t="s">
        <v>2940</v>
      </c>
      <c r="I3301" s="8">
        <v>45947</v>
      </c>
      <c r="J3301" t="s">
        <v>2688</v>
      </c>
      <c r="K3301" t="s">
        <v>2689</v>
      </c>
      <c r="L3301" s="13">
        <v>8000</v>
      </c>
      <c r="M3301" t="s">
        <v>2661</v>
      </c>
    </row>
    <row r="3302" spans="1:13">
      <c r="A3302" t="s">
        <v>1456</v>
      </c>
      <c r="B3302" t="s">
        <v>28</v>
      </c>
      <c r="C3302" s="8">
        <v>46238</v>
      </c>
      <c r="D3302" t="s">
        <v>324</v>
      </c>
      <c r="E3302" t="s">
        <v>334</v>
      </c>
      <c r="F3302" s="12">
        <v>293768</v>
      </c>
      <c r="G3302" s="13">
        <v>29</v>
      </c>
      <c r="H3302" t="s">
        <v>3361</v>
      </c>
      <c r="I3302" s="8">
        <v>46205</v>
      </c>
      <c r="J3302" t="s">
        <v>2685</v>
      </c>
      <c r="K3302" t="s">
        <v>2686</v>
      </c>
      <c r="L3302" s="13">
        <v>5000</v>
      </c>
      <c r="M3302" t="s">
        <v>2661</v>
      </c>
    </row>
    <row r="3303" spans="1:13">
      <c r="A3303" t="s">
        <v>1456</v>
      </c>
      <c r="B3303" t="s">
        <v>28</v>
      </c>
      <c r="C3303" s="8">
        <v>46238</v>
      </c>
      <c r="D3303" t="s">
        <v>324</v>
      </c>
      <c r="E3303" t="s">
        <v>334</v>
      </c>
      <c r="F3303" s="12">
        <v>293768</v>
      </c>
      <c r="G3303" s="13">
        <v>29</v>
      </c>
      <c r="H3303" t="s">
        <v>3416</v>
      </c>
      <c r="I3303" s="8">
        <v>46028</v>
      </c>
      <c r="J3303" t="s">
        <v>2659</v>
      </c>
      <c r="K3303" t="s">
        <v>2660</v>
      </c>
      <c r="L3303" s="13">
        <v>3500</v>
      </c>
      <c r="M3303" t="s">
        <v>2676</v>
      </c>
    </row>
    <row r="3304" spans="1:13">
      <c r="A3304" t="s">
        <v>1456</v>
      </c>
      <c r="B3304" t="s">
        <v>28</v>
      </c>
      <c r="C3304" s="8">
        <v>46238</v>
      </c>
      <c r="D3304" t="s">
        <v>324</v>
      </c>
      <c r="E3304" t="s">
        <v>334</v>
      </c>
      <c r="F3304" s="12">
        <v>293768</v>
      </c>
      <c r="G3304" s="13">
        <v>29</v>
      </c>
      <c r="H3304" t="s">
        <v>3459</v>
      </c>
      <c r="I3304" s="8">
        <v>45984</v>
      </c>
      <c r="J3304" t="s">
        <v>2674</v>
      </c>
      <c r="K3304" t="s">
        <v>2675</v>
      </c>
      <c r="L3304" s="13">
        <v>20000</v>
      </c>
      <c r="M3304" t="s">
        <v>2676</v>
      </c>
    </row>
    <row r="3305" spans="1:13">
      <c r="A3305" t="s">
        <v>1457</v>
      </c>
      <c r="B3305" t="s">
        <v>51</v>
      </c>
      <c r="C3305" s="8">
        <v>45987</v>
      </c>
      <c r="D3305" t="s">
        <v>321</v>
      </c>
      <c r="E3305" t="s">
        <v>339</v>
      </c>
      <c r="F3305" s="12">
        <v>417409</v>
      </c>
      <c r="G3305" s="13">
        <v>41</v>
      </c>
      <c r="H3305" t="s">
        <v>2800</v>
      </c>
      <c r="I3305" s="8">
        <v>46266</v>
      </c>
      <c r="J3305" t="s">
        <v>2674</v>
      </c>
      <c r="K3305" t="s">
        <v>2675</v>
      </c>
      <c r="L3305" s="13">
        <v>20000</v>
      </c>
      <c r="M3305" t="s">
        <v>2676</v>
      </c>
    </row>
    <row r="3306" spans="1:13">
      <c r="A3306" t="s">
        <v>1457</v>
      </c>
      <c r="B3306" t="s">
        <v>51</v>
      </c>
      <c r="C3306" s="8">
        <v>45987</v>
      </c>
      <c r="D3306" t="s">
        <v>321</v>
      </c>
      <c r="E3306" t="s">
        <v>339</v>
      </c>
      <c r="F3306" s="12">
        <v>417409</v>
      </c>
      <c r="G3306" s="13">
        <v>41</v>
      </c>
      <c r="H3306" t="s">
        <v>3477</v>
      </c>
      <c r="I3306" s="8">
        <v>46036</v>
      </c>
      <c r="J3306" t="s">
        <v>2671</v>
      </c>
      <c r="K3306" t="s">
        <v>2672</v>
      </c>
      <c r="L3306" s="13">
        <v>3000</v>
      </c>
      <c r="M3306" t="s">
        <v>2661</v>
      </c>
    </row>
    <row r="3307" spans="1:13">
      <c r="A3307" t="s">
        <v>1458</v>
      </c>
      <c r="B3307" t="s">
        <v>148</v>
      </c>
      <c r="C3307" s="8">
        <v>45942</v>
      </c>
      <c r="D3307" t="s">
        <v>350</v>
      </c>
      <c r="E3307" t="s">
        <v>322</v>
      </c>
      <c r="F3307" s="12">
        <v>270247</v>
      </c>
      <c r="G3307" s="13">
        <v>27</v>
      </c>
      <c r="H3307" t="s">
        <v>2701</v>
      </c>
      <c r="I3307" s="8">
        <v>46251</v>
      </c>
      <c r="J3307" t="s">
        <v>2685</v>
      </c>
      <c r="K3307" t="s">
        <v>2686</v>
      </c>
      <c r="L3307" s="13">
        <v>5000</v>
      </c>
      <c r="M3307" t="s">
        <v>2661</v>
      </c>
    </row>
    <row r="3308" spans="1:13">
      <c r="A3308" t="s">
        <v>1458</v>
      </c>
      <c r="B3308" t="s">
        <v>148</v>
      </c>
      <c r="C3308" s="8">
        <v>45942</v>
      </c>
      <c r="D3308" t="s">
        <v>350</v>
      </c>
      <c r="E3308" t="s">
        <v>322</v>
      </c>
      <c r="F3308" s="12">
        <v>270247</v>
      </c>
      <c r="G3308" s="13">
        <v>27</v>
      </c>
      <c r="H3308" t="s">
        <v>2859</v>
      </c>
      <c r="I3308" s="8">
        <v>46163</v>
      </c>
      <c r="J3308" t="s">
        <v>2685</v>
      </c>
      <c r="K3308" t="s">
        <v>2686</v>
      </c>
      <c r="L3308" s="13">
        <v>5000</v>
      </c>
      <c r="M3308" t="s">
        <v>2661</v>
      </c>
    </row>
    <row r="3309" spans="1:13">
      <c r="A3309" t="s">
        <v>1458</v>
      </c>
      <c r="B3309" t="s">
        <v>148</v>
      </c>
      <c r="C3309" s="8">
        <v>45942</v>
      </c>
      <c r="D3309" t="s">
        <v>350</v>
      </c>
      <c r="E3309" t="s">
        <v>322</v>
      </c>
      <c r="F3309" s="12">
        <v>270247</v>
      </c>
      <c r="G3309" s="13">
        <v>27</v>
      </c>
      <c r="H3309" t="s">
        <v>3210</v>
      </c>
      <c r="I3309" s="8">
        <v>46038</v>
      </c>
      <c r="J3309" t="s">
        <v>2663</v>
      </c>
      <c r="K3309" t="s">
        <v>3630</v>
      </c>
      <c r="L3309" s="13">
        <v>1500</v>
      </c>
      <c r="M3309" t="s">
        <v>2661</v>
      </c>
    </row>
    <row r="3310" spans="1:13">
      <c r="A3310" t="s">
        <v>1458</v>
      </c>
      <c r="B3310" t="s">
        <v>148</v>
      </c>
      <c r="C3310" s="8">
        <v>45942</v>
      </c>
      <c r="D3310" t="s">
        <v>350</v>
      </c>
      <c r="E3310" t="s">
        <v>322</v>
      </c>
      <c r="F3310" s="12">
        <v>270247</v>
      </c>
      <c r="G3310" s="13">
        <v>27</v>
      </c>
      <c r="H3310" t="s">
        <v>3242</v>
      </c>
      <c r="I3310" s="8">
        <v>45943</v>
      </c>
      <c r="J3310" t="s">
        <v>2674</v>
      </c>
      <c r="K3310" t="s">
        <v>2675</v>
      </c>
      <c r="L3310" s="13">
        <v>20000</v>
      </c>
      <c r="M3310" t="s">
        <v>2661</v>
      </c>
    </row>
    <row r="3311" spans="1:13">
      <c r="A3311" t="s">
        <v>1458</v>
      </c>
      <c r="B3311" t="s">
        <v>148</v>
      </c>
      <c r="C3311" s="8">
        <v>45942</v>
      </c>
      <c r="D3311" t="s">
        <v>350</v>
      </c>
      <c r="E3311" t="s">
        <v>322</v>
      </c>
      <c r="F3311" s="12">
        <v>270247</v>
      </c>
      <c r="G3311" s="13">
        <v>27</v>
      </c>
      <c r="H3311" t="s">
        <v>3304</v>
      </c>
      <c r="I3311" s="8">
        <v>46267</v>
      </c>
      <c r="J3311" t="s">
        <v>2665</v>
      </c>
      <c r="K3311" t="s">
        <v>2666</v>
      </c>
      <c r="L3311" s="13">
        <v>2500</v>
      </c>
      <c r="M3311" t="s">
        <v>2661</v>
      </c>
    </row>
    <row r="3312" spans="1:13">
      <c r="A3312" t="s">
        <v>1458</v>
      </c>
      <c r="B3312" t="s">
        <v>148</v>
      </c>
      <c r="C3312" s="8">
        <v>45942</v>
      </c>
      <c r="D3312" t="s">
        <v>350</v>
      </c>
      <c r="E3312" t="s">
        <v>322</v>
      </c>
      <c r="F3312" s="12">
        <v>270247</v>
      </c>
      <c r="G3312" s="13">
        <v>27</v>
      </c>
      <c r="H3312" t="s">
        <v>3492</v>
      </c>
      <c r="I3312" s="8">
        <v>45951</v>
      </c>
      <c r="J3312" t="s">
        <v>2659</v>
      </c>
      <c r="K3312" t="s">
        <v>2660</v>
      </c>
      <c r="L3312" s="13">
        <v>3500</v>
      </c>
      <c r="M3312" t="s">
        <v>2661</v>
      </c>
    </row>
    <row r="3313" spans="1:13">
      <c r="A3313" t="s">
        <v>1458</v>
      </c>
      <c r="B3313" t="s">
        <v>148</v>
      </c>
      <c r="C3313" s="8">
        <v>45942</v>
      </c>
      <c r="D3313" t="s">
        <v>350</v>
      </c>
      <c r="E3313" t="s">
        <v>322</v>
      </c>
      <c r="F3313" s="12">
        <v>270247</v>
      </c>
      <c r="G3313" s="13">
        <v>27</v>
      </c>
      <c r="H3313" t="s">
        <v>3552</v>
      </c>
      <c r="I3313" s="8">
        <v>45939</v>
      </c>
      <c r="J3313" t="s">
        <v>2671</v>
      </c>
      <c r="K3313" t="s">
        <v>2672</v>
      </c>
      <c r="L3313" s="13">
        <v>3000</v>
      </c>
      <c r="M3313" t="s">
        <v>2661</v>
      </c>
    </row>
    <row r="3314" spans="1:13">
      <c r="A3314" t="s">
        <v>1460</v>
      </c>
      <c r="B3314" t="s">
        <v>102</v>
      </c>
      <c r="C3314" s="8">
        <v>45933</v>
      </c>
      <c r="D3314" t="s">
        <v>330</v>
      </c>
      <c r="E3314" t="s">
        <v>328</v>
      </c>
      <c r="F3314" s="12">
        <v>287495</v>
      </c>
      <c r="G3314" s="13">
        <v>28</v>
      </c>
      <c r="H3314" t="s">
        <v>2797</v>
      </c>
      <c r="I3314" s="8">
        <v>46163</v>
      </c>
      <c r="J3314" t="s">
        <v>2665</v>
      </c>
      <c r="K3314" t="s">
        <v>2666</v>
      </c>
      <c r="L3314" s="13">
        <v>2500</v>
      </c>
      <c r="M3314" t="s">
        <v>2661</v>
      </c>
    </row>
    <row r="3315" spans="1:13">
      <c r="A3315" t="s">
        <v>1460</v>
      </c>
      <c r="B3315" t="s">
        <v>102</v>
      </c>
      <c r="C3315" s="8">
        <v>45933</v>
      </c>
      <c r="D3315" t="s">
        <v>330</v>
      </c>
      <c r="E3315" t="s">
        <v>328</v>
      </c>
      <c r="F3315" s="12">
        <v>287495</v>
      </c>
      <c r="G3315" s="13">
        <v>28</v>
      </c>
      <c r="H3315" t="s">
        <v>3355</v>
      </c>
      <c r="I3315" s="8">
        <v>46029</v>
      </c>
      <c r="J3315" t="s">
        <v>2659</v>
      </c>
      <c r="K3315" t="s">
        <v>2660</v>
      </c>
      <c r="L3315" s="13">
        <v>3500</v>
      </c>
      <c r="M3315" t="s">
        <v>2676</v>
      </c>
    </row>
    <row r="3316" spans="1:13">
      <c r="A3316" t="s">
        <v>1460</v>
      </c>
      <c r="B3316" t="s">
        <v>102</v>
      </c>
      <c r="C3316" s="8">
        <v>45933</v>
      </c>
      <c r="D3316" t="s">
        <v>330</v>
      </c>
      <c r="E3316" t="s">
        <v>328</v>
      </c>
      <c r="F3316" s="12">
        <v>287495</v>
      </c>
      <c r="G3316" s="13">
        <v>28</v>
      </c>
      <c r="H3316" t="s">
        <v>3360</v>
      </c>
      <c r="I3316" s="8">
        <v>46231</v>
      </c>
      <c r="J3316" t="s">
        <v>2674</v>
      </c>
      <c r="K3316" t="s">
        <v>2675</v>
      </c>
      <c r="L3316" s="13">
        <v>20000</v>
      </c>
      <c r="M3316" t="s">
        <v>2661</v>
      </c>
    </row>
    <row r="3317" spans="1:13">
      <c r="A3317" t="s">
        <v>1460</v>
      </c>
      <c r="B3317" t="s">
        <v>102</v>
      </c>
      <c r="C3317" s="8">
        <v>45933</v>
      </c>
      <c r="D3317" t="s">
        <v>330</v>
      </c>
      <c r="E3317" t="s">
        <v>328</v>
      </c>
      <c r="F3317" s="12">
        <v>287495</v>
      </c>
      <c r="G3317" s="13">
        <v>28</v>
      </c>
      <c r="H3317" t="s">
        <v>3439</v>
      </c>
      <c r="I3317" s="8">
        <v>46268</v>
      </c>
      <c r="J3317" t="s">
        <v>2663</v>
      </c>
      <c r="K3317" t="s">
        <v>3630</v>
      </c>
      <c r="L3317" s="13">
        <v>1500</v>
      </c>
      <c r="M3317" t="s">
        <v>2661</v>
      </c>
    </row>
    <row r="3318" spans="1:13">
      <c r="A3318" t="s">
        <v>1460</v>
      </c>
      <c r="B3318" t="s">
        <v>102</v>
      </c>
      <c r="C3318" s="8">
        <v>45933</v>
      </c>
      <c r="D3318" t="s">
        <v>330</v>
      </c>
      <c r="E3318" t="s">
        <v>328</v>
      </c>
      <c r="F3318" s="12">
        <v>287495</v>
      </c>
      <c r="G3318" s="13">
        <v>28</v>
      </c>
      <c r="H3318" t="s">
        <v>3565</v>
      </c>
      <c r="I3318" s="8">
        <v>46150</v>
      </c>
      <c r="J3318" t="s">
        <v>2674</v>
      </c>
      <c r="K3318" t="s">
        <v>2675</v>
      </c>
      <c r="L3318" s="13">
        <v>20000</v>
      </c>
      <c r="M3318" t="s">
        <v>2661</v>
      </c>
    </row>
    <row r="3319" spans="1:13">
      <c r="A3319" t="s">
        <v>1461</v>
      </c>
      <c r="B3319" t="s">
        <v>95</v>
      </c>
      <c r="C3319" s="8">
        <v>46153</v>
      </c>
      <c r="D3319" t="s">
        <v>324</v>
      </c>
      <c r="E3319" t="s">
        <v>325</v>
      </c>
      <c r="F3319" s="12">
        <v>317614</v>
      </c>
      <c r="G3319" s="13">
        <v>31</v>
      </c>
      <c r="H3319" t="s">
        <v>3519</v>
      </c>
      <c r="I3319" s="8">
        <v>46135</v>
      </c>
      <c r="J3319" t="s">
        <v>2692</v>
      </c>
      <c r="K3319" t="s">
        <v>2693</v>
      </c>
      <c r="L3319" s="13">
        <v>10000</v>
      </c>
      <c r="M3319" t="s">
        <v>2661</v>
      </c>
    </row>
    <row r="3320" spans="1:13">
      <c r="A3320" t="s">
        <v>1461</v>
      </c>
      <c r="B3320" t="s">
        <v>95</v>
      </c>
      <c r="C3320" s="8">
        <v>46153</v>
      </c>
      <c r="D3320" t="s">
        <v>324</v>
      </c>
      <c r="E3320" t="s">
        <v>325</v>
      </c>
      <c r="F3320" s="12">
        <v>317614</v>
      </c>
      <c r="G3320" s="13">
        <v>31</v>
      </c>
      <c r="H3320" t="s">
        <v>3574</v>
      </c>
      <c r="I3320" s="8">
        <v>46267</v>
      </c>
      <c r="J3320" t="s">
        <v>2665</v>
      </c>
      <c r="K3320" t="s">
        <v>2666</v>
      </c>
      <c r="L3320" s="13">
        <v>2500</v>
      </c>
      <c r="M3320" t="s">
        <v>2661</v>
      </c>
    </row>
    <row r="3321" spans="1:13">
      <c r="A3321" t="s">
        <v>1462</v>
      </c>
      <c r="B3321" t="s">
        <v>272</v>
      </c>
      <c r="C3321" s="8">
        <v>45991</v>
      </c>
      <c r="D3321" t="s">
        <v>342</v>
      </c>
      <c r="E3321" t="s">
        <v>339</v>
      </c>
      <c r="F3321" s="12">
        <v>509097</v>
      </c>
      <c r="G3321" s="13">
        <v>50</v>
      </c>
      <c r="H3321" t="s">
        <v>3170</v>
      </c>
      <c r="I3321" s="8">
        <v>46133</v>
      </c>
      <c r="J3321" t="s">
        <v>2659</v>
      </c>
      <c r="K3321" t="s">
        <v>2660</v>
      </c>
      <c r="L3321" s="13">
        <v>3500</v>
      </c>
      <c r="M3321" t="s">
        <v>2661</v>
      </c>
    </row>
    <row r="3322" spans="1:13">
      <c r="A3322" t="s">
        <v>1462</v>
      </c>
      <c r="B3322" t="s">
        <v>272</v>
      </c>
      <c r="C3322" s="8">
        <v>45991</v>
      </c>
      <c r="D3322" t="s">
        <v>342</v>
      </c>
      <c r="E3322" t="s">
        <v>339</v>
      </c>
      <c r="F3322" s="12">
        <v>509097</v>
      </c>
      <c r="G3322" s="13">
        <v>50</v>
      </c>
      <c r="H3322" t="s">
        <v>3460</v>
      </c>
      <c r="I3322" s="8">
        <v>46021</v>
      </c>
      <c r="J3322" t="s">
        <v>2663</v>
      </c>
      <c r="K3322" t="s">
        <v>3630</v>
      </c>
      <c r="L3322" s="13">
        <v>1500</v>
      </c>
      <c r="M3322" t="s">
        <v>2661</v>
      </c>
    </row>
    <row r="3323" spans="1:13">
      <c r="A3323" t="s">
        <v>1463</v>
      </c>
      <c r="B3323" t="s">
        <v>94</v>
      </c>
      <c r="C3323" s="8">
        <v>45944</v>
      </c>
      <c r="D3323" t="s">
        <v>342</v>
      </c>
      <c r="E3323" t="s">
        <v>334</v>
      </c>
      <c r="F3323" s="12">
        <v>484796</v>
      </c>
      <c r="G3323" s="13">
        <v>48</v>
      </c>
      <c r="H3323" t="s">
        <v>2994</v>
      </c>
      <c r="I3323" s="8">
        <v>46107</v>
      </c>
      <c r="J3323" t="s">
        <v>2682</v>
      </c>
      <c r="K3323" t="s">
        <v>2683</v>
      </c>
      <c r="L3323" s="13">
        <v>6000</v>
      </c>
      <c r="M3323" t="s">
        <v>2661</v>
      </c>
    </row>
    <row r="3324" spans="1:13">
      <c r="A3324" t="s">
        <v>1464</v>
      </c>
      <c r="B3324" t="s">
        <v>118</v>
      </c>
      <c r="C3324" s="8">
        <v>46234</v>
      </c>
      <c r="D3324" t="s">
        <v>344</v>
      </c>
      <c r="E3324" t="s">
        <v>325</v>
      </c>
      <c r="F3324" s="12">
        <v>459530</v>
      </c>
      <c r="G3324" s="13">
        <v>45</v>
      </c>
      <c r="H3324" t="s">
        <v>2709</v>
      </c>
      <c r="I3324" s="8">
        <v>46119</v>
      </c>
      <c r="J3324" t="s">
        <v>2685</v>
      </c>
      <c r="K3324" t="s">
        <v>2686</v>
      </c>
      <c r="L3324" s="13">
        <v>5000</v>
      </c>
      <c r="M3324" t="s">
        <v>2661</v>
      </c>
    </row>
    <row r="3325" spans="1:13">
      <c r="A3325" t="s">
        <v>1464</v>
      </c>
      <c r="B3325" t="s">
        <v>118</v>
      </c>
      <c r="C3325" s="8">
        <v>46234</v>
      </c>
      <c r="D3325" t="s">
        <v>344</v>
      </c>
      <c r="E3325" t="s">
        <v>325</v>
      </c>
      <c r="F3325" s="12">
        <v>459530</v>
      </c>
      <c r="G3325" s="13">
        <v>45</v>
      </c>
      <c r="H3325" t="s">
        <v>2853</v>
      </c>
      <c r="I3325" s="8">
        <v>46269</v>
      </c>
      <c r="J3325" t="s">
        <v>2688</v>
      </c>
      <c r="K3325" t="s">
        <v>2689</v>
      </c>
      <c r="L3325" s="13">
        <v>8000</v>
      </c>
      <c r="M3325" t="s">
        <v>2661</v>
      </c>
    </row>
    <row r="3326" spans="1:13">
      <c r="A3326" t="s">
        <v>1464</v>
      </c>
      <c r="B3326" t="s">
        <v>118</v>
      </c>
      <c r="C3326" s="8">
        <v>46234</v>
      </c>
      <c r="D3326" t="s">
        <v>344</v>
      </c>
      <c r="E3326" t="s">
        <v>325</v>
      </c>
      <c r="F3326" s="12">
        <v>459530</v>
      </c>
      <c r="G3326" s="13">
        <v>45</v>
      </c>
      <c r="H3326" t="s">
        <v>2932</v>
      </c>
      <c r="I3326" s="8">
        <v>45982</v>
      </c>
      <c r="J3326" t="s">
        <v>2685</v>
      </c>
      <c r="K3326" t="s">
        <v>2686</v>
      </c>
      <c r="L3326" s="13">
        <v>5000</v>
      </c>
      <c r="M3326" t="s">
        <v>2661</v>
      </c>
    </row>
    <row r="3327" spans="1:13">
      <c r="A3327" t="s">
        <v>1464</v>
      </c>
      <c r="B3327" t="s">
        <v>118</v>
      </c>
      <c r="C3327" s="8">
        <v>46234</v>
      </c>
      <c r="D3327" t="s">
        <v>344</v>
      </c>
      <c r="E3327" t="s">
        <v>325</v>
      </c>
      <c r="F3327" s="12">
        <v>459530</v>
      </c>
      <c r="G3327" s="13">
        <v>45</v>
      </c>
      <c r="H3327" t="s">
        <v>3562</v>
      </c>
      <c r="I3327" s="8">
        <v>46251</v>
      </c>
      <c r="J3327" t="s">
        <v>2692</v>
      </c>
      <c r="K3327" t="s">
        <v>2693</v>
      </c>
      <c r="L3327" s="13">
        <v>10000</v>
      </c>
      <c r="M3327" t="s">
        <v>2661</v>
      </c>
    </row>
    <row r="3328" spans="1:13">
      <c r="A3328" t="s">
        <v>1465</v>
      </c>
      <c r="B3328" t="s">
        <v>245</v>
      </c>
      <c r="C3328" s="8">
        <v>45943</v>
      </c>
      <c r="D3328" t="s">
        <v>321</v>
      </c>
      <c r="E3328" t="s">
        <v>339</v>
      </c>
      <c r="F3328" s="12">
        <v>222595</v>
      </c>
      <c r="G3328" s="13">
        <v>22</v>
      </c>
      <c r="H3328" t="s">
        <v>2927</v>
      </c>
      <c r="I3328" s="8">
        <v>46075</v>
      </c>
      <c r="J3328" t="s">
        <v>2685</v>
      </c>
      <c r="K3328" t="s">
        <v>2686</v>
      </c>
      <c r="L3328" s="13">
        <v>5000</v>
      </c>
      <c r="M3328" t="s">
        <v>2661</v>
      </c>
    </row>
    <row r="3329" spans="1:13">
      <c r="A3329" t="s">
        <v>1465</v>
      </c>
      <c r="B3329" t="s">
        <v>245</v>
      </c>
      <c r="C3329" s="8">
        <v>45943</v>
      </c>
      <c r="D3329" t="s">
        <v>321</v>
      </c>
      <c r="E3329" t="s">
        <v>339</v>
      </c>
      <c r="F3329" s="12">
        <v>222595</v>
      </c>
      <c r="G3329" s="13">
        <v>22</v>
      </c>
      <c r="H3329" t="s">
        <v>3031</v>
      </c>
      <c r="I3329" s="8">
        <v>46124</v>
      </c>
      <c r="J3329" t="s">
        <v>2688</v>
      </c>
      <c r="K3329" t="s">
        <v>2689</v>
      </c>
      <c r="L3329" s="13">
        <v>8000</v>
      </c>
      <c r="M3329" t="s">
        <v>2676</v>
      </c>
    </row>
    <row r="3330" spans="1:13">
      <c r="A3330" t="s">
        <v>1465</v>
      </c>
      <c r="B3330" t="s">
        <v>245</v>
      </c>
      <c r="C3330" s="8">
        <v>45943</v>
      </c>
      <c r="D3330" t="s">
        <v>321</v>
      </c>
      <c r="E3330" t="s">
        <v>339</v>
      </c>
      <c r="F3330" s="12">
        <v>222595</v>
      </c>
      <c r="G3330" s="13">
        <v>22</v>
      </c>
      <c r="H3330" t="s">
        <v>3328</v>
      </c>
      <c r="I3330" s="8">
        <v>45934</v>
      </c>
      <c r="J3330" t="s">
        <v>2668</v>
      </c>
      <c r="K3330" t="s">
        <v>2669</v>
      </c>
      <c r="L3330" s="13">
        <v>4000</v>
      </c>
      <c r="M3330" t="s">
        <v>2661</v>
      </c>
    </row>
    <row r="3331" spans="1:13">
      <c r="A3331" t="s">
        <v>1465</v>
      </c>
      <c r="B3331" t="s">
        <v>245</v>
      </c>
      <c r="C3331" s="8">
        <v>45943</v>
      </c>
      <c r="D3331" t="s">
        <v>321</v>
      </c>
      <c r="E3331" t="s">
        <v>339</v>
      </c>
      <c r="F3331" s="12">
        <v>222595</v>
      </c>
      <c r="G3331" s="13">
        <v>22</v>
      </c>
      <c r="H3331" t="s">
        <v>3343</v>
      </c>
      <c r="I3331" s="8">
        <v>46021</v>
      </c>
      <c r="J3331" t="s">
        <v>2674</v>
      </c>
      <c r="K3331" t="s">
        <v>2675</v>
      </c>
      <c r="L3331" s="13">
        <v>20000</v>
      </c>
      <c r="M3331" t="s">
        <v>2661</v>
      </c>
    </row>
    <row r="3332" spans="1:13">
      <c r="A3332" t="s">
        <v>1466</v>
      </c>
      <c r="B3332" t="s">
        <v>53</v>
      </c>
      <c r="C3332" s="8">
        <v>46156</v>
      </c>
      <c r="D3332" t="s">
        <v>332</v>
      </c>
      <c r="E3332" t="s">
        <v>334</v>
      </c>
      <c r="F3332" s="12">
        <v>127540</v>
      </c>
      <c r="G3332" s="13">
        <v>12</v>
      </c>
      <c r="H3332" t="s">
        <v>3078</v>
      </c>
      <c r="I3332" s="8">
        <v>46177</v>
      </c>
      <c r="J3332" t="s">
        <v>2688</v>
      </c>
      <c r="K3332" t="s">
        <v>2689</v>
      </c>
      <c r="L3332" s="13">
        <v>8000</v>
      </c>
      <c r="M3332" t="s">
        <v>2676</v>
      </c>
    </row>
    <row r="3333" spans="1:13">
      <c r="A3333" t="s">
        <v>1466</v>
      </c>
      <c r="B3333" t="s">
        <v>53</v>
      </c>
      <c r="C3333" s="8">
        <v>46156</v>
      </c>
      <c r="D3333" t="s">
        <v>332</v>
      </c>
      <c r="E3333" t="s">
        <v>334</v>
      </c>
      <c r="F3333" s="12">
        <v>127540</v>
      </c>
      <c r="G3333" s="13">
        <v>12</v>
      </c>
      <c r="H3333" t="s">
        <v>3134</v>
      </c>
      <c r="I3333" s="8">
        <v>46053</v>
      </c>
      <c r="J3333" t="s">
        <v>2688</v>
      </c>
      <c r="K3333" t="s">
        <v>2689</v>
      </c>
      <c r="L3333" s="13">
        <v>8000</v>
      </c>
      <c r="M3333" t="s">
        <v>2676</v>
      </c>
    </row>
    <row r="3334" spans="1:13">
      <c r="A3334" t="s">
        <v>1466</v>
      </c>
      <c r="B3334" t="s">
        <v>53</v>
      </c>
      <c r="C3334" s="8">
        <v>46156</v>
      </c>
      <c r="D3334" t="s">
        <v>332</v>
      </c>
      <c r="E3334" t="s">
        <v>334</v>
      </c>
      <c r="F3334" s="12">
        <v>127540</v>
      </c>
      <c r="G3334" s="13">
        <v>12</v>
      </c>
      <c r="H3334" t="s">
        <v>3436</v>
      </c>
      <c r="I3334" s="8">
        <v>46002</v>
      </c>
      <c r="J3334" t="s">
        <v>2685</v>
      </c>
      <c r="K3334" t="s">
        <v>2686</v>
      </c>
      <c r="L3334" s="13">
        <v>5000</v>
      </c>
      <c r="M3334" t="s">
        <v>2676</v>
      </c>
    </row>
    <row r="3335" spans="1:13">
      <c r="A3335" t="s">
        <v>1467</v>
      </c>
      <c r="B3335" t="s">
        <v>65</v>
      </c>
      <c r="C3335" s="8">
        <v>46205</v>
      </c>
      <c r="D3335" t="s">
        <v>344</v>
      </c>
      <c r="E3335" t="s">
        <v>322</v>
      </c>
      <c r="F3335" s="12">
        <v>125085</v>
      </c>
      <c r="G3335" s="13">
        <v>12</v>
      </c>
      <c r="H3335" t="s">
        <v>2801</v>
      </c>
      <c r="I3335" s="8">
        <v>46162</v>
      </c>
      <c r="J3335" t="s">
        <v>2688</v>
      </c>
      <c r="K3335" t="s">
        <v>2689</v>
      </c>
      <c r="L3335" s="13">
        <v>8000</v>
      </c>
      <c r="M3335" t="s">
        <v>2661</v>
      </c>
    </row>
    <row r="3336" spans="1:13">
      <c r="A3336" t="s">
        <v>1467</v>
      </c>
      <c r="B3336" t="s">
        <v>65</v>
      </c>
      <c r="C3336" s="8">
        <v>46205</v>
      </c>
      <c r="D3336" t="s">
        <v>344</v>
      </c>
      <c r="E3336" t="s">
        <v>322</v>
      </c>
      <c r="F3336" s="12">
        <v>125085</v>
      </c>
      <c r="G3336" s="13">
        <v>12</v>
      </c>
      <c r="H3336" t="s">
        <v>2826</v>
      </c>
      <c r="I3336" s="8">
        <v>46147</v>
      </c>
      <c r="J3336" t="s">
        <v>2674</v>
      </c>
      <c r="K3336" t="s">
        <v>2675</v>
      </c>
      <c r="L3336" s="13">
        <v>20000</v>
      </c>
      <c r="M3336" t="s">
        <v>2661</v>
      </c>
    </row>
    <row r="3337" spans="1:13">
      <c r="A3337" t="s">
        <v>1467</v>
      </c>
      <c r="B3337" t="s">
        <v>65</v>
      </c>
      <c r="C3337" s="8">
        <v>46205</v>
      </c>
      <c r="D3337" t="s">
        <v>344</v>
      </c>
      <c r="E3337" t="s">
        <v>322</v>
      </c>
      <c r="F3337" s="12">
        <v>125085</v>
      </c>
      <c r="G3337" s="13">
        <v>12</v>
      </c>
      <c r="H3337" t="s">
        <v>3124</v>
      </c>
      <c r="I3337" s="8">
        <v>46278</v>
      </c>
      <c r="J3337" t="s">
        <v>2674</v>
      </c>
      <c r="K3337" t="s">
        <v>2675</v>
      </c>
      <c r="L3337" s="13">
        <v>20000</v>
      </c>
      <c r="M3337" t="s">
        <v>2661</v>
      </c>
    </row>
    <row r="3338" spans="1:13">
      <c r="A3338" t="s">
        <v>1467</v>
      </c>
      <c r="B3338" t="s">
        <v>65</v>
      </c>
      <c r="C3338" s="8">
        <v>46205</v>
      </c>
      <c r="D3338" t="s">
        <v>344</v>
      </c>
      <c r="E3338" t="s">
        <v>322</v>
      </c>
      <c r="F3338" s="12">
        <v>125085</v>
      </c>
      <c r="G3338" s="13">
        <v>12</v>
      </c>
      <c r="H3338" t="s">
        <v>3167</v>
      </c>
      <c r="I3338" s="8">
        <v>46013</v>
      </c>
      <c r="J3338" t="s">
        <v>2685</v>
      </c>
      <c r="K3338" t="s">
        <v>2686</v>
      </c>
      <c r="L3338" s="13">
        <v>5000</v>
      </c>
      <c r="M3338" t="s">
        <v>2676</v>
      </c>
    </row>
    <row r="3339" spans="1:13">
      <c r="A3339" t="s">
        <v>1467</v>
      </c>
      <c r="B3339" t="s">
        <v>65</v>
      </c>
      <c r="C3339" s="8">
        <v>46205</v>
      </c>
      <c r="D3339" t="s">
        <v>344</v>
      </c>
      <c r="E3339" t="s">
        <v>322</v>
      </c>
      <c r="F3339" s="12">
        <v>125085</v>
      </c>
      <c r="G3339" s="13">
        <v>12</v>
      </c>
      <c r="H3339" t="s">
        <v>3344</v>
      </c>
      <c r="I3339" s="8">
        <v>45982</v>
      </c>
      <c r="J3339" t="s">
        <v>2668</v>
      </c>
      <c r="K3339" t="s">
        <v>2669</v>
      </c>
      <c r="L3339" s="13">
        <v>4000</v>
      </c>
      <c r="M3339" t="s">
        <v>2661</v>
      </c>
    </row>
    <row r="3340" spans="1:13">
      <c r="A3340" t="s">
        <v>1468</v>
      </c>
      <c r="B3340" t="s">
        <v>180</v>
      </c>
      <c r="C3340" s="8">
        <v>46265</v>
      </c>
      <c r="D3340" t="s">
        <v>332</v>
      </c>
      <c r="E3340" t="s">
        <v>334</v>
      </c>
      <c r="F3340" s="12">
        <v>177574</v>
      </c>
      <c r="G3340" s="13">
        <v>17</v>
      </c>
      <c r="H3340" t="s">
        <v>3461</v>
      </c>
      <c r="I3340" s="8">
        <v>46283</v>
      </c>
      <c r="J3340" t="s">
        <v>2682</v>
      </c>
      <c r="K3340" t="s">
        <v>2683</v>
      </c>
      <c r="L3340" s="13">
        <v>6000</v>
      </c>
      <c r="M3340" t="s">
        <v>2676</v>
      </c>
    </row>
    <row r="3341" spans="1:13">
      <c r="A3341" t="s">
        <v>1469</v>
      </c>
      <c r="B3341" t="s">
        <v>224</v>
      </c>
      <c r="C3341" s="8">
        <v>46096</v>
      </c>
      <c r="D3341" t="s">
        <v>342</v>
      </c>
      <c r="E3341" t="s">
        <v>322</v>
      </c>
      <c r="F3341" s="12">
        <v>199081</v>
      </c>
      <c r="G3341" s="13">
        <v>19</v>
      </c>
      <c r="H3341" t="s">
        <v>2735</v>
      </c>
      <c r="I3341" s="8">
        <v>45968</v>
      </c>
      <c r="J3341" t="s">
        <v>2682</v>
      </c>
      <c r="K3341" t="s">
        <v>2683</v>
      </c>
      <c r="L3341" s="13">
        <v>6000</v>
      </c>
      <c r="M3341" t="s">
        <v>2661</v>
      </c>
    </row>
    <row r="3342" spans="1:13">
      <c r="A3342" t="s">
        <v>1469</v>
      </c>
      <c r="B3342" t="s">
        <v>224</v>
      </c>
      <c r="C3342" s="8">
        <v>46096</v>
      </c>
      <c r="D3342" t="s">
        <v>342</v>
      </c>
      <c r="E3342" t="s">
        <v>322</v>
      </c>
      <c r="F3342" s="12">
        <v>199081</v>
      </c>
      <c r="G3342" s="13">
        <v>19</v>
      </c>
      <c r="H3342" t="s">
        <v>3406</v>
      </c>
      <c r="I3342" s="8">
        <v>46193</v>
      </c>
      <c r="J3342" t="s">
        <v>2682</v>
      </c>
      <c r="K3342" t="s">
        <v>2683</v>
      </c>
      <c r="L3342" s="13">
        <v>6000</v>
      </c>
      <c r="M3342" t="s">
        <v>2676</v>
      </c>
    </row>
    <row r="3343" spans="1:13">
      <c r="A3343" t="s">
        <v>1469</v>
      </c>
      <c r="B3343" t="s">
        <v>224</v>
      </c>
      <c r="C3343" s="8">
        <v>46096</v>
      </c>
      <c r="D3343" t="s">
        <v>342</v>
      </c>
      <c r="E3343" t="s">
        <v>322</v>
      </c>
      <c r="F3343" s="12">
        <v>199081</v>
      </c>
      <c r="G3343" s="13">
        <v>19</v>
      </c>
      <c r="H3343" t="s">
        <v>3410</v>
      </c>
      <c r="I3343" s="8">
        <v>45967</v>
      </c>
      <c r="J3343" t="s">
        <v>2692</v>
      </c>
      <c r="K3343" t="s">
        <v>2693</v>
      </c>
      <c r="L3343" s="13">
        <v>10000</v>
      </c>
      <c r="M3343" t="s">
        <v>2661</v>
      </c>
    </row>
    <row r="3344" spans="1:13">
      <c r="A3344" t="s">
        <v>1471</v>
      </c>
      <c r="B3344" t="s">
        <v>64</v>
      </c>
      <c r="C3344" s="8">
        <v>46145</v>
      </c>
      <c r="D3344" t="s">
        <v>330</v>
      </c>
      <c r="E3344" t="s">
        <v>328</v>
      </c>
      <c r="F3344" s="12">
        <v>157585</v>
      </c>
      <c r="G3344" s="13">
        <v>15</v>
      </c>
      <c r="H3344" t="s">
        <v>2733</v>
      </c>
      <c r="I3344" s="8">
        <v>46127</v>
      </c>
      <c r="J3344" t="s">
        <v>2674</v>
      </c>
      <c r="K3344" t="s">
        <v>2675</v>
      </c>
      <c r="L3344" s="13">
        <v>20000</v>
      </c>
      <c r="M3344" t="s">
        <v>2661</v>
      </c>
    </row>
    <row r="3345" spans="1:13">
      <c r="A3345" t="s">
        <v>1471</v>
      </c>
      <c r="B3345" t="s">
        <v>64</v>
      </c>
      <c r="C3345" s="8">
        <v>46145</v>
      </c>
      <c r="D3345" t="s">
        <v>330</v>
      </c>
      <c r="E3345" t="s">
        <v>328</v>
      </c>
      <c r="F3345" s="12">
        <v>157585</v>
      </c>
      <c r="G3345" s="13">
        <v>15</v>
      </c>
      <c r="H3345" t="s">
        <v>2752</v>
      </c>
      <c r="I3345" s="8">
        <v>45976</v>
      </c>
      <c r="J3345" t="s">
        <v>2668</v>
      </c>
      <c r="K3345" t="s">
        <v>2669</v>
      </c>
      <c r="L3345" s="13">
        <v>4000</v>
      </c>
      <c r="M3345" t="s">
        <v>2661</v>
      </c>
    </row>
    <row r="3346" spans="1:13">
      <c r="A3346" t="s">
        <v>1471</v>
      </c>
      <c r="B3346" t="s">
        <v>64</v>
      </c>
      <c r="C3346" s="8">
        <v>46145</v>
      </c>
      <c r="D3346" t="s">
        <v>330</v>
      </c>
      <c r="E3346" t="s">
        <v>328</v>
      </c>
      <c r="F3346" s="12">
        <v>157585</v>
      </c>
      <c r="G3346" s="13">
        <v>15</v>
      </c>
      <c r="H3346" t="s">
        <v>3108</v>
      </c>
      <c r="I3346" s="8">
        <v>46158</v>
      </c>
      <c r="J3346" t="s">
        <v>2692</v>
      </c>
      <c r="K3346" t="s">
        <v>2693</v>
      </c>
      <c r="L3346" s="13">
        <v>10000</v>
      </c>
      <c r="M3346" t="s">
        <v>2661</v>
      </c>
    </row>
    <row r="3347" spans="1:13">
      <c r="A3347" t="s">
        <v>1471</v>
      </c>
      <c r="B3347" t="s">
        <v>64</v>
      </c>
      <c r="C3347" s="8">
        <v>46145</v>
      </c>
      <c r="D3347" t="s">
        <v>330</v>
      </c>
      <c r="E3347" t="s">
        <v>328</v>
      </c>
      <c r="F3347" s="12">
        <v>157585</v>
      </c>
      <c r="G3347" s="13">
        <v>15</v>
      </c>
      <c r="H3347" t="s">
        <v>3187</v>
      </c>
      <c r="I3347" s="8">
        <v>46275</v>
      </c>
      <c r="J3347" t="s">
        <v>2659</v>
      </c>
      <c r="K3347" t="s">
        <v>2660</v>
      </c>
      <c r="L3347" s="13">
        <v>3500</v>
      </c>
      <c r="M3347" t="s">
        <v>2661</v>
      </c>
    </row>
    <row r="3348" spans="1:13">
      <c r="A3348" t="s">
        <v>1472</v>
      </c>
      <c r="B3348" t="s">
        <v>184</v>
      </c>
      <c r="C3348" s="8">
        <v>46043</v>
      </c>
      <c r="D3348" t="s">
        <v>332</v>
      </c>
      <c r="E3348" t="s">
        <v>339</v>
      </c>
      <c r="F3348" s="12">
        <v>1178406</v>
      </c>
      <c r="G3348" s="13">
        <v>117</v>
      </c>
      <c r="H3348" t="s">
        <v>3030</v>
      </c>
      <c r="I3348" s="8">
        <v>46275</v>
      </c>
      <c r="J3348" t="s">
        <v>2692</v>
      </c>
      <c r="K3348" t="s">
        <v>2693</v>
      </c>
      <c r="L3348" s="13">
        <v>10000</v>
      </c>
      <c r="M3348" t="s">
        <v>2661</v>
      </c>
    </row>
    <row r="3349" spans="1:13">
      <c r="A3349" t="s">
        <v>1472</v>
      </c>
      <c r="B3349" t="s">
        <v>184</v>
      </c>
      <c r="C3349" s="8">
        <v>46043</v>
      </c>
      <c r="D3349" t="s">
        <v>332</v>
      </c>
      <c r="E3349" t="s">
        <v>339</v>
      </c>
      <c r="F3349" s="12">
        <v>1178406</v>
      </c>
      <c r="G3349" s="13">
        <v>117</v>
      </c>
      <c r="H3349" t="s">
        <v>3284</v>
      </c>
      <c r="I3349" s="8">
        <v>46235</v>
      </c>
      <c r="J3349" t="s">
        <v>2688</v>
      </c>
      <c r="K3349" t="s">
        <v>2689</v>
      </c>
      <c r="L3349" s="13">
        <v>8000</v>
      </c>
      <c r="M3349" t="s">
        <v>2661</v>
      </c>
    </row>
    <row r="3350" spans="1:13">
      <c r="A3350" t="s">
        <v>1472</v>
      </c>
      <c r="B3350" t="s">
        <v>184</v>
      </c>
      <c r="C3350" s="8">
        <v>46043</v>
      </c>
      <c r="D3350" t="s">
        <v>332</v>
      </c>
      <c r="E3350" t="s">
        <v>339</v>
      </c>
      <c r="F3350" s="12">
        <v>1178406</v>
      </c>
      <c r="G3350" s="13">
        <v>117</v>
      </c>
      <c r="H3350" t="s">
        <v>3311</v>
      </c>
      <c r="I3350" s="8">
        <v>46027</v>
      </c>
      <c r="J3350" t="s">
        <v>2668</v>
      </c>
      <c r="K3350" t="s">
        <v>2669</v>
      </c>
      <c r="L3350" s="13">
        <v>4000</v>
      </c>
      <c r="M3350" t="s">
        <v>2661</v>
      </c>
    </row>
    <row r="3351" spans="1:13">
      <c r="A3351" t="s">
        <v>1472</v>
      </c>
      <c r="B3351" t="s">
        <v>184</v>
      </c>
      <c r="C3351" s="8">
        <v>46043</v>
      </c>
      <c r="D3351" t="s">
        <v>332</v>
      </c>
      <c r="E3351" t="s">
        <v>339</v>
      </c>
      <c r="F3351" s="12">
        <v>1178406</v>
      </c>
      <c r="G3351" s="13">
        <v>117</v>
      </c>
      <c r="H3351" t="s">
        <v>3417</v>
      </c>
      <c r="I3351" s="8">
        <v>46001</v>
      </c>
      <c r="J3351" t="s">
        <v>2663</v>
      </c>
      <c r="K3351" t="s">
        <v>3630</v>
      </c>
      <c r="L3351" s="13">
        <v>1500</v>
      </c>
      <c r="M3351" t="s">
        <v>2676</v>
      </c>
    </row>
    <row r="3352" spans="1:13">
      <c r="A3352" t="s">
        <v>1472</v>
      </c>
      <c r="B3352" t="s">
        <v>184</v>
      </c>
      <c r="C3352" s="8">
        <v>46043</v>
      </c>
      <c r="D3352" t="s">
        <v>332</v>
      </c>
      <c r="E3352" t="s">
        <v>339</v>
      </c>
      <c r="F3352" s="12">
        <v>1178406</v>
      </c>
      <c r="G3352" s="13">
        <v>117</v>
      </c>
      <c r="H3352" t="s">
        <v>3456</v>
      </c>
      <c r="I3352" s="8">
        <v>46099</v>
      </c>
      <c r="J3352" t="s">
        <v>2682</v>
      </c>
      <c r="K3352" t="s">
        <v>2683</v>
      </c>
      <c r="L3352" s="13">
        <v>6000</v>
      </c>
      <c r="M3352" t="s">
        <v>2676</v>
      </c>
    </row>
    <row r="3353" spans="1:13">
      <c r="A3353" t="s">
        <v>1474</v>
      </c>
      <c r="B3353" t="s">
        <v>181</v>
      </c>
      <c r="C3353" s="8">
        <v>45934</v>
      </c>
      <c r="D3353" t="s">
        <v>350</v>
      </c>
      <c r="E3353" t="s">
        <v>325</v>
      </c>
      <c r="F3353" s="12">
        <v>76905</v>
      </c>
      <c r="G3353" s="13">
        <v>7</v>
      </c>
      <c r="H3353" t="s">
        <v>3293</v>
      </c>
      <c r="I3353" s="8">
        <v>45961</v>
      </c>
      <c r="J3353" t="s">
        <v>2659</v>
      </c>
      <c r="K3353" t="s">
        <v>2660</v>
      </c>
      <c r="L3353" s="13">
        <v>3500</v>
      </c>
      <c r="M3353" t="s">
        <v>2661</v>
      </c>
    </row>
    <row r="3354" spans="1:13">
      <c r="A3354" t="s">
        <v>1475</v>
      </c>
      <c r="B3354" t="s">
        <v>310</v>
      </c>
      <c r="C3354" s="8">
        <v>46004</v>
      </c>
      <c r="D3354" t="s">
        <v>342</v>
      </c>
      <c r="E3354" t="s">
        <v>328</v>
      </c>
      <c r="F3354" s="12">
        <v>370056</v>
      </c>
      <c r="G3354" s="13">
        <v>37</v>
      </c>
      <c r="H3354" t="s">
        <v>2712</v>
      </c>
      <c r="I3354" s="8">
        <v>46153</v>
      </c>
      <c r="J3354" t="s">
        <v>2682</v>
      </c>
      <c r="K3354" t="s">
        <v>2683</v>
      </c>
      <c r="L3354" s="13">
        <v>6000</v>
      </c>
      <c r="M3354" t="s">
        <v>2661</v>
      </c>
    </row>
    <row r="3355" spans="1:13">
      <c r="A3355" t="s">
        <v>1475</v>
      </c>
      <c r="B3355" t="s">
        <v>310</v>
      </c>
      <c r="C3355" s="8">
        <v>46004</v>
      </c>
      <c r="D3355" t="s">
        <v>342</v>
      </c>
      <c r="E3355" t="s">
        <v>328</v>
      </c>
      <c r="F3355" s="12">
        <v>370056</v>
      </c>
      <c r="G3355" s="13">
        <v>37</v>
      </c>
      <c r="H3355" t="s">
        <v>2895</v>
      </c>
      <c r="I3355" s="8">
        <v>45957</v>
      </c>
      <c r="J3355" t="s">
        <v>2688</v>
      </c>
      <c r="K3355" t="s">
        <v>2689</v>
      </c>
      <c r="L3355" s="13">
        <v>8000</v>
      </c>
      <c r="M3355" t="s">
        <v>2661</v>
      </c>
    </row>
    <row r="3356" spans="1:13">
      <c r="A3356" t="s">
        <v>1475</v>
      </c>
      <c r="B3356" t="s">
        <v>310</v>
      </c>
      <c r="C3356" s="8">
        <v>46004</v>
      </c>
      <c r="D3356" t="s">
        <v>342</v>
      </c>
      <c r="E3356" t="s">
        <v>328</v>
      </c>
      <c r="F3356" s="12">
        <v>370056</v>
      </c>
      <c r="G3356" s="13">
        <v>37</v>
      </c>
      <c r="H3356" t="s">
        <v>2976</v>
      </c>
      <c r="I3356" s="8">
        <v>46146</v>
      </c>
      <c r="J3356" t="s">
        <v>2685</v>
      </c>
      <c r="K3356" t="s">
        <v>2686</v>
      </c>
      <c r="L3356" s="13">
        <v>5000</v>
      </c>
      <c r="M3356" t="s">
        <v>2661</v>
      </c>
    </row>
    <row r="3357" spans="1:13">
      <c r="A3357" t="s">
        <v>1475</v>
      </c>
      <c r="B3357" t="s">
        <v>310</v>
      </c>
      <c r="C3357" s="8">
        <v>46004</v>
      </c>
      <c r="D3357" t="s">
        <v>342</v>
      </c>
      <c r="E3357" t="s">
        <v>328</v>
      </c>
      <c r="F3357" s="12">
        <v>370056</v>
      </c>
      <c r="G3357" s="13">
        <v>37</v>
      </c>
      <c r="H3357" t="s">
        <v>3295</v>
      </c>
      <c r="I3357" s="8">
        <v>46154</v>
      </c>
      <c r="J3357" t="s">
        <v>2668</v>
      </c>
      <c r="K3357" t="s">
        <v>2669</v>
      </c>
      <c r="L3357" s="13">
        <v>4000</v>
      </c>
      <c r="M3357" t="s">
        <v>2676</v>
      </c>
    </row>
    <row r="3358" spans="1:13">
      <c r="A3358" t="s">
        <v>1475</v>
      </c>
      <c r="B3358" t="s">
        <v>310</v>
      </c>
      <c r="C3358" s="8">
        <v>46004</v>
      </c>
      <c r="D3358" t="s">
        <v>342</v>
      </c>
      <c r="E3358" t="s">
        <v>328</v>
      </c>
      <c r="F3358" s="12">
        <v>370056</v>
      </c>
      <c r="G3358" s="13">
        <v>37</v>
      </c>
      <c r="H3358" t="s">
        <v>3480</v>
      </c>
      <c r="I3358" s="8">
        <v>46012</v>
      </c>
      <c r="J3358" t="s">
        <v>2685</v>
      </c>
      <c r="K3358" t="s">
        <v>2686</v>
      </c>
      <c r="L3358" s="13">
        <v>5000</v>
      </c>
      <c r="M3358" t="s">
        <v>2676</v>
      </c>
    </row>
    <row r="3359" spans="1:13">
      <c r="A3359" t="s">
        <v>1477</v>
      </c>
      <c r="B3359" t="s">
        <v>247</v>
      </c>
      <c r="C3359" s="8">
        <v>46274</v>
      </c>
      <c r="D3359" t="s">
        <v>342</v>
      </c>
      <c r="E3359" t="s">
        <v>334</v>
      </c>
      <c r="F3359" s="12">
        <v>229022</v>
      </c>
      <c r="G3359" s="13">
        <v>22</v>
      </c>
      <c r="H3359" t="s">
        <v>3106</v>
      </c>
      <c r="I3359" s="8">
        <v>46071</v>
      </c>
      <c r="J3359" t="s">
        <v>2668</v>
      </c>
      <c r="K3359" t="s">
        <v>2669</v>
      </c>
      <c r="L3359" s="13">
        <v>4000</v>
      </c>
      <c r="M3359" t="s">
        <v>2661</v>
      </c>
    </row>
    <row r="3360" spans="1:13">
      <c r="A3360" t="s">
        <v>1478</v>
      </c>
      <c r="B3360" t="s">
        <v>102</v>
      </c>
      <c r="C3360" s="8">
        <v>46053</v>
      </c>
      <c r="D3360" t="s">
        <v>324</v>
      </c>
      <c r="E3360" t="s">
        <v>322</v>
      </c>
      <c r="F3360" s="12">
        <v>144942</v>
      </c>
      <c r="G3360" s="13">
        <v>14</v>
      </c>
      <c r="H3360" t="s">
        <v>2797</v>
      </c>
      <c r="I3360" s="8">
        <v>46163</v>
      </c>
      <c r="J3360" t="s">
        <v>2665</v>
      </c>
      <c r="K3360" t="s">
        <v>2666</v>
      </c>
      <c r="L3360" s="13">
        <v>2500</v>
      </c>
      <c r="M3360" t="s">
        <v>2661</v>
      </c>
    </row>
    <row r="3361" spans="1:13">
      <c r="A3361" t="s">
        <v>1478</v>
      </c>
      <c r="B3361" t="s">
        <v>102</v>
      </c>
      <c r="C3361" s="8">
        <v>46053</v>
      </c>
      <c r="D3361" t="s">
        <v>324</v>
      </c>
      <c r="E3361" t="s">
        <v>322</v>
      </c>
      <c r="F3361" s="12">
        <v>144942</v>
      </c>
      <c r="G3361" s="13">
        <v>14</v>
      </c>
      <c r="H3361" t="s">
        <v>3355</v>
      </c>
      <c r="I3361" s="8">
        <v>46029</v>
      </c>
      <c r="J3361" t="s">
        <v>2659</v>
      </c>
      <c r="K3361" t="s">
        <v>2660</v>
      </c>
      <c r="L3361" s="13">
        <v>3500</v>
      </c>
      <c r="M3361" t="s">
        <v>2676</v>
      </c>
    </row>
    <row r="3362" spans="1:13">
      <c r="A3362" t="s">
        <v>1478</v>
      </c>
      <c r="B3362" t="s">
        <v>102</v>
      </c>
      <c r="C3362" s="8">
        <v>46053</v>
      </c>
      <c r="D3362" t="s">
        <v>324</v>
      </c>
      <c r="E3362" t="s">
        <v>322</v>
      </c>
      <c r="F3362" s="12">
        <v>144942</v>
      </c>
      <c r="G3362" s="13">
        <v>14</v>
      </c>
      <c r="H3362" t="s">
        <v>3360</v>
      </c>
      <c r="I3362" s="8">
        <v>46231</v>
      </c>
      <c r="J3362" t="s">
        <v>2674</v>
      </c>
      <c r="K3362" t="s">
        <v>2675</v>
      </c>
      <c r="L3362" s="13">
        <v>20000</v>
      </c>
      <c r="M3362" t="s">
        <v>2661</v>
      </c>
    </row>
    <row r="3363" spans="1:13">
      <c r="A3363" t="s">
        <v>1478</v>
      </c>
      <c r="B3363" t="s">
        <v>102</v>
      </c>
      <c r="C3363" s="8">
        <v>46053</v>
      </c>
      <c r="D3363" t="s">
        <v>324</v>
      </c>
      <c r="E3363" t="s">
        <v>322</v>
      </c>
      <c r="F3363" s="12">
        <v>144942</v>
      </c>
      <c r="G3363" s="13">
        <v>14</v>
      </c>
      <c r="H3363" t="s">
        <v>3439</v>
      </c>
      <c r="I3363" s="8">
        <v>46268</v>
      </c>
      <c r="J3363" t="s">
        <v>2663</v>
      </c>
      <c r="K3363" t="s">
        <v>3630</v>
      </c>
      <c r="L3363" s="13">
        <v>1500</v>
      </c>
      <c r="M3363" t="s">
        <v>2661</v>
      </c>
    </row>
    <row r="3364" spans="1:13">
      <c r="A3364" t="s">
        <v>1478</v>
      </c>
      <c r="B3364" t="s">
        <v>102</v>
      </c>
      <c r="C3364" s="8">
        <v>46053</v>
      </c>
      <c r="D3364" t="s">
        <v>324</v>
      </c>
      <c r="E3364" t="s">
        <v>322</v>
      </c>
      <c r="F3364" s="12">
        <v>144942</v>
      </c>
      <c r="G3364" s="13">
        <v>14</v>
      </c>
      <c r="H3364" t="s">
        <v>3565</v>
      </c>
      <c r="I3364" s="8">
        <v>46150</v>
      </c>
      <c r="J3364" t="s">
        <v>2674</v>
      </c>
      <c r="K3364" t="s">
        <v>2675</v>
      </c>
      <c r="L3364" s="13">
        <v>20000</v>
      </c>
      <c r="M3364" t="s">
        <v>2661</v>
      </c>
    </row>
    <row r="3365" spans="1:13">
      <c r="A3365" t="s">
        <v>1480</v>
      </c>
      <c r="B3365" t="s">
        <v>93</v>
      </c>
      <c r="C3365" s="8">
        <v>45946</v>
      </c>
      <c r="D3365" t="s">
        <v>324</v>
      </c>
      <c r="E3365" t="s">
        <v>325</v>
      </c>
      <c r="F3365" s="12">
        <v>733902</v>
      </c>
      <c r="G3365" s="13">
        <v>73</v>
      </c>
      <c r="H3365" t="s">
        <v>2662</v>
      </c>
      <c r="I3365" s="8">
        <v>46253</v>
      </c>
      <c r="J3365" t="s">
        <v>2663</v>
      </c>
      <c r="K3365" t="s">
        <v>3630</v>
      </c>
      <c r="L3365" s="13">
        <v>1500</v>
      </c>
      <c r="M3365" t="s">
        <v>2661</v>
      </c>
    </row>
    <row r="3366" spans="1:13">
      <c r="A3366" t="s">
        <v>1480</v>
      </c>
      <c r="B3366" t="s">
        <v>93</v>
      </c>
      <c r="C3366" s="8">
        <v>45946</v>
      </c>
      <c r="D3366" t="s">
        <v>324</v>
      </c>
      <c r="E3366" t="s">
        <v>325</v>
      </c>
      <c r="F3366" s="12">
        <v>733902</v>
      </c>
      <c r="G3366" s="13">
        <v>73</v>
      </c>
      <c r="H3366" t="s">
        <v>2968</v>
      </c>
      <c r="I3366" s="8">
        <v>45934</v>
      </c>
      <c r="J3366" t="s">
        <v>2659</v>
      </c>
      <c r="K3366" t="s">
        <v>2660</v>
      </c>
      <c r="L3366" s="13">
        <v>3500</v>
      </c>
      <c r="M3366" t="s">
        <v>2661</v>
      </c>
    </row>
    <row r="3367" spans="1:13">
      <c r="A3367" t="s">
        <v>1480</v>
      </c>
      <c r="B3367" t="s">
        <v>93</v>
      </c>
      <c r="C3367" s="8">
        <v>45946</v>
      </c>
      <c r="D3367" t="s">
        <v>324</v>
      </c>
      <c r="E3367" t="s">
        <v>325</v>
      </c>
      <c r="F3367" s="12">
        <v>733902</v>
      </c>
      <c r="G3367" s="13">
        <v>73</v>
      </c>
      <c r="H3367" t="s">
        <v>3086</v>
      </c>
      <c r="I3367" s="8">
        <v>46007</v>
      </c>
      <c r="J3367" t="s">
        <v>2663</v>
      </c>
      <c r="K3367" t="s">
        <v>3630</v>
      </c>
      <c r="L3367" s="13">
        <v>1500</v>
      </c>
      <c r="M3367" t="s">
        <v>2661</v>
      </c>
    </row>
    <row r="3368" spans="1:13">
      <c r="A3368" t="s">
        <v>1480</v>
      </c>
      <c r="B3368" t="s">
        <v>93</v>
      </c>
      <c r="C3368" s="8">
        <v>45946</v>
      </c>
      <c r="D3368" t="s">
        <v>324</v>
      </c>
      <c r="E3368" t="s">
        <v>325</v>
      </c>
      <c r="F3368" s="12">
        <v>733902</v>
      </c>
      <c r="G3368" s="13">
        <v>73</v>
      </c>
      <c r="H3368" t="s">
        <v>3194</v>
      </c>
      <c r="I3368" s="8">
        <v>46275</v>
      </c>
      <c r="J3368" t="s">
        <v>2674</v>
      </c>
      <c r="K3368" t="s">
        <v>2675</v>
      </c>
      <c r="L3368" s="13">
        <v>20000</v>
      </c>
      <c r="M3368" t="s">
        <v>2661</v>
      </c>
    </row>
    <row r="3369" spans="1:13">
      <c r="A3369" t="s">
        <v>1480</v>
      </c>
      <c r="B3369" t="s">
        <v>93</v>
      </c>
      <c r="C3369" s="8">
        <v>45946</v>
      </c>
      <c r="D3369" t="s">
        <v>324</v>
      </c>
      <c r="E3369" t="s">
        <v>325</v>
      </c>
      <c r="F3369" s="12">
        <v>733902</v>
      </c>
      <c r="G3369" s="13">
        <v>73</v>
      </c>
      <c r="H3369" t="s">
        <v>3282</v>
      </c>
      <c r="I3369" s="8">
        <v>46029</v>
      </c>
      <c r="J3369" t="s">
        <v>2665</v>
      </c>
      <c r="K3369" t="s">
        <v>2666</v>
      </c>
      <c r="L3369" s="13">
        <v>2500</v>
      </c>
      <c r="M3369" t="s">
        <v>2661</v>
      </c>
    </row>
    <row r="3370" spans="1:13">
      <c r="A3370" t="s">
        <v>1480</v>
      </c>
      <c r="B3370" t="s">
        <v>93</v>
      </c>
      <c r="C3370" s="8">
        <v>45946</v>
      </c>
      <c r="D3370" t="s">
        <v>324</v>
      </c>
      <c r="E3370" t="s">
        <v>325</v>
      </c>
      <c r="F3370" s="12">
        <v>733902</v>
      </c>
      <c r="G3370" s="13">
        <v>73</v>
      </c>
      <c r="H3370" t="s">
        <v>3551</v>
      </c>
      <c r="I3370" s="8">
        <v>46033</v>
      </c>
      <c r="J3370" t="s">
        <v>2692</v>
      </c>
      <c r="K3370" t="s">
        <v>2693</v>
      </c>
      <c r="L3370" s="13">
        <v>10000</v>
      </c>
      <c r="M3370" t="s">
        <v>2661</v>
      </c>
    </row>
    <row r="3371" spans="1:13">
      <c r="A3371" t="s">
        <v>1481</v>
      </c>
      <c r="B3371" t="s">
        <v>167</v>
      </c>
      <c r="C3371" s="8">
        <v>46280</v>
      </c>
      <c r="D3371" t="s">
        <v>327</v>
      </c>
      <c r="E3371" t="s">
        <v>325</v>
      </c>
      <c r="F3371" s="12">
        <v>303866</v>
      </c>
      <c r="G3371" s="13">
        <v>30</v>
      </c>
      <c r="H3371" t="s">
        <v>2714</v>
      </c>
      <c r="I3371" s="8">
        <v>45991</v>
      </c>
      <c r="J3371" t="s">
        <v>2663</v>
      </c>
      <c r="K3371" t="s">
        <v>3630</v>
      </c>
      <c r="L3371" s="13">
        <v>1500</v>
      </c>
      <c r="M3371" t="s">
        <v>2661</v>
      </c>
    </row>
    <row r="3372" spans="1:13">
      <c r="A3372" t="s">
        <v>1481</v>
      </c>
      <c r="B3372" t="s">
        <v>167</v>
      </c>
      <c r="C3372" s="8">
        <v>46280</v>
      </c>
      <c r="D3372" t="s">
        <v>327</v>
      </c>
      <c r="E3372" t="s">
        <v>325</v>
      </c>
      <c r="F3372" s="12">
        <v>303866</v>
      </c>
      <c r="G3372" s="13">
        <v>30</v>
      </c>
      <c r="H3372" t="s">
        <v>3024</v>
      </c>
      <c r="I3372" s="8">
        <v>46163</v>
      </c>
      <c r="J3372" t="s">
        <v>2665</v>
      </c>
      <c r="K3372" t="s">
        <v>2666</v>
      </c>
      <c r="L3372" s="13">
        <v>2500</v>
      </c>
      <c r="M3372" t="s">
        <v>2661</v>
      </c>
    </row>
    <row r="3373" spans="1:13">
      <c r="A3373" t="s">
        <v>1481</v>
      </c>
      <c r="B3373" t="s">
        <v>167</v>
      </c>
      <c r="C3373" s="8">
        <v>46280</v>
      </c>
      <c r="D3373" t="s">
        <v>327</v>
      </c>
      <c r="E3373" t="s">
        <v>325</v>
      </c>
      <c r="F3373" s="12">
        <v>303866</v>
      </c>
      <c r="G3373" s="13">
        <v>30</v>
      </c>
      <c r="H3373" t="s">
        <v>3573</v>
      </c>
      <c r="I3373" s="8">
        <v>46043</v>
      </c>
      <c r="J3373" t="s">
        <v>2671</v>
      </c>
      <c r="K3373" t="s">
        <v>2672</v>
      </c>
      <c r="L3373" s="13">
        <v>3000</v>
      </c>
      <c r="M3373" t="s">
        <v>2661</v>
      </c>
    </row>
    <row r="3374" spans="1:13">
      <c r="A3374" t="s">
        <v>1482</v>
      </c>
      <c r="B3374" t="s">
        <v>236</v>
      </c>
      <c r="C3374" s="8">
        <v>46022</v>
      </c>
      <c r="D3374" t="s">
        <v>321</v>
      </c>
      <c r="E3374" t="s">
        <v>339</v>
      </c>
      <c r="F3374" s="12">
        <v>397252</v>
      </c>
      <c r="G3374" s="13">
        <v>39</v>
      </c>
      <c r="H3374" t="s">
        <v>2873</v>
      </c>
      <c r="I3374" s="8">
        <v>46247</v>
      </c>
      <c r="J3374" t="s">
        <v>2671</v>
      </c>
      <c r="K3374" t="s">
        <v>2672</v>
      </c>
      <c r="L3374" s="13">
        <v>3000</v>
      </c>
      <c r="M3374" t="s">
        <v>2676</v>
      </c>
    </row>
    <row r="3375" spans="1:13">
      <c r="A3375" t="s">
        <v>1482</v>
      </c>
      <c r="B3375" t="s">
        <v>236</v>
      </c>
      <c r="C3375" s="8">
        <v>46022</v>
      </c>
      <c r="D3375" t="s">
        <v>321</v>
      </c>
      <c r="E3375" t="s">
        <v>339</v>
      </c>
      <c r="F3375" s="12">
        <v>397252</v>
      </c>
      <c r="G3375" s="13">
        <v>39</v>
      </c>
      <c r="H3375" t="s">
        <v>3429</v>
      </c>
      <c r="I3375" s="8">
        <v>46170</v>
      </c>
      <c r="J3375" t="s">
        <v>2692</v>
      </c>
      <c r="K3375" t="s">
        <v>2693</v>
      </c>
      <c r="L3375" s="13">
        <v>10000</v>
      </c>
      <c r="M3375" t="s">
        <v>2661</v>
      </c>
    </row>
    <row r="3376" spans="1:13">
      <c r="A3376" t="s">
        <v>1483</v>
      </c>
      <c r="B3376" t="s">
        <v>286</v>
      </c>
      <c r="C3376" s="8">
        <v>45944</v>
      </c>
      <c r="D3376" t="s">
        <v>344</v>
      </c>
      <c r="E3376" t="s">
        <v>328</v>
      </c>
      <c r="F3376" s="12">
        <v>638305</v>
      </c>
      <c r="G3376" s="13">
        <v>63</v>
      </c>
      <c r="H3376" t="s">
        <v>2814</v>
      </c>
      <c r="I3376" s="8">
        <v>46076</v>
      </c>
      <c r="J3376" t="s">
        <v>2663</v>
      </c>
      <c r="K3376" t="s">
        <v>3630</v>
      </c>
      <c r="L3376" s="13">
        <v>1500</v>
      </c>
      <c r="M3376" t="s">
        <v>2661</v>
      </c>
    </row>
    <row r="3377" spans="1:13">
      <c r="A3377" t="s">
        <v>1483</v>
      </c>
      <c r="B3377" t="s">
        <v>286</v>
      </c>
      <c r="C3377" s="8">
        <v>45944</v>
      </c>
      <c r="D3377" t="s">
        <v>344</v>
      </c>
      <c r="E3377" t="s">
        <v>328</v>
      </c>
      <c r="F3377" s="12">
        <v>638305</v>
      </c>
      <c r="G3377" s="13">
        <v>63</v>
      </c>
      <c r="H3377" t="s">
        <v>3003</v>
      </c>
      <c r="I3377" s="8">
        <v>46032</v>
      </c>
      <c r="J3377" t="s">
        <v>2659</v>
      </c>
      <c r="K3377" t="s">
        <v>2660</v>
      </c>
      <c r="L3377" s="13">
        <v>3500</v>
      </c>
      <c r="M3377" t="s">
        <v>2661</v>
      </c>
    </row>
    <row r="3378" spans="1:13">
      <c r="A3378" t="s">
        <v>1483</v>
      </c>
      <c r="B3378" t="s">
        <v>286</v>
      </c>
      <c r="C3378" s="8">
        <v>45944</v>
      </c>
      <c r="D3378" t="s">
        <v>344</v>
      </c>
      <c r="E3378" t="s">
        <v>328</v>
      </c>
      <c r="F3378" s="12">
        <v>638305</v>
      </c>
      <c r="G3378" s="13">
        <v>63</v>
      </c>
      <c r="H3378" t="s">
        <v>3081</v>
      </c>
      <c r="I3378" s="8">
        <v>46124</v>
      </c>
      <c r="J3378" t="s">
        <v>2692</v>
      </c>
      <c r="K3378" t="s">
        <v>2693</v>
      </c>
      <c r="L3378" s="13">
        <v>10000</v>
      </c>
      <c r="M3378" t="s">
        <v>2661</v>
      </c>
    </row>
    <row r="3379" spans="1:13">
      <c r="A3379" t="s">
        <v>1483</v>
      </c>
      <c r="B3379" t="s">
        <v>286</v>
      </c>
      <c r="C3379" s="8">
        <v>45944</v>
      </c>
      <c r="D3379" t="s">
        <v>344</v>
      </c>
      <c r="E3379" t="s">
        <v>328</v>
      </c>
      <c r="F3379" s="12">
        <v>638305</v>
      </c>
      <c r="G3379" s="13">
        <v>63</v>
      </c>
      <c r="H3379" t="s">
        <v>3151</v>
      </c>
      <c r="I3379" s="8">
        <v>45973</v>
      </c>
      <c r="J3379" t="s">
        <v>2692</v>
      </c>
      <c r="K3379" t="s">
        <v>2693</v>
      </c>
      <c r="L3379" s="13">
        <v>10000</v>
      </c>
      <c r="M3379" t="s">
        <v>2676</v>
      </c>
    </row>
    <row r="3380" spans="1:13">
      <c r="A3380" t="s">
        <v>1484</v>
      </c>
      <c r="B3380" t="s">
        <v>102</v>
      </c>
      <c r="C3380" s="8">
        <v>45983</v>
      </c>
      <c r="D3380" t="s">
        <v>350</v>
      </c>
      <c r="E3380" t="s">
        <v>334</v>
      </c>
      <c r="F3380" s="12">
        <v>105102</v>
      </c>
      <c r="G3380" s="13">
        <v>10</v>
      </c>
      <c r="H3380" t="s">
        <v>2797</v>
      </c>
      <c r="I3380" s="8">
        <v>46163</v>
      </c>
      <c r="J3380" t="s">
        <v>2665</v>
      </c>
      <c r="K3380" t="s">
        <v>2666</v>
      </c>
      <c r="L3380" s="13">
        <v>2500</v>
      </c>
      <c r="M3380" t="s">
        <v>2661</v>
      </c>
    </row>
    <row r="3381" spans="1:13">
      <c r="A3381" t="s">
        <v>1484</v>
      </c>
      <c r="B3381" t="s">
        <v>102</v>
      </c>
      <c r="C3381" s="8">
        <v>45983</v>
      </c>
      <c r="D3381" t="s">
        <v>350</v>
      </c>
      <c r="E3381" t="s">
        <v>334</v>
      </c>
      <c r="F3381" s="12">
        <v>105102</v>
      </c>
      <c r="G3381" s="13">
        <v>10</v>
      </c>
      <c r="H3381" t="s">
        <v>3355</v>
      </c>
      <c r="I3381" s="8">
        <v>46029</v>
      </c>
      <c r="J3381" t="s">
        <v>2659</v>
      </c>
      <c r="K3381" t="s">
        <v>2660</v>
      </c>
      <c r="L3381" s="13">
        <v>3500</v>
      </c>
      <c r="M3381" t="s">
        <v>2676</v>
      </c>
    </row>
    <row r="3382" spans="1:13">
      <c r="A3382" t="s">
        <v>1484</v>
      </c>
      <c r="B3382" t="s">
        <v>102</v>
      </c>
      <c r="C3382" s="8">
        <v>45983</v>
      </c>
      <c r="D3382" t="s">
        <v>350</v>
      </c>
      <c r="E3382" t="s">
        <v>334</v>
      </c>
      <c r="F3382" s="12">
        <v>105102</v>
      </c>
      <c r="G3382" s="13">
        <v>10</v>
      </c>
      <c r="H3382" t="s">
        <v>3360</v>
      </c>
      <c r="I3382" s="8">
        <v>46231</v>
      </c>
      <c r="J3382" t="s">
        <v>2674</v>
      </c>
      <c r="K3382" t="s">
        <v>2675</v>
      </c>
      <c r="L3382" s="13">
        <v>20000</v>
      </c>
      <c r="M3382" t="s">
        <v>2661</v>
      </c>
    </row>
    <row r="3383" spans="1:13">
      <c r="A3383" t="s">
        <v>1484</v>
      </c>
      <c r="B3383" t="s">
        <v>102</v>
      </c>
      <c r="C3383" s="8">
        <v>45983</v>
      </c>
      <c r="D3383" t="s">
        <v>350</v>
      </c>
      <c r="E3383" t="s">
        <v>334</v>
      </c>
      <c r="F3383" s="12">
        <v>105102</v>
      </c>
      <c r="G3383" s="13">
        <v>10</v>
      </c>
      <c r="H3383" t="s">
        <v>3439</v>
      </c>
      <c r="I3383" s="8">
        <v>46268</v>
      </c>
      <c r="J3383" t="s">
        <v>2663</v>
      </c>
      <c r="K3383" t="s">
        <v>3630</v>
      </c>
      <c r="L3383" s="13">
        <v>1500</v>
      </c>
      <c r="M3383" t="s">
        <v>2661</v>
      </c>
    </row>
    <row r="3384" spans="1:13">
      <c r="A3384" t="s">
        <v>1484</v>
      </c>
      <c r="B3384" t="s">
        <v>102</v>
      </c>
      <c r="C3384" s="8">
        <v>45983</v>
      </c>
      <c r="D3384" t="s">
        <v>350</v>
      </c>
      <c r="E3384" t="s">
        <v>334</v>
      </c>
      <c r="F3384" s="12">
        <v>105102</v>
      </c>
      <c r="G3384" s="13">
        <v>10</v>
      </c>
      <c r="H3384" t="s">
        <v>3565</v>
      </c>
      <c r="I3384" s="8">
        <v>46150</v>
      </c>
      <c r="J3384" t="s">
        <v>2674</v>
      </c>
      <c r="K3384" t="s">
        <v>2675</v>
      </c>
      <c r="L3384" s="13">
        <v>20000</v>
      </c>
      <c r="M3384" t="s">
        <v>2661</v>
      </c>
    </row>
    <row r="3385" spans="1:13">
      <c r="A3385" t="s">
        <v>1485</v>
      </c>
      <c r="B3385" t="s">
        <v>126</v>
      </c>
      <c r="C3385" s="8">
        <v>46219</v>
      </c>
      <c r="D3385" t="s">
        <v>350</v>
      </c>
      <c r="E3385" t="s">
        <v>339</v>
      </c>
      <c r="F3385" s="12">
        <v>293599</v>
      </c>
      <c r="G3385" s="13">
        <v>29</v>
      </c>
      <c r="H3385" t="s">
        <v>2798</v>
      </c>
      <c r="I3385" s="8">
        <v>46235</v>
      </c>
      <c r="J3385" t="s">
        <v>2659</v>
      </c>
      <c r="K3385" t="s">
        <v>2660</v>
      </c>
      <c r="L3385" s="13">
        <v>3500</v>
      </c>
      <c r="M3385" t="s">
        <v>2661</v>
      </c>
    </row>
    <row r="3386" spans="1:13">
      <c r="A3386" t="s">
        <v>1485</v>
      </c>
      <c r="B3386" t="s">
        <v>126</v>
      </c>
      <c r="C3386" s="8">
        <v>46219</v>
      </c>
      <c r="D3386" t="s">
        <v>350</v>
      </c>
      <c r="E3386" t="s">
        <v>339</v>
      </c>
      <c r="F3386" s="12">
        <v>293599</v>
      </c>
      <c r="G3386" s="13">
        <v>29</v>
      </c>
      <c r="H3386" t="s">
        <v>3334</v>
      </c>
      <c r="I3386" s="8">
        <v>46254</v>
      </c>
      <c r="J3386" t="s">
        <v>2692</v>
      </c>
      <c r="K3386" t="s">
        <v>2693</v>
      </c>
      <c r="L3386" s="13">
        <v>10000</v>
      </c>
      <c r="M3386" t="s">
        <v>2676</v>
      </c>
    </row>
    <row r="3387" spans="1:13">
      <c r="A3387" t="s">
        <v>1486</v>
      </c>
      <c r="B3387" t="s">
        <v>199</v>
      </c>
      <c r="C3387" s="8">
        <v>46106</v>
      </c>
      <c r="D3387" t="s">
        <v>327</v>
      </c>
      <c r="E3387" t="s">
        <v>328</v>
      </c>
      <c r="F3387" s="12">
        <v>172339</v>
      </c>
      <c r="G3387" s="13">
        <v>17</v>
      </c>
      <c r="H3387" t="s">
        <v>2993</v>
      </c>
      <c r="I3387" s="8">
        <v>46086</v>
      </c>
      <c r="J3387" t="s">
        <v>2659</v>
      </c>
      <c r="K3387" t="s">
        <v>2660</v>
      </c>
      <c r="L3387" s="13">
        <v>3500</v>
      </c>
      <c r="M3387" t="s">
        <v>2661</v>
      </c>
    </row>
    <row r="3388" spans="1:13">
      <c r="A3388" t="s">
        <v>1486</v>
      </c>
      <c r="B3388" t="s">
        <v>199</v>
      </c>
      <c r="C3388" s="8">
        <v>46106</v>
      </c>
      <c r="D3388" t="s">
        <v>327</v>
      </c>
      <c r="E3388" t="s">
        <v>328</v>
      </c>
      <c r="F3388" s="12">
        <v>172339</v>
      </c>
      <c r="G3388" s="13">
        <v>17</v>
      </c>
      <c r="H3388" t="s">
        <v>3004</v>
      </c>
      <c r="I3388" s="8">
        <v>45974</v>
      </c>
      <c r="J3388" t="s">
        <v>2688</v>
      </c>
      <c r="K3388" t="s">
        <v>2689</v>
      </c>
      <c r="L3388" s="13">
        <v>8000</v>
      </c>
      <c r="M3388" t="s">
        <v>2661</v>
      </c>
    </row>
    <row r="3389" spans="1:13">
      <c r="A3389" t="s">
        <v>1486</v>
      </c>
      <c r="B3389" t="s">
        <v>199</v>
      </c>
      <c r="C3389" s="8">
        <v>46106</v>
      </c>
      <c r="D3389" t="s">
        <v>327</v>
      </c>
      <c r="E3389" t="s">
        <v>328</v>
      </c>
      <c r="F3389" s="12">
        <v>172339</v>
      </c>
      <c r="G3389" s="13">
        <v>17</v>
      </c>
      <c r="H3389" t="s">
        <v>3399</v>
      </c>
      <c r="I3389" s="8">
        <v>46093</v>
      </c>
      <c r="J3389" t="s">
        <v>2659</v>
      </c>
      <c r="K3389" t="s">
        <v>2660</v>
      </c>
      <c r="L3389" s="13">
        <v>3500</v>
      </c>
      <c r="M3389" t="s">
        <v>2661</v>
      </c>
    </row>
    <row r="3390" spans="1:13">
      <c r="A3390" t="s">
        <v>1486</v>
      </c>
      <c r="B3390" t="s">
        <v>199</v>
      </c>
      <c r="C3390" s="8">
        <v>46106</v>
      </c>
      <c r="D3390" t="s">
        <v>327</v>
      </c>
      <c r="E3390" t="s">
        <v>328</v>
      </c>
      <c r="F3390" s="12">
        <v>172339</v>
      </c>
      <c r="G3390" s="13">
        <v>17</v>
      </c>
      <c r="H3390" t="s">
        <v>3496</v>
      </c>
      <c r="I3390" s="8">
        <v>46020</v>
      </c>
      <c r="J3390" t="s">
        <v>2674</v>
      </c>
      <c r="K3390" t="s">
        <v>2675</v>
      </c>
      <c r="L3390" s="13">
        <v>20000</v>
      </c>
      <c r="M3390" t="s">
        <v>2661</v>
      </c>
    </row>
    <row r="3391" spans="1:13">
      <c r="A3391" t="s">
        <v>1487</v>
      </c>
      <c r="B3391" t="s">
        <v>128</v>
      </c>
      <c r="C3391" s="8">
        <v>46093</v>
      </c>
      <c r="D3391" t="s">
        <v>330</v>
      </c>
      <c r="E3391" t="s">
        <v>337</v>
      </c>
      <c r="F3391" s="12">
        <v>87485</v>
      </c>
      <c r="G3391" s="13">
        <v>8</v>
      </c>
      <c r="H3391" t="s">
        <v>2897</v>
      </c>
      <c r="I3391" s="8">
        <v>46253</v>
      </c>
      <c r="J3391" t="s">
        <v>2682</v>
      </c>
      <c r="K3391" t="s">
        <v>2683</v>
      </c>
      <c r="L3391" s="13">
        <v>6000</v>
      </c>
      <c r="M3391" t="s">
        <v>2661</v>
      </c>
    </row>
    <row r="3392" spans="1:13">
      <c r="A3392" t="s">
        <v>1487</v>
      </c>
      <c r="B3392" t="s">
        <v>128</v>
      </c>
      <c r="C3392" s="8">
        <v>46093</v>
      </c>
      <c r="D3392" t="s">
        <v>330</v>
      </c>
      <c r="E3392" t="s">
        <v>337</v>
      </c>
      <c r="F3392" s="12">
        <v>87485</v>
      </c>
      <c r="G3392" s="13">
        <v>8</v>
      </c>
      <c r="H3392" t="s">
        <v>2966</v>
      </c>
      <c r="I3392" s="8">
        <v>45993</v>
      </c>
      <c r="J3392" t="s">
        <v>2663</v>
      </c>
      <c r="K3392" t="s">
        <v>3630</v>
      </c>
      <c r="L3392" s="13">
        <v>1500</v>
      </c>
      <c r="M3392" t="s">
        <v>2661</v>
      </c>
    </row>
    <row r="3393" spans="1:13">
      <c r="A3393" t="s">
        <v>1487</v>
      </c>
      <c r="B3393" t="s">
        <v>128</v>
      </c>
      <c r="C3393" s="8">
        <v>46093</v>
      </c>
      <c r="D3393" t="s">
        <v>330</v>
      </c>
      <c r="E3393" t="s">
        <v>337</v>
      </c>
      <c r="F3393" s="12">
        <v>87485</v>
      </c>
      <c r="G3393" s="13">
        <v>8</v>
      </c>
      <c r="H3393" t="s">
        <v>3407</v>
      </c>
      <c r="I3393" s="8">
        <v>46260</v>
      </c>
      <c r="J3393" t="s">
        <v>2668</v>
      </c>
      <c r="K3393" t="s">
        <v>2669</v>
      </c>
      <c r="L3393" s="13">
        <v>4000</v>
      </c>
      <c r="M3393" t="s">
        <v>2661</v>
      </c>
    </row>
    <row r="3394" spans="1:13">
      <c r="A3394" t="s">
        <v>1488</v>
      </c>
      <c r="B3394" t="s">
        <v>148</v>
      </c>
      <c r="C3394" s="8">
        <v>45955</v>
      </c>
      <c r="D3394" t="s">
        <v>342</v>
      </c>
      <c r="E3394" t="s">
        <v>337</v>
      </c>
      <c r="F3394" s="12">
        <v>285092</v>
      </c>
      <c r="G3394" s="13">
        <v>28</v>
      </c>
      <c r="H3394" t="s">
        <v>2701</v>
      </c>
      <c r="I3394" s="8">
        <v>46251</v>
      </c>
      <c r="J3394" t="s">
        <v>2685</v>
      </c>
      <c r="K3394" t="s">
        <v>2686</v>
      </c>
      <c r="L3394" s="13">
        <v>5000</v>
      </c>
      <c r="M3394" t="s">
        <v>2661</v>
      </c>
    </row>
    <row r="3395" spans="1:13">
      <c r="A3395" t="s">
        <v>1488</v>
      </c>
      <c r="B3395" t="s">
        <v>148</v>
      </c>
      <c r="C3395" s="8">
        <v>45955</v>
      </c>
      <c r="D3395" t="s">
        <v>342</v>
      </c>
      <c r="E3395" t="s">
        <v>337</v>
      </c>
      <c r="F3395" s="12">
        <v>285092</v>
      </c>
      <c r="G3395" s="13">
        <v>28</v>
      </c>
      <c r="H3395" t="s">
        <v>2859</v>
      </c>
      <c r="I3395" s="8">
        <v>46163</v>
      </c>
      <c r="J3395" t="s">
        <v>2685</v>
      </c>
      <c r="K3395" t="s">
        <v>2686</v>
      </c>
      <c r="L3395" s="13">
        <v>5000</v>
      </c>
      <c r="M3395" t="s">
        <v>2661</v>
      </c>
    </row>
    <row r="3396" spans="1:13">
      <c r="A3396" t="s">
        <v>1488</v>
      </c>
      <c r="B3396" t="s">
        <v>148</v>
      </c>
      <c r="C3396" s="8">
        <v>45955</v>
      </c>
      <c r="D3396" t="s">
        <v>342</v>
      </c>
      <c r="E3396" t="s">
        <v>337</v>
      </c>
      <c r="F3396" s="12">
        <v>285092</v>
      </c>
      <c r="G3396" s="13">
        <v>28</v>
      </c>
      <c r="H3396" t="s">
        <v>3210</v>
      </c>
      <c r="I3396" s="8">
        <v>46038</v>
      </c>
      <c r="J3396" t="s">
        <v>2663</v>
      </c>
      <c r="K3396" t="s">
        <v>3630</v>
      </c>
      <c r="L3396" s="13">
        <v>1500</v>
      </c>
      <c r="M3396" t="s">
        <v>2661</v>
      </c>
    </row>
    <row r="3397" spans="1:13">
      <c r="A3397" t="s">
        <v>1488</v>
      </c>
      <c r="B3397" t="s">
        <v>148</v>
      </c>
      <c r="C3397" s="8">
        <v>45955</v>
      </c>
      <c r="D3397" t="s">
        <v>342</v>
      </c>
      <c r="E3397" t="s">
        <v>337</v>
      </c>
      <c r="F3397" s="12">
        <v>285092</v>
      </c>
      <c r="G3397" s="13">
        <v>28</v>
      </c>
      <c r="H3397" t="s">
        <v>3242</v>
      </c>
      <c r="I3397" s="8">
        <v>45943</v>
      </c>
      <c r="J3397" t="s">
        <v>2674</v>
      </c>
      <c r="K3397" t="s">
        <v>2675</v>
      </c>
      <c r="L3397" s="13">
        <v>20000</v>
      </c>
      <c r="M3397" t="s">
        <v>2661</v>
      </c>
    </row>
    <row r="3398" spans="1:13">
      <c r="A3398" t="s">
        <v>1488</v>
      </c>
      <c r="B3398" t="s">
        <v>148</v>
      </c>
      <c r="C3398" s="8">
        <v>45955</v>
      </c>
      <c r="D3398" t="s">
        <v>342</v>
      </c>
      <c r="E3398" t="s">
        <v>337</v>
      </c>
      <c r="F3398" s="12">
        <v>285092</v>
      </c>
      <c r="G3398" s="13">
        <v>28</v>
      </c>
      <c r="H3398" t="s">
        <v>3304</v>
      </c>
      <c r="I3398" s="8">
        <v>46267</v>
      </c>
      <c r="J3398" t="s">
        <v>2665</v>
      </c>
      <c r="K3398" t="s">
        <v>2666</v>
      </c>
      <c r="L3398" s="13">
        <v>2500</v>
      </c>
      <c r="M3398" t="s">
        <v>2661</v>
      </c>
    </row>
    <row r="3399" spans="1:13">
      <c r="A3399" t="s">
        <v>1488</v>
      </c>
      <c r="B3399" t="s">
        <v>148</v>
      </c>
      <c r="C3399" s="8">
        <v>45955</v>
      </c>
      <c r="D3399" t="s">
        <v>342</v>
      </c>
      <c r="E3399" t="s">
        <v>337</v>
      </c>
      <c r="F3399" s="12">
        <v>285092</v>
      </c>
      <c r="G3399" s="13">
        <v>28</v>
      </c>
      <c r="H3399" t="s">
        <v>3492</v>
      </c>
      <c r="I3399" s="8">
        <v>45951</v>
      </c>
      <c r="J3399" t="s">
        <v>2659</v>
      </c>
      <c r="K3399" t="s">
        <v>2660</v>
      </c>
      <c r="L3399" s="13">
        <v>3500</v>
      </c>
      <c r="M3399" t="s">
        <v>2661</v>
      </c>
    </row>
    <row r="3400" spans="1:13">
      <c r="A3400" t="s">
        <v>1488</v>
      </c>
      <c r="B3400" t="s">
        <v>148</v>
      </c>
      <c r="C3400" s="8">
        <v>45955</v>
      </c>
      <c r="D3400" t="s">
        <v>342</v>
      </c>
      <c r="E3400" t="s">
        <v>337</v>
      </c>
      <c r="F3400" s="12">
        <v>285092</v>
      </c>
      <c r="G3400" s="13">
        <v>28</v>
      </c>
      <c r="H3400" t="s">
        <v>3552</v>
      </c>
      <c r="I3400" s="8">
        <v>45939</v>
      </c>
      <c r="J3400" t="s">
        <v>2671</v>
      </c>
      <c r="K3400" t="s">
        <v>2672</v>
      </c>
      <c r="L3400" s="13">
        <v>3000</v>
      </c>
      <c r="M3400" t="s">
        <v>2661</v>
      </c>
    </row>
    <row r="3401" spans="1:13">
      <c r="A3401" t="s">
        <v>1490</v>
      </c>
      <c r="B3401" t="s">
        <v>247</v>
      </c>
      <c r="C3401" s="8">
        <v>46007</v>
      </c>
      <c r="D3401" t="s">
        <v>350</v>
      </c>
      <c r="E3401" t="s">
        <v>334</v>
      </c>
      <c r="F3401" s="12">
        <v>124272</v>
      </c>
      <c r="G3401" s="13">
        <v>12</v>
      </c>
      <c r="H3401" t="s">
        <v>3106</v>
      </c>
      <c r="I3401" s="8">
        <v>46071</v>
      </c>
      <c r="J3401" t="s">
        <v>2668</v>
      </c>
      <c r="K3401" t="s">
        <v>2669</v>
      </c>
      <c r="L3401" s="13">
        <v>4000</v>
      </c>
      <c r="M3401" t="s">
        <v>2661</v>
      </c>
    </row>
    <row r="3402" spans="1:13">
      <c r="A3402" t="s">
        <v>1491</v>
      </c>
      <c r="B3402" t="s">
        <v>216</v>
      </c>
      <c r="C3402" s="8">
        <v>46200</v>
      </c>
      <c r="D3402" t="s">
        <v>330</v>
      </c>
      <c r="E3402" t="s">
        <v>339</v>
      </c>
      <c r="F3402" s="12">
        <v>25000</v>
      </c>
      <c r="G3402" s="13">
        <v>2</v>
      </c>
      <c r="H3402" t="s">
        <v>2728</v>
      </c>
      <c r="I3402" s="8">
        <v>46229</v>
      </c>
      <c r="J3402" t="s">
        <v>2674</v>
      </c>
      <c r="K3402" t="s">
        <v>2675</v>
      </c>
      <c r="L3402" s="13">
        <v>20000</v>
      </c>
      <c r="M3402" t="s">
        <v>2661</v>
      </c>
    </row>
    <row r="3403" spans="1:13">
      <c r="A3403" t="s">
        <v>1491</v>
      </c>
      <c r="B3403" t="s">
        <v>216</v>
      </c>
      <c r="C3403" s="8">
        <v>46200</v>
      </c>
      <c r="D3403" t="s">
        <v>330</v>
      </c>
      <c r="E3403" t="s">
        <v>339</v>
      </c>
      <c r="F3403" s="12">
        <v>25000</v>
      </c>
      <c r="G3403" s="13">
        <v>2</v>
      </c>
      <c r="H3403" t="s">
        <v>3213</v>
      </c>
      <c r="I3403" s="8">
        <v>46222</v>
      </c>
      <c r="J3403" t="s">
        <v>2665</v>
      </c>
      <c r="K3403" t="s">
        <v>2666</v>
      </c>
      <c r="L3403" s="13">
        <v>2500</v>
      </c>
      <c r="M3403" t="s">
        <v>2676</v>
      </c>
    </row>
    <row r="3404" spans="1:13">
      <c r="A3404" t="s">
        <v>1491</v>
      </c>
      <c r="B3404" t="s">
        <v>216</v>
      </c>
      <c r="C3404" s="8">
        <v>46200</v>
      </c>
      <c r="D3404" t="s">
        <v>330</v>
      </c>
      <c r="E3404" t="s">
        <v>339</v>
      </c>
      <c r="F3404" s="12">
        <v>25000</v>
      </c>
      <c r="G3404" s="13">
        <v>2</v>
      </c>
      <c r="H3404" t="s">
        <v>3233</v>
      </c>
      <c r="I3404" s="8">
        <v>46169</v>
      </c>
      <c r="J3404" t="s">
        <v>2692</v>
      </c>
      <c r="K3404" t="s">
        <v>2693</v>
      </c>
      <c r="L3404" s="13">
        <v>10000</v>
      </c>
      <c r="M3404" t="s">
        <v>2661</v>
      </c>
    </row>
    <row r="3405" spans="1:13">
      <c r="A3405" t="s">
        <v>1491</v>
      </c>
      <c r="B3405" t="s">
        <v>216</v>
      </c>
      <c r="C3405" s="8">
        <v>46200</v>
      </c>
      <c r="D3405" t="s">
        <v>330</v>
      </c>
      <c r="E3405" t="s">
        <v>339</v>
      </c>
      <c r="F3405" s="12">
        <v>25000</v>
      </c>
      <c r="G3405" s="13">
        <v>2</v>
      </c>
      <c r="H3405" t="s">
        <v>3340</v>
      </c>
      <c r="I3405" s="8">
        <v>46104</v>
      </c>
      <c r="J3405" t="s">
        <v>2665</v>
      </c>
      <c r="K3405" t="s">
        <v>2666</v>
      </c>
      <c r="L3405" s="13">
        <v>2500</v>
      </c>
      <c r="M3405" t="s">
        <v>2676</v>
      </c>
    </row>
    <row r="3406" spans="1:13">
      <c r="A3406" t="s">
        <v>1491</v>
      </c>
      <c r="B3406" t="s">
        <v>216</v>
      </c>
      <c r="C3406" s="8">
        <v>46200</v>
      </c>
      <c r="D3406" t="s">
        <v>330</v>
      </c>
      <c r="E3406" t="s">
        <v>339</v>
      </c>
      <c r="F3406" s="12">
        <v>25000</v>
      </c>
      <c r="G3406" s="13">
        <v>2</v>
      </c>
      <c r="H3406" t="s">
        <v>3391</v>
      </c>
      <c r="I3406" s="8">
        <v>46196</v>
      </c>
      <c r="J3406" t="s">
        <v>2671</v>
      </c>
      <c r="K3406" t="s">
        <v>2672</v>
      </c>
      <c r="L3406" s="13">
        <v>3000</v>
      </c>
      <c r="M3406" t="s">
        <v>2661</v>
      </c>
    </row>
    <row r="3407" spans="1:13">
      <c r="A3407" t="s">
        <v>1492</v>
      </c>
      <c r="B3407" t="s">
        <v>231</v>
      </c>
      <c r="C3407" s="8">
        <v>46257</v>
      </c>
      <c r="D3407" t="s">
        <v>324</v>
      </c>
      <c r="E3407" t="s">
        <v>328</v>
      </c>
      <c r="F3407" s="12">
        <v>347954</v>
      </c>
      <c r="G3407" s="13">
        <v>34</v>
      </c>
      <c r="H3407" t="s">
        <v>2875</v>
      </c>
      <c r="I3407" s="8">
        <v>46085</v>
      </c>
      <c r="J3407" t="s">
        <v>2665</v>
      </c>
      <c r="K3407" t="s">
        <v>2666</v>
      </c>
      <c r="L3407" s="13">
        <v>2500</v>
      </c>
      <c r="M3407" t="s">
        <v>2661</v>
      </c>
    </row>
    <row r="3408" spans="1:13">
      <c r="A3408" t="s">
        <v>1492</v>
      </c>
      <c r="B3408" t="s">
        <v>231</v>
      </c>
      <c r="C3408" s="8">
        <v>46257</v>
      </c>
      <c r="D3408" t="s">
        <v>324</v>
      </c>
      <c r="E3408" t="s">
        <v>328</v>
      </c>
      <c r="F3408" s="12">
        <v>347954</v>
      </c>
      <c r="G3408" s="13">
        <v>34</v>
      </c>
      <c r="H3408" t="s">
        <v>3014</v>
      </c>
      <c r="I3408" s="8">
        <v>46207</v>
      </c>
      <c r="J3408" t="s">
        <v>2665</v>
      </c>
      <c r="K3408" t="s">
        <v>2666</v>
      </c>
      <c r="L3408" s="13">
        <v>2500</v>
      </c>
      <c r="M3408" t="s">
        <v>2676</v>
      </c>
    </row>
    <row r="3409" spans="1:13">
      <c r="A3409" t="s">
        <v>1493</v>
      </c>
      <c r="B3409" t="s">
        <v>218</v>
      </c>
      <c r="C3409" s="8">
        <v>46284</v>
      </c>
      <c r="D3409" t="s">
        <v>342</v>
      </c>
      <c r="E3409" t="s">
        <v>339</v>
      </c>
      <c r="F3409" s="12">
        <v>409568</v>
      </c>
      <c r="G3409" s="13">
        <v>40</v>
      </c>
      <c r="H3409" t="s">
        <v>2946</v>
      </c>
      <c r="I3409" s="8">
        <v>46105</v>
      </c>
      <c r="J3409" t="s">
        <v>2668</v>
      </c>
      <c r="K3409" t="s">
        <v>2669</v>
      </c>
      <c r="L3409" s="13">
        <v>4000</v>
      </c>
      <c r="M3409" t="s">
        <v>2661</v>
      </c>
    </row>
    <row r="3410" spans="1:13">
      <c r="A3410" t="s">
        <v>1493</v>
      </c>
      <c r="B3410" t="s">
        <v>218</v>
      </c>
      <c r="C3410" s="8">
        <v>46284</v>
      </c>
      <c r="D3410" t="s">
        <v>342</v>
      </c>
      <c r="E3410" t="s">
        <v>339</v>
      </c>
      <c r="F3410" s="12">
        <v>409568</v>
      </c>
      <c r="G3410" s="13">
        <v>40</v>
      </c>
      <c r="H3410" t="s">
        <v>3095</v>
      </c>
      <c r="I3410" s="8">
        <v>46223</v>
      </c>
      <c r="J3410" t="s">
        <v>2668</v>
      </c>
      <c r="K3410" t="s">
        <v>2669</v>
      </c>
      <c r="L3410" s="13">
        <v>4000</v>
      </c>
      <c r="M3410" t="s">
        <v>2661</v>
      </c>
    </row>
    <row r="3411" spans="1:13">
      <c r="A3411" t="s">
        <v>1493</v>
      </c>
      <c r="B3411" t="s">
        <v>218</v>
      </c>
      <c r="C3411" s="8">
        <v>46284</v>
      </c>
      <c r="D3411" t="s">
        <v>342</v>
      </c>
      <c r="E3411" t="s">
        <v>339</v>
      </c>
      <c r="F3411" s="12">
        <v>409568</v>
      </c>
      <c r="G3411" s="13">
        <v>40</v>
      </c>
      <c r="H3411" t="s">
        <v>3260</v>
      </c>
      <c r="I3411" s="8">
        <v>45974</v>
      </c>
      <c r="J3411" t="s">
        <v>2668</v>
      </c>
      <c r="K3411" t="s">
        <v>2669</v>
      </c>
      <c r="L3411" s="13">
        <v>4000</v>
      </c>
      <c r="M3411" t="s">
        <v>2661</v>
      </c>
    </row>
    <row r="3412" spans="1:13">
      <c r="A3412" t="s">
        <v>1494</v>
      </c>
      <c r="B3412" t="s">
        <v>201</v>
      </c>
      <c r="C3412" s="8">
        <v>46254</v>
      </c>
      <c r="D3412" t="s">
        <v>332</v>
      </c>
      <c r="E3412" t="s">
        <v>322</v>
      </c>
      <c r="F3412" s="12">
        <v>324040</v>
      </c>
      <c r="G3412" s="13">
        <v>32</v>
      </c>
      <c r="H3412" t="s">
        <v>2997</v>
      </c>
      <c r="I3412" s="8">
        <v>46289</v>
      </c>
      <c r="J3412" t="s">
        <v>2659</v>
      </c>
      <c r="K3412" t="s">
        <v>2660</v>
      </c>
      <c r="L3412" s="13">
        <v>3500</v>
      </c>
      <c r="M3412" t="s">
        <v>2661</v>
      </c>
    </row>
    <row r="3413" spans="1:13">
      <c r="A3413" t="s">
        <v>1494</v>
      </c>
      <c r="B3413" t="s">
        <v>201</v>
      </c>
      <c r="C3413" s="8">
        <v>46254</v>
      </c>
      <c r="D3413" t="s">
        <v>332</v>
      </c>
      <c r="E3413" t="s">
        <v>322</v>
      </c>
      <c r="F3413" s="12">
        <v>324040</v>
      </c>
      <c r="G3413" s="13">
        <v>32</v>
      </c>
      <c r="H3413" t="s">
        <v>3023</v>
      </c>
      <c r="I3413" s="8">
        <v>46224</v>
      </c>
      <c r="J3413" t="s">
        <v>2668</v>
      </c>
      <c r="K3413" t="s">
        <v>2669</v>
      </c>
      <c r="L3413" s="13">
        <v>4000</v>
      </c>
      <c r="M3413" t="s">
        <v>2661</v>
      </c>
    </row>
    <row r="3414" spans="1:13">
      <c r="A3414" t="s">
        <v>1494</v>
      </c>
      <c r="B3414" t="s">
        <v>201</v>
      </c>
      <c r="C3414" s="8">
        <v>46254</v>
      </c>
      <c r="D3414" t="s">
        <v>332</v>
      </c>
      <c r="E3414" t="s">
        <v>322</v>
      </c>
      <c r="F3414" s="12">
        <v>324040</v>
      </c>
      <c r="G3414" s="13">
        <v>32</v>
      </c>
      <c r="H3414" t="s">
        <v>3232</v>
      </c>
      <c r="I3414" s="8">
        <v>45993</v>
      </c>
      <c r="J3414" t="s">
        <v>2688</v>
      </c>
      <c r="K3414" t="s">
        <v>2689</v>
      </c>
      <c r="L3414" s="13">
        <v>8000</v>
      </c>
      <c r="M3414" t="s">
        <v>2676</v>
      </c>
    </row>
    <row r="3415" spans="1:13">
      <c r="A3415" t="s">
        <v>1495</v>
      </c>
      <c r="B3415" t="s">
        <v>149</v>
      </c>
      <c r="C3415" s="8">
        <v>46146</v>
      </c>
      <c r="D3415" t="s">
        <v>342</v>
      </c>
      <c r="E3415" t="s">
        <v>337</v>
      </c>
      <c r="F3415" s="12">
        <v>254066</v>
      </c>
      <c r="G3415" s="13">
        <v>25</v>
      </c>
      <c r="H3415" t="s">
        <v>3322</v>
      </c>
      <c r="I3415" s="8">
        <v>46285</v>
      </c>
      <c r="J3415" t="s">
        <v>2685</v>
      </c>
      <c r="K3415" t="s">
        <v>2686</v>
      </c>
      <c r="L3415" s="13">
        <v>5000</v>
      </c>
      <c r="M3415" t="s">
        <v>2661</v>
      </c>
    </row>
    <row r="3416" spans="1:13">
      <c r="A3416" t="s">
        <v>1496</v>
      </c>
      <c r="B3416" t="s">
        <v>95</v>
      </c>
      <c r="C3416" s="8">
        <v>46251</v>
      </c>
      <c r="D3416" t="s">
        <v>321</v>
      </c>
      <c r="E3416" t="s">
        <v>339</v>
      </c>
      <c r="F3416" s="12">
        <v>255497</v>
      </c>
      <c r="G3416" s="13">
        <v>25</v>
      </c>
      <c r="H3416" t="s">
        <v>3519</v>
      </c>
      <c r="I3416" s="8">
        <v>46135</v>
      </c>
      <c r="J3416" t="s">
        <v>2692</v>
      </c>
      <c r="K3416" t="s">
        <v>2693</v>
      </c>
      <c r="L3416" s="13">
        <v>10000</v>
      </c>
      <c r="M3416" t="s">
        <v>2661</v>
      </c>
    </row>
    <row r="3417" spans="1:13">
      <c r="A3417" t="s">
        <v>1496</v>
      </c>
      <c r="B3417" t="s">
        <v>95</v>
      </c>
      <c r="C3417" s="8">
        <v>46251</v>
      </c>
      <c r="D3417" t="s">
        <v>321</v>
      </c>
      <c r="E3417" t="s">
        <v>339</v>
      </c>
      <c r="F3417" s="12">
        <v>255497</v>
      </c>
      <c r="G3417" s="13">
        <v>25</v>
      </c>
      <c r="H3417" t="s">
        <v>3574</v>
      </c>
      <c r="I3417" s="8">
        <v>46267</v>
      </c>
      <c r="J3417" t="s">
        <v>2665</v>
      </c>
      <c r="K3417" t="s">
        <v>2666</v>
      </c>
      <c r="L3417" s="13">
        <v>2500</v>
      </c>
      <c r="M3417" t="s">
        <v>2661</v>
      </c>
    </row>
    <row r="3418" spans="1:13">
      <c r="A3418" t="s">
        <v>1497</v>
      </c>
      <c r="B3418" t="s">
        <v>141</v>
      </c>
      <c r="C3418" s="8">
        <v>46114</v>
      </c>
      <c r="D3418" t="s">
        <v>324</v>
      </c>
      <c r="E3418" t="s">
        <v>328</v>
      </c>
      <c r="F3418" s="12">
        <v>230539</v>
      </c>
      <c r="G3418" s="13">
        <v>23</v>
      </c>
      <c r="H3418" t="s">
        <v>2784</v>
      </c>
      <c r="I3418" s="8">
        <v>46039</v>
      </c>
      <c r="J3418" t="s">
        <v>2692</v>
      </c>
      <c r="K3418" t="s">
        <v>2693</v>
      </c>
      <c r="L3418" s="13">
        <v>10000</v>
      </c>
      <c r="M3418" t="s">
        <v>2676</v>
      </c>
    </row>
    <row r="3419" spans="1:13">
      <c r="A3419" t="s">
        <v>1497</v>
      </c>
      <c r="B3419" t="s">
        <v>141</v>
      </c>
      <c r="C3419" s="8">
        <v>46114</v>
      </c>
      <c r="D3419" t="s">
        <v>324</v>
      </c>
      <c r="E3419" t="s">
        <v>328</v>
      </c>
      <c r="F3419" s="12">
        <v>230539</v>
      </c>
      <c r="G3419" s="13">
        <v>23</v>
      </c>
      <c r="H3419" t="s">
        <v>2983</v>
      </c>
      <c r="I3419" s="8">
        <v>46195</v>
      </c>
      <c r="J3419" t="s">
        <v>2665</v>
      </c>
      <c r="K3419" t="s">
        <v>2666</v>
      </c>
      <c r="L3419" s="13">
        <v>2500</v>
      </c>
      <c r="M3419" t="s">
        <v>2661</v>
      </c>
    </row>
    <row r="3420" spans="1:13">
      <c r="A3420" t="s">
        <v>1497</v>
      </c>
      <c r="B3420" t="s">
        <v>141</v>
      </c>
      <c r="C3420" s="8">
        <v>46114</v>
      </c>
      <c r="D3420" t="s">
        <v>324</v>
      </c>
      <c r="E3420" t="s">
        <v>328</v>
      </c>
      <c r="F3420" s="12">
        <v>230539</v>
      </c>
      <c r="G3420" s="13">
        <v>23</v>
      </c>
      <c r="H3420" t="s">
        <v>3011</v>
      </c>
      <c r="I3420" s="8">
        <v>46197</v>
      </c>
      <c r="J3420" t="s">
        <v>2674</v>
      </c>
      <c r="K3420" t="s">
        <v>2675</v>
      </c>
      <c r="L3420" s="13">
        <v>20000</v>
      </c>
      <c r="M3420" t="s">
        <v>2661</v>
      </c>
    </row>
    <row r="3421" spans="1:13">
      <c r="A3421" t="s">
        <v>1497</v>
      </c>
      <c r="B3421" t="s">
        <v>141</v>
      </c>
      <c r="C3421" s="8">
        <v>46114</v>
      </c>
      <c r="D3421" t="s">
        <v>324</v>
      </c>
      <c r="E3421" t="s">
        <v>328</v>
      </c>
      <c r="F3421" s="12">
        <v>230539</v>
      </c>
      <c r="G3421" s="13">
        <v>23</v>
      </c>
      <c r="H3421" t="s">
        <v>3035</v>
      </c>
      <c r="I3421" s="8">
        <v>46115</v>
      </c>
      <c r="J3421" t="s">
        <v>2663</v>
      </c>
      <c r="K3421" t="s">
        <v>3630</v>
      </c>
      <c r="L3421" s="13">
        <v>1500</v>
      </c>
      <c r="M3421" t="s">
        <v>2661</v>
      </c>
    </row>
    <row r="3422" spans="1:13">
      <c r="A3422" t="s">
        <v>1497</v>
      </c>
      <c r="B3422" t="s">
        <v>141</v>
      </c>
      <c r="C3422" s="8">
        <v>46114</v>
      </c>
      <c r="D3422" t="s">
        <v>324</v>
      </c>
      <c r="E3422" t="s">
        <v>328</v>
      </c>
      <c r="F3422" s="12">
        <v>230539</v>
      </c>
      <c r="G3422" s="13">
        <v>23</v>
      </c>
      <c r="H3422" t="s">
        <v>3161</v>
      </c>
      <c r="I3422" s="8">
        <v>46177</v>
      </c>
      <c r="J3422" t="s">
        <v>2663</v>
      </c>
      <c r="K3422" t="s">
        <v>3630</v>
      </c>
      <c r="L3422" s="13">
        <v>1500</v>
      </c>
      <c r="M3422" t="s">
        <v>2661</v>
      </c>
    </row>
    <row r="3423" spans="1:13">
      <c r="A3423" t="s">
        <v>1497</v>
      </c>
      <c r="B3423" t="s">
        <v>141</v>
      </c>
      <c r="C3423" s="8">
        <v>46114</v>
      </c>
      <c r="D3423" t="s">
        <v>324</v>
      </c>
      <c r="E3423" t="s">
        <v>328</v>
      </c>
      <c r="F3423" s="12">
        <v>230539</v>
      </c>
      <c r="G3423" s="13">
        <v>23</v>
      </c>
      <c r="H3423" t="s">
        <v>3357</v>
      </c>
      <c r="I3423" s="8">
        <v>46093</v>
      </c>
      <c r="J3423" t="s">
        <v>2685</v>
      </c>
      <c r="K3423" t="s">
        <v>2686</v>
      </c>
      <c r="L3423" s="13">
        <v>5000</v>
      </c>
      <c r="M3423" t="s">
        <v>2676</v>
      </c>
    </row>
    <row r="3424" spans="1:13">
      <c r="A3424" t="s">
        <v>1498</v>
      </c>
      <c r="B3424" t="s">
        <v>126</v>
      </c>
      <c r="C3424" s="8">
        <v>46050</v>
      </c>
      <c r="D3424" t="s">
        <v>350</v>
      </c>
      <c r="E3424" t="s">
        <v>322</v>
      </c>
      <c r="F3424" s="12">
        <v>138456</v>
      </c>
      <c r="G3424" s="13">
        <v>13</v>
      </c>
      <c r="H3424" t="s">
        <v>2798</v>
      </c>
      <c r="I3424" s="8">
        <v>46235</v>
      </c>
      <c r="J3424" t="s">
        <v>2659</v>
      </c>
      <c r="K3424" t="s">
        <v>2660</v>
      </c>
      <c r="L3424" s="13">
        <v>3500</v>
      </c>
      <c r="M3424" t="s">
        <v>2661</v>
      </c>
    </row>
    <row r="3425" spans="1:13">
      <c r="A3425" t="s">
        <v>1498</v>
      </c>
      <c r="B3425" t="s">
        <v>126</v>
      </c>
      <c r="C3425" s="8">
        <v>46050</v>
      </c>
      <c r="D3425" t="s">
        <v>350</v>
      </c>
      <c r="E3425" t="s">
        <v>322</v>
      </c>
      <c r="F3425" s="12">
        <v>138456</v>
      </c>
      <c r="G3425" s="13">
        <v>13</v>
      </c>
      <c r="H3425" t="s">
        <v>3334</v>
      </c>
      <c r="I3425" s="8">
        <v>46254</v>
      </c>
      <c r="J3425" t="s">
        <v>2692</v>
      </c>
      <c r="K3425" t="s">
        <v>2693</v>
      </c>
      <c r="L3425" s="13">
        <v>10000</v>
      </c>
      <c r="M3425" t="s">
        <v>2676</v>
      </c>
    </row>
    <row r="3426" spans="1:13">
      <c r="A3426" t="s">
        <v>1499</v>
      </c>
      <c r="B3426" t="s">
        <v>200</v>
      </c>
      <c r="C3426" s="8">
        <v>46112</v>
      </c>
      <c r="D3426" t="s">
        <v>327</v>
      </c>
      <c r="E3426" t="s">
        <v>337</v>
      </c>
      <c r="F3426" s="12">
        <v>156846</v>
      </c>
      <c r="G3426" s="13">
        <v>15</v>
      </c>
      <c r="H3426" t="s">
        <v>2975</v>
      </c>
      <c r="I3426" s="8">
        <v>46008</v>
      </c>
      <c r="J3426" t="s">
        <v>2671</v>
      </c>
      <c r="K3426" t="s">
        <v>2672</v>
      </c>
      <c r="L3426" s="13">
        <v>3000</v>
      </c>
      <c r="M3426" t="s">
        <v>2676</v>
      </c>
    </row>
    <row r="3427" spans="1:13">
      <c r="A3427" t="s">
        <v>1499</v>
      </c>
      <c r="B3427" t="s">
        <v>200</v>
      </c>
      <c r="C3427" s="8">
        <v>46112</v>
      </c>
      <c r="D3427" t="s">
        <v>327</v>
      </c>
      <c r="E3427" t="s">
        <v>337</v>
      </c>
      <c r="F3427" s="12">
        <v>156846</v>
      </c>
      <c r="G3427" s="13">
        <v>15</v>
      </c>
      <c r="H3427" t="s">
        <v>3381</v>
      </c>
      <c r="I3427" s="8">
        <v>46037</v>
      </c>
      <c r="J3427" t="s">
        <v>2663</v>
      </c>
      <c r="K3427" t="s">
        <v>3630</v>
      </c>
      <c r="L3427" s="13">
        <v>1500</v>
      </c>
      <c r="M3427" t="s">
        <v>2661</v>
      </c>
    </row>
    <row r="3428" spans="1:13">
      <c r="A3428" t="s">
        <v>1501</v>
      </c>
      <c r="B3428" t="s">
        <v>245</v>
      </c>
      <c r="C3428" s="8">
        <v>46085</v>
      </c>
      <c r="D3428" t="s">
        <v>350</v>
      </c>
      <c r="E3428" t="s">
        <v>322</v>
      </c>
      <c r="F3428" s="12">
        <v>140753</v>
      </c>
      <c r="G3428" s="13">
        <v>14</v>
      </c>
      <c r="H3428" t="s">
        <v>2927</v>
      </c>
      <c r="I3428" s="8">
        <v>46075</v>
      </c>
      <c r="J3428" t="s">
        <v>2685</v>
      </c>
      <c r="K3428" t="s">
        <v>2686</v>
      </c>
      <c r="L3428" s="13">
        <v>5000</v>
      </c>
      <c r="M3428" t="s">
        <v>2661</v>
      </c>
    </row>
    <row r="3429" spans="1:13">
      <c r="A3429" t="s">
        <v>1501</v>
      </c>
      <c r="B3429" t="s">
        <v>245</v>
      </c>
      <c r="C3429" s="8">
        <v>46085</v>
      </c>
      <c r="D3429" t="s">
        <v>350</v>
      </c>
      <c r="E3429" t="s">
        <v>322</v>
      </c>
      <c r="F3429" s="12">
        <v>140753</v>
      </c>
      <c r="G3429" s="13">
        <v>14</v>
      </c>
      <c r="H3429" t="s">
        <v>3031</v>
      </c>
      <c r="I3429" s="8">
        <v>46124</v>
      </c>
      <c r="J3429" t="s">
        <v>2688</v>
      </c>
      <c r="K3429" t="s">
        <v>2689</v>
      </c>
      <c r="L3429" s="13">
        <v>8000</v>
      </c>
      <c r="M3429" t="s">
        <v>2676</v>
      </c>
    </row>
    <row r="3430" spans="1:13">
      <c r="A3430" t="s">
        <v>1501</v>
      </c>
      <c r="B3430" t="s">
        <v>245</v>
      </c>
      <c r="C3430" s="8">
        <v>46085</v>
      </c>
      <c r="D3430" t="s">
        <v>350</v>
      </c>
      <c r="E3430" t="s">
        <v>322</v>
      </c>
      <c r="F3430" s="12">
        <v>140753</v>
      </c>
      <c r="G3430" s="13">
        <v>14</v>
      </c>
      <c r="H3430" t="s">
        <v>3328</v>
      </c>
      <c r="I3430" s="8">
        <v>45934</v>
      </c>
      <c r="J3430" t="s">
        <v>2668</v>
      </c>
      <c r="K3430" t="s">
        <v>2669</v>
      </c>
      <c r="L3430" s="13">
        <v>4000</v>
      </c>
      <c r="M3430" t="s">
        <v>2661</v>
      </c>
    </row>
    <row r="3431" spans="1:13">
      <c r="A3431" t="s">
        <v>1501</v>
      </c>
      <c r="B3431" t="s">
        <v>245</v>
      </c>
      <c r="C3431" s="8">
        <v>46085</v>
      </c>
      <c r="D3431" t="s">
        <v>350</v>
      </c>
      <c r="E3431" t="s">
        <v>322</v>
      </c>
      <c r="F3431" s="12">
        <v>140753</v>
      </c>
      <c r="G3431" s="13">
        <v>14</v>
      </c>
      <c r="H3431" t="s">
        <v>3343</v>
      </c>
      <c r="I3431" s="8">
        <v>46021</v>
      </c>
      <c r="J3431" t="s">
        <v>2674</v>
      </c>
      <c r="K3431" t="s">
        <v>2675</v>
      </c>
      <c r="L3431" s="13">
        <v>20000</v>
      </c>
      <c r="M3431" t="s">
        <v>2661</v>
      </c>
    </row>
    <row r="3432" spans="1:13">
      <c r="A3432" t="s">
        <v>1502</v>
      </c>
      <c r="B3432" t="s">
        <v>117</v>
      </c>
      <c r="C3432" s="8">
        <v>46188</v>
      </c>
      <c r="D3432" t="s">
        <v>344</v>
      </c>
      <c r="E3432" t="s">
        <v>328</v>
      </c>
      <c r="F3432" s="12">
        <v>557634</v>
      </c>
      <c r="G3432" s="13">
        <v>55</v>
      </c>
      <c r="H3432" t="s">
        <v>2952</v>
      </c>
      <c r="I3432" s="8">
        <v>46155</v>
      </c>
      <c r="J3432" t="s">
        <v>2674</v>
      </c>
      <c r="K3432" t="s">
        <v>2675</v>
      </c>
      <c r="L3432" s="13">
        <v>20000</v>
      </c>
      <c r="M3432" t="s">
        <v>2661</v>
      </c>
    </row>
    <row r="3433" spans="1:13">
      <c r="A3433" t="s">
        <v>1502</v>
      </c>
      <c r="B3433" t="s">
        <v>117</v>
      </c>
      <c r="C3433" s="8">
        <v>46188</v>
      </c>
      <c r="D3433" t="s">
        <v>344</v>
      </c>
      <c r="E3433" t="s">
        <v>328</v>
      </c>
      <c r="F3433" s="12">
        <v>557634</v>
      </c>
      <c r="G3433" s="13">
        <v>55</v>
      </c>
      <c r="H3433" t="s">
        <v>3244</v>
      </c>
      <c r="I3433" s="8">
        <v>45969</v>
      </c>
      <c r="J3433" t="s">
        <v>2663</v>
      </c>
      <c r="K3433" t="s">
        <v>3630</v>
      </c>
      <c r="L3433" s="13">
        <v>1500</v>
      </c>
      <c r="M3433" t="s">
        <v>2661</v>
      </c>
    </row>
    <row r="3434" spans="1:13">
      <c r="A3434" t="s">
        <v>1503</v>
      </c>
      <c r="B3434" t="s">
        <v>51</v>
      </c>
      <c r="C3434" s="8">
        <v>45939</v>
      </c>
      <c r="D3434" t="s">
        <v>327</v>
      </c>
      <c r="E3434" t="s">
        <v>322</v>
      </c>
      <c r="F3434" s="12">
        <v>77559</v>
      </c>
      <c r="G3434" s="13">
        <v>7</v>
      </c>
      <c r="H3434" t="s">
        <v>2800</v>
      </c>
      <c r="I3434" s="8">
        <v>46266</v>
      </c>
      <c r="J3434" t="s">
        <v>2674</v>
      </c>
      <c r="K3434" t="s">
        <v>2675</v>
      </c>
      <c r="L3434" s="13">
        <v>20000</v>
      </c>
      <c r="M3434" t="s">
        <v>2676</v>
      </c>
    </row>
    <row r="3435" spans="1:13">
      <c r="A3435" t="s">
        <v>1503</v>
      </c>
      <c r="B3435" t="s">
        <v>51</v>
      </c>
      <c r="C3435" s="8">
        <v>45939</v>
      </c>
      <c r="D3435" t="s">
        <v>327</v>
      </c>
      <c r="E3435" t="s">
        <v>322</v>
      </c>
      <c r="F3435" s="12">
        <v>77559</v>
      </c>
      <c r="G3435" s="13">
        <v>7</v>
      </c>
      <c r="H3435" t="s">
        <v>3477</v>
      </c>
      <c r="I3435" s="8">
        <v>46036</v>
      </c>
      <c r="J3435" t="s">
        <v>2671</v>
      </c>
      <c r="K3435" t="s">
        <v>2672</v>
      </c>
      <c r="L3435" s="13">
        <v>3000</v>
      </c>
      <c r="M3435" t="s">
        <v>2661</v>
      </c>
    </row>
    <row r="3436" spans="1:13">
      <c r="A3436" t="s">
        <v>1504</v>
      </c>
      <c r="B3436" t="s">
        <v>107</v>
      </c>
      <c r="C3436" s="8">
        <v>45955</v>
      </c>
      <c r="D3436" t="s">
        <v>344</v>
      </c>
      <c r="E3436" t="s">
        <v>322</v>
      </c>
      <c r="F3436" s="12">
        <v>410555</v>
      </c>
      <c r="G3436" s="13">
        <v>41</v>
      </c>
      <c r="H3436" t="s">
        <v>2865</v>
      </c>
      <c r="I3436" s="8">
        <v>46153</v>
      </c>
      <c r="J3436" t="s">
        <v>2692</v>
      </c>
      <c r="K3436" t="s">
        <v>2693</v>
      </c>
      <c r="L3436" s="13">
        <v>10000</v>
      </c>
      <c r="M3436" t="s">
        <v>2676</v>
      </c>
    </row>
    <row r="3437" spans="1:13">
      <c r="A3437" t="s">
        <v>1504</v>
      </c>
      <c r="B3437" t="s">
        <v>107</v>
      </c>
      <c r="C3437" s="8">
        <v>45955</v>
      </c>
      <c r="D3437" t="s">
        <v>344</v>
      </c>
      <c r="E3437" t="s">
        <v>322</v>
      </c>
      <c r="F3437" s="12">
        <v>410555</v>
      </c>
      <c r="G3437" s="13">
        <v>41</v>
      </c>
      <c r="H3437" t="s">
        <v>3214</v>
      </c>
      <c r="I3437" s="8">
        <v>46183</v>
      </c>
      <c r="J3437" t="s">
        <v>2692</v>
      </c>
      <c r="K3437" t="s">
        <v>2693</v>
      </c>
      <c r="L3437" s="13">
        <v>10000</v>
      </c>
      <c r="M3437" t="s">
        <v>2661</v>
      </c>
    </row>
    <row r="3438" spans="1:13">
      <c r="A3438" t="s">
        <v>1504</v>
      </c>
      <c r="B3438" t="s">
        <v>107</v>
      </c>
      <c r="C3438" s="8">
        <v>45955</v>
      </c>
      <c r="D3438" t="s">
        <v>344</v>
      </c>
      <c r="E3438" t="s">
        <v>322</v>
      </c>
      <c r="F3438" s="12">
        <v>410555</v>
      </c>
      <c r="G3438" s="13">
        <v>41</v>
      </c>
      <c r="H3438" t="s">
        <v>3424</v>
      </c>
      <c r="I3438" s="8">
        <v>46007</v>
      </c>
      <c r="J3438" t="s">
        <v>2674</v>
      </c>
      <c r="K3438" t="s">
        <v>2675</v>
      </c>
      <c r="L3438" s="13">
        <v>20000</v>
      </c>
      <c r="M3438" t="s">
        <v>2661</v>
      </c>
    </row>
    <row r="3439" spans="1:13">
      <c r="A3439" t="s">
        <v>1504</v>
      </c>
      <c r="B3439" t="s">
        <v>107</v>
      </c>
      <c r="C3439" s="8">
        <v>45955</v>
      </c>
      <c r="D3439" t="s">
        <v>344</v>
      </c>
      <c r="E3439" t="s">
        <v>322</v>
      </c>
      <c r="F3439" s="12">
        <v>410555</v>
      </c>
      <c r="G3439" s="13">
        <v>41</v>
      </c>
      <c r="H3439" t="s">
        <v>3569</v>
      </c>
      <c r="I3439" s="8">
        <v>45938</v>
      </c>
      <c r="J3439" t="s">
        <v>2692</v>
      </c>
      <c r="K3439" t="s">
        <v>2693</v>
      </c>
      <c r="L3439" s="13">
        <v>10000</v>
      </c>
      <c r="M3439" t="s">
        <v>2661</v>
      </c>
    </row>
    <row r="3440" spans="1:13">
      <c r="A3440" t="s">
        <v>1505</v>
      </c>
      <c r="B3440" t="s">
        <v>216</v>
      </c>
      <c r="C3440" s="8">
        <v>46251</v>
      </c>
      <c r="D3440" t="s">
        <v>350</v>
      </c>
      <c r="E3440" t="s">
        <v>339</v>
      </c>
      <c r="F3440" s="12">
        <v>561902</v>
      </c>
      <c r="G3440" s="13">
        <v>56</v>
      </c>
      <c r="H3440" t="s">
        <v>2728</v>
      </c>
      <c r="I3440" s="8">
        <v>46229</v>
      </c>
      <c r="J3440" t="s">
        <v>2674</v>
      </c>
      <c r="K3440" t="s">
        <v>2675</v>
      </c>
      <c r="L3440" s="13">
        <v>20000</v>
      </c>
      <c r="M3440" t="s">
        <v>2661</v>
      </c>
    </row>
    <row r="3441" spans="1:13">
      <c r="A3441" t="s">
        <v>1505</v>
      </c>
      <c r="B3441" t="s">
        <v>216</v>
      </c>
      <c r="C3441" s="8">
        <v>46251</v>
      </c>
      <c r="D3441" t="s">
        <v>350</v>
      </c>
      <c r="E3441" t="s">
        <v>339</v>
      </c>
      <c r="F3441" s="12">
        <v>561902</v>
      </c>
      <c r="G3441" s="13">
        <v>56</v>
      </c>
      <c r="H3441" t="s">
        <v>3213</v>
      </c>
      <c r="I3441" s="8">
        <v>46222</v>
      </c>
      <c r="J3441" t="s">
        <v>2665</v>
      </c>
      <c r="K3441" t="s">
        <v>2666</v>
      </c>
      <c r="L3441" s="13">
        <v>2500</v>
      </c>
      <c r="M3441" t="s">
        <v>2676</v>
      </c>
    </row>
    <row r="3442" spans="1:13">
      <c r="A3442" t="s">
        <v>1505</v>
      </c>
      <c r="B3442" t="s">
        <v>216</v>
      </c>
      <c r="C3442" s="8">
        <v>46251</v>
      </c>
      <c r="D3442" t="s">
        <v>350</v>
      </c>
      <c r="E3442" t="s">
        <v>339</v>
      </c>
      <c r="F3442" s="12">
        <v>561902</v>
      </c>
      <c r="G3442" s="13">
        <v>56</v>
      </c>
      <c r="H3442" t="s">
        <v>3233</v>
      </c>
      <c r="I3442" s="8">
        <v>46169</v>
      </c>
      <c r="J3442" t="s">
        <v>2692</v>
      </c>
      <c r="K3442" t="s">
        <v>2693</v>
      </c>
      <c r="L3442" s="13">
        <v>10000</v>
      </c>
      <c r="M3442" t="s">
        <v>2661</v>
      </c>
    </row>
    <row r="3443" spans="1:13">
      <c r="A3443" t="s">
        <v>1505</v>
      </c>
      <c r="B3443" t="s">
        <v>216</v>
      </c>
      <c r="C3443" s="8">
        <v>46251</v>
      </c>
      <c r="D3443" t="s">
        <v>350</v>
      </c>
      <c r="E3443" t="s">
        <v>339</v>
      </c>
      <c r="F3443" s="12">
        <v>561902</v>
      </c>
      <c r="G3443" s="13">
        <v>56</v>
      </c>
      <c r="H3443" t="s">
        <v>3340</v>
      </c>
      <c r="I3443" s="8">
        <v>46104</v>
      </c>
      <c r="J3443" t="s">
        <v>2665</v>
      </c>
      <c r="K3443" t="s">
        <v>2666</v>
      </c>
      <c r="L3443" s="13">
        <v>2500</v>
      </c>
      <c r="M3443" t="s">
        <v>2676</v>
      </c>
    </row>
    <row r="3444" spans="1:13">
      <c r="A3444" t="s">
        <v>1505</v>
      </c>
      <c r="B3444" t="s">
        <v>216</v>
      </c>
      <c r="C3444" s="8">
        <v>46251</v>
      </c>
      <c r="D3444" t="s">
        <v>350</v>
      </c>
      <c r="E3444" t="s">
        <v>339</v>
      </c>
      <c r="F3444" s="12">
        <v>561902</v>
      </c>
      <c r="G3444" s="13">
        <v>56</v>
      </c>
      <c r="H3444" t="s">
        <v>3391</v>
      </c>
      <c r="I3444" s="8">
        <v>46196</v>
      </c>
      <c r="J3444" t="s">
        <v>2671</v>
      </c>
      <c r="K3444" t="s">
        <v>2672</v>
      </c>
      <c r="L3444" s="13">
        <v>3000</v>
      </c>
      <c r="M3444" t="s">
        <v>2661</v>
      </c>
    </row>
    <row r="3445" spans="1:13">
      <c r="A3445" t="s">
        <v>1506</v>
      </c>
      <c r="B3445" t="s">
        <v>275</v>
      </c>
      <c r="C3445" s="8">
        <v>46189</v>
      </c>
      <c r="D3445" t="s">
        <v>344</v>
      </c>
      <c r="E3445" t="s">
        <v>325</v>
      </c>
      <c r="F3445" s="12">
        <v>381489</v>
      </c>
      <c r="G3445" s="13">
        <v>38</v>
      </c>
      <c r="H3445" t="s">
        <v>2769</v>
      </c>
      <c r="I3445" s="8">
        <v>45949</v>
      </c>
      <c r="J3445" t="s">
        <v>2659</v>
      </c>
      <c r="K3445" t="s">
        <v>2660</v>
      </c>
      <c r="L3445" s="13">
        <v>3500</v>
      </c>
      <c r="M3445" t="s">
        <v>2661</v>
      </c>
    </row>
    <row r="3446" spans="1:13">
      <c r="A3446" t="s">
        <v>1506</v>
      </c>
      <c r="B3446" t="s">
        <v>275</v>
      </c>
      <c r="C3446" s="8">
        <v>46189</v>
      </c>
      <c r="D3446" t="s">
        <v>344</v>
      </c>
      <c r="E3446" t="s">
        <v>325</v>
      </c>
      <c r="F3446" s="12">
        <v>381489</v>
      </c>
      <c r="G3446" s="13">
        <v>38</v>
      </c>
      <c r="H3446" t="s">
        <v>2812</v>
      </c>
      <c r="I3446" s="8">
        <v>46037</v>
      </c>
      <c r="J3446" t="s">
        <v>2671</v>
      </c>
      <c r="K3446" t="s">
        <v>2672</v>
      </c>
      <c r="L3446" s="13">
        <v>3000</v>
      </c>
      <c r="M3446" t="s">
        <v>2661</v>
      </c>
    </row>
    <row r="3447" spans="1:13">
      <c r="A3447" t="s">
        <v>1506</v>
      </c>
      <c r="B3447" t="s">
        <v>275</v>
      </c>
      <c r="C3447" s="8">
        <v>46189</v>
      </c>
      <c r="D3447" t="s">
        <v>344</v>
      </c>
      <c r="E3447" t="s">
        <v>325</v>
      </c>
      <c r="F3447" s="12">
        <v>381489</v>
      </c>
      <c r="G3447" s="13">
        <v>38</v>
      </c>
      <c r="H3447" t="s">
        <v>2988</v>
      </c>
      <c r="I3447" s="8">
        <v>45949</v>
      </c>
      <c r="J3447" t="s">
        <v>2692</v>
      </c>
      <c r="K3447" t="s">
        <v>2693</v>
      </c>
      <c r="L3447" s="13">
        <v>10000</v>
      </c>
      <c r="M3447" t="s">
        <v>2661</v>
      </c>
    </row>
    <row r="3448" spans="1:13">
      <c r="A3448" t="s">
        <v>1506</v>
      </c>
      <c r="B3448" t="s">
        <v>275</v>
      </c>
      <c r="C3448" s="8">
        <v>46189</v>
      </c>
      <c r="D3448" t="s">
        <v>344</v>
      </c>
      <c r="E3448" t="s">
        <v>325</v>
      </c>
      <c r="F3448" s="12">
        <v>381489</v>
      </c>
      <c r="G3448" s="13">
        <v>38</v>
      </c>
      <c r="H3448" t="s">
        <v>3251</v>
      </c>
      <c r="I3448" s="8">
        <v>46059</v>
      </c>
      <c r="J3448" t="s">
        <v>2685</v>
      </c>
      <c r="K3448" t="s">
        <v>2686</v>
      </c>
      <c r="L3448" s="13">
        <v>5000</v>
      </c>
      <c r="M3448" t="s">
        <v>2661</v>
      </c>
    </row>
    <row r="3449" spans="1:13">
      <c r="A3449" t="s">
        <v>1506</v>
      </c>
      <c r="B3449" t="s">
        <v>275</v>
      </c>
      <c r="C3449" s="8">
        <v>46189</v>
      </c>
      <c r="D3449" t="s">
        <v>344</v>
      </c>
      <c r="E3449" t="s">
        <v>325</v>
      </c>
      <c r="F3449" s="12">
        <v>381489</v>
      </c>
      <c r="G3449" s="13">
        <v>38</v>
      </c>
      <c r="H3449" t="s">
        <v>3366</v>
      </c>
      <c r="I3449" s="8">
        <v>46230</v>
      </c>
      <c r="J3449" t="s">
        <v>2671</v>
      </c>
      <c r="K3449" t="s">
        <v>2672</v>
      </c>
      <c r="L3449" s="13">
        <v>3000</v>
      </c>
      <c r="M3449" t="s">
        <v>2661</v>
      </c>
    </row>
    <row r="3450" spans="1:13">
      <c r="A3450" t="s">
        <v>1507</v>
      </c>
      <c r="B3450" t="s">
        <v>30</v>
      </c>
      <c r="C3450" s="8">
        <v>46010</v>
      </c>
      <c r="D3450" t="s">
        <v>350</v>
      </c>
      <c r="E3450" t="s">
        <v>339</v>
      </c>
      <c r="F3450" s="12">
        <v>265283</v>
      </c>
      <c r="G3450" s="13">
        <v>26</v>
      </c>
      <c r="H3450" t="s">
        <v>2658</v>
      </c>
      <c r="I3450" s="8">
        <v>46259</v>
      </c>
      <c r="J3450" t="s">
        <v>2659</v>
      </c>
      <c r="K3450" t="s">
        <v>2660</v>
      </c>
      <c r="L3450" s="13">
        <v>3500</v>
      </c>
      <c r="M3450" t="s">
        <v>2661</v>
      </c>
    </row>
    <row r="3451" spans="1:13">
      <c r="A3451" t="s">
        <v>1507</v>
      </c>
      <c r="B3451" t="s">
        <v>30</v>
      </c>
      <c r="C3451" s="8">
        <v>46010</v>
      </c>
      <c r="D3451" t="s">
        <v>350</v>
      </c>
      <c r="E3451" t="s">
        <v>339</v>
      </c>
      <c r="F3451" s="12">
        <v>265283</v>
      </c>
      <c r="G3451" s="13">
        <v>26</v>
      </c>
      <c r="H3451" t="s">
        <v>2756</v>
      </c>
      <c r="I3451" s="8">
        <v>45953</v>
      </c>
      <c r="J3451" t="s">
        <v>2688</v>
      </c>
      <c r="K3451" t="s">
        <v>2689</v>
      </c>
      <c r="L3451" s="13">
        <v>8000</v>
      </c>
      <c r="M3451" t="s">
        <v>2661</v>
      </c>
    </row>
    <row r="3452" spans="1:13">
      <c r="A3452" t="s">
        <v>1508</v>
      </c>
      <c r="B3452" t="s">
        <v>278</v>
      </c>
      <c r="C3452" s="8">
        <v>46067</v>
      </c>
      <c r="D3452" t="s">
        <v>332</v>
      </c>
      <c r="E3452" t="s">
        <v>334</v>
      </c>
      <c r="F3452" s="12">
        <v>287864</v>
      </c>
      <c r="G3452" s="13">
        <v>28</v>
      </c>
      <c r="H3452" t="s">
        <v>2818</v>
      </c>
      <c r="I3452" s="8">
        <v>45998</v>
      </c>
      <c r="J3452" t="s">
        <v>2685</v>
      </c>
      <c r="K3452" t="s">
        <v>2686</v>
      </c>
      <c r="L3452" s="13">
        <v>5000</v>
      </c>
      <c r="M3452" t="s">
        <v>2661</v>
      </c>
    </row>
    <row r="3453" spans="1:13">
      <c r="A3453" t="s">
        <v>1508</v>
      </c>
      <c r="B3453" t="s">
        <v>278</v>
      </c>
      <c r="C3453" s="8">
        <v>46067</v>
      </c>
      <c r="D3453" t="s">
        <v>332</v>
      </c>
      <c r="E3453" t="s">
        <v>334</v>
      </c>
      <c r="F3453" s="12">
        <v>287864</v>
      </c>
      <c r="G3453" s="13">
        <v>28</v>
      </c>
      <c r="H3453" t="s">
        <v>3083</v>
      </c>
      <c r="I3453" s="8">
        <v>46001</v>
      </c>
      <c r="J3453" t="s">
        <v>2671</v>
      </c>
      <c r="K3453" t="s">
        <v>2672</v>
      </c>
      <c r="L3453" s="13">
        <v>3000</v>
      </c>
      <c r="M3453" t="s">
        <v>2676</v>
      </c>
    </row>
    <row r="3454" spans="1:13">
      <c r="A3454" t="s">
        <v>1508</v>
      </c>
      <c r="B3454" t="s">
        <v>278</v>
      </c>
      <c r="C3454" s="8">
        <v>46067</v>
      </c>
      <c r="D3454" t="s">
        <v>332</v>
      </c>
      <c r="E3454" t="s">
        <v>334</v>
      </c>
      <c r="F3454" s="12">
        <v>287864</v>
      </c>
      <c r="G3454" s="13">
        <v>28</v>
      </c>
      <c r="H3454" t="s">
        <v>3093</v>
      </c>
      <c r="I3454" s="8">
        <v>46073</v>
      </c>
      <c r="J3454" t="s">
        <v>2668</v>
      </c>
      <c r="K3454" t="s">
        <v>2669</v>
      </c>
      <c r="L3454" s="13">
        <v>4000</v>
      </c>
      <c r="M3454" t="s">
        <v>2661</v>
      </c>
    </row>
    <row r="3455" spans="1:13">
      <c r="A3455" t="s">
        <v>1509</v>
      </c>
      <c r="B3455" t="s">
        <v>285</v>
      </c>
      <c r="C3455" s="8">
        <v>46221</v>
      </c>
      <c r="D3455" t="s">
        <v>350</v>
      </c>
      <c r="E3455" t="s">
        <v>328</v>
      </c>
      <c r="F3455" s="12">
        <v>599564</v>
      </c>
      <c r="G3455" s="13">
        <v>59</v>
      </c>
      <c r="H3455" t="s">
        <v>2745</v>
      </c>
      <c r="I3455" s="8">
        <v>46274</v>
      </c>
      <c r="J3455" t="s">
        <v>2682</v>
      </c>
      <c r="K3455" t="s">
        <v>2683</v>
      </c>
      <c r="L3455" s="13">
        <v>6000</v>
      </c>
      <c r="M3455" t="s">
        <v>2661</v>
      </c>
    </row>
    <row r="3456" spans="1:13">
      <c r="A3456" t="s">
        <v>1510</v>
      </c>
      <c r="B3456" t="s">
        <v>18</v>
      </c>
      <c r="C3456" s="8">
        <v>45954</v>
      </c>
      <c r="D3456" t="s">
        <v>344</v>
      </c>
      <c r="E3456" t="s">
        <v>334</v>
      </c>
      <c r="F3456" s="12">
        <v>359368</v>
      </c>
      <c r="G3456" s="13">
        <v>35</v>
      </c>
      <c r="H3456" t="s">
        <v>2899</v>
      </c>
      <c r="I3456" s="8">
        <v>46227</v>
      </c>
      <c r="J3456" t="s">
        <v>2665</v>
      </c>
      <c r="K3456" t="s">
        <v>2666</v>
      </c>
      <c r="L3456" s="13">
        <v>2500</v>
      </c>
      <c r="M3456" t="s">
        <v>2676</v>
      </c>
    </row>
    <row r="3457" spans="1:13">
      <c r="A3457" t="s">
        <v>1510</v>
      </c>
      <c r="B3457" t="s">
        <v>18</v>
      </c>
      <c r="C3457" s="8">
        <v>45954</v>
      </c>
      <c r="D3457" t="s">
        <v>344</v>
      </c>
      <c r="E3457" t="s">
        <v>334</v>
      </c>
      <c r="F3457" s="12">
        <v>359368</v>
      </c>
      <c r="G3457" s="13">
        <v>35</v>
      </c>
      <c r="H3457" t="s">
        <v>3087</v>
      </c>
      <c r="I3457" s="8">
        <v>45976</v>
      </c>
      <c r="J3457" t="s">
        <v>2659</v>
      </c>
      <c r="K3457" t="s">
        <v>2660</v>
      </c>
      <c r="L3457" s="13">
        <v>3500</v>
      </c>
      <c r="M3457" t="s">
        <v>2676</v>
      </c>
    </row>
    <row r="3458" spans="1:13">
      <c r="A3458" t="s">
        <v>1511</v>
      </c>
      <c r="B3458" t="s">
        <v>256</v>
      </c>
      <c r="C3458" s="8">
        <v>46255</v>
      </c>
      <c r="D3458" t="s">
        <v>324</v>
      </c>
      <c r="E3458" t="s">
        <v>339</v>
      </c>
      <c r="F3458" s="12">
        <v>500142</v>
      </c>
      <c r="G3458" s="13">
        <v>50</v>
      </c>
      <c r="H3458" t="s">
        <v>3289</v>
      </c>
      <c r="I3458" s="8">
        <v>46146</v>
      </c>
      <c r="J3458" t="s">
        <v>2659</v>
      </c>
      <c r="K3458" t="s">
        <v>2660</v>
      </c>
      <c r="L3458" s="13">
        <v>3500</v>
      </c>
      <c r="M3458" t="s">
        <v>2661</v>
      </c>
    </row>
    <row r="3459" spans="1:13">
      <c r="A3459" t="s">
        <v>1512</v>
      </c>
      <c r="B3459" t="s">
        <v>233</v>
      </c>
      <c r="C3459" s="8">
        <v>46175</v>
      </c>
      <c r="D3459" t="s">
        <v>350</v>
      </c>
      <c r="E3459" t="s">
        <v>339</v>
      </c>
      <c r="F3459" s="12">
        <v>427248</v>
      </c>
      <c r="G3459" s="13">
        <v>42</v>
      </c>
      <c r="H3459" t="s">
        <v>2912</v>
      </c>
      <c r="I3459" s="8">
        <v>46184</v>
      </c>
      <c r="J3459" t="s">
        <v>2688</v>
      </c>
      <c r="K3459" t="s">
        <v>2689</v>
      </c>
      <c r="L3459" s="13">
        <v>8000</v>
      </c>
      <c r="M3459" t="s">
        <v>2676</v>
      </c>
    </row>
    <row r="3460" spans="1:13">
      <c r="A3460" t="s">
        <v>1512</v>
      </c>
      <c r="B3460" t="s">
        <v>233</v>
      </c>
      <c r="C3460" s="8">
        <v>46175</v>
      </c>
      <c r="D3460" t="s">
        <v>350</v>
      </c>
      <c r="E3460" t="s">
        <v>339</v>
      </c>
      <c r="F3460" s="12">
        <v>427248</v>
      </c>
      <c r="G3460" s="13">
        <v>42</v>
      </c>
      <c r="H3460" t="s">
        <v>3508</v>
      </c>
      <c r="I3460" s="8">
        <v>46183</v>
      </c>
      <c r="J3460" t="s">
        <v>2671</v>
      </c>
      <c r="K3460" t="s">
        <v>2672</v>
      </c>
      <c r="L3460" s="13">
        <v>3000</v>
      </c>
      <c r="M3460" t="s">
        <v>2661</v>
      </c>
    </row>
    <row r="3461" spans="1:13">
      <c r="A3461" t="s">
        <v>1513</v>
      </c>
      <c r="B3461" t="s">
        <v>140</v>
      </c>
      <c r="C3461" s="8">
        <v>46262</v>
      </c>
      <c r="D3461" t="s">
        <v>324</v>
      </c>
      <c r="E3461" t="s">
        <v>334</v>
      </c>
      <c r="F3461" s="12">
        <v>138157</v>
      </c>
      <c r="G3461" s="13">
        <v>13</v>
      </c>
      <c r="H3461" t="s">
        <v>3192</v>
      </c>
      <c r="I3461" s="8">
        <v>46206</v>
      </c>
      <c r="J3461" t="s">
        <v>2682</v>
      </c>
      <c r="K3461" t="s">
        <v>2683</v>
      </c>
      <c r="L3461" s="13">
        <v>6000</v>
      </c>
      <c r="M3461" t="s">
        <v>2661</v>
      </c>
    </row>
    <row r="3462" spans="1:13">
      <c r="A3462" t="s">
        <v>1514</v>
      </c>
      <c r="B3462" t="s">
        <v>8</v>
      </c>
      <c r="C3462" s="8">
        <v>45954</v>
      </c>
      <c r="D3462" t="s">
        <v>327</v>
      </c>
      <c r="E3462" t="s">
        <v>322</v>
      </c>
      <c r="F3462" s="12">
        <v>467803</v>
      </c>
      <c r="G3462" s="13">
        <v>46</v>
      </c>
      <c r="H3462" t="s">
        <v>3033</v>
      </c>
      <c r="I3462" s="8">
        <v>46098</v>
      </c>
      <c r="J3462" t="s">
        <v>2659</v>
      </c>
      <c r="K3462" t="s">
        <v>2660</v>
      </c>
      <c r="L3462" s="13">
        <v>3500</v>
      </c>
      <c r="M3462" t="s">
        <v>2676</v>
      </c>
    </row>
    <row r="3463" spans="1:13">
      <c r="A3463" t="s">
        <v>1514</v>
      </c>
      <c r="B3463" t="s">
        <v>8</v>
      </c>
      <c r="C3463" s="8">
        <v>45954</v>
      </c>
      <c r="D3463" t="s">
        <v>327</v>
      </c>
      <c r="E3463" t="s">
        <v>322</v>
      </c>
      <c r="F3463" s="12">
        <v>467803</v>
      </c>
      <c r="G3463" s="13">
        <v>46</v>
      </c>
      <c r="H3463" t="s">
        <v>3159</v>
      </c>
      <c r="I3463" s="8">
        <v>46079</v>
      </c>
      <c r="J3463" t="s">
        <v>2659</v>
      </c>
      <c r="K3463" t="s">
        <v>2660</v>
      </c>
      <c r="L3463" s="13">
        <v>3500</v>
      </c>
      <c r="M3463" t="s">
        <v>2661</v>
      </c>
    </row>
    <row r="3464" spans="1:13">
      <c r="A3464" t="s">
        <v>1514</v>
      </c>
      <c r="B3464" t="s">
        <v>8</v>
      </c>
      <c r="C3464" s="8">
        <v>45954</v>
      </c>
      <c r="D3464" t="s">
        <v>327</v>
      </c>
      <c r="E3464" t="s">
        <v>322</v>
      </c>
      <c r="F3464" s="12">
        <v>467803</v>
      </c>
      <c r="G3464" s="13">
        <v>46</v>
      </c>
      <c r="H3464" t="s">
        <v>3184</v>
      </c>
      <c r="I3464" s="8">
        <v>46261</v>
      </c>
      <c r="J3464" t="s">
        <v>2685</v>
      </c>
      <c r="K3464" t="s">
        <v>2686</v>
      </c>
      <c r="L3464" s="13">
        <v>5000</v>
      </c>
      <c r="M3464" t="s">
        <v>2661</v>
      </c>
    </row>
    <row r="3465" spans="1:13">
      <c r="A3465" t="s">
        <v>1514</v>
      </c>
      <c r="B3465" t="s">
        <v>8</v>
      </c>
      <c r="C3465" s="8">
        <v>45954</v>
      </c>
      <c r="D3465" t="s">
        <v>327</v>
      </c>
      <c r="E3465" t="s">
        <v>322</v>
      </c>
      <c r="F3465" s="12">
        <v>467803</v>
      </c>
      <c r="G3465" s="13">
        <v>46</v>
      </c>
      <c r="H3465" t="s">
        <v>3303</v>
      </c>
      <c r="I3465" s="8">
        <v>46196</v>
      </c>
      <c r="J3465" t="s">
        <v>2682</v>
      </c>
      <c r="K3465" t="s">
        <v>2683</v>
      </c>
      <c r="L3465" s="13">
        <v>6000</v>
      </c>
      <c r="M3465" t="s">
        <v>2676</v>
      </c>
    </row>
    <row r="3466" spans="1:13">
      <c r="A3466" t="s">
        <v>1514</v>
      </c>
      <c r="B3466" t="s">
        <v>8</v>
      </c>
      <c r="C3466" s="8">
        <v>45954</v>
      </c>
      <c r="D3466" t="s">
        <v>327</v>
      </c>
      <c r="E3466" t="s">
        <v>322</v>
      </c>
      <c r="F3466" s="12">
        <v>467803</v>
      </c>
      <c r="G3466" s="13">
        <v>46</v>
      </c>
      <c r="H3466" t="s">
        <v>3353</v>
      </c>
      <c r="I3466" s="8">
        <v>45991</v>
      </c>
      <c r="J3466" t="s">
        <v>2659</v>
      </c>
      <c r="K3466" t="s">
        <v>2660</v>
      </c>
      <c r="L3466" s="13">
        <v>3500</v>
      </c>
      <c r="M3466" t="s">
        <v>2661</v>
      </c>
    </row>
    <row r="3467" spans="1:13">
      <c r="A3467" t="s">
        <v>1515</v>
      </c>
      <c r="B3467" t="s">
        <v>184</v>
      </c>
      <c r="C3467" s="8">
        <v>46004</v>
      </c>
      <c r="D3467" t="s">
        <v>350</v>
      </c>
      <c r="E3467" t="s">
        <v>339</v>
      </c>
      <c r="F3467" s="12">
        <v>90575</v>
      </c>
      <c r="G3467" s="13">
        <v>9</v>
      </c>
      <c r="H3467" t="s">
        <v>3030</v>
      </c>
      <c r="I3467" s="8">
        <v>46275</v>
      </c>
      <c r="J3467" t="s">
        <v>2692</v>
      </c>
      <c r="K3467" t="s">
        <v>2693</v>
      </c>
      <c r="L3467" s="13">
        <v>10000</v>
      </c>
      <c r="M3467" t="s">
        <v>2661</v>
      </c>
    </row>
    <row r="3468" spans="1:13">
      <c r="A3468" t="s">
        <v>1515</v>
      </c>
      <c r="B3468" t="s">
        <v>184</v>
      </c>
      <c r="C3468" s="8">
        <v>46004</v>
      </c>
      <c r="D3468" t="s">
        <v>350</v>
      </c>
      <c r="E3468" t="s">
        <v>339</v>
      </c>
      <c r="F3468" s="12">
        <v>90575</v>
      </c>
      <c r="G3468" s="13">
        <v>9</v>
      </c>
      <c r="H3468" t="s">
        <v>3284</v>
      </c>
      <c r="I3468" s="8">
        <v>46235</v>
      </c>
      <c r="J3468" t="s">
        <v>2688</v>
      </c>
      <c r="K3468" t="s">
        <v>2689</v>
      </c>
      <c r="L3468" s="13">
        <v>8000</v>
      </c>
      <c r="M3468" t="s">
        <v>2661</v>
      </c>
    </row>
    <row r="3469" spans="1:13">
      <c r="A3469" t="s">
        <v>1515</v>
      </c>
      <c r="B3469" t="s">
        <v>184</v>
      </c>
      <c r="C3469" s="8">
        <v>46004</v>
      </c>
      <c r="D3469" t="s">
        <v>350</v>
      </c>
      <c r="E3469" t="s">
        <v>339</v>
      </c>
      <c r="F3469" s="12">
        <v>90575</v>
      </c>
      <c r="G3469" s="13">
        <v>9</v>
      </c>
      <c r="H3469" t="s">
        <v>3311</v>
      </c>
      <c r="I3469" s="8">
        <v>46027</v>
      </c>
      <c r="J3469" t="s">
        <v>2668</v>
      </c>
      <c r="K3469" t="s">
        <v>2669</v>
      </c>
      <c r="L3469" s="13">
        <v>4000</v>
      </c>
      <c r="M3469" t="s">
        <v>2661</v>
      </c>
    </row>
    <row r="3470" spans="1:13">
      <c r="A3470" t="s">
        <v>1515</v>
      </c>
      <c r="B3470" t="s">
        <v>184</v>
      </c>
      <c r="C3470" s="8">
        <v>46004</v>
      </c>
      <c r="D3470" t="s">
        <v>350</v>
      </c>
      <c r="E3470" t="s">
        <v>339</v>
      </c>
      <c r="F3470" s="12">
        <v>90575</v>
      </c>
      <c r="G3470" s="13">
        <v>9</v>
      </c>
      <c r="H3470" t="s">
        <v>3417</v>
      </c>
      <c r="I3470" s="8">
        <v>46001</v>
      </c>
      <c r="J3470" t="s">
        <v>2663</v>
      </c>
      <c r="K3470" t="s">
        <v>3630</v>
      </c>
      <c r="L3470" s="13">
        <v>1500</v>
      </c>
      <c r="M3470" t="s">
        <v>2676</v>
      </c>
    </row>
    <row r="3471" spans="1:13">
      <c r="A3471" t="s">
        <v>1515</v>
      </c>
      <c r="B3471" t="s">
        <v>184</v>
      </c>
      <c r="C3471" s="8">
        <v>46004</v>
      </c>
      <c r="D3471" t="s">
        <v>350</v>
      </c>
      <c r="E3471" t="s">
        <v>339</v>
      </c>
      <c r="F3471" s="12">
        <v>90575</v>
      </c>
      <c r="G3471" s="13">
        <v>9</v>
      </c>
      <c r="H3471" t="s">
        <v>3456</v>
      </c>
      <c r="I3471" s="8">
        <v>46099</v>
      </c>
      <c r="J3471" t="s">
        <v>2682</v>
      </c>
      <c r="K3471" t="s">
        <v>2683</v>
      </c>
      <c r="L3471" s="13">
        <v>6000</v>
      </c>
      <c r="M3471" t="s">
        <v>2676</v>
      </c>
    </row>
    <row r="3472" spans="1:13">
      <c r="A3472" t="s">
        <v>1516</v>
      </c>
      <c r="B3472" t="s">
        <v>47</v>
      </c>
      <c r="C3472" s="8">
        <v>45973</v>
      </c>
      <c r="D3472" t="s">
        <v>350</v>
      </c>
      <c r="E3472" t="s">
        <v>334</v>
      </c>
      <c r="F3472" s="12">
        <v>806181</v>
      </c>
      <c r="G3472" s="13">
        <v>80</v>
      </c>
      <c r="H3472" t="s">
        <v>3291</v>
      </c>
      <c r="I3472" s="8">
        <v>46026</v>
      </c>
      <c r="J3472" t="s">
        <v>2674</v>
      </c>
      <c r="K3472" t="s">
        <v>2675</v>
      </c>
      <c r="L3472" s="13">
        <v>20000</v>
      </c>
      <c r="M3472" t="s">
        <v>2661</v>
      </c>
    </row>
    <row r="3473" spans="1:13">
      <c r="A3473" t="s">
        <v>1517</v>
      </c>
      <c r="B3473" t="s">
        <v>179</v>
      </c>
      <c r="C3473" s="8">
        <v>46171</v>
      </c>
      <c r="D3473" t="s">
        <v>321</v>
      </c>
      <c r="E3473" t="s">
        <v>322</v>
      </c>
      <c r="F3473" s="12">
        <v>340493</v>
      </c>
      <c r="G3473" s="13">
        <v>34</v>
      </c>
      <c r="H3473" t="s">
        <v>2677</v>
      </c>
      <c r="I3473" s="8">
        <v>45973</v>
      </c>
      <c r="J3473" t="s">
        <v>2663</v>
      </c>
      <c r="K3473" t="s">
        <v>3630</v>
      </c>
      <c r="L3473" s="13">
        <v>1500</v>
      </c>
      <c r="M3473" t="s">
        <v>2661</v>
      </c>
    </row>
    <row r="3474" spans="1:13">
      <c r="A3474" t="s">
        <v>1517</v>
      </c>
      <c r="B3474" t="s">
        <v>179</v>
      </c>
      <c r="C3474" s="8">
        <v>46171</v>
      </c>
      <c r="D3474" t="s">
        <v>321</v>
      </c>
      <c r="E3474" t="s">
        <v>322</v>
      </c>
      <c r="F3474" s="12">
        <v>340493</v>
      </c>
      <c r="G3474" s="13">
        <v>34</v>
      </c>
      <c r="H3474" t="s">
        <v>2695</v>
      </c>
      <c r="I3474" s="8">
        <v>46143</v>
      </c>
      <c r="J3474" t="s">
        <v>2671</v>
      </c>
      <c r="K3474" t="s">
        <v>2672</v>
      </c>
      <c r="L3474" s="13">
        <v>3000</v>
      </c>
      <c r="M3474" t="s">
        <v>2661</v>
      </c>
    </row>
    <row r="3475" spans="1:13">
      <c r="A3475" t="s">
        <v>1518</v>
      </c>
      <c r="B3475" t="s">
        <v>61</v>
      </c>
      <c r="C3475" s="8">
        <v>46188</v>
      </c>
      <c r="D3475" t="s">
        <v>344</v>
      </c>
      <c r="E3475" t="s">
        <v>322</v>
      </c>
      <c r="F3475" s="12">
        <v>647930</v>
      </c>
      <c r="G3475" s="13">
        <v>64</v>
      </c>
      <c r="H3475" t="s">
        <v>2681</v>
      </c>
      <c r="I3475" s="8">
        <v>46094</v>
      </c>
      <c r="J3475" t="s">
        <v>2682</v>
      </c>
      <c r="K3475" t="s">
        <v>2683</v>
      </c>
      <c r="L3475" s="13">
        <v>6000</v>
      </c>
      <c r="M3475" t="s">
        <v>2661</v>
      </c>
    </row>
    <row r="3476" spans="1:13">
      <c r="A3476" t="s">
        <v>1518</v>
      </c>
      <c r="B3476" t="s">
        <v>61</v>
      </c>
      <c r="C3476" s="8">
        <v>46188</v>
      </c>
      <c r="D3476" t="s">
        <v>344</v>
      </c>
      <c r="E3476" t="s">
        <v>322</v>
      </c>
      <c r="F3476" s="12">
        <v>647930</v>
      </c>
      <c r="G3476" s="13">
        <v>64</v>
      </c>
      <c r="H3476" t="s">
        <v>2959</v>
      </c>
      <c r="I3476" s="8">
        <v>46036</v>
      </c>
      <c r="J3476" t="s">
        <v>2692</v>
      </c>
      <c r="K3476" t="s">
        <v>2693</v>
      </c>
      <c r="L3476" s="13">
        <v>10000</v>
      </c>
      <c r="M3476" t="s">
        <v>2661</v>
      </c>
    </row>
    <row r="3477" spans="1:13">
      <c r="A3477" t="s">
        <v>1518</v>
      </c>
      <c r="B3477" t="s">
        <v>61</v>
      </c>
      <c r="C3477" s="8">
        <v>46188</v>
      </c>
      <c r="D3477" t="s">
        <v>344</v>
      </c>
      <c r="E3477" t="s">
        <v>322</v>
      </c>
      <c r="F3477" s="12">
        <v>647930</v>
      </c>
      <c r="G3477" s="13">
        <v>64</v>
      </c>
      <c r="H3477" t="s">
        <v>3466</v>
      </c>
      <c r="I3477" s="8">
        <v>46050</v>
      </c>
      <c r="J3477" t="s">
        <v>2659</v>
      </c>
      <c r="K3477" t="s">
        <v>2660</v>
      </c>
      <c r="L3477" s="13">
        <v>3500</v>
      </c>
      <c r="M3477" t="s">
        <v>2661</v>
      </c>
    </row>
    <row r="3478" spans="1:13">
      <c r="A3478" t="s">
        <v>1518</v>
      </c>
      <c r="B3478" t="s">
        <v>61</v>
      </c>
      <c r="C3478" s="8">
        <v>46188</v>
      </c>
      <c r="D3478" t="s">
        <v>344</v>
      </c>
      <c r="E3478" t="s">
        <v>322</v>
      </c>
      <c r="F3478" s="12">
        <v>647930</v>
      </c>
      <c r="G3478" s="13">
        <v>64</v>
      </c>
      <c r="H3478" t="s">
        <v>3470</v>
      </c>
      <c r="I3478" s="8">
        <v>46196</v>
      </c>
      <c r="J3478" t="s">
        <v>2659</v>
      </c>
      <c r="K3478" t="s">
        <v>2660</v>
      </c>
      <c r="L3478" s="13">
        <v>3500</v>
      </c>
      <c r="M3478" t="s">
        <v>2661</v>
      </c>
    </row>
    <row r="3479" spans="1:13">
      <c r="A3479" t="s">
        <v>1519</v>
      </c>
      <c r="B3479" t="s">
        <v>275</v>
      </c>
      <c r="C3479" s="8">
        <v>46214</v>
      </c>
      <c r="D3479" t="s">
        <v>330</v>
      </c>
      <c r="E3479" t="s">
        <v>322</v>
      </c>
      <c r="F3479" s="12">
        <v>380634</v>
      </c>
      <c r="G3479" s="13">
        <v>38</v>
      </c>
      <c r="H3479" t="s">
        <v>2769</v>
      </c>
      <c r="I3479" s="8">
        <v>45949</v>
      </c>
      <c r="J3479" t="s">
        <v>2659</v>
      </c>
      <c r="K3479" t="s">
        <v>2660</v>
      </c>
      <c r="L3479" s="13">
        <v>3500</v>
      </c>
      <c r="M3479" t="s">
        <v>2661</v>
      </c>
    </row>
    <row r="3480" spans="1:13">
      <c r="A3480" t="s">
        <v>1519</v>
      </c>
      <c r="B3480" t="s">
        <v>275</v>
      </c>
      <c r="C3480" s="8">
        <v>46214</v>
      </c>
      <c r="D3480" t="s">
        <v>330</v>
      </c>
      <c r="E3480" t="s">
        <v>322</v>
      </c>
      <c r="F3480" s="12">
        <v>380634</v>
      </c>
      <c r="G3480" s="13">
        <v>38</v>
      </c>
      <c r="H3480" t="s">
        <v>2812</v>
      </c>
      <c r="I3480" s="8">
        <v>46037</v>
      </c>
      <c r="J3480" t="s">
        <v>2671</v>
      </c>
      <c r="K3480" t="s">
        <v>2672</v>
      </c>
      <c r="L3480" s="13">
        <v>3000</v>
      </c>
      <c r="M3480" t="s">
        <v>2661</v>
      </c>
    </row>
    <row r="3481" spans="1:13">
      <c r="A3481" t="s">
        <v>1519</v>
      </c>
      <c r="B3481" t="s">
        <v>275</v>
      </c>
      <c r="C3481" s="8">
        <v>46214</v>
      </c>
      <c r="D3481" t="s">
        <v>330</v>
      </c>
      <c r="E3481" t="s">
        <v>322</v>
      </c>
      <c r="F3481" s="12">
        <v>380634</v>
      </c>
      <c r="G3481" s="13">
        <v>38</v>
      </c>
      <c r="H3481" t="s">
        <v>2988</v>
      </c>
      <c r="I3481" s="8">
        <v>45949</v>
      </c>
      <c r="J3481" t="s">
        <v>2692</v>
      </c>
      <c r="K3481" t="s">
        <v>2693</v>
      </c>
      <c r="L3481" s="13">
        <v>10000</v>
      </c>
      <c r="M3481" t="s">
        <v>2661</v>
      </c>
    </row>
    <row r="3482" spans="1:13">
      <c r="A3482" t="s">
        <v>1519</v>
      </c>
      <c r="B3482" t="s">
        <v>275</v>
      </c>
      <c r="C3482" s="8">
        <v>46214</v>
      </c>
      <c r="D3482" t="s">
        <v>330</v>
      </c>
      <c r="E3482" t="s">
        <v>322</v>
      </c>
      <c r="F3482" s="12">
        <v>380634</v>
      </c>
      <c r="G3482" s="13">
        <v>38</v>
      </c>
      <c r="H3482" t="s">
        <v>3251</v>
      </c>
      <c r="I3482" s="8">
        <v>46059</v>
      </c>
      <c r="J3482" t="s">
        <v>2685</v>
      </c>
      <c r="K3482" t="s">
        <v>2686</v>
      </c>
      <c r="L3482" s="13">
        <v>5000</v>
      </c>
      <c r="M3482" t="s">
        <v>2661</v>
      </c>
    </row>
    <row r="3483" spans="1:13">
      <c r="A3483" t="s">
        <v>1519</v>
      </c>
      <c r="B3483" t="s">
        <v>275</v>
      </c>
      <c r="C3483" s="8">
        <v>46214</v>
      </c>
      <c r="D3483" t="s">
        <v>330</v>
      </c>
      <c r="E3483" t="s">
        <v>322</v>
      </c>
      <c r="F3483" s="12">
        <v>380634</v>
      </c>
      <c r="G3483" s="13">
        <v>38</v>
      </c>
      <c r="H3483" t="s">
        <v>3366</v>
      </c>
      <c r="I3483" s="8">
        <v>46230</v>
      </c>
      <c r="J3483" t="s">
        <v>2671</v>
      </c>
      <c r="K3483" t="s">
        <v>2672</v>
      </c>
      <c r="L3483" s="13">
        <v>3000</v>
      </c>
      <c r="M3483" t="s">
        <v>2661</v>
      </c>
    </row>
    <row r="3484" spans="1:13">
      <c r="A3484" t="s">
        <v>1520</v>
      </c>
      <c r="B3484" t="s">
        <v>143</v>
      </c>
      <c r="C3484" s="8">
        <v>46017</v>
      </c>
      <c r="D3484" t="s">
        <v>350</v>
      </c>
      <c r="E3484" t="s">
        <v>325</v>
      </c>
      <c r="F3484" s="12">
        <v>112844</v>
      </c>
      <c r="G3484" s="13">
        <v>11</v>
      </c>
      <c r="H3484" t="s">
        <v>3050</v>
      </c>
      <c r="I3484" s="8">
        <v>46144</v>
      </c>
      <c r="J3484" t="s">
        <v>2663</v>
      </c>
      <c r="K3484" t="s">
        <v>3630</v>
      </c>
      <c r="L3484" s="13">
        <v>1500</v>
      </c>
      <c r="M3484" t="s">
        <v>2661</v>
      </c>
    </row>
    <row r="3485" spans="1:13">
      <c r="A3485" t="s">
        <v>1520</v>
      </c>
      <c r="B3485" t="s">
        <v>143</v>
      </c>
      <c r="C3485" s="8">
        <v>46017</v>
      </c>
      <c r="D3485" t="s">
        <v>350</v>
      </c>
      <c r="E3485" t="s">
        <v>325</v>
      </c>
      <c r="F3485" s="12">
        <v>112844</v>
      </c>
      <c r="G3485" s="13">
        <v>11</v>
      </c>
      <c r="H3485" t="s">
        <v>3097</v>
      </c>
      <c r="I3485" s="8">
        <v>46260</v>
      </c>
      <c r="J3485" t="s">
        <v>2688</v>
      </c>
      <c r="K3485" t="s">
        <v>2689</v>
      </c>
      <c r="L3485" s="13">
        <v>8000</v>
      </c>
      <c r="M3485" t="s">
        <v>2676</v>
      </c>
    </row>
    <row r="3486" spans="1:13">
      <c r="A3486" t="s">
        <v>1520</v>
      </c>
      <c r="B3486" t="s">
        <v>143</v>
      </c>
      <c r="C3486" s="8">
        <v>46017</v>
      </c>
      <c r="D3486" t="s">
        <v>350</v>
      </c>
      <c r="E3486" t="s">
        <v>325</v>
      </c>
      <c r="F3486" s="12">
        <v>112844</v>
      </c>
      <c r="G3486" s="13">
        <v>11</v>
      </c>
      <c r="H3486" t="s">
        <v>3107</v>
      </c>
      <c r="I3486" s="8">
        <v>46056</v>
      </c>
      <c r="J3486" t="s">
        <v>2663</v>
      </c>
      <c r="K3486" t="s">
        <v>3630</v>
      </c>
      <c r="L3486" s="13">
        <v>1500</v>
      </c>
      <c r="M3486" t="s">
        <v>2676</v>
      </c>
    </row>
    <row r="3487" spans="1:13">
      <c r="A3487" t="s">
        <v>1520</v>
      </c>
      <c r="B3487" t="s">
        <v>143</v>
      </c>
      <c r="C3487" s="8">
        <v>46017</v>
      </c>
      <c r="D3487" t="s">
        <v>350</v>
      </c>
      <c r="E3487" t="s">
        <v>325</v>
      </c>
      <c r="F3487" s="12">
        <v>112844</v>
      </c>
      <c r="G3487" s="13">
        <v>11</v>
      </c>
      <c r="H3487" t="s">
        <v>3131</v>
      </c>
      <c r="I3487" s="8">
        <v>46096</v>
      </c>
      <c r="J3487" t="s">
        <v>2688</v>
      </c>
      <c r="K3487" t="s">
        <v>2689</v>
      </c>
      <c r="L3487" s="13">
        <v>8000</v>
      </c>
      <c r="M3487" t="s">
        <v>2661</v>
      </c>
    </row>
    <row r="3488" spans="1:13">
      <c r="A3488" t="s">
        <v>1520</v>
      </c>
      <c r="B3488" t="s">
        <v>143</v>
      </c>
      <c r="C3488" s="8">
        <v>46017</v>
      </c>
      <c r="D3488" t="s">
        <v>350</v>
      </c>
      <c r="E3488" t="s">
        <v>325</v>
      </c>
      <c r="F3488" s="12">
        <v>112844</v>
      </c>
      <c r="G3488" s="13">
        <v>11</v>
      </c>
      <c r="H3488" t="s">
        <v>3414</v>
      </c>
      <c r="I3488" s="8">
        <v>46059</v>
      </c>
      <c r="J3488" t="s">
        <v>2674</v>
      </c>
      <c r="K3488" t="s">
        <v>2675</v>
      </c>
      <c r="L3488" s="13">
        <v>20000</v>
      </c>
      <c r="M3488" t="s">
        <v>2661</v>
      </c>
    </row>
    <row r="3489" spans="1:13">
      <c r="A3489" t="s">
        <v>1521</v>
      </c>
      <c r="B3489" t="s">
        <v>231</v>
      </c>
      <c r="C3489" s="8">
        <v>46265</v>
      </c>
      <c r="D3489" t="s">
        <v>350</v>
      </c>
      <c r="E3489" t="s">
        <v>339</v>
      </c>
      <c r="F3489" s="12">
        <v>148454</v>
      </c>
      <c r="G3489" s="13">
        <v>14</v>
      </c>
      <c r="H3489" t="s">
        <v>2875</v>
      </c>
      <c r="I3489" s="8">
        <v>46085</v>
      </c>
      <c r="J3489" t="s">
        <v>2665</v>
      </c>
      <c r="K3489" t="s">
        <v>2666</v>
      </c>
      <c r="L3489" s="13">
        <v>2500</v>
      </c>
      <c r="M3489" t="s">
        <v>2661</v>
      </c>
    </row>
    <row r="3490" spans="1:13">
      <c r="A3490" t="s">
        <v>1521</v>
      </c>
      <c r="B3490" t="s">
        <v>231</v>
      </c>
      <c r="C3490" s="8">
        <v>46265</v>
      </c>
      <c r="D3490" t="s">
        <v>350</v>
      </c>
      <c r="E3490" t="s">
        <v>339</v>
      </c>
      <c r="F3490" s="12">
        <v>148454</v>
      </c>
      <c r="G3490" s="13">
        <v>14</v>
      </c>
      <c r="H3490" t="s">
        <v>3014</v>
      </c>
      <c r="I3490" s="8">
        <v>46207</v>
      </c>
      <c r="J3490" t="s">
        <v>2665</v>
      </c>
      <c r="K3490" t="s">
        <v>2666</v>
      </c>
      <c r="L3490" s="13">
        <v>2500</v>
      </c>
      <c r="M3490" t="s">
        <v>2676</v>
      </c>
    </row>
    <row r="3491" spans="1:13">
      <c r="A3491" t="s">
        <v>1522</v>
      </c>
      <c r="B3491" t="s">
        <v>310</v>
      </c>
      <c r="C3491" s="8">
        <v>45993</v>
      </c>
      <c r="D3491" t="s">
        <v>327</v>
      </c>
      <c r="E3491" t="s">
        <v>334</v>
      </c>
      <c r="F3491" s="12">
        <v>520330</v>
      </c>
      <c r="G3491" s="13">
        <v>52</v>
      </c>
      <c r="H3491" t="s">
        <v>2712</v>
      </c>
      <c r="I3491" s="8">
        <v>46153</v>
      </c>
      <c r="J3491" t="s">
        <v>2682</v>
      </c>
      <c r="K3491" t="s">
        <v>2683</v>
      </c>
      <c r="L3491" s="13">
        <v>6000</v>
      </c>
      <c r="M3491" t="s">
        <v>2661</v>
      </c>
    </row>
    <row r="3492" spans="1:13">
      <c r="A3492" t="s">
        <v>1522</v>
      </c>
      <c r="B3492" t="s">
        <v>310</v>
      </c>
      <c r="C3492" s="8">
        <v>45993</v>
      </c>
      <c r="D3492" t="s">
        <v>327</v>
      </c>
      <c r="E3492" t="s">
        <v>334</v>
      </c>
      <c r="F3492" s="12">
        <v>520330</v>
      </c>
      <c r="G3492" s="13">
        <v>52</v>
      </c>
      <c r="H3492" t="s">
        <v>2895</v>
      </c>
      <c r="I3492" s="8">
        <v>45957</v>
      </c>
      <c r="J3492" t="s">
        <v>2688</v>
      </c>
      <c r="K3492" t="s">
        <v>2689</v>
      </c>
      <c r="L3492" s="13">
        <v>8000</v>
      </c>
      <c r="M3492" t="s">
        <v>2661</v>
      </c>
    </row>
    <row r="3493" spans="1:13">
      <c r="A3493" t="s">
        <v>1522</v>
      </c>
      <c r="B3493" t="s">
        <v>310</v>
      </c>
      <c r="C3493" s="8">
        <v>45993</v>
      </c>
      <c r="D3493" t="s">
        <v>327</v>
      </c>
      <c r="E3493" t="s">
        <v>334</v>
      </c>
      <c r="F3493" s="12">
        <v>520330</v>
      </c>
      <c r="G3493" s="13">
        <v>52</v>
      </c>
      <c r="H3493" t="s">
        <v>2976</v>
      </c>
      <c r="I3493" s="8">
        <v>46146</v>
      </c>
      <c r="J3493" t="s">
        <v>2685</v>
      </c>
      <c r="K3493" t="s">
        <v>2686</v>
      </c>
      <c r="L3493" s="13">
        <v>5000</v>
      </c>
      <c r="M3493" t="s">
        <v>2661</v>
      </c>
    </row>
    <row r="3494" spans="1:13">
      <c r="A3494" t="s">
        <v>1522</v>
      </c>
      <c r="B3494" t="s">
        <v>310</v>
      </c>
      <c r="C3494" s="8">
        <v>45993</v>
      </c>
      <c r="D3494" t="s">
        <v>327</v>
      </c>
      <c r="E3494" t="s">
        <v>334</v>
      </c>
      <c r="F3494" s="12">
        <v>520330</v>
      </c>
      <c r="G3494" s="13">
        <v>52</v>
      </c>
      <c r="H3494" t="s">
        <v>3295</v>
      </c>
      <c r="I3494" s="8">
        <v>46154</v>
      </c>
      <c r="J3494" t="s">
        <v>2668</v>
      </c>
      <c r="K3494" t="s">
        <v>2669</v>
      </c>
      <c r="L3494" s="13">
        <v>4000</v>
      </c>
      <c r="M3494" t="s">
        <v>2676</v>
      </c>
    </row>
    <row r="3495" spans="1:13">
      <c r="A3495" t="s">
        <v>1522</v>
      </c>
      <c r="B3495" t="s">
        <v>310</v>
      </c>
      <c r="C3495" s="8">
        <v>45993</v>
      </c>
      <c r="D3495" t="s">
        <v>327</v>
      </c>
      <c r="E3495" t="s">
        <v>334</v>
      </c>
      <c r="F3495" s="12">
        <v>520330</v>
      </c>
      <c r="G3495" s="13">
        <v>52</v>
      </c>
      <c r="H3495" t="s">
        <v>3480</v>
      </c>
      <c r="I3495" s="8">
        <v>46012</v>
      </c>
      <c r="J3495" t="s">
        <v>2685</v>
      </c>
      <c r="K3495" t="s">
        <v>2686</v>
      </c>
      <c r="L3495" s="13">
        <v>5000</v>
      </c>
      <c r="M3495" t="s">
        <v>2676</v>
      </c>
    </row>
    <row r="3496" spans="1:13">
      <c r="A3496" t="s">
        <v>1523</v>
      </c>
      <c r="B3496" t="s">
        <v>119</v>
      </c>
      <c r="C3496" s="8">
        <v>45969</v>
      </c>
      <c r="D3496" t="s">
        <v>330</v>
      </c>
      <c r="E3496" t="s">
        <v>328</v>
      </c>
      <c r="F3496" s="12">
        <v>286413</v>
      </c>
      <c r="G3496" s="13">
        <v>28</v>
      </c>
      <c r="H3496" t="s">
        <v>3432</v>
      </c>
      <c r="I3496" s="8">
        <v>46150</v>
      </c>
      <c r="J3496" t="s">
        <v>2692</v>
      </c>
      <c r="K3496" t="s">
        <v>2693</v>
      </c>
      <c r="L3496" s="13">
        <v>10000</v>
      </c>
      <c r="M3496" t="s">
        <v>2661</v>
      </c>
    </row>
    <row r="3497" spans="1:13">
      <c r="A3497" t="s">
        <v>1524</v>
      </c>
      <c r="B3497" t="s">
        <v>148</v>
      </c>
      <c r="C3497" s="8">
        <v>46118</v>
      </c>
      <c r="D3497" t="s">
        <v>344</v>
      </c>
      <c r="E3497" t="s">
        <v>325</v>
      </c>
      <c r="F3497" s="12">
        <v>685934</v>
      </c>
      <c r="G3497" s="13">
        <v>68</v>
      </c>
      <c r="H3497" t="s">
        <v>2701</v>
      </c>
      <c r="I3497" s="8">
        <v>46251</v>
      </c>
      <c r="J3497" t="s">
        <v>2685</v>
      </c>
      <c r="K3497" t="s">
        <v>2686</v>
      </c>
      <c r="L3497" s="13">
        <v>5000</v>
      </c>
      <c r="M3497" t="s">
        <v>2661</v>
      </c>
    </row>
    <row r="3498" spans="1:13">
      <c r="A3498" t="s">
        <v>1524</v>
      </c>
      <c r="B3498" t="s">
        <v>148</v>
      </c>
      <c r="C3498" s="8">
        <v>46118</v>
      </c>
      <c r="D3498" t="s">
        <v>344</v>
      </c>
      <c r="E3498" t="s">
        <v>325</v>
      </c>
      <c r="F3498" s="12">
        <v>685934</v>
      </c>
      <c r="G3498" s="13">
        <v>68</v>
      </c>
      <c r="H3498" t="s">
        <v>2859</v>
      </c>
      <c r="I3498" s="8">
        <v>46163</v>
      </c>
      <c r="J3498" t="s">
        <v>2685</v>
      </c>
      <c r="K3498" t="s">
        <v>2686</v>
      </c>
      <c r="L3498" s="13">
        <v>5000</v>
      </c>
      <c r="M3498" t="s">
        <v>2661</v>
      </c>
    </row>
    <row r="3499" spans="1:13">
      <c r="A3499" t="s">
        <v>1524</v>
      </c>
      <c r="B3499" t="s">
        <v>148</v>
      </c>
      <c r="C3499" s="8">
        <v>46118</v>
      </c>
      <c r="D3499" t="s">
        <v>344</v>
      </c>
      <c r="E3499" t="s">
        <v>325</v>
      </c>
      <c r="F3499" s="12">
        <v>685934</v>
      </c>
      <c r="G3499" s="13">
        <v>68</v>
      </c>
      <c r="H3499" t="s">
        <v>3210</v>
      </c>
      <c r="I3499" s="8">
        <v>46038</v>
      </c>
      <c r="J3499" t="s">
        <v>2663</v>
      </c>
      <c r="K3499" t="s">
        <v>3630</v>
      </c>
      <c r="L3499" s="13">
        <v>1500</v>
      </c>
      <c r="M3499" t="s">
        <v>2661</v>
      </c>
    </row>
    <row r="3500" spans="1:13">
      <c r="A3500" t="s">
        <v>1524</v>
      </c>
      <c r="B3500" t="s">
        <v>148</v>
      </c>
      <c r="C3500" s="8">
        <v>46118</v>
      </c>
      <c r="D3500" t="s">
        <v>344</v>
      </c>
      <c r="E3500" t="s">
        <v>325</v>
      </c>
      <c r="F3500" s="12">
        <v>685934</v>
      </c>
      <c r="G3500" s="13">
        <v>68</v>
      </c>
      <c r="H3500" t="s">
        <v>3242</v>
      </c>
      <c r="I3500" s="8">
        <v>45943</v>
      </c>
      <c r="J3500" t="s">
        <v>2674</v>
      </c>
      <c r="K3500" t="s">
        <v>2675</v>
      </c>
      <c r="L3500" s="13">
        <v>20000</v>
      </c>
      <c r="M3500" t="s">
        <v>2661</v>
      </c>
    </row>
    <row r="3501" spans="1:13">
      <c r="A3501" t="s">
        <v>1524</v>
      </c>
      <c r="B3501" t="s">
        <v>148</v>
      </c>
      <c r="C3501" s="8">
        <v>46118</v>
      </c>
      <c r="D3501" t="s">
        <v>344</v>
      </c>
      <c r="E3501" t="s">
        <v>325</v>
      </c>
      <c r="F3501" s="12">
        <v>685934</v>
      </c>
      <c r="G3501" s="13">
        <v>68</v>
      </c>
      <c r="H3501" t="s">
        <v>3304</v>
      </c>
      <c r="I3501" s="8">
        <v>46267</v>
      </c>
      <c r="J3501" t="s">
        <v>2665</v>
      </c>
      <c r="K3501" t="s">
        <v>2666</v>
      </c>
      <c r="L3501" s="13">
        <v>2500</v>
      </c>
      <c r="M3501" t="s">
        <v>2661</v>
      </c>
    </row>
    <row r="3502" spans="1:13">
      <c r="A3502" t="s">
        <v>1524</v>
      </c>
      <c r="B3502" t="s">
        <v>148</v>
      </c>
      <c r="C3502" s="8">
        <v>46118</v>
      </c>
      <c r="D3502" t="s">
        <v>344</v>
      </c>
      <c r="E3502" t="s">
        <v>325</v>
      </c>
      <c r="F3502" s="12">
        <v>685934</v>
      </c>
      <c r="G3502" s="13">
        <v>68</v>
      </c>
      <c r="H3502" t="s">
        <v>3492</v>
      </c>
      <c r="I3502" s="8">
        <v>45951</v>
      </c>
      <c r="J3502" t="s">
        <v>2659</v>
      </c>
      <c r="K3502" t="s">
        <v>2660</v>
      </c>
      <c r="L3502" s="13">
        <v>3500</v>
      </c>
      <c r="M3502" t="s">
        <v>2661</v>
      </c>
    </row>
    <row r="3503" spans="1:13">
      <c r="A3503" t="s">
        <v>1524</v>
      </c>
      <c r="B3503" t="s">
        <v>148</v>
      </c>
      <c r="C3503" s="8">
        <v>46118</v>
      </c>
      <c r="D3503" t="s">
        <v>344</v>
      </c>
      <c r="E3503" t="s">
        <v>325</v>
      </c>
      <c r="F3503" s="12">
        <v>685934</v>
      </c>
      <c r="G3503" s="13">
        <v>68</v>
      </c>
      <c r="H3503" t="s">
        <v>3552</v>
      </c>
      <c r="I3503" s="8">
        <v>45939</v>
      </c>
      <c r="J3503" t="s">
        <v>2671</v>
      </c>
      <c r="K3503" t="s">
        <v>2672</v>
      </c>
      <c r="L3503" s="13">
        <v>3000</v>
      </c>
      <c r="M3503" t="s">
        <v>2661</v>
      </c>
    </row>
    <row r="3504" spans="1:13">
      <c r="A3504" t="s">
        <v>1526</v>
      </c>
      <c r="B3504" t="s">
        <v>69</v>
      </c>
      <c r="C3504" s="8">
        <v>46106</v>
      </c>
      <c r="D3504" t="s">
        <v>327</v>
      </c>
      <c r="E3504" t="s">
        <v>337</v>
      </c>
      <c r="F3504" s="12">
        <v>99801</v>
      </c>
      <c r="G3504" s="13">
        <v>9</v>
      </c>
      <c r="H3504" t="s">
        <v>2723</v>
      </c>
      <c r="I3504" s="8">
        <v>46140</v>
      </c>
      <c r="J3504" t="s">
        <v>2688</v>
      </c>
      <c r="K3504" t="s">
        <v>2689</v>
      </c>
      <c r="L3504" s="13">
        <v>8000</v>
      </c>
      <c r="M3504" t="s">
        <v>2661</v>
      </c>
    </row>
    <row r="3505" spans="1:13">
      <c r="A3505" t="s">
        <v>1526</v>
      </c>
      <c r="B3505" t="s">
        <v>69</v>
      </c>
      <c r="C3505" s="8">
        <v>46106</v>
      </c>
      <c r="D3505" t="s">
        <v>327</v>
      </c>
      <c r="E3505" t="s">
        <v>337</v>
      </c>
      <c r="F3505" s="12">
        <v>99801</v>
      </c>
      <c r="G3505" s="13">
        <v>9</v>
      </c>
      <c r="H3505" t="s">
        <v>2822</v>
      </c>
      <c r="I3505" s="8">
        <v>46159</v>
      </c>
      <c r="J3505" t="s">
        <v>2668</v>
      </c>
      <c r="K3505" t="s">
        <v>2669</v>
      </c>
      <c r="L3505" s="13">
        <v>4000</v>
      </c>
      <c r="M3505" t="s">
        <v>2661</v>
      </c>
    </row>
    <row r="3506" spans="1:13">
      <c r="A3506" t="s">
        <v>1526</v>
      </c>
      <c r="B3506" t="s">
        <v>69</v>
      </c>
      <c r="C3506" s="8">
        <v>46106</v>
      </c>
      <c r="D3506" t="s">
        <v>327</v>
      </c>
      <c r="E3506" t="s">
        <v>337</v>
      </c>
      <c r="F3506" s="12">
        <v>99801</v>
      </c>
      <c r="G3506" s="13">
        <v>9</v>
      </c>
      <c r="H3506" t="s">
        <v>3513</v>
      </c>
      <c r="I3506" s="8">
        <v>46161</v>
      </c>
      <c r="J3506" t="s">
        <v>2692</v>
      </c>
      <c r="K3506" t="s">
        <v>2693</v>
      </c>
      <c r="L3506" s="13">
        <v>10000</v>
      </c>
      <c r="M3506" t="s">
        <v>2661</v>
      </c>
    </row>
    <row r="3507" spans="1:13">
      <c r="A3507" t="s">
        <v>1527</v>
      </c>
      <c r="B3507" t="s">
        <v>117</v>
      </c>
      <c r="C3507" s="8">
        <v>46191</v>
      </c>
      <c r="D3507" t="s">
        <v>344</v>
      </c>
      <c r="E3507" t="s">
        <v>322</v>
      </c>
      <c r="F3507" s="12">
        <v>190613</v>
      </c>
      <c r="G3507" s="13">
        <v>19</v>
      </c>
      <c r="H3507" t="s">
        <v>2952</v>
      </c>
      <c r="I3507" s="8">
        <v>46155</v>
      </c>
      <c r="J3507" t="s">
        <v>2674</v>
      </c>
      <c r="K3507" t="s">
        <v>2675</v>
      </c>
      <c r="L3507" s="13">
        <v>20000</v>
      </c>
      <c r="M3507" t="s">
        <v>2661</v>
      </c>
    </row>
    <row r="3508" spans="1:13">
      <c r="A3508" t="s">
        <v>1527</v>
      </c>
      <c r="B3508" t="s">
        <v>117</v>
      </c>
      <c r="C3508" s="8">
        <v>46191</v>
      </c>
      <c r="D3508" t="s">
        <v>344</v>
      </c>
      <c r="E3508" t="s">
        <v>322</v>
      </c>
      <c r="F3508" s="12">
        <v>190613</v>
      </c>
      <c r="G3508" s="13">
        <v>19</v>
      </c>
      <c r="H3508" t="s">
        <v>3244</v>
      </c>
      <c r="I3508" s="8">
        <v>45969</v>
      </c>
      <c r="J3508" t="s">
        <v>2663</v>
      </c>
      <c r="K3508" t="s">
        <v>3630</v>
      </c>
      <c r="L3508" s="13">
        <v>1500</v>
      </c>
      <c r="M3508" t="s">
        <v>2661</v>
      </c>
    </row>
    <row r="3509" spans="1:13">
      <c r="A3509" t="s">
        <v>1528</v>
      </c>
      <c r="B3509" t="s">
        <v>242</v>
      </c>
      <c r="C3509" s="8">
        <v>46282</v>
      </c>
      <c r="D3509" t="s">
        <v>327</v>
      </c>
      <c r="E3509" t="s">
        <v>334</v>
      </c>
      <c r="F3509" s="12">
        <v>649374</v>
      </c>
      <c r="G3509" s="13">
        <v>64</v>
      </c>
      <c r="H3509" t="s">
        <v>3385</v>
      </c>
      <c r="I3509" s="8">
        <v>46148</v>
      </c>
      <c r="J3509" t="s">
        <v>2663</v>
      </c>
      <c r="K3509" t="s">
        <v>3630</v>
      </c>
      <c r="L3509" s="13">
        <v>1500</v>
      </c>
      <c r="M3509" t="s">
        <v>2661</v>
      </c>
    </row>
    <row r="3510" spans="1:13">
      <c r="A3510" t="s">
        <v>1529</v>
      </c>
      <c r="B3510" t="s">
        <v>213</v>
      </c>
      <c r="C3510" s="8">
        <v>46244</v>
      </c>
      <c r="D3510" t="s">
        <v>324</v>
      </c>
      <c r="E3510" t="s">
        <v>334</v>
      </c>
      <c r="F3510" s="12">
        <v>268520</v>
      </c>
      <c r="G3510" s="13">
        <v>26</v>
      </c>
      <c r="H3510" t="s">
        <v>2951</v>
      </c>
      <c r="I3510" s="8">
        <v>46292</v>
      </c>
      <c r="J3510" t="s">
        <v>2692</v>
      </c>
      <c r="K3510" t="s">
        <v>2693</v>
      </c>
      <c r="L3510" s="13">
        <v>10000</v>
      </c>
      <c r="M3510" t="s">
        <v>2661</v>
      </c>
    </row>
    <row r="3511" spans="1:13">
      <c r="A3511" t="s">
        <v>1529</v>
      </c>
      <c r="B3511" t="s">
        <v>213</v>
      </c>
      <c r="C3511" s="8">
        <v>46244</v>
      </c>
      <c r="D3511" t="s">
        <v>324</v>
      </c>
      <c r="E3511" t="s">
        <v>334</v>
      </c>
      <c r="F3511" s="12">
        <v>268520</v>
      </c>
      <c r="G3511" s="13">
        <v>26</v>
      </c>
      <c r="H3511" t="s">
        <v>3382</v>
      </c>
      <c r="I3511" s="8">
        <v>46034</v>
      </c>
      <c r="J3511" t="s">
        <v>2688</v>
      </c>
      <c r="K3511" t="s">
        <v>2689</v>
      </c>
      <c r="L3511" s="13">
        <v>8000</v>
      </c>
      <c r="M3511" t="s">
        <v>2661</v>
      </c>
    </row>
    <row r="3512" spans="1:13">
      <c r="A3512" t="s">
        <v>1530</v>
      </c>
      <c r="B3512" t="s">
        <v>288</v>
      </c>
      <c r="C3512" s="8">
        <v>46014</v>
      </c>
      <c r="D3512" t="s">
        <v>344</v>
      </c>
      <c r="E3512" t="s">
        <v>334</v>
      </c>
      <c r="F3512" s="12">
        <v>716989</v>
      </c>
      <c r="G3512" s="13">
        <v>71</v>
      </c>
      <c r="H3512" t="s">
        <v>2753</v>
      </c>
      <c r="I3512" s="8">
        <v>46202</v>
      </c>
      <c r="J3512" t="s">
        <v>2671</v>
      </c>
      <c r="K3512" t="s">
        <v>2672</v>
      </c>
      <c r="L3512" s="13">
        <v>3000</v>
      </c>
      <c r="M3512" t="s">
        <v>2661</v>
      </c>
    </row>
    <row r="3513" spans="1:13">
      <c r="A3513" t="s">
        <v>1530</v>
      </c>
      <c r="B3513" t="s">
        <v>288</v>
      </c>
      <c r="C3513" s="8">
        <v>46014</v>
      </c>
      <c r="D3513" t="s">
        <v>344</v>
      </c>
      <c r="E3513" t="s">
        <v>334</v>
      </c>
      <c r="F3513" s="12">
        <v>716989</v>
      </c>
      <c r="G3513" s="13">
        <v>71</v>
      </c>
      <c r="H3513" t="s">
        <v>2764</v>
      </c>
      <c r="I3513" s="8">
        <v>46008</v>
      </c>
      <c r="J3513" t="s">
        <v>2668</v>
      </c>
      <c r="K3513" t="s">
        <v>2669</v>
      </c>
      <c r="L3513" s="13">
        <v>4000</v>
      </c>
      <c r="M3513" t="s">
        <v>2676</v>
      </c>
    </row>
    <row r="3514" spans="1:13">
      <c r="A3514" t="s">
        <v>1530</v>
      </c>
      <c r="B3514" t="s">
        <v>288</v>
      </c>
      <c r="C3514" s="8">
        <v>46014</v>
      </c>
      <c r="D3514" t="s">
        <v>344</v>
      </c>
      <c r="E3514" t="s">
        <v>334</v>
      </c>
      <c r="F3514" s="12">
        <v>716989</v>
      </c>
      <c r="G3514" s="13">
        <v>71</v>
      </c>
      <c r="H3514" t="s">
        <v>2863</v>
      </c>
      <c r="I3514" s="8">
        <v>45971</v>
      </c>
      <c r="J3514" t="s">
        <v>2659</v>
      </c>
      <c r="K3514" t="s">
        <v>2660</v>
      </c>
      <c r="L3514" s="13">
        <v>3500</v>
      </c>
      <c r="M3514" t="s">
        <v>2676</v>
      </c>
    </row>
    <row r="3515" spans="1:13">
      <c r="A3515" t="s">
        <v>1530</v>
      </c>
      <c r="B3515" t="s">
        <v>288</v>
      </c>
      <c r="C3515" s="8">
        <v>46014</v>
      </c>
      <c r="D3515" t="s">
        <v>344</v>
      </c>
      <c r="E3515" t="s">
        <v>334</v>
      </c>
      <c r="F3515" s="12">
        <v>716989</v>
      </c>
      <c r="G3515" s="13">
        <v>71</v>
      </c>
      <c r="H3515" t="s">
        <v>3009</v>
      </c>
      <c r="I3515" s="8">
        <v>45978</v>
      </c>
      <c r="J3515" t="s">
        <v>2674</v>
      </c>
      <c r="K3515" t="s">
        <v>2675</v>
      </c>
      <c r="L3515" s="13">
        <v>20000</v>
      </c>
      <c r="M3515" t="s">
        <v>2676</v>
      </c>
    </row>
    <row r="3516" spans="1:13">
      <c r="A3516" t="s">
        <v>1530</v>
      </c>
      <c r="B3516" t="s">
        <v>288</v>
      </c>
      <c r="C3516" s="8">
        <v>46014</v>
      </c>
      <c r="D3516" t="s">
        <v>344</v>
      </c>
      <c r="E3516" t="s">
        <v>334</v>
      </c>
      <c r="F3516" s="12">
        <v>716989</v>
      </c>
      <c r="G3516" s="13">
        <v>71</v>
      </c>
      <c r="H3516" t="s">
        <v>3139</v>
      </c>
      <c r="I3516" s="8">
        <v>45962</v>
      </c>
      <c r="J3516" t="s">
        <v>2659</v>
      </c>
      <c r="K3516" t="s">
        <v>2660</v>
      </c>
      <c r="L3516" s="13">
        <v>3500</v>
      </c>
      <c r="M3516" t="s">
        <v>2661</v>
      </c>
    </row>
    <row r="3517" spans="1:13">
      <c r="A3517" t="s">
        <v>1531</v>
      </c>
      <c r="B3517" t="s">
        <v>85</v>
      </c>
      <c r="C3517" s="8">
        <v>46142</v>
      </c>
      <c r="D3517" t="s">
        <v>332</v>
      </c>
      <c r="E3517" t="s">
        <v>339</v>
      </c>
      <c r="F3517" s="12">
        <v>718472</v>
      </c>
      <c r="G3517" s="13">
        <v>71</v>
      </c>
      <c r="H3517" t="s">
        <v>2835</v>
      </c>
      <c r="I3517" s="8">
        <v>45973</v>
      </c>
      <c r="J3517" t="s">
        <v>2663</v>
      </c>
      <c r="K3517" t="s">
        <v>3630</v>
      </c>
      <c r="L3517" s="13">
        <v>1500</v>
      </c>
      <c r="M3517" t="s">
        <v>2661</v>
      </c>
    </row>
    <row r="3518" spans="1:13">
      <c r="A3518" t="s">
        <v>1531</v>
      </c>
      <c r="B3518" t="s">
        <v>85</v>
      </c>
      <c r="C3518" s="8">
        <v>46142</v>
      </c>
      <c r="D3518" t="s">
        <v>332</v>
      </c>
      <c r="E3518" t="s">
        <v>339</v>
      </c>
      <c r="F3518" s="12">
        <v>718472</v>
      </c>
      <c r="G3518" s="13">
        <v>71</v>
      </c>
      <c r="H3518" t="s">
        <v>3171</v>
      </c>
      <c r="I3518" s="8">
        <v>46002</v>
      </c>
      <c r="J3518" t="s">
        <v>2682</v>
      </c>
      <c r="K3518" t="s">
        <v>2683</v>
      </c>
      <c r="L3518" s="13">
        <v>6000</v>
      </c>
      <c r="M3518" t="s">
        <v>2676</v>
      </c>
    </row>
    <row r="3519" spans="1:13">
      <c r="A3519" t="s">
        <v>1531</v>
      </c>
      <c r="B3519" t="s">
        <v>85</v>
      </c>
      <c r="C3519" s="8">
        <v>46142</v>
      </c>
      <c r="D3519" t="s">
        <v>332</v>
      </c>
      <c r="E3519" t="s">
        <v>339</v>
      </c>
      <c r="F3519" s="12">
        <v>718472</v>
      </c>
      <c r="G3519" s="13">
        <v>71</v>
      </c>
      <c r="H3519" t="s">
        <v>3467</v>
      </c>
      <c r="I3519" s="8">
        <v>46268</v>
      </c>
      <c r="J3519" t="s">
        <v>2663</v>
      </c>
      <c r="K3519" t="s">
        <v>3630</v>
      </c>
      <c r="L3519" s="13">
        <v>1500</v>
      </c>
      <c r="M3519" t="s">
        <v>2676</v>
      </c>
    </row>
    <row r="3520" spans="1:13">
      <c r="A3520" t="s">
        <v>1532</v>
      </c>
      <c r="B3520" t="s">
        <v>276</v>
      </c>
      <c r="C3520" s="8">
        <v>46176</v>
      </c>
      <c r="D3520" t="s">
        <v>324</v>
      </c>
      <c r="E3520" t="s">
        <v>328</v>
      </c>
      <c r="F3520" s="12">
        <v>295985</v>
      </c>
      <c r="G3520" s="13">
        <v>29</v>
      </c>
      <c r="H3520" t="s">
        <v>2991</v>
      </c>
      <c r="I3520" s="8">
        <v>46082</v>
      </c>
      <c r="J3520" t="s">
        <v>2674</v>
      </c>
      <c r="K3520" t="s">
        <v>2675</v>
      </c>
      <c r="L3520" s="13">
        <v>20000</v>
      </c>
      <c r="M3520" t="s">
        <v>2661</v>
      </c>
    </row>
    <row r="3521" spans="1:13">
      <c r="A3521" t="s">
        <v>1532</v>
      </c>
      <c r="B3521" t="s">
        <v>276</v>
      </c>
      <c r="C3521" s="8">
        <v>46176</v>
      </c>
      <c r="D3521" t="s">
        <v>324</v>
      </c>
      <c r="E3521" t="s">
        <v>328</v>
      </c>
      <c r="F3521" s="12">
        <v>295985</v>
      </c>
      <c r="G3521" s="13">
        <v>29</v>
      </c>
      <c r="H3521" t="s">
        <v>3135</v>
      </c>
      <c r="I3521" s="8">
        <v>46231</v>
      </c>
      <c r="J3521" t="s">
        <v>2665</v>
      </c>
      <c r="K3521" t="s">
        <v>2666</v>
      </c>
      <c r="L3521" s="13">
        <v>2500</v>
      </c>
      <c r="M3521" t="s">
        <v>2661</v>
      </c>
    </row>
    <row r="3522" spans="1:13">
      <c r="A3522" t="s">
        <v>1532</v>
      </c>
      <c r="B3522" t="s">
        <v>276</v>
      </c>
      <c r="C3522" s="8">
        <v>46176</v>
      </c>
      <c r="D3522" t="s">
        <v>324</v>
      </c>
      <c r="E3522" t="s">
        <v>328</v>
      </c>
      <c r="F3522" s="12">
        <v>295985</v>
      </c>
      <c r="G3522" s="13">
        <v>29</v>
      </c>
      <c r="H3522" t="s">
        <v>3350</v>
      </c>
      <c r="I3522" s="8">
        <v>46121</v>
      </c>
      <c r="J3522" t="s">
        <v>2685</v>
      </c>
      <c r="K3522" t="s">
        <v>2686</v>
      </c>
      <c r="L3522" s="13">
        <v>5000</v>
      </c>
      <c r="M3522" t="s">
        <v>2661</v>
      </c>
    </row>
    <row r="3523" spans="1:13">
      <c r="A3523" t="s">
        <v>1533</v>
      </c>
      <c r="B3523" t="s">
        <v>68</v>
      </c>
      <c r="C3523" s="8">
        <v>45957</v>
      </c>
      <c r="D3523" t="s">
        <v>321</v>
      </c>
      <c r="E3523" t="s">
        <v>328</v>
      </c>
      <c r="F3523" s="12">
        <v>696782</v>
      </c>
      <c r="G3523" s="13">
        <v>69</v>
      </c>
      <c r="H3523" t="s">
        <v>2869</v>
      </c>
      <c r="I3523" s="8">
        <v>46266</v>
      </c>
      <c r="J3523" t="s">
        <v>2671</v>
      </c>
      <c r="K3523" t="s">
        <v>2672</v>
      </c>
      <c r="L3523" s="13">
        <v>3000</v>
      </c>
      <c r="M3523" t="s">
        <v>2661</v>
      </c>
    </row>
    <row r="3524" spans="1:13">
      <c r="A3524" t="s">
        <v>1533</v>
      </c>
      <c r="B3524" t="s">
        <v>68</v>
      </c>
      <c r="C3524" s="8">
        <v>45957</v>
      </c>
      <c r="D3524" t="s">
        <v>321</v>
      </c>
      <c r="E3524" t="s">
        <v>328</v>
      </c>
      <c r="F3524" s="12">
        <v>696782</v>
      </c>
      <c r="G3524" s="13">
        <v>69</v>
      </c>
      <c r="H3524" t="s">
        <v>3248</v>
      </c>
      <c r="I3524" s="8">
        <v>45945</v>
      </c>
      <c r="J3524" t="s">
        <v>2682</v>
      </c>
      <c r="K3524" t="s">
        <v>2683</v>
      </c>
      <c r="L3524" s="13">
        <v>6000</v>
      </c>
      <c r="M3524" t="s">
        <v>2661</v>
      </c>
    </row>
    <row r="3525" spans="1:13">
      <c r="A3525" t="s">
        <v>1533</v>
      </c>
      <c r="B3525" t="s">
        <v>68</v>
      </c>
      <c r="C3525" s="8">
        <v>45957</v>
      </c>
      <c r="D3525" t="s">
        <v>321</v>
      </c>
      <c r="E3525" t="s">
        <v>328</v>
      </c>
      <c r="F3525" s="12">
        <v>696782</v>
      </c>
      <c r="G3525" s="13">
        <v>69</v>
      </c>
      <c r="H3525" t="s">
        <v>3506</v>
      </c>
      <c r="I3525" s="8">
        <v>46080</v>
      </c>
      <c r="J3525" t="s">
        <v>2668</v>
      </c>
      <c r="K3525" t="s">
        <v>2669</v>
      </c>
      <c r="L3525" s="13">
        <v>4000</v>
      </c>
      <c r="M3525" t="s">
        <v>2661</v>
      </c>
    </row>
    <row r="3526" spans="1:13">
      <c r="A3526" t="s">
        <v>1534</v>
      </c>
      <c r="B3526" t="s">
        <v>58</v>
      </c>
      <c r="C3526" s="8">
        <v>45964</v>
      </c>
      <c r="D3526" t="s">
        <v>324</v>
      </c>
      <c r="E3526" t="s">
        <v>334</v>
      </c>
      <c r="F3526" s="12">
        <v>349878</v>
      </c>
      <c r="G3526" s="13">
        <v>34</v>
      </c>
      <c r="H3526" t="s">
        <v>2699</v>
      </c>
      <c r="I3526" s="8">
        <v>45942</v>
      </c>
      <c r="J3526" t="s">
        <v>2688</v>
      </c>
      <c r="K3526" t="s">
        <v>2689</v>
      </c>
      <c r="L3526" s="13">
        <v>8000</v>
      </c>
      <c r="M3526" t="s">
        <v>2676</v>
      </c>
    </row>
    <row r="3527" spans="1:13">
      <c r="A3527" t="s">
        <v>1534</v>
      </c>
      <c r="B3527" t="s">
        <v>58</v>
      </c>
      <c r="C3527" s="8">
        <v>45964</v>
      </c>
      <c r="D3527" t="s">
        <v>324</v>
      </c>
      <c r="E3527" t="s">
        <v>334</v>
      </c>
      <c r="F3527" s="12">
        <v>349878</v>
      </c>
      <c r="G3527" s="13">
        <v>34</v>
      </c>
      <c r="H3527" t="s">
        <v>2731</v>
      </c>
      <c r="I3527" s="8">
        <v>46096</v>
      </c>
      <c r="J3527" t="s">
        <v>2671</v>
      </c>
      <c r="K3527" t="s">
        <v>2672</v>
      </c>
      <c r="L3527" s="13">
        <v>3000</v>
      </c>
      <c r="M3527" t="s">
        <v>2661</v>
      </c>
    </row>
    <row r="3528" spans="1:13">
      <c r="A3528" t="s">
        <v>1534</v>
      </c>
      <c r="B3528" t="s">
        <v>58</v>
      </c>
      <c r="C3528" s="8">
        <v>45964</v>
      </c>
      <c r="D3528" t="s">
        <v>324</v>
      </c>
      <c r="E3528" t="s">
        <v>334</v>
      </c>
      <c r="F3528" s="12">
        <v>349878</v>
      </c>
      <c r="G3528" s="13">
        <v>34</v>
      </c>
      <c r="H3528" t="s">
        <v>2947</v>
      </c>
      <c r="I3528" s="8">
        <v>45954</v>
      </c>
      <c r="J3528" t="s">
        <v>2668</v>
      </c>
      <c r="K3528" t="s">
        <v>2669</v>
      </c>
      <c r="L3528" s="13">
        <v>4000</v>
      </c>
      <c r="M3528" t="s">
        <v>2676</v>
      </c>
    </row>
    <row r="3529" spans="1:13">
      <c r="A3529" t="s">
        <v>1535</v>
      </c>
      <c r="B3529" t="s">
        <v>275</v>
      </c>
      <c r="C3529" s="8">
        <v>46106</v>
      </c>
      <c r="D3529" t="s">
        <v>330</v>
      </c>
      <c r="E3529" t="s">
        <v>334</v>
      </c>
      <c r="F3529" s="12">
        <v>114187</v>
      </c>
      <c r="G3529" s="13">
        <v>11</v>
      </c>
      <c r="H3529" t="s">
        <v>2769</v>
      </c>
      <c r="I3529" s="8">
        <v>45949</v>
      </c>
      <c r="J3529" t="s">
        <v>2659</v>
      </c>
      <c r="K3529" t="s">
        <v>2660</v>
      </c>
      <c r="L3529" s="13">
        <v>3500</v>
      </c>
      <c r="M3529" t="s">
        <v>2661</v>
      </c>
    </row>
    <row r="3530" spans="1:13">
      <c r="A3530" t="s">
        <v>1535</v>
      </c>
      <c r="B3530" t="s">
        <v>275</v>
      </c>
      <c r="C3530" s="8">
        <v>46106</v>
      </c>
      <c r="D3530" t="s">
        <v>330</v>
      </c>
      <c r="E3530" t="s">
        <v>334</v>
      </c>
      <c r="F3530" s="12">
        <v>114187</v>
      </c>
      <c r="G3530" s="13">
        <v>11</v>
      </c>
      <c r="H3530" t="s">
        <v>2812</v>
      </c>
      <c r="I3530" s="8">
        <v>46037</v>
      </c>
      <c r="J3530" t="s">
        <v>2671</v>
      </c>
      <c r="K3530" t="s">
        <v>2672</v>
      </c>
      <c r="L3530" s="13">
        <v>3000</v>
      </c>
      <c r="M3530" t="s">
        <v>2661</v>
      </c>
    </row>
    <row r="3531" spans="1:13">
      <c r="A3531" t="s">
        <v>1535</v>
      </c>
      <c r="B3531" t="s">
        <v>275</v>
      </c>
      <c r="C3531" s="8">
        <v>46106</v>
      </c>
      <c r="D3531" t="s">
        <v>330</v>
      </c>
      <c r="E3531" t="s">
        <v>334</v>
      </c>
      <c r="F3531" s="12">
        <v>114187</v>
      </c>
      <c r="G3531" s="13">
        <v>11</v>
      </c>
      <c r="H3531" t="s">
        <v>2988</v>
      </c>
      <c r="I3531" s="8">
        <v>45949</v>
      </c>
      <c r="J3531" t="s">
        <v>2692</v>
      </c>
      <c r="K3531" t="s">
        <v>2693</v>
      </c>
      <c r="L3531" s="13">
        <v>10000</v>
      </c>
      <c r="M3531" t="s">
        <v>2661</v>
      </c>
    </row>
    <row r="3532" spans="1:13">
      <c r="A3532" t="s">
        <v>1535</v>
      </c>
      <c r="B3532" t="s">
        <v>275</v>
      </c>
      <c r="C3532" s="8">
        <v>46106</v>
      </c>
      <c r="D3532" t="s">
        <v>330</v>
      </c>
      <c r="E3532" t="s">
        <v>334</v>
      </c>
      <c r="F3532" s="12">
        <v>114187</v>
      </c>
      <c r="G3532" s="13">
        <v>11</v>
      </c>
      <c r="H3532" t="s">
        <v>3251</v>
      </c>
      <c r="I3532" s="8">
        <v>46059</v>
      </c>
      <c r="J3532" t="s">
        <v>2685</v>
      </c>
      <c r="K3532" t="s">
        <v>2686</v>
      </c>
      <c r="L3532" s="13">
        <v>5000</v>
      </c>
      <c r="M3532" t="s">
        <v>2661</v>
      </c>
    </row>
    <row r="3533" spans="1:13">
      <c r="A3533" t="s">
        <v>1535</v>
      </c>
      <c r="B3533" t="s">
        <v>275</v>
      </c>
      <c r="C3533" s="8">
        <v>46106</v>
      </c>
      <c r="D3533" t="s">
        <v>330</v>
      </c>
      <c r="E3533" t="s">
        <v>334</v>
      </c>
      <c r="F3533" s="12">
        <v>114187</v>
      </c>
      <c r="G3533" s="13">
        <v>11</v>
      </c>
      <c r="H3533" t="s">
        <v>3366</v>
      </c>
      <c r="I3533" s="8">
        <v>46230</v>
      </c>
      <c r="J3533" t="s">
        <v>2671</v>
      </c>
      <c r="K3533" t="s">
        <v>2672</v>
      </c>
      <c r="L3533" s="13">
        <v>3000</v>
      </c>
      <c r="M3533" t="s">
        <v>2661</v>
      </c>
    </row>
    <row r="3534" spans="1:13">
      <c r="A3534" t="s">
        <v>1536</v>
      </c>
      <c r="B3534" t="s">
        <v>129</v>
      </c>
      <c r="C3534" s="8">
        <v>46162</v>
      </c>
      <c r="D3534" t="s">
        <v>342</v>
      </c>
      <c r="E3534" t="s">
        <v>322</v>
      </c>
      <c r="F3534" s="12">
        <v>597198</v>
      </c>
      <c r="G3534" s="13">
        <v>59</v>
      </c>
      <c r="H3534" t="s">
        <v>3185</v>
      </c>
      <c r="I3534" s="8">
        <v>46242</v>
      </c>
      <c r="J3534" t="s">
        <v>2665</v>
      </c>
      <c r="K3534" t="s">
        <v>2666</v>
      </c>
      <c r="L3534" s="13">
        <v>2500</v>
      </c>
      <c r="M3534" t="s">
        <v>2661</v>
      </c>
    </row>
    <row r="3535" spans="1:13">
      <c r="A3535" t="s">
        <v>1537</v>
      </c>
      <c r="B3535" t="s">
        <v>87</v>
      </c>
      <c r="C3535" s="8">
        <v>46171</v>
      </c>
      <c r="D3535" t="s">
        <v>327</v>
      </c>
      <c r="E3535" t="s">
        <v>328</v>
      </c>
      <c r="F3535" s="12">
        <v>500968</v>
      </c>
      <c r="G3535" s="13">
        <v>50</v>
      </c>
      <c r="H3535" t="s">
        <v>3531</v>
      </c>
      <c r="I3535" s="8">
        <v>45982</v>
      </c>
      <c r="J3535" t="s">
        <v>2685</v>
      </c>
      <c r="K3535" t="s">
        <v>2686</v>
      </c>
      <c r="L3535" s="13">
        <v>5000</v>
      </c>
      <c r="M3535" t="s">
        <v>2661</v>
      </c>
    </row>
    <row r="3536" spans="1:13">
      <c r="A3536" t="s">
        <v>1538</v>
      </c>
      <c r="B3536" t="s">
        <v>225</v>
      </c>
      <c r="C3536" s="8">
        <v>46050</v>
      </c>
      <c r="D3536" t="s">
        <v>330</v>
      </c>
      <c r="E3536" t="s">
        <v>337</v>
      </c>
      <c r="F3536" s="12">
        <v>32582</v>
      </c>
      <c r="G3536" s="13">
        <v>3</v>
      </c>
      <c r="H3536" t="s">
        <v>2806</v>
      </c>
      <c r="I3536" s="8">
        <v>45967</v>
      </c>
      <c r="J3536" t="s">
        <v>2671</v>
      </c>
      <c r="K3536" t="s">
        <v>2672</v>
      </c>
      <c r="L3536" s="13">
        <v>3000</v>
      </c>
      <c r="M3536" t="s">
        <v>2676</v>
      </c>
    </row>
    <row r="3537" spans="1:13">
      <c r="A3537" t="s">
        <v>1539</v>
      </c>
      <c r="B3537" t="s">
        <v>244</v>
      </c>
      <c r="C3537" s="8">
        <v>45959</v>
      </c>
      <c r="D3537" t="s">
        <v>324</v>
      </c>
      <c r="E3537" t="s">
        <v>339</v>
      </c>
      <c r="F3537" s="12">
        <v>155922</v>
      </c>
      <c r="G3537" s="13">
        <v>15</v>
      </c>
      <c r="H3537" t="s">
        <v>2778</v>
      </c>
      <c r="I3537" s="8">
        <v>45994</v>
      </c>
      <c r="J3537" t="s">
        <v>2692</v>
      </c>
      <c r="K3537" t="s">
        <v>2693</v>
      </c>
      <c r="L3537" s="13">
        <v>10000</v>
      </c>
      <c r="M3537" t="s">
        <v>2661</v>
      </c>
    </row>
    <row r="3538" spans="1:13">
      <c r="A3538" t="s">
        <v>1539</v>
      </c>
      <c r="B3538" t="s">
        <v>244</v>
      </c>
      <c r="C3538" s="8">
        <v>45959</v>
      </c>
      <c r="D3538" t="s">
        <v>324</v>
      </c>
      <c r="E3538" t="s">
        <v>339</v>
      </c>
      <c r="F3538" s="12">
        <v>155922</v>
      </c>
      <c r="G3538" s="13">
        <v>15</v>
      </c>
      <c r="H3538" t="s">
        <v>2916</v>
      </c>
      <c r="I3538" s="8">
        <v>46078</v>
      </c>
      <c r="J3538" t="s">
        <v>2668</v>
      </c>
      <c r="K3538" t="s">
        <v>2669</v>
      </c>
      <c r="L3538" s="13">
        <v>4000</v>
      </c>
      <c r="M3538" t="s">
        <v>2661</v>
      </c>
    </row>
    <row r="3539" spans="1:13">
      <c r="A3539" t="s">
        <v>1540</v>
      </c>
      <c r="B3539" t="s">
        <v>113</v>
      </c>
      <c r="C3539" s="8">
        <v>46205</v>
      </c>
      <c r="D3539" t="s">
        <v>350</v>
      </c>
      <c r="E3539" t="s">
        <v>334</v>
      </c>
      <c r="F3539" s="12">
        <v>390087</v>
      </c>
      <c r="G3539" s="13">
        <v>39</v>
      </c>
      <c r="H3539" t="s">
        <v>3114</v>
      </c>
      <c r="I3539" s="8">
        <v>46023</v>
      </c>
      <c r="J3539" t="s">
        <v>2668</v>
      </c>
      <c r="K3539" t="s">
        <v>2669</v>
      </c>
      <c r="L3539" s="13">
        <v>4000</v>
      </c>
      <c r="M3539" t="s">
        <v>2661</v>
      </c>
    </row>
    <row r="3540" spans="1:13">
      <c r="A3540" t="s">
        <v>1540</v>
      </c>
      <c r="B3540" t="s">
        <v>113</v>
      </c>
      <c r="C3540" s="8">
        <v>46205</v>
      </c>
      <c r="D3540" t="s">
        <v>350</v>
      </c>
      <c r="E3540" t="s">
        <v>334</v>
      </c>
      <c r="F3540" s="12">
        <v>390087</v>
      </c>
      <c r="G3540" s="13">
        <v>39</v>
      </c>
      <c r="H3540" t="s">
        <v>3149</v>
      </c>
      <c r="I3540" s="8">
        <v>46086</v>
      </c>
      <c r="J3540" t="s">
        <v>2688</v>
      </c>
      <c r="K3540" t="s">
        <v>2689</v>
      </c>
      <c r="L3540" s="13">
        <v>8000</v>
      </c>
      <c r="M3540" t="s">
        <v>2676</v>
      </c>
    </row>
    <row r="3541" spans="1:13">
      <c r="A3541" t="s">
        <v>1540</v>
      </c>
      <c r="B3541" t="s">
        <v>113</v>
      </c>
      <c r="C3541" s="8">
        <v>46205</v>
      </c>
      <c r="D3541" t="s">
        <v>350</v>
      </c>
      <c r="E3541" t="s">
        <v>334</v>
      </c>
      <c r="F3541" s="12">
        <v>390087</v>
      </c>
      <c r="G3541" s="13">
        <v>39</v>
      </c>
      <c r="H3541" t="s">
        <v>3315</v>
      </c>
      <c r="I3541" s="8">
        <v>46102</v>
      </c>
      <c r="J3541" t="s">
        <v>2692</v>
      </c>
      <c r="K3541" t="s">
        <v>2693</v>
      </c>
      <c r="L3541" s="13">
        <v>10000</v>
      </c>
      <c r="M3541" t="s">
        <v>2676</v>
      </c>
    </row>
    <row r="3542" spans="1:13">
      <c r="A3542" t="s">
        <v>1540</v>
      </c>
      <c r="B3542" t="s">
        <v>113</v>
      </c>
      <c r="C3542" s="8">
        <v>46205</v>
      </c>
      <c r="D3542" t="s">
        <v>350</v>
      </c>
      <c r="E3542" t="s">
        <v>334</v>
      </c>
      <c r="F3542" s="12">
        <v>390087</v>
      </c>
      <c r="G3542" s="13">
        <v>39</v>
      </c>
      <c r="H3542" t="s">
        <v>3365</v>
      </c>
      <c r="I3542" s="8">
        <v>45995</v>
      </c>
      <c r="J3542" t="s">
        <v>2685</v>
      </c>
      <c r="K3542" t="s">
        <v>2686</v>
      </c>
      <c r="L3542" s="13">
        <v>5000</v>
      </c>
      <c r="M3542" t="s">
        <v>2676</v>
      </c>
    </row>
    <row r="3543" spans="1:13">
      <c r="A3543" t="s">
        <v>1541</v>
      </c>
      <c r="B3543" t="s">
        <v>40</v>
      </c>
      <c r="C3543" s="8">
        <v>46119</v>
      </c>
      <c r="D3543" t="s">
        <v>324</v>
      </c>
      <c r="E3543" t="s">
        <v>322</v>
      </c>
      <c r="F3543" s="12">
        <v>26583</v>
      </c>
      <c r="G3543" s="13">
        <v>2</v>
      </c>
      <c r="H3543" t="s">
        <v>2852</v>
      </c>
      <c r="I3543" s="8">
        <v>45939</v>
      </c>
      <c r="J3543" t="s">
        <v>2663</v>
      </c>
      <c r="K3543" t="s">
        <v>3630</v>
      </c>
      <c r="L3543" s="13">
        <v>1500</v>
      </c>
      <c r="M3543" t="s">
        <v>2661</v>
      </c>
    </row>
    <row r="3544" spans="1:13">
      <c r="A3544" t="s">
        <v>1541</v>
      </c>
      <c r="B3544" t="s">
        <v>40</v>
      </c>
      <c r="C3544" s="8">
        <v>46119</v>
      </c>
      <c r="D3544" t="s">
        <v>324</v>
      </c>
      <c r="E3544" t="s">
        <v>322</v>
      </c>
      <c r="F3544" s="12">
        <v>26583</v>
      </c>
      <c r="G3544" s="13">
        <v>2</v>
      </c>
      <c r="H3544" t="s">
        <v>3324</v>
      </c>
      <c r="I3544" s="8">
        <v>46040</v>
      </c>
      <c r="J3544" t="s">
        <v>2674</v>
      </c>
      <c r="K3544" t="s">
        <v>2675</v>
      </c>
      <c r="L3544" s="13">
        <v>20000</v>
      </c>
      <c r="M3544" t="s">
        <v>2661</v>
      </c>
    </row>
    <row r="3545" spans="1:13">
      <c r="A3545" t="s">
        <v>1541</v>
      </c>
      <c r="B3545" t="s">
        <v>40</v>
      </c>
      <c r="C3545" s="8">
        <v>46119</v>
      </c>
      <c r="D3545" t="s">
        <v>324</v>
      </c>
      <c r="E3545" t="s">
        <v>322</v>
      </c>
      <c r="F3545" s="12">
        <v>26583</v>
      </c>
      <c r="G3545" s="13">
        <v>2</v>
      </c>
      <c r="H3545" t="s">
        <v>3474</v>
      </c>
      <c r="I3545" s="8">
        <v>45997</v>
      </c>
      <c r="J3545" t="s">
        <v>2665</v>
      </c>
      <c r="K3545" t="s">
        <v>2666</v>
      </c>
      <c r="L3545" s="13">
        <v>2500</v>
      </c>
      <c r="M3545" t="s">
        <v>2676</v>
      </c>
    </row>
    <row r="3546" spans="1:13">
      <c r="A3546" t="s">
        <v>1542</v>
      </c>
      <c r="B3546" t="s">
        <v>246</v>
      </c>
      <c r="C3546" s="8">
        <v>46277</v>
      </c>
      <c r="D3546" t="s">
        <v>350</v>
      </c>
      <c r="E3546" t="s">
        <v>328</v>
      </c>
      <c r="F3546" s="12">
        <v>340044</v>
      </c>
      <c r="G3546" s="13">
        <v>34</v>
      </c>
      <c r="H3546" t="s">
        <v>2762</v>
      </c>
      <c r="I3546" s="8">
        <v>46154</v>
      </c>
      <c r="J3546" t="s">
        <v>2682</v>
      </c>
      <c r="K3546" t="s">
        <v>2683</v>
      </c>
      <c r="L3546" s="13">
        <v>6000</v>
      </c>
      <c r="M3546" t="s">
        <v>2661</v>
      </c>
    </row>
    <row r="3547" spans="1:13">
      <c r="A3547" t="s">
        <v>1542</v>
      </c>
      <c r="B3547" t="s">
        <v>246</v>
      </c>
      <c r="C3547" s="8">
        <v>46277</v>
      </c>
      <c r="D3547" t="s">
        <v>350</v>
      </c>
      <c r="E3547" t="s">
        <v>328</v>
      </c>
      <c r="F3547" s="12">
        <v>340044</v>
      </c>
      <c r="G3547" s="13">
        <v>34</v>
      </c>
      <c r="H3547" t="s">
        <v>2883</v>
      </c>
      <c r="I3547" s="8">
        <v>46154</v>
      </c>
      <c r="J3547" t="s">
        <v>2688</v>
      </c>
      <c r="K3547" t="s">
        <v>2689</v>
      </c>
      <c r="L3547" s="13">
        <v>8000</v>
      </c>
      <c r="M3547" t="s">
        <v>2676</v>
      </c>
    </row>
    <row r="3548" spans="1:13">
      <c r="A3548" t="s">
        <v>1542</v>
      </c>
      <c r="B3548" t="s">
        <v>246</v>
      </c>
      <c r="C3548" s="8">
        <v>46277</v>
      </c>
      <c r="D3548" t="s">
        <v>350</v>
      </c>
      <c r="E3548" t="s">
        <v>328</v>
      </c>
      <c r="F3548" s="12">
        <v>340044</v>
      </c>
      <c r="G3548" s="13">
        <v>34</v>
      </c>
      <c r="H3548" t="s">
        <v>3077</v>
      </c>
      <c r="I3548" s="8">
        <v>45953</v>
      </c>
      <c r="J3548" t="s">
        <v>2674</v>
      </c>
      <c r="K3548" t="s">
        <v>2675</v>
      </c>
      <c r="L3548" s="13">
        <v>20000</v>
      </c>
      <c r="M3548" t="s">
        <v>2661</v>
      </c>
    </row>
    <row r="3549" spans="1:13">
      <c r="A3549" t="s">
        <v>1542</v>
      </c>
      <c r="B3549" t="s">
        <v>246</v>
      </c>
      <c r="C3549" s="8">
        <v>46277</v>
      </c>
      <c r="D3549" t="s">
        <v>350</v>
      </c>
      <c r="E3549" t="s">
        <v>328</v>
      </c>
      <c r="F3549" s="12">
        <v>340044</v>
      </c>
      <c r="G3549" s="13">
        <v>34</v>
      </c>
      <c r="H3549" t="s">
        <v>3504</v>
      </c>
      <c r="I3549" s="8">
        <v>46053</v>
      </c>
      <c r="J3549" t="s">
        <v>2663</v>
      </c>
      <c r="K3549" t="s">
        <v>3630</v>
      </c>
      <c r="L3549" s="13">
        <v>1500</v>
      </c>
      <c r="M3549" t="s">
        <v>2661</v>
      </c>
    </row>
    <row r="3550" spans="1:13">
      <c r="A3550" t="s">
        <v>1543</v>
      </c>
      <c r="B3550" t="s">
        <v>103</v>
      </c>
      <c r="C3550" s="8">
        <v>46147</v>
      </c>
      <c r="D3550" t="s">
        <v>350</v>
      </c>
      <c r="E3550" t="s">
        <v>325</v>
      </c>
      <c r="F3550" s="12">
        <v>185777</v>
      </c>
      <c r="G3550" s="13">
        <v>18</v>
      </c>
      <c r="H3550" t="s">
        <v>2729</v>
      </c>
      <c r="I3550" s="8">
        <v>45974</v>
      </c>
      <c r="J3550" t="s">
        <v>2692</v>
      </c>
      <c r="K3550" t="s">
        <v>2693</v>
      </c>
      <c r="L3550" s="13">
        <v>10000</v>
      </c>
      <c r="M3550" t="s">
        <v>2661</v>
      </c>
    </row>
    <row r="3551" spans="1:13">
      <c r="A3551" t="s">
        <v>1543</v>
      </c>
      <c r="B3551" t="s">
        <v>103</v>
      </c>
      <c r="C3551" s="8">
        <v>46147</v>
      </c>
      <c r="D3551" t="s">
        <v>350</v>
      </c>
      <c r="E3551" t="s">
        <v>325</v>
      </c>
      <c r="F3551" s="12">
        <v>185777</v>
      </c>
      <c r="G3551" s="13">
        <v>18</v>
      </c>
      <c r="H3551" t="s">
        <v>2768</v>
      </c>
      <c r="I3551" s="8">
        <v>46048</v>
      </c>
      <c r="J3551" t="s">
        <v>2682</v>
      </c>
      <c r="K3551" t="s">
        <v>2683</v>
      </c>
      <c r="L3551" s="13">
        <v>6000</v>
      </c>
      <c r="M3551" t="s">
        <v>2661</v>
      </c>
    </row>
    <row r="3552" spans="1:13">
      <c r="A3552" t="s">
        <v>1543</v>
      </c>
      <c r="B3552" t="s">
        <v>103</v>
      </c>
      <c r="C3552" s="8">
        <v>46147</v>
      </c>
      <c r="D3552" t="s">
        <v>350</v>
      </c>
      <c r="E3552" t="s">
        <v>325</v>
      </c>
      <c r="F3552" s="12">
        <v>185777</v>
      </c>
      <c r="G3552" s="13">
        <v>18</v>
      </c>
      <c r="H3552" t="s">
        <v>3094</v>
      </c>
      <c r="I3552" s="8">
        <v>46015</v>
      </c>
      <c r="J3552" t="s">
        <v>2665</v>
      </c>
      <c r="K3552" t="s">
        <v>2666</v>
      </c>
      <c r="L3552" s="13">
        <v>2500</v>
      </c>
      <c r="M3552" t="s">
        <v>2661</v>
      </c>
    </row>
    <row r="3553" spans="1:13">
      <c r="A3553" t="s">
        <v>1543</v>
      </c>
      <c r="B3553" t="s">
        <v>103</v>
      </c>
      <c r="C3553" s="8">
        <v>46147</v>
      </c>
      <c r="D3553" t="s">
        <v>350</v>
      </c>
      <c r="E3553" t="s">
        <v>325</v>
      </c>
      <c r="F3553" s="12">
        <v>185777</v>
      </c>
      <c r="G3553" s="13">
        <v>18</v>
      </c>
      <c r="H3553" t="s">
        <v>3371</v>
      </c>
      <c r="I3553" s="8">
        <v>46261</v>
      </c>
      <c r="J3553" t="s">
        <v>2674</v>
      </c>
      <c r="K3553" t="s">
        <v>2675</v>
      </c>
      <c r="L3553" s="13">
        <v>20000</v>
      </c>
      <c r="M3553" t="s">
        <v>2676</v>
      </c>
    </row>
    <row r="3554" spans="1:13">
      <c r="A3554" t="s">
        <v>1543</v>
      </c>
      <c r="B3554" t="s">
        <v>103</v>
      </c>
      <c r="C3554" s="8">
        <v>46147</v>
      </c>
      <c r="D3554" t="s">
        <v>350</v>
      </c>
      <c r="E3554" t="s">
        <v>325</v>
      </c>
      <c r="F3554" s="12">
        <v>185777</v>
      </c>
      <c r="G3554" s="13">
        <v>18</v>
      </c>
      <c r="H3554" t="s">
        <v>3394</v>
      </c>
      <c r="I3554" s="8">
        <v>46193</v>
      </c>
      <c r="J3554" t="s">
        <v>2659</v>
      </c>
      <c r="K3554" t="s">
        <v>2660</v>
      </c>
      <c r="L3554" s="13">
        <v>3500</v>
      </c>
      <c r="M3554" t="s">
        <v>2676</v>
      </c>
    </row>
    <row r="3555" spans="1:13">
      <c r="A3555" t="s">
        <v>1543</v>
      </c>
      <c r="B3555" t="s">
        <v>103</v>
      </c>
      <c r="C3555" s="8">
        <v>46147</v>
      </c>
      <c r="D3555" t="s">
        <v>350</v>
      </c>
      <c r="E3555" t="s">
        <v>325</v>
      </c>
      <c r="F3555" s="12">
        <v>185777</v>
      </c>
      <c r="G3555" s="13">
        <v>18</v>
      </c>
      <c r="H3555" t="s">
        <v>3445</v>
      </c>
      <c r="I3555" s="8">
        <v>46231</v>
      </c>
      <c r="J3555" t="s">
        <v>2688</v>
      </c>
      <c r="K3555" t="s">
        <v>2689</v>
      </c>
      <c r="L3555" s="13">
        <v>8000</v>
      </c>
      <c r="M3555" t="s">
        <v>2661</v>
      </c>
    </row>
    <row r="3556" spans="1:13">
      <c r="A3556" t="s">
        <v>1543</v>
      </c>
      <c r="B3556" t="s">
        <v>103</v>
      </c>
      <c r="C3556" s="8">
        <v>46147</v>
      </c>
      <c r="D3556" t="s">
        <v>350</v>
      </c>
      <c r="E3556" t="s">
        <v>325</v>
      </c>
      <c r="F3556" s="12">
        <v>185777</v>
      </c>
      <c r="G3556" s="13">
        <v>18</v>
      </c>
      <c r="H3556" t="s">
        <v>3522</v>
      </c>
      <c r="I3556" s="8">
        <v>45989</v>
      </c>
      <c r="J3556" t="s">
        <v>2665</v>
      </c>
      <c r="K3556" t="s">
        <v>2666</v>
      </c>
      <c r="L3556" s="13">
        <v>2500</v>
      </c>
      <c r="M3556" t="s">
        <v>2661</v>
      </c>
    </row>
    <row r="3557" spans="1:13">
      <c r="A3557" t="s">
        <v>1543</v>
      </c>
      <c r="B3557" t="s">
        <v>103</v>
      </c>
      <c r="C3557" s="8">
        <v>46147</v>
      </c>
      <c r="D3557" t="s">
        <v>350</v>
      </c>
      <c r="E3557" t="s">
        <v>325</v>
      </c>
      <c r="F3557" s="12">
        <v>185777</v>
      </c>
      <c r="G3557" s="13">
        <v>18</v>
      </c>
      <c r="H3557" t="s">
        <v>3539</v>
      </c>
      <c r="I3557" s="8">
        <v>46041</v>
      </c>
      <c r="J3557" t="s">
        <v>2682</v>
      </c>
      <c r="K3557" t="s">
        <v>2683</v>
      </c>
      <c r="L3557" s="13">
        <v>6000</v>
      </c>
      <c r="M3557" t="s">
        <v>2661</v>
      </c>
    </row>
    <row r="3558" spans="1:13">
      <c r="A3558" t="s">
        <v>1544</v>
      </c>
      <c r="B3558" t="s">
        <v>141</v>
      </c>
      <c r="C3558" s="8">
        <v>46112</v>
      </c>
      <c r="D3558" t="s">
        <v>330</v>
      </c>
      <c r="E3558" t="s">
        <v>337</v>
      </c>
      <c r="F3558" s="12">
        <v>267564</v>
      </c>
      <c r="G3558" s="13">
        <v>26</v>
      </c>
      <c r="H3558" t="s">
        <v>2784</v>
      </c>
      <c r="I3558" s="8">
        <v>46039</v>
      </c>
      <c r="J3558" t="s">
        <v>2692</v>
      </c>
      <c r="K3558" t="s">
        <v>2693</v>
      </c>
      <c r="L3558" s="13">
        <v>10000</v>
      </c>
      <c r="M3558" t="s">
        <v>2676</v>
      </c>
    </row>
    <row r="3559" spans="1:13">
      <c r="A3559" t="s">
        <v>1544</v>
      </c>
      <c r="B3559" t="s">
        <v>141</v>
      </c>
      <c r="C3559" s="8">
        <v>46112</v>
      </c>
      <c r="D3559" t="s">
        <v>330</v>
      </c>
      <c r="E3559" t="s">
        <v>337</v>
      </c>
      <c r="F3559" s="12">
        <v>267564</v>
      </c>
      <c r="G3559" s="13">
        <v>26</v>
      </c>
      <c r="H3559" t="s">
        <v>2983</v>
      </c>
      <c r="I3559" s="8">
        <v>46195</v>
      </c>
      <c r="J3559" t="s">
        <v>2665</v>
      </c>
      <c r="K3559" t="s">
        <v>2666</v>
      </c>
      <c r="L3559" s="13">
        <v>2500</v>
      </c>
      <c r="M3559" t="s">
        <v>2661</v>
      </c>
    </row>
    <row r="3560" spans="1:13">
      <c r="A3560" t="s">
        <v>1544</v>
      </c>
      <c r="B3560" t="s">
        <v>141</v>
      </c>
      <c r="C3560" s="8">
        <v>46112</v>
      </c>
      <c r="D3560" t="s">
        <v>330</v>
      </c>
      <c r="E3560" t="s">
        <v>337</v>
      </c>
      <c r="F3560" s="12">
        <v>267564</v>
      </c>
      <c r="G3560" s="13">
        <v>26</v>
      </c>
      <c r="H3560" t="s">
        <v>3011</v>
      </c>
      <c r="I3560" s="8">
        <v>46197</v>
      </c>
      <c r="J3560" t="s">
        <v>2674</v>
      </c>
      <c r="K3560" t="s">
        <v>2675</v>
      </c>
      <c r="L3560" s="13">
        <v>20000</v>
      </c>
      <c r="M3560" t="s">
        <v>2661</v>
      </c>
    </row>
    <row r="3561" spans="1:13">
      <c r="A3561" t="s">
        <v>1544</v>
      </c>
      <c r="B3561" t="s">
        <v>141</v>
      </c>
      <c r="C3561" s="8">
        <v>46112</v>
      </c>
      <c r="D3561" t="s">
        <v>330</v>
      </c>
      <c r="E3561" t="s">
        <v>337</v>
      </c>
      <c r="F3561" s="12">
        <v>267564</v>
      </c>
      <c r="G3561" s="13">
        <v>26</v>
      </c>
      <c r="H3561" t="s">
        <v>3035</v>
      </c>
      <c r="I3561" s="8">
        <v>46115</v>
      </c>
      <c r="J3561" t="s">
        <v>2663</v>
      </c>
      <c r="K3561" t="s">
        <v>3630</v>
      </c>
      <c r="L3561" s="13">
        <v>1500</v>
      </c>
      <c r="M3561" t="s">
        <v>2661</v>
      </c>
    </row>
    <row r="3562" spans="1:13">
      <c r="A3562" t="s">
        <v>1544</v>
      </c>
      <c r="B3562" t="s">
        <v>141</v>
      </c>
      <c r="C3562" s="8">
        <v>46112</v>
      </c>
      <c r="D3562" t="s">
        <v>330</v>
      </c>
      <c r="E3562" t="s">
        <v>337</v>
      </c>
      <c r="F3562" s="12">
        <v>267564</v>
      </c>
      <c r="G3562" s="13">
        <v>26</v>
      </c>
      <c r="H3562" t="s">
        <v>3161</v>
      </c>
      <c r="I3562" s="8">
        <v>46177</v>
      </c>
      <c r="J3562" t="s">
        <v>2663</v>
      </c>
      <c r="K3562" t="s">
        <v>3630</v>
      </c>
      <c r="L3562" s="13">
        <v>1500</v>
      </c>
      <c r="M3562" t="s">
        <v>2661</v>
      </c>
    </row>
    <row r="3563" spans="1:13">
      <c r="A3563" t="s">
        <v>1544</v>
      </c>
      <c r="B3563" t="s">
        <v>141</v>
      </c>
      <c r="C3563" s="8">
        <v>46112</v>
      </c>
      <c r="D3563" t="s">
        <v>330</v>
      </c>
      <c r="E3563" t="s">
        <v>337</v>
      </c>
      <c r="F3563" s="12">
        <v>267564</v>
      </c>
      <c r="G3563" s="13">
        <v>26</v>
      </c>
      <c r="H3563" t="s">
        <v>3357</v>
      </c>
      <c r="I3563" s="8">
        <v>46093</v>
      </c>
      <c r="J3563" t="s">
        <v>2685</v>
      </c>
      <c r="K3563" t="s">
        <v>2686</v>
      </c>
      <c r="L3563" s="13">
        <v>5000</v>
      </c>
      <c r="M3563" t="s">
        <v>2676</v>
      </c>
    </row>
    <row r="3564" spans="1:13">
      <c r="A3564" t="s">
        <v>1545</v>
      </c>
      <c r="B3564" t="s">
        <v>94</v>
      </c>
      <c r="C3564" s="8">
        <v>46247</v>
      </c>
      <c r="D3564" t="s">
        <v>324</v>
      </c>
      <c r="E3564" t="s">
        <v>328</v>
      </c>
      <c r="F3564" s="12">
        <v>284251</v>
      </c>
      <c r="G3564" s="13">
        <v>28</v>
      </c>
      <c r="H3564" t="s">
        <v>2994</v>
      </c>
      <c r="I3564" s="8">
        <v>46107</v>
      </c>
      <c r="J3564" t="s">
        <v>2682</v>
      </c>
      <c r="K3564" t="s">
        <v>2683</v>
      </c>
      <c r="L3564" s="13">
        <v>6000</v>
      </c>
      <c r="M3564" t="s">
        <v>2661</v>
      </c>
    </row>
    <row r="3565" spans="1:13">
      <c r="A3565" t="s">
        <v>1546</v>
      </c>
      <c r="B3565" t="s">
        <v>59</v>
      </c>
      <c r="C3565" s="8">
        <v>46224</v>
      </c>
      <c r="D3565" t="s">
        <v>327</v>
      </c>
      <c r="E3565" t="s">
        <v>325</v>
      </c>
      <c r="F3565" s="12">
        <v>242418</v>
      </c>
      <c r="G3565" s="13">
        <v>24</v>
      </c>
      <c r="H3565" t="s">
        <v>3015</v>
      </c>
      <c r="I3565" s="8">
        <v>46063</v>
      </c>
      <c r="J3565" t="s">
        <v>2688</v>
      </c>
      <c r="K3565" t="s">
        <v>2689</v>
      </c>
      <c r="L3565" s="13">
        <v>8000</v>
      </c>
      <c r="M3565" t="s">
        <v>2661</v>
      </c>
    </row>
    <row r="3566" spans="1:13">
      <c r="A3566" t="s">
        <v>1546</v>
      </c>
      <c r="B3566" t="s">
        <v>59</v>
      </c>
      <c r="C3566" s="8">
        <v>46224</v>
      </c>
      <c r="D3566" t="s">
        <v>327</v>
      </c>
      <c r="E3566" t="s">
        <v>325</v>
      </c>
      <c r="F3566" s="12">
        <v>242418</v>
      </c>
      <c r="G3566" s="13">
        <v>24</v>
      </c>
      <c r="H3566" t="s">
        <v>3420</v>
      </c>
      <c r="I3566" s="8">
        <v>46108</v>
      </c>
      <c r="J3566" t="s">
        <v>2665</v>
      </c>
      <c r="K3566" t="s">
        <v>2666</v>
      </c>
      <c r="L3566" s="13">
        <v>2500</v>
      </c>
      <c r="M3566" t="s">
        <v>2661</v>
      </c>
    </row>
    <row r="3567" spans="1:13">
      <c r="A3567" t="s">
        <v>1546</v>
      </c>
      <c r="B3567" t="s">
        <v>59</v>
      </c>
      <c r="C3567" s="8">
        <v>46224</v>
      </c>
      <c r="D3567" t="s">
        <v>327</v>
      </c>
      <c r="E3567" t="s">
        <v>325</v>
      </c>
      <c r="F3567" s="12">
        <v>242418</v>
      </c>
      <c r="G3567" s="13">
        <v>24</v>
      </c>
      <c r="H3567" t="s">
        <v>3515</v>
      </c>
      <c r="I3567" s="8">
        <v>46190</v>
      </c>
      <c r="J3567" t="s">
        <v>2659</v>
      </c>
      <c r="K3567" t="s">
        <v>2660</v>
      </c>
      <c r="L3567" s="13">
        <v>3500</v>
      </c>
      <c r="M3567" t="s">
        <v>2661</v>
      </c>
    </row>
    <row r="3568" spans="1:13">
      <c r="A3568" t="s">
        <v>1547</v>
      </c>
      <c r="B3568" t="s">
        <v>110</v>
      </c>
      <c r="C3568" s="8">
        <v>45974</v>
      </c>
      <c r="D3568" t="s">
        <v>330</v>
      </c>
      <c r="E3568" t="s">
        <v>339</v>
      </c>
      <c r="F3568" s="12">
        <v>263198</v>
      </c>
      <c r="G3568" s="13">
        <v>26</v>
      </c>
      <c r="H3568" t="s">
        <v>3413</v>
      </c>
      <c r="I3568" s="8">
        <v>46031</v>
      </c>
      <c r="J3568" t="s">
        <v>2685</v>
      </c>
      <c r="K3568" t="s">
        <v>2686</v>
      </c>
      <c r="L3568" s="13">
        <v>5000</v>
      </c>
      <c r="M3568" t="s">
        <v>2661</v>
      </c>
    </row>
    <row r="3569" spans="1:13">
      <c r="A3569" t="s">
        <v>1547</v>
      </c>
      <c r="B3569" t="s">
        <v>110</v>
      </c>
      <c r="C3569" s="8">
        <v>45974</v>
      </c>
      <c r="D3569" t="s">
        <v>330</v>
      </c>
      <c r="E3569" t="s">
        <v>339</v>
      </c>
      <c r="F3569" s="12">
        <v>263198</v>
      </c>
      <c r="G3569" s="13">
        <v>26</v>
      </c>
      <c r="H3569" t="s">
        <v>3438</v>
      </c>
      <c r="I3569" s="8">
        <v>45935</v>
      </c>
      <c r="J3569" t="s">
        <v>2668</v>
      </c>
      <c r="K3569" t="s">
        <v>2669</v>
      </c>
      <c r="L3569" s="13">
        <v>4000</v>
      </c>
      <c r="M3569" t="s">
        <v>2661</v>
      </c>
    </row>
    <row r="3570" spans="1:13">
      <c r="A3570" t="s">
        <v>1547</v>
      </c>
      <c r="B3570" t="s">
        <v>110</v>
      </c>
      <c r="C3570" s="8">
        <v>45974</v>
      </c>
      <c r="D3570" t="s">
        <v>330</v>
      </c>
      <c r="E3570" t="s">
        <v>339</v>
      </c>
      <c r="F3570" s="12">
        <v>263198</v>
      </c>
      <c r="G3570" s="13">
        <v>26</v>
      </c>
      <c r="H3570" t="s">
        <v>3543</v>
      </c>
      <c r="I3570" s="8">
        <v>46256</v>
      </c>
      <c r="J3570" t="s">
        <v>2663</v>
      </c>
      <c r="K3570" t="s">
        <v>3630</v>
      </c>
      <c r="L3570" s="13">
        <v>1500</v>
      </c>
      <c r="M3570" t="s">
        <v>2676</v>
      </c>
    </row>
    <row r="3571" spans="1:13">
      <c r="A3571" t="s">
        <v>1548</v>
      </c>
      <c r="B3571" t="s">
        <v>205</v>
      </c>
      <c r="C3571" s="8">
        <v>46258</v>
      </c>
      <c r="D3571" t="s">
        <v>324</v>
      </c>
      <c r="E3571" t="s">
        <v>334</v>
      </c>
      <c r="F3571" s="12">
        <v>159457</v>
      </c>
      <c r="G3571" s="13">
        <v>15</v>
      </c>
      <c r="H3571" t="s">
        <v>3241</v>
      </c>
      <c r="I3571" s="8">
        <v>45972</v>
      </c>
      <c r="J3571" t="s">
        <v>2671</v>
      </c>
      <c r="K3571" t="s">
        <v>2672</v>
      </c>
      <c r="L3571" s="13">
        <v>3000</v>
      </c>
      <c r="M3571" t="s">
        <v>2676</v>
      </c>
    </row>
    <row r="3572" spans="1:13">
      <c r="A3572" t="s">
        <v>1549</v>
      </c>
      <c r="B3572" t="s">
        <v>293</v>
      </c>
      <c r="C3572" s="8">
        <v>46227</v>
      </c>
      <c r="D3572" t="s">
        <v>344</v>
      </c>
      <c r="E3572" t="s">
        <v>339</v>
      </c>
      <c r="F3572" s="12">
        <v>168277</v>
      </c>
      <c r="G3572" s="13">
        <v>16</v>
      </c>
      <c r="H3572" t="s">
        <v>2680</v>
      </c>
      <c r="I3572" s="8">
        <v>46235</v>
      </c>
      <c r="J3572" t="s">
        <v>2665</v>
      </c>
      <c r="K3572" t="s">
        <v>2666</v>
      </c>
      <c r="L3572" s="13">
        <v>2500</v>
      </c>
      <c r="M3572" t="s">
        <v>2661</v>
      </c>
    </row>
    <row r="3573" spans="1:13">
      <c r="A3573" t="s">
        <v>1549</v>
      </c>
      <c r="B3573" t="s">
        <v>293</v>
      </c>
      <c r="C3573" s="8">
        <v>46227</v>
      </c>
      <c r="D3573" t="s">
        <v>344</v>
      </c>
      <c r="E3573" t="s">
        <v>339</v>
      </c>
      <c r="F3573" s="12">
        <v>168277</v>
      </c>
      <c r="G3573" s="13">
        <v>16</v>
      </c>
      <c r="H3573" t="s">
        <v>2795</v>
      </c>
      <c r="I3573" s="8">
        <v>45945</v>
      </c>
      <c r="J3573" t="s">
        <v>2663</v>
      </c>
      <c r="K3573" t="s">
        <v>3630</v>
      </c>
      <c r="L3573" s="13">
        <v>1500</v>
      </c>
      <c r="M3573" t="s">
        <v>2661</v>
      </c>
    </row>
    <row r="3574" spans="1:13">
      <c r="A3574" t="s">
        <v>1549</v>
      </c>
      <c r="B3574" t="s">
        <v>293</v>
      </c>
      <c r="C3574" s="8">
        <v>46227</v>
      </c>
      <c r="D3574" t="s">
        <v>344</v>
      </c>
      <c r="E3574" t="s">
        <v>339</v>
      </c>
      <c r="F3574" s="12">
        <v>168277</v>
      </c>
      <c r="G3574" s="13">
        <v>16</v>
      </c>
      <c r="H3574" t="s">
        <v>2977</v>
      </c>
      <c r="I3574" s="8">
        <v>46001</v>
      </c>
      <c r="J3574" t="s">
        <v>2659</v>
      </c>
      <c r="K3574" t="s">
        <v>2660</v>
      </c>
      <c r="L3574" s="13">
        <v>3500</v>
      </c>
      <c r="M3574" t="s">
        <v>2661</v>
      </c>
    </row>
    <row r="3575" spans="1:13">
      <c r="A3575" t="s">
        <v>1549</v>
      </c>
      <c r="B3575" t="s">
        <v>293</v>
      </c>
      <c r="C3575" s="8">
        <v>46227</v>
      </c>
      <c r="D3575" t="s">
        <v>344</v>
      </c>
      <c r="E3575" t="s">
        <v>339</v>
      </c>
      <c r="F3575" s="12">
        <v>168277</v>
      </c>
      <c r="G3575" s="13">
        <v>16</v>
      </c>
      <c r="H3575" t="s">
        <v>3042</v>
      </c>
      <c r="I3575" s="8">
        <v>45970</v>
      </c>
      <c r="J3575" t="s">
        <v>2682</v>
      </c>
      <c r="K3575" t="s">
        <v>2683</v>
      </c>
      <c r="L3575" s="13">
        <v>6000</v>
      </c>
      <c r="M3575" t="s">
        <v>2661</v>
      </c>
    </row>
    <row r="3576" spans="1:13">
      <c r="A3576" t="s">
        <v>1549</v>
      </c>
      <c r="B3576" t="s">
        <v>293</v>
      </c>
      <c r="C3576" s="8">
        <v>46227</v>
      </c>
      <c r="D3576" t="s">
        <v>344</v>
      </c>
      <c r="E3576" t="s">
        <v>339</v>
      </c>
      <c r="F3576" s="12">
        <v>168277</v>
      </c>
      <c r="G3576" s="13">
        <v>16</v>
      </c>
      <c r="H3576" t="s">
        <v>3354</v>
      </c>
      <c r="I3576" s="8">
        <v>45997</v>
      </c>
      <c r="J3576" t="s">
        <v>2659</v>
      </c>
      <c r="K3576" t="s">
        <v>2660</v>
      </c>
      <c r="L3576" s="13">
        <v>3500</v>
      </c>
      <c r="M3576" t="s">
        <v>2661</v>
      </c>
    </row>
    <row r="3577" spans="1:13">
      <c r="A3577" t="s">
        <v>1549</v>
      </c>
      <c r="B3577" t="s">
        <v>293</v>
      </c>
      <c r="C3577" s="8">
        <v>46227</v>
      </c>
      <c r="D3577" t="s">
        <v>344</v>
      </c>
      <c r="E3577" t="s">
        <v>339</v>
      </c>
      <c r="F3577" s="12">
        <v>168277</v>
      </c>
      <c r="G3577" s="13">
        <v>16</v>
      </c>
      <c r="H3577" t="s">
        <v>3448</v>
      </c>
      <c r="I3577" s="8">
        <v>46100</v>
      </c>
      <c r="J3577" t="s">
        <v>2668</v>
      </c>
      <c r="K3577" t="s">
        <v>2669</v>
      </c>
      <c r="L3577" s="13">
        <v>4000</v>
      </c>
      <c r="M3577" t="s">
        <v>2676</v>
      </c>
    </row>
    <row r="3578" spans="1:13">
      <c r="A3578" t="s">
        <v>1550</v>
      </c>
      <c r="B3578" t="s">
        <v>255</v>
      </c>
      <c r="C3578" s="8">
        <v>46036</v>
      </c>
      <c r="D3578" t="s">
        <v>327</v>
      </c>
      <c r="E3578" t="s">
        <v>334</v>
      </c>
      <c r="F3578" s="12">
        <v>319698</v>
      </c>
      <c r="G3578" s="13">
        <v>31</v>
      </c>
      <c r="H3578" t="s">
        <v>2956</v>
      </c>
      <c r="I3578" s="8">
        <v>45952</v>
      </c>
      <c r="J3578" t="s">
        <v>2674</v>
      </c>
      <c r="K3578" t="s">
        <v>2675</v>
      </c>
      <c r="L3578" s="13">
        <v>20000</v>
      </c>
      <c r="M3578" t="s">
        <v>2676</v>
      </c>
    </row>
    <row r="3579" spans="1:13">
      <c r="A3579" t="s">
        <v>1550</v>
      </c>
      <c r="B3579" t="s">
        <v>255</v>
      </c>
      <c r="C3579" s="8">
        <v>46036</v>
      </c>
      <c r="D3579" t="s">
        <v>327</v>
      </c>
      <c r="E3579" t="s">
        <v>334</v>
      </c>
      <c r="F3579" s="12">
        <v>319698</v>
      </c>
      <c r="G3579" s="13">
        <v>31</v>
      </c>
      <c r="H3579" t="s">
        <v>3223</v>
      </c>
      <c r="I3579" s="8">
        <v>46198</v>
      </c>
      <c r="J3579" t="s">
        <v>2665</v>
      </c>
      <c r="K3579" t="s">
        <v>2666</v>
      </c>
      <c r="L3579" s="13">
        <v>2500</v>
      </c>
      <c r="M3579" t="s">
        <v>2661</v>
      </c>
    </row>
    <row r="3580" spans="1:13">
      <c r="A3580" t="s">
        <v>1550</v>
      </c>
      <c r="B3580" t="s">
        <v>255</v>
      </c>
      <c r="C3580" s="8">
        <v>46036</v>
      </c>
      <c r="D3580" t="s">
        <v>327</v>
      </c>
      <c r="E3580" t="s">
        <v>334</v>
      </c>
      <c r="F3580" s="12">
        <v>319698</v>
      </c>
      <c r="G3580" s="13">
        <v>31</v>
      </c>
      <c r="H3580" t="s">
        <v>3323</v>
      </c>
      <c r="I3580" s="8">
        <v>46169</v>
      </c>
      <c r="J3580" t="s">
        <v>2682</v>
      </c>
      <c r="K3580" t="s">
        <v>2683</v>
      </c>
      <c r="L3580" s="13">
        <v>6000</v>
      </c>
      <c r="M3580" t="s">
        <v>2676</v>
      </c>
    </row>
    <row r="3581" spans="1:13">
      <c r="A3581" t="s">
        <v>1551</v>
      </c>
      <c r="B3581" t="s">
        <v>117</v>
      </c>
      <c r="C3581" s="8">
        <v>46095</v>
      </c>
      <c r="D3581" t="s">
        <v>330</v>
      </c>
      <c r="E3581" t="s">
        <v>325</v>
      </c>
      <c r="F3581" s="12">
        <v>635313</v>
      </c>
      <c r="G3581" s="13">
        <v>63</v>
      </c>
      <c r="H3581" t="s">
        <v>2952</v>
      </c>
      <c r="I3581" s="8">
        <v>46155</v>
      </c>
      <c r="J3581" t="s">
        <v>2674</v>
      </c>
      <c r="K3581" t="s">
        <v>2675</v>
      </c>
      <c r="L3581" s="13">
        <v>20000</v>
      </c>
      <c r="M3581" t="s">
        <v>2661</v>
      </c>
    </row>
    <row r="3582" spans="1:13">
      <c r="A3582" t="s">
        <v>1551</v>
      </c>
      <c r="B3582" t="s">
        <v>117</v>
      </c>
      <c r="C3582" s="8">
        <v>46095</v>
      </c>
      <c r="D3582" t="s">
        <v>330</v>
      </c>
      <c r="E3582" t="s">
        <v>325</v>
      </c>
      <c r="F3582" s="12">
        <v>635313</v>
      </c>
      <c r="G3582" s="13">
        <v>63</v>
      </c>
      <c r="H3582" t="s">
        <v>3244</v>
      </c>
      <c r="I3582" s="8">
        <v>45969</v>
      </c>
      <c r="J3582" t="s">
        <v>2663</v>
      </c>
      <c r="K3582" t="s">
        <v>3630</v>
      </c>
      <c r="L3582" s="13">
        <v>1500</v>
      </c>
      <c r="M3582" t="s">
        <v>2661</v>
      </c>
    </row>
    <row r="3583" spans="1:13">
      <c r="A3583" t="s">
        <v>1552</v>
      </c>
      <c r="B3583" t="s">
        <v>310</v>
      </c>
      <c r="C3583" s="8">
        <v>46005</v>
      </c>
      <c r="D3583" t="s">
        <v>327</v>
      </c>
      <c r="E3583" t="s">
        <v>325</v>
      </c>
      <c r="F3583" s="12">
        <v>481541</v>
      </c>
      <c r="G3583" s="13">
        <v>48</v>
      </c>
      <c r="H3583" t="s">
        <v>2712</v>
      </c>
      <c r="I3583" s="8">
        <v>46153</v>
      </c>
      <c r="J3583" t="s">
        <v>2682</v>
      </c>
      <c r="K3583" t="s">
        <v>2683</v>
      </c>
      <c r="L3583" s="13">
        <v>6000</v>
      </c>
      <c r="M3583" t="s">
        <v>2661</v>
      </c>
    </row>
    <row r="3584" spans="1:13">
      <c r="A3584" t="s">
        <v>1552</v>
      </c>
      <c r="B3584" t="s">
        <v>310</v>
      </c>
      <c r="C3584" s="8">
        <v>46005</v>
      </c>
      <c r="D3584" t="s">
        <v>327</v>
      </c>
      <c r="E3584" t="s">
        <v>325</v>
      </c>
      <c r="F3584" s="12">
        <v>481541</v>
      </c>
      <c r="G3584" s="13">
        <v>48</v>
      </c>
      <c r="H3584" t="s">
        <v>2895</v>
      </c>
      <c r="I3584" s="8">
        <v>45957</v>
      </c>
      <c r="J3584" t="s">
        <v>2688</v>
      </c>
      <c r="K3584" t="s">
        <v>2689</v>
      </c>
      <c r="L3584" s="13">
        <v>8000</v>
      </c>
      <c r="M3584" t="s">
        <v>2661</v>
      </c>
    </row>
    <row r="3585" spans="1:13">
      <c r="A3585" t="s">
        <v>1552</v>
      </c>
      <c r="B3585" t="s">
        <v>310</v>
      </c>
      <c r="C3585" s="8">
        <v>46005</v>
      </c>
      <c r="D3585" t="s">
        <v>327</v>
      </c>
      <c r="E3585" t="s">
        <v>325</v>
      </c>
      <c r="F3585" s="12">
        <v>481541</v>
      </c>
      <c r="G3585" s="13">
        <v>48</v>
      </c>
      <c r="H3585" t="s">
        <v>2976</v>
      </c>
      <c r="I3585" s="8">
        <v>46146</v>
      </c>
      <c r="J3585" t="s">
        <v>2685</v>
      </c>
      <c r="K3585" t="s">
        <v>2686</v>
      </c>
      <c r="L3585" s="13">
        <v>5000</v>
      </c>
      <c r="M3585" t="s">
        <v>2661</v>
      </c>
    </row>
    <row r="3586" spans="1:13">
      <c r="A3586" t="s">
        <v>1552</v>
      </c>
      <c r="B3586" t="s">
        <v>310</v>
      </c>
      <c r="C3586" s="8">
        <v>46005</v>
      </c>
      <c r="D3586" t="s">
        <v>327</v>
      </c>
      <c r="E3586" t="s">
        <v>325</v>
      </c>
      <c r="F3586" s="12">
        <v>481541</v>
      </c>
      <c r="G3586" s="13">
        <v>48</v>
      </c>
      <c r="H3586" t="s">
        <v>3295</v>
      </c>
      <c r="I3586" s="8">
        <v>46154</v>
      </c>
      <c r="J3586" t="s">
        <v>2668</v>
      </c>
      <c r="K3586" t="s">
        <v>2669</v>
      </c>
      <c r="L3586" s="13">
        <v>4000</v>
      </c>
      <c r="M3586" t="s">
        <v>2676</v>
      </c>
    </row>
    <row r="3587" spans="1:13">
      <c r="A3587" t="s">
        <v>1552</v>
      </c>
      <c r="B3587" t="s">
        <v>310</v>
      </c>
      <c r="C3587" s="8">
        <v>46005</v>
      </c>
      <c r="D3587" t="s">
        <v>327</v>
      </c>
      <c r="E3587" t="s">
        <v>325</v>
      </c>
      <c r="F3587" s="12">
        <v>481541</v>
      </c>
      <c r="G3587" s="13">
        <v>48</v>
      </c>
      <c r="H3587" t="s">
        <v>3480</v>
      </c>
      <c r="I3587" s="8">
        <v>46012</v>
      </c>
      <c r="J3587" t="s">
        <v>2685</v>
      </c>
      <c r="K3587" t="s">
        <v>2686</v>
      </c>
      <c r="L3587" s="13">
        <v>5000</v>
      </c>
      <c r="M3587" t="s">
        <v>2676</v>
      </c>
    </row>
    <row r="3588" spans="1:13">
      <c r="A3588" t="s">
        <v>1553</v>
      </c>
      <c r="B3588" t="s">
        <v>135</v>
      </c>
      <c r="C3588" s="8">
        <v>45941</v>
      </c>
      <c r="D3588" t="s">
        <v>327</v>
      </c>
      <c r="E3588" t="s">
        <v>334</v>
      </c>
      <c r="F3588" s="12">
        <v>182058</v>
      </c>
      <c r="G3588" s="13">
        <v>18</v>
      </c>
      <c r="H3588" t="s">
        <v>2922</v>
      </c>
      <c r="I3588" s="8">
        <v>45998</v>
      </c>
      <c r="J3588" t="s">
        <v>2682</v>
      </c>
      <c r="K3588" t="s">
        <v>2683</v>
      </c>
      <c r="L3588" s="13">
        <v>6000</v>
      </c>
      <c r="M3588" t="s">
        <v>2661</v>
      </c>
    </row>
    <row r="3589" spans="1:13">
      <c r="A3589" t="s">
        <v>1553</v>
      </c>
      <c r="B3589" t="s">
        <v>135</v>
      </c>
      <c r="C3589" s="8">
        <v>45941</v>
      </c>
      <c r="D3589" t="s">
        <v>327</v>
      </c>
      <c r="E3589" t="s">
        <v>334</v>
      </c>
      <c r="F3589" s="12">
        <v>182058</v>
      </c>
      <c r="G3589" s="13">
        <v>18</v>
      </c>
      <c r="H3589" t="s">
        <v>3053</v>
      </c>
      <c r="I3589" s="8">
        <v>46165</v>
      </c>
      <c r="J3589" t="s">
        <v>2692</v>
      </c>
      <c r="K3589" t="s">
        <v>2693</v>
      </c>
      <c r="L3589" s="13">
        <v>10000</v>
      </c>
      <c r="M3589" t="s">
        <v>2661</v>
      </c>
    </row>
    <row r="3590" spans="1:13">
      <c r="A3590" t="s">
        <v>1553</v>
      </c>
      <c r="B3590" t="s">
        <v>135</v>
      </c>
      <c r="C3590" s="8">
        <v>45941</v>
      </c>
      <c r="D3590" t="s">
        <v>327</v>
      </c>
      <c r="E3590" t="s">
        <v>334</v>
      </c>
      <c r="F3590" s="12">
        <v>182058</v>
      </c>
      <c r="G3590" s="13">
        <v>18</v>
      </c>
      <c r="H3590" t="s">
        <v>3118</v>
      </c>
      <c r="I3590" s="8">
        <v>45989</v>
      </c>
      <c r="J3590" t="s">
        <v>2692</v>
      </c>
      <c r="K3590" t="s">
        <v>2693</v>
      </c>
      <c r="L3590" s="13">
        <v>10000</v>
      </c>
      <c r="M3590" t="s">
        <v>2661</v>
      </c>
    </row>
    <row r="3591" spans="1:13">
      <c r="A3591" t="s">
        <v>1553</v>
      </c>
      <c r="B3591" t="s">
        <v>135</v>
      </c>
      <c r="C3591" s="8">
        <v>45941</v>
      </c>
      <c r="D3591" t="s">
        <v>327</v>
      </c>
      <c r="E3591" t="s">
        <v>334</v>
      </c>
      <c r="F3591" s="12">
        <v>182058</v>
      </c>
      <c r="G3591" s="13">
        <v>18</v>
      </c>
      <c r="H3591" t="s">
        <v>3262</v>
      </c>
      <c r="I3591" s="8">
        <v>46091</v>
      </c>
      <c r="J3591" t="s">
        <v>2682</v>
      </c>
      <c r="K3591" t="s">
        <v>2683</v>
      </c>
      <c r="L3591" s="13">
        <v>6000</v>
      </c>
      <c r="M3591" t="s">
        <v>2661</v>
      </c>
    </row>
    <row r="3592" spans="1:13">
      <c r="A3592" t="s">
        <v>1555</v>
      </c>
      <c r="B3592" t="s">
        <v>217</v>
      </c>
      <c r="C3592" s="8">
        <v>46216</v>
      </c>
      <c r="D3592" t="s">
        <v>332</v>
      </c>
      <c r="E3592" t="s">
        <v>337</v>
      </c>
      <c r="F3592" s="12">
        <v>170607</v>
      </c>
      <c r="G3592" s="13">
        <v>17</v>
      </c>
      <c r="H3592" t="s">
        <v>3010</v>
      </c>
      <c r="I3592" s="8">
        <v>46213</v>
      </c>
      <c r="J3592" t="s">
        <v>2674</v>
      </c>
      <c r="K3592" t="s">
        <v>2675</v>
      </c>
      <c r="L3592" s="13">
        <v>20000</v>
      </c>
      <c r="M3592" t="s">
        <v>2661</v>
      </c>
    </row>
    <row r="3593" spans="1:13">
      <c r="A3593" t="s">
        <v>1555</v>
      </c>
      <c r="B3593" t="s">
        <v>217</v>
      </c>
      <c r="C3593" s="8">
        <v>46216</v>
      </c>
      <c r="D3593" t="s">
        <v>332</v>
      </c>
      <c r="E3593" t="s">
        <v>337</v>
      </c>
      <c r="F3593" s="12">
        <v>170607</v>
      </c>
      <c r="G3593" s="13">
        <v>17</v>
      </c>
      <c r="H3593" t="s">
        <v>3493</v>
      </c>
      <c r="I3593" s="8">
        <v>46078</v>
      </c>
      <c r="J3593" t="s">
        <v>2682</v>
      </c>
      <c r="K3593" t="s">
        <v>2683</v>
      </c>
      <c r="L3593" s="13">
        <v>6000</v>
      </c>
      <c r="M3593" t="s">
        <v>2661</v>
      </c>
    </row>
    <row r="3594" spans="1:13">
      <c r="A3594" t="s">
        <v>1556</v>
      </c>
      <c r="B3594" t="s">
        <v>183</v>
      </c>
      <c r="C3594" s="8">
        <v>46063</v>
      </c>
      <c r="D3594" t="s">
        <v>350</v>
      </c>
      <c r="E3594" t="s">
        <v>339</v>
      </c>
      <c r="F3594" s="12">
        <v>179006</v>
      </c>
      <c r="G3594" s="13">
        <v>17</v>
      </c>
      <c r="H3594" t="s">
        <v>2955</v>
      </c>
      <c r="I3594" s="8">
        <v>45983</v>
      </c>
      <c r="J3594" t="s">
        <v>2671</v>
      </c>
      <c r="K3594" t="s">
        <v>2672</v>
      </c>
      <c r="L3594" s="13">
        <v>3000</v>
      </c>
      <c r="M3594" t="s">
        <v>2676</v>
      </c>
    </row>
    <row r="3595" spans="1:13">
      <c r="A3595" t="s">
        <v>1557</v>
      </c>
      <c r="B3595" t="s">
        <v>103</v>
      </c>
      <c r="C3595" s="8">
        <v>46002</v>
      </c>
      <c r="D3595" t="s">
        <v>350</v>
      </c>
      <c r="E3595" t="s">
        <v>334</v>
      </c>
      <c r="F3595" s="12">
        <v>29826</v>
      </c>
      <c r="G3595" s="13">
        <v>2</v>
      </c>
      <c r="H3595" t="s">
        <v>2729</v>
      </c>
      <c r="I3595" s="8">
        <v>45974</v>
      </c>
      <c r="J3595" t="s">
        <v>2692</v>
      </c>
      <c r="K3595" t="s">
        <v>2693</v>
      </c>
      <c r="L3595" s="13">
        <v>10000</v>
      </c>
      <c r="M3595" t="s">
        <v>2661</v>
      </c>
    </row>
    <row r="3596" spans="1:13">
      <c r="A3596" t="s">
        <v>1557</v>
      </c>
      <c r="B3596" t="s">
        <v>103</v>
      </c>
      <c r="C3596" s="8">
        <v>46002</v>
      </c>
      <c r="D3596" t="s">
        <v>350</v>
      </c>
      <c r="E3596" t="s">
        <v>334</v>
      </c>
      <c r="F3596" s="12">
        <v>29826</v>
      </c>
      <c r="G3596" s="13">
        <v>2</v>
      </c>
      <c r="H3596" t="s">
        <v>2768</v>
      </c>
      <c r="I3596" s="8">
        <v>46048</v>
      </c>
      <c r="J3596" t="s">
        <v>2682</v>
      </c>
      <c r="K3596" t="s">
        <v>2683</v>
      </c>
      <c r="L3596" s="13">
        <v>6000</v>
      </c>
      <c r="M3596" t="s">
        <v>2661</v>
      </c>
    </row>
    <row r="3597" spans="1:13">
      <c r="A3597" t="s">
        <v>1557</v>
      </c>
      <c r="B3597" t="s">
        <v>103</v>
      </c>
      <c r="C3597" s="8">
        <v>46002</v>
      </c>
      <c r="D3597" t="s">
        <v>350</v>
      </c>
      <c r="E3597" t="s">
        <v>334</v>
      </c>
      <c r="F3597" s="12">
        <v>29826</v>
      </c>
      <c r="G3597" s="13">
        <v>2</v>
      </c>
      <c r="H3597" t="s">
        <v>3094</v>
      </c>
      <c r="I3597" s="8">
        <v>46015</v>
      </c>
      <c r="J3597" t="s">
        <v>2665</v>
      </c>
      <c r="K3597" t="s">
        <v>2666</v>
      </c>
      <c r="L3597" s="13">
        <v>2500</v>
      </c>
      <c r="M3597" t="s">
        <v>2661</v>
      </c>
    </row>
    <row r="3598" spans="1:13">
      <c r="A3598" t="s">
        <v>1557</v>
      </c>
      <c r="B3598" t="s">
        <v>103</v>
      </c>
      <c r="C3598" s="8">
        <v>46002</v>
      </c>
      <c r="D3598" t="s">
        <v>350</v>
      </c>
      <c r="E3598" t="s">
        <v>334</v>
      </c>
      <c r="F3598" s="12">
        <v>29826</v>
      </c>
      <c r="G3598" s="13">
        <v>2</v>
      </c>
      <c r="H3598" t="s">
        <v>3371</v>
      </c>
      <c r="I3598" s="8">
        <v>46261</v>
      </c>
      <c r="J3598" t="s">
        <v>2674</v>
      </c>
      <c r="K3598" t="s">
        <v>2675</v>
      </c>
      <c r="L3598" s="13">
        <v>20000</v>
      </c>
      <c r="M3598" t="s">
        <v>2676</v>
      </c>
    </row>
    <row r="3599" spans="1:13">
      <c r="A3599" t="s">
        <v>1557</v>
      </c>
      <c r="B3599" t="s">
        <v>103</v>
      </c>
      <c r="C3599" s="8">
        <v>46002</v>
      </c>
      <c r="D3599" t="s">
        <v>350</v>
      </c>
      <c r="E3599" t="s">
        <v>334</v>
      </c>
      <c r="F3599" s="12">
        <v>29826</v>
      </c>
      <c r="G3599" s="13">
        <v>2</v>
      </c>
      <c r="H3599" t="s">
        <v>3394</v>
      </c>
      <c r="I3599" s="8">
        <v>46193</v>
      </c>
      <c r="J3599" t="s">
        <v>2659</v>
      </c>
      <c r="K3599" t="s">
        <v>2660</v>
      </c>
      <c r="L3599" s="13">
        <v>3500</v>
      </c>
      <c r="M3599" t="s">
        <v>2676</v>
      </c>
    </row>
    <row r="3600" spans="1:13">
      <c r="A3600" t="s">
        <v>1557</v>
      </c>
      <c r="B3600" t="s">
        <v>103</v>
      </c>
      <c r="C3600" s="8">
        <v>46002</v>
      </c>
      <c r="D3600" t="s">
        <v>350</v>
      </c>
      <c r="E3600" t="s">
        <v>334</v>
      </c>
      <c r="F3600" s="12">
        <v>29826</v>
      </c>
      <c r="G3600" s="13">
        <v>2</v>
      </c>
      <c r="H3600" t="s">
        <v>3445</v>
      </c>
      <c r="I3600" s="8">
        <v>46231</v>
      </c>
      <c r="J3600" t="s">
        <v>2688</v>
      </c>
      <c r="K3600" t="s">
        <v>2689</v>
      </c>
      <c r="L3600" s="13">
        <v>8000</v>
      </c>
      <c r="M3600" t="s">
        <v>2661</v>
      </c>
    </row>
    <row r="3601" spans="1:13">
      <c r="A3601" t="s">
        <v>1557</v>
      </c>
      <c r="B3601" t="s">
        <v>103</v>
      </c>
      <c r="C3601" s="8">
        <v>46002</v>
      </c>
      <c r="D3601" t="s">
        <v>350</v>
      </c>
      <c r="E3601" t="s">
        <v>334</v>
      </c>
      <c r="F3601" s="12">
        <v>29826</v>
      </c>
      <c r="G3601" s="13">
        <v>2</v>
      </c>
      <c r="H3601" t="s">
        <v>3522</v>
      </c>
      <c r="I3601" s="8">
        <v>45989</v>
      </c>
      <c r="J3601" t="s">
        <v>2665</v>
      </c>
      <c r="K3601" t="s">
        <v>2666</v>
      </c>
      <c r="L3601" s="13">
        <v>2500</v>
      </c>
      <c r="M3601" t="s">
        <v>2661</v>
      </c>
    </row>
    <row r="3602" spans="1:13">
      <c r="A3602" t="s">
        <v>1557</v>
      </c>
      <c r="B3602" t="s">
        <v>103</v>
      </c>
      <c r="C3602" s="8">
        <v>46002</v>
      </c>
      <c r="D3602" t="s">
        <v>350</v>
      </c>
      <c r="E3602" t="s">
        <v>334</v>
      </c>
      <c r="F3602" s="12">
        <v>29826</v>
      </c>
      <c r="G3602" s="13">
        <v>2</v>
      </c>
      <c r="H3602" t="s">
        <v>3539</v>
      </c>
      <c r="I3602" s="8">
        <v>46041</v>
      </c>
      <c r="J3602" t="s">
        <v>2682</v>
      </c>
      <c r="K3602" t="s">
        <v>2683</v>
      </c>
      <c r="L3602" s="13">
        <v>6000</v>
      </c>
      <c r="M3602" t="s">
        <v>2661</v>
      </c>
    </row>
    <row r="3603" spans="1:13">
      <c r="A3603" t="s">
        <v>1558</v>
      </c>
      <c r="B3603" t="s">
        <v>51</v>
      </c>
      <c r="C3603" s="8">
        <v>46223</v>
      </c>
      <c r="D3603" t="s">
        <v>332</v>
      </c>
      <c r="E3603" t="s">
        <v>328</v>
      </c>
      <c r="F3603" s="12">
        <v>184214</v>
      </c>
      <c r="G3603" s="13">
        <v>18</v>
      </c>
      <c r="H3603" t="s">
        <v>2800</v>
      </c>
      <c r="I3603" s="8">
        <v>46266</v>
      </c>
      <c r="J3603" t="s">
        <v>2674</v>
      </c>
      <c r="K3603" t="s">
        <v>2675</v>
      </c>
      <c r="L3603" s="13">
        <v>20000</v>
      </c>
      <c r="M3603" t="s">
        <v>2676</v>
      </c>
    </row>
    <row r="3604" spans="1:13">
      <c r="A3604" t="s">
        <v>1558</v>
      </c>
      <c r="B3604" t="s">
        <v>51</v>
      </c>
      <c r="C3604" s="8">
        <v>46223</v>
      </c>
      <c r="D3604" t="s">
        <v>332</v>
      </c>
      <c r="E3604" t="s">
        <v>328</v>
      </c>
      <c r="F3604" s="12">
        <v>184214</v>
      </c>
      <c r="G3604" s="13">
        <v>18</v>
      </c>
      <c r="H3604" t="s">
        <v>3477</v>
      </c>
      <c r="I3604" s="8">
        <v>46036</v>
      </c>
      <c r="J3604" t="s">
        <v>2671</v>
      </c>
      <c r="K3604" t="s">
        <v>2672</v>
      </c>
      <c r="L3604" s="13">
        <v>3000</v>
      </c>
      <c r="M3604" t="s">
        <v>2661</v>
      </c>
    </row>
    <row r="3605" spans="1:13">
      <c r="A3605" t="s">
        <v>1559</v>
      </c>
      <c r="B3605" t="s">
        <v>217</v>
      </c>
      <c r="C3605" s="8">
        <v>45950</v>
      </c>
      <c r="D3605" t="s">
        <v>321</v>
      </c>
      <c r="E3605" t="s">
        <v>334</v>
      </c>
      <c r="F3605" s="12">
        <v>81986</v>
      </c>
      <c r="G3605" s="13">
        <v>8</v>
      </c>
      <c r="H3605" t="s">
        <v>3010</v>
      </c>
      <c r="I3605" s="8">
        <v>46213</v>
      </c>
      <c r="J3605" t="s">
        <v>2674</v>
      </c>
      <c r="K3605" t="s">
        <v>2675</v>
      </c>
      <c r="L3605" s="13">
        <v>20000</v>
      </c>
      <c r="M3605" t="s">
        <v>2661</v>
      </c>
    </row>
    <row r="3606" spans="1:13">
      <c r="A3606" t="s">
        <v>1559</v>
      </c>
      <c r="B3606" t="s">
        <v>217</v>
      </c>
      <c r="C3606" s="8">
        <v>45950</v>
      </c>
      <c r="D3606" t="s">
        <v>321</v>
      </c>
      <c r="E3606" t="s">
        <v>334</v>
      </c>
      <c r="F3606" s="12">
        <v>81986</v>
      </c>
      <c r="G3606" s="13">
        <v>8</v>
      </c>
      <c r="H3606" t="s">
        <v>3493</v>
      </c>
      <c r="I3606" s="8">
        <v>46078</v>
      </c>
      <c r="J3606" t="s">
        <v>2682</v>
      </c>
      <c r="K3606" t="s">
        <v>2683</v>
      </c>
      <c r="L3606" s="13">
        <v>6000</v>
      </c>
      <c r="M3606" t="s">
        <v>2661</v>
      </c>
    </row>
    <row r="3607" spans="1:13">
      <c r="A3607" t="s">
        <v>1560</v>
      </c>
      <c r="B3607" t="s">
        <v>231</v>
      </c>
      <c r="C3607" s="8">
        <v>46215</v>
      </c>
      <c r="D3607" t="s">
        <v>324</v>
      </c>
      <c r="E3607" t="s">
        <v>328</v>
      </c>
      <c r="F3607" s="12">
        <v>91394</v>
      </c>
      <c r="G3607" s="13">
        <v>9</v>
      </c>
      <c r="H3607" t="s">
        <v>2875</v>
      </c>
      <c r="I3607" s="8">
        <v>46085</v>
      </c>
      <c r="J3607" t="s">
        <v>2665</v>
      </c>
      <c r="K3607" t="s">
        <v>2666</v>
      </c>
      <c r="L3607" s="13">
        <v>2500</v>
      </c>
      <c r="M3607" t="s">
        <v>2661</v>
      </c>
    </row>
    <row r="3608" spans="1:13">
      <c r="A3608" t="s">
        <v>1560</v>
      </c>
      <c r="B3608" t="s">
        <v>231</v>
      </c>
      <c r="C3608" s="8">
        <v>46215</v>
      </c>
      <c r="D3608" t="s">
        <v>324</v>
      </c>
      <c r="E3608" t="s">
        <v>328</v>
      </c>
      <c r="F3608" s="12">
        <v>91394</v>
      </c>
      <c r="G3608" s="13">
        <v>9</v>
      </c>
      <c r="H3608" t="s">
        <v>3014</v>
      </c>
      <c r="I3608" s="8">
        <v>46207</v>
      </c>
      <c r="J3608" t="s">
        <v>2665</v>
      </c>
      <c r="K3608" t="s">
        <v>2666</v>
      </c>
      <c r="L3608" s="13">
        <v>2500</v>
      </c>
      <c r="M3608" t="s">
        <v>2676</v>
      </c>
    </row>
    <row r="3609" spans="1:13">
      <c r="A3609" t="s">
        <v>1561</v>
      </c>
      <c r="B3609" t="s">
        <v>171</v>
      </c>
      <c r="C3609" s="8">
        <v>46079</v>
      </c>
      <c r="D3609" t="s">
        <v>324</v>
      </c>
      <c r="E3609" t="s">
        <v>339</v>
      </c>
      <c r="F3609" s="12">
        <v>363393</v>
      </c>
      <c r="G3609" s="13">
        <v>36</v>
      </c>
      <c r="H3609" t="s">
        <v>2740</v>
      </c>
      <c r="I3609" s="8">
        <v>46274</v>
      </c>
      <c r="J3609" t="s">
        <v>2665</v>
      </c>
      <c r="K3609" t="s">
        <v>2666</v>
      </c>
      <c r="L3609" s="13">
        <v>2500</v>
      </c>
      <c r="M3609" t="s">
        <v>2676</v>
      </c>
    </row>
    <row r="3610" spans="1:13">
      <c r="A3610" t="s">
        <v>1561</v>
      </c>
      <c r="B3610" t="s">
        <v>171</v>
      </c>
      <c r="C3610" s="8">
        <v>46079</v>
      </c>
      <c r="D3610" t="s">
        <v>324</v>
      </c>
      <c r="E3610" t="s">
        <v>339</v>
      </c>
      <c r="F3610" s="12">
        <v>363393</v>
      </c>
      <c r="G3610" s="13">
        <v>36</v>
      </c>
      <c r="H3610" t="s">
        <v>2919</v>
      </c>
      <c r="I3610" s="8">
        <v>46190</v>
      </c>
      <c r="J3610" t="s">
        <v>2685</v>
      </c>
      <c r="K3610" t="s">
        <v>2686</v>
      </c>
      <c r="L3610" s="13">
        <v>5000</v>
      </c>
      <c r="M3610" t="s">
        <v>2661</v>
      </c>
    </row>
    <row r="3611" spans="1:13">
      <c r="A3611" t="s">
        <v>1561</v>
      </c>
      <c r="B3611" t="s">
        <v>171</v>
      </c>
      <c r="C3611" s="8">
        <v>46079</v>
      </c>
      <c r="D3611" t="s">
        <v>324</v>
      </c>
      <c r="E3611" t="s">
        <v>339</v>
      </c>
      <c r="F3611" s="12">
        <v>363393</v>
      </c>
      <c r="G3611" s="13">
        <v>36</v>
      </c>
      <c r="H3611" t="s">
        <v>3002</v>
      </c>
      <c r="I3611" s="8">
        <v>46263</v>
      </c>
      <c r="J3611" t="s">
        <v>2682</v>
      </c>
      <c r="K3611" t="s">
        <v>2683</v>
      </c>
      <c r="L3611" s="13">
        <v>6000</v>
      </c>
      <c r="M3611" t="s">
        <v>2661</v>
      </c>
    </row>
    <row r="3612" spans="1:13">
      <c r="A3612" t="s">
        <v>1561</v>
      </c>
      <c r="B3612" t="s">
        <v>171</v>
      </c>
      <c r="C3612" s="8">
        <v>46079</v>
      </c>
      <c r="D3612" t="s">
        <v>324</v>
      </c>
      <c r="E3612" t="s">
        <v>339</v>
      </c>
      <c r="F3612" s="12">
        <v>363393</v>
      </c>
      <c r="G3612" s="13">
        <v>36</v>
      </c>
      <c r="H3612" t="s">
        <v>3026</v>
      </c>
      <c r="I3612" s="8">
        <v>46220</v>
      </c>
      <c r="J3612" t="s">
        <v>2671</v>
      </c>
      <c r="K3612" t="s">
        <v>2672</v>
      </c>
      <c r="L3612" s="13">
        <v>3000</v>
      </c>
      <c r="M3612" t="s">
        <v>2676</v>
      </c>
    </row>
    <row r="3613" spans="1:13">
      <c r="A3613" t="s">
        <v>1561</v>
      </c>
      <c r="B3613" t="s">
        <v>171</v>
      </c>
      <c r="C3613" s="8">
        <v>46079</v>
      </c>
      <c r="D3613" t="s">
        <v>324</v>
      </c>
      <c r="E3613" t="s">
        <v>339</v>
      </c>
      <c r="F3613" s="12">
        <v>363393</v>
      </c>
      <c r="G3613" s="13">
        <v>36</v>
      </c>
      <c r="H3613" t="s">
        <v>3462</v>
      </c>
      <c r="I3613" s="8">
        <v>46181</v>
      </c>
      <c r="J3613" t="s">
        <v>2682</v>
      </c>
      <c r="K3613" t="s">
        <v>2683</v>
      </c>
      <c r="L3613" s="13">
        <v>6000</v>
      </c>
      <c r="M3613" t="s">
        <v>2661</v>
      </c>
    </row>
    <row r="3614" spans="1:13">
      <c r="A3614" t="s">
        <v>1562</v>
      </c>
      <c r="B3614" t="s">
        <v>171</v>
      </c>
      <c r="C3614" s="8">
        <v>45975</v>
      </c>
      <c r="D3614" t="s">
        <v>324</v>
      </c>
      <c r="E3614" t="s">
        <v>325</v>
      </c>
      <c r="F3614" s="12">
        <v>537055</v>
      </c>
      <c r="G3614" s="13">
        <v>53</v>
      </c>
      <c r="H3614" t="s">
        <v>2740</v>
      </c>
      <c r="I3614" s="8">
        <v>46274</v>
      </c>
      <c r="J3614" t="s">
        <v>2665</v>
      </c>
      <c r="K3614" t="s">
        <v>2666</v>
      </c>
      <c r="L3614" s="13">
        <v>2500</v>
      </c>
      <c r="M3614" t="s">
        <v>2676</v>
      </c>
    </row>
    <row r="3615" spans="1:13">
      <c r="A3615" t="s">
        <v>1562</v>
      </c>
      <c r="B3615" t="s">
        <v>171</v>
      </c>
      <c r="C3615" s="8">
        <v>45975</v>
      </c>
      <c r="D3615" t="s">
        <v>324</v>
      </c>
      <c r="E3615" t="s">
        <v>325</v>
      </c>
      <c r="F3615" s="12">
        <v>537055</v>
      </c>
      <c r="G3615" s="13">
        <v>53</v>
      </c>
      <c r="H3615" t="s">
        <v>2919</v>
      </c>
      <c r="I3615" s="8">
        <v>46190</v>
      </c>
      <c r="J3615" t="s">
        <v>2685</v>
      </c>
      <c r="K3615" t="s">
        <v>2686</v>
      </c>
      <c r="L3615" s="13">
        <v>5000</v>
      </c>
      <c r="M3615" t="s">
        <v>2661</v>
      </c>
    </row>
    <row r="3616" spans="1:13">
      <c r="A3616" t="s">
        <v>1562</v>
      </c>
      <c r="B3616" t="s">
        <v>171</v>
      </c>
      <c r="C3616" s="8">
        <v>45975</v>
      </c>
      <c r="D3616" t="s">
        <v>324</v>
      </c>
      <c r="E3616" t="s">
        <v>325</v>
      </c>
      <c r="F3616" s="12">
        <v>537055</v>
      </c>
      <c r="G3616" s="13">
        <v>53</v>
      </c>
      <c r="H3616" t="s">
        <v>3002</v>
      </c>
      <c r="I3616" s="8">
        <v>46263</v>
      </c>
      <c r="J3616" t="s">
        <v>2682</v>
      </c>
      <c r="K3616" t="s">
        <v>2683</v>
      </c>
      <c r="L3616" s="13">
        <v>6000</v>
      </c>
      <c r="M3616" t="s">
        <v>2661</v>
      </c>
    </row>
    <row r="3617" spans="1:13">
      <c r="A3617" t="s">
        <v>1562</v>
      </c>
      <c r="B3617" t="s">
        <v>171</v>
      </c>
      <c r="C3617" s="8">
        <v>45975</v>
      </c>
      <c r="D3617" t="s">
        <v>324</v>
      </c>
      <c r="E3617" t="s">
        <v>325</v>
      </c>
      <c r="F3617" s="12">
        <v>537055</v>
      </c>
      <c r="G3617" s="13">
        <v>53</v>
      </c>
      <c r="H3617" t="s">
        <v>3026</v>
      </c>
      <c r="I3617" s="8">
        <v>46220</v>
      </c>
      <c r="J3617" t="s">
        <v>2671</v>
      </c>
      <c r="K3617" t="s">
        <v>2672</v>
      </c>
      <c r="L3617" s="13">
        <v>3000</v>
      </c>
      <c r="M3617" t="s">
        <v>2676</v>
      </c>
    </row>
    <row r="3618" spans="1:13">
      <c r="A3618" t="s">
        <v>1562</v>
      </c>
      <c r="B3618" t="s">
        <v>171</v>
      </c>
      <c r="C3618" s="8">
        <v>45975</v>
      </c>
      <c r="D3618" t="s">
        <v>324</v>
      </c>
      <c r="E3618" t="s">
        <v>325</v>
      </c>
      <c r="F3618" s="12">
        <v>537055</v>
      </c>
      <c r="G3618" s="13">
        <v>53</v>
      </c>
      <c r="H3618" t="s">
        <v>3462</v>
      </c>
      <c r="I3618" s="8">
        <v>46181</v>
      </c>
      <c r="J3618" t="s">
        <v>2682</v>
      </c>
      <c r="K3618" t="s">
        <v>2683</v>
      </c>
      <c r="L3618" s="13">
        <v>6000</v>
      </c>
      <c r="M3618" t="s">
        <v>2661</v>
      </c>
    </row>
    <row r="3619" spans="1:13">
      <c r="A3619" t="s">
        <v>1563</v>
      </c>
      <c r="B3619" t="s">
        <v>135</v>
      </c>
      <c r="C3619" s="8">
        <v>46144</v>
      </c>
      <c r="D3619" t="s">
        <v>342</v>
      </c>
      <c r="E3619" t="s">
        <v>328</v>
      </c>
      <c r="F3619" s="12">
        <v>483720</v>
      </c>
      <c r="G3619" s="13">
        <v>48</v>
      </c>
      <c r="H3619" t="s">
        <v>2922</v>
      </c>
      <c r="I3619" s="8">
        <v>45998</v>
      </c>
      <c r="J3619" t="s">
        <v>2682</v>
      </c>
      <c r="K3619" t="s">
        <v>2683</v>
      </c>
      <c r="L3619" s="13">
        <v>6000</v>
      </c>
      <c r="M3619" t="s">
        <v>2661</v>
      </c>
    </row>
    <row r="3620" spans="1:13">
      <c r="A3620" t="s">
        <v>1563</v>
      </c>
      <c r="B3620" t="s">
        <v>135</v>
      </c>
      <c r="C3620" s="8">
        <v>46144</v>
      </c>
      <c r="D3620" t="s">
        <v>342</v>
      </c>
      <c r="E3620" t="s">
        <v>328</v>
      </c>
      <c r="F3620" s="12">
        <v>483720</v>
      </c>
      <c r="G3620" s="13">
        <v>48</v>
      </c>
      <c r="H3620" t="s">
        <v>3053</v>
      </c>
      <c r="I3620" s="8">
        <v>46165</v>
      </c>
      <c r="J3620" t="s">
        <v>2692</v>
      </c>
      <c r="K3620" t="s">
        <v>2693</v>
      </c>
      <c r="L3620" s="13">
        <v>10000</v>
      </c>
      <c r="M3620" t="s">
        <v>2661</v>
      </c>
    </row>
    <row r="3621" spans="1:13">
      <c r="A3621" t="s">
        <v>1563</v>
      </c>
      <c r="B3621" t="s">
        <v>135</v>
      </c>
      <c r="C3621" s="8">
        <v>46144</v>
      </c>
      <c r="D3621" t="s">
        <v>342</v>
      </c>
      <c r="E3621" t="s">
        <v>328</v>
      </c>
      <c r="F3621" s="12">
        <v>483720</v>
      </c>
      <c r="G3621" s="13">
        <v>48</v>
      </c>
      <c r="H3621" t="s">
        <v>3118</v>
      </c>
      <c r="I3621" s="8">
        <v>45989</v>
      </c>
      <c r="J3621" t="s">
        <v>2692</v>
      </c>
      <c r="K3621" t="s">
        <v>2693</v>
      </c>
      <c r="L3621" s="13">
        <v>10000</v>
      </c>
      <c r="M3621" t="s">
        <v>2661</v>
      </c>
    </row>
    <row r="3622" spans="1:13">
      <c r="A3622" t="s">
        <v>1563</v>
      </c>
      <c r="B3622" t="s">
        <v>135</v>
      </c>
      <c r="C3622" s="8">
        <v>46144</v>
      </c>
      <c r="D3622" t="s">
        <v>342</v>
      </c>
      <c r="E3622" t="s">
        <v>328</v>
      </c>
      <c r="F3622" s="12">
        <v>483720</v>
      </c>
      <c r="G3622" s="13">
        <v>48</v>
      </c>
      <c r="H3622" t="s">
        <v>3262</v>
      </c>
      <c r="I3622" s="8">
        <v>46091</v>
      </c>
      <c r="J3622" t="s">
        <v>2682</v>
      </c>
      <c r="K3622" t="s">
        <v>2683</v>
      </c>
      <c r="L3622" s="13">
        <v>6000</v>
      </c>
      <c r="M3622" t="s">
        <v>2661</v>
      </c>
    </row>
    <row r="3623" spans="1:13">
      <c r="A3623" t="s">
        <v>1564</v>
      </c>
      <c r="B3623" t="s">
        <v>105</v>
      </c>
      <c r="C3623" s="8">
        <v>45947</v>
      </c>
      <c r="D3623" t="s">
        <v>321</v>
      </c>
      <c r="E3623" t="s">
        <v>334</v>
      </c>
      <c r="F3623" s="12">
        <v>1168033</v>
      </c>
      <c r="G3623" s="13">
        <v>116</v>
      </c>
      <c r="H3623" t="s">
        <v>3001</v>
      </c>
      <c r="I3623" s="8">
        <v>46288</v>
      </c>
      <c r="J3623" t="s">
        <v>2668</v>
      </c>
      <c r="K3623" t="s">
        <v>2669</v>
      </c>
      <c r="L3623" s="13">
        <v>4000</v>
      </c>
      <c r="M3623" t="s">
        <v>2661</v>
      </c>
    </row>
    <row r="3624" spans="1:13">
      <c r="A3624" t="s">
        <v>1564</v>
      </c>
      <c r="B3624" t="s">
        <v>105</v>
      </c>
      <c r="C3624" s="8">
        <v>45947</v>
      </c>
      <c r="D3624" t="s">
        <v>321</v>
      </c>
      <c r="E3624" t="s">
        <v>334</v>
      </c>
      <c r="F3624" s="12">
        <v>1168033</v>
      </c>
      <c r="G3624" s="13">
        <v>116</v>
      </c>
      <c r="H3624" t="s">
        <v>3018</v>
      </c>
      <c r="I3624" s="8">
        <v>45961</v>
      </c>
      <c r="J3624" t="s">
        <v>2685</v>
      </c>
      <c r="K3624" t="s">
        <v>2686</v>
      </c>
      <c r="L3624" s="13">
        <v>5000</v>
      </c>
      <c r="M3624" t="s">
        <v>2661</v>
      </c>
    </row>
    <row r="3625" spans="1:13">
      <c r="A3625" t="s">
        <v>1565</v>
      </c>
      <c r="B3625" t="s">
        <v>105</v>
      </c>
      <c r="C3625" s="8">
        <v>46036</v>
      </c>
      <c r="D3625" t="s">
        <v>344</v>
      </c>
      <c r="E3625" t="s">
        <v>339</v>
      </c>
      <c r="F3625" s="12">
        <v>118819</v>
      </c>
      <c r="G3625" s="13">
        <v>11</v>
      </c>
      <c r="H3625" t="s">
        <v>3001</v>
      </c>
      <c r="I3625" s="8">
        <v>46288</v>
      </c>
      <c r="J3625" t="s">
        <v>2668</v>
      </c>
      <c r="K3625" t="s">
        <v>2669</v>
      </c>
      <c r="L3625" s="13">
        <v>4000</v>
      </c>
      <c r="M3625" t="s">
        <v>2661</v>
      </c>
    </row>
    <row r="3626" spans="1:13">
      <c r="A3626" t="s">
        <v>1565</v>
      </c>
      <c r="B3626" t="s">
        <v>105</v>
      </c>
      <c r="C3626" s="8">
        <v>46036</v>
      </c>
      <c r="D3626" t="s">
        <v>344</v>
      </c>
      <c r="E3626" t="s">
        <v>339</v>
      </c>
      <c r="F3626" s="12">
        <v>118819</v>
      </c>
      <c r="G3626" s="13">
        <v>11</v>
      </c>
      <c r="H3626" t="s">
        <v>3018</v>
      </c>
      <c r="I3626" s="8">
        <v>45961</v>
      </c>
      <c r="J3626" t="s">
        <v>2685</v>
      </c>
      <c r="K3626" t="s">
        <v>2686</v>
      </c>
      <c r="L3626" s="13">
        <v>5000</v>
      </c>
      <c r="M3626" t="s">
        <v>2661</v>
      </c>
    </row>
    <row r="3627" spans="1:13">
      <c r="A3627" t="s">
        <v>1566</v>
      </c>
      <c r="B3627" t="s">
        <v>126</v>
      </c>
      <c r="C3627" s="8">
        <v>46225</v>
      </c>
      <c r="D3627" t="s">
        <v>332</v>
      </c>
      <c r="E3627" t="s">
        <v>334</v>
      </c>
      <c r="F3627" s="12">
        <v>266306</v>
      </c>
      <c r="G3627" s="13">
        <v>26</v>
      </c>
      <c r="H3627" t="s">
        <v>2798</v>
      </c>
      <c r="I3627" s="8">
        <v>46235</v>
      </c>
      <c r="J3627" t="s">
        <v>2659</v>
      </c>
      <c r="K3627" t="s">
        <v>2660</v>
      </c>
      <c r="L3627" s="13">
        <v>3500</v>
      </c>
      <c r="M3627" t="s">
        <v>2661</v>
      </c>
    </row>
    <row r="3628" spans="1:13">
      <c r="A3628" t="s">
        <v>1566</v>
      </c>
      <c r="B3628" t="s">
        <v>126</v>
      </c>
      <c r="C3628" s="8">
        <v>46225</v>
      </c>
      <c r="D3628" t="s">
        <v>332</v>
      </c>
      <c r="E3628" t="s">
        <v>334</v>
      </c>
      <c r="F3628" s="12">
        <v>266306</v>
      </c>
      <c r="G3628" s="13">
        <v>26</v>
      </c>
      <c r="H3628" t="s">
        <v>3334</v>
      </c>
      <c r="I3628" s="8">
        <v>46254</v>
      </c>
      <c r="J3628" t="s">
        <v>2692</v>
      </c>
      <c r="K3628" t="s">
        <v>2693</v>
      </c>
      <c r="L3628" s="13">
        <v>10000</v>
      </c>
      <c r="M3628" t="s">
        <v>2676</v>
      </c>
    </row>
    <row r="3629" spans="1:13">
      <c r="A3629" t="s">
        <v>1567</v>
      </c>
      <c r="B3629" t="s">
        <v>84</v>
      </c>
      <c r="C3629" s="8">
        <v>46094</v>
      </c>
      <c r="D3629" t="s">
        <v>332</v>
      </c>
      <c r="E3629" t="s">
        <v>325</v>
      </c>
      <c r="F3629" s="12">
        <v>358797</v>
      </c>
      <c r="G3629" s="13">
        <v>35</v>
      </c>
      <c r="H3629" t="s">
        <v>2962</v>
      </c>
      <c r="I3629" s="8">
        <v>46190</v>
      </c>
      <c r="J3629" t="s">
        <v>2671</v>
      </c>
      <c r="K3629" t="s">
        <v>2672</v>
      </c>
      <c r="L3629" s="13">
        <v>3000</v>
      </c>
      <c r="M3629" t="s">
        <v>2661</v>
      </c>
    </row>
    <row r="3630" spans="1:13">
      <c r="A3630" t="s">
        <v>1567</v>
      </c>
      <c r="B3630" t="s">
        <v>84</v>
      </c>
      <c r="C3630" s="8">
        <v>46094</v>
      </c>
      <c r="D3630" t="s">
        <v>332</v>
      </c>
      <c r="E3630" t="s">
        <v>325</v>
      </c>
      <c r="F3630" s="12">
        <v>358797</v>
      </c>
      <c r="G3630" s="13">
        <v>35</v>
      </c>
      <c r="H3630" t="s">
        <v>3204</v>
      </c>
      <c r="I3630" s="8">
        <v>46029</v>
      </c>
      <c r="J3630" t="s">
        <v>2671</v>
      </c>
      <c r="K3630" t="s">
        <v>2672</v>
      </c>
      <c r="L3630" s="13">
        <v>3000</v>
      </c>
      <c r="M3630" t="s">
        <v>2661</v>
      </c>
    </row>
    <row r="3631" spans="1:13">
      <c r="A3631" t="s">
        <v>1567</v>
      </c>
      <c r="B3631" t="s">
        <v>84</v>
      </c>
      <c r="C3631" s="8">
        <v>46094</v>
      </c>
      <c r="D3631" t="s">
        <v>332</v>
      </c>
      <c r="E3631" t="s">
        <v>325</v>
      </c>
      <c r="F3631" s="12">
        <v>358797</v>
      </c>
      <c r="G3631" s="13">
        <v>35</v>
      </c>
      <c r="H3631" t="s">
        <v>3273</v>
      </c>
      <c r="I3631" s="8">
        <v>46050</v>
      </c>
      <c r="J3631" t="s">
        <v>2668</v>
      </c>
      <c r="K3631" t="s">
        <v>2669</v>
      </c>
      <c r="L3631" s="13">
        <v>4000</v>
      </c>
      <c r="M3631" t="s">
        <v>2676</v>
      </c>
    </row>
    <row r="3632" spans="1:13">
      <c r="A3632" t="s">
        <v>1567</v>
      </c>
      <c r="B3632" t="s">
        <v>84</v>
      </c>
      <c r="C3632" s="8">
        <v>46094</v>
      </c>
      <c r="D3632" t="s">
        <v>332</v>
      </c>
      <c r="E3632" t="s">
        <v>325</v>
      </c>
      <c r="F3632" s="12">
        <v>358797</v>
      </c>
      <c r="G3632" s="13">
        <v>35</v>
      </c>
      <c r="H3632" t="s">
        <v>3305</v>
      </c>
      <c r="I3632" s="8">
        <v>45960</v>
      </c>
      <c r="J3632" t="s">
        <v>2682</v>
      </c>
      <c r="K3632" t="s">
        <v>2683</v>
      </c>
      <c r="L3632" s="13">
        <v>6000</v>
      </c>
      <c r="M3632" t="s">
        <v>2661</v>
      </c>
    </row>
    <row r="3633" spans="1:13">
      <c r="A3633" t="s">
        <v>1568</v>
      </c>
      <c r="B3633" t="s">
        <v>8</v>
      </c>
      <c r="C3633" s="8">
        <v>46126</v>
      </c>
      <c r="D3633" t="s">
        <v>330</v>
      </c>
      <c r="E3633" t="s">
        <v>325</v>
      </c>
      <c r="F3633" s="12">
        <v>371615</v>
      </c>
      <c r="G3633" s="13">
        <v>37</v>
      </c>
      <c r="H3633" t="s">
        <v>3033</v>
      </c>
      <c r="I3633" s="8">
        <v>46098</v>
      </c>
      <c r="J3633" t="s">
        <v>2659</v>
      </c>
      <c r="K3633" t="s">
        <v>2660</v>
      </c>
      <c r="L3633" s="13">
        <v>3500</v>
      </c>
      <c r="M3633" t="s">
        <v>2676</v>
      </c>
    </row>
    <row r="3634" spans="1:13">
      <c r="A3634" t="s">
        <v>1568</v>
      </c>
      <c r="B3634" t="s">
        <v>8</v>
      </c>
      <c r="C3634" s="8">
        <v>46126</v>
      </c>
      <c r="D3634" t="s">
        <v>330</v>
      </c>
      <c r="E3634" t="s">
        <v>325</v>
      </c>
      <c r="F3634" s="12">
        <v>371615</v>
      </c>
      <c r="G3634" s="13">
        <v>37</v>
      </c>
      <c r="H3634" t="s">
        <v>3159</v>
      </c>
      <c r="I3634" s="8">
        <v>46079</v>
      </c>
      <c r="J3634" t="s">
        <v>2659</v>
      </c>
      <c r="K3634" t="s">
        <v>2660</v>
      </c>
      <c r="L3634" s="13">
        <v>3500</v>
      </c>
      <c r="M3634" t="s">
        <v>2661</v>
      </c>
    </row>
    <row r="3635" spans="1:13">
      <c r="A3635" t="s">
        <v>1568</v>
      </c>
      <c r="B3635" t="s">
        <v>8</v>
      </c>
      <c r="C3635" s="8">
        <v>46126</v>
      </c>
      <c r="D3635" t="s">
        <v>330</v>
      </c>
      <c r="E3635" t="s">
        <v>325</v>
      </c>
      <c r="F3635" s="12">
        <v>371615</v>
      </c>
      <c r="G3635" s="13">
        <v>37</v>
      </c>
      <c r="H3635" t="s">
        <v>3184</v>
      </c>
      <c r="I3635" s="8">
        <v>46261</v>
      </c>
      <c r="J3635" t="s">
        <v>2685</v>
      </c>
      <c r="K3635" t="s">
        <v>2686</v>
      </c>
      <c r="L3635" s="13">
        <v>5000</v>
      </c>
      <c r="M3635" t="s">
        <v>2661</v>
      </c>
    </row>
    <row r="3636" spans="1:13">
      <c r="A3636" t="s">
        <v>1568</v>
      </c>
      <c r="B3636" t="s">
        <v>8</v>
      </c>
      <c r="C3636" s="8">
        <v>46126</v>
      </c>
      <c r="D3636" t="s">
        <v>330</v>
      </c>
      <c r="E3636" t="s">
        <v>325</v>
      </c>
      <c r="F3636" s="12">
        <v>371615</v>
      </c>
      <c r="G3636" s="13">
        <v>37</v>
      </c>
      <c r="H3636" t="s">
        <v>3303</v>
      </c>
      <c r="I3636" s="8">
        <v>46196</v>
      </c>
      <c r="J3636" t="s">
        <v>2682</v>
      </c>
      <c r="K3636" t="s">
        <v>2683</v>
      </c>
      <c r="L3636" s="13">
        <v>6000</v>
      </c>
      <c r="M3636" t="s">
        <v>2676</v>
      </c>
    </row>
    <row r="3637" spans="1:13">
      <c r="A3637" t="s">
        <v>1568</v>
      </c>
      <c r="B3637" t="s">
        <v>8</v>
      </c>
      <c r="C3637" s="8">
        <v>46126</v>
      </c>
      <c r="D3637" t="s">
        <v>330</v>
      </c>
      <c r="E3637" t="s">
        <v>325</v>
      </c>
      <c r="F3637" s="12">
        <v>371615</v>
      </c>
      <c r="G3637" s="13">
        <v>37</v>
      </c>
      <c r="H3637" t="s">
        <v>3353</v>
      </c>
      <c r="I3637" s="8">
        <v>45991</v>
      </c>
      <c r="J3637" t="s">
        <v>2659</v>
      </c>
      <c r="K3637" t="s">
        <v>2660</v>
      </c>
      <c r="L3637" s="13">
        <v>3500</v>
      </c>
      <c r="M3637" t="s">
        <v>2661</v>
      </c>
    </row>
    <row r="3638" spans="1:13">
      <c r="A3638" t="s">
        <v>1569</v>
      </c>
      <c r="B3638" t="s">
        <v>140</v>
      </c>
      <c r="C3638" s="8">
        <v>46260</v>
      </c>
      <c r="D3638" t="s">
        <v>324</v>
      </c>
      <c r="E3638" t="s">
        <v>325</v>
      </c>
      <c r="F3638" s="12">
        <v>292837</v>
      </c>
      <c r="G3638" s="13">
        <v>29</v>
      </c>
      <c r="H3638" t="s">
        <v>3192</v>
      </c>
      <c r="I3638" s="8">
        <v>46206</v>
      </c>
      <c r="J3638" t="s">
        <v>2682</v>
      </c>
      <c r="K3638" t="s">
        <v>2683</v>
      </c>
      <c r="L3638" s="13">
        <v>6000</v>
      </c>
      <c r="M3638" t="s">
        <v>2661</v>
      </c>
    </row>
    <row r="3639" spans="1:13">
      <c r="A3639" t="s">
        <v>1570</v>
      </c>
      <c r="B3639" t="s">
        <v>261</v>
      </c>
      <c r="C3639" s="8">
        <v>45969</v>
      </c>
      <c r="D3639" t="s">
        <v>321</v>
      </c>
      <c r="E3639" t="s">
        <v>334</v>
      </c>
      <c r="F3639" s="12">
        <v>518199</v>
      </c>
      <c r="G3639" s="13">
        <v>51</v>
      </c>
      <c r="H3639" t="s">
        <v>2876</v>
      </c>
      <c r="I3639" s="8">
        <v>45995</v>
      </c>
      <c r="J3639" t="s">
        <v>2674</v>
      </c>
      <c r="K3639" t="s">
        <v>2675</v>
      </c>
      <c r="L3639" s="13">
        <v>20000</v>
      </c>
      <c r="M3639" t="s">
        <v>2661</v>
      </c>
    </row>
    <row r="3640" spans="1:13">
      <c r="A3640" t="s">
        <v>1570</v>
      </c>
      <c r="B3640" t="s">
        <v>261</v>
      </c>
      <c r="C3640" s="8">
        <v>45969</v>
      </c>
      <c r="D3640" t="s">
        <v>321</v>
      </c>
      <c r="E3640" t="s">
        <v>334</v>
      </c>
      <c r="F3640" s="12">
        <v>518199</v>
      </c>
      <c r="G3640" s="13">
        <v>51</v>
      </c>
      <c r="H3640" t="s">
        <v>3363</v>
      </c>
      <c r="I3640" s="8">
        <v>46057</v>
      </c>
      <c r="J3640" t="s">
        <v>2685</v>
      </c>
      <c r="K3640" t="s">
        <v>2686</v>
      </c>
      <c r="L3640" s="13">
        <v>5000</v>
      </c>
      <c r="M3640" t="s">
        <v>2661</v>
      </c>
    </row>
    <row r="3641" spans="1:13">
      <c r="A3641" t="s">
        <v>1571</v>
      </c>
      <c r="B3641" t="s">
        <v>22</v>
      </c>
      <c r="C3641" s="8">
        <v>46059</v>
      </c>
      <c r="D3641" t="s">
        <v>350</v>
      </c>
      <c r="E3641" t="s">
        <v>322</v>
      </c>
      <c r="F3641" s="12">
        <v>391051</v>
      </c>
      <c r="G3641" s="13">
        <v>39</v>
      </c>
      <c r="H3641" t="s">
        <v>3212</v>
      </c>
      <c r="I3641" s="8">
        <v>45987</v>
      </c>
      <c r="J3641" t="s">
        <v>2659</v>
      </c>
      <c r="K3641" t="s">
        <v>2660</v>
      </c>
      <c r="L3641" s="13">
        <v>3500</v>
      </c>
      <c r="M3641" t="s">
        <v>2661</v>
      </c>
    </row>
    <row r="3642" spans="1:13">
      <c r="A3642" t="s">
        <v>1571</v>
      </c>
      <c r="B3642" t="s">
        <v>22</v>
      </c>
      <c r="C3642" s="8">
        <v>46059</v>
      </c>
      <c r="D3642" t="s">
        <v>350</v>
      </c>
      <c r="E3642" t="s">
        <v>322</v>
      </c>
      <c r="F3642" s="12">
        <v>391051</v>
      </c>
      <c r="G3642" s="13">
        <v>39</v>
      </c>
      <c r="H3642" t="s">
        <v>3444</v>
      </c>
      <c r="I3642" s="8">
        <v>46084</v>
      </c>
      <c r="J3642" t="s">
        <v>2659</v>
      </c>
      <c r="K3642" t="s">
        <v>2660</v>
      </c>
      <c r="L3642" s="13">
        <v>3500</v>
      </c>
      <c r="M3642" t="s">
        <v>2661</v>
      </c>
    </row>
    <row r="3643" spans="1:13">
      <c r="A3643" t="s">
        <v>1571</v>
      </c>
      <c r="B3643" t="s">
        <v>22</v>
      </c>
      <c r="C3643" s="8">
        <v>46059</v>
      </c>
      <c r="D3643" t="s">
        <v>350</v>
      </c>
      <c r="E3643" t="s">
        <v>322</v>
      </c>
      <c r="F3643" s="12">
        <v>391051</v>
      </c>
      <c r="G3643" s="13">
        <v>39</v>
      </c>
      <c r="H3643" t="s">
        <v>3537</v>
      </c>
      <c r="I3643" s="8">
        <v>46009</v>
      </c>
      <c r="J3643" t="s">
        <v>2659</v>
      </c>
      <c r="K3643" t="s">
        <v>2660</v>
      </c>
      <c r="L3643" s="13">
        <v>3500</v>
      </c>
      <c r="M3643" t="s">
        <v>2661</v>
      </c>
    </row>
    <row r="3644" spans="1:13">
      <c r="A3644" t="s">
        <v>1572</v>
      </c>
      <c r="B3644" t="s">
        <v>229</v>
      </c>
      <c r="C3644" s="8">
        <v>45942</v>
      </c>
      <c r="D3644" t="s">
        <v>344</v>
      </c>
      <c r="E3644" t="s">
        <v>328</v>
      </c>
      <c r="F3644" s="12">
        <v>177790</v>
      </c>
      <c r="G3644" s="13">
        <v>17</v>
      </c>
      <c r="H3644" t="s">
        <v>2739</v>
      </c>
      <c r="I3644" s="8">
        <v>46112</v>
      </c>
      <c r="J3644" t="s">
        <v>2663</v>
      </c>
      <c r="K3644" t="s">
        <v>3630</v>
      </c>
      <c r="L3644" s="13">
        <v>1500</v>
      </c>
      <c r="M3644" t="s">
        <v>2676</v>
      </c>
    </row>
    <row r="3645" spans="1:13">
      <c r="A3645" t="s">
        <v>1572</v>
      </c>
      <c r="B3645" t="s">
        <v>229</v>
      </c>
      <c r="C3645" s="8">
        <v>45942</v>
      </c>
      <c r="D3645" t="s">
        <v>344</v>
      </c>
      <c r="E3645" t="s">
        <v>328</v>
      </c>
      <c r="F3645" s="12">
        <v>177790</v>
      </c>
      <c r="G3645" s="13">
        <v>17</v>
      </c>
      <c r="H3645" t="s">
        <v>3019</v>
      </c>
      <c r="I3645" s="8">
        <v>46063</v>
      </c>
      <c r="J3645" t="s">
        <v>2685</v>
      </c>
      <c r="K3645" t="s">
        <v>2686</v>
      </c>
      <c r="L3645" s="13">
        <v>5000</v>
      </c>
      <c r="M3645" t="s">
        <v>2676</v>
      </c>
    </row>
    <row r="3646" spans="1:13">
      <c r="A3646" t="s">
        <v>1572</v>
      </c>
      <c r="B3646" t="s">
        <v>229</v>
      </c>
      <c r="C3646" s="8">
        <v>45942</v>
      </c>
      <c r="D3646" t="s">
        <v>344</v>
      </c>
      <c r="E3646" t="s">
        <v>328</v>
      </c>
      <c r="F3646" s="12">
        <v>177790</v>
      </c>
      <c r="G3646" s="13">
        <v>17</v>
      </c>
      <c r="H3646" t="s">
        <v>3479</v>
      </c>
      <c r="I3646" s="8">
        <v>46152</v>
      </c>
      <c r="J3646" t="s">
        <v>2688</v>
      </c>
      <c r="K3646" t="s">
        <v>2689</v>
      </c>
      <c r="L3646" s="13">
        <v>8000</v>
      </c>
      <c r="M3646" t="s">
        <v>2661</v>
      </c>
    </row>
    <row r="3647" spans="1:13">
      <c r="A3647" t="s">
        <v>1573</v>
      </c>
      <c r="B3647" t="s">
        <v>133</v>
      </c>
      <c r="C3647" s="8">
        <v>46257</v>
      </c>
      <c r="D3647" t="s">
        <v>324</v>
      </c>
      <c r="E3647" t="s">
        <v>322</v>
      </c>
      <c r="F3647" s="12">
        <v>704942</v>
      </c>
      <c r="G3647" s="13">
        <v>70</v>
      </c>
      <c r="H3647" t="s">
        <v>2824</v>
      </c>
      <c r="I3647" s="8">
        <v>46219</v>
      </c>
      <c r="J3647" t="s">
        <v>2663</v>
      </c>
      <c r="K3647" t="s">
        <v>3630</v>
      </c>
      <c r="L3647" s="13">
        <v>1500</v>
      </c>
      <c r="M3647" t="s">
        <v>2676</v>
      </c>
    </row>
    <row r="3648" spans="1:13">
      <c r="A3648" t="s">
        <v>1573</v>
      </c>
      <c r="B3648" t="s">
        <v>133</v>
      </c>
      <c r="C3648" s="8">
        <v>46257</v>
      </c>
      <c r="D3648" t="s">
        <v>324</v>
      </c>
      <c r="E3648" t="s">
        <v>322</v>
      </c>
      <c r="F3648" s="12">
        <v>704942</v>
      </c>
      <c r="G3648" s="13">
        <v>70</v>
      </c>
      <c r="H3648" t="s">
        <v>2990</v>
      </c>
      <c r="I3648" s="8">
        <v>46254</v>
      </c>
      <c r="J3648" t="s">
        <v>2692</v>
      </c>
      <c r="K3648" t="s">
        <v>2693</v>
      </c>
      <c r="L3648" s="13">
        <v>10000</v>
      </c>
      <c r="M3648" t="s">
        <v>2676</v>
      </c>
    </row>
    <row r="3649" spans="1:13">
      <c r="A3649" t="s">
        <v>1574</v>
      </c>
      <c r="B3649" t="s">
        <v>277</v>
      </c>
      <c r="C3649" s="8">
        <v>45959</v>
      </c>
      <c r="D3649" t="s">
        <v>327</v>
      </c>
      <c r="E3649" t="s">
        <v>322</v>
      </c>
      <c r="F3649" s="12">
        <v>151299</v>
      </c>
      <c r="G3649" s="13">
        <v>15</v>
      </c>
      <c r="H3649" t="s">
        <v>2843</v>
      </c>
      <c r="I3649" s="8">
        <v>46213</v>
      </c>
      <c r="J3649" t="s">
        <v>2682</v>
      </c>
      <c r="K3649" t="s">
        <v>2683</v>
      </c>
      <c r="L3649" s="13">
        <v>6000</v>
      </c>
      <c r="M3649" t="s">
        <v>2661</v>
      </c>
    </row>
    <row r="3650" spans="1:13">
      <c r="A3650" t="s">
        <v>1574</v>
      </c>
      <c r="B3650" t="s">
        <v>277</v>
      </c>
      <c r="C3650" s="8">
        <v>45959</v>
      </c>
      <c r="D3650" t="s">
        <v>327</v>
      </c>
      <c r="E3650" t="s">
        <v>322</v>
      </c>
      <c r="F3650" s="12">
        <v>151299</v>
      </c>
      <c r="G3650" s="13">
        <v>15</v>
      </c>
      <c r="H3650" t="s">
        <v>2957</v>
      </c>
      <c r="I3650" s="8">
        <v>45984</v>
      </c>
      <c r="J3650" t="s">
        <v>2671</v>
      </c>
      <c r="K3650" t="s">
        <v>2672</v>
      </c>
      <c r="L3650" s="13">
        <v>3000</v>
      </c>
      <c r="M3650" t="s">
        <v>2661</v>
      </c>
    </row>
    <row r="3651" spans="1:13">
      <c r="A3651" t="s">
        <v>1574</v>
      </c>
      <c r="B3651" t="s">
        <v>277</v>
      </c>
      <c r="C3651" s="8">
        <v>45959</v>
      </c>
      <c r="D3651" t="s">
        <v>327</v>
      </c>
      <c r="E3651" t="s">
        <v>322</v>
      </c>
      <c r="F3651" s="12">
        <v>151299</v>
      </c>
      <c r="G3651" s="13">
        <v>15</v>
      </c>
      <c r="H3651" t="s">
        <v>2978</v>
      </c>
      <c r="I3651" s="8">
        <v>46142</v>
      </c>
      <c r="J3651" t="s">
        <v>2659</v>
      </c>
      <c r="K3651" t="s">
        <v>2660</v>
      </c>
      <c r="L3651" s="13">
        <v>3500</v>
      </c>
      <c r="M3651" t="s">
        <v>2661</v>
      </c>
    </row>
    <row r="3652" spans="1:13">
      <c r="A3652" t="s">
        <v>1574</v>
      </c>
      <c r="B3652" t="s">
        <v>277</v>
      </c>
      <c r="C3652" s="8">
        <v>45959</v>
      </c>
      <c r="D3652" t="s">
        <v>327</v>
      </c>
      <c r="E3652" t="s">
        <v>322</v>
      </c>
      <c r="F3652" s="12">
        <v>151299</v>
      </c>
      <c r="G3652" s="13">
        <v>15</v>
      </c>
      <c r="H3652" t="s">
        <v>3059</v>
      </c>
      <c r="I3652" s="8">
        <v>46217</v>
      </c>
      <c r="J3652" t="s">
        <v>2659</v>
      </c>
      <c r="K3652" t="s">
        <v>2660</v>
      </c>
      <c r="L3652" s="13">
        <v>3500</v>
      </c>
      <c r="M3652" t="s">
        <v>2661</v>
      </c>
    </row>
    <row r="3653" spans="1:13">
      <c r="A3653" t="s">
        <v>1574</v>
      </c>
      <c r="B3653" t="s">
        <v>277</v>
      </c>
      <c r="C3653" s="8">
        <v>45959</v>
      </c>
      <c r="D3653" t="s">
        <v>327</v>
      </c>
      <c r="E3653" t="s">
        <v>322</v>
      </c>
      <c r="F3653" s="12">
        <v>151299</v>
      </c>
      <c r="G3653" s="13">
        <v>15</v>
      </c>
      <c r="H3653" t="s">
        <v>3102</v>
      </c>
      <c r="I3653" s="8">
        <v>46027</v>
      </c>
      <c r="J3653" t="s">
        <v>2692</v>
      </c>
      <c r="K3653" t="s">
        <v>2693</v>
      </c>
      <c r="L3653" s="13">
        <v>10000</v>
      </c>
      <c r="M3653" t="s">
        <v>2661</v>
      </c>
    </row>
    <row r="3654" spans="1:13">
      <c r="A3654" t="s">
        <v>1574</v>
      </c>
      <c r="B3654" t="s">
        <v>277</v>
      </c>
      <c r="C3654" s="8">
        <v>45959</v>
      </c>
      <c r="D3654" t="s">
        <v>327</v>
      </c>
      <c r="E3654" t="s">
        <v>322</v>
      </c>
      <c r="F3654" s="12">
        <v>151299</v>
      </c>
      <c r="G3654" s="13">
        <v>15</v>
      </c>
      <c r="H3654" t="s">
        <v>3553</v>
      </c>
      <c r="I3654" s="8">
        <v>45945</v>
      </c>
      <c r="J3654" t="s">
        <v>2685</v>
      </c>
      <c r="K3654" t="s">
        <v>2686</v>
      </c>
      <c r="L3654" s="13">
        <v>5000</v>
      </c>
      <c r="M3654" t="s">
        <v>2661</v>
      </c>
    </row>
    <row r="3655" spans="1:13">
      <c r="A3655" t="s">
        <v>1574</v>
      </c>
      <c r="B3655" t="s">
        <v>277</v>
      </c>
      <c r="C3655" s="8">
        <v>45959</v>
      </c>
      <c r="D3655" t="s">
        <v>327</v>
      </c>
      <c r="E3655" t="s">
        <v>322</v>
      </c>
      <c r="F3655" s="12">
        <v>151299</v>
      </c>
      <c r="G3655" s="13">
        <v>15</v>
      </c>
      <c r="H3655" t="s">
        <v>3560</v>
      </c>
      <c r="I3655" s="8">
        <v>45986</v>
      </c>
      <c r="J3655" t="s">
        <v>2685</v>
      </c>
      <c r="K3655" t="s">
        <v>2686</v>
      </c>
      <c r="L3655" s="13">
        <v>5000</v>
      </c>
      <c r="M3655" t="s">
        <v>2661</v>
      </c>
    </row>
    <row r="3656" spans="1:13">
      <c r="A3656" t="s">
        <v>1575</v>
      </c>
      <c r="B3656" t="s">
        <v>204</v>
      </c>
      <c r="C3656" s="8">
        <v>46070</v>
      </c>
      <c r="D3656" t="s">
        <v>321</v>
      </c>
      <c r="E3656" t="s">
        <v>328</v>
      </c>
      <c r="F3656" s="12">
        <v>294371</v>
      </c>
      <c r="G3656" s="13">
        <v>29</v>
      </c>
      <c r="H3656" t="s">
        <v>3008</v>
      </c>
      <c r="I3656" s="8">
        <v>46076</v>
      </c>
      <c r="J3656" t="s">
        <v>2663</v>
      </c>
      <c r="K3656" t="s">
        <v>3630</v>
      </c>
      <c r="L3656" s="13">
        <v>1500</v>
      </c>
      <c r="M3656" t="s">
        <v>2661</v>
      </c>
    </row>
    <row r="3657" spans="1:13">
      <c r="A3657" t="s">
        <v>1575</v>
      </c>
      <c r="B3657" t="s">
        <v>204</v>
      </c>
      <c r="C3657" s="8">
        <v>46070</v>
      </c>
      <c r="D3657" t="s">
        <v>321</v>
      </c>
      <c r="E3657" t="s">
        <v>328</v>
      </c>
      <c r="F3657" s="12">
        <v>294371</v>
      </c>
      <c r="G3657" s="13">
        <v>29</v>
      </c>
      <c r="H3657" t="s">
        <v>3098</v>
      </c>
      <c r="I3657" s="8">
        <v>45974</v>
      </c>
      <c r="J3657" t="s">
        <v>2674</v>
      </c>
      <c r="K3657" t="s">
        <v>2675</v>
      </c>
      <c r="L3657" s="13">
        <v>20000</v>
      </c>
      <c r="M3657" t="s">
        <v>2661</v>
      </c>
    </row>
    <row r="3658" spans="1:13">
      <c r="A3658" t="s">
        <v>1575</v>
      </c>
      <c r="B3658" t="s">
        <v>204</v>
      </c>
      <c r="C3658" s="8">
        <v>46070</v>
      </c>
      <c r="D3658" t="s">
        <v>321</v>
      </c>
      <c r="E3658" t="s">
        <v>328</v>
      </c>
      <c r="F3658" s="12">
        <v>294371</v>
      </c>
      <c r="G3658" s="13">
        <v>29</v>
      </c>
      <c r="H3658" t="s">
        <v>3265</v>
      </c>
      <c r="I3658" s="8">
        <v>46085</v>
      </c>
      <c r="J3658" t="s">
        <v>2668</v>
      </c>
      <c r="K3658" t="s">
        <v>2669</v>
      </c>
      <c r="L3658" s="13">
        <v>4000</v>
      </c>
      <c r="M3658" t="s">
        <v>2676</v>
      </c>
    </row>
    <row r="3659" spans="1:13">
      <c r="A3659" t="s">
        <v>1575</v>
      </c>
      <c r="B3659" t="s">
        <v>204</v>
      </c>
      <c r="C3659" s="8">
        <v>46070</v>
      </c>
      <c r="D3659" t="s">
        <v>321</v>
      </c>
      <c r="E3659" t="s">
        <v>328</v>
      </c>
      <c r="F3659" s="12">
        <v>294371</v>
      </c>
      <c r="G3659" s="13">
        <v>29</v>
      </c>
      <c r="H3659" t="s">
        <v>3516</v>
      </c>
      <c r="I3659" s="8">
        <v>46167</v>
      </c>
      <c r="J3659" t="s">
        <v>2659</v>
      </c>
      <c r="K3659" t="s">
        <v>2660</v>
      </c>
      <c r="L3659" s="13">
        <v>3500</v>
      </c>
      <c r="M3659" t="s">
        <v>2661</v>
      </c>
    </row>
    <row r="3660" spans="1:13">
      <c r="A3660" t="s">
        <v>1576</v>
      </c>
      <c r="B3660" t="s">
        <v>108</v>
      </c>
      <c r="C3660" s="8">
        <v>46133</v>
      </c>
      <c r="D3660" t="s">
        <v>324</v>
      </c>
      <c r="E3660" t="s">
        <v>337</v>
      </c>
      <c r="F3660" s="12">
        <v>106430</v>
      </c>
      <c r="G3660" s="13">
        <v>10</v>
      </c>
      <c r="H3660" t="s">
        <v>2694</v>
      </c>
      <c r="I3660" s="8">
        <v>46032</v>
      </c>
      <c r="J3660" t="s">
        <v>2682</v>
      </c>
      <c r="K3660" t="s">
        <v>2683</v>
      </c>
      <c r="L3660" s="13">
        <v>6000</v>
      </c>
      <c r="M3660" t="s">
        <v>2661</v>
      </c>
    </row>
    <row r="3661" spans="1:13">
      <c r="A3661" t="s">
        <v>1576</v>
      </c>
      <c r="B3661" t="s">
        <v>108</v>
      </c>
      <c r="C3661" s="8">
        <v>46133</v>
      </c>
      <c r="D3661" t="s">
        <v>324</v>
      </c>
      <c r="E3661" t="s">
        <v>337</v>
      </c>
      <c r="F3661" s="12">
        <v>106430</v>
      </c>
      <c r="G3661" s="13">
        <v>10</v>
      </c>
      <c r="H3661" t="s">
        <v>3089</v>
      </c>
      <c r="I3661" s="8">
        <v>46140</v>
      </c>
      <c r="J3661" t="s">
        <v>2659</v>
      </c>
      <c r="K3661" t="s">
        <v>2660</v>
      </c>
      <c r="L3661" s="13">
        <v>3500</v>
      </c>
      <c r="M3661" t="s">
        <v>2661</v>
      </c>
    </row>
    <row r="3662" spans="1:13">
      <c r="A3662" t="s">
        <v>1576</v>
      </c>
      <c r="B3662" t="s">
        <v>108</v>
      </c>
      <c r="C3662" s="8">
        <v>46133</v>
      </c>
      <c r="D3662" t="s">
        <v>324</v>
      </c>
      <c r="E3662" t="s">
        <v>337</v>
      </c>
      <c r="F3662" s="12">
        <v>106430</v>
      </c>
      <c r="G3662" s="13">
        <v>10</v>
      </c>
      <c r="H3662" t="s">
        <v>3140</v>
      </c>
      <c r="I3662" s="8">
        <v>46168</v>
      </c>
      <c r="J3662" t="s">
        <v>2671</v>
      </c>
      <c r="K3662" t="s">
        <v>2672</v>
      </c>
      <c r="L3662" s="13">
        <v>3000</v>
      </c>
      <c r="M3662" t="s">
        <v>2676</v>
      </c>
    </row>
    <row r="3663" spans="1:13">
      <c r="A3663" t="s">
        <v>1576</v>
      </c>
      <c r="B3663" t="s">
        <v>108</v>
      </c>
      <c r="C3663" s="8">
        <v>46133</v>
      </c>
      <c r="D3663" t="s">
        <v>324</v>
      </c>
      <c r="E3663" t="s">
        <v>337</v>
      </c>
      <c r="F3663" s="12">
        <v>106430</v>
      </c>
      <c r="G3663" s="13">
        <v>10</v>
      </c>
      <c r="H3663" t="s">
        <v>3219</v>
      </c>
      <c r="I3663" s="8">
        <v>45964</v>
      </c>
      <c r="J3663" t="s">
        <v>2692</v>
      </c>
      <c r="K3663" t="s">
        <v>2693</v>
      </c>
      <c r="L3663" s="13">
        <v>10000</v>
      </c>
      <c r="M3663" t="s">
        <v>2676</v>
      </c>
    </row>
    <row r="3664" spans="1:13">
      <c r="A3664" t="s">
        <v>1577</v>
      </c>
      <c r="B3664" t="s">
        <v>75</v>
      </c>
      <c r="C3664" s="8">
        <v>46058</v>
      </c>
      <c r="D3664" t="s">
        <v>344</v>
      </c>
      <c r="E3664" t="s">
        <v>334</v>
      </c>
      <c r="F3664" s="12">
        <v>261726</v>
      </c>
      <c r="G3664" s="13">
        <v>26</v>
      </c>
      <c r="H3664" t="s">
        <v>2944</v>
      </c>
      <c r="I3664" s="8">
        <v>46218</v>
      </c>
      <c r="J3664" t="s">
        <v>2665</v>
      </c>
      <c r="K3664" t="s">
        <v>2666</v>
      </c>
      <c r="L3664" s="13">
        <v>2500</v>
      </c>
      <c r="M3664" t="s">
        <v>2661</v>
      </c>
    </row>
    <row r="3665" spans="1:13">
      <c r="A3665" t="s">
        <v>1577</v>
      </c>
      <c r="B3665" t="s">
        <v>75</v>
      </c>
      <c r="C3665" s="8">
        <v>46058</v>
      </c>
      <c r="D3665" t="s">
        <v>344</v>
      </c>
      <c r="E3665" t="s">
        <v>334</v>
      </c>
      <c r="F3665" s="12">
        <v>261726</v>
      </c>
      <c r="G3665" s="13">
        <v>26</v>
      </c>
      <c r="H3665" t="s">
        <v>3396</v>
      </c>
      <c r="I3665" s="8">
        <v>46161</v>
      </c>
      <c r="J3665" t="s">
        <v>2659</v>
      </c>
      <c r="K3665" t="s">
        <v>2660</v>
      </c>
      <c r="L3665" s="13">
        <v>3500</v>
      </c>
      <c r="M3665" t="s">
        <v>2661</v>
      </c>
    </row>
    <row r="3666" spans="1:13">
      <c r="A3666" t="s">
        <v>1577</v>
      </c>
      <c r="B3666" t="s">
        <v>75</v>
      </c>
      <c r="C3666" s="8">
        <v>46058</v>
      </c>
      <c r="D3666" t="s">
        <v>344</v>
      </c>
      <c r="E3666" t="s">
        <v>334</v>
      </c>
      <c r="F3666" s="12">
        <v>261726</v>
      </c>
      <c r="G3666" s="13">
        <v>26</v>
      </c>
      <c r="H3666" t="s">
        <v>3549</v>
      </c>
      <c r="I3666" s="8">
        <v>46034</v>
      </c>
      <c r="J3666" t="s">
        <v>2692</v>
      </c>
      <c r="K3666" t="s">
        <v>2693</v>
      </c>
      <c r="L3666" s="13">
        <v>10000</v>
      </c>
      <c r="M3666" t="s">
        <v>2661</v>
      </c>
    </row>
    <row r="3667" spans="1:13">
      <c r="A3667" t="s">
        <v>1579</v>
      </c>
      <c r="B3667" t="s">
        <v>277</v>
      </c>
      <c r="C3667" s="8">
        <v>45972</v>
      </c>
      <c r="D3667" t="s">
        <v>327</v>
      </c>
      <c r="E3667" t="s">
        <v>337</v>
      </c>
      <c r="F3667" s="12">
        <v>128251</v>
      </c>
      <c r="G3667" s="13">
        <v>12</v>
      </c>
      <c r="H3667" t="s">
        <v>2843</v>
      </c>
      <c r="I3667" s="8">
        <v>46213</v>
      </c>
      <c r="J3667" t="s">
        <v>2682</v>
      </c>
      <c r="K3667" t="s">
        <v>2683</v>
      </c>
      <c r="L3667" s="13">
        <v>6000</v>
      </c>
      <c r="M3667" t="s">
        <v>2661</v>
      </c>
    </row>
    <row r="3668" spans="1:13">
      <c r="A3668" t="s">
        <v>1579</v>
      </c>
      <c r="B3668" t="s">
        <v>277</v>
      </c>
      <c r="C3668" s="8">
        <v>45972</v>
      </c>
      <c r="D3668" t="s">
        <v>327</v>
      </c>
      <c r="E3668" t="s">
        <v>337</v>
      </c>
      <c r="F3668" s="12">
        <v>128251</v>
      </c>
      <c r="G3668" s="13">
        <v>12</v>
      </c>
      <c r="H3668" t="s">
        <v>2957</v>
      </c>
      <c r="I3668" s="8">
        <v>45984</v>
      </c>
      <c r="J3668" t="s">
        <v>2671</v>
      </c>
      <c r="K3668" t="s">
        <v>2672</v>
      </c>
      <c r="L3668" s="13">
        <v>3000</v>
      </c>
      <c r="M3668" t="s">
        <v>2661</v>
      </c>
    </row>
    <row r="3669" spans="1:13">
      <c r="A3669" t="s">
        <v>1579</v>
      </c>
      <c r="B3669" t="s">
        <v>277</v>
      </c>
      <c r="C3669" s="8">
        <v>45972</v>
      </c>
      <c r="D3669" t="s">
        <v>327</v>
      </c>
      <c r="E3669" t="s">
        <v>337</v>
      </c>
      <c r="F3669" s="12">
        <v>128251</v>
      </c>
      <c r="G3669" s="13">
        <v>12</v>
      </c>
      <c r="H3669" t="s">
        <v>2978</v>
      </c>
      <c r="I3669" s="8">
        <v>46142</v>
      </c>
      <c r="J3669" t="s">
        <v>2659</v>
      </c>
      <c r="K3669" t="s">
        <v>2660</v>
      </c>
      <c r="L3669" s="13">
        <v>3500</v>
      </c>
      <c r="M3669" t="s">
        <v>2661</v>
      </c>
    </row>
    <row r="3670" spans="1:13">
      <c r="A3670" t="s">
        <v>1579</v>
      </c>
      <c r="B3670" t="s">
        <v>277</v>
      </c>
      <c r="C3670" s="8">
        <v>45972</v>
      </c>
      <c r="D3670" t="s">
        <v>327</v>
      </c>
      <c r="E3670" t="s">
        <v>337</v>
      </c>
      <c r="F3670" s="12">
        <v>128251</v>
      </c>
      <c r="G3670" s="13">
        <v>12</v>
      </c>
      <c r="H3670" t="s">
        <v>3059</v>
      </c>
      <c r="I3670" s="8">
        <v>46217</v>
      </c>
      <c r="J3670" t="s">
        <v>2659</v>
      </c>
      <c r="K3670" t="s">
        <v>2660</v>
      </c>
      <c r="L3670" s="13">
        <v>3500</v>
      </c>
      <c r="M3670" t="s">
        <v>2661</v>
      </c>
    </row>
    <row r="3671" spans="1:13">
      <c r="A3671" t="s">
        <v>1579</v>
      </c>
      <c r="B3671" t="s">
        <v>277</v>
      </c>
      <c r="C3671" s="8">
        <v>45972</v>
      </c>
      <c r="D3671" t="s">
        <v>327</v>
      </c>
      <c r="E3671" t="s">
        <v>337</v>
      </c>
      <c r="F3671" s="12">
        <v>128251</v>
      </c>
      <c r="G3671" s="13">
        <v>12</v>
      </c>
      <c r="H3671" t="s">
        <v>3102</v>
      </c>
      <c r="I3671" s="8">
        <v>46027</v>
      </c>
      <c r="J3671" t="s">
        <v>2692</v>
      </c>
      <c r="K3671" t="s">
        <v>2693</v>
      </c>
      <c r="L3671" s="13">
        <v>10000</v>
      </c>
      <c r="M3671" t="s">
        <v>2661</v>
      </c>
    </row>
    <row r="3672" spans="1:13">
      <c r="A3672" t="s">
        <v>1579</v>
      </c>
      <c r="B3672" t="s">
        <v>277</v>
      </c>
      <c r="C3672" s="8">
        <v>45972</v>
      </c>
      <c r="D3672" t="s">
        <v>327</v>
      </c>
      <c r="E3672" t="s">
        <v>337</v>
      </c>
      <c r="F3672" s="12">
        <v>128251</v>
      </c>
      <c r="G3672" s="13">
        <v>12</v>
      </c>
      <c r="H3672" t="s">
        <v>3553</v>
      </c>
      <c r="I3672" s="8">
        <v>45945</v>
      </c>
      <c r="J3672" t="s">
        <v>2685</v>
      </c>
      <c r="K3672" t="s">
        <v>2686</v>
      </c>
      <c r="L3672" s="13">
        <v>5000</v>
      </c>
      <c r="M3672" t="s">
        <v>2661</v>
      </c>
    </row>
    <row r="3673" spans="1:13">
      <c r="A3673" t="s">
        <v>1579</v>
      </c>
      <c r="B3673" t="s">
        <v>277</v>
      </c>
      <c r="C3673" s="8">
        <v>45972</v>
      </c>
      <c r="D3673" t="s">
        <v>327</v>
      </c>
      <c r="E3673" t="s">
        <v>337</v>
      </c>
      <c r="F3673" s="12">
        <v>128251</v>
      </c>
      <c r="G3673" s="13">
        <v>12</v>
      </c>
      <c r="H3673" t="s">
        <v>3560</v>
      </c>
      <c r="I3673" s="8">
        <v>45986</v>
      </c>
      <c r="J3673" t="s">
        <v>2685</v>
      </c>
      <c r="K3673" t="s">
        <v>2686</v>
      </c>
      <c r="L3673" s="13">
        <v>5000</v>
      </c>
      <c r="M3673" t="s">
        <v>2661</v>
      </c>
    </row>
    <row r="3674" spans="1:13">
      <c r="A3674" t="s">
        <v>1580</v>
      </c>
      <c r="B3674" t="s">
        <v>222</v>
      </c>
      <c r="C3674" s="8">
        <v>46174</v>
      </c>
      <c r="D3674" t="s">
        <v>344</v>
      </c>
      <c r="E3674" t="s">
        <v>339</v>
      </c>
      <c r="F3674" s="12">
        <v>380884</v>
      </c>
      <c r="G3674" s="13">
        <v>38</v>
      </c>
      <c r="H3674" t="s">
        <v>2746</v>
      </c>
      <c r="I3674" s="8">
        <v>45998</v>
      </c>
      <c r="J3674" t="s">
        <v>2668</v>
      </c>
      <c r="K3674" t="s">
        <v>2669</v>
      </c>
      <c r="L3674" s="13">
        <v>4000</v>
      </c>
      <c r="M3674" t="s">
        <v>2676</v>
      </c>
    </row>
    <row r="3675" spans="1:13">
      <c r="A3675" t="s">
        <v>1580</v>
      </c>
      <c r="B3675" t="s">
        <v>222</v>
      </c>
      <c r="C3675" s="8">
        <v>46174</v>
      </c>
      <c r="D3675" t="s">
        <v>344</v>
      </c>
      <c r="E3675" t="s">
        <v>339</v>
      </c>
      <c r="F3675" s="12">
        <v>380884</v>
      </c>
      <c r="G3675" s="13">
        <v>38</v>
      </c>
      <c r="H3675" t="s">
        <v>2829</v>
      </c>
      <c r="I3675" s="8">
        <v>45978</v>
      </c>
      <c r="J3675" t="s">
        <v>2692</v>
      </c>
      <c r="K3675" t="s">
        <v>2693</v>
      </c>
      <c r="L3675" s="13">
        <v>10000</v>
      </c>
      <c r="M3675" t="s">
        <v>2661</v>
      </c>
    </row>
    <row r="3676" spans="1:13">
      <c r="A3676" t="s">
        <v>1580</v>
      </c>
      <c r="B3676" t="s">
        <v>222</v>
      </c>
      <c r="C3676" s="8">
        <v>46174</v>
      </c>
      <c r="D3676" t="s">
        <v>344</v>
      </c>
      <c r="E3676" t="s">
        <v>339</v>
      </c>
      <c r="F3676" s="12">
        <v>380884</v>
      </c>
      <c r="G3676" s="13">
        <v>38</v>
      </c>
      <c r="H3676" t="s">
        <v>2836</v>
      </c>
      <c r="I3676" s="8">
        <v>46170</v>
      </c>
      <c r="J3676" t="s">
        <v>2685</v>
      </c>
      <c r="K3676" t="s">
        <v>2686</v>
      </c>
      <c r="L3676" s="13">
        <v>5000</v>
      </c>
      <c r="M3676" t="s">
        <v>2661</v>
      </c>
    </row>
    <row r="3677" spans="1:13">
      <c r="A3677" t="s">
        <v>1580</v>
      </c>
      <c r="B3677" t="s">
        <v>222</v>
      </c>
      <c r="C3677" s="8">
        <v>46174</v>
      </c>
      <c r="D3677" t="s">
        <v>344</v>
      </c>
      <c r="E3677" t="s">
        <v>339</v>
      </c>
      <c r="F3677" s="12">
        <v>380884</v>
      </c>
      <c r="G3677" s="13">
        <v>38</v>
      </c>
      <c r="H3677" t="s">
        <v>2926</v>
      </c>
      <c r="I3677" s="8">
        <v>46249</v>
      </c>
      <c r="J3677" t="s">
        <v>2663</v>
      </c>
      <c r="K3677" t="s">
        <v>3630</v>
      </c>
      <c r="L3677" s="13">
        <v>1500</v>
      </c>
      <c r="M3677" t="s">
        <v>2661</v>
      </c>
    </row>
    <row r="3678" spans="1:13">
      <c r="A3678" t="s">
        <v>1580</v>
      </c>
      <c r="B3678" t="s">
        <v>222</v>
      </c>
      <c r="C3678" s="8">
        <v>46174</v>
      </c>
      <c r="D3678" t="s">
        <v>344</v>
      </c>
      <c r="E3678" t="s">
        <v>339</v>
      </c>
      <c r="F3678" s="12">
        <v>380884</v>
      </c>
      <c r="G3678" s="13">
        <v>38</v>
      </c>
      <c r="H3678" t="s">
        <v>3037</v>
      </c>
      <c r="I3678" s="8">
        <v>46148</v>
      </c>
      <c r="J3678" t="s">
        <v>2692</v>
      </c>
      <c r="K3678" t="s">
        <v>2693</v>
      </c>
      <c r="L3678" s="13">
        <v>10000</v>
      </c>
      <c r="M3678" t="s">
        <v>2661</v>
      </c>
    </row>
    <row r="3679" spans="1:13">
      <c r="A3679" t="s">
        <v>1580</v>
      </c>
      <c r="B3679" t="s">
        <v>222</v>
      </c>
      <c r="C3679" s="8">
        <v>46174</v>
      </c>
      <c r="D3679" t="s">
        <v>344</v>
      </c>
      <c r="E3679" t="s">
        <v>339</v>
      </c>
      <c r="F3679" s="12">
        <v>380884</v>
      </c>
      <c r="G3679" s="13">
        <v>38</v>
      </c>
      <c r="H3679" t="s">
        <v>3427</v>
      </c>
      <c r="I3679" s="8">
        <v>46050</v>
      </c>
      <c r="J3679" t="s">
        <v>2671</v>
      </c>
      <c r="K3679" t="s">
        <v>2672</v>
      </c>
      <c r="L3679" s="13">
        <v>3000</v>
      </c>
      <c r="M3679" t="s">
        <v>2676</v>
      </c>
    </row>
    <row r="3680" spans="1:13">
      <c r="A3680" t="s">
        <v>1580</v>
      </c>
      <c r="B3680" t="s">
        <v>222</v>
      </c>
      <c r="C3680" s="8">
        <v>46174</v>
      </c>
      <c r="D3680" t="s">
        <v>344</v>
      </c>
      <c r="E3680" t="s">
        <v>339</v>
      </c>
      <c r="F3680" s="12">
        <v>380884</v>
      </c>
      <c r="G3680" s="13">
        <v>38</v>
      </c>
      <c r="H3680" t="s">
        <v>3524</v>
      </c>
      <c r="I3680" s="8">
        <v>46179</v>
      </c>
      <c r="J3680" t="s">
        <v>2665</v>
      </c>
      <c r="K3680" t="s">
        <v>2666</v>
      </c>
      <c r="L3680" s="13">
        <v>2500</v>
      </c>
      <c r="M3680" t="s">
        <v>2661</v>
      </c>
    </row>
    <row r="3681" spans="1:13">
      <c r="A3681" t="s">
        <v>1581</v>
      </c>
      <c r="B3681" t="s">
        <v>266</v>
      </c>
      <c r="C3681" s="8">
        <v>45991</v>
      </c>
      <c r="D3681" t="s">
        <v>330</v>
      </c>
      <c r="E3681" t="s">
        <v>337</v>
      </c>
      <c r="F3681" s="12">
        <v>127084</v>
      </c>
      <c r="G3681" s="13">
        <v>12</v>
      </c>
      <c r="H3681" t="s">
        <v>2736</v>
      </c>
      <c r="I3681" s="8">
        <v>46216</v>
      </c>
      <c r="J3681" t="s">
        <v>2685</v>
      </c>
      <c r="K3681" t="s">
        <v>2686</v>
      </c>
      <c r="L3681" s="13">
        <v>5000</v>
      </c>
      <c r="M3681" t="s">
        <v>2661</v>
      </c>
    </row>
    <row r="3682" spans="1:13">
      <c r="A3682" t="s">
        <v>1581</v>
      </c>
      <c r="B3682" t="s">
        <v>266</v>
      </c>
      <c r="C3682" s="8">
        <v>45991</v>
      </c>
      <c r="D3682" t="s">
        <v>330</v>
      </c>
      <c r="E3682" t="s">
        <v>337</v>
      </c>
      <c r="F3682" s="12">
        <v>127084</v>
      </c>
      <c r="G3682" s="13">
        <v>12</v>
      </c>
      <c r="H3682" t="s">
        <v>2757</v>
      </c>
      <c r="I3682" s="8">
        <v>46186</v>
      </c>
      <c r="J3682" t="s">
        <v>2688</v>
      </c>
      <c r="K3682" t="s">
        <v>2689</v>
      </c>
      <c r="L3682" s="13">
        <v>8000</v>
      </c>
      <c r="M3682" t="s">
        <v>2661</v>
      </c>
    </row>
    <row r="3683" spans="1:13">
      <c r="A3683" t="s">
        <v>1581</v>
      </c>
      <c r="B3683" t="s">
        <v>266</v>
      </c>
      <c r="C3683" s="8">
        <v>45991</v>
      </c>
      <c r="D3683" t="s">
        <v>330</v>
      </c>
      <c r="E3683" t="s">
        <v>337</v>
      </c>
      <c r="F3683" s="12">
        <v>127084</v>
      </c>
      <c r="G3683" s="13">
        <v>12</v>
      </c>
      <c r="H3683" t="s">
        <v>3331</v>
      </c>
      <c r="I3683" s="8">
        <v>46215</v>
      </c>
      <c r="J3683" t="s">
        <v>2674</v>
      </c>
      <c r="K3683" t="s">
        <v>2675</v>
      </c>
      <c r="L3683" s="13">
        <v>20000</v>
      </c>
      <c r="M3683" t="s">
        <v>2661</v>
      </c>
    </row>
    <row r="3684" spans="1:13">
      <c r="A3684" t="s">
        <v>1581</v>
      </c>
      <c r="B3684" t="s">
        <v>266</v>
      </c>
      <c r="C3684" s="8">
        <v>45991</v>
      </c>
      <c r="D3684" t="s">
        <v>330</v>
      </c>
      <c r="E3684" t="s">
        <v>337</v>
      </c>
      <c r="F3684" s="12">
        <v>127084</v>
      </c>
      <c r="G3684" s="13">
        <v>12</v>
      </c>
      <c r="H3684" t="s">
        <v>3337</v>
      </c>
      <c r="I3684" s="8">
        <v>46032</v>
      </c>
      <c r="J3684" t="s">
        <v>2682</v>
      </c>
      <c r="K3684" t="s">
        <v>2683</v>
      </c>
      <c r="L3684" s="13">
        <v>6000</v>
      </c>
      <c r="M3684" t="s">
        <v>2661</v>
      </c>
    </row>
    <row r="3685" spans="1:13">
      <c r="A3685" t="s">
        <v>1581</v>
      </c>
      <c r="B3685" t="s">
        <v>266</v>
      </c>
      <c r="C3685" s="8">
        <v>45991</v>
      </c>
      <c r="D3685" t="s">
        <v>330</v>
      </c>
      <c r="E3685" t="s">
        <v>337</v>
      </c>
      <c r="F3685" s="12">
        <v>127084</v>
      </c>
      <c r="G3685" s="13">
        <v>12</v>
      </c>
      <c r="H3685" t="s">
        <v>3347</v>
      </c>
      <c r="I3685" s="8">
        <v>46104</v>
      </c>
      <c r="J3685" t="s">
        <v>2688</v>
      </c>
      <c r="K3685" t="s">
        <v>2689</v>
      </c>
      <c r="L3685" s="13">
        <v>8000</v>
      </c>
      <c r="M3685" t="s">
        <v>2661</v>
      </c>
    </row>
    <row r="3686" spans="1:13">
      <c r="A3686" t="s">
        <v>1581</v>
      </c>
      <c r="B3686" t="s">
        <v>266</v>
      </c>
      <c r="C3686" s="8">
        <v>45991</v>
      </c>
      <c r="D3686" t="s">
        <v>330</v>
      </c>
      <c r="E3686" t="s">
        <v>337</v>
      </c>
      <c r="F3686" s="12">
        <v>127084</v>
      </c>
      <c r="G3686" s="13">
        <v>12</v>
      </c>
      <c r="H3686" t="s">
        <v>3518</v>
      </c>
      <c r="I3686" s="8">
        <v>46126</v>
      </c>
      <c r="J3686" t="s">
        <v>2692</v>
      </c>
      <c r="K3686" t="s">
        <v>2693</v>
      </c>
      <c r="L3686" s="13">
        <v>10000</v>
      </c>
      <c r="M3686" t="s">
        <v>2661</v>
      </c>
    </row>
    <row r="3687" spans="1:13">
      <c r="A3687" t="s">
        <v>1582</v>
      </c>
      <c r="B3687" t="s">
        <v>87</v>
      </c>
      <c r="C3687" s="8">
        <v>46125</v>
      </c>
      <c r="D3687" t="s">
        <v>321</v>
      </c>
      <c r="E3687" t="s">
        <v>339</v>
      </c>
      <c r="F3687" s="12">
        <v>119239</v>
      </c>
      <c r="G3687" s="13">
        <v>11</v>
      </c>
      <c r="H3687" t="s">
        <v>3531</v>
      </c>
      <c r="I3687" s="8">
        <v>45982</v>
      </c>
      <c r="J3687" t="s">
        <v>2685</v>
      </c>
      <c r="K3687" t="s">
        <v>2686</v>
      </c>
      <c r="L3687" s="13">
        <v>5000</v>
      </c>
      <c r="M3687" t="s">
        <v>2661</v>
      </c>
    </row>
    <row r="3688" spans="1:13">
      <c r="A3688" t="s">
        <v>1584</v>
      </c>
      <c r="B3688" t="s">
        <v>155</v>
      </c>
      <c r="C3688" s="8">
        <v>46100</v>
      </c>
      <c r="D3688" t="s">
        <v>321</v>
      </c>
      <c r="E3688" t="s">
        <v>337</v>
      </c>
      <c r="F3688" s="12">
        <v>61125</v>
      </c>
      <c r="G3688" s="13">
        <v>6</v>
      </c>
      <c r="H3688" t="s">
        <v>3027</v>
      </c>
      <c r="I3688" s="8">
        <v>46235</v>
      </c>
      <c r="J3688" t="s">
        <v>2663</v>
      </c>
      <c r="K3688" t="s">
        <v>3630</v>
      </c>
      <c r="L3688" s="13">
        <v>1500</v>
      </c>
      <c r="M3688" t="s">
        <v>2661</v>
      </c>
    </row>
    <row r="3689" spans="1:13">
      <c r="A3689" t="s">
        <v>1584</v>
      </c>
      <c r="B3689" t="s">
        <v>155</v>
      </c>
      <c r="C3689" s="8">
        <v>46100</v>
      </c>
      <c r="D3689" t="s">
        <v>321</v>
      </c>
      <c r="E3689" t="s">
        <v>337</v>
      </c>
      <c r="F3689" s="12">
        <v>61125</v>
      </c>
      <c r="G3689" s="13">
        <v>6</v>
      </c>
      <c r="H3689" t="s">
        <v>3147</v>
      </c>
      <c r="I3689" s="8">
        <v>46057</v>
      </c>
      <c r="J3689" t="s">
        <v>2685</v>
      </c>
      <c r="K3689" t="s">
        <v>2686</v>
      </c>
      <c r="L3689" s="13">
        <v>5000</v>
      </c>
      <c r="M3689" t="s">
        <v>2676</v>
      </c>
    </row>
    <row r="3690" spans="1:13">
      <c r="A3690" t="s">
        <v>1584</v>
      </c>
      <c r="B3690" t="s">
        <v>155</v>
      </c>
      <c r="C3690" s="8">
        <v>46100</v>
      </c>
      <c r="D3690" t="s">
        <v>321</v>
      </c>
      <c r="E3690" t="s">
        <v>337</v>
      </c>
      <c r="F3690" s="12">
        <v>61125</v>
      </c>
      <c r="G3690" s="13">
        <v>6</v>
      </c>
      <c r="H3690" t="s">
        <v>3234</v>
      </c>
      <c r="I3690" s="8">
        <v>46116</v>
      </c>
      <c r="J3690" t="s">
        <v>2659</v>
      </c>
      <c r="K3690" t="s">
        <v>2660</v>
      </c>
      <c r="L3690" s="13">
        <v>3500</v>
      </c>
      <c r="M3690" t="s">
        <v>2676</v>
      </c>
    </row>
    <row r="3691" spans="1:13">
      <c r="A3691" t="s">
        <v>1584</v>
      </c>
      <c r="B3691" t="s">
        <v>155</v>
      </c>
      <c r="C3691" s="8">
        <v>46100</v>
      </c>
      <c r="D3691" t="s">
        <v>321</v>
      </c>
      <c r="E3691" t="s">
        <v>337</v>
      </c>
      <c r="F3691" s="12">
        <v>61125</v>
      </c>
      <c r="G3691" s="13">
        <v>6</v>
      </c>
      <c r="H3691" t="s">
        <v>3373</v>
      </c>
      <c r="I3691" s="8">
        <v>46196</v>
      </c>
      <c r="J3691" t="s">
        <v>2671</v>
      </c>
      <c r="K3691" t="s">
        <v>2672</v>
      </c>
      <c r="L3691" s="13">
        <v>3000</v>
      </c>
      <c r="M3691" t="s">
        <v>2661</v>
      </c>
    </row>
    <row r="3692" spans="1:13">
      <c r="A3692" t="s">
        <v>1585</v>
      </c>
      <c r="B3692" t="s">
        <v>34</v>
      </c>
      <c r="C3692" s="8">
        <v>46133</v>
      </c>
      <c r="D3692" t="s">
        <v>344</v>
      </c>
      <c r="E3692" t="s">
        <v>322</v>
      </c>
      <c r="F3692" s="12">
        <v>167035</v>
      </c>
      <c r="G3692" s="13">
        <v>16</v>
      </c>
      <c r="H3692" t="s">
        <v>2772</v>
      </c>
      <c r="I3692" s="8">
        <v>46154</v>
      </c>
      <c r="J3692" t="s">
        <v>2659</v>
      </c>
      <c r="K3692" t="s">
        <v>2660</v>
      </c>
      <c r="L3692" s="13">
        <v>3500</v>
      </c>
      <c r="M3692" t="s">
        <v>2661</v>
      </c>
    </row>
    <row r="3693" spans="1:13">
      <c r="A3693" t="s">
        <v>1585</v>
      </c>
      <c r="B3693" t="s">
        <v>34</v>
      </c>
      <c r="C3693" s="8">
        <v>46133</v>
      </c>
      <c r="D3693" t="s">
        <v>344</v>
      </c>
      <c r="E3693" t="s">
        <v>322</v>
      </c>
      <c r="F3693" s="12">
        <v>167035</v>
      </c>
      <c r="G3693" s="13">
        <v>16</v>
      </c>
      <c r="H3693" t="s">
        <v>2979</v>
      </c>
      <c r="I3693" s="8">
        <v>46165</v>
      </c>
      <c r="J3693" t="s">
        <v>2692</v>
      </c>
      <c r="K3693" t="s">
        <v>2693</v>
      </c>
      <c r="L3693" s="13">
        <v>10000</v>
      </c>
      <c r="M3693" t="s">
        <v>2676</v>
      </c>
    </row>
    <row r="3694" spans="1:13">
      <c r="A3694" t="s">
        <v>1585</v>
      </c>
      <c r="B3694" t="s">
        <v>34</v>
      </c>
      <c r="C3694" s="8">
        <v>46133</v>
      </c>
      <c r="D3694" t="s">
        <v>344</v>
      </c>
      <c r="E3694" t="s">
        <v>322</v>
      </c>
      <c r="F3694" s="12">
        <v>167035</v>
      </c>
      <c r="G3694" s="13">
        <v>16</v>
      </c>
      <c r="H3694" t="s">
        <v>3377</v>
      </c>
      <c r="I3694" s="8">
        <v>46184</v>
      </c>
      <c r="J3694" t="s">
        <v>2692</v>
      </c>
      <c r="K3694" t="s">
        <v>2693</v>
      </c>
      <c r="L3694" s="13">
        <v>10000</v>
      </c>
      <c r="M3694" t="s">
        <v>2661</v>
      </c>
    </row>
    <row r="3695" spans="1:13">
      <c r="A3695" t="s">
        <v>1586</v>
      </c>
      <c r="B3695" t="s">
        <v>275</v>
      </c>
      <c r="C3695" s="8">
        <v>45933</v>
      </c>
      <c r="D3695" t="s">
        <v>332</v>
      </c>
      <c r="E3695" t="s">
        <v>322</v>
      </c>
      <c r="F3695" s="12">
        <v>711195</v>
      </c>
      <c r="G3695" s="13">
        <v>71</v>
      </c>
      <c r="H3695" t="s">
        <v>2769</v>
      </c>
      <c r="I3695" s="8">
        <v>45949</v>
      </c>
      <c r="J3695" t="s">
        <v>2659</v>
      </c>
      <c r="K3695" t="s">
        <v>2660</v>
      </c>
      <c r="L3695" s="13">
        <v>3500</v>
      </c>
      <c r="M3695" t="s">
        <v>2661</v>
      </c>
    </row>
    <row r="3696" spans="1:13">
      <c r="A3696" t="s">
        <v>1586</v>
      </c>
      <c r="B3696" t="s">
        <v>275</v>
      </c>
      <c r="C3696" s="8">
        <v>45933</v>
      </c>
      <c r="D3696" t="s">
        <v>332</v>
      </c>
      <c r="E3696" t="s">
        <v>322</v>
      </c>
      <c r="F3696" s="12">
        <v>711195</v>
      </c>
      <c r="G3696" s="13">
        <v>71</v>
      </c>
      <c r="H3696" t="s">
        <v>2812</v>
      </c>
      <c r="I3696" s="8">
        <v>46037</v>
      </c>
      <c r="J3696" t="s">
        <v>2671</v>
      </c>
      <c r="K3696" t="s">
        <v>2672</v>
      </c>
      <c r="L3696" s="13">
        <v>3000</v>
      </c>
      <c r="M3696" t="s">
        <v>2661</v>
      </c>
    </row>
    <row r="3697" spans="1:13">
      <c r="A3697" t="s">
        <v>1586</v>
      </c>
      <c r="B3697" t="s">
        <v>275</v>
      </c>
      <c r="C3697" s="8">
        <v>45933</v>
      </c>
      <c r="D3697" t="s">
        <v>332</v>
      </c>
      <c r="E3697" t="s">
        <v>322</v>
      </c>
      <c r="F3697" s="12">
        <v>711195</v>
      </c>
      <c r="G3697" s="13">
        <v>71</v>
      </c>
      <c r="H3697" t="s">
        <v>2988</v>
      </c>
      <c r="I3697" s="8">
        <v>45949</v>
      </c>
      <c r="J3697" t="s">
        <v>2692</v>
      </c>
      <c r="K3697" t="s">
        <v>2693</v>
      </c>
      <c r="L3697" s="13">
        <v>10000</v>
      </c>
      <c r="M3697" t="s">
        <v>2661</v>
      </c>
    </row>
    <row r="3698" spans="1:13">
      <c r="A3698" t="s">
        <v>1586</v>
      </c>
      <c r="B3698" t="s">
        <v>275</v>
      </c>
      <c r="C3698" s="8">
        <v>45933</v>
      </c>
      <c r="D3698" t="s">
        <v>332</v>
      </c>
      <c r="E3698" t="s">
        <v>322</v>
      </c>
      <c r="F3698" s="12">
        <v>711195</v>
      </c>
      <c r="G3698" s="13">
        <v>71</v>
      </c>
      <c r="H3698" t="s">
        <v>3251</v>
      </c>
      <c r="I3698" s="8">
        <v>46059</v>
      </c>
      <c r="J3698" t="s">
        <v>2685</v>
      </c>
      <c r="K3698" t="s">
        <v>2686</v>
      </c>
      <c r="L3698" s="13">
        <v>5000</v>
      </c>
      <c r="M3698" t="s">
        <v>2661</v>
      </c>
    </row>
    <row r="3699" spans="1:13">
      <c r="A3699" t="s">
        <v>1586</v>
      </c>
      <c r="B3699" t="s">
        <v>275</v>
      </c>
      <c r="C3699" s="8">
        <v>45933</v>
      </c>
      <c r="D3699" t="s">
        <v>332</v>
      </c>
      <c r="E3699" t="s">
        <v>322</v>
      </c>
      <c r="F3699" s="12">
        <v>711195</v>
      </c>
      <c r="G3699" s="13">
        <v>71</v>
      </c>
      <c r="H3699" t="s">
        <v>3366</v>
      </c>
      <c r="I3699" s="8">
        <v>46230</v>
      </c>
      <c r="J3699" t="s">
        <v>2671</v>
      </c>
      <c r="K3699" t="s">
        <v>2672</v>
      </c>
      <c r="L3699" s="13">
        <v>3000</v>
      </c>
      <c r="M3699" t="s">
        <v>2661</v>
      </c>
    </row>
    <row r="3700" spans="1:13">
      <c r="A3700" t="s">
        <v>1587</v>
      </c>
      <c r="B3700" t="s">
        <v>71</v>
      </c>
      <c r="C3700" s="8">
        <v>46077</v>
      </c>
      <c r="D3700" t="s">
        <v>344</v>
      </c>
      <c r="E3700" t="s">
        <v>322</v>
      </c>
      <c r="F3700" s="12">
        <v>25000</v>
      </c>
      <c r="G3700" s="13">
        <v>2</v>
      </c>
      <c r="H3700" t="s">
        <v>3016</v>
      </c>
      <c r="I3700" s="8">
        <v>46086</v>
      </c>
      <c r="J3700" t="s">
        <v>2659</v>
      </c>
      <c r="K3700" t="s">
        <v>2660</v>
      </c>
      <c r="L3700" s="13">
        <v>3500</v>
      </c>
      <c r="M3700" t="s">
        <v>2661</v>
      </c>
    </row>
    <row r="3701" spans="1:13">
      <c r="A3701" t="s">
        <v>1587</v>
      </c>
      <c r="B3701" t="s">
        <v>71</v>
      </c>
      <c r="C3701" s="8">
        <v>46077</v>
      </c>
      <c r="D3701" t="s">
        <v>344</v>
      </c>
      <c r="E3701" t="s">
        <v>322</v>
      </c>
      <c r="F3701" s="12">
        <v>25000</v>
      </c>
      <c r="G3701" s="13">
        <v>2</v>
      </c>
      <c r="H3701" t="s">
        <v>3292</v>
      </c>
      <c r="I3701" s="8">
        <v>46001</v>
      </c>
      <c r="J3701" t="s">
        <v>2663</v>
      </c>
      <c r="K3701" t="s">
        <v>3630</v>
      </c>
      <c r="L3701" s="13">
        <v>1500</v>
      </c>
      <c r="M3701" t="s">
        <v>2661</v>
      </c>
    </row>
    <row r="3702" spans="1:13">
      <c r="A3702" t="s">
        <v>1587</v>
      </c>
      <c r="B3702" t="s">
        <v>71</v>
      </c>
      <c r="C3702" s="8">
        <v>46077</v>
      </c>
      <c r="D3702" t="s">
        <v>344</v>
      </c>
      <c r="E3702" t="s">
        <v>322</v>
      </c>
      <c r="F3702" s="12">
        <v>25000</v>
      </c>
      <c r="G3702" s="13">
        <v>2</v>
      </c>
      <c r="H3702" t="s">
        <v>3359</v>
      </c>
      <c r="I3702" s="8">
        <v>45954</v>
      </c>
      <c r="J3702" t="s">
        <v>2692</v>
      </c>
      <c r="K3702" t="s">
        <v>2693</v>
      </c>
      <c r="L3702" s="13">
        <v>10000</v>
      </c>
      <c r="M3702" t="s">
        <v>2676</v>
      </c>
    </row>
    <row r="3703" spans="1:13">
      <c r="A3703" t="s">
        <v>1589</v>
      </c>
      <c r="B3703" t="s">
        <v>256</v>
      </c>
      <c r="C3703" s="8">
        <v>46243</v>
      </c>
      <c r="D3703" t="s">
        <v>342</v>
      </c>
      <c r="E3703" t="s">
        <v>328</v>
      </c>
      <c r="F3703" s="12">
        <v>59009</v>
      </c>
      <c r="G3703" s="13">
        <v>5</v>
      </c>
      <c r="H3703" t="s">
        <v>3289</v>
      </c>
      <c r="I3703" s="8">
        <v>46146</v>
      </c>
      <c r="J3703" t="s">
        <v>2659</v>
      </c>
      <c r="K3703" t="s">
        <v>2660</v>
      </c>
      <c r="L3703" s="13">
        <v>3500</v>
      </c>
      <c r="M3703" t="s">
        <v>2661</v>
      </c>
    </row>
    <row r="3704" spans="1:13">
      <c r="A3704" t="s">
        <v>1590</v>
      </c>
      <c r="B3704" t="s">
        <v>116</v>
      </c>
      <c r="C3704" s="8">
        <v>46192</v>
      </c>
      <c r="D3704" t="s">
        <v>327</v>
      </c>
      <c r="E3704" t="s">
        <v>322</v>
      </c>
      <c r="F3704" s="12">
        <v>263371</v>
      </c>
      <c r="G3704" s="13">
        <v>26</v>
      </c>
      <c r="H3704" t="s">
        <v>2742</v>
      </c>
      <c r="I3704" s="8">
        <v>46060</v>
      </c>
      <c r="J3704" t="s">
        <v>2671</v>
      </c>
      <c r="K3704" t="s">
        <v>2672</v>
      </c>
      <c r="L3704" s="13">
        <v>3000</v>
      </c>
      <c r="M3704" t="s">
        <v>2676</v>
      </c>
    </row>
    <row r="3705" spans="1:13">
      <c r="A3705" t="s">
        <v>1590</v>
      </c>
      <c r="B3705" t="s">
        <v>116</v>
      </c>
      <c r="C3705" s="8">
        <v>46192</v>
      </c>
      <c r="D3705" t="s">
        <v>327</v>
      </c>
      <c r="E3705" t="s">
        <v>322</v>
      </c>
      <c r="F3705" s="12">
        <v>263371</v>
      </c>
      <c r="G3705" s="13">
        <v>26</v>
      </c>
      <c r="H3705" t="s">
        <v>2984</v>
      </c>
      <c r="I3705" s="8">
        <v>45974</v>
      </c>
      <c r="J3705" t="s">
        <v>2659</v>
      </c>
      <c r="K3705" t="s">
        <v>2660</v>
      </c>
      <c r="L3705" s="13">
        <v>3500</v>
      </c>
      <c r="M3705" t="s">
        <v>2661</v>
      </c>
    </row>
    <row r="3706" spans="1:13">
      <c r="A3706" t="s">
        <v>1590</v>
      </c>
      <c r="B3706" t="s">
        <v>116</v>
      </c>
      <c r="C3706" s="8">
        <v>46192</v>
      </c>
      <c r="D3706" t="s">
        <v>327</v>
      </c>
      <c r="E3706" t="s">
        <v>322</v>
      </c>
      <c r="F3706" s="12">
        <v>263371</v>
      </c>
      <c r="G3706" s="13">
        <v>26</v>
      </c>
      <c r="H3706" t="s">
        <v>3091</v>
      </c>
      <c r="I3706" s="8">
        <v>46104</v>
      </c>
      <c r="J3706" t="s">
        <v>2688</v>
      </c>
      <c r="K3706" t="s">
        <v>2689</v>
      </c>
      <c r="L3706" s="13">
        <v>8000</v>
      </c>
      <c r="M3706" t="s">
        <v>2676</v>
      </c>
    </row>
    <row r="3707" spans="1:13">
      <c r="A3707" t="s">
        <v>1590</v>
      </c>
      <c r="B3707" t="s">
        <v>116</v>
      </c>
      <c r="C3707" s="8">
        <v>46192</v>
      </c>
      <c r="D3707" t="s">
        <v>327</v>
      </c>
      <c r="E3707" t="s">
        <v>322</v>
      </c>
      <c r="F3707" s="12">
        <v>263371</v>
      </c>
      <c r="G3707" s="13">
        <v>26</v>
      </c>
      <c r="H3707" t="s">
        <v>3495</v>
      </c>
      <c r="I3707" s="8">
        <v>46131</v>
      </c>
      <c r="J3707" t="s">
        <v>2668</v>
      </c>
      <c r="K3707" t="s">
        <v>2669</v>
      </c>
      <c r="L3707" s="13">
        <v>4000</v>
      </c>
      <c r="M3707" t="s">
        <v>2676</v>
      </c>
    </row>
    <row r="3708" spans="1:13">
      <c r="A3708" t="s">
        <v>1591</v>
      </c>
      <c r="B3708" t="s">
        <v>85</v>
      </c>
      <c r="C3708" s="8">
        <v>46168</v>
      </c>
      <c r="D3708" t="s">
        <v>344</v>
      </c>
      <c r="E3708" t="s">
        <v>339</v>
      </c>
      <c r="F3708" s="12">
        <v>557517</v>
      </c>
      <c r="G3708" s="13">
        <v>55</v>
      </c>
      <c r="H3708" t="s">
        <v>2835</v>
      </c>
      <c r="I3708" s="8">
        <v>45973</v>
      </c>
      <c r="J3708" t="s">
        <v>2663</v>
      </c>
      <c r="K3708" t="s">
        <v>3630</v>
      </c>
      <c r="L3708" s="13">
        <v>1500</v>
      </c>
      <c r="M3708" t="s">
        <v>2661</v>
      </c>
    </row>
    <row r="3709" spans="1:13">
      <c r="A3709" t="s">
        <v>1591</v>
      </c>
      <c r="B3709" t="s">
        <v>85</v>
      </c>
      <c r="C3709" s="8">
        <v>46168</v>
      </c>
      <c r="D3709" t="s">
        <v>344</v>
      </c>
      <c r="E3709" t="s">
        <v>339</v>
      </c>
      <c r="F3709" s="12">
        <v>557517</v>
      </c>
      <c r="G3709" s="13">
        <v>55</v>
      </c>
      <c r="H3709" t="s">
        <v>3171</v>
      </c>
      <c r="I3709" s="8">
        <v>46002</v>
      </c>
      <c r="J3709" t="s">
        <v>2682</v>
      </c>
      <c r="K3709" t="s">
        <v>2683</v>
      </c>
      <c r="L3709" s="13">
        <v>6000</v>
      </c>
      <c r="M3709" t="s">
        <v>2676</v>
      </c>
    </row>
    <row r="3710" spans="1:13">
      <c r="A3710" t="s">
        <v>1591</v>
      </c>
      <c r="B3710" t="s">
        <v>85</v>
      </c>
      <c r="C3710" s="8">
        <v>46168</v>
      </c>
      <c r="D3710" t="s">
        <v>344</v>
      </c>
      <c r="E3710" t="s">
        <v>339</v>
      </c>
      <c r="F3710" s="12">
        <v>557517</v>
      </c>
      <c r="G3710" s="13">
        <v>55</v>
      </c>
      <c r="H3710" t="s">
        <v>3467</v>
      </c>
      <c r="I3710" s="8">
        <v>46268</v>
      </c>
      <c r="J3710" t="s">
        <v>2663</v>
      </c>
      <c r="K3710" t="s">
        <v>3630</v>
      </c>
      <c r="L3710" s="13">
        <v>1500</v>
      </c>
      <c r="M3710" t="s">
        <v>2676</v>
      </c>
    </row>
    <row r="3711" spans="1:13">
      <c r="A3711" t="s">
        <v>1592</v>
      </c>
      <c r="B3711" t="s">
        <v>272</v>
      </c>
      <c r="C3711" s="8">
        <v>45953</v>
      </c>
      <c r="D3711" t="s">
        <v>344</v>
      </c>
      <c r="E3711" t="s">
        <v>337</v>
      </c>
      <c r="F3711" s="12">
        <v>708866</v>
      </c>
      <c r="G3711" s="13">
        <v>70</v>
      </c>
      <c r="H3711" t="s">
        <v>3170</v>
      </c>
      <c r="I3711" s="8">
        <v>46133</v>
      </c>
      <c r="J3711" t="s">
        <v>2659</v>
      </c>
      <c r="K3711" t="s">
        <v>2660</v>
      </c>
      <c r="L3711" s="13">
        <v>3500</v>
      </c>
      <c r="M3711" t="s">
        <v>2661</v>
      </c>
    </row>
    <row r="3712" spans="1:13">
      <c r="A3712" t="s">
        <v>1592</v>
      </c>
      <c r="B3712" t="s">
        <v>272</v>
      </c>
      <c r="C3712" s="8">
        <v>45953</v>
      </c>
      <c r="D3712" t="s">
        <v>344</v>
      </c>
      <c r="E3712" t="s">
        <v>337</v>
      </c>
      <c r="F3712" s="12">
        <v>708866</v>
      </c>
      <c r="G3712" s="13">
        <v>70</v>
      </c>
      <c r="H3712" t="s">
        <v>3460</v>
      </c>
      <c r="I3712" s="8">
        <v>46021</v>
      </c>
      <c r="J3712" t="s">
        <v>2663</v>
      </c>
      <c r="K3712" t="s">
        <v>3630</v>
      </c>
      <c r="L3712" s="13">
        <v>1500</v>
      </c>
      <c r="M3712" t="s">
        <v>2661</v>
      </c>
    </row>
    <row r="3713" spans="1:13">
      <c r="A3713" t="s">
        <v>1593</v>
      </c>
      <c r="B3713" t="s">
        <v>310</v>
      </c>
      <c r="C3713" s="8">
        <v>46140</v>
      </c>
      <c r="D3713" t="s">
        <v>324</v>
      </c>
      <c r="E3713" t="s">
        <v>339</v>
      </c>
      <c r="F3713" s="12">
        <v>95945</v>
      </c>
      <c r="G3713" s="13">
        <v>9</v>
      </c>
      <c r="H3713" t="s">
        <v>2712</v>
      </c>
      <c r="I3713" s="8">
        <v>46153</v>
      </c>
      <c r="J3713" t="s">
        <v>2682</v>
      </c>
      <c r="K3713" t="s">
        <v>2683</v>
      </c>
      <c r="L3713" s="13">
        <v>6000</v>
      </c>
      <c r="M3713" t="s">
        <v>2661</v>
      </c>
    </row>
    <row r="3714" spans="1:13">
      <c r="A3714" t="s">
        <v>1593</v>
      </c>
      <c r="B3714" t="s">
        <v>310</v>
      </c>
      <c r="C3714" s="8">
        <v>46140</v>
      </c>
      <c r="D3714" t="s">
        <v>324</v>
      </c>
      <c r="E3714" t="s">
        <v>339</v>
      </c>
      <c r="F3714" s="12">
        <v>95945</v>
      </c>
      <c r="G3714" s="13">
        <v>9</v>
      </c>
      <c r="H3714" t="s">
        <v>2895</v>
      </c>
      <c r="I3714" s="8">
        <v>45957</v>
      </c>
      <c r="J3714" t="s">
        <v>2688</v>
      </c>
      <c r="K3714" t="s">
        <v>2689</v>
      </c>
      <c r="L3714" s="13">
        <v>8000</v>
      </c>
      <c r="M3714" t="s">
        <v>2661</v>
      </c>
    </row>
    <row r="3715" spans="1:13">
      <c r="A3715" t="s">
        <v>1593</v>
      </c>
      <c r="B3715" t="s">
        <v>310</v>
      </c>
      <c r="C3715" s="8">
        <v>46140</v>
      </c>
      <c r="D3715" t="s">
        <v>324</v>
      </c>
      <c r="E3715" t="s">
        <v>339</v>
      </c>
      <c r="F3715" s="12">
        <v>95945</v>
      </c>
      <c r="G3715" s="13">
        <v>9</v>
      </c>
      <c r="H3715" t="s">
        <v>2976</v>
      </c>
      <c r="I3715" s="8">
        <v>46146</v>
      </c>
      <c r="J3715" t="s">
        <v>2685</v>
      </c>
      <c r="K3715" t="s">
        <v>2686</v>
      </c>
      <c r="L3715" s="13">
        <v>5000</v>
      </c>
      <c r="M3715" t="s">
        <v>2661</v>
      </c>
    </row>
    <row r="3716" spans="1:13">
      <c r="A3716" t="s">
        <v>1593</v>
      </c>
      <c r="B3716" t="s">
        <v>310</v>
      </c>
      <c r="C3716" s="8">
        <v>46140</v>
      </c>
      <c r="D3716" t="s">
        <v>324</v>
      </c>
      <c r="E3716" t="s">
        <v>339</v>
      </c>
      <c r="F3716" s="12">
        <v>95945</v>
      </c>
      <c r="G3716" s="13">
        <v>9</v>
      </c>
      <c r="H3716" t="s">
        <v>3295</v>
      </c>
      <c r="I3716" s="8">
        <v>46154</v>
      </c>
      <c r="J3716" t="s">
        <v>2668</v>
      </c>
      <c r="K3716" t="s">
        <v>2669</v>
      </c>
      <c r="L3716" s="13">
        <v>4000</v>
      </c>
      <c r="M3716" t="s">
        <v>2676</v>
      </c>
    </row>
    <row r="3717" spans="1:13">
      <c r="A3717" t="s">
        <v>1593</v>
      </c>
      <c r="B3717" t="s">
        <v>310</v>
      </c>
      <c r="C3717" s="8">
        <v>46140</v>
      </c>
      <c r="D3717" t="s">
        <v>324</v>
      </c>
      <c r="E3717" t="s">
        <v>339</v>
      </c>
      <c r="F3717" s="12">
        <v>95945</v>
      </c>
      <c r="G3717" s="13">
        <v>9</v>
      </c>
      <c r="H3717" t="s">
        <v>3480</v>
      </c>
      <c r="I3717" s="8">
        <v>46012</v>
      </c>
      <c r="J3717" t="s">
        <v>2685</v>
      </c>
      <c r="K3717" t="s">
        <v>2686</v>
      </c>
      <c r="L3717" s="13">
        <v>5000</v>
      </c>
      <c r="M3717" t="s">
        <v>2676</v>
      </c>
    </row>
    <row r="3718" spans="1:13">
      <c r="A3718" t="s">
        <v>1594</v>
      </c>
      <c r="B3718" t="s">
        <v>213</v>
      </c>
      <c r="C3718" s="8">
        <v>45980</v>
      </c>
      <c r="D3718" t="s">
        <v>342</v>
      </c>
      <c r="E3718" t="s">
        <v>322</v>
      </c>
      <c r="F3718" s="12">
        <v>385666</v>
      </c>
      <c r="G3718" s="13">
        <v>38</v>
      </c>
      <c r="H3718" t="s">
        <v>2951</v>
      </c>
      <c r="I3718" s="8">
        <v>46292</v>
      </c>
      <c r="J3718" t="s">
        <v>2692</v>
      </c>
      <c r="K3718" t="s">
        <v>2693</v>
      </c>
      <c r="L3718" s="13">
        <v>10000</v>
      </c>
      <c r="M3718" t="s">
        <v>2661</v>
      </c>
    </row>
    <row r="3719" spans="1:13">
      <c r="A3719" t="s">
        <v>1594</v>
      </c>
      <c r="B3719" t="s">
        <v>213</v>
      </c>
      <c r="C3719" s="8">
        <v>45980</v>
      </c>
      <c r="D3719" t="s">
        <v>342</v>
      </c>
      <c r="E3719" t="s">
        <v>322</v>
      </c>
      <c r="F3719" s="12">
        <v>385666</v>
      </c>
      <c r="G3719" s="13">
        <v>38</v>
      </c>
      <c r="H3719" t="s">
        <v>3382</v>
      </c>
      <c r="I3719" s="8">
        <v>46034</v>
      </c>
      <c r="J3719" t="s">
        <v>2688</v>
      </c>
      <c r="K3719" t="s">
        <v>2689</v>
      </c>
      <c r="L3719" s="13">
        <v>8000</v>
      </c>
      <c r="M3719" t="s">
        <v>2661</v>
      </c>
    </row>
    <row r="3720" spans="1:13">
      <c r="A3720" t="s">
        <v>1595</v>
      </c>
      <c r="B3720" t="s">
        <v>231</v>
      </c>
      <c r="C3720" s="8">
        <v>46267</v>
      </c>
      <c r="D3720" t="s">
        <v>350</v>
      </c>
      <c r="E3720" t="s">
        <v>322</v>
      </c>
      <c r="F3720" s="12">
        <v>82481</v>
      </c>
      <c r="G3720" s="13">
        <v>8</v>
      </c>
      <c r="H3720" t="s">
        <v>2875</v>
      </c>
      <c r="I3720" s="8">
        <v>46085</v>
      </c>
      <c r="J3720" t="s">
        <v>2665</v>
      </c>
      <c r="K3720" t="s">
        <v>2666</v>
      </c>
      <c r="L3720" s="13">
        <v>2500</v>
      </c>
      <c r="M3720" t="s">
        <v>2661</v>
      </c>
    </row>
    <row r="3721" spans="1:13">
      <c r="A3721" t="s">
        <v>1595</v>
      </c>
      <c r="B3721" t="s">
        <v>231</v>
      </c>
      <c r="C3721" s="8">
        <v>46267</v>
      </c>
      <c r="D3721" t="s">
        <v>350</v>
      </c>
      <c r="E3721" t="s">
        <v>322</v>
      </c>
      <c r="F3721" s="12">
        <v>82481</v>
      </c>
      <c r="G3721" s="13">
        <v>8</v>
      </c>
      <c r="H3721" t="s">
        <v>3014</v>
      </c>
      <c r="I3721" s="8">
        <v>46207</v>
      </c>
      <c r="J3721" t="s">
        <v>2665</v>
      </c>
      <c r="K3721" t="s">
        <v>2666</v>
      </c>
      <c r="L3721" s="13">
        <v>2500</v>
      </c>
      <c r="M3721" t="s">
        <v>2676</v>
      </c>
    </row>
    <row r="3722" spans="1:13">
      <c r="A3722" t="s">
        <v>1596</v>
      </c>
      <c r="B3722" t="s">
        <v>255</v>
      </c>
      <c r="C3722" s="8">
        <v>46148</v>
      </c>
      <c r="D3722" t="s">
        <v>321</v>
      </c>
      <c r="E3722" t="s">
        <v>325</v>
      </c>
      <c r="F3722" s="12">
        <v>123012</v>
      </c>
      <c r="G3722" s="13">
        <v>12</v>
      </c>
      <c r="H3722" t="s">
        <v>2956</v>
      </c>
      <c r="I3722" s="8">
        <v>45952</v>
      </c>
      <c r="J3722" t="s">
        <v>2674</v>
      </c>
      <c r="K3722" t="s">
        <v>2675</v>
      </c>
      <c r="L3722" s="13">
        <v>20000</v>
      </c>
      <c r="M3722" t="s">
        <v>2676</v>
      </c>
    </row>
    <row r="3723" spans="1:13">
      <c r="A3723" t="s">
        <v>1596</v>
      </c>
      <c r="B3723" t="s">
        <v>255</v>
      </c>
      <c r="C3723" s="8">
        <v>46148</v>
      </c>
      <c r="D3723" t="s">
        <v>321</v>
      </c>
      <c r="E3723" t="s">
        <v>325</v>
      </c>
      <c r="F3723" s="12">
        <v>123012</v>
      </c>
      <c r="G3723" s="13">
        <v>12</v>
      </c>
      <c r="H3723" t="s">
        <v>3223</v>
      </c>
      <c r="I3723" s="8">
        <v>46198</v>
      </c>
      <c r="J3723" t="s">
        <v>2665</v>
      </c>
      <c r="K3723" t="s">
        <v>2666</v>
      </c>
      <c r="L3723" s="13">
        <v>2500</v>
      </c>
      <c r="M3723" t="s">
        <v>2661</v>
      </c>
    </row>
    <row r="3724" spans="1:13">
      <c r="A3724" t="s">
        <v>1596</v>
      </c>
      <c r="B3724" t="s">
        <v>255</v>
      </c>
      <c r="C3724" s="8">
        <v>46148</v>
      </c>
      <c r="D3724" t="s">
        <v>321</v>
      </c>
      <c r="E3724" t="s">
        <v>325</v>
      </c>
      <c r="F3724" s="12">
        <v>123012</v>
      </c>
      <c r="G3724" s="13">
        <v>12</v>
      </c>
      <c r="H3724" t="s">
        <v>3323</v>
      </c>
      <c r="I3724" s="8">
        <v>46169</v>
      </c>
      <c r="J3724" t="s">
        <v>2682</v>
      </c>
      <c r="K3724" t="s">
        <v>2683</v>
      </c>
      <c r="L3724" s="13">
        <v>6000</v>
      </c>
      <c r="M3724" t="s">
        <v>2676</v>
      </c>
    </row>
    <row r="3725" spans="1:13">
      <c r="A3725" t="s">
        <v>1597</v>
      </c>
      <c r="B3725" t="s">
        <v>233</v>
      </c>
      <c r="C3725" s="8">
        <v>46246</v>
      </c>
      <c r="D3725" t="s">
        <v>321</v>
      </c>
      <c r="E3725" t="s">
        <v>337</v>
      </c>
      <c r="F3725" s="12">
        <v>500237</v>
      </c>
      <c r="G3725" s="13">
        <v>50</v>
      </c>
      <c r="H3725" t="s">
        <v>2912</v>
      </c>
      <c r="I3725" s="8">
        <v>46184</v>
      </c>
      <c r="J3725" t="s">
        <v>2688</v>
      </c>
      <c r="K3725" t="s">
        <v>2689</v>
      </c>
      <c r="L3725" s="13">
        <v>8000</v>
      </c>
      <c r="M3725" t="s">
        <v>2676</v>
      </c>
    </row>
    <row r="3726" spans="1:13">
      <c r="A3726" t="s">
        <v>1597</v>
      </c>
      <c r="B3726" t="s">
        <v>233</v>
      </c>
      <c r="C3726" s="8">
        <v>46246</v>
      </c>
      <c r="D3726" t="s">
        <v>321</v>
      </c>
      <c r="E3726" t="s">
        <v>337</v>
      </c>
      <c r="F3726" s="12">
        <v>500237</v>
      </c>
      <c r="G3726" s="13">
        <v>50</v>
      </c>
      <c r="H3726" t="s">
        <v>3508</v>
      </c>
      <c r="I3726" s="8">
        <v>46183</v>
      </c>
      <c r="J3726" t="s">
        <v>2671</v>
      </c>
      <c r="K3726" t="s">
        <v>2672</v>
      </c>
      <c r="L3726" s="13">
        <v>3000</v>
      </c>
      <c r="M3726" t="s">
        <v>2661</v>
      </c>
    </row>
    <row r="3727" spans="1:13">
      <c r="A3727" t="s">
        <v>1598</v>
      </c>
      <c r="B3727" t="s">
        <v>174</v>
      </c>
      <c r="C3727" s="8">
        <v>46261</v>
      </c>
      <c r="D3727" t="s">
        <v>350</v>
      </c>
      <c r="E3727" t="s">
        <v>328</v>
      </c>
      <c r="F3727" s="12">
        <v>138702</v>
      </c>
      <c r="G3727" s="13">
        <v>13</v>
      </c>
      <c r="H3727" t="s">
        <v>3297</v>
      </c>
      <c r="I3727" s="8">
        <v>46090</v>
      </c>
      <c r="J3727" t="s">
        <v>2685</v>
      </c>
      <c r="K3727" t="s">
        <v>2686</v>
      </c>
      <c r="L3727" s="13">
        <v>5000</v>
      </c>
      <c r="M3727" t="s">
        <v>2676</v>
      </c>
    </row>
    <row r="3728" spans="1:13">
      <c r="A3728" t="s">
        <v>1599</v>
      </c>
      <c r="B3728" t="s">
        <v>64</v>
      </c>
      <c r="C3728" s="8">
        <v>46079</v>
      </c>
      <c r="D3728" t="s">
        <v>332</v>
      </c>
      <c r="E3728" t="s">
        <v>339</v>
      </c>
      <c r="F3728" s="12">
        <v>154962</v>
      </c>
      <c r="G3728" s="13">
        <v>15</v>
      </c>
      <c r="H3728" t="s">
        <v>2733</v>
      </c>
      <c r="I3728" s="8">
        <v>46127</v>
      </c>
      <c r="J3728" t="s">
        <v>2674</v>
      </c>
      <c r="K3728" t="s">
        <v>2675</v>
      </c>
      <c r="L3728" s="13">
        <v>20000</v>
      </c>
      <c r="M3728" t="s">
        <v>2661</v>
      </c>
    </row>
    <row r="3729" spans="1:13">
      <c r="A3729" t="s">
        <v>1599</v>
      </c>
      <c r="B3729" t="s">
        <v>64</v>
      </c>
      <c r="C3729" s="8">
        <v>46079</v>
      </c>
      <c r="D3729" t="s">
        <v>332</v>
      </c>
      <c r="E3729" t="s">
        <v>339</v>
      </c>
      <c r="F3729" s="12">
        <v>154962</v>
      </c>
      <c r="G3729" s="13">
        <v>15</v>
      </c>
      <c r="H3729" t="s">
        <v>2752</v>
      </c>
      <c r="I3729" s="8">
        <v>45976</v>
      </c>
      <c r="J3729" t="s">
        <v>2668</v>
      </c>
      <c r="K3729" t="s">
        <v>2669</v>
      </c>
      <c r="L3729" s="13">
        <v>4000</v>
      </c>
      <c r="M3729" t="s">
        <v>2661</v>
      </c>
    </row>
    <row r="3730" spans="1:13">
      <c r="A3730" t="s">
        <v>1599</v>
      </c>
      <c r="B3730" t="s">
        <v>64</v>
      </c>
      <c r="C3730" s="8">
        <v>46079</v>
      </c>
      <c r="D3730" t="s">
        <v>332</v>
      </c>
      <c r="E3730" t="s">
        <v>339</v>
      </c>
      <c r="F3730" s="12">
        <v>154962</v>
      </c>
      <c r="G3730" s="13">
        <v>15</v>
      </c>
      <c r="H3730" t="s">
        <v>3108</v>
      </c>
      <c r="I3730" s="8">
        <v>46158</v>
      </c>
      <c r="J3730" t="s">
        <v>2692</v>
      </c>
      <c r="K3730" t="s">
        <v>2693</v>
      </c>
      <c r="L3730" s="13">
        <v>10000</v>
      </c>
      <c r="M3730" t="s">
        <v>2661</v>
      </c>
    </row>
    <row r="3731" spans="1:13">
      <c r="A3731" t="s">
        <v>1599</v>
      </c>
      <c r="B3731" t="s">
        <v>64</v>
      </c>
      <c r="C3731" s="8">
        <v>46079</v>
      </c>
      <c r="D3731" t="s">
        <v>332</v>
      </c>
      <c r="E3731" t="s">
        <v>339</v>
      </c>
      <c r="F3731" s="12">
        <v>154962</v>
      </c>
      <c r="G3731" s="13">
        <v>15</v>
      </c>
      <c r="H3731" t="s">
        <v>3187</v>
      </c>
      <c r="I3731" s="8">
        <v>46275</v>
      </c>
      <c r="J3731" t="s">
        <v>2659</v>
      </c>
      <c r="K3731" t="s">
        <v>2660</v>
      </c>
      <c r="L3731" s="13">
        <v>3500</v>
      </c>
      <c r="M3731" t="s">
        <v>2661</v>
      </c>
    </row>
    <row r="3732" spans="1:13">
      <c r="A3732" t="s">
        <v>1600</v>
      </c>
      <c r="B3732" t="s">
        <v>233</v>
      </c>
      <c r="C3732" s="8">
        <v>46263</v>
      </c>
      <c r="D3732" t="s">
        <v>327</v>
      </c>
      <c r="E3732" t="s">
        <v>328</v>
      </c>
      <c r="F3732" s="12">
        <v>103345</v>
      </c>
      <c r="G3732" s="13">
        <v>10</v>
      </c>
      <c r="H3732" t="s">
        <v>2912</v>
      </c>
      <c r="I3732" s="8">
        <v>46184</v>
      </c>
      <c r="J3732" t="s">
        <v>2688</v>
      </c>
      <c r="K3732" t="s">
        <v>2689</v>
      </c>
      <c r="L3732" s="13">
        <v>8000</v>
      </c>
      <c r="M3732" t="s">
        <v>2676</v>
      </c>
    </row>
    <row r="3733" spans="1:13">
      <c r="A3733" t="s">
        <v>1600</v>
      </c>
      <c r="B3733" t="s">
        <v>233</v>
      </c>
      <c r="C3733" s="8">
        <v>46263</v>
      </c>
      <c r="D3733" t="s">
        <v>327</v>
      </c>
      <c r="E3733" t="s">
        <v>328</v>
      </c>
      <c r="F3733" s="12">
        <v>103345</v>
      </c>
      <c r="G3733" s="13">
        <v>10</v>
      </c>
      <c r="H3733" t="s">
        <v>3508</v>
      </c>
      <c r="I3733" s="8">
        <v>46183</v>
      </c>
      <c r="J3733" t="s">
        <v>2671</v>
      </c>
      <c r="K3733" t="s">
        <v>2672</v>
      </c>
      <c r="L3733" s="13">
        <v>3000</v>
      </c>
      <c r="M3733" t="s">
        <v>2661</v>
      </c>
    </row>
    <row r="3734" spans="1:13">
      <c r="A3734" t="s">
        <v>1601</v>
      </c>
      <c r="B3734" t="s">
        <v>149</v>
      </c>
      <c r="C3734" s="8">
        <v>46286</v>
      </c>
      <c r="D3734" t="s">
        <v>344</v>
      </c>
      <c r="E3734" t="s">
        <v>334</v>
      </c>
      <c r="F3734" s="12">
        <v>47708</v>
      </c>
      <c r="G3734" s="13">
        <v>4</v>
      </c>
      <c r="H3734" t="s">
        <v>3322</v>
      </c>
      <c r="I3734" s="8">
        <v>46285</v>
      </c>
      <c r="J3734" t="s">
        <v>2685</v>
      </c>
      <c r="K3734" t="s">
        <v>2686</v>
      </c>
      <c r="L3734" s="13">
        <v>5000</v>
      </c>
      <c r="M3734" t="s">
        <v>2661</v>
      </c>
    </row>
    <row r="3735" spans="1:13">
      <c r="A3735" t="s">
        <v>1602</v>
      </c>
      <c r="B3735" t="s">
        <v>101</v>
      </c>
      <c r="C3735" s="8">
        <v>46174</v>
      </c>
      <c r="D3735" t="s">
        <v>342</v>
      </c>
      <c r="E3735" t="s">
        <v>325</v>
      </c>
      <c r="F3735" s="12">
        <v>49635</v>
      </c>
      <c r="G3735" s="13">
        <v>4</v>
      </c>
      <c r="H3735" t="s">
        <v>2781</v>
      </c>
      <c r="I3735" s="8">
        <v>46017</v>
      </c>
      <c r="J3735" t="s">
        <v>2663</v>
      </c>
      <c r="K3735" t="s">
        <v>3630</v>
      </c>
      <c r="L3735" s="13">
        <v>1500</v>
      </c>
      <c r="M3735" t="s">
        <v>2676</v>
      </c>
    </row>
    <row r="3736" spans="1:13">
      <c r="A3736" t="s">
        <v>1602</v>
      </c>
      <c r="B3736" t="s">
        <v>101</v>
      </c>
      <c r="C3736" s="8">
        <v>46174</v>
      </c>
      <c r="D3736" t="s">
        <v>342</v>
      </c>
      <c r="E3736" t="s">
        <v>325</v>
      </c>
      <c r="F3736" s="12">
        <v>49635</v>
      </c>
      <c r="G3736" s="13">
        <v>4</v>
      </c>
      <c r="H3736" t="s">
        <v>3051</v>
      </c>
      <c r="I3736" s="8">
        <v>46004</v>
      </c>
      <c r="J3736" t="s">
        <v>2671</v>
      </c>
      <c r="K3736" t="s">
        <v>2672</v>
      </c>
      <c r="L3736" s="13">
        <v>3000</v>
      </c>
      <c r="M3736" t="s">
        <v>2676</v>
      </c>
    </row>
    <row r="3737" spans="1:13">
      <c r="A3737" t="s">
        <v>1602</v>
      </c>
      <c r="B3737" t="s">
        <v>101</v>
      </c>
      <c r="C3737" s="8">
        <v>46174</v>
      </c>
      <c r="D3737" t="s">
        <v>342</v>
      </c>
      <c r="E3737" t="s">
        <v>325</v>
      </c>
      <c r="F3737" s="12">
        <v>49635</v>
      </c>
      <c r="G3737" s="13">
        <v>4</v>
      </c>
      <c r="H3737" t="s">
        <v>3369</v>
      </c>
      <c r="I3737" s="8">
        <v>45964</v>
      </c>
      <c r="J3737" t="s">
        <v>2665</v>
      </c>
      <c r="K3737" t="s">
        <v>2666</v>
      </c>
      <c r="L3737" s="13">
        <v>2500</v>
      </c>
      <c r="M3737" t="s">
        <v>2661</v>
      </c>
    </row>
    <row r="3738" spans="1:13">
      <c r="A3738" t="s">
        <v>1603</v>
      </c>
      <c r="B3738" t="s">
        <v>255</v>
      </c>
      <c r="C3738" s="8">
        <v>46081</v>
      </c>
      <c r="D3738" t="s">
        <v>344</v>
      </c>
      <c r="E3738" t="s">
        <v>334</v>
      </c>
      <c r="F3738" s="12">
        <v>90613</v>
      </c>
      <c r="G3738" s="13">
        <v>9</v>
      </c>
      <c r="H3738" t="s">
        <v>2956</v>
      </c>
      <c r="I3738" s="8">
        <v>45952</v>
      </c>
      <c r="J3738" t="s">
        <v>2674</v>
      </c>
      <c r="K3738" t="s">
        <v>2675</v>
      </c>
      <c r="L3738" s="13">
        <v>20000</v>
      </c>
      <c r="M3738" t="s">
        <v>2676</v>
      </c>
    </row>
    <row r="3739" spans="1:13">
      <c r="A3739" t="s">
        <v>1603</v>
      </c>
      <c r="B3739" t="s">
        <v>255</v>
      </c>
      <c r="C3739" s="8">
        <v>46081</v>
      </c>
      <c r="D3739" t="s">
        <v>344</v>
      </c>
      <c r="E3739" t="s">
        <v>334</v>
      </c>
      <c r="F3739" s="12">
        <v>90613</v>
      </c>
      <c r="G3739" s="13">
        <v>9</v>
      </c>
      <c r="H3739" t="s">
        <v>3223</v>
      </c>
      <c r="I3739" s="8">
        <v>46198</v>
      </c>
      <c r="J3739" t="s">
        <v>2665</v>
      </c>
      <c r="K3739" t="s">
        <v>2666</v>
      </c>
      <c r="L3739" s="13">
        <v>2500</v>
      </c>
      <c r="M3739" t="s">
        <v>2661</v>
      </c>
    </row>
    <row r="3740" spans="1:13">
      <c r="A3740" t="s">
        <v>1603</v>
      </c>
      <c r="B3740" t="s">
        <v>255</v>
      </c>
      <c r="C3740" s="8">
        <v>46081</v>
      </c>
      <c r="D3740" t="s">
        <v>344</v>
      </c>
      <c r="E3740" t="s">
        <v>334</v>
      </c>
      <c r="F3740" s="12">
        <v>90613</v>
      </c>
      <c r="G3740" s="13">
        <v>9</v>
      </c>
      <c r="H3740" t="s">
        <v>3323</v>
      </c>
      <c r="I3740" s="8">
        <v>46169</v>
      </c>
      <c r="J3740" t="s">
        <v>2682</v>
      </c>
      <c r="K3740" t="s">
        <v>2683</v>
      </c>
      <c r="L3740" s="13">
        <v>6000</v>
      </c>
      <c r="M3740" t="s">
        <v>2676</v>
      </c>
    </row>
    <row r="3741" spans="1:13">
      <c r="A3741" t="s">
        <v>1604</v>
      </c>
      <c r="B3741" t="s">
        <v>59</v>
      </c>
      <c r="C3741" s="8">
        <v>46134</v>
      </c>
      <c r="D3741" t="s">
        <v>321</v>
      </c>
      <c r="E3741" t="s">
        <v>339</v>
      </c>
      <c r="F3741" s="12">
        <v>162792</v>
      </c>
      <c r="G3741" s="13">
        <v>16</v>
      </c>
      <c r="H3741" t="s">
        <v>3015</v>
      </c>
      <c r="I3741" s="8">
        <v>46063</v>
      </c>
      <c r="J3741" t="s">
        <v>2688</v>
      </c>
      <c r="K3741" t="s">
        <v>2689</v>
      </c>
      <c r="L3741" s="13">
        <v>8000</v>
      </c>
      <c r="M3741" t="s">
        <v>2661</v>
      </c>
    </row>
    <row r="3742" spans="1:13">
      <c r="A3742" t="s">
        <v>1604</v>
      </c>
      <c r="B3742" t="s">
        <v>59</v>
      </c>
      <c r="C3742" s="8">
        <v>46134</v>
      </c>
      <c r="D3742" t="s">
        <v>321</v>
      </c>
      <c r="E3742" t="s">
        <v>339</v>
      </c>
      <c r="F3742" s="12">
        <v>162792</v>
      </c>
      <c r="G3742" s="13">
        <v>16</v>
      </c>
      <c r="H3742" t="s">
        <v>3420</v>
      </c>
      <c r="I3742" s="8">
        <v>46108</v>
      </c>
      <c r="J3742" t="s">
        <v>2665</v>
      </c>
      <c r="K3742" t="s">
        <v>2666</v>
      </c>
      <c r="L3742" s="13">
        <v>2500</v>
      </c>
      <c r="M3742" t="s">
        <v>2661</v>
      </c>
    </row>
    <row r="3743" spans="1:13">
      <c r="A3743" t="s">
        <v>1604</v>
      </c>
      <c r="B3743" t="s">
        <v>59</v>
      </c>
      <c r="C3743" s="8">
        <v>46134</v>
      </c>
      <c r="D3743" t="s">
        <v>321</v>
      </c>
      <c r="E3743" t="s">
        <v>339</v>
      </c>
      <c r="F3743" s="12">
        <v>162792</v>
      </c>
      <c r="G3743" s="13">
        <v>16</v>
      </c>
      <c r="H3743" t="s">
        <v>3515</v>
      </c>
      <c r="I3743" s="8">
        <v>46190</v>
      </c>
      <c r="J3743" t="s">
        <v>2659</v>
      </c>
      <c r="K3743" t="s">
        <v>2660</v>
      </c>
      <c r="L3743" s="13">
        <v>3500</v>
      </c>
      <c r="M3743" t="s">
        <v>2661</v>
      </c>
    </row>
    <row r="3744" spans="1:13">
      <c r="A3744" t="s">
        <v>1605</v>
      </c>
      <c r="B3744" t="s">
        <v>199</v>
      </c>
      <c r="C3744" s="8">
        <v>46136</v>
      </c>
      <c r="D3744" t="s">
        <v>324</v>
      </c>
      <c r="E3744" t="s">
        <v>325</v>
      </c>
      <c r="F3744" s="12">
        <v>392796</v>
      </c>
      <c r="G3744" s="13">
        <v>39</v>
      </c>
      <c r="H3744" t="s">
        <v>2993</v>
      </c>
      <c r="I3744" s="8">
        <v>46086</v>
      </c>
      <c r="J3744" t="s">
        <v>2659</v>
      </c>
      <c r="K3744" t="s">
        <v>2660</v>
      </c>
      <c r="L3744" s="13">
        <v>3500</v>
      </c>
      <c r="M3744" t="s">
        <v>2661</v>
      </c>
    </row>
    <row r="3745" spans="1:13">
      <c r="A3745" t="s">
        <v>1605</v>
      </c>
      <c r="B3745" t="s">
        <v>199</v>
      </c>
      <c r="C3745" s="8">
        <v>46136</v>
      </c>
      <c r="D3745" t="s">
        <v>324</v>
      </c>
      <c r="E3745" t="s">
        <v>325</v>
      </c>
      <c r="F3745" s="12">
        <v>392796</v>
      </c>
      <c r="G3745" s="13">
        <v>39</v>
      </c>
      <c r="H3745" t="s">
        <v>3004</v>
      </c>
      <c r="I3745" s="8">
        <v>45974</v>
      </c>
      <c r="J3745" t="s">
        <v>2688</v>
      </c>
      <c r="K3745" t="s">
        <v>2689</v>
      </c>
      <c r="L3745" s="13">
        <v>8000</v>
      </c>
      <c r="M3745" t="s">
        <v>2661</v>
      </c>
    </row>
    <row r="3746" spans="1:13">
      <c r="A3746" t="s">
        <v>1605</v>
      </c>
      <c r="B3746" t="s">
        <v>199</v>
      </c>
      <c r="C3746" s="8">
        <v>46136</v>
      </c>
      <c r="D3746" t="s">
        <v>324</v>
      </c>
      <c r="E3746" t="s">
        <v>325</v>
      </c>
      <c r="F3746" s="12">
        <v>392796</v>
      </c>
      <c r="G3746" s="13">
        <v>39</v>
      </c>
      <c r="H3746" t="s">
        <v>3399</v>
      </c>
      <c r="I3746" s="8">
        <v>46093</v>
      </c>
      <c r="J3746" t="s">
        <v>2659</v>
      </c>
      <c r="K3746" t="s">
        <v>2660</v>
      </c>
      <c r="L3746" s="13">
        <v>3500</v>
      </c>
      <c r="M3746" t="s">
        <v>2661</v>
      </c>
    </row>
    <row r="3747" spans="1:13">
      <c r="A3747" t="s">
        <v>1605</v>
      </c>
      <c r="B3747" t="s">
        <v>199</v>
      </c>
      <c r="C3747" s="8">
        <v>46136</v>
      </c>
      <c r="D3747" t="s">
        <v>324</v>
      </c>
      <c r="E3747" t="s">
        <v>325</v>
      </c>
      <c r="F3747" s="12">
        <v>392796</v>
      </c>
      <c r="G3747" s="13">
        <v>39</v>
      </c>
      <c r="H3747" t="s">
        <v>3496</v>
      </c>
      <c r="I3747" s="8">
        <v>46020</v>
      </c>
      <c r="J3747" t="s">
        <v>2674</v>
      </c>
      <c r="K3747" t="s">
        <v>2675</v>
      </c>
      <c r="L3747" s="13">
        <v>20000</v>
      </c>
      <c r="M3747" t="s">
        <v>2661</v>
      </c>
    </row>
    <row r="3748" spans="1:13">
      <c r="A3748" t="s">
        <v>1606</v>
      </c>
      <c r="B3748" t="s">
        <v>90</v>
      </c>
      <c r="C3748" s="8">
        <v>46288</v>
      </c>
      <c r="D3748" t="s">
        <v>332</v>
      </c>
      <c r="E3748" t="s">
        <v>328</v>
      </c>
      <c r="F3748" s="12">
        <v>370657</v>
      </c>
      <c r="G3748" s="13">
        <v>37</v>
      </c>
      <c r="H3748" t="s">
        <v>3041</v>
      </c>
      <c r="I3748" s="8">
        <v>46040</v>
      </c>
      <c r="J3748" t="s">
        <v>2685</v>
      </c>
      <c r="K3748" t="s">
        <v>2686</v>
      </c>
      <c r="L3748" s="13">
        <v>5000</v>
      </c>
      <c r="M3748" t="s">
        <v>2661</v>
      </c>
    </row>
    <row r="3749" spans="1:13">
      <c r="A3749" t="s">
        <v>1607</v>
      </c>
      <c r="B3749" t="s">
        <v>65</v>
      </c>
      <c r="C3749" s="8">
        <v>46189</v>
      </c>
      <c r="D3749" t="s">
        <v>321</v>
      </c>
      <c r="E3749" t="s">
        <v>328</v>
      </c>
      <c r="F3749" s="12">
        <v>182186</v>
      </c>
      <c r="G3749" s="13">
        <v>18</v>
      </c>
      <c r="H3749" t="s">
        <v>2801</v>
      </c>
      <c r="I3749" s="8">
        <v>46162</v>
      </c>
      <c r="J3749" t="s">
        <v>2688</v>
      </c>
      <c r="K3749" t="s">
        <v>2689</v>
      </c>
      <c r="L3749" s="13">
        <v>8000</v>
      </c>
      <c r="M3749" t="s">
        <v>2661</v>
      </c>
    </row>
    <row r="3750" spans="1:13">
      <c r="A3750" t="s">
        <v>1607</v>
      </c>
      <c r="B3750" t="s">
        <v>65</v>
      </c>
      <c r="C3750" s="8">
        <v>46189</v>
      </c>
      <c r="D3750" t="s">
        <v>321</v>
      </c>
      <c r="E3750" t="s">
        <v>328</v>
      </c>
      <c r="F3750" s="12">
        <v>182186</v>
      </c>
      <c r="G3750" s="13">
        <v>18</v>
      </c>
      <c r="H3750" t="s">
        <v>2826</v>
      </c>
      <c r="I3750" s="8">
        <v>46147</v>
      </c>
      <c r="J3750" t="s">
        <v>2674</v>
      </c>
      <c r="K3750" t="s">
        <v>2675</v>
      </c>
      <c r="L3750" s="13">
        <v>20000</v>
      </c>
      <c r="M3750" t="s">
        <v>2661</v>
      </c>
    </row>
    <row r="3751" spans="1:13">
      <c r="A3751" t="s">
        <v>1607</v>
      </c>
      <c r="B3751" t="s">
        <v>65</v>
      </c>
      <c r="C3751" s="8">
        <v>46189</v>
      </c>
      <c r="D3751" t="s">
        <v>321</v>
      </c>
      <c r="E3751" t="s">
        <v>328</v>
      </c>
      <c r="F3751" s="12">
        <v>182186</v>
      </c>
      <c r="G3751" s="13">
        <v>18</v>
      </c>
      <c r="H3751" t="s">
        <v>3124</v>
      </c>
      <c r="I3751" s="8">
        <v>46278</v>
      </c>
      <c r="J3751" t="s">
        <v>2674</v>
      </c>
      <c r="K3751" t="s">
        <v>2675</v>
      </c>
      <c r="L3751" s="13">
        <v>20000</v>
      </c>
      <c r="M3751" t="s">
        <v>2661</v>
      </c>
    </row>
    <row r="3752" spans="1:13">
      <c r="A3752" t="s">
        <v>1607</v>
      </c>
      <c r="B3752" t="s">
        <v>65</v>
      </c>
      <c r="C3752" s="8">
        <v>46189</v>
      </c>
      <c r="D3752" t="s">
        <v>321</v>
      </c>
      <c r="E3752" t="s">
        <v>328</v>
      </c>
      <c r="F3752" s="12">
        <v>182186</v>
      </c>
      <c r="G3752" s="13">
        <v>18</v>
      </c>
      <c r="H3752" t="s">
        <v>3167</v>
      </c>
      <c r="I3752" s="8">
        <v>46013</v>
      </c>
      <c r="J3752" t="s">
        <v>2685</v>
      </c>
      <c r="K3752" t="s">
        <v>2686</v>
      </c>
      <c r="L3752" s="13">
        <v>5000</v>
      </c>
      <c r="M3752" t="s">
        <v>2676</v>
      </c>
    </row>
    <row r="3753" spans="1:13">
      <c r="A3753" t="s">
        <v>1607</v>
      </c>
      <c r="B3753" t="s">
        <v>65</v>
      </c>
      <c r="C3753" s="8">
        <v>46189</v>
      </c>
      <c r="D3753" t="s">
        <v>321</v>
      </c>
      <c r="E3753" t="s">
        <v>328</v>
      </c>
      <c r="F3753" s="12">
        <v>182186</v>
      </c>
      <c r="G3753" s="13">
        <v>18</v>
      </c>
      <c r="H3753" t="s">
        <v>3344</v>
      </c>
      <c r="I3753" s="8">
        <v>45982</v>
      </c>
      <c r="J3753" t="s">
        <v>2668</v>
      </c>
      <c r="K3753" t="s">
        <v>2669</v>
      </c>
      <c r="L3753" s="13">
        <v>4000</v>
      </c>
      <c r="M3753" t="s">
        <v>2661</v>
      </c>
    </row>
    <row r="3754" spans="1:13">
      <c r="A3754" t="s">
        <v>1608</v>
      </c>
      <c r="B3754" t="s">
        <v>230</v>
      </c>
      <c r="C3754" s="8">
        <v>46251</v>
      </c>
      <c r="D3754" t="s">
        <v>324</v>
      </c>
      <c r="E3754" t="s">
        <v>328</v>
      </c>
      <c r="F3754" s="12">
        <v>130766</v>
      </c>
      <c r="G3754" s="13">
        <v>13</v>
      </c>
      <c r="H3754" t="s">
        <v>2687</v>
      </c>
      <c r="I3754" s="8">
        <v>46064</v>
      </c>
      <c r="J3754" t="s">
        <v>2688</v>
      </c>
      <c r="K3754" t="s">
        <v>2689</v>
      </c>
      <c r="L3754" s="13">
        <v>8000</v>
      </c>
      <c r="M3754" t="s">
        <v>2661</v>
      </c>
    </row>
    <row r="3755" spans="1:13">
      <c r="A3755" t="s">
        <v>1608</v>
      </c>
      <c r="B3755" t="s">
        <v>230</v>
      </c>
      <c r="C3755" s="8">
        <v>46251</v>
      </c>
      <c r="D3755" t="s">
        <v>324</v>
      </c>
      <c r="E3755" t="s">
        <v>328</v>
      </c>
      <c r="F3755" s="12">
        <v>130766</v>
      </c>
      <c r="G3755" s="13">
        <v>13</v>
      </c>
      <c r="H3755" t="s">
        <v>2720</v>
      </c>
      <c r="I3755" s="8">
        <v>46041</v>
      </c>
      <c r="J3755" t="s">
        <v>2659</v>
      </c>
      <c r="K3755" t="s">
        <v>2660</v>
      </c>
      <c r="L3755" s="13">
        <v>3500</v>
      </c>
      <c r="M3755" t="s">
        <v>2661</v>
      </c>
    </row>
    <row r="3756" spans="1:13">
      <c r="A3756" t="s">
        <v>1608</v>
      </c>
      <c r="B3756" t="s">
        <v>230</v>
      </c>
      <c r="C3756" s="8">
        <v>46251</v>
      </c>
      <c r="D3756" t="s">
        <v>324</v>
      </c>
      <c r="E3756" t="s">
        <v>328</v>
      </c>
      <c r="F3756" s="12">
        <v>130766</v>
      </c>
      <c r="G3756" s="13">
        <v>13</v>
      </c>
      <c r="H3756" t="s">
        <v>2777</v>
      </c>
      <c r="I3756" s="8">
        <v>45988</v>
      </c>
      <c r="J3756" t="s">
        <v>2659</v>
      </c>
      <c r="K3756" t="s">
        <v>2660</v>
      </c>
      <c r="L3756" s="13">
        <v>3500</v>
      </c>
      <c r="M3756" t="s">
        <v>2661</v>
      </c>
    </row>
    <row r="3757" spans="1:13">
      <c r="A3757" t="s">
        <v>1608</v>
      </c>
      <c r="B3757" t="s">
        <v>230</v>
      </c>
      <c r="C3757" s="8">
        <v>46251</v>
      </c>
      <c r="D3757" t="s">
        <v>324</v>
      </c>
      <c r="E3757" t="s">
        <v>328</v>
      </c>
      <c r="F3757" s="12">
        <v>130766</v>
      </c>
      <c r="G3757" s="13">
        <v>13</v>
      </c>
      <c r="H3757" t="s">
        <v>2906</v>
      </c>
      <c r="I3757" s="8">
        <v>46201</v>
      </c>
      <c r="J3757" t="s">
        <v>2685</v>
      </c>
      <c r="K3757" t="s">
        <v>2686</v>
      </c>
      <c r="L3757" s="13">
        <v>5000</v>
      </c>
      <c r="M3757" t="s">
        <v>2661</v>
      </c>
    </row>
    <row r="3758" spans="1:13">
      <c r="A3758" t="s">
        <v>1608</v>
      </c>
      <c r="B3758" t="s">
        <v>230</v>
      </c>
      <c r="C3758" s="8">
        <v>46251</v>
      </c>
      <c r="D3758" t="s">
        <v>324</v>
      </c>
      <c r="E3758" t="s">
        <v>328</v>
      </c>
      <c r="F3758" s="12">
        <v>130766</v>
      </c>
      <c r="G3758" s="13">
        <v>13</v>
      </c>
      <c r="H3758" t="s">
        <v>3117</v>
      </c>
      <c r="I3758" s="8">
        <v>46062</v>
      </c>
      <c r="J3758" t="s">
        <v>2668</v>
      </c>
      <c r="K3758" t="s">
        <v>2669</v>
      </c>
      <c r="L3758" s="13">
        <v>4000</v>
      </c>
      <c r="M3758" t="s">
        <v>2661</v>
      </c>
    </row>
    <row r="3759" spans="1:13">
      <c r="A3759" t="s">
        <v>1609</v>
      </c>
      <c r="B3759" t="s">
        <v>295</v>
      </c>
      <c r="C3759" s="8">
        <v>46192</v>
      </c>
      <c r="D3759" t="s">
        <v>324</v>
      </c>
      <c r="E3759" t="s">
        <v>328</v>
      </c>
      <c r="F3759" s="12">
        <v>84094</v>
      </c>
      <c r="G3759" s="13">
        <v>8</v>
      </c>
      <c r="H3759" t="s">
        <v>3005</v>
      </c>
      <c r="I3759" s="8">
        <v>46206</v>
      </c>
      <c r="J3759" t="s">
        <v>2659</v>
      </c>
      <c r="K3759" t="s">
        <v>2660</v>
      </c>
      <c r="L3759" s="13">
        <v>3500</v>
      </c>
      <c r="M3759" t="s">
        <v>2661</v>
      </c>
    </row>
    <row r="3760" spans="1:13">
      <c r="A3760" t="s">
        <v>1610</v>
      </c>
      <c r="B3760" t="s">
        <v>84</v>
      </c>
      <c r="C3760" s="8">
        <v>46071</v>
      </c>
      <c r="D3760" t="s">
        <v>344</v>
      </c>
      <c r="E3760" t="s">
        <v>339</v>
      </c>
      <c r="F3760" s="12">
        <v>531858</v>
      </c>
      <c r="G3760" s="13">
        <v>53</v>
      </c>
      <c r="H3760" t="s">
        <v>2962</v>
      </c>
      <c r="I3760" s="8">
        <v>46190</v>
      </c>
      <c r="J3760" t="s">
        <v>2671</v>
      </c>
      <c r="K3760" t="s">
        <v>2672</v>
      </c>
      <c r="L3760" s="13">
        <v>3000</v>
      </c>
      <c r="M3760" t="s">
        <v>2661</v>
      </c>
    </row>
    <row r="3761" spans="1:13">
      <c r="A3761" t="s">
        <v>1610</v>
      </c>
      <c r="B3761" t="s">
        <v>84</v>
      </c>
      <c r="C3761" s="8">
        <v>46071</v>
      </c>
      <c r="D3761" t="s">
        <v>344</v>
      </c>
      <c r="E3761" t="s">
        <v>339</v>
      </c>
      <c r="F3761" s="12">
        <v>531858</v>
      </c>
      <c r="G3761" s="13">
        <v>53</v>
      </c>
      <c r="H3761" t="s">
        <v>3204</v>
      </c>
      <c r="I3761" s="8">
        <v>46029</v>
      </c>
      <c r="J3761" t="s">
        <v>2671</v>
      </c>
      <c r="K3761" t="s">
        <v>2672</v>
      </c>
      <c r="L3761" s="13">
        <v>3000</v>
      </c>
      <c r="M3761" t="s">
        <v>2661</v>
      </c>
    </row>
    <row r="3762" spans="1:13">
      <c r="A3762" t="s">
        <v>1610</v>
      </c>
      <c r="B3762" t="s">
        <v>84</v>
      </c>
      <c r="C3762" s="8">
        <v>46071</v>
      </c>
      <c r="D3762" t="s">
        <v>344</v>
      </c>
      <c r="E3762" t="s">
        <v>339</v>
      </c>
      <c r="F3762" s="12">
        <v>531858</v>
      </c>
      <c r="G3762" s="13">
        <v>53</v>
      </c>
      <c r="H3762" t="s">
        <v>3273</v>
      </c>
      <c r="I3762" s="8">
        <v>46050</v>
      </c>
      <c r="J3762" t="s">
        <v>2668</v>
      </c>
      <c r="K3762" t="s">
        <v>2669</v>
      </c>
      <c r="L3762" s="13">
        <v>4000</v>
      </c>
      <c r="M3762" t="s">
        <v>2676</v>
      </c>
    </row>
    <row r="3763" spans="1:13">
      <c r="A3763" t="s">
        <v>1610</v>
      </c>
      <c r="B3763" t="s">
        <v>84</v>
      </c>
      <c r="C3763" s="8">
        <v>46071</v>
      </c>
      <c r="D3763" t="s">
        <v>344</v>
      </c>
      <c r="E3763" t="s">
        <v>339</v>
      </c>
      <c r="F3763" s="12">
        <v>531858</v>
      </c>
      <c r="G3763" s="13">
        <v>53</v>
      </c>
      <c r="H3763" t="s">
        <v>3305</v>
      </c>
      <c r="I3763" s="8">
        <v>45960</v>
      </c>
      <c r="J3763" t="s">
        <v>2682</v>
      </c>
      <c r="K3763" t="s">
        <v>2683</v>
      </c>
      <c r="L3763" s="13">
        <v>6000</v>
      </c>
      <c r="M3763" t="s">
        <v>2661</v>
      </c>
    </row>
    <row r="3764" spans="1:13">
      <c r="A3764" t="s">
        <v>1611</v>
      </c>
      <c r="B3764" t="s">
        <v>301</v>
      </c>
      <c r="C3764" s="8">
        <v>46141</v>
      </c>
      <c r="D3764" t="s">
        <v>327</v>
      </c>
      <c r="E3764" t="s">
        <v>322</v>
      </c>
      <c r="F3764" s="12">
        <v>564013</v>
      </c>
      <c r="G3764" s="13">
        <v>56</v>
      </c>
      <c r="H3764" t="s">
        <v>3559</v>
      </c>
      <c r="I3764" s="8">
        <v>46143</v>
      </c>
      <c r="J3764" t="s">
        <v>2663</v>
      </c>
      <c r="K3764" t="s">
        <v>3630</v>
      </c>
      <c r="L3764" s="13">
        <v>1500</v>
      </c>
      <c r="M3764" t="s">
        <v>2676</v>
      </c>
    </row>
    <row r="3765" spans="1:13">
      <c r="A3765" t="s">
        <v>1612</v>
      </c>
      <c r="B3765" t="s">
        <v>241</v>
      </c>
      <c r="C3765" s="8">
        <v>46254</v>
      </c>
      <c r="D3765" t="s">
        <v>321</v>
      </c>
      <c r="E3765" t="s">
        <v>325</v>
      </c>
      <c r="F3765" s="12">
        <v>151738</v>
      </c>
      <c r="G3765" s="13">
        <v>15</v>
      </c>
      <c r="H3765" t="s">
        <v>2911</v>
      </c>
      <c r="I3765" s="8">
        <v>46173</v>
      </c>
      <c r="J3765" t="s">
        <v>2692</v>
      </c>
      <c r="K3765" t="s">
        <v>2693</v>
      </c>
      <c r="L3765" s="13">
        <v>10000</v>
      </c>
      <c r="M3765" t="s">
        <v>2661</v>
      </c>
    </row>
    <row r="3766" spans="1:13">
      <c r="A3766" t="s">
        <v>1612</v>
      </c>
      <c r="B3766" t="s">
        <v>241</v>
      </c>
      <c r="C3766" s="8">
        <v>46254</v>
      </c>
      <c r="D3766" t="s">
        <v>321</v>
      </c>
      <c r="E3766" t="s">
        <v>325</v>
      </c>
      <c r="F3766" s="12">
        <v>151738</v>
      </c>
      <c r="G3766" s="13">
        <v>15</v>
      </c>
      <c r="H3766" t="s">
        <v>3174</v>
      </c>
      <c r="I3766" s="8">
        <v>46189</v>
      </c>
      <c r="J3766" t="s">
        <v>2674</v>
      </c>
      <c r="K3766" t="s">
        <v>2675</v>
      </c>
      <c r="L3766" s="13">
        <v>20000</v>
      </c>
      <c r="M3766" t="s">
        <v>2661</v>
      </c>
    </row>
    <row r="3767" spans="1:13">
      <c r="A3767" t="s">
        <v>1612</v>
      </c>
      <c r="B3767" t="s">
        <v>241</v>
      </c>
      <c r="C3767" s="8">
        <v>46254</v>
      </c>
      <c r="D3767" t="s">
        <v>321</v>
      </c>
      <c r="E3767" t="s">
        <v>325</v>
      </c>
      <c r="F3767" s="12">
        <v>151738</v>
      </c>
      <c r="G3767" s="13">
        <v>15</v>
      </c>
      <c r="H3767" t="s">
        <v>3419</v>
      </c>
      <c r="I3767" s="8">
        <v>46084</v>
      </c>
      <c r="J3767" t="s">
        <v>2665</v>
      </c>
      <c r="K3767" t="s">
        <v>2666</v>
      </c>
      <c r="L3767" s="13">
        <v>2500</v>
      </c>
      <c r="M3767" t="s">
        <v>2661</v>
      </c>
    </row>
    <row r="3768" spans="1:13">
      <c r="A3768" t="s">
        <v>1612</v>
      </c>
      <c r="B3768" t="s">
        <v>241</v>
      </c>
      <c r="C3768" s="8">
        <v>46254</v>
      </c>
      <c r="D3768" t="s">
        <v>321</v>
      </c>
      <c r="E3768" t="s">
        <v>325</v>
      </c>
      <c r="F3768" s="12">
        <v>151738</v>
      </c>
      <c r="G3768" s="13">
        <v>15</v>
      </c>
      <c r="H3768" t="s">
        <v>3526</v>
      </c>
      <c r="I3768" s="8">
        <v>46211</v>
      </c>
      <c r="J3768" t="s">
        <v>2671</v>
      </c>
      <c r="K3768" t="s">
        <v>2672</v>
      </c>
      <c r="L3768" s="13">
        <v>3000</v>
      </c>
      <c r="M3768" t="s">
        <v>2661</v>
      </c>
    </row>
    <row r="3769" spans="1:13">
      <c r="A3769" t="s">
        <v>1613</v>
      </c>
      <c r="B3769" t="s">
        <v>109</v>
      </c>
      <c r="C3769" s="8">
        <v>46040</v>
      </c>
      <c r="D3769" t="s">
        <v>321</v>
      </c>
      <c r="E3769" t="s">
        <v>322</v>
      </c>
      <c r="F3769" s="12">
        <v>278286</v>
      </c>
      <c r="G3769" s="13">
        <v>27</v>
      </c>
      <c r="H3769" t="s">
        <v>2848</v>
      </c>
      <c r="I3769" s="8">
        <v>46269</v>
      </c>
      <c r="J3769" t="s">
        <v>2659</v>
      </c>
      <c r="K3769" t="s">
        <v>2660</v>
      </c>
      <c r="L3769" s="13">
        <v>3500</v>
      </c>
      <c r="M3769" t="s">
        <v>2676</v>
      </c>
    </row>
    <row r="3770" spans="1:13">
      <c r="A3770" t="s">
        <v>1613</v>
      </c>
      <c r="B3770" t="s">
        <v>109</v>
      </c>
      <c r="C3770" s="8">
        <v>46040</v>
      </c>
      <c r="D3770" t="s">
        <v>321</v>
      </c>
      <c r="E3770" t="s">
        <v>322</v>
      </c>
      <c r="F3770" s="12">
        <v>278286</v>
      </c>
      <c r="G3770" s="13">
        <v>27</v>
      </c>
      <c r="H3770" t="s">
        <v>3196</v>
      </c>
      <c r="I3770" s="8">
        <v>46238</v>
      </c>
      <c r="J3770" t="s">
        <v>2674</v>
      </c>
      <c r="K3770" t="s">
        <v>2675</v>
      </c>
      <c r="L3770" s="13">
        <v>20000</v>
      </c>
      <c r="M3770" t="s">
        <v>2661</v>
      </c>
    </row>
    <row r="3771" spans="1:13">
      <c r="A3771" t="s">
        <v>1614</v>
      </c>
      <c r="B3771" t="s">
        <v>39</v>
      </c>
      <c r="C3771" s="8">
        <v>46183</v>
      </c>
      <c r="D3771" t="s">
        <v>321</v>
      </c>
      <c r="E3771" t="s">
        <v>339</v>
      </c>
      <c r="F3771" s="12">
        <v>150330</v>
      </c>
      <c r="G3771" s="13">
        <v>15</v>
      </c>
      <c r="H3771" t="s">
        <v>2837</v>
      </c>
      <c r="I3771" s="8">
        <v>45971</v>
      </c>
      <c r="J3771" t="s">
        <v>2668</v>
      </c>
      <c r="K3771" t="s">
        <v>2669</v>
      </c>
      <c r="L3771" s="13">
        <v>4000</v>
      </c>
      <c r="M3771" t="s">
        <v>2661</v>
      </c>
    </row>
    <row r="3772" spans="1:13">
      <c r="A3772" t="s">
        <v>1614</v>
      </c>
      <c r="B3772" t="s">
        <v>39</v>
      </c>
      <c r="C3772" s="8">
        <v>46183</v>
      </c>
      <c r="D3772" t="s">
        <v>321</v>
      </c>
      <c r="E3772" t="s">
        <v>339</v>
      </c>
      <c r="F3772" s="12">
        <v>150330</v>
      </c>
      <c r="G3772" s="13">
        <v>15</v>
      </c>
      <c r="H3772" t="s">
        <v>3308</v>
      </c>
      <c r="I3772" s="8">
        <v>46107</v>
      </c>
      <c r="J3772" t="s">
        <v>2692</v>
      </c>
      <c r="K3772" t="s">
        <v>2693</v>
      </c>
      <c r="L3772" s="13">
        <v>10000</v>
      </c>
      <c r="M3772" t="s">
        <v>2661</v>
      </c>
    </row>
    <row r="3773" spans="1:13">
      <c r="A3773" t="s">
        <v>1615</v>
      </c>
      <c r="B3773" t="s">
        <v>296</v>
      </c>
      <c r="C3773" s="8">
        <v>46269</v>
      </c>
      <c r="D3773" t="s">
        <v>321</v>
      </c>
      <c r="E3773" t="s">
        <v>325</v>
      </c>
      <c r="F3773" s="12">
        <v>298073</v>
      </c>
      <c r="G3773" s="13">
        <v>29</v>
      </c>
      <c r="H3773" t="s">
        <v>2866</v>
      </c>
      <c r="I3773" s="8">
        <v>45940</v>
      </c>
      <c r="J3773" t="s">
        <v>2685</v>
      </c>
      <c r="K3773" t="s">
        <v>2686</v>
      </c>
      <c r="L3773" s="13">
        <v>5000</v>
      </c>
      <c r="M3773" t="s">
        <v>2661</v>
      </c>
    </row>
    <row r="3774" spans="1:13">
      <c r="A3774" t="s">
        <v>1616</v>
      </c>
      <c r="B3774" t="s">
        <v>48</v>
      </c>
      <c r="C3774" s="8">
        <v>46171</v>
      </c>
      <c r="D3774" t="s">
        <v>321</v>
      </c>
      <c r="E3774" t="s">
        <v>339</v>
      </c>
      <c r="F3774" s="12">
        <v>668986</v>
      </c>
      <c r="G3774" s="13">
        <v>66</v>
      </c>
      <c r="H3774" t="s">
        <v>3044</v>
      </c>
      <c r="I3774" s="8">
        <v>46137</v>
      </c>
      <c r="J3774" t="s">
        <v>2659</v>
      </c>
      <c r="K3774" t="s">
        <v>2660</v>
      </c>
      <c r="L3774" s="13">
        <v>3500</v>
      </c>
      <c r="M3774" t="s">
        <v>2676</v>
      </c>
    </row>
    <row r="3775" spans="1:13">
      <c r="A3775" t="s">
        <v>1616</v>
      </c>
      <c r="B3775" t="s">
        <v>48</v>
      </c>
      <c r="C3775" s="8">
        <v>46171</v>
      </c>
      <c r="D3775" t="s">
        <v>321</v>
      </c>
      <c r="E3775" t="s">
        <v>339</v>
      </c>
      <c r="F3775" s="12">
        <v>668986</v>
      </c>
      <c r="G3775" s="13">
        <v>66</v>
      </c>
      <c r="H3775" t="s">
        <v>3368</v>
      </c>
      <c r="I3775" s="8">
        <v>46171</v>
      </c>
      <c r="J3775" t="s">
        <v>2659</v>
      </c>
      <c r="K3775" t="s">
        <v>2660</v>
      </c>
      <c r="L3775" s="13">
        <v>3500</v>
      </c>
      <c r="M3775" t="s">
        <v>2676</v>
      </c>
    </row>
    <row r="3776" spans="1:13">
      <c r="A3776" t="s">
        <v>1616</v>
      </c>
      <c r="B3776" t="s">
        <v>48</v>
      </c>
      <c r="C3776" s="8">
        <v>46171</v>
      </c>
      <c r="D3776" t="s">
        <v>321</v>
      </c>
      <c r="E3776" t="s">
        <v>339</v>
      </c>
      <c r="F3776" s="12">
        <v>668986</v>
      </c>
      <c r="G3776" s="13">
        <v>66</v>
      </c>
      <c r="H3776" t="s">
        <v>3393</v>
      </c>
      <c r="I3776" s="8">
        <v>45952</v>
      </c>
      <c r="J3776" t="s">
        <v>2688</v>
      </c>
      <c r="K3776" t="s">
        <v>2689</v>
      </c>
      <c r="L3776" s="13">
        <v>8000</v>
      </c>
      <c r="M3776" t="s">
        <v>2661</v>
      </c>
    </row>
    <row r="3777" spans="1:13">
      <c r="A3777" t="s">
        <v>1617</v>
      </c>
      <c r="B3777" t="s">
        <v>36</v>
      </c>
      <c r="C3777" s="8">
        <v>46138</v>
      </c>
      <c r="D3777" t="s">
        <v>332</v>
      </c>
      <c r="E3777" t="s">
        <v>334</v>
      </c>
      <c r="F3777" s="12">
        <v>377574</v>
      </c>
      <c r="G3777" s="13">
        <v>37</v>
      </c>
      <c r="H3777" t="s">
        <v>2780</v>
      </c>
      <c r="I3777" s="8">
        <v>46076</v>
      </c>
      <c r="J3777" t="s">
        <v>2671</v>
      </c>
      <c r="K3777" t="s">
        <v>2672</v>
      </c>
      <c r="L3777" s="13">
        <v>3000</v>
      </c>
      <c r="M3777" t="s">
        <v>2661</v>
      </c>
    </row>
    <row r="3778" spans="1:13">
      <c r="A3778" t="s">
        <v>1617</v>
      </c>
      <c r="B3778" t="s">
        <v>36</v>
      </c>
      <c r="C3778" s="8">
        <v>46138</v>
      </c>
      <c r="D3778" t="s">
        <v>332</v>
      </c>
      <c r="E3778" t="s">
        <v>334</v>
      </c>
      <c r="F3778" s="12">
        <v>377574</v>
      </c>
      <c r="G3778" s="13">
        <v>37</v>
      </c>
      <c r="H3778" t="s">
        <v>3169</v>
      </c>
      <c r="I3778" s="8">
        <v>46084</v>
      </c>
      <c r="J3778" t="s">
        <v>2685</v>
      </c>
      <c r="K3778" t="s">
        <v>2686</v>
      </c>
      <c r="L3778" s="13">
        <v>5000</v>
      </c>
      <c r="M3778" t="s">
        <v>2661</v>
      </c>
    </row>
    <row r="3779" spans="1:13">
      <c r="A3779" t="s">
        <v>1617</v>
      </c>
      <c r="B3779" t="s">
        <v>36</v>
      </c>
      <c r="C3779" s="8">
        <v>46138</v>
      </c>
      <c r="D3779" t="s">
        <v>332</v>
      </c>
      <c r="E3779" t="s">
        <v>334</v>
      </c>
      <c r="F3779" s="12">
        <v>377574</v>
      </c>
      <c r="G3779" s="13">
        <v>37</v>
      </c>
      <c r="H3779" t="s">
        <v>3458</v>
      </c>
      <c r="I3779" s="8">
        <v>45978</v>
      </c>
      <c r="J3779" t="s">
        <v>2665</v>
      </c>
      <c r="K3779" t="s">
        <v>2666</v>
      </c>
      <c r="L3779" s="13">
        <v>2500</v>
      </c>
      <c r="M3779" t="s">
        <v>2661</v>
      </c>
    </row>
    <row r="3780" spans="1:13">
      <c r="A3780" t="s">
        <v>1617</v>
      </c>
      <c r="B3780" t="s">
        <v>36</v>
      </c>
      <c r="C3780" s="8">
        <v>46138</v>
      </c>
      <c r="D3780" t="s">
        <v>332</v>
      </c>
      <c r="E3780" t="s">
        <v>334</v>
      </c>
      <c r="F3780" s="12">
        <v>377574</v>
      </c>
      <c r="G3780" s="13">
        <v>37</v>
      </c>
      <c r="H3780" t="s">
        <v>3521</v>
      </c>
      <c r="I3780" s="8">
        <v>45936</v>
      </c>
      <c r="J3780" t="s">
        <v>2674</v>
      </c>
      <c r="K3780" t="s">
        <v>2675</v>
      </c>
      <c r="L3780" s="13">
        <v>20000</v>
      </c>
      <c r="M3780" t="s">
        <v>2661</v>
      </c>
    </row>
    <row r="3781" spans="1:13">
      <c r="A3781" t="s">
        <v>1618</v>
      </c>
      <c r="B3781" t="s">
        <v>284</v>
      </c>
      <c r="C3781" s="8">
        <v>46121</v>
      </c>
      <c r="D3781" t="s">
        <v>344</v>
      </c>
      <c r="E3781" t="s">
        <v>334</v>
      </c>
      <c r="F3781" s="12">
        <v>308073</v>
      </c>
      <c r="G3781" s="13">
        <v>30</v>
      </c>
      <c r="H3781" t="s">
        <v>2713</v>
      </c>
      <c r="I3781" s="8">
        <v>46275</v>
      </c>
      <c r="J3781" t="s">
        <v>2674</v>
      </c>
      <c r="K3781" t="s">
        <v>2675</v>
      </c>
      <c r="L3781" s="13">
        <v>20000</v>
      </c>
      <c r="M3781" t="s">
        <v>2661</v>
      </c>
    </row>
    <row r="3782" spans="1:13">
      <c r="A3782" t="s">
        <v>1618</v>
      </c>
      <c r="B3782" t="s">
        <v>284</v>
      </c>
      <c r="C3782" s="8">
        <v>46121</v>
      </c>
      <c r="D3782" t="s">
        <v>344</v>
      </c>
      <c r="E3782" t="s">
        <v>334</v>
      </c>
      <c r="F3782" s="12">
        <v>308073</v>
      </c>
      <c r="G3782" s="13">
        <v>30</v>
      </c>
      <c r="H3782" t="s">
        <v>2751</v>
      </c>
      <c r="I3782" s="8">
        <v>46170</v>
      </c>
      <c r="J3782" t="s">
        <v>2671</v>
      </c>
      <c r="K3782" t="s">
        <v>2672</v>
      </c>
      <c r="L3782" s="13">
        <v>3000</v>
      </c>
      <c r="M3782" t="s">
        <v>2661</v>
      </c>
    </row>
    <row r="3783" spans="1:13">
      <c r="A3783" t="s">
        <v>1618</v>
      </c>
      <c r="B3783" t="s">
        <v>284</v>
      </c>
      <c r="C3783" s="8">
        <v>46121</v>
      </c>
      <c r="D3783" t="s">
        <v>344</v>
      </c>
      <c r="E3783" t="s">
        <v>334</v>
      </c>
      <c r="F3783" s="12">
        <v>308073</v>
      </c>
      <c r="G3783" s="13">
        <v>30</v>
      </c>
      <c r="H3783" t="s">
        <v>3208</v>
      </c>
      <c r="I3783" s="8">
        <v>45949</v>
      </c>
      <c r="J3783" t="s">
        <v>2674</v>
      </c>
      <c r="K3783" t="s">
        <v>2675</v>
      </c>
      <c r="L3783" s="13">
        <v>20000</v>
      </c>
      <c r="M3783" t="s">
        <v>2661</v>
      </c>
    </row>
    <row r="3784" spans="1:13">
      <c r="A3784" t="s">
        <v>1618</v>
      </c>
      <c r="B3784" t="s">
        <v>284</v>
      </c>
      <c r="C3784" s="8">
        <v>46121</v>
      </c>
      <c r="D3784" t="s">
        <v>344</v>
      </c>
      <c r="E3784" t="s">
        <v>334</v>
      </c>
      <c r="F3784" s="12">
        <v>308073</v>
      </c>
      <c r="G3784" s="13">
        <v>30</v>
      </c>
      <c r="H3784" t="s">
        <v>3259</v>
      </c>
      <c r="I3784" s="8">
        <v>46227</v>
      </c>
      <c r="J3784" t="s">
        <v>2665</v>
      </c>
      <c r="K3784" t="s">
        <v>2666</v>
      </c>
      <c r="L3784" s="13">
        <v>2500</v>
      </c>
      <c r="M3784" t="s">
        <v>2661</v>
      </c>
    </row>
    <row r="3785" spans="1:13">
      <c r="A3785" t="s">
        <v>1618</v>
      </c>
      <c r="B3785" t="s">
        <v>284</v>
      </c>
      <c r="C3785" s="8">
        <v>46121</v>
      </c>
      <c r="D3785" t="s">
        <v>344</v>
      </c>
      <c r="E3785" t="s">
        <v>334</v>
      </c>
      <c r="F3785" s="12">
        <v>308073</v>
      </c>
      <c r="G3785" s="13">
        <v>30</v>
      </c>
      <c r="H3785" t="s">
        <v>3404</v>
      </c>
      <c r="I3785" s="8">
        <v>46114</v>
      </c>
      <c r="J3785" t="s">
        <v>2688</v>
      </c>
      <c r="K3785" t="s">
        <v>2689</v>
      </c>
      <c r="L3785" s="13">
        <v>8000</v>
      </c>
      <c r="M3785" t="s">
        <v>2661</v>
      </c>
    </row>
    <row r="3786" spans="1:13">
      <c r="A3786" t="s">
        <v>1619</v>
      </c>
      <c r="B3786" t="s">
        <v>69</v>
      </c>
      <c r="C3786" s="8">
        <v>46037</v>
      </c>
      <c r="D3786" t="s">
        <v>327</v>
      </c>
      <c r="E3786" t="s">
        <v>337</v>
      </c>
      <c r="F3786" s="12">
        <v>692217</v>
      </c>
      <c r="G3786" s="13">
        <v>69</v>
      </c>
      <c r="H3786" t="s">
        <v>2723</v>
      </c>
      <c r="I3786" s="8">
        <v>46140</v>
      </c>
      <c r="J3786" t="s">
        <v>2688</v>
      </c>
      <c r="K3786" t="s">
        <v>2689</v>
      </c>
      <c r="L3786" s="13">
        <v>8000</v>
      </c>
      <c r="M3786" t="s">
        <v>2661</v>
      </c>
    </row>
    <row r="3787" spans="1:13">
      <c r="A3787" t="s">
        <v>1619</v>
      </c>
      <c r="B3787" t="s">
        <v>69</v>
      </c>
      <c r="C3787" s="8">
        <v>46037</v>
      </c>
      <c r="D3787" t="s">
        <v>327</v>
      </c>
      <c r="E3787" t="s">
        <v>337</v>
      </c>
      <c r="F3787" s="12">
        <v>692217</v>
      </c>
      <c r="G3787" s="13">
        <v>69</v>
      </c>
      <c r="H3787" t="s">
        <v>2822</v>
      </c>
      <c r="I3787" s="8">
        <v>46159</v>
      </c>
      <c r="J3787" t="s">
        <v>2668</v>
      </c>
      <c r="K3787" t="s">
        <v>2669</v>
      </c>
      <c r="L3787" s="13">
        <v>4000</v>
      </c>
      <c r="M3787" t="s">
        <v>2661</v>
      </c>
    </row>
    <row r="3788" spans="1:13">
      <c r="A3788" t="s">
        <v>1619</v>
      </c>
      <c r="B3788" t="s">
        <v>69</v>
      </c>
      <c r="C3788" s="8">
        <v>46037</v>
      </c>
      <c r="D3788" t="s">
        <v>327</v>
      </c>
      <c r="E3788" t="s">
        <v>337</v>
      </c>
      <c r="F3788" s="12">
        <v>692217</v>
      </c>
      <c r="G3788" s="13">
        <v>69</v>
      </c>
      <c r="H3788" t="s">
        <v>3513</v>
      </c>
      <c r="I3788" s="8">
        <v>46161</v>
      </c>
      <c r="J3788" t="s">
        <v>2692</v>
      </c>
      <c r="K3788" t="s">
        <v>2693</v>
      </c>
      <c r="L3788" s="13">
        <v>10000</v>
      </c>
      <c r="M3788" t="s">
        <v>2661</v>
      </c>
    </row>
    <row r="3789" spans="1:13">
      <c r="A3789" t="s">
        <v>1620</v>
      </c>
      <c r="B3789" t="s">
        <v>176</v>
      </c>
      <c r="C3789" s="8">
        <v>46180</v>
      </c>
      <c r="D3789" t="s">
        <v>342</v>
      </c>
      <c r="E3789" t="s">
        <v>328</v>
      </c>
      <c r="F3789" s="12">
        <v>456136</v>
      </c>
      <c r="G3789" s="13">
        <v>45</v>
      </c>
      <c r="H3789" t="s">
        <v>2717</v>
      </c>
      <c r="I3789" s="8">
        <v>46184</v>
      </c>
      <c r="J3789" t="s">
        <v>2692</v>
      </c>
      <c r="K3789" t="s">
        <v>2693</v>
      </c>
      <c r="L3789" s="13">
        <v>10000</v>
      </c>
      <c r="M3789" t="s">
        <v>2661</v>
      </c>
    </row>
    <row r="3790" spans="1:13">
      <c r="A3790" t="s">
        <v>1620</v>
      </c>
      <c r="B3790" t="s">
        <v>176</v>
      </c>
      <c r="C3790" s="8">
        <v>46180</v>
      </c>
      <c r="D3790" t="s">
        <v>342</v>
      </c>
      <c r="E3790" t="s">
        <v>328</v>
      </c>
      <c r="F3790" s="12">
        <v>456136</v>
      </c>
      <c r="G3790" s="13">
        <v>45</v>
      </c>
      <c r="H3790" t="s">
        <v>3103</v>
      </c>
      <c r="I3790" s="8">
        <v>46188</v>
      </c>
      <c r="J3790" t="s">
        <v>2692</v>
      </c>
      <c r="K3790" t="s">
        <v>2693</v>
      </c>
      <c r="L3790" s="13">
        <v>10000</v>
      </c>
      <c r="M3790" t="s">
        <v>2661</v>
      </c>
    </row>
    <row r="3791" spans="1:13">
      <c r="A3791" t="s">
        <v>1620</v>
      </c>
      <c r="B3791" t="s">
        <v>176</v>
      </c>
      <c r="C3791" s="8">
        <v>46180</v>
      </c>
      <c r="D3791" t="s">
        <v>342</v>
      </c>
      <c r="E3791" t="s">
        <v>328</v>
      </c>
      <c r="F3791" s="12">
        <v>456136</v>
      </c>
      <c r="G3791" s="13">
        <v>45</v>
      </c>
      <c r="H3791" t="s">
        <v>3218</v>
      </c>
      <c r="I3791" s="8">
        <v>46220</v>
      </c>
      <c r="J3791" t="s">
        <v>2665</v>
      </c>
      <c r="K3791" t="s">
        <v>2666</v>
      </c>
      <c r="L3791" s="13">
        <v>2500</v>
      </c>
      <c r="M3791" t="s">
        <v>2661</v>
      </c>
    </row>
    <row r="3792" spans="1:13">
      <c r="A3792" t="s">
        <v>1620</v>
      </c>
      <c r="B3792" t="s">
        <v>176</v>
      </c>
      <c r="C3792" s="8">
        <v>46180</v>
      </c>
      <c r="D3792" t="s">
        <v>342</v>
      </c>
      <c r="E3792" t="s">
        <v>328</v>
      </c>
      <c r="F3792" s="12">
        <v>456136</v>
      </c>
      <c r="G3792" s="13">
        <v>45</v>
      </c>
      <c r="H3792" t="s">
        <v>3249</v>
      </c>
      <c r="I3792" s="8">
        <v>46152</v>
      </c>
      <c r="J3792" t="s">
        <v>2688</v>
      </c>
      <c r="K3792" t="s">
        <v>2689</v>
      </c>
      <c r="L3792" s="13">
        <v>8000</v>
      </c>
      <c r="M3792" t="s">
        <v>2661</v>
      </c>
    </row>
    <row r="3793" spans="1:13">
      <c r="A3793" t="s">
        <v>1620</v>
      </c>
      <c r="B3793" t="s">
        <v>176</v>
      </c>
      <c r="C3793" s="8">
        <v>46180</v>
      </c>
      <c r="D3793" t="s">
        <v>342</v>
      </c>
      <c r="E3793" t="s">
        <v>328</v>
      </c>
      <c r="F3793" s="12">
        <v>456136</v>
      </c>
      <c r="G3793" s="13">
        <v>45</v>
      </c>
      <c r="H3793" t="s">
        <v>3517</v>
      </c>
      <c r="I3793" s="8">
        <v>45968</v>
      </c>
      <c r="J3793" t="s">
        <v>2663</v>
      </c>
      <c r="K3793" t="s">
        <v>3630</v>
      </c>
      <c r="L3793" s="13">
        <v>1500</v>
      </c>
      <c r="M3793" t="s">
        <v>2661</v>
      </c>
    </row>
    <row r="3794" spans="1:13">
      <c r="A3794" t="s">
        <v>1620</v>
      </c>
      <c r="B3794" t="s">
        <v>176</v>
      </c>
      <c r="C3794" s="8">
        <v>46180</v>
      </c>
      <c r="D3794" t="s">
        <v>342</v>
      </c>
      <c r="E3794" t="s">
        <v>328</v>
      </c>
      <c r="F3794" s="12">
        <v>456136</v>
      </c>
      <c r="G3794" s="13">
        <v>45</v>
      </c>
      <c r="H3794" t="s">
        <v>3532</v>
      </c>
      <c r="I3794" s="8">
        <v>46081</v>
      </c>
      <c r="J3794" t="s">
        <v>2671</v>
      </c>
      <c r="K3794" t="s">
        <v>2672</v>
      </c>
      <c r="L3794" s="13">
        <v>3000</v>
      </c>
      <c r="M3794" t="s">
        <v>2661</v>
      </c>
    </row>
    <row r="3795" spans="1:13">
      <c r="A3795" t="s">
        <v>1621</v>
      </c>
      <c r="B3795" t="s">
        <v>293</v>
      </c>
      <c r="C3795" s="8">
        <v>46073</v>
      </c>
      <c r="D3795" t="s">
        <v>327</v>
      </c>
      <c r="E3795" t="s">
        <v>334</v>
      </c>
      <c r="F3795" s="12">
        <v>189306</v>
      </c>
      <c r="G3795" s="13">
        <v>18</v>
      </c>
      <c r="H3795" t="s">
        <v>2680</v>
      </c>
      <c r="I3795" s="8">
        <v>46235</v>
      </c>
      <c r="J3795" t="s">
        <v>2665</v>
      </c>
      <c r="K3795" t="s">
        <v>2666</v>
      </c>
      <c r="L3795" s="13">
        <v>2500</v>
      </c>
      <c r="M3795" t="s">
        <v>2661</v>
      </c>
    </row>
    <row r="3796" spans="1:13">
      <c r="A3796" t="s">
        <v>1621</v>
      </c>
      <c r="B3796" t="s">
        <v>293</v>
      </c>
      <c r="C3796" s="8">
        <v>46073</v>
      </c>
      <c r="D3796" t="s">
        <v>327</v>
      </c>
      <c r="E3796" t="s">
        <v>334</v>
      </c>
      <c r="F3796" s="12">
        <v>189306</v>
      </c>
      <c r="G3796" s="13">
        <v>18</v>
      </c>
      <c r="H3796" t="s">
        <v>2795</v>
      </c>
      <c r="I3796" s="8">
        <v>45945</v>
      </c>
      <c r="J3796" t="s">
        <v>2663</v>
      </c>
      <c r="K3796" t="s">
        <v>3630</v>
      </c>
      <c r="L3796" s="13">
        <v>1500</v>
      </c>
      <c r="M3796" t="s">
        <v>2661</v>
      </c>
    </row>
    <row r="3797" spans="1:13">
      <c r="A3797" t="s">
        <v>1621</v>
      </c>
      <c r="B3797" t="s">
        <v>293</v>
      </c>
      <c r="C3797" s="8">
        <v>46073</v>
      </c>
      <c r="D3797" t="s">
        <v>327</v>
      </c>
      <c r="E3797" t="s">
        <v>334</v>
      </c>
      <c r="F3797" s="12">
        <v>189306</v>
      </c>
      <c r="G3797" s="13">
        <v>18</v>
      </c>
      <c r="H3797" t="s">
        <v>2977</v>
      </c>
      <c r="I3797" s="8">
        <v>46001</v>
      </c>
      <c r="J3797" t="s">
        <v>2659</v>
      </c>
      <c r="K3797" t="s">
        <v>2660</v>
      </c>
      <c r="L3797" s="13">
        <v>3500</v>
      </c>
      <c r="M3797" t="s">
        <v>2661</v>
      </c>
    </row>
    <row r="3798" spans="1:13">
      <c r="A3798" t="s">
        <v>1621</v>
      </c>
      <c r="B3798" t="s">
        <v>293</v>
      </c>
      <c r="C3798" s="8">
        <v>46073</v>
      </c>
      <c r="D3798" t="s">
        <v>327</v>
      </c>
      <c r="E3798" t="s">
        <v>334</v>
      </c>
      <c r="F3798" s="12">
        <v>189306</v>
      </c>
      <c r="G3798" s="13">
        <v>18</v>
      </c>
      <c r="H3798" t="s">
        <v>3042</v>
      </c>
      <c r="I3798" s="8">
        <v>45970</v>
      </c>
      <c r="J3798" t="s">
        <v>2682</v>
      </c>
      <c r="K3798" t="s">
        <v>2683</v>
      </c>
      <c r="L3798" s="13">
        <v>6000</v>
      </c>
      <c r="M3798" t="s">
        <v>2661</v>
      </c>
    </row>
    <row r="3799" spans="1:13">
      <c r="A3799" t="s">
        <v>1621</v>
      </c>
      <c r="B3799" t="s">
        <v>293</v>
      </c>
      <c r="C3799" s="8">
        <v>46073</v>
      </c>
      <c r="D3799" t="s">
        <v>327</v>
      </c>
      <c r="E3799" t="s">
        <v>334</v>
      </c>
      <c r="F3799" s="12">
        <v>189306</v>
      </c>
      <c r="G3799" s="13">
        <v>18</v>
      </c>
      <c r="H3799" t="s">
        <v>3354</v>
      </c>
      <c r="I3799" s="8">
        <v>45997</v>
      </c>
      <c r="J3799" t="s">
        <v>2659</v>
      </c>
      <c r="K3799" t="s">
        <v>2660</v>
      </c>
      <c r="L3799" s="13">
        <v>3500</v>
      </c>
      <c r="M3799" t="s">
        <v>2661</v>
      </c>
    </row>
    <row r="3800" spans="1:13">
      <c r="A3800" t="s">
        <v>1621</v>
      </c>
      <c r="B3800" t="s">
        <v>293</v>
      </c>
      <c r="C3800" s="8">
        <v>46073</v>
      </c>
      <c r="D3800" t="s">
        <v>327</v>
      </c>
      <c r="E3800" t="s">
        <v>334</v>
      </c>
      <c r="F3800" s="12">
        <v>189306</v>
      </c>
      <c r="G3800" s="13">
        <v>18</v>
      </c>
      <c r="H3800" t="s">
        <v>3448</v>
      </c>
      <c r="I3800" s="8">
        <v>46100</v>
      </c>
      <c r="J3800" t="s">
        <v>2668</v>
      </c>
      <c r="K3800" t="s">
        <v>2669</v>
      </c>
      <c r="L3800" s="13">
        <v>4000</v>
      </c>
      <c r="M3800" t="s">
        <v>2676</v>
      </c>
    </row>
    <row r="3801" spans="1:13">
      <c r="A3801" t="s">
        <v>1622</v>
      </c>
      <c r="B3801" t="s">
        <v>275</v>
      </c>
      <c r="C3801" s="8">
        <v>46000</v>
      </c>
      <c r="D3801" t="s">
        <v>342</v>
      </c>
      <c r="E3801" t="s">
        <v>325</v>
      </c>
      <c r="F3801" s="12">
        <v>55157</v>
      </c>
      <c r="G3801" s="13">
        <v>5</v>
      </c>
      <c r="H3801" t="s">
        <v>2769</v>
      </c>
      <c r="I3801" s="8">
        <v>45949</v>
      </c>
      <c r="J3801" t="s">
        <v>2659</v>
      </c>
      <c r="K3801" t="s">
        <v>2660</v>
      </c>
      <c r="L3801" s="13">
        <v>3500</v>
      </c>
      <c r="M3801" t="s">
        <v>2661</v>
      </c>
    </row>
    <row r="3802" spans="1:13">
      <c r="A3802" t="s">
        <v>1622</v>
      </c>
      <c r="B3802" t="s">
        <v>275</v>
      </c>
      <c r="C3802" s="8">
        <v>46000</v>
      </c>
      <c r="D3802" t="s">
        <v>342</v>
      </c>
      <c r="E3802" t="s">
        <v>325</v>
      </c>
      <c r="F3802" s="12">
        <v>55157</v>
      </c>
      <c r="G3802" s="13">
        <v>5</v>
      </c>
      <c r="H3802" t="s">
        <v>2812</v>
      </c>
      <c r="I3802" s="8">
        <v>46037</v>
      </c>
      <c r="J3802" t="s">
        <v>2671</v>
      </c>
      <c r="K3802" t="s">
        <v>2672</v>
      </c>
      <c r="L3802" s="13">
        <v>3000</v>
      </c>
      <c r="M3802" t="s">
        <v>2661</v>
      </c>
    </row>
    <row r="3803" spans="1:13">
      <c r="A3803" t="s">
        <v>1622</v>
      </c>
      <c r="B3803" t="s">
        <v>275</v>
      </c>
      <c r="C3803" s="8">
        <v>46000</v>
      </c>
      <c r="D3803" t="s">
        <v>342</v>
      </c>
      <c r="E3803" t="s">
        <v>325</v>
      </c>
      <c r="F3803" s="12">
        <v>55157</v>
      </c>
      <c r="G3803" s="13">
        <v>5</v>
      </c>
      <c r="H3803" t="s">
        <v>2988</v>
      </c>
      <c r="I3803" s="8">
        <v>45949</v>
      </c>
      <c r="J3803" t="s">
        <v>2692</v>
      </c>
      <c r="K3803" t="s">
        <v>2693</v>
      </c>
      <c r="L3803" s="13">
        <v>10000</v>
      </c>
      <c r="M3803" t="s">
        <v>2661</v>
      </c>
    </row>
    <row r="3804" spans="1:13">
      <c r="A3804" t="s">
        <v>1622</v>
      </c>
      <c r="B3804" t="s">
        <v>275</v>
      </c>
      <c r="C3804" s="8">
        <v>46000</v>
      </c>
      <c r="D3804" t="s">
        <v>342</v>
      </c>
      <c r="E3804" t="s">
        <v>325</v>
      </c>
      <c r="F3804" s="12">
        <v>55157</v>
      </c>
      <c r="G3804" s="13">
        <v>5</v>
      </c>
      <c r="H3804" t="s">
        <v>3251</v>
      </c>
      <c r="I3804" s="8">
        <v>46059</v>
      </c>
      <c r="J3804" t="s">
        <v>2685</v>
      </c>
      <c r="K3804" t="s">
        <v>2686</v>
      </c>
      <c r="L3804" s="13">
        <v>5000</v>
      </c>
      <c r="M3804" t="s">
        <v>2661</v>
      </c>
    </row>
    <row r="3805" spans="1:13">
      <c r="A3805" t="s">
        <v>1622</v>
      </c>
      <c r="B3805" t="s">
        <v>275</v>
      </c>
      <c r="C3805" s="8">
        <v>46000</v>
      </c>
      <c r="D3805" t="s">
        <v>342</v>
      </c>
      <c r="E3805" t="s">
        <v>325</v>
      </c>
      <c r="F3805" s="12">
        <v>55157</v>
      </c>
      <c r="G3805" s="13">
        <v>5</v>
      </c>
      <c r="H3805" t="s">
        <v>3366</v>
      </c>
      <c r="I3805" s="8">
        <v>46230</v>
      </c>
      <c r="J3805" t="s">
        <v>2671</v>
      </c>
      <c r="K3805" t="s">
        <v>2672</v>
      </c>
      <c r="L3805" s="13">
        <v>3000</v>
      </c>
      <c r="M3805" t="s">
        <v>2661</v>
      </c>
    </row>
    <row r="3806" spans="1:13">
      <c r="A3806" t="s">
        <v>1623</v>
      </c>
      <c r="B3806" t="s">
        <v>134</v>
      </c>
      <c r="C3806" s="8">
        <v>46160</v>
      </c>
      <c r="D3806" t="s">
        <v>350</v>
      </c>
      <c r="E3806" t="s">
        <v>328</v>
      </c>
      <c r="F3806" s="12">
        <v>230039</v>
      </c>
      <c r="G3806" s="13">
        <v>23</v>
      </c>
      <c r="H3806" t="s">
        <v>3183</v>
      </c>
      <c r="I3806" s="8">
        <v>46285</v>
      </c>
      <c r="J3806" t="s">
        <v>2663</v>
      </c>
      <c r="K3806" t="s">
        <v>3630</v>
      </c>
      <c r="L3806" s="13">
        <v>1500</v>
      </c>
      <c r="M3806" t="s">
        <v>2661</v>
      </c>
    </row>
    <row r="3807" spans="1:13">
      <c r="A3807" t="s">
        <v>1624</v>
      </c>
      <c r="B3807" t="s">
        <v>150</v>
      </c>
      <c r="C3807" s="8">
        <v>46069</v>
      </c>
      <c r="D3807" t="s">
        <v>350</v>
      </c>
      <c r="E3807" t="s">
        <v>325</v>
      </c>
      <c r="F3807" s="12">
        <v>297389</v>
      </c>
      <c r="G3807" s="13">
        <v>29</v>
      </c>
      <c r="H3807" t="s">
        <v>3070</v>
      </c>
      <c r="I3807" s="8">
        <v>46003</v>
      </c>
      <c r="J3807" t="s">
        <v>2671</v>
      </c>
      <c r="K3807" t="s">
        <v>2672</v>
      </c>
      <c r="L3807" s="13">
        <v>3000</v>
      </c>
      <c r="M3807" t="s">
        <v>2676</v>
      </c>
    </row>
    <row r="3808" spans="1:13">
      <c r="A3808" t="s">
        <v>1624</v>
      </c>
      <c r="B3808" t="s">
        <v>150</v>
      </c>
      <c r="C3808" s="8">
        <v>46069</v>
      </c>
      <c r="D3808" t="s">
        <v>350</v>
      </c>
      <c r="E3808" t="s">
        <v>325</v>
      </c>
      <c r="F3808" s="12">
        <v>297389</v>
      </c>
      <c r="G3808" s="13">
        <v>29</v>
      </c>
      <c r="H3808" t="s">
        <v>3275</v>
      </c>
      <c r="I3808" s="8">
        <v>45936</v>
      </c>
      <c r="J3808" t="s">
        <v>2688</v>
      </c>
      <c r="K3808" t="s">
        <v>2689</v>
      </c>
      <c r="L3808" s="13">
        <v>8000</v>
      </c>
      <c r="M3808" t="s">
        <v>2661</v>
      </c>
    </row>
    <row r="3809" spans="1:13">
      <c r="A3809" t="s">
        <v>1624</v>
      </c>
      <c r="B3809" t="s">
        <v>150</v>
      </c>
      <c r="C3809" s="8">
        <v>46069</v>
      </c>
      <c r="D3809" t="s">
        <v>350</v>
      </c>
      <c r="E3809" t="s">
        <v>325</v>
      </c>
      <c r="F3809" s="12">
        <v>297389</v>
      </c>
      <c r="G3809" s="13">
        <v>29</v>
      </c>
      <c r="H3809" t="s">
        <v>3352</v>
      </c>
      <c r="I3809" s="8">
        <v>46153</v>
      </c>
      <c r="J3809" t="s">
        <v>2665</v>
      </c>
      <c r="K3809" t="s">
        <v>2666</v>
      </c>
      <c r="L3809" s="13">
        <v>2500</v>
      </c>
      <c r="M3809" t="s">
        <v>2661</v>
      </c>
    </row>
    <row r="3810" spans="1:13">
      <c r="A3810" t="s">
        <v>1626</v>
      </c>
      <c r="B3810" t="s">
        <v>111</v>
      </c>
      <c r="C3810" s="8">
        <v>46131</v>
      </c>
      <c r="D3810" t="s">
        <v>324</v>
      </c>
      <c r="E3810" t="s">
        <v>337</v>
      </c>
      <c r="F3810" s="12">
        <v>437507</v>
      </c>
      <c r="G3810" s="13">
        <v>43</v>
      </c>
      <c r="H3810" t="s">
        <v>3231</v>
      </c>
      <c r="I3810" s="8">
        <v>46139</v>
      </c>
      <c r="J3810" t="s">
        <v>2668</v>
      </c>
      <c r="K3810" t="s">
        <v>2669</v>
      </c>
      <c r="L3810" s="13">
        <v>4000</v>
      </c>
      <c r="M3810" t="s">
        <v>2661</v>
      </c>
    </row>
    <row r="3811" spans="1:13">
      <c r="A3811" t="s">
        <v>1626</v>
      </c>
      <c r="B3811" t="s">
        <v>111</v>
      </c>
      <c r="C3811" s="8">
        <v>46131</v>
      </c>
      <c r="D3811" t="s">
        <v>324</v>
      </c>
      <c r="E3811" t="s">
        <v>337</v>
      </c>
      <c r="F3811" s="12">
        <v>437507</v>
      </c>
      <c r="G3811" s="13">
        <v>43</v>
      </c>
      <c r="H3811" t="s">
        <v>3411</v>
      </c>
      <c r="I3811" s="8">
        <v>45950</v>
      </c>
      <c r="J3811" t="s">
        <v>2659</v>
      </c>
      <c r="K3811" t="s">
        <v>2660</v>
      </c>
      <c r="L3811" s="13">
        <v>3500</v>
      </c>
      <c r="M3811" t="s">
        <v>2676</v>
      </c>
    </row>
    <row r="3812" spans="1:13">
      <c r="A3812" t="s">
        <v>1627</v>
      </c>
      <c r="B3812" t="s">
        <v>166</v>
      </c>
      <c r="C3812" s="8">
        <v>46137</v>
      </c>
      <c r="D3812" t="s">
        <v>342</v>
      </c>
      <c r="E3812" t="s">
        <v>334</v>
      </c>
      <c r="F3812" s="12">
        <v>680146</v>
      </c>
      <c r="G3812" s="13">
        <v>68</v>
      </c>
      <c r="H3812" t="s">
        <v>2711</v>
      </c>
      <c r="I3812" s="8">
        <v>45938</v>
      </c>
      <c r="J3812" t="s">
        <v>2674</v>
      </c>
      <c r="K3812" t="s">
        <v>2675</v>
      </c>
      <c r="L3812" s="13">
        <v>20000</v>
      </c>
      <c r="M3812" t="s">
        <v>2676</v>
      </c>
    </row>
    <row r="3813" spans="1:13">
      <c r="A3813" t="s">
        <v>1627</v>
      </c>
      <c r="B3813" t="s">
        <v>166</v>
      </c>
      <c r="C3813" s="8">
        <v>46137</v>
      </c>
      <c r="D3813" t="s">
        <v>342</v>
      </c>
      <c r="E3813" t="s">
        <v>334</v>
      </c>
      <c r="F3813" s="12">
        <v>680146</v>
      </c>
      <c r="G3813" s="13">
        <v>68</v>
      </c>
      <c r="H3813" t="s">
        <v>2854</v>
      </c>
      <c r="I3813" s="8">
        <v>46022</v>
      </c>
      <c r="J3813" t="s">
        <v>2685</v>
      </c>
      <c r="K3813" t="s">
        <v>2686</v>
      </c>
      <c r="L3813" s="13">
        <v>5000</v>
      </c>
      <c r="M3813" t="s">
        <v>2661</v>
      </c>
    </row>
    <row r="3814" spans="1:13">
      <c r="A3814" t="s">
        <v>1627</v>
      </c>
      <c r="B3814" t="s">
        <v>166</v>
      </c>
      <c r="C3814" s="8">
        <v>46137</v>
      </c>
      <c r="D3814" t="s">
        <v>342</v>
      </c>
      <c r="E3814" t="s">
        <v>334</v>
      </c>
      <c r="F3814" s="12">
        <v>680146</v>
      </c>
      <c r="G3814" s="13">
        <v>68</v>
      </c>
      <c r="H3814" t="s">
        <v>3215</v>
      </c>
      <c r="I3814" s="8">
        <v>46213</v>
      </c>
      <c r="J3814" t="s">
        <v>2682</v>
      </c>
      <c r="K3814" t="s">
        <v>2683</v>
      </c>
      <c r="L3814" s="13">
        <v>6000</v>
      </c>
      <c r="M3814" t="s">
        <v>2661</v>
      </c>
    </row>
    <row r="3815" spans="1:13">
      <c r="A3815" t="s">
        <v>1627</v>
      </c>
      <c r="B3815" t="s">
        <v>166</v>
      </c>
      <c r="C3815" s="8">
        <v>46137</v>
      </c>
      <c r="D3815" t="s">
        <v>342</v>
      </c>
      <c r="E3815" t="s">
        <v>334</v>
      </c>
      <c r="F3815" s="12">
        <v>680146</v>
      </c>
      <c r="G3815" s="13">
        <v>68</v>
      </c>
      <c r="H3815" t="s">
        <v>3254</v>
      </c>
      <c r="I3815" s="8">
        <v>45958</v>
      </c>
      <c r="J3815" t="s">
        <v>2663</v>
      </c>
      <c r="K3815" t="s">
        <v>3630</v>
      </c>
      <c r="L3815" s="13">
        <v>1500</v>
      </c>
      <c r="M3815" t="s">
        <v>2661</v>
      </c>
    </row>
    <row r="3816" spans="1:13">
      <c r="A3816" t="s">
        <v>1628</v>
      </c>
      <c r="B3816" t="s">
        <v>259</v>
      </c>
      <c r="C3816" s="8">
        <v>46280</v>
      </c>
      <c r="D3816" t="s">
        <v>332</v>
      </c>
      <c r="E3816" t="s">
        <v>325</v>
      </c>
      <c r="F3816" s="12">
        <v>346399</v>
      </c>
      <c r="G3816" s="13">
        <v>34</v>
      </c>
      <c r="H3816" t="s">
        <v>2802</v>
      </c>
      <c r="I3816" s="8">
        <v>46222</v>
      </c>
      <c r="J3816" t="s">
        <v>2668</v>
      </c>
      <c r="K3816" t="s">
        <v>2669</v>
      </c>
      <c r="L3816" s="13">
        <v>4000</v>
      </c>
      <c r="M3816" t="s">
        <v>2661</v>
      </c>
    </row>
    <row r="3817" spans="1:13">
      <c r="A3817" t="s">
        <v>1628</v>
      </c>
      <c r="B3817" t="s">
        <v>259</v>
      </c>
      <c r="C3817" s="8">
        <v>46280</v>
      </c>
      <c r="D3817" t="s">
        <v>332</v>
      </c>
      <c r="E3817" t="s">
        <v>325</v>
      </c>
      <c r="F3817" s="12">
        <v>346399</v>
      </c>
      <c r="G3817" s="13">
        <v>34</v>
      </c>
      <c r="H3817" t="s">
        <v>2933</v>
      </c>
      <c r="I3817" s="8">
        <v>46183</v>
      </c>
      <c r="J3817" t="s">
        <v>2674</v>
      </c>
      <c r="K3817" t="s">
        <v>2675</v>
      </c>
      <c r="L3817" s="13">
        <v>20000</v>
      </c>
      <c r="M3817" t="s">
        <v>2661</v>
      </c>
    </row>
    <row r="3818" spans="1:13">
      <c r="A3818" t="s">
        <v>1628</v>
      </c>
      <c r="B3818" t="s">
        <v>259</v>
      </c>
      <c r="C3818" s="8">
        <v>46280</v>
      </c>
      <c r="D3818" t="s">
        <v>332</v>
      </c>
      <c r="E3818" t="s">
        <v>325</v>
      </c>
      <c r="F3818" s="12">
        <v>346399</v>
      </c>
      <c r="G3818" s="13">
        <v>34</v>
      </c>
      <c r="H3818" t="s">
        <v>2969</v>
      </c>
      <c r="I3818" s="8">
        <v>46173</v>
      </c>
      <c r="J3818" t="s">
        <v>2668</v>
      </c>
      <c r="K3818" t="s">
        <v>2669</v>
      </c>
      <c r="L3818" s="13">
        <v>4000</v>
      </c>
      <c r="M3818" t="s">
        <v>2661</v>
      </c>
    </row>
    <row r="3819" spans="1:13">
      <c r="A3819" t="s">
        <v>1628</v>
      </c>
      <c r="B3819" t="s">
        <v>259</v>
      </c>
      <c r="C3819" s="8">
        <v>46280</v>
      </c>
      <c r="D3819" t="s">
        <v>332</v>
      </c>
      <c r="E3819" t="s">
        <v>325</v>
      </c>
      <c r="F3819" s="12">
        <v>346399</v>
      </c>
      <c r="G3819" s="13">
        <v>34</v>
      </c>
      <c r="H3819" t="s">
        <v>3300</v>
      </c>
      <c r="I3819" s="8">
        <v>46089</v>
      </c>
      <c r="J3819" t="s">
        <v>2688</v>
      </c>
      <c r="K3819" t="s">
        <v>2689</v>
      </c>
      <c r="L3819" s="13">
        <v>8000</v>
      </c>
      <c r="M3819" t="s">
        <v>2676</v>
      </c>
    </row>
    <row r="3820" spans="1:13">
      <c r="A3820" t="s">
        <v>1629</v>
      </c>
      <c r="B3820" t="s">
        <v>201</v>
      </c>
      <c r="C3820" s="8">
        <v>46258</v>
      </c>
      <c r="D3820" t="s">
        <v>327</v>
      </c>
      <c r="E3820" t="s">
        <v>325</v>
      </c>
      <c r="F3820" s="12">
        <v>312959</v>
      </c>
      <c r="G3820" s="13">
        <v>31</v>
      </c>
      <c r="H3820" t="s">
        <v>2997</v>
      </c>
      <c r="I3820" s="8">
        <v>46289</v>
      </c>
      <c r="J3820" t="s">
        <v>2659</v>
      </c>
      <c r="K3820" t="s">
        <v>2660</v>
      </c>
      <c r="L3820" s="13">
        <v>3500</v>
      </c>
      <c r="M3820" t="s">
        <v>2661</v>
      </c>
    </row>
    <row r="3821" spans="1:13">
      <c r="A3821" t="s">
        <v>1629</v>
      </c>
      <c r="B3821" t="s">
        <v>201</v>
      </c>
      <c r="C3821" s="8">
        <v>46258</v>
      </c>
      <c r="D3821" t="s">
        <v>327</v>
      </c>
      <c r="E3821" t="s">
        <v>325</v>
      </c>
      <c r="F3821" s="12">
        <v>312959</v>
      </c>
      <c r="G3821" s="13">
        <v>31</v>
      </c>
      <c r="H3821" t="s">
        <v>3023</v>
      </c>
      <c r="I3821" s="8">
        <v>46224</v>
      </c>
      <c r="J3821" t="s">
        <v>2668</v>
      </c>
      <c r="K3821" t="s">
        <v>2669</v>
      </c>
      <c r="L3821" s="13">
        <v>4000</v>
      </c>
      <c r="M3821" t="s">
        <v>2661</v>
      </c>
    </row>
    <row r="3822" spans="1:13">
      <c r="A3822" t="s">
        <v>1629</v>
      </c>
      <c r="B3822" t="s">
        <v>201</v>
      </c>
      <c r="C3822" s="8">
        <v>46258</v>
      </c>
      <c r="D3822" t="s">
        <v>327</v>
      </c>
      <c r="E3822" t="s">
        <v>325</v>
      </c>
      <c r="F3822" s="12">
        <v>312959</v>
      </c>
      <c r="G3822" s="13">
        <v>31</v>
      </c>
      <c r="H3822" t="s">
        <v>3232</v>
      </c>
      <c r="I3822" s="8">
        <v>45993</v>
      </c>
      <c r="J3822" t="s">
        <v>2688</v>
      </c>
      <c r="K3822" t="s">
        <v>2689</v>
      </c>
      <c r="L3822" s="13">
        <v>8000</v>
      </c>
      <c r="M3822" t="s">
        <v>2676</v>
      </c>
    </row>
    <row r="3823" spans="1:13">
      <c r="A3823" t="s">
        <v>1630</v>
      </c>
      <c r="B3823" t="s">
        <v>130</v>
      </c>
      <c r="C3823" s="8">
        <v>45958</v>
      </c>
      <c r="D3823" t="s">
        <v>342</v>
      </c>
      <c r="E3823" t="s">
        <v>334</v>
      </c>
      <c r="F3823" s="12">
        <v>45171</v>
      </c>
      <c r="G3823" s="13">
        <v>4</v>
      </c>
      <c r="H3823" t="s">
        <v>3547</v>
      </c>
      <c r="I3823" s="8">
        <v>46237</v>
      </c>
      <c r="J3823" t="s">
        <v>2659</v>
      </c>
      <c r="K3823" t="s">
        <v>2660</v>
      </c>
      <c r="L3823" s="13">
        <v>3500</v>
      </c>
      <c r="M3823" t="s">
        <v>2661</v>
      </c>
    </row>
    <row r="3824" spans="1:13">
      <c r="A3824" t="s">
        <v>1631</v>
      </c>
      <c r="B3824" t="s">
        <v>285</v>
      </c>
      <c r="C3824" s="8">
        <v>46020</v>
      </c>
      <c r="D3824" t="s">
        <v>321</v>
      </c>
      <c r="E3824" t="s">
        <v>337</v>
      </c>
      <c r="F3824" s="12">
        <v>32468</v>
      </c>
      <c r="G3824" s="13">
        <v>3</v>
      </c>
      <c r="H3824" t="s">
        <v>2745</v>
      </c>
      <c r="I3824" s="8">
        <v>46274</v>
      </c>
      <c r="J3824" t="s">
        <v>2682</v>
      </c>
      <c r="K3824" t="s">
        <v>2683</v>
      </c>
      <c r="L3824" s="13">
        <v>6000</v>
      </c>
      <c r="M3824" t="s">
        <v>2661</v>
      </c>
    </row>
    <row r="3825" spans="1:13">
      <c r="A3825" t="s">
        <v>1632</v>
      </c>
      <c r="B3825" t="s">
        <v>201</v>
      </c>
      <c r="C3825" s="8">
        <v>46180</v>
      </c>
      <c r="D3825" t="s">
        <v>321</v>
      </c>
      <c r="E3825" t="s">
        <v>322</v>
      </c>
      <c r="F3825" s="12">
        <v>243961</v>
      </c>
      <c r="G3825" s="13">
        <v>24</v>
      </c>
      <c r="H3825" t="s">
        <v>2997</v>
      </c>
      <c r="I3825" s="8">
        <v>46289</v>
      </c>
      <c r="J3825" t="s">
        <v>2659</v>
      </c>
      <c r="K3825" t="s">
        <v>2660</v>
      </c>
      <c r="L3825" s="13">
        <v>3500</v>
      </c>
      <c r="M3825" t="s">
        <v>2661</v>
      </c>
    </row>
    <row r="3826" spans="1:13">
      <c r="A3826" t="s">
        <v>1632</v>
      </c>
      <c r="B3826" t="s">
        <v>201</v>
      </c>
      <c r="C3826" s="8">
        <v>46180</v>
      </c>
      <c r="D3826" t="s">
        <v>321</v>
      </c>
      <c r="E3826" t="s">
        <v>322</v>
      </c>
      <c r="F3826" s="12">
        <v>243961</v>
      </c>
      <c r="G3826" s="13">
        <v>24</v>
      </c>
      <c r="H3826" t="s">
        <v>3023</v>
      </c>
      <c r="I3826" s="8">
        <v>46224</v>
      </c>
      <c r="J3826" t="s">
        <v>2668</v>
      </c>
      <c r="K3826" t="s">
        <v>2669</v>
      </c>
      <c r="L3826" s="13">
        <v>4000</v>
      </c>
      <c r="M3826" t="s">
        <v>2661</v>
      </c>
    </row>
    <row r="3827" spans="1:13">
      <c r="A3827" t="s">
        <v>1632</v>
      </c>
      <c r="B3827" t="s">
        <v>201</v>
      </c>
      <c r="C3827" s="8">
        <v>46180</v>
      </c>
      <c r="D3827" t="s">
        <v>321</v>
      </c>
      <c r="E3827" t="s">
        <v>322</v>
      </c>
      <c r="F3827" s="12">
        <v>243961</v>
      </c>
      <c r="G3827" s="13">
        <v>24</v>
      </c>
      <c r="H3827" t="s">
        <v>3232</v>
      </c>
      <c r="I3827" s="8">
        <v>45993</v>
      </c>
      <c r="J3827" t="s">
        <v>2688</v>
      </c>
      <c r="K3827" t="s">
        <v>2689</v>
      </c>
      <c r="L3827" s="13">
        <v>8000</v>
      </c>
      <c r="M3827" t="s">
        <v>2676</v>
      </c>
    </row>
    <row r="3828" spans="1:13">
      <c r="A3828" t="s">
        <v>1633</v>
      </c>
      <c r="B3828" t="s">
        <v>253</v>
      </c>
      <c r="C3828" s="8">
        <v>46224</v>
      </c>
      <c r="D3828" t="s">
        <v>321</v>
      </c>
      <c r="E3828" t="s">
        <v>322</v>
      </c>
      <c r="F3828" s="12">
        <v>360540</v>
      </c>
      <c r="G3828" s="13">
        <v>36</v>
      </c>
      <c r="H3828" t="s">
        <v>2862</v>
      </c>
      <c r="I3828" s="8">
        <v>46039</v>
      </c>
      <c r="J3828" t="s">
        <v>2663</v>
      </c>
      <c r="K3828" t="s">
        <v>3630</v>
      </c>
      <c r="L3828" s="13">
        <v>1500</v>
      </c>
      <c r="M3828" t="s">
        <v>2661</v>
      </c>
    </row>
    <row r="3829" spans="1:13">
      <c r="A3829" t="s">
        <v>1633</v>
      </c>
      <c r="B3829" t="s">
        <v>253</v>
      </c>
      <c r="C3829" s="8">
        <v>46224</v>
      </c>
      <c r="D3829" t="s">
        <v>321</v>
      </c>
      <c r="E3829" t="s">
        <v>322</v>
      </c>
      <c r="F3829" s="12">
        <v>360540</v>
      </c>
      <c r="G3829" s="13">
        <v>36</v>
      </c>
      <c r="H3829" t="s">
        <v>3158</v>
      </c>
      <c r="I3829" s="8">
        <v>46168</v>
      </c>
      <c r="J3829" t="s">
        <v>2685</v>
      </c>
      <c r="K3829" t="s">
        <v>2686</v>
      </c>
      <c r="L3829" s="13">
        <v>5000</v>
      </c>
      <c r="M3829" t="s">
        <v>2676</v>
      </c>
    </row>
    <row r="3830" spans="1:13">
      <c r="A3830" t="s">
        <v>1633</v>
      </c>
      <c r="B3830" t="s">
        <v>253</v>
      </c>
      <c r="C3830" s="8">
        <v>46224</v>
      </c>
      <c r="D3830" t="s">
        <v>321</v>
      </c>
      <c r="E3830" t="s">
        <v>322</v>
      </c>
      <c r="F3830" s="12">
        <v>360540</v>
      </c>
      <c r="G3830" s="13">
        <v>36</v>
      </c>
      <c r="H3830" t="s">
        <v>3173</v>
      </c>
      <c r="I3830" s="8">
        <v>46038</v>
      </c>
      <c r="J3830" t="s">
        <v>2682</v>
      </c>
      <c r="K3830" t="s">
        <v>2683</v>
      </c>
      <c r="L3830" s="13">
        <v>6000</v>
      </c>
      <c r="M3830" t="s">
        <v>2676</v>
      </c>
    </row>
    <row r="3831" spans="1:13">
      <c r="A3831" t="s">
        <v>1633</v>
      </c>
      <c r="B3831" t="s">
        <v>253</v>
      </c>
      <c r="C3831" s="8">
        <v>46224</v>
      </c>
      <c r="D3831" t="s">
        <v>321</v>
      </c>
      <c r="E3831" t="s">
        <v>322</v>
      </c>
      <c r="F3831" s="12">
        <v>360540</v>
      </c>
      <c r="G3831" s="13">
        <v>36</v>
      </c>
      <c r="H3831" t="s">
        <v>3235</v>
      </c>
      <c r="I3831" s="8">
        <v>45953</v>
      </c>
      <c r="J3831" t="s">
        <v>2663</v>
      </c>
      <c r="K3831" t="s">
        <v>3630</v>
      </c>
      <c r="L3831" s="13">
        <v>1500</v>
      </c>
      <c r="M3831" t="s">
        <v>2661</v>
      </c>
    </row>
    <row r="3832" spans="1:13">
      <c r="A3832" t="s">
        <v>1634</v>
      </c>
      <c r="B3832" t="s">
        <v>139</v>
      </c>
      <c r="C3832" s="8">
        <v>46283</v>
      </c>
      <c r="D3832" t="s">
        <v>342</v>
      </c>
      <c r="E3832" t="s">
        <v>334</v>
      </c>
      <c r="F3832" s="12">
        <v>479058</v>
      </c>
      <c r="G3832" s="13">
        <v>47</v>
      </c>
      <c r="H3832" t="s">
        <v>2789</v>
      </c>
      <c r="I3832" s="8">
        <v>46277</v>
      </c>
      <c r="J3832" t="s">
        <v>2688</v>
      </c>
      <c r="K3832" t="s">
        <v>2689</v>
      </c>
      <c r="L3832" s="13">
        <v>8000</v>
      </c>
      <c r="M3832" t="s">
        <v>2661</v>
      </c>
    </row>
    <row r="3833" spans="1:13">
      <c r="A3833" t="s">
        <v>1634</v>
      </c>
      <c r="B3833" t="s">
        <v>139</v>
      </c>
      <c r="C3833" s="8">
        <v>46283</v>
      </c>
      <c r="D3833" t="s">
        <v>342</v>
      </c>
      <c r="E3833" t="s">
        <v>334</v>
      </c>
      <c r="F3833" s="12">
        <v>479058</v>
      </c>
      <c r="G3833" s="13">
        <v>47</v>
      </c>
      <c r="H3833" t="s">
        <v>3190</v>
      </c>
      <c r="I3833" s="8">
        <v>46132</v>
      </c>
      <c r="J3833" t="s">
        <v>2685</v>
      </c>
      <c r="K3833" t="s">
        <v>2686</v>
      </c>
      <c r="L3833" s="13">
        <v>5000</v>
      </c>
      <c r="M3833" t="s">
        <v>2676</v>
      </c>
    </row>
    <row r="3834" spans="1:13">
      <c r="A3834" t="s">
        <v>1634</v>
      </c>
      <c r="B3834" t="s">
        <v>139</v>
      </c>
      <c r="C3834" s="8">
        <v>46283</v>
      </c>
      <c r="D3834" t="s">
        <v>342</v>
      </c>
      <c r="E3834" t="s">
        <v>334</v>
      </c>
      <c r="F3834" s="12">
        <v>479058</v>
      </c>
      <c r="G3834" s="13">
        <v>47</v>
      </c>
      <c r="H3834" t="s">
        <v>3216</v>
      </c>
      <c r="I3834" s="8">
        <v>46268</v>
      </c>
      <c r="J3834" t="s">
        <v>2668</v>
      </c>
      <c r="K3834" t="s">
        <v>2669</v>
      </c>
      <c r="L3834" s="13">
        <v>4000</v>
      </c>
      <c r="M3834" t="s">
        <v>2676</v>
      </c>
    </row>
    <row r="3835" spans="1:13">
      <c r="A3835" t="s">
        <v>1635</v>
      </c>
      <c r="B3835" t="s">
        <v>68</v>
      </c>
      <c r="C3835" s="8">
        <v>46088</v>
      </c>
      <c r="D3835" t="s">
        <v>344</v>
      </c>
      <c r="E3835" t="s">
        <v>339</v>
      </c>
      <c r="F3835" s="12">
        <v>396987</v>
      </c>
      <c r="G3835" s="13">
        <v>39</v>
      </c>
      <c r="H3835" t="s">
        <v>2869</v>
      </c>
      <c r="I3835" s="8">
        <v>46266</v>
      </c>
      <c r="J3835" t="s">
        <v>2671</v>
      </c>
      <c r="K3835" t="s">
        <v>2672</v>
      </c>
      <c r="L3835" s="13">
        <v>3000</v>
      </c>
      <c r="M3835" t="s">
        <v>2661</v>
      </c>
    </row>
    <row r="3836" spans="1:13">
      <c r="A3836" t="s">
        <v>1635</v>
      </c>
      <c r="B3836" t="s">
        <v>68</v>
      </c>
      <c r="C3836" s="8">
        <v>46088</v>
      </c>
      <c r="D3836" t="s">
        <v>344</v>
      </c>
      <c r="E3836" t="s">
        <v>339</v>
      </c>
      <c r="F3836" s="12">
        <v>396987</v>
      </c>
      <c r="G3836" s="13">
        <v>39</v>
      </c>
      <c r="H3836" t="s">
        <v>3248</v>
      </c>
      <c r="I3836" s="8">
        <v>45945</v>
      </c>
      <c r="J3836" t="s">
        <v>2682</v>
      </c>
      <c r="K3836" t="s">
        <v>2683</v>
      </c>
      <c r="L3836" s="13">
        <v>6000</v>
      </c>
      <c r="M3836" t="s">
        <v>2661</v>
      </c>
    </row>
    <row r="3837" spans="1:13">
      <c r="A3837" t="s">
        <v>1635</v>
      </c>
      <c r="B3837" t="s">
        <v>68</v>
      </c>
      <c r="C3837" s="8">
        <v>46088</v>
      </c>
      <c r="D3837" t="s">
        <v>344</v>
      </c>
      <c r="E3837" t="s">
        <v>339</v>
      </c>
      <c r="F3837" s="12">
        <v>396987</v>
      </c>
      <c r="G3837" s="13">
        <v>39</v>
      </c>
      <c r="H3837" t="s">
        <v>3506</v>
      </c>
      <c r="I3837" s="8">
        <v>46080</v>
      </c>
      <c r="J3837" t="s">
        <v>2668</v>
      </c>
      <c r="K3837" t="s">
        <v>2669</v>
      </c>
      <c r="L3837" s="13">
        <v>4000</v>
      </c>
      <c r="M3837" t="s">
        <v>2661</v>
      </c>
    </row>
    <row r="3838" spans="1:13">
      <c r="A3838" t="s">
        <v>1636</v>
      </c>
      <c r="B3838" t="s">
        <v>196</v>
      </c>
      <c r="C3838" s="8">
        <v>46142</v>
      </c>
      <c r="D3838" t="s">
        <v>327</v>
      </c>
      <c r="E3838" t="s">
        <v>339</v>
      </c>
      <c r="F3838" s="12">
        <v>526367</v>
      </c>
      <c r="G3838" s="13">
        <v>52</v>
      </c>
      <c r="H3838" t="s">
        <v>3132</v>
      </c>
      <c r="I3838" s="8">
        <v>46123</v>
      </c>
      <c r="J3838" t="s">
        <v>2668</v>
      </c>
      <c r="K3838" t="s">
        <v>2669</v>
      </c>
      <c r="L3838" s="13">
        <v>4000</v>
      </c>
      <c r="M3838" t="s">
        <v>2661</v>
      </c>
    </row>
    <row r="3839" spans="1:13">
      <c r="A3839" t="s">
        <v>1636</v>
      </c>
      <c r="B3839" t="s">
        <v>196</v>
      </c>
      <c r="C3839" s="8">
        <v>46142</v>
      </c>
      <c r="D3839" t="s">
        <v>327</v>
      </c>
      <c r="E3839" t="s">
        <v>339</v>
      </c>
      <c r="F3839" s="12">
        <v>526367</v>
      </c>
      <c r="G3839" s="13">
        <v>52</v>
      </c>
      <c r="H3839" t="s">
        <v>3338</v>
      </c>
      <c r="I3839" s="8">
        <v>46020</v>
      </c>
      <c r="J3839" t="s">
        <v>2692</v>
      </c>
      <c r="K3839" t="s">
        <v>2693</v>
      </c>
      <c r="L3839" s="13">
        <v>10000</v>
      </c>
      <c r="M3839" t="s">
        <v>2661</v>
      </c>
    </row>
    <row r="3840" spans="1:13">
      <c r="A3840" t="s">
        <v>1636</v>
      </c>
      <c r="B3840" t="s">
        <v>196</v>
      </c>
      <c r="C3840" s="8">
        <v>46142</v>
      </c>
      <c r="D3840" t="s">
        <v>327</v>
      </c>
      <c r="E3840" t="s">
        <v>339</v>
      </c>
      <c r="F3840" s="12">
        <v>526367</v>
      </c>
      <c r="G3840" s="13">
        <v>52</v>
      </c>
      <c r="H3840" t="s">
        <v>3502</v>
      </c>
      <c r="I3840" s="8">
        <v>45979</v>
      </c>
      <c r="J3840" t="s">
        <v>2692</v>
      </c>
      <c r="K3840" t="s">
        <v>2693</v>
      </c>
      <c r="L3840" s="13">
        <v>10000</v>
      </c>
      <c r="M3840" t="s">
        <v>2661</v>
      </c>
    </row>
    <row r="3841" spans="1:13">
      <c r="A3841" t="s">
        <v>1637</v>
      </c>
      <c r="B3841" t="s">
        <v>297</v>
      </c>
      <c r="C3841" s="8">
        <v>46081</v>
      </c>
      <c r="D3841" t="s">
        <v>321</v>
      </c>
      <c r="E3841" t="s">
        <v>325</v>
      </c>
      <c r="F3841" s="12">
        <v>508897</v>
      </c>
      <c r="G3841" s="13">
        <v>50</v>
      </c>
      <c r="H3841" t="s">
        <v>2776</v>
      </c>
      <c r="I3841" s="8">
        <v>46165</v>
      </c>
      <c r="J3841" t="s">
        <v>2674</v>
      </c>
      <c r="K3841" t="s">
        <v>2675</v>
      </c>
      <c r="L3841" s="13">
        <v>20000</v>
      </c>
      <c r="M3841" t="s">
        <v>2661</v>
      </c>
    </row>
    <row r="3842" spans="1:13">
      <c r="A3842" t="s">
        <v>1637</v>
      </c>
      <c r="B3842" t="s">
        <v>297</v>
      </c>
      <c r="C3842" s="8">
        <v>46081</v>
      </c>
      <c r="D3842" t="s">
        <v>321</v>
      </c>
      <c r="E3842" t="s">
        <v>325</v>
      </c>
      <c r="F3842" s="12">
        <v>508897</v>
      </c>
      <c r="G3842" s="13">
        <v>50</v>
      </c>
      <c r="H3842" t="s">
        <v>3239</v>
      </c>
      <c r="I3842" s="8">
        <v>45933</v>
      </c>
      <c r="J3842" t="s">
        <v>2682</v>
      </c>
      <c r="K3842" t="s">
        <v>2683</v>
      </c>
      <c r="L3842" s="13">
        <v>6000</v>
      </c>
      <c r="M3842" t="s">
        <v>2661</v>
      </c>
    </row>
    <row r="3843" spans="1:13">
      <c r="A3843" t="s">
        <v>1637</v>
      </c>
      <c r="B3843" t="s">
        <v>297</v>
      </c>
      <c r="C3843" s="8">
        <v>46081</v>
      </c>
      <c r="D3843" t="s">
        <v>321</v>
      </c>
      <c r="E3843" t="s">
        <v>325</v>
      </c>
      <c r="F3843" s="12">
        <v>508897</v>
      </c>
      <c r="G3843" s="13">
        <v>50</v>
      </c>
      <c r="H3843" t="s">
        <v>3321</v>
      </c>
      <c r="I3843" s="8">
        <v>46258</v>
      </c>
      <c r="J3843" t="s">
        <v>2668</v>
      </c>
      <c r="K3843" t="s">
        <v>2669</v>
      </c>
      <c r="L3843" s="13">
        <v>4000</v>
      </c>
      <c r="M3843" t="s">
        <v>2661</v>
      </c>
    </row>
    <row r="3844" spans="1:13">
      <c r="A3844" t="s">
        <v>1637</v>
      </c>
      <c r="B3844" t="s">
        <v>297</v>
      </c>
      <c r="C3844" s="8">
        <v>46081</v>
      </c>
      <c r="D3844" t="s">
        <v>321</v>
      </c>
      <c r="E3844" t="s">
        <v>325</v>
      </c>
      <c r="F3844" s="12">
        <v>508897</v>
      </c>
      <c r="G3844" s="13">
        <v>50</v>
      </c>
      <c r="H3844" t="s">
        <v>3412</v>
      </c>
      <c r="I3844" s="8">
        <v>46033</v>
      </c>
      <c r="J3844" t="s">
        <v>2659</v>
      </c>
      <c r="K3844" t="s">
        <v>2660</v>
      </c>
      <c r="L3844" s="13">
        <v>3500</v>
      </c>
      <c r="M3844" t="s">
        <v>2661</v>
      </c>
    </row>
    <row r="3845" spans="1:13">
      <c r="A3845" t="s">
        <v>1638</v>
      </c>
      <c r="B3845" t="s">
        <v>144</v>
      </c>
      <c r="C3845" s="8">
        <v>46058</v>
      </c>
      <c r="D3845" t="s">
        <v>330</v>
      </c>
      <c r="E3845" t="s">
        <v>337</v>
      </c>
      <c r="F3845" s="12">
        <v>102650</v>
      </c>
      <c r="G3845" s="13">
        <v>10</v>
      </c>
      <c r="H3845" t="s">
        <v>3481</v>
      </c>
      <c r="I3845" s="8">
        <v>46225</v>
      </c>
      <c r="J3845" t="s">
        <v>2682</v>
      </c>
      <c r="K3845" t="s">
        <v>2683</v>
      </c>
      <c r="L3845" s="13">
        <v>6000</v>
      </c>
      <c r="M3845" t="s">
        <v>2661</v>
      </c>
    </row>
    <row r="3846" spans="1:13">
      <c r="A3846" t="s">
        <v>1638</v>
      </c>
      <c r="B3846" t="s">
        <v>144</v>
      </c>
      <c r="C3846" s="8">
        <v>46058</v>
      </c>
      <c r="D3846" t="s">
        <v>330</v>
      </c>
      <c r="E3846" t="s">
        <v>337</v>
      </c>
      <c r="F3846" s="12">
        <v>102650</v>
      </c>
      <c r="G3846" s="13">
        <v>10</v>
      </c>
      <c r="H3846" t="s">
        <v>3512</v>
      </c>
      <c r="I3846" s="8">
        <v>46097</v>
      </c>
      <c r="J3846" t="s">
        <v>2685</v>
      </c>
      <c r="K3846" t="s">
        <v>2686</v>
      </c>
      <c r="L3846" s="13">
        <v>5000</v>
      </c>
      <c r="M3846" t="s">
        <v>2661</v>
      </c>
    </row>
    <row r="3847" spans="1:13">
      <c r="A3847" t="s">
        <v>1638</v>
      </c>
      <c r="B3847" t="s">
        <v>144</v>
      </c>
      <c r="C3847" s="8">
        <v>46058</v>
      </c>
      <c r="D3847" t="s">
        <v>330</v>
      </c>
      <c r="E3847" t="s">
        <v>337</v>
      </c>
      <c r="F3847" s="12">
        <v>102650</v>
      </c>
      <c r="G3847" s="13">
        <v>10</v>
      </c>
      <c r="H3847" t="s">
        <v>3542</v>
      </c>
      <c r="I3847" s="8">
        <v>46287</v>
      </c>
      <c r="J3847" t="s">
        <v>2659</v>
      </c>
      <c r="K3847" t="s">
        <v>2660</v>
      </c>
      <c r="L3847" s="13">
        <v>3500</v>
      </c>
      <c r="M3847" t="s">
        <v>2661</v>
      </c>
    </row>
    <row r="3848" spans="1:13">
      <c r="A3848" t="s">
        <v>1639</v>
      </c>
      <c r="B3848" t="s">
        <v>87</v>
      </c>
      <c r="C3848" s="8">
        <v>46275</v>
      </c>
      <c r="D3848" t="s">
        <v>344</v>
      </c>
      <c r="E3848" t="s">
        <v>322</v>
      </c>
      <c r="F3848" s="12">
        <v>558324</v>
      </c>
      <c r="G3848" s="13">
        <v>55</v>
      </c>
      <c r="H3848" t="s">
        <v>3531</v>
      </c>
      <c r="I3848" s="8">
        <v>45982</v>
      </c>
      <c r="J3848" t="s">
        <v>2685</v>
      </c>
      <c r="K3848" t="s">
        <v>2686</v>
      </c>
      <c r="L3848" s="13">
        <v>5000</v>
      </c>
      <c r="M3848" t="s">
        <v>2661</v>
      </c>
    </row>
    <row r="3849" spans="1:13">
      <c r="A3849" t="s">
        <v>1640</v>
      </c>
      <c r="B3849" t="s">
        <v>259</v>
      </c>
      <c r="C3849" s="8">
        <v>46160</v>
      </c>
      <c r="D3849" t="s">
        <v>332</v>
      </c>
      <c r="E3849" t="s">
        <v>337</v>
      </c>
      <c r="F3849" s="12">
        <v>25000</v>
      </c>
      <c r="G3849" s="13">
        <v>2</v>
      </c>
      <c r="H3849" t="s">
        <v>2802</v>
      </c>
      <c r="I3849" s="8">
        <v>46222</v>
      </c>
      <c r="J3849" t="s">
        <v>2668</v>
      </c>
      <c r="K3849" t="s">
        <v>2669</v>
      </c>
      <c r="L3849" s="13">
        <v>4000</v>
      </c>
      <c r="M3849" t="s">
        <v>2661</v>
      </c>
    </row>
    <row r="3850" spans="1:13">
      <c r="A3850" t="s">
        <v>1640</v>
      </c>
      <c r="B3850" t="s">
        <v>259</v>
      </c>
      <c r="C3850" s="8">
        <v>46160</v>
      </c>
      <c r="D3850" t="s">
        <v>332</v>
      </c>
      <c r="E3850" t="s">
        <v>337</v>
      </c>
      <c r="F3850" s="12">
        <v>25000</v>
      </c>
      <c r="G3850" s="13">
        <v>2</v>
      </c>
      <c r="H3850" t="s">
        <v>2933</v>
      </c>
      <c r="I3850" s="8">
        <v>46183</v>
      </c>
      <c r="J3850" t="s">
        <v>2674</v>
      </c>
      <c r="K3850" t="s">
        <v>2675</v>
      </c>
      <c r="L3850" s="13">
        <v>20000</v>
      </c>
      <c r="M3850" t="s">
        <v>2661</v>
      </c>
    </row>
    <row r="3851" spans="1:13">
      <c r="A3851" t="s">
        <v>1640</v>
      </c>
      <c r="B3851" t="s">
        <v>259</v>
      </c>
      <c r="C3851" s="8">
        <v>46160</v>
      </c>
      <c r="D3851" t="s">
        <v>332</v>
      </c>
      <c r="E3851" t="s">
        <v>337</v>
      </c>
      <c r="F3851" s="12">
        <v>25000</v>
      </c>
      <c r="G3851" s="13">
        <v>2</v>
      </c>
      <c r="H3851" t="s">
        <v>2969</v>
      </c>
      <c r="I3851" s="8">
        <v>46173</v>
      </c>
      <c r="J3851" t="s">
        <v>2668</v>
      </c>
      <c r="K3851" t="s">
        <v>2669</v>
      </c>
      <c r="L3851" s="13">
        <v>4000</v>
      </c>
      <c r="M3851" t="s">
        <v>2661</v>
      </c>
    </row>
    <row r="3852" spans="1:13">
      <c r="A3852" t="s">
        <v>1640</v>
      </c>
      <c r="B3852" t="s">
        <v>259</v>
      </c>
      <c r="C3852" s="8">
        <v>46160</v>
      </c>
      <c r="D3852" t="s">
        <v>332</v>
      </c>
      <c r="E3852" t="s">
        <v>337</v>
      </c>
      <c r="F3852" s="12">
        <v>25000</v>
      </c>
      <c r="G3852" s="13">
        <v>2</v>
      </c>
      <c r="H3852" t="s">
        <v>3300</v>
      </c>
      <c r="I3852" s="8">
        <v>46089</v>
      </c>
      <c r="J3852" t="s">
        <v>2688</v>
      </c>
      <c r="K3852" t="s">
        <v>2689</v>
      </c>
      <c r="L3852" s="13">
        <v>8000</v>
      </c>
      <c r="M3852" t="s">
        <v>2676</v>
      </c>
    </row>
    <row r="3853" spans="1:13">
      <c r="A3853" t="s">
        <v>1642</v>
      </c>
      <c r="B3853" t="s">
        <v>223</v>
      </c>
      <c r="C3853" s="8">
        <v>46187</v>
      </c>
      <c r="D3853" t="s">
        <v>332</v>
      </c>
      <c r="E3853" t="s">
        <v>337</v>
      </c>
      <c r="F3853" s="12">
        <v>454971</v>
      </c>
      <c r="G3853" s="13">
        <v>45</v>
      </c>
      <c r="H3853" t="s">
        <v>3064</v>
      </c>
      <c r="I3853" s="8">
        <v>45951</v>
      </c>
      <c r="J3853" t="s">
        <v>2674</v>
      </c>
      <c r="K3853" t="s">
        <v>2675</v>
      </c>
      <c r="L3853" s="13">
        <v>20000</v>
      </c>
      <c r="M3853" t="s">
        <v>2676</v>
      </c>
    </row>
    <row r="3854" spans="1:13">
      <c r="A3854" t="s">
        <v>1642</v>
      </c>
      <c r="B3854" t="s">
        <v>223</v>
      </c>
      <c r="C3854" s="8">
        <v>46187</v>
      </c>
      <c r="D3854" t="s">
        <v>332</v>
      </c>
      <c r="E3854" t="s">
        <v>337</v>
      </c>
      <c r="F3854" s="12">
        <v>454971</v>
      </c>
      <c r="G3854" s="13">
        <v>45</v>
      </c>
      <c r="H3854" t="s">
        <v>3374</v>
      </c>
      <c r="I3854" s="8">
        <v>46022</v>
      </c>
      <c r="J3854" t="s">
        <v>2668</v>
      </c>
      <c r="K3854" t="s">
        <v>2669</v>
      </c>
      <c r="L3854" s="13">
        <v>4000</v>
      </c>
      <c r="M3854" t="s">
        <v>2661</v>
      </c>
    </row>
    <row r="3855" spans="1:13">
      <c r="A3855" t="s">
        <v>1642</v>
      </c>
      <c r="B3855" t="s">
        <v>223</v>
      </c>
      <c r="C3855" s="8">
        <v>46187</v>
      </c>
      <c r="D3855" t="s">
        <v>332</v>
      </c>
      <c r="E3855" t="s">
        <v>337</v>
      </c>
      <c r="F3855" s="12">
        <v>454971</v>
      </c>
      <c r="G3855" s="13">
        <v>45</v>
      </c>
      <c r="H3855" t="s">
        <v>3422</v>
      </c>
      <c r="I3855" s="8">
        <v>46266</v>
      </c>
      <c r="J3855" t="s">
        <v>2659</v>
      </c>
      <c r="K3855" t="s">
        <v>2660</v>
      </c>
      <c r="L3855" s="13">
        <v>3500</v>
      </c>
      <c r="M3855" t="s">
        <v>2661</v>
      </c>
    </row>
    <row r="3856" spans="1:13">
      <c r="A3856" t="s">
        <v>1642</v>
      </c>
      <c r="B3856" t="s">
        <v>223</v>
      </c>
      <c r="C3856" s="8">
        <v>46187</v>
      </c>
      <c r="D3856" t="s">
        <v>332</v>
      </c>
      <c r="E3856" t="s">
        <v>337</v>
      </c>
      <c r="F3856" s="12">
        <v>454971</v>
      </c>
      <c r="G3856" s="13">
        <v>45</v>
      </c>
      <c r="H3856" t="s">
        <v>3570</v>
      </c>
      <c r="I3856" s="8">
        <v>46265</v>
      </c>
      <c r="J3856" t="s">
        <v>2663</v>
      </c>
      <c r="K3856" t="s">
        <v>3630</v>
      </c>
      <c r="L3856" s="13">
        <v>1500</v>
      </c>
      <c r="M3856" t="s">
        <v>2661</v>
      </c>
    </row>
    <row r="3857" spans="1:13">
      <c r="A3857" t="s">
        <v>1643</v>
      </c>
      <c r="B3857" t="s">
        <v>217</v>
      </c>
      <c r="C3857" s="8">
        <v>46016</v>
      </c>
      <c r="D3857" t="s">
        <v>350</v>
      </c>
      <c r="E3857" t="s">
        <v>339</v>
      </c>
      <c r="F3857" s="12">
        <v>347470</v>
      </c>
      <c r="G3857" s="13">
        <v>34</v>
      </c>
      <c r="H3857" t="s">
        <v>3010</v>
      </c>
      <c r="I3857" s="8">
        <v>46213</v>
      </c>
      <c r="J3857" t="s">
        <v>2674</v>
      </c>
      <c r="K3857" t="s">
        <v>2675</v>
      </c>
      <c r="L3857" s="13">
        <v>20000</v>
      </c>
      <c r="M3857" t="s">
        <v>2661</v>
      </c>
    </row>
    <row r="3858" spans="1:13">
      <c r="A3858" t="s">
        <v>1643</v>
      </c>
      <c r="B3858" t="s">
        <v>217</v>
      </c>
      <c r="C3858" s="8">
        <v>46016</v>
      </c>
      <c r="D3858" t="s">
        <v>350</v>
      </c>
      <c r="E3858" t="s">
        <v>339</v>
      </c>
      <c r="F3858" s="12">
        <v>347470</v>
      </c>
      <c r="G3858" s="13">
        <v>34</v>
      </c>
      <c r="H3858" t="s">
        <v>3493</v>
      </c>
      <c r="I3858" s="8">
        <v>46078</v>
      </c>
      <c r="J3858" t="s">
        <v>2682</v>
      </c>
      <c r="K3858" t="s">
        <v>2683</v>
      </c>
      <c r="L3858" s="13">
        <v>6000</v>
      </c>
      <c r="M3858" t="s">
        <v>2661</v>
      </c>
    </row>
    <row r="3859" spans="1:13">
      <c r="A3859" t="s">
        <v>1644</v>
      </c>
      <c r="B3859" t="s">
        <v>40</v>
      </c>
      <c r="C3859" s="8">
        <v>45968</v>
      </c>
      <c r="D3859" t="s">
        <v>324</v>
      </c>
      <c r="E3859" t="s">
        <v>325</v>
      </c>
      <c r="F3859" s="12">
        <v>459480</v>
      </c>
      <c r="G3859" s="13">
        <v>45</v>
      </c>
      <c r="H3859" t="s">
        <v>2852</v>
      </c>
      <c r="I3859" s="8">
        <v>45939</v>
      </c>
      <c r="J3859" t="s">
        <v>2663</v>
      </c>
      <c r="K3859" t="s">
        <v>3630</v>
      </c>
      <c r="L3859" s="13">
        <v>1500</v>
      </c>
      <c r="M3859" t="s">
        <v>2661</v>
      </c>
    </row>
    <row r="3860" spans="1:13">
      <c r="A3860" t="s">
        <v>1644</v>
      </c>
      <c r="B3860" t="s">
        <v>40</v>
      </c>
      <c r="C3860" s="8">
        <v>45968</v>
      </c>
      <c r="D3860" t="s">
        <v>324</v>
      </c>
      <c r="E3860" t="s">
        <v>325</v>
      </c>
      <c r="F3860" s="12">
        <v>459480</v>
      </c>
      <c r="G3860" s="13">
        <v>45</v>
      </c>
      <c r="H3860" t="s">
        <v>3324</v>
      </c>
      <c r="I3860" s="8">
        <v>46040</v>
      </c>
      <c r="J3860" t="s">
        <v>2674</v>
      </c>
      <c r="K3860" t="s">
        <v>2675</v>
      </c>
      <c r="L3860" s="13">
        <v>20000</v>
      </c>
      <c r="M3860" t="s">
        <v>2661</v>
      </c>
    </row>
    <row r="3861" spans="1:13">
      <c r="A3861" t="s">
        <v>1644</v>
      </c>
      <c r="B3861" t="s">
        <v>40</v>
      </c>
      <c r="C3861" s="8">
        <v>45968</v>
      </c>
      <c r="D3861" t="s">
        <v>324</v>
      </c>
      <c r="E3861" t="s">
        <v>325</v>
      </c>
      <c r="F3861" s="12">
        <v>459480</v>
      </c>
      <c r="G3861" s="13">
        <v>45</v>
      </c>
      <c r="H3861" t="s">
        <v>3474</v>
      </c>
      <c r="I3861" s="8">
        <v>45997</v>
      </c>
      <c r="J3861" t="s">
        <v>2665</v>
      </c>
      <c r="K3861" t="s">
        <v>2666</v>
      </c>
      <c r="L3861" s="13">
        <v>2500</v>
      </c>
      <c r="M3861" t="s">
        <v>2676</v>
      </c>
    </row>
    <row r="3862" spans="1:13">
      <c r="A3862" t="s">
        <v>1645</v>
      </c>
      <c r="B3862" t="s">
        <v>141</v>
      </c>
      <c r="C3862" s="8">
        <v>46102</v>
      </c>
      <c r="D3862" t="s">
        <v>342</v>
      </c>
      <c r="E3862" t="s">
        <v>328</v>
      </c>
      <c r="F3862" s="12">
        <v>573904</v>
      </c>
      <c r="G3862" s="13">
        <v>57</v>
      </c>
      <c r="H3862" t="s">
        <v>2784</v>
      </c>
      <c r="I3862" s="8">
        <v>46039</v>
      </c>
      <c r="J3862" t="s">
        <v>2692</v>
      </c>
      <c r="K3862" t="s">
        <v>2693</v>
      </c>
      <c r="L3862" s="13">
        <v>10000</v>
      </c>
      <c r="M3862" t="s">
        <v>2676</v>
      </c>
    </row>
    <row r="3863" spans="1:13">
      <c r="A3863" t="s">
        <v>1645</v>
      </c>
      <c r="B3863" t="s">
        <v>141</v>
      </c>
      <c r="C3863" s="8">
        <v>46102</v>
      </c>
      <c r="D3863" t="s">
        <v>342</v>
      </c>
      <c r="E3863" t="s">
        <v>328</v>
      </c>
      <c r="F3863" s="12">
        <v>573904</v>
      </c>
      <c r="G3863" s="13">
        <v>57</v>
      </c>
      <c r="H3863" t="s">
        <v>2983</v>
      </c>
      <c r="I3863" s="8">
        <v>46195</v>
      </c>
      <c r="J3863" t="s">
        <v>2665</v>
      </c>
      <c r="K3863" t="s">
        <v>2666</v>
      </c>
      <c r="L3863" s="13">
        <v>2500</v>
      </c>
      <c r="M3863" t="s">
        <v>2661</v>
      </c>
    </row>
    <row r="3864" spans="1:13">
      <c r="A3864" t="s">
        <v>1645</v>
      </c>
      <c r="B3864" t="s">
        <v>141</v>
      </c>
      <c r="C3864" s="8">
        <v>46102</v>
      </c>
      <c r="D3864" t="s">
        <v>342</v>
      </c>
      <c r="E3864" t="s">
        <v>328</v>
      </c>
      <c r="F3864" s="12">
        <v>573904</v>
      </c>
      <c r="G3864" s="13">
        <v>57</v>
      </c>
      <c r="H3864" t="s">
        <v>3011</v>
      </c>
      <c r="I3864" s="8">
        <v>46197</v>
      </c>
      <c r="J3864" t="s">
        <v>2674</v>
      </c>
      <c r="K3864" t="s">
        <v>2675</v>
      </c>
      <c r="L3864" s="13">
        <v>20000</v>
      </c>
      <c r="M3864" t="s">
        <v>2661</v>
      </c>
    </row>
    <row r="3865" spans="1:13">
      <c r="A3865" t="s">
        <v>1645</v>
      </c>
      <c r="B3865" t="s">
        <v>141</v>
      </c>
      <c r="C3865" s="8">
        <v>46102</v>
      </c>
      <c r="D3865" t="s">
        <v>342</v>
      </c>
      <c r="E3865" t="s">
        <v>328</v>
      </c>
      <c r="F3865" s="12">
        <v>573904</v>
      </c>
      <c r="G3865" s="13">
        <v>57</v>
      </c>
      <c r="H3865" t="s">
        <v>3035</v>
      </c>
      <c r="I3865" s="8">
        <v>46115</v>
      </c>
      <c r="J3865" t="s">
        <v>2663</v>
      </c>
      <c r="K3865" t="s">
        <v>3630</v>
      </c>
      <c r="L3865" s="13">
        <v>1500</v>
      </c>
      <c r="M3865" t="s">
        <v>2661</v>
      </c>
    </row>
    <row r="3866" spans="1:13">
      <c r="A3866" t="s">
        <v>1645</v>
      </c>
      <c r="B3866" t="s">
        <v>141</v>
      </c>
      <c r="C3866" s="8">
        <v>46102</v>
      </c>
      <c r="D3866" t="s">
        <v>342</v>
      </c>
      <c r="E3866" t="s">
        <v>328</v>
      </c>
      <c r="F3866" s="12">
        <v>573904</v>
      </c>
      <c r="G3866" s="13">
        <v>57</v>
      </c>
      <c r="H3866" t="s">
        <v>3161</v>
      </c>
      <c r="I3866" s="8">
        <v>46177</v>
      </c>
      <c r="J3866" t="s">
        <v>2663</v>
      </c>
      <c r="K3866" t="s">
        <v>3630</v>
      </c>
      <c r="L3866" s="13">
        <v>1500</v>
      </c>
      <c r="M3866" t="s">
        <v>2661</v>
      </c>
    </row>
    <row r="3867" spans="1:13">
      <c r="A3867" t="s">
        <v>1645</v>
      </c>
      <c r="B3867" t="s">
        <v>141</v>
      </c>
      <c r="C3867" s="8">
        <v>46102</v>
      </c>
      <c r="D3867" t="s">
        <v>342</v>
      </c>
      <c r="E3867" t="s">
        <v>328</v>
      </c>
      <c r="F3867" s="12">
        <v>573904</v>
      </c>
      <c r="G3867" s="13">
        <v>57</v>
      </c>
      <c r="H3867" t="s">
        <v>3357</v>
      </c>
      <c r="I3867" s="8">
        <v>46093</v>
      </c>
      <c r="J3867" t="s">
        <v>2685</v>
      </c>
      <c r="K3867" t="s">
        <v>2686</v>
      </c>
      <c r="L3867" s="13">
        <v>5000</v>
      </c>
      <c r="M3867" t="s">
        <v>2676</v>
      </c>
    </row>
    <row r="3868" spans="1:13">
      <c r="A3868" t="s">
        <v>1646</v>
      </c>
      <c r="B3868" t="s">
        <v>212</v>
      </c>
      <c r="C3868" s="8">
        <v>46081</v>
      </c>
      <c r="D3868" t="s">
        <v>321</v>
      </c>
      <c r="E3868" t="s">
        <v>328</v>
      </c>
      <c r="F3868" s="12">
        <v>160917</v>
      </c>
      <c r="G3868" s="13">
        <v>16</v>
      </c>
      <c r="H3868" t="s">
        <v>2760</v>
      </c>
      <c r="I3868" s="8">
        <v>46244</v>
      </c>
      <c r="J3868" t="s">
        <v>2668</v>
      </c>
      <c r="K3868" t="s">
        <v>2669</v>
      </c>
      <c r="L3868" s="13">
        <v>4000</v>
      </c>
      <c r="M3868" t="s">
        <v>2661</v>
      </c>
    </row>
    <row r="3869" spans="1:13">
      <c r="A3869" t="s">
        <v>1646</v>
      </c>
      <c r="B3869" t="s">
        <v>212</v>
      </c>
      <c r="C3869" s="8">
        <v>46081</v>
      </c>
      <c r="D3869" t="s">
        <v>321</v>
      </c>
      <c r="E3869" t="s">
        <v>328</v>
      </c>
      <c r="F3869" s="12">
        <v>160917</v>
      </c>
      <c r="G3869" s="13">
        <v>16</v>
      </c>
      <c r="H3869" t="s">
        <v>2935</v>
      </c>
      <c r="I3869" s="8">
        <v>46216</v>
      </c>
      <c r="J3869" t="s">
        <v>2665</v>
      </c>
      <c r="K3869" t="s">
        <v>2666</v>
      </c>
      <c r="L3869" s="13">
        <v>2500</v>
      </c>
      <c r="M3869" t="s">
        <v>2661</v>
      </c>
    </row>
    <row r="3870" spans="1:13">
      <c r="A3870" t="s">
        <v>1646</v>
      </c>
      <c r="B3870" t="s">
        <v>212</v>
      </c>
      <c r="C3870" s="8">
        <v>46081</v>
      </c>
      <c r="D3870" t="s">
        <v>321</v>
      </c>
      <c r="E3870" t="s">
        <v>328</v>
      </c>
      <c r="F3870" s="12">
        <v>160917</v>
      </c>
      <c r="G3870" s="13">
        <v>16</v>
      </c>
      <c r="H3870" t="s">
        <v>3100</v>
      </c>
      <c r="I3870" s="8">
        <v>46226</v>
      </c>
      <c r="J3870" t="s">
        <v>2665</v>
      </c>
      <c r="K3870" t="s">
        <v>2666</v>
      </c>
      <c r="L3870" s="13">
        <v>2500</v>
      </c>
      <c r="M3870" t="s">
        <v>2661</v>
      </c>
    </row>
    <row r="3871" spans="1:13">
      <c r="A3871" t="s">
        <v>1647</v>
      </c>
      <c r="B3871" t="s">
        <v>69</v>
      </c>
      <c r="C3871" s="8">
        <v>46175</v>
      </c>
      <c r="D3871" t="s">
        <v>332</v>
      </c>
      <c r="E3871" t="s">
        <v>334</v>
      </c>
      <c r="F3871" s="12">
        <v>237482</v>
      </c>
      <c r="G3871" s="13">
        <v>23</v>
      </c>
      <c r="H3871" t="s">
        <v>2723</v>
      </c>
      <c r="I3871" s="8">
        <v>46140</v>
      </c>
      <c r="J3871" t="s">
        <v>2688</v>
      </c>
      <c r="K3871" t="s">
        <v>2689</v>
      </c>
      <c r="L3871" s="13">
        <v>8000</v>
      </c>
      <c r="M3871" t="s">
        <v>2661</v>
      </c>
    </row>
    <row r="3872" spans="1:13">
      <c r="A3872" t="s">
        <v>1647</v>
      </c>
      <c r="B3872" t="s">
        <v>69</v>
      </c>
      <c r="C3872" s="8">
        <v>46175</v>
      </c>
      <c r="D3872" t="s">
        <v>332</v>
      </c>
      <c r="E3872" t="s">
        <v>334</v>
      </c>
      <c r="F3872" s="12">
        <v>237482</v>
      </c>
      <c r="G3872" s="13">
        <v>23</v>
      </c>
      <c r="H3872" t="s">
        <v>2822</v>
      </c>
      <c r="I3872" s="8">
        <v>46159</v>
      </c>
      <c r="J3872" t="s">
        <v>2668</v>
      </c>
      <c r="K3872" t="s">
        <v>2669</v>
      </c>
      <c r="L3872" s="13">
        <v>4000</v>
      </c>
      <c r="M3872" t="s">
        <v>2661</v>
      </c>
    </row>
    <row r="3873" spans="1:13">
      <c r="A3873" t="s">
        <v>1647</v>
      </c>
      <c r="B3873" t="s">
        <v>69</v>
      </c>
      <c r="C3873" s="8">
        <v>46175</v>
      </c>
      <c r="D3873" t="s">
        <v>332</v>
      </c>
      <c r="E3873" t="s">
        <v>334</v>
      </c>
      <c r="F3873" s="12">
        <v>237482</v>
      </c>
      <c r="G3873" s="13">
        <v>23</v>
      </c>
      <c r="H3873" t="s">
        <v>3513</v>
      </c>
      <c r="I3873" s="8">
        <v>46161</v>
      </c>
      <c r="J3873" t="s">
        <v>2692</v>
      </c>
      <c r="K3873" t="s">
        <v>2693</v>
      </c>
      <c r="L3873" s="13">
        <v>10000</v>
      </c>
      <c r="M3873" t="s">
        <v>2661</v>
      </c>
    </row>
    <row r="3874" spans="1:13">
      <c r="A3874" t="s">
        <v>1648</v>
      </c>
      <c r="B3874" t="s">
        <v>36</v>
      </c>
      <c r="C3874" s="8">
        <v>46154</v>
      </c>
      <c r="D3874" t="s">
        <v>342</v>
      </c>
      <c r="E3874" t="s">
        <v>328</v>
      </c>
      <c r="F3874" s="12">
        <v>46541</v>
      </c>
      <c r="G3874" s="13">
        <v>4</v>
      </c>
      <c r="H3874" t="s">
        <v>2780</v>
      </c>
      <c r="I3874" s="8">
        <v>46076</v>
      </c>
      <c r="J3874" t="s">
        <v>2671</v>
      </c>
      <c r="K3874" t="s">
        <v>2672</v>
      </c>
      <c r="L3874" s="13">
        <v>3000</v>
      </c>
      <c r="M3874" t="s">
        <v>2661</v>
      </c>
    </row>
    <row r="3875" spans="1:13">
      <c r="A3875" t="s">
        <v>1648</v>
      </c>
      <c r="B3875" t="s">
        <v>36</v>
      </c>
      <c r="C3875" s="8">
        <v>46154</v>
      </c>
      <c r="D3875" t="s">
        <v>342</v>
      </c>
      <c r="E3875" t="s">
        <v>328</v>
      </c>
      <c r="F3875" s="12">
        <v>46541</v>
      </c>
      <c r="G3875" s="13">
        <v>4</v>
      </c>
      <c r="H3875" t="s">
        <v>3169</v>
      </c>
      <c r="I3875" s="8">
        <v>46084</v>
      </c>
      <c r="J3875" t="s">
        <v>2685</v>
      </c>
      <c r="K3875" t="s">
        <v>2686</v>
      </c>
      <c r="L3875" s="13">
        <v>5000</v>
      </c>
      <c r="M3875" t="s">
        <v>2661</v>
      </c>
    </row>
    <row r="3876" spans="1:13">
      <c r="A3876" t="s">
        <v>1648</v>
      </c>
      <c r="B3876" t="s">
        <v>36</v>
      </c>
      <c r="C3876" s="8">
        <v>46154</v>
      </c>
      <c r="D3876" t="s">
        <v>342</v>
      </c>
      <c r="E3876" t="s">
        <v>328</v>
      </c>
      <c r="F3876" s="12">
        <v>46541</v>
      </c>
      <c r="G3876" s="13">
        <v>4</v>
      </c>
      <c r="H3876" t="s">
        <v>3458</v>
      </c>
      <c r="I3876" s="8">
        <v>45978</v>
      </c>
      <c r="J3876" t="s">
        <v>2665</v>
      </c>
      <c r="K3876" t="s">
        <v>2666</v>
      </c>
      <c r="L3876" s="13">
        <v>2500</v>
      </c>
      <c r="M3876" t="s">
        <v>2661</v>
      </c>
    </row>
    <row r="3877" spans="1:13">
      <c r="A3877" t="s">
        <v>1648</v>
      </c>
      <c r="B3877" t="s">
        <v>36</v>
      </c>
      <c r="C3877" s="8">
        <v>46154</v>
      </c>
      <c r="D3877" t="s">
        <v>342</v>
      </c>
      <c r="E3877" t="s">
        <v>328</v>
      </c>
      <c r="F3877" s="12">
        <v>46541</v>
      </c>
      <c r="G3877" s="13">
        <v>4</v>
      </c>
      <c r="H3877" t="s">
        <v>3521</v>
      </c>
      <c r="I3877" s="8">
        <v>45936</v>
      </c>
      <c r="J3877" t="s">
        <v>2674</v>
      </c>
      <c r="K3877" t="s">
        <v>2675</v>
      </c>
      <c r="L3877" s="13">
        <v>20000</v>
      </c>
      <c r="M3877" t="s">
        <v>2661</v>
      </c>
    </row>
    <row r="3878" spans="1:13">
      <c r="A3878" t="s">
        <v>1649</v>
      </c>
      <c r="B3878" t="s">
        <v>237</v>
      </c>
      <c r="C3878" s="8">
        <v>46005</v>
      </c>
      <c r="D3878" t="s">
        <v>350</v>
      </c>
      <c r="E3878" t="s">
        <v>337</v>
      </c>
      <c r="F3878" s="12">
        <v>147077</v>
      </c>
      <c r="G3878" s="13">
        <v>14</v>
      </c>
      <c r="H3878" t="s">
        <v>2750</v>
      </c>
      <c r="I3878" s="8">
        <v>46183</v>
      </c>
      <c r="J3878" t="s">
        <v>2659</v>
      </c>
      <c r="K3878" t="s">
        <v>2660</v>
      </c>
      <c r="L3878" s="13">
        <v>3500</v>
      </c>
      <c r="M3878" t="s">
        <v>2661</v>
      </c>
    </row>
    <row r="3879" spans="1:13">
      <c r="A3879" t="s">
        <v>1649</v>
      </c>
      <c r="B3879" t="s">
        <v>237</v>
      </c>
      <c r="C3879" s="8">
        <v>46005</v>
      </c>
      <c r="D3879" t="s">
        <v>350</v>
      </c>
      <c r="E3879" t="s">
        <v>337</v>
      </c>
      <c r="F3879" s="12">
        <v>147077</v>
      </c>
      <c r="G3879" s="13">
        <v>14</v>
      </c>
      <c r="H3879" t="s">
        <v>2787</v>
      </c>
      <c r="I3879" s="8">
        <v>46144</v>
      </c>
      <c r="J3879" t="s">
        <v>2692</v>
      </c>
      <c r="K3879" t="s">
        <v>2693</v>
      </c>
      <c r="L3879" s="13">
        <v>10000</v>
      </c>
      <c r="M3879" t="s">
        <v>2661</v>
      </c>
    </row>
    <row r="3880" spans="1:13">
      <c r="A3880" t="s">
        <v>1649</v>
      </c>
      <c r="B3880" t="s">
        <v>237</v>
      </c>
      <c r="C3880" s="8">
        <v>46005</v>
      </c>
      <c r="D3880" t="s">
        <v>350</v>
      </c>
      <c r="E3880" t="s">
        <v>337</v>
      </c>
      <c r="F3880" s="12">
        <v>147077</v>
      </c>
      <c r="G3880" s="13">
        <v>14</v>
      </c>
      <c r="H3880" t="s">
        <v>3055</v>
      </c>
      <c r="I3880" s="8">
        <v>46201</v>
      </c>
      <c r="J3880" t="s">
        <v>2659</v>
      </c>
      <c r="K3880" t="s">
        <v>2660</v>
      </c>
      <c r="L3880" s="13">
        <v>3500</v>
      </c>
      <c r="M3880" t="s">
        <v>2661</v>
      </c>
    </row>
    <row r="3881" spans="1:13">
      <c r="A3881" t="s">
        <v>1649</v>
      </c>
      <c r="B3881" t="s">
        <v>237</v>
      </c>
      <c r="C3881" s="8">
        <v>46005</v>
      </c>
      <c r="D3881" t="s">
        <v>350</v>
      </c>
      <c r="E3881" t="s">
        <v>337</v>
      </c>
      <c r="F3881" s="12">
        <v>147077</v>
      </c>
      <c r="G3881" s="13">
        <v>14</v>
      </c>
      <c r="H3881" t="s">
        <v>3067</v>
      </c>
      <c r="I3881" s="8">
        <v>46122</v>
      </c>
      <c r="J3881" t="s">
        <v>2668</v>
      </c>
      <c r="K3881" t="s">
        <v>2669</v>
      </c>
      <c r="L3881" s="13">
        <v>4000</v>
      </c>
      <c r="M3881" t="s">
        <v>2661</v>
      </c>
    </row>
    <row r="3882" spans="1:13">
      <c r="A3882" t="s">
        <v>1649</v>
      </c>
      <c r="B3882" t="s">
        <v>237</v>
      </c>
      <c r="C3882" s="8">
        <v>46005</v>
      </c>
      <c r="D3882" t="s">
        <v>350</v>
      </c>
      <c r="E3882" t="s">
        <v>337</v>
      </c>
      <c r="F3882" s="12">
        <v>147077</v>
      </c>
      <c r="G3882" s="13">
        <v>14</v>
      </c>
      <c r="H3882" t="s">
        <v>3130</v>
      </c>
      <c r="I3882" s="8">
        <v>46003</v>
      </c>
      <c r="J3882" t="s">
        <v>2663</v>
      </c>
      <c r="K3882" t="s">
        <v>3630</v>
      </c>
      <c r="L3882" s="13">
        <v>1500</v>
      </c>
      <c r="M3882" t="s">
        <v>2661</v>
      </c>
    </row>
    <row r="3883" spans="1:13">
      <c r="A3883" t="s">
        <v>1649</v>
      </c>
      <c r="B3883" t="s">
        <v>237</v>
      </c>
      <c r="C3883" s="8">
        <v>46005</v>
      </c>
      <c r="D3883" t="s">
        <v>350</v>
      </c>
      <c r="E3883" t="s">
        <v>337</v>
      </c>
      <c r="F3883" s="12">
        <v>147077</v>
      </c>
      <c r="G3883" s="13">
        <v>14</v>
      </c>
      <c r="H3883" t="s">
        <v>3258</v>
      </c>
      <c r="I3883" s="8">
        <v>45979</v>
      </c>
      <c r="J3883" t="s">
        <v>2692</v>
      </c>
      <c r="K3883" t="s">
        <v>2693</v>
      </c>
      <c r="L3883" s="13">
        <v>10000</v>
      </c>
      <c r="M3883" t="s">
        <v>2661</v>
      </c>
    </row>
    <row r="3884" spans="1:13">
      <c r="A3884" t="s">
        <v>1649</v>
      </c>
      <c r="B3884" t="s">
        <v>237</v>
      </c>
      <c r="C3884" s="8">
        <v>46005</v>
      </c>
      <c r="D3884" t="s">
        <v>350</v>
      </c>
      <c r="E3884" t="s">
        <v>337</v>
      </c>
      <c r="F3884" s="12">
        <v>147077</v>
      </c>
      <c r="G3884" s="13">
        <v>14</v>
      </c>
      <c r="H3884" t="s">
        <v>3276</v>
      </c>
      <c r="I3884" s="8">
        <v>46127</v>
      </c>
      <c r="J3884" t="s">
        <v>2682</v>
      </c>
      <c r="K3884" t="s">
        <v>2683</v>
      </c>
      <c r="L3884" s="13">
        <v>6000</v>
      </c>
      <c r="M3884" t="s">
        <v>2661</v>
      </c>
    </row>
    <row r="3885" spans="1:13">
      <c r="A3885" t="s">
        <v>1650</v>
      </c>
      <c r="B3885" t="s">
        <v>16</v>
      </c>
      <c r="C3885" s="8">
        <v>45943</v>
      </c>
      <c r="D3885" t="s">
        <v>327</v>
      </c>
      <c r="E3885" t="s">
        <v>339</v>
      </c>
      <c r="F3885" s="12">
        <v>336138</v>
      </c>
      <c r="G3885" s="13">
        <v>33</v>
      </c>
      <c r="H3885" t="s">
        <v>2886</v>
      </c>
      <c r="I3885" s="8">
        <v>46006</v>
      </c>
      <c r="J3885" t="s">
        <v>2659</v>
      </c>
      <c r="K3885" t="s">
        <v>2660</v>
      </c>
      <c r="L3885" s="13">
        <v>3500</v>
      </c>
      <c r="M3885" t="s">
        <v>2661</v>
      </c>
    </row>
    <row r="3886" spans="1:13">
      <c r="A3886" t="s">
        <v>1650</v>
      </c>
      <c r="B3886" t="s">
        <v>16</v>
      </c>
      <c r="C3886" s="8">
        <v>45943</v>
      </c>
      <c r="D3886" t="s">
        <v>327</v>
      </c>
      <c r="E3886" t="s">
        <v>339</v>
      </c>
      <c r="F3886" s="12">
        <v>336138</v>
      </c>
      <c r="G3886" s="13">
        <v>33</v>
      </c>
      <c r="H3886" t="s">
        <v>3402</v>
      </c>
      <c r="I3886" s="8">
        <v>46050</v>
      </c>
      <c r="J3886" t="s">
        <v>2668</v>
      </c>
      <c r="K3886" t="s">
        <v>2669</v>
      </c>
      <c r="L3886" s="13">
        <v>4000</v>
      </c>
      <c r="M3886" t="s">
        <v>2661</v>
      </c>
    </row>
    <row r="3887" spans="1:13">
      <c r="A3887" t="s">
        <v>1651</v>
      </c>
      <c r="B3887" t="s">
        <v>164</v>
      </c>
      <c r="C3887" s="8">
        <v>46192</v>
      </c>
      <c r="D3887" t="s">
        <v>324</v>
      </c>
      <c r="E3887" t="s">
        <v>337</v>
      </c>
      <c r="F3887" s="12">
        <v>403149</v>
      </c>
      <c r="G3887" s="13">
        <v>40</v>
      </c>
      <c r="H3887" t="s">
        <v>2971</v>
      </c>
      <c r="I3887" s="8">
        <v>46018</v>
      </c>
      <c r="J3887" t="s">
        <v>2665</v>
      </c>
      <c r="K3887" t="s">
        <v>2666</v>
      </c>
      <c r="L3887" s="13">
        <v>2500</v>
      </c>
      <c r="M3887" t="s">
        <v>2661</v>
      </c>
    </row>
    <row r="3888" spans="1:13">
      <c r="A3888" t="s">
        <v>1651</v>
      </c>
      <c r="B3888" t="s">
        <v>164</v>
      </c>
      <c r="C3888" s="8">
        <v>46192</v>
      </c>
      <c r="D3888" t="s">
        <v>324</v>
      </c>
      <c r="E3888" t="s">
        <v>337</v>
      </c>
      <c r="F3888" s="12">
        <v>403149</v>
      </c>
      <c r="G3888" s="13">
        <v>40</v>
      </c>
      <c r="H3888" t="s">
        <v>3109</v>
      </c>
      <c r="I3888" s="8">
        <v>46204</v>
      </c>
      <c r="J3888" t="s">
        <v>2668</v>
      </c>
      <c r="K3888" t="s">
        <v>2669</v>
      </c>
      <c r="L3888" s="13">
        <v>4000</v>
      </c>
      <c r="M3888" t="s">
        <v>2676</v>
      </c>
    </row>
    <row r="3889" spans="1:13">
      <c r="A3889" t="s">
        <v>1651</v>
      </c>
      <c r="B3889" t="s">
        <v>164</v>
      </c>
      <c r="C3889" s="8">
        <v>46192</v>
      </c>
      <c r="D3889" t="s">
        <v>324</v>
      </c>
      <c r="E3889" t="s">
        <v>337</v>
      </c>
      <c r="F3889" s="12">
        <v>403149</v>
      </c>
      <c r="G3889" s="13">
        <v>40</v>
      </c>
      <c r="H3889" t="s">
        <v>3298</v>
      </c>
      <c r="I3889" s="8">
        <v>46208</v>
      </c>
      <c r="J3889" t="s">
        <v>2692</v>
      </c>
      <c r="K3889" t="s">
        <v>2693</v>
      </c>
      <c r="L3889" s="13">
        <v>10000</v>
      </c>
      <c r="M3889" t="s">
        <v>2661</v>
      </c>
    </row>
    <row r="3890" spans="1:13">
      <c r="A3890" t="s">
        <v>1651</v>
      </c>
      <c r="B3890" t="s">
        <v>164</v>
      </c>
      <c r="C3890" s="8">
        <v>46192</v>
      </c>
      <c r="D3890" t="s">
        <v>324</v>
      </c>
      <c r="E3890" t="s">
        <v>337</v>
      </c>
      <c r="F3890" s="12">
        <v>403149</v>
      </c>
      <c r="G3890" s="13">
        <v>40</v>
      </c>
      <c r="H3890" t="s">
        <v>3523</v>
      </c>
      <c r="I3890" s="8">
        <v>46098</v>
      </c>
      <c r="J3890" t="s">
        <v>2659</v>
      </c>
      <c r="K3890" t="s">
        <v>2660</v>
      </c>
      <c r="L3890" s="13">
        <v>3500</v>
      </c>
      <c r="M3890" t="s">
        <v>2661</v>
      </c>
    </row>
    <row r="3891" spans="1:13">
      <c r="A3891" t="s">
        <v>1652</v>
      </c>
      <c r="B3891" t="s">
        <v>224</v>
      </c>
      <c r="C3891" s="8">
        <v>46118</v>
      </c>
      <c r="D3891" t="s">
        <v>327</v>
      </c>
      <c r="E3891" t="s">
        <v>328</v>
      </c>
      <c r="F3891" s="12">
        <v>301928</v>
      </c>
      <c r="G3891" s="13">
        <v>30</v>
      </c>
      <c r="H3891" t="s">
        <v>2735</v>
      </c>
      <c r="I3891" s="8">
        <v>45968</v>
      </c>
      <c r="J3891" t="s">
        <v>2682</v>
      </c>
      <c r="K3891" t="s">
        <v>2683</v>
      </c>
      <c r="L3891" s="13">
        <v>6000</v>
      </c>
      <c r="M3891" t="s">
        <v>2661</v>
      </c>
    </row>
    <row r="3892" spans="1:13">
      <c r="A3892" t="s">
        <v>1652</v>
      </c>
      <c r="B3892" t="s">
        <v>224</v>
      </c>
      <c r="C3892" s="8">
        <v>46118</v>
      </c>
      <c r="D3892" t="s">
        <v>327</v>
      </c>
      <c r="E3892" t="s">
        <v>328</v>
      </c>
      <c r="F3892" s="12">
        <v>301928</v>
      </c>
      <c r="G3892" s="13">
        <v>30</v>
      </c>
      <c r="H3892" t="s">
        <v>3406</v>
      </c>
      <c r="I3892" s="8">
        <v>46193</v>
      </c>
      <c r="J3892" t="s">
        <v>2682</v>
      </c>
      <c r="K3892" t="s">
        <v>2683</v>
      </c>
      <c r="L3892" s="13">
        <v>6000</v>
      </c>
      <c r="M3892" t="s">
        <v>2676</v>
      </c>
    </row>
    <row r="3893" spans="1:13">
      <c r="A3893" t="s">
        <v>1652</v>
      </c>
      <c r="B3893" t="s">
        <v>224</v>
      </c>
      <c r="C3893" s="8">
        <v>46118</v>
      </c>
      <c r="D3893" t="s">
        <v>327</v>
      </c>
      <c r="E3893" t="s">
        <v>328</v>
      </c>
      <c r="F3893" s="12">
        <v>301928</v>
      </c>
      <c r="G3893" s="13">
        <v>30</v>
      </c>
      <c r="H3893" t="s">
        <v>3410</v>
      </c>
      <c r="I3893" s="8">
        <v>45967</v>
      </c>
      <c r="J3893" t="s">
        <v>2692</v>
      </c>
      <c r="K3893" t="s">
        <v>2693</v>
      </c>
      <c r="L3893" s="13">
        <v>10000</v>
      </c>
      <c r="M3893" t="s">
        <v>2661</v>
      </c>
    </row>
    <row r="3894" spans="1:13">
      <c r="A3894" t="s">
        <v>1653</v>
      </c>
      <c r="B3894" t="s">
        <v>3</v>
      </c>
      <c r="C3894" s="8">
        <v>46190</v>
      </c>
      <c r="D3894" t="s">
        <v>324</v>
      </c>
      <c r="E3894" t="s">
        <v>322</v>
      </c>
      <c r="F3894" s="12">
        <v>143625</v>
      </c>
      <c r="G3894" s="13">
        <v>14</v>
      </c>
      <c r="H3894" t="s">
        <v>2703</v>
      </c>
      <c r="I3894" s="8">
        <v>46032</v>
      </c>
      <c r="J3894" t="s">
        <v>2668</v>
      </c>
      <c r="K3894" t="s">
        <v>2669</v>
      </c>
      <c r="L3894" s="13">
        <v>4000</v>
      </c>
      <c r="M3894" t="s">
        <v>2661</v>
      </c>
    </row>
    <row r="3895" spans="1:13">
      <c r="A3895" t="s">
        <v>1653</v>
      </c>
      <c r="B3895" t="s">
        <v>3</v>
      </c>
      <c r="C3895" s="8">
        <v>46190</v>
      </c>
      <c r="D3895" t="s">
        <v>324</v>
      </c>
      <c r="E3895" t="s">
        <v>322</v>
      </c>
      <c r="F3895" s="12">
        <v>143625</v>
      </c>
      <c r="G3895" s="13">
        <v>14</v>
      </c>
      <c r="H3895" t="s">
        <v>3148</v>
      </c>
      <c r="I3895" s="8">
        <v>46264</v>
      </c>
      <c r="J3895" t="s">
        <v>2682</v>
      </c>
      <c r="K3895" t="s">
        <v>2683</v>
      </c>
      <c r="L3895" s="13">
        <v>6000</v>
      </c>
      <c r="M3895" t="s">
        <v>2661</v>
      </c>
    </row>
    <row r="3896" spans="1:13">
      <c r="A3896" t="s">
        <v>1654</v>
      </c>
      <c r="B3896" t="s">
        <v>3</v>
      </c>
      <c r="C3896" s="8">
        <v>46075</v>
      </c>
      <c r="D3896" t="s">
        <v>324</v>
      </c>
      <c r="E3896" t="s">
        <v>339</v>
      </c>
      <c r="F3896" s="12">
        <v>76695</v>
      </c>
      <c r="G3896" s="13">
        <v>7</v>
      </c>
      <c r="H3896" t="s">
        <v>2703</v>
      </c>
      <c r="I3896" s="8">
        <v>46032</v>
      </c>
      <c r="J3896" t="s">
        <v>2668</v>
      </c>
      <c r="K3896" t="s">
        <v>2669</v>
      </c>
      <c r="L3896" s="13">
        <v>4000</v>
      </c>
      <c r="M3896" t="s">
        <v>2661</v>
      </c>
    </row>
    <row r="3897" spans="1:13">
      <c r="A3897" t="s">
        <v>1654</v>
      </c>
      <c r="B3897" t="s">
        <v>3</v>
      </c>
      <c r="C3897" s="8">
        <v>46075</v>
      </c>
      <c r="D3897" t="s">
        <v>324</v>
      </c>
      <c r="E3897" t="s">
        <v>339</v>
      </c>
      <c r="F3897" s="12">
        <v>76695</v>
      </c>
      <c r="G3897" s="13">
        <v>7</v>
      </c>
      <c r="H3897" t="s">
        <v>3148</v>
      </c>
      <c r="I3897" s="8">
        <v>46264</v>
      </c>
      <c r="J3897" t="s">
        <v>2682</v>
      </c>
      <c r="K3897" t="s">
        <v>2683</v>
      </c>
      <c r="L3897" s="13">
        <v>6000</v>
      </c>
      <c r="M3897" t="s">
        <v>2661</v>
      </c>
    </row>
    <row r="3898" spans="1:13">
      <c r="A3898" t="s">
        <v>1655</v>
      </c>
      <c r="B3898" t="s">
        <v>255</v>
      </c>
      <c r="C3898" s="8">
        <v>46226</v>
      </c>
      <c r="D3898" t="s">
        <v>321</v>
      </c>
      <c r="E3898" t="s">
        <v>328</v>
      </c>
      <c r="F3898" s="12">
        <v>123371</v>
      </c>
      <c r="G3898" s="13">
        <v>12</v>
      </c>
      <c r="H3898" t="s">
        <v>2956</v>
      </c>
      <c r="I3898" s="8">
        <v>45952</v>
      </c>
      <c r="J3898" t="s">
        <v>2674</v>
      </c>
      <c r="K3898" t="s">
        <v>2675</v>
      </c>
      <c r="L3898" s="13">
        <v>20000</v>
      </c>
      <c r="M3898" t="s">
        <v>2676</v>
      </c>
    </row>
    <row r="3899" spans="1:13">
      <c r="A3899" t="s">
        <v>1655</v>
      </c>
      <c r="B3899" t="s">
        <v>255</v>
      </c>
      <c r="C3899" s="8">
        <v>46226</v>
      </c>
      <c r="D3899" t="s">
        <v>321</v>
      </c>
      <c r="E3899" t="s">
        <v>328</v>
      </c>
      <c r="F3899" s="12">
        <v>123371</v>
      </c>
      <c r="G3899" s="13">
        <v>12</v>
      </c>
      <c r="H3899" t="s">
        <v>3223</v>
      </c>
      <c r="I3899" s="8">
        <v>46198</v>
      </c>
      <c r="J3899" t="s">
        <v>2665</v>
      </c>
      <c r="K3899" t="s">
        <v>2666</v>
      </c>
      <c r="L3899" s="13">
        <v>2500</v>
      </c>
      <c r="M3899" t="s">
        <v>2661</v>
      </c>
    </row>
    <row r="3900" spans="1:13">
      <c r="A3900" t="s">
        <v>1655</v>
      </c>
      <c r="B3900" t="s">
        <v>255</v>
      </c>
      <c r="C3900" s="8">
        <v>46226</v>
      </c>
      <c r="D3900" t="s">
        <v>321</v>
      </c>
      <c r="E3900" t="s">
        <v>328</v>
      </c>
      <c r="F3900" s="12">
        <v>123371</v>
      </c>
      <c r="G3900" s="13">
        <v>12</v>
      </c>
      <c r="H3900" t="s">
        <v>3323</v>
      </c>
      <c r="I3900" s="8">
        <v>46169</v>
      </c>
      <c r="J3900" t="s">
        <v>2682</v>
      </c>
      <c r="K3900" t="s">
        <v>2683</v>
      </c>
      <c r="L3900" s="13">
        <v>6000</v>
      </c>
      <c r="M3900" t="s">
        <v>2676</v>
      </c>
    </row>
    <row r="3901" spans="1:13">
      <c r="A3901" t="s">
        <v>1656</v>
      </c>
      <c r="B3901" t="s">
        <v>280</v>
      </c>
      <c r="C3901" s="8">
        <v>46280</v>
      </c>
      <c r="D3901" t="s">
        <v>350</v>
      </c>
      <c r="E3901" t="s">
        <v>325</v>
      </c>
      <c r="F3901" s="12">
        <v>300045</v>
      </c>
      <c r="G3901" s="13">
        <v>30</v>
      </c>
      <c r="H3901" t="s">
        <v>2673</v>
      </c>
      <c r="I3901" s="8">
        <v>46091</v>
      </c>
      <c r="J3901" t="s">
        <v>2674</v>
      </c>
      <c r="K3901" t="s">
        <v>2675</v>
      </c>
      <c r="L3901" s="13">
        <v>20000</v>
      </c>
      <c r="M3901" t="s">
        <v>2676</v>
      </c>
    </row>
    <row r="3902" spans="1:13">
      <c r="A3902" t="s">
        <v>1656</v>
      </c>
      <c r="B3902" t="s">
        <v>280</v>
      </c>
      <c r="C3902" s="8">
        <v>46280</v>
      </c>
      <c r="D3902" t="s">
        <v>350</v>
      </c>
      <c r="E3902" t="s">
        <v>325</v>
      </c>
      <c r="F3902" s="12">
        <v>300045</v>
      </c>
      <c r="G3902" s="13">
        <v>30</v>
      </c>
      <c r="H3902" t="s">
        <v>2924</v>
      </c>
      <c r="I3902" s="8">
        <v>46275</v>
      </c>
      <c r="J3902" t="s">
        <v>2663</v>
      </c>
      <c r="K3902" t="s">
        <v>3630</v>
      </c>
      <c r="L3902" s="13">
        <v>1500</v>
      </c>
      <c r="M3902" t="s">
        <v>2661</v>
      </c>
    </row>
    <row r="3903" spans="1:13">
      <c r="A3903" t="s">
        <v>1656</v>
      </c>
      <c r="B3903" t="s">
        <v>280</v>
      </c>
      <c r="C3903" s="8">
        <v>46280</v>
      </c>
      <c r="D3903" t="s">
        <v>350</v>
      </c>
      <c r="E3903" t="s">
        <v>325</v>
      </c>
      <c r="F3903" s="12">
        <v>300045</v>
      </c>
      <c r="G3903" s="13">
        <v>30</v>
      </c>
      <c r="H3903" t="s">
        <v>3163</v>
      </c>
      <c r="I3903" s="8">
        <v>46279</v>
      </c>
      <c r="J3903" t="s">
        <v>2668</v>
      </c>
      <c r="K3903" t="s">
        <v>2669</v>
      </c>
      <c r="L3903" s="13">
        <v>4000</v>
      </c>
      <c r="M3903" t="s">
        <v>2661</v>
      </c>
    </row>
    <row r="3904" spans="1:13">
      <c r="A3904" t="s">
        <v>1656</v>
      </c>
      <c r="B3904" t="s">
        <v>280</v>
      </c>
      <c r="C3904" s="8">
        <v>46280</v>
      </c>
      <c r="D3904" t="s">
        <v>350</v>
      </c>
      <c r="E3904" t="s">
        <v>325</v>
      </c>
      <c r="F3904" s="12">
        <v>300045</v>
      </c>
      <c r="G3904" s="13">
        <v>30</v>
      </c>
      <c r="H3904" t="s">
        <v>3286</v>
      </c>
      <c r="I3904" s="8">
        <v>46224</v>
      </c>
      <c r="J3904" t="s">
        <v>2685</v>
      </c>
      <c r="K3904" t="s">
        <v>2686</v>
      </c>
      <c r="L3904" s="13">
        <v>5000</v>
      </c>
      <c r="M3904" t="s">
        <v>2661</v>
      </c>
    </row>
    <row r="3905" spans="1:13">
      <c r="A3905" t="s">
        <v>1656</v>
      </c>
      <c r="B3905" t="s">
        <v>280</v>
      </c>
      <c r="C3905" s="8">
        <v>46280</v>
      </c>
      <c r="D3905" t="s">
        <v>350</v>
      </c>
      <c r="E3905" t="s">
        <v>325</v>
      </c>
      <c r="F3905" s="12">
        <v>300045</v>
      </c>
      <c r="G3905" s="13">
        <v>30</v>
      </c>
      <c r="H3905" t="s">
        <v>3400</v>
      </c>
      <c r="I3905" s="8">
        <v>46126</v>
      </c>
      <c r="J3905" t="s">
        <v>2692</v>
      </c>
      <c r="K3905" t="s">
        <v>2693</v>
      </c>
      <c r="L3905" s="13">
        <v>10000</v>
      </c>
      <c r="M3905" t="s">
        <v>2661</v>
      </c>
    </row>
    <row r="3906" spans="1:13">
      <c r="A3906" t="s">
        <v>1656</v>
      </c>
      <c r="B3906" t="s">
        <v>280</v>
      </c>
      <c r="C3906" s="8">
        <v>46280</v>
      </c>
      <c r="D3906" t="s">
        <v>350</v>
      </c>
      <c r="E3906" t="s">
        <v>325</v>
      </c>
      <c r="F3906" s="12">
        <v>300045</v>
      </c>
      <c r="G3906" s="13">
        <v>30</v>
      </c>
      <c r="H3906" t="s">
        <v>3535</v>
      </c>
      <c r="I3906" s="8">
        <v>46274</v>
      </c>
      <c r="J3906" t="s">
        <v>2659</v>
      </c>
      <c r="K3906" t="s">
        <v>2660</v>
      </c>
      <c r="L3906" s="13">
        <v>3500</v>
      </c>
      <c r="M3906" t="s">
        <v>2661</v>
      </c>
    </row>
    <row r="3907" spans="1:13">
      <c r="A3907" t="s">
        <v>1658</v>
      </c>
      <c r="B3907" t="s">
        <v>176</v>
      </c>
      <c r="C3907" s="8">
        <v>46017</v>
      </c>
      <c r="D3907" t="s">
        <v>344</v>
      </c>
      <c r="E3907" t="s">
        <v>334</v>
      </c>
      <c r="F3907" s="12">
        <v>417379</v>
      </c>
      <c r="G3907" s="13">
        <v>41</v>
      </c>
      <c r="H3907" t="s">
        <v>2717</v>
      </c>
      <c r="I3907" s="8">
        <v>46184</v>
      </c>
      <c r="J3907" t="s">
        <v>2692</v>
      </c>
      <c r="K3907" t="s">
        <v>2693</v>
      </c>
      <c r="L3907" s="13">
        <v>10000</v>
      </c>
      <c r="M3907" t="s">
        <v>2661</v>
      </c>
    </row>
    <row r="3908" spans="1:13">
      <c r="A3908" t="s">
        <v>1658</v>
      </c>
      <c r="B3908" t="s">
        <v>176</v>
      </c>
      <c r="C3908" s="8">
        <v>46017</v>
      </c>
      <c r="D3908" t="s">
        <v>344</v>
      </c>
      <c r="E3908" t="s">
        <v>334</v>
      </c>
      <c r="F3908" s="12">
        <v>417379</v>
      </c>
      <c r="G3908" s="13">
        <v>41</v>
      </c>
      <c r="H3908" t="s">
        <v>3103</v>
      </c>
      <c r="I3908" s="8">
        <v>46188</v>
      </c>
      <c r="J3908" t="s">
        <v>2692</v>
      </c>
      <c r="K3908" t="s">
        <v>2693</v>
      </c>
      <c r="L3908" s="13">
        <v>10000</v>
      </c>
      <c r="M3908" t="s">
        <v>2661</v>
      </c>
    </row>
    <row r="3909" spans="1:13">
      <c r="A3909" t="s">
        <v>1658</v>
      </c>
      <c r="B3909" t="s">
        <v>176</v>
      </c>
      <c r="C3909" s="8">
        <v>46017</v>
      </c>
      <c r="D3909" t="s">
        <v>344</v>
      </c>
      <c r="E3909" t="s">
        <v>334</v>
      </c>
      <c r="F3909" s="12">
        <v>417379</v>
      </c>
      <c r="G3909" s="13">
        <v>41</v>
      </c>
      <c r="H3909" t="s">
        <v>3218</v>
      </c>
      <c r="I3909" s="8">
        <v>46220</v>
      </c>
      <c r="J3909" t="s">
        <v>2665</v>
      </c>
      <c r="K3909" t="s">
        <v>2666</v>
      </c>
      <c r="L3909" s="13">
        <v>2500</v>
      </c>
      <c r="M3909" t="s">
        <v>2661</v>
      </c>
    </row>
    <row r="3910" spans="1:13">
      <c r="A3910" t="s">
        <v>1658</v>
      </c>
      <c r="B3910" t="s">
        <v>176</v>
      </c>
      <c r="C3910" s="8">
        <v>46017</v>
      </c>
      <c r="D3910" t="s">
        <v>344</v>
      </c>
      <c r="E3910" t="s">
        <v>334</v>
      </c>
      <c r="F3910" s="12">
        <v>417379</v>
      </c>
      <c r="G3910" s="13">
        <v>41</v>
      </c>
      <c r="H3910" t="s">
        <v>3249</v>
      </c>
      <c r="I3910" s="8">
        <v>46152</v>
      </c>
      <c r="J3910" t="s">
        <v>2688</v>
      </c>
      <c r="K3910" t="s">
        <v>2689</v>
      </c>
      <c r="L3910" s="13">
        <v>8000</v>
      </c>
      <c r="M3910" t="s">
        <v>2661</v>
      </c>
    </row>
    <row r="3911" spans="1:13">
      <c r="A3911" t="s">
        <v>1658</v>
      </c>
      <c r="B3911" t="s">
        <v>176</v>
      </c>
      <c r="C3911" s="8">
        <v>46017</v>
      </c>
      <c r="D3911" t="s">
        <v>344</v>
      </c>
      <c r="E3911" t="s">
        <v>334</v>
      </c>
      <c r="F3911" s="12">
        <v>417379</v>
      </c>
      <c r="G3911" s="13">
        <v>41</v>
      </c>
      <c r="H3911" t="s">
        <v>3517</v>
      </c>
      <c r="I3911" s="8">
        <v>45968</v>
      </c>
      <c r="J3911" t="s">
        <v>2663</v>
      </c>
      <c r="K3911" t="s">
        <v>3630</v>
      </c>
      <c r="L3911" s="13">
        <v>1500</v>
      </c>
      <c r="M3911" t="s">
        <v>2661</v>
      </c>
    </row>
    <row r="3912" spans="1:13">
      <c r="A3912" t="s">
        <v>1658</v>
      </c>
      <c r="B3912" t="s">
        <v>176</v>
      </c>
      <c r="C3912" s="8">
        <v>46017</v>
      </c>
      <c r="D3912" t="s">
        <v>344</v>
      </c>
      <c r="E3912" t="s">
        <v>334</v>
      </c>
      <c r="F3912" s="12">
        <v>417379</v>
      </c>
      <c r="G3912" s="13">
        <v>41</v>
      </c>
      <c r="H3912" t="s">
        <v>3532</v>
      </c>
      <c r="I3912" s="8">
        <v>46081</v>
      </c>
      <c r="J3912" t="s">
        <v>2671</v>
      </c>
      <c r="K3912" t="s">
        <v>2672</v>
      </c>
      <c r="L3912" s="13">
        <v>3000</v>
      </c>
      <c r="M3912" t="s">
        <v>2661</v>
      </c>
    </row>
    <row r="3913" spans="1:13">
      <c r="A3913" t="s">
        <v>1659</v>
      </c>
      <c r="B3913" t="s">
        <v>290</v>
      </c>
      <c r="C3913" s="8">
        <v>46157</v>
      </c>
      <c r="D3913" t="s">
        <v>327</v>
      </c>
      <c r="E3913" t="s">
        <v>328</v>
      </c>
      <c r="F3913" s="12">
        <v>300186</v>
      </c>
      <c r="G3913" s="13">
        <v>30</v>
      </c>
      <c r="H3913" t="s">
        <v>3253</v>
      </c>
      <c r="I3913" s="8">
        <v>46053</v>
      </c>
      <c r="J3913" t="s">
        <v>2688</v>
      </c>
      <c r="K3913" t="s">
        <v>2689</v>
      </c>
      <c r="L3913" s="13">
        <v>8000</v>
      </c>
      <c r="M3913" t="s">
        <v>2661</v>
      </c>
    </row>
    <row r="3914" spans="1:13">
      <c r="A3914" t="s">
        <v>1659</v>
      </c>
      <c r="B3914" t="s">
        <v>290</v>
      </c>
      <c r="C3914" s="8">
        <v>46157</v>
      </c>
      <c r="D3914" t="s">
        <v>327</v>
      </c>
      <c r="E3914" t="s">
        <v>328</v>
      </c>
      <c r="F3914" s="12">
        <v>300186</v>
      </c>
      <c r="G3914" s="13">
        <v>30</v>
      </c>
      <c r="H3914" t="s">
        <v>3256</v>
      </c>
      <c r="I3914" s="8">
        <v>45968</v>
      </c>
      <c r="J3914" t="s">
        <v>2688</v>
      </c>
      <c r="K3914" t="s">
        <v>2689</v>
      </c>
      <c r="L3914" s="13">
        <v>8000</v>
      </c>
      <c r="M3914" t="s">
        <v>2676</v>
      </c>
    </row>
    <row r="3915" spans="1:13">
      <c r="A3915" t="s">
        <v>1660</v>
      </c>
      <c r="B3915" t="s">
        <v>206</v>
      </c>
      <c r="C3915" s="8">
        <v>46079</v>
      </c>
      <c r="D3915" t="s">
        <v>342</v>
      </c>
      <c r="E3915" t="s">
        <v>337</v>
      </c>
      <c r="F3915" s="12">
        <v>626740</v>
      </c>
      <c r="G3915" s="13">
        <v>62</v>
      </c>
      <c r="H3915" t="s">
        <v>2868</v>
      </c>
      <c r="I3915" s="8">
        <v>45937</v>
      </c>
      <c r="J3915" t="s">
        <v>2688</v>
      </c>
      <c r="K3915" t="s">
        <v>2689</v>
      </c>
      <c r="L3915" s="13">
        <v>8000</v>
      </c>
      <c r="M3915" t="s">
        <v>2661</v>
      </c>
    </row>
    <row r="3916" spans="1:13">
      <c r="A3916" t="s">
        <v>1660</v>
      </c>
      <c r="B3916" t="s">
        <v>206</v>
      </c>
      <c r="C3916" s="8">
        <v>46079</v>
      </c>
      <c r="D3916" t="s">
        <v>342</v>
      </c>
      <c r="E3916" t="s">
        <v>337</v>
      </c>
      <c r="F3916" s="12">
        <v>626740</v>
      </c>
      <c r="G3916" s="13">
        <v>62</v>
      </c>
      <c r="H3916" t="s">
        <v>2915</v>
      </c>
      <c r="I3916" s="8">
        <v>45941</v>
      </c>
      <c r="J3916" t="s">
        <v>2659</v>
      </c>
      <c r="K3916" t="s">
        <v>2660</v>
      </c>
      <c r="L3916" s="13">
        <v>3500</v>
      </c>
      <c r="M3916" t="s">
        <v>2661</v>
      </c>
    </row>
    <row r="3917" spans="1:13">
      <c r="A3917" t="s">
        <v>1660</v>
      </c>
      <c r="B3917" t="s">
        <v>206</v>
      </c>
      <c r="C3917" s="8">
        <v>46079</v>
      </c>
      <c r="D3917" t="s">
        <v>342</v>
      </c>
      <c r="E3917" t="s">
        <v>337</v>
      </c>
      <c r="F3917" s="12">
        <v>626740</v>
      </c>
      <c r="G3917" s="13">
        <v>62</v>
      </c>
      <c r="H3917" t="s">
        <v>3362</v>
      </c>
      <c r="I3917" s="8">
        <v>46007</v>
      </c>
      <c r="J3917" t="s">
        <v>2685</v>
      </c>
      <c r="K3917" t="s">
        <v>2686</v>
      </c>
      <c r="L3917" s="13">
        <v>5000</v>
      </c>
      <c r="M3917" t="s">
        <v>2661</v>
      </c>
    </row>
    <row r="3918" spans="1:13">
      <c r="A3918" t="s">
        <v>1661</v>
      </c>
      <c r="B3918" t="s">
        <v>56</v>
      </c>
      <c r="C3918" s="8">
        <v>46098</v>
      </c>
      <c r="D3918" t="s">
        <v>324</v>
      </c>
      <c r="E3918" t="s">
        <v>334</v>
      </c>
      <c r="F3918" s="12">
        <v>492665</v>
      </c>
      <c r="G3918" s="13">
        <v>49</v>
      </c>
      <c r="H3918" t="s">
        <v>2992</v>
      </c>
      <c r="I3918" s="8">
        <v>46136</v>
      </c>
      <c r="J3918" t="s">
        <v>2668</v>
      </c>
      <c r="K3918" t="s">
        <v>2669</v>
      </c>
      <c r="L3918" s="13">
        <v>4000</v>
      </c>
      <c r="M3918" t="s">
        <v>2676</v>
      </c>
    </row>
    <row r="3919" spans="1:13">
      <c r="A3919" t="s">
        <v>1661</v>
      </c>
      <c r="B3919" t="s">
        <v>56</v>
      </c>
      <c r="C3919" s="8">
        <v>46098</v>
      </c>
      <c r="D3919" t="s">
        <v>324</v>
      </c>
      <c r="E3919" t="s">
        <v>334</v>
      </c>
      <c r="F3919" s="12">
        <v>492665</v>
      </c>
      <c r="G3919" s="13">
        <v>49</v>
      </c>
      <c r="H3919" t="s">
        <v>3314</v>
      </c>
      <c r="I3919" s="8">
        <v>46227</v>
      </c>
      <c r="J3919" t="s">
        <v>2674</v>
      </c>
      <c r="K3919" t="s">
        <v>2675</v>
      </c>
      <c r="L3919" s="13">
        <v>20000</v>
      </c>
      <c r="M3919" t="s">
        <v>2676</v>
      </c>
    </row>
    <row r="3920" spans="1:13">
      <c r="A3920" t="s">
        <v>1662</v>
      </c>
      <c r="B3920" t="s">
        <v>206</v>
      </c>
      <c r="C3920" s="8">
        <v>45983</v>
      </c>
      <c r="D3920" t="s">
        <v>324</v>
      </c>
      <c r="E3920" t="s">
        <v>334</v>
      </c>
      <c r="F3920" s="12">
        <v>241289</v>
      </c>
      <c r="G3920" s="13">
        <v>24</v>
      </c>
      <c r="H3920" t="s">
        <v>2868</v>
      </c>
      <c r="I3920" s="8">
        <v>45937</v>
      </c>
      <c r="J3920" t="s">
        <v>2688</v>
      </c>
      <c r="K3920" t="s">
        <v>2689</v>
      </c>
      <c r="L3920" s="13">
        <v>8000</v>
      </c>
      <c r="M3920" t="s">
        <v>2661</v>
      </c>
    </row>
    <row r="3921" spans="1:13">
      <c r="A3921" t="s">
        <v>1662</v>
      </c>
      <c r="B3921" t="s">
        <v>206</v>
      </c>
      <c r="C3921" s="8">
        <v>45983</v>
      </c>
      <c r="D3921" t="s">
        <v>324</v>
      </c>
      <c r="E3921" t="s">
        <v>334</v>
      </c>
      <c r="F3921" s="12">
        <v>241289</v>
      </c>
      <c r="G3921" s="13">
        <v>24</v>
      </c>
      <c r="H3921" t="s">
        <v>2915</v>
      </c>
      <c r="I3921" s="8">
        <v>45941</v>
      </c>
      <c r="J3921" t="s">
        <v>2659</v>
      </c>
      <c r="K3921" t="s">
        <v>2660</v>
      </c>
      <c r="L3921" s="13">
        <v>3500</v>
      </c>
      <c r="M3921" t="s">
        <v>2661</v>
      </c>
    </row>
    <row r="3922" spans="1:13">
      <c r="A3922" t="s">
        <v>1662</v>
      </c>
      <c r="B3922" t="s">
        <v>206</v>
      </c>
      <c r="C3922" s="8">
        <v>45983</v>
      </c>
      <c r="D3922" t="s">
        <v>324</v>
      </c>
      <c r="E3922" t="s">
        <v>334</v>
      </c>
      <c r="F3922" s="12">
        <v>241289</v>
      </c>
      <c r="G3922" s="13">
        <v>24</v>
      </c>
      <c r="H3922" t="s">
        <v>3362</v>
      </c>
      <c r="I3922" s="8">
        <v>46007</v>
      </c>
      <c r="J3922" t="s">
        <v>2685</v>
      </c>
      <c r="K3922" t="s">
        <v>2686</v>
      </c>
      <c r="L3922" s="13">
        <v>5000</v>
      </c>
      <c r="M3922" t="s">
        <v>2661</v>
      </c>
    </row>
    <row r="3923" spans="1:13">
      <c r="A3923" t="s">
        <v>1663</v>
      </c>
      <c r="B3923" t="s">
        <v>100</v>
      </c>
      <c r="C3923" s="8">
        <v>46268</v>
      </c>
      <c r="D3923" t="s">
        <v>350</v>
      </c>
      <c r="E3923" t="s">
        <v>337</v>
      </c>
      <c r="F3923" s="12">
        <v>282402</v>
      </c>
      <c r="G3923" s="13">
        <v>28</v>
      </c>
      <c r="H3923" t="s">
        <v>3294</v>
      </c>
      <c r="I3923" s="8">
        <v>46090</v>
      </c>
      <c r="J3923" t="s">
        <v>2671</v>
      </c>
      <c r="K3923" t="s">
        <v>2672</v>
      </c>
      <c r="L3923" s="13">
        <v>3000</v>
      </c>
      <c r="M3923" t="s">
        <v>2676</v>
      </c>
    </row>
    <row r="3924" spans="1:13">
      <c r="A3924" t="s">
        <v>1663</v>
      </c>
      <c r="B3924" t="s">
        <v>100</v>
      </c>
      <c r="C3924" s="8">
        <v>46268</v>
      </c>
      <c r="D3924" t="s">
        <v>350</v>
      </c>
      <c r="E3924" t="s">
        <v>337</v>
      </c>
      <c r="F3924" s="12">
        <v>282402</v>
      </c>
      <c r="G3924" s="13">
        <v>28</v>
      </c>
      <c r="H3924" t="s">
        <v>3327</v>
      </c>
      <c r="I3924" s="8">
        <v>46135</v>
      </c>
      <c r="J3924" t="s">
        <v>2682</v>
      </c>
      <c r="K3924" t="s">
        <v>2683</v>
      </c>
      <c r="L3924" s="13">
        <v>6000</v>
      </c>
      <c r="M3924" t="s">
        <v>2661</v>
      </c>
    </row>
    <row r="3925" spans="1:13">
      <c r="A3925" t="s">
        <v>1663</v>
      </c>
      <c r="B3925" t="s">
        <v>100</v>
      </c>
      <c r="C3925" s="8">
        <v>46268</v>
      </c>
      <c r="D3925" t="s">
        <v>350</v>
      </c>
      <c r="E3925" t="s">
        <v>337</v>
      </c>
      <c r="F3925" s="12">
        <v>282402</v>
      </c>
      <c r="G3925" s="13">
        <v>28</v>
      </c>
      <c r="H3925" t="s">
        <v>3375</v>
      </c>
      <c r="I3925" s="8">
        <v>46122</v>
      </c>
      <c r="J3925" t="s">
        <v>2685</v>
      </c>
      <c r="K3925" t="s">
        <v>2686</v>
      </c>
      <c r="L3925" s="13">
        <v>5000</v>
      </c>
      <c r="M3925" t="s">
        <v>2676</v>
      </c>
    </row>
    <row r="3926" spans="1:13">
      <c r="A3926" t="s">
        <v>1664</v>
      </c>
      <c r="B3926" t="s">
        <v>196</v>
      </c>
      <c r="C3926" s="8">
        <v>45945</v>
      </c>
      <c r="D3926" t="s">
        <v>321</v>
      </c>
      <c r="E3926" t="s">
        <v>322</v>
      </c>
      <c r="F3926" s="12">
        <v>642243</v>
      </c>
      <c r="G3926" s="13">
        <v>64</v>
      </c>
      <c r="H3926" t="s">
        <v>3132</v>
      </c>
      <c r="I3926" s="8">
        <v>46123</v>
      </c>
      <c r="J3926" t="s">
        <v>2668</v>
      </c>
      <c r="K3926" t="s">
        <v>2669</v>
      </c>
      <c r="L3926" s="13">
        <v>4000</v>
      </c>
      <c r="M3926" t="s">
        <v>2661</v>
      </c>
    </row>
    <row r="3927" spans="1:13">
      <c r="A3927" t="s">
        <v>1664</v>
      </c>
      <c r="B3927" t="s">
        <v>196</v>
      </c>
      <c r="C3927" s="8">
        <v>45945</v>
      </c>
      <c r="D3927" t="s">
        <v>321</v>
      </c>
      <c r="E3927" t="s">
        <v>322</v>
      </c>
      <c r="F3927" s="12">
        <v>642243</v>
      </c>
      <c r="G3927" s="13">
        <v>64</v>
      </c>
      <c r="H3927" t="s">
        <v>3338</v>
      </c>
      <c r="I3927" s="8">
        <v>46020</v>
      </c>
      <c r="J3927" t="s">
        <v>2692</v>
      </c>
      <c r="K3927" t="s">
        <v>2693</v>
      </c>
      <c r="L3927" s="13">
        <v>10000</v>
      </c>
      <c r="M3927" t="s">
        <v>2661</v>
      </c>
    </row>
    <row r="3928" spans="1:13">
      <c r="A3928" t="s">
        <v>1664</v>
      </c>
      <c r="B3928" t="s">
        <v>196</v>
      </c>
      <c r="C3928" s="8">
        <v>45945</v>
      </c>
      <c r="D3928" t="s">
        <v>321</v>
      </c>
      <c r="E3928" t="s">
        <v>322</v>
      </c>
      <c r="F3928" s="12">
        <v>642243</v>
      </c>
      <c r="G3928" s="13">
        <v>64</v>
      </c>
      <c r="H3928" t="s">
        <v>3502</v>
      </c>
      <c r="I3928" s="8">
        <v>45979</v>
      </c>
      <c r="J3928" t="s">
        <v>2692</v>
      </c>
      <c r="K3928" t="s">
        <v>2693</v>
      </c>
      <c r="L3928" s="13">
        <v>10000</v>
      </c>
      <c r="M3928" t="s">
        <v>2661</v>
      </c>
    </row>
    <row r="3929" spans="1:13">
      <c r="A3929" t="s">
        <v>1665</v>
      </c>
      <c r="B3929" t="s">
        <v>302</v>
      </c>
      <c r="C3929" s="8">
        <v>45941</v>
      </c>
      <c r="D3929" t="s">
        <v>327</v>
      </c>
      <c r="E3929" t="s">
        <v>322</v>
      </c>
      <c r="F3929" s="12">
        <v>412456</v>
      </c>
      <c r="G3929" s="13">
        <v>41</v>
      </c>
      <c r="H3929" t="s">
        <v>3325</v>
      </c>
      <c r="I3929" s="8">
        <v>46177</v>
      </c>
      <c r="J3929" t="s">
        <v>2692</v>
      </c>
      <c r="K3929" t="s">
        <v>2693</v>
      </c>
      <c r="L3929" s="13">
        <v>10000</v>
      </c>
      <c r="M3929" t="s">
        <v>2661</v>
      </c>
    </row>
    <row r="3930" spans="1:13">
      <c r="A3930" t="s">
        <v>1667</v>
      </c>
      <c r="B3930" t="s">
        <v>162</v>
      </c>
      <c r="C3930" s="8">
        <v>45937</v>
      </c>
      <c r="D3930" t="s">
        <v>342</v>
      </c>
      <c r="E3930" t="s">
        <v>322</v>
      </c>
      <c r="F3930" s="12">
        <v>192902</v>
      </c>
      <c r="G3930" s="13">
        <v>19</v>
      </c>
      <c r="H3930" t="s">
        <v>2896</v>
      </c>
      <c r="I3930" s="8">
        <v>45935</v>
      </c>
      <c r="J3930" t="s">
        <v>2674</v>
      </c>
      <c r="K3930" t="s">
        <v>2675</v>
      </c>
      <c r="L3930" s="13">
        <v>20000</v>
      </c>
      <c r="M3930" t="s">
        <v>2661</v>
      </c>
    </row>
    <row r="3931" spans="1:13">
      <c r="A3931" t="s">
        <v>1667</v>
      </c>
      <c r="B3931" t="s">
        <v>162</v>
      </c>
      <c r="C3931" s="8">
        <v>45937</v>
      </c>
      <c r="D3931" t="s">
        <v>342</v>
      </c>
      <c r="E3931" t="s">
        <v>322</v>
      </c>
      <c r="F3931" s="12">
        <v>192902</v>
      </c>
      <c r="G3931" s="13">
        <v>19</v>
      </c>
      <c r="H3931" t="s">
        <v>3046</v>
      </c>
      <c r="I3931" s="8">
        <v>46133</v>
      </c>
      <c r="J3931" t="s">
        <v>2682</v>
      </c>
      <c r="K3931" t="s">
        <v>2683</v>
      </c>
      <c r="L3931" s="13">
        <v>6000</v>
      </c>
      <c r="M3931" t="s">
        <v>2661</v>
      </c>
    </row>
    <row r="3932" spans="1:13">
      <c r="A3932" t="s">
        <v>1667</v>
      </c>
      <c r="B3932" t="s">
        <v>162</v>
      </c>
      <c r="C3932" s="8">
        <v>45937</v>
      </c>
      <c r="D3932" t="s">
        <v>342</v>
      </c>
      <c r="E3932" t="s">
        <v>322</v>
      </c>
      <c r="F3932" s="12">
        <v>192902</v>
      </c>
      <c r="G3932" s="13">
        <v>19</v>
      </c>
      <c r="H3932" t="s">
        <v>3152</v>
      </c>
      <c r="I3932" s="8">
        <v>46035</v>
      </c>
      <c r="J3932" t="s">
        <v>2668</v>
      </c>
      <c r="K3932" t="s">
        <v>2669</v>
      </c>
      <c r="L3932" s="13">
        <v>4000</v>
      </c>
      <c r="M3932" t="s">
        <v>2661</v>
      </c>
    </row>
    <row r="3933" spans="1:13">
      <c r="A3933" t="s">
        <v>1667</v>
      </c>
      <c r="B3933" t="s">
        <v>162</v>
      </c>
      <c r="C3933" s="8">
        <v>45937</v>
      </c>
      <c r="D3933" t="s">
        <v>342</v>
      </c>
      <c r="E3933" t="s">
        <v>322</v>
      </c>
      <c r="F3933" s="12">
        <v>192902</v>
      </c>
      <c r="G3933" s="13">
        <v>19</v>
      </c>
      <c r="H3933" t="s">
        <v>3220</v>
      </c>
      <c r="I3933" s="8">
        <v>45996</v>
      </c>
      <c r="J3933" t="s">
        <v>2659</v>
      </c>
      <c r="K3933" t="s">
        <v>2660</v>
      </c>
      <c r="L3933" s="13">
        <v>3500</v>
      </c>
      <c r="M3933" t="s">
        <v>2661</v>
      </c>
    </row>
    <row r="3934" spans="1:13">
      <c r="A3934" t="s">
        <v>1667</v>
      </c>
      <c r="B3934" t="s">
        <v>162</v>
      </c>
      <c r="C3934" s="8">
        <v>45937</v>
      </c>
      <c r="D3934" t="s">
        <v>342</v>
      </c>
      <c r="E3934" t="s">
        <v>322</v>
      </c>
      <c r="F3934" s="12">
        <v>192902</v>
      </c>
      <c r="G3934" s="13">
        <v>19</v>
      </c>
      <c r="H3934" t="s">
        <v>3318</v>
      </c>
      <c r="I3934" s="8">
        <v>45984</v>
      </c>
      <c r="J3934" t="s">
        <v>2663</v>
      </c>
      <c r="K3934" t="s">
        <v>3630</v>
      </c>
      <c r="L3934" s="13">
        <v>1500</v>
      </c>
      <c r="M3934" t="s">
        <v>2661</v>
      </c>
    </row>
    <row r="3935" spans="1:13">
      <c r="A3935" t="s">
        <v>1668</v>
      </c>
      <c r="B3935" t="s">
        <v>300</v>
      </c>
      <c r="C3935" s="8">
        <v>46214</v>
      </c>
      <c r="D3935" t="s">
        <v>321</v>
      </c>
      <c r="E3935" t="s">
        <v>325</v>
      </c>
      <c r="F3935" s="12">
        <v>237038</v>
      </c>
      <c r="G3935" s="13">
        <v>23</v>
      </c>
      <c r="H3935" t="s">
        <v>2840</v>
      </c>
      <c r="I3935" s="8">
        <v>46058</v>
      </c>
      <c r="J3935" t="s">
        <v>2659</v>
      </c>
      <c r="K3935" t="s">
        <v>2660</v>
      </c>
      <c r="L3935" s="13">
        <v>3500</v>
      </c>
      <c r="M3935" t="s">
        <v>2676</v>
      </c>
    </row>
    <row r="3936" spans="1:13">
      <c r="A3936" t="s">
        <v>1668</v>
      </c>
      <c r="B3936" t="s">
        <v>300</v>
      </c>
      <c r="C3936" s="8">
        <v>46214</v>
      </c>
      <c r="D3936" t="s">
        <v>321</v>
      </c>
      <c r="E3936" t="s">
        <v>325</v>
      </c>
      <c r="F3936" s="12">
        <v>237038</v>
      </c>
      <c r="G3936" s="13">
        <v>23</v>
      </c>
      <c r="H3936" t="s">
        <v>3348</v>
      </c>
      <c r="I3936" s="8">
        <v>46087</v>
      </c>
      <c r="J3936" t="s">
        <v>2674</v>
      </c>
      <c r="K3936" t="s">
        <v>2675</v>
      </c>
      <c r="L3936" s="13">
        <v>20000</v>
      </c>
      <c r="M3936" t="s">
        <v>2661</v>
      </c>
    </row>
    <row r="3937" spans="1:13">
      <c r="A3937" t="s">
        <v>1668</v>
      </c>
      <c r="B3937" t="s">
        <v>300</v>
      </c>
      <c r="C3937" s="8">
        <v>46214</v>
      </c>
      <c r="D3937" t="s">
        <v>321</v>
      </c>
      <c r="E3937" t="s">
        <v>325</v>
      </c>
      <c r="F3937" s="12">
        <v>237038</v>
      </c>
      <c r="G3937" s="13">
        <v>23</v>
      </c>
      <c r="H3937" t="s">
        <v>3442</v>
      </c>
      <c r="I3937" s="8">
        <v>46282</v>
      </c>
      <c r="J3937" t="s">
        <v>2685</v>
      </c>
      <c r="K3937" t="s">
        <v>2686</v>
      </c>
      <c r="L3937" s="13">
        <v>5000</v>
      </c>
      <c r="M3937" t="s">
        <v>2661</v>
      </c>
    </row>
    <row r="3938" spans="1:13">
      <c r="A3938" t="s">
        <v>1668</v>
      </c>
      <c r="B3938" t="s">
        <v>300</v>
      </c>
      <c r="C3938" s="8">
        <v>46214</v>
      </c>
      <c r="D3938" t="s">
        <v>321</v>
      </c>
      <c r="E3938" t="s">
        <v>325</v>
      </c>
      <c r="F3938" s="12">
        <v>237038</v>
      </c>
      <c r="G3938" s="13">
        <v>23</v>
      </c>
      <c r="H3938" t="s">
        <v>3499</v>
      </c>
      <c r="I3938" s="8">
        <v>46165</v>
      </c>
      <c r="J3938" t="s">
        <v>2688</v>
      </c>
      <c r="K3938" t="s">
        <v>2689</v>
      </c>
      <c r="L3938" s="13">
        <v>8000</v>
      </c>
      <c r="M3938" t="s">
        <v>2661</v>
      </c>
    </row>
    <row r="3939" spans="1:13">
      <c r="A3939" t="s">
        <v>1669</v>
      </c>
      <c r="B3939" t="s">
        <v>275</v>
      </c>
      <c r="C3939" s="8">
        <v>46150</v>
      </c>
      <c r="D3939" t="s">
        <v>330</v>
      </c>
      <c r="E3939" t="s">
        <v>328</v>
      </c>
      <c r="F3939" s="12">
        <v>414385</v>
      </c>
      <c r="G3939" s="13">
        <v>41</v>
      </c>
      <c r="H3939" t="s">
        <v>2769</v>
      </c>
      <c r="I3939" s="8">
        <v>45949</v>
      </c>
      <c r="J3939" t="s">
        <v>2659</v>
      </c>
      <c r="K3939" t="s">
        <v>2660</v>
      </c>
      <c r="L3939" s="13">
        <v>3500</v>
      </c>
      <c r="M3939" t="s">
        <v>2661</v>
      </c>
    </row>
    <row r="3940" spans="1:13">
      <c r="A3940" t="s">
        <v>1669</v>
      </c>
      <c r="B3940" t="s">
        <v>275</v>
      </c>
      <c r="C3940" s="8">
        <v>46150</v>
      </c>
      <c r="D3940" t="s">
        <v>330</v>
      </c>
      <c r="E3940" t="s">
        <v>328</v>
      </c>
      <c r="F3940" s="12">
        <v>414385</v>
      </c>
      <c r="G3940" s="13">
        <v>41</v>
      </c>
      <c r="H3940" t="s">
        <v>2812</v>
      </c>
      <c r="I3940" s="8">
        <v>46037</v>
      </c>
      <c r="J3940" t="s">
        <v>2671</v>
      </c>
      <c r="K3940" t="s">
        <v>2672</v>
      </c>
      <c r="L3940" s="13">
        <v>3000</v>
      </c>
      <c r="M3940" t="s">
        <v>2661</v>
      </c>
    </row>
    <row r="3941" spans="1:13">
      <c r="A3941" t="s">
        <v>1669</v>
      </c>
      <c r="B3941" t="s">
        <v>275</v>
      </c>
      <c r="C3941" s="8">
        <v>46150</v>
      </c>
      <c r="D3941" t="s">
        <v>330</v>
      </c>
      <c r="E3941" t="s">
        <v>328</v>
      </c>
      <c r="F3941" s="12">
        <v>414385</v>
      </c>
      <c r="G3941" s="13">
        <v>41</v>
      </c>
      <c r="H3941" t="s">
        <v>2988</v>
      </c>
      <c r="I3941" s="8">
        <v>45949</v>
      </c>
      <c r="J3941" t="s">
        <v>2692</v>
      </c>
      <c r="K3941" t="s">
        <v>2693</v>
      </c>
      <c r="L3941" s="13">
        <v>10000</v>
      </c>
      <c r="M3941" t="s">
        <v>2661</v>
      </c>
    </row>
    <row r="3942" spans="1:13">
      <c r="A3942" t="s">
        <v>1669</v>
      </c>
      <c r="B3942" t="s">
        <v>275</v>
      </c>
      <c r="C3942" s="8">
        <v>46150</v>
      </c>
      <c r="D3942" t="s">
        <v>330</v>
      </c>
      <c r="E3942" t="s">
        <v>328</v>
      </c>
      <c r="F3942" s="12">
        <v>414385</v>
      </c>
      <c r="G3942" s="13">
        <v>41</v>
      </c>
      <c r="H3942" t="s">
        <v>3251</v>
      </c>
      <c r="I3942" s="8">
        <v>46059</v>
      </c>
      <c r="J3942" t="s">
        <v>2685</v>
      </c>
      <c r="K3942" t="s">
        <v>2686</v>
      </c>
      <c r="L3942" s="13">
        <v>5000</v>
      </c>
      <c r="M3942" t="s">
        <v>2661</v>
      </c>
    </row>
    <row r="3943" spans="1:13">
      <c r="A3943" t="s">
        <v>1669</v>
      </c>
      <c r="B3943" t="s">
        <v>275</v>
      </c>
      <c r="C3943" s="8">
        <v>46150</v>
      </c>
      <c r="D3943" t="s">
        <v>330</v>
      </c>
      <c r="E3943" t="s">
        <v>328</v>
      </c>
      <c r="F3943" s="12">
        <v>414385</v>
      </c>
      <c r="G3943" s="13">
        <v>41</v>
      </c>
      <c r="H3943" t="s">
        <v>3366</v>
      </c>
      <c r="I3943" s="8">
        <v>46230</v>
      </c>
      <c r="J3943" t="s">
        <v>2671</v>
      </c>
      <c r="K3943" t="s">
        <v>2672</v>
      </c>
      <c r="L3943" s="13">
        <v>3000</v>
      </c>
      <c r="M3943" t="s">
        <v>2661</v>
      </c>
    </row>
    <row r="3944" spans="1:13">
      <c r="A3944" t="s">
        <v>1670</v>
      </c>
      <c r="B3944" t="s">
        <v>81</v>
      </c>
      <c r="C3944" s="8">
        <v>46109</v>
      </c>
      <c r="D3944" t="s">
        <v>342</v>
      </c>
      <c r="E3944" t="s">
        <v>328</v>
      </c>
      <c r="F3944" s="12">
        <v>241023</v>
      </c>
      <c r="G3944" s="13">
        <v>24</v>
      </c>
      <c r="H3944" t="s">
        <v>2691</v>
      </c>
      <c r="I3944" s="8">
        <v>46098</v>
      </c>
      <c r="J3944" t="s">
        <v>2692</v>
      </c>
      <c r="K3944" t="s">
        <v>2693</v>
      </c>
      <c r="L3944" s="13">
        <v>10000</v>
      </c>
      <c r="M3944" t="s">
        <v>2661</v>
      </c>
    </row>
    <row r="3945" spans="1:13">
      <c r="A3945" t="s">
        <v>1670</v>
      </c>
      <c r="B3945" t="s">
        <v>81</v>
      </c>
      <c r="C3945" s="8">
        <v>46109</v>
      </c>
      <c r="D3945" t="s">
        <v>342</v>
      </c>
      <c r="E3945" t="s">
        <v>328</v>
      </c>
      <c r="F3945" s="12">
        <v>241023</v>
      </c>
      <c r="G3945" s="13">
        <v>24</v>
      </c>
      <c r="H3945" t="s">
        <v>2788</v>
      </c>
      <c r="I3945" s="8">
        <v>46057</v>
      </c>
      <c r="J3945" t="s">
        <v>2668</v>
      </c>
      <c r="K3945" t="s">
        <v>2669</v>
      </c>
      <c r="L3945" s="13">
        <v>4000</v>
      </c>
      <c r="M3945" t="s">
        <v>2661</v>
      </c>
    </row>
    <row r="3946" spans="1:13">
      <c r="A3946" t="s">
        <v>1670</v>
      </c>
      <c r="B3946" t="s">
        <v>81</v>
      </c>
      <c r="C3946" s="8">
        <v>46109</v>
      </c>
      <c r="D3946" t="s">
        <v>342</v>
      </c>
      <c r="E3946" t="s">
        <v>328</v>
      </c>
      <c r="F3946" s="12">
        <v>241023</v>
      </c>
      <c r="G3946" s="13">
        <v>24</v>
      </c>
      <c r="H3946" t="s">
        <v>2827</v>
      </c>
      <c r="I3946" s="8">
        <v>46245</v>
      </c>
      <c r="J3946" t="s">
        <v>2668</v>
      </c>
      <c r="K3946" t="s">
        <v>2669</v>
      </c>
      <c r="L3946" s="13">
        <v>4000</v>
      </c>
      <c r="M3946" t="s">
        <v>2661</v>
      </c>
    </row>
    <row r="3947" spans="1:13">
      <c r="A3947" t="s">
        <v>1670</v>
      </c>
      <c r="B3947" t="s">
        <v>81</v>
      </c>
      <c r="C3947" s="8">
        <v>46109</v>
      </c>
      <c r="D3947" t="s">
        <v>342</v>
      </c>
      <c r="E3947" t="s">
        <v>328</v>
      </c>
      <c r="F3947" s="12">
        <v>241023</v>
      </c>
      <c r="G3947" s="13">
        <v>24</v>
      </c>
      <c r="H3947" t="s">
        <v>2893</v>
      </c>
      <c r="I3947" s="8">
        <v>46034</v>
      </c>
      <c r="J3947" t="s">
        <v>2663</v>
      </c>
      <c r="K3947" t="s">
        <v>3630</v>
      </c>
      <c r="L3947" s="13">
        <v>1500</v>
      </c>
      <c r="M3947" t="s">
        <v>2661</v>
      </c>
    </row>
    <row r="3948" spans="1:13">
      <c r="A3948" t="s">
        <v>1670</v>
      </c>
      <c r="B3948" t="s">
        <v>81</v>
      </c>
      <c r="C3948" s="8">
        <v>46109</v>
      </c>
      <c r="D3948" t="s">
        <v>342</v>
      </c>
      <c r="E3948" t="s">
        <v>328</v>
      </c>
      <c r="F3948" s="12">
        <v>241023</v>
      </c>
      <c r="G3948" s="13">
        <v>24</v>
      </c>
      <c r="H3948" t="s">
        <v>3088</v>
      </c>
      <c r="I3948" s="8">
        <v>46271</v>
      </c>
      <c r="J3948" t="s">
        <v>2663</v>
      </c>
      <c r="K3948" t="s">
        <v>3630</v>
      </c>
      <c r="L3948" s="13">
        <v>1500</v>
      </c>
      <c r="M3948" t="s">
        <v>2676</v>
      </c>
    </row>
    <row r="3949" spans="1:13">
      <c r="A3949" t="s">
        <v>1670</v>
      </c>
      <c r="B3949" t="s">
        <v>81</v>
      </c>
      <c r="C3949" s="8">
        <v>46109</v>
      </c>
      <c r="D3949" t="s">
        <v>342</v>
      </c>
      <c r="E3949" t="s">
        <v>328</v>
      </c>
      <c r="F3949" s="12">
        <v>241023</v>
      </c>
      <c r="G3949" s="13">
        <v>24</v>
      </c>
      <c r="H3949" t="s">
        <v>3099</v>
      </c>
      <c r="I3949" s="8">
        <v>46247</v>
      </c>
      <c r="J3949" t="s">
        <v>2668</v>
      </c>
      <c r="K3949" t="s">
        <v>2669</v>
      </c>
      <c r="L3949" s="13">
        <v>4000</v>
      </c>
      <c r="M3949" t="s">
        <v>2676</v>
      </c>
    </row>
    <row r="3950" spans="1:13">
      <c r="A3950" t="s">
        <v>1670</v>
      </c>
      <c r="B3950" t="s">
        <v>81</v>
      </c>
      <c r="C3950" s="8">
        <v>46109</v>
      </c>
      <c r="D3950" t="s">
        <v>342</v>
      </c>
      <c r="E3950" t="s">
        <v>328</v>
      </c>
      <c r="F3950" s="12">
        <v>241023</v>
      </c>
      <c r="G3950" s="13">
        <v>24</v>
      </c>
      <c r="H3950" t="s">
        <v>3200</v>
      </c>
      <c r="I3950" s="8">
        <v>46120</v>
      </c>
      <c r="J3950" t="s">
        <v>2685</v>
      </c>
      <c r="K3950" t="s">
        <v>2686</v>
      </c>
      <c r="L3950" s="13">
        <v>5000</v>
      </c>
      <c r="M3950" t="s">
        <v>2661</v>
      </c>
    </row>
    <row r="3951" spans="1:13">
      <c r="A3951" t="s">
        <v>1670</v>
      </c>
      <c r="B3951" t="s">
        <v>81</v>
      </c>
      <c r="C3951" s="8">
        <v>46109</v>
      </c>
      <c r="D3951" t="s">
        <v>342</v>
      </c>
      <c r="E3951" t="s">
        <v>328</v>
      </c>
      <c r="F3951" s="12">
        <v>241023</v>
      </c>
      <c r="G3951" s="13">
        <v>24</v>
      </c>
      <c r="H3951" t="s">
        <v>3250</v>
      </c>
      <c r="I3951" s="8">
        <v>46234</v>
      </c>
      <c r="J3951" t="s">
        <v>2659</v>
      </c>
      <c r="K3951" t="s">
        <v>2660</v>
      </c>
      <c r="L3951" s="13">
        <v>3500</v>
      </c>
      <c r="M3951" t="s">
        <v>2661</v>
      </c>
    </row>
    <row r="3952" spans="1:13">
      <c r="A3952" t="s">
        <v>1670</v>
      </c>
      <c r="B3952" t="s">
        <v>81</v>
      </c>
      <c r="C3952" s="8">
        <v>46109</v>
      </c>
      <c r="D3952" t="s">
        <v>342</v>
      </c>
      <c r="E3952" t="s">
        <v>328</v>
      </c>
      <c r="F3952" s="12">
        <v>241023</v>
      </c>
      <c r="G3952" s="13">
        <v>24</v>
      </c>
      <c r="H3952" t="s">
        <v>3263</v>
      </c>
      <c r="I3952" s="8">
        <v>45996</v>
      </c>
      <c r="J3952" t="s">
        <v>2682</v>
      </c>
      <c r="K3952" t="s">
        <v>2683</v>
      </c>
      <c r="L3952" s="13">
        <v>6000</v>
      </c>
      <c r="M3952" t="s">
        <v>2661</v>
      </c>
    </row>
    <row r="3953" spans="1:13">
      <c r="A3953" t="s">
        <v>1670</v>
      </c>
      <c r="B3953" t="s">
        <v>81</v>
      </c>
      <c r="C3953" s="8">
        <v>46109</v>
      </c>
      <c r="D3953" t="s">
        <v>342</v>
      </c>
      <c r="E3953" t="s">
        <v>328</v>
      </c>
      <c r="F3953" s="12">
        <v>241023</v>
      </c>
      <c r="G3953" s="13">
        <v>24</v>
      </c>
      <c r="H3953" t="s">
        <v>3561</v>
      </c>
      <c r="I3953" s="8">
        <v>46096</v>
      </c>
      <c r="J3953" t="s">
        <v>2692</v>
      </c>
      <c r="K3953" t="s">
        <v>2693</v>
      </c>
      <c r="L3953" s="13">
        <v>10000</v>
      </c>
      <c r="M3953" t="s">
        <v>2676</v>
      </c>
    </row>
    <row r="3954" spans="1:13">
      <c r="A3954" t="s">
        <v>1672</v>
      </c>
      <c r="B3954" t="s">
        <v>262</v>
      </c>
      <c r="C3954" s="8">
        <v>46225</v>
      </c>
      <c r="D3954" t="s">
        <v>344</v>
      </c>
      <c r="E3954" t="s">
        <v>339</v>
      </c>
      <c r="F3954" s="12">
        <v>184884</v>
      </c>
      <c r="G3954" s="13">
        <v>18</v>
      </c>
      <c r="H3954" t="s">
        <v>2923</v>
      </c>
      <c r="I3954" s="8">
        <v>46130</v>
      </c>
      <c r="J3954" t="s">
        <v>2682</v>
      </c>
      <c r="K3954" t="s">
        <v>2683</v>
      </c>
      <c r="L3954" s="13">
        <v>6000</v>
      </c>
      <c r="M3954" t="s">
        <v>2661</v>
      </c>
    </row>
    <row r="3955" spans="1:13">
      <c r="A3955" t="s">
        <v>1673</v>
      </c>
      <c r="B3955" t="s">
        <v>167</v>
      </c>
      <c r="C3955" s="8">
        <v>45989</v>
      </c>
      <c r="D3955" t="s">
        <v>332</v>
      </c>
      <c r="E3955" t="s">
        <v>334</v>
      </c>
      <c r="F3955" s="12">
        <v>322658</v>
      </c>
      <c r="G3955" s="13">
        <v>32</v>
      </c>
      <c r="H3955" t="s">
        <v>2714</v>
      </c>
      <c r="I3955" s="8">
        <v>45991</v>
      </c>
      <c r="J3955" t="s">
        <v>2663</v>
      </c>
      <c r="K3955" t="s">
        <v>3630</v>
      </c>
      <c r="L3955" s="13">
        <v>1500</v>
      </c>
      <c r="M3955" t="s">
        <v>2661</v>
      </c>
    </row>
    <row r="3956" spans="1:13">
      <c r="A3956" t="s">
        <v>1673</v>
      </c>
      <c r="B3956" t="s">
        <v>167</v>
      </c>
      <c r="C3956" s="8">
        <v>45989</v>
      </c>
      <c r="D3956" t="s">
        <v>332</v>
      </c>
      <c r="E3956" t="s">
        <v>334</v>
      </c>
      <c r="F3956" s="12">
        <v>322658</v>
      </c>
      <c r="G3956" s="13">
        <v>32</v>
      </c>
      <c r="H3956" t="s">
        <v>3024</v>
      </c>
      <c r="I3956" s="8">
        <v>46163</v>
      </c>
      <c r="J3956" t="s">
        <v>2665</v>
      </c>
      <c r="K3956" t="s">
        <v>2666</v>
      </c>
      <c r="L3956" s="13">
        <v>2500</v>
      </c>
      <c r="M3956" t="s">
        <v>2661</v>
      </c>
    </row>
    <row r="3957" spans="1:13">
      <c r="A3957" t="s">
        <v>1673</v>
      </c>
      <c r="B3957" t="s">
        <v>167</v>
      </c>
      <c r="C3957" s="8">
        <v>45989</v>
      </c>
      <c r="D3957" t="s">
        <v>332</v>
      </c>
      <c r="E3957" t="s">
        <v>334</v>
      </c>
      <c r="F3957" s="12">
        <v>322658</v>
      </c>
      <c r="G3957" s="13">
        <v>32</v>
      </c>
      <c r="H3957" t="s">
        <v>3573</v>
      </c>
      <c r="I3957" s="8">
        <v>46043</v>
      </c>
      <c r="J3957" t="s">
        <v>2671</v>
      </c>
      <c r="K3957" t="s">
        <v>2672</v>
      </c>
      <c r="L3957" s="13">
        <v>3000</v>
      </c>
      <c r="M3957" t="s">
        <v>2661</v>
      </c>
    </row>
    <row r="3958" spans="1:13">
      <c r="A3958" t="s">
        <v>1674</v>
      </c>
      <c r="B3958" t="s">
        <v>178</v>
      </c>
      <c r="C3958" s="8">
        <v>46138</v>
      </c>
      <c r="D3958" t="s">
        <v>330</v>
      </c>
      <c r="E3958" t="s">
        <v>322</v>
      </c>
      <c r="F3958" s="12">
        <v>199643</v>
      </c>
      <c r="G3958" s="13">
        <v>19</v>
      </c>
      <c r="H3958" t="s">
        <v>2803</v>
      </c>
      <c r="I3958" s="8">
        <v>46039</v>
      </c>
      <c r="J3958" t="s">
        <v>2663</v>
      </c>
      <c r="K3958" t="s">
        <v>3630</v>
      </c>
      <c r="L3958" s="13">
        <v>1500</v>
      </c>
      <c r="M3958" t="s">
        <v>2661</v>
      </c>
    </row>
    <row r="3959" spans="1:13">
      <c r="A3959" t="s">
        <v>1674</v>
      </c>
      <c r="B3959" t="s">
        <v>178</v>
      </c>
      <c r="C3959" s="8">
        <v>46138</v>
      </c>
      <c r="D3959" t="s">
        <v>330</v>
      </c>
      <c r="E3959" t="s">
        <v>322</v>
      </c>
      <c r="F3959" s="12">
        <v>199643</v>
      </c>
      <c r="G3959" s="13">
        <v>19</v>
      </c>
      <c r="H3959" t="s">
        <v>2900</v>
      </c>
      <c r="I3959" s="8">
        <v>46214</v>
      </c>
      <c r="J3959" t="s">
        <v>2665</v>
      </c>
      <c r="K3959" t="s">
        <v>2666</v>
      </c>
      <c r="L3959" s="13">
        <v>2500</v>
      </c>
      <c r="M3959" t="s">
        <v>2661</v>
      </c>
    </row>
    <row r="3960" spans="1:13">
      <c r="A3960" t="s">
        <v>1674</v>
      </c>
      <c r="B3960" t="s">
        <v>178</v>
      </c>
      <c r="C3960" s="8">
        <v>46138</v>
      </c>
      <c r="D3960" t="s">
        <v>330</v>
      </c>
      <c r="E3960" t="s">
        <v>322</v>
      </c>
      <c r="F3960" s="12">
        <v>199643</v>
      </c>
      <c r="G3960" s="13">
        <v>19</v>
      </c>
      <c r="H3960" t="s">
        <v>2925</v>
      </c>
      <c r="I3960" s="8">
        <v>46172</v>
      </c>
      <c r="J3960" t="s">
        <v>2671</v>
      </c>
      <c r="K3960" t="s">
        <v>2672</v>
      </c>
      <c r="L3960" s="13">
        <v>3000</v>
      </c>
      <c r="M3960" t="s">
        <v>2661</v>
      </c>
    </row>
    <row r="3961" spans="1:13">
      <c r="A3961" t="s">
        <v>1674</v>
      </c>
      <c r="B3961" t="s">
        <v>178</v>
      </c>
      <c r="C3961" s="8">
        <v>46138</v>
      </c>
      <c r="D3961" t="s">
        <v>330</v>
      </c>
      <c r="E3961" t="s">
        <v>322</v>
      </c>
      <c r="F3961" s="12">
        <v>199643</v>
      </c>
      <c r="G3961" s="13">
        <v>19</v>
      </c>
      <c r="H3961" t="s">
        <v>2964</v>
      </c>
      <c r="I3961" s="8">
        <v>46262</v>
      </c>
      <c r="J3961" t="s">
        <v>2685</v>
      </c>
      <c r="K3961" t="s">
        <v>2686</v>
      </c>
      <c r="L3961" s="13">
        <v>5000</v>
      </c>
      <c r="M3961" t="s">
        <v>2661</v>
      </c>
    </row>
    <row r="3962" spans="1:13">
      <c r="A3962" t="s">
        <v>1674</v>
      </c>
      <c r="B3962" t="s">
        <v>178</v>
      </c>
      <c r="C3962" s="8">
        <v>46138</v>
      </c>
      <c r="D3962" t="s">
        <v>330</v>
      </c>
      <c r="E3962" t="s">
        <v>322</v>
      </c>
      <c r="F3962" s="12">
        <v>199643</v>
      </c>
      <c r="G3962" s="13">
        <v>19</v>
      </c>
      <c r="H3962" t="s">
        <v>3177</v>
      </c>
      <c r="I3962" s="8">
        <v>46293</v>
      </c>
      <c r="J3962" t="s">
        <v>2668</v>
      </c>
      <c r="K3962" t="s">
        <v>2669</v>
      </c>
      <c r="L3962" s="13">
        <v>4000</v>
      </c>
      <c r="M3962" t="s">
        <v>2661</v>
      </c>
    </row>
    <row r="3963" spans="1:13">
      <c r="A3963" t="s">
        <v>1674</v>
      </c>
      <c r="B3963" t="s">
        <v>178</v>
      </c>
      <c r="C3963" s="8">
        <v>46138</v>
      </c>
      <c r="D3963" t="s">
        <v>330</v>
      </c>
      <c r="E3963" t="s">
        <v>322</v>
      </c>
      <c r="F3963" s="12">
        <v>199643</v>
      </c>
      <c r="G3963" s="13">
        <v>19</v>
      </c>
      <c r="H3963" t="s">
        <v>3280</v>
      </c>
      <c r="I3963" s="8">
        <v>46163</v>
      </c>
      <c r="J3963" t="s">
        <v>2685</v>
      </c>
      <c r="K3963" t="s">
        <v>2686</v>
      </c>
      <c r="L3963" s="13">
        <v>5000</v>
      </c>
      <c r="M3963" t="s">
        <v>2676</v>
      </c>
    </row>
    <row r="3964" spans="1:13">
      <c r="A3964" t="s">
        <v>1675</v>
      </c>
      <c r="B3964" t="s">
        <v>279</v>
      </c>
      <c r="C3964" s="8">
        <v>45986</v>
      </c>
      <c r="D3964" t="s">
        <v>350</v>
      </c>
      <c r="E3964" t="s">
        <v>334</v>
      </c>
      <c r="F3964" s="12">
        <v>361405</v>
      </c>
      <c r="G3964" s="13">
        <v>36</v>
      </c>
      <c r="H3964" t="s">
        <v>3434</v>
      </c>
      <c r="I3964" s="8">
        <v>46161</v>
      </c>
      <c r="J3964" t="s">
        <v>2674</v>
      </c>
      <c r="K3964" t="s">
        <v>2675</v>
      </c>
      <c r="L3964" s="13">
        <v>20000</v>
      </c>
      <c r="M3964" t="s">
        <v>2676</v>
      </c>
    </row>
    <row r="3965" spans="1:13">
      <c r="A3965" t="s">
        <v>1676</v>
      </c>
      <c r="B3965" t="s">
        <v>40</v>
      </c>
      <c r="C3965" s="8">
        <v>46235</v>
      </c>
      <c r="D3965" t="s">
        <v>332</v>
      </c>
      <c r="E3965" t="s">
        <v>325</v>
      </c>
      <c r="F3965" s="12">
        <v>253583</v>
      </c>
      <c r="G3965" s="13">
        <v>25</v>
      </c>
      <c r="H3965" t="s">
        <v>2852</v>
      </c>
      <c r="I3965" s="8">
        <v>45939</v>
      </c>
      <c r="J3965" t="s">
        <v>2663</v>
      </c>
      <c r="K3965" t="s">
        <v>3630</v>
      </c>
      <c r="L3965" s="13">
        <v>1500</v>
      </c>
      <c r="M3965" t="s">
        <v>2661</v>
      </c>
    </row>
    <row r="3966" spans="1:13">
      <c r="A3966" t="s">
        <v>1676</v>
      </c>
      <c r="B3966" t="s">
        <v>40</v>
      </c>
      <c r="C3966" s="8">
        <v>46235</v>
      </c>
      <c r="D3966" t="s">
        <v>332</v>
      </c>
      <c r="E3966" t="s">
        <v>325</v>
      </c>
      <c r="F3966" s="12">
        <v>253583</v>
      </c>
      <c r="G3966" s="13">
        <v>25</v>
      </c>
      <c r="H3966" t="s">
        <v>3324</v>
      </c>
      <c r="I3966" s="8">
        <v>46040</v>
      </c>
      <c r="J3966" t="s">
        <v>2674</v>
      </c>
      <c r="K3966" t="s">
        <v>2675</v>
      </c>
      <c r="L3966" s="13">
        <v>20000</v>
      </c>
      <c r="M3966" t="s">
        <v>2661</v>
      </c>
    </row>
    <row r="3967" spans="1:13">
      <c r="A3967" t="s">
        <v>1676</v>
      </c>
      <c r="B3967" t="s">
        <v>40</v>
      </c>
      <c r="C3967" s="8">
        <v>46235</v>
      </c>
      <c r="D3967" t="s">
        <v>332</v>
      </c>
      <c r="E3967" t="s">
        <v>325</v>
      </c>
      <c r="F3967" s="12">
        <v>253583</v>
      </c>
      <c r="G3967" s="13">
        <v>25</v>
      </c>
      <c r="H3967" t="s">
        <v>3474</v>
      </c>
      <c r="I3967" s="8">
        <v>45997</v>
      </c>
      <c r="J3967" t="s">
        <v>2665</v>
      </c>
      <c r="K3967" t="s">
        <v>2666</v>
      </c>
      <c r="L3967" s="13">
        <v>2500</v>
      </c>
      <c r="M3967" t="s">
        <v>2676</v>
      </c>
    </row>
    <row r="3968" spans="1:13">
      <c r="A3968" t="s">
        <v>1677</v>
      </c>
      <c r="B3968" t="s">
        <v>190</v>
      </c>
      <c r="C3968" s="8">
        <v>46130</v>
      </c>
      <c r="D3968" t="s">
        <v>344</v>
      </c>
      <c r="E3968" t="s">
        <v>322</v>
      </c>
      <c r="F3968" s="12">
        <v>119159</v>
      </c>
      <c r="G3968" s="13">
        <v>11</v>
      </c>
      <c r="H3968" t="s">
        <v>2684</v>
      </c>
      <c r="I3968" s="8">
        <v>46175</v>
      </c>
      <c r="J3968" t="s">
        <v>2685</v>
      </c>
      <c r="K3968" t="s">
        <v>2686</v>
      </c>
      <c r="L3968" s="13">
        <v>5000</v>
      </c>
      <c r="M3968" t="s">
        <v>2661</v>
      </c>
    </row>
    <row r="3969" spans="1:13">
      <c r="A3969" t="s">
        <v>1677</v>
      </c>
      <c r="B3969" t="s">
        <v>190</v>
      </c>
      <c r="C3969" s="8">
        <v>46130</v>
      </c>
      <c r="D3969" t="s">
        <v>344</v>
      </c>
      <c r="E3969" t="s">
        <v>322</v>
      </c>
      <c r="F3969" s="12">
        <v>119159</v>
      </c>
      <c r="G3969" s="13">
        <v>11</v>
      </c>
      <c r="H3969" t="s">
        <v>2834</v>
      </c>
      <c r="I3969" s="8">
        <v>46253</v>
      </c>
      <c r="J3969" t="s">
        <v>2692</v>
      </c>
      <c r="K3969" t="s">
        <v>2693</v>
      </c>
      <c r="L3969" s="13">
        <v>10000</v>
      </c>
      <c r="M3969" t="s">
        <v>2676</v>
      </c>
    </row>
    <row r="3970" spans="1:13">
      <c r="A3970" t="s">
        <v>1677</v>
      </c>
      <c r="B3970" t="s">
        <v>190</v>
      </c>
      <c r="C3970" s="8">
        <v>46130</v>
      </c>
      <c r="D3970" t="s">
        <v>344</v>
      </c>
      <c r="E3970" t="s">
        <v>322</v>
      </c>
      <c r="F3970" s="12">
        <v>119159</v>
      </c>
      <c r="G3970" s="13">
        <v>11</v>
      </c>
      <c r="H3970" t="s">
        <v>2965</v>
      </c>
      <c r="I3970" s="8">
        <v>46102</v>
      </c>
      <c r="J3970" t="s">
        <v>2671</v>
      </c>
      <c r="K3970" t="s">
        <v>2672</v>
      </c>
      <c r="L3970" s="13">
        <v>3000</v>
      </c>
      <c r="M3970" t="s">
        <v>2661</v>
      </c>
    </row>
    <row r="3971" spans="1:13">
      <c r="A3971" t="s">
        <v>1677</v>
      </c>
      <c r="B3971" t="s">
        <v>190</v>
      </c>
      <c r="C3971" s="8">
        <v>46130</v>
      </c>
      <c r="D3971" t="s">
        <v>344</v>
      </c>
      <c r="E3971" t="s">
        <v>322</v>
      </c>
      <c r="F3971" s="12">
        <v>119159</v>
      </c>
      <c r="G3971" s="13">
        <v>11</v>
      </c>
      <c r="H3971" t="s">
        <v>3299</v>
      </c>
      <c r="I3971" s="8">
        <v>46006</v>
      </c>
      <c r="J3971" t="s">
        <v>2685</v>
      </c>
      <c r="K3971" t="s">
        <v>2686</v>
      </c>
      <c r="L3971" s="13">
        <v>5000</v>
      </c>
      <c r="M3971" t="s">
        <v>2661</v>
      </c>
    </row>
    <row r="3972" spans="1:13">
      <c r="A3972" t="s">
        <v>1678</v>
      </c>
      <c r="B3972" t="s">
        <v>254</v>
      </c>
      <c r="C3972" s="8">
        <v>46184</v>
      </c>
      <c r="D3972" t="s">
        <v>344</v>
      </c>
      <c r="E3972" t="s">
        <v>322</v>
      </c>
      <c r="F3972" s="12">
        <v>36603</v>
      </c>
      <c r="G3972" s="13">
        <v>3</v>
      </c>
      <c r="H3972" t="s">
        <v>2722</v>
      </c>
      <c r="I3972" s="8">
        <v>46145</v>
      </c>
      <c r="J3972" t="s">
        <v>2668</v>
      </c>
      <c r="K3972" t="s">
        <v>2669</v>
      </c>
      <c r="L3972" s="13">
        <v>4000</v>
      </c>
      <c r="M3972" t="s">
        <v>2661</v>
      </c>
    </row>
    <row r="3973" spans="1:13">
      <c r="A3973" t="s">
        <v>1678</v>
      </c>
      <c r="B3973" t="s">
        <v>254</v>
      </c>
      <c r="C3973" s="8">
        <v>46184</v>
      </c>
      <c r="D3973" t="s">
        <v>344</v>
      </c>
      <c r="E3973" t="s">
        <v>322</v>
      </c>
      <c r="F3973" s="12">
        <v>36603</v>
      </c>
      <c r="G3973" s="13">
        <v>3</v>
      </c>
      <c r="H3973" t="s">
        <v>3133</v>
      </c>
      <c r="I3973" s="8">
        <v>45957</v>
      </c>
      <c r="J3973" t="s">
        <v>2685</v>
      </c>
      <c r="K3973" t="s">
        <v>2686</v>
      </c>
      <c r="L3973" s="13">
        <v>5000</v>
      </c>
      <c r="M3973" t="s">
        <v>2661</v>
      </c>
    </row>
    <row r="3974" spans="1:13">
      <c r="A3974" t="s">
        <v>1679</v>
      </c>
      <c r="B3974" t="s">
        <v>179</v>
      </c>
      <c r="C3974" s="8">
        <v>46117</v>
      </c>
      <c r="D3974" t="s">
        <v>344</v>
      </c>
      <c r="E3974" t="s">
        <v>337</v>
      </c>
      <c r="F3974" s="12">
        <v>576790</v>
      </c>
      <c r="G3974" s="13">
        <v>57</v>
      </c>
      <c r="H3974" t="s">
        <v>2677</v>
      </c>
      <c r="I3974" s="8">
        <v>45973</v>
      </c>
      <c r="J3974" t="s">
        <v>2663</v>
      </c>
      <c r="K3974" t="s">
        <v>3630</v>
      </c>
      <c r="L3974" s="13">
        <v>1500</v>
      </c>
      <c r="M3974" t="s">
        <v>2661</v>
      </c>
    </row>
    <row r="3975" spans="1:13">
      <c r="A3975" t="s">
        <v>1679</v>
      </c>
      <c r="B3975" t="s">
        <v>179</v>
      </c>
      <c r="C3975" s="8">
        <v>46117</v>
      </c>
      <c r="D3975" t="s">
        <v>344</v>
      </c>
      <c r="E3975" t="s">
        <v>337</v>
      </c>
      <c r="F3975" s="12">
        <v>576790</v>
      </c>
      <c r="G3975" s="13">
        <v>57</v>
      </c>
      <c r="H3975" t="s">
        <v>2695</v>
      </c>
      <c r="I3975" s="8">
        <v>46143</v>
      </c>
      <c r="J3975" t="s">
        <v>2671</v>
      </c>
      <c r="K3975" t="s">
        <v>2672</v>
      </c>
      <c r="L3975" s="13">
        <v>3000</v>
      </c>
      <c r="M3975" t="s">
        <v>2661</v>
      </c>
    </row>
    <row r="3976" spans="1:13">
      <c r="A3976" t="s">
        <v>1680</v>
      </c>
      <c r="B3976" t="s">
        <v>13</v>
      </c>
      <c r="C3976" s="8">
        <v>46111</v>
      </c>
      <c r="D3976" t="s">
        <v>330</v>
      </c>
      <c r="E3976" t="s">
        <v>337</v>
      </c>
      <c r="F3976" s="12">
        <v>490364</v>
      </c>
      <c r="G3976" s="13">
        <v>49</v>
      </c>
      <c r="H3976" t="s">
        <v>3049</v>
      </c>
      <c r="I3976" s="8">
        <v>46156</v>
      </c>
      <c r="J3976" t="s">
        <v>2665</v>
      </c>
      <c r="K3976" t="s">
        <v>2666</v>
      </c>
      <c r="L3976" s="13">
        <v>2500</v>
      </c>
      <c r="M3976" t="s">
        <v>2661</v>
      </c>
    </row>
    <row r="3977" spans="1:13">
      <c r="A3977" t="s">
        <v>1680</v>
      </c>
      <c r="B3977" t="s">
        <v>13</v>
      </c>
      <c r="C3977" s="8">
        <v>46111</v>
      </c>
      <c r="D3977" t="s">
        <v>330</v>
      </c>
      <c r="E3977" t="s">
        <v>337</v>
      </c>
      <c r="F3977" s="12">
        <v>490364</v>
      </c>
      <c r="G3977" s="13">
        <v>49</v>
      </c>
      <c r="H3977" t="s">
        <v>3156</v>
      </c>
      <c r="I3977" s="8">
        <v>46215</v>
      </c>
      <c r="J3977" t="s">
        <v>2682</v>
      </c>
      <c r="K3977" t="s">
        <v>2683</v>
      </c>
      <c r="L3977" s="13">
        <v>6000</v>
      </c>
      <c r="M3977" t="s">
        <v>2661</v>
      </c>
    </row>
    <row r="3978" spans="1:13">
      <c r="A3978" t="s">
        <v>1681</v>
      </c>
      <c r="B3978" t="s">
        <v>82</v>
      </c>
      <c r="C3978" s="8">
        <v>46145</v>
      </c>
      <c r="D3978" t="s">
        <v>344</v>
      </c>
      <c r="E3978" t="s">
        <v>328</v>
      </c>
      <c r="F3978" s="12">
        <v>906348</v>
      </c>
      <c r="G3978" s="13">
        <v>90</v>
      </c>
      <c r="H3978" t="s">
        <v>3207</v>
      </c>
      <c r="I3978" s="8">
        <v>46183</v>
      </c>
      <c r="J3978" t="s">
        <v>2665</v>
      </c>
      <c r="K3978" t="s">
        <v>2666</v>
      </c>
      <c r="L3978" s="13">
        <v>2500</v>
      </c>
      <c r="M3978" t="s">
        <v>2661</v>
      </c>
    </row>
    <row r="3979" spans="1:13">
      <c r="A3979" t="s">
        <v>1682</v>
      </c>
      <c r="B3979" t="s">
        <v>8</v>
      </c>
      <c r="C3979" s="8">
        <v>46167</v>
      </c>
      <c r="D3979" t="s">
        <v>324</v>
      </c>
      <c r="E3979" t="s">
        <v>325</v>
      </c>
      <c r="F3979" s="12">
        <v>446326</v>
      </c>
      <c r="G3979" s="13">
        <v>44</v>
      </c>
      <c r="H3979" t="s">
        <v>3033</v>
      </c>
      <c r="I3979" s="8">
        <v>46098</v>
      </c>
      <c r="J3979" t="s">
        <v>2659</v>
      </c>
      <c r="K3979" t="s">
        <v>2660</v>
      </c>
      <c r="L3979" s="13">
        <v>3500</v>
      </c>
      <c r="M3979" t="s">
        <v>2676</v>
      </c>
    </row>
    <row r="3980" spans="1:13">
      <c r="A3980" t="s">
        <v>1682</v>
      </c>
      <c r="B3980" t="s">
        <v>8</v>
      </c>
      <c r="C3980" s="8">
        <v>46167</v>
      </c>
      <c r="D3980" t="s">
        <v>324</v>
      </c>
      <c r="E3980" t="s">
        <v>325</v>
      </c>
      <c r="F3980" s="12">
        <v>446326</v>
      </c>
      <c r="G3980" s="13">
        <v>44</v>
      </c>
      <c r="H3980" t="s">
        <v>3159</v>
      </c>
      <c r="I3980" s="8">
        <v>46079</v>
      </c>
      <c r="J3980" t="s">
        <v>2659</v>
      </c>
      <c r="K3980" t="s">
        <v>2660</v>
      </c>
      <c r="L3980" s="13">
        <v>3500</v>
      </c>
      <c r="M3980" t="s">
        <v>2661</v>
      </c>
    </row>
    <row r="3981" spans="1:13">
      <c r="A3981" t="s">
        <v>1682</v>
      </c>
      <c r="B3981" t="s">
        <v>8</v>
      </c>
      <c r="C3981" s="8">
        <v>46167</v>
      </c>
      <c r="D3981" t="s">
        <v>324</v>
      </c>
      <c r="E3981" t="s">
        <v>325</v>
      </c>
      <c r="F3981" s="12">
        <v>446326</v>
      </c>
      <c r="G3981" s="13">
        <v>44</v>
      </c>
      <c r="H3981" t="s">
        <v>3184</v>
      </c>
      <c r="I3981" s="8">
        <v>46261</v>
      </c>
      <c r="J3981" t="s">
        <v>2685</v>
      </c>
      <c r="K3981" t="s">
        <v>2686</v>
      </c>
      <c r="L3981" s="13">
        <v>5000</v>
      </c>
      <c r="M3981" t="s">
        <v>2661</v>
      </c>
    </row>
    <row r="3982" spans="1:13">
      <c r="A3982" t="s">
        <v>1682</v>
      </c>
      <c r="B3982" t="s">
        <v>8</v>
      </c>
      <c r="C3982" s="8">
        <v>46167</v>
      </c>
      <c r="D3982" t="s">
        <v>324</v>
      </c>
      <c r="E3982" t="s">
        <v>325</v>
      </c>
      <c r="F3982" s="12">
        <v>446326</v>
      </c>
      <c r="G3982" s="13">
        <v>44</v>
      </c>
      <c r="H3982" t="s">
        <v>3303</v>
      </c>
      <c r="I3982" s="8">
        <v>46196</v>
      </c>
      <c r="J3982" t="s">
        <v>2682</v>
      </c>
      <c r="K3982" t="s">
        <v>2683</v>
      </c>
      <c r="L3982" s="13">
        <v>6000</v>
      </c>
      <c r="M3982" t="s">
        <v>2676</v>
      </c>
    </row>
    <row r="3983" spans="1:13">
      <c r="A3983" t="s">
        <v>1682</v>
      </c>
      <c r="B3983" t="s">
        <v>8</v>
      </c>
      <c r="C3983" s="8">
        <v>46167</v>
      </c>
      <c r="D3983" t="s">
        <v>324</v>
      </c>
      <c r="E3983" t="s">
        <v>325</v>
      </c>
      <c r="F3983" s="12">
        <v>446326</v>
      </c>
      <c r="G3983" s="13">
        <v>44</v>
      </c>
      <c r="H3983" t="s">
        <v>3353</v>
      </c>
      <c r="I3983" s="8">
        <v>45991</v>
      </c>
      <c r="J3983" t="s">
        <v>2659</v>
      </c>
      <c r="K3983" t="s">
        <v>2660</v>
      </c>
      <c r="L3983" s="13">
        <v>3500</v>
      </c>
      <c r="M3983" t="s">
        <v>2661</v>
      </c>
    </row>
    <row r="3984" spans="1:13">
      <c r="A3984" t="s">
        <v>1683</v>
      </c>
      <c r="B3984" t="s">
        <v>255</v>
      </c>
      <c r="C3984" s="8">
        <v>46291</v>
      </c>
      <c r="D3984" t="s">
        <v>327</v>
      </c>
      <c r="E3984" t="s">
        <v>322</v>
      </c>
      <c r="F3984" s="12">
        <v>323329</v>
      </c>
      <c r="G3984" s="13">
        <v>32</v>
      </c>
      <c r="H3984" t="s">
        <v>2956</v>
      </c>
      <c r="I3984" s="8">
        <v>45952</v>
      </c>
      <c r="J3984" t="s">
        <v>2674</v>
      </c>
      <c r="K3984" t="s">
        <v>2675</v>
      </c>
      <c r="L3984" s="13">
        <v>20000</v>
      </c>
      <c r="M3984" t="s">
        <v>2676</v>
      </c>
    </row>
    <row r="3985" spans="1:13">
      <c r="A3985" t="s">
        <v>1683</v>
      </c>
      <c r="B3985" t="s">
        <v>255</v>
      </c>
      <c r="C3985" s="8">
        <v>46291</v>
      </c>
      <c r="D3985" t="s">
        <v>327</v>
      </c>
      <c r="E3985" t="s">
        <v>322</v>
      </c>
      <c r="F3985" s="12">
        <v>323329</v>
      </c>
      <c r="G3985" s="13">
        <v>32</v>
      </c>
      <c r="H3985" t="s">
        <v>3223</v>
      </c>
      <c r="I3985" s="8">
        <v>46198</v>
      </c>
      <c r="J3985" t="s">
        <v>2665</v>
      </c>
      <c r="K3985" t="s">
        <v>2666</v>
      </c>
      <c r="L3985" s="13">
        <v>2500</v>
      </c>
      <c r="M3985" t="s">
        <v>2661</v>
      </c>
    </row>
    <row r="3986" spans="1:13">
      <c r="A3986" t="s">
        <v>1683</v>
      </c>
      <c r="B3986" t="s">
        <v>255</v>
      </c>
      <c r="C3986" s="8">
        <v>46291</v>
      </c>
      <c r="D3986" t="s">
        <v>327</v>
      </c>
      <c r="E3986" t="s">
        <v>322</v>
      </c>
      <c r="F3986" s="12">
        <v>323329</v>
      </c>
      <c r="G3986" s="13">
        <v>32</v>
      </c>
      <c r="H3986" t="s">
        <v>3323</v>
      </c>
      <c r="I3986" s="8">
        <v>46169</v>
      </c>
      <c r="J3986" t="s">
        <v>2682</v>
      </c>
      <c r="K3986" t="s">
        <v>2683</v>
      </c>
      <c r="L3986" s="13">
        <v>6000</v>
      </c>
      <c r="M3986" t="s">
        <v>2676</v>
      </c>
    </row>
    <row r="3987" spans="1:13">
      <c r="A3987" t="s">
        <v>1684</v>
      </c>
      <c r="B3987" t="s">
        <v>60</v>
      </c>
      <c r="C3987" s="8">
        <v>46093</v>
      </c>
      <c r="D3987" t="s">
        <v>342</v>
      </c>
      <c r="E3987" t="s">
        <v>325</v>
      </c>
      <c r="F3987" s="12">
        <v>194781</v>
      </c>
      <c r="G3987" s="13">
        <v>19</v>
      </c>
      <c r="H3987" t="s">
        <v>2770</v>
      </c>
      <c r="I3987" s="8">
        <v>46064</v>
      </c>
      <c r="J3987" t="s">
        <v>2663</v>
      </c>
      <c r="K3987" t="s">
        <v>3630</v>
      </c>
      <c r="L3987" s="13">
        <v>1500</v>
      </c>
      <c r="M3987" t="s">
        <v>2661</v>
      </c>
    </row>
    <row r="3988" spans="1:13">
      <c r="A3988" t="s">
        <v>1684</v>
      </c>
      <c r="B3988" t="s">
        <v>60</v>
      </c>
      <c r="C3988" s="8">
        <v>46093</v>
      </c>
      <c r="D3988" t="s">
        <v>342</v>
      </c>
      <c r="E3988" t="s">
        <v>325</v>
      </c>
      <c r="F3988" s="12">
        <v>194781</v>
      </c>
      <c r="G3988" s="13">
        <v>19</v>
      </c>
      <c r="H3988" t="s">
        <v>3116</v>
      </c>
      <c r="I3988" s="8">
        <v>46093</v>
      </c>
      <c r="J3988" t="s">
        <v>2665</v>
      </c>
      <c r="K3988" t="s">
        <v>2666</v>
      </c>
      <c r="L3988" s="13">
        <v>2500</v>
      </c>
      <c r="M3988" t="s">
        <v>2661</v>
      </c>
    </row>
    <row r="3989" spans="1:13">
      <c r="A3989" t="s">
        <v>1685</v>
      </c>
      <c r="B3989" t="s">
        <v>262</v>
      </c>
      <c r="C3989" s="8">
        <v>45966</v>
      </c>
      <c r="D3989" t="s">
        <v>321</v>
      </c>
      <c r="E3989" t="s">
        <v>328</v>
      </c>
      <c r="F3989" s="12">
        <v>308461</v>
      </c>
      <c r="G3989" s="13">
        <v>30</v>
      </c>
      <c r="H3989" t="s">
        <v>2923</v>
      </c>
      <c r="I3989" s="8">
        <v>46130</v>
      </c>
      <c r="J3989" t="s">
        <v>2682</v>
      </c>
      <c r="K3989" t="s">
        <v>2683</v>
      </c>
      <c r="L3989" s="13">
        <v>6000</v>
      </c>
      <c r="M3989" t="s">
        <v>2661</v>
      </c>
    </row>
    <row r="3990" spans="1:13">
      <c r="A3990" t="s">
        <v>1686</v>
      </c>
      <c r="B3990" t="s">
        <v>289</v>
      </c>
      <c r="C3990" s="8">
        <v>46217</v>
      </c>
      <c r="D3990" t="s">
        <v>342</v>
      </c>
      <c r="E3990" t="s">
        <v>325</v>
      </c>
      <c r="F3990" s="12">
        <v>390017</v>
      </c>
      <c r="G3990" s="13">
        <v>39</v>
      </c>
      <c r="H3990" t="s">
        <v>2908</v>
      </c>
      <c r="I3990" s="8">
        <v>46092</v>
      </c>
      <c r="J3990" t="s">
        <v>2665</v>
      </c>
      <c r="K3990" t="s">
        <v>2666</v>
      </c>
      <c r="L3990" s="13">
        <v>2500</v>
      </c>
      <c r="M3990" t="s">
        <v>2676</v>
      </c>
    </row>
    <row r="3991" spans="1:13">
      <c r="A3991" t="s">
        <v>1686</v>
      </c>
      <c r="B3991" t="s">
        <v>289</v>
      </c>
      <c r="C3991" s="8">
        <v>46217</v>
      </c>
      <c r="D3991" t="s">
        <v>342</v>
      </c>
      <c r="E3991" t="s">
        <v>325</v>
      </c>
      <c r="F3991" s="12">
        <v>390017</v>
      </c>
      <c r="G3991" s="13">
        <v>39</v>
      </c>
      <c r="H3991" t="s">
        <v>3141</v>
      </c>
      <c r="I3991" s="8">
        <v>46139</v>
      </c>
      <c r="J3991" t="s">
        <v>2668</v>
      </c>
      <c r="K3991" t="s">
        <v>2669</v>
      </c>
      <c r="L3991" s="13">
        <v>4000</v>
      </c>
      <c r="M3991" t="s">
        <v>2661</v>
      </c>
    </row>
    <row r="3992" spans="1:13">
      <c r="A3992" t="s">
        <v>1686</v>
      </c>
      <c r="B3992" t="s">
        <v>289</v>
      </c>
      <c r="C3992" s="8">
        <v>46217</v>
      </c>
      <c r="D3992" t="s">
        <v>342</v>
      </c>
      <c r="E3992" t="s">
        <v>325</v>
      </c>
      <c r="F3992" s="12">
        <v>390017</v>
      </c>
      <c r="G3992" s="13">
        <v>39</v>
      </c>
      <c r="H3992" t="s">
        <v>3378</v>
      </c>
      <c r="I3992" s="8">
        <v>46068</v>
      </c>
      <c r="J3992" t="s">
        <v>2692</v>
      </c>
      <c r="K3992" t="s">
        <v>2693</v>
      </c>
      <c r="L3992" s="13">
        <v>10000</v>
      </c>
      <c r="M3992" t="s">
        <v>2676</v>
      </c>
    </row>
    <row r="3993" spans="1:13">
      <c r="A3993" t="s">
        <v>1687</v>
      </c>
      <c r="B3993" t="s">
        <v>112</v>
      </c>
      <c r="C3993" s="8">
        <v>45939</v>
      </c>
      <c r="D3993" t="s">
        <v>342</v>
      </c>
      <c r="E3993" t="s">
        <v>322</v>
      </c>
      <c r="F3993" s="12">
        <v>285747</v>
      </c>
      <c r="G3993" s="13">
        <v>28</v>
      </c>
      <c r="H3993" t="s">
        <v>3180</v>
      </c>
      <c r="I3993" s="8">
        <v>46105</v>
      </c>
      <c r="J3993" t="s">
        <v>2663</v>
      </c>
      <c r="K3993" t="s">
        <v>3630</v>
      </c>
      <c r="L3993" s="13">
        <v>1500</v>
      </c>
      <c r="M3993" t="s">
        <v>2661</v>
      </c>
    </row>
    <row r="3994" spans="1:13">
      <c r="A3994" t="s">
        <v>1687</v>
      </c>
      <c r="B3994" t="s">
        <v>112</v>
      </c>
      <c r="C3994" s="8">
        <v>45939</v>
      </c>
      <c r="D3994" t="s">
        <v>342</v>
      </c>
      <c r="E3994" t="s">
        <v>322</v>
      </c>
      <c r="F3994" s="12">
        <v>285747</v>
      </c>
      <c r="G3994" s="13">
        <v>28</v>
      </c>
      <c r="H3994" t="s">
        <v>3203</v>
      </c>
      <c r="I3994" s="8">
        <v>46074</v>
      </c>
      <c r="J3994" t="s">
        <v>2668</v>
      </c>
      <c r="K3994" t="s">
        <v>2669</v>
      </c>
      <c r="L3994" s="13">
        <v>4000</v>
      </c>
      <c r="M3994" t="s">
        <v>2661</v>
      </c>
    </row>
    <row r="3995" spans="1:13">
      <c r="A3995" t="s">
        <v>1687</v>
      </c>
      <c r="B3995" t="s">
        <v>112</v>
      </c>
      <c r="C3995" s="8">
        <v>45939</v>
      </c>
      <c r="D3995" t="s">
        <v>342</v>
      </c>
      <c r="E3995" t="s">
        <v>322</v>
      </c>
      <c r="F3995" s="12">
        <v>285747</v>
      </c>
      <c r="G3995" s="13">
        <v>28</v>
      </c>
      <c r="H3995" t="s">
        <v>3287</v>
      </c>
      <c r="I3995" s="8">
        <v>46257</v>
      </c>
      <c r="J3995" t="s">
        <v>2688</v>
      </c>
      <c r="K3995" t="s">
        <v>2689</v>
      </c>
      <c r="L3995" s="13">
        <v>8000</v>
      </c>
      <c r="M3995" t="s">
        <v>2676</v>
      </c>
    </row>
    <row r="3996" spans="1:13">
      <c r="A3996" t="s">
        <v>1688</v>
      </c>
      <c r="B3996" t="s">
        <v>146</v>
      </c>
      <c r="C3996" s="8">
        <v>45954</v>
      </c>
      <c r="D3996" t="s">
        <v>324</v>
      </c>
      <c r="E3996" t="s">
        <v>334</v>
      </c>
      <c r="F3996" s="12">
        <v>254375</v>
      </c>
      <c r="G3996" s="13">
        <v>25</v>
      </c>
      <c r="H3996" t="s">
        <v>2704</v>
      </c>
      <c r="I3996" s="8">
        <v>46290</v>
      </c>
      <c r="J3996" t="s">
        <v>2665</v>
      </c>
      <c r="K3996" t="s">
        <v>2666</v>
      </c>
      <c r="L3996" s="13">
        <v>2500</v>
      </c>
      <c r="M3996" t="s">
        <v>2661</v>
      </c>
    </row>
    <row r="3997" spans="1:13">
      <c r="A3997" t="s">
        <v>1688</v>
      </c>
      <c r="B3997" t="s">
        <v>146</v>
      </c>
      <c r="C3997" s="8">
        <v>45954</v>
      </c>
      <c r="D3997" t="s">
        <v>324</v>
      </c>
      <c r="E3997" t="s">
        <v>334</v>
      </c>
      <c r="F3997" s="12">
        <v>254375</v>
      </c>
      <c r="G3997" s="13">
        <v>25</v>
      </c>
      <c r="H3997" t="s">
        <v>2716</v>
      </c>
      <c r="I3997" s="8">
        <v>46067</v>
      </c>
      <c r="J3997" t="s">
        <v>2688</v>
      </c>
      <c r="K3997" t="s">
        <v>2689</v>
      </c>
      <c r="L3997" s="13">
        <v>8000</v>
      </c>
      <c r="M3997" t="s">
        <v>2661</v>
      </c>
    </row>
    <row r="3998" spans="1:13">
      <c r="A3998" t="s">
        <v>1688</v>
      </c>
      <c r="B3998" t="s">
        <v>146</v>
      </c>
      <c r="C3998" s="8">
        <v>45954</v>
      </c>
      <c r="D3998" t="s">
        <v>324</v>
      </c>
      <c r="E3998" t="s">
        <v>334</v>
      </c>
      <c r="F3998" s="12">
        <v>254375</v>
      </c>
      <c r="G3998" s="13">
        <v>25</v>
      </c>
      <c r="H3998" t="s">
        <v>2718</v>
      </c>
      <c r="I3998" s="8">
        <v>45997</v>
      </c>
      <c r="J3998" t="s">
        <v>2685</v>
      </c>
      <c r="K3998" t="s">
        <v>2686</v>
      </c>
      <c r="L3998" s="13">
        <v>5000</v>
      </c>
      <c r="M3998" t="s">
        <v>2661</v>
      </c>
    </row>
    <row r="3999" spans="1:13">
      <c r="A3999" t="s">
        <v>1688</v>
      </c>
      <c r="B3999" t="s">
        <v>146</v>
      </c>
      <c r="C3999" s="8">
        <v>45954</v>
      </c>
      <c r="D3999" t="s">
        <v>324</v>
      </c>
      <c r="E3999" t="s">
        <v>334</v>
      </c>
      <c r="F3999" s="12">
        <v>254375</v>
      </c>
      <c r="G3999" s="13">
        <v>25</v>
      </c>
      <c r="H3999" t="s">
        <v>2823</v>
      </c>
      <c r="I3999" s="8">
        <v>46174</v>
      </c>
      <c r="J3999" t="s">
        <v>2668</v>
      </c>
      <c r="K3999" t="s">
        <v>2669</v>
      </c>
      <c r="L3999" s="13">
        <v>4000</v>
      </c>
      <c r="M3999" t="s">
        <v>2661</v>
      </c>
    </row>
    <row r="4000" spans="1:13">
      <c r="A4000" t="s">
        <v>1688</v>
      </c>
      <c r="B4000" t="s">
        <v>146</v>
      </c>
      <c r="C4000" s="8">
        <v>45954</v>
      </c>
      <c r="D4000" t="s">
        <v>324</v>
      </c>
      <c r="E4000" t="s">
        <v>334</v>
      </c>
      <c r="F4000" s="12">
        <v>254375</v>
      </c>
      <c r="G4000" s="13">
        <v>25</v>
      </c>
      <c r="H4000" t="s">
        <v>2828</v>
      </c>
      <c r="I4000" s="8">
        <v>46153</v>
      </c>
      <c r="J4000" t="s">
        <v>2659</v>
      </c>
      <c r="K4000" t="s">
        <v>2660</v>
      </c>
      <c r="L4000" s="13">
        <v>3500</v>
      </c>
      <c r="M4000" t="s">
        <v>2661</v>
      </c>
    </row>
    <row r="4001" spans="1:13">
      <c r="A4001" t="s">
        <v>1688</v>
      </c>
      <c r="B4001" t="s">
        <v>146</v>
      </c>
      <c r="C4001" s="8">
        <v>45954</v>
      </c>
      <c r="D4001" t="s">
        <v>324</v>
      </c>
      <c r="E4001" t="s">
        <v>334</v>
      </c>
      <c r="F4001" s="12">
        <v>254375</v>
      </c>
      <c r="G4001" s="13">
        <v>25</v>
      </c>
      <c r="H4001" t="s">
        <v>3441</v>
      </c>
      <c r="I4001" s="8">
        <v>46145</v>
      </c>
      <c r="J4001" t="s">
        <v>2688</v>
      </c>
      <c r="K4001" t="s">
        <v>2689</v>
      </c>
      <c r="L4001" s="13">
        <v>8000</v>
      </c>
      <c r="M4001" t="s">
        <v>2661</v>
      </c>
    </row>
    <row r="4002" spans="1:13">
      <c r="A4002" t="s">
        <v>1689</v>
      </c>
      <c r="B4002" t="s">
        <v>310</v>
      </c>
      <c r="C4002" s="8">
        <v>46280</v>
      </c>
      <c r="D4002" t="s">
        <v>330</v>
      </c>
      <c r="E4002" t="s">
        <v>334</v>
      </c>
      <c r="F4002" s="12">
        <v>580424</v>
      </c>
      <c r="G4002" s="13">
        <v>58</v>
      </c>
      <c r="H4002" t="s">
        <v>2712</v>
      </c>
      <c r="I4002" s="8">
        <v>46153</v>
      </c>
      <c r="J4002" t="s">
        <v>2682</v>
      </c>
      <c r="K4002" t="s">
        <v>2683</v>
      </c>
      <c r="L4002" s="13">
        <v>6000</v>
      </c>
      <c r="M4002" t="s">
        <v>2661</v>
      </c>
    </row>
    <row r="4003" spans="1:13">
      <c r="A4003" t="s">
        <v>1689</v>
      </c>
      <c r="B4003" t="s">
        <v>310</v>
      </c>
      <c r="C4003" s="8">
        <v>46280</v>
      </c>
      <c r="D4003" t="s">
        <v>330</v>
      </c>
      <c r="E4003" t="s">
        <v>334</v>
      </c>
      <c r="F4003" s="12">
        <v>580424</v>
      </c>
      <c r="G4003" s="13">
        <v>58</v>
      </c>
      <c r="H4003" t="s">
        <v>2895</v>
      </c>
      <c r="I4003" s="8">
        <v>45957</v>
      </c>
      <c r="J4003" t="s">
        <v>2688</v>
      </c>
      <c r="K4003" t="s">
        <v>2689</v>
      </c>
      <c r="L4003" s="13">
        <v>8000</v>
      </c>
      <c r="M4003" t="s">
        <v>2661</v>
      </c>
    </row>
    <row r="4004" spans="1:13">
      <c r="A4004" t="s">
        <v>1689</v>
      </c>
      <c r="B4004" t="s">
        <v>310</v>
      </c>
      <c r="C4004" s="8">
        <v>46280</v>
      </c>
      <c r="D4004" t="s">
        <v>330</v>
      </c>
      <c r="E4004" t="s">
        <v>334</v>
      </c>
      <c r="F4004" s="12">
        <v>580424</v>
      </c>
      <c r="G4004" s="13">
        <v>58</v>
      </c>
      <c r="H4004" t="s">
        <v>2976</v>
      </c>
      <c r="I4004" s="8">
        <v>46146</v>
      </c>
      <c r="J4004" t="s">
        <v>2685</v>
      </c>
      <c r="K4004" t="s">
        <v>2686</v>
      </c>
      <c r="L4004" s="13">
        <v>5000</v>
      </c>
      <c r="M4004" t="s">
        <v>2661</v>
      </c>
    </row>
    <row r="4005" spans="1:13">
      <c r="A4005" t="s">
        <v>1689</v>
      </c>
      <c r="B4005" t="s">
        <v>310</v>
      </c>
      <c r="C4005" s="8">
        <v>46280</v>
      </c>
      <c r="D4005" t="s">
        <v>330</v>
      </c>
      <c r="E4005" t="s">
        <v>334</v>
      </c>
      <c r="F4005" s="12">
        <v>580424</v>
      </c>
      <c r="G4005" s="13">
        <v>58</v>
      </c>
      <c r="H4005" t="s">
        <v>3295</v>
      </c>
      <c r="I4005" s="8">
        <v>46154</v>
      </c>
      <c r="J4005" t="s">
        <v>2668</v>
      </c>
      <c r="K4005" t="s">
        <v>2669</v>
      </c>
      <c r="L4005" s="13">
        <v>4000</v>
      </c>
      <c r="M4005" t="s">
        <v>2676</v>
      </c>
    </row>
    <row r="4006" spans="1:13">
      <c r="A4006" t="s">
        <v>1689</v>
      </c>
      <c r="B4006" t="s">
        <v>310</v>
      </c>
      <c r="C4006" s="8">
        <v>46280</v>
      </c>
      <c r="D4006" t="s">
        <v>330</v>
      </c>
      <c r="E4006" t="s">
        <v>334</v>
      </c>
      <c r="F4006" s="12">
        <v>580424</v>
      </c>
      <c r="G4006" s="13">
        <v>58</v>
      </c>
      <c r="H4006" t="s">
        <v>3480</v>
      </c>
      <c r="I4006" s="8">
        <v>46012</v>
      </c>
      <c r="J4006" t="s">
        <v>2685</v>
      </c>
      <c r="K4006" t="s">
        <v>2686</v>
      </c>
      <c r="L4006" s="13">
        <v>5000</v>
      </c>
      <c r="M4006" t="s">
        <v>2676</v>
      </c>
    </row>
    <row r="4007" spans="1:13">
      <c r="A4007" t="s">
        <v>1690</v>
      </c>
      <c r="B4007" t="s">
        <v>74</v>
      </c>
      <c r="C4007" s="8">
        <v>46103</v>
      </c>
      <c r="D4007" t="s">
        <v>324</v>
      </c>
      <c r="E4007" t="s">
        <v>339</v>
      </c>
      <c r="F4007" s="12">
        <v>101874</v>
      </c>
      <c r="G4007" s="13">
        <v>10</v>
      </c>
      <c r="H4007" t="s">
        <v>2844</v>
      </c>
      <c r="I4007" s="8">
        <v>45954</v>
      </c>
      <c r="J4007" t="s">
        <v>2671</v>
      </c>
      <c r="K4007" t="s">
        <v>2672</v>
      </c>
      <c r="L4007" s="13">
        <v>3000</v>
      </c>
      <c r="M4007" t="s">
        <v>2676</v>
      </c>
    </row>
    <row r="4008" spans="1:13">
      <c r="A4008" t="s">
        <v>1690</v>
      </c>
      <c r="B4008" t="s">
        <v>74</v>
      </c>
      <c r="C4008" s="8">
        <v>46103</v>
      </c>
      <c r="D4008" t="s">
        <v>324</v>
      </c>
      <c r="E4008" t="s">
        <v>339</v>
      </c>
      <c r="F4008" s="12">
        <v>101874</v>
      </c>
      <c r="G4008" s="13">
        <v>10</v>
      </c>
      <c r="H4008" t="s">
        <v>2889</v>
      </c>
      <c r="I4008" s="8">
        <v>46009</v>
      </c>
      <c r="J4008" t="s">
        <v>2685</v>
      </c>
      <c r="K4008" t="s">
        <v>2686</v>
      </c>
      <c r="L4008" s="13">
        <v>5000</v>
      </c>
      <c r="M4008" t="s">
        <v>2661</v>
      </c>
    </row>
    <row r="4009" spans="1:13">
      <c r="A4009" t="s">
        <v>1690</v>
      </c>
      <c r="B4009" t="s">
        <v>74</v>
      </c>
      <c r="C4009" s="8">
        <v>46103</v>
      </c>
      <c r="D4009" t="s">
        <v>324</v>
      </c>
      <c r="E4009" t="s">
        <v>339</v>
      </c>
      <c r="F4009" s="12">
        <v>101874</v>
      </c>
      <c r="G4009" s="13">
        <v>10</v>
      </c>
      <c r="H4009" t="s">
        <v>2928</v>
      </c>
      <c r="I4009" s="8">
        <v>46272</v>
      </c>
      <c r="J4009" t="s">
        <v>2692</v>
      </c>
      <c r="K4009" t="s">
        <v>2693</v>
      </c>
      <c r="L4009" s="13">
        <v>10000</v>
      </c>
      <c r="M4009" t="s">
        <v>2661</v>
      </c>
    </row>
    <row r="4010" spans="1:13">
      <c r="A4010" t="s">
        <v>1690</v>
      </c>
      <c r="B4010" t="s">
        <v>74</v>
      </c>
      <c r="C4010" s="8">
        <v>46103</v>
      </c>
      <c r="D4010" t="s">
        <v>324</v>
      </c>
      <c r="E4010" t="s">
        <v>339</v>
      </c>
      <c r="F4010" s="12">
        <v>101874</v>
      </c>
      <c r="G4010" s="13">
        <v>10</v>
      </c>
      <c r="H4010" t="s">
        <v>3168</v>
      </c>
      <c r="I4010" s="8">
        <v>46219</v>
      </c>
      <c r="J4010" t="s">
        <v>2685</v>
      </c>
      <c r="K4010" t="s">
        <v>2686</v>
      </c>
      <c r="L4010" s="13">
        <v>5000</v>
      </c>
      <c r="M4010" t="s">
        <v>2661</v>
      </c>
    </row>
    <row r="4011" spans="1:13">
      <c r="A4011" t="s">
        <v>1691</v>
      </c>
      <c r="B4011" t="s">
        <v>45</v>
      </c>
      <c r="C4011" s="8">
        <v>46217</v>
      </c>
      <c r="D4011" t="s">
        <v>332</v>
      </c>
      <c r="E4011" t="s">
        <v>337</v>
      </c>
      <c r="F4011" s="12">
        <v>338911</v>
      </c>
      <c r="G4011" s="13">
        <v>33</v>
      </c>
      <c r="H4011" t="s">
        <v>2697</v>
      </c>
      <c r="I4011" s="8">
        <v>46124</v>
      </c>
      <c r="J4011" t="s">
        <v>2674</v>
      </c>
      <c r="K4011" t="s">
        <v>2675</v>
      </c>
      <c r="L4011" s="13">
        <v>20000</v>
      </c>
      <c r="M4011" t="s">
        <v>2676</v>
      </c>
    </row>
    <row r="4012" spans="1:13">
      <c r="A4012" t="s">
        <v>1691</v>
      </c>
      <c r="B4012" t="s">
        <v>45</v>
      </c>
      <c r="C4012" s="8">
        <v>46217</v>
      </c>
      <c r="D4012" t="s">
        <v>332</v>
      </c>
      <c r="E4012" t="s">
        <v>337</v>
      </c>
      <c r="F4012" s="12">
        <v>338911</v>
      </c>
      <c r="G4012" s="13">
        <v>33</v>
      </c>
      <c r="H4012" t="s">
        <v>3006</v>
      </c>
      <c r="I4012" s="8">
        <v>46130</v>
      </c>
      <c r="J4012" t="s">
        <v>2674</v>
      </c>
      <c r="K4012" t="s">
        <v>2675</v>
      </c>
      <c r="L4012" s="13">
        <v>20000</v>
      </c>
      <c r="M4012" t="s">
        <v>2661</v>
      </c>
    </row>
    <row r="4013" spans="1:13">
      <c r="A4013" t="s">
        <v>1691</v>
      </c>
      <c r="B4013" t="s">
        <v>45</v>
      </c>
      <c r="C4013" s="8">
        <v>46217</v>
      </c>
      <c r="D4013" t="s">
        <v>332</v>
      </c>
      <c r="E4013" t="s">
        <v>337</v>
      </c>
      <c r="F4013" s="12">
        <v>338911</v>
      </c>
      <c r="G4013" s="13">
        <v>33</v>
      </c>
      <c r="H4013" t="s">
        <v>3226</v>
      </c>
      <c r="I4013" s="8">
        <v>46245</v>
      </c>
      <c r="J4013" t="s">
        <v>2692</v>
      </c>
      <c r="K4013" t="s">
        <v>2693</v>
      </c>
      <c r="L4013" s="13">
        <v>10000</v>
      </c>
      <c r="M4013" t="s">
        <v>2661</v>
      </c>
    </row>
    <row r="4014" spans="1:13">
      <c r="A4014" t="s">
        <v>1691</v>
      </c>
      <c r="B4014" t="s">
        <v>45</v>
      </c>
      <c r="C4014" s="8">
        <v>46217</v>
      </c>
      <c r="D4014" t="s">
        <v>332</v>
      </c>
      <c r="E4014" t="s">
        <v>337</v>
      </c>
      <c r="F4014" s="12">
        <v>338911</v>
      </c>
      <c r="G4014" s="13">
        <v>33</v>
      </c>
      <c r="H4014" t="s">
        <v>3332</v>
      </c>
      <c r="I4014" s="8">
        <v>46003</v>
      </c>
      <c r="J4014" t="s">
        <v>2665</v>
      </c>
      <c r="K4014" t="s">
        <v>2666</v>
      </c>
      <c r="L4014" s="13">
        <v>2500</v>
      </c>
      <c r="M4014" t="s">
        <v>2661</v>
      </c>
    </row>
    <row r="4015" spans="1:13">
      <c r="A4015" t="s">
        <v>1692</v>
      </c>
      <c r="B4015" t="s">
        <v>255</v>
      </c>
      <c r="C4015" s="8">
        <v>46080</v>
      </c>
      <c r="D4015" t="s">
        <v>332</v>
      </c>
      <c r="E4015" t="s">
        <v>339</v>
      </c>
      <c r="F4015" s="12">
        <v>405872</v>
      </c>
      <c r="G4015" s="13">
        <v>40</v>
      </c>
      <c r="H4015" t="s">
        <v>2956</v>
      </c>
      <c r="I4015" s="8">
        <v>45952</v>
      </c>
      <c r="J4015" t="s">
        <v>2674</v>
      </c>
      <c r="K4015" t="s">
        <v>2675</v>
      </c>
      <c r="L4015" s="13">
        <v>20000</v>
      </c>
      <c r="M4015" t="s">
        <v>2676</v>
      </c>
    </row>
    <row r="4016" spans="1:13">
      <c r="A4016" t="s">
        <v>1692</v>
      </c>
      <c r="B4016" t="s">
        <v>255</v>
      </c>
      <c r="C4016" s="8">
        <v>46080</v>
      </c>
      <c r="D4016" t="s">
        <v>332</v>
      </c>
      <c r="E4016" t="s">
        <v>339</v>
      </c>
      <c r="F4016" s="12">
        <v>405872</v>
      </c>
      <c r="G4016" s="13">
        <v>40</v>
      </c>
      <c r="H4016" t="s">
        <v>3223</v>
      </c>
      <c r="I4016" s="8">
        <v>46198</v>
      </c>
      <c r="J4016" t="s">
        <v>2665</v>
      </c>
      <c r="K4016" t="s">
        <v>2666</v>
      </c>
      <c r="L4016" s="13">
        <v>2500</v>
      </c>
      <c r="M4016" t="s">
        <v>2661</v>
      </c>
    </row>
    <row r="4017" spans="1:13">
      <c r="A4017" t="s">
        <v>1692</v>
      </c>
      <c r="B4017" t="s">
        <v>255</v>
      </c>
      <c r="C4017" s="8">
        <v>46080</v>
      </c>
      <c r="D4017" t="s">
        <v>332</v>
      </c>
      <c r="E4017" t="s">
        <v>339</v>
      </c>
      <c r="F4017" s="12">
        <v>405872</v>
      </c>
      <c r="G4017" s="13">
        <v>40</v>
      </c>
      <c r="H4017" t="s">
        <v>3323</v>
      </c>
      <c r="I4017" s="8">
        <v>46169</v>
      </c>
      <c r="J4017" t="s">
        <v>2682</v>
      </c>
      <c r="K4017" t="s">
        <v>2683</v>
      </c>
      <c r="L4017" s="13">
        <v>6000</v>
      </c>
      <c r="M4017" t="s">
        <v>2676</v>
      </c>
    </row>
    <row r="4018" spans="1:13">
      <c r="A4018" t="s">
        <v>1693</v>
      </c>
      <c r="B4018" t="s">
        <v>240</v>
      </c>
      <c r="C4018" s="8">
        <v>46005</v>
      </c>
      <c r="D4018" t="s">
        <v>344</v>
      </c>
      <c r="E4018" t="s">
        <v>337</v>
      </c>
      <c r="F4018" s="12">
        <v>239705</v>
      </c>
      <c r="G4018" s="13">
        <v>23</v>
      </c>
      <c r="H4018" t="s">
        <v>3066</v>
      </c>
      <c r="I4018" s="8">
        <v>46121</v>
      </c>
      <c r="J4018" t="s">
        <v>2685</v>
      </c>
      <c r="K4018" t="s">
        <v>2686</v>
      </c>
      <c r="L4018" s="13">
        <v>5000</v>
      </c>
      <c r="M4018" t="s">
        <v>2661</v>
      </c>
    </row>
    <row r="4019" spans="1:13">
      <c r="A4019" t="s">
        <v>1693</v>
      </c>
      <c r="B4019" t="s">
        <v>240</v>
      </c>
      <c r="C4019" s="8">
        <v>46005</v>
      </c>
      <c r="D4019" t="s">
        <v>344</v>
      </c>
      <c r="E4019" t="s">
        <v>337</v>
      </c>
      <c r="F4019" s="12">
        <v>239705</v>
      </c>
      <c r="G4019" s="13">
        <v>23</v>
      </c>
      <c r="H4019" t="s">
        <v>3319</v>
      </c>
      <c r="I4019" s="8">
        <v>45952</v>
      </c>
      <c r="J4019" t="s">
        <v>2685</v>
      </c>
      <c r="K4019" t="s">
        <v>2686</v>
      </c>
      <c r="L4019" s="13">
        <v>5000</v>
      </c>
      <c r="M4019" t="s">
        <v>2661</v>
      </c>
    </row>
    <row r="4020" spans="1:13">
      <c r="A4020" t="s">
        <v>1693</v>
      </c>
      <c r="B4020" t="s">
        <v>240</v>
      </c>
      <c r="C4020" s="8">
        <v>46005</v>
      </c>
      <c r="D4020" t="s">
        <v>344</v>
      </c>
      <c r="E4020" t="s">
        <v>337</v>
      </c>
      <c r="F4020" s="12">
        <v>239705</v>
      </c>
      <c r="G4020" s="13">
        <v>23</v>
      </c>
      <c r="H4020" t="s">
        <v>3380</v>
      </c>
      <c r="I4020" s="8">
        <v>46263</v>
      </c>
      <c r="J4020" t="s">
        <v>2682</v>
      </c>
      <c r="K4020" t="s">
        <v>2683</v>
      </c>
      <c r="L4020" s="13">
        <v>6000</v>
      </c>
      <c r="M4020" t="s">
        <v>2661</v>
      </c>
    </row>
    <row r="4021" spans="1:13">
      <c r="A4021" t="s">
        <v>1694</v>
      </c>
      <c r="B4021" t="s">
        <v>255</v>
      </c>
      <c r="C4021" s="8">
        <v>45995</v>
      </c>
      <c r="D4021" t="s">
        <v>350</v>
      </c>
      <c r="E4021" t="s">
        <v>322</v>
      </c>
      <c r="F4021" s="12">
        <v>260138</v>
      </c>
      <c r="G4021" s="13">
        <v>26</v>
      </c>
      <c r="H4021" t="s">
        <v>2956</v>
      </c>
      <c r="I4021" s="8">
        <v>45952</v>
      </c>
      <c r="J4021" t="s">
        <v>2674</v>
      </c>
      <c r="K4021" t="s">
        <v>2675</v>
      </c>
      <c r="L4021" s="13">
        <v>20000</v>
      </c>
      <c r="M4021" t="s">
        <v>2676</v>
      </c>
    </row>
    <row r="4022" spans="1:13">
      <c r="A4022" t="s">
        <v>1694</v>
      </c>
      <c r="B4022" t="s">
        <v>255</v>
      </c>
      <c r="C4022" s="8">
        <v>45995</v>
      </c>
      <c r="D4022" t="s">
        <v>350</v>
      </c>
      <c r="E4022" t="s">
        <v>322</v>
      </c>
      <c r="F4022" s="12">
        <v>260138</v>
      </c>
      <c r="G4022" s="13">
        <v>26</v>
      </c>
      <c r="H4022" t="s">
        <v>3223</v>
      </c>
      <c r="I4022" s="8">
        <v>46198</v>
      </c>
      <c r="J4022" t="s">
        <v>2665</v>
      </c>
      <c r="K4022" t="s">
        <v>2666</v>
      </c>
      <c r="L4022" s="13">
        <v>2500</v>
      </c>
      <c r="M4022" t="s">
        <v>2661</v>
      </c>
    </row>
    <row r="4023" spans="1:13">
      <c r="A4023" t="s">
        <v>1694</v>
      </c>
      <c r="B4023" t="s">
        <v>255</v>
      </c>
      <c r="C4023" s="8">
        <v>45995</v>
      </c>
      <c r="D4023" t="s">
        <v>350</v>
      </c>
      <c r="E4023" t="s">
        <v>322</v>
      </c>
      <c r="F4023" s="12">
        <v>260138</v>
      </c>
      <c r="G4023" s="13">
        <v>26</v>
      </c>
      <c r="H4023" t="s">
        <v>3323</v>
      </c>
      <c r="I4023" s="8">
        <v>46169</v>
      </c>
      <c r="J4023" t="s">
        <v>2682</v>
      </c>
      <c r="K4023" t="s">
        <v>2683</v>
      </c>
      <c r="L4023" s="13">
        <v>6000</v>
      </c>
      <c r="M4023" t="s">
        <v>2676</v>
      </c>
    </row>
    <row r="4024" spans="1:13">
      <c r="A4024" t="s">
        <v>1695</v>
      </c>
      <c r="B4024" t="s">
        <v>45</v>
      </c>
      <c r="C4024" s="8">
        <v>46266</v>
      </c>
      <c r="D4024" t="s">
        <v>332</v>
      </c>
      <c r="E4024" t="s">
        <v>328</v>
      </c>
      <c r="F4024" s="12">
        <v>427108</v>
      </c>
      <c r="G4024" s="13">
        <v>42</v>
      </c>
      <c r="H4024" t="s">
        <v>2697</v>
      </c>
      <c r="I4024" s="8">
        <v>46124</v>
      </c>
      <c r="J4024" t="s">
        <v>2674</v>
      </c>
      <c r="K4024" t="s">
        <v>2675</v>
      </c>
      <c r="L4024" s="13">
        <v>20000</v>
      </c>
      <c r="M4024" t="s">
        <v>2676</v>
      </c>
    </row>
    <row r="4025" spans="1:13">
      <c r="A4025" t="s">
        <v>1695</v>
      </c>
      <c r="B4025" t="s">
        <v>45</v>
      </c>
      <c r="C4025" s="8">
        <v>46266</v>
      </c>
      <c r="D4025" t="s">
        <v>332</v>
      </c>
      <c r="E4025" t="s">
        <v>328</v>
      </c>
      <c r="F4025" s="12">
        <v>427108</v>
      </c>
      <c r="G4025" s="13">
        <v>42</v>
      </c>
      <c r="H4025" t="s">
        <v>3006</v>
      </c>
      <c r="I4025" s="8">
        <v>46130</v>
      </c>
      <c r="J4025" t="s">
        <v>2674</v>
      </c>
      <c r="K4025" t="s">
        <v>2675</v>
      </c>
      <c r="L4025" s="13">
        <v>20000</v>
      </c>
      <c r="M4025" t="s">
        <v>2661</v>
      </c>
    </row>
    <row r="4026" spans="1:13">
      <c r="A4026" t="s">
        <v>1695</v>
      </c>
      <c r="B4026" t="s">
        <v>45</v>
      </c>
      <c r="C4026" s="8">
        <v>46266</v>
      </c>
      <c r="D4026" t="s">
        <v>332</v>
      </c>
      <c r="E4026" t="s">
        <v>328</v>
      </c>
      <c r="F4026" s="12">
        <v>427108</v>
      </c>
      <c r="G4026" s="13">
        <v>42</v>
      </c>
      <c r="H4026" t="s">
        <v>3226</v>
      </c>
      <c r="I4026" s="8">
        <v>46245</v>
      </c>
      <c r="J4026" t="s">
        <v>2692</v>
      </c>
      <c r="K4026" t="s">
        <v>2693</v>
      </c>
      <c r="L4026" s="13">
        <v>10000</v>
      </c>
      <c r="M4026" t="s">
        <v>2661</v>
      </c>
    </row>
    <row r="4027" spans="1:13">
      <c r="A4027" t="s">
        <v>1695</v>
      </c>
      <c r="B4027" t="s">
        <v>45</v>
      </c>
      <c r="C4027" s="8">
        <v>46266</v>
      </c>
      <c r="D4027" t="s">
        <v>332</v>
      </c>
      <c r="E4027" t="s">
        <v>328</v>
      </c>
      <c r="F4027" s="12">
        <v>427108</v>
      </c>
      <c r="G4027" s="13">
        <v>42</v>
      </c>
      <c r="H4027" t="s">
        <v>3332</v>
      </c>
      <c r="I4027" s="8">
        <v>46003</v>
      </c>
      <c r="J4027" t="s">
        <v>2665</v>
      </c>
      <c r="K4027" t="s">
        <v>2666</v>
      </c>
      <c r="L4027" s="13">
        <v>2500</v>
      </c>
      <c r="M4027" t="s">
        <v>2661</v>
      </c>
    </row>
    <row r="4028" spans="1:13">
      <c r="A4028" t="s">
        <v>1696</v>
      </c>
      <c r="B4028" t="s">
        <v>48</v>
      </c>
      <c r="C4028" s="8">
        <v>45944</v>
      </c>
      <c r="D4028" t="s">
        <v>332</v>
      </c>
      <c r="E4028" t="s">
        <v>322</v>
      </c>
      <c r="F4028" s="12">
        <v>1152771</v>
      </c>
      <c r="G4028" s="13">
        <v>115</v>
      </c>
      <c r="H4028" t="s">
        <v>3044</v>
      </c>
      <c r="I4028" s="8">
        <v>46137</v>
      </c>
      <c r="J4028" t="s">
        <v>2659</v>
      </c>
      <c r="K4028" t="s">
        <v>2660</v>
      </c>
      <c r="L4028" s="13">
        <v>3500</v>
      </c>
      <c r="M4028" t="s">
        <v>2676</v>
      </c>
    </row>
    <row r="4029" spans="1:13">
      <c r="A4029" t="s">
        <v>1696</v>
      </c>
      <c r="B4029" t="s">
        <v>48</v>
      </c>
      <c r="C4029" s="8">
        <v>45944</v>
      </c>
      <c r="D4029" t="s">
        <v>332</v>
      </c>
      <c r="E4029" t="s">
        <v>322</v>
      </c>
      <c r="F4029" s="12">
        <v>1152771</v>
      </c>
      <c r="G4029" s="13">
        <v>115</v>
      </c>
      <c r="H4029" t="s">
        <v>3368</v>
      </c>
      <c r="I4029" s="8">
        <v>46171</v>
      </c>
      <c r="J4029" t="s">
        <v>2659</v>
      </c>
      <c r="K4029" t="s">
        <v>2660</v>
      </c>
      <c r="L4029" s="13">
        <v>3500</v>
      </c>
      <c r="M4029" t="s">
        <v>2676</v>
      </c>
    </row>
    <row r="4030" spans="1:13">
      <c r="A4030" t="s">
        <v>1696</v>
      </c>
      <c r="B4030" t="s">
        <v>48</v>
      </c>
      <c r="C4030" s="8">
        <v>45944</v>
      </c>
      <c r="D4030" t="s">
        <v>332</v>
      </c>
      <c r="E4030" t="s">
        <v>322</v>
      </c>
      <c r="F4030" s="12">
        <v>1152771</v>
      </c>
      <c r="G4030" s="13">
        <v>115</v>
      </c>
      <c r="H4030" t="s">
        <v>3393</v>
      </c>
      <c r="I4030" s="8">
        <v>45952</v>
      </c>
      <c r="J4030" t="s">
        <v>2688</v>
      </c>
      <c r="K4030" t="s">
        <v>2689</v>
      </c>
      <c r="L4030" s="13">
        <v>8000</v>
      </c>
      <c r="M4030" t="s">
        <v>2661</v>
      </c>
    </row>
    <row r="4031" spans="1:13">
      <c r="A4031" t="s">
        <v>1697</v>
      </c>
      <c r="B4031" t="s">
        <v>141</v>
      </c>
      <c r="C4031" s="8">
        <v>46238</v>
      </c>
      <c r="D4031" t="s">
        <v>332</v>
      </c>
      <c r="E4031" t="s">
        <v>337</v>
      </c>
      <c r="F4031" s="12">
        <v>446236</v>
      </c>
      <c r="G4031" s="13">
        <v>44</v>
      </c>
      <c r="H4031" t="s">
        <v>2784</v>
      </c>
      <c r="I4031" s="8">
        <v>46039</v>
      </c>
      <c r="J4031" t="s">
        <v>2692</v>
      </c>
      <c r="K4031" t="s">
        <v>2693</v>
      </c>
      <c r="L4031" s="13">
        <v>10000</v>
      </c>
      <c r="M4031" t="s">
        <v>2676</v>
      </c>
    </row>
    <row r="4032" spans="1:13">
      <c r="A4032" t="s">
        <v>1697</v>
      </c>
      <c r="B4032" t="s">
        <v>141</v>
      </c>
      <c r="C4032" s="8">
        <v>46238</v>
      </c>
      <c r="D4032" t="s">
        <v>332</v>
      </c>
      <c r="E4032" t="s">
        <v>337</v>
      </c>
      <c r="F4032" s="12">
        <v>446236</v>
      </c>
      <c r="G4032" s="13">
        <v>44</v>
      </c>
      <c r="H4032" t="s">
        <v>2983</v>
      </c>
      <c r="I4032" s="8">
        <v>46195</v>
      </c>
      <c r="J4032" t="s">
        <v>2665</v>
      </c>
      <c r="K4032" t="s">
        <v>2666</v>
      </c>
      <c r="L4032" s="13">
        <v>2500</v>
      </c>
      <c r="M4032" t="s">
        <v>2661</v>
      </c>
    </row>
    <row r="4033" spans="1:13">
      <c r="A4033" t="s">
        <v>1697</v>
      </c>
      <c r="B4033" t="s">
        <v>141</v>
      </c>
      <c r="C4033" s="8">
        <v>46238</v>
      </c>
      <c r="D4033" t="s">
        <v>332</v>
      </c>
      <c r="E4033" t="s">
        <v>337</v>
      </c>
      <c r="F4033" s="12">
        <v>446236</v>
      </c>
      <c r="G4033" s="13">
        <v>44</v>
      </c>
      <c r="H4033" t="s">
        <v>3011</v>
      </c>
      <c r="I4033" s="8">
        <v>46197</v>
      </c>
      <c r="J4033" t="s">
        <v>2674</v>
      </c>
      <c r="K4033" t="s">
        <v>2675</v>
      </c>
      <c r="L4033" s="13">
        <v>20000</v>
      </c>
      <c r="M4033" t="s">
        <v>2661</v>
      </c>
    </row>
    <row r="4034" spans="1:13">
      <c r="A4034" t="s">
        <v>1697</v>
      </c>
      <c r="B4034" t="s">
        <v>141</v>
      </c>
      <c r="C4034" s="8">
        <v>46238</v>
      </c>
      <c r="D4034" t="s">
        <v>332</v>
      </c>
      <c r="E4034" t="s">
        <v>337</v>
      </c>
      <c r="F4034" s="12">
        <v>446236</v>
      </c>
      <c r="G4034" s="13">
        <v>44</v>
      </c>
      <c r="H4034" t="s">
        <v>3035</v>
      </c>
      <c r="I4034" s="8">
        <v>46115</v>
      </c>
      <c r="J4034" t="s">
        <v>2663</v>
      </c>
      <c r="K4034" t="s">
        <v>3630</v>
      </c>
      <c r="L4034" s="13">
        <v>1500</v>
      </c>
      <c r="M4034" t="s">
        <v>2661</v>
      </c>
    </row>
    <row r="4035" spans="1:13">
      <c r="A4035" t="s">
        <v>1697</v>
      </c>
      <c r="B4035" t="s">
        <v>141</v>
      </c>
      <c r="C4035" s="8">
        <v>46238</v>
      </c>
      <c r="D4035" t="s">
        <v>332</v>
      </c>
      <c r="E4035" t="s">
        <v>337</v>
      </c>
      <c r="F4035" s="12">
        <v>446236</v>
      </c>
      <c r="G4035" s="13">
        <v>44</v>
      </c>
      <c r="H4035" t="s">
        <v>3161</v>
      </c>
      <c r="I4035" s="8">
        <v>46177</v>
      </c>
      <c r="J4035" t="s">
        <v>2663</v>
      </c>
      <c r="K4035" t="s">
        <v>3630</v>
      </c>
      <c r="L4035" s="13">
        <v>1500</v>
      </c>
      <c r="M4035" t="s">
        <v>2661</v>
      </c>
    </row>
    <row r="4036" spans="1:13">
      <c r="A4036" t="s">
        <v>1697</v>
      </c>
      <c r="B4036" t="s">
        <v>141</v>
      </c>
      <c r="C4036" s="8">
        <v>46238</v>
      </c>
      <c r="D4036" t="s">
        <v>332</v>
      </c>
      <c r="E4036" t="s">
        <v>337</v>
      </c>
      <c r="F4036" s="12">
        <v>446236</v>
      </c>
      <c r="G4036" s="13">
        <v>44</v>
      </c>
      <c r="H4036" t="s">
        <v>3357</v>
      </c>
      <c r="I4036" s="8">
        <v>46093</v>
      </c>
      <c r="J4036" t="s">
        <v>2685</v>
      </c>
      <c r="K4036" t="s">
        <v>2686</v>
      </c>
      <c r="L4036" s="13">
        <v>5000</v>
      </c>
      <c r="M4036" t="s">
        <v>2676</v>
      </c>
    </row>
    <row r="4037" spans="1:13">
      <c r="A4037" t="s">
        <v>1698</v>
      </c>
      <c r="B4037" t="s">
        <v>266</v>
      </c>
      <c r="C4037" s="8">
        <v>46272</v>
      </c>
      <c r="D4037" t="s">
        <v>321</v>
      </c>
      <c r="E4037" t="s">
        <v>337</v>
      </c>
      <c r="F4037" s="12">
        <v>129854</v>
      </c>
      <c r="G4037" s="13">
        <v>12</v>
      </c>
      <c r="H4037" t="s">
        <v>2736</v>
      </c>
      <c r="I4037" s="8">
        <v>46216</v>
      </c>
      <c r="J4037" t="s">
        <v>2685</v>
      </c>
      <c r="K4037" t="s">
        <v>2686</v>
      </c>
      <c r="L4037" s="13">
        <v>5000</v>
      </c>
      <c r="M4037" t="s">
        <v>2661</v>
      </c>
    </row>
    <row r="4038" spans="1:13">
      <c r="A4038" t="s">
        <v>1698</v>
      </c>
      <c r="B4038" t="s">
        <v>266</v>
      </c>
      <c r="C4038" s="8">
        <v>46272</v>
      </c>
      <c r="D4038" t="s">
        <v>321</v>
      </c>
      <c r="E4038" t="s">
        <v>337</v>
      </c>
      <c r="F4038" s="12">
        <v>129854</v>
      </c>
      <c r="G4038" s="13">
        <v>12</v>
      </c>
      <c r="H4038" t="s">
        <v>2757</v>
      </c>
      <c r="I4038" s="8">
        <v>46186</v>
      </c>
      <c r="J4038" t="s">
        <v>2688</v>
      </c>
      <c r="K4038" t="s">
        <v>2689</v>
      </c>
      <c r="L4038" s="13">
        <v>8000</v>
      </c>
      <c r="M4038" t="s">
        <v>2661</v>
      </c>
    </row>
    <row r="4039" spans="1:13">
      <c r="A4039" t="s">
        <v>1698</v>
      </c>
      <c r="B4039" t="s">
        <v>266</v>
      </c>
      <c r="C4039" s="8">
        <v>46272</v>
      </c>
      <c r="D4039" t="s">
        <v>321</v>
      </c>
      <c r="E4039" t="s">
        <v>337</v>
      </c>
      <c r="F4039" s="12">
        <v>129854</v>
      </c>
      <c r="G4039" s="13">
        <v>12</v>
      </c>
      <c r="H4039" t="s">
        <v>3331</v>
      </c>
      <c r="I4039" s="8">
        <v>46215</v>
      </c>
      <c r="J4039" t="s">
        <v>2674</v>
      </c>
      <c r="K4039" t="s">
        <v>2675</v>
      </c>
      <c r="L4039" s="13">
        <v>20000</v>
      </c>
      <c r="M4039" t="s">
        <v>2661</v>
      </c>
    </row>
    <row r="4040" spans="1:13">
      <c r="A4040" t="s">
        <v>1698</v>
      </c>
      <c r="B4040" t="s">
        <v>266</v>
      </c>
      <c r="C4040" s="8">
        <v>46272</v>
      </c>
      <c r="D4040" t="s">
        <v>321</v>
      </c>
      <c r="E4040" t="s">
        <v>337</v>
      </c>
      <c r="F4040" s="12">
        <v>129854</v>
      </c>
      <c r="G4040" s="13">
        <v>12</v>
      </c>
      <c r="H4040" t="s">
        <v>3337</v>
      </c>
      <c r="I4040" s="8">
        <v>46032</v>
      </c>
      <c r="J4040" t="s">
        <v>2682</v>
      </c>
      <c r="K4040" t="s">
        <v>2683</v>
      </c>
      <c r="L4040" s="13">
        <v>6000</v>
      </c>
      <c r="M4040" t="s">
        <v>2661</v>
      </c>
    </row>
    <row r="4041" spans="1:13">
      <c r="A4041" t="s">
        <v>1698</v>
      </c>
      <c r="B4041" t="s">
        <v>266</v>
      </c>
      <c r="C4041" s="8">
        <v>46272</v>
      </c>
      <c r="D4041" t="s">
        <v>321</v>
      </c>
      <c r="E4041" t="s">
        <v>337</v>
      </c>
      <c r="F4041" s="12">
        <v>129854</v>
      </c>
      <c r="G4041" s="13">
        <v>12</v>
      </c>
      <c r="H4041" t="s">
        <v>3347</v>
      </c>
      <c r="I4041" s="8">
        <v>46104</v>
      </c>
      <c r="J4041" t="s">
        <v>2688</v>
      </c>
      <c r="K4041" t="s">
        <v>2689</v>
      </c>
      <c r="L4041" s="13">
        <v>8000</v>
      </c>
      <c r="M4041" t="s">
        <v>2661</v>
      </c>
    </row>
    <row r="4042" spans="1:13">
      <c r="A4042" t="s">
        <v>1698</v>
      </c>
      <c r="B4042" t="s">
        <v>266</v>
      </c>
      <c r="C4042" s="8">
        <v>46272</v>
      </c>
      <c r="D4042" t="s">
        <v>321</v>
      </c>
      <c r="E4042" t="s">
        <v>337</v>
      </c>
      <c r="F4042" s="12">
        <v>129854</v>
      </c>
      <c r="G4042" s="13">
        <v>12</v>
      </c>
      <c r="H4042" t="s">
        <v>3518</v>
      </c>
      <c r="I4042" s="8">
        <v>46126</v>
      </c>
      <c r="J4042" t="s">
        <v>2692</v>
      </c>
      <c r="K4042" t="s">
        <v>2693</v>
      </c>
      <c r="L4042" s="13">
        <v>10000</v>
      </c>
      <c r="M4042" t="s">
        <v>2661</v>
      </c>
    </row>
    <row r="4043" spans="1:13">
      <c r="A4043" t="s">
        <v>1699</v>
      </c>
      <c r="B4043" t="s">
        <v>64</v>
      </c>
      <c r="C4043" s="8">
        <v>46120</v>
      </c>
      <c r="D4043" t="s">
        <v>342</v>
      </c>
      <c r="E4043" t="s">
        <v>334</v>
      </c>
      <c r="F4043" s="12">
        <v>160626</v>
      </c>
      <c r="G4043" s="13">
        <v>16</v>
      </c>
      <c r="H4043" t="s">
        <v>2733</v>
      </c>
      <c r="I4043" s="8">
        <v>46127</v>
      </c>
      <c r="J4043" t="s">
        <v>2674</v>
      </c>
      <c r="K4043" t="s">
        <v>2675</v>
      </c>
      <c r="L4043" s="13">
        <v>20000</v>
      </c>
      <c r="M4043" t="s">
        <v>2661</v>
      </c>
    </row>
    <row r="4044" spans="1:13">
      <c r="A4044" t="s">
        <v>1699</v>
      </c>
      <c r="B4044" t="s">
        <v>64</v>
      </c>
      <c r="C4044" s="8">
        <v>46120</v>
      </c>
      <c r="D4044" t="s">
        <v>342</v>
      </c>
      <c r="E4044" t="s">
        <v>334</v>
      </c>
      <c r="F4044" s="12">
        <v>160626</v>
      </c>
      <c r="G4044" s="13">
        <v>16</v>
      </c>
      <c r="H4044" t="s">
        <v>2752</v>
      </c>
      <c r="I4044" s="8">
        <v>45976</v>
      </c>
      <c r="J4044" t="s">
        <v>2668</v>
      </c>
      <c r="K4044" t="s">
        <v>2669</v>
      </c>
      <c r="L4044" s="13">
        <v>4000</v>
      </c>
      <c r="M4044" t="s">
        <v>2661</v>
      </c>
    </row>
    <row r="4045" spans="1:13">
      <c r="A4045" t="s">
        <v>1699</v>
      </c>
      <c r="B4045" t="s">
        <v>64</v>
      </c>
      <c r="C4045" s="8">
        <v>46120</v>
      </c>
      <c r="D4045" t="s">
        <v>342</v>
      </c>
      <c r="E4045" t="s">
        <v>334</v>
      </c>
      <c r="F4045" s="12">
        <v>160626</v>
      </c>
      <c r="G4045" s="13">
        <v>16</v>
      </c>
      <c r="H4045" t="s">
        <v>3108</v>
      </c>
      <c r="I4045" s="8">
        <v>46158</v>
      </c>
      <c r="J4045" t="s">
        <v>2692</v>
      </c>
      <c r="K4045" t="s">
        <v>2693</v>
      </c>
      <c r="L4045" s="13">
        <v>10000</v>
      </c>
      <c r="M4045" t="s">
        <v>2661</v>
      </c>
    </row>
    <row r="4046" spans="1:13">
      <c r="A4046" t="s">
        <v>1699</v>
      </c>
      <c r="B4046" t="s">
        <v>64</v>
      </c>
      <c r="C4046" s="8">
        <v>46120</v>
      </c>
      <c r="D4046" t="s">
        <v>342</v>
      </c>
      <c r="E4046" t="s">
        <v>334</v>
      </c>
      <c r="F4046" s="12">
        <v>160626</v>
      </c>
      <c r="G4046" s="13">
        <v>16</v>
      </c>
      <c r="H4046" t="s">
        <v>3187</v>
      </c>
      <c r="I4046" s="8">
        <v>46275</v>
      </c>
      <c r="J4046" t="s">
        <v>2659</v>
      </c>
      <c r="K4046" t="s">
        <v>2660</v>
      </c>
      <c r="L4046" s="13">
        <v>3500</v>
      </c>
      <c r="M4046" t="s">
        <v>2661</v>
      </c>
    </row>
    <row r="4047" spans="1:13">
      <c r="A4047" t="s">
        <v>1700</v>
      </c>
      <c r="B4047" t="s">
        <v>135</v>
      </c>
      <c r="C4047" s="8">
        <v>46090</v>
      </c>
      <c r="D4047" t="s">
        <v>324</v>
      </c>
      <c r="E4047" t="s">
        <v>325</v>
      </c>
      <c r="F4047" s="12">
        <v>128213</v>
      </c>
      <c r="G4047" s="13">
        <v>12</v>
      </c>
      <c r="H4047" t="s">
        <v>2922</v>
      </c>
      <c r="I4047" s="8">
        <v>45998</v>
      </c>
      <c r="J4047" t="s">
        <v>2682</v>
      </c>
      <c r="K4047" t="s">
        <v>2683</v>
      </c>
      <c r="L4047" s="13">
        <v>6000</v>
      </c>
      <c r="M4047" t="s">
        <v>2661</v>
      </c>
    </row>
    <row r="4048" spans="1:13">
      <c r="A4048" t="s">
        <v>1700</v>
      </c>
      <c r="B4048" t="s">
        <v>135</v>
      </c>
      <c r="C4048" s="8">
        <v>46090</v>
      </c>
      <c r="D4048" t="s">
        <v>324</v>
      </c>
      <c r="E4048" t="s">
        <v>325</v>
      </c>
      <c r="F4048" s="12">
        <v>128213</v>
      </c>
      <c r="G4048" s="13">
        <v>12</v>
      </c>
      <c r="H4048" t="s">
        <v>3053</v>
      </c>
      <c r="I4048" s="8">
        <v>46165</v>
      </c>
      <c r="J4048" t="s">
        <v>2692</v>
      </c>
      <c r="K4048" t="s">
        <v>2693</v>
      </c>
      <c r="L4048" s="13">
        <v>10000</v>
      </c>
      <c r="M4048" t="s">
        <v>2661</v>
      </c>
    </row>
    <row r="4049" spans="1:13">
      <c r="A4049" t="s">
        <v>1700</v>
      </c>
      <c r="B4049" t="s">
        <v>135</v>
      </c>
      <c r="C4049" s="8">
        <v>46090</v>
      </c>
      <c r="D4049" t="s">
        <v>324</v>
      </c>
      <c r="E4049" t="s">
        <v>325</v>
      </c>
      <c r="F4049" s="12">
        <v>128213</v>
      </c>
      <c r="G4049" s="13">
        <v>12</v>
      </c>
      <c r="H4049" t="s">
        <v>3118</v>
      </c>
      <c r="I4049" s="8">
        <v>45989</v>
      </c>
      <c r="J4049" t="s">
        <v>2692</v>
      </c>
      <c r="K4049" t="s">
        <v>2693</v>
      </c>
      <c r="L4049" s="13">
        <v>10000</v>
      </c>
      <c r="M4049" t="s">
        <v>2661</v>
      </c>
    </row>
    <row r="4050" spans="1:13">
      <c r="A4050" t="s">
        <v>1700</v>
      </c>
      <c r="B4050" t="s">
        <v>135</v>
      </c>
      <c r="C4050" s="8">
        <v>46090</v>
      </c>
      <c r="D4050" t="s">
        <v>324</v>
      </c>
      <c r="E4050" t="s">
        <v>325</v>
      </c>
      <c r="F4050" s="12">
        <v>128213</v>
      </c>
      <c r="G4050" s="13">
        <v>12</v>
      </c>
      <c r="H4050" t="s">
        <v>3262</v>
      </c>
      <c r="I4050" s="8">
        <v>46091</v>
      </c>
      <c r="J4050" t="s">
        <v>2682</v>
      </c>
      <c r="K4050" t="s">
        <v>2683</v>
      </c>
      <c r="L4050" s="13">
        <v>6000</v>
      </c>
      <c r="M4050" t="s">
        <v>2661</v>
      </c>
    </row>
    <row r="4051" spans="1:13">
      <c r="A4051" t="s">
        <v>1701</v>
      </c>
      <c r="B4051" t="s">
        <v>256</v>
      </c>
      <c r="C4051" s="8">
        <v>46080</v>
      </c>
      <c r="D4051" t="s">
        <v>344</v>
      </c>
      <c r="E4051" t="s">
        <v>334</v>
      </c>
      <c r="F4051" s="12">
        <v>420952</v>
      </c>
      <c r="G4051" s="13">
        <v>42</v>
      </c>
      <c r="H4051" t="s">
        <v>3289</v>
      </c>
      <c r="I4051" s="8">
        <v>46146</v>
      </c>
      <c r="J4051" t="s">
        <v>2659</v>
      </c>
      <c r="K4051" t="s">
        <v>2660</v>
      </c>
      <c r="L4051" s="13">
        <v>3500</v>
      </c>
      <c r="M4051" t="s">
        <v>2661</v>
      </c>
    </row>
    <row r="4052" spans="1:13">
      <c r="A4052" t="s">
        <v>1702</v>
      </c>
      <c r="B4052" t="s">
        <v>255</v>
      </c>
      <c r="C4052" s="8">
        <v>45967</v>
      </c>
      <c r="D4052" t="s">
        <v>344</v>
      </c>
      <c r="E4052" t="s">
        <v>328</v>
      </c>
      <c r="F4052" s="12">
        <v>297035</v>
      </c>
      <c r="G4052" s="13">
        <v>29</v>
      </c>
      <c r="H4052" t="s">
        <v>2956</v>
      </c>
      <c r="I4052" s="8">
        <v>45952</v>
      </c>
      <c r="J4052" t="s">
        <v>2674</v>
      </c>
      <c r="K4052" t="s">
        <v>2675</v>
      </c>
      <c r="L4052" s="13">
        <v>20000</v>
      </c>
      <c r="M4052" t="s">
        <v>2676</v>
      </c>
    </row>
    <row r="4053" spans="1:13">
      <c r="A4053" t="s">
        <v>1702</v>
      </c>
      <c r="B4053" t="s">
        <v>255</v>
      </c>
      <c r="C4053" s="8">
        <v>45967</v>
      </c>
      <c r="D4053" t="s">
        <v>344</v>
      </c>
      <c r="E4053" t="s">
        <v>328</v>
      </c>
      <c r="F4053" s="12">
        <v>297035</v>
      </c>
      <c r="G4053" s="13">
        <v>29</v>
      </c>
      <c r="H4053" t="s">
        <v>3223</v>
      </c>
      <c r="I4053" s="8">
        <v>46198</v>
      </c>
      <c r="J4053" t="s">
        <v>2665</v>
      </c>
      <c r="K4053" t="s">
        <v>2666</v>
      </c>
      <c r="L4053" s="13">
        <v>2500</v>
      </c>
      <c r="M4053" t="s">
        <v>2661</v>
      </c>
    </row>
    <row r="4054" spans="1:13">
      <c r="A4054" t="s">
        <v>1702</v>
      </c>
      <c r="B4054" t="s">
        <v>255</v>
      </c>
      <c r="C4054" s="8">
        <v>45967</v>
      </c>
      <c r="D4054" t="s">
        <v>344</v>
      </c>
      <c r="E4054" t="s">
        <v>328</v>
      </c>
      <c r="F4054" s="12">
        <v>297035</v>
      </c>
      <c r="G4054" s="13">
        <v>29</v>
      </c>
      <c r="H4054" t="s">
        <v>3323</v>
      </c>
      <c r="I4054" s="8">
        <v>46169</v>
      </c>
      <c r="J4054" t="s">
        <v>2682</v>
      </c>
      <c r="K4054" t="s">
        <v>2683</v>
      </c>
      <c r="L4054" s="13">
        <v>6000</v>
      </c>
      <c r="M4054" t="s">
        <v>2676</v>
      </c>
    </row>
    <row r="4055" spans="1:13">
      <c r="A4055" t="s">
        <v>1703</v>
      </c>
      <c r="B4055" t="s">
        <v>213</v>
      </c>
      <c r="C4055" s="8">
        <v>46140</v>
      </c>
      <c r="D4055" t="s">
        <v>327</v>
      </c>
      <c r="E4055" t="s">
        <v>322</v>
      </c>
      <c r="F4055" s="12">
        <v>673626</v>
      </c>
      <c r="G4055" s="13">
        <v>67</v>
      </c>
      <c r="H4055" t="s">
        <v>2951</v>
      </c>
      <c r="I4055" s="8">
        <v>46292</v>
      </c>
      <c r="J4055" t="s">
        <v>2692</v>
      </c>
      <c r="K4055" t="s">
        <v>2693</v>
      </c>
      <c r="L4055" s="13">
        <v>10000</v>
      </c>
      <c r="M4055" t="s">
        <v>2661</v>
      </c>
    </row>
    <row r="4056" spans="1:13">
      <c r="A4056" t="s">
        <v>1703</v>
      </c>
      <c r="B4056" t="s">
        <v>213</v>
      </c>
      <c r="C4056" s="8">
        <v>46140</v>
      </c>
      <c r="D4056" t="s">
        <v>327</v>
      </c>
      <c r="E4056" t="s">
        <v>322</v>
      </c>
      <c r="F4056" s="12">
        <v>673626</v>
      </c>
      <c r="G4056" s="13">
        <v>67</v>
      </c>
      <c r="H4056" t="s">
        <v>3382</v>
      </c>
      <c r="I4056" s="8">
        <v>46034</v>
      </c>
      <c r="J4056" t="s">
        <v>2688</v>
      </c>
      <c r="K4056" t="s">
        <v>2689</v>
      </c>
      <c r="L4056" s="13">
        <v>8000</v>
      </c>
      <c r="M4056" t="s">
        <v>2661</v>
      </c>
    </row>
    <row r="4057" spans="1:13">
      <c r="A4057" t="s">
        <v>1704</v>
      </c>
      <c r="B4057" t="s">
        <v>196</v>
      </c>
      <c r="C4057" s="8">
        <v>46205</v>
      </c>
      <c r="D4057" t="s">
        <v>344</v>
      </c>
      <c r="E4057" t="s">
        <v>337</v>
      </c>
      <c r="F4057" s="12">
        <v>301452</v>
      </c>
      <c r="G4057" s="13">
        <v>30</v>
      </c>
      <c r="H4057" t="s">
        <v>3132</v>
      </c>
      <c r="I4057" s="8">
        <v>46123</v>
      </c>
      <c r="J4057" t="s">
        <v>2668</v>
      </c>
      <c r="K4057" t="s">
        <v>2669</v>
      </c>
      <c r="L4057" s="13">
        <v>4000</v>
      </c>
      <c r="M4057" t="s">
        <v>2661</v>
      </c>
    </row>
    <row r="4058" spans="1:13">
      <c r="A4058" t="s">
        <v>1704</v>
      </c>
      <c r="B4058" t="s">
        <v>196</v>
      </c>
      <c r="C4058" s="8">
        <v>46205</v>
      </c>
      <c r="D4058" t="s">
        <v>344</v>
      </c>
      <c r="E4058" t="s">
        <v>337</v>
      </c>
      <c r="F4058" s="12">
        <v>301452</v>
      </c>
      <c r="G4058" s="13">
        <v>30</v>
      </c>
      <c r="H4058" t="s">
        <v>3338</v>
      </c>
      <c r="I4058" s="8">
        <v>46020</v>
      </c>
      <c r="J4058" t="s">
        <v>2692</v>
      </c>
      <c r="K4058" t="s">
        <v>2693</v>
      </c>
      <c r="L4058" s="13">
        <v>10000</v>
      </c>
      <c r="M4058" t="s">
        <v>2661</v>
      </c>
    </row>
    <row r="4059" spans="1:13">
      <c r="A4059" t="s">
        <v>1704</v>
      </c>
      <c r="B4059" t="s">
        <v>196</v>
      </c>
      <c r="C4059" s="8">
        <v>46205</v>
      </c>
      <c r="D4059" t="s">
        <v>344</v>
      </c>
      <c r="E4059" t="s">
        <v>337</v>
      </c>
      <c r="F4059" s="12">
        <v>301452</v>
      </c>
      <c r="G4059" s="13">
        <v>30</v>
      </c>
      <c r="H4059" t="s">
        <v>3502</v>
      </c>
      <c r="I4059" s="8">
        <v>45979</v>
      </c>
      <c r="J4059" t="s">
        <v>2692</v>
      </c>
      <c r="K4059" t="s">
        <v>2693</v>
      </c>
      <c r="L4059" s="13">
        <v>10000</v>
      </c>
      <c r="M4059" t="s">
        <v>2661</v>
      </c>
    </row>
    <row r="4060" spans="1:13">
      <c r="A4060" t="s">
        <v>1705</v>
      </c>
      <c r="B4060" t="s">
        <v>199</v>
      </c>
      <c r="C4060" s="8">
        <v>46147</v>
      </c>
      <c r="D4060" t="s">
        <v>321</v>
      </c>
      <c r="E4060" t="s">
        <v>339</v>
      </c>
      <c r="F4060" s="12">
        <v>322325</v>
      </c>
      <c r="G4060" s="13">
        <v>32</v>
      </c>
      <c r="H4060" t="s">
        <v>2993</v>
      </c>
      <c r="I4060" s="8">
        <v>46086</v>
      </c>
      <c r="J4060" t="s">
        <v>2659</v>
      </c>
      <c r="K4060" t="s">
        <v>2660</v>
      </c>
      <c r="L4060" s="13">
        <v>3500</v>
      </c>
      <c r="M4060" t="s">
        <v>2661</v>
      </c>
    </row>
    <row r="4061" spans="1:13">
      <c r="A4061" t="s">
        <v>1705</v>
      </c>
      <c r="B4061" t="s">
        <v>199</v>
      </c>
      <c r="C4061" s="8">
        <v>46147</v>
      </c>
      <c r="D4061" t="s">
        <v>321</v>
      </c>
      <c r="E4061" t="s">
        <v>339</v>
      </c>
      <c r="F4061" s="12">
        <v>322325</v>
      </c>
      <c r="G4061" s="13">
        <v>32</v>
      </c>
      <c r="H4061" t="s">
        <v>3004</v>
      </c>
      <c r="I4061" s="8">
        <v>45974</v>
      </c>
      <c r="J4061" t="s">
        <v>2688</v>
      </c>
      <c r="K4061" t="s">
        <v>2689</v>
      </c>
      <c r="L4061" s="13">
        <v>8000</v>
      </c>
      <c r="M4061" t="s">
        <v>2661</v>
      </c>
    </row>
    <row r="4062" spans="1:13">
      <c r="A4062" t="s">
        <v>1705</v>
      </c>
      <c r="B4062" t="s">
        <v>199</v>
      </c>
      <c r="C4062" s="8">
        <v>46147</v>
      </c>
      <c r="D4062" t="s">
        <v>321</v>
      </c>
      <c r="E4062" t="s">
        <v>339</v>
      </c>
      <c r="F4062" s="12">
        <v>322325</v>
      </c>
      <c r="G4062" s="13">
        <v>32</v>
      </c>
      <c r="H4062" t="s">
        <v>3399</v>
      </c>
      <c r="I4062" s="8">
        <v>46093</v>
      </c>
      <c r="J4062" t="s">
        <v>2659</v>
      </c>
      <c r="K4062" t="s">
        <v>2660</v>
      </c>
      <c r="L4062" s="13">
        <v>3500</v>
      </c>
      <c r="M4062" t="s">
        <v>2661</v>
      </c>
    </row>
    <row r="4063" spans="1:13">
      <c r="A4063" t="s">
        <v>1705</v>
      </c>
      <c r="B4063" t="s">
        <v>199</v>
      </c>
      <c r="C4063" s="8">
        <v>46147</v>
      </c>
      <c r="D4063" t="s">
        <v>321</v>
      </c>
      <c r="E4063" t="s">
        <v>339</v>
      </c>
      <c r="F4063" s="12">
        <v>322325</v>
      </c>
      <c r="G4063" s="13">
        <v>32</v>
      </c>
      <c r="H4063" t="s">
        <v>3496</v>
      </c>
      <c r="I4063" s="8">
        <v>46020</v>
      </c>
      <c r="J4063" t="s">
        <v>2674</v>
      </c>
      <c r="K4063" t="s">
        <v>2675</v>
      </c>
      <c r="L4063" s="13">
        <v>20000</v>
      </c>
      <c r="M4063" t="s">
        <v>2661</v>
      </c>
    </row>
    <row r="4064" spans="1:13">
      <c r="A4064" t="s">
        <v>1706</v>
      </c>
      <c r="B4064" t="s">
        <v>77</v>
      </c>
      <c r="C4064" s="8">
        <v>46279</v>
      </c>
      <c r="D4064" t="s">
        <v>330</v>
      </c>
      <c r="E4064" t="s">
        <v>337</v>
      </c>
      <c r="F4064" s="12">
        <v>512530</v>
      </c>
      <c r="G4064" s="13">
        <v>51</v>
      </c>
      <c r="H4064" t="s">
        <v>2808</v>
      </c>
      <c r="I4064" s="8">
        <v>45978</v>
      </c>
      <c r="J4064" t="s">
        <v>2688</v>
      </c>
      <c r="K4064" t="s">
        <v>2689</v>
      </c>
      <c r="L4064" s="13">
        <v>8000</v>
      </c>
      <c r="M4064" t="s">
        <v>2661</v>
      </c>
    </row>
    <row r="4065" spans="1:13">
      <c r="A4065" t="s">
        <v>1706</v>
      </c>
      <c r="B4065" t="s">
        <v>77</v>
      </c>
      <c r="C4065" s="8">
        <v>46279</v>
      </c>
      <c r="D4065" t="s">
        <v>330</v>
      </c>
      <c r="E4065" t="s">
        <v>337</v>
      </c>
      <c r="F4065" s="12">
        <v>512530</v>
      </c>
      <c r="G4065" s="13">
        <v>51</v>
      </c>
      <c r="H4065" t="s">
        <v>3166</v>
      </c>
      <c r="I4065" s="8">
        <v>46075</v>
      </c>
      <c r="J4065" t="s">
        <v>2668</v>
      </c>
      <c r="K4065" t="s">
        <v>2669</v>
      </c>
      <c r="L4065" s="13">
        <v>4000</v>
      </c>
      <c r="M4065" t="s">
        <v>2661</v>
      </c>
    </row>
    <row r="4066" spans="1:13">
      <c r="A4066" t="s">
        <v>1706</v>
      </c>
      <c r="B4066" t="s">
        <v>77</v>
      </c>
      <c r="C4066" s="8">
        <v>46279</v>
      </c>
      <c r="D4066" t="s">
        <v>330</v>
      </c>
      <c r="E4066" t="s">
        <v>337</v>
      </c>
      <c r="F4066" s="12">
        <v>512530</v>
      </c>
      <c r="G4066" s="13">
        <v>51</v>
      </c>
      <c r="H4066" t="s">
        <v>3326</v>
      </c>
      <c r="I4066" s="8">
        <v>46123</v>
      </c>
      <c r="J4066" t="s">
        <v>2688</v>
      </c>
      <c r="K4066" t="s">
        <v>2689</v>
      </c>
      <c r="L4066" s="13">
        <v>8000</v>
      </c>
      <c r="M4066" t="s">
        <v>2661</v>
      </c>
    </row>
    <row r="4067" spans="1:13">
      <c r="A4067" t="s">
        <v>1707</v>
      </c>
      <c r="B4067" t="s">
        <v>168</v>
      </c>
      <c r="C4067" s="8">
        <v>46206</v>
      </c>
      <c r="D4067" t="s">
        <v>332</v>
      </c>
      <c r="E4067" t="s">
        <v>337</v>
      </c>
      <c r="F4067" s="12">
        <v>158375</v>
      </c>
      <c r="G4067" s="13">
        <v>15</v>
      </c>
      <c r="H4067" t="s">
        <v>3128</v>
      </c>
      <c r="I4067" s="8">
        <v>46083</v>
      </c>
      <c r="J4067" t="s">
        <v>2674</v>
      </c>
      <c r="K4067" t="s">
        <v>2675</v>
      </c>
      <c r="L4067" s="13">
        <v>20000</v>
      </c>
      <c r="M4067" t="s">
        <v>2661</v>
      </c>
    </row>
    <row r="4068" spans="1:13">
      <c r="A4068" t="s">
        <v>1708</v>
      </c>
      <c r="B4068" t="s">
        <v>57</v>
      </c>
      <c r="C4068" s="8">
        <v>46263</v>
      </c>
      <c r="D4068" t="s">
        <v>324</v>
      </c>
      <c r="E4068" t="s">
        <v>328</v>
      </c>
      <c r="F4068" s="12">
        <v>773596</v>
      </c>
      <c r="G4068" s="13">
        <v>77</v>
      </c>
      <c r="H4068" t="s">
        <v>3486</v>
      </c>
      <c r="I4068" s="8">
        <v>46159</v>
      </c>
      <c r="J4068" t="s">
        <v>2665</v>
      </c>
      <c r="K4068" t="s">
        <v>2666</v>
      </c>
      <c r="L4068" s="13">
        <v>2500</v>
      </c>
      <c r="M4068" t="s">
        <v>2661</v>
      </c>
    </row>
    <row r="4069" spans="1:13">
      <c r="A4069" t="s">
        <v>1709</v>
      </c>
      <c r="B4069" t="s">
        <v>303</v>
      </c>
      <c r="C4069" s="8">
        <v>46224</v>
      </c>
      <c r="D4069" t="s">
        <v>342</v>
      </c>
      <c r="E4069" t="s">
        <v>325</v>
      </c>
      <c r="F4069" s="12">
        <v>499770</v>
      </c>
      <c r="G4069" s="13">
        <v>49</v>
      </c>
      <c r="H4069" t="s">
        <v>2809</v>
      </c>
      <c r="I4069" s="8">
        <v>46061</v>
      </c>
      <c r="J4069" t="s">
        <v>2682</v>
      </c>
      <c r="K4069" t="s">
        <v>2683</v>
      </c>
      <c r="L4069" s="13">
        <v>6000</v>
      </c>
      <c r="M4069" t="s">
        <v>2661</v>
      </c>
    </row>
    <row r="4070" spans="1:13">
      <c r="A4070" t="s">
        <v>1710</v>
      </c>
      <c r="B4070" t="s">
        <v>77</v>
      </c>
      <c r="C4070" s="8">
        <v>46192</v>
      </c>
      <c r="D4070" t="s">
        <v>321</v>
      </c>
      <c r="E4070" t="s">
        <v>322</v>
      </c>
      <c r="F4070" s="12">
        <v>242616</v>
      </c>
      <c r="G4070" s="13">
        <v>24</v>
      </c>
      <c r="H4070" t="s">
        <v>2808</v>
      </c>
      <c r="I4070" s="8">
        <v>45978</v>
      </c>
      <c r="J4070" t="s">
        <v>2688</v>
      </c>
      <c r="K4070" t="s">
        <v>2689</v>
      </c>
      <c r="L4070" s="13">
        <v>8000</v>
      </c>
      <c r="M4070" t="s">
        <v>2661</v>
      </c>
    </row>
    <row r="4071" spans="1:13">
      <c r="A4071" t="s">
        <v>1710</v>
      </c>
      <c r="B4071" t="s">
        <v>77</v>
      </c>
      <c r="C4071" s="8">
        <v>46192</v>
      </c>
      <c r="D4071" t="s">
        <v>321</v>
      </c>
      <c r="E4071" t="s">
        <v>322</v>
      </c>
      <c r="F4071" s="12">
        <v>242616</v>
      </c>
      <c r="G4071" s="13">
        <v>24</v>
      </c>
      <c r="H4071" t="s">
        <v>3166</v>
      </c>
      <c r="I4071" s="8">
        <v>46075</v>
      </c>
      <c r="J4071" t="s">
        <v>2668</v>
      </c>
      <c r="K4071" t="s">
        <v>2669</v>
      </c>
      <c r="L4071" s="13">
        <v>4000</v>
      </c>
      <c r="M4071" t="s">
        <v>2661</v>
      </c>
    </row>
    <row r="4072" spans="1:13">
      <c r="A4072" t="s">
        <v>1710</v>
      </c>
      <c r="B4072" t="s">
        <v>77</v>
      </c>
      <c r="C4072" s="8">
        <v>46192</v>
      </c>
      <c r="D4072" t="s">
        <v>321</v>
      </c>
      <c r="E4072" t="s">
        <v>322</v>
      </c>
      <c r="F4072" s="12">
        <v>242616</v>
      </c>
      <c r="G4072" s="13">
        <v>24</v>
      </c>
      <c r="H4072" t="s">
        <v>3326</v>
      </c>
      <c r="I4072" s="8">
        <v>46123</v>
      </c>
      <c r="J4072" t="s">
        <v>2688</v>
      </c>
      <c r="K4072" t="s">
        <v>2689</v>
      </c>
      <c r="L4072" s="13">
        <v>8000</v>
      </c>
      <c r="M4072" t="s">
        <v>2661</v>
      </c>
    </row>
    <row r="4073" spans="1:13">
      <c r="A4073" t="s">
        <v>1711</v>
      </c>
      <c r="B4073" t="s">
        <v>134</v>
      </c>
      <c r="C4073" s="8">
        <v>45952</v>
      </c>
      <c r="D4073" t="s">
        <v>332</v>
      </c>
      <c r="E4073" t="s">
        <v>322</v>
      </c>
      <c r="F4073" s="12">
        <v>351945</v>
      </c>
      <c r="G4073" s="13">
        <v>35</v>
      </c>
      <c r="H4073" t="s">
        <v>3183</v>
      </c>
      <c r="I4073" s="8">
        <v>46285</v>
      </c>
      <c r="J4073" t="s">
        <v>2663</v>
      </c>
      <c r="K4073" t="s">
        <v>3630</v>
      </c>
      <c r="L4073" s="13">
        <v>1500</v>
      </c>
      <c r="M4073" t="s">
        <v>2661</v>
      </c>
    </row>
    <row r="4074" spans="1:13">
      <c r="A4074" t="s">
        <v>1712</v>
      </c>
      <c r="B4074" t="s">
        <v>211</v>
      </c>
      <c r="C4074" s="8">
        <v>46055</v>
      </c>
      <c r="D4074" t="s">
        <v>344</v>
      </c>
      <c r="E4074" t="s">
        <v>322</v>
      </c>
      <c r="F4074" s="12">
        <v>150331</v>
      </c>
      <c r="G4074" s="13">
        <v>15</v>
      </c>
      <c r="H4074" t="s">
        <v>2724</v>
      </c>
      <c r="I4074" s="8">
        <v>45945</v>
      </c>
      <c r="J4074" t="s">
        <v>2665</v>
      </c>
      <c r="K4074" t="s">
        <v>2666</v>
      </c>
      <c r="L4074" s="13">
        <v>2500</v>
      </c>
      <c r="M4074" t="s">
        <v>2661</v>
      </c>
    </row>
    <row r="4075" spans="1:13">
      <c r="A4075" t="s">
        <v>1713</v>
      </c>
      <c r="B4075" t="s">
        <v>200</v>
      </c>
      <c r="C4075" s="8">
        <v>46041</v>
      </c>
      <c r="D4075" t="s">
        <v>324</v>
      </c>
      <c r="E4075" t="s">
        <v>325</v>
      </c>
      <c r="F4075" s="12">
        <v>238229</v>
      </c>
      <c r="G4075" s="13">
        <v>23</v>
      </c>
      <c r="H4075" t="s">
        <v>2975</v>
      </c>
      <c r="I4075" s="8">
        <v>46008</v>
      </c>
      <c r="J4075" t="s">
        <v>2671</v>
      </c>
      <c r="K4075" t="s">
        <v>2672</v>
      </c>
      <c r="L4075" s="13">
        <v>3000</v>
      </c>
      <c r="M4075" t="s">
        <v>2676</v>
      </c>
    </row>
    <row r="4076" spans="1:13">
      <c r="A4076" t="s">
        <v>1713</v>
      </c>
      <c r="B4076" t="s">
        <v>200</v>
      </c>
      <c r="C4076" s="8">
        <v>46041</v>
      </c>
      <c r="D4076" t="s">
        <v>324</v>
      </c>
      <c r="E4076" t="s">
        <v>325</v>
      </c>
      <c r="F4076" s="12">
        <v>238229</v>
      </c>
      <c r="G4076" s="13">
        <v>23</v>
      </c>
      <c r="H4076" t="s">
        <v>3381</v>
      </c>
      <c r="I4076" s="8">
        <v>46037</v>
      </c>
      <c r="J4076" t="s">
        <v>2663</v>
      </c>
      <c r="K4076" t="s">
        <v>3630</v>
      </c>
      <c r="L4076" s="13">
        <v>1500</v>
      </c>
      <c r="M4076" t="s">
        <v>2661</v>
      </c>
    </row>
    <row r="4077" spans="1:13">
      <c r="A4077" t="s">
        <v>1714</v>
      </c>
      <c r="B4077" t="s">
        <v>179</v>
      </c>
      <c r="C4077" s="8">
        <v>46022</v>
      </c>
      <c r="D4077" t="s">
        <v>350</v>
      </c>
      <c r="E4077" t="s">
        <v>337</v>
      </c>
      <c r="F4077" s="12">
        <v>226484</v>
      </c>
      <c r="G4077" s="13">
        <v>22</v>
      </c>
      <c r="H4077" t="s">
        <v>2677</v>
      </c>
      <c r="I4077" s="8">
        <v>45973</v>
      </c>
      <c r="J4077" t="s">
        <v>2663</v>
      </c>
      <c r="K4077" t="s">
        <v>3630</v>
      </c>
      <c r="L4077" s="13">
        <v>1500</v>
      </c>
      <c r="M4077" t="s">
        <v>2661</v>
      </c>
    </row>
    <row r="4078" spans="1:13">
      <c r="A4078" t="s">
        <v>1714</v>
      </c>
      <c r="B4078" t="s">
        <v>179</v>
      </c>
      <c r="C4078" s="8">
        <v>46022</v>
      </c>
      <c r="D4078" t="s">
        <v>350</v>
      </c>
      <c r="E4078" t="s">
        <v>337</v>
      </c>
      <c r="F4078" s="12">
        <v>226484</v>
      </c>
      <c r="G4078" s="13">
        <v>22</v>
      </c>
      <c r="H4078" t="s">
        <v>2695</v>
      </c>
      <c r="I4078" s="8">
        <v>46143</v>
      </c>
      <c r="J4078" t="s">
        <v>2671</v>
      </c>
      <c r="K4078" t="s">
        <v>2672</v>
      </c>
      <c r="L4078" s="13">
        <v>3000</v>
      </c>
      <c r="M4078" t="s">
        <v>2661</v>
      </c>
    </row>
    <row r="4079" spans="1:13">
      <c r="A4079" t="s">
        <v>1715</v>
      </c>
      <c r="B4079" t="s">
        <v>256</v>
      </c>
      <c r="C4079" s="8">
        <v>45949</v>
      </c>
      <c r="D4079" t="s">
        <v>324</v>
      </c>
      <c r="E4079" t="s">
        <v>337</v>
      </c>
      <c r="F4079" s="12">
        <v>523510</v>
      </c>
      <c r="G4079" s="13">
        <v>52</v>
      </c>
      <c r="H4079" t="s">
        <v>3289</v>
      </c>
      <c r="I4079" s="8">
        <v>46146</v>
      </c>
      <c r="J4079" t="s">
        <v>2659</v>
      </c>
      <c r="K4079" t="s">
        <v>2660</v>
      </c>
      <c r="L4079" s="13">
        <v>3500</v>
      </c>
      <c r="M4079" t="s">
        <v>2661</v>
      </c>
    </row>
    <row r="4080" spans="1:13">
      <c r="A4080" t="s">
        <v>1716</v>
      </c>
      <c r="B4080" t="s">
        <v>81</v>
      </c>
      <c r="C4080" s="8">
        <v>46206</v>
      </c>
      <c r="D4080" t="s">
        <v>332</v>
      </c>
      <c r="E4080" t="s">
        <v>339</v>
      </c>
      <c r="F4080" s="12">
        <v>354224</v>
      </c>
      <c r="G4080" s="13">
        <v>35</v>
      </c>
      <c r="H4080" t="s">
        <v>2691</v>
      </c>
      <c r="I4080" s="8">
        <v>46098</v>
      </c>
      <c r="J4080" t="s">
        <v>2692</v>
      </c>
      <c r="K4080" t="s">
        <v>2693</v>
      </c>
      <c r="L4080" s="13">
        <v>10000</v>
      </c>
      <c r="M4080" t="s">
        <v>2661</v>
      </c>
    </row>
    <row r="4081" spans="1:13">
      <c r="A4081" t="s">
        <v>1716</v>
      </c>
      <c r="B4081" t="s">
        <v>81</v>
      </c>
      <c r="C4081" s="8">
        <v>46206</v>
      </c>
      <c r="D4081" t="s">
        <v>332</v>
      </c>
      <c r="E4081" t="s">
        <v>339</v>
      </c>
      <c r="F4081" s="12">
        <v>354224</v>
      </c>
      <c r="G4081" s="13">
        <v>35</v>
      </c>
      <c r="H4081" t="s">
        <v>2788</v>
      </c>
      <c r="I4081" s="8">
        <v>46057</v>
      </c>
      <c r="J4081" t="s">
        <v>2668</v>
      </c>
      <c r="K4081" t="s">
        <v>2669</v>
      </c>
      <c r="L4081" s="13">
        <v>4000</v>
      </c>
      <c r="M4081" t="s">
        <v>2661</v>
      </c>
    </row>
    <row r="4082" spans="1:13">
      <c r="A4082" t="s">
        <v>1716</v>
      </c>
      <c r="B4082" t="s">
        <v>81</v>
      </c>
      <c r="C4082" s="8">
        <v>46206</v>
      </c>
      <c r="D4082" t="s">
        <v>332</v>
      </c>
      <c r="E4082" t="s">
        <v>339</v>
      </c>
      <c r="F4082" s="12">
        <v>354224</v>
      </c>
      <c r="G4082" s="13">
        <v>35</v>
      </c>
      <c r="H4082" t="s">
        <v>2827</v>
      </c>
      <c r="I4082" s="8">
        <v>46245</v>
      </c>
      <c r="J4082" t="s">
        <v>2668</v>
      </c>
      <c r="K4082" t="s">
        <v>2669</v>
      </c>
      <c r="L4082" s="13">
        <v>4000</v>
      </c>
      <c r="M4082" t="s">
        <v>2661</v>
      </c>
    </row>
    <row r="4083" spans="1:13">
      <c r="A4083" t="s">
        <v>1716</v>
      </c>
      <c r="B4083" t="s">
        <v>81</v>
      </c>
      <c r="C4083" s="8">
        <v>46206</v>
      </c>
      <c r="D4083" t="s">
        <v>332</v>
      </c>
      <c r="E4083" t="s">
        <v>339</v>
      </c>
      <c r="F4083" s="12">
        <v>354224</v>
      </c>
      <c r="G4083" s="13">
        <v>35</v>
      </c>
      <c r="H4083" t="s">
        <v>2893</v>
      </c>
      <c r="I4083" s="8">
        <v>46034</v>
      </c>
      <c r="J4083" t="s">
        <v>2663</v>
      </c>
      <c r="K4083" t="s">
        <v>3630</v>
      </c>
      <c r="L4083" s="13">
        <v>1500</v>
      </c>
      <c r="M4083" t="s">
        <v>2661</v>
      </c>
    </row>
    <row r="4084" spans="1:13">
      <c r="A4084" t="s">
        <v>1716</v>
      </c>
      <c r="B4084" t="s">
        <v>81</v>
      </c>
      <c r="C4084" s="8">
        <v>46206</v>
      </c>
      <c r="D4084" t="s">
        <v>332</v>
      </c>
      <c r="E4084" t="s">
        <v>339</v>
      </c>
      <c r="F4084" s="12">
        <v>354224</v>
      </c>
      <c r="G4084" s="13">
        <v>35</v>
      </c>
      <c r="H4084" t="s">
        <v>3088</v>
      </c>
      <c r="I4084" s="8">
        <v>46271</v>
      </c>
      <c r="J4084" t="s">
        <v>2663</v>
      </c>
      <c r="K4084" t="s">
        <v>3630</v>
      </c>
      <c r="L4084" s="13">
        <v>1500</v>
      </c>
      <c r="M4084" t="s">
        <v>2676</v>
      </c>
    </row>
    <row r="4085" spans="1:13">
      <c r="A4085" t="s">
        <v>1716</v>
      </c>
      <c r="B4085" t="s">
        <v>81</v>
      </c>
      <c r="C4085" s="8">
        <v>46206</v>
      </c>
      <c r="D4085" t="s">
        <v>332</v>
      </c>
      <c r="E4085" t="s">
        <v>339</v>
      </c>
      <c r="F4085" s="12">
        <v>354224</v>
      </c>
      <c r="G4085" s="13">
        <v>35</v>
      </c>
      <c r="H4085" t="s">
        <v>3099</v>
      </c>
      <c r="I4085" s="8">
        <v>46247</v>
      </c>
      <c r="J4085" t="s">
        <v>2668</v>
      </c>
      <c r="K4085" t="s">
        <v>2669</v>
      </c>
      <c r="L4085" s="13">
        <v>4000</v>
      </c>
      <c r="M4085" t="s">
        <v>2676</v>
      </c>
    </row>
    <row r="4086" spans="1:13">
      <c r="A4086" t="s">
        <v>1716</v>
      </c>
      <c r="B4086" t="s">
        <v>81</v>
      </c>
      <c r="C4086" s="8">
        <v>46206</v>
      </c>
      <c r="D4086" t="s">
        <v>332</v>
      </c>
      <c r="E4086" t="s">
        <v>339</v>
      </c>
      <c r="F4086" s="12">
        <v>354224</v>
      </c>
      <c r="G4086" s="13">
        <v>35</v>
      </c>
      <c r="H4086" t="s">
        <v>3200</v>
      </c>
      <c r="I4086" s="8">
        <v>46120</v>
      </c>
      <c r="J4086" t="s">
        <v>2685</v>
      </c>
      <c r="K4086" t="s">
        <v>2686</v>
      </c>
      <c r="L4086" s="13">
        <v>5000</v>
      </c>
      <c r="M4086" t="s">
        <v>2661</v>
      </c>
    </row>
    <row r="4087" spans="1:13">
      <c r="A4087" t="s">
        <v>1716</v>
      </c>
      <c r="B4087" t="s">
        <v>81</v>
      </c>
      <c r="C4087" s="8">
        <v>46206</v>
      </c>
      <c r="D4087" t="s">
        <v>332</v>
      </c>
      <c r="E4087" t="s">
        <v>339</v>
      </c>
      <c r="F4087" s="12">
        <v>354224</v>
      </c>
      <c r="G4087" s="13">
        <v>35</v>
      </c>
      <c r="H4087" t="s">
        <v>3250</v>
      </c>
      <c r="I4087" s="8">
        <v>46234</v>
      </c>
      <c r="J4087" t="s">
        <v>2659</v>
      </c>
      <c r="K4087" t="s">
        <v>2660</v>
      </c>
      <c r="L4087" s="13">
        <v>3500</v>
      </c>
      <c r="M4087" t="s">
        <v>2661</v>
      </c>
    </row>
    <row r="4088" spans="1:13">
      <c r="A4088" t="s">
        <v>1716</v>
      </c>
      <c r="B4088" t="s">
        <v>81</v>
      </c>
      <c r="C4088" s="8">
        <v>46206</v>
      </c>
      <c r="D4088" t="s">
        <v>332</v>
      </c>
      <c r="E4088" t="s">
        <v>339</v>
      </c>
      <c r="F4088" s="12">
        <v>354224</v>
      </c>
      <c r="G4088" s="13">
        <v>35</v>
      </c>
      <c r="H4088" t="s">
        <v>3263</v>
      </c>
      <c r="I4088" s="8">
        <v>45996</v>
      </c>
      <c r="J4088" t="s">
        <v>2682</v>
      </c>
      <c r="K4088" t="s">
        <v>2683</v>
      </c>
      <c r="L4088" s="13">
        <v>6000</v>
      </c>
      <c r="M4088" t="s">
        <v>2661</v>
      </c>
    </row>
    <row r="4089" spans="1:13">
      <c r="A4089" t="s">
        <v>1716</v>
      </c>
      <c r="B4089" t="s">
        <v>81</v>
      </c>
      <c r="C4089" s="8">
        <v>46206</v>
      </c>
      <c r="D4089" t="s">
        <v>332</v>
      </c>
      <c r="E4089" t="s">
        <v>339</v>
      </c>
      <c r="F4089" s="12">
        <v>354224</v>
      </c>
      <c r="G4089" s="13">
        <v>35</v>
      </c>
      <c r="H4089" t="s">
        <v>3561</v>
      </c>
      <c r="I4089" s="8">
        <v>46096</v>
      </c>
      <c r="J4089" t="s">
        <v>2692</v>
      </c>
      <c r="K4089" t="s">
        <v>2693</v>
      </c>
      <c r="L4089" s="13">
        <v>10000</v>
      </c>
      <c r="M4089" t="s">
        <v>2676</v>
      </c>
    </row>
    <row r="4090" spans="1:13">
      <c r="A4090" t="s">
        <v>1717</v>
      </c>
      <c r="B4090" t="s">
        <v>271</v>
      </c>
      <c r="C4090" s="8">
        <v>46053</v>
      </c>
      <c r="D4090" t="s">
        <v>350</v>
      </c>
      <c r="E4090" t="s">
        <v>339</v>
      </c>
      <c r="F4090" s="12">
        <v>305858</v>
      </c>
      <c r="G4090" s="13">
        <v>30</v>
      </c>
      <c r="H4090" t="s">
        <v>2917</v>
      </c>
      <c r="I4090" s="8">
        <v>46171</v>
      </c>
      <c r="J4090" t="s">
        <v>2671</v>
      </c>
      <c r="K4090" t="s">
        <v>2672</v>
      </c>
      <c r="L4090" s="13">
        <v>3000</v>
      </c>
      <c r="M4090" t="s">
        <v>2661</v>
      </c>
    </row>
    <row r="4091" spans="1:13">
      <c r="A4091" t="s">
        <v>1717</v>
      </c>
      <c r="B4091" t="s">
        <v>271</v>
      </c>
      <c r="C4091" s="8">
        <v>46053</v>
      </c>
      <c r="D4091" t="s">
        <v>350</v>
      </c>
      <c r="E4091" t="s">
        <v>339</v>
      </c>
      <c r="F4091" s="12">
        <v>305858</v>
      </c>
      <c r="G4091" s="13">
        <v>30</v>
      </c>
      <c r="H4091" t="s">
        <v>3330</v>
      </c>
      <c r="I4091" s="8">
        <v>46114</v>
      </c>
      <c r="J4091" t="s">
        <v>2685</v>
      </c>
      <c r="K4091" t="s">
        <v>2686</v>
      </c>
      <c r="L4091" s="13">
        <v>5000</v>
      </c>
      <c r="M4091" t="s">
        <v>2661</v>
      </c>
    </row>
    <row r="4092" spans="1:13">
      <c r="A4092" t="s">
        <v>1718</v>
      </c>
      <c r="B4092" t="s">
        <v>280</v>
      </c>
      <c r="C4092" s="8">
        <v>46108</v>
      </c>
      <c r="D4092" t="s">
        <v>332</v>
      </c>
      <c r="E4092" t="s">
        <v>325</v>
      </c>
      <c r="F4092" s="12">
        <v>25000</v>
      </c>
      <c r="G4092" s="13">
        <v>2</v>
      </c>
      <c r="H4092" t="s">
        <v>2673</v>
      </c>
      <c r="I4092" s="8">
        <v>46091</v>
      </c>
      <c r="J4092" t="s">
        <v>2674</v>
      </c>
      <c r="K4092" t="s">
        <v>2675</v>
      </c>
      <c r="L4092" s="13">
        <v>20000</v>
      </c>
      <c r="M4092" t="s">
        <v>2676</v>
      </c>
    </row>
    <row r="4093" spans="1:13">
      <c r="A4093" t="s">
        <v>1718</v>
      </c>
      <c r="B4093" t="s">
        <v>280</v>
      </c>
      <c r="C4093" s="8">
        <v>46108</v>
      </c>
      <c r="D4093" t="s">
        <v>332</v>
      </c>
      <c r="E4093" t="s">
        <v>325</v>
      </c>
      <c r="F4093" s="12">
        <v>25000</v>
      </c>
      <c r="G4093" s="13">
        <v>2</v>
      </c>
      <c r="H4093" t="s">
        <v>2924</v>
      </c>
      <c r="I4093" s="8">
        <v>46275</v>
      </c>
      <c r="J4093" t="s">
        <v>2663</v>
      </c>
      <c r="K4093" t="s">
        <v>3630</v>
      </c>
      <c r="L4093" s="13">
        <v>1500</v>
      </c>
      <c r="M4093" t="s">
        <v>2661</v>
      </c>
    </row>
    <row r="4094" spans="1:13">
      <c r="A4094" t="s">
        <v>1718</v>
      </c>
      <c r="B4094" t="s">
        <v>280</v>
      </c>
      <c r="C4094" s="8">
        <v>46108</v>
      </c>
      <c r="D4094" t="s">
        <v>332</v>
      </c>
      <c r="E4094" t="s">
        <v>325</v>
      </c>
      <c r="F4094" s="12">
        <v>25000</v>
      </c>
      <c r="G4094" s="13">
        <v>2</v>
      </c>
      <c r="H4094" t="s">
        <v>3163</v>
      </c>
      <c r="I4094" s="8">
        <v>46279</v>
      </c>
      <c r="J4094" t="s">
        <v>2668</v>
      </c>
      <c r="K4094" t="s">
        <v>2669</v>
      </c>
      <c r="L4094" s="13">
        <v>4000</v>
      </c>
      <c r="M4094" t="s">
        <v>2661</v>
      </c>
    </row>
    <row r="4095" spans="1:13">
      <c r="A4095" t="s">
        <v>1718</v>
      </c>
      <c r="B4095" t="s">
        <v>280</v>
      </c>
      <c r="C4095" s="8">
        <v>46108</v>
      </c>
      <c r="D4095" t="s">
        <v>332</v>
      </c>
      <c r="E4095" t="s">
        <v>325</v>
      </c>
      <c r="F4095" s="12">
        <v>25000</v>
      </c>
      <c r="G4095" s="13">
        <v>2</v>
      </c>
      <c r="H4095" t="s">
        <v>3286</v>
      </c>
      <c r="I4095" s="8">
        <v>46224</v>
      </c>
      <c r="J4095" t="s">
        <v>2685</v>
      </c>
      <c r="K4095" t="s">
        <v>2686</v>
      </c>
      <c r="L4095" s="13">
        <v>5000</v>
      </c>
      <c r="M4095" t="s">
        <v>2661</v>
      </c>
    </row>
    <row r="4096" spans="1:13">
      <c r="A4096" t="s">
        <v>1718</v>
      </c>
      <c r="B4096" t="s">
        <v>280</v>
      </c>
      <c r="C4096" s="8">
        <v>46108</v>
      </c>
      <c r="D4096" t="s">
        <v>332</v>
      </c>
      <c r="E4096" t="s">
        <v>325</v>
      </c>
      <c r="F4096" s="12">
        <v>25000</v>
      </c>
      <c r="G4096" s="13">
        <v>2</v>
      </c>
      <c r="H4096" t="s">
        <v>3400</v>
      </c>
      <c r="I4096" s="8">
        <v>46126</v>
      </c>
      <c r="J4096" t="s">
        <v>2692</v>
      </c>
      <c r="K4096" t="s">
        <v>2693</v>
      </c>
      <c r="L4096" s="13">
        <v>10000</v>
      </c>
      <c r="M4096" t="s">
        <v>2661</v>
      </c>
    </row>
    <row r="4097" spans="1:13">
      <c r="A4097" t="s">
        <v>1718</v>
      </c>
      <c r="B4097" t="s">
        <v>280</v>
      </c>
      <c r="C4097" s="8">
        <v>46108</v>
      </c>
      <c r="D4097" t="s">
        <v>332</v>
      </c>
      <c r="E4097" t="s">
        <v>325</v>
      </c>
      <c r="F4097" s="12">
        <v>25000</v>
      </c>
      <c r="G4097" s="13">
        <v>2</v>
      </c>
      <c r="H4097" t="s">
        <v>3535</v>
      </c>
      <c r="I4097" s="8">
        <v>46274</v>
      </c>
      <c r="J4097" t="s">
        <v>2659</v>
      </c>
      <c r="K4097" t="s">
        <v>2660</v>
      </c>
      <c r="L4097" s="13">
        <v>3500</v>
      </c>
      <c r="M4097" t="s">
        <v>2661</v>
      </c>
    </row>
    <row r="4098" spans="1:13">
      <c r="A4098" t="s">
        <v>1719</v>
      </c>
      <c r="B4098" t="s">
        <v>154</v>
      </c>
      <c r="C4098" s="8">
        <v>45991</v>
      </c>
      <c r="D4098" t="s">
        <v>321</v>
      </c>
      <c r="E4098" t="s">
        <v>337</v>
      </c>
      <c r="F4098" s="12">
        <v>179171</v>
      </c>
      <c r="G4098" s="13">
        <v>17</v>
      </c>
      <c r="H4098" t="s">
        <v>2871</v>
      </c>
      <c r="I4098" s="8">
        <v>46267</v>
      </c>
      <c r="J4098" t="s">
        <v>2692</v>
      </c>
      <c r="K4098" t="s">
        <v>2693</v>
      </c>
      <c r="L4098" s="13">
        <v>10000</v>
      </c>
      <c r="M4098" t="s">
        <v>2676</v>
      </c>
    </row>
    <row r="4099" spans="1:13">
      <c r="A4099" t="s">
        <v>1719</v>
      </c>
      <c r="B4099" t="s">
        <v>154</v>
      </c>
      <c r="C4099" s="8">
        <v>45991</v>
      </c>
      <c r="D4099" t="s">
        <v>321</v>
      </c>
      <c r="E4099" t="s">
        <v>337</v>
      </c>
      <c r="F4099" s="12">
        <v>179171</v>
      </c>
      <c r="G4099" s="13">
        <v>17</v>
      </c>
      <c r="H4099" t="s">
        <v>2963</v>
      </c>
      <c r="I4099" s="8">
        <v>45981</v>
      </c>
      <c r="J4099" t="s">
        <v>2659</v>
      </c>
      <c r="K4099" t="s">
        <v>2660</v>
      </c>
      <c r="L4099" s="13">
        <v>3500</v>
      </c>
      <c r="M4099" t="s">
        <v>2661</v>
      </c>
    </row>
    <row r="4100" spans="1:13">
      <c r="A4100" t="s">
        <v>1719</v>
      </c>
      <c r="B4100" t="s">
        <v>154</v>
      </c>
      <c r="C4100" s="8">
        <v>45991</v>
      </c>
      <c r="D4100" t="s">
        <v>321</v>
      </c>
      <c r="E4100" t="s">
        <v>337</v>
      </c>
      <c r="F4100" s="12">
        <v>179171</v>
      </c>
      <c r="G4100" s="13">
        <v>17</v>
      </c>
      <c r="H4100" t="s">
        <v>2967</v>
      </c>
      <c r="I4100" s="8">
        <v>46155</v>
      </c>
      <c r="J4100" t="s">
        <v>2668</v>
      </c>
      <c r="K4100" t="s">
        <v>2669</v>
      </c>
      <c r="L4100" s="13">
        <v>4000</v>
      </c>
      <c r="M4100" t="s">
        <v>2661</v>
      </c>
    </row>
    <row r="4101" spans="1:13">
      <c r="A4101" t="s">
        <v>1719</v>
      </c>
      <c r="B4101" t="s">
        <v>154</v>
      </c>
      <c r="C4101" s="8">
        <v>45991</v>
      </c>
      <c r="D4101" t="s">
        <v>321</v>
      </c>
      <c r="E4101" t="s">
        <v>337</v>
      </c>
      <c r="F4101" s="12">
        <v>179171</v>
      </c>
      <c r="G4101" s="13">
        <v>17</v>
      </c>
      <c r="H4101" t="s">
        <v>3013</v>
      </c>
      <c r="I4101" s="8">
        <v>45942</v>
      </c>
      <c r="J4101" t="s">
        <v>2682</v>
      </c>
      <c r="K4101" t="s">
        <v>2683</v>
      </c>
      <c r="L4101" s="13">
        <v>6000</v>
      </c>
      <c r="M4101" t="s">
        <v>2661</v>
      </c>
    </row>
    <row r="4102" spans="1:13">
      <c r="A4102" t="s">
        <v>1719</v>
      </c>
      <c r="B4102" t="s">
        <v>154</v>
      </c>
      <c r="C4102" s="8">
        <v>45991</v>
      </c>
      <c r="D4102" t="s">
        <v>321</v>
      </c>
      <c r="E4102" t="s">
        <v>337</v>
      </c>
      <c r="F4102" s="12">
        <v>179171</v>
      </c>
      <c r="G4102" s="13">
        <v>17</v>
      </c>
      <c r="H4102" t="s">
        <v>3188</v>
      </c>
      <c r="I4102" s="8">
        <v>46142</v>
      </c>
      <c r="J4102" t="s">
        <v>2665</v>
      </c>
      <c r="K4102" t="s">
        <v>2666</v>
      </c>
      <c r="L4102" s="13">
        <v>2500</v>
      </c>
      <c r="M4102" t="s">
        <v>2676</v>
      </c>
    </row>
    <row r="4103" spans="1:13">
      <c r="A4103" t="s">
        <v>1719</v>
      </c>
      <c r="B4103" t="s">
        <v>154</v>
      </c>
      <c r="C4103" s="8">
        <v>45991</v>
      </c>
      <c r="D4103" t="s">
        <v>321</v>
      </c>
      <c r="E4103" t="s">
        <v>337</v>
      </c>
      <c r="F4103" s="12">
        <v>179171</v>
      </c>
      <c r="G4103" s="13">
        <v>17</v>
      </c>
      <c r="H4103" t="s">
        <v>3240</v>
      </c>
      <c r="I4103" s="8">
        <v>46030</v>
      </c>
      <c r="J4103" t="s">
        <v>2671</v>
      </c>
      <c r="K4103" t="s">
        <v>2672</v>
      </c>
      <c r="L4103" s="13">
        <v>3000</v>
      </c>
      <c r="M4103" t="s">
        <v>2661</v>
      </c>
    </row>
    <row r="4104" spans="1:13">
      <c r="A4104" t="s">
        <v>1719</v>
      </c>
      <c r="B4104" t="s">
        <v>154</v>
      </c>
      <c r="C4104" s="8">
        <v>45991</v>
      </c>
      <c r="D4104" t="s">
        <v>321</v>
      </c>
      <c r="E4104" t="s">
        <v>337</v>
      </c>
      <c r="F4104" s="12">
        <v>179171</v>
      </c>
      <c r="G4104" s="13">
        <v>17</v>
      </c>
      <c r="H4104" t="s">
        <v>3316</v>
      </c>
      <c r="I4104" s="8">
        <v>46084</v>
      </c>
      <c r="J4104" t="s">
        <v>2688</v>
      </c>
      <c r="K4104" t="s">
        <v>2689</v>
      </c>
      <c r="L4104" s="13">
        <v>8000</v>
      </c>
      <c r="M4104" t="s">
        <v>2661</v>
      </c>
    </row>
    <row r="4105" spans="1:13">
      <c r="A4105" t="s">
        <v>1720</v>
      </c>
      <c r="B4105" t="s">
        <v>78</v>
      </c>
      <c r="C4105" s="8">
        <v>45942</v>
      </c>
      <c r="D4105" t="s">
        <v>332</v>
      </c>
      <c r="E4105" t="s">
        <v>334</v>
      </c>
      <c r="F4105" s="12">
        <v>623797</v>
      </c>
      <c r="G4105" s="13">
        <v>62</v>
      </c>
      <c r="H4105" t="s">
        <v>2786</v>
      </c>
      <c r="I4105" s="8">
        <v>46223</v>
      </c>
      <c r="J4105" t="s">
        <v>2692</v>
      </c>
      <c r="K4105" t="s">
        <v>2693</v>
      </c>
      <c r="L4105" s="13">
        <v>10000</v>
      </c>
      <c r="M4105" t="s">
        <v>2661</v>
      </c>
    </row>
    <row r="4106" spans="1:13">
      <c r="A4106" t="s">
        <v>1720</v>
      </c>
      <c r="B4106" t="s">
        <v>78</v>
      </c>
      <c r="C4106" s="8">
        <v>45942</v>
      </c>
      <c r="D4106" t="s">
        <v>332</v>
      </c>
      <c r="E4106" t="s">
        <v>334</v>
      </c>
      <c r="F4106" s="12">
        <v>623797</v>
      </c>
      <c r="G4106" s="13">
        <v>62</v>
      </c>
      <c r="H4106" t="s">
        <v>3071</v>
      </c>
      <c r="I4106" s="8">
        <v>46146</v>
      </c>
      <c r="J4106" t="s">
        <v>2668</v>
      </c>
      <c r="K4106" t="s">
        <v>2669</v>
      </c>
      <c r="L4106" s="13">
        <v>4000</v>
      </c>
      <c r="M4106" t="s">
        <v>2661</v>
      </c>
    </row>
    <row r="4107" spans="1:13">
      <c r="A4107" t="s">
        <v>1721</v>
      </c>
      <c r="B4107" t="s">
        <v>3</v>
      </c>
      <c r="C4107" s="8">
        <v>46178</v>
      </c>
      <c r="D4107" t="s">
        <v>321</v>
      </c>
      <c r="E4107" t="s">
        <v>328</v>
      </c>
      <c r="F4107" s="12">
        <v>228433</v>
      </c>
      <c r="G4107" s="13">
        <v>22</v>
      </c>
      <c r="H4107" t="s">
        <v>2703</v>
      </c>
      <c r="I4107" s="8">
        <v>46032</v>
      </c>
      <c r="J4107" t="s">
        <v>2668</v>
      </c>
      <c r="K4107" t="s">
        <v>2669</v>
      </c>
      <c r="L4107" s="13">
        <v>4000</v>
      </c>
      <c r="M4107" t="s">
        <v>2661</v>
      </c>
    </row>
    <row r="4108" spans="1:13">
      <c r="A4108" t="s">
        <v>1721</v>
      </c>
      <c r="B4108" t="s">
        <v>3</v>
      </c>
      <c r="C4108" s="8">
        <v>46178</v>
      </c>
      <c r="D4108" t="s">
        <v>321</v>
      </c>
      <c r="E4108" t="s">
        <v>328</v>
      </c>
      <c r="F4108" s="12">
        <v>228433</v>
      </c>
      <c r="G4108" s="13">
        <v>22</v>
      </c>
      <c r="H4108" t="s">
        <v>3148</v>
      </c>
      <c r="I4108" s="8">
        <v>46264</v>
      </c>
      <c r="J4108" t="s">
        <v>2682</v>
      </c>
      <c r="K4108" t="s">
        <v>2683</v>
      </c>
      <c r="L4108" s="13">
        <v>6000</v>
      </c>
      <c r="M4108" t="s">
        <v>2661</v>
      </c>
    </row>
    <row r="4109" spans="1:13">
      <c r="A4109" t="s">
        <v>1722</v>
      </c>
      <c r="B4109" t="s">
        <v>123</v>
      </c>
      <c r="C4109" s="8">
        <v>46133</v>
      </c>
      <c r="D4109" t="s">
        <v>321</v>
      </c>
      <c r="E4109" t="s">
        <v>322</v>
      </c>
      <c r="F4109" s="12">
        <v>549244</v>
      </c>
      <c r="G4109" s="13">
        <v>54</v>
      </c>
      <c r="H4109" t="s">
        <v>3222</v>
      </c>
      <c r="I4109" s="8">
        <v>46222</v>
      </c>
      <c r="J4109" t="s">
        <v>2668</v>
      </c>
      <c r="K4109" t="s">
        <v>2669</v>
      </c>
      <c r="L4109" s="13">
        <v>4000</v>
      </c>
      <c r="M4109" t="s">
        <v>2661</v>
      </c>
    </row>
    <row r="4110" spans="1:13">
      <c r="A4110" t="s">
        <v>1722</v>
      </c>
      <c r="B4110" t="s">
        <v>123</v>
      </c>
      <c r="C4110" s="8">
        <v>46133</v>
      </c>
      <c r="D4110" t="s">
        <v>321</v>
      </c>
      <c r="E4110" t="s">
        <v>322</v>
      </c>
      <c r="F4110" s="12">
        <v>549244</v>
      </c>
      <c r="G4110" s="13">
        <v>54</v>
      </c>
      <c r="H4110" t="s">
        <v>3257</v>
      </c>
      <c r="I4110" s="8">
        <v>46248</v>
      </c>
      <c r="J4110" t="s">
        <v>2682</v>
      </c>
      <c r="K4110" t="s">
        <v>2683</v>
      </c>
      <c r="L4110" s="13">
        <v>6000</v>
      </c>
      <c r="M4110" t="s">
        <v>2661</v>
      </c>
    </row>
    <row r="4111" spans="1:13">
      <c r="A4111" t="s">
        <v>1722</v>
      </c>
      <c r="B4111" t="s">
        <v>123</v>
      </c>
      <c r="C4111" s="8">
        <v>46133</v>
      </c>
      <c r="D4111" t="s">
        <v>321</v>
      </c>
      <c r="E4111" t="s">
        <v>322</v>
      </c>
      <c r="F4111" s="12">
        <v>549244</v>
      </c>
      <c r="G4111" s="13">
        <v>54</v>
      </c>
      <c r="H4111" t="s">
        <v>3351</v>
      </c>
      <c r="I4111" s="8">
        <v>46200</v>
      </c>
      <c r="J4111" t="s">
        <v>2692</v>
      </c>
      <c r="K4111" t="s">
        <v>2693</v>
      </c>
      <c r="L4111" s="13">
        <v>10000</v>
      </c>
      <c r="M4111" t="s">
        <v>2676</v>
      </c>
    </row>
    <row r="4112" spans="1:13">
      <c r="A4112" t="s">
        <v>1723</v>
      </c>
      <c r="B4112" t="s">
        <v>61</v>
      </c>
      <c r="C4112" s="8">
        <v>46046</v>
      </c>
      <c r="D4112" t="s">
        <v>327</v>
      </c>
      <c r="E4112" t="s">
        <v>339</v>
      </c>
      <c r="F4112" s="12">
        <v>464878</v>
      </c>
      <c r="G4112" s="13">
        <v>46</v>
      </c>
      <c r="H4112" t="s">
        <v>2681</v>
      </c>
      <c r="I4112" s="8">
        <v>46094</v>
      </c>
      <c r="J4112" t="s">
        <v>2682</v>
      </c>
      <c r="K4112" t="s">
        <v>2683</v>
      </c>
      <c r="L4112" s="13">
        <v>6000</v>
      </c>
      <c r="M4112" t="s">
        <v>2661</v>
      </c>
    </row>
    <row r="4113" spans="1:13">
      <c r="A4113" t="s">
        <v>1723</v>
      </c>
      <c r="B4113" t="s">
        <v>61</v>
      </c>
      <c r="C4113" s="8">
        <v>46046</v>
      </c>
      <c r="D4113" t="s">
        <v>327</v>
      </c>
      <c r="E4113" t="s">
        <v>339</v>
      </c>
      <c r="F4113" s="12">
        <v>464878</v>
      </c>
      <c r="G4113" s="13">
        <v>46</v>
      </c>
      <c r="H4113" t="s">
        <v>2959</v>
      </c>
      <c r="I4113" s="8">
        <v>46036</v>
      </c>
      <c r="J4113" t="s">
        <v>2692</v>
      </c>
      <c r="K4113" t="s">
        <v>2693</v>
      </c>
      <c r="L4113" s="13">
        <v>10000</v>
      </c>
      <c r="M4113" t="s">
        <v>2661</v>
      </c>
    </row>
    <row r="4114" spans="1:13">
      <c r="A4114" t="s">
        <v>1723</v>
      </c>
      <c r="B4114" t="s">
        <v>61</v>
      </c>
      <c r="C4114" s="8">
        <v>46046</v>
      </c>
      <c r="D4114" t="s">
        <v>327</v>
      </c>
      <c r="E4114" t="s">
        <v>339</v>
      </c>
      <c r="F4114" s="12">
        <v>464878</v>
      </c>
      <c r="G4114" s="13">
        <v>46</v>
      </c>
      <c r="H4114" t="s">
        <v>3466</v>
      </c>
      <c r="I4114" s="8">
        <v>46050</v>
      </c>
      <c r="J4114" t="s">
        <v>2659</v>
      </c>
      <c r="K4114" t="s">
        <v>2660</v>
      </c>
      <c r="L4114" s="13">
        <v>3500</v>
      </c>
      <c r="M4114" t="s">
        <v>2661</v>
      </c>
    </row>
    <row r="4115" spans="1:13">
      <c r="A4115" t="s">
        <v>1723</v>
      </c>
      <c r="B4115" t="s">
        <v>61</v>
      </c>
      <c r="C4115" s="8">
        <v>46046</v>
      </c>
      <c r="D4115" t="s">
        <v>327</v>
      </c>
      <c r="E4115" t="s">
        <v>339</v>
      </c>
      <c r="F4115" s="12">
        <v>464878</v>
      </c>
      <c r="G4115" s="13">
        <v>46</v>
      </c>
      <c r="H4115" t="s">
        <v>3470</v>
      </c>
      <c r="I4115" s="8">
        <v>46196</v>
      </c>
      <c r="J4115" t="s">
        <v>2659</v>
      </c>
      <c r="K4115" t="s">
        <v>2660</v>
      </c>
      <c r="L4115" s="13">
        <v>3500</v>
      </c>
      <c r="M4115" t="s">
        <v>2661</v>
      </c>
    </row>
    <row r="4116" spans="1:13">
      <c r="A4116" t="s">
        <v>1724</v>
      </c>
      <c r="B4116" t="s">
        <v>306</v>
      </c>
      <c r="C4116" s="8">
        <v>46152</v>
      </c>
      <c r="D4116" t="s">
        <v>327</v>
      </c>
      <c r="E4116" t="s">
        <v>328</v>
      </c>
      <c r="F4116" s="12">
        <v>848924</v>
      </c>
      <c r="G4116" s="13">
        <v>84</v>
      </c>
      <c r="H4116" t="s">
        <v>2845</v>
      </c>
      <c r="I4116" s="8">
        <v>45986</v>
      </c>
      <c r="J4116" t="s">
        <v>2665</v>
      </c>
      <c r="K4116" t="s">
        <v>2666</v>
      </c>
      <c r="L4116" s="13">
        <v>2500</v>
      </c>
      <c r="M4116" t="s">
        <v>2676</v>
      </c>
    </row>
    <row r="4117" spans="1:13">
      <c r="A4117" t="s">
        <v>1724</v>
      </c>
      <c r="B4117" t="s">
        <v>306</v>
      </c>
      <c r="C4117" s="8">
        <v>46152</v>
      </c>
      <c r="D4117" t="s">
        <v>327</v>
      </c>
      <c r="E4117" t="s">
        <v>328</v>
      </c>
      <c r="F4117" s="12">
        <v>848924</v>
      </c>
      <c r="G4117" s="13">
        <v>84</v>
      </c>
      <c r="H4117" t="s">
        <v>3198</v>
      </c>
      <c r="I4117" s="8">
        <v>46287</v>
      </c>
      <c r="J4117" t="s">
        <v>2659</v>
      </c>
      <c r="K4117" t="s">
        <v>2660</v>
      </c>
      <c r="L4117" s="13">
        <v>3500</v>
      </c>
      <c r="M4117" t="s">
        <v>2661</v>
      </c>
    </row>
    <row r="4118" spans="1:13">
      <c r="A4118" t="s">
        <v>1725</v>
      </c>
      <c r="B4118" t="s">
        <v>212</v>
      </c>
      <c r="C4118" s="8">
        <v>46082</v>
      </c>
      <c r="D4118" t="s">
        <v>324</v>
      </c>
      <c r="E4118" t="s">
        <v>339</v>
      </c>
      <c r="F4118" s="12">
        <v>471271</v>
      </c>
      <c r="G4118" s="13">
        <v>47</v>
      </c>
      <c r="H4118" t="s">
        <v>2760</v>
      </c>
      <c r="I4118" s="8">
        <v>46244</v>
      </c>
      <c r="J4118" t="s">
        <v>2668</v>
      </c>
      <c r="K4118" t="s">
        <v>2669</v>
      </c>
      <c r="L4118" s="13">
        <v>4000</v>
      </c>
      <c r="M4118" t="s">
        <v>2661</v>
      </c>
    </row>
    <row r="4119" spans="1:13">
      <c r="A4119" t="s">
        <v>1725</v>
      </c>
      <c r="B4119" t="s">
        <v>212</v>
      </c>
      <c r="C4119" s="8">
        <v>46082</v>
      </c>
      <c r="D4119" t="s">
        <v>324</v>
      </c>
      <c r="E4119" t="s">
        <v>339</v>
      </c>
      <c r="F4119" s="12">
        <v>471271</v>
      </c>
      <c r="G4119" s="13">
        <v>47</v>
      </c>
      <c r="H4119" t="s">
        <v>2935</v>
      </c>
      <c r="I4119" s="8">
        <v>46216</v>
      </c>
      <c r="J4119" t="s">
        <v>2665</v>
      </c>
      <c r="K4119" t="s">
        <v>2666</v>
      </c>
      <c r="L4119" s="13">
        <v>2500</v>
      </c>
      <c r="M4119" t="s">
        <v>2661</v>
      </c>
    </row>
    <row r="4120" spans="1:13">
      <c r="A4120" t="s">
        <v>1725</v>
      </c>
      <c r="B4120" t="s">
        <v>212</v>
      </c>
      <c r="C4120" s="8">
        <v>46082</v>
      </c>
      <c r="D4120" t="s">
        <v>324</v>
      </c>
      <c r="E4120" t="s">
        <v>339</v>
      </c>
      <c r="F4120" s="12">
        <v>471271</v>
      </c>
      <c r="G4120" s="13">
        <v>47</v>
      </c>
      <c r="H4120" t="s">
        <v>3100</v>
      </c>
      <c r="I4120" s="8">
        <v>46226</v>
      </c>
      <c r="J4120" t="s">
        <v>2665</v>
      </c>
      <c r="K4120" t="s">
        <v>2666</v>
      </c>
      <c r="L4120" s="13">
        <v>2500</v>
      </c>
      <c r="M4120" t="s">
        <v>2661</v>
      </c>
    </row>
    <row r="4121" spans="1:13">
      <c r="A4121" t="s">
        <v>1726</v>
      </c>
      <c r="B4121" t="s">
        <v>205</v>
      </c>
      <c r="C4121" s="8">
        <v>46198</v>
      </c>
      <c r="D4121" t="s">
        <v>350</v>
      </c>
      <c r="E4121" t="s">
        <v>334</v>
      </c>
      <c r="F4121" s="12">
        <v>160595</v>
      </c>
      <c r="G4121" s="13">
        <v>16</v>
      </c>
      <c r="H4121" t="s">
        <v>3241</v>
      </c>
      <c r="I4121" s="8">
        <v>45972</v>
      </c>
      <c r="J4121" t="s">
        <v>2671</v>
      </c>
      <c r="K4121" t="s">
        <v>2672</v>
      </c>
      <c r="L4121" s="13">
        <v>3000</v>
      </c>
      <c r="M4121" t="s">
        <v>2676</v>
      </c>
    </row>
    <row r="4122" spans="1:13">
      <c r="A4122" t="s">
        <v>1727</v>
      </c>
      <c r="B4122" t="s">
        <v>265</v>
      </c>
      <c r="C4122" s="8">
        <v>46214</v>
      </c>
      <c r="D4122" t="s">
        <v>344</v>
      </c>
      <c r="E4122" t="s">
        <v>325</v>
      </c>
      <c r="F4122" s="12">
        <v>579555</v>
      </c>
      <c r="G4122" s="13">
        <v>57</v>
      </c>
      <c r="H4122" t="s">
        <v>2909</v>
      </c>
      <c r="I4122" s="8">
        <v>45963</v>
      </c>
      <c r="J4122" t="s">
        <v>2659</v>
      </c>
      <c r="K4122" t="s">
        <v>2660</v>
      </c>
      <c r="L4122" s="13">
        <v>3500</v>
      </c>
      <c r="M4122" t="s">
        <v>2661</v>
      </c>
    </row>
    <row r="4123" spans="1:13">
      <c r="A4123" t="s">
        <v>1728</v>
      </c>
      <c r="B4123" t="s">
        <v>128</v>
      </c>
      <c r="C4123" s="8">
        <v>46003</v>
      </c>
      <c r="D4123" t="s">
        <v>327</v>
      </c>
      <c r="E4123" t="s">
        <v>337</v>
      </c>
      <c r="F4123" s="12">
        <v>225925</v>
      </c>
      <c r="G4123" s="13">
        <v>22</v>
      </c>
      <c r="H4123" t="s">
        <v>2897</v>
      </c>
      <c r="I4123" s="8">
        <v>46253</v>
      </c>
      <c r="J4123" t="s">
        <v>2682</v>
      </c>
      <c r="K4123" t="s">
        <v>2683</v>
      </c>
      <c r="L4123" s="13">
        <v>6000</v>
      </c>
      <c r="M4123" t="s">
        <v>2661</v>
      </c>
    </row>
    <row r="4124" spans="1:13">
      <c r="A4124" t="s">
        <v>1728</v>
      </c>
      <c r="B4124" t="s">
        <v>128</v>
      </c>
      <c r="C4124" s="8">
        <v>46003</v>
      </c>
      <c r="D4124" t="s">
        <v>327</v>
      </c>
      <c r="E4124" t="s">
        <v>337</v>
      </c>
      <c r="F4124" s="12">
        <v>225925</v>
      </c>
      <c r="G4124" s="13">
        <v>22</v>
      </c>
      <c r="H4124" t="s">
        <v>2966</v>
      </c>
      <c r="I4124" s="8">
        <v>45993</v>
      </c>
      <c r="J4124" t="s">
        <v>2663</v>
      </c>
      <c r="K4124" t="s">
        <v>3630</v>
      </c>
      <c r="L4124" s="13">
        <v>1500</v>
      </c>
      <c r="M4124" t="s">
        <v>2661</v>
      </c>
    </row>
    <row r="4125" spans="1:13">
      <c r="A4125" t="s">
        <v>1728</v>
      </c>
      <c r="B4125" t="s">
        <v>128</v>
      </c>
      <c r="C4125" s="8">
        <v>46003</v>
      </c>
      <c r="D4125" t="s">
        <v>327</v>
      </c>
      <c r="E4125" t="s">
        <v>337</v>
      </c>
      <c r="F4125" s="12">
        <v>225925</v>
      </c>
      <c r="G4125" s="13">
        <v>22</v>
      </c>
      <c r="H4125" t="s">
        <v>3407</v>
      </c>
      <c r="I4125" s="8">
        <v>46260</v>
      </c>
      <c r="J4125" t="s">
        <v>2668</v>
      </c>
      <c r="K4125" t="s">
        <v>2669</v>
      </c>
      <c r="L4125" s="13">
        <v>4000</v>
      </c>
      <c r="M4125" t="s">
        <v>2661</v>
      </c>
    </row>
    <row r="4126" spans="1:13">
      <c r="A4126" t="s">
        <v>1731</v>
      </c>
      <c r="B4126" t="s">
        <v>163</v>
      </c>
      <c r="C4126" s="8">
        <v>46059</v>
      </c>
      <c r="D4126" t="s">
        <v>350</v>
      </c>
      <c r="E4126" t="s">
        <v>322</v>
      </c>
      <c r="F4126" s="12">
        <v>156721</v>
      </c>
      <c r="G4126" s="13">
        <v>15</v>
      </c>
      <c r="H4126" t="s">
        <v>3074</v>
      </c>
      <c r="I4126" s="8">
        <v>46181</v>
      </c>
      <c r="J4126" t="s">
        <v>2663</v>
      </c>
      <c r="K4126" t="s">
        <v>3630</v>
      </c>
      <c r="L4126" s="13">
        <v>1500</v>
      </c>
      <c r="M4126" t="s">
        <v>2661</v>
      </c>
    </row>
    <row r="4127" spans="1:13">
      <c r="A4127" t="s">
        <v>1732</v>
      </c>
      <c r="B4127" t="s">
        <v>106</v>
      </c>
      <c r="C4127" s="8">
        <v>46266</v>
      </c>
      <c r="D4127" t="s">
        <v>350</v>
      </c>
      <c r="E4127" t="s">
        <v>337</v>
      </c>
      <c r="F4127" s="12">
        <v>397724</v>
      </c>
      <c r="G4127" s="13">
        <v>39</v>
      </c>
      <c r="H4127" t="s">
        <v>2700</v>
      </c>
      <c r="I4127" s="8">
        <v>46262</v>
      </c>
      <c r="J4127" t="s">
        <v>2692</v>
      </c>
      <c r="K4127" t="s">
        <v>2693</v>
      </c>
      <c r="L4127" s="13">
        <v>10000</v>
      </c>
      <c r="M4127" t="s">
        <v>2676</v>
      </c>
    </row>
    <row r="4128" spans="1:13">
      <c r="A4128" t="s">
        <v>1732</v>
      </c>
      <c r="B4128" t="s">
        <v>106</v>
      </c>
      <c r="C4128" s="8">
        <v>46266</v>
      </c>
      <c r="D4128" t="s">
        <v>350</v>
      </c>
      <c r="E4128" t="s">
        <v>337</v>
      </c>
      <c r="F4128" s="12">
        <v>397724</v>
      </c>
      <c r="G4128" s="13">
        <v>39</v>
      </c>
      <c r="H4128" t="s">
        <v>2973</v>
      </c>
      <c r="I4128" s="8">
        <v>46143</v>
      </c>
      <c r="J4128" t="s">
        <v>2682</v>
      </c>
      <c r="K4128" t="s">
        <v>2683</v>
      </c>
      <c r="L4128" s="13">
        <v>6000</v>
      </c>
      <c r="M4128" t="s">
        <v>2661</v>
      </c>
    </row>
    <row r="4129" spans="1:13">
      <c r="A4129" t="s">
        <v>1732</v>
      </c>
      <c r="B4129" t="s">
        <v>106</v>
      </c>
      <c r="C4129" s="8">
        <v>46266</v>
      </c>
      <c r="D4129" t="s">
        <v>350</v>
      </c>
      <c r="E4129" t="s">
        <v>337</v>
      </c>
      <c r="F4129" s="12">
        <v>397724</v>
      </c>
      <c r="G4129" s="13">
        <v>39</v>
      </c>
      <c r="H4129" t="s">
        <v>3217</v>
      </c>
      <c r="I4129" s="8">
        <v>46275</v>
      </c>
      <c r="J4129" t="s">
        <v>2682</v>
      </c>
      <c r="K4129" t="s">
        <v>2683</v>
      </c>
      <c r="L4129" s="13">
        <v>6000</v>
      </c>
      <c r="M4129" t="s">
        <v>2676</v>
      </c>
    </row>
    <row r="4130" spans="1:13">
      <c r="A4130" t="s">
        <v>1732</v>
      </c>
      <c r="B4130" t="s">
        <v>106</v>
      </c>
      <c r="C4130" s="8">
        <v>46266</v>
      </c>
      <c r="D4130" t="s">
        <v>350</v>
      </c>
      <c r="E4130" t="s">
        <v>337</v>
      </c>
      <c r="F4130" s="12">
        <v>397724</v>
      </c>
      <c r="G4130" s="13">
        <v>39</v>
      </c>
      <c r="H4130" t="s">
        <v>3285</v>
      </c>
      <c r="I4130" s="8">
        <v>46234</v>
      </c>
      <c r="J4130" t="s">
        <v>2668</v>
      </c>
      <c r="K4130" t="s">
        <v>2669</v>
      </c>
      <c r="L4130" s="13">
        <v>4000</v>
      </c>
      <c r="M4130" t="s">
        <v>2661</v>
      </c>
    </row>
    <row r="4131" spans="1:13">
      <c r="A4131" t="s">
        <v>1732</v>
      </c>
      <c r="B4131" t="s">
        <v>106</v>
      </c>
      <c r="C4131" s="8">
        <v>46266</v>
      </c>
      <c r="D4131" t="s">
        <v>350</v>
      </c>
      <c r="E4131" t="s">
        <v>337</v>
      </c>
      <c r="F4131" s="12">
        <v>397724</v>
      </c>
      <c r="G4131" s="13">
        <v>39</v>
      </c>
      <c r="H4131" t="s">
        <v>3476</v>
      </c>
      <c r="I4131" s="8">
        <v>45966</v>
      </c>
      <c r="J4131" t="s">
        <v>2674</v>
      </c>
      <c r="K4131" t="s">
        <v>2675</v>
      </c>
      <c r="L4131" s="13">
        <v>20000</v>
      </c>
      <c r="M4131" t="s">
        <v>2661</v>
      </c>
    </row>
    <row r="4132" spans="1:13">
      <c r="A4132" t="s">
        <v>1733</v>
      </c>
      <c r="B4132" t="s">
        <v>68</v>
      </c>
      <c r="C4132" s="8">
        <v>45940</v>
      </c>
      <c r="D4132" t="s">
        <v>321</v>
      </c>
      <c r="E4132" t="s">
        <v>334</v>
      </c>
      <c r="F4132" s="12">
        <v>289500</v>
      </c>
      <c r="G4132" s="13">
        <v>28</v>
      </c>
      <c r="H4132" t="s">
        <v>2869</v>
      </c>
      <c r="I4132" s="8">
        <v>46266</v>
      </c>
      <c r="J4132" t="s">
        <v>2671</v>
      </c>
      <c r="K4132" t="s">
        <v>2672</v>
      </c>
      <c r="L4132" s="13">
        <v>3000</v>
      </c>
      <c r="M4132" t="s">
        <v>2661</v>
      </c>
    </row>
    <row r="4133" spans="1:13">
      <c r="A4133" t="s">
        <v>1733</v>
      </c>
      <c r="B4133" t="s">
        <v>68</v>
      </c>
      <c r="C4133" s="8">
        <v>45940</v>
      </c>
      <c r="D4133" t="s">
        <v>321</v>
      </c>
      <c r="E4133" t="s">
        <v>334</v>
      </c>
      <c r="F4133" s="12">
        <v>289500</v>
      </c>
      <c r="G4133" s="13">
        <v>28</v>
      </c>
      <c r="H4133" t="s">
        <v>3248</v>
      </c>
      <c r="I4133" s="8">
        <v>45945</v>
      </c>
      <c r="J4133" t="s">
        <v>2682</v>
      </c>
      <c r="K4133" t="s">
        <v>2683</v>
      </c>
      <c r="L4133" s="13">
        <v>6000</v>
      </c>
      <c r="M4133" t="s">
        <v>2661</v>
      </c>
    </row>
    <row r="4134" spans="1:13">
      <c r="A4134" t="s">
        <v>1733</v>
      </c>
      <c r="B4134" t="s">
        <v>68</v>
      </c>
      <c r="C4134" s="8">
        <v>45940</v>
      </c>
      <c r="D4134" t="s">
        <v>321</v>
      </c>
      <c r="E4134" t="s">
        <v>334</v>
      </c>
      <c r="F4134" s="12">
        <v>289500</v>
      </c>
      <c r="G4134" s="13">
        <v>28</v>
      </c>
      <c r="H4134" t="s">
        <v>3506</v>
      </c>
      <c r="I4134" s="8">
        <v>46080</v>
      </c>
      <c r="J4134" t="s">
        <v>2668</v>
      </c>
      <c r="K4134" t="s">
        <v>2669</v>
      </c>
      <c r="L4134" s="13">
        <v>4000</v>
      </c>
      <c r="M4134" t="s">
        <v>2661</v>
      </c>
    </row>
    <row r="4135" spans="1:13">
      <c r="A4135" t="s">
        <v>1734</v>
      </c>
      <c r="B4135" t="s">
        <v>88</v>
      </c>
      <c r="C4135" s="8">
        <v>46005</v>
      </c>
      <c r="D4135" t="s">
        <v>344</v>
      </c>
      <c r="E4135" t="s">
        <v>334</v>
      </c>
      <c r="F4135" s="12">
        <v>65909</v>
      </c>
      <c r="G4135" s="13">
        <v>6</v>
      </c>
      <c r="H4135" t="s">
        <v>2726</v>
      </c>
      <c r="I4135" s="8">
        <v>46247</v>
      </c>
      <c r="J4135" t="s">
        <v>2668</v>
      </c>
      <c r="K4135" t="s">
        <v>2669</v>
      </c>
      <c r="L4135" s="13">
        <v>4000</v>
      </c>
      <c r="M4135" t="s">
        <v>2661</v>
      </c>
    </row>
    <row r="4136" spans="1:13">
      <c r="A4136" t="s">
        <v>1735</v>
      </c>
      <c r="B4136" t="s">
        <v>235</v>
      </c>
      <c r="C4136" s="8">
        <v>46230</v>
      </c>
      <c r="D4136" t="s">
        <v>350</v>
      </c>
      <c r="E4136" t="s">
        <v>325</v>
      </c>
      <c r="F4136" s="12">
        <v>845810</v>
      </c>
      <c r="G4136" s="13">
        <v>84</v>
      </c>
      <c r="H4136" t="s">
        <v>2864</v>
      </c>
      <c r="I4136" s="8">
        <v>46063</v>
      </c>
      <c r="J4136" t="s">
        <v>2671</v>
      </c>
      <c r="K4136" t="s">
        <v>2672</v>
      </c>
      <c r="L4136" s="13">
        <v>3000</v>
      </c>
      <c r="M4136" t="s">
        <v>2661</v>
      </c>
    </row>
    <row r="4137" spans="1:13">
      <c r="A4137" t="s">
        <v>1735</v>
      </c>
      <c r="B4137" t="s">
        <v>235</v>
      </c>
      <c r="C4137" s="8">
        <v>46230</v>
      </c>
      <c r="D4137" t="s">
        <v>350</v>
      </c>
      <c r="E4137" t="s">
        <v>325</v>
      </c>
      <c r="F4137" s="12">
        <v>845810</v>
      </c>
      <c r="G4137" s="13">
        <v>84</v>
      </c>
      <c r="H4137" t="s">
        <v>3530</v>
      </c>
      <c r="I4137" s="8">
        <v>45940</v>
      </c>
      <c r="J4137" t="s">
        <v>2659</v>
      </c>
      <c r="K4137" t="s">
        <v>2660</v>
      </c>
      <c r="L4137" s="13">
        <v>3500</v>
      </c>
      <c r="M4137" t="s">
        <v>2676</v>
      </c>
    </row>
    <row r="4138" spans="1:13">
      <c r="A4138" t="s">
        <v>1735</v>
      </c>
      <c r="B4138" t="s">
        <v>235</v>
      </c>
      <c r="C4138" s="8">
        <v>46230</v>
      </c>
      <c r="D4138" t="s">
        <v>350</v>
      </c>
      <c r="E4138" t="s">
        <v>325</v>
      </c>
      <c r="F4138" s="12">
        <v>845810</v>
      </c>
      <c r="G4138" s="13">
        <v>84</v>
      </c>
      <c r="H4138" t="s">
        <v>3533</v>
      </c>
      <c r="I4138" s="8">
        <v>46204</v>
      </c>
      <c r="J4138" t="s">
        <v>2685</v>
      </c>
      <c r="K4138" t="s">
        <v>2686</v>
      </c>
      <c r="L4138" s="13">
        <v>5000</v>
      </c>
      <c r="M4138" t="s">
        <v>2661</v>
      </c>
    </row>
    <row r="4139" spans="1:13">
      <c r="A4139" t="s">
        <v>1736</v>
      </c>
      <c r="B4139" t="s">
        <v>241</v>
      </c>
      <c r="C4139" s="8">
        <v>46075</v>
      </c>
      <c r="D4139" t="s">
        <v>324</v>
      </c>
      <c r="E4139" t="s">
        <v>322</v>
      </c>
      <c r="F4139" s="12">
        <v>286025</v>
      </c>
      <c r="G4139" s="13">
        <v>28</v>
      </c>
      <c r="H4139" t="s">
        <v>2911</v>
      </c>
      <c r="I4139" s="8">
        <v>46173</v>
      </c>
      <c r="J4139" t="s">
        <v>2692</v>
      </c>
      <c r="K4139" t="s">
        <v>2693</v>
      </c>
      <c r="L4139" s="13">
        <v>10000</v>
      </c>
      <c r="M4139" t="s">
        <v>2661</v>
      </c>
    </row>
    <row r="4140" spans="1:13">
      <c r="A4140" t="s">
        <v>1736</v>
      </c>
      <c r="B4140" t="s">
        <v>241</v>
      </c>
      <c r="C4140" s="8">
        <v>46075</v>
      </c>
      <c r="D4140" t="s">
        <v>324</v>
      </c>
      <c r="E4140" t="s">
        <v>322</v>
      </c>
      <c r="F4140" s="12">
        <v>286025</v>
      </c>
      <c r="G4140" s="13">
        <v>28</v>
      </c>
      <c r="H4140" t="s">
        <v>3174</v>
      </c>
      <c r="I4140" s="8">
        <v>46189</v>
      </c>
      <c r="J4140" t="s">
        <v>2674</v>
      </c>
      <c r="K4140" t="s">
        <v>2675</v>
      </c>
      <c r="L4140" s="13">
        <v>20000</v>
      </c>
      <c r="M4140" t="s">
        <v>2661</v>
      </c>
    </row>
    <row r="4141" spans="1:13">
      <c r="A4141" t="s">
        <v>1736</v>
      </c>
      <c r="B4141" t="s">
        <v>241</v>
      </c>
      <c r="C4141" s="8">
        <v>46075</v>
      </c>
      <c r="D4141" t="s">
        <v>324</v>
      </c>
      <c r="E4141" t="s">
        <v>322</v>
      </c>
      <c r="F4141" s="12">
        <v>286025</v>
      </c>
      <c r="G4141" s="13">
        <v>28</v>
      </c>
      <c r="H4141" t="s">
        <v>3419</v>
      </c>
      <c r="I4141" s="8">
        <v>46084</v>
      </c>
      <c r="J4141" t="s">
        <v>2665</v>
      </c>
      <c r="K4141" t="s">
        <v>2666</v>
      </c>
      <c r="L4141" s="13">
        <v>2500</v>
      </c>
      <c r="M4141" t="s">
        <v>2661</v>
      </c>
    </row>
    <row r="4142" spans="1:13">
      <c r="A4142" t="s">
        <v>1736</v>
      </c>
      <c r="B4142" t="s">
        <v>241</v>
      </c>
      <c r="C4142" s="8">
        <v>46075</v>
      </c>
      <c r="D4142" t="s">
        <v>324</v>
      </c>
      <c r="E4142" t="s">
        <v>322</v>
      </c>
      <c r="F4142" s="12">
        <v>286025</v>
      </c>
      <c r="G4142" s="13">
        <v>28</v>
      </c>
      <c r="H4142" t="s">
        <v>3526</v>
      </c>
      <c r="I4142" s="8">
        <v>46211</v>
      </c>
      <c r="J4142" t="s">
        <v>2671</v>
      </c>
      <c r="K4142" t="s">
        <v>2672</v>
      </c>
      <c r="L4142" s="13">
        <v>3000</v>
      </c>
      <c r="M4142" t="s">
        <v>2661</v>
      </c>
    </row>
    <row r="4143" spans="1:13">
      <c r="A4143" t="s">
        <v>1737</v>
      </c>
      <c r="B4143" t="s">
        <v>244</v>
      </c>
      <c r="C4143" s="8">
        <v>46167</v>
      </c>
      <c r="D4143" t="s">
        <v>332</v>
      </c>
      <c r="E4143" t="s">
        <v>337</v>
      </c>
      <c r="F4143" s="12">
        <v>531127</v>
      </c>
      <c r="G4143" s="13">
        <v>53</v>
      </c>
      <c r="H4143" t="s">
        <v>2778</v>
      </c>
      <c r="I4143" s="8">
        <v>45994</v>
      </c>
      <c r="J4143" t="s">
        <v>2692</v>
      </c>
      <c r="K4143" t="s">
        <v>2693</v>
      </c>
      <c r="L4143" s="13">
        <v>10000</v>
      </c>
      <c r="M4143" t="s">
        <v>2661</v>
      </c>
    </row>
    <row r="4144" spans="1:13">
      <c r="A4144" t="s">
        <v>1737</v>
      </c>
      <c r="B4144" t="s">
        <v>244</v>
      </c>
      <c r="C4144" s="8">
        <v>46167</v>
      </c>
      <c r="D4144" t="s">
        <v>332</v>
      </c>
      <c r="E4144" t="s">
        <v>337</v>
      </c>
      <c r="F4144" s="12">
        <v>531127</v>
      </c>
      <c r="G4144" s="13">
        <v>53</v>
      </c>
      <c r="H4144" t="s">
        <v>2916</v>
      </c>
      <c r="I4144" s="8">
        <v>46078</v>
      </c>
      <c r="J4144" t="s">
        <v>2668</v>
      </c>
      <c r="K4144" t="s">
        <v>2669</v>
      </c>
      <c r="L4144" s="13">
        <v>4000</v>
      </c>
      <c r="M4144" t="s">
        <v>2661</v>
      </c>
    </row>
    <row r="4145" spans="1:13">
      <c r="A4145" t="s">
        <v>1738</v>
      </c>
      <c r="B4145" t="s">
        <v>183</v>
      </c>
      <c r="C4145" s="8">
        <v>46253</v>
      </c>
      <c r="D4145" t="s">
        <v>344</v>
      </c>
      <c r="E4145" t="s">
        <v>339</v>
      </c>
      <c r="F4145" s="12">
        <v>266963</v>
      </c>
      <c r="G4145" s="13">
        <v>26</v>
      </c>
      <c r="H4145" t="s">
        <v>2955</v>
      </c>
      <c r="I4145" s="8">
        <v>45983</v>
      </c>
      <c r="J4145" t="s">
        <v>2671</v>
      </c>
      <c r="K4145" t="s">
        <v>2672</v>
      </c>
      <c r="L4145" s="13">
        <v>3000</v>
      </c>
      <c r="M4145" t="s">
        <v>2676</v>
      </c>
    </row>
    <row r="4146" spans="1:13">
      <c r="A4146" t="s">
        <v>1739</v>
      </c>
      <c r="B4146" t="s">
        <v>97</v>
      </c>
      <c r="C4146" s="8">
        <v>46000</v>
      </c>
      <c r="D4146" t="s">
        <v>324</v>
      </c>
      <c r="E4146" t="s">
        <v>334</v>
      </c>
      <c r="F4146" s="12">
        <v>149569</v>
      </c>
      <c r="G4146" s="13">
        <v>14</v>
      </c>
      <c r="H4146" t="s">
        <v>3056</v>
      </c>
      <c r="I4146" s="8">
        <v>46286</v>
      </c>
      <c r="J4146" t="s">
        <v>2674</v>
      </c>
      <c r="K4146" t="s">
        <v>2675</v>
      </c>
      <c r="L4146" s="13">
        <v>20000</v>
      </c>
      <c r="M4146" t="s">
        <v>2661</v>
      </c>
    </row>
    <row r="4147" spans="1:13">
      <c r="A4147" t="s">
        <v>1739</v>
      </c>
      <c r="B4147" t="s">
        <v>97</v>
      </c>
      <c r="C4147" s="8">
        <v>46000</v>
      </c>
      <c r="D4147" t="s">
        <v>324</v>
      </c>
      <c r="E4147" t="s">
        <v>334</v>
      </c>
      <c r="F4147" s="12">
        <v>149569</v>
      </c>
      <c r="G4147" s="13">
        <v>14</v>
      </c>
      <c r="H4147" t="s">
        <v>3176</v>
      </c>
      <c r="I4147" s="8">
        <v>46256</v>
      </c>
      <c r="J4147" t="s">
        <v>2692</v>
      </c>
      <c r="K4147" t="s">
        <v>2693</v>
      </c>
      <c r="L4147" s="13">
        <v>10000</v>
      </c>
      <c r="M4147" t="s">
        <v>2661</v>
      </c>
    </row>
    <row r="4148" spans="1:13">
      <c r="A4148" t="s">
        <v>1739</v>
      </c>
      <c r="B4148" t="s">
        <v>97</v>
      </c>
      <c r="C4148" s="8">
        <v>46000</v>
      </c>
      <c r="D4148" t="s">
        <v>324</v>
      </c>
      <c r="E4148" t="s">
        <v>334</v>
      </c>
      <c r="F4148" s="12">
        <v>149569</v>
      </c>
      <c r="G4148" s="13">
        <v>14</v>
      </c>
      <c r="H4148" t="s">
        <v>3528</v>
      </c>
      <c r="I4148" s="8">
        <v>46172</v>
      </c>
      <c r="J4148" t="s">
        <v>2688</v>
      </c>
      <c r="K4148" t="s">
        <v>2689</v>
      </c>
      <c r="L4148" s="13">
        <v>8000</v>
      </c>
      <c r="M4148" t="s">
        <v>2661</v>
      </c>
    </row>
    <row r="4149" spans="1:13">
      <c r="A4149" t="s">
        <v>1740</v>
      </c>
      <c r="B4149" t="s">
        <v>124</v>
      </c>
      <c r="C4149" s="8">
        <v>46280</v>
      </c>
      <c r="D4149" t="s">
        <v>332</v>
      </c>
      <c r="E4149" t="s">
        <v>328</v>
      </c>
      <c r="F4149" s="12">
        <v>109986</v>
      </c>
      <c r="G4149" s="13">
        <v>10</v>
      </c>
      <c r="H4149" t="s">
        <v>2785</v>
      </c>
      <c r="I4149" s="8">
        <v>45933</v>
      </c>
      <c r="J4149" t="s">
        <v>2659</v>
      </c>
      <c r="K4149" t="s">
        <v>2660</v>
      </c>
      <c r="L4149" s="13">
        <v>3500</v>
      </c>
      <c r="M4149" t="s">
        <v>2676</v>
      </c>
    </row>
    <row r="4150" spans="1:13">
      <c r="A4150" t="s">
        <v>1740</v>
      </c>
      <c r="B4150" t="s">
        <v>124</v>
      </c>
      <c r="C4150" s="8">
        <v>46280</v>
      </c>
      <c r="D4150" t="s">
        <v>332</v>
      </c>
      <c r="E4150" t="s">
        <v>328</v>
      </c>
      <c r="F4150" s="12">
        <v>109986</v>
      </c>
      <c r="G4150" s="13">
        <v>10</v>
      </c>
      <c r="H4150" t="s">
        <v>3072</v>
      </c>
      <c r="I4150" s="8">
        <v>46087</v>
      </c>
      <c r="J4150" t="s">
        <v>2685</v>
      </c>
      <c r="K4150" t="s">
        <v>2686</v>
      </c>
      <c r="L4150" s="13">
        <v>5000</v>
      </c>
      <c r="M4150" t="s">
        <v>2661</v>
      </c>
    </row>
    <row r="4151" spans="1:13">
      <c r="A4151" t="s">
        <v>1740</v>
      </c>
      <c r="B4151" t="s">
        <v>124</v>
      </c>
      <c r="C4151" s="8">
        <v>46280</v>
      </c>
      <c r="D4151" t="s">
        <v>332</v>
      </c>
      <c r="E4151" t="s">
        <v>328</v>
      </c>
      <c r="F4151" s="12">
        <v>109986</v>
      </c>
      <c r="G4151" s="13">
        <v>10</v>
      </c>
      <c r="H4151" t="s">
        <v>3557</v>
      </c>
      <c r="I4151" s="8">
        <v>46271</v>
      </c>
      <c r="J4151" t="s">
        <v>2665</v>
      </c>
      <c r="K4151" t="s">
        <v>2666</v>
      </c>
      <c r="L4151" s="13">
        <v>2500</v>
      </c>
      <c r="M4151" t="s">
        <v>2661</v>
      </c>
    </row>
    <row r="4152" spans="1:13">
      <c r="A4152" t="s">
        <v>1741</v>
      </c>
      <c r="B4152" t="s">
        <v>60</v>
      </c>
      <c r="C4152" s="8">
        <v>46213</v>
      </c>
      <c r="D4152" t="s">
        <v>350</v>
      </c>
      <c r="E4152" t="s">
        <v>328</v>
      </c>
      <c r="F4152" s="12">
        <v>113695</v>
      </c>
      <c r="G4152" s="13">
        <v>11</v>
      </c>
      <c r="H4152" t="s">
        <v>2770</v>
      </c>
      <c r="I4152" s="8">
        <v>46064</v>
      </c>
      <c r="J4152" t="s">
        <v>2663</v>
      </c>
      <c r="K4152" t="s">
        <v>3630</v>
      </c>
      <c r="L4152" s="13">
        <v>1500</v>
      </c>
      <c r="M4152" t="s">
        <v>2661</v>
      </c>
    </row>
    <row r="4153" spans="1:13">
      <c r="A4153" t="s">
        <v>1741</v>
      </c>
      <c r="B4153" t="s">
        <v>60</v>
      </c>
      <c r="C4153" s="8">
        <v>46213</v>
      </c>
      <c r="D4153" t="s">
        <v>350</v>
      </c>
      <c r="E4153" t="s">
        <v>328</v>
      </c>
      <c r="F4153" s="12">
        <v>113695</v>
      </c>
      <c r="G4153" s="13">
        <v>11</v>
      </c>
      <c r="H4153" t="s">
        <v>3116</v>
      </c>
      <c r="I4153" s="8">
        <v>46093</v>
      </c>
      <c r="J4153" t="s">
        <v>2665</v>
      </c>
      <c r="K4153" t="s">
        <v>2666</v>
      </c>
      <c r="L4153" s="13">
        <v>2500</v>
      </c>
      <c r="M4153" t="s">
        <v>2661</v>
      </c>
    </row>
    <row r="4154" spans="1:13">
      <c r="A4154" t="s">
        <v>1742</v>
      </c>
      <c r="B4154" t="s">
        <v>218</v>
      </c>
      <c r="C4154" s="8">
        <v>46259</v>
      </c>
      <c r="D4154" t="s">
        <v>324</v>
      </c>
      <c r="E4154" t="s">
        <v>322</v>
      </c>
      <c r="F4154" s="12">
        <v>291263</v>
      </c>
      <c r="G4154" s="13">
        <v>29</v>
      </c>
      <c r="H4154" t="s">
        <v>2946</v>
      </c>
      <c r="I4154" s="8">
        <v>46105</v>
      </c>
      <c r="J4154" t="s">
        <v>2668</v>
      </c>
      <c r="K4154" t="s">
        <v>2669</v>
      </c>
      <c r="L4154" s="13">
        <v>4000</v>
      </c>
      <c r="M4154" t="s">
        <v>2661</v>
      </c>
    </row>
    <row r="4155" spans="1:13">
      <c r="A4155" t="s">
        <v>1742</v>
      </c>
      <c r="B4155" t="s">
        <v>218</v>
      </c>
      <c r="C4155" s="8">
        <v>46259</v>
      </c>
      <c r="D4155" t="s">
        <v>324</v>
      </c>
      <c r="E4155" t="s">
        <v>322</v>
      </c>
      <c r="F4155" s="12">
        <v>291263</v>
      </c>
      <c r="G4155" s="13">
        <v>29</v>
      </c>
      <c r="H4155" t="s">
        <v>3095</v>
      </c>
      <c r="I4155" s="8">
        <v>46223</v>
      </c>
      <c r="J4155" t="s">
        <v>2668</v>
      </c>
      <c r="K4155" t="s">
        <v>2669</v>
      </c>
      <c r="L4155" s="13">
        <v>4000</v>
      </c>
      <c r="M4155" t="s">
        <v>2661</v>
      </c>
    </row>
    <row r="4156" spans="1:13">
      <c r="A4156" t="s">
        <v>1742</v>
      </c>
      <c r="B4156" t="s">
        <v>218</v>
      </c>
      <c r="C4156" s="8">
        <v>46259</v>
      </c>
      <c r="D4156" t="s">
        <v>324</v>
      </c>
      <c r="E4156" t="s">
        <v>322</v>
      </c>
      <c r="F4156" s="12">
        <v>291263</v>
      </c>
      <c r="G4156" s="13">
        <v>29</v>
      </c>
      <c r="H4156" t="s">
        <v>3260</v>
      </c>
      <c r="I4156" s="8">
        <v>45974</v>
      </c>
      <c r="J4156" t="s">
        <v>2668</v>
      </c>
      <c r="K4156" t="s">
        <v>2669</v>
      </c>
      <c r="L4156" s="13">
        <v>4000</v>
      </c>
      <c r="M4156" t="s">
        <v>2661</v>
      </c>
    </row>
    <row r="4157" spans="1:13">
      <c r="A4157" t="s">
        <v>1743</v>
      </c>
      <c r="B4157" t="s">
        <v>300</v>
      </c>
      <c r="C4157" s="8">
        <v>46222</v>
      </c>
      <c r="D4157" t="s">
        <v>321</v>
      </c>
      <c r="E4157" t="s">
        <v>337</v>
      </c>
      <c r="F4157" s="12">
        <v>230895</v>
      </c>
      <c r="G4157" s="13">
        <v>23</v>
      </c>
      <c r="H4157" t="s">
        <v>2840</v>
      </c>
      <c r="I4157" s="8">
        <v>46058</v>
      </c>
      <c r="J4157" t="s">
        <v>2659</v>
      </c>
      <c r="K4157" t="s">
        <v>2660</v>
      </c>
      <c r="L4157" s="13">
        <v>3500</v>
      </c>
      <c r="M4157" t="s">
        <v>2676</v>
      </c>
    </row>
    <row r="4158" spans="1:13">
      <c r="A4158" t="s">
        <v>1743</v>
      </c>
      <c r="B4158" t="s">
        <v>300</v>
      </c>
      <c r="C4158" s="8">
        <v>46222</v>
      </c>
      <c r="D4158" t="s">
        <v>321</v>
      </c>
      <c r="E4158" t="s">
        <v>337</v>
      </c>
      <c r="F4158" s="12">
        <v>230895</v>
      </c>
      <c r="G4158" s="13">
        <v>23</v>
      </c>
      <c r="H4158" t="s">
        <v>3348</v>
      </c>
      <c r="I4158" s="8">
        <v>46087</v>
      </c>
      <c r="J4158" t="s">
        <v>2674</v>
      </c>
      <c r="K4158" t="s">
        <v>2675</v>
      </c>
      <c r="L4158" s="13">
        <v>20000</v>
      </c>
      <c r="M4158" t="s">
        <v>2661</v>
      </c>
    </row>
    <row r="4159" spans="1:13">
      <c r="A4159" t="s">
        <v>1743</v>
      </c>
      <c r="B4159" t="s">
        <v>300</v>
      </c>
      <c r="C4159" s="8">
        <v>46222</v>
      </c>
      <c r="D4159" t="s">
        <v>321</v>
      </c>
      <c r="E4159" t="s">
        <v>337</v>
      </c>
      <c r="F4159" s="12">
        <v>230895</v>
      </c>
      <c r="G4159" s="13">
        <v>23</v>
      </c>
      <c r="H4159" t="s">
        <v>3442</v>
      </c>
      <c r="I4159" s="8">
        <v>46282</v>
      </c>
      <c r="J4159" t="s">
        <v>2685</v>
      </c>
      <c r="K4159" t="s">
        <v>2686</v>
      </c>
      <c r="L4159" s="13">
        <v>5000</v>
      </c>
      <c r="M4159" t="s">
        <v>2661</v>
      </c>
    </row>
    <row r="4160" spans="1:13">
      <c r="A4160" t="s">
        <v>1743</v>
      </c>
      <c r="B4160" t="s">
        <v>300</v>
      </c>
      <c r="C4160" s="8">
        <v>46222</v>
      </c>
      <c r="D4160" t="s">
        <v>321</v>
      </c>
      <c r="E4160" t="s">
        <v>337</v>
      </c>
      <c r="F4160" s="12">
        <v>230895</v>
      </c>
      <c r="G4160" s="13">
        <v>23</v>
      </c>
      <c r="H4160" t="s">
        <v>3499</v>
      </c>
      <c r="I4160" s="8">
        <v>46165</v>
      </c>
      <c r="J4160" t="s">
        <v>2688</v>
      </c>
      <c r="K4160" t="s">
        <v>2689</v>
      </c>
      <c r="L4160" s="13">
        <v>8000</v>
      </c>
      <c r="M4160" t="s">
        <v>2661</v>
      </c>
    </row>
    <row r="4161" spans="1:13">
      <c r="A4161" t="s">
        <v>1744</v>
      </c>
      <c r="B4161" t="s">
        <v>141</v>
      </c>
      <c r="C4161" s="8">
        <v>46063</v>
      </c>
      <c r="D4161" t="s">
        <v>350</v>
      </c>
      <c r="E4161" t="s">
        <v>337</v>
      </c>
      <c r="F4161" s="12">
        <v>487419</v>
      </c>
      <c r="G4161" s="13">
        <v>48</v>
      </c>
      <c r="H4161" t="s">
        <v>2784</v>
      </c>
      <c r="I4161" s="8">
        <v>46039</v>
      </c>
      <c r="J4161" t="s">
        <v>2692</v>
      </c>
      <c r="K4161" t="s">
        <v>2693</v>
      </c>
      <c r="L4161" s="13">
        <v>10000</v>
      </c>
      <c r="M4161" t="s">
        <v>2676</v>
      </c>
    </row>
    <row r="4162" spans="1:13">
      <c r="A4162" t="s">
        <v>1744</v>
      </c>
      <c r="B4162" t="s">
        <v>141</v>
      </c>
      <c r="C4162" s="8">
        <v>46063</v>
      </c>
      <c r="D4162" t="s">
        <v>350</v>
      </c>
      <c r="E4162" t="s">
        <v>337</v>
      </c>
      <c r="F4162" s="12">
        <v>487419</v>
      </c>
      <c r="G4162" s="13">
        <v>48</v>
      </c>
      <c r="H4162" t="s">
        <v>2983</v>
      </c>
      <c r="I4162" s="8">
        <v>46195</v>
      </c>
      <c r="J4162" t="s">
        <v>2665</v>
      </c>
      <c r="K4162" t="s">
        <v>2666</v>
      </c>
      <c r="L4162" s="13">
        <v>2500</v>
      </c>
      <c r="M4162" t="s">
        <v>2661</v>
      </c>
    </row>
    <row r="4163" spans="1:13">
      <c r="A4163" t="s">
        <v>1744</v>
      </c>
      <c r="B4163" t="s">
        <v>141</v>
      </c>
      <c r="C4163" s="8">
        <v>46063</v>
      </c>
      <c r="D4163" t="s">
        <v>350</v>
      </c>
      <c r="E4163" t="s">
        <v>337</v>
      </c>
      <c r="F4163" s="12">
        <v>487419</v>
      </c>
      <c r="G4163" s="13">
        <v>48</v>
      </c>
      <c r="H4163" t="s">
        <v>3011</v>
      </c>
      <c r="I4163" s="8">
        <v>46197</v>
      </c>
      <c r="J4163" t="s">
        <v>2674</v>
      </c>
      <c r="K4163" t="s">
        <v>2675</v>
      </c>
      <c r="L4163" s="13">
        <v>20000</v>
      </c>
      <c r="M4163" t="s">
        <v>2661</v>
      </c>
    </row>
    <row r="4164" spans="1:13">
      <c r="A4164" t="s">
        <v>1744</v>
      </c>
      <c r="B4164" t="s">
        <v>141</v>
      </c>
      <c r="C4164" s="8">
        <v>46063</v>
      </c>
      <c r="D4164" t="s">
        <v>350</v>
      </c>
      <c r="E4164" t="s">
        <v>337</v>
      </c>
      <c r="F4164" s="12">
        <v>487419</v>
      </c>
      <c r="G4164" s="13">
        <v>48</v>
      </c>
      <c r="H4164" t="s">
        <v>3035</v>
      </c>
      <c r="I4164" s="8">
        <v>46115</v>
      </c>
      <c r="J4164" t="s">
        <v>2663</v>
      </c>
      <c r="K4164" t="s">
        <v>3630</v>
      </c>
      <c r="L4164" s="13">
        <v>1500</v>
      </c>
      <c r="M4164" t="s">
        <v>2661</v>
      </c>
    </row>
    <row r="4165" spans="1:13">
      <c r="A4165" t="s">
        <v>1744</v>
      </c>
      <c r="B4165" t="s">
        <v>141</v>
      </c>
      <c r="C4165" s="8">
        <v>46063</v>
      </c>
      <c r="D4165" t="s">
        <v>350</v>
      </c>
      <c r="E4165" t="s">
        <v>337</v>
      </c>
      <c r="F4165" s="12">
        <v>487419</v>
      </c>
      <c r="G4165" s="13">
        <v>48</v>
      </c>
      <c r="H4165" t="s">
        <v>3161</v>
      </c>
      <c r="I4165" s="8">
        <v>46177</v>
      </c>
      <c r="J4165" t="s">
        <v>2663</v>
      </c>
      <c r="K4165" t="s">
        <v>3630</v>
      </c>
      <c r="L4165" s="13">
        <v>1500</v>
      </c>
      <c r="M4165" t="s">
        <v>2661</v>
      </c>
    </row>
    <row r="4166" spans="1:13">
      <c r="A4166" t="s">
        <v>1744</v>
      </c>
      <c r="B4166" t="s">
        <v>141</v>
      </c>
      <c r="C4166" s="8">
        <v>46063</v>
      </c>
      <c r="D4166" t="s">
        <v>350</v>
      </c>
      <c r="E4166" t="s">
        <v>337</v>
      </c>
      <c r="F4166" s="12">
        <v>487419</v>
      </c>
      <c r="G4166" s="13">
        <v>48</v>
      </c>
      <c r="H4166" t="s">
        <v>3357</v>
      </c>
      <c r="I4166" s="8">
        <v>46093</v>
      </c>
      <c r="J4166" t="s">
        <v>2685</v>
      </c>
      <c r="K4166" t="s">
        <v>2686</v>
      </c>
      <c r="L4166" s="13">
        <v>5000</v>
      </c>
      <c r="M4166" t="s">
        <v>2676</v>
      </c>
    </row>
    <row r="4167" spans="1:13">
      <c r="A4167" t="s">
        <v>1745</v>
      </c>
      <c r="B4167" t="s">
        <v>256</v>
      </c>
      <c r="C4167" s="8">
        <v>45958</v>
      </c>
      <c r="D4167" t="s">
        <v>327</v>
      </c>
      <c r="E4167" t="s">
        <v>339</v>
      </c>
      <c r="F4167" s="12">
        <v>320907</v>
      </c>
      <c r="G4167" s="13">
        <v>32</v>
      </c>
      <c r="H4167" t="s">
        <v>3289</v>
      </c>
      <c r="I4167" s="8">
        <v>46146</v>
      </c>
      <c r="J4167" t="s">
        <v>2659</v>
      </c>
      <c r="K4167" t="s">
        <v>2660</v>
      </c>
      <c r="L4167" s="13">
        <v>3500</v>
      </c>
      <c r="M4167" t="s">
        <v>2661</v>
      </c>
    </row>
    <row r="4168" spans="1:13">
      <c r="A4168" t="s">
        <v>1746</v>
      </c>
      <c r="B4168" t="s">
        <v>280</v>
      </c>
      <c r="C4168" s="8">
        <v>46261</v>
      </c>
      <c r="D4168" t="s">
        <v>344</v>
      </c>
      <c r="E4168" t="s">
        <v>334</v>
      </c>
      <c r="F4168" s="12">
        <v>838078</v>
      </c>
      <c r="G4168" s="13">
        <v>83</v>
      </c>
      <c r="H4168" t="s">
        <v>2673</v>
      </c>
      <c r="I4168" s="8">
        <v>46091</v>
      </c>
      <c r="J4168" t="s">
        <v>2674</v>
      </c>
      <c r="K4168" t="s">
        <v>2675</v>
      </c>
      <c r="L4168" s="13">
        <v>20000</v>
      </c>
      <c r="M4168" t="s">
        <v>2676</v>
      </c>
    </row>
    <row r="4169" spans="1:13">
      <c r="A4169" t="s">
        <v>1746</v>
      </c>
      <c r="B4169" t="s">
        <v>280</v>
      </c>
      <c r="C4169" s="8">
        <v>46261</v>
      </c>
      <c r="D4169" t="s">
        <v>344</v>
      </c>
      <c r="E4169" t="s">
        <v>334</v>
      </c>
      <c r="F4169" s="12">
        <v>838078</v>
      </c>
      <c r="G4169" s="13">
        <v>83</v>
      </c>
      <c r="H4169" t="s">
        <v>2924</v>
      </c>
      <c r="I4169" s="8">
        <v>46275</v>
      </c>
      <c r="J4169" t="s">
        <v>2663</v>
      </c>
      <c r="K4169" t="s">
        <v>3630</v>
      </c>
      <c r="L4169" s="13">
        <v>1500</v>
      </c>
      <c r="M4169" t="s">
        <v>2661</v>
      </c>
    </row>
    <row r="4170" spans="1:13">
      <c r="A4170" t="s">
        <v>1746</v>
      </c>
      <c r="B4170" t="s">
        <v>280</v>
      </c>
      <c r="C4170" s="8">
        <v>46261</v>
      </c>
      <c r="D4170" t="s">
        <v>344</v>
      </c>
      <c r="E4170" t="s">
        <v>334</v>
      </c>
      <c r="F4170" s="12">
        <v>838078</v>
      </c>
      <c r="G4170" s="13">
        <v>83</v>
      </c>
      <c r="H4170" t="s">
        <v>3163</v>
      </c>
      <c r="I4170" s="8">
        <v>46279</v>
      </c>
      <c r="J4170" t="s">
        <v>2668</v>
      </c>
      <c r="K4170" t="s">
        <v>2669</v>
      </c>
      <c r="L4170" s="13">
        <v>4000</v>
      </c>
      <c r="M4170" t="s">
        <v>2661</v>
      </c>
    </row>
    <row r="4171" spans="1:13">
      <c r="A4171" t="s">
        <v>1746</v>
      </c>
      <c r="B4171" t="s">
        <v>280</v>
      </c>
      <c r="C4171" s="8">
        <v>46261</v>
      </c>
      <c r="D4171" t="s">
        <v>344</v>
      </c>
      <c r="E4171" t="s">
        <v>334</v>
      </c>
      <c r="F4171" s="12">
        <v>838078</v>
      </c>
      <c r="G4171" s="13">
        <v>83</v>
      </c>
      <c r="H4171" t="s">
        <v>3286</v>
      </c>
      <c r="I4171" s="8">
        <v>46224</v>
      </c>
      <c r="J4171" t="s">
        <v>2685</v>
      </c>
      <c r="K4171" t="s">
        <v>2686</v>
      </c>
      <c r="L4171" s="13">
        <v>5000</v>
      </c>
      <c r="M4171" t="s">
        <v>2661</v>
      </c>
    </row>
    <row r="4172" spans="1:13">
      <c r="A4172" t="s">
        <v>1746</v>
      </c>
      <c r="B4172" t="s">
        <v>280</v>
      </c>
      <c r="C4172" s="8">
        <v>46261</v>
      </c>
      <c r="D4172" t="s">
        <v>344</v>
      </c>
      <c r="E4172" t="s">
        <v>334</v>
      </c>
      <c r="F4172" s="12">
        <v>838078</v>
      </c>
      <c r="G4172" s="13">
        <v>83</v>
      </c>
      <c r="H4172" t="s">
        <v>3400</v>
      </c>
      <c r="I4172" s="8">
        <v>46126</v>
      </c>
      <c r="J4172" t="s">
        <v>2692</v>
      </c>
      <c r="K4172" t="s">
        <v>2693</v>
      </c>
      <c r="L4172" s="13">
        <v>10000</v>
      </c>
      <c r="M4172" t="s">
        <v>2661</v>
      </c>
    </row>
    <row r="4173" spans="1:13">
      <c r="A4173" t="s">
        <v>1746</v>
      </c>
      <c r="B4173" t="s">
        <v>280</v>
      </c>
      <c r="C4173" s="8">
        <v>46261</v>
      </c>
      <c r="D4173" t="s">
        <v>344</v>
      </c>
      <c r="E4173" t="s">
        <v>334</v>
      </c>
      <c r="F4173" s="12">
        <v>838078</v>
      </c>
      <c r="G4173" s="13">
        <v>83</v>
      </c>
      <c r="H4173" t="s">
        <v>3535</v>
      </c>
      <c r="I4173" s="8">
        <v>46274</v>
      </c>
      <c r="J4173" t="s">
        <v>2659</v>
      </c>
      <c r="K4173" t="s">
        <v>2660</v>
      </c>
      <c r="L4173" s="13">
        <v>3500</v>
      </c>
      <c r="M4173" t="s">
        <v>2661</v>
      </c>
    </row>
    <row r="4174" spans="1:13">
      <c r="A4174" t="s">
        <v>1747</v>
      </c>
      <c r="B4174" t="s">
        <v>309</v>
      </c>
      <c r="C4174" s="8">
        <v>46139</v>
      </c>
      <c r="D4174" t="s">
        <v>327</v>
      </c>
      <c r="E4174" t="s">
        <v>337</v>
      </c>
      <c r="F4174" s="12">
        <v>160377</v>
      </c>
      <c r="G4174" s="13">
        <v>16</v>
      </c>
      <c r="H4174" t="s">
        <v>2727</v>
      </c>
      <c r="I4174" s="8">
        <v>46058</v>
      </c>
      <c r="J4174" t="s">
        <v>2659</v>
      </c>
      <c r="K4174" t="s">
        <v>2660</v>
      </c>
      <c r="L4174" s="13">
        <v>3500</v>
      </c>
      <c r="M4174" t="s">
        <v>2661</v>
      </c>
    </row>
    <row r="4175" spans="1:13">
      <c r="A4175" t="s">
        <v>1747</v>
      </c>
      <c r="B4175" t="s">
        <v>309</v>
      </c>
      <c r="C4175" s="8">
        <v>46139</v>
      </c>
      <c r="D4175" t="s">
        <v>327</v>
      </c>
      <c r="E4175" t="s">
        <v>337</v>
      </c>
      <c r="F4175" s="12">
        <v>160377</v>
      </c>
      <c r="G4175" s="13">
        <v>16</v>
      </c>
      <c r="H4175" t="s">
        <v>3115</v>
      </c>
      <c r="I4175" s="8">
        <v>45943</v>
      </c>
      <c r="J4175" t="s">
        <v>2682</v>
      </c>
      <c r="K4175" t="s">
        <v>2683</v>
      </c>
      <c r="L4175" s="13">
        <v>6000</v>
      </c>
      <c r="M4175" t="s">
        <v>2676</v>
      </c>
    </row>
    <row r="4176" spans="1:13">
      <c r="A4176" t="s">
        <v>1747</v>
      </c>
      <c r="B4176" t="s">
        <v>309</v>
      </c>
      <c r="C4176" s="8">
        <v>46139</v>
      </c>
      <c r="D4176" t="s">
        <v>327</v>
      </c>
      <c r="E4176" t="s">
        <v>337</v>
      </c>
      <c r="F4176" s="12">
        <v>160377</v>
      </c>
      <c r="G4176" s="13">
        <v>16</v>
      </c>
      <c r="H4176" t="s">
        <v>3418</v>
      </c>
      <c r="I4176" s="8">
        <v>46064</v>
      </c>
      <c r="J4176" t="s">
        <v>2665</v>
      </c>
      <c r="K4176" t="s">
        <v>2666</v>
      </c>
      <c r="L4176" s="13">
        <v>2500</v>
      </c>
      <c r="M4176" t="s">
        <v>2661</v>
      </c>
    </row>
    <row r="4177" spans="1:13">
      <c r="A4177" t="s">
        <v>1748</v>
      </c>
      <c r="B4177" t="s">
        <v>212</v>
      </c>
      <c r="C4177" s="8">
        <v>45999</v>
      </c>
      <c r="D4177" t="s">
        <v>324</v>
      </c>
      <c r="E4177" t="s">
        <v>322</v>
      </c>
      <c r="F4177" s="12">
        <v>540695</v>
      </c>
      <c r="G4177" s="13">
        <v>54</v>
      </c>
      <c r="H4177" t="s">
        <v>2760</v>
      </c>
      <c r="I4177" s="8">
        <v>46244</v>
      </c>
      <c r="J4177" t="s">
        <v>2668</v>
      </c>
      <c r="K4177" t="s">
        <v>2669</v>
      </c>
      <c r="L4177" s="13">
        <v>4000</v>
      </c>
      <c r="M4177" t="s">
        <v>2661</v>
      </c>
    </row>
    <row r="4178" spans="1:13">
      <c r="A4178" t="s">
        <v>1748</v>
      </c>
      <c r="B4178" t="s">
        <v>212</v>
      </c>
      <c r="C4178" s="8">
        <v>45999</v>
      </c>
      <c r="D4178" t="s">
        <v>324</v>
      </c>
      <c r="E4178" t="s">
        <v>322</v>
      </c>
      <c r="F4178" s="12">
        <v>540695</v>
      </c>
      <c r="G4178" s="13">
        <v>54</v>
      </c>
      <c r="H4178" t="s">
        <v>2935</v>
      </c>
      <c r="I4178" s="8">
        <v>46216</v>
      </c>
      <c r="J4178" t="s">
        <v>2665</v>
      </c>
      <c r="K4178" t="s">
        <v>2666</v>
      </c>
      <c r="L4178" s="13">
        <v>2500</v>
      </c>
      <c r="M4178" t="s">
        <v>2661</v>
      </c>
    </row>
    <row r="4179" spans="1:13">
      <c r="A4179" t="s">
        <v>1748</v>
      </c>
      <c r="B4179" t="s">
        <v>212</v>
      </c>
      <c r="C4179" s="8">
        <v>45999</v>
      </c>
      <c r="D4179" t="s">
        <v>324</v>
      </c>
      <c r="E4179" t="s">
        <v>322</v>
      </c>
      <c r="F4179" s="12">
        <v>540695</v>
      </c>
      <c r="G4179" s="13">
        <v>54</v>
      </c>
      <c r="H4179" t="s">
        <v>3100</v>
      </c>
      <c r="I4179" s="8">
        <v>46226</v>
      </c>
      <c r="J4179" t="s">
        <v>2665</v>
      </c>
      <c r="K4179" t="s">
        <v>2666</v>
      </c>
      <c r="L4179" s="13">
        <v>2500</v>
      </c>
      <c r="M4179" t="s">
        <v>2661</v>
      </c>
    </row>
    <row r="4180" spans="1:13">
      <c r="A4180" t="s">
        <v>1749</v>
      </c>
      <c r="B4180" t="s">
        <v>91</v>
      </c>
      <c r="C4180" s="8">
        <v>45935</v>
      </c>
      <c r="D4180" t="s">
        <v>350</v>
      </c>
      <c r="E4180" t="s">
        <v>322</v>
      </c>
      <c r="F4180" s="12">
        <v>258580</v>
      </c>
      <c r="G4180" s="13">
        <v>25</v>
      </c>
      <c r="H4180" t="s">
        <v>2898</v>
      </c>
      <c r="I4180" s="8">
        <v>46143</v>
      </c>
      <c r="J4180" t="s">
        <v>2659</v>
      </c>
      <c r="K4180" t="s">
        <v>2660</v>
      </c>
      <c r="L4180" s="13">
        <v>3500</v>
      </c>
      <c r="M4180" t="s">
        <v>2661</v>
      </c>
    </row>
    <row r="4181" spans="1:13">
      <c r="A4181" t="s">
        <v>1749</v>
      </c>
      <c r="B4181" t="s">
        <v>91</v>
      </c>
      <c r="C4181" s="8">
        <v>45935</v>
      </c>
      <c r="D4181" t="s">
        <v>350</v>
      </c>
      <c r="E4181" t="s">
        <v>322</v>
      </c>
      <c r="F4181" s="12">
        <v>258580</v>
      </c>
      <c r="G4181" s="13">
        <v>25</v>
      </c>
      <c r="H4181" t="s">
        <v>3065</v>
      </c>
      <c r="I4181" s="8">
        <v>46009</v>
      </c>
      <c r="J4181" t="s">
        <v>2659</v>
      </c>
      <c r="K4181" t="s">
        <v>2660</v>
      </c>
      <c r="L4181" s="13">
        <v>3500</v>
      </c>
      <c r="M4181" t="s">
        <v>2661</v>
      </c>
    </row>
    <row r="4182" spans="1:13">
      <c r="A4182" t="s">
        <v>1750</v>
      </c>
      <c r="B4182" t="s">
        <v>182</v>
      </c>
      <c r="C4182" s="8">
        <v>45989</v>
      </c>
      <c r="D4182" t="s">
        <v>321</v>
      </c>
      <c r="E4182" t="s">
        <v>337</v>
      </c>
      <c r="F4182" s="12">
        <v>911703</v>
      </c>
      <c r="G4182" s="13">
        <v>91</v>
      </c>
      <c r="H4182" t="s">
        <v>3339</v>
      </c>
      <c r="I4182" s="8">
        <v>46065</v>
      </c>
      <c r="J4182" t="s">
        <v>2674</v>
      </c>
      <c r="K4182" t="s">
        <v>2675</v>
      </c>
      <c r="L4182" s="13">
        <v>20000</v>
      </c>
      <c r="M4182" t="s">
        <v>2661</v>
      </c>
    </row>
    <row r="4183" spans="1:13">
      <c r="A4183" t="s">
        <v>1752</v>
      </c>
      <c r="B4183" t="s">
        <v>256</v>
      </c>
      <c r="C4183" s="8">
        <v>46193</v>
      </c>
      <c r="D4183" t="s">
        <v>321</v>
      </c>
      <c r="E4183" t="s">
        <v>339</v>
      </c>
      <c r="F4183" s="12">
        <v>894094</v>
      </c>
      <c r="G4183" s="13">
        <v>89</v>
      </c>
      <c r="H4183" t="s">
        <v>3289</v>
      </c>
      <c r="I4183" s="8">
        <v>46146</v>
      </c>
      <c r="J4183" t="s">
        <v>2659</v>
      </c>
      <c r="K4183" t="s">
        <v>2660</v>
      </c>
      <c r="L4183" s="13">
        <v>3500</v>
      </c>
      <c r="M4183" t="s">
        <v>2661</v>
      </c>
    </row>
    <row r="4184" spans="1:13">
      <c r="A4184" t="s">
        <v>1753</v>
      </c>
      <c r="B4184" t="s">
        <v>77</v>
      </c>
      <c r="C4184" s="8">
        <v>46205</v>
      </c>
      <c r="D4184" t="s">
        <v>350</v>
      </c>
      <c r="E4184" t="s">
        <v>328</v>
      </c>
      <c r="F4184" s="12">
        <v>695453</v>
      </c>
      <c r="G4184" s="13">
        <v>69</v>
      </c>
      <c r="H4184" t="s">
        <v>2808</v>
      </c>
      <c r="I4184" s="8">
        <v>45978</v>
      </c>
      <c r="J4184" t="s">
        <v>2688</v>
      </c>
      <c r="K4184" t="s">
        <v>2689</v>
      </c>
      <c r="L4184" s="13">
        <v>8000</v>
      </c>
      <c r="M4184" t="s">
        <v>2661</v>
      </c>
    </row>
    <row r="4185" spans="1:13">
      <c r="A4185" t="s">
        <v>1753</v>
      </c>
      <c r="B4185" t="s">
        <v>77</v>
      </c>
      <c r="C4185" s="8">
        <v>46205</v>
      </c>
      <c r="D4185" t="s">
        <v>350</v>
      </c>
      <c r="E4185" t="s">
        <v>328</v>
      </c>
      <c r="F4185" s="12">
        <v>695453</v>
      </c>
      <c r="G4185" s="13">
        <v>69</v>
      </c>
      <c r="H4185" t="s">
        <v>3166</v>
      </c>
      <c r="I4185" s="8">
        <v>46075</v>
      </c>
      <c r="J4185" t="s">
        <v>2668</v>
      </c>
      <c r="K4185" t="s">
        <v>2669</v>
      </c>
      <c r="L4185" s="13">
        <v>4000</v>
      </c>
      <c r="M4185" t="s">
        <v>2661</v>
      </c>
    </row>
    <row r="4186" spans="1:13">
      <c r="A4186" t="s">
        <v>1753</v>
      </c>
      <c r="B4186" t="s">
        <v>77</v>
      </c>
      <c r="C4186" s="8">
        <v>46205</v>
      </c>
      <c r="D4186" t="s">
        <v>350</v>
      </c>
      <c r="E4186" t="s">
        <v>328</v>
      </c>
      <c r="F4186" s="12">
        <v>695453</v>
      </c>
      <c r="G4186" s="13">
        <v>69</v>
      </c>
      <c r="H4186" t="s">
        <v>3326</v>
      </c>
      <c r="I4186" s="8">
        <v>46123</v>
      </c>
      <c r="J4186" t="s">
        <v>2688</v>
      </c>
      <c r="K4186" t="s">
        <v>2689</v>
      </c>
      <c r="L4186" s="13">
        <v>8000</v>
      </c>
      <c r="M4186" t="s">
        <v>2661</v>
      </c>
    </row>
    <row r="4187" spans="1:13">
      <c r="A4187" t="s">
        <v>1754</v>
      </c>
      <c r="B4187" t="s">
        <v>57</v>
      </c>
      <c r="C4187" s="8">
        <v>46000</v>
      </c>
      <c r="D4187" t="s">
        <v>342</v>
      </c>
      <c r="E4187" t="s">
        <v>325</v>
      </c>
      <c r="F4187" s="12">
        <v>331089</v>
      </c>
      <c r="G4187" s="13">
        <v>33</v>
      </c>
      <c r="H4187" t="s">
        <v>3486</v>
      </c>
      <c r="I4187" s="8">
        <v>46159</v>
      </c>
      <c r="J4187" t="s">
        <v>2665</v>
      </c>
      <c r="K4187" t="s">
        <v>2666</v>
      </c>
      <c r="L4187" s="13">
        <v>2500</v>
      </c>
      <c r="M4187" t="s">
        <v>2661</v>
      </c>
    </row>
    <row r="4188" spans="1:13">
      <c r="A4188" t="s">
        <v>1755</v>
      </c>
      <c r="B4188" t="s">
        <v>16</v>
      </c>
      <c r="C4188" s="8">
        <v>46126</v>
      </c>
      <c r="D4188" t="s">
        <v>327</v>
      </c>
      <c r="E4188" t="s">
        <v>322</v>
      </c>
      <c r="F4188" s="12">
        <v>121586</v>
      </c>
      <c r="G4188" s="13">
        <v>12</v>
      </c>
      <c r="H4188" t="s">
        <v>2886</v>
      </c>
      <c r="I4188" s="8">
        <v>46006</v>
      </c>
      <c r="J4188" t="s">
        <v>2659</v>
      </c>
      <c r="K4188" t="s">
        <v>2660</v>
      </c>
      <c r="L4188" s="13">
        <v>3500</v>
      </c>
      <c r="M4188" t="s">
        <v>2661</v>
      </c>
    </row>
    <row r="4189" spans="1:13">
      <c r="A4189" t="s">
        <v>1755</v>
      </c>
      <c r="B4189" t="s">
        <v>16</v>
      </c>
      <c r="C4189" s="8">
        <v>46126</v>
      </c>
      <c r="D4189" t="s">
        <v>327</v>
      </c>
      <c r="E4189" t="s">
        <v>322</v>
      </c>
      <c r="F4189" s="12">
        <v>121586</v>
      </c>
      <c r="G4189" s="13">
        <v>12</v>
      </c>
      <c r="H4189" t="s">
        <v>3402</v>
      </c>
      <c r="I4189" s="8">
        <v>46050</v>
      </c>
      <c r="J4189" t="s">
        <v>2668</v>
      </c>
      <c r="K4189" t="s">
        <v>2669</v>
      </c>
      <c r="L4189" s="13">
        <v>4000</v>
      </c>
      <c r="M4189" t="s">
        <v>2661</v>
      </c>
    </row>
    <row r="4190" spans="1:13">
      <c r="A4190" t="s">
        <v>1756</v>
      </c>
      <c r="B4190" t="s">
        <v>51</v>
      </c>
      <c r="C4190" s="8">
        <v>46271</v>
      </c>
      <c r="D4190" t="s">
        <v>342</v>
      </c>
      <c r="E4190" t="s">
        <v>339</v>
      </c>
      <c r="F4190" s="12">
        <v>186411</v>
      </c>
      <c r="G4190" s="13">
        <v>18</v>
      </c>
      <c r="H4190" t="s">
        <v>2800</v>
      </c>
      <c r="I4190" s="8">
        <v>46266</v>
      </c>
      <c r="J4190" t="s">
        <v>2674</v>
      </c>
      <c r="K4190" t="s">
        <v>2675</v>
      </c>
      <c r="L4190" s="13">
        <v>20000</v>
      </c>
      <c r="M4190" t="s">
        <v>2676</v>
      </c>
    </row>
    <row r="4191" spans="1:13">
      <c r="A4191" t="s">
        <v>1756</v>
      </c>
      <c r="B4191" t="s">
        <v>51</v>
      </c>
      <c r="C4191" s="8">
        <v>46271</v>
      </c>
      <c r="D4191" t="s">
        <v>342</v>
      </c>
      <c r="E4191" t="s">
        <v>339</v>
      </c>
      <c r="F4191" s="12">
        <v>186411</v>
      </c>
      <c r="G4191" s="13">
        <v>18</v>
      </c>
      <c r="H4191" t="s">
        <v>3477</v>
      </c>
      <c r="I4191" s="8">
        <v>46036</v>
      </c>
      <c r="J4191" t="s">
        <v>2671</v>
      </c>
      <c r="K4191" t="s">
        <v>2672</v>
      </c>
      <c r="L4191" s="13">
        <v>3000</v>
      </c>
      <c r="M4191" t="s">
        <v>2661</v>
      </c>
    </row>
    <row r="4192" spans="1:13">
      <c r="A4192" t="s">
        <v>1757</v>
      </c>
      <c r="B4192" t="s">
        <v>247</v>
      </c>
      <c r="C4192" s="8">
        <v>46268</v>
      </c>
      <c r="D4192" t="s">
        <v>324</v>
      </c>
      <c r="E4192" t="s">
        <v>322</v>
      </c>
      <c r="F4192" s="12">
        <v>464704</v>
      </c>
      <c r="G4192" s="13">
        <v>46</v>
      </c>
      <c r="H4192" t="s">
        <v>3106</v>
      </c>
      <c r="I4192" s="8">
        <v>46071</v>
      </c>
      <c r="J4192" t="s">
        <v>2668</v>
      </c>
      <c r="K4192" t="s">
        <v>2669</v>
      </c>
      <c r="L4192" s="13">
        <v>4000</v>
      </c>
      <c r="M4192" t="s">
        <v>2661</v>
      </c>
    </row>
    <row r="4193" spans="1:13">
      <c r="A4193" t="s">
        <v>1758</v>
      </c>
      <c r="B4193" t="s">
        <v>3</v>
      </c>
      <c r="C4193" s="8">
        <v>46046</v>
      </c>
      <c r="D4193" t="s">
        <v>342</v>
      </c>
      <c r="E4193" t="s">
        <v>325</v>
      </c>
      <c r="F4193" s="12">
        <v>27151</v>
      </c>
      <c r="G4193" s="13">
        <v>2</v>
      </c>
      <c r="H4193" t="s">
        <v>2703</v>
      </c>
      <c r="I4193" s="8">
        <v>46032</v>
      </c>
      <c r="J4193" t="s">
        <v>2668</v>
      </c>
      <c r="K4193" t="s">
        <v>2669</v>
      </c>
      <c r="L4193" s="13">
        <v>4000</v>
      </c>
      <c r="M4193" t="s">
        <v>2661</v>
      </c>
    </row>
    <row r="4194" spans="1:13">
      <c r="A4194" t="s">
        <v>1758</v>
      </c>
      <c r="B4194" t="s">
        <v>3</v>
      </c>
      <c r="C4194" s="8">
        <v>46046</v>
      </c>
      <c r="D4194" t="s">
        <v>342</v>
      </c>
      <c r="E4194" t="s">
        <v>325</v>
      </c>
      <c r="F4194" s="12">
        <v>27151</v>
      </c>
      <c r="G4194" s="13">
        <v>2</v>
      </c>
      <c r="H4194" t="s">
        <v>3148</v>
      </c>
      <c r="I4194" s="8">
        <v>46264</v>
      </c>
      <c r="J4194" t="s">
        <v>2682</v>
      </c>
      <c r="K4194" t="s">
        <v>2683</v>
      </c>
      <c r="L4194" s="13">
        <v>6000</v>
      </c>
      <c r="M4194" t="s">
        <v>2661</v>
      </c>
    </row>
    <row r="4195" spans="1:13">
      <c r="A4195" t="s">
        <v>1759</v>
      </c>
      <c r="B4195" t="s">
        <v>184</v>
      </c>
      <c r="C4195" s="8">
        <v>46188</v>
      </c>
      <c r="D4195" t="s">
        <v>342</v>
      </c>
      <c r="E4195" t="s">
        <v>322</v>
      </c>
      <c r="F4195" s="12">
        <v>241798</v>
      </c>
      <c r="G4195" s="13">
        <v>24</v>
      </c>
      <c r="H4195" t="s">
        <v>3030</v>
      </c>
      <c r="I4195" s="8">
        <v>46275</v>
      </c>
      <c r="J4195" t="s">
        <v>2692</v>
      </c>
      <c r="K4195" t="s">
        <v>2693</v>
      </c>
      <c r="L4195" s="13">
        <v>10000</v>
      </c>
      <c r="M4195" t="s">
        <v>2661</v>
      </c>
    </row>
    <row r="4196" spans="1:13">
      <c r="A4196" t="s">
        <v>1759</v>
      </c>
      <c r="B4196" t="s">
        <v>184</v>
      </c>
      <c r="C4196" s="8">
        <v>46188</v>
      </c>
      <c r="D4196" t="s">
        <v>342</v>
      </c>
      <c r="E4196" t="s">
        <v>322</v>
      </c>
      <c r="F4196" s="12">
        <v>241798</v>
      </c>
      <c r="G4196" s="13">
        <v>24</v>
      </c>
      <c r="H4196" t="s">
        <v>3284</v>
      </c>
      <c r="I4196" s="8">
        <v>46235</v>
      </c>
      <c r="J4196" t="s">
        <v>2688</v>
      </c>
      <c r="K4196" t="s">
        <v>2689</v>
      </c>
      <c r="L4196" s="13">
        <v>8000</v>
      </c>
      <c r="M4196" t="s">
        <v>2661</v>
      </c>
    </row>
    <row r="4197" spans="1:13">
      <c r="A4197" t="s">
        <v>1759</v>
      </c>
      <c r="B4197" t="s">
        <v>184</v>
      </c>
      <c r="C4197" s="8">
        <v>46188</v>
      </c>
      <c r="D4197" t="s">
        <v>342</v>
      </c>
      <c r="E4197" t="s">
        <v>322</v>
      </c>
      <c r="F4197" s="12">
        <v>241798</v>
      </c>
      <c r="G4197" s="13">
        <v>24</v>
      </c>
      <c r="H4197" t="s">
        <v>3311</v>
      </c>
      <c r="I4197" s="8">
        <v>46027</v>
      </c>
      <c r="J4197" t="s">
        <v>2668</v>
      </c>
      <c r="K4197" t="s">
        <v>2669</v>
      </c>
      <c r="L4197" s="13">
        <v>4000</v>
      </c>
      <c r="M4197" t="s">
        <v>2661</v>
      </c>
    </row>
    <row r="4198" spans="1:13">
      <c r="A4198" t="s">
        <v>1759</v>
      </c>
      <c r="B4198" t="s">
        <v>184</v>
      </c>
      <c r="C4198" s="8">
        <v>46188</v>
      </c>
      <c r="D4198" t="s">
        <v>342</v>
      </c>
      <c r="E4198" t="s">
        <v>322</v>
      </c>
      <c r="F4198" s="12">
        <v>241798</v>
      </c>
      <c r="G4198" s="13">
        <v>24</v>
      </c>
      <c r="H4198" t="s">
        <v>3417</v>
      </c>
      <c r="I4198" s="8">
        <v>46001</v>
      </c>
      <c r="J4198" t="s">
        <v>2663</v>
      </c>
      <c r="K4198" t="s">
        <v>3630</v>
      </c>
      <c r="L4198" s="13">
        <v>1500</v>
      </c>
      <c r="M4198" t="s">
        <v>2676</v>
      </c>
    </row>
    <row r="4199" spans="1:13">
      <c r="A4199" t="s">
        <v>1759</v>
      </c>
      <c r="B4199" t="s">
        <v>184</v>
      </c>
      <c r="C4199" s="8">
        <v>46188</v>
      </c>
      <c r="D4199" t="s">
        <v>342</v>
      </c>
      <c r="E4199" t="s">
        <v>322</v>
      </c>
      <c r="F4199" s="12">
        <v>241798</v>
      </c>
      <c r="G4199" s="13">
        <v>24</v>
      </c>
      <c r="H4199" t="s">
        <v>3456</v>
      </c>
      <c r="I4199" s="8">
        <v>46099</v>
      </c>
      <c r="J4199" t="s">
        <v>2682</v>
      </c>
      <c r="K4199" t="s">
        <v>2683</v>
      </c>
      <c r="L4199" s="13">
        <v>6000</v>
      </c>
      <c r="M4199" t="s">
        <v>2676</v>
      </c>
    </row>
    <row r="4200" spans="1:13">
      <c r="A4200" t="s">
        <v>1760</v>
      </c>
      <c r="B4200" t="s">
        <v>278</v>
      </c>
      <c r="C4200" s="8">
        <v>46175</v>
      </c>
      <c r="D4200" t="s">
        <v>330</v>
      </c>
      <c r="E4200" t="s">
        <v>337</v>
      </c>
      <c r="F4200" s="12">
        <v>149311</v>
      </c>
      <c r="G4200" s="13">
        <v>14</v>
      </c>
      <c r="H4200" t="s">
        <v>2818</v>
      </c>
      <c r="I4200" s="8">
        <v>45998</v>
      </c>
      <c r="J4200" t="s">
        <v>2685</v>
      </c>
      <c r="K4200" t="s">
        <v>2686</v>
      </c>
      <c r="L4200" s="13">
        <v>5000</v>
      </c>
      <c r="M4200" t="s">
        <v>2661</v>
      </c>
    </row>
    <row r="4201" spans="1:13">
      <c r="A4201" t="s">
        <v>1760</v>
      </c>
      <c r="B4201" t="s">
        <v>278</v>
      </c>
      <c r="C4201" s="8">
        <v>46175</v>
      </c>
      <c r="D4201" t="s">
        <v>330</v>
      </c>
      <c r="E4201" t="s">
        <v>337</v>
      </c>
      <c r="F4201" s="12">
        <v>149311</v>
      </c>
      <c r="G4201" s="13">
        <v>14</v>
      </c>
      <c r="H4201" t="s">
        <v>3083</v>
      </c>
      <c r="I4201" s="8">
        <v>46001</v>
      </c>
      <c r="J4201" t="s">
        <v>2671</v>
      </c>
      <c r="K4201" t="s">
        <v>2672</v>
      </c>
      <c r="L4201" s="13">
        <v>3000</v>
      </c>
      <c r="M4201" t="s">
        <v>2676</v>
      </c>
    </row>
    <row r="4202" spans="1:13">
      <c r="A4202" t="s">
        <v>1760</v>
      </c>
      <c r="B4202" t="s">
        <v>278</v>
      </c>
      <c r="C4202" s="8">
        <v>46175</v>
      </c>
      <c r="D4202" t="s">
        <v>330</v>
      </c>
      <c r="E4202" t="s">
        <v>337</v>
      </c>
      <c r="F4202" s="12">
        <v>149311</v>
      </c>
      <c r="G4202" s="13">
        <v>14</v>
      </c>
      <c r="H4202" t="s">
        <v>3093</v>
      </c>
      <c r="I4202" s="8">
        <v>46073</v>
      </c>
      <c r="J4202" t="s">
        <v>2668</v>
      </c>
      <c r="K4202" t="s">
        <v>2669</v>
      </c>
      <c r="L4202" s="13">
        <v>4000</v>
      </c>
      <c r="M4202" t="s">
        <v>2661</v>
      </c>
    </row>
    <row r="4203" spans="1:13">
      <c r="A4203" t="s">
        <v>1761</v>
      </c>
      <c r="B4203" t="s">
        <v>311</v>
      </c>
      <c r="C4203" s="8">
        <v>46127</v>
      </c>
      <c r="D4203" t="s">
        <v>324</v>
      </c>
      <c r="E4203" t="s">
        <v>337</v>
      </c>
      <c r="F4203" s="12">
        <v>157461</v>
      </c>
      <c r="G4203" s="13">
        <v>15</v>
      </c>
      <c r="H4203" t="s">
        <v>2715</v>
      </c>
      <c r="I4203" s="8">
        <v>46035</v>
      </c>
      <c r="J4203" t="s">
        <v>2663</v>
      </c>
      <c r="K4203" t="s">
        <v>3630</v>
      </c>
      <c r="L4203" s="13">
        <v>1500</v>
      </c>
      <c r="M4203" t="s">
        <v>2661</v>
      </c>
    </row>
    <row r="4204" spans="1:13">
      <c r="A4204" t="s">
        <v>1762</v>
      </c>
      <c r="B4204" t="s">
        <v>205</v>
      </c>
      <c r="C4204" s="8">
        <v>46086</v>
      </c>
      <c r="D4204" t="s">
        <v>344</v>
      </c>
      <c r="E4204" t="s">
        <v>322</v>
      </c>
      <c r="F4204" s="12">
        <v>207963</v>
      </c>
      <c r="G4204" s="13">
        <v>20</v>
      </c>
      <c r="H4204" t="s">
        <v>3241</v>
      </c>
      <c r="I4204" s="8">
        <v>45972</v>
      </c>
      <c r="J4204" t="s">
        <v>2671</v>
      </c>
      <c r="K4204" t="s">
        <v>2672</v>
      </c>
      <c r="L4204" s="13">
        <v>3000</v>
      </c>
      <c r="M4204" t="s">
        <v>2676</v>
      </c>
    </row>
    <row r="4205" spans="1:13">
      <c r="A4205" t="s">
        <v>1763</v>
      </c>
      <c r="B4205" t="s">
        <v>199</v>
      </c>
      <c r="C4205" s="8">
        <v>46068</v>
      </c>
      <c r="D4205" t="s">
        <v>321</v>
      </c>
      <c r="E4205" t="s">
        <v>339</v>
      </c>
      <c r="F4205" s="12">
        <v>235951</v>
      </c>
      <c r="G4205" s="13">
        <v>23</v>
      </c>
      <c r="H4205" t="s">
        <v>2993</v>
      </c>
      <c r="I4205" s="8">
        <v>46086</v>
      </c>
      <c r="J4205" t="s">
        <v>2659</v>
      </c>
      <c r="K4205" t="s">
        <v>2660</v>
      </c>
      <c r="L4205" s="13">
        <v>3500</v>
      </c>
      <c r="M4205" t="s">
        <v>2661</v>
      </c>
    </row>
    <row r="4206" spans="1:13">
      <c r="A4206" t="s">
        <v>1763</v>
      </c>
      <c r="B4206" t="s">
        <v>199</v>
      </c>
      <c r="C4206" s="8">
        <v>46068</v>
      </c>
      <c r="D4206" t="s">
        <v>321</v>
      </c>
      <c r="E4206" t="s">
        <v>339</v>
      </c>
      <c r="F4206" s="12">
        <v>235951</v>
      </c>
      <c r="G4206" s="13">
        <v>23</v>
      </c>
      <c r="H4206" t="s">
        <v>3004</v>
      </c>
      <c r="I4206" s="8">
        <v>45974</v>
      </c>
      <c r="J4206" t="s">
        <v>2688</v>
      </c>
      <c r="K4206" t="s">
        <v>2689</v>
      </c>
      <c r="L4206" s="13">
        <v>8000</v>
      </c>
      <c r="M4206" t="s">
        <v>2661</v>
      </c>
    </row>
    <row r="4207" spans="1:13">
      <c r="A4207" t="s">
        <v>1763</v>
      </c>
      <c r="B4207" t="s">
        <v>199</v>
      </c>
      <c r="C4207" s="8">
        <v>46068</v>
      </c>
      <c r="D4207" t="s">
        <v>321</v>
      </c>
      <c r="E4207" t="s">
        <v>339</v>
      </c>
      <c r="F4207" s="12">
        <v>235951</v>
      </c>
      <c r="G4207" s="13">
        <v>23</v>
      </c>
      <c r="H4207" t="s">
        <v>3399</v>
      </c>
      <c r="I4207" s="8">
        <v>46093</v>
      </c>
      <c r="J4207" t="s">
        <v>2659</v>
      </c>
      <c r="K4207" t="s">
        <v>2660</v>
      </c>
      <c r="L4207" s="13">
        <v>3500</v>
      </c>
      <c r="M4207" t="s">
        <v>2661</v>
      </c>
    </row>
    <row r="4208" spans="1:13">
      <c r="A4208" t="s">
        <v>1763</v>
      </c>
      <c r="B4208" t="s">
        <v>199</v>
      </c>
      <c r="C4208" s="8">
        <v>46068</v>
      </c>
      <c r="D4208" t="s">
        <v>321</v>
      </c>
      <c r="E4208" t="s">
        <v>339</v>
      </c>
      <c r="F4208" s="12">
        <v>235951</v>
      </c>
      <c r="G4208" s="13">
        <v>23</v>
      </c>
      <c r="H4208" t="s">
        <v>3496</v>
      </c>
      <c r="I4208" s="8">
        <v>46020</v>
      </c>
      <c r="J4208" t="s">
        <v>2674</v>
      </c>
      <c r="K4208" t="s">
        <v>2675</v>
      </c>
      <c r="L4208" s="13">
        <v>20000</v>
      </c>
      <c r="M4208" t="s">
        <v>2661</v>
      </c>
    </row>
    <row r="4209" spans="1:13">
      <c r="A4209" t="s">
        <v>1764</v>
      </c>
      <c r="B4209" t="s">
        <v>295</v>
      </c>
      <c r="C4209" s="8">
        <v>46135</v>
      </c>
      <c r="D4209" t="s">
        <v>327</v>
      </c>
      <c r="E4209" t="s">
        <v>325</v>
      </c>
      <c r="F4209" s="12">
        <v>615103</v>
      </c>
      <c r="G4209" s="13">
        <v>61</v>
      </c>
      <c r="H4209" t="s">
        <v>3005</v>
      </c>
      <c r="I4209" s="8">
        <v>46206</v>
      </c>
      <c r="J4209" t="s">
        <v>2659</v>
      </c>
      <c r="K4209" t="s">
        <v>2660</v>
      </c>
      <c r="L4209" s="13">
        <v>3500</v>
      </c>
      <c r="M4209" t="s">
        <v>2661</v>
      </c>
    </row>
    <row r="4210" spans="1:13">
      <c r="A4210" t="s">
        <v>1765</v>
      </c>
      <c r="B4210" t="s">
        <v>134</v>
      </c>
      <c r="C4210" s="8">
        <v>46065</v>
      </c>
      <c r="D4210" t="s">
        <v>321</v>
      </c>
      <c r="E4210" t="s">
        <v>325</v>
      </c>
      <c r="F4210" s="12">
        <v>395031</v>
      </c>
      <c r="G4210" s="13">
        <v>39</v>
      </c>
      <c r="H4210" t="s">
        <v>3183</v>
      </c>
      <c r="I4210" s="8">
        <v>46285</v>
      </c>
      <c r="J4210" t="s">
        <v>2663</v>
      </c>
      <c r="K4210" t="s">
        <v>3630</v>
      </c>
      <c r="L4210" s="13">
        <v>1500</v>
      </c>
      <c r="M4210" t="s">
        <v>2661</v>
      </c>
    </row>
    <row r="4211" spans="1:13">
      <c r="A4211" t="s">
        <v>1766</v>
      </c>
      <c r="B4211" t="s">
        <v>272</v>
      </c>
      <c r="C4211" s="8">
        <v>45933</v>
      </c>
      <c r="D4211" t="s">
        <v>330</v>
      </c>
      <c r="E4211" t="s">
        <v>328</v>
      </c>
      <c r="F4211" s="12">
        <v>355169</v>
      </c>
      <c r="G4211" s="13">
        <v>35</v>
      </c>
      <c r="H4211" t="s">
        <v>3170</v>
      </c>
      <c r="I4211" s="8">
        <v>46133</v>
      </c>
      <c r="J4211" t="s">
        <v>2659</v>
      </c>
      <c r="K4211" t="s">
        <v>2660</v>
      </c>
      <c r="L4211" s="13">
        <v>3500</v>
      </c>
      <c r="M4211" t="s">
        <v>2661</v>
      </c>
    </row>
    <row r="4212" spans="1:13">
      <c r="A4212" t="s">
        <v>1766</v>
      </c>
      <c r="B4212" t="s">
        <v>272</v>
      </c>
      <c r="C4212" s="8">
        <v>45933</v>
      </c>
      <c r="D4212" t="s">
        <v>330</v>
      </c>
      <c r="E4212" t="s">
        <v>328</v>
      </c>
      <c r="F4212" s="12">
        <v>355169</v>
      </c>
      <c r="G4212" s="13">
        <v>35</v>
      </c>
      <c r="H4212" t="s">
        <v>3460</v>
      </c>
      <c r="I4212" s="8">
        <v>46021</v>
      </c>
      <c r="J4212" t="s">
        <v>2663</v>
      </c>
      <c r="K4212" t="s">
        <v>3630</v>
      </c>
      <c r="L4212" s="13">
        <v>1500</v>
      </c>
      <c r="M4212" t="s">
        <v>2661</v>
      </c>
    </row>
    <row r="4213" spans="1:13">
      <c r="A4213" t="s">
        <v>1767</v>
      </c>
      <c r="B4213" t="s">
        <v>269</v>
      </c>
      <c r="C4213" s="8">
        <v>45982</v>
      </c>
      <c r="D4213" t="s">
        <v>332</v>
      </c>
      <c r="E4213" t="s">
        <v>328</v>
      </c>
      <c r="F4213" s="12">
        <v>399494</v>
      </c>
      <c r="G4213" s="13">
        <v>39</v>
      </c>
      <c r="H4213" t="s">
        <v>2773</v>
      </c>
      <c r="I4213" s="8">
        <v>46184</v>
      </c>
      <c r="J4213" t="s">
        <v>2692</v>
      </c>
      <c r="K4213" t="s">
        <v>2693</v>
      </c>
      <c r="L4213" s="13">
        <v>10000</v>
      </c>
      <c r="M4213" t="s">
        <v>2661</v>
      </c>
    </row>
    <row r="4214" spans="1:13">
      <c r="A4214" t="s">
        <v>1767</v>
      </c>
      <c r="B4214" t="s">
        <v>269</v>
      </c>
      <c r="C4214" s="8">
        <v>45982</v>
      </c>
      <c r="D4214" t="s">
        <v>332</v>
      </c>
      <c r="E4214" t="s">
        <v>328</v>
      </c>
      <c r="F4214" s="12">
        <v>399494</v>
      </c>
      <c r="G4214" s="13">
        <v>39</v>
      </c>
      <c r="H4214" t="s">
        <v>3367</v>
      </c>
      <c r="I4214" s="8">
        <v>46038</v>
      </c>
      <c r="J4214" t="s">
        <v>2692</v>
      </c>
      <c r="K4214" t="s">
        <v>2693</v>
      </c>
      <c r="L4214" s="13">
        <v>10000</v>
      </c>
      <c r="M4214" t="s">
        <v>2661</v>
      </c>
    </row>
    <row r="4215" spans="1:13">
      <c r="A4215" t="s">
        <v>1767</v>
      </c>
      <c r="B4215" t="s">
        <v>269</v>
      </c>
      <c r="C4215" s="8">
        <v>45982</v>
      </c>
      <c r="D4215" t="s">
        <v>332</v>
      </c>
      <c r="E4215" t="s">
        <v>328</v>
      </c>
      <c r="F4215" s="12">
        <v>399494</v>
      </c>
      <c r="G4215" s="13">
        <v>39</v>
      </c>
      <c r="H4215" t="s">
        <v>3556</v>
      </c>
      <c r="I4215" s="8">
        <v>46043</v>
      </c>
      <c r="J4215" t="s">
        <v>2674</v>
      </c>
      <c r="K4215" t="s">
        <v>2675</v>
      </c>
      <c r="L4215" s="13">
        <v>20000</v>
      </c>
      <c r="M4215" t="s">
        <v>2661</v>
      </c>
    </row>
    <row r="4216" spans="1:13">
      <c r="A4216" t="s">
        <v>1768</v>
      </c>
      <c r="B4216" t="s">
        <v>82</v>
      </c>
      <c r="C4216" s="8">
        <v>46166</v>
      </c>
      <c r="D4216" t="s">
        <v>327</v>
      </c>
      <c r="E4216" t="s">
        <v>328</v>
      </c>
      <c r="F4216" s="12">
        <v>188379</v>
      </c>
      <c r="G4216" s="13">
        <v>18</v>
      </c>
      <c r="H4216" t="s">
        <v>3207</v>
      </c>
      <c r="I4216" s="8">
        <v>46183</v>
      </c>
      <c r="J4216" t="s">
        <v>2665</v>
      </c>
      <c r="K4216" t="s">
        <v>2666</v>
      </c>
      <c r="L4216" s="13">
        <v>2500</v>
      </c>
      <c r="M4216" t="s">
        <v>2661</v>
      </c>
    </row>
    <row r="4217" spans="1:13">
      <c r="A4217" t="s">
        <v>1769</v>
      </c>
      <c r="B4217" t="s">
        <v>305</v>
      </c>
      <c r="C4217" s="8">
        <v>46264</v>
      </c>
      <c r="D4217" t="s">
        <v>324</v>
      </c>
      <c r="E4217" t="s">
        <v>339</v>
      </c>
      <c r="F4217" s="12">
        <v>193443</v>
      </c>
      <c r="G4217" s="13">
        <v>19</v>
      </c>
      <c r="H4217" t="s">
        <v>2799</v>
      </c>
      <c r="I4217" s="8">
        <v>46099</v>
      </c>
      <c r="J4217" t="s">
        <v>2674</v>
      </c>
      <c r="K4217" t="s">
        <v>2675</v>
      </c>
      <c r="L4217" s="13">
        <v>20000</v>
      </c>
      <c r="M4217" t="s">
        <v>2661</v>
      </c>
    </row>
    <row r="4218" spans="1:13">
      <c r="A4218" t="s">
        <v>1769</v>
      </c>
      <c r="B4218" t="s">
        <v>305</v>
      </c>
      <c r="C4218" s="8">
        <v>46264</v>
      </c>
      <c r="D4218" t="s">
        <v>324</v>
      </c>
      <c r="E4218" t="s">
        <v>339</v>
      </c>
      <c r="F4218" s="12">
        <v>193443</v>
      </c>
      <c r="G4218" s="13">
        <v>19</v>
      </c>
      <c r="H4218" t="s">
        <v>3020</v>
      </c>
      <c r="I4218" s="8">
        <v>46112</v>
      </c>
      <c r="J4218" t="s">
        <v>2685</v>
      </c>
      <c r="K4218" t="s">
        <v>2686</v>
      </c>
      <c r="L4218" s="13">
        <v>5000</v>
      </c>
      <c r="M4218" t="s">
        <v>2661</v>
      </c>
    </row>
    <row r="4219" spans="1:13">
      <c r="A4219" t="s">
        <v>1769</v>
      </c>
      <c r="B4219" t="s">
        <v>305</v>
      </c>
      <c r="C4219" s="8">
        <v>46264</v>
      </c>
      <c r="D4219" t="s">
        <v>324</v>
      </c>
      <c r="E4219" t="s">
        <v>339</v>
      </c>
      <c r="F4219" s="12">
        <v>193443</v>
      </c>
      <c r="G4219" s="13">
        <v>19</v>
      </c>
      <c r="H4219" t="s">
        <v>3142</v>
      </c>
      <c r="I4219" s="8">
        <v>46178</v>
      </c>
      <c r="J4219" t="s">
        <v>2671</v>
      </c>
      <c r="K4219" t="s">
        <v>2672</v>
      </c>
      <c r="L4219" s="13">
        <v>3000</v>
      </c>
      <c r="M4219" t="s">
        <v>2661</v>
      </c>
    </row>
    <row r="4220" spans="1:13">
      <c r="A4220" t="s">
        <v>1770</v>
      </c>
      <c r="B4220" t="s">
        <v>255</v>
      </c>
      <c r="C4220" s="8">
        <v>46039</v>
      </c>
      <c r="D4220" t="s">
        <v>350</v>
      </c>
      <c r="E4220" t="s">
        <v>325</v>
      </c>
      <c r="F4220" s="12">
        <v>274599</v>
      </c>
      <c r="G4220" s="13">
        <v>27</v>
      </c>
      <c r="H4220" t="s">
        <v>2956</v>
      </c>
      <c r="I4220" s="8">
        <v>45952</v>
      </c>
      <c r="J4220" t="s">
        <v>2674</v>
      </c>
      <c r="K4220" t="s">
        <v>2675</v>
      </c>
      <c r="L4220" s="13">
        <v>20000</v>
      </c>
      <c r="M4220" t="s">
        <v>2676</v>
      </c>
    </row>
    <row r="4221" spans="1:13">
      <c r="A4221" t="s">
        <v>1770</v>
      </c>
      <c r="B4221" t="s">
        <v>255</v>
      </c>
      <c r="C4221" s="8">
        <v>46039</v>
      </c>
      <c r="D4221" t="s">
        <v>350</v>
      </c>
      <c r="E4221" t="s">
        <v>325</v>
      </c>
      <c r="F4221" s="12">
        <v>274599</v>
      </c>
      <c r="G4221" s="13">
        <v>27</v>
      </c>
      <c r="H4221" t="s">
        <v>3223</v>
      </c>
      <c r="I4221" s="8">
        <v>46198</v>
      </c>
      <c r="J4221" t="s">
        <v>2665</v>
      </c>
      <c r="K4221" t="s">
        <v>2666</v>
      </c>
      <c r="L4221" s="13">
        <v>2500</v>
      </c>
      <c r="M4221" t="s">
        <v>2661</v>
      </c>
    </row>
    <row r="4222" spans="1:13">
      <c r="A4222" t="s">
        <v>1770</v>
      </c>
      <c r="B4222" t="s">
        <v>255</v>
      </c>
      <c r="C4222" s="8">
        <v>46039</v>
      </c>
      <c r="D4222" t="s">
        <v>350</v>
      </c>
      <c r="E4222" t="s">
        <v>325</v>
      </c>
      <c r="F4222" s="12">
        <v>274599</v>
      </c>
      <c r="G4222" s="13">
        <v>27</v>
      </c>
      <c r="H4222" t="s">
        <v>3323</v>
      </c>
      <c r="I4222" s="8">
        <v>46169</v>
      </c>
      <c r="J4222" t="s">
        <v>2682</v>
      </c>
      <c r="K4222" t="s">
        <v>2683</v>
      </c>
      <c r="L4222" s="13">
        <v>6000</v>
      </c>
      <c r="M4222" t="s">
        <v>2676</v>
      </c>
    </row>
    <row r="4223" spans="1:13">
      <c r="A4223" t="s">
        <v>1771</v>
      </c>
      <c r="B4223" t="s">
        <v>130</v>
      </c>
      <c r="C4223" s="8">
        <v>46235</v>
      </c>
      <c r="D4223" t="s">
        <v>321</v>
      </c>
      <c r="E4223" t="s">
        <v>337</v>
      </c>
      <c r="F4223" s="12">
        <v>433413</v>
      </c>
      <c r="G4223" s="13">
        <v>43</v>
      </c>
      <c r="H4223" t="s">
        <v>3547</v>
      </c>
      <c r="I4223" s="8">
        <v>46237</v>
      </c>
      <c r="J4223" t="s">
        <v>2659</v>
      </c>
      <c r="K4223" t="s">
        <v>2660</v>
      </c>
      <c r="L4223" s="13">
        <v>3500</v>
      </c>
      <c r="M4223" t="s">
        <v>2661</v>
      </c>
    </row>
    <row r="4224" spans="1:13">
      <c r="A4224" t="s">
        <v>1772</v>
      </c>
      <c r="B4224" t="s">
        <v>25</v>
      </c>
      <c r="C4224" s="8">
        <v>46240</v>
      </c>
      <c r="D4224" t="s">
        <v>332</v>
      </c>
      <c r="E4224" t="s">
        <v>322</v>
      </c>
      <c r="F4224" s="12">
        <v>239396</v>
      </c>
      <c r="G4224" s="13">
        <v>23</v>
      </c>
      <c r="H4224" t="s">
        <v>2734</v>
      </c>
      <c r="I4224" s="8">
        <v>46236</v>
      </c>
      <c r="J4224" t="s">
        <v>2688</v>
      </c>
      <c r="K4224" t="s">
        <v>2689</v>
      </c>
      <c r="L4224" s="13">
        <v>8000</v>
      </c>
      <c r="M4224" t="s">
        <v>2661</v>
      </c>
    </row>
    <row r="4225" spans="1:13">
      <c r="A4225" t="s">
        <v>1772</v>
      </c>
      <c r="B4225" t="s">
        <v>25</v>
      </c>
      <c r="C4225" s="8">
        <v>46240</v>
      </c>
      <c r="D4225" t="s">
        <v>332</v>
      </c>
      <c r="E4225" t="s">
        <v>322</v>
      </c>
      <c r="F4225" s="12">
        <v>239396</v>
      </c>
      <c r="G4225" s="13">
        <v>23</v>
      </c>
      <c r="H4225" t="s">
        <v>2763</v>
      </c>
      <c r="I4225" s="8">
        <v>46092</v>
      </c>
      <c r="J4225" t="s">
        <v>2692</v>
      </c>
      <c r="K4225" t="s">
        <v>2693</v>
      </c>
      <c r="L4225" s="13">
        <v>10000</v>
      </c>
      <c r="M4225" t="s">
        <v>2661</v>
      </c>
    </row>
    <row r="4226" spans="1:13">
      <c r="A4226" t="s">
        <v>1772</v>
      </c>
      <c r="B4226" t="s">
        <v>25</v>
      </c>
      <c r="C4226" s="8">
        <v>46240</v>
      </c>
      <c r="D4226" t="s">
        <v>332</v>
      </c>
      <c r="E4226" t="s">
        <v>322</v>
      </c>
      <c r="F4226" s="12">
        <v>239396</v>
      </c>
      <c r="G4226" s="13">
        <v>23</v>
      </c>
      <c r="H4226" t="s">
        <v>3079</v>
      </c>
      <c r="I4226" s="8">
        <v>46089</v>
      </c>
      <c r="J4226" t="s">
        <v>2671</v>
      </c>
      <c r="K4226" t="s">
        <v>2672</v>
      </c>
      <c r="L4226" s="13">
        <v>3000</v>
      </c>
      <c r="M4226" t="s">
        <v>2676</v>
      </c>
    </row>
    <row r="4227" spans="1:13">
      <c r="A4227" t="s">
        <v>1772</v>
      </c>
      <c r="B4227" t="s">
        <v>25</v>
      </c>
      <c r="C4227" s="8">
        <v>46240</v>
      </c>
      <c r="D4227" t="s">
        <v>332</v>
      </c>
      <c r="E4227" t="s">
        <v>322</v>
      </c>
      <c r="F4227" s="12">
        <v>239396</v>
      </c>
      <c r="G4227" s="13">
        <v>23</v>
      </c>
      <c r="H4227" t="s">
        <v>3160</v>
      </c>
      <c r="I4227" s="8">
        <v>45931</v>
      </c>
      <c r="J4227" t="s">
        <v>2688</v>
      </c>
      <c r="K4227" t="s">
        <v>2689</v>
      </c>
      <c r="L4227" s="13">
        <v>8000</v>
      </c>
      <c r="M4227" t="s">
        <v>2661</v>
      </c>
    </row>
    <row r="4228" spans="1:13">
      <c r="A4228" t="s">
        <v>1773</v>
      </c>
      <c r="B4228" t="s">
        <v>228</v>
      </c>
      <c r="C4228" s="8">
        <v>46128</v>
      </c>
      <c r="D4228" t="s">
        <v>330</v>
      </c>
      <c r="E4228" t="s">
        <v>325</v>
      </c>
      <c r="F4228" s="12">
        <v>349085</v>
      </c>
      <c r="G4228" s="13">
        <v>34</v>
      </c>
      <c r="H4228" t="s">
        <v>2833</v>
      </c>
      <c r="I4228" s="8">
        <v>46184</v>
      </c>
      <c r="J4228" t="s">
        <v>2671</v>
      </c>
      <c r="K4228" t="s">
        <v>2672</v>
      </c>
      <c r="L4228" s="13">
        <v>3000</v>
      </c>
      <c r="M4228" t="s">
        <v>2676</v>
      </c>
    </row>
    <row r="4229" spans="1:13">
      <c r="A4229" t="s">
        <v>1773</v>
      </c>
      <c r="B4229" t="s">
        <v>228</v>
      </c>
      <c r="C4229" s="8">
        <v>46128</v>
      </c>
      <c r="D4229" t="s">
        <v>330</v>
      </c>
      <c r="E4229" t="s">
        <v>325</v>
      </c>
      <c r="F4229" s="12">
        <v>349085</v>
      </c>
      <c r="G4229" s="13">
        <v>34</v>
      </c>
      <c r="H4229" t="s">
        <v>2985</v>
      </c>
      <c r="I4229" s="8">
        <v>46092</v>
      </c>
      <c r="J4229" t="s">
        <v>2671</v>
      </c>
      <c r="K4229" t="s">
        <v>2672</v>
      </c>
      <c r="L4229" s="13">
        <v>3000</v>
      </c>
      <c r="M4229" t="s">
        <v>2661</v>
      </c>
    </row>
    <row r="4230" spans="1:13">
      <c r="A4230" t="s">
        <v>1773</v>
      </c>
      <c r="B4230" t="s">
        <v>228</v>
      </c>
      <c r="C4230" s="8">
        <v>46128</v>
      </c>
      <c r="D4230" t="s">
        <v>330</v>
      </c>
      <c r="E4230" t="s">
        <v>325</v>
      </c>
      <c r="F4230" s="12">
        <v>349085</v>
      </c>
      <c r="G4230" s="13">
        <v>34</v>
      </c>
      <c r="H4230" t="s">
        <v>3370</v>
      </c>
      <c r="I4230" s="8">
        <v>46191</v>
      </c>
      <c r="J4230" t="s">
        <v>2659</v>
      </c>
      <c r="K4230" t="s">
        <v>2660</v>
      </c>
      <c r="L4230" s="13">
        <v>3500</v>
      </c>
      <c r="M4230" t="s">
        <v>2661</v>
      </c>
    </row>
    <row r="4231" spans="1:13">
      <c r="A4231" t="s">
        <v>1773</v>
      </c>
      <c r="B4231" t="s">
        <v>228</v>
      </c>
      <c r="C4231" s="8">
        <v>46128</v>
      </c>
      <c r="D4231" t="s">
        <v>330</v>
      </c>
      <c r="E4231" t="s">
        <v>325</v>
      </c>
      <c r="F4231" s="12">
        <v>349085</v>
      </c>
      <c r="G4231" s="13">
        <v>34</v>
      </c>
      <c r="H4231" t="s">
        <v>3390</v>
      </c>
      <c r="I4231" s="8">
        <v>46082</v>
      </c>
      <c r="J4231" t="s">
        <v>2668</v>
      </c>
      <c r="K4231" t="s">
        <v>2669</v>
      </c>
      <c r="L4231" s="13">
        <v>4000</v>
      </c>
      <c r="M4231" t="s">
        <v>2661</v>
      </c>
    </row>
    <row r="4232" spans="1:13">
      <c r="A4232" t="s">
        <v>1774</v>
      </c>
      <c r="B4232" t="s">
        <v>284</v>
      </c>
      <c r="C4232" s="8">
        <v>46231</v>
      </c>
      <c r="D4232" t="s">
        <v>342</v>
      </c>
      <c r="E4232" t="s">
        <v>328</v>
      </c>
      <c r="F4232" s="12">
        <v>222976</v>
      </c>
      <c r="G4232" s="13">
        <v>22</v>
      </c>
      <c r="H4232" t="s">
        <v>2713</v>
      </c>
      <c r="I4232" s="8">
        <v>46275</v>
      </c>
      <c r="J4232" t="s">
        <v>2674</v>
      </c>
      <c r="K4232" t="s">
        <v>2675</v>
      </c>
      <c r="L4232" s="13">
        <v>20000</v>
      </c>
      <c r="M4232" t="s">
        <v>2661</v>
      </c>
    </row>
    <row r="4233" spans="1:13">
      <c r="A4233" t="s">
        <v>1774</v>
      </c>
      <c r="B4233" t="s">
        <v>284</v>
      </c>
      <c r="C4233" s="8">
        <v>46231</v>
      </c>
      <c r="D4233" t="s">
        <v>342</v>
      </c>
      <c r="E4233" t="s">
        <v>328</v>
      </c>
      <c r="F4233" s="12">
        <v>222976</v>
      </c>
      <c r="G4233" s="13">
        <v>22</v>
      </c>
      <c r="H4233" t="s">
        <v>2751</v>
      </c>
      <c r="I4233" s="8">
        <v>46170</v>
      </c>
      <c r="J4233" t="s">
        <v>2671</v>
      </c>
      <c r="K4233" t="s">
        <v>2672</v>
      </c>
      <c r="L4233" s="13">
        <v>3000</v>
      </c>
      <c r="M4233" t="s">
        <v>2661</v>
      </c>
    </row>
    <row r="4234" spans="1:13">
      <c r="A4234" t="s">
        <v>1774</v>
      </c>
      <c r="B4234" t="s">
        <v>284</v>
      </c>
      <c r="C4234" s="8">
        <v>46231</v>
      </c>
      <c r="D4234" t="s">
        <v>342</v>
      </c>
      <c r="E4234" t="s">
        <v>328</v>
      </c>
      <c r="F4234" s="12">
        <v>222976</v>
      </c>
      <c r="G4234" s="13">
        <v>22</v>
      </c>
      <c r="H4234" t="s">
        <v>3208</v>
      </c>
      <c r="I4234" s="8">
        <v>45949</v>
      </c>
      <c r="J4234" t="s">
        <v>2674</v>
      </c>
      <c r="K4234" t="s">
        <v>2675</v>
      </c>
      <c r="L4234" s="13">
        <v>20000</v>
      </c>
      <c r="M4234" t="s">
        <v>2661</v>
      </c>
    </row>
    <row r="4235" spans="1:13">
      <c r="A4235" t="s">
        <v>1774</v>
      </c>
      <c r="B4235" t="s">
        <v>284</v>
      </c>
      <c r="C4235" s="8">
        <v>46231</v>
      </c>
      <c r="D4235" t="s">
        <v>342</v>
      </c>
      <c r="E4235" t="s">
        <v>328</v>
      </c>
      <c r="F4235" s="12">
        <v>222976</v>
      </c>
      <c r="G4235" s="13">
        <v>22</v>
      </c>
      <c r="H4235" t="s">
        <v>3259</v>
      </c>
      <c r="I4235" s="8">
        <v>46227</v>
      </c>
      <c r="J4235" t="s">
        <v>2665</v>
      </c>
      <c r="K4235" t="s">
        <v>2666</v>
      </c>
      <c r="L4235" s="13">
        <v>2500</v>
      </c>
      <c r="M4235" t="s">
        <v>2661</v>
      </c>
    </row>
    <row r="4236" spans="1:13">
      <c r="A4236" t="s">
        <v>1774</v>
      </c>
      <c r="B4236" t="s">
        <v>284</v>
      </c>
      <c r="C4236" s="8">
        <v>46231</v>
      </c>
      <c r="D4236" t="s">
        <v>342</v>
      </c>
      <c r="E4236" t="s">
        <v>328</v>
      </c>
      <c r="F4236" s="12">
        <v>222976</v>
      </c>
      <c r="G4236" s="13">
        <v>22</v>
      </c>
      <c r="H4236" t="s">
        <v>3404</v>
      </c>
      <c r="I4236" s="8">
        <v>46114</v>
      </c>
      <c r="J4236" t="s">
        <v>2688</v>
      </c>
      <c r="K4236" t="s">
        <v>2689</v>
      </c>
      <c r="L4236" s="13">
        <v>8000</v>
      </c>
      <c r="M4236" t="s">
        <v>2661</v>
      </c>
    </row>
    <row r="4237" spans="1:13">
      <c r="A4237" t="s">
        <v>1775</v>
      </c>
      <c r="B4237" t="s">
        <v>143</v>
      </c>
      <c r="C4237" s="8">
        <v>46162</v>
      </c>
      <c r="D4237" t="s">
        <v>324</v>
      </c>
      <c r="E4237" t="s">
        <v>328</v>
      </c>
      <c r="F4237" s="12">
        <v>330205</v>
      </c>
      <c r="G4237" s="13">
        <v>33</v>
      </c>
      <c r="H4237" t="s">
        <v>3050</v>
      </c>
      <c r="I4237" s="8">
        <v>46144</v>
      </c>
      <c r="J4237" t="s">
        <v>2663</v>
      </c>
      <c r="K4237" t="s">
        <v>3630</v>
      </c>
      <c r="L4237" s="13">
        <v>1500</v>
      </c>
      <c r="M4237" t="s">
        <v>2661</v>
      </c>
    </row>
    <row r="4238" spans="1:13">
      <c r="A4238" t="s">
        <v>1775</v>
      </c>
      <c r="B4238" t="s">
        <v>143</v>
      </c>
      <c r="C4238" s="8">
        <v>46162</v>
      </c>
      <c r="D4238" t="s">
        <v>324</v>
      </c>
      <c r="E4238" t="s">
        <v>328</v>
      </c>
      <c r="F4238" s="12">
        <v>330205</v>
      </c>
      <c r="G4238" s="13">
        <v>33</v>
      </c>
      <c r="H4238" t="s">
        <v>3097</v>
      </c>
      <c r="I4238" s="8">
        <v>46260</v>
      </c>
      <c r="J4238" t="s">
        <v>2688</v>
      </c>
      <c r="K4238" t="s">
        <v>2689</v>
      </c>
      <c r="L4238" s="13">
        <v>8000</v>
      </c>
      <c r="M4238" t="s">
        <v>2676</v>
      </c>
    </row>
    <row r="4239" spans="1:13">
      <c r="A4239" t="s">
        <v>1775</v>
      </c>
      <c r="B4239" t="s">
        <v>143</v>
      </c>
      <c r="C4239" s="8">
        <v>46162</v>
      </c>
      <c r="D4239" t="s">
        <v>324</v>
      </c>
      <c r="E4239" t="s">
        <v>328</v>
      </c>
      <c r="F4239" s="12">
        <v>330205</v>
      </c>
      <c r="G4239" s="13">
        <v>33</v>
      </c>
      <c r="H4239" t="s">
        <v>3107</v>
      </c>
      <c r="I4239" s="8">
        <v>46056</v>
      </c>
      <c r="J4239" t="s">
        <v>2663</v>
      </c>
      <c r="K4239" t="s">
        <v>3630</v>
      </c>
      <c r="L4239" s="13">
        <v>1500</v>
      </c>
      <c r="M4239" t="s">
        <v>2676</v>
      </c>
    </row>
    <row r="4240" spans="1:13">
      <c r="A4240" t="s">
        <v>1775</v>
      </c>
      <c r="B4240" t="s">
        <v>143</v>
      </c>
      <c r="C4240" s="8">
        <v>46162</v>
      </c>
      <c r="D4240" t="s">
        <v>324</v>
      </c>
      <c r="E4240" t="s">
        <v>328</v>
      </c>
      <c r="F4240" s="12">
        <v>330205</v>
      </c>
      <c r="G4240" s="13">
        <v>33</v>
      </c>
      <c r="H4240" t="s">
        <v>3131</v>
      </c>
      <c r="I4240" s="8">
        <v>46096</v>
      </c>
      <c r="J4240" t="s">
        <v>2688</v>
      </c>
      <c r="K4240" t="s">
        <v>2689</v>
      </c>
      <c r="L4240" s="13">
        <v>8000</v>
      </c>
      <c r="M4240" t="s">
        <v>2661</v>
      </c>
    </row>
    <row r="4241" spans="1:13">
      <c r="A4241" t="s">
        <v>1775</v>
      </c>
      <c r="B4241" t="s">
        <v>143</v>
      </c>
      <c r="C4241" s="8">
        <v>46162</v>
      </c>
      <c r="D4241" t="s">
        <v>324</v>
      </c>
      <c r="E4241" t="s">
        <v>328</v>
      </c>
      <c r="F4241" s="12">
        <v>330205</v>
      </c>
      <c r="G4241" s="13">
        <v>33</v>
      </c>
      <c r="H4241" t="s">
        <v>3414</v>
      </c>
      <c r="I4241" s="8">
        <v>46059</v>
      </c>
      <c r="J4241" t="s">
        <v>2674</v>
      </c>
      <c r="K4241" t="s">
        <v>2675</v>
      </c>
      <c r="L4241" s="13">
        <v>20000</v>
      </c>
      <c r="M4241" t="s">
        <v>2661</v>
      </c>
    </row>
    <row r="4242" spans="1:13">
      <c r="A4242" t="s">
        <v>1776</v>
      </c>
      <c r="B4242" t="s">
        <v>175</v>
      </c>
      <c r="C4242" s="8">
        <v>46093</v>
      </c>
      <c r="D4242" t="s">
        <v>321</v>
      </c>
      <c r="E4242" t="s">
        <v>325</v>
      </c>
      <c r="F4242" s="12">
        <v>257418</v>
      </c>
      <c r="G4242" s="13">
        <v>25</v>
      </c>
      <c r="H4242" t="s">
        <v>2880</v>
      </c>
      <c r="I4242" s="8">
        <v>45944</v>
      </c>
      <c r="J4242" t="s">
        <v>2674</v>
      </c>
      <c r="K4242" t="s">
        <v>2675</v>
      </c>
      <c r="L4242" s="13">
        <v>20000</v>
      </c>
      <c r="M4242" t="s">
        <v>2661</v>
      </c>
    </row>
    <row r="4243" spans="1:13">
      <c r="A4243" t="s">
        <v>1776</v>
      </c>
      <c r="B4243" t="s">
        <v>175</v>
      </c>
      <c r="C4243" s="8">
        <v>46093</v>
      </c>
      <c r="D4243" t="s">
        <v>321</v>
      </c>
      <c r="E4243" t="s">
        <v>325</v>
      </c>
      <c r="F4243" s="12">
        <v>257418</v>
      </c>
      <c r="G4243" s="13">
        <v>25</v>
      </c>
      <c r="H4243" t="s">
        <v>2888</v>
      </c>
      <c r="I4243" s="8">
        <v>45990</v>
      </c>
      <c r="J4243" t="s">
        <v>2663</v>
      </c>
      <c r="K4243" t="s">
        <v>3630</v>
      </c>
      <c r="L4243" s="13">
        <v>1500</v>
      </c>
      <c r="M4243" t="s">
        <v>2661</v>
      </c>
    </row>
    <row r="4244" spans="1:13">
      <c r="A4244" t="s">
        <v>1777</v>
      </c>
      <c r="B4244" t="s">
        <v>79</v>
      </c>
      <c r="C4244" s="8">
        <v>46289</v>
      </c>
      <c r="D4244" t="s">
        <v>342</v>
      </c>
      <c r="E4244" t="s">
        <v>339</v>
      </c>
      <c r="F4244" s="12">
        <v>245084</v>
      </c>
      <c r="G4244" s="13">
        <v>24</v>
      </c>
      <c r="H4244" t="s">
        <v>3501</v>
      </c>
      <c r="I4244" s="8">
        <v>46288</v>
      </c>
      <c r="J4244" t="s">
        <v>2668</v>
      </c>
      <c r="K4244" t="s">
        <v>2669</v>
      </c>
      <c r="L4244" s="13">
        <v>4000</v>
      </c>
      <c r="M4244" t="s">
        <v>2676</v>
      </c>
    </row>
    <row r="4245" spans="1:13">
      <c r="A4245" t="s">
        <v>1778</v>
      </c>
      <c r="B4245" t="s">
        <v>277</v>
      </c>
      <c r="C4245" s="8">
        <v>46166</v>
      </c>
      <c r="D4245" t="s">
        <v>344</v>
      </c>
      <c r="E4245" t="s">
        <v>325</v>
      </c>
      <c r="F4245" s="12">
        <v>202507</v>
      </c>
      <c r="G4245" s="13">
        <v>20</v>
      </c>
      <c r="H4245" t="s">
        <v>2843</v>
      </c>
      <c r="I4245" s="8">
        <v>46213</v>
      </c>
      <c r="J4245" t="s">
        <v>2682</v>
      </c>
      <c r="K4245" t="s">
        <v>2683</v>
      </c>
      <c r="L4245" s="13">
        <v>6000</v>
      </c>
      <c r="M4245" t="s">
        <v>2661</v>
      </c>
    </row>
    <row r="4246" spans="1:13">
      <c r="A4246" t="s">
        <v>1778</v>
      </c>
      <c r="B4246" t="s">
        <v>277</v>
      </c>
      <c r="C4246" s="8">
        <v>46166</v>
      </c>
      <c r="D4246" t="s">
        <v>344</v>
      </c>
      <c r="E4246" t="s">
        <v>325</v>
      </c>
      <c r="F4246" s="12">
        <v>202507</v>
      </c>
      <c r="G4246" s="13">
        <v>20</v>
      </c>
      <c r="H4246" t="s">
        <v>2957</v>
      </c>
      <c r="I4246" s="8">
        <v>45984</v>
      </c>
      <c r="J4246" t="s">
        <v>2671</v>
      </c>
      <c r="K4246" t="s">
        <v>2672</v>
      </c>
      <c r="L4246" s="13">
        <v>3000</v>
      </c>
      <c r="M4246" t="s">
        <v>2661</v>
      </c>
    </row>
    <row r="4247" spans="1:13">
      <c r="A4247" t="s">
        <v>1778</v>
      </c>
      <c r="B4247" t="s">
        <v>277</v>
      </c>
      <c r="C4247" s="8">
        <v>46166</v>
      </c>
      <c r="D4247" t="s">
        <v>344</v>
      </c>
      <c r="E4247" t="s">
        <v>325</v>
      </c>
      <c r="F4247" s="12">
        <v>202507</v>
      </c>
      <c r="G4247" s="13">
        <v>20</v>
      </c>
      <c r="H4247" t="s">
        <v>2978</v>
      </c>
      <c r="I4247" s="8">
        <v>46142</v>
      </c>
      <c r="J4247" t="s">
        <v>2659</v>
      </c>
      <c r="K4247" t="s">
        <v>2660</v>
      </c>
      <c r="L4247" s="13">
        <v>3500</v>
      </c>
      <c r="M4247" t="s">
        <v>2661</v>
      </c>
    </row>
    <row r="4248" spans="1:13">
      <c r="A4248" t="s">
        <v>1778</v>
      </c>
      <c r="B4248" t="s">
        <v>277</v>
      </c>
      <c r="C4248" s="8">
        <v>46166</v>
      </c>
      <c r="D4248" t="s">
        <v>344</v>
      </c>
      <c r="E4248" t="s">
        <v>325</v>
      </c>
      <c r="F4248" s="12">
        <v>202507</v>
      </c>
      <c r="G4248" s="13">
        <v>20</v>
      </c>
      <c r="H4248" t="s">
        <v>3059</v>
      </c>
      <c r="I4248" s="8">
        <v>46217</v>
      </c>
      <c r="J4248" t="s">
        <v>2659</v>
      </c>
      <c r="K4248" t="s">
        <v>2660</v>
      </c>
      <c r="L4248" s="13">
        <v>3500</v>
      </c>
      <c r="M4248" t="s">
        <v>2661</v>
      </c>
    </row>
    <row r="4249" spans="1:13">
      <c r="A4249" t="s">
        <v>1778</v>
      </c>
      <c r="B4249" t="s">
        <v>277</v>
      </c>
      <c r="C4249" s="8">
        <v>46166</v>
      </c>
      <c r="D4249" t="s">
        <v>344</v>
      </c>
      <c r="E4249" t="s">
        <v>325</v>
      </c>
      <c r="F4249" s="12">
        <v>202507</v>
      </c>
      <c r="G4249" s="13">
        <v>20</v>
      </c>
      <c r="H4249" t="s">
        <v>3102</v>
      </c>
      <c r="I4249" s="8">
        <v>46027</v>
      </c>
      <c r="J4249" t="s">
        <v>2692</v>
      </c>
      <c r="K4249" t="s">
        <v>2693</v>
      </c>
      <c r="L4249" s="13">
        <v>10000</v>
      </c>
      <c r="M4249" t="s">
        <v>2661</v>
      </c>
    </row>
    <row r="4250" spans="1:13">
      <c r="A4250" t="s">
        <v>1778</v>
      </c>
      <c r="B4250" t="s">
        <v>277</v>
      </c>
      <c r="C4250" s="8">
        <v>46166</v>
      </c>
      <c r="D4250" t="s">
        <v>344</v>
      </c>
      <c r="E4250" t="s">
        <v>325</v>
      </c>
      <c r="F4250" s="12">
        <v>202507</v>
      </c>
      <c r="G4250" s="13">
        <v>20</v>
      </c>
      <c r="H4250" t="s">
        <v>3553</v>
      </c>
      <c r="I4250" s="8">
        <v>45945</v>
      </c>
      <c r="J4250" t="s">
        <v>2685</v>
      </c>
      <c r="K4250" t="s">
        <v>2686</v>
      </c>
      <c r="L4250" s="13">
        <v>5000</v>
      </c>
      <c r="M4250" t="s">
        <v>2661</v>
      </c>
    </row>
    <row r="4251" spans="1:13">
      <c r="A4251" t="s">
        <v>1778</v>
      </c>
      <c r="B4251" t="s">
        <v>277</v>
      </c>
      <c r="C4251" s="8">
        <v>46166</v>
      </c>
      <c r="D4251" t="s">
        <v>344</v>
      </c>
      <c r="E4251" t="s">
        <v>325</v>
      </c>
      <c r="F4251" s="12">
        <v>202507</v>
      </c>
      <c r="G4251" s="13">
        <v>20</v>
      </c>
      <c r="H4251" t="s">
        <v>3560</v>
      </c>
      <c r="I4251" s="8">
        <v>45986</v>
      </c>
      <c r="J4251" t="s">
        <v>2685</v>
      </c>
      <c r="K4251" t="s">
        <v>2686</v>
      </c>
      <c r="L4251" s="13">
        <v>5000</v>
      </c>
      <c r="M4251" t="s">
        <v>2661</v>
      </c>
    </row>
    <row r="4252" spans="1:13">
      <c r="A4252" t="s">
        <v>1779</v>
      </c>
      <c r="B4252" t="s">
        <v>242</v>
      </c>
      <c r="C4252" s="8">
        <v>46275</v>
      </c>
      <c r="D4252" t="s">
        <v>321</v>
      </c>
      <c r="E4252" t="s">
        <v>325</v>
      </c>
      <c r="F4252" s="12">
        <v>105873</v>
      </c>
      <c r="G4252" s="13">
        <v>10</v>
      </c>
      <c r="H4252" t="s">
        <v>3385</v>
      </c>
      <c r="I4252" s="8">
        <v>46148</v>
      </c>
      <c r="J4252" t="s">
        <v>2663</v>
      </c>
      <c r="K4252" t="s">
        <v>3630</v>
      </c>
      <c r="L4252" s="13">
        <v>1500</v>
      </c>
      <c r="M4252" t="s">
        <v>2661</v>
      </c>
    </row>
    <row r="4253" spans="1:13">
      <c r="A4253" t="s">
        <v>1780</v>
      </c>
      <c r="B4253" t="s">
        <v>206</v>
      </c>
      <c r="C4253" s="8">
        <v>45995</v>
      </c>
      <c r="D4253" t="s">
        <v>321</v>
      </c>
      <c r="E4253" t="s">
        <v>337</v>
      </c>
      <c r="F4253" s="12">
        <v>176517</v>
      </c>
      <c r="G4253" s="13">
        <v>17</v>
      </c>
      <c r="H4253" t="s">
        <v>2868</v>
      </c>
      <c r="I4253" s="8">
        <v>45937</v>
      </c>
      <c r="J4253" t="s">
        <v>2688</v>
      </c>
      <c r="K4253" t="s">
        <v>2689</v>
      </c>
      <c r="L4253" s="13">
        <v>8000</v>
      </c>
      <c r="M4253" t="s">
        <v>2661</v>
      </c>
    </row>
    <row r="4254" spans="1:13">
      <c r="A4254" t="s">
        <v>1780</v>
      </c>
      <c r="B4254" t="s">
        <v>206</v>
      </c>
      <c r="C4254" s="8">
        <v>45995</v>
      </c>
      <c r="D4254" t="s">
        <v>321</v>
      </c>
      <c r="E4254" t="s">
        <v>337</v>
      </c>
      <c r="F4254" s="12">
        <v>176517</v>
      </c>
      <c r="G4254" s="13">
        <v>17</v>
      </c>
      <c r="H4254" t="s">
        <v>2915</v>
      </c>
      <c r="I4254" s="8">
        <v>45941</v>
      </c>
      <c r="J4254" t="s">
        <v>2659</v>
      </c>
      <c r="K4254" t="s">
        <v>2660</v>
      </c>
      <c r="L4254" s="13">
        <v>3500</v>
      </c>
      <c r="M4254" t="s">
        <v>2661</v>
      </c>
    </row>
    <row r="4255" spans="1:13">
      <c r="A4255" t="s">
        <v>1780</v>
      </c>
      <c r="B4255" t="s">
        <v>206</v>
      </c>
      <c r="C4255" s="8">
        <v>45995</v>
      </c>
      <c r="D4255" t="s">
        <v>321</v>
      </c>
      <c r="E4255" t="s">
        <v>337</v>
      </c>
      <c r="F4255" s="12">
        <v>176517</v>
      </c>
      <c r="G4255" s="13">
        <v>17</v>
      </c>
      <c r="H4255" t="s">
        <v>3362</v>
      </c>
      <c r="I4255" s="8">
        <v>46007</v>
      </c>
      <c r="J4255" t="s">
        <v>2685</v>
      </c>
      <c r="K4255" t="s">
        <v>2686</v>
      </c>
      <c r="L4255" s="13">
        <v>5000</v>
      </c>
      <c r="M4255" t="s">
        <v>2661</v>
      </c>
    </row>
    <row r="4256" spans="1:13">
      <c r="A4256" t="s">
        <v>1781</v>
      </c>
      <c r="B4256" t="s">
        <v>76</v>
      </c>
      <c r="C4256" s="8">
        <v>45991</v>
      </c>
      <c r="D4256" t="s">
        <v>324</v>
      </c>
      <c r="E4256" t="s">
        <v>334</v>
      </c>
      <c r="F4256" s="12">
        <v>167515</v>
      </c>
      <c r="G4256" s="13">
        <v>16</v>
      </c>
      <c r="H4256" t="s">
        <v>3181</v>
      </c>
      <c r="I4256" s="8">
        <v>46166</v>
      </c>
      <c r="J4256" t="s">
        <v>2674</v>
      </c>
      <c r="K4256" t="s">
        <v>2675</v>
      </c>
      <c r="L4256" s="13">
        <v>20000</v>
      </c>
      <c r="M4256" t="s">
        <v>2676</v>
      </c>
    </row>
    <row r="4257" spans="1:13">
      <c r="A4257" t="s">
        <v>1781</v>
      </c>
      <c r="B4257" t="s">
        <v>76</v>
      </c>
      <c r="C4257" s="8">
        <v>45991</v>
      </c>
      <c r="D4257" t="s">
        <v>324</v>
      </c>
      <c r="E4257" t="s">
        <v>334</v>
      </c>
      <c r="F4257" s="12">
        <v>167515</v>
      </c>
      <c r="G4257" s="13">
        <v>16</v>
      </c>
      <c r="H4257" t="s">
        <v>3261</v>
      </c>
      <c r="I4257" s="8">
        <v>45948</v>
      </c>
      <c r="J4257" t="s">
        <v>2665</v>
      </c>
      <c r="K4257" t="s">
        <v>2666</v>
      </c>
      <c r="L4257" s="13">
        <v>2500</v>
      </c>
      <c r="M4257" t="s">
        <v>2661</v>
      </c>
    </row>
    <row r="4258" spans="1:13">
      <c r="A4258" t="s">
        <v>1781</v>
      </c>
      <c r="B4258" t="s">
        <v>76</v>
      </c>
      <c r="C4258" s="8">
        <v>45991</v>
      </c>
      <c r="D4258" t="s">
        <v>324</v>
      </c>
      <c r="E4258" t="s">
        <v>334</v>
      </c>
      <c r="F4258" s="12">
        <v>167515</v>
      </c>
      <c r="G4258" s="13">
        <v>16</v>
      </c>
      <c r="H4258" t="s">
        <v>3346</v>
      </c>
      <c r="I4258" s="8">
        <v>46125</v>
      </c>
      <c r="J4258" t="s">
        <v>2671</v>
      </c>
      <c r="K4258" t="s">
        <v>2672</v>
      </c>
      <c r="L4258" s="13">
        <v>3000</v>
      </c>
      <c r="M4258" t="s">
        <v>2661</v>
      </c>
    </row>
    <row r="4259" spans="1:13">
      <c r="A4259" t="s">
        <v>1781</v>
      </c>
      <c r="B4259" t="s">
        <v>76</v>
      </c>
      <c r="C4259" s="8">
        <v>45991</v>
      </c>
      <c r="D4259" t="s">
        <v>324</v>
      </c>
      <c r="E4259" t="s">
        <v>334</v>
      </c>
      <c r="F4259" s="12">
        <v>167515</v>
      </c>
      <c r="G4259" s="13">
        <v>16</v>
      </c>
      <c r="H4259" t="s">
        <v>3451</v>
      </c>
      <c r="I4259" s="8">
        <v>46131</v>
      </c>
      <c r="J4259" t="s">
        <v>2671</v>
      </c>
      <c r="K4259" t="s">
        <v>2672</v>
      </c>
      <c r="L4259" s="13">
        <v>3000</v>
      </c>
      <c r="M4259" t="s">
        <v>2661</v>
      </c>
    </row>
    <row r="4260" spans="1:13">
      <c r="A4260" t="s">
        <v>1781</v>
      </c>
      <c r="B4260" t="s">
        <v>76</v>
      </c>
      <c r="C4260" s="8">
        <v>45991</v>
      </c>
      <c r="D4260" t="s">
        <v>324</v>
      </c>
      <c r="E4260" t="s">
        <v>334</v>
      </c>
      <c r="F4260" s="12">
        <v>167515</v>
      </c>
      <c r="G4260" s="13">
        <v>16</v>
      </c>
      <c r="H4260" t="s">
        <v>3505</v>
      </c>
      <c r="I4260" s="8">
        <v>46071</v>
      </c>
      <c r="J4260" t="s">
        <v>2692</v>
      </c>
      <c r="K4260" t="s">
        <v>2693</v>
      </c>
      <c r="L4260" s="13">
        <v>10000</v>
      </c>
      <c r="M4260" t="s">
        <v>2676</v>
      </c>
    </row>
    <row r="4261" spans="1:13">
      <c r="A4261" t="s">
        <v>1782</v>
      </c>
      <c r="B4261" t="s">
        <v>267</v>
      </c>
      <c r="C4261" s="8">
        <v>45992</v>
      </c>
      <c r="D4261" t="s">
        <v>350</v>
      </c>
      <c r="E4261" t="s">
        <v>334</v>
      </c>
      <c r="F4261" s="12">
        <v>192098</v>
      </c>
      <c r="G4261" s="13">
        <v>19</v>
      </c>
      <c r="H4261" t="s">
        <v>3119</v>
      </c>
      <c r="I4261" s="8">
        <v>46208</v>
      </c>
      <c r="J4261" t="s">
        <v>2671</v>
      </c>
      <c r="K4261" t="s">
        <v>2672</v>
      </c>
      <c r="L4261" s="13">
        <v>3000</v>
      </c>
      <c r="M4261" t="s">
        <v>2661</v>
      </c>
    </row>
    <row r="4262" spans="1:13">
      <c r="A4262" t="s">
        <v>1782</v>
      </c>
      <c r="B4262" t="s">
        <v>267</v>
      </c>
      <c r="C4262" s="8">
        <v>45992</v>
      </c>
      <c r="D4262" t="s">
        <v>350</v>
      </c>
      <c r="E4262" t="s">
        <v>334</v>
      </c>
      <c r="F4262" s="12">
        <v>192098</v>
      </c>
      <c r="G4262" s="13">
        <v>19</v>
      </c>
      <c r="H4262" t="s">
        <v>3125</v>
      </c>
      <c r="I4262" s="8">
        <v>45961</v>
      </c>
      <c r="J4262" t="s">
        <v>2685</v>
      </c>
      <c r="K4262" t="s">
        <v>2686</v>
      </c>
      <c r="L4262" s="13">
        <v>5000</v>
      </c>
      <c r="M4262" t="s">
        <v>2676</v>
      </c>
    </row>
    <row r="4263" spans="1:13">
      <c r="A4263" t="s">
        <v>1782</v>
      </c>
      <c r="B4263" t="s">
        <v>267</v>
      </c>
      <c r="C4263" s="8">
        <v>45992</v>
      </c>
      <c r="D4263" t="s">
        <v>350</v>
      </c>
      <c r="E4263" t="s">
        <v>334</v>
      </c>
      <c r="F4263" s="12">
        <v>192098</v>
      </c>
      <c r="G4263" s="13">
        <v>19</v>
      </c>
      <c r="H4263" t="s">
        <v>3307</v>
      </c>
      <c r="I4263" s="8">
        <v>45958</v>
      </c>
      <c r="J4263" t="s">
        <v>2674</v>
      </c>
      <c r="K4263" t="s">
        <v>2675</v>
      </c>
      <c r="L4263" s="13">
        <v>20000</v>
      </c>
      <c r="M4263" t="s">
        <v>2661</v>
      </c>
    </row>
    <row r="4264" spans="1:13">
      <c r="A4264" t="s">
        <v>1782</v>
      </c>
      <c r="B4264" t="s">
        <v>267</v>
      </c>
      <c r="C4264" s="8">
        <v>45992</v>
      </c>
      <c r="D4264" t="s">
        <v>350</v>
      </c>
      <c r="E4264" t="s">
        <v>334</v>
      </c>
      <c r="F4264" s="12">
        <v>192098</v>
      </c>
      <c r="G4264" s="13">
        <v>19</v>
      </c>
      <c r="H4264" t="s">
        <v>3449</v>
      </c>
      <c r="I4264" s="8">
        <v>46253</v>
      </c>
      <c r="J4264" t="s">
        <v>2668</v>
      </c>
      <c r="K4264" t="s">
        <v>2669</v>
      </c>
      <c r="L4264" s="13">
        <v>4000</v>
      </c>
      <c r="M4264" t="s">
        <v>2676</v>
      </c>
    </row>
    <row r="4265" spans="1:13">
      <c r="A4265" t="s">
        <v>1783</v>
      </c>
      <c r="B4265" t="s">
        <v>144</v>
      </c>
      <c r="C4265" s="8">
        <v>46033</v>
      </c>
      <c r="D4265" t="s">
        <v>327</v>
      </c>
      <c r="E4265" t="s">
        <v>322</v>
      </c>
      <c r="F4265" s="12">
        <v>258007</v>
      </c>
      <c r="G4265" s="13">
        <v>25</v>
      </c>
      <c r="H4265" t="s">
        <v>3481</v>
      </c>
      <c r="I4265" s="8">
        <v>46225</v>
      </c>
      <c r="J4265" t="s">
        <v>2682</v>
      </c>
      <c r="K4265" t="s">
        <v>2683</v>
      </c>
      <c r="L4265" s="13">
        <v>6000</v>
      </c>
      <c r="M4265" t="s">
        <v>2661</v>
      </c>
    </row>
    <row r="4266" spans="1:13">
      <c r="A4266" t="s">
        <v>1783</v>
      </c>
      <c r="B4266" t="s">
        <v>144</v>
      </c>
      <c r="C4266" s="8">
        <v>46033</v>
      </c>
      <c r="D4266" t="s">
        <v>327</v>
      </c>
      <c r="E4266" t="s">
        <v>322</v>
      </c>
      <c r="F4266" s="12">
        <v>258007</v>
      </c>
      <c r="G4266" s="13">
        <v>25</v>
      </c>
      <c r="H4266" t="s">
        <v>3512</v>
      </c>
      <c r="I4266" s="8">
        <v>46097</v>
      </c>
      <c r="J4266" t="s">
        <v>2685</v>
      </c>
      <c r="K4266" t="s">
        <v>2686</v>
      </c>
      <c r="L4266" s="13">
        <v>5000</v>
      </c>
      <c r="M4266" t="s">
        <v>2661</v>
      </c>
    </row>
    <row r="4267" spans="1:13">
      <c r="A4267" t="s">
        <v>1783</v>
      </c>
      <c r="B4267" t="s">
        <v>144</v>
      </c>
      <c r="C4267" s="8">
        <v>46033</v>
      </c>
      <c r="D4267" t="s">
        <v>327</v>
      </c>
      <c r="E4267" t="s">
        <v>322</v>
      </c>
      <c r="F4267" s="12">
        <v>258007</v>
      </c>
      <c r="G4267" s="13">
        <v>25</v>
      </c>
      <c r="H4267" t="s">
        <v>3542</v>
      </c>
      <c r="I4267" s="8">
        <v>46287</v>
      </c>
      <c r="J4267" t="s">
        <v>2659</v>
      </c>
      <c r="K4267" t="s">
        <v>2660</v>
      </c>
      <c r="L4267" s="13">
        <v>3500</v>
      </c>
      <c r="M4267" t="s">
        <v>2661</v>
      </c>
    </row>
    <row r="4268" spans="1:13">
      <c r="A4268" t="s">
        <v>1784</v>
      </c>
      <c r="B4268" t="s">
        <v>168</v>
      </c>
      <c r="C4268" s="8">
        <v>46148</v>
      </c>
      <c r="D4268" t="s">
        <v>342</v>
      </c>
      <c r="E4268" t="s">
        <v>328</v>
      </c>
      <c r="F4268" s="12">
        <v>263670</v>
      </c>
      <c r="G4268" s="13">
        <v>26</v>
      </c>
      <c r="H4268" t="s">
        <v>3128</v>
      </c>
      <c r="I4268" s="8">
        <v>46083</v>
      </c>
      <c r="J4268" t="s">
        <v>2674</v>
      </c>
      <c r="K4268" t="s">
        <v>2675</v>
      </c>
      <c r="L4268" s="13">
        <v>20000</v>
      </c>
      <c r="M4268" t="s">
        <v>2661</v>
      </c>
    </row>
    <row r="4269" spans="1:13">
      <c r="A4269" t="s">
        <v>1785</v>
      </c>
      <c r="B4269" t="s">
        <v>196</v>
      </c>
      <c r="C4269" s="8">
        <v>46157</v>
      </c>
      <c r="D4269" t="s">
        <v>332</v>
      </c>
      <c r="E4269" t="s">
        <v>339</v>
      </c>
      <c r="F4269" s="12">
        <v>100280</v>
      </c>
      <c r="G4269" s="13">
        <v>10</v>
      </c>
      <c r="H4269" t="s">
        <v>3132</v>
      </c>
      <c r="I4269" s="8">
        <v>46123</v>
      </c>
      <c r="J4269" t="s">
        <v>2668</v>
      </c>
      <c r="K4269" t="s">
        <v>2669</v>
      </c>
      <c r="L4269" s="13">
        <v>4000</v>
      </c>
      <c r="M4269" t="s">
        <v>2661</v>
      </c>
    </row>
    <row r="4270" spans="1:13">
      <c r="A4270" t="s">
        <v>1785</v>
      </c>
      <c r="B4270" t="s">
        <v>196</v>
      </c>
      <c r="C4270" s="8">
        <v>46157</v>
      </c>
      <c r="D4270" t="s">
        <v>332</v>
      </c>
      <c r="E4270" t="s">
        <v>339</v>
      </c>
      <c r="F4270" s="12">
        <v>100280</v>
      </c>
      <c r="G4270" s="13">
        <v>10</v>
      </c>
      <c r="H4270" t="s">
        <v>3338</v>
      </c>
      <c r="I4270" s="8">
        <v>46020</v>
      </c>
      <c r="J4270" t="s">
        <v>2692</v>
      </c>
      <c r="K4270" t="s">
        <v>2693</v>
      </c>
      <c r="L4270" s="13">
        <v>10000</v>
      </c>
      <c r="M4270" t="s">
        <v>2661</v>
      </c>
    </row>
    <row r="4271" spans="1:13">
      <c r="A4271" t="s">
        <v>1785</v>
      </c>
      <c r="B4271" t="s">
        <v>196</v>
      </c>
      <c r="C4271" s="8">
        <v>46157</v>
      </c>
      <c r="D4271" t="s">
        <v>332</v>
      </c>
      <c r="E4271" t="s">
        <v>339</v>
      </c>
      <c r="F4271" s="12">
        <v>100280</v>
      </c>
      <c r="G4271" s="13">
        <v>10</v>
      </c>
      <c r="H4271" t="s">
        <v>3502</v>
      </c>
      <c r="I4271" s="8">
        <v>45979</v>
      </c>
      <c r="J4271" t="s">
        <v>2692</v>
      </c>
      <c r="K4271" t="s">
        <v>2693</v>
      </c>
      <c r="L4271" s="13">
        <v>10000</v>
      </c>
      <c r="M4271" t="s">
        <v>2661</v>
      </c>
    </row>
    <row r="4272" spans="1:13">
      <c r="A4272" t="s">
        <v>1786</v>
      </c>
      <c r="B4272" t="s">
        <v>115</v>
      </c>
      <c r="C4272" s="8">
        <v>46226</v>
      </c>
      <c r="D4272" t="s">
        <v>342</v>
      </c>
      <c r="E4272" t="s">
        <v>325</v>
      </c>
      <c r="F4272" s="12">
        <v>522897</v>
      </c>
      <c r="G4272" s="13">
        <v>52</v>
      </c>
      <c r="H4272" t="s">
        <v>2708</v>
      </c>
      <c r="I4272" s="8">
        <v>46007</v>
      </c>
      <c r="J4272" t="s">
        <v>2663</v>
      </c>
      <c r="K4272" t="s">
        <v>3630</v>
      </c>
      <c r="L4272" s="13">
        <v>1500</v>
      </c>
      <c r="M4272" t="s">
        <v>2661</v>
      </c>
    </row>
    <row r="4273" spans="1:13">
      <c r="A4273" t="s">
        <v>1786</v>
      </c>
      <c r="B4273" t="s">
        <v>115</v>
      </c>
      <c r="C4273" s="8">
        <v>46226</v>
      </c>
      <c r="D4273" t="s">
        <v>342</v>
      </c>
      <c r="E4273" t="s">
        <v>325</v>
      </c>
      <c r="F4273" s="12">
        <v>522897</v>
      </c>
      <c r="G4273" s="13">
        <v>52</v>
      </c>
      <c r="H4273" t="s">
        <v>3206</v>
      </c>
      <c r="I4273" s="8">
        <v>46044</v>
      </c>
      <c r="J4273" t="s">
        <v>2659</v>
      </c>
      <c r="K4273" t="s">
        <v>2660</v>
      </c>
      <c r="L4273" s="13">
        <v>3500</v>
      </c>
      <c r="M4273" t="s">
        <v>2661</v>
      </c>
    </row>
    <row r="4274" spans="1:13">
      <c r="A4274" t="s">
        <v>1786</v>
      </c>
      <c r="B4274" t="s">
        <v>115</v>
      </c>
      <c r="C4274" s="8">
        <v>46226</v>
      </c>
      <c r="D4274" t="s">
        <v>342</v>
      </c>
      <c r="E4274" t="s">
        <v>325</v>
      </c>
      <c r="F4274" s="12">
        <v>522897</v>
      </c>
      <c r="G4274" s="13">
        <v>52</v>
      </c>
      <c r="H4274" t="s">
        <v>3437</v>
      </c>
      <c r="I4274" s="8">
        <v>45996</v>
      </c>
      <c r="J4274" t="s">
        <v>2668</v>
      </c>
      <c r="K4274" t="s">
        <v>2669</v>
      </c>
      <c r="L4274" s="13">
        <v>4000</v>
      </c>
      <c r="M4274" t="s">
        <v>2661</v>
      </c>
    </row>
    <row r="4275" spans="1:13">
      <c r="A4275" t="s">
        <v>1787</v>
      </c>
      <c r="B4275" t="s">
        <v>97</v>
      </c>
      <c r="C4275" s="8">
        <v>46239</v>
      </c>
      <c r="D4275" t="s">
        <v>330</v>
      </c>
      <c r="E4275" t="s">
        <v>325</v>
      </c>
      <c r="F4275" s="12">
        <v>215512</v>
      </c>
      <c r="G4275" s="13">
        <v>21</v>
      </c>
      <c r="H4275" t="s">
        <v>3056</v>
      </c>
      <c r="I4275" s="8">
        <v>46286</v>
      </c>
      <c r="J4275" t="s">
        <v>2674</v>
      </c>
      <c r="K4275" t="s">
        <v>2675</v>
      </c>
      <c r="L4275" s="13">
        <v>20000</v>
      </c>
      <c r="M4275" t="s">
        <v>2661</v>
      </c>
    </row>
    <row r="4276" spans="1:13">
      <c r="A4276" t="s">
        <v>1787</v>
      </c>
      <c r="B4276" t="s">
        <v>97</v>
      </c>
      <c r="C4276" s="8">
        <v>46239</v>
      </c>
      <c r="D4276" t="s">
        <v>330</v>
      </c>
      <c r="E4276" t="s">
        <v>325</v>
      </c>
      <c r="F4276" s="12">
        <v>215512</v>
      </c>
      <c r="G4276" s="13">
        <v>21</v>
      </c>
      <c r="H4276" t="s">
        <v>3176</v>
      </c>
      <c r="I4276" s="8">
        <v>46256</v>
      </c>
      <c r="J4276" t="s">
        <v>2692</v>
      </c>
      <c r="K4276" t="s">
        <v>2693</v>
      </c>
      <c r="L4276" s="13">
        <v>10000</v>
      </c>
      <c r="M4276" t="s">
        <v>2661</v>
      </c>
    </row>
    <row r="4277" spans="1:13">
      <c r="A4277" t="s">
        <v>1787</v>
      </c>
      <c r="B4277" t="s">
        <v>97</v>
      </c>
      <c r="C4277" s="8">
        <v>46239</v>
      </c>
      <c r="D4277" t="s">
        <v>330</v>
      </c>
      <c r="E4277" t="s">
        <v>325</v>
      </c>
      <c r="F4277" s="12">
        <v>215512</v>
      </c>
      <c r="G4277" s="13">
        <v>21</v>
      </c>
      <c r="H4277" t="s">
        <v>3528</v>
      </c>
      <c r="I4277" s="8">
        <v>46172</v>
      </c>
      <c r="J4277" t="s">
        <v>2688</v>
      </c>
      <c r="K4277" t="s">
        <v>2689</v>
      </c>
      <c r="L4277" s="13">
        <v>8000</v>
      </c>
      <c r="M4277" t="s">
        <v>2661</v>
      </c>
    </row>
    <row r="4278" spans="1:13">
      <c r="A4278" t="s">
        <v>1788</v>
      </c>
      <c r="B4278" t="s">
        <v>93</v>
      </c>
      <c r="C4278" s="8">
        <v>46154</v>
      </c>
      <c r="D4278" t="s">
        <v>330</v>
      </c>
      <c r="E4278" t="s">
        <v>322</v>
      </c>
      <c r="F4278" s="12">
        <v>28559</v>
      </c>
      <c r="G4278" s="13">
        <v>2</v>
      </c>
      <c r="H4278" t="s">
        <v>2662</v>
      </c>
      <c r="I4278" s="8">
        <v>46253</v>
      </c>
      <c r="J4278" t="s">
        <v>2663</v>
      </c>
      <c r="K4278" t="s">
        <v>3630</v>
      </c>
      <c r="L4278" s="13">
        <v>1500</v>
      </c>
      <c r="M4278" t="s">
        <v>2661</v>
      </c>
    </row>
    <row r="4279" spans="1:13">
      <c r="A4279" t="s">
        <v>1788</v>
      </c>
      <c r="B4279" t="s">
        <v>93</v>
      </c>
      <c r="C4279" s="8">
        <v>46154</v>
      </c>
      <c r="D4279" t="s">
        <v>330</v>
      </c>
      <c r="E4279" t="s">
        <v>322</v>
      </c>
      <c r="F4279" s="12">
        <v>28559</v>
      </c>
      <c r="G4279" s="13">
        <v>2</v>
      </c>
      <c r="H4279" t="s">
        <v>2968</v>
      </c>
      <c r="I4279" s="8">
        <v>45934</v>
      </c>
      <c r="J4279" t="s">
        <v>2659</v>
      </c>
      <c r="K4279" t="s">
        <v>2660</v>
      </c>
      <c r="L4279" s="13">
        <v>3500</v>
      </c>
      <c r="M4279" t="s">
        <v>2661</v>
      </c>
    </row>
    <row r="4280" spans="1:13">
      <c r="A4280" t="s">
        <v>1788</v>
      </c>
      <c r="B4280" t="s">
        <v>93</v>
      </c>
      <c r="C4280" s="8">
        <v>46154</v>
      </c>
      <c r="D4280" t="s">
        <v>330</v>
      </c>
      <c r="E4280" t="s">
        <v>322</v>
      </c>
      <c r="F4280" s="12">
        <v>28559</v>
      </c>
      <c r="G4280" s="13">
        <v>2</v>
      </c>
      <c r="H4280" t="s">
        <v>3086</v>
      </c>
      <c r="I4280" s="8">
        <v>46007</v>
      </c>
      <c r="J4280" t="s">
        <v>2663</v>
      </c>
      <c r="K4280" t="s">
        <v>3630</v>
      </c>
      <c r="L4280" s="13">
        <v>1500</v>
      </c>
      <c r="M4280" t="s">
        <v>2661</v>
      </c>
    </row>
    <row r="4281" spans="1:13">
      <c r="A4281" t="s">
        <v>1788</v>
      </c>
      <c r="B4281" t="s">
        <v>93</v>
      </c>
      <c r="C4281" s="8">
        <v>46154</v>
      </c>
      <c r="D4281" t="s">
        <v>330</v>
      </c>
      <c r="E4281" t="s">
        <v>322</v>
      </c>
      <c r="F4281" s="12">
        <v>28559</v>
      </c>
      <c r="G4281" s="13">
        <v>2</v>
      </c>
      <c r="H4281" t="s">
        <v>3194</v>
      </c>
      <c r="I4281" s="8">
        <v>46275</v>
      </c>
      <c r="J4281" t="s">
        <v>2674</v>
      </c>
      <c r="K4281" t="s">
        <v>2675</v>
      </c>
      <c r="L4281" s="13">
        <v>20000</v>
      </c>
      <c r="M4281" t="s">
        <v>2661</v>
      </c>
    </row>
    <row r="4282" spans="1:13">
      <c r="A4282" t="s">
        <v>1788</v>
      </c>
      <c r="B4282" t="s">
        <v>93</v>
      </c>
      <c r="C4282" s="8">
        <v>46154</v>
      </c>
      <c r="D4282" t="s">
        <v>330</v>
      </c>
      <c r="E4282" t="s">
        <v>322</v>
      </c>
      <c r="F4282" s="12">
        <v>28559</v>
      </c>
      <c r="G4282" s="13">
        <v>2</v>
      </c>
      <c r="H4282" t="s">
        <v>3282</v>
      </c>
      <c r="I4282" s="8">
        <v>46029</v>
      </c>
      <c r="J4282" t="s">
        <v>2665</v>
      </c>
      <c r="K4282" t="s">
        <v>2666</v>
      </c>
      <c r="L4282" s="13">
        <v>2500</v>
      </c>
      <c r="M4282" t="s">
        <v>2661</v>
      </c>
    </row>
    <row r="4283" spans="1:13">
      <c r="A4283" t="s">
        <v>1788</v>
      </c>
      <c r="B4283" t="s">
        <v>93</v>
      </c>
      <c r="C4283" s="8">
        <v>46154</v>
      </c>
      <c r="D4283" t="s">
        <v>330</v>
      </c>
      <c r="E4283" t="s">
        <v>322</v>
      </c>
      <c r="F4283" s="12">
        <v>28559</v>
      </c>
      <c r="G4283" s="13">
        <v>2</v>
      </c>
      <c r="H4283" t="s">
        <v>3551</v>
      </c>
      <c r="I4283" s="8">
        <v>46033</v>
      </c>
      <c r="J4283" t="s">
        <v>2692</v>
      </c>
      <c r="K4283" t="s">
        <v>2693</v>
      </c>
      <c r="L4283" s="13">
        <v>10000</v>
      </c>
      <c r="M4283" t="s">
        <v>2661</v>
      </c>
    </row>
    <row r="4284" spans="1:13">
      <c r="A4284" t="s">
        <v>1789</v>
      </c>
      <c r="B4284" t="s">
        <v>237</v>
      </c>
      <c r="C4284" s="8">
        <v>46268</v>
      </c>
      <c r="D4284" t="s">
        <v>350</v>
      </c>
      <c r="E4284" t="s">
        <v>328</v>
      </c>
      <c r="F4284" s="12">
        <v>668772</v>
      </c>
      <c r="G4284" s="13">
        <v>66</v>
      </c>
      <c r="H4284" t="s">
        <v>2750</v>
      </c>
      <c r="I4284" s="8">
        <v>46183</v>
      </c>
      <c r="J4284" t="s">
        <v>2659</v>
      </c>
      <c r="K4284" t="s">
        <v>2660</v>
      </c>
      <c r="L4284" s="13">
        <v>3500</v>
      </c>
      <c r="M4284" t="s">
        <v>2661</v>
      </c>
    </row>
    <row r="4285" spans="1:13">
      <c r="A4285" t="s">
        <v>1789</v>
      </c>
      <c r="B4285" t="s">
        <v>237</v>
      </c>
      <c r="C4285" s="8">
        <v>46268</v>
      </c>
      <c r="D4285" t="s">
        <v>350</v>
      </c>
      <c r="E4285" t="s">
        <v>328</v>
      </c>
      <c r="F4285" s="12">
        <v>668772</v>
      </c>
      <c r="G4285" s="13">
        <v>66</v>
      </c>
      <c r="H4285" t="s">
        <v>2787</v>
      </c>
      <c r="I4285" s="8">
        <v>46144</v>
      </c>
      <c r="J4285" t="s">
        <v>2692</v>
      </c>
      <c r="K4285" t="s">
        <v>2693</v>
      </c>
      <c r="L4285" s="13">
        <v>10000</v>
      </c>
      <c r="M4285" t="s">
        <v>2661</v>
      </c>
    </row>
    <row r="4286" spans="1:13">
      <c r="A4286" t="s">
        <v>1789</v>
      </c>
      <c r="B4286" t="s">
        <v>237</v>
      </c>
      <c r="C4286" s="8">
        <v>46268</v>
      </c>
      <c r="D4286" t="s">
        <v>350</v>
      </c>
      <c r="E4286" t="s">
        <v>328</v>
      </c>
      <c r="F4286" s="12">
        <v>668772</v>
      </c>
      <c r="G4286" s="13">
        <v>66</v>
      </c>
      <c r="H4286" t="s">
        <v>3055</v>
      </c>
      <c r="I4286" s="8">
        <v>46201</v>
      </c>
      <c r="J4286" t="s">
        <v>2659</v>
      </c>
      <c r="K4286" t="s">
        <v>2660</v>
      </c>
      <c r="L4286" s="13">
        <v>3500</v>
      </c>
      <c r="M4286" t="s">
        <v>2661</v>
      </c>
    </row>
    <row r="4287" spans="1:13">
      <c r="A4287" t="s">
        <v>1789</v>
      </c>
      <c r="B4287" t="s">
        <v>237</v>
      </c>
      <c r="C4287" s="8">
        <v>46268</v>
      </c>
      <c r="D4287" t="s">
        <v>350</v>
      </c>
      <c r="E4287" t="s">
        <v>328</v>
      </c>
      <c r="F4287" s="12">
        <v>668772</v>
      </c>
      <c r="G4287" s="13">
        <v>66</v>
      </c>
      <c r="H4287" t="s">
        <v>3067</v>
      </c>
      <c r="I4287" s="8">
        <v>46122</v>
      </c>
      <c r="J4287" t="s">
        <v>2668</v>
      </c>
      <c r="K4287" t="s">
        <v>2669</v>
      </c>
      <c r="L4287" s="13">
        <v>4000</v>
      </c>
      <c r="M4287" t="s">
        <v>2661</v>
      </c>
    </row>
    <row r="4288" spans="1:13">
      <c r="A4288" t="s">
        <v>1789</v>
      </c>
      <c r="B4288" t="s">
        <v>237</v>
      </c>
      <c r="C4288" s="8">
        <v>46268</v>
      </c>
      <c r="D4288" t="s">
        <v>350</v>
      </c>
      <c r="E4288" t="s">
        <v>328</v>
      </c>
      <c r="F4288" s="12">
        <v>668772</v>
      </c>
      <c r="G4288" s="13">
        <v>66</v>
      </c>
      <c r="H4288" t="s">
        <v>3130</v>
      </c>
      <c r="I4288" s="8">
        <v>46003</v>
      </c>
      <c r="J4288" t="s">
        <v>2663</v>
      </c>
      <c r="K4288" t="s">
        <v>3630</v>
      </c>
      <c r="L4288" s="13">
        <v>1500</v>
      </c>
      <c r="M4288" t="s">
        <v>2661</v>
      </c>
    </row>
    <row r="4289" spans="1:13">
      <c r="A4289" t="s">
        <v>1789</v>
      </c>
      <c r="B4289" t="s">
        <v>237</v>
      </c>
      <c r="C4289" s="8">
        <v>46268</v>
      </c>
      <c r="D4289" t="s">
        <v>350</v>
      </c>
      <c r="E4289" t="s">
        <v>328</v>
      </c>
      <c r="F4289" s="12">
        <v>668772</v>
      </c>
      <c r="G4289" s="13">
        <v>66</v>
      </c>
      <c r="H4289" t="s">
        <v>3258</v>
      </c>
      <c r="I4289" s="8">
        <v>45979</v>
      </c>
      <c r="J4289" t="s">
        <v>2692</v>
      </c>
      <c r="K4289" t="s">
        <v>2693</v>
      </c>
      <c r="L4289" s="13">
        <v>10000</v>
      </c>
      <c r="M4289" t="s">
        <v>2661</v>
      </c>
    </row>
    <row r="4290" spans="1:13">
      <c r="A4290" t="s">
        <v>1789</v>
      </c>
      <c r="B4290" t="s">
        <v>237</v>
      </c>
      <c r="C4290" s="8">
        <v>46268</v>
      </c>
      <c r="D4290" t="s">
        <v>350</v>
      </c>
      <c r="E4290" t="s">
        <v>328</v>
      </c>
      <c r="F4290" s="12">
        <v>668772</v>
      </c>
      <c r="G4290" s="13">
        <v>66</v>
      </c>
      <c r="H4290" t="s">
        <v>3276</v>
      </c>
      <c r="I4290" s="8">
        <v>46127</v>
      </c>
      <c r="J4290" t="s">
        <v>2682</v>
      </c>
      <c r="K4290" t="s">
        <v>2683</v>
      </c>
      <c r="L4290" s="13">
        <v>6000</v>
      </c>
      <c r="M4290" t="s">
        <v>2661</v>
      </c>
    </row>
    <row r="4291" spans="1:13">
      <c r="A4291" t="s">
        <v>1793</v>
      </c>
      <c r="B4291" t="s">
        <v>179</v>
      </c>
      <c r="C4291" s="8">
        <v>46053</v>
      </c>
      <c r="D4291" t="s">
        <v>350</v>
      </c>
      <c r="E4291" t="s">
        <v>339</v>
      </c>
      <c r="F4291" s="12">
        <v>355404</v>
      </c>
      <c r="G4291" s="13">
        <v>35</v>
      </c>
      <c r="H4291" t="s">
        <v>2677</v>
      </c>
      <c r="I4291" s="8">
        <v>45973</v>
      </c>
      <c r="J4291" t="s">
        <v>2663</v>
      </c>
      <c r="K4291" t="s">
        <v>3630</v>
      </c>
      <c r="L4291" s="13">
        <v>1500</v>
      </c>
      <c r="M4291" t="s">
        <v>2661</v>
      </c>
    </row>
    <row r="4292" spans="1:13">
      <c r="A4292" t="s">
        <v>1793</v>
      </c>
      <c r="B4292" t="s">
        <v>179</v>
      </c>
      <c r="C4292" s="8">
        <v>46053</v>
      </c>
      <c r="D4292" t="s">
        <v>350</v>
      </c>
      <c r="E4292" t="s">
        <v>339</v>
      </c>
      <c r="F4292" s="12">
        <v>355404</v>
      </c>
      <c r="G4292" s="13">
        <v>35</v>
      </c>
      <c r="H4292" t="s">
        <v>2695</v>
      </c>
      <c r="I4292" s="8">
        <v>46143</v>
      </c>
      <c r="J4292" t="s">
        <v>2671</v>
      </c>
      <c r="K4292" t="s">
        <v>2672</v>
      </c>
      <c r="L4292" s="13">
        <v>3000</v>
      </c>
      <c r="M4292" t="s">
        <v>2661</v>
      </c>
    </row>
    <row r="4293" spans="1:13">
      <c r="A4293" t="s">
        <v>1795</v>
      </c>
      <c r="B4293" t="s">
        <v>237</v>
      </c>
      <c r="C4293" s="8">
        <v>46293</v>
      </c>
      <c r="D4293" t="s">
        <v>332</v>
      </c>
      <c r="E4293" t="s">
        <v>337</v>
      </c>
      <c r="F4293" s="12">
        <v>276918</v>
      </c>
      <c r="G4293" s="13">
        <v>27</v>
      </c>
      <c r="H4293" t="s">
        <v>2750</v>
      </c>
      <c r="I4293" s="8">
        <v>46183</v>
      </c>
      <c r="J4293" t="s">
        <v>2659</v>
      </c>
      <c r="K4293" t="s">
        <v>2660</v>
      </c>
      <c r="L4293" s="13">
        <v>3500</v>
      </c>
      <c r="M4293" t="s">
        <v>2661</v>
      </c>
    </row>
    <row r="4294" spans="1:13">
      <c r="A4294" t="s">
        <v>1795</v>
      </c>
      <c r="B4294" t="s">
        <v>237</v>
      </c>
      <c r="C4294" s="8">
        <v>46293</v>
      </c>
      <c r="D4294" t="s">
        <v>332</v>
      </c>
      <c r="E4294" t="s">
        <v>337</v>
      </c>
      <c r="F4294" s="12">
        <v>276918</v>
      </c>
      <c r="G4294" s="13">
        <v>27</v>
      </c>
      <c r="H4294" t="s">
        <v>2787</v>
      </c>
      <c r="I4294" s="8">
        <v>46144</v>
      </c>
      <c r="J4294" t="s">
        <v>2692</v>
      </c>
      <c r="K4294" t="s">
        <v>2693</v>
      </c>
      <c r="L4294" s="13">
        <v>10000</v>
      </c>
      <c r="M4294" t="s">
        <v>2661</v>
      </c>
    </row>
    <row r="4295" spans="1:13">
      <c r="A4295" t="s">
        <v>1795</v>
      </c>
      <c r="B4295" t="s">
        <v>237</v>
      </c>
      <c r="C4295" s="8">
        <v>46293</v>
      </c>
      <c r="D4295" t="s">
        <v>332</v>
      </c>
      <c r="E4295" t="s">
        <v>337</v>
      </c>
      <c r="F4295" s="12">
        <v>276918</v>
      </c>
      <c r="G4295" s="13">
        <v>27</v>
      </c>
      <c r="H4295" t="s">
        <v>3055</v>
      </c>
      <c r="I4295" s="8">
        <v>46201</v>
      </c>
      <c r="J4295" t="s">
        <v>2659</v>
      </c>
      <c r="K4295" t="s">
        <v>2660</v>
      </c>
      <c r="L4295" s="13">
        <v>3500</v>
      </c>
      <c r="M4295" t="s">
        <v>2661</v>
      </c>
    </row>
    <row r="4296" spans="1:13">
      <c r="A4296" t="s">
        <v>1795</v>
      </c>
      <c r="B4296" t="s">
        <v>237</v>
      </c>
      <c r="C4296" s="8">
        <v>46293</v>
      </c>
      <c r="D4296" t="s">
        <v>332</v>
      </c>
      <c r="E4296" t="s">
        <v>337</v>
      </c>
      <c r="F4296" s="12">
        <v>276918</v>
      </c>
      <c r="G4296" s="13">
        <v>27</v>
      </c>
      <c r="H4296" t="s">
        <v>3067</v>
      </c>
      <c r="I4296" s="8">
        <v>46122</v>
      </c>
      <c r="J4296" t="s">
        <v>2668</v>
      </c>
      <c r="K4296" t="s">
        <v>2669</v>
      </c>
      <c r="L4296" s="13">
        <v>4000</v>
      </c>
      <c r="M4296" t="s">
        <v>2661</v>
      </c>
    </row>
    <row r="4297" spans="1:13">
      <c r="A4297" t="s">
        <v>1795</v>
      </c>
      <c r="B4297" t="s">
        <v>237</v>
      </c>
      <c r="C4297" s="8">
        <v>46293</v>
      </c>
      <c r="D4297" t="s">
        <v>332</v>
      </c>
      <c r="E4297" t="s">
        <v>337</v>
      </c>
      <c r="F4297" s="12">
        <v>276918</v>
      </c>
      <c r="G4297" s="13">
        <v>27</v>
      </c>
      <c r="H4297" t="s">
        <v>3130</v>
      </c>
      <c r="I4297" s="8">
        <v>46003</v>
      </c>
      <c r="J4297" t="s">
        <v>2663</v>
      </c>
      <c r="K4297" t="s">
        <v>3630</v>
      </c>
      <c r="L4297" s="13">
        <v>1500</v>
      </c>
      <c r="M4297" t="s">
        <v>2661</v>
      </c>
    </row>
    <row r="4298" spans="1:13">
      <c r="A4298" t="s">
        <v>1795</v>
      </c>
      <c r="B4298" t="s">
        <v>237</v>
      </c>
      <c r="C4298" s="8">
        <v>46293</v>
      </c>
      <c r="D4298" t="s">
        <v>332</v>
      </c>
      <c r="E4298" t="s">
        <v>337</v>
      </c>
      <c r="F4298" s="12">
        <v>276918</v>
      </c>
      <c r="G4298" s="13">
        <v>27</v>
      </c>
      <c r="H4298" t="s">
        <v>3258</v>
      </c>
      <c r="I4298" s="8">
        <v>45979</v>
      </c>
      <c r="J4298" t="s">
        <v>2692</v>
      </c>
      <c r="K4298" t="s">
        <v>2693</v>
      </c>
      <c r="L4298" s="13">
        <v>10000</v>
      </c>
      <c r="M4298" t="s">
        <v>2661</v>
      </c>
    </row>
    <row r="4299" spans="1:13">
      <c r="A4299" t="s">
        <v>1795</v>
      </c>
      <c r="B4299" t="s">
        <v>237</v>
      </c>
      <c r="C4299" s="8">
        <v>46293</v>
      </c>
      <c r="D4299" t="s">
        <v>332</v>
      </c>
      <c r="E4299" t="s">
        <v>337</v>
      </c>
      <c r="F4299" s="12">
        <v>276918</v>
      </c>
      <c r="G4299" s="13">
        <v>27</v>
      </c>
      <c r="H4299" t="s">
        <v>3276</v>
      </c>
      <c r="I4299" s="8">
        <v>46127</v>
      </c>
      <c r="J4299" t="s">
        <v>2682</v>
      </c>
      <c r="K4299" t="s">
        <v>2683</v>
      </c>
      <c r="L4299" s="13">
        <v>6000</v>
      </c>
      <c r="M4299" t="s">
        <v>2661</v>
      </c>
    </row>
    <row r="4300" spans="1:13">
      <c r="A4300" t="s">
        <v>1796</v>
      </c>
      <c r="B4300" t="s">
        <v>280</v>
      </c>
      <c r="C4300" s="8">
        <v>46076</v>
      </c>
      <c r="D4300" t="s">
        <v>321</v>
      </c>
      <c r="E4300" t="s">
        <v>328</v>
      </c>
      <c r="F4300" s="12">
        <v>25000</v>
      </c>
      <c r="G4300" s="13">
        <v>2</v>
      </c>
      <c r="H4300" t="s">
        <v>2673</v>
      </c>
      <c r="I4300" s="8">
        <v>46091</v>
      </c>
      <c r="J4300" t="s">
        <v>2674</v>
      </c>
      <c r="K4300" t="s">
        <v>2675</v>
      </c>
      <c r="L4300" s="13">
        <v>20000</v>
      </c>
      <c r="M4300" t="s">
        <v>2676</v>
      </c>
    </row>
    <row r="4301" spans="1:13">
      <c r="A4301" t="s">
        <v>1796</v>
      </c>
      <c r="B4301" t="s">
        <v>280</v>
      </c>
      <c r="C4301" s="8">
        <v>46076</v>
      </c>
      <c r="D4301" t="s">
        <v>321</v>
      </c>
      <c r="E4301" t="s">
        <v>328</v>
      </c>
      <c r="F4301" s="12">
        <v>25000</v>
      </c>
      <c r="G4301" s="13">
        <v>2</v>
      </c>
      <c r="H4301" t="s">
        <v>2924</v>
      </c>
      <c r="I4301" s="8">
        <v>46275</v>
      </c>
      <c r="J4301" t="s">
        <v>2663</v>
      </c>
      <c r="K4301" t="s">
        <v>3630</v>
      </c>
      <c r="L4301" s="13">
        <v>1500</v>
      </c>
      <c r="M4301" t="s">
        <v>2661</v>
      </c>
    </row>
    <row r="4302" spans="1:13">
      <c r="A4302" t="s">
        <v>1796</v>
      </c>
      <c r="B4302" t="s">
        <v>280</v>
      </c>
      <c r="C4302" s="8">
        <v>46076</v>
      </c>
      <c r="D4302" t="s">
        <v>321</v>
      </c>
      <c r="E4302" t="s">
        <v>328</v>
      </c>
      <c r="F4302" s="12">
        <v>25000</v>
      </c>
      <c r="G4302" s="13">
        <v>2</v>
      </c>
      <c r="H4302" t="s">
        <v>3163</v>
      </c>
      <c r="I4302" s="8">
        <v>46279</v>
      </c>
      <c r="J4302" t="s">
        <v>2668</v>
      </c>
      <c r="K4302" t="s">
        <v>2669</v>
      </c>
      <c r="L4302" s="13">
        <v>4000</v>
      </c>
      <c r="M4302" t="s">
        <v>2661</v>
      </c>
    </row>
    <row r="4303" spans="1:13">
      <c r="A4303" t="s">
        <v>1796</v>
      </c>
      <c r="B4303" t="s">
        <v>280</v>
      </c>
      <c r="C4303" s="8">
        <v>46076</v>
      </c>
      <c r="D4303" t="s">
        <v>321</v>
      </c>
      <c r="E4303" t="s">
        <v>328</v>
      </c>
      <c r="F4303" s="12">
        <v>25000</v>
      </c>
      <c r="G4303" s="13">
        <v>2</v>
      </c>
      <c r="H4303" t="s">
        <v>3286</v>
      </c>
      <c r="I4303" s="8">
        <v>46224</v>
      </c>
      <c r="J4303" t="s">
        <v>2685</v>
      </c>
      <c r="K4303" t="s">
        <v>2686</v>
      </c>
      <c r="L4303" s="13">
        <v>5000</v>
      </c>
      <c r="M4303" t="s">
        <v>2661</v>
      </c>
    </row>
    <row r="4304" spans="1:13">
      <c r="A4304" t="s">
        <v>1796</v>
      </c>
      <c r="B4304" t="s">
        <v>280</v>
      </c>
      <c r="C4304" s="8">
        <v>46076</v>
      </c>
      <c r="D4304" t="s">
        <v>321</v>
      </c>
      <c r="E4304" t="s">
        <v>328</v>
      </c>
      <c r="F4304" s="12">
        <v>25000</v>
      </c>
      <c r="G4304" s="13">
        <v>2</v>
      </c>
      <c r="H4304" t="s">
        <v>3400</v>
      </c>
      <c r="I4304" s="8">
        <v>46126</v>
      </c>
      <c r="J4304" t="s">
        <v>2692</v>
      </c>
      <c r="K4304" t="s">
        <v>2693</v>
      </c>
      <c r="L4304" s="13">
        <v>10000</v>
      </c>
      <c r="M4304" t="s">
        <v>2661</v>
      </c>
    </row>
    <row r="4305" spans="1:13">
      <c r="A4305" t="s">
        <v>1796</v>
      </c>
      <c r="B4305" t="s">
        <v>280</v>
      </c>
      <c r="C4305" s="8">
        <v>46076</v>
      </c>
      <c r="D4305" t="s">
        <v>321</v>
      </c>
      <c r="E4305" t="s">
        <v>328</v>
      </c>
      <c r="F4305" s="12">
        <v>25000</v>
      </c>
      <c r="G4305" s="13">
        <v>2</v>
      </c>
      <c r="H4305" t="s">
        <v>3535</v>
      </c>
      <c r="I4305" s="8">
        <v>46274</v>
      </c>
      <c r="J4305" t="s">
        <v>2659</v>
      </c>
      <c r="K4305" t="s">
        <v>2660</v>
      </c>
      <c r="L4305" s="13">
        <v>3500</v>
      </c>
      <c r="M4305" t="s">
        <v>2661</v>
      </c>
    </row>
    <row r="4306" spans="1:13">
      <c r="A4306" t="s">
        <v>1797</v>
      </c>
      <c r="B4306" t="s">
        <v>282</v>
      </c>
      <c r="C4306" s="8">
        <v>46157</v>
      </c>
      <c r="D4306" t="s">
        <v>327</v>
      </c>
      <c r="E4306" t="s">
        <v>337</v>
      </c>
      <c r="F4306" s="12">
        <v>25000</v>
      </c>
      <c r="G4306" s="13">
        <v>2</v>
      </c>
      <c r="H4306" t="s">
        <v>3045</v>
      </c>
      <c r="I4306" s="8">
        <v>46217</v>
      </c>
      <c r="J4306" t="s">
        <v>2659</v>
      </c>
      <c r="K4306" t="s">
        <v>2660</v>
      </c>
      <c r="L4306" s="13">
        <v>3500</v>
      </c>
      <c r="M4306" t="s">
        <v>2676</v>
      </c>
    </row>
    <row r="4307" spans="1:13">
      <c r="A4307" t="s">
        <v>1797</v>
      </c>
      <c r="B4307" t="s">
        <v>282</v>
      </c>
      <c r="C4307" s="8">
        <v>46157</v>
      </c>
      <c r="D4307" t="s">
        <v>327</v>
      </c>
      <c r="E4307" t="s">
        <v>337</v>
      </c>
      <c r="F4307" s="12">
        <v>25000</v>
      </c>
      <c r="G4307" s="13">
        <v>2</v>
      </c>
      <c r="H4307" t="s">
        <v>3568</v>
      </c>
      <c r="I4307" s="8">
        <v>46096</v>
      </c>
      <c r="J4307" t="s">
        <v>2674</v>
      </c>
      <c r="K4307" t="s">
        <v>2675</v>
      </c>
      <c r="L4307" s="13">
        <v>20000</v>
      </c>
      <c r="M4307" t="s">
        <v>2661</v>
      </c>
    </row>
    <row r="4308" spans="1:13">
      <c r="A4308" t="s">
        <v>1798</v>
      </c>
      <c r="B4308" t="s">
        <v>215</v>
      </c>
      <c r="C4308" s="8">
        <v>46196</v>
      </c>
      <c r="D4308" t="s">
        <v>342</v>
      </c>
      <c r="E4308" t="s">
        <v>322</v>
      </c>
      <c r="F4308" s="12">
        <v>509810</v>
      </c>
      <c r="G4308" s="13">
        <v>50</v>
      </c>
      <c r="H4308" t="s">
        <v>2791</v>
      </c>
      <c r="I4308" s="8">
        <v>46076</v>
      </c>
      <c r="J4308" t="s">
        <v>2674</v>
      </c>
      <c r="K4308" t="s">
        <v>2675</v>
      </c>
      <c r="L4308" s="13">
        <v>20000</v>
      </c>
      <c r="M4308" t="s">
        <v>2661</v>
      </c>
    </row>
    <row r="4309" spans="1:13">
      <c r="A4309" t="s">
        <v>1798</v>
      </c>
      <c r="B4309" t="s">
        <v>215</v>
      </c>
      <c r="C4309" s="8">
        <v>46196</v>
      </c>
      <c r="D4309" t="s">
        <v>342</v>
      </c>
      <c r="E4309" t="s">
        <v>322</v>
      </c>
      <c r="F4309" s="12">
        <v>509810</v>
      </c>
      <c r="G4309" s="13">
        <v>50</v>
      </c>
      <c r="H4309" t="s">
        <v>2999</v>
      </c>
      <c r="I4309" s="8">
        <v>46209</v>
      </c>
      <c r="J4309" t="s">
        <v>2668</v>
      </c>
      <c r="K4309" t="s">
        <v>2669</v>
      </c>
      <c r="L4309" s="13">
        <v>4000</v>
      </c>
      <c r="M4309" t="s">
        <v>2676</v>
      </c>
    </row>
    <row r="4310" spans="1:13">
      <c r="A4310" t="s">
        <v>1798</v>
      </c>
      <c r="B4310" t="s">
        <v>215</v>
      </c>
      <c r="C4310" s="8">
        <v>46196</v>
      </c>
      <c r="D4310" t="s">
        <v>342</v>
      </c>
      <c r="E4310" t="s">
        <v>322</v>
      </c>
      <c r="F4310" s="12">
        <v>509810</v>
      </c>
      <c r="G4310" s="13">
        <v>50</v>
      </c>
      <c r="H4310" t="s">
        <v>3401</v>
      </c>
      <c r="I4310" s="8">
        <v>46022</v>
      </c>
      <c r="J4310" t="s">
        <v>2685</v>
      </c>
      <c r="K4310" t="s">
        <v>2686</v>
      </c>
      <c r="L4310" s="13">
        <v>5000</v>
      </c>
      <c r="M4310" t="s">
        <v>2661</v>
      </c>
    </row>
    <row r="4311" spans="1:13">
      <c r="A4311" t="s">
        <v>1799</v>
      </c>
      <c r="B4311" t="s">
        <v>170</v>
      </c>
      <c r="C4311" s="8">
        <v>45968</v>
      </c>
      <c r="D4311" t="s">
        <v>327</v>
      </c>
      <c r="E4311" t="s">
        <v>339</v>
      </c>
      <c r="F4311" s="12">
        <v>55270</v>
      </c>
      <c r="G4311" s="13">
        <v>5</v>
      </c>
      <c r="H4311" t="s">
        <v>2987</v>
      </c>
      <c r="I4311" s="8">
        <v>45962</v>
      </c>
      <c r="J4311" t="s">
        <v>2665</v>
      </c>
      <c r="K4311" t="s">
        <v>2666</v>
      </c>
      <c r="L4311" s="13">
        <v>2500</v>
      </c>
      <c r="M4311" t="s">
        <v>2661</v>
      </c>
    </row>
    <row r="4312" spans="1:13">
      <c r="A4312" t="s">
        <v>1799</v>
      </c>
      <c r="B4312" t="s">
        <v>170</v>
      </c>
      <c r="C4312" s="8">
        <v>45968</v>
      </c>
      <c r="D4312" t="s">
        <v>327</v>
      </c>
      <c r="E4312" t="s">
        <v>339</v>
      </c>
      <c r="F4312" s="12">
        <v>55270</v>
      </c>
      <c r="G4312" s="13">
        <v>5</v>
      </c>
      <c r="H4312" t="s">
        <v>3043</v>
      </c>
      <c r="I4312" s="8">
        <v>46277</v>
      </c>
      <c r="J4312" t="s">
        <v>2663</v>
      </c>
      <c r="K4312" t="s">
        <v>3630</v>
      </c>
      <c r="L4312" s="13">
        <v>1500</v>
      </c>
      <c r="M4312" t="s">
        <v>2676</v>
      </c>
    </row>
    <row r="4313" spans="1:13">
      <c r="A4313" t="s">
        <v>1800</v>
      </c>
      <c r="B4313" t="s">
        <v>112</v>
      </c>
      <c r="C4313" s="8">
        <v>46065</v>
      </c>
      <c r="D4313" t="s">
        <v>330</v>
      </c>
      <c r="E4313" t="s">
        <v>322</v>
      </c>
      <c r="F4313" s="12">
        <v>185448</v>
      </c>
      <c r="G4313" s="13">
        <v>18</v>
      </c>
      <c r="H4313" t="s">
        <v>3180</v>
      </c>
      <c r="I4313" s="8">
        <v>46105</v>
      </c>
      <c r="J4313" t="s">
        <v>2663</v>
      </c>
      <c r="K4313" t="s">
        <v>3630</v>
      </c>
      <c r="L4313" s="13">
        <v>1500</v>
      </c>
      <c r="M4313" t="s">
        <v>2661</v>
      </c>
    </row>
    <row r="4314" spans="1:13">
      <c r="A4314" t="s">
        <v>1800</v>
      </c>
      <c r="B4314" t="s">
        <v>112</v>
      </c>
      <c r="C4314" s="8">
        <v>46065</v>
      </c>
      <c r="D4314" t="s">
        <v>330</v>
      </c>
      <c r="E4314" t="s">
        <v>322</v>
      </c>
      <c r="F4314" s="12">
        <v>185448</v>
      </c>
      <c r="G4314" s="13">
        <v>18</v>
      </c>
      <c r="H4314" t="s">
        <v>3203</v>
      </c>
      <c r="I4314" s="8">
        <v>46074</v>
      </c>
      <c r="J4314" t="s">
        <v>2668</v>
      </c>
      <c r="K4314" t="s">
        <v>2669</v>
      </c>
      <c r="L4314" s="13">
        <v>4000</v>
      </c>
      <c r="M4314" t="s">
        <v>2661</v>
      </c>
    </row>
    <row r="4315" spans="1:13">
      <c r="A4315" t="s">
        <v>1800</v>
      </c>
      <c r="B4315" t="s">
        <v>112</v>
      </c>
      <c r="C4315" s="8">
        <v>46065</v>
      </c>
      <c r="D4315" t="s">
        <v>330</v>
      </c>
      <c r="E4315" t="s">
        <v>322</v>
      </c>
      <c r="F4315" s="12">
        <v>185448</v>
      </c>
      <c r="G4315" s="13">
        <v>18</v>
      </c>
      <c r="H4315" t="s">
        <v>3287</v>
      </c>
      <c r="I4315" s="8">
        <v>46257</v>
      </c>
      <c r="J4315" t="s">
        <v>2688</v>
      </c>
      <c r="K4315" t="s">
        <v>2689</v>
      </c>
      <c r="L4315" s="13">
        <v>8000</v>
      </c>
      <c r="M4315" t="s">
        <v>2676</v>
      </c>
    </row>
    <row r="4316" spans="1:13">
      <c r="A4316" t="s">
        <v>1802</v>
      </c>
      <c r="B4316" t="s">
        <v>31</v>
      </c>
      <c r="C4316" s="8">
        <v>46241</v>
      </c>
      <c r="D4316" t="s">
        <v>321</v>
      </c>
      <c r="E4316" t="s">
        <v>325</v>
      </c>
      <c r="F4316" s="12">
        <v>214922</v>
      </c>
      <c r="G4316" s="13">
        <v>21</v>
      </c>
      <c r="H4316" t="s">
        <v>2920</v>
      </c>
      <c r="I4316" s="8">
        <v>46231</v>
      </c>
      <c r="J4316" t="s">
        <v>2674</v>
      </c>
      <c r="K4316" t="s">
        <v>2675</v>
      </c>
      <c r="L4316" s="13">
        <v>20000</v>
      </c>
      <c r="M4316" t="s">
        <v>2661</v>
      </c>
    </row>
    <row r="4317" spans="1:13">
      <c r="A4317" t="s">
        <v>1802</v>
      </c>
      <c r="B4317" t="s">
        <v>31</v>
      </c>
      <c r="C4317" s="8">
        <v>46241</v>
      </c>
      <c r="D4317" t="s">
        <v>321</v>
      </c>
      <c r="E4317" t="s">
        <v>325</v>
      </c>
      <c r="F4317" s="12">
        <v>214922</v>
      </c>
      <c r="G4317" s="13">
        <v>21</v>
      </c>
      <c r="H4317" t="s">
        <v>3164</v>
      </c>
      <c r="I4317" s="8">
        <v>46110</v>
      </c>
      <c r="J4317" t="s">
        <v>2685</v>
      </c>
      <c r="K4317" t="s">
        <v>2686</v>
      </c>
      <c r="L4317" s="13">
        <v>5000</v>
      </c>
      <c r="M4317" t="s">
        <v>2661</v>
      </c>
    </row>
    <row r="4318" spans="1:13">
      <c r="A4318" t="s">
        <v>1803</v>
      </c>
      <c r="B4318" t="s">
        <v>276</v>
      </c>
      <c r="C4318" s="8">
        <v>45998</v>
      </c>
      <c r="D4318" t="s">
        <v>327</v>
      </c>
      <c r="E4318" t="s">
        <v>334</v>
      </c>
      <c r="F4318" s="12">
        <v>371923</v>
      </c>
      <c r="G4318" s="13">
        <v>37</v>
      </c>
      <c r="H4318" t="s">
        <v>2991</v>
      </c>
      <c r="I4318" s="8">
        <v>46082</v>
      </c>
      <c r="J4318" t="s">
        <v>2674</v>
      </c>
      <c r="K4318" t="s">
        <v>2675</v>
      </c>
      <c r="L4318" s="13">
        <v>20000</v>
      </c>
      <c r="M4318" t="s">
        <v>2661</v>
      </c>
    </row>
    <row r="4319" spans="1:13">
      <c r="A4319" t="s">
        <v>1803</v>
      </c>
      <c r="B4319" t="s">
        <v>276</v>
      </c>
      <c r="C4319" s="8">
        <v>45998</v>
      </c>
      <c r="D4319" t="s">
        <v>327</v>
      </c>
      <c r="E4319" t="s">
        <v>334</v>
      </c>
      <c r="F4319" s="12">
        <v>371923</v>
      </c>
      <c r="G4319" s="13">
        <v>37</v>
      </c>
      <c r="H4319" t="s">
        <v>3135</v>
      </c>
      <c r="I4319" s="8">
        <v>46231</v>
      </c>
      <c r="J4319" t="s">
        <v>2665</v>
      </c>
      <c r="K4319" t="s">
        <v>2666</v>
      </c>
      <c r="L4319" s="13">
        <v>2500</v>
      </c>
      <c r="M4319" t="s">
        <v>2661</v>
      </c>
    </row>
    <row r="4320" spans="1:13">
      <c r="A4320" t="s">
        <v>1803</v>
      </c>
      <c r="B4320" t="s">
        <v>276</v>
      </c>
      <c r="C4320" s="8">
        <v>45998</v>
      </c>
      <c r="D4320" t="s">
        <v>327</v>
      </c>
      <c r="E4320" t="s">
        <v>334</v>
      </c>
      <c r="F4320" s="12">
        <v>371923</v>
      </c>
      <c r="G4320" s="13">
        <v>37</v>
      </c>
      <c r="H4320" t="s">
        <v>3350</v>
      </c>
      <c r="I4320" s="8">
        <v>46121</v>
      </c>
      <c r="J4320" t="s">
        <v>2685</v>
      </c>
      <c r="K4320" t="s">
        <v>2686</v>
      </c>
      <c r="L4320" s="13">
        <v>5000</v>
      </c>
      <c r="M4320" t="s">
        <v>2661</v>
      </c>
    </row>
    <row r="4321" spans="1:13">
      <c r="A4321" t="s">
        <v>1804</v>
      </c>
      <c r="B4321" t="s">
        <v>217</v>
      </c>
      <c r="C4321" s="8">
        <v>46210</v>
      </c>
      <c r="D4321" t="s">
        <v>330</v>
      </c>
      <c r="E4321" t="s">
        <v>325</v>
      </c>
      <c r="F4321" s="12">
        <v>212086</v>
      </c>
      <c r="G4321" s="13">
        <v>21</v>
      </c>
      <c r="H4321" t="s">
        <v>3010</v>
      </c>
      <c r="I4321" s="8">
        <v>46213</v>
      </c>
      <c r="J4321" t="s">
        <v>2674</v>
      </c>
      <c r="K4321" t="s">
        <v>2675</v>
      </c>
      <c r="L4321" s="13">
        <v>20000</v>
      </c>
      <c r="M4321" t="s">
        <v>2661</v>
      </c>
    </row>
    <row r="4322" spans="1:13">
      <c r="A4322" t="s">
        <v>1804</v>
      </c>
      <c r="B4322" t="s">
        <v>217</v>
      </c>
      <c r="C4322" s="8">
        <v>46210</v>
      </c>
      <c r="D4322" t="s">
        <v>330</v>
      </c>
      <c r="E4322" t="s">
        <v>325</v>
      </c>
      <c r="F4322" s="12">
        <v>212086</v>
      </c>
      <c r="G4322" s="13">
        <v>21</v>
      </c>
      <c r="H4322" t="s">
        <v>3493</v>
      </c>
      <c r="I4322" s="8">
        <v>46078</v>
      </c>
      <c r="J4322" t="s">
        <v>2682</v>
      </c>
      <c r="K4322" t="s">
        <v>2683</v>
      </c>
      <c r="L4322" s="13">
        <v>6000</v>
      </c>
      <c r="M4322" t="s">
        <v>2661</v>
      </c>
    </row>
    <row r="4323" spans="1:13">
      <c r="A4323" t="s">
        <v>1805</v>
      </c>
      <c r="B4323" t="s">
        <v>68</v>
      </c>
      <c r="C4323" s="8">
        <v>46145</v>
      </c>
      <c r="D4323" t="s">
        <v>350</v>
      </c>
      <c r="E4323" t="s">
        <v>325</v>
      </c>
      <c r="F4323" s="12">
        <v>276643</v>
      </c>
      <c r="G4323" s="13">
        <v>27</v>
      </c>
      <c r="H4323" t="s">
        <v>2869</v>
      </c>
      <c r="I4323" s="8">
        <v>46266</v>
      </c>
      <c r="J4323" t="s">
        <v>2671</v>
      </c>
      <c r="K4323" t="s">
        <v>2672</v>
      </c>
      <c r="L4323" s="13">
        <v>3000</v>
      </c>
      <c r="M4323" t="s">
        <v>2661</v>
      </c>
    </row>
    <row r="4324" spans="1:13">
      <c r="A4324" t="s">
        <v>1805</v>
      </c>
      <c r="B4324" t="s">
        <v>68</v>
      </c>
      <c r="C4324" s="8">
        <v>46145</v>
      </c>
      <c r="D4324" t="s">
        <v>350</v>
      </c>
      <c r="E4324" t="s">
        <v>325</v>
      </c>
      <c r="F4324" s="12">
        <v>276643</v>
      </c>
      <c r="G4324" s="13">
        <v>27</v>
      </c>
      <c r="H4324" t="s">
        <v>3248</v>
      </c>
      <c r="I4324" s="8">
        <v>45945</v>
      </c>
      <c r="J4324" t="s">
        <v>2682</v>
      </c>
      <c r="K4324" t="s">
        <v>2683</v>
      </c>
      <c r="L4324" s="13">
        <v>6000</v>
      </c>
      <c r="M4324" t="s">
        <v>2661</v>
      </c>
    </row>
    <row r="4325" spans="1:13">
      <c r="A4325" t="s">
        <v>1805</v>
      </c>
      <c r="B4325" t="s">
        <v>68</v>
      </c>
      <c r="C4325" s="8">
        <v>46145</v>
      </c>
      <c r="D4325" t="s">
        <v>350</v>
      </c>
      <c r="E4325" t="s">
        <v>325</v>
      </c>
      <c r="F4325" s="12">
        <v>276643</v>
      </c>
      <c r="G4325" s="13">
        <v>27</v>
      </c>
      <c r="H4325" t="s">
        <v>3506</v>
      </c>
      <c r="I4325" s="8">
        <v>46080</v>
      </c>
      <c r="J4325" t="s">
        <v>2668</v>
      </c>
      <c r="K4325" t="s">
        <v>2669</v>
      </c>
      <c r="L4325" s="13">
        <v>4000</v>
      </c>
      <c r="M4325" t="s">
        <v>2661</v>
      </c>
    </row>
    <row r="4326" spans="1:13">
      <c r="A4326" t="s">
        <v>1806</v>
      </c>
      <c r="B4326" t="s">
        <v>164</v>
      </c>
      <c r="C4326" s="8">
        <v>46091</v>
      </c>
      <c r="D4326" t="s">
        <v>344</v>
      </c>
      <c r="E4326" t="s">
        <v>322</v>
      </c>
      <c r="F4326" s="12">
        <v>56212</v>
      </c>
      <c r="G4326" s="13">
        <v>5</v>
      </c>
      <c r="H4326" t="s">
        <v>2971</v>
      </c>
      <c r="I4326" s="8">
        <v>46018</v>
      </c>
      <c r="J4326" t="s">
        <v>2665</v>
      </c>
      <c r="K4326" t="s">
        <v>2666</v>
      </c>
      <c r="L4326" s="13">
        <v>2500</v>
      </c>
      <c r="M4326" t="s">
        <v>2661</v>
      </c>
    </row>
    <row r="4327" spans="1:13">
      <c r="A4327" t="s">
        <v>1806</v>
      </c>
      <c r="B4327" t="s">
        <v>164</v>
      </c>
      <c r="C4327" s="8">
        <v>46091</v>
      </c>
      <c r="D4327" t="s">
        <v>344</v>
      </c>
      <c r="E4327" t="s">
        <v>322</v>
      </c>
      <c r="F4327" s="12">
        <v>56212</v>
      </c>
      <c r="G4327" s="13">
        <v>5</v>
      </c>
      <c r="H4327" t="s">
        <v>3109</v>
      </c>
      <c r="I4327" s="8">
        <v>46204</v>
      </c>
      <c r="J4327" t="s">
        <v>2668</v>
      </c>
      <c r="K4327" t="s">
        <v>2669</v>
      </c>
      <c r="L4327" s="13">
        <v>4000</v>
      </c>
      <c r="M4327" t="s">
        <v>2676</v>
      </c>
    </row>
    <row r="4328" spans="1:13">
      <c r="A4328" t="s">
        <v>1806</v>
      </c>
      <c r="B4328" t="s">
        <v>164</v>
      </c>
      <c r="C4328" s="8">
        <v>46091</v>
      </c>
      <c r="D4328" t="s">
        <v>344</v>
      </c>
      <c r="E4328" t="s">
        <v>322</v>
      </c>
      <c r="F4328" s="12">
        <v>56212</v>
      </c>
      <c r="G4328" s="13">
        <v>5</v>
      </c>
      <c r="H4328" t="s">
        <v>3298</v>
      </c>
      <c r="I4328" s="8">
        <v>46208</v>
      </c>
      <c r="J4328" t="s">
        <v>2692</v>
      </c>
      <c r="K4328" t="s">
        <v>2693</v>
      </c>
      <c r="L4328" s="13">
        <v>10000</v>
      </c>
      <c r="M4328" t="s">
        <v>2661</v>
      </c>
    </row>
    <row r="4329" spans="1:13">
      <c r="A4329" t="s">
        <v>1806</v>
      </c>
      <c r="B4329" t="s">
        <v>164</v>
      </c>
      <c r="C4329" s="8">
        <v>46091</v>
      </c>
      <c r="D4329" t="s">
        <v>344</v>
      </c>
      <c r="E4329" t="s">
        <v>322</v>
      </c>
      <c r="F4329" s="12">
        <v>56212</v>
      </c>
      <c r="G4329" s="13">
        <v>5</v>
      </c>
      <c r="H4329" t="s">
        <v>3523</v>
      </c>
      <c r="I4329" s="8">
        <v>46098</v>
      </c>
      <c r="J4329" t="s">
        <v>2659</v>
      </c>
      <c r="K4329" t="s">
        <v>2660</v>
      </c>
      <c r="L4329" s="13">
        <v>3500</v>
      </c>
      <c r="M4329" t="s">
        <v>2661</v>
      </c>
    </row>
    <row r="4330" spans="1:13">
      <c r="A4330" t="s">
        <v>1807</v>
      </c>
      <c r="B4330" t="s">
        <v>109</v>
      </c>
      <c r="C4330" s="8">
        <v>46001</v>
      </c>
      <c r="D4330" t="s">
        <v>332</v>
      </c>
      <c r="E4330" t="s">
        <v>328</v>
      </c>
      <c r="F4330" s="12">
        <v>352208</v>
      </c>
      <c r="G4330" s="13">
        <v>35</v>
      </c>
      <c r="H4330" t="s">
        <v>2848</v>
      </c>
      <c r="I4330" s="8">
        <v>46269</v>
      </c>
      <c r="J4330" t="s">
        <v>2659</v>
      </c>
      <c r="K4330" t="s">
        <v>2660</v>
      </c>
      <c r="L4330" s="13">
        <v>3500</v>
      </c>
      <c r="M4330" t="s">
        <v>2676</v>
      </c>
    </row>
    <row r="4331" spans="1:13">
      <c r="A4331" t="s">
        <v>1807</v>
      </c>
      <c r="B4331" t="s">
        <v>109</v>
      </c>
      <c r="C4331" s="8">
        <v>46001</v>
      </c>
      <c r="D4331" t="s">
        <v>332</v>
      </c>
      <c r="E4331" t="s">
        <v>328</v>
      </c>
      <c r="F4331" s="12">
        <v>352208</v>
      </c>
      <c r="G4331" s="13">
        <v>35</v>
      </c>
      <c r="H4331" t="s">
        <v>3196</v>
      </c>
      <c r="I4331" s="8">
        <v>46238</v>
      </c>
      <c r="J4331" t="s">
        <v>2674</v>
      </c>
      <c r="K4331" t="s">
        <v>2675</v>
      </c>
      <c r="L4331" s="13">
        <v>20000</v>
      </c>
      <c r="M4331" t="s">
        <v>2661</v>
      </c>
    </row>
    <row r="4332" spans="1:13">
      <c r="A4332" t="s">
        <v>1808</v>
      </c>
      <c r="B4332" t="s">
        <v>37</v>
      </c>
      <c r="C4332" s="8">
        <v>46133</v>
      </c>
      <c r="D4332" t="s">
        <v>324</v>
      </c>
      <c r="E4332" t="s">
        <v>337</v>
      </c>
      <c r="F4332" s="12">
        <v>259291</v>
      </c>
      <c r="G4332" s="13">
        <v>25</v>
      </c>
      <c r="H4332" t="s">
        <v>2810</v>
      </c>
      <c r="I4332" s="8">
        <v>46053</v>
      </c>
      <c r="J4332" t="s">
        <v>2692</v>
      </c>
      <c r="K4332" t="s">
        <v>2693</v>
      </c>
      <c r="L4332" s="13">
        <v>10000</v>
      </c>
      <c r="M4332" t="s">
        <v>2661</v>
      </c>
    </row>
    <row r="4333" spans="1:13">
      <c r="A4333" t="s">
        <v>1808</v>
      </c>
      <c r="B4333" t="s">
        <v>37</v>
      </c>
      <c r="C4333" s="8">
        <v>46133</v>
      </c>
      <c r="D4333" t="s">
        <v>324</v>
      </c>
      <c r="E4333" t="s">
        <v>337</v>
      </c>
      <c r="F4333" s="12">
        <v>259291</v>
      </c>
      <c r="G4333" s="13">
        <v>25</v>
      </c>
      <c r="H4333" t="s">
        <v>3040</v>
      </c>
      <c r="I4333" s="8">
        <v>45997</v>
      </c>
      <c r="J4333" t="s">
        <v>2665</v>
      </c>
      <c r="K4333" t="s">
        <v>2666</v>
      </c>
      <c r="L4333" s="13">
        <v>2500</v>
      </c>
      <c r="M4333" t="s">
        <v>2661</v>
      </c>
    </row>
    <row r="4334" spans="1:13">
      <c r="A4334" t="s">
        <v>1808</v>
      </c>
      <c r="B4334" t="s">
        <v>37</v>
      </c>
      <c r="C4334" s="8">
        <v>46133</v>
      </c>
      <c r="D4334" t="s">
        <v>324</v>
      </c>
      <c r="E4334" t="s">
        <v>337</v>
      </c>
      <c r="F4334" s="12">
        <v>259291</v>
      </c>
      <c r="G4334" s="13">
        <v>25</v>
      </c>
      <c r="H4334" t="s">
        <v>3440</v>
      </c>
      <c r="I4334" s="8">
        <v>46104</v>
      </c>
      <c r="J4334" t="s">
        <v>2665</v>
      </c>
      <c r="K4334" t="s">
        <v>2666</v>
      </c>
      <c r="L4334" s="13">
        <v>2500</v>
      </c>
      <c r="M4334" t="s">
        <v>2661</v>
      </c>
    </row>
    <row r="4335" spans="1:13">
      <c r="A4335" t="s">
        <v>1808</v>
      </c>
      <c r="B4335" t="s">
        <v>37</v>
      </c>
      <c r="C4335" s="8">
        <v>46133</v>
      </c>
      <c r="D4335" t="s">
        <v>324</v>
      </c>
      <c r="E4335" t="s">
        <v>337</v>
      </c>
      <c r="F4335" s="12">
        <v>259291</v>
      </c>
      <c r="G4335" s="13">
        <v>25</v>
      </c>
      <c r="H4335" t="s">
        <v>3487</v>
      </c>
      <c r="I4335" s="8">
        <v>46135</v>
      </c>
      <c r="J4335" t="s">
        <v>2692</v>
      </c>
      <c r="K4335" t="s">
        <v>2693</v>
      </c>
      <c r="L4335" s="13">
        <v>10000</v>
      </c>
      <c r="M4335" t="s">
        <v>2676</v>
      </c>
    </row>
    <row r="4336" spans="1:13">
      <c r="A4336" t="s">
        <v>1809</v>
      </c>
      <c r="B4336" t="s">
        <v>217</v>
      </c>
      <c r="C4336" s="8">
        <v>46010</v>
      </c>
      <c r="D4336" t="s">
        <v>350</v>
      </c>
      <c r="E4336" t="s">
        <v>334</v>
      </c>
      <c r="F4336" s="12">
        <v>180938</v>
      </c>
      <c r="G4336" s="13">
        <v>18</v>
      </c>
      <c r="H4336" t="s">
        <v>3010</v>
      </c>
      <c r="I4336" s="8">
        <v>46213</v>
      </c>
      <c r="J4336" t="s">
        <v>2674</v>
      </c>
      <c r="K4336" t="s">
        <v>2675</v>
      </c>
      <c r="L4336" s="13">
        <v>20000</v>
      </c>
      <c r="M4336" t="s">
        <v>2661</v>
      </c>
    </row>
    <row r="4337" spans="1:13">
      <c r="A4337" t="s">
        <v>1809</v>
      </c>
      <c r="B4337" t="s">
        <v>217</v>
      </c>
      <c r="C4337" s="8">
        <v>46010</v>
      </c>
      <c r="D4337" t="s">
        <v>350</v>
      </c>
      <c r="E4337" t="s">
        <v>334</v>
      </c>
      <c r="F4337" s="12">
        <v>180938</v>
      </c>
      <c r="G4337" s="13">
        <v>18</v>
      </c>
      <c r="H4337" t="s">
        <v>3493</v>
      </c>
      <c r="I4337" s="8">
        <v>46078</v>
      </c>
      <c r="J4337" t="s">
        <v>2682</v>
      </c>
      <c r="K4337" t="s">
        <v>2683</v>
      </c>
      <c r="L4337" s="13">
        <v>6000</v>
      </c>
      <c r="M4337" t="s">
        <v>2661</v>
      </c>
    </row>
    <row r="4338" spans="1:13">
      <c r="A4338" t="s">
        <v>1810</v>
      </c>
      <c r="B4338" t="s">
        <v>89</v>
      </c>
      <c r="C4338" s="8">
        <v>46111</v>
      </c>
      <c r="D4338" t="s">
        <v>350</v>
      </c>
      <c r="E4338" t="s">
        <v>328</v>
      </c>
      <c r="F4338" s="12">
        <v>199491</v>
      </c>
      <c r="G4338" s="13">
        <v>19</v>
      </c>
      <c r="H4338" t="s">
        <v>3245</v>
      </c>
      <c r="I4338" s="8">
        <v>46031</v>
      </c>
      <c r="J4338" t="s">
        <v>2685</v>
      </c>
      <c r="K4338" t="s">
        <v>2686</v>
      </c>
      <c r="L4338" s="13">
        <v>5000</v>
      </c>
      <c r="M4338" t="s">
        <v>2661</v>
      </c>
    </row>
    <row r="4339" spans="1:13">
      <c r="A4339" t="s">
        <v>1810</v>
      </c>
      <c r="B4339" t="s">
        <v>89</v>
      </c>
      <c r="C4339" s="8">
        <v>46111</v>
      </c>
      <c r="D4339" t="s">
        <v>350</v>
      </c>
      <c r="E4339" t="s">
        <v>328</v>
      </c>
      <c r="F4339" s="12">
        <v>199491</v>
      </c>
      <c r="G4339" s="13">
        <v>19</v>
      </c>
      <c r="H4339" t="s">
        <v>3283</v>
      </c>
      <c r="I4339" s="8">
        <v>45983</v>
      </c>
      <c r="J4339" t="s">
        <v>2674</v>
      </c>
      <c r="K4339" t="s">
        <v>2675</v>
      </c>
      <c r="L4339" s="13">
        <v>20000</v>
      </c>
      <c r="M4339" t="s">
        <v>2661</v>
      </c>
    </row>
    <row r="4340" spans="1:13">
      <c r="A4340" t="s">
        <v>1811</v>
      </c>
      <c r="B4340" t="s">
        <v>291</v>
      </c>
      <c r="C4340" s="8">
        <v>46268</v>
      </c>
      <c r="D4340" t="s">
        <v>344</v>
      </c>
      <c r="E4340" t="s">
        <v>325</v>
      </c>
      <c r="F4340" s="12">
        <v>493787</v>
      </c>
      <c r="G4340" s="13">
        <v>49</v>
      </c>
      <c r="H4340" t="s">
        <v>3405</v>
      </c>
      <c r="I4340" s="8">
        <v>46081</v>
      </c>
      <c r="J4340" t="s">
        <v>2663</v>
      </c>
      <c r="K4340" t="s">
        <v>3630</v>
      </c>
      <c r="L4340" s="13">
        <v>1500</v>
      </c>
      <c r="M4340" t="s">
        <v>2676</v>
      </c>
    </row>
    <row r="4341" spans="1:13">
      <c r="A4341" t="s">
        <v>1811</v>
      </c>
      <c r="B4341" t="s">
        <v>291</v>
      </c>
      <c r="C4341" s="8">
        <v>46268</v>
      </c>
      <c r="D4341" t="s">
        <v>344</v>
      </c>
      <c r="E4341" t="s">
        <v>325</v>
      </c>
      <c r="F4341" s="12">
        <v>493787</v>
      </c>
      <c r="G4341" s="13">
        <v>49</v>
      </c>
      <c r="H4341" t="s">
        <v>3489</v>
      </c>
      <c r="I4341" s="8">
        <v>46099</v>
      </c>
      <c r="J4341" t="s">
        <v>2663</v>
      </c>
      <c r="K4341" t="s">
        <v>3630</v>
      </c>
      <c r="L4341" s="13">
        <v>1500</v>
      </c>
      <c r="M4341" t="s">
        <v>2676</v>
      </c>
    </row>
    <row r="4342" spans="1:13">
      <c r="A4342" t="s">
        <v>1811</v>
      </c>
      <c r="B4342" t="s">
        <v>291</v>
      </c>
      <c r="C4342" s="8">
        <v>46268</v>
      </c>
      <c r="D4342" t="s">
        <v>344</v>
      </c>
      <c r="E4342" t="s">
        <v>325</v>
      </c>
      <c r="F4342" s="12">
        <v>493787</v>
      </c>
      <c r="G4342" s="13">
        <v>49</v>
      </c>
      <c r="H4342" t="s">
        <v>3520</v>
      </c>
      <c r="I4342" s="8">
        <v>46134</v>
      </c>
      <c r="J4342" t="s">
        <v>2671</v>
      </c>
      <c r="K4342" t="s">
        <v>2672</v>
      </c>
      <c r="L4342" s="13">
        <v>3000</v>
      </c>
      <c r="M4342" t="s">
        <v>2661</v>
      </c>
    </row>
    <row r="4343" spans="1:13">
      <c r="A4343" t="s">
        <v>1812</v>
      </c>
      <c r="B4343" t="s">
        <v>114</v>
      </c>
      <c r="C4343" s="8">
        <v>45960</v>
      </c>
      <c r="D4343" t="s">
        <v>330</v>
      </c>
      <c r="E4343" t="s">
        <v>322</v>
      </c>
      <c r="F4343" s="12">
        <v>274515</v>
      </c>
      <c r="G4343" s="13">
        <v>27</v>
      </c>
      <c r="H4343" t="s">
        <v>2706</v>
      </c>
      <c r="I4343" s="8">
        <v>46247</v>
      </c>
      <c r="J4343" t="s">
        <v>2668</v>
      </c>
      <c r="K4343" t="s">
        <v>2669</v>
      </c>
      <c r="L4343" s="13">
        <v>4000</v>
      </c>
      <c r="M4343" t="s">
        <v>2661</v>
      </c>
    </row>
    <row r="4344" spans="1:13">
      <c r="A4344" t="s">
        <v>1812</v>
      </c>
      <c r="B4344" t="s">
        <v>114</v>
      </c>
      <c r="C4344" s="8">
        <v>45960</v>
      </c>
      <c r="D4344" t="s">
        <v>330</v>
      </c>
      <c r="E4344" t="s">
        <v>322</v>
      </c>
      <c r="F4344" s="12">
        <v>274515</v>
      </c>
      <c r="G4344" s="13">
        <v>27</v>
      </c>
      <c r="H4344" t="s">
        <v>2730</v>
      </c>
      <c r="I4344" s="8">
        <v>46171</v>
      </c>
      <c r="J4344" t="s">
        <v>2659</v>
      </c>
      <c r="K4344" t="s">
        <v>2660</v>
      </c>
      <c r="L4344" s="13">
        <v>3500</v>
      </c>
      <c r="M4344" t="s">
        <v>2661</v>
      </c>
    </row>
    <row r="4345" spans="1:13">
      <c r="A4345" t="s">
        <v>1812</v>
      </c>
      <c r="B4345" t="s">
        <v>114</v>
      </c>
      <c r="C4345" s="8">
        <v>45960</v>
      </c>
      <c r="D4345" t="s">
        <v>330</v>
      </c>
      <c r="E4345" t="s">
        <v>322</v>
      </c>
      <c r="F4345" s="12">
        <v>274515</v>
      </c>
      <c r="G4345" s="13">
        <v>27</v>
      </c>
      <c r="H4345" t="s">
        <v>2767</v>
      </c>
      <c r="I4345" s="8">
        <v>46007</v>
      </c>
      <c r="J4345" t="s">
        <v>2663</v>
      </c>
      <c r="K4345" t="s">
        <v>3630</v>
      </c>
      <c r="L4345" s="13">
        <v>1500</v>
      </c>
      <c r="M4345" t="s">
        <v>2661</v>
      </c>
    </row>
    <row r="4346" spans="1:13">
      <c r="A4346" t="s">
        <v>1812</v>
      </c>
      <c r="B4346" t="s">
        <v>114</v>
      </c>
      <c r="C4346" s="8">
        <v>45960</v>
      </c>
      <c r="D4346" t="s">
        <v>330</v>
      </c>
      <c r="E4346" t="s">
        <v>322</v>
      </c>
      <c r="F4346" s="12">
        <v>274515</v>
      </c>
      <c r="G4346" s="13">
        <v>27</v>
      </c>
      <c r="H4346" t="s">
        <v>2825</v>
      </c>
      <c r="I4346" s="8">
        <v>46147</v>
      </c>
      <c r="J4346" t="s">
        <v>2682</v>
      </c>
      <c r="K4346" t="s">
        <v>2683</v>
      </c>
      <c r="L4346" s="13">
        <v>6000</v>
      </c>
      <c r="M4346" t="s">
        <v>2661</v>
      </c>
    </row>
    <row r="4347" spans="1:13">
      <c r="A4347" t="s">
        <v>1812</v>
      </c>
      <c r="B4347" t="s">
        <v>114</v>
      </c>
      <c r="C4347" s="8">
        <v>45960</v>
      </c>
      <c r="D4347" t="s">
        <v>330</v>
      </c>
      <c r="E4347" t="s">
        <v>322</v>
      </c>
      <c r="F4347" s="12">
        <v>274515</v>
      </c>
      <c r="G4347" s="13">
        <v>27</v>
      </c>
      <c r="H4347" t="s">
        <v>3567</v>
      </c>
      <c r="I4347" s="8">
        <v>45985</v>
      </c>
      <c r="J4347" t="s">
        <v>2674</v>
      </c>
      <c r="K4347" t="s">
        <v>2675</v>
      </c>
      <c r="L4347" s="13">
        <v>20000</v>
      </c>
      <c r="M4347" t="s">
        <v>2661</v>
      </c>
    </row>
    <row r="4348" spans="1:13">
      <c r="A4348" t="s">
        <v>1813</v>
      </c>
      <c r="B4348" t="s">
        <v>110</v>
      </c>
      <c r="C4348" s="8">
        <v>46110</v>
      </c>
      <c r="D4348" t="s">
        <v>330</v>
      </c>
      <c r="E4348" t="s">
        <v>337</v>
      </c>
      <c r="F4348" s="12">
        <v>212596</v>
      </c>
      <c r="G4348" s="13">
        <v>21</v>
      </c>
      <c r="H4348" t="s">
        <v>3413</v>
      </c>
      <c r="I4348" s="8">
        <v>46031</v>
      </c>
      <c r="J4348" t="s">
        <v>2685</v>
      </c>
      <c r="K4348" t="s">
        <v>2686</v>
      </c>
      <c r="L4348" s="13">
        <v>5000</v>
      </c>
      <c r="M4348" t="s">
        <v>2661</v>
      </c>
    </row>
    <row r="4349" spans="1:13">
      <c r="A4349" t="s">
        <v>1813</v>
      </c>
      <c r="B4349" t="s">
        <v>110</v>
      </c>
      <c r="C4349" s="8">
        <v>46110</v>
      </c>
      <c r="D4349" t="s">
        <v>330</v>
      </c>
      <c r="E4349" t="s">
        <v>337</v>
      </c>
      <c r="F4349" s="12">
        <v>212596</v>
      </c>
      <c r="G4349" s="13">
        <v>21</v>
      </c>
      <c r="H4349" t="s">
        <v>3438</v>
      </c>
      <c r="I4349" s="8">
        <v>45935</v>
      </c>
      <c r="J4349" t="s">
        <v>2668</v>
      </c>
      <c r="K4349" t="s">
        <v>2669</v>
      </c>
      <c r="L4349" s="13">
        <v>4000</v>
      </c>
      <c r="M4349" t="s">
        <v>2661</v>
      </c>
    </row>
    <row r="4350" spans="1:13">
      <c r="A4350" t="s">
        <v>1813</v>
      </c>
      <c r="B4350" t="s">
        <v>110</v>
      </c>
      <c r="C4350" s="8">
        <v>46110</v>
      </c>
      <c r="D4350" t="s">
        <v>330</v>
      </c>
      <c r="E4350" t="s">
        <v>337</v>
      </c>
      <c r="F4350" s="12">
        <v>212596</v>
      </c>
      <c r="G4350" s="13">
        <v>21</v>
      </c>
      <c r="H4350" t="s">
        <v>3543</v>
      </c>
      <c r="I4350" s="8">
        <v>46256</v>
      </c>
      <c r="J4350" t="s">
        <v>2663</v>
      </c>
      <c r="K4350" t="s">
        <v>3630</v>
      </c>
      <c r="L4350" s="13">
        <v>1500</v>
      </c>
      <c r="M4350" t="s">
        <v>2676</v>
      </c>
    </row>
    <row r="4351" spans="1:13">
      <c r="A4351" t="s">
        <v>1814</v>
      </c>
      <c r="B4351" t="s">
        <v>196</v>
      </c>
      <c r="C4351" s="8">
        <v>46255</v>
      </c>
      <c r="D4351" t="s">
        <v>330</v>
      </c>
      <c r="E4351" t="s">
        <v>337</v>
      </c>
      <c r="F4351" s="12">
        <v>605749</v>
      </c>
      <c r="G4351" s="13">
        <v>60</v>
      </c>
      <c r="H4351" t="s">
        <v>3132</v>
      </c>
      <c r="I4351" s="8">
        <v>46123</v>
      </c>
      <c r="J4351" t="s">
        <v>2668</v>
      </c>
      <c r="K4351" t="s">
        <v>2669</v>
      </c>
      <c r="L4351" s="13">
        <v>4000</v>
      </c>
      <c r="M4351" t="s">
        <v>2661</v>
      </c>
    </row>
    <row r="4352" spans="1:13">
      <c r="A4352" t="s">
        <v>1814</v>
      </c>
      <c r="B4352" t="s">
        <v>196</v>
      </c>
      <c r="C4352" s="8">
        <v>46255</v>
      </c>
      <c r="D4352" t="s">
        <v>330</v>
      </c>
      <c r="E4352" t="s">
        <v>337</v>
      </c>
      <c r="F4352" s="12">
        <v>605749</v>
      </c>
      <c r="G4352" s="13">
        <v>60</v>
      </c>
      <c r="H4352" t="s">
        <v>3338</v>
      </c>
      <c r="I4352" s="8">
        <v>46020</v>
      </c>
      <c r="J4352" t="s">
        <v>2692</v>
      </c>
      <c r="K4352" t="s">
        <v>2693</v>
      </c>
      <c r="L4352" s="13">
        <v>10000</v>
      </c>
      <c r="M4352" t="s">
        <v>2661</v>
      </c>
    </row>
    <row r="4353" spans="1:13">
      <c r="A4353" t="s">
        <v>1814</v>
      </c>
      <c r="B4353" t="s">
        <v>196</v>
      </c>
      <c r="C4353" s="8">
        <v>46255</v>
      </c>
      <c r="D4353" t="s">
        <v>330</v>
      </c>
      <c r="E4353" t="s">
        <v>337</v>
      </c>
      <c r="F4353" s="12">
        <v>605749</v>
      </c>
      <c r="G4353" s="13">
        <v>60</v>
      </c>
      <c r="H4353" t="s">
        <v>3502</v>
      </c>
      <c r="I4353" s="8">
        <v>45979</v>
      </c>
      <c r="J4353" t="s">
        <v>2692</v>
      </c>
      <c r="K4353" t="s">
        <v>2693</v>
      </c>
      <c r="L4353" s="13">
        <v>10000</v>
      </c>
      <c r="M4353" t="s">
        <v>2661</v>
      </c>
    </row>
    <row r="4354" spans="1:13">
      <c r="A4354" t="s">
        <v>1815</v>
      </c>
      <c r="B4354" t="s">
        <v>274</v>
      </c>
      <c r="C4354" s="8">
        <v>45945</v>
      </c>
      <c r="D4354" t="s">
        <v>321</v>
      </c>
      <c r="E4354" t="s">
        <v>339</v>
      </c>
      <c r="F4354" s="12">
        <v>91049</v>
      </c>
      <c r="G4354" s="13">
        <v>9</v>
      </c>
      <c r="H4354" t="s">
        <v>2774</v>
      </c>
      <c r="I4354" s="8">
        <v>46157</v>
      </c>
      <c r="J4354" t="s">
        <v>2685</v>
      </c>
      <c r="K4354" t="s">
        <v>2686</v>
      </c>
      <c r="L4354" s="13">
        <v>5000</v>
      </c>
      <c r="M4354" t="s">
        <v>2661</v>
      </c>
    </row>
    <row r="4355" spans="1:13">
      <c r="A4355" t="s">
        <v>1815</v>
      </c>
      <c r="B4355" t="s">
        <v>274</v>
      </c>
      <c r="C4355" s="8">
        <v>45945</v>
      </c>
      <c r="D4355" t="s">
        <v>321</v>
      </c>
      <c r="E4355" t="s">
        <v>339</v>
      </c>
      <c r="F4355" s="12">
        <v>91049</v>
      </c>
      <c r="G4355" s="13">
        <v>9</v>
      </c>
      <c r="H4355" t="s">
        <v>2811</v>
      </c>
      <c r="I4355" s="8">
        <v>45976</v>
      </c>
      <c r="J4355" t="s">
        <v>2688</v>
      </c>
      <c r="K4355" t="s">
        <v>2689</v>
      </c>
      <c r="L4355" s="13">
        <v>8000</v>
      </c>
      <c r="M4355" t="s">
        <v>2661</v>
      </c>
    </row>
    <row r="4356" spans="1:13">
      <c r="A4356" t="s">
        <v>1815</v>
      </c>
      <c r="B4356" t="s">
        <v>274</v>
      </c>
      <c r="C4356" s="8">
        <v>45945</v>
      </c>
      <c r="D4356" t="s">
        <v>321</v>
      </c>
      <c r="E4356" t="s">
        <v>339</v>
      </c>
      <c r="F4356" s="12">
        <v>91049</v>
      </c>
      <c r="G4356" s="13">
        <v>9</v>
      </c>
      <c r="H4356" t="s">
        <v>2842</v>
      </c>
      <c r="I4356" s="8">
        <v>46222</v>
      </c>
      <c r="J4356" t="s">
        <v>2682</v>
      </c>
      <c r="K4356" t="s">
        <v>2683</v>
      </c>
      <c r="L4356" s="13">
        <v>6000</v>
      </c>
      <c r="M4356" t="s">
        <v>2661</v>
      </c>
    </row>
    <row r="4357" spans="1:13">
      <c r="A4357" t="s">
        <v>1815</v>
      </c>
      <c r="B4357" t="s">
        <v>274</v>
      </c>
      <c r="C4357" s="8">
        <v>45945</v>
      </c>
      <c r="D4357" t="s">
        <v>321</v>
      </c>
      <c r="E4357" t="s">
        <v>339</v>
      </c>
      <c r="F4357" s="12">
        <v>91049</v>
      </c>
      <c r="G4357" s="13">
        <v>9</v>
      </c>
      <c r="H4357" t="s">
        <v>2855</v>
      </c>
      <c r="I4357" s="8">
        <v>46132</v>
      </c>
      <c r="J4357" t="s">
        <v>2688</v>
      </c>
      <c r="K4357" t="s">
        <v>2689</v>
      </c>
      <c r="L4357" s="13">
        <v>8000</v>
      </c>
      <c r="M4357" t="s">
        <v>2661</v>
      </c>
    </row>
    <row r="4358" spans="1:13">
      <c r="A4358" t="s">
        <v>1815</v>
      </c>
      <c r="B4358" t="s">
        <v>274</v>
      </c>
      <c r="C4358" s="8">
        <v>45945</v>
      </c>
      <c r="D4358" t="s">
        <v>321</v>
      </c>
      <c r="E4358" t="s">
        <v>339</v>
      </c>
      <c r="F4358" s="12">
        <v>91049</v>
      </c>
      <c r="G4358" s="13">
        <v>9</v>
      </c>
      <c r="H4358" t="s">
        <v>3433</v>
      </c>
      <c r="I4358" s="8">
        <v>46038</v>
      </c>
      <c r="J4358" t="s">
        <v>2692</v>
      </c>
      <c r="K4358" t="s">
        <v>2693</v>
      </c>
      <c r="L4358" s="13">
        <v>10000</v>
      </c>
      <c r="M4358" t="s">
        <v>2661</v>
      </c>
    </row>
    <row r="4359" spans="1:13">
      <c r="A4359" t="s">
        <v>1815</v>
      </c>
      <c r="B4359" t="s">
        <v>274</v>
      </c>
      <c r="C4359" s="8">
        <v>45945</v>
      </c>
      <c r="D4359" t="s">
        <v>321</v>
      </c>
      <c r="E4359" t="s">
        <v>339</v>
      </c>
      <c r="F4359" s="12">
        <v>91049</v>
      </c>
      <c r="G4359" s="13">
        <v>9</v>
      </c>
      <c r="H4359" t="s">
        <v>3488</v>
      </c>
      <c r="I4359" s="8">
        <v>46057</v>
      </c>
      <c r="J4359" t="s">
        <v>2665</v>
      </c>
      <c r="K4359" t="s">
        <v>2666</v>
      </c>
      <c r="L4359" s="13">
        <v>2500</v>
      </c>
      <c r="M4359" t="s">
        <v>2676</v>
      </c>
    </row>
    <row r="4360" spans="1:13">
      <c r="A4360" t="s">
        <v>1816</v>
      </c>
      <c r="B4360" t="s">
        <v>285</v>
      </c>
      <c r="C4360" s="8">
        <v>46123</v>
      </c>
      <c r="D4360" t="s">
        <v>342</v>
      </c>
      <c r="E4360" t="s">
        <v>322</v>
      </c>
      <c r="F4360" s="12">
        <v>195364</v>
      </c>
      <c r="G4360" s="13">
        <v>19</v>
      </c>
      <c r="H4360" t="s">
        <v>2745</v>
      </c>
      <c r="I4360" s="8">
        <v>46274</v>
      </c>
      <c r="J4360" t="s">
        <v>2682</v>
      </c>
      <c r="K4360" t="s">
        <v>2683</v>
      </c>
      <c r="L4360" s="13">
        <v>6000</v>
      </c>
      <c r="M4360" t="s">
        <v>2661</v>
      </c>
    </row>
    <row r="4361" spans="1:13">
      <c r="A4361" t="s">
        <v>1817</v>
      </c>
      <c r="B4361" t="s">
        <v>275</v>
      </c>
      <c r="C4361" s="8">
        <v>45947</v>
      </c>
      <c r="D4361" t="s">
        <v>344</v>
      </c>
      <c r="E4361" t="s">
        <v>334</v>
      </c>
      <c r="F4361" s="12">
        <v>300071</v>
      </c>
      <c r="G4361" s="13">
        <v>30</v>
      </c>
      <c r="H4361" t="s">
        <v>2769</v>
      </c>
      <c r="I4361" s="8">
        <v>45949</v>
      </c>
      <c r="J4361" t="s">
        <v>2659</v>
      </c>
      <c r="K4361" t="s">
        <v>2660</v>
      </c>
      <c r="L4361" s="13">
        <v>3500</v>
      </c>
      <c r="M4361" t="s">
        <v>2661</v>
      </c>
    </row>
    <row r="4362" spans="1:13">
      <c r="A4362" t="s">
        <v>1817</v>
      </c>
      <c r="B4362" t="s">
        <v>275</v>
      </c>
      <c r="C4362" s="8">
        <v>45947</v>
      </c>
      <c r="D4362" t="s">
        <v>344</v>
      </c>
      <c r="E4362" t="s">
        <v>334</v>
      </c>
      <c r="F4362" s="12">
        <v>300071</v>
      </c>
      <c r="G4362" s="13">
        <v>30</v>
      </c>
      <c r="H4362" t="s">
        <v>2812</v>
      </c>
      <c r="I4362" s="8">
        <v>46037</v>
      </c>
      <c r="J4362" t="s">
        <v>2671</v>
      </c>
      <c r="K4362" t="s">
        <v>2672</v>
      </c>
      <c r="L4362" s="13">
        <v>3000</v>
      </c>
      <c r="M4362" t="s">
        <v>2661</v>
      </c>
    </row>
    <row r="4363" spans="1:13">
      <c r="A4363" t="s">
        <v>1817</v>
      </c>
      <c r="B4363" t="s">
        <v>275</v>
      </c>
      <c r="C4363" s="8">
        <v>45947</v>
      </c>
      <c r="D4363" t="s">
        <v>344</v>
      </c>
      <c r="E4363" t="s">
        <v>334</v>
      </c>
      <c r="F4363" s="12">
        <v>300071</v>
      </c>
      <c r="G4363" s="13">
        <v>30</v>
      </c>
      <c r="H4363" t="s">
        <v>2988</v>
      </c>
      <c r="I4363" s="8">
        <v>45949</v>
      </c>
      <c r="J4363" t="s">
        <v>2692</v>
      </c>
      <c r="K4363" t="s">
        <v>2693</v>
      </c>
      <c r="L4363" s="13">
        <v>10000</v>
      </c>
      <c r="M4363" t="s">
        <v>2661</v>
      </c>
    </row>
    <row r="4364" spans="1:13">
      <c r="A4364" t="s">
        <v>1817</v>
      </c>
      <c r="B4364" t="s">
        <v>275</v>
      </c>
      <c r="C4364" s="8">
        <v>45947</v>
      </c>
      <c r="D4364" t="s">
        <v>344</v>
      </c>
      <c r="E4364" t="s">
        <v>334</v>
      </c>
      <c r="F4364" s="12">
        <v>300071</v>
      </c>
      <c r="G4364" s="13">
        <v>30</v>
      </c>
      <c r="H4364" t="s">
        <v>3251</v>
      </c>
      <c r="I4364" s="8">
        <v>46059</v>
      </c>
      <c r="J4364" t="s">
        <v>2685</v>
      </c>
      <c r="K4364" t="s">
        <v>2686</v>
      </c>
      <c r="L4364" s="13">
        <v>5000</v>
      </c>
      <c r="M4364" t="s">
        <v>2661</v>
      </c>
    </row>
    <row r="4365" spans="1:13">
      <c r="A4365" t="s">
        <v>1817</v>
      </c>
      <c r="B4365" t="s">
        <v>275</v>
      </c>
      <c r="C4365" s="8">
        <v>45947</v>
      </c>
      <c r="D4365" t="s">
        <v>344</v>
      </c>
      <c r="E4365" t="s">
        <v>334</v>
      </c>
      <c r="F4365" s="12">
        <v>300071</v>
      </c>
      <c r="G4365" s="13">
        <v>30</v>
      </c>
      <c r="H4365" t="s">
        <v>3366</v>
      </c>
      <c r="I4365" s="8">
        <v>46230</v>
      </c>
      <c r="J4365" t="s">
        <v>2671</v>
      </c>
      <c r="K4365" t="s">
        <v>2672</v>
      </c>
      <c r="L4365" s="13">
        <v>3000</v>
      </c>
      <c r="M4365" t="s">
        <v>2661</v>
      </c>
    </row>
    <row r="4366" spans="1:13">
      <c r="A4366" t="s">
        <v>1818</v>
      </c>
      <c r="B4366" t="s">
        <v>67</v>
      </c>
      <c r="C4366" s="8">
        <v>46244</v>
      </c>
      <c r="D4366" t="s">
        <v>327</v>
      </c>
      <c r="E4366" t="s">
        <v>328</v>
      </c>
      <c r="F4366" s="12">
        <v>219014</v>
      </c>
      <c r="G4366" s="13">
        <v>21</v>
      </c>
      <c r="H4366" t="s">
        <v>3272</v>
      </c>
      <c r="I4366" s="8">
        <v>46247</v>
      </c>
      <c r="J4366" t="s">
        <v>2665</v>
      </c>
      <c r="K4366" t="s">
        <v>2666</v>
      </c>
      <c r="L4366" s="13">
        <v>2500</v>
      </c>
      <c r="M4366" t="s">
        <v>2661</v>
      </c>
    </row>
    <row r="4367" spans="1:13">
      <c r="A4367" t="s">
        <v>1819</v>
      </c>
      <c r="B4367" t="s">
        <v>212</v>
      </c>
      <c r="C4367" s="8">
        <v>46257</v>
      </c>
      <c r="D4367" t="s">
        <v>332</v>
      </c>
      <c r="E4367" t="s">
        <v>337</v>
      </c>
      <c r="F4367" s="12">
        <v>370703</v>
      </c>
      <c r="G4367" s="13">
        <v>37</v>
      </c>
      <c r="H4367" t="s">
        <v>2760</v>
      </c>
      <c r="I4367" s="8">
        <v>46244</v>
      </c>
      <c r="J4367" t="s">
        <v>2668</v>
      </c>
      <c r="K4367" t="s">
        <v>2669</v>
      </c>
      <c r="L4367" s="13">
        <v>4000</v>
      </c>
      <c r="M4367" t="s">
        <v>2661</v>
      </c>
    </row>
    <row r="4368" spans="1:13">
      <c r="A4368" t="s">
        <v>1819</v>
      </c>
      <c r="B4368" t="s">
        <v>212</v>
      </c>
      <c r="C4368" s="8">
        <v>46257</v>
      </c>
      <c r="D4368" t="s">
        <v>332</v>
      </c>
      <c r="E4368" t="s">
        <v>337</v>
      </c>
      <c r="F4368" s="12">
        <v>370703</v>
      </c>
      <c r="G4368" s="13">
        <v>37</v>
      </c>
      <c r="H4368" t="s">
        <v>2935</v>
      </c>
      <c r="I4368" s="8">
        <v>46216</v>
      </c>
      <c r="J4368" t="s">
        <v>2665</v>
      </c>
      <c r="K4368" t="s">
        <v>2666</v>
      </c>
      <c r="L4368" s="13">
        <v>2500</v>
      </c>
      <c r="M4368" t="s">
        <v>2661</v>
      </c>
    </row>
    <row r="4369" spans="1:13">
      <c r="A4369" t="s">
        <v>1819</v>
      </c>
      <c r="B4369" t="s">
        <v>212</v>
      </c>
      <c r="C4369" s="8">
        <v>46257</v>
      </c>
      <c r="D4369" t="s">
        <v>332</v>
      </c>
      <c r="E4369" t="s">
        <v>337</v>
      </c>
      <c r="F4369" s="12">
        <v>370703</v>
      </c>
      <c r="G4369" s="13">
        <v>37</v>
      </c>
      <c r="H4369" t="s">
        <v>3100</v>
      </c>
      <c r="I4369" s="8">
        <v>46226</v>
      </c>
      <c r="J4369" t="s">
        <v>2665</v>
      </c>
      <c r="K4369" t="s">
        <v>2666</v>
      </c>
      <c r="L4369" s="13">
        <v>2500</v>
      </c>
      <c r="M4369" t="s">
        <v>2661</v>
      </c>
    </row>
    <row r="4370" spans="1:13">
      <c r="A4370" t="s">
        <v>1820</v>
      </c>
      <c r="B4370" t="s">
        <v>107</v>
      </c>
      <c r="C4370" s="8">
        <v>46211</v>
      </c>
      <c r="D4370" t="s">
        <v>350</v>
      </c>
      <c r="E4370" t="s">
        <v>339</v>
      </c>
      <c r="F4370" s="12">
        <v>122671</v>
      </c>
      <c r="G4370" s="13">
        <v>12</v>
      </c>
      <c r="H4370" t="s">
        <v>2865</v>
      </c>
      <c r="I4370" s="8">
        <v>46153</v>
      </c>
      <c r="J4370" t="s">
        <v>2692</v>
      </c>
      <c r="K4370" t="s">
        <v>2693</v>
      </c>
      <c r="L4370" s="13">
        <v>10000</v>
      </c>
      <c r="M4370" t="s">
        <v>2676</v>
      </c>
    </row>
    <row r="4371" spans="1:13">
      <c r="A4371" t="s">
        <v>1820</v>
      </c>
      <c r="B4371" t="s">
        <v>107</v>
      </c>
      <c r="C4371" s="8">
        <v>46211</v>
      </c>
      <c r="D4371" t="s">
        <v>350</v>
      </c>
      <c r="E4371" t="s">
        <v>339</v>
      </c>
      <c r="F4371" s="12">
        <v>122671</v>
      </c>
      <c r="G4371" s="13">
        <v>12</v>
      </c>
      <c r="H4371" t="s">
        <v>3214</v>
      </c>
      <c r="I4371" s="8">
        <v>46183</v>
      </c>
      <c r="J4371" t="s">
        <v>2692</v>
      </c>
      <c r="K4371" t="s">
        <v>2693</v>
      </c>
      <c r="L4371" s="13">
        <v>10000</v>
      </c>
      <c r="M4371" t="s">
        <v>2661</v>
      </c>
    </row>
    <row r="4372" spans="1:13">
      <c r="A4372" t="s">
        <v>1820</v>
      </c>
      <c r="B4372" t="s">
        <v>107</v>
      </c>
      <c r="C4372" s="8">
        <v>46211</v>
      </c>
      <c r="D4372" t="s">
        <v>350</v>
      </c>
      <c r="E4372" t="s">
        <v>339</v>
      </c>
      <c r="F4372" s="12">
        <v>122671</v>
      </c>
      <c r="G4372" s="13">
        <v>12</v>
      </c>
      <c r="H4372" t="s">
        <v>3424</v>
      </c>
      <c r="I4372" s="8">
        <v>46007</v>
      </c>
      <c r="J4372" t="s">
        <v>2674</v>
      </c>
      <c r="K4372" t="s">
        <v>2675</v>
      </c>
      <c r="L4372" s="13">
        <v>20000</v>
      </c>
      <c r="M4372" t="s">
        <v>2661</v>
      </c>
    </row>
    <row r="4373" spans="1:13">
      <c r="A4373" t="s">
        <v>1820</v>
      </c>
      <c r="B4373" t="s">
        <v>107</v>
      </c>
      <c r="C4373" s="8">
        <v>46211</v>
      </c>
      <c r="D4373" t="s">
        <v>350</v>
      </c>
      <c r="E4373" t="s">
        <v>339</v>
      </c>
      <c r="F4373" s="12">
        <v>122671</v>
      </c>
      <c r="G4373" s="13">
        <v>12</v>
      </c>
      <c r="H4373" t="s">
        <v>3569</v>
      </c>
      <c r="I4373" s="8">
        <v>45938</v>
      </c>
      <c r="J4373" t="s">
        <v>2692</v>
      </c>
      <c r="K4373" t="s">
        <v>2693</v>
      </c>
      <c r="L4373" s="13">
        <v>10000</v>
      </c>
      <c r="M4373" t="s">
        <v>2661</v>
      </c>
    </row>
    <row r="4374" spans="1:13">
      <c r="A4374" t="s">
        <v>1821</v>
      </c>
      <c r="B4374" t="s">
        <v>134</v>
      </c>
      <c r="C4374" s="8">
        <v>46051</v>
      </c>
      <c r="D4374" t="s">
        <v>321</v>
      </c>
      <c r="E4374" t="s">
        <v>334</v>
      </c>
      <c r="F4374" s="12">
        <v>529548</v>
      </c>
      <c r="G4374" s="13">
        <v>52</v>
      </c>
      <c r="H4374" t="s">
        <v>3183</v>
      </c>
      <c r="I4374" s="8">
        <v>46285</v>
      </c>
      <c r="J4374" t="s">
        <v>2663</v>
      </c>
      <c r="K4374" t="s">
        <v>3630</v>
      </c>
      <c r="L4374" s="13">
        <v>1500</v>
      </c>
      <c r="M4374" t="s">
        <v>2661</v>
      </c>
    </row>
    <row r="4375" spans="1:13">
      <c r="A4375" t="s">
        <v>1822</v>
      </c>
      <c r="B4375" t="s">
        <v>294</v>
      </c>
      <c r="C4375" s="8">
        <v>46050</v>
      </c>
      <c r="D4375" t="s">
        <v>332</v>
      </c>
      <c r="E4375" t="s">
        <v>337</v>
      </c>
      <c r="F4375" s="12">
        <v>340401</v>
      </c>
      <c r="G4375" s="13">
        <v>34</v>
      </c>
      <c r="H4375" t="s">
        <v>3571</v>
      </c>
      <c r="I4375" s="8">
        <v>45937</v>
      </c>
      <c r="J4375" t="s">
        <v>2663</v>
      </c>
      <c r="K4375" t="s">
        <v>3630</v>
      </c>
      <c r="L4375" s="13">
        <v>1500</v>
      </c>
      <c r="M4375" t="s">
        <v>2661</v>
      </c>
    </row>
    <row r="4376" spans="1:13">
      <c r="A4376" t="s">
        <v>1822</v>
      </c>
      <c r="B4376" t="s">
        <v>294</v>
      </c>
      <c r="C4376" s="8">
        <v>46050</v>
      </c>
      <c r="D4376" t="s">
        <v>332</v>
      </c>
      <c r="E4376" t="s">
        <v>337</v>
      </c>
      <c r="F4376" s="12">
        <v>340401</v>
      </c>
      <c r="G4376" s="13">
        <v>34</v>
      </c>
      <c r="H4376" t="s">
        <v>3572</v>
      </c>
      <c r="I4376" s="8">
        <v>46039</v>
      </c>
      <c r="J4376" t="s">
        <v>2668</v>
      </c>
      <c r="K4376" t="s">
        <v>2669</v>
      </c>
      <c r="L4376" s="13">
        <v>4000</v>
      </c>
      <c r="M4376" t="s">
        <v>2661</v>
      </c>
    </row>
    <row r="4377" spans="1:13">
      <c r="A4377" t="s">
        <v>1823</v>
      </c>
      <c r="B4377" t="s">
        <v>166</v>
      </c>
      <c r="C4377" s="8">
        <v>46202</v>
      </c>
      <c r="D4377" t="s">
        <v>321</v>
      </c>
      <c r="E4377" t="s">
        <v>339</v>
      </c>
      <c r="F4377" s="12">
        <v>158146</v>
      </c>
      <c r="G4377" s="13">
        <v>15</v>
      </c>
      <c r="H4377" t="s">
        <v>2711</v>
      </c>
      <c r="I4377" s="8">
        <v>45938</v>
      </c>
      <c r="J4377" t="s">
        <v>2674</v>
      </c>
      <c r="K4377" t="s">
        <v>2675</v>
      </c>
      <c r="L4377" s="13">
        <v>20000</v>
      </c>
      <c r="M4377" t="s">
        <v>2676</v>
      </c>
    </row>
    <row r="4378" spans="1:13">
      <c r="A4378" t="s">
        <v>1823</v>
      </c>
      <c r="B4378" t="s">
        <v>166</v>
      </c>
      <c r="C4378" s="8">
        <v>46202</v>
      </c>
      <c r="D4378" t="s">
        <v>321</v>
      </c>
      <c r="E4378" t="s">
        <v>339</v>
      </c>
      <c r="F4378" s="12">
        <v>158146</v>
      </c>
      <c r="G4378" s="13">
        <v>15</v>
      </c>
      <c r="H4378" t="s">
        <v>2854</v>
      </c>
      <c r="I4378" s="8">
        <v>46022</v>
      </c>
      <c r="J4378" t="s">
        <v>2685</v>
      </c>
      <c r="K4378" t="s">
        <v>2686</v>
      </c>
      <c r="L4378" s="13">
        <v>5000</v>
      </c>
      <c r="M4378" t="s">
        <v>2661</v>
      </c>
    </row>
    <row r="4379" spans="1:13">
      <c r="A4379" t="s">
        <v>1823</v>
      </c>
      <c r="B4379" t="s">
        <v>166</v>
      </c>
      <c r="C4379" s="8">
        <v>46202</v>
      </c>
      <c r="D4379" t="s">
        <v>321</v>
      </c>
      <c r="E4379" t="s">
        <v>339</v>
      </c>
      <c r="F4379" s="12">
        <v>158146</v>
      </c>
      <c r="G4379" s="13">
        <v>15</v>
      </c>
      <c r="H4379" t="s">
        <v>3215</v>
      </c>
      <c r="I4379" s="8">
        <v>46213</v>
      </c>
      <c r="J4379" t="s">
        <v>2682</v>
      </c>
      <c r="K4379" t="s">
        <v>2683</v>
      </c>
      <c r="L4379" s="13">
        <v>6000</v>
      </c>
      <c r="M4379" t="s">
        <v>2661</v>
      </c>
    </row>
    <row r="4380" spans="1:13">
      <c r="A4380" t="s">
        <v>1823</v>
      </c>
      <c r="B4380" t="s">
        <v>166</v>
      </c>
      <c r="C4380" s="8">
        <v>46202</v>
      </c>
      <c r="D4380" t="s">
        <v>321</v>
      </c>
      <c r="E4380" t="s">
        <v>339</v>
      </c>
      <c r="F4380" s="12">
        <v>158146</v>
      </c>
      <c r="G4380" s="13">
        <v>15</v>
      </c>
      <c r="H4380" t="s">
        <v>3254</v>
      </c>
      <c r="I4380" s="8">
        <v>45958</v>
      </c>
      <c r="J4380" t="s">
        <v>2663</v>
      </c>
      <c r="K4380" t="s">
        <v>3630</v>
      </c>
      <c r="L4380" s="13">
        <v>1500</v>
      </c>
      <c r="M4380" t="s">
        <v>2661</v>
      </c>
    </row>
    <row r="4381" spans="1:13">
      <c r="A4381" t="s">
        <v>1824</v>
      </c>
      <c r="B4381" t="s">
        <v>152</v>
      </c>
      <c r="C4381" s="8">
        <v>46115</v>
      </c>
      <c r="D4381" t="s">
        <v>327</v>
      </c>
      <c r="E4381" t="s">
        <v>325</v>
      </c>
      <c r="F4381" s="12">
        <v>25000</v>
      </c>
      <c r="G4381" s="13">
        <v>2</v>
      </c>
      <c r="H4381" t="s">
        <v>3191</v>
      </c>
      <c r="I4381" s="8">
        <v>45972</v>
      </c>
      <c r="J4381" t="s">
        <v>2682</v>
      </c>
      <c r="K4381" t="s">
        <v>2683</v>
      </c>
      <c r="L4381" s="13">
        <v>6000</v>
      </c>
      <c r="M4381" t="s">
        <v>2661</v>
      </c>
    </row>
    <row r="4382" spans="1:13">
      <c r="A4382" t="s">
        <v>1824</v>
      </c>
      <c r="B4382" t="s">
        <v>152</v>
      </c>
      <c r="C4382" s="8">
        <v>46115</v>
      </c>
      <c r="D4382" t="s">
        <v>327</v>
      </c>
      <c r="E4382" t="s">
        <v>325</v>
      </c>
      <c r="F4382" s="12">
        <v>25000</v>
      </c>
      <c r="G4382" s="13">
        <v>2</v>
      </c>
      <c r="H4382" t="s">
        <v>3266</v>
      </c>
      <c r="I4382" s="8">
        <v>46251</v>
      </c>
      <c r="J4382" t="s">
        <v>2668</v>
      </c>
      <c r="K4382" t="s">
        <v>2669</v>
      </c>
      <c r="L4382" s="13">
        <v>4000</v>
      </c>
      <c r="M4382" t="s">
        <v>2661</v>
      </c>
    </row>
    <row r="4383" spans="1:13">
      <c r="A4383" t="s">
        <v>1825</v>
      </c>
      <c r="B4383" t="s">
        <v>160</v>
      </c>
      <c r="C4383" s="8">
        <v>46285</v>
      </c>
      <c r="D4383" t="s">
        <v>330</v>
      </c>
      <c r="E4383" t="s">
        <v>334</v>
      </c>
      <c r="F4383" s="12">
        <v>350577</v>
      </c>
      <c r="G4383" s="13">
        <v>35</v>
      </c>
      <c r="H4383" t="s">
        <v>2995</v>
      </c>
      <c r="I4383" s="8">
        <v>46074</v>
      </c>
      <c r="J4383" t="s">
        <v>2685</v>
      </c>
      <c r="K4383" t="s">
        <v>2686</v>
      </c>
      <c r="L4383" s="13">
        <v>5000</v>
      </c>
      <c r="M4383" t="s">
        <v>2676</v>
      </c>
    </row>
    <row r="4384" spans="1:13">
      <c r="A4384" t="s">
        <v>1825</v>
      </c>
      <c r="B4384" t="s">
        <v>160</v>
      </c>
      <c r="C4384" s="8">
        <v>46285</v>
      </c>
      <c r="D4384" t="s">
        <v>330</v>
      </c>
      <c r="E4384" t="s">
        <v>334</v>
      </c>
      <c r="F4384" s="12">
        <v>350577</v>
      </c>
      <c r="G4384" s="13">
        <v>35</v>
      </c>
      <c r="H4384" t="s">
        <v>3105</v>
      </c>
      <c r="I4384" s="8">
        <v>46023</v>
      </c>
      <c r="J4384" t="s">
        <v>2671</v>
      </c>
      <c r="K4384" t="s">
        <v>2672</v>
      </c>
      <c r="L4384" s="13">
        <v>3000</v>
      </c>
      <c r="M4384" t="s">
        <v>2661</v>
      </c>
    </row>
    <row r="4385" spans="1:13">
      <c r="A4385" t="s">
        <v>1825</v>
      </c>
      <c r="B4385" t="s">
        <v>160</v>
      </c>
      <c r="C4385" s="8">
        <v>46285</v>
      </c>
      <c r="D4385" t="s">
        <v>330</v>
      </c>
      <c r="E4385" t="s">
        <v>334</v>
      </c>
      <c r="F4385" s="12">
        <v>350577</v>
      </c>
      <c r="G4385" s="13">
        <v>35</v>
      </c>
      <c r="H4385" t="s">
        <v>3246</v>
      </c>
      <c r="I4385" s="8">
        <v>46099</v>
      </c>
      <c r="J4385" t="s">
        <v>2663</v>
      </c>
      <c r="K4385" t="s">
        <v>3630</v>
      </c>
      <c r="L4385" s="13">
        <v>1500</v>
      </c>
      <c r="M4385" t="s">
        <v>2661</v>
      </c>
    </row>
    <row r="4386" spans="1:13">
      <c r="A4386" t="s">
        <v>1826</v>
      </c>
      <c r="B4386" t="s">
        <v>257</v>
      </c>
      <c r="C4386" s="8">
        <v>45973</v>
      </c>
      <c r="D4386" t="s">
        <v>350</v>
      </c>
      <c r="E4386" t="s">
        <v>339</v>
      </c>
      <c r="F4386" s="12">
        <v>103567</v>
      </c>
      <c r="G4386" s="13">
        <v>10</v>
      </c>
      <c r="H4386" t="s">
        <v>2782</v>
      </c>
      <c r="I4386" s="8">
        <v>46070</v>
      </c>
      <c r="J4386" t="s">
        <v>2692</v>
      </c>
      <c r="K4386" t="s">
        <v>2693</v>
      </c>
      <c r="L4386" s="13">
        <v>10000</v>
      </c>
      <c r="M4386" t="s">
        <v>2676</v>
      </c>
    </row>
    <row r="4387" spans="1:13">
      <c r="A4387" t="s">
        <v>1826</v>
      </c>
      <c r="B4387" t="s">
        <v>257</v>
      </c>
      <c r="C4387" s="8">
        <v>45973</v>
      </c>
      <c r="D4387" t="s">
        <v>350</v>
      </c>
      <c r="E4387" t="s">
        <v>339</v>
      </c>
      <c r="F4387" s="12">
        <v>103567</v>
      </c>
      <c r="G4387" s="13">
        <v>10</v>
      </c>
      <c r="H4387" t="s">
        <v>2850</v>
      </c>
      <c r="I4387" s="8">
        <v>46061</v>
      </c>
      <c r="J4387" t="s">
        <v>2674</v>
      </c>
      <c r="K4387" t="s">
        <v>2675</v>
      </c>
      <c r="L4387" s="13">
        <v>20000</v>
      </c>
      <c r="M4387" t="s">
        <v>2676</v>
      </c>
    </row>
    <row r="4388" spans="1:13">
      <c r="A4388" t="s">
        <v>1826</v>
      </c>
      <c r="B4388" t="s">
        <v>257</v>
      </c>
      <c r="C4388" s="8">
        <v>45973</v>
      </c>
      <c r="D4388" t="s">
        <v>350</v>
      </c>
      <c r="E4388" t="s">
        <v>339</v>
      </c>
      <c r="F4388" s="12">
        <v>103567</v>
      </c>
      <c r="G4388" s="13">
        <v>10</v>
      </c>
      <c r="H4388" t="s">
        <v>2921</v>
      </c>
      <c r="I4388" s="8">
        <v>46239</v>
      </c>
      <c r="J4388" t="s">
        <v>2692</v>
      </c>
      <c r="K4388" t="s">
        <v>2693</v>
      </c>
      <c r="L4388" s="13">
        <v>10000</v>
      </c>
      <c r="M4388" t="s">
        <v>2661</v>
      </c>
    </row>
    <row r="4389" spans="1:13">
      <c r="A4389" t="s">
        <v>1826</v>
      </c>
      <c r="B4389" t="s">
        <v>257</v>
      </c>
      <c r="C4389" s="8">
        <v>45973</v>
      </c>
      <c r="D4389" t="s">
        <v>350</v>
      </c>
      <c r="E4389" t="s">
        <v>339</v>
      </c>
      <c r="F4389" s="12">
        <v>103567</v>
      </c>
      <c r="G4389" s="13">
        <v>10</v>
      </c>
      <c r="H4389" t="s">
        <v>3061</v>
      </c>
      <c r="I4389" s="8">
        <v>46140</v>
      </c>
      <c r="J4389" t="s">
        <v>2674</v>
      </c>
      <c r="K4389" t="s">
        <v>2675</v>
      </c>
      <c r="L4389" s="13">
        <v>20000</v>
      </c>
      <c r="M4389" t="s">
        <v>2661</v>
      </c>
    </row>
    <row r="4390" spans="1:13">
      <c r="A4390" t="s">
        <v>1827</v>
      </c>
      <c r="B4390" t="s">
        <v>103</v>
      </c>
      <c r="C4390" s="8">
        <v>46189</v>
      </c>
      <c r="D4390" t="s">
        <v>321</v>
      </c>
      <c r="E4390" t="s">
        <v>325</v>
      </c>
      <c r="F4390" s="12">
        <v>153233</v>
      </c>
      <c r="G4390" s="13">
        <v>15</v>
      </c>
      <c r="H4390" t="s">
        <v>2729</v>
      </c>
      <c r="I4390" s="8">
        <v>45974</v>
      </c>
      <c r="J4390" t="s">
        <v>2692</v>
      </c>
      <c r="K4390" t="s">
        <v>2693</v>
      </c>
      <c r="L4390" s="13">
        <v>10000</v>
      </c>
      <c r="M4390" t="s">
        <v>2661</v>
      </c>
    </row>
    <row r="4391" spans="1:13">
      <c r="A4391" t="s">
        <v>1827</v>
      </c>
      <c r="B4391" t="s">
        <v>103</v>
      </c>
      <c r="C4391" s="8">
        <v>46189</v>
      </c>
      <c r="D4391" t="s">
        <v>321</v>
      </c>
      <c r="E4391" t="s">
        <v>325</v>
      </c>
      <c r="F4391" s="12">
        <v>153233</v>
      </c>
      <c r="G4391" s="13">
        <v>15</v>
      </c>
      <c r="H4391" t="s">
        <v>2768</v>
      </c>
      <c r="I4391" s="8">
        <v>46048</v>
      </c>
      <c r="J4391" t="s">
        <v>2682</v>
      </c>
      <c r="K4391" t="s">
        <v>2683</v>
      </c>
      <c r="L4391" s="13">
        <v>6000</v>
      </c>
      <c r="M4391" t="s">
        <v>2661</v>
      </c>
    </row>
    <row r="4392" spans="1:13">
      <c r="A4392" t="s">
        <v>1827</v>
      </c>
      <c r="B4392" t="s">
        <v>103</v>
      </c>
      <c r="C4392" s="8">
        <v>46189</v>
      </c>
      <c r="D4392" t="s">
        <v>321</v>
      </c>
      <c r="E4392" t="s">
        <v>325</v>
      </c>
      <c r="F4392" s="12">
        <v>153233</v>
      </c>
      <c r="G4392" s="13">
        <v>15</v>
      </c>
      <c r="H4392" t="s">
        <v>3094</v>
      </c>
      <c r="I4392" s="8">
        <v>46015</v>
      </c>
      <c r="J4392" t="s">
        <v>2665</v>
      </c>
      <c r="K4392" t="s">
        <v>2666</v>
      </c>
      <c r="L4392" s="13">
        <v>2500</v>
      </c>
      <c r="M4392" t="s">
        <v>2661</v>
      </c>
    </row>
    <row r="4393" spans="1:13">
      <c r="A4393" t="s">
        <v>1827</v>
      </c>
      <c r="B4393" t="s">
        <v>103</v>
      </c>
      <c r="C4393" s="8">
        <v>46189</v>
      </c>
      <c r="D4393" t="s">
        <v>321</v>
      </c>
      <c r="E4393" t="s">
        <v>325</v>
      </c>
      <c r="F4393" s="12">
        <v>153233</v>
      </c>
      <c r="G4393" s="13">
        <v>15</v>
      </c>
      <c r="H4393" t="s">
        <v>3371</v>
      </c>
      <c r="I4393" s="8">
        <v>46261</v>
      </c>
      <c r="J4393" t="s">
        <v>2674</v>
      </c>
      <c r="K4393" t="s">
        <v>2675</v>
      </c>
      <c r="L4393" s="13">
        <v>20000</v>
      </c>
      <c r="M4393" t="s">
        <v>2676</v>
      </c>
    </row>
    <row r="4394" spans="1:13">
      <c r="A4394" t="s">
        <v>1827</v>
      </c>
      <c r="B4394" t="s">
        <v>103</v>
      </c>
      <c r="C4394" s="8">
        <v>46189</v>
      </c>
      <c r="D4394" t="s">
        <v>321</v>
      </c>
      <c r="E4394" t="s">
        <v>325</v>
      </c>
      <c r="F4394" s="12">
        <v>153233</v>
      </c>
      <c r="G4394" s="13">
        <v>15</v>
      </c>
      <c r="H4394" t="s">
        <v>3394</v>
      </c>
      <c r="I4394" s="8">
        <v>46193</v>
      </c>
      <c r="J4394" t="s">
        <v>2659</v>
      </c>
      <c r="K4394" t="s">
        <v>2660</v>
      </c>
      <c r="L4394" s="13">
        <v>3500</v>
      </c>
      <c r="M4394" t="s">
        <v>2676</v>
      </c>
    </row>
    <row r="4395" spans="1:13">
      <c r="A4395" t="s">
        <v>1827</v>
      </c>
      <c r="B4395" t="s">
        <v>103</v>
      </c>
      <c r="C4395" s="8">
        <v>46189</v>
      </c>
      <c r="D4395" t="s">
        <v>321</v>
      </c>
      <c r="E4395" t="s">
        <v>325</v>
      </c>
      <c r="F4395" s="12">
        <v>153233</v>
      </c>
      <c r="G4395" s="13">
        <v>15</v>
      </c>
      <c r="H4395" t="s">
        <v>3445</v>
      </c>
      <c r="I4395" s="8">
        <v>46231</v>
      </c>
      <c r="J4395" t="s">
        <v>2688</v>
      </c>
      <c r="K4395" t="s">
        <v>2689</v>
      </c>
      <c r="L4395" s="13">
        <v>8000</v>
      </c>
      <c r="M4395" t="s">
        <v>2661</v>
      </c>
    </row>
    <row r="4396" spans="1:13">
      <c r="A4396" t="s">
        <v>1827</v>
      </c>
      <c r="B4396" t="s">
        <v>103</v>
      </c>
      <c r="C4396" s="8">
        <v>46189</v>
      </c>
      <c r="D4396" t="s">
        <v>321</v>
      </c>
      <c r="E4396" t="s">
        <v>325</v>
      </c>
      <c r="F4396" s="12">
        <v>153233</v>
      </c>
      <c r="G4396" s="13">
        <v>15</v>
      </c>
      <c r="H4396" t="s">
        <v>3522</v>
      </c>
      <c r="I4396" s="8">
        <v>45989</v>
      </c>
      <c r="J4396" t="s">
        <v>2665</v>
      </c>
      <c r="K4396" t="s">
        <v>2666</v>
      </c>
      <c r="L4396" s="13">
        <v>2500</v>
      </c>
      <c r="M4396" t="s">
        <v>2661</v>
      </c>
    </row>
    <row r="4397" spans="1:13">
      <c r="A4397" t="s">
        <v>1827</v>
      </c>
      <c r="B4397" t="s">
        <v>103</v>
      </c>
      <c r="C4397" s="8">
        <v>46189</v>
      </c>
      <c r="D4397" t="s">
        <v>321</v>
      </c>
      <c r="E4397" t="s">
        <v>325</v>
      </c>
      <c r="F4397" s="12">
        <v>153233</v>
      </c>
      <c r="G4397" s="13">
        <v>15</v>
      </c>
      <c r="H4397" t="s">
        <v>3539</v>
      </c>
      <c r="I4397" s="8">
        <v>46041</v>
      </c>
      <c r="J4397" t="s">
        <v>2682</v>
      </c>
      <c r="K4397" t="s">
        <v>2683</v>
      </c>
      <c r="L4397" s="13">
        <v>6000</v>
      </c>
      <c r="M4397" t="s">
        <v>2661</v>
      </c>
    </row>
    <row r="4398" spans="1:13">
      <c r="A4398" t="s">
        <v>1828</v>
      </c>
      <c r="B4398" t="s">
        <v>8</v>
      </c>
      <c r="C4398" s="8">
        <v>45977</v>
      </c>
      <c r="D4398" t="s">
        <v>332</v>
      </c>
      <c r="E4398" t="s">
        <v>322</v>
      </c>
      <c r="F4398" s="12">
        <v>147763</v>
      </c>
      <c r="G4398" s="13">
        <v>14</v>
      </c>
      <c r="H4398" t="s">
        <v>3033</v>
      </c>
      <c r="I4398" s="8">
        <v>46098</v>
      </c>
      <c r="J4398" t="s">
        <v>2659</v>
      </c>
      <c r="K4398" t="s">
        <v>2660</v>
      </c>
      <c r="L4398" s="13">
        <v>3500</v>
      </c>
      <c r="M4398" t="s">
        <v>2676</v>
      </c>
    </row>
    <row r="4399" spans="1:13">
      <c r="A4399" t="s">
        <v>1828</v>
      </c>
      <c r="B4399" t="s">
        <v>8</v>
      </c>
      <c r="C4399" s="8">
        <v>45977</v>
      </c>
      <c r="D4399" t="s">
        <v>332</v>
      </c>
      <c r="E4399" t="s">
        <v>322</v>
      </c>
      <c r="F4399" s="12">
        <v>147763</v>
      </c>
      <c r="G4399" s="13">
        <v>14</v>
      </c>
      <c r="H4399" t="s">
        <v>3159</v>
      </c>
      <c r="I4399" s="8">
        <v>46079</v>
      </c>
      <c r="J4399" t="s">
        <v>2659</v>
      </c>
      <c r="K4399" t="s">
        <v>2660</v>
      </c>
      <c r="L4399" s="13">
        <v>3500</v>
      </c>
      <c r="M4399" t="s">
        <v>2661</v>
      </c>
    </row>
    <row r="4400" spans="1:13">
      <c r="A4400" t="s">
        <v>1828</v>
      </c>
      <c r="B4400" t="s">
        <v>8</v>
      </c>
      <c r="C4400" s="8">
        <v>45977</v>
      </c>
      <c r="D4400" t="s">
        <v>332</v>
      </c>
      <c r="E4400" t="s">
        <v>322</v>
      </c>
      <c r="F4400" s="12">
        <v>147763</v>
      </c>
      <c r="G4400" s="13">
        <v>14</v>
      </c>
      <c r="H4400" t="s">
        <v>3184</v>
      </c>
      <c r="I4400" s="8">
        <v>46261</v>
      </c>
      <c r="J4400" t="s">
        <v>2685</v>
      </c>
      <c r="K4400" t="s">
        <v>2686</v>
      </c>
      <c r="L4400" s="13">
        <v>5000</v>
      </c>
      <c r="M4400" t="s">
        <v>2661</v>
      </c>
    </row>
    <row r="4401" spans="1:13">
      <c r="A4401" t="s">
        <v>1828</v>
      </c>
      <c r="B4401" t="s">
        <v>8</v>
      </c>
      <c r="C4401" s="8">
        <v>45977</v>
      </c>
      <c r="D4401" t="s">
        <v>332</v>
      </c>
      <c r="E4401" t="s">
        <v>322</v>
      </c>
      <c r="F4401" s="12">
        <v>147763</v>
      </c>
      <c r="G4401" s="13">
        <v>14</v>
      </c>
      <c r="H4401" t="s">
        <v>3303</v>
      </c>
      <c r="I4401" s="8">
        <v>46196</v>
      </c>
      <c r="J4401" t="s">
        <v>2682</v>
      </c>
      <c r="K4401" t="s">
        <v>2683</v>
      </c>
      <c r="L4401" s="13">
        <v>6000</v>
      </c>
      <c r="M4401" t="s">
        <v>2676</v>
      </c>
    </row>
    <row r="4402" spans="1:13">
      <c r="A4402" t="s">
        <v>1828</v>
      </c>
      <c r="B4402" t="s">
        <v>8</v>
      </c>
      <c r="C4402" s="8">
        <v>45977</v>
      </c>
      <c r="D4402" t="s">
        <v>332</v>
      </c>
      <c r="E4402" t="s">
        <v>322</v>
      </c>
      <c r="F4402" s="12">
        <v>147763</v>
      </c>
      <c r="G4402" s="13">
        <v>14</v>
      </c>
      <c r="H4402" t="s">
        <v>3353</v>
      </c>
      <c r="I4402" s="8">
        <v>45991</v>
      </c>
      <c r="J4402" t="s">
        <v>2659</v>
      </c>
      <c r="K4402" t="s">
        <v>2660</v>
      </c>
      <c r="L4402" s="13">
        <v>3500</v>
      </c>
      <c r="M4402" t="s">
        <v>2661</v>
      </c>
    </row>
    <row r="4403" spans="1:13">
      <c r="A4403" t="s">
        <v>1829</v>
      </c>
      <c r="B4403" t="s">
        <v>48</v>
      </c>
      <c r="C4403" s="8">
        <v>46133</v>
      </c>
      <c r="D4403" t="s">
        <v>327</v>
      </c>
      <c r="E4403" t="s">
        <v>328</v>
      </c>
      <c r="F4403" s="12">
        <v>261643</v>
      </c>
      <c r="G4403" s="13">
        <v>26</v>
      </c>
      <c r="H4403" t="s">
        <v>3044</v>
      </c>
      <c r="I4403" s="8">
        <v>46137</v>
      </c>
      <c r="J4403" t="s">
        <v>2659</v>
      </c>
      <c r="K4403" t="s">
        <v>2660</v>
      </c>
      <c r="L4403" s="13">
        <v>3500</v>
      </c>
      <c r="M4403" t="s">
        <v>2676</v>
      </c>
    </row>
    <row r="4404" spans="1:13">
      <c r="A4404" t="s">
        <v>1829</v>
      </c>
      <c r="B4404" t="s">
        <v>48</v>
      </c>
      <c r="C4404" s="8">
        <v>46133</v>
      </c>
      <c r="D4404" t="s">
        <v>327</v>
      </c>
      <c r="E4404" t="s">
        <v>328</v>
      </c>
      <c r="F4404" s="12">
        <v>261643</v>
      </c>
      <c r="G4404" s="13">
        <v>26</v>
      </c>
      <c r="H4404" t="s">
        <v>3368</v>
      </c>
      <c r="I4404" s="8">
        <v>46171</v>
      </c>
      <c r="J4404" t="s">
        <v>2659</v>
      </c>
      <c r="K4404" t="s">
        <v>2660</v>
      </c>
      <c r="L4404" s="13">
        <v>3500</v>
      </c>
      <c r="M4404" t="s">
        <v>2676</v>
      </c>
    </row>
    <row r="4405" spans="1:13">
      <c r="A4405" t="s">
        <v>1829</v>
      </c>
      <c r="B4405" t="s">
        <v>48</v>
      </c>
      <c r="C4405" s="8">
        <v>46133</v>
      </c>
      <c r="D4405" t="s">
        <v>327</v>
      </c>
      <c r="E4405" t="s">
        <v>328</v>
      </c>
      <c r="F4405" s="12">
        <v>261643</v>
      </c>
      <c r="G4405" s="13">
        <v>26</v>
      </c>
      <c r="H4405" t="s">
        <v>3393</v>
      </c>
      <c r="I4405" s="8">
        <v>45952</v>
      </c>
      <c r="J4405" t="s">
        <v>2688</v>
      </c>
      <c r="K4405" t="s">
        <v>2689</v>
      </c>
      <c r="L4405" s="13">
        <v>8000</v>
      </c>
      <c r="M4405" t="s">
        <v>2661</v>
      </c>
    </row>
    <row r="4406" spans="1:13">
      <c r="A4406" t="s">
        <v>1830</v>
      </c>
      <c r="B4406" t="s">
        <v>27</v>
      </c>
      <c r="C4406" s="8">
        <v>46215</v>
      </c>
      <c r="D4406" t="s">
        <v>344</v>
      </c>
      <c r="E4406" t="s">
        <v>339</v>
      </c>
      <c r="F4406" s="12">
        <v>98338</v>
      </c>
      <c r="G4406" s="13">
        <v>9</v>
      </c>
      <c r="H4406" t="s">
        <v>3224</v>
      </c>
      <c r="I4406" s="8">
        <v>46029</v>
      </c>
      <c r="J4406" t="s">
        <v>2685</v>
      </c>
      <c r="K4406" t="s">
        <v>2686</v>
      </c>
      <c r="L4406" s="13">
        <v>5000</v>
      </c>
      <c r="M4406" t="s">
        <v>2661</v>
      </c>
    </row>
    <row r="4407" spans="1:13">
      <c r="A4407" t="s">
        <v>1830</v>
      </c>
      <c r="B4407" t="s">
        <v>27</v>
      </c>
      <c r="C4407" s="8">
        <v>46215</v>
      </c>
      <c r="D4407" t="s">
        <v>344</v>
      </c>
      <c r="E4407" t="s">
        <v>339</v>
      </c>
      <c r="F4407" s="12">
        <v>98338</v>
      </c>
      <c r="G4407" s="13">
        <v>9</v>
      </c>
      <c r="H4407" t="s">
        <v>3345</v>
      </c>
      <c r="I4407" s="8">
        <v>46277</v>
      </c>
      <c r="J4407" t="s">
        <v>2671</v>
      </c>
      <c r="K4407" t="s">
        <v>2672</v>
      </c>
      <c r="L4407" s="13">
        <v>3000</v>
      </c>
      <c r="M4407" t="s">
        <v>2661</v>
      </c>
    </row>
    <row r="4408" spans="1:13">
      <c r="A4408" t="s">
        <v>1831</v>
      </c>
      <c r="B4408" t="s">
        <v>64</v>
      </c>
      <c r="C4408" s="8">
        <v>46185</v>
      </c>
      <c r="D4408" t="s">
        <v>344</v>
      </c>
      <c r="E4408" t="s">
        <v>322</v>
      </c>
      <c r="F4408" s="12">
        <v>149119</v>
      </c>
      <c r="G4408" s="13">
        <v>14</v>
      </c>
      <c r="H4408" t="s">
        <v>2733</v>
      </c>
      <c r="I4408" s="8">
        <v>46127</v>
      </c>
      <c r="J4408" t="s">
        <v>2674</v>
      </c>
      <c r="K4408" t="s">
        <v>2675</v>
      </c>
      <c r="L4408" s="13">
        <v>20000</v>
      </c>
      <c r="M4408" t="s">
        <v>2661</v>
      </c>
    </row>
    <row r="4409" spans="1:13">
      <c r="A4409" t="s">
        <v>1831</v>
      </c>
      <c r="B4409" t="s">
        <v>64</v>
      </c>
      <c r="C4409" s="8">
        <v>46185</v>
      </c>
      <c r="D4409" t="s">
        <v>344</v>
      </c>
      <c r="E4409" t="s">
        <v>322</v>
      </c>
      <c r="F4409" s="12">
        <v>149119</v>
      </c>
      <c r="G4409" s="13">
        <v>14</v>
      </c>
      <c r="H4409" t="s">
        <v>2752</v>
      </c>
      <c r="I4409" s="8">
        <v>45976</v>
      </c>
      <c r="J4409" t="s">
        <v>2668</v>
      </c>
      <c r="K4409" t="s">
        <v>2669</v>
      </c>
      <c r="L4409" s="13">
        <v>4000</v>
      </c>
      <c r="M4409" t="s">
        <v>2661</v>
      </c>
    </row>
    <row r="4410" spans="1:13">
      <c r="A4410" t="s">
        <v>1831</v>
      </c>
      <c r="B4410" t="s">
        <v>64</v>
      </c>
      <c r="C4410" s="8">
        <v>46185</v>
      </c>
      <c r="D4410" t="s">
        <v>344</v>
      </c>
      <c r="E4410" t="s">
        <v>322</v>
      </c>
      <c r="F4410" s="12">
        <v>149119</v>
      </c>
      <c r="G4410" s="13">
        <v>14</v>
      </c>
      <c r="H4410" t="s">
        <v>3108</v>
      </c>
      <c r="I4410" s="8">
        <v>46158</v>
      </c>
      <c r="J4410" t="s">
        <v>2692</v>
      </c>
      <c r="K4410" t="s">
        <v>2693</v>
      </c>
      <c r="L4410" s="13">
        <v>10000</v>
      </c>
      <c r="M4410" t="s">
        <v>2661</v>
      </c>
    </row>
    <row r="4411" spans="1:13">
      <c r="A4411" t="s">
        <v>1831</v>
      </c>
      <c r="B4411" t="s">
        <v>64</v>
      </c>
      <c r="C4411" s="8">
        <v>46185</v>
      </c>
      <c r="D4411" t="s">
        <v>344</v>
      </c>
      <c r="E4411" t="s">
        <v>322</v>
      </c>
      <c r="F4411" s="12">
        <v>149119</v>
      </c>
      <c r="G4411" s="13">
        <v>14</v>
      </c>
      <c r="H4411" t="s">
        <v>3187</v>
      </c>
      <c r="I4411" s="8">
        <v>46275</v>
      </c>
      <c r="J4411" t="s">
        <v>2659</v>
      </c>
      <c r="K4411" t="s">
        <v>2660</v>
      </c>
      <c r="L4411" s="13">
        <v>3500</v>
      </c>
      <c r="M4411" t="s">
        <v>2661</v>
      </c>
    </row>
    <row r="4412" spans="1:13">
      <c r="A4412" t="s">
        <v>1832</v>
      </c>
      <c r="B4412" t="s">
        <v>36</v>
      </c>
      <c r="C4412" s="8">
        <v>45940</v>
      </c>
      <c r="D4412" t="s">
        <v>321</v>
      </c>
      <c r="E4412" t="s">
        <v>322</v>
      </c>
      <c r="F4412" s="12">
        <v>425560</v>
      </c>
      <c r="G4412" s="13">
        <v>42</v>
      </c>
      <c r="H4412" t="s">
        <v>2780</v>
      </c>
      <c r="I4412" s="8">
        <v>46076</v>
      </c>
      <c r="J4412" t="s">
        <v>2671</v>
      </c>
      <c r="K4412" t="s">
        <v>2672</v>
      </c>
      <c r="L4412" s="13">
        <v>3000</v>
      </c>
      <c r="M4412" t="s">
        <v>2661</v>
      </c>
    </row>
    <row r="4413" spans="1:13">
      <c r="A4413" t="s">
        <v>1832</v>
      </c>
      <c r="B4413" t="s">
        <v>36</v>
      </c>
      <c r="C4413" s="8">
        <v>45940</v>
      </c>
      <c r="D4413" t="s">
        <v>321</v>
      </c>
      <c r="E4413" t="s">
        <v>322</v>
      </c>
      <c r="F4413" s="12">
        <v>425560</v>
      </c>
      <c r="G4413" s="13">
        <v>42</v>
      </c>
      <c r="H4413" t="s">
        <v>3169</v>
      </c>
      <c r="I4413" s="8">
        <v>46084</v>
      </c>
      <c r="J4413" t="s">
        <v>2685</v>
      </c>
      <c r="K4413" t="s">
        <v>2686</v>
      </c>
      <c r="L4413" s="13">
        <v>5000</v>
      </c>
      <c r="M4413" t="s">
        <v>2661</v>
      </c>
    </row>
    <row r="4414" spans="1:13">
      <c r="A4414" t="s">
        <v>1832</v>
      </c>
      <c r="B4414" t="s">
        <v>36</v>
      </c>
      <c r="C4414" s="8">
        <v>45940</v>
      </c>
      <c r="D4414" t="s">
        <v>321</v>
      </c>
      <c r="E4414" t="s">
        <v>322</v>
      </c>
      <c r="F4414" s="12">
        <v>425560</v>
      </c>
      <c r="G4414" s="13">
        <v>42</v>
      </c>
      <c r="H4414" t="s">
        <v>3458</v>
      </c>
      <c r="I4414" s="8">
        <v>45978</v>
      </c>
      <c r="J4414" t="s">
        <v>2665</v>
      </c>
      <c r="K4414" t="s">
        <v>2666</v>
      </c>
      <c r="L4414" s="13">
        <v>2500</v>
      </c>
      <c r="M4414" t="s">
        <v>2661</v>
      </c>
    </row>
    <row r="4415" spans="1:13">
      <c r="A4415" t="s">
        <v>1832</v>
      </c>
      <c r="B4415" t="s">
        <v>36</v>
      </c>
      <c r="C4415" s="8">
        <v>45940</v>
      </c>
      <c r="D4415" t="s">
        <v>321</v>
      </c>
      <c r="E4415" t="s">
        <v>322</v>
      </c>
      <c r="F4415" s="12">
        <v>425560</v>
      </c>
      <c r="G4415" s="13">
        <v>42</v>
      </c>
      <c r="H4415" t="s">
        <v>3521</v>
      </c>
      <c r="I4415" s="8">
        <v>45936</v>
      </c>
      <c r="J4415" t="s">
        <v>2674</v>
      </c>
      <c r="K4415" t="s">
        <v>2675</v>
      </c>
      <c r="L4415" s="13">
        <v>20000</v>
      </c>
      <c r="M4415" t="s">
        <v>2661</v>
      </c>
    </row>
    <row r="4416" spans="1:13">
      <c r="A4416" t="s">
        <v>1833</v>
      </c>
      <c r="B4416" t="s">
        <v>222</v>
      </c>
      <c r="C4416" s="8">
        <v>45998</v>
      </c>
      <c r="D4416" t="s">
        <v>327</v>
      </c>
      <c r="E4416" t="s">
        <v>322</v>
      </c>
      <c r="F4416" s="12">
        <v>510853</v>
      </c>
      <c r="G4416" s="13">
        <v>51</v>
      </c>
      <c r="H4416" t="s">
        <v>2746</v>
      </c>
      <c r="I4416" s="8">
        <v>45998</v>
      </c>
      <c r="J4416" t="s">
        <v>2668</v>
      </c>
      <c r="K4416" t="s">
        <v>2669</v>
      </c>
      <c r="L4416" s="13">
        <v>4000</v>
      </c>
      <c r="M4416" t="s">
        <v>2676</v>
      </c>
    </row>
    <row r="4417" spans="1:13">
      <c r="A4417" t="s">
        <v>1833</v>
      </c>
      <c r="B4417" t="s">
        <v>222</v>
      </c>
      <c r="C4417" s="8">
        <v>45998</v>
      </c>
      <c r="D4417" t="s">
        <v>327</v>
      </c>
      <c r="E4417" t="s">
        <v>322</v>
      </c>
      <c r="F4417" s="12">
        <v>510853</v>
      </c>
      <c r="G4417" s="13">
        <v>51</v>
      </c>
      <c r="H4417" t="s">
        <v>2829</v>
      </c>
      <c r="I4417" s="8">
        <v>45978</v>
      </c>
      <c r="J4417" t="s">
        <v>2692</v>
      </c>
      <c r="K4417" t="s">
        <v>2693</v>
      </c>
      <c r="L4417" s="13">
        <v>10000</v>
      </c>
      <c r="M4417" t="s">
        <v>2661</v>
      </c>
    </row>
    <row r="4418" spans="1:13">
      <c r="A4418" t="s">
        <v>1833</v>
      </c>
      <c r="B4418" t="s">
        <v>222</v>
      </c>
      <c r="C4418" s="8">
        <v>45998</v>
      </c>
      <c r="D4418" t="s">
        <v>327</v>
      </c>
      <c r="E4418" t="s">
        <v>322</v>
      </c>
      <c r="F4418" s="12">
        <v>510853</v>
      </c>
      <c r="G4418" s="13">
        <v>51</v>
      </c>
      <c r="H4418" t="s">
        <v>2836</v>
      </c>
      <c r="I4418" s="8">
        <v>46170</v>
      </c>
      <c r="J4418" t="s">
        <v>2685</v>
      </c>
      <c r="K4418" t="s">
        <v>2686</v>
      </c>
      <c r="L4418" s="13">
        <v>5000</v>
      </c>
      <c r="M4418" t="s">
        <v>2661</v>
      </c>
    </row>
    <row r="4419" spans="1:13">
      <c r="A4419" t="s">
        <v>1833</v>
      </c>
      <c r="B4419" t="s">
        <v>222</v>
      </c>
      <c r="C4419" s="8">
        <v>45998</v>
      </c>
      <c r="D4419" t="s">
        <v>327</v>
      </c>
      <c r="E4419" t="s">
        <v>322</v>
      </c>
      <c r="F4419" s="12">
        <v>510853</v>
      </c>
      <c r="G4419" s="13">
        <v>51</v>
      </c>
      <c r="H4419" t="s">
        <v>2926</v>
      </c>
      <c r="I4419" s="8">
        <v>46249</v>
      </c>
      <c r="J4419" t="s">
        <v>2663</v>
      </c>
      <c r="K4419" t="s">
        <v>3630</v>
      </c>
      <c r="L4419" s="13">
        <v>1500</v>
      </c>
      <c r="M4419" t="s">
        <v>2661</v>
      </c>
    </row>
    <row r="4420" spans="1:13">
      <c r="A4420" t="s">
        <v>1833</v>
      </c>
      <c r="B4420" t="s">
        <v>222</v>
      </c>
      <c r="C4420" s="8">
        <v>45998</v>
      </c>
      <c r="D4420" t="s">
        <v>327</v>
      </c>
      <c r="E4420" t="s">
        <v>322</v>
      </c>
      <c r="F4420" s="12">
        <v>510853</v>
      </c>
      <c r="G4420" s="13">
        <v>51</v>
      </c>
      <c r="H4420" t="s">
        <v>3037</v>
      </c>
      <c r="I4420" s="8">
        <v>46148</v>
      </c>
      <c r="J4420" t="s">
        <v>2692</v>
      </c>
      <c r="K4420" t="s">
        <v>2693</v>
      </c>
      <c r="L4420" s="13">
        <v>10000</v>
      </c>
      <c r="M4420" t="s">
        <v>2661</v>
      </c>
    </row>
    <row r="4421" spans="1:13">
      <c r="A4421" t="s">
        <v>1833</v>
      </c>
      <c r="B4421" t="s">
        <v>222</v>
      </c>
      <c r="C4421" s="8">
        <v>45998</v>
      </c>
      <c r="D4421" t="s">
        <v>327</v>
      </c>
      <c r="E4421" t="s">
        <v>322</v>
      </c>
      <c r="F4421" s="12">
        <v>510853</v>
      </c>
      <c r="G4421" s="13">
        <v>51</v>
      </c>
      <c r="H4421" t="s">
        <v>3427</v>
      </c>
      <c r="I4421" s="8">
        <v>46050</v>
      </c>
      <c r="J4421" t="s">
        <v>2671</v>
      </c>
      <c r="K4421" t="s">
        <v>2672</v>
      </c>
      <c r="L4421" s="13">
        <v>3000</v>
      </c>
      <c r="M4421" t="s">
        <v>2676</v>
      </c>
    </row>
    <row r="4422" spans="1:13">
      <c r="A4422" t="s">
        <v>1833</v>
      </c>
      <c r="B4422" t="s">
        <v>222</v>
      </c>
      <c r="C4422" s="8">
        <v>45998</v>
      </c>
      <c r="D4422" t="s">
        <v>327</v>
      </c>
      <c r="E4422" t="s">
        <v>322</v>
      </c>
      <c r="F4422" s="12">
        <v>510853</v>
      </c>
      <c r="G4422" s="13">
        <v>51</v>
      </c>
      <c r="H4422" t="s">
        <v>3524</v>
      </c>
      <c r="I4422" s="8">
        <v>46179</v>
      </c>
      <c r="J4422" t="s">
        <v>2665</v>
      </c>
      <c r="K4422" t="s">
        <v>2666</v>
      </c>
      <c r="L4422" s="13">
        <v>2500</v>
      </c>
      <c r="M4422" t="s">
        <v>2661</v>
      </c>
    </row>
    <row r="4423" spans="1:13">
      <c r="A4423" t="s">
        <v>1834</v>
      </c>
      <c r="B4423" t="s">
        <v>299</v>
      </c>
      <c r="C4423" s="8">
        <v>46182</v>
      </c>
      <c r="D4423" t="s">
        <v>332</v>
      </c>
      <c r="E4423" t="s">
        <v>328</v>
      </c>
      <c r="F4423" s="12">
        <v>161676</v>
      </c>
      <c r="G4423" s="13">
        <v>16</v>
      </c>
      <c r="H4423" t="s">
        <v>2943</v>
      </c>
      <c r="I4423" s="8">
        <v>46047</v>
      </c>
      <c r="J4423" t="s">
        <v>2692</v>
      </c>
      <c r="K4423" t="s">
        <v>2693</v>
      </c>
      <c r="L4423" s="13">
        <v>10000</v>
      </c>
      <c r="M4423" t="s">
        <v>2661</v>
      </c>
    </row>
    <row r="4424" spans="1:13">
      <c r="A4424" t="s">
        <v>1834</v>
      </c>
      <c r="B4424" t="s">
        <v>299</v>
      </c>
      <c r="C4424" s="8">
        <v>46182</v>
      </c>
      <c r="D4424" t="s">
        <v>332</v>
      </c>
      <c r="E4424" t="s">
        <v>328</v>
      </c>
      <c r="F4424" s="12">
        <v>161676</v>
      </c>
      <c r="G4424" s="13">
        <v>16</v>
      </c>
      <c r="H4424" t="s">
        <v>2948</v>
      </c>
      <c r="I4424" s="8">
        <v>46067</v>
      </c>
      <c r="J4424" t="s">
        <v>2682</v>
      </c>
      <c r="K4424" t="s">
        <v>2683</v>
      </c>
      <c r="L4424" s="13">
        <v>6000</v>
      </c>
      <c r="M4424" t="s">
        <v>2661</v>
      </c>
    </row>
    <row r="4425" spans="1:13">
      <c r="A4425" t="s">
        <v>1834</v>
      </c>
      <c r="B4425" t="s">
        <v>299</v>
      </c>
      <c r="C4425" s="8">
        <v>46182</v>
      </c>
      <c r="D4425" t="s">
        <v>332</v>
      </c>
      <c r="E4425" t="s">
        <v>328</v>
      </c>
      <c r="F4425" s="12">
        <v>161676</v>
      </c>
      <c r="G4425" s="13">
        <v>16</v>
      </c>
      <c r="H4425" t="s">
        <v>3075</v>
      </c>
      <c r="I4425" s="8">
        <v>45993</v>
      </c>
      <c r="J4425" t="s">
        <v>2685</v>
      </c>
      <c r="K4425" t="s">
        <v>2686</v>
      </c>
      <c r="L4425" s="13">
        <v>5000</v>
      </c>
      <c r="M4425" t="s">
        <v>2676</v>
      </c>
    </row>
    <row r="4426" spans="1:13">
      <c r="A4426" t="s">
        <v>1834</v>
      </c>
      <c r="B4426" t="s">
        <v>299</v>
      </c>
      <c r="C4426" s="8">
        <v>46182</v>
      </c>
      <c r="D4426" t="s">
        <v>332</v>
      </c>
      <c r="E4426" t="s">
        <v>328</v>
      </c>
      <c r="F4426" s="12">
        <v>161676</v>
      </c>
      <c r="G4426" s="13">
        <v>16</v>
      </c>
      <c r="H4426" t="s">
        <v>3482</v>
      </c>
      <c r="I4426" s="8">
        <v>46231</v>
      </c>
      <c r="J4426" t="s">
        <v>2682</v>
      </c>
      <c r="K4426" t="s">
        <v>2683</v>
      </c>
      <c r="L4426" s="13">
        <v>6000</v>
      </c>
      <c r="M4426" t="s">
        <v>2661</v>
      </c>
    </row>
    <row r="4427" spans="1:13">
      <c r="A4427" t="s">
        <v>1835</v>
      </c>
      <c r="B4427" t="s">
        <v>255</v>
      </c>
      <c r="C4427" s="8">
        <v>45931</v>
      </c>
      <c r="D4427" t="s">
        <v>350</v>
      </c>
      <c r="E4427" t="s">
        <v>337</v>
      </c>
      <c r="F4427" s="12">
        <v>230500</v>
      </c>
      <c r="G4427" s="13">
        <v>23</v>
      </c>
      <c r="H4427" t="s">
        <v>2956</v>
      </c>
      <c r="I4427" s="8">
        <v>45952</v>
      </c>
      <c r="J4427" t="s">
        <v>2674</v>
      </c>
      <c r="K4427" t="s">
        <v>2675</v>
      </c>
      <c r="L4427" s="13">
        <v>20000</v>
      </c>
      <c r="M4427" t="s">
        <v>2676</v>
      </c>
    </row>
    <row r="4428" spans="1:13">
      <c r="A4428" t="s">
        <v>1835</v>
      </c>
      <c r="B4428" t="s">
        <v>255</v>
      </c>
      <c r="C4428" s="8">
        <v>45931</v>
      </c>
      <c r="D4428" t="s">
        <v>350</v>
      </c>
      <c r="E4428" t="s">
        <v>337</v>
      </c>
      <c r="F4428" s="12">
        <v>230500</v>
      </c>
      <c r="G4428" s="13">
        <v>23</v>
      </c>
      <c r="H4428" t="s">
        <v>3223</v>
      </c>
      <c r="I4428" s="8">
        <v>46198</v>
      </c>
      <c r="J4428" t="s">
        <v>2665</v>
      </c>
      <c r="K4428" t="s">
        <v>2666</v>
      </c>
      <c r="L4428" s="13">
        <v>2500</v>
      </c>
      <c r="M4428" t="s">
        <v>2661</v>
      </c>
    </row>
    <row r="4429" spans="1:13">
      <c r="A4429" t="s">
        <v>1835</v>
      </c>
      <c r="B4429" t="s">
        <v>255</v>
      </c>
      <c r="C4429" s="8">
        <v>45931</v>
      </c>
      <c r="D4429" t="s">
        <v>350</v>
      </c>
      <c r="E4429" t="s">
        <v>337</v>
      </c>
      <c r="F4429" s="12">
        <v>230500</v>
      </c>
      <c r="G4429" s="13">
        <v>23</v>
      </c>
      <c r="H4429" t="s">
        <v>3323</v>
      </c>
      <c r="I4429" s="8">
        <v>46169</v>
      </c>
      <c r="J4429" t="s">
        <v>2682</v>
      </c>
      <c r="K4429" t="s">
        <v>2683</v>
      </c>
      <c r="L4429" s="13">
        <v>6000</v>
      </c>
      <c r="M4429" t="s">
        <v>2676</v>
      </c>
    </row>
    <row r="4430" spans="1:13">
      <c r="A4430" t="s">
        <v>1836</v>
      </c>
      <c r="B4430" t="s">
        <v>187</v>
      </c>
      <c r="C4430" s="8">
        <v>46205</v>
      </c>
      <c r="D4430" t="s">
        <v>332</v>
      </c>
      <c r="E4430" t="s">
        <v>339</v>
      </c>
      <c r="F4430" s="12">
        <v>651167</v>
      </c>
      <c r="G4430" s="13">
        <v>65</v>
      </c>
      <c r="H4430" t="s">
        <v>3154</v>
      </c>
      <c r="I4430" s="8">
        <v>46017</v>
      </c>
      <c r="J4430" t="s">
        <v>2682</v>
      </c>
      <c r="K4430" t="s">
        <v>2683</v>
      </c>
      <c r="L4430" s="13">
        <v>6000</v>
      </c>
      <c r="M4430" t="s">
        <v>2661</v>
      </c>
    </row>
    <row r="4431" spans="1:13">
      <c r="A4431" t="s">
        <v>1836</v>
      </c>
      <c r="B4431" t="s">
        <v>187</v>
      </c>
      <c r="C4431" s="8">
        <v>46205</v>
      </c>
      <c r="D4431" t="s">
        <v>332</v>
      </c>
      <c r="E4431" t="s">
        <v>339</v>
      </c>
      <c r="F4431" s="12">
        <v>651167</v>
      </c>
      <c r="G4431" s="13">
        <v>65</v>
      </c>
      <c r="H4431" t="s">
        <v>3527</v>
      </c>
      <c r="I4431" s="8">
        <v>46155</v>
      </c>
      <c r="J4431" t="s">
        <v>2692</v>
      </c>
      <c r="K4431" t="s">
        <v>2693</v>
      </c>
      <c r="L4431" s="13">
        <v>10000</v>
      </c>
      <c r="M4431" t="s">
        <v>2661</v>
      </c>
    </row>
    <row r="4432" spans="1:13">
      <c r="A4432" t="s">
        <v>1837</v>
      </c>
      <c r="B4432" t="s">
        <v>249</v>
      </c>
      <c r="C4432" s="8">
        <v>46113</v>
      </c>
      <c r="D4432" t="s">
        <v>324</v>
      </c>
      <c r="E4432" t="s">
        <v>334</v>
      </c>
      <c r="F4432" s="12">
        <v>95724</v>
      </c>
      <c r="G4432" s="13">
        <v>9</v>
      </c>
      <c r="H4432" t="s">
        <v>2783</v>
      </c>
      <c r="I4432" s="8">
        <v>46270</v>
      </c>
      <c r="J4432" t="s">
        <v>2665</v>
      </c>
      <c r="K4432" t="s">
        <v>2666</v>
      </c>
      <c r="L4432" s="13">
        <v>2500</v>
      </c>
      <c r="M4432" t="s">
        <v>2676</v>
      </c>
    </row>
    <row r="4433" spans="1:13">
      <c r="A4433" t="s">
        <v>1837</v>
      </c>
      <c r="B4433" t="s">
        <v>249</v>
      </c>
      <c r="C4433" s="8">
        <v>46113</v>
      </c>
      <c r="D4433" t="s">
        <v>324</v>
      </c>
      <c r="E4433" t="s">
        <v>334</v>
      </c>
      <c r="F4433" s="12">
        <v>95724</v>
      </c>
      <c r="G4433" s="13">
        <v>9</v>
      </c>
      <c r="H4433" t="s">
        <v>3085</v>
      </c>
      <c r="I4433" s="8">
        <v>46161</v>
      </c>
      <c r="J4433" t="s">
        <v>2674</v>
      </c>
      <c r="K4433" t="s">
        <v>2675</v>
      </c>
      <c r="L4433" s="13">
        <v>20000</v>
      </c>
      <c r="M4433" t="s">
        <v>2661</v>
      </c>
    </row>
    <row r="4434" spans="1:13">
      <c r="A4434" t="s">
        <v>1837</v>
      </c>
      <c r="B4434" t="s">
        <v>249</v>
      </c>
      <c r="C4434" s="8">
        <v>46113</v>
      </c>
      <c r="D4434" t="s">
        <v>324</v>
      </c>
      <c r="E4434" t="s">
        <v>334</v>
      </c>
      <c r="F4434" s="12">
        <v>95724</v>
      </c>
      <c r="G4434" s="13">
        <v>9</v>
      </c>
      <c r="H4434" t="s">
        <v>3358</v>
      </c>
      <c r="I4434" s="8">
        <v>46150</v>
      </c>
      <c r="J4434" t="s">
        <v>2668</v>
      </c>
      <c r="K4434" t="s">
        <v>2669</v>
      </c>
      <c r="L4434" s="13">
        <v>4000</v>
      </c>
      <c r="M4434" t="s">
        <v>2661</v>
      </c>
    </row>
    <row r="4435" spans="1:13">
      <c r="A4435" t="s">
        <v>1838</v>
      </c>
      <c r="B4435" t="s">
        <v>212</v>
      </c>
      <c r="C4435" s="8">
        <v>46050</v>
      </c>
      <c r="D4435" t="s">
        <v>327</v>
      </c>
      <c r="E4435" t="s">
        <v>339</v>
      </c>
      <c r="F4435" s="12">
        <v>563809</v>
      </c>
      <c r="G4435" s="13">
        <v>56</v>
      </c>
      <c r="H4435" t="s">
        <v>2760</v>
      </c>
      <c r="I4435" s="8">
        <v>46244</v>
      </c>
      <c r="J4435" t="s">
        <v>2668</v>
      </c>
      <c r="K4435" t="s">
        <v>2669</v>
      </c>
      <c r="L4435" s="13">
        <v>4000</v>
      </c>
      <c r="M4435" t="s">
        <v>2661</v>
      </c>
    </row>
    <row r="4436" spans="1:13">
      <c r="A4436" t="s">
        <v>1838</v>
      </c>
      <c r="B4436" t="s">
        <v>212</v>
      </c>
      <c r="C4436" s="8">
        <v>46050</v>
      </c>
      <c r="D4436" t="s">
        <v>327</v>
      </c>
      <c r="E4436" t="s">
        <v>339</v>
      </c>
      <c r="F4436" s="12">
        <v>563809</v>
      </c>
      <c r="G4436" s="13">
        <v>56</v>
      </c>
      <c r="H4436" t="s">
        <v>2935</v>
      </c>
      <c r="I4436" s="8">
        <v>46216</v>
      </c>
      <c r="J4436" t="s">
        <v>2665</v>
      </c>
      <c r="K4436" t="s">
        <v>2666</v>
      </c>
      <c r="L4436" s="13">
        <v>2500</v>
      </c>
      <c r="M4436" t="s">
        <v>2661</v>
      </c>
    </row>
    <row r="4437" spans="1:13">
      <c r="A4437" t="s">
        <v>1838</v>
      </c>
      <c r="B4437" t="s">
        <v>212</v>
      </c>
      <c r="C4437" s="8">
        <v>46050</v>
      </c>
      <c r="D4437" t="s">
        <v>327</v>
      </c>
      <c r="E4437" t="s">
        <v>339</v>
      </c>
      <c r="F4437" s="12">
        <v>563809</v>
      </c>
      <c r="G4437" s="13">
        <v>56</v>
      </c>
      <c r="H4437" t="s">
        <v>3100</v>
      </c>
      <c r="I4437" s="8">
        <v>46226</v>
      </c>
      <c r="J4437" t="s">
        <v>2665</v>
      </c>
      <c r="K4437" t="s">
        <v>2666</v>
      </c>
      <c r="L4437" s="13">
        <v>2500</v>
      </c>
      <c r="M4437" t="s">
        <v>2661</v>
      </c>
    </row>
    <row r="4438" spans="1:13">
      <c r="A4438" t="s">
        <v>1839</v>
      </c>
      <c r="B4438" t="s">
        <v>83</v>
      </c>
      <c r="C4438" s="8">
        <v>46197</v>
      </c>
      <c r="D4438" t="s">
        <v>330</v>
      </c>
      <c r="E4438" t="s">
        <v>325</v>
      </c>
      <c r="F4438" s="12">
        <v>223931</v>
      </c>
      <c r="G4438" s="13">
        <v>22</v>
      </c>
      <c r="H4438" t="s">
        <v>2696</v>
      </c>
      <c r="I4438" s="8">
        <v>46024</v>
      </c>
      <c r="J4438" t="s">
        <v>2663</v>
      </c>
      <c r="K4438" t="s">
        <v>3630</v>
      </c>
      <c r="L4438" s="13">
        <v>1500</v>
      </c>
      <c r="M4438" t="s">
        <v>2661</v>
      </c>
    </row>
    <row r="4439" spans="1:13">
      <c r="A4439" t="s">
        <v>1839</v>
      </c>
      <c r="B4439" t="s">
        <v>83</v>
      </c>
      <c r="C4439" s="8">
        <v>46197</v>
      </c>
      <c r="D4439" t="s">
        <v>330</v>
      </c>
      <c r="E4439" t="s">
        <v>325</v>
      </c>
      <c r="F4439" s="12">
        <v>223931</v>
      </c>
      <c r="G4439" s="13">
        <v>22</v>
      </c>
      <c r="H4439" t="s">
        <v>2725</v>
      </c>
      <c r="I4439" s="8">
        <v>46065</v>
      </c>
      <c r="J4439" t="s">
        <v>2688</v>
      </c>
      <c r="K4439" t="s">
        <v>2689</v>
      </c>
      <c r="L4439" s="13">
        <v>8000</v>
      </c>
      <c r="M4439" t="s">
        <v>2661</v>
      </c>
    </row>
    <row r="4440" spans="1:13">
      <c r="A4440" t="s">
        <v>1839</v>
      </c>
      <c r="B4440" t="s">
        <v>83</v>
      </c>
      <c r="C4440" s="8">
        <v>46197</v>
      </c>
      <c r="D4440" t="s">
        <v>330</v>
      </c>
      <c r="E4440" t="s">
        <v>325</v>
      </c>
      <c r="F4440" s="12">
        <v>223931</v>
      </c>
      <c r="G4440" s="13">
        <v>22</v>
      </c>
      <c r="H4440" t="s">
        <v>2938</v>
      </c>
      <c r="I4440" s="8">
        <v>46277</v>
      </c>
      <c r="J4440" t="s">
        <v>2692</v>
      </c>
      <c r="K4440" t="s">
        <v>2693</v>
      </c>
      <c r="L4440" s="13">
        <v>10000</v>
      </c>
      <c r="M4440" t="s">
        <v>2661</v>
      </c>
    </row>
    <row r="4441" spans="1:13">
      <c r="A4441" t="s">
        <v>1840</v>
      </c>
      <c r="B4441" t="s">
        <v>81</v>
      </c>
      <c r="C4441" s="8">
        <v>46269</v>
      </c>
      <c r="D4441" t="s">
        <v>350</v>
      </c>
      <c r="E4441" t="s">
        <v>337</v>
      </c>
      <c r="F4441" s="12">
        <v>548900</v>
      </c>
      <c r="G4441" s="13">
        <v>54</v>
      </c>
      <c r="H4441" t="s">
        <v>2691</v>
      </c>
      <c r="I4441" s="8">
        <v>46098</v>
      </c>
      <c r="J4441" t="s">
        <v>2692</v>
      </c>
      <c r="K4441" t="s">
        <v>2693</v>
      </c>
      <c r="L4441" s="13">
        <v>10000</v>
      </c>
      <c r="M4441" t="s">
        <v>2661</v>
      </c>
    </row>
    <row r="4442" spans="1:13">
      <c r="A4442" t="s">
        <v>1840</v>
      </c>
      <c r="B4442" t="s">
        <v>81</v>
      </c>
      <c r="C4442" s="8">
        <v>46269</v>
      </c>
      <c r="D4442" t="s">
        <v>350</v>
      </c>
      <c r="E4442" t="s">
        <v>337</v>
      </c>
      <c r="F4442" s="12">
        <v>548900</v>
      </c>
      <c r="G4442" s="13">
        <v>54</v>
      </c>
      <c r="H4442" t="s">
        <v>2788</v>
      </c>
      <c r="I4442" s="8">
        <v>46057</v>
      </c>
      <c r="J4442" t="s">
        <v>2668</v>
      </c>
      <c r="K4442" t="s">
        <v>2669</v>
      </c>
      <c r="L4442" s="13">
        <v>4000</v>
      </c>
      <c r="M4442" t="s">
        <v>2661</v>
      </c>
    </row>
    <row r="4443" spans="1:13">
      <c r="A4443" t="s">
        <v>1840</v>
      </c>
      <c r="B4443" t="s">
        <v>81</v>
      </c>
      <c r="C4443" s="8">
        <v>46269</v>
      </c>
      <c r="D4443" t="s">
        <v>350</v>
      </c>
      <c r="E4443" t="s">
        <v>337</v>
      </c>
      <c r="F4443" s="12">
        <v>548900</v>
      </c>
      <c r="G4443" s="13">
        <v>54</v>
      </c>
      <c r="H4443" t="s">
        <v>2827</v>
      </c>
      <c r="I4443" s="8">
        <v>46245</v>
      </c>
      <c r="J4443" t="s">
        <v>2668</v>
      </c>
      <c r="K4443" t="s">
        <v>2669</v>
      </c>
      <c r="L4443" s="13">
        <v>4000</v>
      </c>
      <c r="M4443" t="s">
        <v>2661</v>
      </c>
    </row>
    <row r="4444" spans="1:13">
      <c r="A4444" t="s">
        <v>1840</v>
      </c>
      <c r="B4444" t="s">
        <v>81</v>
      </c>
      <c r="C4444" s="8">
        <v>46269</v>
      </c>
      <c r="D4444" t="s">
        <v>350</v>
      </c>
      <c r="E4444" t="s">
        <v>337</v>
      </c>
      <c r="F4444" s="12">
        <v>548900</v>
      </c>
      <c r="G4444" s="13">
        <v>54</v>
      </c>
      <c r="H4444" t="s">
        <v>2893</v>
      </c>
      <c r="I4444" s="8">
        <v>46034</v>
      </c>
      <c r="J4444" t="s">
        <v>2663</v>
      </c>
      <c r="K4444" t="s">
        <v>3630</v>
      </c>
      <c r="L4444" s="13">
        <v>1500</v>
      </c>
      <c r="M4444" t="s">
        <v>2661</v>
      </c>
    </row>
    <row r="4445" spans="1:13">
      <c r="A4445" t="s">
        <v>1840</v>
      </c>
      <c r="B4445" t="s">
        <v>81</v>
      </c>
      <c r="C4445" s="8">
        <v>46269</v>
      </c>
      <c r="D4445" t="s">
        <v>350</v>
      </c>
      <c r="E4445" t="s">
        <v>337</v>
      </c>
      <c r="F4445" s="12">
        <v>548900</v>
      </c>
      <c r="G4445" s="13">
        <v>54</v>
      </c>
      <c r="H4445" t="s">
        <v>3088</v>
      </c>
      <c r="I4445" s="8">
        <v>46271</v>
      </c>
      <c r="J4445" t="s">
        <v>2663</v>
      </c>
      <c r="K4445" t="s">
        <v>3630</v>
      </c>
      <c r="L4445" s="13">
        <v>1500</v>
      </c>
      <c r="M4445" t="s">
        <v>2676</v>
      </c>
    </row>
    <row r="4446" spans="1:13">
      <c r="A4446" t="s">
        <v>1840</v>
      </c>
      <c r="B4446" t="s">
        <v>81</v>
      </c>
      <c r="C4446" s="8">
        <v>46269</v>
      </c>
      <c r="D4446" t="s">
        <v>350</v>
      </c>
      <c r="E4446" t="s">
        <v>337</v>
      </c>
      <c r="F4446" s="12">
        <v>548900</v>
      </c>
      <c r="G4446" s="13">
        <v>54</v>
      </c>
      <c r="H4446" t="s">
        <v>3099</v>
      </c>
      <c r="I4446" s="8">
        <v>46247</v>
      </c>
      <c r="J4446" t="s">
        <v>2668</v>
      </c>
      <c r="K4446" t="s">
        <v>2669</v>
      </c>
      <c r="L4446" s="13">
        <v>4000</v>
      </c>
      <c r="M4446" t="s">
        <v>2676</v>
      </c>
    </row>
    <row r="4447" spans="1:13">
      <c r="A4447" t="s">
        <v>1840</v>
      </c>
      <c r="B4447" t="s">
        <v>81</v>
      </c>
      <c r="C4447" s="8">
        <v>46269</v>
      </c>
      <c r="D4447" t="s">
        <v>350</v>
      </c>
      <c r="E4447" t="s">
        <v>337</v>
      </c>
      <c r="F4447" s="12">
        <v>548900</v>
      </c>
      <c r="G4447" s="13">
        <v>54</v>
      </c>
      <c r="H4447" t="s">
        <v>3200</v>
      </c>
      <c r="I4447" s="8">
        <v>46120</v>
      </c>
      <c r="J4447" t="s">
        <v>2685</v>
      </c>
      <c r="K4447" t="s">
        <v>2686</v>
      </c>
      <c r="L4447" s="13">
        <v>5000</v>
      </c>
      <c r="M4447" t="s">
        <v>2661</v>
      </c>
    </row>
    <row r="4448" spans="1:13">
      <c r="A4448" t="s">
        <v>1840</v>
      </c>
      <c r="B4448" t="s">
        <v>81</v>
      </c>
      <c r="C4448" s="8">
        <v>46269</v>
      </c>
      <c r="D4448" t="s">
        <v>350</v>
      </c>
      <c r="E4448" t="s">
        <v>337</v>
      </c>
      <c r="F4448" s="12">
        <v>548900</v>
      </c>
      <c r="G4448" s="13">
        <v>54</v>
      </c>
      <c r="H4448" t="s">
        <v>3250</v>
      </c>
      <c r="I4448" s="8">
        <v>46234</v>
      </c>
      <c r="J4448" t="s">
        <v>2659</v>
      </c>
      <c r="K4448" t="s">
        <v>2660</v>
      </c>
      <c r="L4448" s="13">
        <v>3500</v>
      </c>
      <c r="M4448" t="s">
        <v>2661</v>
      </c>
    </row>
    <row r="4449" spans="1:13">
      <c r="A4449" t="s">
        <v>1840</v>
      </c>
      <c r="B4449" t="s">
        <v>81</v>
      </c>
      <c r="C4449" s="8">
        <v>46269</v>
      </c>
      <c r="D4449" t="s">
        <v>350</v>
      </c>
      <c r="E4449" t="s">
        <v>337</v>
      </c>
      <c r="F4449" s="12">
        <v>548900</v>
      </c>
      <c r="G4449" s="13">
        <v>54</v>
      </c>
      <c r="H4449" t="s">
        <v>3263</v>
      </c>
      <c r="I4449" s="8">
        <v>45996</v>
      </c>
      <c r="J4449" t="s">
        <v>2682</v>
      </c>
      <c r="K4449" t="s">
        <v>2683</v>
      </c>
      <c r="L4449" s="13">
        <v>6000</v>
      </c>
      <c r="M4449" t="s">
        <v>2661</v>
      </c>
    </row>
    <row r="4450" spans="1:13">
      <c r="A4450" t="s">
        <v>1840</v>
      </c>
      <c r="B4450" t="s">
        <v>81</v>
      </c>
      <c r="C4450" s="8">
        <v>46269</v>
      </c>
      <c r="D4450" t="s">
        <v>350</v>
      </c>
      <c r="E4450" t="s">
        <v>337</v>
      </c>
      <c r="F4450" s="12">
        <v>548900</v>
      </c>
      <c r="G4450" s="13">
        <v>54</v>
      </c>
      <c r="H4450" t="s">
        <v>3561</v>
      </c>
      <c r="I4450" s="8">
        <v>46096</v>
      </c>
      <c r="J4450" t="s">
        <v>2692</v>
      </c>
      <c r="K4450" t="s">
        <v>2693</v>
      </c>
      <c r="L4450" s="13">
        <v>10000</v>
      </c>
      <c r="M4450" t="s">
        <v>2676</v>
      </c>
    </row>
    <row r="4451" spans="1:13">
      <c r="A4451" t="s">
        <v>1841</v>
      </c>
      <c r="B4451" t="s">
        <v>136</v>
      </c>
      <c r="C4451" s="8">
        <v>46058</v>
      </c>
      <c r="D4451" t="s">
        <v>344</v>
      </c>
      <c r="E4451" t="s">
        <v>325</v>
      </c>
      <c r="F4451" s="12">
        <v>519768</v>
      </c>
      <c r="G4451" s="13">
        <v>51</v>
      </c>
      <c r="H4451" t="s">
        <v>2748</v>
      </c>
      <c r="I4451" s="8">
        <v>46022</v>
      </c>
      <c r="J4451" t="s">
        <v>2674</v>
      </c>
      <c r="K4451" t="s">
        <v>2675</v>
      </c>
      <c r="L4451" s="13">
        <v>20000</v>
      </c>
      <c r="M4451" t="s">
        <v>2661</v>
      </c>
    </row>
    <row r="4452" spans="1:13">
      <c r="A4452" t="s">
        <v>1841</v>
      </c>
      <c r="B4452" t="s">
        <v>136</v>
      </c>
      <c r="C4452" s="8">
        <v>46058</v>
      </c>
      <c r="D4452" t="s">
        <v>344</v>
      </c>
      <c r="E4452" t="s">
        <v>325</v>
      </c>
      <c r="F4452" s="12">
        <v>519768</v>
      </c>
      <c r="G4452" s="13">
        <v>51</v>
      </c>
      <c r="H4452" t="s">
        <v>2749</v>
      </c>
      <c r="I4452" s="8">
        <v>46017</v>
      </c>
      <c r="J4452" t="s">
        <v>2688</v>
      </c>
      <c r="K4452" t="s">
        <v>2689</v>
      </c>
      <c r="L4452" s="13">
        <v>8000</v>
      </c>
      <c r="M4452" t="s">
        <v>2676</v>
      </c>
    </row>
    <row r="4453" spans="1:13">
      <c r="A4453" t="s">
        <v>1841</v>
      </c>
      <c r="B4453" t="s">
        <v>136</v>
      </c>
      <c r="C4453" s="8">
        <v>46058</v>
      </c>
      <c r="D4453" t="s">
        <v>344</v>
      </c>
      <c r="E4453" t="s">
        <v>325</v>
      </c>
      <c r="F4453" s="12">
        <v>519768</v>
      </c>
      <c r="G4453" s="13">
        <v>51</v>
      </c>
      <c r="H4453" t="s">
        <v>2817</v>
      </c>
      <c r="I4453" s="8">
        <v>46089</v>
      </c>
      <c r="J4453" t="s">
        <v>2663</v>
      </c>
      <c r="K4453" t="s">
        <v>3630</v>
      </c>
      <c r="L4453" s="13">
        <v>1500</v>
      </c>
      <c r="M4453" t="s">
        <v>2676</v>
      </c>
    </row>
    <row r="4454" spans="1:13">
      <c r="A4454" t="s">
        <v>1841</v>
      </c>
      <c r="B4454" t="s">
        <v>136</v>
      </c>
      <c r="C4454" s="8">
        <v>46058</v>
      </c>
      <c r="D4454" t="s">
        <v>344</v>
      </c>
      <c r="E4454" t="s">
        <v>325</v>
      </c>
      <c r="F4454" s="12">
        <v>519768</v>
      </c>
      <c r="G4454" s="13">
        <v>51</v>
      </c>
      <c r="H4454" t="s">
        <v>2878</v>
      </c>
      <c r="I4454" s="8">
        <v>45988</v>
      </c>
      <c r="J4454" t="s">
        <v>2671</v>
      </c>
      <c r="K4454" t="s">
        <v>2672</v>
      </c>
      <c r="L4454" s="13">
        <v>3000</v>
      </c>
      <c r="M4454" t="s">
        <v>2661</v>
      </c>
    </row>
    <row r="4455" spans="1:13">
      <c r="A4455" t="s">
        <v>1842</v>
      </c>
      <c r="B4455" t="s">
        <v>250</v>
      </c>
      <c r="C4455" s="8">
        <v>46246</v>
      </c>
      <c r="D4455" t="s">
        <v>324</v>
      </c>
      <c r="E4455" t="s">
        <v>334</v>
      </c>
      <c r="F4455" s="12">
        <v>237775</v>
      </c>
      <c r="G4455" s="13">
        <v>23</v>
      </c>
      <c r="H4455" t="s">
        <v>3038</v>
      </c>
      <c r="I4455" s="8">
        <v>45972</v>
      </c>
      <c r="J4455" t="s">
        <v>2688</v>
      </c>
      <c r="K4455" t="s">
        <v>2689</v>
      </c>
      <c r="L4455" s="13">
        <v>8000</v>
      </c>
      <c r="M4455" t="s">
        <v>2661</v>
      </c>
    </row>
    <row r="4456" spans="1:13">
      <c r="A4456" t="s">
        <v>1842</v>
      </c>
      <c r="B4456" t="s">
        <v>250</v>
      </c>
      <c r="C4456" s="8">
        <v>46246</v>
      </c>
      <c r="D4456" t="s">
        <v>324</v>
      </c>
      <c r="E4456" t="s">
        <v>334</v>
      </c>
      <c r="F4456" s="12">
        <v>237775</v>
      </c>
      <c r="G4456" s="13">
        <v>23</v>
      </c>
      <c r="H4456" t="s">
        <v>3199</v>
      </c>
      <c r="I4456" s="8">
        <v>45994</v>
      </c>
      <c r="J4456" t="s">
        <v>2685</v>
      </c>
      <c r="K4456" t="s">
        <v>2686</v>
      </c>
      <c r="L4456" s="13">
        <v>5000</v>
      </c>
      <c r="M4456" t="s">
        <v>2661</v>
      </c>
    </row>
    <row r="4457" spans="1:13">
      <c r="A4457" t="s">
        <v>1842</v>
      </c>
      <c r="B4457" t="s">
        <v>250</v>
      </c>
      <c r="C4457" s="8">
        <v>46246</v>
      </c>
      <c r="D4457" t="s">
        <v>324</v>
      </c>
      <c r="E4457" t="s">
        <v>334</v>
      </c>
      <c r="F4457" s="12">
        <v>237775</v>
      </c>
      <c r="G4457" s="13">
        <v>23</v>
      </c>
      <c r="H4457" t="s">
        <v>3255</v>
      </c>
      <c r="I4457" s="8">
        <v>46197</v>
      </c>
      <c r="J4457" t="s">
        <v>2671</v>
      </c>
      <c r="K4457" t="s">
        <v>2672</v>
      </c>
      <c r="L4457" s="13">
        <v>3000</v>
      </c>
      <c r="M4457" t="s">
        <v>2661</v>
      </c>
    </row>
    <row r="4458" spans="1:13">
      <c r="A4458" t="s">
        <v>1842</v>
      </c>
      <c r="B4458" t="s">
        <v>250</v>
      </c>
      <c r="C4458" s="8">
        <v>46246</v>
      </c>
      <c r="D4458" t="s">
        <v>324</v>
      </c>
      <c r="E4458" t="s">
        <v>334</v>
      </c>
      <c r="F4458" s="12">
        <v>237775</v>
      </c>
      <c r="G4458" s="13">
        <v>23</v>
      </c>
      <c r="H4458" t="s">
        <v>3333</v>
      </c>
      <c r="I4458" s="8">
        <v>46156</v>
      </c>
      <c r="J4458" t="s">
        <v>2668</v>
      </c>
      <c r="K4458" t="s">
        <v>2669</v>
      </c>
      <c r="L4458" s="13">
        <v>4000</v>
      </c>
      <c r="M4458" t="s">
        <v>2661</v>
      </c>
    </row>
    <row r="4459" spans="1:13">
      <c r="A4459" t="s">
        <v>1843</v>
      </c>
      <c r="B4459" t="s">
        <v>262</v>
      </c>
      <c r="C4459" s="8">
        <v>46285</v>
      </c>
      <c r="D4459" t="s">
        <v>327</v>
      </c>
      <c r="E4459" t="s">
        <v>334</v>
      </c>
      <c r="F4459" s="12">
        <v>649993</v>
      </c>
      <c r="G4459" s="13">
        <v>64</v>
      </c>
      <c r="H4459" t="s">
        <v>2923</v>
      </c>
      <c r="I4459" s="8">
        <v>46130</v>
      </c>
      <c r="J4459" t="s">
        <v>2682</v>
      </c>
      <c r="K4459" t="s">
        <v>2683</v>
      </c>
      <c r="L4459" s="13">
        <v>6000</v>
      </c>
      <c r="M4459" t="s">
        <v>2661</v>
      </c>
    </row>
    <row r="4460" spans="1:13">
      <c r="A4460" t="s">
        <v>1844</v>
      </c>
      <c r="B4460" t="s">
        <v>237</v>
      </c>
      <c r="C4460" s="8">
        <v>45957</v>
      </c>
      <c r="D4460" t="s">
        <v>332</v>
      </c>
      <c r="E4460" t="s">
        <v>334</v>
      </c>
      <c r="F4460" s="12">
        <v>198266</v>
      </c>
      <c r="G4460" s="13">
        <v>19</v>
      </c>
      <c r="H4460" t="s">
        <v>2750</v>
      </c>
      <c r="I4460" s="8">
        <v>46183</v>
      </c>
      <c r="J4460" t="s">
        <v>2659</v>
      </c>
      <c r="K4460" t="s">
        <v>2660</v>
      </c>
      <c r="L4460" s="13">
        <v>3500</v>
      </c>
      <c r="M4460" t="s">
        <v>2661</v>
      </c>
    </row>
    <row r="4461" spans="1:13">
      <c r="A4461" t="s">
        <v>1844</v>
      </c>
      <c r="B4461" t="s">
        <v>237</v>
      </c>
      <c r="C4461" s="8">
        <v>45957</v>
      </c>
      <c r="D4461" t="s">
        <v>332</v>
      </c>
      <c r="E4461" t="s">
        <v>334</v>
      </c>
      <c r="F4461" s="12">
        <v>198266</v>
      </c>
      <c r="G4461" s="13">
        <v>19</v>
      </c>
      <c r="H4461" t="s">
        <v>2787</v>
      </c>
      <c r="I4461" s="8">
        <v>46144</v>
      </c>
      <c r="J4461" t="s">
        <v>2692</v>
      </c>
      <c r="K4461" t="s">
        <v>2693</v>
      </c>
      <c r="L4461" s="13">
        <v>10000</v>
      </c>
      <c r="M4461" t="s">
        <v>2661</v>
      </c>
    </row>
    <row r="4462" spans="1:13">
      <c r="A4462" t="s">
        <v>1844</v>
      </c>
      <c r="B4462" t="s">
        <v>237</v>
      </c>
      <c r="C4462" s="8">
        <v>45957</v>
      </c>
      <c r="D4462" t="s">
        <v>332</v>
      </c>
      <c r="E4462" t="s">
        <v>334</v>
      </c>
      <c r="F4462" s="12">
        <v>198266</v>
      </c>
      <c r="G4462" s="13">
        <v>19</v>
      </c>
      <c r="H4462" t="s">
        <v>3055</v>
      </c>
      <c r="I4462" s="8">
        <v>46201</v>
      </c>
      <c r="J4462" t="s">
        <v>2659</v>
      </c>
      <c r="K4462" t="s">
        <v>2660</v>
      </c>
      <c r="L4462" s="13">
        <v>3500</v>
      </c>
      <c r="M4462" t="s">
        <v>2661</v>
      </c>
    </row>
    <row r="4463" spans="1:13">
      <c r="A4463" t="s">
        <v>1844</v>
      </c>
      <c r="B4463" t="s">
        <v>237</v>
      </c>
      <c r="C4463" s="8">
        <v>45957</v>
      </c>
      <c r="D4463" t="s">
        <v>332</v>
      </c>
      <c r="E4463" t="s">
        <v>334</v>
      </c>
      <c r="F4463" s="12">
        <v>198266</v>
      </c>
      <c r="G4463" s="13">
        <v>19</v>
      </c>
      <c r="H4463" t="s">
        <v>3067</v>
      </c>
      <c r="I4463" s="8">
        <v>46122</v>
      </c>
      <c r="J4463" t="s">
        <v>2668</v>
      </c>
      <c r="K4463" t="s">
        <v>2669</v>
      </c>
      <c r="L4463" s="13">
        <v>4000</v>
      </c>
      <c r="M4463" t="s">
        <v>2661</v>
      </c>
    </row>
    <row r="4464" spans="1:13">
      <c r="A4464" t="s">
        <v>1844</v>
      </c>
      <c r="B4464" t="s">
        <v>237</v>
      </c>
      <c r="C4464" s="8">
        <v>45957</v>
      </c>
      <c r="D4464" t="s">
        <v>332</v>
      </c>
      <c r="E4464" t="s">
        <v>334</v>
      </c>
      <c r="F4464" s="12">
        <v>198266</v>
      </c>
      <c r="G4464" s="13">
        <v>19</v>
      </c>
      <c r="H4464" t="s">
        <v>3130</v>
      </c>
      <c r="I4464" s="8">
        <v>46003</v>
      </c>
      <c r="J4464" t="s">
        <v>2663</v>
      </c>
      <c r="K4464" t="s">
        <v>3630</v>
      </c>
      <c r="L4464" s="13">
        <v>1500</v>
      </c>
      <c r="M4464" t="s">
        <v>2661</v>
      </c>
    </row>
    <row r="4465" spans="1:13">
      <c r="A4465" t="s">
        <v>1844</v>
      </c>
      <c r="B4465" t="s">
        <v>237</v>
      </c>
      <c r="C4465" s="8">
        <v>45957</v>
      </c>
      <c r="D4465" t="s">
        <v>332</v>
      </c>
      <c r="E4465" t="s">
        <v>334</v>
      </c>
      <c r="F4465" s="12">
        <v>198266</v>
      </c>
      <c r="G4465" s="13">
        <v>19</v>
      </c>
      <c r="H4465" t="s">
        <v>3258</v>
      </c>
      <c r="I4465" s="8">
        <v>45979</v>
      </c>
      <c r="J4465" t="s">
        <v>2692</v>
      </c>
      <c r="K4465" t="s">
        <v>2693</v>
      </c>
      <c r="L4465" s="13">
        <v>10000</v>
      </c>
      <c r="M4465" t="s">
        <v>2661</v>
      </c>
    </row>
    <row r="4466" spans="1:13">
      <c r="A4466" t="s">
        <v>1844</v>
      </c>
      <c r="B4466" t="s">
        <v>237</v>
      </c>
      <c r="C4466" s="8">
        <v>45957</v>
      </c>
      <c r="D4466" t="s">
        <v>332</v>
      </c>
      <c r="E4466" t="s">
        <v>334</v>
      </c>
      <c r="F4466" s="12">
        <v>198266</v>
      </c>
      <c r="G4466" s="13">
        <v>19</v>
      </c>
      <c r="H4466" t="s">
        <v>3276</v>
      </c>
      <c r="I4466" s="8">
        <v>46127</v>
      </c>
      <c r="J4466" t="s">
        <v>2682</v>
      </c>
      <c r="K4466" t="s">
        <v>2683</v>
      </c>
      <c r="L4466" s="13">
        <v>6000</v>
      </c>
      <c r="M4466" t="s">
        <v>2661</v>
      </c>
    </row>
    <row r="4467" spans="1:13">
      <c r="A4467" t="s">
        <v>1846</v>
      </c>
      <c r="B4467" t="s">
        <v>238</v>
      </c>
      <c r="C4467" s="8">
        <v>46034</v>
      </c>
      <c r="D4467" t="s">
        <v>344</v>
      </c>
      <c r="E4467" t="s">
        <v>339</v>
      </c>
      <c r="F4467" s="12">
        <v>321337</v>
      </c>
      <c r="G4467" s="13">
        <v>32</v>
      </c>
      <c r="H4467" t="s">
        <v>3383</v>
      </c>
      <c r="I4467" s="8">
        <v>46051</v>
      </c>
      <c r="J4467" t="s">
        <v>2682</v>
      </c>
      <c r="K4467" t="s">
        <v>2683</v>
      </c>
      <c r="L4467" s="13">
        <v>6000</v>
      </c>
      <c r="M4467" t="s">
        <v>2661</v>
      </c>
    </row>
    <row r="4468" spans="1:13">
      <c r="A4468" t="s">
        <v>1846</v>
      </c>
      <c r="B4468" t="s">
        <v>238</v>
      </c>
      <c r="C4468" s="8">
        <v>46034</v>
      </c>
      <c r="D4468" t="s">
        <v>344</v>
      </c>
      <c r="E4468" t="s">
        <v>339</v>
      </c>
      <c r="F4468" s="12">
        <v>321337</v>
      </c>
      <c r="G4468" s="13">
        <v>32</v>
      </c>
      <c r="H4468" t="s">
        <v>3483</v>
      </c>
      <c r="I4468" s="8">
        <v>46188</v>
      </c>
      <c r="J4468" t="s">
        <v>2674</v>
      </c>
      <c r="K4468" t="s">
        <v>2675</v>
      </c>
      <c r="L4468" s="13">
        <v>20000</v>
      </c>
      <c r="M4468" t="s">
        <v>2661</v>
      </c>
    </row>
    <row r="4469" spans="1:13">
      <c r="A4469" t="s">
        <v>1847</v>
      </c>
      <c r="B4469" t="s">
        <v>22</v>
      </c>
      <c r="C4469" s="8">
        <v>46006</v>
      </c>
      <c r="D4469" t="s">
        <v>344</v>
      </c>
      <c r="E4469" t="s">
        <v>334</v>
      </c>
      <c r="F4469" s="12">
        <v>259208</v>
      </c>
      <c r="G4469" s="13">
        <v>25</v>
      </c>
      <c r="H4469" t="s">
        <v>3212</v>
      </c>
      <c r="I4469" s="8">
        <v>45987</v>
      </c>
      <c r="J4469" t="s">
        <v>2659</v>
      </c>
      <c r="K4469" t="s">
        <v>2660</v>
      </c>
      <c r="L4469" s="13">
        <v>3500</v>
      </c>
      <c r="M4469" t="s">
        <v>2661</v>
      </c>
    </row>
    <row r="4470" spans="1:13">
      <c r="A4470" t="s">
        <v>1847</v>
      </c>
      <c r="B4470" t="s">
        <v>22</v>
      </c>
      <c r="C4470" s="8">
        <v>46006</v>
      </c>
      <c r="D4470" t="s">
        <v>344</v>
      </c>
      <c r="E4470" t="s">
        <v>334</v>
      </c>
      <c r="F4470" s="12">
        <v>259208</v>
      </c>
      <c r="G4470" s="13">
        <v>25</v>
      </c>
      <c r="H4470" t="s">
        <v>3444</v>
      </c>
      <c r="I4470" s="8">
        <v>46084</v>
      </c>
      <c r="J4470" t="s">
        <v>2659</v>
      </c>
      <c r="K4470" t="s">
        <v>2660</v>
      </c>
      <c r="L4470" s="13">
        <v>3500</v>
      </c>
      <c r="M4470" t="s">
        <v>2661</v>
      </c>
    </row>
    <row r="4471" spans="1:13">
      <c r="A4471" t="s">
        <v>1847</v>
      </c>
      <c r="B4471" t="s">
        <v>22</v>
      </c>
      <c r="C4471" s="8">
        <v>46006</v>
      </c>
      <c r="D4471" t="s">
        <v>344</v>
      </c>
      <c r="E4471" t="s">
        <v>334</v>
      </c>
      <c r="F4471" s="12">
        <v>259208</v>
      </c>
      <c r="G4471" s="13">
        <v>25</v>
      </c>
      <c r="H4471" t="s">
        <v>3537</v>
      </c>
      <c r="I4471" s="8">
        <v>46009</v>
      </c>
      <c r="J4471" t="s">
        <v>2659</v>
      </c>
      <c r="K4471" t="s">
        <v>2660</v>
      </c>
      <c r="L4471" s="13">
        <v>3500</v>
      </c>
      <c r="M4471" t="s">
        <v>2661</v>
      </c>
    </row>
    <row r="4472" spans="1:13">
      <c r="A4472" t="s">
        <v>1848</v>
      </c>
      <c r="B4472" t="s">
        <v>150</v>
      </c>
      <c r="C4472" s="8">
        <v>46177</v>
      </c>
      <c r="D4472" t="s">
        <v>327</v>
      </c>
      <c r="E4472" t="s">
        <v>328</v>
      </c>
      <c r="F4472" s="12">
        <v>76987</v>
      </c>
      <c r="G4472" s="13">
        <v>7</v>
      </c>
      <c r="H4472" t="s">
        <v>3070</v>
      </c>
      <c r="I4472" s="8">
        <v>46003</v>
      </c>
      <c r="J4472" t="s">
        <v>2671</v>
      </c>
      <c r="K4472" t="s">
        <v>2672</v>
      </c>
      <c r="L4472" s="13">
        <v>3000</v>
      </c>
      <c r="M4472" t="s">
        <v>2676</v>
      </c>
    </row>
    <row r="4473" spans="1:13">
      <c r="A4473" t="s">
        <v>1848</v>
      </c>
      <c r="B4473" t="s">
        <v>150</v>
      </c>
      <c r="C4473" s="8">
        <v>46177</v>
      </c>
      <c r="D4473" t="s">
        <v>327</v>
      </c>
      <c r="E4473" t="s">
        <v>328</v>
      </c>
      <c r="F4473" s="12">
        <v>76987</v>
      </c>
      <c r="G4473" s="13">
        <v>7</v>
      </c>
      <c r="H4473" t="s">
        <v>3275</v>
      </c>
      <c r="I4473" s="8">
        <v>45936</v>
      </c>
      <c r="J4473" t="s">
        <v>2688</v>
      </c>
      <c r="K4473" t="s">
        <v>2689</v>
      </c>
      <c r="L4473" s="13">
        <v>8000</v>
      </c>
      <c r="M4473" t="s">
        <v>2661</v>
      </c>
    </row>
    <row r="4474" spans="1:13">
      <c r="A4474" t="s">
        <v>1848</v>
      </c>
      <c r="B4474" t="s">
        <v>150</v>
      </c>
      <c r="C4474" s="8">
        <v>46177</v>
      </c>
      <c r="D4474" t="s">
        <v>327</v>
      </c>
      <c r="E4474" t="s">
        <v>328</v>
      </c>
      <c r="F4474" s="12">
        <v>76987</v>
      </c>
      <c r="G4474" s="13">
        <v>7</v>
      </c>
      <c r="H4474" t="s">
        <v>3352</v>
      </c>
      <c r="I4474" s="8">
        <v>46153</v>
      </c>
      <c r="J4474" t="s">
        <v>2665</v>
      </c>
      <c r="K4474" t="s">
        <v>2666</v>
      </c>
      <c r="L4474" s="13">
        <v>2500</v>
      </c>
      <c r="M4474" t="s">
        <v>2661</v>
      </c>
    </row>
    <row r="4475" spans="1:13">
      <c r="A4475" t="s">
        <v>1849</v>
      </c>
      <c r="B4475" t="s">
        <v>142</v>
      </c>
      <c r="C4475" s="8">
        <v>45958</v>
      </c>
      <c r="D4475" t="s">
        <v>350</v>
      </c>
      <c r="E4475" t="s">
        <v>328</v>
      </c>
      <c r="F4475" s="12">
        <v>172099</v>
      </c>
      <c r="G4475" s="13">
        <v>17</v>
      </c>
      <c r="H4475" t="s">
        <v>3558</v>
      </c>
      <c r="I4475" s="8">
        <v>46016</v>
      </c>
      <c r="J4475" t="s">
        <v>2663</v>
      </c>
      <c r="K4475" t="s">
        <v>3630</v>
      </c>
      <c r="L4475" s="13">
        <v>1500</v>
      </c>
      <c r="M4475" t="s">
        <v>2661</v>
      </c>
    </row>
    <row r="4476" spans="1:13">
      <c r="A4476" t="s">
        <v>1850</v>
      </c>
      <c r="B4476" t="s">
        <v>265</v>
      </c>
      <c r="C4476" s="8">
        <v>46079</v>
      </c>
      <c r="D4476" t="s">
        <v>330</v>
      </c>
      <c r="E4476" t="s">
        <v>328</v>
      </c>
      <c r="F4476" s="12">
        <v>319300</v>
      </c>
      <c r="G4476" s="13">
        <v>31</v>
      </c>
      <c r="H4476" t="s">
        <v>2909</v>
      </c>
      <c r="I4476" s="8">
        <v>45963</v>
      </c>
      <c r="J4476" t="s">
        <v>2659</v>
      </c>
      <c r="K4476" t="s">
        <v>2660</v>
      </c>
      <c r="L4476" s="13">
        <v>3500</v>
      </c>
      <c r="M4476" t="s">
        <v>2661</v>
      </c>
    </row>
    <row r="4477" spans="1:13">
      <c r="A4477" t="s">
        <v>1851</v>
      </c>
      <c r="B4477" t="s">
        <v>241</v>
      </c>
      <c r="C4477" s="8">
        <v>46258</v>
      </c>
      <c r="D4477" t="s">
        <v>330</v>
      </c>
      <c r="E4477" t="s">
        <v>337</v>
      </c>
      <c r="F4477" s="12">
        <v>161365</v>
      </c>
      <c r="G4477" s="13">
        <v>16</v>
      </c>
      <c r="H4477" t="s">
        <v>2911</v>
      </c>
      <c r="I4477" s="8">
        <v>46173</v>
      </c>
      <c r="J4477" t="s">
        <v>2692</v>
      </c>
      <c r="K4477" t="s">
        <v>2693</v>
      </c>
      <c r="L4477" s="13">
        <v>10000</v>
      </c>
      <c r="M4477" t="s">
        <v>2661</v>
      </c>
    </row>
    <row r="4478" spans="1:13">
      <c r="A4478" t="s">
        <v>1851</v>
      </c>
      <c r="B4478" t="s">
        <v>241</v>
      </c>
      <c r="C4478" s="8">
        <v>46258</v>
      </c>
      <c r="D4478" t="s">
        <v>330</v>
      </c>
      <c r="E4478" t="s">
        <v>337</v>
      </c>
      <c r="F4478" s="12">
        <v>161365</v>
      </c>
      <c r="G4478" s="13">
        <v>16</v>
      </c>
      <c r="H4478" t="s">
        <v>3174</v>
      </c>
      <c r="I4478" s="8">
        <v>46189</v>
      </c>
      <c r="J4478" t="s">
        <v>2674</v>
      </c>
      <c r="K4478" t="s">
        <v>2675</v>
      </c>
      <c r="L4478" s="13">
        <v>20000</v>
      </c>
      <c r="M4478" t="s">
        <v>2661</v>
      </c>
    </row>
    <row r="4479" spans="1:13">
      <c r="A4479" t="s">
        <v>1851</v>
      </c>
      <c r="B4479" t="s">
        <v>241</v>
      </c>
      <c r="C4479" s="8">
        <v>46258</v>
      </c>
      <c r="D4479" t="s">
        <v>330</v>
      </c>
      <c r="E4479" t="s">
        <v>337</v>
      </c>
      <c r="F4479" s="12">
        <v>161365</v>
      </c>
      <c r="G4479" s="13">
        <v>16</v>
      </c>
      <c r="H4479" t="s">
        <v>3419</v>
      </c>
      <c r="I4479" s="8">
        <v>46084</v>
      </c>
      <c r="J4479" t="s">
        <v>2665</v>
      </c>
      <c r="K4479" t="s">
        <v>2666</v>
      </c>
      <c r="L4479" s="13">
        <v>2500</v>
      </c>
      <c r="M4479" t="s">
        <v>2661</v>
      </c>
    </row>
    <row r="4480" spans="1:13">
      <c r="A4480" t="s">
        <v>1851</v>
      </c>
      <c r="B4480" t="s">
        <v>241</v>
      </c>
      <c r="C4480" s="8">
        <v>46258</v>
      </c>
      <c r="D4480" t="s">
        <v>330</v>
      </c>
      <c r="E4480" t="s">
        <v>337</v>
      </c>
      <c r="F4480" s="12">
        <v>161365</v>
      </c>
      <c r="G4480" s="13">
        <v>16</v>
      </c>
      <c r="H4480" t="s">
        <v>3526</v>
      </c>
      <c r="I4480" s="8">
        <v>46211</v>
      </c>
      <c r="J4480" t="s">
        <v>2671</v>
      </c>
      <c r="K4480" t="s">
        <v>2672</v>
      </c>
      <c r="L4480" s="13">
        <v>3000</v>
      </c>
      <c r="M4480" t="s">
        <v>2661</v>
      </c>
    </row>
    <row r="4481" spans="1:13">
      <c r="A4481" t="s">
        <v>1852</v>
      </c>
      <c r="B4481" t="s">
        <v>77</v>
      </c>
      <c r="C4481" s="8">
        <v>46212</v>
      </c>
      <c r="D4481" t="s">
        <v>321</v>
      </c>
      <c r="E4481" t="s">
        <v>339</v>
      </c>
      <c r="F4481" s="12">
        <v>344370</v>
      </c>
      <c r="G4481" s="13">
        <v>34</v>
      </c>
      <c r="H4481" t="s">
        <v>2808</v>
      </c>
      <c r="I4481" s="8">
        <v>45978</v>
      </c>
      <c r="J4481" t="s">
        <v>2688</v>
      </c>
      <c r="K4481" t="s">
        <v>2689</v>
      </c>
      <c r="L4481" s="13">
        <v>8000</v>
      </c>
      <c r="M4481" t="s">
        <v>2661</v>
      </c>
    </row>
    <row r="4482" spans="1:13">
      <c r="A4482" t="s">
        <v>1852</v>
      </c>
      <c r="B4482" t="s">
        <v>77</v>
      </c>
      <c r="C4482" s="8">
        <v>46212</v>
      </c>
      <c r="D4482" t="s">
        <v>321</v>
      </c>
      <c r="E4482" t="s">
        <v>339</v>
      </c>
      <c r="F4482" s="12">
        <v>344370</v>
      </c>
      <c r="G4482" s="13">
        <v>34</v>
      </c>
      <c r="H4482" t="s">
        <v>3166</v>
      </c>
      <c r="I4482" s="8">
        <v>46075</v>
      </c>
      <c r="J4482" t="s">
        <v>2668</v>
      </c>
      <c r="K4482" t="s">
        <v>2669</v>
      </c>
      <c r="L4482" s="13">
        <v>4000</v>
      </c>
      <c r="M4482" t="s">
        <v>2661</v>
      </c>
    </row>
    <row r="4483" spans="1:13">
      <c r="A4483" t="s">
        <v>1852</v>
      </c>
      <c r="B4483" t="s">
        <v>77</v>
      </c>
      <c r="C4483" s="8">
        <v>46212</v>
      </c>
      <c r="D4483" t="s">
        <v>321</v>
      </c>
      <c r="E4483" t="s">
        <v>339</v>
      </c>
      <c r="F4483" s="12">
        <v>344370</v>
      </c>
      <c r="G4483" s="13">
        <v>34</v>
      </c>
      <c r="H4483" t="s">
        <v>3326</v>
      </c>
      <c r="I4483" s="8">
        <v>46123</v>
      </c>
      <c r="J4483" t="s">
        <v>2688</v>
      </c>
      <c r="K4483" t="s">
        <v>2689</v>
      </c>
      <c r="L4483" s="13">
        <v>8000</v>
      </c>
      <c r="M4483" t="s">
        <v>2661</v>
      </c>
    </row>
    <row r="4484" spans="1:13">
      <c r="A4484" t="s">
        <v>1853</v>
      </c>
      <c r="B4484" t="s">
        <v>90</v>
      </c>
      <c r="C4484" s="8">
        <v>46046</v>
      </c>
      <c r="D4484" t="s">
        <v>324</v>
      </c>
      <c r="E4484" t="s">
        <v>337</v>
      </c>
      <c r="F4484" s="12">
        <v>120617</v>
      </c>
      <c r="G4484" s="13">
        <v>12</v>
      </c>
      <c r="H4484" t="s">
        <v>3041</v>
      </c>
      <c r="I4484" s="8">
        <v>46040</v>
      </c>
      <c r="J4484" t="s">
        <v>2685</v>
      </c>
      <c r="K4484" t="s">
        <v>2686</v>
      </c>
      <c r="L4484" s="13">
        <v>5000</v>
      </c>
      <c r="M4484" t="s">
        <v>2661</v>
      </c>
    </row>
    <row r="4485" spans="1:13">
      <c r="A4485" t="s">
        <v>1855</v>
      </c>
      <c r="B4485" t="s">
        <v>228</v>
      </c>
      <c r="C4485" s="8">
        <v>46129</v>
      </c>
      <c r="D4485" t="s">
        <v>324</v>
      </c>
      <c r="E4485" t="s">
        <v>337</v>
      </c>
      <c r="F4485" s="12">
        <v>78780</v>
      </c>
      <c r="G4485" s="13">
        <v>7</v>
      </c>
      <c r="H4485" t="s">
        <v>2833</v>
      </c>
      <c r="I4485" s="8">
        <v>46184</v>
      </c>
      <c r="J4485" t="s">
        <v>2671</v>
      </c>
      <c r="K4485" t="s">
        <v>2672</v>
      </c>
      <c r="L4485" s="13">
        <v>3000</v>
      </c>
      <c r="M4485" t="s">
        <v>2676</v>
      </c>
    </row>
    <row r="4486" spans="1:13">
      <c r="A4486" t="s">
        <v>1855</v>
      </c>
      <c r="B4486" t="s">
        <v>228</v>
      </c>
      <c r="C4486" s="8">
        <v>46129</v>
      </c>
      <c r="D4486" t="s">
        <v>324</v>
      </c>
      <c r="E4486" t="s">
        <v>337</v>
      </c>
      <c r="F4486" s="12">
        <v>78780</v>
      </c>
      <c r="G4486" s="13">
        <v>7</v>
      </c>
      <c r="H4486" t="s">
        <v>2985</v>
      </c>
      <c r="I4486" s="8">
        <v>46092</v>
      </c>
      <c r="J4486" t="s">
        <v>2671</v>
      </c>
      <c r="K4486" t="s">
        <v>2672</v>
      </c>
      <c r="L4486" s="13">
        <v>3000</v>
      </c>
      <c r="M4486" t="s">
        <v>2661</v>
      </c>
    </row>
    <row r="4487" spans="1:13">
      <c r="A4487" t="s">
        <v>1855</v>
      </c>
      <c r="B4487" t="s">
        <v>228</v>
      </c>
      <c r="C4487" s="8">
        <v>46129</v>
      </c>
      <c r="D4487" t="s">
        <v>324</v>
      </c>
      <c r="E4487" t="s">
        <v>337</v>
      </c>
      <c r="F4487" s="12">
        <v>78780</v>
      </c>
      <c r="G4487" s="13">
        <v>7</v>
      </c>
      <c r="H4487" t="s">
        <v>3370</v>
      </c>
      <c r="I4487" s="8">
        <v>46191</v>
      </c>
      <c r="J4487" t="s">
        <v>2659</v>
      </c>
      <c r="K4487" t="s">
        <v>2660</v>
      </c>
      <c r="L4487" s="13">
        <v>3500</v>
      </c>
      <c r="M4487" t="s">
        <v>2661</v>
      </c>
    </row>
    <row r="4488" spans="1:13">
      <c r="A4488" t="s">
        <v>1855</v>
      </c>
      <c r="B4488" t="s">
        <v>228</v>
      </c>
      <c r="C4488" s="8">
        <v>46129</v>
      </c>
      <c r="D4488" t="s">
        <v>324</v>
      </c>
      <c r="E4488" t="s">
        <v>337</v>
      </c>
      <c r="F4488" s="12">
        <v>78780</v>
      </c>
      <c r="G4488" s="13">
        <v>7</v>
      </c>
      <c r="H4488" t="s">
        <v>3390</v>
      </c>
      <c r="I4488" s="8">
        <v>46082</v>
      </c>
      <c r="J4488" t="s">
        <v>2668</v>
      </c>
      <c r="K4488" t="s">
        <v>2669</v>
      </c>
      <c r="L4488" s="13">
        <v>4000</v>
      </c>
      <c r="M4488" t="s">
        <v>2661</v>
      </c>
    </row>
    <row r="4489" spans="1:13">
      <c r="A4489" t="s">
        <v>1856</v>
      </c>
      <c r="B4489" t="s">
        <v>46</v>
      </c>
      <c r="C4489" s="8">
        <v>46103</v>
      </c>
      <c r="D4489" t="s">
        <v>350</v>
      </c>
      <c r="E4489" t="s">
        <v>339</v>
      </c>
      <c r="F4489" s="12">
        <v>352864</v>
      </c>
      <c r="G4489" s="13">
        <v>35</v>
      </c>
      <c r="H4489" t="s">
        <v>2743</v>
      </c>
      <c r="I4489" s="8">
        <v>46248</v>
      </c>
      <c r="J4489" t="s">
        <v>2685</v>
      </c>
      <c r="K4489" t="s">
        <v>2686</v>
      </c>
      <c r="L4489" s="13">
        <v>5000</v>
      </c>
      <c r="M4489" t="s">
        <v>2661</v>
      </c>
    </row>
    <row r="4490" spans="1:13">
      <c r="A4490" t="s">
        <v>1856</v>
      </c>
      <c r="B4490" t="s">
        <v>46</v>
      </c>
      <c r="C4490" s="8">
        <v>46103</v>
      </c>
      <c r="D4490" t="s">
        <v>350</v>
      </c>
      <c r="E4490" t="s">
        <v>339</v>
      </c>
      <c r="F4490" s="12">
        <v>352864</v>
      </c>
      <c r="G4490" s="13">
        <v>35</v>
      </c>
      <c r="H4490" t="s">
        <v>3021</v>
      </c>
      <c r="I4490" s="8">
        <v>45955</v>
      </c>
      <c r="J4490" t="s">
        <v>2665</v>
      </c>
      <c r="K4490" t="s">
        <v>2666</v>
      </c>
      <c r="L4490" s="13">
        <v>2500</v>
      </c>
      <c r="M4490" t="s">
        <v>2661</v>
      </c>
    </row>
    <row r="4491" spans="1:13">
      <c r="A4491" t="s">
        <v>1856</v>
      </c>
      <c r="B4491" t="s">
        <v>46</v>
      </c>
      <c r="C4491" s="8">
        <v>46103</v>
      </c>
      <c r="D4491" t="s">
        <v>350</v>
      </c>
      <c r="E4491" t="s">
        <v>339</v>
      </c>
      <c r="F4491" s="12">
        <v>352864</v>
      </c>
      <c r="G4491" s="13">
        <v>35</v>
      </c>
      <c r="H4491" t="s">
        <v>3069</v>
      </c>
      <c r="I4491" s="8">
        <v>45945</v>
      </c>
      <c r="J4491" t="s">
        <v>2668</v>
      </c>
      <c r="K4491" t="s">
        <v>2669</v>
      </c>
      <c r="L4491" s="13">
        <v>4000</v>
      </c>
      <c r="M4491" t="s">
        <v>2661</v>
      </c>
    </row>
    <row r="4492" spans="1:13">
      <c r="A4492" t="s">
        <v>1856</v>
      </c>
      <c r="B4492" t="s">
        <v>46</v>
      </c>
      <c r="C4492" s="8">
        <v>46103</v>
      </c>
      <c r="D4492" t="s">
        <v>350</v>
      </c>
      <c r="E4492" t="s">
        <v>339</v>
      </c>
      <c r="F4492" s="12">
        <v>352864</v>
      </c>
      <c r="G4492" s="13">
        <v>35</v>
      </c>
      <c r="H4492" t="s">
        <v>3408</v>
      </c>
      <c r="I4492" s="8">
        <v>46072</v>
      </c>
      <c r="J4492" t="s">
        <v>2668</v>
      </c>
      <c r="K4492" t="s">
        <v>2669</v>
      </c>
      <c r="L4492" s="13">
        <v>4000</v>
      </c>
      <c r="M4492" t="s">
        <v>2661</v>
      </c>
    </row>
    <row r="4493" spans="1:13">
      <c r="A4493" t="s">
        <v>1856</v>
      </c>
      <c r="B4493" t="s">
        <v>46</v>
      </c>
      <c r="C4493" s="8">
        <v>46103</v>
      </c>
      <c r="D4493" t="s">
        <v>350</v>
      </c>
      <c r="E4493" t="s">
        <v>339</v>
      </c>
      <c r="F4493" s="12">
        <v>352864</v>
      </c>
      <c r="G4493" s="13">
        <v>35</v>
      </c>
      <c r="H4493" t="s">
        <v>3494</v>
      </c>
      <c r="I4493" s="8">
        <v>46108</v>
      </c>
      <c r="J4493" t="s">
        <v>2688</v>
      </c>
      <c r="K4493" t="s">
        <v>2689</v>
      </c>
      <c r="L4493" s="13">
        <v>8000</v>
      </c>
      <c r="M4493" t="s">
        <v>2661</v>
      </c>
    </row>
    <row r="4494" spans="1:13">
      <c r="A4494" t="s">
        <v>1858</v>
      </c>
      <c r="B4494" t="s">
        <v>75</v>
      </c>
      <c r="C4494" s="8">
        <v>46194</v>
      </c>
      <c r="D4494" t="s">
        <v>327</v>
      </c>
      <c r="E4494" t="s">
        <v>322</v>
      </c>
      <c r="F4494" s="12">
        <v>378080</v>
      </c>
      <c r="G4494" s="13">
        <v>37</v>
      </c>
      <c r="H4494" t="s">
        <v>2944</v>
      </c>
      <c r="I4494" s="8">
        <v>46218</v>
      </c>
      <c r="J4494" t="s">
        <v>2665</v>
      </c>
      <c r="K4494" t="s">
        <v>2666</v>
      </c>
      <c r="L4494" s="13">
        <v>2500</v>
      </c>
      <c r="M4494" t="s">
        <v>2661</v>
      </c>
    </row>
    <row r="4495" spans="1:13">
      <c r="A4495" t="s">
        <v>1858</v>
      </c>
      <c r="B4495" t="s">
        <v>75</v>
      </c>
      <c r="C4495" s="8">
        <v>46194</v>
      </c>
      <c r="D4495" t="s">
        <v>327</v>
      </c>
      <c r="E4495" t="s">
        <v>322</v>
      </c>
      <c r="F4495" s="12">
        <v>378080</v>
      </c>
      <c r="G4495" s="13">
        <v>37</v>
      </c>
      <c r="H4495" t="s">
        <v>3396</v>
      </c>
      <c r="I4495" s="8">
        <v>46161</v>
      </c>
      <c r="J4495" t="s">
        <v>2659</v>
      </c>
      <c r="K4495" t="s">
        <v>2660</v>
      </c>
      <c r="L4495" s="13">
        <v>3500</v>
      </c>
      <c r="M4495" t="s">
        <v>2661</v>
      </c>
    </row>
    <row r="4496" spans="1:13">
      <c r="A4496" t="s">
        <v>1858</v>
      </c>
      <c r="B4496" t="s">
        <v>75</v>
      </c>
      <c r="C4496" s="8">
        <v>46194</v>
      </c>
      <c r="D4496" t="s">
        <v>327</v>
      </c>
      <c r="E4496" t="s">
        <v>322</v>
      </c>
      <c r="F4496" s="12">
        <v>378080</v>
      </c>
      <c r="G4496" s="13">
        <v>37</v>
      </c>
      <c r="H4496" t="s">
        <v>3549</v>
      </c>
      <c r="I4496" s="8">
        <v>46034</v>
      </c>
      <c r="J4496" t="s">
        <v>2692</v>
      </c>
      <c r="K4496" t="s">
        <v>2693</v>
      </c>
      <c r="L4496" s="13">
        <v>10000</v>
      </c>
      <c r="M4496" t="s">
        <v>2661</v>
      </c>
    </row>
    <row r="4497" spans="1:13">
      <c r="A4497" t="s">
        <v>1859</v>
      </c>
      <c r="B4497" t="s">
        <v>192</v>
      </c>
      <c r="C4497" s="8">
        <v>45948</v>
      </c>
      <c r="D4497" t="s">
        <v>330</v>
      </c>
      <c r="E4497" t="s">
        <v>339</v>
      </c>
      <c r="F4497" s="12">
        <v>384403</v>
      </c>
      <c r="G4497" s="13">
        <v>38</v>
      </c>
      <c r="H4497" t="s">
        <v>2732</v>
      </c>
      <c r="I4497" s="8">
        <v>46282</v>
      </c>
      <c r="J4497" t="s">
        <v>2668</v>
      </c>
      <c r="K4497" t="s">
        <v>2669</v>
      </c>
      <c r="L4497" s="13">
        <v>4000</v>
      </c>
      <c r="M4497" t="s">
        <v>2661</v>
      </c>
    </row>
    <row r="4498" spans="1:13">
      <c r="A4498" t="s">
        <v>1859</v>
      </c>
      <c r="B4498" t="s">
        <v>192</v>
      </c>
      <c r="C4498" s="8">
        <v>45948</v>
      </c>
      <c r="D4498" t="s">
        <v>330</v>
      </c>
      <c r="E4498" t="s">
        <v>339</v>
      </c>
      <c r="F4498" s="12">
        <v>384403</v>
      </c>
      <c r="G4498" s="13">
        <v>38</v>
      </c>
      <c r="H4498" t="s">
        <v>3058</v>
      </c>
      <c r="I4498" s="8">
        <v>45947</v>
      </c>
      <c r="J4498" t="s">
        <v>2692</v>
      </c>
      <c r="K4498" t="s">
        <v>2693</v>
      </c>
      <c r="L4498" s="13">
        <v>10000</v>
      </c>
      <c r="M4498" t="s">
        <v>2661</v>
      </c>
    </row>
    <row r="4499" spans="1:13">
      <c r="A4499" t="s">
        <v>1859</v>
      </c>
      <c r="B4499" t="s">
        <v>192</v>
      </c>
      <c r="C4499" s="8">
        <v>45948</v>
      </c>
      <c r="D4499" t="s">
        <v>330</v>
      </c>
      <c r="E4499" t="s">
        <v>339</v>
      </c>
      <c r="F4499" s="12">
        <v>384403</v>
      </c>
      <c r="G4499" s="13">
        <v>38</v>
      </c>
      <c r="H4499" t="s">
        <v>3062</v>
      </c>
      <c r="I4499" s="8">
        <v>45992</v>
      </c>
      <c r="J4499" t="s">
        <v>2659</v>
      </c>
      <c r="K4499" t="s">
        <v>2660</v>
      </c>
      <c r="L4499" s="13">
        <v>3500</v>
      </c>
      <c r="M4499" t="s">
        <v>2661</v>
      </c>
    </row>
    <row r="4500" spans="1:13">
      <c r="A4500" t="s">
        <v>1859</v>
      </c>
      <c r="B4500" t="s">
        <v>192</v>
      </c>
      <c r="C4500" s="8">
        <v>45948</v>
      </c>
      <c r="D4500" t="s">
        <v>330</v>
      </c>
      <c r="E4500" t="s">
        <v>339</v>
      </c>
      <c r="F4500" s="12">
        <v>384403</v>
      </c>
      <c r="G4500" s="13">
        <v>38</v>
      </c>
      <c r="H4500" t="s">
        <v>3290</v>
      </c>
      <c r="I4500" s="8">
        <v>46248</v>
      </c>
      <c r="J4500" t="s">
        <v>2692</v>
      </c>
      <c r="K4500" t="s">
        <v>2693</v>
      </c>
      <c r="L4500" s="13">
        <v>10000</v>
      </c>
      <c r="M4500" t="s">
        <v>2661</v>
      </c>
    </row>
    <row r="4501" spans="1:13">
      <c r="A4501" t="s">
        <v>1859</v>
      </c>
      <c r="B4501" t="s">
        <v>192</v>
      </c>
      <c r="C4501" s="8">
        <v>45948</v>
      </c>
      <c r="D4501" t="s">
        <v>330</v>
      </c>
      <c r="E4501" t="s">
        <v>339</v>
      </c>
      <c r="F4501" s="12">
        <v>384403</v>
      </c>
      <c r="G4501" s="13">
        <v>38</v>
      </c>
      <c r="H4501" t="s">
        <v>3376</v>
      </c>
      <c r="I4501" s="8">
        <v>46286</v>
      </c>
      <c r="J4501" t="s">
        <v>2663</v>
      </c>
      <c r="K4501" t="s">
        <v>3630</v>
      </c>
      <c r="L4501" s="13">
        <v>1500</v>
      </c>
      <c r="M4501" t="s">
        <v>2661</v>
      </c>
    </row>
    <row r="4502" spans="1:13">
      <c r="A4502" t="s">
        <v>1860</v>
      </c>
      <c r="B4502" t="s">
        <v>188</v>
      </c>
      <c r="C4502" s="8">
        <v>46244</v>
      </c>
      <c r="D4502" t="s">
        <v>324</v>
      </c>
      <c r="E4502" t="s">
        <v>337</v>
      </c>
      <c r="F4502" s="12">
        <v>266586</v>
      </c>
      <c r="G4502" s="13">
        <v>26</v>
      </c>
      <c r="H4502" t="s">
        <v>2719</v>
      </c>
      <c r="I4502" s="8">
        <v>46036</v>
      </c>
      <c r="J4502" t="s">
        <v>2674</v>
      </c>
      <c r="K4502" t="s">
        <v>2675</v>
      </c>
      <c r="L4502" s="13">
        <v>20000</v>
      </c>
      <c r="M4502" t="s">
        <v>2676</v>
      </c>
    </row>
    <row r="4503" spans="1:13">
      <c r="A4503" t="s">
        <v>1860</v>
      </c>
      <c r="B4503" t="s">
        <v>188</v>
      </c>
      <c r="C4503" s="8">
        <v>46244</v>
      </c>
      <c r="D4503" t="s">
        <v>324</v>
      </c>
      <c r="E4503" t="s">
        <v>337</v>
      </c>
      <c r="F4503" s="12">
        <v>266586</v>
      </c>
      <c r="G4503" s="13">
        <v>26</v>
      </c>
      <c r="H4503" t="s">
        <v>3384</v>
      </c>
      <c r="I4503" s="8">
        <v>46042</v>
      </c>
      <c r="J4503" t="s">
        <v>2663</v>
      </c>
      <c r="K4503" t="s">
        <v>3630</v>
      </c>
      <c r="L4503" s="13">
        <v>1500</v>
      </c>
      <c r="M4503" t="s">
        <v>2661</v>
      </c>
    </row>
    <row r="4504" spans="1:13">
      <c r="A4504" t="s">
        <v>1860</v>
      </c>
      <c r="B4504" t="s">
        <v>188</v>
      </c>
      <c r="C4504" s="8">
        <v>46244</v>
      </c>
      <c r="D4504" t="s">
        <v>324</v>
      </c>
      <c r="E4504" t="s">
        <v>337</v>
      </c>
      <c r="F4504" s="12">
        <v>266586</v>
      </c>
      <c r="G4504" s="13">
        <v>26</v>
      </c>
      <c r="H4504" t="s">
        <v>3500</v>
      </c>
      <c r="I4504" s="8">
        <v>46268</v>
      </c>
      <c r="J4504" t="s">
        <v>2671</v>
      </c>
      <c r="K4504" t="s">
        <v>2672</v>
      </c>
      <c r="L4504" s="13">
        <v>3000</v>
      </c>
      <c r="M4504" t="s">
        <v>2661</v>
      </c>
    </row>
    <row r="4505" spans="1:13">
      <c r="A4505" t="s">
        <v>1861</v>
      </c>
      <c r="B4505" t="s">
        <v>212</v>
      </c>
      <c r="C4505" s="8">
        <v>46029</v>
      </c>
      <c r="D4505" t="s">
        <v>344</v>
      </c>
      <c r="E4505" t="s">
        <v>337</v>
      </c>
      <c r="F4505" s="12">
        <v>107588</v>
      </c>
      <c r="G4505" s="13">
        <v>10</v>
      </c>
      <c r="H4505" t="s">
        <v>2760</v>
      </c>
      <c r="I4505" s="8">
        <v>46244</v>
      </c>
      <c r="J4505" t="s">
        <v>2668</v>
      </c>
      <c r="K4505" t="s">
        <v>2669</v>
      </c>
      <c r="L4505" s="13">
        <v>4000</v>
      </c>
      <c r="M4505" t="s">
        <v>2661</v>
      </c>
    </row>
    <row r="4506" spans="1:13">
      <c r="A4506" t="s">
        <v>1861</v>
      </c>
      <c r="B4506" t="s">
        <v>212</v>
      </c>
      <c r="C4506" s="8">
        <v>46029</v>
      </c>
      <c r="D4506" t="s">
        <v>344</v>
      </c>
      <c r="E4506" t="s">
        <v>337</v>
      </c>
      <c r="F4506" s="12">
        <v>107588</v>
      </c>
      <c r="G4506" s="13">
        <v>10</v>
      </c>
      <c r="H4506" t="s">
        <v>2935</v>
      </c>
      <c r="I4506" s="8">
        <v>46216</v>
      </c>
      <c r="J4506" t="s">
        <v>2665</v>
      </c>
      <c r="K4506" t="s">
        <v>2666</v>
      </c>
      <c r="L4506" s="13">
        <v>2500</v>
      </c>
      <c r="M4506" t="s">
        <v>2661</v>
      </c>
    </row>
    <row r="4507" spans="1:13">
      <c r="A4507" t="s">
        <v>1861</v>
      </c>
      <c r="B4507" t="s">
        <v>212</v>
      </c>
      <c r="C4507" s="8">
        <v>46029</v>
      </c>
      <c r="D4507" t="s">
        <v>344</v>
      </c>
      <c r="E4507" t="s">
        <v>337</v>
      </c>
      <c r="F4507" s="12">
        <v>107588</v>
      </c>
      <c r="G4507" s="13">
        <v>10</v>
      </c>
      <c r="H4507" t="s">
        <v>3100</v>
      </c>
      <c r="I4507" s="8">
        <v>46226</v>
      </c>
      <c r="J4507" t="s">
        <v>2665</v>
      </c>
      <c r="K4507" t="s">
        <v>2666</v>
      </c>
      <c r="L4507" s="13">
        <v>2500</v>
      </c>
      <c r="M4507" t="s">
        <v>2661</v>
      </c>
    </row>
    <row r="4508" spans="1:13">
      <c r="A4508" t="s">
        <v>1862</v>
      </c>
      <c r="B4508" t="s">
        <v>255</v>
      </c>
      <c r="C4508" s="8">
        <v>46148</v>
      </c>
      <c r="D4508" t="s">
        <v>344</v>
      </c>
      <c r="E4508" t="s">
        <v>339</v>
      </c>
      <c r="F4508" s="12">
        <v>836744</v>
      </c>
      <c r="G4508" s="13">
        <v>83</v>
      </c>
      <c r="H4508" t="s">
        <v>2956</v>
      </c>
      <c r="I4508" s="8">
        <v>45952</v>
      </c>
      <c r="J4508" t="s">
        <v>2674</v>
      </c>
      <c r="K4508" t="s">
        <v>2675</v>
      </c>
      <c r="L4508" s="13">
        <v>20000</v>
      </c>
      <c r="M4508" t="s">
        <v>2676</v>
      </c>
    </row>
    <row r="4509" spans="1:13">
      <c r="A4509" t="s">
        <v>1862</v>
      </c>
      <c r="B4509" t="s">
        <v>255</v>
      </c>
      <c r="C4509" s="8">
        <v>46148</v>
      </c>
      <c r="D4509" t="s">
        <v>344</v>
      </c>
      <c r="E4509" t="s">
        <v>339</v>
      </c>
      <c r="F4509" s="12">
        <v>836744</v>
      </c>
      <c r="G4509" s="13">
        <v>83</v>
      </c>
      <c r="H4509" t="s">
        <v>3223</v>
      </c>
      <c r="I4509" s="8">
        <v>46198</v>
      </c>
      <c r="J4509" t="s">
        <v>2665</v>
      </c>
      <c r="K4509" t="s">
        <v>2666</v>
      </c>
      <c r="L4509" s="13">
        <v>2500</v>
      </c>
      <c r="M4509" t="s">
        <v>2661</v>
      </c>
    </row>
    <row r="4510" spans="1:13">
      <c r="A4510" t="s">
        <v>1862</v>
      </c>
      <c r="B4510" t="s">
        <v>255</v>
      </c>
      <c r="C4510" s="8">
        <v>46148</v>
      </c>
      <c r="D4510" t="s">
        <v>344</v>
      </c>
      <c r="E4510" t="s">
        <v>339</v>
      </c>
      <c r="F4510" s="12">
        <v>836744</v>
      </c>
      <c r="G4510" s="13">
        <v>83</v>
      </c>
      <c r="H4510" t="s">
        <v>3323</v>
      </c>
      <c r="I4510" s="8">
        <v>46169</v>
      </c>
      <c r="J4510" t="s">
        <v>2682</v>
      </c>
      <c r="K4510" t="s">
        <v>2683</v>
      </c>
      <c r="L4510" s="13">
        <v>6000</v>
      </c>
      <c r="M4510" t="s">
        <v>2676</v>
      </c>
    </row>
    <row r="4511" spans="1:13">
      <c r="A4511" t="s">
        <v>1863</v>
      </c>
      <c r="B4511" t="s">
        <v>93</v>
      </c>
      <c r="C4511" s="8">
        <v>46108</v>
      </c>
      <c r="D4511" t="s">
        <v>344</v>
      </c>
      <c r="E4511" t="s">
        <v>322</v>
      </c>
      <c r="F4511" s="12">
        <v>53534</v>
      </c>
      <c r="G4511" s="13">
        <v>5</v>
      </c>
      <c r="H4511" t="s">
        <v>2662</v>
      </c>
      <c r="I4511" s="8">
        <v>46253</v>
      </c>
      <c r="J4511" t="s">
        <v>2663</v>
      </c>
      <c r="K4511" t="s">
        <v>3630</v>
      </c>
      <c r="L4511" s="13">
        <v>1500</v>
      </c>
      <c r="M4511" t="s">
        <v>2661</v>
      </c>
    </row>
    <row r="4512" spans="1:13">
      <c r="A4512" t="s">
        <v>1863</v>
      </c>
      <c r="B4512" t="s">
        <v>93</v>
      </c>
      <c r="C4512" s="8">
        <v>46108</v>
      </c>
      <c r="D4512" t="s">
        <v>344</v>
      </c>
      <c r="E4512" t="s">
        <v>322</v>
      </c>
      <c r="F4512" s="12">
        <v>53534</v>
      </c>
      <c r="G4512" s="13">
        <v>5</v>
      </c>
      <c r="H4512" t="s">
        <v>2968</v>
      </c>
      <c r="I4512" s="8">
        <v>45934</v>
      </c>
      <c r="J4512" t="s">
        <v>2659</v>
      </c>
      <c r="K4512" t="s">
        <v>2660</v>
      </c>
      <c r="L4512" s="13">
        <v>3500</v>
      </c>
      <c r="M4512" t="s">
        <v>2661</v>
      </c>
    </row>
    <row r="4513" spans="1:13">
      <c r="A4513" t="s">
        <v>1863</v>
      </c>
      <c r="B4513" t="s">
        <v>93</v>
      </c>
      <c r="C4513" s="8">
        <v>46108</v>
      </c>
      <c r="D4513" t="s">
        <v>344</v>
      </c>
      <c r="E4513" t="s">
        <v>322</v>
      </c>
      <c r="F4513" s="12">
        <v>53534</v>
      </c>
      <c r="G4513" s="13">
        <v>5</v>
      </c>
      <c r="H4513" t="s">
        <v>3086</v>
      </c>
      <c r="I4513" s="8">
        <v>46007</v>
      </c>
      <c r="J4513" t="s">
        <v>2663</v>
      </c>
      <c r="K4513" t="s">
        <v>3630</v>
      </c>
      <c r="L4513" s="13">
        <v>1500</v>
      </c>
      <c r="M4513" t="s">
        <v>2661</v>
      </c>
    </row>
    <row r="4514" spans="1:13">
      <c r="A4514" t="s">
        <v>1863</v>
      </c>
      <c r="B4514" t="s">
        <v>93</v>
      </c>
      <c r="C4514" s="8">
        <v>46108</v>
      </c>
      <c r="D4514" t="s">
        <v>344</v>
      </c>
      <c r="E4514" t="s">
        <v>322</v>
      </c>
      <c r="F4514" s="12">
        <v>53534</v>
      </c>
      <c r="G4514" s="13">
        <v>5</v>
      </c>
      <c r="H4514" t="s">
        <v>3194</v>
      </c>
      <c r="I4514" s="8">
        <v>46275</v>
      </c>
      <c r="J4514" t="s">
        <v>2674</v>
      </c>
      <c r="K4514" t="s">
        <v>2675</v>
      </c>
      <c r="L4514" s="13">
        <v>20000</v>
      </c>
      <c r="M4514" t="s">
        <v>2661</v>
      </c>
    </row>
    <row r="4515" spans="1:13">
      <c r="A4515" t="s">
        <v>1863</v>
      </c>
      <c r="B4515" t="s">
        <v>93</v>
      </c>
      <c r="C4515" s="8">
        <v>46108</v>
      </c>
      <c r="D4515" t="s">
        <v>344</v>
      </c>
      <c r="E4515" t="s">
        <v>322</v>
      </c>
      <c r="F4515" s="12">
        <v>53534</v>
      </c>
      <c r="G4515" s="13">
        <v>5</v>
      </c>
      <c r="H4515" t="s">
        <v>3282</v>
      </c>
      <c r="I4515" s="8">
        <v>46029</v>
      </c>
      <c r="J4515" t="s">
        <v>2665</v>
      </c>
      <c r="K4515" t="s">
        <v>2666</v>
      </c>
      <c r="L4515" s="13">
        <v>2500</v>
      </c>
      <c r="M4515" t="s">
        <v>2661</v>
      </c>
    </row>
    <row r="4516" spans="1:13">
      <c r="A4516" t="s">
        <v>1863</v>
      </c>
      <c r="B4516" t="s">
        <v>93</v>
      </c>
      <c r="C4516" s="8">
        <v>46108</v>
      </c>
      <c r="D4516" t="s">
        <v>344</v>
      </c>
      <c r="E4516" t="s">
        <v>322</v>
      </c>
      <c r="F4516" s="12">
        <v>53534</v>
      </c>
      <c r="G4516" s="13">
        <v>5</v>
      </c>
      <c r="H4516" t="s">
        <v>3551</v>
      </c>
      <c r="I4516" s="8">
        <v>46033</v>
      </c>
      <c r="J4516" t="s">
        <v>2692</v>
      </c>
      <c r="K4516" t="s">
        <v>2693</v>
      </c>
      <c r="L4516" s="13">
        <v>10000</v>
      </c>
      <c r="M4516" t="s">
        <v>2661</v>
      </c>
    </row>
    <row r="4517" spans="1:13">
      <c r="A4517" t="s">
        <v>1864</v>
      </c>
      <c r="B4517" t="s">
        <v>105</v>
      </c>
      <c r="C4517" s="8">
        <v>46265</v>
      </c>
      <c r="D4517" t="s">
        <v>330</v>
      </c>
      <c r="E4517" t="s">
        <v>334</v>
      </c>
      <c r="F4517" s="12">
        <v>299579</v>
      </c>
      <c r="G4517" s="13">
        <v>29</v>
      </c>
      <c r="H4517" t="s">
        <v>3001</v>
      </c>
      <c r="I4517" s="8">
        <v>46288</v>
      </c>
      <c r="J4517" t="s">
        <v>2668</v>
      </c>
      <c r="K4517" t="s">
        <v>2669</v>
      </c>
      <c r="L4517" s="13">
        <v>4000</v>
      </c>
      <c r="M4517" t="s">
        <v>2661</v>
      </c>
    </row>
    <row r="4518" spans="1:13">
      <c r="A4518" t="s">
        <v>1864</v>
      </c>
      <c r="B4518" t="s">
        <v>105</v>
      </c>
      <c r="C4518" s="8">
        <v>46265</v>
      </c>
      <c r="D4518" t="s">
        <v>330</v>
      </c>
      <c r="E4518" t="s">
        <v>334</v>
      </c>
      <c r="F4518" s="12">
        <v>299579</v>
      </c>
      <c r="G4518" s="13">
        <v>29</v>
      </c>
      <c r="H4518" t="s">
        <v>3018</v>
      </c>
      <c r="I4518" s="8">
        <v>45961</v>
      </c>
      <c r="J4518" t="s">
        <v>2685</v>
      </c>
      <c r="K4518" t="s">
        <v>2686</v>
      </c>
      <c r="L4518" s="13">
        <v>5000</v>
      </c>
      <c r="M4518" t="s">
        <v>2661</v>
      </c>
    </row>
    <row r="4519" spans="1:13">
      <c r="A4519" t="s">
        <v>1865</v>
      </c>
      <c r="B4519" t="s">
        <v>212</v>
      </c>
      <c r="C4519" s="8">
        <v>46199</v>
      </c>
      <c r="D4519" t="s">
        <v>321</v>
      </c>
      <c r="E4519" t="s">
        <v>339</v>
      </c>
      <c r="F4519" s="12">
        <v>226982</v>
      </c>
      <c r="G4519" s="13">
        <v>22</v>
      </c>
      <c r="H4519" t="s">
        <v>2760</v>
      </c>
      <c r="I4519" s="8">
        <v>46244</v>
      </c>
      <c r="J4519" t="s">
        <v>2668</v>
      </c>
      <c r="K4519" t="s">
        <v>2669</v>
      </c>
      <c r="L4519" s="13">
        <v>4000</v>
      </c>
      <c r="M4519" t="s">
        <v>2661</v>
      </c>
    </row>
    <row r="4520" spans="1:13">
      <c r="A4520" t="s">
        <v>1865</v>
      </c>
      <c r="B4520" t="s">
        <v>212</v>
      </c>
      <c r="C4520" s="8">
        <v>46199</v>
      </c>
      <c r="D4520" t="s">
        <v>321</v>
      </c>
      <c r="E4520" t="s">
        <v>339</v>
      </c>
      <c r="F4520" s="12">
        <v>226982</v>
      </c>
      <c r="G4520" s="13">
        <v>22</v>
      </c>
      <c r="H4520" t="s">
        <v>2935</v>
      </c>
      <c r="I4520" s="8">
        <v>46216</v>
      </c>
      <c r="J4520" t="s">
        <v>2665</v>
      </c>
      <c r="K4520" t="s">
        <v>2666</v>
      </c>
      <c r="L4520" s="13">
        <v>2500</v>
      </c>
      <c r="M4520" t="s">
        <v>2661</v>
      </c>
    </row>
    <row r="4521" spans="1:13">
      <c r="A4521" t="s">
        <v>1865</v>
      </c>
      <c r="B4521" t="s">
        <v>212</v>
      </c>
      <c r="C4521" s="8">
        <v>46199</v>
      </c>
      <c r="D4521" t="s">
        <v>321</v>
      </c>
      <c r="E4521" t="s">
        <v>339</v>
      </c>
      <c r="F4521" s="12">
        <v>226982</v>
      </c>
      <c r="G4521" s="13">
        <v>22</v>
      </c>
      <c r="H4521" t="s">
        <v>3100</v>
      </c>
      <c r="I4521" s="8">
        <v>46226</v>
      </c>
      <c r="J4521" t="s">
        <v>2665</v>
      </c>
      <c r="K4521" t="s">
        <v>2666</v>
      </c>
      <c r="L4521" s="13">
        <v>2500</v>
      </c>
      <c r="M4521" t="s">
        <v>2661</v>
      </c>
    </row>
    <row r="4522" spans="1:13">
      <c r="A4522" t="s">
        <v>1866</v>
      </c>
      <c r="B4522" t="s">
        <v>200</v>
      </c>
      <c r="C4522" s="8">
        <v>46102</v>
      </c>
      <c r="D4522" t="s">
        <v>324</v>
      </c>
      <c r="E4522" t="s">
        <v>334</v>
      </c>
      <c r="F4522" s="12">
        <v>81889</v>
      </c>
      <c r="G4522" s="13">
        <v>8</v>
      </c>
      <c r="H4522" t="s">
        <v>2975</v>
      </c>
      <c r="I4522" s="8">
        <v>46008</v>
      </c>
      <c r="J4522" t="s">
        <v>2671</v>
      </c>
      <c r="K4522" t="s">
        <v>2672</v>
      </c>
      <c r="L4522" s="13">
        <v>3000</v>
      </c>
      <c r="M4522" t="s">
        <v>2676</v>
      </c>
    </row>
    <row r="4523" spans="1:13">
      <c r="A4523" t="s">
        <v>1866</v>
      </c>
      <c r="B4523" t="s">
        <v>200</v>
      </c>
      <c r="C4523" s="8">
        <v>46102</v>
      </c>
      <c r="D4523" t="s">
        <v>324</v>
      </c>
      <c r="E4523" t="s">
        <v>334</v>
      </c>
      <c r="F4523" s="12">
        <v>81889</v>
      </c>
      <c r="G4523" s="13">
        <v>8</v>
      </c>
      <c r="H4523" t="s">
        <v>3381</v>
      </c>
      <c r="I4523" s="8">
        <v>46037</v>
      </c>
      <c r="J4523" t="s">
        <v>2663</v>
      </c>
      <c r="K4523" t="s">
        <v>3630</v>
      </c>
      <c r="L4523" s="13">
        <v>1500</v>
      </c>
      <c r="M4523" t="s">
        <v>2661</v>
      </c>
    </row>
    <row r="4524" spans="1:13">
      <c r="A4524" t="s">
        <v>1867</v>
      </c>
      <c r="B4524" t="s">
        <v>110</v>
      </c>
      <c r="C4524" s="8">
        <v>46057</v>
      </c>
      <c r="D4524" t="s">
        <v>324</v>
      </c>
      <c r="E4524" t="s">
        <v>337</v>
      </c>
      <c r="F4524" s="12">
        <v>463244</v>
      </c>
      <c r="G4524" s="13">
        <v>46</v>
      </c>
      <c r="H4524" t="s">
        <v>3413</v>
      </c>
      <c r="I4524" s="8">
        <v>46031</v>
      </c>
      <c r="J4524" t="s">
        <v>2685</v>
      </c>
      <c r="K4524" t="s">
        <v>2686</v>
      </c>
      <c r="L4524" s="13">
        <v>5000</v>
      </c>
      <c r="M4524" t="s">
        <v>2661</v>
      </c>
    </row>
    <row r="4525" spans="1:13">
      <c r="A4525" t="s">
        <v>1867</v>
      </c>
      <c r="B4525" t="s">
        <v>110</v>
      </c>
      <c r="C4525" s="8">
        <v>46057</v>
      </c>
      <c r="D4525" t="s">
        <v>324</v>
      </c>
      <c r="E4525" t="s">
        <v>337</v>
      </c>
      <c r="F4525" s="12">
        <v>463244</v>
      </c>
      <c r="G4525" s="13">
        <v>46</v>
      </c>
      <c r="H4525" t="s">
        <v>3438</v>
      </c>
      <c r="I4525" s="8">
        <v>45935</v>
      </c>
      <c r="J4525" t="s">
        <v>2668</v>
      </c>
      <c r="K4525" t="s">
        <v>2669</v>
      </c>
      <c r="L4525" s="13">
        <v>4000</v>
      </c>
      <c r="M4525" t="s">
        <v>2661</v>
      </c>
    </row>
    <row r="4526" spans="1:13">
      <c r="A4526" t="s">
        <v>1867</v>
      </c>
      <c r="B4526" t="s">
        <v>110</v>
      </c>
      <c r="C4526" s="8">
        <v>46057</v>
      </c>
      <c r="D4526" t="s">
        <v>324</v>
      </c>
      <c r="E4526" t="s">
        <v>337</v>
      </c>
      <c r="F4526" s="12">
        <v>463244</v>
      </c>
      <c r="G4526" s="13">
        <v>46</v>
      </c>
      <c r="H4526" t="s">
        <v>3543</v>
      </c>
      <c r="I4526" s="8">
        <v>46256</v>
      </c>
      <c r="J4526" t="s">
        <v>2663</v>
      </c>
      <c r="K4526" t="s">
        <v>3630</v>
      </c>
      <c r="L4526" s="13">
        <v>1500</v>
      </c>
      <c r="M4526" t="s">
        <v>2676</v>
      </c>
    </row>
    <row r="4527" spans="1:13">
      <c r="A4527" t="s">
        <v>1868</v>
      </c>
      <c r="B4527" t="s">
        <v>184</v>
      </c>
      <c r="C4527" s="8">
        <v>46263</v>
      </c>
      <c r="D4527" t="s">
        <v>332</v>
      </c>
      <c r="E4527" t="s">
        <v>339</v>
      </c>
      <c r="F4527" s="12">
        <v>25000</v>
      </c>
      <c r="G4527" s="13">
        <v>2</v>
      </c>
      <c r="H4527" t="s">
        <v>3030</v>
      </c>
      <c r="I4527" s="8">
        <v>46275</v>
      </c>
      <c r="J4527" t="s">
        <v>2692</v>
      </c>
      <c r="K4527" t="s">
        <v>2693</v>
      </c>
      <c r="L4527" s="13">
        <v>10000</v>
      </c>
      <c r="M4527" t="s">
        <v>2661</v>
      </c>
    </row>
    <row r="4528" spans="1:13">
      <c r="A4528" t="s">
        <v>1868</v>
      </c>
      <c r="B4528" t="s">
        <v>184</v>
      </c>
      <c r="C4528" s="8">
        <v>46263</v>
      </c>
      <c r="D4528" t="s">
        <v>332</v>
      </c>
      <c r="E4528" t="s">
        <v>339</v>
      </c>
      <c r="F4528" s="12">
        <v>25000</v>
      </c>
      <c r="G4528" s="13">
        <v>2</v>
      </c>
      <c r="H4528" t="s">
        <v>3284</v>
      </c>
      <c r="I4528" s="8">
        <v>46235</v>
      </c>
      <c r="J4528" t="s">
        <v>2688</v>
      </c>
      <c r="K4528" t="s">
        <v>2689</v>
      </c>
      <c r="L4528" s="13">
        <v>8000</v>
      </c>
      <c r="M4528" t="s">
        <v>2661</v>
      </c>
    </row>
    <row r="4529" spans="1:13">
      <c r="A4529" t="s">
        <v>1868</v>
      </c>
      <c r="B4529" t="s">
        <v>184</v>
      </c>
      <c r="C4529" s="8">
        <v>46263</v>
      </c>
      <c r="D4529" t="s">
        <v>332</v>
      </c>
      <c r="E4529" t="s">
        <v>339</v>
      </c>
      <c r="F4529" s="12">
        <v>25000</v>
      </c>
      <c r="G4529" s="13">
        <v>2</v>
      </c>
      <c r="H4529" t="s">
        <v>3311</v>
      </c>
      <c r="I4529" s="8">
        <v>46027</v>
      </c>
      <c r="J4529" t="s">
        <v>2668</v>
      </c>
      <c r="K4529" t="s">
        <v>2669</v>
      </c>
      <c r="L4529" s="13">
        <v>4000</v>
      </c>
      <c r="M4529" t="s">
        <v>2661</v>
      </c>
    </row>
    <row r="4530" spans="1:13">
      <c r="A4530" t="s">
        <v>1868</v>
      </c>
      <c r="B4530" t="s">
        <v>184</v>
      </c>
      <c r="C4530" s="8">
        <v>46263</v>
      </c>
      <c r="D4530" t="s">
        <v>332</v>
      </c>
      <c r="E4530" t="s">
        <v>339</v>
      </c>
      <c r="F4530" s="12">
        <v>25000</v>
      </c>
      <c r="G4530" s="13">
        <v>2</v>
      </c>
      <c r="H4530" t="s">
        <v>3417</v>
      </c>
      <c r="I4530" s="8">
        <v>46001</v>
      </c>
      <c r="J4530" t="s">
        <v>2663</v>
      </c>
      <c r="K4530" t="s">
        <v>3630</v>
      </c>
      <c r="L4530" s="13">
        <v>1500</v>
      </c>
      <c r="M4530" t="s">
        <v>2676</v>
      </c>
    </row>
    <row r="4531" spans="1:13">
      <c r="A4531" t="s">
        <v>1868</v>
      </c>
      <c r="B4531" t="s">
        <v>184</v>
      </c>
      <c r="C4531" s="8">
        <v>46263</v>
      </c>
      <c r="D4531" t="s">
        <v>332</v>
      </c>
      <c r="E4531" t="s">
        <v>339</v>
      </c>
      <c r="F4531" s="12">
        <v>25000</v>
      </c>
      <c r="G4531" s="13">
        <v>2</v>
      </c>
      <c r="H4531" t="s">
        <v>3456</v>
      </c>
      <c r="I4531" s="8">
        <v>46099</v>
      </c>
      <c r="J4531" t="s">
        <v>2682</v>
      </c>
      <c r="K4531" t="s">
        <v>2683</v>
      </c>
      <c r="L4531" s="13">
        <v>6000</v>
      </c>
      <c r="M4531" t="s">
        <v>2676</v>
      </c>
    </row>
    <row r="4532" spans="1:13">
      <c r="A4532" t="s">
        <v>1869</v>
      </c>
      <c r="B4532" t="s">
        <v>261</v>
      </c>
      <c r="C4532" s="8">
        <v>46287</v>
      </c>
      <c r="D4532" t="s">
        <v>350</v>
      </c>
      <c r="E4532" t="s">
        <v>334</v>
      </c>
      <c r="F4532" s="12">
        <v>154822</v>
      </c>
      <c r="G4532" s="13">
        <v>15</v>
      </c>
      <c r="H4532" t="s">
        <v>2876</v>
      </c>
      <c r="I4532" s="8">
        <v>45995</v>
      </c>
      <c r="J4532" t="s">
        <v>2674</v>
      </c>
      <c r="K4532" t="s">
        <v>2675</v>
      </c>
      <c r="L4532" s="13">
        <v>20000</v>
      </c>
      <c r="M4532" t="s">
        <v>2661</v>
      </c>
    </row>
    <row r="4533" spans="1:13">
      <c r="A4533" t="s">
        <v>1869</v>
      </c>
      <c r="B4533" t="s">
        <v>261</v>
      </c>
      <c r="C4533" s="8">
        <v>46287</v>
      </c>
      <c r="D4533" t="s">
        <v>350</v>
      </c>
      <c r="E4533" t="s">
        <v>334</v>
      </c>
      <c r="F4533" s="12">
        <v>154822</v>
      </c>
      <c r="G4533" s="13">
        <v>15</v>
      </c>
      <c r="H4533" t="s">
        <v>3363</v>
      </c>
      <c r="I4533" s="8">
        <v>46057</v>
      </c>
      <c r="J4533" t="s">
        <v>2685</v>
      </c>
      <c r="K4533" t="s">
        <v>2686</v>
      </c>
      <c r="L4533" s="13">
        <v>5000</v>
      </c>
      <c r="M4533" t="s">
        <v>2661</v>
      </c>
    </row>
    <row r="4534" spans="1:13">
      <c r="A4534" t="s">
        <v>1870</v>
      </c>
      <c r="B4534" t="s">
        <v>83</v>
      </c>
      <c r="C4534" s="8">
        <v>45965</v>
      </c>
      <c r="D4534" t="s">
        <v>342</v>
      </c>
      <c r="E4534" t="s">
        <v>339</v>
      </c>
      <c r="F4534" s="12">
        <v>507293</v>
      </c>
      <c r="G4534" s="13">
        <v>50</v>
      </c>
      <c r="H4534" t="s">
        <v>2696</v>
      </c>
      <c r="I4534" s="8">
        <v>46024</v>
      </c>
      <c r="J4534" t="s">
        <v>2663</v>
      </c>
      <c r="K4534" t="s">
        <v>3630</v>
      </c>
      <c r="L4534" s="13">
        <v>1500</v>
      </c>
      <c r="M4534" t="s">
        <v>2661</v>
      </c>
    </row>
    <row r="4535" spans="1:13">
      <c r="A4535" t="s">
        <v>1870</v>
      </c>
      <c r="B4535" t="s">
        <v>83</v>
      </c>
      <c r="C4535" s="8">
        <v>45965</v>
      </c>
      <c r="D4535" t="s">
        <v>342</v>
      </c>
      <c r="E4535" t="s">
        <v>339</v>
      </c>
      <c r="F4535" s="12">
        <v>507293</v>
      </c>
      <c r="G4535" s="13">
        <v>50</v>
      </c>
      <c r="H4535" t="s">
        <v>2725</v>
      </c>
      <c r="I4535" s="8">
        <v>46065</v>
      </c>
      <c r="J4535" t="s">
        <v>2688</v>
      </c>
      <c r="K4535" t="s">
        <v>2689</v>
      </c>
      <c r="L4535" s="13">
        <v>8000</v>
      </c>
      <c r="M4535" t="s">
        <v>2661</v>
      </c>
    </row>
    <row r="4536" spans="1:13">
      <c r="A4536" t="s">
        <v>1870</v>
      </c>
      <c r="B4536" t="s">
        <v>83</v>
      </c>
      <c r="C4536" s="8">
        <v>45965</v>
      </c>
      <c r="D4536" t="s">
        <v>342</v>
      </c>
      <c r="E4536" t="s">
        <v>339</v>
      </c>
      <c r="F4536" s="12">
        <v>507293</v>
      </c>
      <c r="G4536" s="13">
        <v>50</v>
      </c>
      <c r="H4536" t="s">
        <v>2938</v>
      </c>
      <c r="I4536" s="8">
        <v>46277</v>
      </c>
      <c r="J4536" t="s">
        <v>2692</v>
      </c>
      <c r="K4536" t="s">
        <v>2693</v>
      </c>
      <c r="L4536" s="13">
        <v>10000</v>
      </c>
      <c r="M4536" t="s">
        <v>2661</v>
      </c>
    </row>
    <row r="4537" spans="1:13">
      <c r="A4537" t="s">
        <v>1871</v>
      </c>
      <c r="B4537" t="s">
        <v>266</v>
      </c>
      <c r="C4537" s="8">
        <v>45949</v>
      </c>
      <c r="D4537" t="s">
        <v>350</v>
      </c>
      <c r="E4537" t="s">
        <v>325</v>
      </c>
      <c r="F4537" s="12">
        <v>25000</v>
      </c>
      <c r="G4537" s="13">
        <v>2</v>
      </c>
      <c r="H4537" t="s">
        <v>2736</v>
      </c>
      <c r="I4537" s="8">
        <v>46216</v>
      </c>
      <c r="J4537" t="s">
        <v>2685</v>
      </c>
      <c r="K4537" t="s">
        <v>2686</v>
      </c>
      <c r="L4537" s="13">
        <v>5000</v>
      </c>
      <c r="M4537" t="s">
        <v>2661</v>
      </c>
    </row>
    <row r="4538" spans="1:13">
      <c r="A4538" t="s">
        <v>1871</v>
      </c>
      <c r="B4538" t="s">
        <v>266</v>
      </c>
      <c r="C4538" s="8">
        <v>45949</v>
      </c>
      <c r="D4538" t="s">
        <v>350</v>
      </c>
      <c r="E4538" t="s">
        <v>325</v>
      </c>
      <c r="F4538" s="12">
        <v>25000</v>
      </c>
      <c r="G4538" s="13">
        <v>2</v>
      </c>
      <c r="H4538" t="s">
        <v>2757</v>
      </c>
      <c r="I4538" s="8">
        <v>46186</v>
      </c>
      <c r="J4538" t="s">
        <v>2688</v>
      </c>
      <c r="K4538" t="s">
        <v>2689</v>
      </c>
      <c r="L4538" s="13">
        <v>8000</v>
      </c>
      <c r="M4538" t="s">
        <v>2661</v>
      </c>
    </row>
    <row r="4539" spans="1:13">
      <c r="A4539" t="s">
        <v>1871</v>
      </c>
      <c r="B4539" t="s">
        <v>266</v>
      </c>
      <c r="C4539" s="8">
        <v>45949</v>
      </c>
      <c r="D4539" t="s">
        <v>350</v>
      </c>
      <c r="E4539" t="s">
        <v>325</v>
      </c>
      <c r="F4539" s="12">
        <v>25000</v>
      </c>
      <c r="G4539" s="13">
        <v>2</v>
      </c>
      <c r="H4539" t="s">
        <v>3331</v>
      </c>
      <c r="I4539" s="8">
        <v>46215</v>
      </c>
      <c r="J4539" t="s">
        <v>2674</v>
      </c>
      <c r="K4539" t="s">
        <v>2675</v>
      </c>
      <c r="L4539" s="13">
        <v>20000</v>
      </c>
      <c r="M4539" t="s">
        <v>2661</v>
      </c>
    </row>
    <row r="4540" spans="1:13">
      <c r="A4540" t="s">
        <v>1871</v>
      </c>
      <c r="B4540" t="s">
        <v>266</v>
      </c>
      <c r="C4540" s="8">
        <v>45949</v>
      </c>
      <c r="D4540" t="s">
        <v>350</v>
      </c>
      <c r="E4540" t="s">
        <v>325</v>
      </c>
      <c r="F4540" s="12">
        <v>25000</v>
      </c>
      <c r="G4540" s="13">
        <v>2</v>
      </c>
      <c r="H4540" t="s">
        <v>3337</v>
      </c>
      <c r="I4540" s="8">
        <v>46032</v>
      </c>
      <c r="J4540" t="s">
        <v>2682</v>
      </c>
      <c r="K4540" t="s">
        <v>2683</v>
      </c>
      <c r="L4540" s="13">
        <v>6000</v>
      </c>
      <c r="M4540" t="s">
        <v>2661</v>
      </c>
    </row>
    <row r="4541" spans="1:13">
      <c r="A4541" t="s">
        <v>1871</v>
      </c>
      <c r="B4541" t="s">
        <v>266</v>
      </c>
      <c r="C4541" s="8">
        <v>45949</v>
      </c>
      <c r="D4541" t="s">
        <v>350</v>
      </c>
      <c r="E4541" t="s">
        <v>325</v>
      </c>
      <c r="F4541" s="12">
        <v>25000</v>
      </c>
      <c r="G4541" s="13">
        <v>2</v>
      </c>
      <c r="H4541" t="s">
        <v>3347</v>
      </c>
      <c r="I4541" s="8">
        <v>46104</v>
      </c>
      <c r="J4541" t="s">
        <v>2688</v>
      </c>
      <c r="K4541" t="s">
        <v>2689</v>
      </c>
      <c r="L4541" s="13">
        <v>8000</v>
      </c>
      <c r="M4541" t="s">
        <v>2661</v>
      </c>
    </row>
    <row r="4542" spans="1:13">
      <c r="A4542" t="s">
        <v>1871</v>
      </c>
      <c r="B4542" t="s">
        <v>266</v>
      </c>
      <c r="C4542" s="8">
        <v>45949</v>
      </c>
      <c r="D4542" t="s">
        <v>350</v>
      </c>
      <c r="E4542" t="s">
        <v>325</v>
      </c>
      <c r="F4542" s="12">
        <v>25000</v>
      </c>
      <c r="G4542" s="13">
        <v>2</v>
      </c>
      <c r="H4542" t="s">
        <v>3518</v>
      </c>
      <c r="I4542" s="8">
        <v>46126</v>
      </c>
      <c r="J4542" t="s">
        <v>2692</v>
      </c>
      <c r="K4542" t="s">
        <v>2693</v>
      </c>
      <c r="L4542" s="13">
        <v>10000</v>
      </c>
      <c r="M4542" t="s">
        <v>2661</v>
      </c>
    </row>
    <row r="4543" spans="1:13">
      <c r="A4543" t="s">
        <v>1872</v>
      </c>
      <c r="B4543" t="s">
        <v>279</v>
      </c>
      <c r="C4543" s="8">
        <v>46008</v>
      </c>
      <c r="D4543" t="s">
        <v>330</v>
      </c>
      <c r="E4543" t="s">
        <v>339</v>
      </c>
      <c r="F4543" s="12">
        <v>617574</v>
      </c>
      <c r="G4543" s="13">
        <v>61</v>
      </c>
      <c r="H4543" t="s">
        <v>3434</v>
      </c>
      <c r="I4543" s="8">
        <v>46161</v>
      </c>
      <c r="J4543" t="s">
        <v>2674</v>
      </c>
      <c r="K4543" t="s">
        <v>2675</v>
      </c>
      <c r="L4543" s="13">
        <v>20000</v>
      </c>
      <c r="M4543" t="s">
        <v>2676</v>
      </c>
    </row>
    <row r="4544" spans="1:13">
      <c r="A4544" t="s">
        <v>1874</v>
      </c>
      <c r="B4544" t="s">
        <v>76</v>
      </c>
      <c r="C4544" s="8">
        <v>46051</v>
      </c>
      <c r="D4544" t="s">
        <v>321</v>
      </c>
      <c r="E4544" t="s">
        <v>334</v>
      </c>
      <c r="F4544" s="12">
        <v>144482</v>
      </c>
      <c r="G4544" s="13">
        <v>14</v>
      </c>
      <c r="H4544" t="s">
        <v>3181</v>
      </c>
      <c r="I4544" s="8">
        <v>46166</v>
      </c>
      <c r="J4544" t="s">
        <v>2674</v>
      </c>
      <c r="K4544" t="s">
        <v>2675</v>
      </c>
      <c r="L4544" s="13">
        <v>20000</v>
      </c>
      <c r="M4544" t="s">
        <v>2676</v>
      </c>
    </row>
    <row r="4545" spans="1:13">
      <c r="A4545" t="s">
        <v>1874</v>
      </c>
      <c r="B4545" t="s">
        <v>76</v>
      </c>
      <c r="C4545" s="8">
        <v>46051</v>
      </c>
      <c r="D4545" t="s">
        <v>321</v>
      </c>
      <c r="E4545" t="s">
        <v>334</v>
      </c>
      <c r="F4545" s="12">
        <v>144482</v>
      </c>
      <c r="G4545" s="13">
        <v>14</v>
      </c>
      <c r="H4545" t="s">
        <v>3261</v>
      </c>
      <c r="I4545" s="8">
        <v>45948</v>
      </c>
      <c r="J4545" t="s">
        <v>2665</v>
      </c>
      <c r="K4545" t="s">
        <v>2666</v>
      </c>
      <c r="L4545" s="13">
        <v>2500</v>
      </c>
      <c r="M4545" t="s">
        <v>2661</v>
      </c>
    </row>
    <row r="4546" spans="1:13">
      <c r="A4546" t="s">
        <v>1874</v>
      </c>
      <c r="B4546" t="s">
        <v>76</v>
      </c>
      <c r="C4546" s="8">
        <v>46051</v>
      </c>
      <c r="D4546" t="s">
        <v>321</v>
      </c>
      <c r="E4546" t="s">
        <v>334</v>
      </c>
      <c r="F4546" s="12">
        <v>144482</v>
      </c>
      <c r="G4546" s="13">
        <v>14</v>
      </c>
      <c r="H4546" t="s">
        <v>3346</v>
      </c>
      <c r="I4546" s="8">
        <v>46125</v>
      </c>
      <c r="J4546" t="s">
        <v>2671</v>
      </c>
      <c r="K4546" t="s">
        <v>2672</v>
      </c>
      <c r="L4546" s="13">
        <v>3000</v>
      </c>
      <c r="M4546" t="s">
        <v>2661</v>
      </c>
    </row>
    <row r="4547" spans="1:13">
      <c r="A4547" t="s">
        <v>1874</v>
      </c>
      <c r="B4547" t="s">
        <v>76</v>
      </c>
      <c r="C4547" s="8">
        <v>46051</v>
      </c>
      <c r="D4547" t="s">
        <v>321</v>
      </c>
      <c r="E4547" t="s">
        <v>334</v>
      </c>
      <c r="F4547" s="12">
        <v>144482</v>
      </c>
      <c r="G4547" s="13">
        <v>14</v>
      </c>
      <c r="H4547" t="s">
        <v>3451</v>
      </c>
      <c r="I4547" s="8">
        <v>46131</v>
      </c>
      <c r="J4547" t="s">
        <v>2671</v>
      </c>
      <c r="K4547" t="s">
        <v>2672</v>
      </c>
      <c r="L4547" s="13">
        <v>3000</v>
      </c>
      <c r="M4547" t="s">
        <v>2661</v>
      </c>
    </row>
    <row r="4548" spans="1:13">
      <c r="A4548" t="s">
        <v>1874</v>
      </c>
      <c r="B4548" t="s">
        <v>76</v>
      </c>
      <c r="C4548" s="8">
        <v>46051</v>
      </c>
      <c r="D4548" t="s">
        <v>321</v>
      </c>
      <c r="E4548" t="s">
        <v>334</v>
      </c>
      <c r="F4548" s="12">
        <v>144482</v>
      </c>
      <c r="G4548" s="13">
        <v>14</v>
      </c>
      <c r="H4548" t="s">
        <v>3505</v>
      </c>
      <c r="I4548" s="8">
        <v>46071</v>
      </c>
      <c r="J4548" t="s">
        <v>2692</v>
      </c>
      <c r="K4548" t="s">
        <v>2693</v>
      </c>
      <c r="L4548" s="13">
        <v>10000</v>
      </c>
      <c r="M4548" t="s">
        <v>2676</v>
      </c>
    </row>
    <row r="4549" spans="1:13">
      <c r="A4549" t="s">
        <v>1875</v>
      </c>
      <c r="B4549" t="s">
        <v>230</v>
      </c>
      <c r="C4549" s="8">
        <v>46108</v>
      </c>
      <c r="D4549" t="s">
        <v>327</v>
      </c>
      <c r="E4549" t="s">
        <v>334</v>
      </c>
      <c r="F4549" s="12">
        <v>101811</v>
      </c>
      <c r="G4549" s="13">
        <v>10</v>
      </c>
      <c r="H4549" t="s">
        <v>2687</v>
      </c>
      <c r="I4549" s="8">
        <v>46064</v>
      </c>
      <c r="J4549" t="s">
        <v>2688</v>
      </c>
      <c r="K4549" t="s">
        <v>2689</v>
      </c>
      <c r="L4549" s="13">
        <v>8000</v>
      </c>
      <c r="M4549" t="s">
        <v>2661</v>
      </c>
    </row>
    <row r="4550" spans="1:13">
      <c r="A4550" t="s">
        <v>1875</v>
      </c>
      <c r="B4550" t="s">
        <v>230</v>
      </c>
      <c r="C4550" s="8">
        <v>46108</v>
      </c>
      <c r="D4550" t="s">
        <v>327</v>
      </c>
      <c r="E4550" t="s">
        <v>334</v>
      </c>
      <c r="F4550" s="12">
        <v>101811</v>
      </c>
      <c r="G4550" s="13">
        <v>10</v>
      </c>
      <c r="H4550" t="s">
        <v>2720</v>
      </c>
      <c r="I4550" s="8">
        <v>46041</v>
      </c>
      <c r="J4550" t="s">
        <v>2659</v>
      </c>
      <c r="K4550" t="s">
        <v>2660</v>
      </c>
      <c r="L4550" s="13">
        <v>3500</v>
      </c>
      <c r="M4550" t="s">
        <v>2661</v>
      </c>
    </row>
    <row r="4551" spans="1:13">
      <c r="A4551" t="s">
        <v>1875</v>
      </c>
      <c r="B4551" t="s">
        <v>230</v>
      </c>
      <c r="C4551" s="8">
        <v>46108</v>
      </c>
      <c r="D4551" t="s">
        <v>327</v>
      </c>
      <c r="E4551" t="s">
        <v>334</v>
      </c>
      <c r="F4551" s="12">
        <v>101811</v>
      </c>
      <c r="G4551" s="13">
        <v>10</v>
      </c>
      <c r="H4551" t="s">
        <v>2777</v>
      </c>
      <c r="I4551" s="8">
        <v>45988</v>
      </c>
      <c r="J4551" t="s">
        <v>2659</v>
      </c>
      <c r="K4551" t="s">
        <v>2660</v>
      </c>
      <c r="L4551" s="13">
        <v>3500</v>
      </c>
      <c r="M4551" t="s">
        <v>2661</v>
      </c>
    </row>
    <row r="4552" spans="1:13">
      <c r="A4552" t="s">
        <v>1875</v>
      </c>
      <c r="B4552" t="s">
        <v>230</v>
      </c>
      <c r="C4552" s="8">
        <v>46108</v>
      </c>
      <c r="D4552" t="s">
        <v>327</v>
      </c>
      <c r="E4552" t="s">
        <v>334</v>
      </c>
      <c r="F4552" s="12">
        <v>101811</v>
      </c>
      <c r="G4552" s="13">
        <v>10</v>
      </c>
      <c r="H4552" t="s">
        <v>2906</v>
      </c>
      <c r="I4552" s="8">
        <v>46201</v>
      </c>
      <c r="J4552" t="s">
        <v>2685</v>
      </c>
      <c r="K4552" t="s">
        <v>2686</v>
      </c>
      <c r="L4552" s="13">
        <v>5000</v>
      </c>
      <c r="M4552" t="s">
        <v>2661</v>
      </c>
    </row>
    <row r="4553" spans="1:13">
      <c r="A4553" t="s">
        <v>1875</v>
      </c>
      <c r="B4553" t="s">
        <v>230</v>
      </c>
      <c r="C4553" s="8">
        <v>46108</v>
      </c>
      <c r="D4553" t="s">
        <v>327</v>
      </c>
      <c r="E4553" t="s">
        <v>334</v>
      </c>
      <c r="F4553" s="12">
        <v>101811</v>
      </c>
      <c r="G4553" s="13">
        <v>10</v>
      </c>
      <c r="H4553" t="s">
        <v>3117</v>
      </c>
      <c r="I4553" s="8">
        <v>46062</v>
      </c>
      <c r="J4553" t="s">
        <v>2668</v>
      </c>
      <c r="K4553" t="s">
        <v>2669</v>
      </c>
      <c r="L4553" s="13">
        <v>4000</v>
      </c>
      <c r="M4553" t="s">
        <v>2661</v>
      </c>
    </row>
    <row r="4554" spans="1:13">
      <c r="A4554" t="s">
        <v>1876</v>
      </c>
      <c r="B4554" t="s">
        <v>116</v>
      </c>
      <c r="C4554" s="8">
        <v>46224</v>
      </c>
      <c r="D4554" t="s">
        <v>342</v>
      </c>
      <c r="E4554" t="s">
        <v>328</v>
      </c>
      <c r="F4554" s="12">
        <v>507193</v>
      </c>
      <c r="G4554" s="13">
        <v>50</v>
      </c>
      <c r="H4554" t="s">
        <v>2742</v>
      </c>
      <c r="I4554" s="8">
        <v>46060</v>
      </c>
      <c r="J4554" t="s">
        <v>2671</v>
      </c>
      <c r="K4554" t="s">
        <v>2672</v>
      </c>
      <c r="L4554" s="13">
        <v>3000</v>
      </c>
      <c r="M4554" t="s">
        <v>2676</v>
      </c>
    </row>
    <row r="4555" spans="1:13">
      <c r="A4555" t="s">
        <v>1876</v>
      </c>
      <c r="B4555" t="s">
        <v>116</v>
      </c>
      <c r="C4555" s="8">
        <v>46224</v>
      </c>
      <c r="D4555" t="s">
        <v>342</v>
      </c>
      <c r="E4555" t="s">
        <v>328</v>
      </c>
      <c r="F4555" s="12">
        <v>507193</v>
      </c>
      <c r="G4555" s="13">
        <v>50</v>
      </c>
      <c r="H4555" t="s">
        <v>2984</v>
      </c>
      <c r="I4555" s="8">
        <v>45974</v>
      </c>
      <c r="J4555" t="s">
        <v>2659</v>
      </c>
      <c r="K4555" t="s">
        <v>2660</v>
      </c>
      <c r="L4555" s="13">
        <v>3500</v>
      </c>
      <c r="M4555" t="s">
        <v>2661</v>
      </c>
    </row>
    <row r="4556" spans="1:13">
      <c r="A4556" t="s">
        <v>1876</v>
      </c>
      <c r="B4556" t="s">
        <v>116</v>
      </c>
      <c r="C4556" s="8">
        <v>46224</v>
      </c>
      <c r="D4556" t="s">
        <v>342</v>
      </c>
      <c r="E4556" t="s">
        <v>328</v>
      </c>
      <c r="F4556" s="12">
        <v>507193</v>
      </c>
      <c r="G4556" s="13">
        <v>50</v>
      </c>
      <c r="H4556" t="s">
        <v>3091</v>
      </c>
      <c r="I4556" s="8">
        <v>46104</v>
      </c>
      <c r="J4556" t="s">
        <v>2688</v>
      </c>
      <c r="K4556" t="s">
        <v>2689</v>
      </c>
      <c r="L4556" s="13">
        <v>8000</v>
      </c>
      <c r="M4556" t="s">
        <v>2676</v>
      </c>
    </row>
    <row r="4557" spans="1:13">
      <c r="A4557" t="s">
        <v>1876</v>
      </c>
      <c r="B4557" t="s">
        <v>116</v>
      </c>
      <c r="C4557" s="8">
        <v>46224</v>
      </c>
      <c r="D4557" t="s">
        <v>342</v>
      </c>
      <c r="E4557" t="s">
        <v>328</v>
      </c>
      <c r="F4557" s="12">
        <v>507193</v>
      </c>
      <c r="G4557" s="13">
        <v>50</v>
      </c>
      <c r="H4557" t="s">
        <v>3495</v>
      </c>
      <c r="I4557" s="8">
        <v>46131</v>
      </c>
      <c r="J4557" t="s">
        <v>2668</v>
      </c>
      <c r="K4557" t="s">
        <v>2669</v>
      </c>
      <c r="L4557" s="13">
        <v>4000</v>
      </c>
      <c r="M4557" t="s">
        <v>2676</v>
      </c>
    </row>
    <row r="4558" spans="1:13">
      <c r="A4558" t="s">
        <v>1877</v>
      </c>
      <c r="B4558" t="s">
        <v>90</v>
      </c>
      <c r="C4558" s="8">
        <v>46122</v>
      </c>
      <c r="D4558" t="s">
        <v>332</v>
      </c>
      <c r="E4558" t="s">
        <v>325</v>
      </c>
      <c r="F4558" s="12">
        <v>197122</v>
      </c>
      <c r="G4558" s="13">
        <v>19</v>
      </c>
      <c r="H4558" t="s">
        <v>3041</v>
      </c>
      <c r="I4558" s="8">
        <v>46040</v>
      </c>
      <c r="J4558" t="s">
        <v>2685</v>
      </c>
      <c r="K4558" t="s">
        <v>2686</v>
      </c>
      <c r="L4558" s="13">
        <v>5000</v>
      </c>
      <c r="M4558" t="s">
        <v>2661</v>
      </c>
    </row>
    <row r="4559" spans="1:13">
      <c r="A4559" t="s">
        <v>1878</v>
      </c>
      <c r="B4559" t="s">
        <v>126</v>
      </c>
      <c r="C4559" s="8">
        <v>46114</v>
      </c>
      <c r="D4559" t="s">
        <v>321</v>
      </c>
      <c r="E4559" t="s">
        <v>339</v>
      </c>
      <c r="F4559" s="12">
        <v>50403</v>
      </c>
      <c r="G4559" s="13">
        <v>5</v>
      </c>
      <c r="H4559" t="s">
        <v>2798</v>
      </c>
      <c r="I4559" s="8">
        <v>46235</v>
      </c>
      <c r="J4559" t="s">
        <v>2659</v>
      </c>
      <c r="K4559" t="s">
        <v>2660</v>
      </c>
      <c r="L4559" s="13">
        <v>3500</v>
      </c>
      <c r="M4559" t="s">
        <v>2661</v>
      </c>
    </row>
    <row r="4560" spans="1:13">
      <c r="A4560" t="s">
        <v>1878</v>
      </c>
      <c r="B4560" t="s">
        <v>126</v>
      </c>
      <c r="C4560" s="8">
        <v>46114</v>
      </c>
      <c r="D4560" t="s">
        <v>321</v>
      </c>
      <c r="E4560" t="s">
        <v>339</v>
      </c>
      <c r="F4560" s="12">
        <v>50403</v>
      </c>
      <c r="G4560" s="13">
        <v>5</v>
      </c>
      <c r="H4560" t="s">
        <v>3334</v>
      </c>
      <c r="I4560" s="8">
        <v>46254</v>
      </c>
      <c r="J4560" t="s">
        <v>2692</v>
      </c>
      <c r="K4560" t="s">
        <v>2693</v>
      </c>
      <c r="L4560" s="13">
        <v>10000</v>
      </c>
      <c r="M4560" t="s">
        <v>2676</v>
      </c>
    </row>
    <row r="4561" spans="1:13">
      <c r="A4561" t="s">
        <v>1880</v>
      </c>
      <c r="B4561" t="s">
        <v>295</v>
      </c>
      <c r="C4561" s="8">
        <v>46073</v>
      </c>
      <c r="D4561" t="s">
        <v>324</v>
      </c>
      <c r="E4561" t="s">
        <v>337</v>
      </c>
      <c r="F4561" s="12">
        <v>52502</v>
      </c>
      <c r="G4561" s="13">
        <v>5</v>
      </c>
      <c r="H4561" t="s">
        <v>3005</v>
      </c>
      <c r="I4561" s="8">
        <v>46206</v>
      </c>
      <c r="J4561" t="s">
        <v>2659</v>
      </c>
      <c r="K4561" t="s">
        <v>2660</v>
      </c>
      <c r="L4561" s="13">
        <v>3500</v>
      </c>
      <c r="M4561" t="s">
        <v>2661</v>
      </c>
    </row>
    <row r="4562" spans="1:13">
      <c r="A4562" t="s">
        <v>1881</v>
      </c>
      <c r="B4562" t="s">
        <v>117</v>
      </c>
      <c r="C4562" s="8">
        <v>45937</v>
      </c>
      <c r="D4562" t="s">
        <v>330</v>
      </c>
      <c r="E4562" t="s">
        <v>322</v>
      </c>
      <c r="F4562" s="12">
        <v>179697</v>
      </c>
      <c r="G4562" s="13">
        <v>17</v>
      </c>
      <c r="H4562" t="s">
        <v>2952</v>
      </c>
      <c r="I4562" s="8">
        <v>46155</v>
      </c>
      <c r="J4562" t="s">
        <v>2674</v>
      </c>
      <c r="K4562" t="s">
        <v>2675</v>
      </c>
      <c r="L4562" s="13">
        <v>20000</v>
      </c>
      <c r="M4562" t="s">
        <v>2661</v>
      </c>
    </row>
    <row r="4563" spans="1:13">
      <c r="A4563" t="s">
        <v>1881</v>
      </c>
      <c r="B4563" t="s">
        <v>117</v>
      </c>
      <c r="C4563" s="8">
        <v>45937</v>
      </c>
      <c r="D4563" t="s">
        <v>330</v>
      </c>
      <c r="E4563" t="s">
        <v>322</v>
      </c>
      <c r="F4563" s="12">
        <v>179697</v>
      </c>
      <c r="G4563" s="13">
        <v>17</v>
      </c>
      <c r="H4563" t="s">
        <v>3244</v>
      </c>
      <c r="I4563" s="8">
        <v>45969</v>
      </c>
      <c r="J4563" t="s">
        <v>2663</v>
      </c>
      <c r="K4563" t="s">
        <v>3630</v>
      </c>
      <c r="L4563" s="13">
        <v>1500</v>
      </c>
      <c r="M4563" t="s">
        <v>2661</v>
      </c>
    </row>
    <row r="4564" spans="1:13">
      <c r="A4564" t="s">
        <v>1882</v>
      </c>
      <c r="B4564" t="s">
        <v>259</v>
      </c>
      <c r="C4564" s="8">
        <v>46211</v>
      </c>
      <c r="D4564" t="s">
        <v>344</v>
      </c>
      <c r="E4564" t="s">
        <v>337</v>
      </c>
      <c r="F4564" s="12">
        <v>237681</v>
      </c>
      <c r="G4564" s="13">
        <v>23</v>
      </c>
      <c r="H4564" t="s">
        <v>2802</v>
      </c>
      <c r="I4564" s="8">
        <v>46222</v>
      </c>
      <c r="J4564" t="s">
        <v>2668</v>
      </c>
      <c r="K4564" t="s">
        <v>2669</v>
      </c>
      <c r="L4564" s="13">
        <v>4000</v>
      </c>
      <c r="M4564" t="s">
        <v>2661</v>
      </c>
    </row>
    <row r="4565" spans="1:13">
      <c r="A4565" t="s">
        <v>1882</v>
      </c>
      <c r="B4565" t="s">
        <v>259</v>
      </c>
      <c r="C4565" s="8">
        <v>46211</v>
      </c>
      <c r="D4565" t="s">
        <v>344</v>
      </c>
      <c r="E4565" t="s">
        <v>337</v>
      </c>
      <c r="F4565" s="12">
        <v>237681</v>
      </c>
      <c r="G4565" s="13">
        <v>23</v>
      </c>
      <c r="H4565" t="s">
        <v>2933</v>
      </c>
      <c r="I4565" s="8">
        <v>46183</v>
      </c>
      <c r="J4565" t="s">
        <v>2674</v>
      </c>
      <c r="K4565" t="s">
        <v>2675</v>
      </c>
      <c r="L4565" s="13">
        <v>20000</v>
      </c>
      <c r="M4565" t="s">
        <v>2661</v>
      </c>
    </row>
    <row r="4566" spans="1:13">
      <c r="A4566" t="s">
        <v>1882</v>
      </c>
      <c r="B4566" t="s">
        <v>259</v>
      </c>
      <c r="C4566" s="8">
        <v>46211</v>
      </c>
      <c r="D4566" t="s">
        <v>344</v>
      </c>
      <c r="E4566" t="s">
        <v>337</v>
      </c>
      <c r="F4566" s="12">
        <v>237681</v>
      </c>
      <c r="G4566" s="13">
        <v>23</v>
      </c>
      <c r="H4566" t="s">
        <v>2969</v>
      </c>
      <c r="I4566" s="8">
        <v>46173</v>
      </c>
      <c r="J4566" t="s">
        <v>2668</v>
      </c>
      <c r="K4566" t="s">
        <v>2669</v>
      </c>
      <c r="L4566" s="13">
        <v>4000</v>
      </c>
      <c r="M4566" t="s">
        <v>2661</v>
      </c>
    </row>
    <row r="4567" spans="1:13">
      <c r="A4567" t="s">
        <v>1882</v>
      </c>
      <c r="B4567" t="s">
        <v>259</v>
      </c>
      <c r="C4567" s="8">
        <v>46211</v>
      </c>
      <c r="D4567" t="s">
        <v>344</v>
      </c>
      <c r="E4567" t="s">
        <v>337</v>
      </c>
      <c r="F4567" s="12">
        <v>237681</v>
      </c>
      <c r="G4567" s="13">
        <v>23</v>
      </c>
      <c r="H4567" t="s">
        <v>3300</v>
      </c>
      <c r="I4567" s="8">
        <v>46089</v>
      </c>
      <c r="J4567" t="s">
        <v>2688</v>
      </c>
      <c r="K4567" t="s">
        <v>2689</v>
      </c>
      <c r="L4567" s="13">
        <v>8000</v>
      </c>
      <c r="M4567" t="s">
        <v>2676</v>
      </c>
    </row>
    <row r="4568" spans="1:13">
      <c r="A4568" t="s">
        <v>1883</v>
      </c>
      <c r="B4568" t="s">
        <v>224</v>
      </c>
      <c r="C4568" s="8">
        <v>46274</v>
      </c>
      <c r="D4568" t="s">
        <v>332</v>
      </c>
      <c r="E4568" t="s">
        <v>325</v>
      </c>
      <c r="F4568" s="12">
        <v>333143</v>
      </c>
      <c r="G4568" s="13">
        <v>33</v>
      </c>
      <c r="H4568" t="s">
        <v>2735</v>
      </c>
      <c r="I4568" s="8">
        <v>45968</v>
      </c>
      <c r="J4568" t="s">
        <v>2682</v>
      </c>
      <c r="K4568" t="s">
        <v>2683</v>
      </c>
      <c r="L4568" s="13">
        <v>6000</v>
      </c>
      <c r="M4568" t="s">
        <v>2661</v>
      </c>
    </row>
    <row r="4569" spans="1:13">
      <c r="A4569" t="s">
        <v>1883</v>
      </c>
      <c r="B4569" t="s">
        <v>224</v>
      </c>
      <c r="C4569" s="8">
        <v>46274</v>
      </c>
      <c r="D4569" t="s">
        <v>332</v>
      </c>
      <c r="E4569" t="s">
        <v>325</v>
      </c>
      <c r="F4569" s="12">
        <v>333143</v>
      </c>
      <c r="G4569" s="13">
        <v>33</v>
      </c>
      <c r="H4569" t="s">
        <v>3406</v>
      </c>
      <c r="I4569" s="8">
        <v>46193</v>
      </c>
      <c r="J4569" t="s">
        <v>2682</v>
      </c>
      <c r="K4569" t="s">
        <v>2683</v>
      </c>
      <c r="L4569" s="13">
        <v>6000</v>
      </c>
      <c r="M4569" t="s">
        <v>2676</v>
      </c>
    </row>
    <row r="4570" spans="1:13">
      <c r="A4570" t="s">
        <v>1883</v>
      </c>
      <c r="B4570" t="s">
        <v>224</v>
      </c>
      <c r="C4570" s="8">
        <v>46274</v>
      </c>
      <c r="D4570" t="s">
        <v>332</v>
      </c>
      <c r="E4570" t="s">
        <v>325</v>
      </c>
      <c r="F4570" s="12">
        <v>333143</v>
      </c>
      <c r="G4570" s="13">
        <v>33</v>
      </c>
      <c r="H4570" t="s">
        <v>3410</v>
      </c>
      <c r="I4570" s="8">
        <v>45967</v>
      </c>
      <c r="J4570" t="s">
        <v>2692</v>
      </c>
      <c r="K4570" t="s">
        <v>2693</v>
      </c>
      <c r="L4570" s="13">
        <v>10000</v>
      </c>
      <c r="M4570" t="s">
        <v>2661</v>
      </c>
    </row>
    <row r="4571" spans="1:13">
      <c r="A4571" t="s">
        <v>1884</v>
      </c>
      <c r="B4571" t="s">
        <v>254</v>
      </c>
      <c r="C4571" s="8">
        <v>46042</v>
      </c>
      <c r="D4571" t="s">
        <v>350</v>
      </c>
      <c r="E4571" t="s">
        <v>339</v>
      </c>
      <c r="F4571" s="12">
        <v>96677</v>
      </c>
      <c r="G4571" s="13">
        <v>9</v>
      </c>
      <c r="H4571" t="s">
        <v>2722</v>
      </c>
      <c r="I4571" s="8">
        <v>46145</v>
      </c>
      <c r="J4571" t="s">
        <v>2668</v>
      </c>
      <c r="K4571" t="s">
        <v>2669</v>
      </c>
      <c r="L4571" s="13">
        <v>4000</v>
      </c>
      <c r="M4571" t="s">
        <v>2661</v>
      </c>
    </row>
    <row r="4572" spans="1:13">
      <c r="A4572" t="s">
        <v>1884</v>
      </c>
      <c r="B4572" t="s">
        <v>254</v>
      </c>
      <c r="C4572" s="8">
        <v>46042</v>
      </c>
      <c r="D4572" t="s">
        <v>350</v>
      </c>
      <c r="E4572" t="s">
        <v>339</v>
      </c>
      <c r="F4572" s="12">
        <v>96677</v>
      </c>
      <c r="G4572" s="13">
        <v>9</v>
      </c>
      <c r="H4572" t="s">
        <v>3133</v>
      </c>
      <c r="I4572" s="8">
        <v>45957</v>
      </c>
      <c r="J4572" t="s">
        <v>2685</v>
      </c>
      <c r="K4572" t="s">
        <v>2686</v>
      </c>
      <c r="L4572" s="13">
        <v>5000</v>
      </c>
      <c r="M4572" t="s">
        <v>2661</v>
      </c>
    </row>
    <row r="4573" spans="1:13">
      <c r="A4573" t="s">
        <v>1885</v>
      </c>
      <c r="B4573" t="s">
        <v>141</v>
      </c>
      <c r="C4573" s="8">
        <v>46129</v>
      </c>
      <c r="D4573" t="s">
        <v>344</v>
      </c>
      <c r="E4573" t="s">
        <v>339</v>
      </c>
      <c r="F4573" s="12">
        <v>304369</v>
      </c>
      <c r="G4573" s="13">
        <v>30</v>
      </c>
      <c r="H4573" t="s">
        <v>2784</v>
      </c>
      <c r="I4573" s="8">
        <v>46039</v>
      </c>
      <c r="J4573" t="s">
        <v>2692</v>
      </c>
      <c r="K4573" t="s">
        <v>2693</v>
      </c>
      <c r="L4573" s="13">
        <v>10000</v>
      </c>
      <c r="M4573" t="s">
        <v>2676</v>
      </c>
    </row>
    <row r="4574" spans="1:13">
      <c r="A4574" t="s">
        <v>1885</v>
      </c>
      <c r="B4574" t="s">
        <v>141</v>
      </c>
      <c r="C4574" s="8">
        <v>46129</v>
      </c>
      <c r="D4574" t="s">
        <v>344</v>
      </c>
      <c r="E4574" t="s">
        <v>339</v>
      </c>
      <c r="F4574" s="12">
        <v>304369</v>
      </c>
      <c r="G4574" s="13">
        <v>30</v>
      </c>
      <c r="H4574" t="s">
        <v>2983</v>
      </c>
      <c r="I4574" s="8">
        <v>46195</v>
      </c>
      <c r="J4574" t="s">
        <v>2665</v>
      </c>
      <c r="K4574" t="s">
        <v>2666</v>
      </c>
      <c r="L4574" s="13">
        <v>2500</v>
      </c>
      <c r="M4574" t="s">
        <v>2661</v>
      </c>
    </row>
    <row r="4575" spans="1:13">
      <c r="A4575" t="s">
        <v>1885</v>
      </c>
      <c r="B4575" t="s">
        <v>141</v>
      </c>
      <c r="C4575" s="8">
        <v>46129</v>
      </c>
      <c r="D4575" t="s">
        <v>344</v>
      </c>
      <c r="E4575" t="s">
        <v>339</v>
      </c>
      <c r="F4575" s="12">
        <v>304369</v>
      </c>
      <c r="G4575" s="13">
        <v>30</v>
      </c>
      <c r="H4575" t="s">
        <v>3011</v>
      </c>
      <c r="I4575" s="8">
        <v>46197</v>
      </c>
      <c r="J4575" t="s">
        <v>2674</v>
      </c>
      <c r="K4575" t="s">
        <v>2675</v>
      </c>
      <c r="L4575" s="13">
        <v>20000</v>
      </c>
      <c r="M4575" t="s">
        <v>2661</v>
      </c>
    </row>
    <row r="4576" spans="1:13">
      <c r="A4576" t="s">
        <v>1885</v>
      </c>
      <c r="B4576" t="s">
        <v>141</v>
      </c>
      <c r="C4576" s="8">
        <v>46129</v>
      </c>
      <c r="D4576" t="s">
        <v>344</v>
      </c>
      <c r="E4576" t="s">
        <v>339</v>
      </c>
      <c r="F4576" s="12">
        <v>304369</v>
      </c>
      <c r="G4576" s="13">
        <v>30</v>
      </c>
      <c r="H4576" t="s">
        <v>3035</v>
      </c>
      <c r="I4576" s="8">
        <v>46115</v>
      </c>
      <c r="J4576" t="s">
        <v>2663</v>
      </c>
      <c r="K4576" t="s">
        <v>3630</v>
      </c>
      <c r="L4576" s="13">
        <v>1500</v>
      </c>
      <c r="M4576" t="s">
        <v>2661</v>
      </c>
    </row>
    <row r="4577" spans="1:13">
      <c r="A4577" t="s">
        <v>1885</v>
      </c>
      <c r="B4577" t="s">
        <v>141</v>
      </c>
      <c r="C4577" s="8">
        <v>46129</v>
      </c>
      <c r="D4577" t="s">
        <v>344</v>
      </c>
      <c r="E4577" t="s">
        <v>339</v>
      </c>
      <c r="F4577" s="12">
        <v>304369</v>
      </c>
      <c r="G4577" s="13">
        <v>30</v>
      </c>
      <c r="H4577" t="s">
        <v>3161</v>
      </c>
      <c r="I4577" s="8">
        <v>46177</v>
      </c>
      <c r="J4577" t="s">
        <v>2663</v>
      </c>
      <c r="K4577" t="s">
        <v>3630</v>
      </c>
      <c r="L4577" s="13">
        <v>1500</v>
      </c>
      <c r="M4577" t="s">
        <v>2661</v>
      </c>
    </row>
    <row r="4578" spans="1:13">
      <c r="A4578" t="s">
        <v>1885</v>
      </c>
      <c r="B4578" t="s">
        <v>141</v>
      </c>
      <c r="C4578" s="8">
        <v>46129</v>
      </c>
      <c r="D4578" t="s">
        <v>344</v>
      </c>
      <c r="E4578" t="s">
        <v>339</v>
      </c>
      <c r="F4578" s="12">
        <v>304369</v>
      </c>
      <c r="G4578" s="13">
        <v>30</v>
      </c>
      <c r="H4578" t="s">
        <v>3357</v>
      </c>
      <c r="I4578" s="8">
        <v>46093</v>
      </c>
      <c r="J4578" t="s">
        <v>2685</v>
      </c>
      <c r="K4578" t="s">
        <v>2686</v>
      </c>
      <c r="L4578" s="13">
        <v>5000</v>
      </c>
      <c r="M4578" t="s">
        <v>2676</v>
      </c>
    </row>
    <row r="4579" spans="1:13">
      <c r="A4579" t="s">
        <v>1886</v>
      </c>
      <c r="B4579" t="s">
        <v>235</v>
      </c>
      <c r="C4579" s="8">
        <v>45958</v>
      </c>
      <c r="D4579" t="s">
        <v>350</v>
      </c>
      <c r="E4579" t="s">
        <v>325</v>
      </c>
      <c r="F4579" s="12">
        <v>206666</v>
      </c>
      <c r="G4579" s="13">
        <v>20</v>
      </c>
      <c r="H4579" t="s">
        <v>2864</v>
      </c>
      <c r="I4579" s="8">
        <v>46063</v>
      </c>
      <c r="J4579" t="s">
        <v>2671</v>
      </c>
      <c r="K4579" t="s">
        <v>2672</v>
      </c>
      <c r="L4579" s="13">
        <v>3000</v>
      </c>
      <c r="M4579" t="s">
        <v>2661</v>
      </c>
    </row>
    <row r="4580" spans="1:13">
      <c r="A4580" t="s">
        <v>1886</v>
      </c>
      <c r="B4580" t="s">
        <v>235</v>
      </c>
      <c r="C4580" s="8">
        <v>45958</v>
      </c>
      <c r="D4580" t="s">
        <v>350</v>
      </c>
      <c r="E4580" t="s">
        <v>325</v>
      </c>
      <c r="F4580" s="12">
        <v>206666</v>
      </c>
      <c r="G4580" s="13">
        <v>20</v>
      </c>
      <c r="H4580" t="s">
        <v>3530</v>
      </c>
      <c r="I4580" s="8">
        <v>45940</v>
      </c>
      <c r="J4580" t="s">
        <v>2659</v>
      </c>
      <c r="K4580" t="s">
        <v>2660</v>
      </c>
      <c r="L4580" s="13">
        <v>3500</v>
      </c>
      <c r="M4580" t="s">
        <v>2676</v>
      </c>
    </row>
    <row r="4581" spans="1:13">
      <c r="A4581" t="s">
        <v>1886</v>
      </c>
      <c r="B4581" t="s">
        <v>235</v>
      </c>
      <c r="C4581" s="8">
        <v>45958</v>
      </c>
      <c r="D4581" t="s">
        <v>350</v>
      </c>
      <c r="E4581" t="s">
        <v>325</v>
      </c>
      <c r="F4581" s="12">
        <v>206666</v>
      </c>
      <c r="G4581" s="13">
        <v>20</v>
      </c>
      <c r="H4581" t="s">
        <v>3533</v>
      </c>
      <c r="I4581" s="8">
        <v>46204</v>
      </c>
      <c r="J4581" t="s">
        <v>2685</v>
      </c>
      <c r="K4581" t="s">
        <v>2686</v>
      </c>
      <c r="L4581" s="13">
        <v>5000</v>
      </c>
      <c r="M4581" t="s">
        <v>2661</v>
      </c>
    </row>
    <row r="4582" spans="1:13">
      <c r="A4582" t="s">
        <v>1887</v>
      </c>
      <c r="B4582" t="s">
        <v>259</v>
      </c>
      <c r="C4582" s="8">
        <v>46203</v>
      </c>
      <c r="D4582" t="s">
        <v>327</v>
      </c>
      <c r="E4582" t="s">
        <v>325</v>
      </c>
      <c r="F4582" s="12">
        <v>133852</v>
      </c>
      <c r="G4582" s="13">
        <v>13</v>
      </c>
      <c r="H4582" t="s">
        <v>2802</v>
      </c>
      <c r="I4582" s="8">
        <v>46222</v>
      </c>
      <c r="J4582" t="s">
        <v>2668</v>
      </c>
      <c r="K4582" t="s">
        <v>2669</v>
      </c>
      <c r="L4582" s="13">
        <v>4000</v>
      </c>
      <c r="M4582" t="s">
        <v>2661</v>
      </c>
    </row>
    <row r="4583" spans="1:13">
      <c r="A4583" t="s">
        <v>1887</v>
      </c>
      <c r="B4583" t="s">
        <v>259</v>
      </c>
      <c r="C4583" s="8">
        <v>46203</v>
      </c>
      <c r="D4583" t="s">
        <v>327</v>
      </c>
      <c r="E4583" t="s">
        <v>325</v>
      </c>
      <c r="F4583" s="12">
        <v>133852</v>
      </c>
      <c r="G4583" s="13">
        <v>13</v>
      </c>
      <c r="H4583" t="s">
        <v>2933</v>
      </c>
      <c r="I4583" s="8">
        <v>46183</v>
      </c>
      <c r="J4583" t="s">
        <v>2674</v>
      </c>
      <c r="K4583" t="s">
        <v>2675</v>
      </c>
      <c r="L4583" s="13">
        <v>20000</v>
      </c>
      <c r="M4583" t="s">
        <v>2661</v>
      </c>
    </row>
    <row r="4584" spans="1:13">
      <c r="A4584" t="s">
        <v>1887</v>
      </c>
      <c r="B4584" t="s">
        <v>259</v>
      </c>
      <c r="C4584" s="8">
        <v>46203</v>
      </c>
      <c r="D4584" t="s">
        <v>327</v>
      </c>
      <c r="E4584" t="s">
        <v>325</v>
      </c>
      <c r="F4584" s="12">
        <v>133852</v>
      </c>
      <c r="G4584" s="13">
        <v>13</v>
      </c>
      <c r="H4584" t="s">
        <v>2969</v>
      </c>
      <c r="I4584" s="8">
        <v>46173</v>
      </c>
      <c r="J4584" t="s">
        <v>2668</v>
      </c>
      <c r="K4584" t="s">
        <v>2669</v>
      </c>
      <c r="L4584" s="13">
        <v>4000</v>
      </c>
      <c r="M4584" t="s">
        <v>2661</v>
      </c>
    </row>
    <row r="4585" spans="1:13">
      <c r="A4585" t="s">
        <v>1887</v>
      </c>
      <c r="B4585" t="s">
        <v>259</v>
      </c>
      <c r="C4585" s="8">
        <v>46203</v>
      </c>
      <c r="D4585" t="s">
        <v>327</v>
      </c>
      <c r="E4585" t="s">
        <v>325</v>
      </c>
      <c r="F4585" s="12">
        <v>133852</v>
      </c>
      <c r="G4585" s="13">
        <v>13</v>
      </c>
      <c r="H4585" t="s">
        <v>3300</v>
      </c>
      <c r="I4585" s="8">
        <v>46089</v>
      </c>
      <c r="J4585" t="s">
        <v>2688</v>
      </c>
      <c r="K4585" t="s">
        <v>2689</v>
      </c>
      <c r="L4585" s="13">
        <v>8000</v>
      </c>
      <c r="M4585" t="s">
        <v>2676</v>
      </c>
    </row>
    <row r="4586" spans="1:13">
      <c r="A4586" t="s">
        <v>1888</v>
      </c>
      <c r="B4586" t="s">
        <v>104</v>
      </c>
      <c r="C4586" s="8">
        <v>45973</v>
      </c>
      <c r="D4586" t="s">
        <v>344</v>
      </c>
      <c r="E4586" t="s">
        <v>328</v>
      </c>
      <c r="F4586" s="12">
        <v>357639</v>
      </c>
      <c r="G4586" s="13">
        <v>35</v>
      </c>
      <c r="H4586" t="s">
        <v>2847</v>
      </c>
      <c r="I4586" s="8">
        <v>45979</v>
      </c>
      <c r="J4586" t="s">
        <v>2671</v>
      </c>
      <c r="K4586" t="s">
        <v>2672</v>
      </c>
      <c r="L4586" s="13">
        <v>3000</v>
      </c>
      <c r="M4586" t="s">
        <v>2661</v>
      </c>
    </row>
    <row r="4587" spans="1:13">
      <c r="A4587" t="s">
        <v>1888</v>
      </c>
      <c r="B4587" t="s">
        <v>104</v>
      </c>
      <c r="C4587" s="8">
        <v>45973</v>
      </c>
      <c r="D4587" t="s">
        <v>344</v>
      </c>
      <c r="E4587" t="s">
        <v>328</v>
      </c>
      <c r="F4587" s="12">
        <v>357639</v>
      </c>
      <c r="G4587" s="13">
        <v>35</v>
      </c>
      <c r="H4587" t="s">
        <v>2870</v>
      </c>
      <c r="I4587" s="8">
        <v>46166</v>
      </c>
      <c r="J4587" t="s">
        <v>2659</v>
      </c>
      <c r="K4587" t="s">
        <v>2660</v>
      </c>
      <c r="L4587" s="13">
        <v>3500</v>
      </c>
      <c r="M4587" t="s">
        <v>2661</v>
      </c>
    </row>
    <row r="4588" spans="1:13">
      <c r="A4588" t="s">
        <v>1888</v>
      </c>
      <c r="B4588" t="s">
        <v>104</v>
      </c>
      <c r="C4588" s="8">
        <v>45973</v>
      </c>
      <c r="D4588" t="s">
        <v>344</v>
      </c>
      <c r="E4588" t="s">
        <v>328</v>
      </c>
      <c r="F4588" s="12">
        <v>357639</v>
      </c>
      <c r="G4588" s="13">
        <v>35</v>
      </c>
      <c r="H4588" t="s">
        <v>3310</v>
      </c>
      <c r="I4588" s="8">
        <v>45966</v>
      </c>
      <c r="J4588" t="s">
        <v>2671</v>
      </c>
      <c r="K4588" t="s">
        <v>2672</v>
      </c>
      <c r="L4588" s="13">
        <v>3000</v>
      </c>
      <c r="M4588" t="s">
        <v>2661</v>
      </c>
    </row>
    <row r="4589" spans="1:13">
      <c r="A4589" t="s">
        <v>1888</v>
      </c>
      <c r="B4589" t="s">
        <v>104</v>
      </c>
      <c r="C4589" s="8">
        <v>45973</v>
      </c>
      <c r="D4589" t="s">
        <v>344</v>
      </c>
      <c r="E4589" t="s">
        <v>328</v>
      </c>
      <c r="F4589" s="12">
        <v>357639</v>
      </c>
      <c r="G4589" s="13">
        <v>35</v>
      </c>
      <c r="H4589" t="s">
        <v>3443</v>
      </c>
      <c r="I4589" s="8">
        <v>46284</v>
      </c>
      <c r="J4589" t="s">
        <v>2659</v>
      </c>
      <c r="K4589" t="s">
        <v>2660</v>
      </c>
      <c r="L4589" s="13">
        <v>3500</v>
      </c>
      <c r="M4589" t="s">
        <v>2676</v>
      </c>
    </row>
    <row r="4590" spans="1:13">
      <c r="A4590" t="s">
        <v>1889</v>
      </c>
      <c r="B4590" t="s">
        <v>307</v>
      </c>
      <c r="C4590" s="8">
        <v>46117</v>
      </c>
      <c r="D4590" t="s">
        <v>321</v>
      </c>
      <c r="E4590" t="s">
        <v>328</v>
      </c>
      <c r="F4590" s="12">
        <v>406213</v>
      </c>
      <c r="G4590" s="13">
        <v>40</v>
      </c>
      <c r="H4590" t="s">
        <v>2796</v>
      </c>
      <c r="I4590" s="8">
        <v>46166</v>
      </c>
      <c r="J4590" t="s">
        <v>2682</v>
      </c>
      <c r="K4590" t="s">
        <v>2683</v>
      </c>
      <c r="L4590" s="13">
        <v>6000</v>
      </c>
      <c r="M4590" t="s">
        <v>2661</v>
      </c>
    </row>
    <row r="4591" spans="1:13">
      <c r="A4591" t="s">
        <v>1889</v>
      </c>
      <c r="B4591" t="s">
        <v>307</v>
      </c>
      <c r="C4591" s="8">
        <v>46117</v>
      </c>
      <c r="D4591" t="s">
        <v>321</v>
      </c>
      <c r="E4591" t="s">
        <v>328</v>
      </c>
      <c r="F4591" s="12">
        <v>406213</v>
      </c>
      <c r="G4591" s="13">
        <v>40</v>
      </c>
      <c r="H4591" t="s">
        <v>2858</v>
      </c>
      <c r="I4591" s="8">
        <v>46091</v>
      </c>
      <c r="J4591" t="s">
        <v>2674</v>
      </c>
      <c r="K4591" t="s">
        <v>2675</v>
      </c>
      <c r="L4591" s="13">
        <v>20000</v>
      </c>
      <c r="M4591" t="s">
        <v>2676</v>
      </c>
    </row>
    <row r="4592" spans="1:13">
      <c r="A4592" t="s">
        <v>1889</v>
      </c>
      <c r="B4592" t="s">
        <v>307</v>
      </c>
      <c r="C4592" s="8">
        <v>46117</v>
      </c>
      <c r="D4592" t="s">
        <v>321</v>
      </c>
      <c r="E4592" t="s">
        <v>328</v>
      </c>
      <c r="F4592" s="12">
        <v>406213</v>
      </c>
      <c r="G4592" s="13">
        <v>40</v>
      </c>
      <c r="H4592" t="s">
        <v>3076</v>
      </c>
      <c r="I4592" s="8">
        <v>46109</v>
      </c>
      <c r="J4592" t="s">
        <v>2659</v>
      </c>
      <c r="K4592" t="s">
        <v>2660</v>
      </c>
      <c r="L4592" s="13">
        <v>3500</v>
      </c>
      <c r="M4592" t="s">
        <v>2661</v>
      </c>
    </row>
    <row r="4593" spans="1:13">
      <c r="A4593" t="s">
        <v>1889</v>
      </c>
      <c r="B4593" t="s">
        <v>307</v>
      </c>
      <c r="C4593" s="8">
        <v>46117</v>
      </c>
      <c r="D4593" t="s">
        <v>321</v>
      </c>
      <c r="E4593" t="s">
        <v>328</v>
      </c>
      <c r="F4593" s="12">
        <v>406213</v>
      </c>
      <c r="G4593" s="13">
        <v>40</v>
      </c>
      <c r="H4593" t="s">
        <v>3090</v>
      </c>
      <c r="I4593" s="8">
        <v>46050</v>
      </c>
      <c r="J4593" t="s">
        <v>2671</v>
      </c>
      <c r="K4593" t="s">
        <v>2672</v>
      </c>
      <c r="L4593" s="13">
        <v>3000</v>
      </c>
      <c r="M4593" t="s">
        <v>2661</v>
      </c>
    </row>
    <row r="4594" spans="1:13">
      <c r="A4594" t="s">
        <v>1889</v>
      </c>
      <c r="B4594" t="s">
        <v>307</v>
      </c>
      <c r="C4594" s="8">
        <v>46117</v>
      </c>
      <c r="D4594" t="s">
        <v>321</v>
      </c>
      <c r="E4594" t="s">
        <v>328</v>
      </c>
      <c r="F4594" s="12">
        <v>406213</v>
      </c>
      <c r="G4594" s="13">
        <v>40</v>
      </c>
      <c r="H4594" t="s">
        <v>3121</v>
      </c>
      <c r="I4594" s="8">
        <v>46024</v>
      </c>
      <c r="J4594" t="s">
        <v>2671</v>
      </c>
      <c r="K4594" t="s">
        <v>2672</v>
      </c>
      <c r="L4594" s="13">
        <v>3000</v>
      </c>
      <c r="M4594" t="s">
        <v>2661</v>
      </c>
    </row>
    <row r="4595" spans="1:13">
      <c r="A4595" t="s">
        <v>1889</v>
      </c>
      <c r="B4595" t="s">
        <v>307</v>
      </c>
      <c r="C4595" s="8">
        <v>46117</v>
      </c>
      <c r="D4595" t="s">
        <v>321</v>
      </c>
      <c r="E4595" t="s">
        <v>328</v>
      </c>
      <c r="F4595" s="12">
        <v>406213</v>
      </c>
      <c r="G4595" s="13">
        <v>40</v>
      </c>
      <c r="H4595" t="s">
        <v>3475</v>
      </c>
      <c r="I4595" s="8">
        <v>46145</v>
      </c>
      <c r="J4595" t="s">
        <v>2668</v>
      </c>
      <c r="K4595" t="s">
        <v>2669</v>
      </c>
      <c r="L4595" s="13">
        <v>4000</v>
      </c>
      <c r="M4595" t="s">
        <v>2661</v>
      </c>
    </row>
    <row r="4596" spans="1:13">
      <c r="A4596" t="s">
        <v>1890</v>
      </c>
      <c r="B4596" t="s">
        <v>105</v>
      </c>
      <c r="C4596" s="8">
        <v>46243</v>
      </c>
      <c r="D4596" t="s">
        <v>332</v>
      </c>
      <c r="E4596" t="s">
        <v>328</v>
      </c>
      <c r="F4596" s="12">
        <v>79963</v>
      </c>
      <c r="G4596" s="13">
        <v>7</v>
      </c>
      <c r="H4596" t="s">
        <v>3001</v>
      </c>
      <c r="I4596" s="8">
        <v>46288</v>
      </c>
      <c r="J4596" t="s">
        <v>2668</v>
      </c>
      <c r="K4596" t="s">
        <v>2669</v>
      </c>
      <c r="L4596" s="13">
        <v>4000</v>
      </c>
      <c r="M4596" t="s">
        <v>2661</v>
      </c>
    </row>
    <row r="4597" spans="1:13">
      <c r="A4597" t="s">
        <v>1890</v>
      </c>
      <c r="B4597" t="s">
        <v>105</v>
      </c>
      <c r="C4597" s="8">
        <v>46243</v>
      </c>
      <c r="D4597" t="s">
        <v>332</v>
      </c>
      <c r="E4597" t="s">
        <v>328</v>
      </c>
      <c r="F4597" s="12">
        <v>79963</v>
      </c>
      <c r="G4597" s="13">
        <v>7</v>
      </c>
      <c r="H4597" t="s">
        <v>3018</v>
      </c>
      <c r="I4597" s="8">
        <v>45961</v>
      </c>
      <c r="J4597" t="s">
        <v>2685</v>
      </c>
      <c r="K4597" t="s">
        <v>2686</v>
      </c>
      <c r="L4597" s="13">
        <v>5000</v>
      </c>
      <c r="M4597" t="s">
        <v>2661</v>
      </c>
    </row>
    <row r="4598" spans="1:13">
      <c r="A4598" t="s">
        <v>1891</v>
      </c>
      <c r="B4598" t="s">
        <v>245</v>
      </c>
      <c r="C4598" s="8">
        <v>46092</v>
      </c>
      <c r="D4598" t="s">
        <v>344</v>
      </c>
      <c r="E4598" t="s">
        <v>334</v>
      </c>
      <c r="F4598" s="12">
        <v>289797</v>
      </c>
      <c r="G4598" s="13">
        <v>28</v>
      </c>
      <c r="H4598" t="s">
        <v>2927</v>
      </c>
      <c r="I4598" s="8">
        <v>46075</v>
      </c>
      <c r="J4598" t="s">
        <v>2685</v>
      </c>
      <c r="K4598" t="s">
        <v>2686</v>
      </c>
      <c r="L4598" s="13">
        <v>5000</v>
      </c>
      <c r="M4598" t="s">
        <v>2661</v>
      </c>
    </row>
    <row r="4599" spans="1:13">
      <c r="A4599" t="s">
        <v>1891</v>
      </c>
      <c r="B4599" t="s">
        <v>245</v>
      </c>
      <c r="C4599" s="8">
        <v>46092</v>
      </c>
      <c r="D4599" t="s">
        <v>344</v>
      </c>
      <c r="E4599" t="s">
        <v>334</v>
      </c>
      <c r="F4599" s="12">
        <v>289797</v>
      </c>
      <c r="G4599" s="13">
        <v>28</v>
      </c>
      <c r="H4599" t="s">
        <v>3031</v>
      </c>
      <c r="I4599" s="8">
        <v>46124</v>
      </c>
      <c r="J4599" t="s">
        <v>2688</v>
      </c>
      <c r="K4599" t="s">
        <v>2689</v>
      </c>
      <c r="L4599" s="13">
        <v>8000</v>
      </c>
      <c r="M4599" t="s">
        <v>2676</v>
      </c>
    </row>
    <row r="4600" spans="1:13">
      <c r="A4600" t="s">
        <v>1891</v>
      </c>
      <c r="B4600" t="s">
        <v>245</v>
      </c>
      <c r="C4600" s="8">
        <v>46092</v>
      </c>
      <c r="D4600" t="s">
        <v>344</v>
      </c>
      <c r="E4600" t="s">
        <v>334</v>
      </c>
      <c r="F4600" s="12">
        <v>289797</v>
      </c>
      <c r="G4600" s="13">
        <v>28</v>
      </c>
      <c r="H4600" t="s">
        <v>3328</v>
      </c>
      <c r="I4600" s="8">
        <v>45934</v>
      </c>
      <c r="J4600" t="s">
        <v>2668</v>
      </c>
      <c r="K4600" t="s">
        <v>2669</v>
      </c>
      <c r="L4600" s="13">
        <v>4000</v>
      </c>
      <c r="M4600" t="s">
        <v>2661</v>
      </c>
    </row>
    <row r="4601" spans="1:13">
      <c r="A4601" t="s">
        <v>1891</v>
      </c>
      <c r="B4601" t="s">
        <v>245</v>
      </c>
      <c r="C4601" s="8">
        <v>46092</v>
      </c>
      <c r="D4601" t="s">
        <v>344</v>
      </c>
      <c r="E4601" t="s">
        <v>334</v>
      </c>
      <c r="F4601" s="12">
        <v>289797</v>
      </c>
      <c r="G4601" s="13">
        <v>28</v>
      </c>
      <c r="H4601" t="s">
        <v>3343</v>
      </c>
      <c r="I4601" s="8">
        <v>46021</v>
      </c>
      <c r="J4601" t="s">
        <v>2674</v>
      </c>
      <c r="K4601" t="s">
        <v>2675</v>
      </c>
      <c r="L4601" s="13">
        <v>20000</v>
      </c>
      <c r="M4601" t="s">
        <v>2661</v>
      </c>
    </row>
    <row r="4602" spans="1:13">
      <c r="A4602" t="s">
        <v>1892</v>
      </c>
      <c r="B4602" t="s">
        <v>77</v>
      </c>
      <c r="C4602" s="8">
        <v>46229</v>
      </c>
      <c r="D4602" t="s">
        <v>321</v>
      </c>
      <c r="E4602" t="s">
        <v>322</v>
      </c>
      <c r="F4602" s="12">
        <v>522464</v>
      </c>
      <c r="G4602" s="13">
        <v>52</v>
      </c>
      <c r="H4602" t="s">
        <v>2808</v>
      </c>
      <c r="I4602" s="8">
        <v>45978</v>
      </c>
      <c r="J4602" t="s">
        <v>2688</v>
      </c>
      <c r="K4602" t="s">
        <v>2689</v>
      </c>
      <c r="L4602" s="13">
        <v>8000</v>
      </c>
      <c r="M4602" t="s">
        <v>2661</v>
      </c>
    </row>
    <row r="4603" spans="1:13">
      <c r="A4603" t="s">
        <v>1892</v>
      </c>
      <c r="B4603" t="s">
        <v>77</v>
      </c>
      <c r="C4603" s="8">
        <v>46229</v>
      </c>
      <c r="D4603" t="s">
        <v>321</v>
      </c>
      <c r="E4603" t="s">
        <v>322</v>
      </c>
      <c r="F4603" s="12">
        <v>522464</v>
      </c>
      <c r="G4603" s="13">
        <v>52</v>
      </c>
      <c r="H4603" t="s">
        <v>3166</v>
      </c>
      <c r="I4603" s="8">
        <v>46075</v>
      </c>
      <c r="J4603" t="s">
        <v>2668</v>
      </c>
      <c r="K4603" t="s">
        <v>2669</v>
      </c>
      <c r="L4603" s="13">
        <v>4000</v>
      </c>
      <c r="M4603" t="s">
        <v>2661</v>
      </c>
    </row>
    <row r="4604" spans="1:13">
      <c r="A4604" t="s">
        <v>1892</v>
      </c>
      <c r="B4604" t="s">
        <v>77</v>
      </c>
      <c r="C4604" s="8">
        <v>46229</v>
      </c>
      <c r="D4604" t="s">
        <v>321</v>
      </c>
      <c r="E4604" t="s">
        <v>322</v>
      </c>
      <c r="F4604" s="12">
        <v>522464</v>
      </c>
      <c r="G4604" s="13">
        <v>52</v>
      </c>
      <c r="H4604" t="s">
        <v>3326</v>
      </c>
      <c r="I4604" s="8">
        <v>46123</v>
      </c>
      <c r="J4604" t="s">
        <v>2688</v>
      </c>
      <c r="K4604" t="s">
        <v>2689</v>
      </c>
      <c r="L4604" s="13">
        <v>8000</v>
      </c>
      <c r="M4604" t="s">
        <v>2661</v>
      </c>
    </row>
    <row r="4605" spans="1:13">
      <c r="A4605" t="s">
        <v>1893</v>
      </c>
      <c r="B4605" t="s">
        <v>120</v>
      </c>
      <c r="C4605" s="8">
        <v>46015</v>
      </c>
      <c r="D4605" t="s">
        <v>321</v>
      </c>
      <c r="E4605" t="s">
        <v>325</v>
      </c>
      <c r="F4605" s="12">
        <v>532344</v>
      </c>
      <c r="G4605" s="13">
        <v>53</v>
      </c>
      <c r="H4605" t="s">
        <v>3398</v>
      </c>
      <c r="I4605" s="8">
        <v>46119</v>
      </c>
      <c r="J4605" t="s">
        <v>2668</v>
      </c>
      <c r="K4605" t="s">
        <v>2669</v>
      </c>
      <c r="L4605" s="13">
        <v>4000</v>
      </c>
      <c r="M4605" t="s">
        <v>2661</v>
      </c>
    </row>
    <row r="4606" spans="1:13">
      <c r="A4606" t="s">
        <v>1894</v>
      </c>
      <c r="B4606" t="s">
        <v>180</v>
      </c>
      <c r="C4606" s="8">
        <v>46197</v>
      </c>
      <c r="D4606" t="s">
        <v>324</v>
      </c>
      <c r="E4606" t="s">
        <v>337</v>
      </c>
      <c r="F4606" s="12">
        <v>353392</v>
      </c>
      <c r="G4606" s="13">
        <v>35</v>
      </c>
      <c r="H4606" t="s">
        <v>3461</v>
      </c>
      <c r="I4606" s="8">
        <v>46283</v>
      </c>
      <c r="J4606" t="s">
        <v>2682</v>
      </c>
      <c r="K4606" t="s">
        <v>2683</v>
      </c>
      <c r="L4606" s="13">
        <v>6000</v>
      </c>
      <c r="M4606" t="s">
        <v>2676</v>
      </c>
    </row>
    <row r="4607" spans="1:13">
      <c r="A4607" t="s">
        <v>1895</v>
      </c>
      <c r="B4607" t="s">
        <v>111</v>
      </c>
      <c r="C4607" s="8">
        <v>46146</v>
      </c>
      <c r="D4607" t="s">
        <v>327</v>
      </c>
      <c r="E4607" t="s">
        <v>339</v>
      </c>
      <c r="F4607" s="12">
        <v>100370</v>
      </c>
      <c r="G4607" s="13">
        <v>10</v>
      </c>
      <c r="H4607" t="s">
        <v>3231</v>
      </c>
      <c r="I4607" s="8">
        <v>46139</v>
      </c>
      <c r="J4607" t="s">
        <v>2668</v>
      </c>
      <c r="K4607" t="s">
        <v>2669</v>
      </c>
      <c r="L4607" s="13">
        <v>4000</v>
      </c>
      <c r="M4607" t="s">
        <v>2661</v>
      </c>
    </row>
    <row r="4608" spans="1:13">
      <c r="A4608" t="s">
        <v>1895</v>
      </c>
      <c r="B4608" t="s">
        <v>111</v>
      </c>
      <c r="C4608" s="8">
        <v>46146</v>
      </c>
      <c r="D4608" t="s">
        <v>327</v>
      </c>
      <c r="E4608" t="s">
        <v>339</v>
      </c>
      <c r="F4608" s="12">
        <v>100370</v>
      </c>
      <c r="G4608" s="13">
        <v>10</v>
      </c>
      <c r="H4608" t="s">
        <v>3411</v>
      </c>
      <c r="I4608" s="8">
        <v>45950</v>
      </c>
      <c r="J4608" t="s">
        <v>2659</v>
      </c>
      <c r="K4608" t="s">
        <v>2660</v>
      </c>
      <c r="L4608" s="13">
        <v>3500</v>
      </c>
      <c r="M4608" t="s">
        <v>2676</v>
      </c>
    </row>
    <row r="4609" spans="1:13">
      <c r="A4609" t="s">
        <v>1896</v>
      </c>
      <c r="B4609" t="s">
        <v>25</v>
      </c>
      <c r="C4609" s="8">
        <v>46104</v>
      </c>
      <c r="D4609" t="s">
        <v>321</v>
      </c>
      <c r="E4609" t="s">
        <v>325</v>
      </c>
      <c r="F4609" s="12">
        <v>108588</v>
      </c>
      <c r="G4609" s="13">
        <v>10</v>
      </c>
      <c r="H4609" t="s">
        <v>2734</v>
      </c>
      <c r="I4609" s="8">
        <v>46236</v>
      </c>
      <c r="J4609" t="s">
        <v>2688</v>
      </c>
      <c r="K4609" t="s">
        <v>2689</v>
      </c>
      <c r="L4609" s="13">
        <v>8000</v>
      </c>
      <c r="M4609" t="s">
        <v>2661</v>
      </c>
    </row>
    <row r="4610" spans="1:13">
      <c r="A4610" t="s">
        <v>1896</v>
      </c>
      <c r="B4610" t="s">
        <v>25</v>
      </c>
      <c r="C4610" s="8">
        <v>46104</v>
      </c>
      <c r="D4610" t="s">
        <v>321</v>
      </c>
      <c r="E4610" t="s">
        <v>325</v>
      </c>
      <c r="F4610" s="12">
        <v>108588</v>
      </c>
      <c r="G4610" s="13">
        <v>10</v>
      </c>
      <c r="H4610" t="s">
        <v>2763</v>
      </c>
      <c r="I4610" s="8">
        <v>46092</v>
      </c>
      <c r="J4610" t="s">
        <v>2692</v>
      </c>
      <c r="K4610" t="s">
        <v>2693</v>
      </c>
      <c r="L4610" s="13">
        <v>10000</v>
      </c>
      <c r="M4610" t="s">
        <v>2661</v>
      </c>
    </row>
    <row r="4611" spans="1:13">
      <c r="A4611" t="s">
        <v>1896</v>
      </c>
      <c r="B4611" t="s">
        <v>25</v>
      </c>
      <c r="C4611" s="8">
        <v>46104</v>
      </c>
      <c r="D4611" t="s">
        <v>321</v>
      </c>
      <c r="E4611" t="s">
        <v>325</v>
      </c>
      <c r="F4611" s="12">
        <v>108588</v>
      </c>
      <c r="G4611" s="13">
        <v>10</v>
      </c>
      <c r="H4611" t="s">
        <v>3079</v>
      </c>
      <c r="I4611" s="8">
        <v>46089</v>
      </c>
      <c r="J4611" t="s">
        <v>2671</v>
      </c>
      <c r="K4611" t="s">
        <v>2672</v>
      </c>
      <c r="L4611" s="13">
        <v>3000</v>
      </c>
      <c r="M4611" t="s">
        <v>2676</v>
      </c>
    </row>
    <row r="4612" spans="1:13">
      <c r="A4612" t="s">
        <v>1896</v>
      </c>
      <c r="B4612" t="s">
        <v>25</v>
      </c>
      <c r="C4612" s="8">
        <v>46104</v>
      </c>
      <c r="D4612" t="s">
        <v>321</v>
      </c>
      <c r="E4612" t="s">
        <v>325</v>
      </c>
      <c r="F4612" s="12">
        <v>108588</v>
      </c>
      <c r="G4612" s="13">
        <v>10</v>
      </c>
      <c r="H4612" t="s">
        <v>3160</v>
      </c>
      <c r="I4612" s="8">
        <v>45931</v>
      </c>
      <c r="J4612" t="s">
        <v>2688</v>
      </c>
      <c r="K4612" t="s">
        <v>2689</v>
      </c>
      <c r="L4612" s="13">
        <v>8000</v>
      </c>
      <c r="M4612" t="s">
        <v>2661</v>
      </c>
    </row>
    <row r="4613" spans="1:13">
      <c r="A4613" t="s">
        <v>1897</v>
      </c>
      <c r="B4613" t="s">
        <v>106</v>
      </c>
      <c r="C4613" s="8">
        <v>46143</v>
      </c>
      <c r="D4613" t="s">
        <v>332</v>
      </c>
      <c r="E4613" t="s">
        <v>325</v>
      </c>
      <c r="F4613" s="12">
        <v>63643</v>
      </c>
      <c r="G4613" s="13">
        <v>6</v>
      </c>
      <c r="H4613" t="s">
        <v>2700</v>
      </c>
      <c r="I4613" s="8">
        <v>46262</v>
      </c>
      <c r="J4613" t="s">
        <v>2692</v>
      </c>
      <c r="K4613" t="s">
        <v>2693</v>
      </c>
      <c r="L4613" s="13">
        <v>10000</v>
      </c>
      <c r="M4613" t="s">
        <v>2676</v>
      </c>
    </row>
    <row r="4614" spans="1:13">
      <c r="A4614" t="s">
        <v>1897</v>
      </c>
      <c r="B4614" t="s">
        <v>106</v>
      </c>
      <c r="C4614" s="8">
        <v>46143</v>
      </c>
      <c r="D4614" t="s">
        <v>332</v>
      </c>
      <c r="E4614" t="s">
        <v>325</v>
      </c>
      <c r="F4614" s="12">
        <v>63643</v>
      </c>
      <c r="G4614" s="13">
        <v>6</v>
      </c>
      <c r="H4614" t="s">
        <v>2973</v>
      </c>
      <c r="I4614" s="8">
        <v>46143</v>
      </c>
      <c r="J4614" t="s">
        <v>2682</v>
      </c>
      <c r="K4614" t="s">
        <v>2683</v>
      </c>
      <c r="L4614" s="13">
        <v>6000</v>
      </c>
      <c r="M4614" t="s">
        <v>2661</v>
      </c>
    </row>
    <row r="4615" spans="1:13">
      <c r="A4615" t="s">
        <v>1897</v>
      </c>
      <c r="B4615" t="s">
        <v>106</v>
      </c>
      <c r="C4615" s="8">
        <v>46143</v>
      </c>
      <c r="D4615" t="s">
        <v>332</v>
      </c>
      <c r="E4615" t="s">
        <v>325</v>
      </c>
      <c r="F4615" s="12">
        <v>63643</v>
      </c>
      <c r="G4615" s="13">
        <v>6</v>
      </c>
      <c r="H4615" t="s">
        <v>3217</v>
      </c>
      <c r="I4615" s="8">
        <v>46275</v>
      </c>
      <c r="J4615" t="s">
        <v>2682</v>
      </c>
      <c r="K4615" t="s">
        <v>2683</v>
      </c>
      <c r="L4615" s="13">
        <v>6000</v>
      </c>
      <c r="M4615" t="s">
        <v>2676</v>
      </c>
    </row>
    <row r="4616" spans="1:13">
      <c r="A4616" t="s">
        <v>1897</v>
      </c>
      <c r="B4616" t="s">
        <v>106</v>
      </c>
      <c r="C4616" s="8">
        <v>46143</v>
      </c>
      <c r="D4616" t="s">
        <v>332</v>
      </c>
      <c r="E4616" t="s">
        <v>325</v>
      </c>
      <c r="F4616" s="12">
        <v>63643</v>
      </c>
      <c r="G4616" s="13">
        <v>6</v>
      </c>
      <c r="H4616" t="s">
        <v>3285</v>
      </c>
      <c r="I4616" s="8">
        <v>46234</v>
      </c>
      <c r="J4616" t="s">
        <v>2668</v>
      </c>
      <c r="K4616" t="s">
        <v>2669</v>
      </c>
      <c r="L4616" s="13">
        <v>4000</v>
      </c>
      <c r="M4616" t="s">
        <v>2661</v>
      </c>
    </row>
    <row r="4617" spans="1:13">
      <c r="A4617" t="s">
        <v>1897</v>
      </c>
      <c r="B4617" t="s">
        <v>106</v>
      </c>
      <c r="C4617" s="8">
        <v>46143</v>
      </c>
      <c r="D4617" t="s">
        <v>332</v>
      </c>
      <c r="E4617" t="s">
        <v>325</v>
      </c>
      <c r="F4617" s="12">
        <v>63643</v>
      </c>
      <c r="G4617" s="13">
        <v>6</v>
      </c>
      <c r="H4617" t="s">
        <v>3476</v>
      </c>
      <c r="I4617" s="8">
        <v>45966</v>
      </c>
      <c r="J4617" t="s">
        <v>2674</v>
      </c>
      <c r="K4617" t="s">
        <v>2675</v>
      </c>
      <c r="L4617" s="13">
        <v>20000</v>
      </c>
      <c r="M4617" t="s">
        <v>2661</v>
      </c>
    </row>
    <row r="4618" spans="1:13">
      <c r="A4618" t="s">
        <v>1898</v>
      </c>
      <c r="B4618" t="s">
        <v>127</v>
      </c>
      <c r="C4618" s="8">
        <v>45942</v>
      </c>
      <c r="D4618" t="s">
        <v>350</v>
      </c>
      <c r="E4618" t="s">
        <v>339</v>
      </c>
      <c r="F4618" s="12">
        <v>167637</v>
      </c>
      <c r="G4618" s="13">
        <v>16</v>
      </c>
      <c r="H4618" t="s">
        <v>2841</v>
      </c>
      <c r="I4618" s="8">
        <v>46149</v>
      </c>
      <c r="J4618" t="s">
        <v>2659</v>
      </c>
      <c r="K4618" t="s">
        <v>2660</v>
      </c>
      <c r="L4618" s="13">
        <v>3500</v>
      </c>
      <c r="M4618" t="s">
        <v>2661</v>
      </c>
    </row>
    <row r="4619" spans="1:13">
      <c r="A4619" t="s">
        <v>1898</v>
      </c>
      <c r="B4619" t="s">
        <v>127</v>
      </c>
      <c r="C4619" s="8">
        <v>45942</v>
      </c>
      <c r="D4619" t="s">
        <v>350</v>
      </c>
      <c r="E4619" t="s">
        <v>339</v>
      </c>
      <c r="F4619" s="12">
        <v>167637</v>
      </c>
      <c r="G4619" s="13">
        <v>16</v>
      </c>
      <c r="H4619" t="s">
        <v>3175</v>
      </c>
      <c r="I4619" s="8">
        <v>46280</v>
      </c>
      <c r="J4619" t="s">
        <v>2665</v>
      </c>
      <c r="K4619" t="s">
        <v>2666</v>
      </c>
      <c r="L4619" s="13">
        <v>2500</v>
      </c>
      <c r="M4619" t="s">
        <v>2661</v>
      </c>
    </row>
    <row r="4620" spans="1:13">
      <c r="A4620" t="s">
        <v>1899</v>
      </c>
      <c r="B4620" t="s">
        <v>229</v>
      </c>
      <c r="C4620" s="8">
        <v>45981</v>
      </c>
      <c r="D4620" t="s">
        <v>327</v>
      </c>
      <c r="E4620" t="s">
        <v>325</v>
      </c>
      <c r="F4620" s="12">
        <v>86466</v>
      </c>
      <c r="G4620" s="13">
        <v>8</v>
      </c>
      <c r="H4620" t="s">
        <v>2739</v>
      </c>
      <c r="I4620" s="8">
        <v>46112</v>
      </c>
      <c r="J4620" t="s">
        <v>2663</v>
      </c>
      <c r="K4620" t="s">
        <v>3630</v>
      </c>
      <c r="L4620" s="13">
        <v>1500</v>
      </c>
      <c r="M4620" t="s">
        <v>2676</v>
      </c>
    </row>
    <row r="4621" spans="1:13">
      <c r="A4621" t="s">
        <v>1899</v>
      </c>
      <c r="B4621" t="s">
        <v>229</v>
      </c>
      <c r="C4621" s="8">
        <v>45981</v>
      </c>
      <c r="D4621" t="s">
        <v>327</v>
      </c>
      <c r="E4621" t="s">
        <v>325</v>
      </c>
      <c r="F4621" s="12">
        <v>86466</v>
      </c>
      <c r="G4621" s="13">
        <v>8</v>
      </c>
      <c r="H4621" t="s">
        <v>3019</v>
      </c>
      <c r="I4621" s="8">
        <v>46063</v>
      </c>
      <c r="J4621" t="s">
        <v>2685</v>
      </c>
      <c r="K4621" t="s">
        <v>2686</v>
      </c>
      <c r="L4621" s="13">
        <v>5000</v>
      </c>
      <c r="M4621" t="s">
        <v>2676</v>
      </c>
    </row>
    <row r="4622" spans="1:13">
      <c r="A4622" t="s">
        <v>1899</v>
      </c>
      <c r="B4622" t="s">
        <v>229</v>
      </c>
      <c r="C4622" s="8">
        <v>45981</v>
      </c>
      <c r="D4622" t="s">
        <v>327</v>
      </c>
      <c r="E4622" t="s">
        <v>325</v>
      </c>
      <c r="F4622" s="12">
        <v>86466</v>
      </c>
      <c r="G4622" s="13">
        <v>8</v>
      </c>
      <c r="H4622" t="s">
        <v>3479</v>
      </c>
      <c r="I4622" s="8">
        <v>46152</v>
      </c>
      <c r="J4622" t="s">
        <v>2688</v>
      </c>
      <c r="K4622" t="s">
        <v>2689</v>
      </c>
      <c r="L4622" s="13">
        <v>8000</v>
      </c>
      <c r="M4622" t="s">
        <v>2661</v>
      </c>
    </row>
    <row r="4623" spans="1:13">
      <c r="A4623" t="s">
        <v>1900</v>
      </c>
      <c r="B4623" t="s">
        <v>247</v>
      </c>
      <c r="C4623" s="8">
        <v>46203</v>
      </c>
      <c r="D4623" t="s">
        <v>327</v>
      </c>
      <c r="E4623" t="s">
        <v>325</v>
      </c>
      <c r="F4623" s="12">
        <v>701076</v>
      </c>
      <c r="G4623" s="13">
        <v>70</v>
      </c>
      <c r="H4623" t="s">
        <v>3106</v>
      </c>
      <c r="I4623" s="8">
        <v>46071</v>
      </c>
      <c r="J4623" t="s">
        <v>2668</v>
      </c>
      <c r="K4623" t="s">
        <v>2669</v>
      </c>
      <c r="L4623" s="13">
        <v>4000</v>
      </c>
      <c r="M4623" t="s">
        <v>2661</v>
      </c>
    </row>
    <row r="4624" spans="1:13">
      <c r="A4624" t="s">
        <v>1901</v>
      </c>
      <c r="B4624" t="s">
        <v>145</v>
      </c>
      <c r="C4624" s="8">
        <v>46127</v>
      </c>
      <c r="D4624" t="s">
        <v>324</v>
      </c>
      <c r="E4624" t="s">
        <v>328</v>
      </c>
      <c r="F4624" s="12">
        <v>434796</v>
      </c>
      <c r="G4624" s="13">
        <v>43</v>
      </c>
      <c r="H4624" t="s">
        <v>2891</v>
      </c>
      <c r="I4624" s="8">
        <v>45941</v>
      </c>
      <c r="J4624" t="s">
        <v>2665</v>
      </c>
      <c r="K4624" t="s">
        <v>2666</v>
      </c>
      <c r="L4624" s="13">
        <v>2500</v>
      </c>
      <c r="M4624" t="s">
        <v>2661</v>
      </c>
    </row>
    <row r="4625" spans="1:13">
      <c r="A4625" t="s">
        <v>1901</v>
      </c>
      <c r="B4625" t="s">
        <v>145</v>
      </c>
      <c r="C4625" s="8">
        <v>46127</v>
      </c>
      <c r="D4625" t="s">
        <v>324</v>
      </c>
      <c r="E4625" t="s">
        <v>328</v>
      </c>
      <c r="F4625" s="12">
        <v>434796</v>
      </c>
      <c r="G4625" s="13">
        <v>43</v>
      </c>
      <c r="H4625" t="s">
        <v>3490</v>
      </c>
      <c r="I4625" s="8">
        <v>46182</v>
      </c>
      <c r="J4625" t="s">
        <v>2674</v>
      </c>
      <c r="K4625" t="s">
        <v>2675</v>
      </c>
      <c r="L4625" s="13">
        <v>20000</v>
      </c>
      <c r="M4625" t="s">
        <v>2661</v>
      </c>
    </row>
    <row r="4626" spans="1:13">
      <c r="A4626" t="s">
        <v>1902</v>
      </c>
      <c r="B4626" t="s">
        <v>129</v>
      </c>
      <c r="C4626" s="8">
        <v>45936</v>
      </c>
      <c r="D4626" t="s">
        <v>324</v>
      </c>
      <c r="E4626" t="s">
        <v>328</v>
      </c>
      <c r="F4626" s="12">
        <v>488647</v>
      </c>
      <c r="G4626" s="13">
        <v>48</v>
      </c>
      <c r="H4626" t="s">
        <v>3185</v>
      </c>
      <c r="I4626" s="8">
        <v>46242</v>
      </c>
      <c r="J4626" t="s">
        <v>2665</v>
      </c>
      <c r="K4626" t="s">
        <v>2666</v>
      </c>
      <c r="L4626" s="13">
        <v>2500</v>
      </c>
      <c r="M4626" t="s">
        <v>2661</v>
      </c>
    </row>
    <row r="4627" spans="1:13">
      <c r="A4627" t="s">
        <v>1903</v>
      </c>
      <c r="B4627" t="s">
        <v>293</v>
      </c>
      <c r="C4627" s="8">
        <v>45981</v>
      </c>
      <c r="D4627" t="s">
        <v>330</v>
      </c>
      <c r="E4627" t="s">
        <v>339</v>
      </c>
      <c r="F4627" s="12">
        <v>237974</v>
      </c>
      <c r="G4627" s="13">
        <v>23</v>
      </c>
      <c r="H4627" t="s">
        <v>2680</v>
      </c>
      <c r="I4627" s="8">
        <v>46235</v>
      </c>
      <c r="J4627" t="s">
        <v>2665</v>
      </c>
      <c r="K4627" t="s">
        <v>2666</v>
      </c>
      <c r="L4627" s="13">
        <v>2500</v>
      </c>
      <c r="M4627" t="s">
        <v>2661</v>
      </c>
    </row>
    <row r="4628" spans="1:13">
      <c r="A4628" t="s">
        <v>1903</v>
      </c>
      <c r="B4628" t="s">
        <v>293</v>
      </c>
      <c r="C4628" s="8">
        <v>45981</v>
      </c>
      <c r="D4628" t="s">
        <v>330</v>
      </c>
      <c r="E4628" t="s">
        <v>339</v>
      </c>
      <c r="F4628" s="12">
        <v>237974</v>
      </c>
      <c r="G4628" s="13">
        <v>23</v>
      </c>
      <c r="H4628" t="s">
        <v>2795</v>
      </c>
      <c r="I4628" s="8">
        <v>45945</v>
      </c>
      <c r="J4628" t="s">
        <v>2663</v>
      </c>
      <c r="K4628" t="s">
        <v>3630</v>
      </c>
      <c r="L4628" s="13">
        <v>1500</v>
      </c>
      <c r="M4628" t="s">
        <v>2661</v>
      </c>
    </row>
    <row r="4629" spans="1:13">
      <c r="A4629" t="s">
        <v>1903</v>
      </c>
      <c r="B4629" t="s">
        <v>293</v>
      </c>
      <c r="C4629" s="8">
        <v>45981</v>
      </c>
      <c r="D4629" t="s">
        <v>330</v>
      </c>
      <c r="E4629" t="s">
        <v>339</v>
      </c>
      <c r="F4629" s="12">
        <v>237974</v>
      </c>
      <c r="G4629" s="13">
        <v>23</v>
      </c>
      <c r="H4629" t="s">
        <v>2977</v>
      </c>
      <c r="I4629" s="8">
        <v>46001</v>
      </c>
      <c r="J4629" t="s">
        <v>2659</v>
      </c>
      <c r="K4629" t="s">
        <v>2660</v>
      </c>
      <c r="L4629" s="13">
        <v>3500</v>
      </c>
      <c r="M4629" t="s">
        <v>2661</v>
      </c>
    </row>
    <row r="4630" spans="1:13">
      <c r="A4630" t="s">
        <v>1903</v>
      </c>
      <c r="B4630" t="s">
        <v>293</v>
      </c>
      <c r="C4630" s="8">
        <v>45981</v>
      </c>
      <c r="D4630" t="s">
        <v>330</v>
      </c>
      <c r="E4630" t="s">
        <v>339</v>
      </c>
      <c r="F4630" s="12">
        <v>237974</v>
      </c>
      <c r="G4630" s="13">
        <v>23</v>
      </c>
      <c r="H4630" t="s">
        <v>3042</v>
      </c>
      <c r="I4630" s="8">
        <v>45970</v>
      </c>
      <c r="J4630" t="s">
        <v>2682</v>
      </c>
      <c r="K4630" t="s">
        <v>2683</v>
      </c>
      <c r="L4630" s="13">
        <v>6000</v>
      </c>
      <c r="M4630" t="s">
        <v>2661</v>
      </c>
    </row>
    <row r="4631" spans="1:13">
      <c r="A4631" t="s">
        <v>1903</v>
      </c>
      <c r="B4631" t="s">
        <v>293</v>
      </c>
      <c r="C4631" s="8">
        <v>45981</v>
      </c>
      <c r="D4631" t="s">
        <v>330</v>
      </c>
      <c r="E4631" t="s">
        <v>339</v>
      </c>
      <c r="F4631" s="12">
        <v>237974</v>
      </c>
      <c r="G4631" s="13">
        <v>23</v>
      </c>
      <c r="H4631" t="s">
        <v>3354</v>
      </c>
      <c r="I4631" s="8">
        <v>45997</v>
      </c>
      <c r="J4631" t="s">
        <v>2659</v>
      </c>
      <c r="K4631" t="s">
        <v>2660</v>
      </c>
      <c r="L4631" s="13">
        <v>3500</v>
      </c>
      <c r="M4631" t="s">
        <v>2661</v>
      </c>
    </row>
    <row r="4632" spans="1:13">
      <c r="A4632" t="s">
        <v>1903</v>
      </c>
      <c r="B4632" t="s">
        <v>293</v>
      </c>
      <c r="C4632" s="8">
        <v>45981</v>
      </c>
      <c r="D4632" t="s">
        <v>330</v>
      </c>
      <c r="E4632" t="s">
        <v>339</v>
      </c>
      <c r="F4632" s="12">
        <v>237974</v>
      </c>
      <c r="G4632" s="13">
        <v>23</v>
      </c>
      <c r="H4632" t="s">
        <v>3448</v>
      </c>
      <c r="I4632" s="8">
        <v>46100</v>
      </c>
      <c r="J4632" t="s">
        <v>2668</v>
      </c>
      <c r="K4632" t="s">
        <v>2669</v>
      </c>
      <c r="L4632" s="13">
        <v>4000</v>
      </c>
      <c r="M4632" t="s">
        <v>2676</v>
      </c>
    </row>
    <row r="4633" spans="1:13">
      <c r="A4633" t="s">
        <v>1904</v>
      </c>
      <c r="B4633" t="s">
        <v>94</v>
      </c>
      <c r="C4633" s="8">
        <v>46130</v>
      </c>
      <c r="D4633" t="s">
        <v>327</v>
      </c>
      <c r="E4633" t="s">
        <v>334</v>
      </c>
      <c r="F4633" s="12">
        <v>193597</v>
      </c>
      <c r="G4633" s="13">
        <v>19</v>
      </c>
      <c r="H4633" t="s">
        <v>2994</v>
      </c>
      <c r="I4633" s="8">
        <v>46107</v>
      </c>
      <c r="J4633" t="s">
        <v>2682</v>
      </c>
      <c r="K4633" t="s">
        <v>2683</v>
      </c>
      <c r="L4633" s="13">
        <v>6000</v>
      </c>
      <c r="M4633" t="s">
        <v>2661</v>
      </c>
    </row>
    <row r="4634" spans="1:13">
      <c r="A4634" t="s">
        <v>1905</v>
      </c>
      <c r="B4634" t="s">
        <v>205</v>
      </c>
      <c r="C4634" s="8">
        <v>46177</v>
      </c>
      <c r="D4634" t="s">
        <v>330</v>
      </c>
      <c r="E4634" t="s">
        <v>322</v>
      </c>
      <c r="F4634" s="12">
        <v>91276</v>
      </c>
      <c r="G4634" s="13">
        <v>9</v>
      </c>
      <c r="H4634" t="s">
        <v>3241</v>
      </c>
      <c r="I4634" s="8">
        <v>45972</v>
      </c>
      <c r="J4634" t="s">
        <v>2671</v>
      </c>
      <c r="K4634" t="s">
        <v>2672</v>
      </c>
      <c r="L4634" s="13">
        <v>3000</v>
      </c>
      <c r="M4634" t="s">
        <v>2676</v>
      </c>
    </row>
    <row r="4635" spans="1:13">
      <c r="A4635" t="s">
        <v>1906</v>
      </c>
      <c r="B4635" t="s">
        <v>126</v>
      </c>
      <c r="C4635" s="8">
        <v>46188</v>
      </c>
      <c r="D4635" t="s">
        <v>327</v>
      </c>
      <c r="E4635" t="s">
        <v>325</v>
      </c>
      <c r="F4635" s="12">
        <v>258538</v>
      </c>
      <c r="G4635" s="13">
        <v>25</v>
      </c>
      <c r="H4635" t="s">
        <v>2798</v>
      </c>
      <c r="I4635" s="8">
        <v>46235</v>
      </c>
      <c r="J4635" t="s">
        <v>2659</v>
      </c>
      <c r="K4635" t="s">
        <v>2660</v>
      </c>
      <c r="L4635" s="13">
        <v>3500</v>
      </c>
      <c r="M4635" t="s">
        <v>2661</v>
      </c>
    </row>
    <row r="4636" spans="1:13">
      <c r="A4636" t="s">
        <v>1906</v>
      </c>
      <c r="B4636" t="s">
        <v>126</v>
      </c>
      <c r="C4636" s="8">
        <v>46188</v>
      </c>
      <c r="D4636" t="s">
        <v>327</v>
      </c>
      <c r="E4636" t="s">
        <v>325</v>
      </c>
      <c r="F4636" s="12">
        <v>258538</v>
      </c>
      <c r="G4636" s="13">
        <v>25</v>
      </c>
      <c r="H4636" t="s">
        <v>3334</v>
      </c>
      <c r="I4636" s="8">
        <v>46254</v>
      </c>
      <c r="J4636" t="s">
        <v>2692</v>
      </c>
      <c r="K4636" t="s">
        <v>2693</v>
      </c>
      <c r="L4636" s="13">
        <v>10000</v>
      </c>
      <c r="M4636" t="s">
        <v>2676</v>
      </c>
    </row>
    <row r="4637" spans="1:13">
      <c r="A4637" t="s">
        <v>1907</v>
      </c>
      <c r="B4637" t="s">
        <v>254</v>
      </c>
      <c r="C4637" s="8">
        <v>46237</v>
      </c>
      <c r="D4637" t="s">
        <v>342</v>
      </c>
      <c r="E4637" t="s">
        <v>337</v>
      </c>
      <c r="F4637" s="12">
        <v>153414</v>
      </c>
      <c r="G4637" s="13">
        <v>15</v>
      </c>
      <c r="H4637" t="s">
        <v>2722</v>
      </c>
      <c r="I4637" s="8">
        <v>46145</v>
      </c>
      <c r="J4637" t="s">
        <v>2668</v>
      </c>
      <c r="K4637" t="s">
        <v>2669</v>
      </c>
      <c r="L4637" s="13">
        <v>4000</v>
      </c>
      <c r="M4637" t="s">
        <v>2661</v>
      </c>
    </row>
    <row r="4638" spans="1:13">
      <c r="A4638" t="s">
        <v>1907</v>
      </c>
      <c r="B4638" t="s">
        <v>254</v>
      </c>
      <c r="C4638" s="8">
        <v>46237</v>
      </c>
      <c r="D4638" t="s">
        <v>342</v>
      </c>
      <c r="E4638" t="s">
        <v>337</v>
      </c>
      <c r="F4638" s="12">
        <v>153414</v>
      </c>
      <c r="G4638" s="13">
        <v>15</v>
      </c>
      <c r="H4638" t="s">
        <v>3133</v>
      </c>
      <c r="I4638" s="8">
        <v>45957</v>
      </c>
      <c r="J4638" t="s">
        <v>2685</v>
      </c>
      <c r="K4638" t="s">
        <v>2686</v>
      </c>
      <c r="L4638" s="13">
        <v>5000</v>
      </c>
      <c r="M4638" t="s">
        <v>2661</v>
      </c>
    </row>
    <row r="4639" spans="1:13">
      <c r="A4639" t="s">
        <v>1908</v>
      </c>
      <c r="B4639" t="s">
        <v>8</v>
      </c>
      <c r="C4639" s="8">
        <v>46202</v>
      </c>
      <c r="D4639" t="s">
        <v>332</v>
      </c>
      <c r="E4639" t="s">
        <v>339</v>
      </c>
      <c r="F4639" s="12">
        <v>156455</v>
      </c>
      <c r="G4639" s="13">
        <v>15</v>
      </c>
      <c r="H4639" t="s">
        <v>3033</v>
      </c>
      <c r="I4639" s="8">
        <v>46098</v>
      </c>
      <c r="J4639" t="s">
        <v>2659</v>
      </c>
      <c r="K4639" t="s">
        <v>2660</v>
      </c>
      <c r="L4639" s="13">
        <v>3500</v>
      </c>
      <c r="M4639" t="s">
        <v>2676</v>
      </c>
    </row>
    <row r="4640" spans="1:13">
      <c r="A4640" t="s">
        <v>1908</v>
      </c>
      <c r="B4640" t="s">
        <v>8</v>
      </c>
      <c r="C4640" s="8">
        <v>46202</v>
      </c>
      <c r="D4640" t="s">
        <v>332</v>
      </c>
      <c r="E4640" t="s">
        <v>339</v>
      </c>
      <c r="F4640" s="12">
        <v>156455</v>
      </c>
      <c r="G4640" s="13">
        <v>15</v>
      </c>
      <c r="H4640" t="s">
        <v>3159</v>
      </c>
      <c r="I4640" s="8">
        <v>46079</v>
      </c>
      <c r="J4640" t="s">
        <v>2659</v>
      </c>
      <c r="K4640" t="s">
        <v>2660</v>
      </c>
      <c r="L4640" s="13">
        <v>3500</v>
      </c>
      <c r="M4640" t="s">
        <v>2661</v>
      </c>
    </row>
    <row r="4641" spans="1:13">
      <c r="A4641" t="s">
        <v>1908</v>
      </c>
      <c r="B4641" t="s">
        <v>8</v>
      </c>
      <c r="C4641" s="8">
        <v>46202</v>
      </c>
      <c r="D4641" t="s">
        <v>332</v>
      </c>
      <c r="E4641" t="s">
        <v>339</v>
      </c>
      <c r="F4641" s="12">
        <v>156455</v>
      </c>
      <c r="G4641" s="13">
        <v>15</v>
      </c>
      <c r="H4641" t="s">
        <v>3184</v>
      </c>
      <c r="I4641" s="8">
        <v>46261</v>
      </c>
      <c r="J4641" t="s">
        <v>2685</v>
      </c>
      <c r="K4641" t="s">
        <v>2686</v>
      </c>
      <c r="L4641" s="13">
        <v>5000</v>
      </c>
      <c r="M4641" t="s">
        <v>2661</v>
      </c>
    </row>
    <row r="4642" spans="1:13">
      <c r="A4642" t="s">
        <v>1908</v>
      </c>
      <c r="B4642" t="s">
        <v>8</v>
      </c>
      <c r="C4642" s="8">
        <v>46202</v>
      </c>
      <c r="D4642" t="s">
        <v>332</v>
      </c>
      <c r="E4642" t="s">
        <v>339</v>
      </c>
      <c r="F4642" s="12">
        <v>156455</v>
      </c>
      <c r="G4642" s="13">
        <v>15</v>
      </c>
      <c r="H4642" t="s">
        <v>3303</v>
      </c>
      <c r="I4642" s="8">
        <v>46196</v>
      </c>
      <c r="J4642" t="s">
        <v>2682</v>
      </c>
      <c r="K4642" t="s">
        <v>2683</v>
      </c>
      <c r="L4642" s="13">
        <v>6000</v>
      </c>
      <c r="M4642" t="s">
        <v>2676</v>
      </c>
    </row>
    <row r="4643" spans="1:13">
      <c r="A4643" t="s">
        <v>1908</v>
      </c>
      <c r="B4643" t="s">
        <v>8</v>
      </c>
      <c r="C4643" s="8">
        <v>46202</v>
      </c>
      <c r="D4643" t="s">
        <v>332</v>
      </c>
      <c r="E4643" t="s">
        <v>339</v>
      </c>
      <c r="F4643" s="12">
        <v>156455</v>
      </c>
      <c r="G4643" s="13">
        <v>15</v>
      </c>
      <c r="H4643" t="s">
        <v>3353</v>
      </c>
      <c r="I4643" s="8">
        <v>45991</v>
      </c>
      <c r="J4643" t="s">
        <v>2659</v>
      </c>
      <c r="K4643" t="s">
        <v>2660</v>
      </c>
      <c r="L4643" s="13">
        <v>3500</v>
      </c>
      <c r="M4643" t="s">
        <v>2661</v>
      </c>
    </row>
    <row r="4644" spans="1:13">
      <c r="A4644" t="s">
        <v>1909</v>
      </c>
      <c r="B4644" t="s">
        <v>187</v>
      </c>
      <c r="C4644" s="8">
        <v>45985</v>
      </c>
      <c r="D4644" t="s">
        <v>350</v>
      </c>
      <c r="E4644" t="s">
        <v>325</v>
      </c>
      <c r="F4644" s="12">
        <v>403042</v>
      </c>
      <c r="G4644" s="13">
        <v>40</v>
      </c>
      <c r="H4644" t="s">
        <v>3154</v>
      </c>
      <c r="I4644" s="8">
        <v>46017</v>
      </c>
      <c r="J4644" t="s">
        <v>2682</v>
      </c>
      <c r="K4644" t="s">
        <v>2683</v>
      </c>
      <c r="L4644" s="13">
        <v>6000</v>
      </c>
      <c r="M4644" t="s">
        <v>2661</v>
      </c>
    </row>
    <row r="4645" spans="1:13">
      <c r="A4645" t="s">
        <v>1909</v>
      </c>
      <c r="B4645" t="s">
        <v>187</v>
      </c>
      <c r="C4645" s="8">
        <v>45985</v>
      </c>
      <c r="D4645" t="s">
        <v>350</v>
      </c>
      <c r="E4645" t="s">
        <v>325</v>
      </c>
      <c r="F4645" s="12">
        <v>403042</v>
      </c>
      <c r="G4645" s="13">
        <v>40</v>
      </c>
      <c r="H4645" t="s">
        <v>3527</v>
      </c>
      <c r="I4645" s="8">
        <v>46155</v>
      </c>
      <c r="J4645" t="s">
        <v>2692</v>
      </c>
      <c r="K4645" t="s">
        <v>2693</v>
      </c>
      <c r="L4645" s="13">
        <v>10000</v>
      </c>
      <c r="M4645" t="s">
        <v>2661</v>
      </c>
    </row>
    <row r="4646" spans="1:13">
      <c r="A4646" t="s">
        <v>1911</v>
      </c>
      <c r="B4646" t="s">
        <v>289</v>
      </c>
      <c r="C4646" s="8">
        <v>46204</v>
      </c>
      <c r="D4646" t="s">
        <v>327</v>
      </c>
      <c r="E4646" t="s">
        <v>328</v>
      </c>
      <c r="F4646" s="12">
        <v>132944</v>
      </c>
      <c r="G4646" s="13">
        <v>13</v>
      </c>
      <c r="H4646" t="s">
        <v>2908</v>
      </c>
      <c r="I4646" s="8">
        <v>46092</v>
      </c>
      <c r="J4646" t="s">
        <v>2665</v>
      </c>
      <c r="K4646" t="s">
        <v>2666</v>
      </c>
      <c r="L4646" s="13">
        <v>2500</v>
      </c>
      <c r="M4646" t="s">
        <v>2676</v>
      </c>
    </row>
    <row r="4647" spans="1:13">
      <c r="A4647" t="s">
        <v>1911</v>
      </c>
      <c r="B4647" t="s">
        <v>289</v>
      </c>
      <c r="C4647" s="8">
        <v>46204</v>
      </c>
      <c r="D4647" t="s">
        <v>327</v>
      </c>
      <c r="E4647" t="s">
        <v>328</v>
      </c>
      <c r="F4647" s="12">
        <v>132944</v>
      </c>
      <c r="G4647" s="13">
        <v>13</v>
      </c>
      <c r="H4647" t="s">
        <v>3141</v>
      </c>
      <c r="I4647" s="8">
        <v>46139</v>
      </c>
      <c r="J4647" t="s">
        <v>2668</v>
      </c>
      <c r="K4647" t="s">
        <v>2669</v>
      </c>
      <c r="L4647" s="13">
        <v>4000</v>
      </c>
      <c r="M4647" t="s">
        <v>2661</v>
      </c>
    </row>
    <row r="4648" spans="1:13">
      <c r="A4648" t="s">
        <v>1911</v>
      </c>
      <c r="B4648" t="s">
        <v>289</v>
      </c>
      <c r="C4648" s="8">
        <v>46204</v>
      </c>
      <c r="D4648" t="s">
        <v>327</v>
      </c>
      <c r="E4648" t="s">
        <v>328</v>
      </c>
      <c r="F4648" s="12">
        <v>132944</v>
      </c>
      <c r="G4648" s="13">
        <v>13</v>
      </c>
      <c r="H4648" t="s">
        <v>3378</v>
      </c>
      <c r="I4648" s="8">
        <v>46068</v>
      </c>
      <c r="J4648" t="s">
        <v>2692</v>
      </c>
      <c r="K4648" t="s">
        <v>2693</v>
      </c>
      <c r="L4648" s="13">
        <v>10000</v>
      </c>
      <c r="M4648" t="s">
        <v>2676</v>
      </c>
    </row>
    <row r="4649" spans="1:13">
      <c r="A4649" t="s">
        <v>1912</v>
      </c>
      <c r="B4649" t="s">
        <v>23</v>
      </c>
      <c r="C4649" s="8">
        <v>46116</v>
      </c>
      <c r="D4649" t="s">
        <v>342</v>
      </c>
      <c r="E4649" t="s">
        <v>325</v>
      </c>
      <c r="F4649" s="12">
        <v>899055</v>
      </c>
      <c r="G4649" s="13">
        <v>89</v>
      </c>
      <c r="H4649" t="s">
        <v>2807</v>
      </c>
      <c r="I4649" s="8">
        <v>46239</v>
      </c>
      <c r="J4649" t="s">
        <v>2663</v>
      </c>
      <c r="K4649" t="s">
        <v>3630</v>
      </c>
      <c r="L4649" s="13">
        <v>1500</v>
      </c>
      <c r="M4649" t="s">
        <v>2661</v>
      </c>
    </row>
    <row r="4650" spans="1:13">
      <c r="A4650" t="s">
        <v>1912</v>
      </c>
      <c r="B4650" t="s">
        <v>23</v>
      </c>
      <c r="C4650" s="8">
        <v>46116</v>
      </c>
      <c r="D4650" t="s">
        <v>342</v>
      </c>
      <c r="E4650" t="s">
        <v>325</v>
      </c>
      <c r="F4650" s="12">
        <v>899055</v>
      </c>
      <c r="G4650" s="13">
        <v>89</v>
      </c>
      <c r="H4650" t="s">
        <v>2846</v>
      </c>
      <c r="I4650" s="8">
        <v>46148</v>
      </c>
      <c r="J4650" t="s">
        <v>2685</v>
      </c>
      <c r="K4650" t="s">
        <v>2686</v>
      </c>
      <c r="L4650" s="13">
        <v>5000</v>
      </c>
      <c r="M4650" t="s">
        <v>2661</v>
      </c>
    </row>
    <row r="4651" spans="1:13">
      <c r="A4651" t="s">
        <v>1912</v>
      </c>
      <c r="B4651" t="s">
        <v>23</v>
      </c>
      <c r="C4651" s="8">
        <v>46116</v>
      </c>
      <c r="D4651" t="s">
        <v>342</v>
      </c>
      <c r="E4651" t="s">
        <v>325</v>
      </c>
      <c r="F4651" s="12">
        <v>899055</v>
      </c>
      <c r="G4651" s="13">
        <v>89</v>
      </c>
      <c r="H4651" t="s">
        <v>2872</v>
      </c>
      <c r="I4651" s="8">
        <v>46180</v>
      </c>
      <c r="J4651" t="s">
        <v>2659</v>
      </c>
      <c r="K4651" t="s">
        <v>2660</v>
      </c>
      <c r="L4651" s="13">
        <v>3500</v>
      </c>
      <c r="M4651" t="s">
        <v>2661</v>
      </c>
    </row>
    <row r="4652" spans="1:13">
      <c r="A4652" t="s">
        <v>1912</v>
      </c>
      <c r="B4652" t="s">
        <v>23</v>
      </c>
      <c r="C4652" s="8">
        <v>46116</v>
      </c>
      <c r="D4652" t="s">
        <v>342</v>
      </c>
      <c r="E4652" t="s">
        <v>325</v>
      </c>
      <c r="F4652" s="12">
        <v>899055</v>
      </c>
      <c r="G4652" s="13">
        <v>89</v>
      </c>
      <c r="H4652" t="s">
        <v>2887</v>
      </c>
      <c r="I4652" s="8">
        <v>46147</v>
      </c>
      <c r="J4652" t="s">
        <v>2682</v>
      </c>
      <c r="K4652" t="s">
        <v>2683</v>
      </c>
      <c r="L4652" s="13">
        <v>6000</v>
      </c>
      <c r="M4652" t="s">
        <v>2661</v>
      </c>
    </row>
    <row r="4653" spans="1:13">
      <c r="A4653" t="s">
        <v>1912</v>
      </c>
      <c r="B4653" t="s">
        <v>23</v>
      </c>
      <c r="C4653" s="8">
        <v>46116</v>
      </c>
      <c r="D4653" t="s">
        <v>342</v>
      </c>
      <c r="E4653" t="s">
        <v>325</v>
      </c>
      <c r="F4653" s="12">
        <v>899055</v>
      </c>
      <c r="G4653" s="13">
        <v>89</v>
      </c>
      <c r="H4653" t="s">
        <v>3153</v>
      </c>
      <c r="I4653" s="8">
        <v>46122</v>
      </c>
      <c r="J4653" t="s">
        <v>2665</v>
      </c>
      <c r="K4653" t="s">
        <v>2666</v>
      </c>
      <c r="L4653" s="13">
        <v>2500</v>
      </c>
      <c r="M4653" t="s">
        <v>2676</v>
      </c>
    </row>
    <row r="4654" spans="1:13">
      <c r="A4654" t="s">
        <v>1912</v>
      </c>
      <c r="B4654" t="s">
        <v>23</v>
      </c>
      <c r="C4654" s="8">
        <v>46116</v>
      </c>
      <c r="D4654" t="s">
        <v>342</v>
      </c>
      <c r="E4654" t="s">
        <v>325</v>
      </c>
      <c r="F4654" s="12">
        <v>899055</v>
      </c>
      <c r="G4654" s="13">
        <v>89</v>
      </c>
      <c r="H4654" t="s">
        <v>3426</v>
      </c>
      <c r="I4654" s="8">
        <v>46038</v>
      </c>
      <c r="J4654" t="s">
        <v>2688</v>
      </c>
      <c r="K4654" t="s">
        <v>2689</v>
      </c>
      <c r="L4654" s="13">
        <v>8000</v>
      </c>
      <c r="M4654" t="s">
        <v>2661</v>
      </c>
    </row>
    <row r="4655" spans="1:13">
      <c r="A4655" t="s">
        <v>1914</v>
      </c>
      <c r="B4655" t="s">
        <v>107</v>
      </c>
      <c r="C4655" s="8">
        <v>46179</v>
      </c>
      <c r="D4655" t="s">
        <v>327</v>
      </c>
      <c r="E4655" t="s">
        <v>337</v>
      </c>
      <c r="F4655" s="12">
        <v>249347</v>
      </c>
      <c r="G4655" s="13">
        <v>24</v>
      </c>
      <c r="H4655" t="s">
        <v>2865</v>
      </c>
      <c r="I4655" s="8">
        <v>46153</v>
      </c>
      <c r="J4655" t="s">
        <v>2692</v>
      </c>
      <c r="K4655" t="s">
        <v>2693</v>
      </c>
      <c r="L4655" s="13">
        <v>10000</v>
      </c>
      <c r="M4655" t="s">
        <v>2676</v>
      </c>
    </row>
    <row r="4656" spans="1:13">
      <c r="A4656" t="s">
        <v>1914</v>
      </c>
      <c r="B4656" t="s">
        <v>107</v>
      </c>
      <c r="C4656" s="8">
        <v>46179</v>
      </c>
      <c r="D4656" t="s">
        <v>327</v>
      </c>
      <c r="E4656" t="s">
        <v>337</v>
      </c>
      <c r="F4656" s="12">
        <v>249347</v>
      </c>
      <c r="G4656" s="13">
        <v>24</v>
      </c>
      <c r="H4656" t="s">
        <v>3214</v>
      </c>
      <c r="I4656" s="8">
        <v>46183</v>
      </c>
      <c r="J4656" t="s">
        <v>2692</v>
      </c>
      <c r="K4656" t="s">
        <v>2693</v>
      </c>
      <c r="L4656" s="13">
        <v>10000</v>
      </c>
      <c r="M4656" t="s">
        <v>2661</v>
      </c>
    </row>
    <row r="4657" spans="1:13">
      <c r="A4657" t="s">
        <v>1914</v>
      </c>
      <c r="B4657" t="s">
        <v>107</v>
      </c>
      <c r="C4657" s="8">
        <v>46179</v>
      </c>
      <c r="D4657" t="s">
        <v>327</v>
      </c>
      <c r="E4657" t="s">
        <v>337</v>
      </c>
      <c r="F4657" s="12">
        <v>249347</v>
      </c>
      <c r="G4657" s="13">
        <v>24</v>
      </c>
      <c r="H4657" t="s">
        <v>3424</v>
      </c>
      <c r="I4657" s="8">
        <v>46007</v>
      </c>
      <c r="J4657" t="s">
        <v>2674</v>
      </c>
      <c r="K4657" t="s">
        <v>2675</v>
      </c>
      <c r="L4657" s="13">
        <v>20000</v>
      </c>
      <c r="M4657" t="s">
        <v>2661</v>
      </c>
    </row>
    <row r="4658" spans="1:13">
      <c r="A4658" t="s">
        <v>1914</v>
      </c>
      <c r="B4658" t="s">
        <v>107</v>
      </c>
      <c r="C4658" s="8">
        <v>46179</v>
      </c>
      <c r="D4658" t="s">
        <v>327</v>
      </c>
      <c r="E4658" t="s">
        <v>337</v>
      </c>
      <c r="F4658" s="12">
        <v>249347</v>
      </c>
      <c r="G4658" s="13">
        <v>24</v>
      </c>
      <c r="H4658" t="s">
        <v>3569</v>
      </c>
      <c r="I4658" s="8">
        <v>45938</v>
      </c>
      <c r="J4658" t="s">
        <v>2692</v>
      </c>
      <c r="K4658" t="s">
        <v>2693</v>
      </c>
      <c r="L4658" s="13">
        <v>10000</v>
      </c>
      <c r="M4658" t="s">
        <v>2661</v>
      </c>
    </row>
    <row r="4659" spans="1:13">
      <c r="A4659" t="s">
        <v>1915</v>
      </c>
      <c r="B4659" t="s">
        <v>16</v>
      </c>
      <c r="C4659" s="8">
        <v>45938</v>
      </c>
      <c r="D4659" t="s">
        <v>324</v>
      </c>
      <c r="E4659" t="s">
        <v>339</v>
      </c>
      <c r="F4659" s="12">
        <v>246432</v>
      </c>
      <c r="G4659" s="13">
        <v>24</v>
      </c>
      <c r="H4659" t="s">
        <v>2886</v>
      </c>
      <c r="I4659" s="8">
        <v>46006</v>
      </c>
      <c r="J4659" t="s">
        <v>2659</v>
      </c>
      <c r="K4659" t="s">
        <v>2660</v>
      </c>
      <c r="L4659" s="13">
        <v>3500</v>
      </c>
      <c r="M4659" t="s">
        <v>2661</v>
      </c>
    </row>
    <row r="4660" spans="1:13">
      <c r="A4660" t="s">
        <v>1915</v>
      </c>
      <c r="B4660" t="s">
        <v>16</v>
      </c>
      <c r="C4660" s="8">
        <v>45938</v>
      </c>
      <c r="D4660" t="s">
        <v>324</v>
      </c>
      <c r="E4660" t="s">
        <v>339</v>
      </c>
      <c r="F4660" s="12">
        <v>246432</v>
      </c>
      <c r="G4660" s="13">
        <v>24</v>
      </c>
      <c r="H4660" t="s">
        <v>3402</v>
      </c>
      <c r="I4660" s="8">
        <v>46050</v>
      </c>
      <c r="J4660" t="s">
        <v>2668</v>
      </c>
      <c r="K4660" t="s">
        <v>2669</v>
      </c>
      <c r="L4660" s="13">
        <v>4000</v>
      </c>
      <c r="M4660" t="s">
        <v>2661</v>
      </c>
    </row>
    <row r="4661" spans="1:13">
      <c r="A4661" t="s">
        <v>1916</v>
      </c>
      <c r="B4661" t="s">
        <v>42</v>
      </c>
      <c r="C4661" s="8">
        <v>46199</v>
      </c>
      <c r="D4661" t="s">
        <v>350</v>
      </c>
      <c r="E4661" t="s">
        <v>334</v>
      </c>
      <c r="F4661" s="12">
        <v>171178</v>
      </c>
      <c r="G4661" s="13">
        <v>17</v>
      </c>
      <c r="H4661" t="s">
        <v>2820</v>
      </c>
      <c r="I4661" s="8">
        <v>46119</v>
      </c>
      <c r="J4661" t="s">
        <v>2682</v>
      </c>
      <c r="K4661" t="s">
        <v>2683</v>
      </c>
      <c r="L4661" s="13">
        <v>6000</v>
      </c>
      <c r="M4661" t="s">
        <v>2676</v>
      </c>
    </row>
    <row r="4662" spans="1:13">
      <c r="A4662" t="s">
        <v>1916</v>
      </c>
      <c r="B4662" t="s">
        <v>42</v>
      </c>
      <c r="C4662" s="8">
        <v>46199</v>
      </c>
      <c r="D4662" t="s">
        <v>350</v>
      </c>
      <c r="E4662" t="s">
        <v>334</v>
      </c>
      <c r="F4662" s="12">
        <v>171178</v>
      </c>
      <c r="G4662" s="13">
        <v>17</v>
      </c>
      <c r="H4662" t="s">
        <v>3092</v>
      </c>
      <c r="I4662" s="8">
        <v>45954</v>
      </c>
      <c r="J4662" t="s">
        <v>2671</v>
      </c>
      <c r="K4662" t="s">
        <v>2672</v>
      </c>
      <c r="L4662" s="13">
        <v>3000</v>
      </c>
      <c r="M4662" t="s">
        <v>2661</v>
      </c>
    </row>
    <row r="4663" spans="1:13">
      <c r="A4663" t="s">
        <v>1916</v>
      </c>
      <c r="B4663" t="s">
        <v>42</v>
      </c>
      <c r="C4663" s="8">
        <v>46199</v>
      </c>
      <c r="D4663" t="s">
        <v>350</v>
      </c>
      <c r="E4663" t="s">
        <v>334</v>
      </c>
      <c r="F4663" s="12">
        <v>171178</v>
      </c>
      <c r="G4663" s="13">
        <v>17</v>
      </c>
      <c r="H4663" t="s">
        <v>3469</v>
      </c>
      <c r="I4663" s="8">
        <v>45960</v>
      </c>
      <c r="J4663" t="s">
        <v>2685</v>
      </c>
      <c r="K4663" t="s">
        <v>2686</v>
      </c>
      <c r="L4663" s="13">
        <v>5000</v>
      </c>
      <c r="M4663" t="s">
        <v>2661</v>
      </c>
    </row>
    <row r="4664" spans="1:13">
      <c r="A4664" t="s">
        <v>1917</v>
      </c>
      <c r="B4664" t="s">
        <v>278</v>
      </c>
      <c r="C4664" s="8">
        <v>46247</v>
      </c>
      <c r="D4664" t="s">
        <v>344</v>
      </c>
      <c r="E4664" t="s">
        <v>334</v>
      </c>
      <c r="F4664" s="12">
        <v>369232</v>
      </c>
      <c r="G4664" s="13">
        <v>36</v>
      </c>
      <c r="H4664" t="s">
        <v>2818</v>
      </c>
      <c r="I4664" s="8">
        <v>45998</v>
      </c>
      <c r="J4664" t="s">
        <v>2685</v>
      </c>
      <c r="K4664" t="s">
        <v>2686</v>
      </c>
      <c r="L4664" s="13">
        <v>5000</v>
      </c>
      <c r="M4664" t="s">
        <v>2661</v>
      </c>
    </row>
    <row r="4665" spans="1:13">
      <c r="A4665" t="s">
        <v>1917</v>
      </c>
      <c r="B4665" t="s">
        <v>278</v>
      </c>
      <c r="C4665" s="8">
        <v>46247</v>
      </c>
      <c r="D4665" t="s">
        <v>344</v>
      </c>
      <c r="E4665" t="s">
        <v>334</v>
      </c>
      <c r="F4665" s="12">
        <v>369232</v>
      </c>
      <c r="G4665" s="13">
        <v>36</v>
      </c>
      <c r="H4665" t="s">
        <v>3083</v>
      </c>
      <c r="I4665" s="8">
        <v>46001</v>
      </c>
      <c r="J4665" t="s">
        <v>2671</v>
      </c>
      <c r="K4665" t="s">
        <v>2672</v>
      </c>
      <c r="L4665" s="13">
        <v>3000</v>
      </c>
      <c r="M4665" t="s">
        <v>2676</v>
      </c>
    </row>
    <row r="4666" spans="1:13">
      <c r="A4666" t="s">
        <v>1917</v>
      </c>
      <c r="B4666" t="s">
        <v>278</v>
      </c>
      <c r="C4666" s="8">
        <v>46247</v>
      </c>
      <c r="D4666" t="s">
        <v>344</v>
      </c>
      <c r="E4666" t="s">
        <v>334</v>
      </c>
      <c r="F4666" s="12">
        <v>369232</v>
      </c>
      <c r="G4666" s="13">
        <v>36</v>
      </c>
      <c r="H4666" t="s">
        <v>3093</v>
      </c>
      <c r="I4666" s="8">
        <v>46073</v>
      </c>
      <c r="J4666" t="s">
        <v>2668</v>
      </c>
      <c r="K4666" t="s">
        <v>2669</v>
      </c>
      <c r="L4666" s="13">
        <v>4000</v>
      </c>
      <c r="M4666" t="s">
        <v>2661</v>
      </c>
    </row>
    <row r="4667" spans="1:13">
      <c r="A4667" t="s">
        <v>1918</v>
      </c>
      <c r="B4667" t="s">
        <v>156</v>
      </c>
      <c r="C4667" s="8">
        <v>46044</v>
      </c>
      <c r="D4667" t="s">
        <v>344</v>
      </c>
      <c r="E4667" t="s">
        <v>334</v>
      </c>
      <c r="F4667" s="12">
        <v>177051</v>
      </c>
      <c r="G4667" s="13">
        <v>17</v>
      </c>
      <c r="H4667" t="s">
        <v>3301</v>
      </c>
      <c r="I4667" s="8">
        <v>46106</v>
      </c>
      <c r="J4667" t="s">
        <v>2674</v>
      </c>
      <c r="K4667" t="s">
        <v>2675</v>
      </c>
      <c r="L4667" s="13">
        <v>20000</v>
      </c>
      <c r="M4667" t="s">
        <v>2661</v>
      </c>
    </row>
    <row r="4668" spans="1:13">
      <c r="A4668" t="s">
        <v>1918</v>
      </c>
      <c r="B4668" t="s">
        <v>156</v>
      </c>
      <c r="C4668" s="8">
        <v>46044</v>
      </c>
      <c r="D4668" t="s">
        <v>344</v>
      </c>
      <c r="E4668" t="s">
        <v>334</v>
      </c>
      <c r="F4668" s="12">
        <v>177051</v>
      </c>
      <c r="G4668" s="13">
        <v>17</v>
      </c>
      <c r="H4668" t="s">
        <v>3309</v>
      </c>
      <c r="I4668" s="8">
        <v>46033</v>
      </c>
      <c r="J4668" t="s">
        <v>2692</v>
      </c>
      <c r="K4668" t="s">
        <v>2693</v>
      </c>
      <c r="L4668" s="13">
        <v>10000</v>
      </c>
      <c r="M4668" t="s">
        <v>2661</v>
      </c>
    </row>
    <row r="4669" spans="1:13">
      <c r="A4669" t="s">
        <v>1919</v>
      </c>
      <c r="B4669" t="s">
        <v>293</v>
      </c>
      <c r="C4669" s="8">
        <v>46293</v>
      </c>
      <c r="D4669" t="s">
        <v>321</v>
      </c>
      <c r="E4669" t="s">
        <v>334</v>
      </c>
      <c r="F4669" s="12">
        <v>334745</v>
      </c>
      <c r="G4669" s="13">
        <v>33</v>
      </c>
      <c r="H4669" t="s">
        <v>2680</v>
      </c>
      <c r="I4669" s="8">
        <v>46235</v>
      </c>
      <c r="J4669" t="s">
        <v>2665</v>
      </c>
      <c r="K4669" t="s">
        <v>2666</v>
      </c>
      <c r="L4669" s="13">
        <v>2500</v>
      </c>
      <c r="M4669" t="s">
        <v>2661</v>
      </c>
    </row>
    <row r="4670" spans="1:13">
      <c r="A4670" t="s">
        <v>1919</v>
      </c>
      <c r="B4670" t="s">
        <v>293</v>
      </c>
      <c r="C4670" s="8">
        <v>46293</v>
      </c>
      <c r="D4670" t="s">
        <v>321</v>
      </c>
      <c r="E4670" t="s">
        <v>334</v>
      </c>
      <c r="F4670" s="12">
        <v>334745</v>
      </c>
      <c r="G4670" s="13">
        <v>33</v>
      </c>
      <c r="H4670" t="s">
        <v>2795</v>
      </c>
      <c r="I4670" s="8">
        <v>45945</v>
      </c>
      <c r="J4670" t="s">
        <v>2663</v>
      </c>
      <c r="K4670" t="s">
        <v>3630</v>
      </c>
      <c r="L4670" s="13">
        <v>1500</v>
      </c>
      <c r="M4670" t="s">
        <v>2661</v>
      </c>
    </row>
    <row r="4671" spans="1:13">
      <c r="A4671" t="s">
        <v>1919</v>
      </c>
      <c r="B4671" t="s">
        <v>293</v>
      </c>
      <c r="C4671" s="8">
        <v>46293</v>
      </c>
      <c r="D4671" t="s">
        <v>321</v>
      </c>
      <c r="E4671" t="s">
        <v>334</v>
      </c>
      <c r="F4671" s="12">
        <v>334745</v>
      </c>
      <c r="G4671" s="13">
        <v>33</v>
      </c>
      <c r="H4671" t="s">
        <v>2977</v>
      </c>
      <c r="I4671" s="8">
        <v>46001</v>
      </c>
      <c r="J4671" t="s">
        <v>2659</v>
      </c>
      <c r="K4671" t="s">
        <v>2660</v>
      </c>
      <c r="L4671" s="13">
        <v>3500</v>
      </c>
      <c r="M4671" t="s">
        <v>2661</v>
      </c>
    </row>
    <row r="4672" spans="1:13">
      <c r="A4672" t="s">
        <v>1919</v>
      </c>
      <c r="B4672" t="s">
        <v>293</v>
      </c>
      <c r="C4672" s="8">
        <v>46293</v>
      </c>
      <c r="D4672" t="s">
        <v>321</v>
      </c>
      <c r="E4672" t="s">
        <v>334</v>
      </c>
      <c r="F4672" s="12">
        <v>334745</v>
      </c>
      <c r="G4672" s="13">
        <v>33</v>
      </c>
      <c r="H4672" t="s">
        <v>3042</v>
      </c>
      <c r="I4672" s="8">
        <v>45970</v>
      </c>
      <c r="J4672" t="s">
        <v>2682</v>
      </c>
      <c r="K4672" t="s">
        <v>2683</v>
      </c>
      <c r="L4672" s="13">
        <v>6000</v>
      </c>
      <c r="M4672" t="s">
        <v>2661</v>
      </c>
    </row>
    <row r="4673" spans="1:13">
      <c r="A4673" t="s">
        <v>1919</v>
      </c>
      <c r="B4673" t="s">
        <v>293</v>
      </c>
      <c r="C4673" s="8">
        <v>46293</v>
      </c>
      <c r="D4673" t="s">
        <v>321</v>
      </c>
      <c r="E4673" t="s">
        <v>334</v>
      </c>
      <c r="F4673" s="12">
        <v>334745</v>
      </c>
      <c r="G4673" s="13">
        <v>33</v>
      </c>
      <c r="H4673" t="s">
        <v>3354</v>
      </c>
      <c r="I4673" s="8">
        <v>45997</v>
      </c>
      <c r="J4673" t="s">
        <v>2659</v>
      </c>
      <c r="K4673" t="s">
        <v>2660</v>
      </c>
      <c r="L4673" s="13">
        <v>3500</v>
      </c>
      <c r="M4673" t="s">
        <v>2661</v>
      </c>
    </row>
    <row r="4674" spans="1:13">
      <c r="A4674" t="s">
        <v>1919</v>
      </c>
      <c r="B4674" t="s">
        <v>293</v>
      </c>
      <c r="C4674" s="8">
        <v>46293</v>
      </c>
      <c r="D4674" t="s">
        <v>321</v>
      </c>
      <c r="E4674" t="s">
        <v>334</v>
      </c>
      <c r="F4674" s="12">
        <v>334745</v>
      </c>
      <c r="G4674" s="13">
        <v>33</v>
      </c>
      <c r="H4674" t="s">
        <v>3448</v>
      </c>
      <c r="I4674" s="8">
        <v>46100</v>
      </c>
      <c r="J4674" t="s">
        <v>2668</v>
      </c>
      <c r="K4674" t="s">
        <v>2669</v>
      </c>
      <c r="L4674" s="13">
        <v>4000</v>
      </c>
      <c r="M4674" t="s">
        <v>2676</v>
      </c>
    </row>
    <row r="4675" spans="1:13">
      <c r="A4675" t="s">
        <v>1920</v>
      </c>
      <c r="B4675" t="s">
        <v>158</v>
      </c>
      <c r="C4675" s="8">
        <v>46104</v>
      </c>
      <c r="D4675" t="s">
        <v>342</v>
      </c>
      <c r="E4675" t="s">
        <v>325</v>
      </c>
      <c r="F4675" s="12">
        <v>140651</v>
      </c>
      <c r="G4675" s="13">
        <v>14</v>
      </c>
      <c r="H4675" t="s">
        <v>2831</v>
      </c>
      <c r="I4675" s="8">
        <v>46168</v>
      </c>
      <c r="J4675" t="s">
        <v>2659</v>
      </c>
      <c r="K4675" t="s">
        <v>2660</v>
      </c>
      <c r="L4675" s="13">
        <v>3500</v>
      </c>
      <c r="M4675" t="s">
        <v>2661</v>
      </c>
    </row>
    <row r="4676" spans="1:13">
      <c r="A4676" t="s">
        <v>1920</v>
      </c>
      <c r="B4676" t="s">
        <v>158</v>
      </c>
      <c r="C4676" s="8">
        <v>46104</v>
      </c>
      <c r="D4676" t="s">
        <v>342</v>
      </c>
      <c r="E4676" t="s">
        <v>325</v>
      </c>
      <c r="F4676" s="12">
        <v>140651</v>
      </c>
      <c r="G4676" s="13">
        <v>14</v>
      </c>
      <c r="H4676" t="s">
        <v>3034</v>
      </c>
      <c r="I4676" s="8">
        <v>46229</v>
      </c>
      <c r="J4676" t="s">
        <v>2665</v>
      </c>
      <c r="K4676" t="s">
        <v>2666</v>
      </c>
      <c r="L4676" s="13">
        <v>2500</v>
      </c>
      <c r="M4676" t="s">
        <v>2661</v>
      </c>
    </row>
    <row r="4677" spans="1:13">
      <c r="A4677" t="s">
        <v>1921</v>
      </c>
      <c r="B4677" t="s">
        <v>223</v>
      </c>
      <c r="C4677" s="8">
        <v>45997</v>
      </c>
      <c r="D4677" t="s">
        <v>350</v>
      </c>
      <c r="E4677" t="s">
        <v>325</v>
      </c>
      <c r="F4677" s="12">
        <v>724772</v>
      </c>
      <c r="G4677" s="13">
        <v>72</v>
      </c>
      <c r="H4677" t="s">
        <v>3064</v>
      </c>
      <c r="I4677" s="8">
        <v>45951</v>
      </c>
      <c r="J4677" t="s">
        <v>2674</v>
      </c>
      <c r="K4677" t="s">
        <v>2675</v>
      </c>
      <c r="L4677" s="13">
        <v>20000</v>
      </c>
      <c r="M4677" t="s">
        <v>2676</v>
      </c>
    </row>
    <row r="4678" spans="1:13">
      <c r="A4678" t="s">
        <v>1921</v>
      </c>
      <c r="B4678" t="s">
        <v>223</v>
      </c>
      <c r="C4678" s="8">
        <v>45997</v>
      </c>
      <c r="D4678" t="s">
        <v>350</v>
      </c>
      <c r="E4678" t="s">
        <v>325</v>
      </c>
      <c r="F4678" s="12">
        <v>724772</v>
      </c>
      <c r="G4678" s="13">
        <v>72</v>
      </c>
      <c r="H4678" t="s">
        <v>3374</v>
      </c>
      <c r="I4678" s="8">
        <v>46022</v>
      </c>
      <c r="J4678" t="s">
        <v>2668</v>
      </c>
      <c r="K4678" t="s">
        <v>2669</v>
      </c>
      <c r="L4678" s="13">
        <v>4000</v>
      </c>
      <c r="M4678" t="s">
        <v>2661</v>
      </c>
    </row>
    <row r="4679" spans="1:13">
      <c r="A4679" t="s">
        <v>1921</v>
      </c>
      <c r="B4679" t="s">
        <v>223</v>
      </c>
      <c r="C4679" s="8">
        <v>45997</v>
      </c>
      <c r="D4679" t="s">
        <v>350</v>
      </c>
      <c r="E4679" t="s">
        <v>325</v>
      </c>
      <c r="F4679" s="12">
        <v>724772</v>
      </c>
      <c r="G4679" s="13">
        <v>72</v>
      </c>
      <c r="H4679" t="s">
        <v>3422</v>
      </c>
      <c r="I4679" s="8">
        <v>46266</v>
      </c>
      <c r="J4679" t="s">
        <v>2659</v>
      </c>
      <c r="K4679" t="s">
        <v>2660</v>
      </c>
      <c r="L4679" s="13">
        <v>3500</v>
      </c>
      <c r="M4679" t="s">
        <v>2661</v>
      </c>
    </row>
    <row r="4680" spans="1:13">
      <c r="A4680" t="s">
        <v>1921</v>
      </c>
      <c r="B4680" t="s">
        <v>223</v>
      </c>
      <c r="C4680" s="8">
        <v>45997</v>
      </c>
      <c r="D4680" t="s">
        <v>350</v>
      </c>
      <c r="E4680" t="s">
        <v>325</v>
      </c>
      <c r="F4680" s="12">
        <v>724772</v>
      </c>
      <c r="G4680" s="13">
        <v>72</v>
      </c>
      <c r="H4680" t="s">
        <v>3570</v>
      </c>
      <c r="I4680" s="8">
        <v>46265</v>
      </c>
      <c r="J4680" t="s">
        <v>2663</v>
      </c>
      <c r="K4680" t="s">
        <v>3630</v>
      </c>
      <c r="L4680" s="13">
        <v>1500</v>
      </c>
      <c r="M4680" t="s">
        <v>2661</v>
      </c>
    </row>
    <row r="4681" spans="1:13">
      <c r="A4681" t="s">
        <v>1922</v>
      </c>
      <c r="B4681" t="s">
        <v>167</v>
      </c>
      <c r="C4681" s="8">
        <v>46207</v>
      </c>
      <c r="D4681" t="s">
        <v>324</v>
      </c>
      <c r="E4681" t="s">
        <v>322</v>
      </c>
      <c r="F4681" s="12">
        <v>240696</v>
      </c>
      <c r="G4681" s="13">
        <v>24</v>
      </c>
      <c r="H4681" t="s">
        <v>2714</v>
      </c>
      <c r="I4681" s="8">
        <v>45991</v>
      </c>
      <c r="J4681" t="s">
        <v>2663</v>
      </c>
      <c r="K4681" t="s">
        <v>3630</v>
      </c>
      <c r="L4681" s="13">
        <v>1500</v>
      </c>
      <c r="M4681" t="s">
        <v>2661</v>
      </c>
    </row>
    <row r="4682" spans="1:13">
      <c r="A4682" t="s">
        <v>1922</v>
      </c>
      <c r="B4682" t="s">
        <v>167</v>
      </c>
      <c r="C4682" s="8">
        <v>46207</v>
      </c>
      <c r="D4682" t="s">
        <v>324</v>
      </c>
      <c r="E4682" t="s">
        <v>322</v>
      </c>
      <c r="F4682" s="12">
        <v>240696</v>
      </c>
      <c r="G4682" s="13">
        <v>24</v>
      </c>
      <c r="H4682" t="s">
        <v>3024</v>
      </c>
      <c r="I4682" s="8">
        <v>46163</v>
      </c>
      <c r="J4682" t="s">
        <v>2665</v>
      </c>
      <c r="K4682" t="s">
        <v>2666</v>
      </c>
      <c r="L4682" s="13">
        <v>2500</v>
      </c>
      <c r="M4682" t="s">
        <v>2661</v>
      </c>
    </row>
    <row r="4683" spans="1:13">
      <c r="A4683" t="s">
        <v>1922</v>
      </c>
      <c r="B4683" t="s">
        <v>167</v>
      </c>
      <c r="C4683" s="8">
        <v>46207</v>
      </c>
      <c r="D4683" t="s">
        <v>324</v>
      </c>
      <c r="E4683" t="s">
        <v>322</v>
      </c>
      <c r="F4683" s="12">
        <v>240696</v>
      </c>
      <c r="G4683" s="13">
        <v>24</v>
      </c>
      <c r="H4683" t="s">
        <v>3573</v>
      </c>
      <c r="I4683" s="8">
        <v>46043</v>
      </c>
      <c r="J4683" t="s">
        <v>2671</v>
      </c>
      <c r="K4683" t="s">
        <v>2672</v>
      </c>
      <c r="L4683" s="13">
        <v>3000</v>
      </c>
      <c r="M4683" t="s">
        <v>2661</v>
      </c>
    </row>
    <row r="4684" spans="1:13">
      <c r="A4684" t="s">
        <v>1923</v>
      </c>
      <c r="B4684" t="s">
        <v>266</v>
      </c>
      <c r="C4684" s="8">
        <v>46227</v>
      </c>
      <c r="D4684" t="s">
        <v>330</v>
      </c>
      <c r="E4684" t="s">
        <v>322</v>
      </c>
      <c r="F4684" s="12">
        <v>352882</v>
      </c>
      <c r="G4684" s="13">
        <v>35</v>
      </c>
      <c r="H4684" t="s">
        <v>2736</v>
      </c>
      <c r="I4684" s="8">
        <v>46216</v>
      </c>
      <c r="J4684" t="s">
        <v>2685</v>
      </c>
      <c r="K4684" t="s">
        <v>2686</v>
      </c>
      <c r="L4684" s="13">
        <v>5000</v>
      </c>
      <c r="M4684" t="s">
        <v>2661</v>
      </c>
    </row>
    <row r="4685" spans="1:13">
      <c r="A4685" t="s">
        <v>1923</v>
      </c>
      <c r="B4685" t="s">
        <v>266</v>
      </c>
      <c r="C4685" s="8">
        <v>46227</v>
      </c>
      <c r="D4685" t="s">
        <v>330</v>
      </c>
      <c r="E4685" t="s">
        <v>322</v>
      </c>
      <c r="F4685" s="12">
        <v>352882</v>
      </c>
      <c r="G4685" s="13">
        <v>35</v>
      </c>
      <c r="H4685" t="s">
        <v>2757</v>
      </c>
      <c r="I4685" s="8">
        <v>46186</v>
      </c>
      <c r="J4685" t="s">
        <v>2688</v>
      </c>
      <c r="K4685" t="s">
        <v>2689</v>
      </c>
      <c r="L4685" s="13">
        <v>8000</v>
      </c>
      <c r="M4685" t="s">
        <v>2661</v>
      </c>
    </row>
    <row r="4686" spans="1:13">
      <c r="A4686" t="s">
        <v>1923</v>
      </c>
      <c r="B4686" t="s">
        <v>266</v>
      </c>
      <c r="C4686" s="8">
        <v>46227</v>
      </c>
      <c r="D4686" t="s">
        <v>330</v>
      </c>
      <c r="E4686" t="s">
        <v>322</v>
      </c>
      <c r="F4686" s="12">
        <v>352882</v>
      </c>
      <c r="G4686" s="13">
        <v>35</v>
      </c>
      <c r="H4686" t="s">
        <v>3331</v>
      </c>
      <c r="I4686" s="8">
        <v>46215</v>
      </c>
      <c r="J4686" t="s">
        <v>2674</v>
      </c>
      <c r="K4686" t="s">
        <v>2675</v>
      </c>
      <c r="L4686" s="13">
        <v>20000</v>
      </c>
      <c r="M4686" t="s">
        <v>2661</v>
      </c>
    </row>
    <row r="4687" spans="1:13">
      <c r="A4687" t="s">
        <v>1923</v>
      </c>
      <c r="B4687" t="s">
        <v>266</v>
      </c>
      <c r="C4687" s="8">
        <v>46227</v>
      </c>
      <c r="D4687" t="s">
        <v>330</v>
      </c>
      <c r="E4687" t="s">
        <v>322</v>
      </c>
      <c r="F4687" s="12">
        <v>352882</v>
      </c>
      <c r="G4687" s="13">
        <v>35</v>
      </c>
      <c r="H4687" t="s">
        <v>3337</v>
      </c>
      <c r="I4687" s="8">
        <v>46032</v>
      </c>
      <c r="J4687" t="s">
        <v>2682</v>
      </c>
      <c r="K4687" t="s">
        <v>2683</v>
      </c>
      <c r="L4687" s="13">
        <v>6000</v>
      </c>
      <c r="M4687" t="s">
        <v>2661</v>
      </c>
    </row>
    <row r="4688" spans="1:13">
      <c r="A4688" t="s">
        <v>1923</v>
      </c>
      <c r="B4688" t="s">
        <v>266</v>
      </c>
      <c r="C4688" s="8">
        <v>46227</v>
      </c>
      <c r="D4688" t="s">
        <v>330</v>
      </c>
      <c r="E4688" t="s">
        <v>322</v>
      </c>
      <c r="F4688" s="12">
        <v>352882</v>
      </c>
      <c r="G4688" s="13">
        <v>35</v>
      </c>
      <c r="H4688" t="s">
        <v>3347</v>
      </c>
      <c r="I4688" s="8">
        <v>46104</v>
      </c>
      <c r="J4688" t="s">
        <v>2688</v>
      </c>
      <c r="K4688" t="s">
        <v>2689</v>
      </c>
      <c r="L4688" s="13">
        <v>8000</v>
      </c>
      <c r="M4688" t="s">
        <v>2661</v>
      </c>
    </row>
    <row r="4689" spans="1:13">
      <c r="A4689" t="s">
        <v>1923</v>
      </c>
      <c r="B4689" t="s">
        <v>266</v>
      </c>
      <c r="C4689" s="8">
        <v>46227</v>
      </c>
      <c r="D4689" t="s">
        <v>330</v>
      </c>
      <c r="E4689" t="s">
        <v>322</v>
      </c>
      <c r="F4689" s="12">
        <v>352882</v>
      </c>
      <c r="G4689" s="13">
        <v>35</v>
      </c>
      <c r="H4689" t="s">
        <v>3518</v>
      </c>
      <c r="I4689" s="8">
        <v>46126</v>
      </c>
      <c r="J4689" t="s">
        <v>2692</v>
      </c>
      <c r="K4689" t="s">
        <v>2693</v>
      </c>
      <c r="L4689" s="13">
        <v>10000</v>
      </c>
      <c r="M4689" t="s">
        <v>2661</v>
      </c>
    </row>
    <row r="4690" spans="1:13">
      <c r="A4690" t="s">
        <v>1924</v>
      </c>
      <c r="B4690" t="s">
        <v>180</v>
      </c>
      <c r="C4690" s="8">
        <v>46231</v>
      </c>
      <c r="D4690" t="s">
        <v>342</v>
      </c>
      <c r="E4690" t="s">
        <v>339</v>
      </c>
      <c r="F4690" s="12">
        <v>197099</v>
      </c>
      <c r="G4690" s="13">
        <v>19</v>
      </c>
      <c r="H4690" t="s">
        <v>3461</v>
      </c>
      <c r="I4690" s="8">
        <v>46283</v>
      </c>
      <c r="J4690" t="s">
        <v>2682</v>
      </c>
      <c r="K4690" t="s">
        <v>2683</v>
      </c>
      <c r="L4690" s="13">
        <v>6000</v>
      </c>
      <c r="M4690" t="s">
        <v>2676</v>
      </c>
    </row>
    <row r="4691" spans="1:13">
      <c r="A4691" t="s">
        <v>1925</v>
      </c>
      <c r="B4691" t="s">
        <v>164</v>
      </c>
      <c r="C4691" s="8">
        <v>46010</v>
      </c>
      <c r="D4691" t="s">
        <v>344</v>
      </c>
      <c r="E4691" t="s">
        <v>328</v>
      </c>
      <c r="F4691" s="12">
        <v>565792</v>
      </c>
      <c r="G4691" s="13">
        <v>56</v>
      </c>
      <c r="H4691" t="s">
        <v>2971</v>
      </c>
      <c r="I4691" s="8">
        <v>46018</v>
      </c>
      <c r="J4691" t="s">
        <v>2665</v>
      </c>
      <c r="K4691" t="s">
        <v>2666</v>
      </c>
      <c r="L4691" s="13">
        <v>2500</v>
      </c>
      <c r="M4691" t="s">
        <v>2661</v>
      </c>
    </row>
    <row r="4692" spans="1:13">
      <c r="A4692" t="s">
        <v>1925</v>
      </c>
      <c r="B4692" t="s">
        <v>164</v>
      </c>
      <c r="C4692" s="8">
        <v>46010</v>
      </c>
      <c r="D4692" t="s">
        <v>344</v>
      </c>
      <c r="E4692" t="s">
        <v>328</v>
      </c>
      <c r="F4692" s="12">
        <v>565792</v>
      </c>
      <c r="G4692" s="13">
        <v>56</v>
      </c>
      <c r="H4692" t="s">
        <v>3109</v>
      </c>
      <c r="I4692" s="8">
        <v>46204</v>
      </c>
      <c r="J4692" t="s">
        <v>2668</v>
      </c>
      <c r="K4692" t="s">
        <v>2669</v>
      </c>
      <c r="L4692" s="13">
        <v>4000</v>
      </c>
      <c r="M4692" t="s">
        <v>2676</v>
      </c>
    </row>
    <row r="4693" spans="1:13">
      <c r="A4693" t="s">
        <v>1925</v>
      </c>
      <c r="B4693" t="s">
        <v>164</v>
      </c>
      <c r="C4693" s="8">
        <v>46010</v>
      </c>
      <c r="D4693" t="s">
        <v>344</v>
      </c>
      <c r="E4693" t="s">
        <v>328</v>
      </c>
      <c r="F4693" s="12">
        <v>565792</v>
      </c>
      <c r="G4693" s="13">
        <v>56</v>
      </c>
      <c r="H4693" t="s">
        <v>3298</v>
      </c>
      <c r="I4693" s="8">
        <v>46208</v>
      </c>
      <c r="J4693" t="s">
        <v>2692</v>
      </c>
      <c r="K4693" t="s">
        <v>2693</v>
      </c>
      <c r="L4693" s="13">
        <v>10000</v>
      </c>
      <c r="M4693" t="s">
        <v>2661</v>
      </c>
    </row>
    <row r="4694" spans="1:13">
      <c r="A4694" t="s">
        <v>1925</v>
      </c>
      <c r="B4694" t="s">
        <v>164</v>
      </c>
      <c r="C4694" s="8">
        <v>46010</v>
      </c>
      <c r="D4694" t="s">
        <v>344</v>
      </c>
      <c r="E4694" t="s">
        <v>328</v>
      </c>
      <c r="F4694" s="12">
        <v>565792</v>
      </c>
      <c r="G4694" s="13">
        <v>56</v>
      </c>
      <c r="H4694" t="s">
        <v>3523</v>
      </c>
      <c r="I4694" s="8">
        <v>46098</v>
      </c>
      <c r="J4694" t="s">
        <v>2659</v>
      </c>
      <c r="K4694" t="s">
        <v>2660</v>
      </c>
      <c r="L4694" s="13">
        <v>3500</v>
      </c>
      <c r="M4694" t="s">
        <v>2661</v>
      </c>
    </row>
    <row r="4695" spans="1:13">
      <c r="A4695" t="s">
        <v>1927</v>
      </c>
      <c r="B4695" t="s">
        <v>214</v>
      </c>
      <c r="C4695" s="8">
        <v>46067</v>
      </c>
      <c r="D4695" t="s">
        <v>344</v>
      </c>
      <c r="E4695" t="s">
        <v>337</v>
      </c>
      <c r="F4695" s="12">
        <v>604654</v>
      </c>
      <c r="G4695" s="13">
        <v>60</v>
      </c>
      <c r="H4695" t="s">
        <v>2664</v>
      </c>
      <c r="I4695" s="8">
        <v>46259</v>
      </c>
      <c r="J4695" t="s">
        <v>2665</v>
      </c>
      <c r="K4695" t="s">
        <v>2666</v>
      </c>
      <c r="L4695" s="13">
        <v>2500</v>
      </c>
      <c r="M4695" t="s">
        <v>2661</v>
      </c>
    </row>
    <row r="4696" spans="1:13">
      <c r="A4696" t="s">
        <v>1927</v>
      </c>
      <c r="B4696" t="s">
        <v>214</v>
      </c>
      <c r="C4696" s="8">
        <v>46067</v>
      </c>
      <c r="D4696" t="s">
        <v>344</v>
      </c>
      <c r="E4696" t="s">
        <v>337</v>
      </c>
      <c r="F4696" s="12">
        <v>604654</v>
      </c>
      <c r="G4696" s="13">
        <v>60</v>
      </c>
      <c r="H4696" t="s">
        <v>3137</v>
      </c>
      <c r="I4696" s="8">
        <v>46189</v>
      </c>
      <c r="J4696" t="s">
        <v>2685</v>
      </c>
      <c r="K4696" t="s">
        <v>2686</v>
      </c>
      <c r="L4696" s="13">
        <v>5000</v>
      </c>
      <c r="M4696" t="s">
        <v>2661</v>
      </c>
    </row>
    <row r="4697" spans="1:13">
      <c r="A4697" t="s">
        <v>1927</v>
      </c>
      <c r="B4697" t="s">
        <v>214</v>
      </c>
      <c r="C4697" s="8">
        <v>46067</v>
      </c>
      <c r="D4697" t="s">
        <v>344</v>
      </c>
      <c r="E4697" t="s">
        <v>337</v>
      </c>
      <c r="F4697" s="12">
        <v>604654</v>
      </c>
      <c r="G4697" s="13">
        <v>60</v>
      </c>
      <c r="H4697" t="s">
        <v>3302</v>
      </c>
      <c r="I4697" s="8">
        <v>46119</v>
      </c>
      <c r="J4697" t="s">
        <v>2659</v>
      </c>
      <c r="K4697" t="s">
        <v>2660</v>
      </c>
      <c r="L4697" s="13">
        <v>3500</v>
      </c>
      <c r="M4697" t="s">
        <v>2661</v>
      </c>
    </row>
    <row r="4698" spans="1:13">
      <c r="A4698" t="s">
        <v>1927</v>
      </c>
      <c r="B4698" t="s">
        <v>214</v>
      </c>
      <c r="C4698" s="8">
        <v>46067</v>
      </c>
      <c r="D4698" t="s">
        <v>344</v>
      </c>
      <c r="E4698" t="s">
        <v>337</v>
      </c>
      <c r="F4698" s="12">
        <v>604654</v>
      </c>
      <c r="G4698" s="13">
        <v>60</v>
      </c>
      <c r="H4698" t="s">
        <v>3564</v>
      </c>
      <c r="I4698" s="8">
        <v>46208</v>
      </c>
      <c r="J4698" t="s">
        <v>2674</v>
      </c>
      <c r="K4698" t="s">
        <v>2675</v>
      </c>
      <c r="L4698" s="13">
        <v>20000</v>
      </c>
      <c r="M4698" t="s">
        <v>2661</v>
      </c>
    </row>
    <row r="4699" spans="1:13">
      <c r="A4699" t="s">
        <v>1928</v>
      </c>
      <c r="B4699" t="s">
        <v>296</v>
      </c>
      <c r="C4699" s="8">
        <v>46181</v>
      </c>
      <c r="D4699" t="s">
        <v>321</v>
      </c>
      <c r="E4699" t="s">
        <v>328</v>
      </c>
      <c r="F4699" s="12">
        <v>235154</v>
      </c>
      <c r="G4699" s="13">
        <v>23</v>
      </c>
      <c r="H4699" t="s">
        <v>2866</v>
      </c>
      <c r="I4699" s="8">
        <v>45940</v>
      </c>
      <c r="J4699" t="s">
        <v>2685</v>
      </c>
      <c r="K4699" t="s">
        <v>2686</v>
      </c>
      <c r="L4699" s="13">
        <v>5000</v>
      </c>
      <c r="M4699" t="s">
        <v>2661</v>
      </c>
    </row>
    <row r="4700" spans="1:13">
      <c r="A4700" t="s">
        <v>1929</v>
      </c>
      <c r="B4700" t="s">
        <v>176</v>
      </c>
      <c r="C4700" s="8">
        <v>46100</v>
      </c>
      <c r="D4700" t="s">
        <v>321</v>
      </c>
      <c r="E4700" t="s">
        <v>325</v>
      </c>
      <c r="F4700" s="12">
        <v>128986</v>
      </c>
      <c r="G4700" s="13">
        <v>12</v>
      </c>
      <c r="H4700" t="s">
        <v>2717</v>
      </c>
      <c r="I4700" s="8">
        <v>46184</v>
      </c>
      <c r="J4700" t="s">
        <v>2692</v>
      </c>
      <c r="K4700" t="s">
        <v>2693</v>
      </c>
      <c r="L4700" s="13">
        <v>10000</v>
      </c>
      <c r="M4700" t="s">
        <v>2661</v>
      </c>
    </row>
    <row r="4701" spans="1:13">
      <c r="A4701" t="s">
        <v>1929</v>
      </c>
      <c r="B4701" t="s">
        <v>176</v>
      </c>
      <c r="C4701" s="8">
        <v>46100</v>
      </c>
      <c r="D4701" t="s">
        <v>321</v>
      </c>
      <c r="E4701" t="s">
        <v>325</v>
      </c>
      <c r="F4701" s="12">
        <v>128986</v>
      </c>
      <c r="G4701" s="13">
        <v>12</v>
      </c>
      <c r="H4701" t="s">
        <v>3103</v>
      </c>
      <c r="I4701" s="8">
        <v>46188</v>
      </c>
      <c r="J4701" t="s">
        <v>2692</v>
      </c>
      <c r="K4701" t="s">
        <v>2693</v>
      </c>
      <c r="L4701" s="13">
        <v>10000</v>
      </c>
      <c r="M4701" t="s">
        <v>2661</v>
      </c>
    </row>
    <row r="4702" spans="1:13">
      <c r="A4702" t="s">
        <v>1929</v>
      </c>
      <c r="B4702" t="s">
        <v>176</v>
      </c>
      <c r="C4702" s="8">
        <v>46100</v>
      </c>
      <c r="D4702" t="s">
        <v>321</v>
      </c>
      <c r="E4702" t="s">
        <v>325</v>
      </c>
      <c r="F4702" s="12">
        <v>128986</v>
      </c>
      <c r="G4702" s="13">
        <v>12</v>
      </c>
      <c r="H4702" t="s">
        <v>3218</v>
      </c>
      <c r="I4702" s="8">
        <v>46220</v>
      </c>
      <c r="J4702" t="s">
        <v>2665</v>
      </c>
      <c r="K4702" t="s">
        <v>2666</v>
      </c>
      <c r="L4702" s="13">
        <v>2500</v>
      </c>
      <c r="M4702" t="s">
        <v>2661</v>
      </c>
    </row>
    <row r="4703" spans="1:13">
      <c r="A4703" t="s">
        <v>1929</v>
      </c>
      <c r="B4703" t="s">
        <v>176</v>
      </c>
      <c r="C4703" s="8">
        <v>46100</v>
      </c>
      <c r="D4703" t="s">
        <v>321</v>
      </c>
      <c r="E4703" t="s">
        <v>325</v>
      </c>
      <c r="F4703" s="12">
        <v>128986</v>
      </c>
      <c r="G4703" s="13">
        <v>12</v>
      </c>
      <c r="H4703" t="s">
        <v>3249</v>
      </c>
      <c r="I4703" s="8">
        <v>46152</v>
      </c>
      <c r="J4703" t="s">
        <v>2688</v>
      </c>
      <c r="K4703" t="s">
        <v>2689</v>
      </c>
      <c r="L4703" s="13">
        <v>8000</v>
      </c>
      <c r="M4703" t="s">
        <v>2661</v>
      </c>
    </row>
    <row r="4704" spans="1:13">
      <c r="A4704" t="s">
        <v>1929</v>
      </c>
      <c r="B4704" t="s">
        <v>176</v>
      </c>
      <c r="C4704" s="8">
        <v>46100</v>
      </c>
      <c r="D4704" t="s">
        <v>321</v>
      </c>
      <c r="E4704" t="s">
        <v>325</v>
      </c>
      <c r="F4704" s="12">
        <v>128986</v>
      </c>
      <c r="G4704" s="13">
        <v>12</v>
      </c>
      <c r="H4704" t="s">
        <v>3517</v>
      </c>
      <c r="I4704" s="8">
        <v>45968</v>
      </c>
      <c r="J4704" t="s">
        <v>2663</v>
      </c>
      <c r="K4704" t="s">
        <v>3630</v>
      </c>
      <c r="L4704" s="13">
        <v>1500</v>
      </c>
      <c r="M4704" t="s">
        <v>2661</v>
      </c>
    </row>
    <row r="4705" spans="1:13">
      <c r="A4705" t="s">
        <v>1929</v>
      </c>
      <c r="B4705" t="s">
        <v>176</v>
      </c>
      <c r="C4705" s="8">
        <v>46100</v>
      </c>
      <c r="D4705" t="s">
        <v>321</v>
      </c>
      <c r="E4705" t="s">
        <v>325</v>
      </c>
      <c r="F4705" s="12">
        <v>128986</v>
      </c>
      <c r="G4705" s="13">
        <v>12</v>
      </c>
      <c r="H4705" t="s">
        <v>3532</v>
      </c>
      <c r="I4705" s="8">
        <v>46081</v>
      </c>
      <c r="J4705" t="s">
        <v>2671</v>
      </c>
      <c r="K4705" t="s">
        <v>2672</v>
      </c>
      <c r="L4705" s="13">
        <v>3000</v>
      </c>
      <c r="M4705" t="s">
        <v>2661</v>
      </c>
    </row>
    <row r="4706" spans="1:13">
      <c r="A4706" t="s">
        <v>1930</v>
      </c>
      <c r="B4706" t="s">
        <v>68</v>
      </c>
      <c r="C4706" s="8">
        <v>46199</v>
      </c>
      <c r="D4706" t="s">
        <v>332</v>
      </c>
      <c r="E4706" t="s">
        <v>328</v>
      </c>
      <c r="F4706" s="12">
        <v>387162</v>
      </c>
      <c r="G4706" s="13">
        <v>38</v>
      </c>
      <c r="H4706" t="s">
        <v>2869</v>
      </c>
      <c r="I4706" s="8">
        <v>46266</v>
      </c>
      <c r="J4706" t="s">
        <v>2671</v>
      </c>
      <c r="K4706" t="s">
        <v>2672</v>
      </c>
      <c r="L4706" s="13">
        <v>3000</v>
      </c>
      <c r="M4706" t="s">
        <v>2661</v>
      </c>
    </row>
    <row r="4707" spans="1:13">
      <c r="A4707" t="s">
        <v>1930</v>
      </c>
      <c r="B4707" t="s">
        <v>68</v>
      </c>
      <c r="C4707" s="8">
        <v>46199</v>
      </c>
      <c r="D4707" t="s">
        <v>332</v>
      </c>
      <c r="E4707" t="s">
        <v>328</v>
      </c>
      <c r="F4707" s="12">
        <v>387162</v>
      </c>
      <c r="G4707" s="13">
        <v>38</v>
      </c>
      <c r="H4707" t="s">
        <v>3248</v>
      </c>
      <c r="I4707" s="8">
        <v>45945</v>
      </c>
      <c r="J4707" t="s">
        <v>2682</v>
      </c>
      <c r="K4707" t="s">
        <v>2683</v>
      </c>
      <c r="L4707" s="13">
        <v>6000</v>
      </c>
      <c r="M4707" t="s">
        <v>2661</v>
      </c>
    </row>
    <row r="4708" spans="1:13">
      <c r="A4708" t="s">
        <v>1930</v>
      </c>
      <c r="B4708" t="s">
        <v>68</v>
      </c>
      <c r="C4708" s="8">
        <v>46199</v>
      </c>
      <c r="D4708" t="s">
        <v>332</v>
      </c>
      <c r="E4708" t="s">
        <v>328</v>
      </c>
      <c r="F4708" s="12">
        <v>387162</v>
      </c>
      <c r="G4708" s="13">
        <v>38</v>
      </c>
      <c r="H4708" t="s">
        <v>3506</v>
      </c>
      <c r="I4708" s="8">
        <v>46080</v>
      </c>
      <c r="J4708" t="s">
        <v>2668</v>
      </c>
      <c r="K4708" t="s">
        <v>2669</v>
      </c>
      <c r="L4708" s="13">
        <v>4000</v>
      </c>
      <c r="M4708" t="s">
        <v>2661</v>
      </c>
    </row>
    <row r="4709" spans="1:13">
      <c r="A4709" t="s">
        <v>1931</v>
      </c>
      <c r="B4709" t="s">
        <v>162</v>
      </c>
      <c r="C4709" s="8">
        <v>46204</v>
      </c>
      <c r="D4709" t="s">
        <v>324</v>
      </c>
      <c r="E4709" t="s">
        <v>325</v>
      </c>
      <c r="F4709" s="12">
        <v>216175</v>
      </c>
      <c r="G4709" s="13">
        <v>21</v>
      </c>
      <c r="H4709" t="s">
        <v>2896</v>
      </c>
      <c r="I4709" s="8">
        <v>45935</v>
      </c>
      <c r="J4709" t="s">
        <v>2674</v>
      </c>
      <c r="K4709" t="s">
        <v>2675</v>
      </c>
      <c r="L4709" s="13">
        <v>20000</v>
      </c>
      <c r="M4709" t="s">
        <v>2661</v>
      </c>
    </row>
    <row r="4710" spans="1:13">
      <c r="A4710" t="s">
        <v>1931</v>
      </c>
      <c r="B4710" t="s">
        <v>162</v>
      </c>
      <c r="C4710" s="8">
        <v>46204</v>
      </c>
      <c r="D4710" t="s">
        <v>324</v>
      </c>
      <c r="E4710" t="s">
        <v>325</v>
      </c>
      <c r="F4710" s="12">
        <v>216175</v>
      </c>
      <c r="G4710" s="13">
        <v>21</v>
      </c>
      <c r="H4710" t="s">
        <v>3046</v>
      </c>
      <c r="I4710" s="8">
        <v>46133</v>
      </c>
      <c r="J4710" t="s">
        <v>2682</v>
      </c>
      <c r="K4710" t="s">
        <v>2683</v>
      </c>
      <c r="L4710" s="13">
        <v>6000</v>
      </c>
      <c r="M4710" t="s">
        <v>2661</v>
      </c>
    </row>
    <row r="4711" spans="1:13">
      <c r="A4711" t="s">
        <v>1931</v>
      </c>
      <c r="B4711" t="s">
        <v>162</v>
      </c>
      <c r="C4711" s="8">
        <v>46204</v>
      </c>
      <c r="D4711" t="s">
        <v>324</v>
      </c>
      <c r="E4711" t="s">
        <v>325</v>
      </c>
      <c r="F4711" s="12">
        <v>216175</v>
      </c>
      <c r="G4711" s="13">
        <v>21</v>
      </c>
      <c r="H4711" t="s">
        <v>3152</v>
      </c>
      <c r="I4711" s="8">
        <v>46035</v>
      </c>
      <c r="J4711" t="s">
        <v>2668</v>
      </c>
      <c r="K4711" t="s">
        <v>2669</v>
      </c>
      <c r="L4711" s="13">
        <v>4000</v>
      </c>
      <c r="M4711" t="s">
        <v>2661</v>
      </c>
    </row>
    <row r="4712" spans="1:13">
      <c r="A4712" t="s">
        <v>1931</v>
      </c>
      <c r="B4712" t="s">
        <v>162</v>
      </c>
      <c r="C4712" s="8">
        <v>46204</v>
      </c>
      <c r="D4712" t="s">
        <v>324</v>
      </c>
      <c r="E4712" t="s">
        <v>325</v>
      </c>
      <c r="F4712" s="12">
        <v>216175</v>
      </c>
      <c r="G4712" s="13">
        <v>21</v>
      </c>
      <c r="H4712" t="s">
        <v>3220</v>
      </c>
      <c r="I4712" s="8">
        <v>45996</v>
      </c>
      <c r="J4712" t="s">
        <v>2659</v>
      </c>
      <c r="K4712" t="s">
        <v>2660</v>
      </c>
      <c r="L4712" s="13">
        <v>3500</v>
      </c>
      <c r="M4712" t="s">
        <v>2661</v>
      </c>
    </row>
    <row r="4713" spans="1:13">
      <c r="A4713" t="s">
        <v>1931</v>
      </c>
      <c r="B4713" t="s">
        <v>162</v>
      </c>
      <c r="C4713" s="8">
        <v>46204</v>
      </c>
      <c r="D4713" t="s">
        <v>324</v>
      </c>
      <c r="E4713" t="s">
        <v>325</v>
      </c>
      <c r="F4713" s="12">
        <v>216175</v>
      </c>
      <c r="G4713" s="13">
        <v>21</v>
      </c>
      <c r="H4713" t="s">
        <v>3318</v>
      </c>
      <c r="I4713" s="8">
        <v>45984</v>
      </c>
      <c r="J4713" t="s">
        <v>2663</v>
      </c>
      <c r="K4713" t="s">
        <v>3630</v>
      </c>
      <c r="L4713" s="13">
        <v>1500</v>
      </c>
      <c r="M4713" t="s">
        <v>2661</v>
      </c>
    </row>
    <row r="4714" spans="1:13">
      <c r="A4714" t="s">
        <v>1932</v>
      </c>
      <c r="B4714" t="s">
        <v>51</v>
      </c>
      <c r="C4714" s="8">
        <v>46101</v>
      </c>
      <c r="D4714" t="s">
        <v>350</v>
      </c>
      <c r="E4714" t="s">
        <v>322</v>
      </c>
      <c r="F4714" s="12">
        <v>53483</v>
      </c>
      <c r="G4714" s="13">
        <v>5</v>
      </c>
      <c r="H4714" t="s">
        <v>2800</v>
      </c>
      <c r="I4714" s="8">
        <v>46266</v>
      </c>
      <c r="J4714" t="s">
        <v>2674</v>
      </c>
      <c r="K4714" t="s">
        <v>2675</v>
      </c>
      <c r="L4714" s="13">
        <v>20000</v>
      </c>
      <c r="M4714" t="s">
        <v>2676</v>
      </c>
    </row>
    <row r="4715" spans="1:13">
      <c r="A4715" t="s">
        <v>1932</v>
      </c>
      <c r="B4715" t="s">
        <v>51</v>
      </c>
      <c r="C4715" s="8">
        <v>46101</v>
      </c>
      <c r="D4715" t="s">
        <v>350</v>
      </c>
      <c r="E4715" t="s">
        <v>322</v>
      </c>
      <c r="F4715" s="12">
        <v>53483</v>
      </c>
      <c r="G4715" s="13">
        <v>5</v>
      </c>
      <c r="H4715" t="s">
        <v>3477</v>
      </c>
      <c r="I4715" s="8">
        <v>46036</v>
      </c>
      <c r="J4715" t="s">
        <v>2671</v>
      </c>
      <c r="K4715" t="s">
        <v>2672</v>
      </c>
      <c r="L4715" s="13">
        <v>3000</v>
      </c>
      <c r="M4715" t="s">
        <v>2661</v>
      </c>
    </row>
    <row r="4716" spans="1:13">
      <c r="A4716" t="s">
        <v>1933</v>
      </c>
      <c r="B4716" t="s">
        <v>240</v>
      </c>
      <c r="C4716" s="8">
        <v>45978</v>
      </c>
      <c r="D4716" t="s">
        <v>324</v>
      </c>
      <c r="E4716" t="s">
        <v>334</v>
      </c>
      <c r="F4716" s="12">
        <v>448992</v>
      </c>
      <c r="G4716" s="13">
        <v>44</v>
      </c>
      <c r="H4716" t="s">
        <v>3066</v>
      </c>
      <c r="I4716" s="8">
        <v>46121</v>
      </c>
      <c r="J4716" t="s">
        <v>2685</v>
      </c>
      <c r="K4716" t="s">
        <v>2686</v>
      </c>
      <c r="L4716" s="13">
        <v>5000</v>
      </c>
      <c r="M4716" t="s">
        <v>2661</v>
      </c>
    </row>
    <row r="4717" spans="1:13">
      <c r="A4717" t="s">
        <v>1933</v>
      </c>
      <c r="B4717" t="s">
        <v>240</v>
      </c>
      <c r="C4717" s="8">
        <v>45978</v>
      </c>
      <c r="D4717" t="s">
        <v>324</v>
      </c>
      <c r="E4717" t="s">
        <v>334</v>
      </c>
      <c r="F4717" s="12">
        <v>448992</v>
      </c>
      <c r="G4717" s="13">
        <v>44</v>
      </c>
      <c r="H4717" t="s">
        <v>3319</v>
      </c>
      <c r="I4717" s="8">
        <v>45952</v>
      </c>
      <c r="J4717" t="s">
        <v>2685</v>
      </c>
      <c r="K4717" t="s">
        <v>2686</v>
      </c>
      <c r="L4717" s="13">
        <v>5000</v>
      </c>
      <c r="M4717" t="s">
        <v>2661</v>
      </c>
    </row>
    <row r="4718" spans="1:13">
      <c r="A4718" t="s">
        <v>1933</v>
      </c>
      <c r="B4718" t="s">
        <v>240</v>
      </c>
      <c r="C4718" s="8">
        <v>45978</v>
      </c>
      <c r="D4718" t="s">
        <v>324</v>
      </c>
      <c r="E4718" t="s">
        <v>334</v>
      </c>
      <c r="F4718" s="12">
        <v>448992</v>
      </c>
      <c r="G4718" s="13">
        <v>44</v>
      </c>
      <c r="H4718" t="s">
        <v>3380</v>
      </c>
      <c r="I4718" s="8">
        <v>46263</v>
      </c>
      <c r="J4718" t="s">
        <v>2682</v>
      </c>
      <c r="K4718" t="s">
        <v>2683</v>
      </c>
      <c r="L4718" s="13">
        <v>6000</v>
      </c>
      <c r="M4718" t="s">
        <v>2661</v>
      </c>
    </row>
    <row r="4719" spans="1:13">
      <c r="A4719" t="s">
        <v>1934</v>
      </c>
      <c r="B4719" t="s">
        <v>291</v>
      </c>
      <c r="C4719" s="8">
        <v>45991</v>
      </c>
      <c r="D4719" t="s">
        <v>324</v>
      </c>
      <c r="E4719" t="s">
        <v>322</v>
      </c>
      <c r="F4719" s="12">
        <v>135919</v>
      </c>
      <c r="G4719" s="13">
        <v>13</v>
      </c>
      <c r="H4719" t="s">
        <v>3405</v>
      </c>
      <c r="I4719" s="8">
        <v>46081</v>
      </c>
      <c r="J4719" t="s">
        <v>2663</v>
      </c>
      <c r="K4719" t="s">
        <v>3630</v>
      </c>
      <c r="L4719" s="13">
        <v>1500</v>
      </c>
      <c r="M4719" t="s">
        <v>2676</v>
      </c>
    </row>
    <row r="4720" spans="1:13">
      <c r="A4720" t="s">
        <v>1934</v>
      </c>
      <c r="B4720" t="s">
        <v>291</v>
      </c>
      <c r="C4720" s="8">
        <v>45991</v>
      </c>
      <c r="D4720" t="s">
        <v>324</v>
      </c>
      <c r="E4720" t="s">
        <v>322</v>
      </c>
      <c r="F4720" s="12">
        <v>135919</v>
      </c>
      <c r="G4720" s="13">
        <v>13</v>
      </c>
      <c r="H4720" t="s">
        <v>3489</v>
      </c>
      <c r="I4720" s="8">
        <v>46099</v>
      </c>
      <c r="J4720" t="s">
        <v>2663</v>
      </c>
      <c r="K4720" t="s">
        <v>3630</v>
      </c>
      <c r="L4720" s="13">
        <v>1500</v>
      </c>
      <c r="M4720" t="s">
        <v>2676</v>
      </c>
    </row>
    <row r="4721" spans="1:13">
      <c r="A4721" t="s">
        <v>1934</v>
      </c>
      <c r="B4721" t="s">
        <v>291</v>
      </c>
      <c r="C4721" s="8">
        <v>45991</v>
      </c>
      <c r="D4721" t="s">
        <v>324</v>
      </c>
      <c r="E4721" t="s">
        <v>322</v>
      </c>
      <c r="F4721" s="12">
        <v>135919</v>
      </c>
      <c r="G4721" s="13">
        <v>13</v>
      </c>
      <c r="H4721" t="s">
        <v>3520</v>
      </c>
      <c r="I4721" s="8">
        <v>46134</v>
      </c>
      <c r="J4721" t="s">
        <v>2671</v>
      </c>
      <c r="K4721" t="s">
        <v>2672</v>
      </c>
      <c r="L4721" s="13">
        <v>3000</v>
      </c>
      <c r="M4721" t="s">
        <v>2661</v>
      </c>
    </row>
    <row r="4722" spans="1:13">
      <c r="A4722" t="s">
        <v>1935</v>
      </c>
      <c r="B4722" t="s">
        <v>141</v>
      </c>
      <c r="C4722" s="8">
        <v>46088</v>
      </c>
      <c r="D4722" t="s">
        <v>332</v>
      </c>
      <c r="E4722" t="s">
        <v>334</v>
      </c>
      <c r="F4722" s="12">
        <v>290189</v>
      </c>
      <c r="G4722" s="13">
        <v>29</v>
      </c>
      <c r="H4722" t="s">
        <v>2784</v>
      </c>
      <c r="I4722" s="8">
        <v>46039</v>
      </c>
      <c r="J4722" t="s">
        <v>2692</v>
      </c>
      <c r="K4722" t="s">
        <v>2693</v>
      </c>
      <c r="L4722" s="13">
        <v>10000</v>
      </c>
      <c r="M4722" t="s">
        <v>2676</v>
      </c>
    </row>
    <row r="4723" spans="1:13">
      <c r="A4723" t="s">
        <v>1935</v>
      </c>
      <c r="B4723" t="s">
        <v>141</v>
      </c>
      <c r="C4723" s="8">
        <v>46088</v>
      </c>
      <c r="D4723" t="s">
        <v>332</v>
      </c>
      <c r="E4723" t="s">
        <v>334</v>
      </c>
      <c r="F4723" s="12">
        <v>290189</v>
      </c>
      <c r="G4723" s="13">
        <v>29</v>
      </c>
      <c r="H4723" t="s">
        <v>2983</v>
      </c>
      <c r="I4723" s="8">
        <v>46195</v>
      </c>
      <c r="J4723" t="s">
        <v>2665</v>
      </c>
      <c r="K4723" t="s">
        <v>2666</v>
      </c>
      <c r="L4723" s="13">
        <v>2500</v>
      </c>
      <c r="M4723" t="s">
        <v>2661</v>
      </c>
    </row>
    <row r="4724" spans="1:13">
      <c r="A4724" t="s">
        <v>1935</v>
      </c>
      <c r="B4724" t="s">
        <v>141</v>
      </c>
      <c r="C4724" s="8">
        <v>46088</v>
      </c>
      <c r="D4724" t="s">
        <v>332</v>
      </c>
      <c r="E4724" t="s">
        <v>334</v>
      </c>
      <c r="F4724" s="12">
        <v>290189</v>
      </c>
      <c r="G4724" s="13">
        <v>29</v>
      </c>
      <c r="H4724" t="s">
        <v>3011</v>
      </c>
      <c r="I4724" s="8">
        <v>46197</v>
      </c>
      <c r="J4724" t="s">
        <v>2674</v>
      </c>
      <c r="K4724" t="s">
        <v>2675</v>
      </c>
      <c r="L4724" s="13">
        <v>20000</v>
      </c>
      <c r="M4724" t="s">
        <v>2661</v>
      </c>
    </row>
    <row r="4725" spans="1:13">
      <c r="A4725" t="s">
        <v>1935</v>
      </c>
      <c r="B4725" t="s">
        <v>141</v>
      </c>
      <c r="C4725" s="8">
        <v>46088</v>
      </c>
      <c r="D4725" t="s">
        <v>332</v>
      </c>
      <c r="E4725" t="s">
        <v>334</v>
      </c>
      <c r="F4725" s="12">
        <v>290189</v>
      </c>
      <c r="G4725" s="13">
        <v>29</v>
      </c>
      <c r="H4725" t="s">
        <v>3035</v>
      </c>
      <c r="I4725" s="8">
        <v>46115</v>
      </c>
      <c r="J4725" t="s">
        <v>2663</v>
      </c>
      <c r="K4725" t="s">
        <v>3630</v>
      </c>
      <c r="L4725" s="13">
        <v>1500</v>
      </c>
      <c r="M4725" t="s">
        <v>2661</v>
      </c>
    </row>
    <row r="4726" spans="1:13">
      <c r="A4726" t="s">
        <v>1935</v>
      </c>
      <c r="B4726" t="s">
        <v>141</v>
      </c>
      <c r="C4726" s="8">
        <v>46088</v>
      </c>
      <c r="D4726" t="s">
        <v>332</v>
      </c>
      <c r="E4726" t="s">
        <v>334</v>
      </c>
      <c r="F4726" s="12">
        <v>290189</v>
      </c>
      <c r="G4726" s="13">
        <v>29</v>
      </c>
      <c r="H4726" t="s">
        <v>3161</v>
      </c>
      <c r="I4726" s="8">
        <v>46177</v>
      </c>
      <c r="J4726" t="s">
        <v>2663</v>
      </c>
      <c r="K4726" t="s">
        <v>3630</v>
      </c>
      <c r="L4726" s="13">
        <v>1500</v>
      </c>
      <c r="M4726" t="s">
        <v>2661</v>
      </c>
    </row>
    <row r="4727" spans="1:13">
      <c r="A4727" t="s">
        <v>1935</v>
      </c>
      <c r="B4727" t="s">
        <v>141</v>
      </c>
      <c r="C4727" s="8">
        <v>46088</v>
      </c>
      <c r="D4727" t="s">
        <v>332</v>
      </c>
      <c r="E4727" t="s">
        <v>334</v>
      </c>
      <c r="F4727" s="12">
        <v>290189</v>
      </c>
      <c r="G4727" s="13">
        <v>29</v>
      </c>
      <c r="H4727" t="s">
        <v>3357</v>
      </c>
      <c r="I4727" s="8">
        <v>46093</v>
      </c>
      <c r="J4727" t="s">
        <v>2685</v>
      </c>
      <c r="K4727" t="s">
        <v>2686</v>
      </c>
      <c r="L4727" s="13">
        <v>5000</v>
      </c>
      <c r="M4727" t="s">
        <v>2676</v>
      </c>
    </row>
    <row r="4728" spans="1:13">
      <c r="A4728" t="s">
        <v>1936</v>
      </c>
      <c r="B4728" t="s">
        <v>205</v>
      </c>
      <c r="C4728" s="8">
        <v>46147</v>
      </c>
      <c r="D4728" t="s">
        <v>330</v>
      </c>
      <c r="E4728" t="s">
        <v>339</v>
      </c>
      <c r="F4728" s="12">
        <v>25000</v>
      </c>
      <c r="G4728" s="13">
        <v>2</v>
      </c>
      <c r="H4728" t="s">
        <v>3241</v>
      </c>
      <c r="I4728" s="8">
        <v>45972</v>
      </c>
      <c r="J4728" t="s">
        <v>2671</v>
      </c>
      <c r="K4728" t="s">
        <v>2672</v>
      </c>
      <c r="L4728" s="13">
        <v>3000</v>
      </c>
      <c r="M4728" t="s">
        <v>2676</v>
      </c>
    </row>
    <row r="4729" spans="1:13">
      <c r="A4729" t="s">
        <v>1937</v>
      </c>
      <c r="B4729" t="s">
        <v>160</v>
      </c>
      <c r="C4729" s="8">
        <v>46238</v>
      </c>
      <c r="D4729" t="s">
        <v>327</v>
      </c>
      <c r="E4729" t="s">
        <v>339</v>
      </c>
      <c r="F4729" s="12">
        <v>140406</v>
      </c>
      <c r="G4729" s="13">
        <v>14</v>
      </c>
      <c r="H4729" t="s">
        <v>2995</v>
      </c>
      <c r="I4729" s="8">
        <v>46074</v>
      </c>
      <c r="J4729" t="s">
        <v>2685</v>
      </c>
      <c r="K4729" t="s">
        <v>2686</v>
      </c>
      <c r="L4729" s="13">
        <v>5000</v>
      </c>
      <c r="M4729" t="s">
        <v>2676</v>
      </c>
    </row>
    <row r="4730" spans="1:13">
      <c r="A4730" t="s">
        <v>1937</v>
      </c>
      <c r="B4730" t="s">
        <v>160</v>
      </c>
      <c r="C4730" s="8">
        <v>46238</v>
      </c>
      <c r="D4730" t="s">
        <v>327</v>
      </c>
      <c r="E4730" t="s">
        <v>339</v>
      </c>
      <c r="F4730" s="12">
        <v>140406</v>
      </c>
      <c r="G4730" s="13">
        <v>14</v>
      </c>
      <c r="H4730" t="s">
        <v>3105</v>
      </c>
      <c r="I4730" s="8">
        <v>46023</v>
      </c>
      <c r="J4730" t="s">
        <v>2671</v>
      </c>
      <c r="K4730" t="s">
        <v>2672</v>
      </c>
      <c r="L4730" s="13">
        <v>3000</v>
      </c>
      <c r="M4730" t="s">
        <v>2661</v>
      </c>
    </row>
    <row r="4731" spans="1:13">
      <c r="A4731" t="s">
        <v>1937</v>
      </c>
      <c r="B4731" t="s">
        <v>160</v>
      </c>
      <c r="C4731" s="8">
        <v>46238</v>
      </c>
      <c r="D4731" t="s">
        <v>327</v>
      </c>
      <c r="E4731" t="s">
        <v>339</v>
      </c>
      <c r="F4731" s="12">
        <v>140406</v>
      </c>
      <c r="G4731" s="13">
        <v>14</v>
      </c>
      <c r="H4731" t="s">
        <v>3246</v>
      </c>
      <c r="I4731" s="8">
        <v>46099</v>
      </c>
      <c r="J4731" t="s">
        <v>2663</v>
      </c>
      <c r="K4731" t="s">
        <v>3630</v>
      </c>
      <c r="L4731" s="13">
        <v>1500</v>
      </c>
      <c r="M4731" t="s">
        <v>2661</v>
      </c>
    </row>
    <row r="4732" spans="1:13">
      <c r="A4732" t="s">
        <v>1938</v>
      </c>
      <c r="B4732" t="s">
        <v>266</v>
      </c>
      <c r="C4732" s="8">
        <v>45949</v>
      </c>
      <c r="D4732" t="s">
        <v>327</v>
      </c>
      <c r="E4732" t="s">
        <v>322</v>
      </c>
      <c r="F4732" s="12">
        <v>402074</v>
      </c>
      <c r="G4732" s="13">
        <v>40</v>
      </c>
      <c r="H4732" t="s">
        <v>2736</v>
      </c>
      <c r="I4732" s="8">
        <v>46216</v>
      </c>
      <c r="J4732" t="s">
        <v>2685</v>
      </c>
      <c r="K4732" t="s">
        <v>2686</v>
      </c>
      <c r="L4732" s="13">
        <v>5000</v>
      </c>
      <c r="M4732" t="s">
        <v>2661</v>
      </c>
    </row>
    <row r="4733" spans="1:13">
      <c r="A4733" t="s">
        <v>1938</v>
      </c>
      <c r="B4733" t="s">
        <v>266</v>
      </c>
      <c r="C4733" s="8">
        <v>45949</v>
      </c>
      <c r="D4733" t="s">
        <v>327</v>
      </c>
      <c r="E4733" t="s">
        <v>322</v>
      </c>
      <c r="F4733" s="12">
        <v>402074</v>
      </c>
      <c r="G4733" s="13">
        <v>40</v>
      </c>
      <c r="H4733" t="s">
        <v>2757</v>
      </c>
      <c r="I4733" s="8">
        <v>46186</v>
      </c>
      <c r="J4733" t="s">
        <v>2688</v>
      </c>
      <c r="K4733" t="s">
        <v>2689</v>
      </c>
      <c r="L4733" s="13">
        <v>8000</v>
      </c>
      <c r="M4733" t="s">
        <v>2661</v>
      </c>
    </row>
    <row r="4734" spans="1:13">
      <c r="A4734" t="s">
        <v>1938</v>
      </c>
      <c r="B4734" t="s">
        <v>266</v>
      </c>
      <c r="C4734" s="8">
        <v>45949</v>
      </c>
      <c r="D4734" t="s">
        <v>327</v>
      </c>
      <c r="E4734" t="s">
        <v>322</v>
      </c>
      <c r="F4734" s="12">
        <v>402074</v>
      </c>
      <c r="G4734" s="13">
        <v>40</v>
      </c>
      <c r="H4734" t="s">
        <v>3331</v>
      </c>
      <c r="I4734" s="8">
        <v>46215</v>
      </c>
      <c r="J4734" t="s">
        <v>2674</v>
      </c>
      <c r="K4734" t="s">
        <v>2675</v>
      </c>
      <c r="L4734" s="13">
        <v>20000</v>
      </c>
      <c r="M4734" t="s">
        <v>2661</v>
      </c>
    </row>
    <row r="4735" spans="1:13">
      <c r="A4735" t="s">
        <v>1938</v>
      </c>
      <c r="B4735" t="s">
        <v>266</v>
      </c>
      <c r="C4735" s="8">
        <v>45949</v>
      </c>
      <c r="D4735" t="s">
        <v>327</v>
      </c>
      <c r="E4735" t="s">
        <v>322</v>
      </c>
      <c r="F4735" s="12">
        <v>402074</v>
      </c>
      <c r="G4735" s="13">
        <v>40</v>
      </c>
      <c r="H4735" t="s">
        <v>3337</v>
      </c>
      <c r="I4735" s="8">
        <v>46032</v>
      </c>
      <c r="J4735" t="s">
        <v>2682</v>
      </c>
      <c r="K4735" t="s">
        <v>2683</v>
      </c>
      <c r="L4735" s="13">
        <v>6000</v>
      </c>
      <c r="M4735" t="s">
        <v>2661</v>
      </c>
    </row>
    <row r="4736" spans="1:13">
      <c r="A4736" t="s">
        <v>1938</v>
      </c>
      <c r="B4736" t="s">
        <v>266</v>
      </c>
      <c r="C4736" s="8">
        <v>45949</v>
      </c>
      <c r="D4736" t="s">
        <v>327</v>
      </c>
      <c r="E4736" t="s">
        <v>322</v>
      </c>
      <c r="F4736" s="12">
        <v>402074</v>
      </c>
      <c r="G4736" s="13">
        <v>40</v>
      </c>
      <c r="H4736" t="s">
        <v>3347</v>
      </c>
      <c r="I4736" s="8">
        <v>46104</v>
      </c>
      <c r="J4736" t="s">
        <v>2688</v>
      </c>
      <c r="K4736" t="s">
        <v>2689</v>
      </c>
      <c r="L4736" s="13">
        <v>8000</v>
      </c>
      <c r="M4736" t="s">
        <v>2661</v>
      </c>
    </row>
    <row r="4737" spans="1:13">
      <c r="A4737" t="s">
        <v>1938</v>
      </c>
      <c r="B4737" t="s">
        <v>266</v>
      </c>
      <c r="C4737" s="8">
        <v>45949</v>
      </c>
      <c r="D4737" t="s">
        <v>327</v>
      </c>
      <c r="E4737" t="s">
        <v>322</v>
      </c>
      <c r="F4737" s="12">
        <v>402074</v>
      </c>
      <c r="G4737" s="13">
        <v>40</v>
      </c>
      <c r="H4737" t="s">
        <v>3518</v>
      </c>
      <c r="I4737" s="8">
        <v>46126</v>
      </c>
      <c r="J4737" t="s">
        <v>2692</v>
      </c>
      <c r="K4737" t="s">
        <v>2693</v>
      </c>
      <c r="L4737" s="13">
        <v>10000</v>
      </c>
      <c r="M4737" t="s">
        <v>2661</v>
      </c>
    </row>
    <row r="4738" spans="1:13">
      <c r="A4738" t="s">
        <v>1939</v>
      </c>
      <c r="B4738" t="s">
        <v>150</v>
      </c>
      <c r="C4738" s="8">
        <v>46013</v>
      </c>
      <c r="D4738" t="s">
        <v>344</v>
      </c>
      <c r="E4738" t="s">
        <v>339</v>
      </c>
      <c r="F4738" s="12">
        <v>542163</v>
      </c>
      <c r="G4738" s="13">
        <v>54</v>
      </c>
      <c r="H4738" t="s">
        <v>3070</v>
      </c>
      <c r="I4738" s="8">
        <v>46003</v>
      </c>
      <c r="J4738" t="s">
        <v>2671</v>
      </c>
      <c r="K4738" t="s">
        <v>2672</v>
      </c>
      <c r="L4738" s="13">
        <v>3000</v>
      </c>
      <c r="M4738" t="s">
        <v>2676</v>
      </c>
    </row>
    <row r="4739" spans="1:13">
      <c r="A4739" t="s">
        <v>1939</v>
      </c>
      <c r="B4739" t="s">
        <v>150</v>
      </c>
      <c r="C4739" s="8">
        <v>46013</v>
      </c>
      <c r="D4739" t="s">
        <v>344</v>
      </c>
      <c r="E4739" t="s">
        <v>339</v>
      </c>
      <c r="F4739" s="12">
        <v>542163</v>
      </c>
      <c r="G4739" s="13">
        <v>54</v>
      </c>
      <c r="H4739" t="s">
        <v>3275</v>
      </c>
      <c r="I4739" s="8">
        <v>45936</v>
      </c>
      <c r="J4739" t="s">
        <v>2688</v>
      </c>
      <c r="K4739" t="s">
        <v>2689</v>
      </c>
      <c r="L4739" s="13">
        <v>8000</v>
      </c>
      <c r="M4739" t="s">
        <v>2661</v>
      </c>
    </row>
    <row r="4740" spans="1:13">
      <c r="A4740" t="s">
        <v>1939</v>
      </c>
      <c r="B4740" t="s">
        <v>150</v>
      </c>
      <c r="C4740" s="8">
        <v>46013</v>
      </c>
      <c r="D4740" t="s">
        <v>344</v>
      </c>
      <c r="E4740" t="s">
        <v>339</v>
      </c>
      <c r="F4740" s="12">
        <v>542163</v>
      </c>
      <c r="G4740" s="13">
        <v>54</v>
      </c>
      <c r="H4740" t="s">
        <v>3352</v>
      </c>
      <c r="I4740" s="8">
        <v>46153</v>
      </c>
      <c r="J4740" t="s">
        <v>2665</v>
      </c>
      <c r="K4740" t="s">
        <v>2666</v>
      </c>
      <c r="L4740" s="13">
        <v>2500</v>
      </c>
      <c r="M4740" t="s">
        <v>2661</v>
      </c>
    </row>
    <row r="4741" spans="1:13">
      <c r="A4741" t="s">
        <v>1940</v>
      </c>
      <c r="B4741" t="s">
        <v>86</v>
      </c>
      <c r="C4741" s="8">
        <v>45999</v>
      </c>
      <c r="D4741" t="s">
        <v>332</v>
      </c>
      <c r="E4741" t="s">
        <v>328</v>
      </c>
      <c r="F4741" s="12">
        <v>87233</v>
      </c>
      <c r="G4741" s="13">
        <v>8</v>
      </c>
      <c r="H4741" t="s">
        <v>3550</v>
      </c>
      <c r="I4741" s="8">
        <v>46122</v>
      </c>
      <c r="J4741" t="s">
        <v>2671</v>
      </c>
      <c r="K4741" t="s">
        <v>2672</v>
      </c>
      <c r="L4741" s="13">
        <v>3000</v>
      </c>
      <c r="M4741" t="s">
        <v>2661</v>
      </c>
    </row>
    <row r="4742" spans="1:13">
      <c r="A4742" t="s">
        <v>1941</v>
      </c>
      <c r="B4742" t="s">
        <v>53</v>
      </c>
      <c r="C4742" s="8">
        <v>46070</v>
      </c>
      <c r="D4742" t="s">
        <v>342</v>
      </c>
      <c r="E4742" t="s">
        <v>334</v>
      </c>
      <c r="F4742" s="12">
        <v>216037</v>
      </c>
      <c r="G4742" s="13">
        <v>21</v>
      </c>
      <c r="H4742" t="s">
        <v>3078</v>
      </c>
      <c r="I4742" s="8">
        <v>46177</v>
      </c>
      <c r="J4742" t="s">
        <v>2688</v>
      </c>
      <c r="K4742" t="s">
        <v>2689</v>
      </c>
      <c r="L4742" s="13">
        <v>8000</v>
      </c>
      <c r="M4742" t="s">
        <v>2676</v>
      </c>
    </row>
    <row r="4743" spans="1:13">
      <c r="A4743" t="s">
        <v>1941</v>
      </c>
      <c r="B4743" t="s">
        <v>53</v>
      </c>
      <c r="C4743" s="8">
        <v>46070</v>
      </c>
      <c r="D4743" t="s">
        <v>342</v>
      </c>
      <c r="E4743" t="s">
        <v>334</v>
      </c>
      <c r="F4743" s="12">
        <v>216037</v>
      </c>
      <c r="G4743" s="13">
        <v>21</v>
      </c>
      <c r="H4743" t="s">
        <v>3134</v>
      </c>
      <c r="I4743" s="8">
        <v>46053</v>
      </c>
      <c r="J4743" t="s">
        <v>2688</v>
      </c>
      <c r="K4743" t="s">
        <v>2689</v>
      </c>
      <c r="L4743" s="13">
        <v>8000</v>
      </c>
      <c r="M4743" t="s">
        <v>2676</v>
      </c>
    </row>
    <row r="4744" spans="1:13">
      <c r="A4744" t="s">
        <v>1941</v>
      </c>
      <c r="B4744" t="s">
        <v>53</v>
      </c>
      <c r="C4744" s="8">
        <v>46070</v>
      </c>
      <c r="D4744" t="s">
        <v>342</v>
      </c>
      <c r="E4744" t="s">
        <v>334</v>
      </c>
      <c r="F4744" s="12">
        <v>216037</v>
      </c>
      <c r="G4744" s="13">
        <v>21</v>
      </c>
      <c r="H4744" t="s">
        <v>3436</v>
      </c>
      <c r="I4744" s="8">
        <v>46002</v>
      </c>
      <c r="J4744" t="s">
        <v>2685</v>
      </c>
      <c r="K4744" t="s">
        <v>2686</v>
      </c>
      <c r="L4744" s="13">
        <v>5000</v>
      </c>
      <c r="M4744" t="s">
        <v>2676</v>
      </c>
    </row>
    <row r="4745" spans="1:13">
      <c r="A4745" t="s">
        <v>1942</v>
      </c>
      <c r="B4745" t="s">
        <v>118</v>
      </c>
      <c r="C4745" s="8">
        <v>45999</v>
      </c>
      <c r="D4745" t="s">
        <v>332</v>
      </c>
      <c r="E4745" t="s">
        <v>322</v>
      </c>
      <c r="F4745" s="12">
        <v>203140</v>
      </c>
      <c r="G4745" s="13">
        <v>20</v>
      </c>
      <c r="H4745" t="s">
        <v>2709</v>
      </c>
      <c r="I4745" s="8">
        <v>46119</v>
      </c>
      <c r="J4745" t="s">
        <v>2685</v>
      </c>
      <c r="K4745" t="s">
        <v>2686</v>
      </c>
      <c r="L4745" s="13">
        <v>5000</v>
      </c>
      <c r="M4745" t="s">
        <v>2661</v>
      </c>
    </row>
    <row r="4746" spans="1:13">
      <c r="A4746" t="s">
        <v>1942</v>
      </c>
      <c r="B4746" t="s">
        <v>118</v>
      </c>
      <c r="C4746" s="8">
        <v>45999</v>
      </c>
      <c r="D4746" t="s">
        <v>332</v>
      </c>
      <c r="E4746" t="s">
        <v>322</v>
      </c>
      <c r="F4746" s="12">
        <v>203140</v>
      </c>
      <c r="G4746" s="13">
        <v>20</v>
      </c>
      <c r="H4746" t="s">
        <v>2853</v>
      </c>
      <c r="I4746" s="8">
        <v>46269</v>
      </c>
      <c r="J4746" t="s">
        <v>2688</v>
      </c>
      <c r="K4746" t="s">
        <v>2689</v>
      </c>
      <c r="L4746" s="13">
        <v>8000</v>
      </c>
      <c r="M4746" t="s">
        <v>2661</v>
      </c>
    </row>
    <row r="4747" spans="1:13">
      <c r="A4747" t="s">
        <v>1942</v>
      </c>
      <c r="B4747" t="s">
        <v>118</v>
      </c>
      <c r="C4747" s="8">
        <v>45999</v>
      </c>
      <c r="D4747" t="s">
        <v>332</v>
      </c>
      <c r="E4747" t="s">
        <v>322</v>
      </c>
      <c r="F4747" s="12">
        <v>203140</v>
      </c>
      <c r="G4747" s="13">
        <v>20</v>
      </c>
      <c r="H4747" t="s">
        <v>2932</v>
      </c>
      <c r="I4747" s="8">
        <v>45982</v>
      </c>
      <c r="J4747" t="s">
        <v>2685</v>
      </c>
      <c r="K4747" t="s">
        <v>2686</v>
      </c>
      <c r="L4747" s="13">
        <v>5000</v>
      </c>
      <c r="M4747" t="s">
        <v>2661</v>
      </c>
    </row>
    <row r="4748" spans="1:13">
      <c r="A4748" t="s">
        <v>1942</v>
      </c>
      <c r="B4748" t="s">
        <v>118</v>
      </c>
      <c r="C4748" s="8">
        <v>45999</v>
      </c>
      <c r="D4748" t="s">
        <v>332</v>
      </c>
      <c r="E4748" t="s">
        <v>322</v>
      </c>
      <c r="F4748" s="12">
        <v>203140</v>
      </c>
      <c r="G4748" s="13">
        <v>20</v>
      </c>
      <c r="H4748" t="s">
        <v>3562</v>
      </c>
      <c r="I4748" s="8">
        <v>46251</v>
      </c>
      <c r="J4748" t="s">
        <v>2692</v>
      </c>
      <c r="K4748" t="s">
        <v>2693</v>
      </c>
      <c r="L4748" s="13">
        <v>10000</v>
      </c>
      <c r="M4748" t="s">
        <v>2661</v>
      </c>
    </row>
    <row r="4749" spans="1:13">
      <c r="A4749" t="s">
        <v>1943</v>
      </c>
      <c r="B4749" t="s">
        <v>62</v>
      </c>
      <c r="C4749" s="8">
        <v>46281</v>
      </c>
      <c r="D4749" t="s">
        <v>332</v>
      </c>
      <c r="E4749" t="s">
        <v>334</v>
      </c>
      <c r="F4749" s="12">
        <v>493161</v>
      </c>
      <c r="G4749" s="13">
        <v>49</v>
      </c>
      <c r="H4749" t="s">
        <v>2679</v>
      </c>
      <c r="I4749" s="8">
        <v>46195</v>
      </c>
      <c r="J4749" t="s">
        <v>2674</v>
      </c>
      <c r="K4749" t="s">
        <v>2675</v>
      </c>
      <c r="L4749" s="13">
        <v>20000</v>
      </c>
      <c r="M4749" t="s">
        <v>2661</v>
      </c>
    </row>
    <row r="4750" spans="1:13">
      <c r="A4750" t="s">
        <v>1943</v>
      </c>
      <c r="B4750" t="s">
        <v>62</v>
      </c>
      <c r="C4750" s="8">
        <v>46281</v>
      </c>
      <c r="D4750" t="s">
        <v>332</v>
      </c>
      <c r="E4750" t="s">
        <v>334</v>
      </c>
      <c r="F4750" s="12">
        <v>493161</v>
      </c>
      <c r="G4750" s="13">
        <v>49</v>
      </c>
      <c r="H4750" t="s">
        <v>2793</v>
      </c>
      <c r="I4750" s="8">
        <v>46233</v>
      </c>
      <c r="J4750" t="s">
        <v>2663</v>
      </c>
      <c r="K4750" t="s">
        <v>3630</v>
      </c>
      <c r="L4750" s="13">
        <v>1500</v>
      </c>
      <c r="M4750" t="s">
        <v>2661</v>
      </c>
    </row>
    <row r="4751" spans="1:13">
      <c r="A4751" t="s">
        <v>1943</v>
      </c>
      <c r="B4751" t="s">
        <v>62</v>
      </c>
      <c r="C4751" s="8">
        <v>46281</v>
      </c>
      <c r="D4751" t="s">
        <v>332</v>
      </c>
      <c r="E4751" t="s">
        <v>334</v>
      </c>
      <c r="F4751" s="12">
        <v>493161</v>
      </c>
      <c r="G4751" s="13">
        <v>49</v>
      </c>
      <c r="H4751" t="s">
        <v>2794</v>
      </c>
      <c r="I4751" s="8">
        <v>46096</v>
      </c>
      <c r="J4751" t="s">
        <v>2659</v>
      </c>
      <c r="K4751" t="s">
        <v>2660</v>
      </c>
      <c r="L4751" s="13">
        <v>3500</v>
      </c>
      <c r="M4751" t="s">
        <v>2661</v>
      </c>
    </row>
    <row r="4752" spans="1:13">
      <c r="A4752" t="s">
        <v>1943</v>
      </c>
      <c r="B4752" t="s">
        <v>62</v>
      </c>
      <c r="C4752" s="8">
        <v>46281</v>
      </c>
      <c r="D4752" t="s">
        <v>332</v>
      </c>
      <c r="E4752" t="s">
        <v>334</v>
      </c>
      <c r="F4752" s="12">
        <v>493161</v>
      </c>
      <c r="G4752" s="13">
        <v>49</v>
      </c>
      <c r="H4752" t="s">
        <v>2804</v>
      </c>
      <c r="I4752" s="8">
        <v>46260</v>
      </c>
      <c r="J4752" t="s">
        <v>2659</v>
      </c>
      <c r="K4752" t="s">
        <v>2660</v>
      </c>
      <c r="L4752" s="13">
        <v>3500</v>
      </c>
      <c r="M4752" t="s">
        <v>2661</v>
      </c>
    </row>
    <row r="4753" spans="1:13">
      <c r="A4753" t="s">
        <v>1943</v>
      </c>
      <c r="B4753" t="s">
        <v>62</v>
      </c>
      <c r="C4753" s="8">
        <v>46281</v>
      </c>
      <c r="D4753" t="s">
        <v>332</v>
      </c>
      <c r="E4753" t="s">
        <v>334</v>
      </c>
      <c r="F4753" s="12">
        <v>493161</v>
      </c>
      <c r="G4753" s="13">
        <v>49</v>
      </c>
      <c r="H4753" t="s">
        <v>2885</v>
      </c>
      <c r="I4753" s="8">
        <v>46085</v>
      </c>
      <c r="J4753" t="s">
        <v>2692</v>
      </c>
      <c r="K4753" t="s">
        <v>2693</v>
      </c>
      <c r="L4753" s="13">
        <v>10000</v>
      </c>
      <c r="M4753" t="s">
        <v>2661</v>
      </c>
    </row>
    <row r="4754" spans="1:13">
      <c r="A4754" t="s">
        <v>1943</v>
      </c>
      <c r="B4754" t="s">
        <v>62</v>
      </c>
      <c r="C4754" s="8">
        <v>46281</v>
      </c>
      <c r="D4754" t="s">
        <v>332</v>
      </c>
      <c r="E4754" t="s">
        <v>334</v>
      </c>
      <c r="F4754" s="12">
        <v>493161</v>
      </c>
      <c r="G4754" s="13">
        <v>49</v>
      </c>
      <c r="H4754" t="s">
        <v>3000</v>
      </c>
      <c r="I4754" s="8">
        <v>46247</v>
      </c>
      <c r="J4754" t="s">
        <v>2692</v>
      </c>
      <c r="K4754" t="s">
        <v>2693</v>
      </c>
      <c r="L4754" s="13">
        <v>10000</v>
      </c>
      <c r="M4754" t="s">
        <v>2661</v>
      </c>
    </row>
    <row r="4755" spans="1:13">
      <c r="A4755" t="s">
        <v>1943</v>
      </c>
      <c r="B4755" t="s">
        <v>62</v>
      </c>
      <c r="C4755" s="8">
        <v>46281</v>
      </c>
      <c r="D4755" t="s">
        <v>332</v>
      </c>
      <c r="E4755" t="s">
        <v>334</v>
      </c>
      <c r="F4755" s="12">
        <v>493161</v>
      </c>
      <c r="G4755" s="13">
        <v>49</v>
      </c>
      <c r="H4755" t="s">
        <v>3197</v>
      </c>
      <c r="I4755" s="8">
        <v>46129</v>
      </c>
      <c r="J4755" t="s">
        <v>2671</v>
      </c>
      <c r="K4755" t="s">
        <v>2672</v>
      </c>
      <c r="L4755" s="13">
        <v>3000</v>
      </c>
      <c r="M4755" t="s">
        <v>2661</v>
      </c>
    </row>
    <row r="4756" spans="1:13">
      <c r="A4756" t="s">
        <v>1944</v>
      </c>
      <c r="B4756" t="s">
        <v>271</v>
      </c>
      <c r="C4756" s="8">
        <v>46036</v>
      </c>
      <c r="D4756" t="s">
        <v>350</v>
      </c>
      <c r="E4756" t="s">
        <v>337</v>
      </c>
      <c r="F4756" s="12">
        <v>226797</v>
      </c>
      <c r="G4756" s="13">
        <v>22</v>
      </c>
      <c r="H4756" t="s">
        <v>2917</v>
      </c>
      <c r="I4756" s="8">
        <v>46171</v>
      </c>
      <c r="J4756" t="s">
        <v>2671</v>
      </c>
      <c r="K4756" t="s">
        <v>2672</v>
      </c>
      <c r="L4756" s="13">
        <v>3000</v>
      </c>
      <c r="M4756" t="s">
        <v>2661</v>
      </c>
    </row>
    <row r="4757" spans="1:13">
      <c r="A4757" t="s">
        <v>1944</v>
      </c>
      <c r="B4757" t="s">
        <v>271</v>
      </c>
      <c r="C4757" s="8">
        <v>46036</v>
      </c>
      <c r="D4757" t="s">
        <v>350</v>
      </c>
      <c r="E4757" t="s">
        <v>337</v>
      </c>
      <c r="F4757" s="12">
        <v>226797</v>
      </c>
      <c r="G4757" s="13">
        <v>22</v>
      </c>
      <c r="H4757" t="s">
        <v>3330</v>
      </c>
      <c r="I4757" s="8">
        <v>46114</v>
      </c>
      <c r="J4757" t="s">
        <v>2685</v>
      </c>
      <c r="K4757" t="s">
        <v>2686</v>
      </c>
      <c r="L4757" s="13">
        <v>5000</v>
      </c>
      <c r="M4757" t="s">
        <v>2661</v>
      </c>
    </row>
    <row r="4758" spans="1:13">
      <c r="A4758" t="s">
        <v>1945</v>
      </c>
      <c r="B4758" t="s">
        <v>214</v>
      </c>
      <c r="C4758" s="8">
        <v>45967</v>
      </c>
      <c r="D4758" t="s">
        <v>324</v>
      </c>
      <c r="E4758" t="s">
        <v>322</v>
      </c>
      <c r="F4758" s="12">
        <v>153160</v>
      </c>
      <c r="G4758" s="13">
        <v>15</v>
      </c>
      <c r="H4758" t="s">
        <v>2664</v>
      </c>
      <c r="I4758" s="8">
        <v>46259</v>
      </c>
      <c r="J4758" t="s">
        <v>2665</v>
      </c>
      <c r="K4758" t="s">
        <v>2666</v>
      </c>
      <c r="L4758" s="13">
        <v>2500</v>
      </c>
      <c r="M4758" t="s">
        <v>2661</v>
      </c>
    </row>
    <row r="4759" spans="1:13">
      <c r="A4759" t="s">
        <v>1945</v>
      </c>
      <c r="B4759" t="s">
        <v>214</v>
      </c>
      <c r="C4759" s="8">
        <v>45967</v>
      </c>
      <c r="D4759" t="s">
        <v>324</v>
      </c>
      <c r="E4759" t="s">
        <v>322</v>
      </c>
      <c r="F4759" s="12">
        <v>153160</v>
      </c>
      <c r="G4759" s="13">
        <v>15</v>
      </c>
      <c r="H4759" t="s">
        <v>3137</v>
      </c>
      <c r="I4759" s="8">
        <v>46189</v>
      </c>
      <c r="J4759" t="s">
        <v>2685</v>
      </c>
      <c r="K4759" t="s">
        <v>2686</v>
      </c>
      <c r="L4759" s="13">
        <v>5000</v>
      </c>
      <c r="M4759" t="s">
        <v>2661</v>
      </c>
    </row>
    <row r="4760" spans="1:13">
      <c r="A4760" t="s">
        <v>1945</v>
      </c>
      <c r="B4760" t="s">
        <v>214</v>
      </c>
      <c r="C4760" s="8">
        <v>45967</v>
      </c>
      <c r="D4760" t="s">
        <v>324</v>
      </c>
      <c r="E4760" t="s">
        <v>322</v>
      </c>
      <c r="F4760" s="12">
        <v>153160</v>
      </c>
      <c r="G4760" s="13">
        <v>15</v>
      </c>
      <c r="H4760" t="s">
        <v>3302</v>
      </c>
      <c r="I4760" s="8">
        <v>46119</v>
      </c>
      <c r="J4760" t="s">
        <v>2659</v>
      </c>
      <c r="K4760" t="s">
        <v>2660</v>
      </c>
      <c r="L4760" s="13">
        <v>3500</v>
      </c>
      <c r="M4760" t="s">
        <v>2661</v>
      </c>
    </row>
    <row r="4761" spans="1:13">
      <c r="A4761" t="s">
        <v>1945</v>
      </c>
      <c r="B4761" t="s">
        <v>214</v>
      </c>
      <c r="C4761" s="8">
        <v>45967</v>
      </c>
      <c r="D4761" t="s">
        <v>324</v>
      </c>
      <c r="E4761" t="s">
        <v>322</v>
      </c>
      <c r="F4761" s="12">
        <v>153160</v>
      </c>
      <c r="G4761" s="13">
        <v>15</v>
      </c>
      <c r="H4761" t="s">
        <v>3564</v>
      </c>
      <c r="I4761" s="8">
        <v>46208</v>
      </c>
      <c r="J4761" t="s">
        <v>2674</v>
      </c>
      <c r="K4761" t="s">
        <v>2675</v>
      </c>
      <c r="L4761" s="13">
        <v>20000</v>
      </c>
      <c r="M4761" t="s">
        <v>2661</v>
      </c>
    </row>
    <row r="4762" spans="1:13">
      <c r="A4762" t="s">
        <v>1946</v>
      </c>
      <c r="B4762" t="s">
        <v>135</v>
      </c>
      <c r="C4762" s="8">
        <v>45965</v>
      </c>
      <c r="D4762" t="s">
        <v>342</v>
      </c>
      <c r="E4762" t="s">
        <v>325</v>
      </c>
      <c r="F4762" s="12">
        <v>390717</v>
      </c>
      <c r="G4762" s="13">
        <v>39</v>
      </c>
      <c r="H4762" t="s">
        <v>2922</v>
      </c>
      <c r="I4762" s="8">
        <v>45998</v>
      </c>
      <c r="J4762" t="s">
        <v>2682</v>
      </c>
      <c r="K4762" t="s">
        <v>2683</v>
      </c>
      <c r="L4762" s="13">
        <v>6000</v>
      </c>
      <c r="M4762" t="s">
        <v>2661</v>
      </c>
    </row>
    <row r="4763" spans="1:13">
      <c r="A4763" t="s">
        <v>1946</v>
      </c>
      <c r="B4763" t="s">
        <v>135</v>
      </c>
      <c r="C4763" s="8">
        <v>45965</v>
      </c>
      <c r="D4763" t="s">
        <v>342</v>
      </c>
      <c r="E4763" t="s">
        <v>325</v>
      </c>
      <c r="F4763" s="12">
        <v>390717</v>
      </c>
      <c r="G4763" s="13">
        <v>39</v>
      </c>
      <c r="H4763" t="s">
        <v>3053</v>
      </c>
      <c r="I4763" s="8">
        <v>46165</v>
      </c>
      <c r="J4763" t="s">
        <v>2692</v>
      </c>
      <c r="K4763" t="s">
        <v>2693</v>
      </c>
      <c r="L4763" s="13">
        <v>10000</v>
      </c>
      <c r="M4763" t="s">
        <v>2661</v>
      </c>
    </row>
    <row r="4764" spans="1:13">
      <c r="A4764" t="s">
        <v>1946</v>
      </c>
      <c r="B4764" t="s">
        <v>135</v>
      </c>
      <c r="C4764" s="8">
        <v>45965</v>
      </c>
      <c r="D4764" t="s">
        <v>342</v>
      </c>
      <c r="E4764" t="s">
        <v>325</v>
      </c>
      <c r="F4764" s="12">
        <v>390717</v>
      </c>
      <c r="G4764" s="13">
        <v>39</v>
      </c>
      <c r="H4764" t="s">
        <v>3118</v>
      </c>
      <c r="I4764" s="8">
        <v>45989</v>
      </c>
      <c r="J4764" t="s">
        <v>2692</v>
      </c>
      <c r="K4764" t="s">
        <v>2693</v>
      </c>
      <c r="L4764" s="13">
        <v>10000</v>
      </c>
      <c r="M4764" t="s">
        <v>2661</v>
      </c>
    </row>
    <row r="4765" spans="1:13">
      <c r="A4765" t="s">
        <v>1946</v>
      </c>
      <c r="B4765" t="s">
        <v>135</v>
      </c>
      <c r="C4765" s="8">
        <v>45965</v>
      </c>
      <c r="D4765" t="s">
        <v>342</v>
      </c>
      <c r="E4765" t="s">
        <v>325</v>
      </c>
      <c r="F4765" s="12">
        <v>390717</v>
      </c>
      <c r="G4765" s="13">
        <v>39</v>
      </c>
      <c r="H4765" t="s">
        <v>3262</v>
      </c>
      <c r="I4765" s="8">
        <v>46091</v>
      </c>
      <c r="J4765" t="s">
        <v>2682</v>
      </c>
      <c r="K4765" t="s">
        <v>2683</v>
      </c>
      <c r="L4765" s="13">
        <v>6000</v>
      </c>
      <c r="M4765" t="s">
        <v>2661</v>
      </c>
    </row>
    <row r="4766" spans="1:13">
      <c r="A4766" t="s">
        <v>1947</v>
      </c>
      <c r="B4766" t="s">
        <v>275</v>
      </c>
      <c r="C4766" s="8">
        <v>46122</v>
      </c>
      <c r="D4766" t="s">
        <v>350</v>
      </c>
      <c r="E4766" t="s">
        <v>325</v>
      </c>
      <c r="F4766" s="12">
        <v>92019</v>
      </c>
      <c r="G4766" s="13">
        <v>9</v>
      </c>
      <c r="H4766" t="s">
        <v>2769</v>
      </c>
      <c r="I4766" s="8">
        <v>45949</v>
      </c>
      <c r="J4766" t="s">
        <v>2659</v>
      </c>
      <c r="K4766" t="s">
        <v>2660</v>
      </c>
      <c r="L4766" s="13">
        <v>3500</v>
      </c>
      <c r="M4766" t="s">
        <v>2661</v>
      </c>
    </row>
    <row r="4767" spans="1:13">
      <c r="A4767" t="s">
        <v>1947</v>
      </c>
      <c r="B4767" t="s">
        <v>275</v>
      </c>
      <c r="C4767" s="8">
        <v>46122</v>
      </c>
      <c r="D4767" t="s">
        <v>350</v>
      </c>
      <c r="E4767" t="s">
        <v>325</v>
      </c>
      <c r="F4767" s="12">
        <v>92019</v>
      </c>
      <c r="G4767" s="13">
        <v>9</v>
      </c>
      <c r="H4767" t="s">
        <v>2812</v>
      </c>
      <c r="I4767" s="8">
        <v>46037</v>
      </c>
      <c r="J4767" t="s">
        <v>2671</v>
      </c>
      <c r="K4767" t="s">
        <v>2672</v>
      </c>
      <c r="L4767" s="13">
        <v>3000</v>
      </c>
      <c r="M4767" t="s">
        <v>2661</v>
      </c>
    </row>
    <row r="4768" spans="1:13">
      <c r="A4768" t="s">
        <v>1947</v>
      </c>
      <c r="B4768" t="s">
        <v>275</v>
      </c>
      <c r="C4768" s="8">
        <v>46122</v>
      </c>
      <c r="D4768" t="s">
        <v>350</v>
      </c>
      <c r="E4768" t="s">
        <v>325</v>
      </c>
      <c r="F4768" s="12">
        <v>92019</v>
      </c>
      <c r="G4768" s="13">
        <v>9</v>
      </c>
      <c r="H4768" t="s">
        <v>2988</v>
      </c>
      <c r="I4768" s="8">
        <v>45949</v>
      </c>
      <c r="J4768" t="s">
        <v>2692</v>
      </c>
      <c r="K4768" t="s">
        <v>2693</v>
      </c>
      <c r="L4768" s="13">
        <v>10000</v>
      </c>
      <c r="M4768" t="s">
        <v>2661</v>
      </c>
    </row>
    <row r="4769" spans="1:13">
      <c r="A4769" t="s">
        <v>1947</v>
      </c>
      <c r="B4769" t="s">
        <v>275</v>
      </c>
      <c r="C4769" s="8">
        <v>46122</v>
      </c>
      <c r="D4769" t="s">
        <v>350</v>
      </c>
      <c r="E4769" t="s">
        <v>325</v>
      </c>
      <c r="F4769" s="12">
        <v>92019</v>
      </c>
      <c r="G4769" s="13">
        <v>9</v>
      </c>
      <c r="H4769" t="s">
        <v>3251</v>
      </c>
      <c r="I4769" s="8">
        <v>46059</v>
      </c>
      <c r="J4769" t="s">
        <v>2685</v>
      </c>
      <c r="K4769" t="s">
        <v>2686</v>
      </c>
      <c r="L4769" s="13">
        <v>5000</v>
      </c>
      <c r="M4769" t="s">
        <v>2661</v>
      </c>
    </row>
    <row r="4770" spans="1:13">
      <c r="A4770" t="s">
        <v>1947</v>
      </c>
      <c r="B4770" t="s">
        <v>275</v>
      </c>
      <c r="C4770" s="8">
        <v>46122</v>
      </c>
      <c r="D4770" t="s">
        <v>350</v>
      </c>
      <c r="E4770" t="s">
        <v>325</v>
      </c>
      <c r="F4770" s="12">
        <v>92019</v>
      </c>
      <c r="G4770" s="13">
        <v>9</v>
      </c>
      <c r="H4770" t="s">
        <v>3366</v>
      </c>
      <c r="I4770" s="8">
        <v>46230</v>
      </c>
      <c r="J4770" t="s">
        <v>2671</v>
      </c>
      <c r="K4770" t="s">
        <v>2672</v>
      </c>
      <c r="L4770" s="13">
        <v>3000</v>
      </c>
      <c r="M4770" t="s">
        <v>2661</v>
      </c>
    </row>
    <row r="4771" spans="1:13">
      <c r="A4771" t="s">
        <v>1948</v>
      </c>
      <c r="B4771" t="s">
        <v>39</v>
      </c>
      <c r="C4771" s="8">
        <v>46254</v>
      </c>
      <c r="D4771" t="s">
        <v>324</v>
      </c>
      <c r="E4771" t="s">
        <v>334</v>
      </c>
      <c r="F4771" s="12">
        <v>334429</v>
      </c>
      <c r="G4771" s="13">
        <v>33</v>
      </c>
      <c r="H4771" t="s">
        <v>2837</v>
      </c>
      <c r="I4771" s="8">
        <v>45971</v>
      </c>
      <c r="J4771" t="s">
        <v>2668</v>
      </c>
      <c r="K4771" t="s">
        <v>2669</v>
      </c>
      <c r="L4771" s="13">
        <v>4000</v>
      </c>
      <c r="M4771" t="s">
        <v>2661</v>
      </c>
    </row>
    <row r="4772" spans="1:13">
      <c r="A4772" t="s">
        <v>1948</v>
      </c>
      <c r="B4772" t="s">
        <v>39</v>
      </c>
      <c r="C4772" s="8">
        <v>46254</v>
      </c>
      <c r="D4772" t="s">
        <v>324</v>
      </c>
      <c r="E4772" t="s">
        <v>334</v>
      </c>
      <c r="F4772" s="12">
        <v>334429</v>
      </c>
      <c r="G4772" s="13">
        <v>33</v>
      </c>
      <c r="H4772" t="s">
        <v>3308</v>
      </c>
      <c r="I4772" s="8">
        <v>46107</v>
      </c>
      <c r="J4772" t="s">
        <v>2692</v>
      </c>
      <c r="K4772" t="s">
        <v>2693</v>
      </c>
      <c r="L4772" s="13">
        <v>10000</v>
      </c>
      <c r="M4772" t="s">
        <v>2661</v>
      </c>
    </row>
    <row r="4773" spans="1:13">
      <c r="A4773" t="s">
        <v>1949</v>
      </c>
      <c r="B4773" t="s">
        <v>118</v>
      </c>
      <c r="C4773" s="8">
        <v>45934</v>
      </c>
      <c r="D4773" t="s">
        <v>332</v>
      </c>
      <c r="E4773" t="s">
        <v>322</v>
      </c>
      <c r="F4773" s="12">
        <v>450673</v>
      </c>
      <c r="G4773" s="13">
        <v>45</v>
      </c>
      <c r="H4773" t="s">
        <v>2709</v>
      </c>
      <c r="I4773" s="8">
        <v>46119</v>
      </c>
      <c r="J4773" t="s">
        <v>2685</v>
      </c>
      <c r="K4773" t="s">
        <v>2686</v>
      </c>
      <c r="L4773" s="13">
        <v>5000</v>
      </c>
      <c r="M4773" t="s">
        <v>2661</v>
      </c>
    </row>
    <row r="4774" spans="1:13">
      <c r="A4774" t="s">
        <v>1949</v>
      </c>
      <c r="B4774" t="s">
        <v>118</v>
      </c>
      <c r="C4774" s="8">
        <v>45934</v>
      </c>
      <c r="D4774" t="s">
        <v>332</v>
      </c>
      <c r="E4774" t="s">
        <v>322</v>
      </c>
      <c r="F4774" s="12">
        <v>450673</v>
      </c>
      <c r="G4774" s="13">
        <v>45</v>
      </c>
      <c r="H4774" t="s">
        <v>2853</v>
      </c>
      <c r="I4774" s="8">
        <v>46269</v>
      </c>
      <c r="J4774" t="s">
        <v>2688</v>
      </c>
      <c r="K4774" t="s">
        <v>2689</v>
      </c>
      <c r="L4774" s="13">
        <v>8000</v>
      </c>
      <c r="M4774" t="s">
        <v>2661</v>
      </c>
    </row>
    <row r="4775" spans="1:13">
      <c r="A4775" t="s">
        <v>1949</v>
      </c>
      <c r="B4775" t="s">
        <v>118</v>
      </c>
      <c r="C4775" s="8">
        <v>45934</v>
      </c>
      <c r="D4775" t="s">
        <v>332</v>
      </c>
      <c r="E4775" t="s">
        <v>322</v>
      </c>
      <c r="F4775" s="12">
        <v>450673</v>
      </c>
      <c r="G4775" s="13">
        <v>45</v>
      </c>
      <c r="H4775" t="s">
        <v>2932</v>
      </c>
      <c r="I4775" s="8">
        <v>45982</v>
      </c>
      <c r="J4775" t="s">
        <v>2685</v>
      </c>
      <c r="K4775" t="s">
        <v>2686</v>
      </c>
      <c r="L4775" s="13">
        <v>5000</v>
      </c>
      <c r="M4775" t="s">
        <v>2661</v>
      </c>
    </row>
    <row r="4776" spans="1:13">
      <c r="A4776" t="s">
        <v>1949</v>
      </c>
      <c r="B4776" t="s">
        <v>118</v>
      </c>
      <c r="C4776" s="8">
        <v>45934</v>
      </c>
      <c r="D4776" t="s">
        <v>332</v>
      </c>
      <c r="E4776" t="s">
        <v>322</v>
      </c>
      <c r="F4776" s="12">
        <v>450673</v>
      </c>
      <c r="G4776" s="13">
        <v>45</v>
      </c>
      <c r="H4776" t="s">
        <v>3562</v>
      </c>
      <c r="I4776" s="8">
        <v>46251</v>
      </c>
      <c r="J4776" t="s">
        <v>2692</v>
      </c>
      <c r="K4776" t="s">
        <v>2693</v>
      </c>
      <c r="L4776" s="13">
        <v>10000</v>
      </c>
      <c r="M4776" t="s">
        <v>2661</v>
      </c>
    </row>
    <row r="4777" spans="1:13">
      <c r="A4777" t="s">
        <v>1950</v>
      </c>
      <c r="B4777" t="s">
        <v>134</v>
      </c>
      <c r="C4777" s="8">
        <v>46065</v>
      </c>
      <c r="D4777" t="s">
        <v>330</v>
      </c>
      <c r="E4777" t="s">
        <v>334</v>
      </c>
      <c r="F4777" s="12">
        <v>360071</v>
      </c>
      <c r="G4777" s="13">
        <v>36</v>
      </c>
      <c r="H4777" t="s">
        <v>3183</v>
      </c>
      <c r="I4777" s="8">
        <v>46285</v>
      </c>
      <c r="J4777" t="s">
        <v>2663</v>
      </c>
      <c r="K4777" t="s">
        <v>3630</v>
      </c>
      <c r="L4777" s="13">
        <v>1500</v>
      </c>
      <c r="M4777" t="s">
        <v>2661</v>
      </c>
    </row>
    <row r="4778" spans="1:13">
      <c r="A4778" t="s">
        <v>1951</v>
      </c>
      <c r="B4778" t="s">
        <v>259</v>
      </c>
      <c r="C4778" s="8">
        <v>46103</v>
      </c>
      <c r="D4778" t="s">
        <v>350</v>
      </c>
      <c r="E4778" t="s">
        <v>334</v>
      </c>
      <c r="F4778" s="12">
        <v>459826</v>
      </c>
      <c r="G4778" s="13">
        <v>45</v>
      </c>
      <c r="H4778" t="s">
        <v>2802</v>
      </c>
      <c r="I4778" s="8">
        <v>46222</v>
      </c>
      <c r="J4778" t="s">
        <v>2668</v>
      </c>
      <c r="K4778" t="s">
        <v>2669</v>
      </c>
      <c r="L4778" s="13">
        <v>4000</v>
      </c>
      <c r="M4778" t="s">
        <v>2661</v>
      </c>
    </row>
    <row r="4779" spans="1:13">
      <c r="A4779" t="s">
        <v>1951</v>
      </c>
      <c r="B4779" t="s">
        <v>259</v>
      </c>
      <c r="C4779" s="8">
        <v>46103</v>
      </c>
      <c r="D4779" t="s">
        <v>350</v>
      </c>
      <c r="E4779" t="s">
        <v>334</v>
      </c>
      <c r="F4779" s="12">
        <v>459826</v>
      </c>
      <c r="G4779" s="13">
        <v>45</v>
      </c>
      <c r="H4779" t="s">
        <v>2933</v>
      </c>
      <c r="I4779" s="8">
        <v>46183</v>
      </c>
      <c r="J4779" t="s">
        <v>2674</v>
      </c>
      <c r="K4779" t="s">
        <v>2675</v>
      </c>
      <c r="L4779" s="13">
        <v>20000</v>
      </c>
      <c r="M4779" t="s">
        <v>2661</v>
      </c>
    </row>
    <row r="4780" spans="1:13">
      <c r="A4780" t="s">
        <v>1951</v>
      </c>
      <c r="B4780" t="s">
        <v>259</v>
      </c>
      <c r="C4780" s="8">
        <v>46103</v>
      </c>
      <c r="D4780" t="s">
        <v>350</v>
      </c>
      <c r="E4780" t="s">
        <v>334</v>
      </c>
      <c r="F4780" s="12">
        <v>459826</v>
      </c>
      <c r="G4780" s="13">
        <v>45</v>
      </c>
      <c r="H4780" t="s">
        <v>2969</v>
      </c>
      <c r="I4780" s="8">
        <v>46173</v>
      </c>
      <c r="J4780" t="s">
        <v>2668</v>
      </c>
      <c r="K4780" t="s">
        <v>2669</v>
      </c>
      <c r="L4780" s="13">
        <v>4000</v>
      </c>
      <c r="M4780" t="s">
        <v>2661</v>
      </c>
    </row>
    <row r="4781" spans="1:13">
      <c r="A4781" t="s">
        <v>1951</v>
      </c>
      <c r="B4781" t="s">
        <v>259</v>
      </c>
      <c r="C4781" s="8">
        <v>46103</v>
      </c>
      <c r="D4781" t="s">
        <v>350</v>
      </c>
      <c r="E4781" t="s">
        <v>334</v>
      </c>
      <c r="F4781" s="12">
        <v>459826</v>
      </c>
      <c r="G4781" s="13">
        <v>45</v>
      </c>
      <c r="H4781" t="s">
        <v>3300</v>
      </c>
      <c r="I4781" s="8">
        <v>46089</v>
      </c>
      <c r="J4781" t="s">
        <v>2688</v>
      </c>
      <c r="K4781" t="s">
        <v>2689</v>
      </c>
      <c r="L4781" s="13">
        <v>8000</v>
      </c>
      <c r="M4781" t="s">
        <v>2676</v>
      </c>
    </row>
    <row r="4782" spans="1:13">
      <c r="A4782" t="s">
        <v>1952</v>
      </c>
      <c r="B4782" t="s">
        <v>111</v>
      </c>
      <c r="C4782" s="8">
        <v>45944</v>
      </c>
      <c r="D4782" t="s">
        <v>324</v>
      </c>
      <c r="E4782" t="s">
        <v>328</v>
      </c>
      <c r="F4782" s="12">
        <v>53074</v>
      </c>
      <c r="G4782" s="13">
        <v>5</v>
      </c>
      <c r="H4782" t="s">
        <v>3231</v>
      </c>
      <c r="I4782" s="8">
        <v>46139</v>
      </c>
      <c r="J4782" t="s">
        <v>2668</v>
      </c>
      <c r="K4782" t="s">
        <v>2669</v>
      </c>
      <c r="L4782" s="13">
        <v>4000</v>
      </c>
      <c r="M4782" t="s">
        <v>2661</v>
      </c>
    </row>
    <row r="4783" spans="1:13">
      <c r="A4783" t="s">
        <v>1952</v>
      </c>
      <c r="B4783" t="s">
        <v>111</v>
      </c>
      <c r="C4783" s="8">
        <v>45944</v>
      </c>
      <c r="D4783" t="s">
        <v>324</v>
      </c>
      <c r="E4783" t="s">
        <v>328</v>
      </c>
      <c r="F4783" s="12">
        <v>53074</v>
      </c>
      <c r="G4783" s="13">
        <v>5</v>
      </c>
      <c r="H4783" t="s">
        <v>3411</v>
      </c>
      <c r="I4783" s="8">
        <v>45950</v>
      </c>
      <c r="J4783" t="s">
        <v>2659</v>
      </c>
      <c r="K4783" t="s">
        <v>2660</v>
      </c>
      <c r="L4783" s="13">
        <v>3500</v>
      </c>
      <c r="M4783" t="s">
        <v>2676</v>
      </c>
    </row>
    <row r="4784" spans="1:13">
      <c r="A4784" t="s">
        <v>1953</v>
      </c>
      <c r="B4784" t="s">
        <v>139</v>
      </c>
      <c r="C4784" s="8">
        <v>46021</v>
      </c>
      <c r="D4784" t="s">
        <v>321</v>
      </c>
      <c r="E4784" t="s">
        <v>339</v>
      </c>
      <c r="F4784" s="12">
        <v>33372</v>
      </c>
      <c r="G4784" s="13">
        <v>3</v>
      </c>
      <c r="H4784" t="s">
        <v>2789</v>
      </c>
      <c r="I4784" s="8">
        <v>46277</v>
      </c>
      <c r="J4784" t="s">
        <v>2688</v>
      </c>
      <c r="K4784" t="s">
        <v>2689</v>
      </c>
      <c r="L4784" s="13">
        <v>8000</v>
      </c>
      <c r="M4784" t="s">
        <v>2661</v>
      </c>
    </row>
    <row r="4785" spans="1:13">
      <c r="A4785" t="s">
        <v>1953</v>
      </c>
      <c r="B4785" t="s">
        <v>139</v>
      </c>
      <c r="C4785" s="8">
        <v>46021</v>
      </c>
      <c r="D4785" t="s">
        <v>321</v>
      </c>
      <c r="E4785" t="s">
        <v>339</v>
      </c>
      <c r="F4785" s="12">
        <v>33372</v>
      </c>
      <c r="G4785" s="13">
        <v>3</v>
      </c>
      <c r="H4785" t="s">
        <v>3190</v>
      </c>
      <c r="I4785" s="8">
        <v>46132</v>
      </c>
      <c r="J4785" t="s">
        <v>2685</v>
      </c>
      <c r="K4785" t="s">
        <v>2686</v>
      </c>
      <c r="L4785" s="13">
        <v>5000</v>
      </c>
      <c r="M4785" t="s">
        <v>2676</v>
      </c>
    </row>
    <row r="4786" spans="1:13">
      <c r="A4786" t="s">
        <v>1953</v>
      </c>
      <c r="B4786" t="s">
        <v>139</v>
      </c>
      <c r="C4786" s="8">
        <v>46021</v>
      </c>
      <c r="D4786" t="s">
        <v>321</v>
      </c>
      <c r="E4786" t="s">
        <v>339</v>
      </c>
      <c r="F4786" s="12">
        <v>33372</v>
      </c>
      <c r="G4786" s="13">
        <v>3</v>
      </c>
      <c r="H4786" t="s">
        <v>3216</v>
      </c>
      <c r="I4786" s="8">
        <v>46268</v>
      </c>
      <c r="J4786" t="s">
        <v>2668</v>
      </c>
      <c r="K4786" t="s">
        <v>2669</v>
      </c>
      <c r="L4786" s="13">
        <v>4000</v>
      </c>
      <c r="M4786" t="s">
        <v>2676</v>
      </c>
    </row>
    <row r="4787" spans="1:13">
      <c r="A4787" t="s">
        <v>1954</v>
      </c>
      <c r="B4787" t="s">
        <v>275</v>
      </c>
      <c r="C4787" s="8">
        <v>46044</v>
      </c>
      <c r="D4787" t="s">
        <v>350</v>
      </c>
      <c r="E4787" t="s">
        <v>339</v>
      </c>
      <c r="F4787" s="12">
        <v>225650</v>
      </c>
      <c r="G4787" s="13">
        <v>22</v>
      </c>
      <c r="H4787" t="s">
        <v>2769</v>
      </c>
      <c r="I4787" s="8">
        <v>45949</v>
      </c>
      <c r="J4787" t="s">
        <v>2659</v>
      </c>
      <c r="K4787" t="s">
        <v>2660</v>
      </c>
      <c r="L4787" s="13">
        <v>3500</v>
      </c>
      <c r="M4787" t="s">
        <v>2661</v>
      </c>
    </row>
    <row r="4788" spans="1:13">
      <c r="A4788" t="s">
        <v>1954</v>
      </c>
      <c r="B4788" t="s">
        <v>275</v>
      </c>
      <c r="C4788" s="8">
        <v>46044</v>
      </c>
      <c r="D4788" t="s">
        <v>350</v>
      </c>
      <c r="E4788" t="s">
        <v>339</v>
      </c>
      <c r="F4788" s="12">
        <v>225650</v>
      </c>
      <c r="G4788" s="13">
        <v>22</v>
      </c>
      <c r="H4788" t="s">
        <v>2812</v>
      </c>
      <c r="I4788" s="8">
        <v>46037</v>
      </c>
      <c r="J4788" t="s">
        <v>2671</v>
      </c>
      <c r="K4788" t="s">
        <v>2672</v>
      </c>
      <c r="L4788" s="13">
        <v>3000</v>
      </c>
      <c r="M4788" t="s">
        <v>2661</v>
      </c>
    </row>
    <row r="4789" spans="1:13">
      <c r="A4789" t="s">
        <v>1954</v>
      </c>
      <c r="B4789" t="s">
        <v>275</v>
      </c>
      <c r="C4789" s="8">
        <v>46044</v>
      </c>
      <c r="D4789" t="s">
        <v>350</v>
      </c>
      <c r="E4789" t="s">
        <v>339</v>
      </c>
      <c r="F4789" s="12">
        <v>225650</v>
      </c>
      <c r="G4789" s="13">
        <v>22</v>
      </c>
      <c r="H4789" t="s">
        <v>2988</v>
      </c>
      <c r="I4789" s="8">
        <v>45949</v>
      </c>
      <c r="J4789" t="s">
        <v>2692</v>
      </c>
      <c r="K4789" t="s">
        <v>2693</v>
      </c>
      <c r="L4789" s="13">
        <v>10000</v>
      </c>
      <c r="M4789" t="s">
        <v>2661</v>
      </c>
    </row>
    <row r="4790" spans="1:13">
      <c r="A4790" t="s">
        <v>1954</v>
      </c>
      <c r="B4790" t="s">
        <v>275</v>
      </c>
      <c r="C4790" s="8">
        <v>46044</v>
      </c>
      <c r="D4790" t="s">
        <v>350</v>
      </c>
      <c r="E4790" t="s">
        <v>339</v>
      </c>
      <c r="F4790" s="12">
        <v>225650</v>
      </c>
      <c r="G4790" s="13">
        <v>22</v>
      </c>
      <c r="H4790" t="s">
        <v>3251</v>
      </c>
      <c r="I4790" s="8">
        <v>46059</v>
      </c>
      <c r="J4790" t="s">
        <v>2685</v>
      </c>
      <c r="K4790" t="s">
        <v>2686</v>
      </c>
      <c r="L4790" s="13">
        <v>5000</v>
      </c>
      <c r="M4790" t="s">
        <v>2661</v>
      </c>
    </row>
    <row r="4791" spans="1:13">
      <c r="A4791" t="s">
        <v>1954</v>
      </c>
      <c r="B4791" t="s">
        <v>275</v>
      </c>
      <c r="C4791" s="8">
        <v>46044</v>
      </c>
      <c r="D4791" t="s">
        <v>350</v>
      </c>
      <c r="E4791" t="s">
        <v>339</v>
      </c>
      <c r="F4791" s="12">
        <v>225650</v>
      </c>
      <c r="G4791" s="13">
        <v>22</v>
      </c>
      <c r="H4791" t="s">
        <v>3366</v>
      </c>
      <c r="I4791" s="8">
        <v>46230</v>
      </c>
      <c r="J4791" t="s">
        <v>2671</v>
      </c>
      <c r="K4791" t="s">
        <v>2672</v>
      </c>
      <c r="L4791" s="13">
        <v>3000</v>
      </c>
      <c r="M4791" t="s">
        <v>2661</v>
      </c>
    </row>
    <row r="4792" spans="1:13">
      <c r="A4792" t="s">
        <v>1955</v>
      </c>
      <c r="B4792" t="s">
        <v>156</v>
      </c>
      <c r="C4792" s="8">
        <v>46112</v>
      </c>
      <c r="D4792" t="s">
        <v>324</v>
      </c>
      <c r="E4792" t="s">
        <v>339</v>
      </c>
      <c r="F4792" s="12">
        <v>290539</v>
      </c>
      <c r="G4792" s="13">
        <v>29</v>
      </c>
      <c r="H4792" t="s">
        <v>3301</v>
      </c>
      <c r="I4792" s="8">
        <v>46106</v>
      </c>
      <c r="J4792" t="s">
        <v>2674</v>
      </c>
      <c r="K4792" t="s">
        <v>2675</v>
      </c>
      <c r="L4792" s="13">
        <v>20000</v>
      </c>
      <c r="M4792" t="s">
        <v>2661</v>
      </c>
    </row>
    <row r="4793" spans="1:13">
      <c r="A4793" t="s">
        <v>1955</v>
      </c>
      <c r="B4793" t="s">
        <v>156</v>
      </c>
      <c r="C4793" s="8">
        <v>46112</v>
      </c>
      <c r="D4793" t="s">
        <v>324</v>
      </c>
      <c r="E4793" t="s">
        <v>339</v>
      </c>
      <c r="F4793" s="12">
        <v>290539</v>
      </c>
      <c r="G4793" s="13">
        <v>29</v>
      </c>
      <c r="H4793" t="s">
        <v>3309</v>
      </c>
      <c r="I4793" s="8">
        <v>46033</v>
      </c>
      <c r="J4793" t="s">
        <v>2692</v>
      </c>
      <c r="K4793" t="s">
        <v>2693</v>
      </c>
      <c r="L4793" s="13">
        <v>10000</v>
      </c>
      <c r="M4793" t="s">
        <v>2661</v>
      </c>
    </row>
    <row r="4794" spans="1:13">
      <c r="A4794" t="s">
        <v>1956</v>
      </c>
      <c r="B4794" t="s">
        <v>15</v>
      </c>
      <c r="C4794" s="8">
        <v>46098</v>
      </c>
      <c r="D4794" t="s">
        <v>332</v>
      </c>
      <c r="E4794" t="s">
        <v>328</v>
      </c>
      <c r="F4794" s="12">
        <v>169427</v>
      </c>
      <c r="G4794" s="13">
        <v>16</v>
      </c>
      <c r="H4794" t="s">
        <v>2759</v>
      </c>
      <c r="I4794" s="8">
        <v>46075</v>
      </c>
      <c r="J4794" t="s">
        <v>2668</v>
      </c>
      <c r="K4794" t="s">
        <v>2669</v>
      </c>
      <c r="L4794" s="13">
        <v>4000</v>
      </c>
      <c r="M4794" t="s">
        <v>2661</v>
      </c>
    </row>
    <row r="4795" spans="1:13">
      <c r="A4795" t="s">
        <v>1956</v>
      </c>
      <c r="B4795" t="s">
        <v>15</v>
      </c>
      <c r="C4795" s="8">
        <v>46098</v>
      </c>
      <c r="D4795" t="s">
        <v>332</v>
      </c>
      <c r="E4795" t="s">
        <v>328</v>
      </c>
      <c r="F4795" s="12">
        <v>169427</v>
      </c>
      <c r="G4795" s="13">
        <v>16</v>
      </c>
      <c r="H4795" t="s">
        <v>2950</v>
      </c>
      <c r="I4795" s="8">
        <v>46240</v>
      </c>
      <c r="J4795" t="s">
        <v>2671</v>
      </c>
      <c r="K4795" t="s">
        <v>2672</v>
      </c>
      <c r="L4795" s="13">
        <v>3000</v>
      </c>
      <c r="M4795" t="s">
        <v>2661</v>
      </c>
    </row>
    <row r="4796" spans="1:13">
      <c r="A4796" t="s">
        <v>1957</v>
      </c>
      <c r="B4796" t="s">
        <v>227</v>
      </c>
      <c r="C4796" s="8">
        <v>46288</v>
      </c>
      <c r="D4796" t="s">
        <v>344</v>
      </c>
      <c r="E4796" t="s">
        <v>325</v>
      </c>
      <c r="F4796" s="12">
        <v>135893</v>
      </c>
      <c r="G4796" s="13">
        <v>13</v>
      </c>
      <c r="H4796" t="s">
        <v>3182</v>
      </c>
      <c r="I4796" s="8">
        <v>46099</v>
      </c>
      <c r="J4796" t="s">
        <v>2663</v>
      </c>
      <c r="K4796" t="s">
        <v>3630</v>
      </c>
      <c r="L4796" s="13">
        <v>1500</v>
      </c>
      <c r="M4796" t="s">
        <v>2661</v>
      </c>
    </row>
    <row r="4797" spans="1:13">
      <c r="A4797" t="s">
        <v>1957</v>
      </c>
      <c r="B4797" t="s">
        <v>227</v>
      </c>
      <c r="C4797" s="8">
        <v>46288</v>
      </c>
      <c r="D4797" t="s">
        <v>344</v>
      </c>
      <c r="E4797" t="s">
        <v>325</v>
      </c>
      <c r="F4797" s="12">
        <v>135893</v>
      </c>
      <c r="G4797" s="13">
        <v>13</v>
      </c>
      <c r="H4797" t="s">
        <v>3238</v>
      </c>
      <c r="I4797" s="8">
        <v>46160</v>
      </c>
      <c r="J4797" t="s">
        <v>2663</v>
      </c>
      <c r="K4797" t="s">
        <v>3630</v>
      </c>
      <c r="L4797" s="13">
        <v>1500</v>
      </c>
      <c r="M4797" t="s">
        <v>2661</v>
      </c>
    </row>
    <row r="4798" spans="1:13">
      <c r="A4798" t="s">
        <v>1957</v>
      </c>
      <c r="B4798" t="s">
        <v>227</v>
      </c>
      <c r="C4798" s="8">
        <v>46288</v>
      </c>
      <c r="D4798" t="s">
        <v>344</v>
      </c>
      <c r="E4798" t="s">
        <v>325</v>
      </c>
      <c r="F4798" s="12">
        <v>135893</v>
      </c>
      <c r="G4798" s="13">
        <v>13</v>
      </c>
      <c r="H4798" t="s">
        <v>3536</v>
      </c>
      <c r="I4798" s="8">
        <v>46277</v>
      </c>
      <c r="J4798" t="s">
        <v>2692</v>
      </c>
      <c r="K4798" t="s">
        <v>2693</v>
      </c>
      <c r="L4798" s="13">
        <v>10000</v>
      </c>
      <c r="M4798" t="s">
        <v>2661</v>
      </c>
    </row>
    <row r="4799" spans="1:13">
      <c r="A4799" t="s">
        <v>1958</v>
      </c>
      <c r="B4799" t="s">
        <v>118</v>
      </c>
      <c r="C4799" s="8">
        <v>46210</v>
      </c>
      <c r="D4799" t="s">
        <v>330</v>
      </c>
      <c r="E4799" t="s">
        <v>328</v>
      </c>
      <c r="F4799" s="12">
        <v>245597</v>
      </c>
      <c r="G4799" s="13">
        <v>24</v>
      </c>
      <c r="H4799" t="s">
        <v>2709</v>
      </c>
      <c r="I4799" s="8">
        <v>46119</v>
      </c>
      <c r="J4799" t="s">
        <v>2685</v>
      </c>
      <c r="K4799" t="s">
        <v>2686</v>
      </c>
      <c r="L4799" s="13">
        <v>5000</v>
      </c>
      <c r="M4799" t="s">
        <v>2661</v>
      </c>
    </row>
    <row r="4800" spans="1:13">
      <c r="A4800" t="s">
        <v>1958</v>
      </c>
      <c r="B4800" t="s">
        <v>118</v>
      </c>
      <c r="C4800" s="8">
        <v>46210</v>
      </c>
      <c r="D4800" t="s">
        <v>330</v>
      </c>
      <c r="E4800" t="s">
        <v>328</v>
      </c>
      <c r="F4800" s="12">
        <v>245597</v>
      </c>
      <c r="G4800" s="13">
        <v>24</v>
      </c>
      <c r="H4800" t="s">
        <v>2853</v>
      </c>
      <c r="I4800" s="8">
        <v>46269</v>
      </c>
      <c r="J4800" t="s">
        <v>2688</v>
      </c>
      <c r="K4800" t="s">
        <v>2689</v>
      </c>
      <c r="L4800" s="13">
        <v>8000</v>
      </c>
      <c r="M4800" t="s">
        <v>2661</v>
      </c>
    </row>
    <row r="4801" spans="1:13">
      <c r="A4801" t="s">
        <v>1958</v>
      </c>
      <c r="B4801" t="s">
        <v>118</v>
      </c>
      <c r="C4801" s="8">
        <v>46210</v>
      </c>
      <c r="D4801" t="s">
        <v>330</v>
      </c>
      <c r="E4801" t="s">
        <v>328</v>
      </c>
      <c r="F4801" s="12">
        <v>245597</v>
      </c>
      <c r="G4801" s="13">
        <v>24</v>
      </c>
      <c r="H4801" t="s">
        <v>2932</v>
      </c>
      <c r="I4801" s="8">
        <v>45982</v>
      </c>
      <c r="J4801" t="s">
        <v>2685</v>
      </c>
      <c r="K4801" t="s">
        <v>2686</v>
      </c>
      <c r="L4801" s="13">
        <v>5000</v>
      </c>
      <c r="M4801" t="s">
        <v>2661</v>
      </c>
    </row>
    <row r="4802" spans="1:13">
      <c r="A4802" t="s">
        <v>1958</v>
      </c>
      <c r="B4802" t="s">
        <v>118</v>
      </c>
      <c r="C4802" s="8">
        <v>46210</v>
      </c>
      <c r="D4802" t="s">
        <v>330</v>
      </c>
      <c r="E4802" t="s">
        <v>328</v>
      </c>
      <c r="F4802" s="12">
        <v>245597</v>
      </c>
      <c r="G4802" s="13">
        <v>24</v>
      </c>
      <c r="H4802" t="s">
        <v>3562</v>
      </c>
      <c r="I4802" s="8">
        <v>46251</v>
      </c>
      <c r="J4802" t="s">
        <v>2692</v>
      </c>
      <c r="K4802" t="s">
        <v>2693</v>
      </c>
      <c r="L4802" s="13">
        <v>10000</v>
      </c>
      <c r="M4802" t="s">
        <v>2661</v>
      </c>
    </row>
    <row r="4803" spans="1:13">
      <c r="A4803" t="s">
        <v>1959</v>
      </c>
      <c r="B4803" t="s">
        <v>247</v>
      </c>
      <c r="C4803" s="8">
        <v>46208</v>
      </c>
      <c r="D4803" t="s">
        <v>327</v>
      </c>
      <c r="E4803" t="s">
        <v>339</v>
      </c>
      <c r="F4803" s="12">
        <v>895526</v>
      </c>
      <c r="G4803" s="13">
        <v>89</v>
      </c>
      <c r="H4803" t="s">
        <v>3106</v>
      </c>
      <c r="I4803" s="8">
        <v>46071</v>
      </c>
      <c r="J4803" t="s">
        <v>2668</v>
      </c>
      <c r="K4803" t="s">
        <v>2669</v>
      </c>
      <c r="L4803" s="13">
        <v>4000</v>
      </c>
      <c r="M4803" t="s">
        <v>2661</v>
      </c>
    </row>
    <row r="4804" spans="1:13">
      <c r="A4804" t="s">
        <v>1960</v>
      </c>
      <c r="B4804" t="s">
        <v>310</v>
      </c>
      <c r="C4804" s="8">
        <v>46223</v>
      </c>
      <c r="D4804" t="s">
        <v>342</v>
      </c>
      <c r="E4804" t="s">
        <v>339</v>
      </c>
      <c r="F4804" s="12">
        <v>522899</v>
      </c>
      <c r="G4804" s="13">
        <v>52</v>
      </c>
      <c r="H4804" t="s">
        <v>2712</v>
      </c>
      <c r="I4804" s="8">
        <v>46153</v>
      </c>
      <c r="J4804" t="s">
        <v>2682</v>
      </c>
      <c r="K4804" t="s">
        <v>2683</v>
      </c>
      <c r="L4804" s="13">
        <v>6000</v>
      </c>
      <c r="M4804" t="s">
        <v>2661</v>
      </c>
    </row>
    <row r="4805" spans="1:13">
      <c r="A4805" t="s">
        <v>1960</v>
      </c>
      <c r="B4805" t="s">
        <v>310</v>
      </c>
      <c r="C4805" s="8">
        <v>46223</v>
      </c>
      <c r="D4805" t="s">
        <v>342</v>
      </c>
      <c r="E4805" t="s">
        <v>339</v>
      </c>
      <c r="F4805" s="12">
        <v>522899</v>
      </c>
      <c r="G4805" s="13">
        <v>52</v>
      </c>
      <c r="H4805" t="s">
        <v>2895</v>
      </c>
      <c r="I4805" s="8">
        <v>45957</v>
      </c>
      <c r="J4805" t="s">
        <v>2688</v>
      </c>
      <c r="K4805" t="s">
        <v>2689</v>
      </c>
      <c r="L4805" s="13">
        <v>8000</v>
      </c>
      <c r="M4805" t="s">
        <v>2661</v>
      </c>
    </row>
    <row r="4806" spans="1:13">
      <c r="A4806" t="s">
        <v>1960</v>
      </c>
      <c r="B4806" t="s">
        <v>310</v>
      </c>
      <c r="C4806" s="8">
        <v>46223</v>
      </c>
      <c r="D4806" t="s">
        <v>342</v>
      </c>
      <c r="E4806" t="s">
        <v>339</v>
      </c>
      <c r="F4806" s="12">
        <v>522899</v>
      </c>
      <c r="G4806" s="13">
        <v>52</v>
      </c>
      <c r="H4806" t="s">
        <v>2976</v>
      </c>
      <c r="I4806" s="8">
        <v>46146</v>
      </c>
      <c r="J4806" t="s">
        <v>2685</v>
      </c>
      <c r="K4806" t="s">
        <v>2686</v>
      </c>
      <c r="L4806" s="13">
        <v>5000</v>
      </c>
      <c r="M4806" t="s">
        <v>2661</v>
      </c>
    </row>
    <row r="4807" spans="1:13">
      <c r="A4807" t="s">
        <v>1960</v>
      </c>
      <c r="B4807" t="s">
        <v>310</v>
      </c>
      <c r="C4807" s="8">
        <v>46223</v>
      </c>
      <c r="D4807" t="s">
        <v>342</v>
      </c>
      <c r="E4807" t="s">
        <v>339</v>
      </c>
      <c r="F4807" s="12">
        <v>522899</v>
      </c>
      <c r="G4807" s="13">
        <v>52</v>
      </c>
      <c r="H4807" t="s">
        <v>3295</v>
      </c>
      <c r="I4807" s="8">
        <v>46154</v>
      </c>
      <c r="J4807" t="s">
        <v>2668</v>
      </c>
      <c r="K4807" t="s">
        <v>2669</v>
      </c>
      <c r="L4807" s="13">
        <v>4000</v>
      </c>
      <c r="M4807" t="s">
        <v>2676</v>
      </c>
    </row>
    <row r="4808" spans="1:13">
      <c r="A4808" t="s">
        <v>1960</v>
      </c>
      <c r="B4808" t="s">
        <v>310</v>
      </c>
      <c r="C4808" s="8">
        <v>46223</v>
      </c>
      <c r="D4808" t="s">
        <v>342</v>
      </c>
      <c r="E4808" t="s">
        <v>339</v>
      </c>
      <c r="F4808" s="12">
        <v>522899</v>
      </c>
      <c r="G4808" s="13">
        <v>52</v>
      </c>
      <c r="H4808" t="s">
        <v>3480</v>
      </c>
      <c r="I4808" s="8">
        <v>46012</v>
      </c>
      <c r="J4808" t="s">
        <v>2685</v>
      </c>
      <c r="K4808" t="s">
        <v>2686</v>
      </c>
      <c r="L4808" s="13">
        <v>5000</v>
      </c>
      <c r="M4808" t="s">
        <v>2676</v>
      </c>
    </row>
    <row r="4809" spans="1:13">
      <c r="A4809" t="s">
        <v>1961</v>
      </c>
      <c r="B4809" t="s">
        <v>163</v>
      </c>
      <c r="C4809" s="8">
        <v>45959</v>
      </c>
      <c r="D4809" t="s">
        <v>330</v>
      </c>
      <c r="E4809" t="s">
        <v>334</v>
      </c>
      <c r="F4809" s="12">
        <v>402399</v>
      </c>
      <c r="G4809" s="13">
        <v>40</v>
      </c>
      <c r="H4809" t="s">
        <v>3074</v>
      </c>
      <c r="I4809" s="8">
        <v>46181</v>
      </c>
      <c r="J4809" t="s">
        <v>2663</v>
      </c>
      <c r="K4809" t="s">
        <v>3630</v>
      </c>
      <c r="L4809" s="13">
        <v>1500</v>
      </c>
      <c r="M4809" t="s">
        <v>2661</v>
      </c>
    </row>
    <row r="4810" spans="1:13">
      <c r="A4810" t="s">
        <v>1963</v>
      </c>
      <c r="B4810" t="s">
        <v>290</v>
      </c>
      <c r="C4810" s="8">
        <v>45970</v>
      </c>
      <c r="D4810" t="s">
        <v>342</v>
      </c>
      <c r="E4810" t="s">
        <v>328</v>
      </c>
      <c r="F4810" s="12">
        <v>720402</v>
      </c>
      <c r="G4810" s="13">
        <v>72</v>
      </c>
      <c r="H4810" t="s">
        <v>3253</v>
      </c>
      <c r="I4810" s="8">
        <v>46053</v>
      </c>
      <c r="J4810" t="s">
        <v>2688</v>
      </c>
      <c r="K4810" t="s">
        <v>2689</v>
      </c>
      <c r="L4810" s="13">
        <v>8000</v>
      </c>
      <c r="M4810" t="s">
        <v>2661</v>
      </c>
    </row>
    <row r="4811" spans="1:13">
      <c r="A4811" t="s">
        <v>1963</v>
      </c>
      <c r="B4811" t="s">
        <v>290</v>
      </c>
      <c r="C4811" s="8">
        <v>45970</v>
      </c>
      <c r="D4811" t="s">
        <v>342</v>
      </c>
      <c r="E4811" t="s">
        <v>328</v>
      </c>
      <c r="F4811" s="12">
        <v>720402</v>
      </c>
      <c r="G4811" s="13">
        <v>72</v>
      </c>
      <c r="H4811" t="s">
        <v>3256</v>
      </c>
      <c r="I4811" s="8">
        <v>45968</v>
      </c>
      <c r="J4811" t="s">
        <v>2688</v>
      </c>
      <c r="K4811" t="s">
        <v>2689</v>
      </c>
      <c r="L4811" s="13">
        <v>8000</v>
      </c>
      <c r="M4811" t="s">
        <v>2676</v>
      </c>
    </row>
    <row r="4812" spans="1:13">
      <c r="A4812" t="s">
        <v>1964</v>
      </c>
      <c r="B4812" t="s">
        <v>289</v>
      </c>
      <c r="C4812" s="8">
        <v>46188</v>
      </c>
      <c r="D4812" t="s">
        <v>330</v>
      </c>
      <c r="E4812" t="s">
        <v>328</v>
      </c>
      <c r="F4812" s="12">
        <v>321322</v>
      </c>
      <c r="G4812" s="13">
        <v>32</v>
      </c>
      <c r="H4812" t="s">
        <v>2908</v>
      </c>
      <c r="I4812" s="8">
        <v>46092</v>
      </c>
      <c r="J4812" t="s">
        <v>2665</v>
      </c>
      <c r="K4812" t="s">
        <v>2666</v>
      </c>
      <c r="L4812" s="13">
        <v>2500</v>
      </c>
      <c r="M4812" t="s">
        <v>2676</v>
      </c>
    </row>
    <row r="4813" spans="1:13">
      <c r="A4813" t="s">
        <v>1964</v>
      </c>
      <c r="B4813" t="s">
        <v>289</v>
      </c>
      <c r="C4813" s="8">
        <v>46188</v>
      </c>
      <c r="D4813" t="s">
        <v>330</v>
      </c>
      <c r="E4813" t="s">
        <v>328</v>
      </c>
      <c r="F4813" s="12">
        <v>321322</v>
      </c>
      <c r="G4813" s="13">
        <v>32</v>
      </c>
      <c r="H4813" t="s">
        <v>3141</v>
      </c>
      <c r="I4813" s="8">
        <v>46139</v>
      </c>
      <c r="J4813" t="s">
        <v>2668</v>
      </c>
      <c r="K4813" t="s">
        <v>2669</v>
      </c>
      <c r="L4813" s="13">
        <v>4000</v>
      </c>
      <c r="M4813" t="s">
        <v>2661</v>
      </c>
    </row>
    <row r="4814" spans="1:13">
      <c r="A4814" t="s">
        <v>1964</v>
      </c>
      <c r="B4814" t="s">
        <v>289</v>
      </c>
      <c r="C4814" s="8">
        <v>46188</v>
      </c>
      <c r="D4814" t="s">
        <v>330</v>
      </c>
      <c r="E4814" t="s">
        <v>328</v>
      </c>
      <c r="F4814" s="12">
        <v>321322</v>
      </c>
      <c r="G4814" s="13">
        <v>32</v>
      </c>
      <c r="H4814" t="s">
        <v>3378</v>
      </c>
      <c r="I4814" s="8">
        <v>46068</v>
      </c>
      <c r="J4814" t="s">
        <v>2692</v>
      </c>
      <c r="K4814" t="s">
        <v>2693</v>
      </c>
      <c r="L4814" s="13">
        <v>10000</v>
      </c>
      <c r="M4814" t="s">
        <v>2676</v>
      </c>
    </row>
    <row r="4815" spans="1:13">
      <c r="A4815" t="s">
        <v>1965</v>
      </c>
      <c r="B4815" t="s">
        <v>250</v>
      </c>
      <c r="C4815" s="8">
        <v>46170</v>
      </c>
      <c r="D4815" t="s">
        <v>342</v>
      </c>
      <c r="E4815" t="s">
        <v>325</v>
      </c>
      <c r="F4815" s="12">
        <v>546536</v>
      </c>
      <c r="G4815" s="13">
        <v>54</v>
      </c>
      <c r="H4815" t="s">
        <v>3038</v>
      </c>
      <c r="I4815" s="8">
        <v>45972</v>
      </c>
      <c r="J4815" t="s">
        <v>2688</v>
      </c>
      <c r="K4815" t="s">
        <v>2689</v>
      </c>
      <c r="L4815" s="13">
        <v>8000</v>
      </c>
      <c r="M4815" t="s">
        <v>2661</v>
      </c>
    </row>
    <row r="4816" spans="1:13">
      <c r="A4816" t="s">
        <v>1965</v>
      </c>
      <c r="B4816" t="s">
        <v>250</v>
      </c>
      <c r="C4816" s="8">
        <v>46170</v>
      </c>
      <c r="D4816" t="s">
        <v>342</v>
      </c>
      <c r="E4816" t="s">
        <v>325</v>
      </c>
      <c r="F4816" s="12">
        <v>546536</v>
      </c>
      <c r="G4816" s="13">
        <v>54</v>
      </c>
      <c r="H4816" t="s">
        <v>3199</v>
      </c>
      <c r="I4816" s="8">
        <v>45994</v>
      </c>
      <c r="J4816" t="s">
        <v>2685</v>
      </c>
      <c r="K4816" t="s">
        <v>2686</v>
      </c>
      <c r="L4816" s="13">
        <v>5000</v>
      </c>
      <c r="M4816" t="s">
        <v>2661</v>
      </c>
    </row>
    <row r="4817" spans="1:13">
      <c r="A4817" t="s">
        <v>1965</v>
      </c>
      <c r="B4817" t="s">
        <v>250</v>
      </c>
      <c r="C4817" s="8">
        <v>46170</v>
      </c>
      <c r="D4817" t="s">
        <v>342</v>
      </c>
      <c r="E4817" t="s">
        <v>325</v>
      </c>
      <c r="F4817" s="12">
        <v>546536</v>
      </c>
      <c r="G4817" s="13">
        <v>54</v>
      </c>
      <c r="H4817" t="s">
        <v>3255</v>
      </c>
      <c r="I4817" s="8">
        <v>46197</v>
      </c>
      <c r="J4817" t="s">
        <v>2671</v>
      </c>
      <c r="K4817" t="s">
        <v>2672</v>
      </c>
      <c r="L4817" s="13">
        <v>3000</v>
      </c>
      <c r="M4817" t="s">
        <v>2661</v>
      </c>
    </row>
    <row r="4818" spans="1:13">
      <c r="A4818" t="s">
        <v>1965</v>
      </c>
      <c r="B4818" t="s">
        <v>250</v>
      </c>
      <c r="C4818" s="8">
        <v>46170</v>
      </c>
      <c r="D4818" t="s">
        <v>342</v>
      </c>
      <c r="E4818" t="s">
        <v>325</v>
      </c>
      <c r="F4818" s="12">
        <v>546536</v>
      </c>
      <c r="G4818" s="13">
        <v>54</v>
      </c>
      <c r="H4818" t="s">
        <v>3333</v>
      </c>
      <c r="I4818" s="8">
        <v>46156</v>
      </c>
      <c r="J4818" t="s">
        <v>2668</v>
      </c>
      <c r="K4818" t="s">
        <v>2669</v>
      </c>
      <c r="L4818" s="13">
        <v>4000</v>
      </c>
      <c r="M4818" t="s">
        <v>2661</v>
      </c>
    </row>
    <row r="4819" spans="1:13">
      <c r="A4819" t="s">
        <v>1966</v>
      </c>
      <c r="B4819" t="s">
        <v>190</v>
      </c>
      <c r="C4819" s="8">
        <v>46005</v>
      </c>
      <c r="D4819" t="s">
        <v>321</v>
      </c>
      <c r="E4819" t="s">
        <v>339</v>
      </c>
      <c r="F4819" s="12">
        <v>143791</v>
      </c>
      <c r="G4819" s="13">
        <v>14</v>
      </c>
      <c r="H4819" t="s">
        <v>2684</v>
      </c>
      <c r="I4819" s="8">
        <v>46175</v>
      </c>
      <c r="J4819" t="s">
        <v>2685</v>
      </c>
      <c r="K4819" t="s">
        <v>2686</v>
      </c>
      <c r="L4819" s="13">
        <v>5000</v>
      </c>
      <c r="M4819" t="s">
        <v>2661</v>
      </c>
    </row>
    <row r="4820" spans="1:13">
      <c r="A4820" t="s">
        <v>1966</v>
      </c>
      <c r="B4820" t="s">
        <v>190</v>
      </c>
      <c r="C4820" s="8">
        <v>46005</v>
      </c>
      <c r="D4820" t="s">
        <v>321</v>
      </c>
      <c r="E4820" t="s">
        <v>339</v>
      </c>
      <c r="F4820" s="12">
        <v>143791</v>
      </c>
      <c r="G4820" s="13">
        <v>14</v>
      </c>
      <c r="H4820" t="s">
        <v>2834</v>
      </c>
      <c r="I4820" s="8">
        <v>46253</v>
      </c>
      <c r="J4820" t="s">
        <v>2692</v>
      </c>
      <c r="K4820" t="s">
        <v>2693</v>
      </c>
      <c r="L4820" s="13">
        <v>10000</v>
      </c>
      <c r="M4820" t="s">
        <v>2676</v>
      </c>
    </row>
    <row r="4821" spans="1:13">
      <c r="A4821" t="s">
        <v>1966</v>
      </c>
      <c r="B4821" t="s">
        <v>190</v>
      </c>
      <c r="C4821" s="8">
        <v>46005</v>
      </c>
      <c r="D4821" t="s">
        <v>321</v>
      </c>
      <c r="E4821" t="s">
        <v>339</v>
      </c>
      <c r="F4821" s="12">
        <v>143791</v>
      </c>
      <c r="G4821" s="13">
        <v>14</v>
      </c>
      <c r="H4821" t="s">
        <v>2965</v>
      </c>
      <c r="I4821" s="8">
        <v>46102</v>
      </c>
      <c r="J4821" t="s">
        <v>2671</v>
      </c>
      <c r="K4821" t="s">
        <v>2672</v>
      </c>
      <c r="L4821" s="13">
        <v>3000</v>
      </c>
      <c r="M4821" t="s">
        <v>2661</v>
      </c>
    </row>
    <row r="4822" spans="1:13">
      <c r="A4822" t="s">
        <v>1966</v>
      </c>
      <c r="B4822" t="s">
        <v>190</v>
      </c>
      <c r="C4822" s="8">
        <v>46005</v>
      </c>
      <c r="D4822" t="s">
        <v>321</v>
      </c>
      <c r="E4822" t="s">
        <v>339</v>
      </c>
      <c r="F4822" s="12">
        <v>143791</v>
      </c>
      <c r="G4822" s="13">
        <v>14</v>
      </c>
      <c r="H4822" t="s">
        <v>3299</v>
      </c>
      <c r="I4822" s="8">
        <v>46006</v>
      </c>
      <c r="J4822" t="s">
        <v>2685</v>
      </c>
      <c r="K4822" t="s">
        <v>2686</v>
      </c>
      <c r="L4822" s="13">
        <v>5000</v>
      </c>
      <c r="M4822" t="s">
        <v>2661</v>
      </c>
    </row>
    <row r="4823" spans="1:13">
      <c r="A4823" t="s">
        <v>1967</v>
      </c>
      <c r="B4823" t="s">
        <v>40</v>
      </c>
      <c r="C4823" s="8">
        <v>46223</v>
      </c>
      <c r="D4823" t="s">
        <v>330</v>
      </c>
      <c r="E4823" t="s">
        <v>334</v>
      </c>
      <c r="F4823" s="12">
        <v>447464</v>
      </c>
      <c r="G4823" s="13">
        <v>44</v>
      </c>
      <c r="H4823" t="s">
        <v>2852</v>
      </c>
      <c r="I4823" s="8">
        <v>45939</v>
      </c>
      <c r="J4823" t="s">
        <v>2663</v>
      </c>
      <c r="K4823" t="s">
        <v>3630</v>
      </c>
      <c r="L4823" s="13">
        <v>1500</v>
      </c>
      <c r="M4823" t="s">
        <v>2661</v>
      </c>
    </row>
    <row r="4824" spans="1:13">
      <c r="A4824" t="s">
        <v>1967</v>
      </c>
      <c r="B4824" t="s">
        <v>40</v>
      </c>
      <c r="C4824" s="8">
        <v>46223</v>
      </c>
      <c r="D4824" t="s">
        <v>330</v>
      </c>
      <c r="E4824" t="s">
        <v>334</v>
      </c>
      <c r="F4824" s="12">
        <v>447464</v>
      </c>
      <c r="G4824" s="13">
        <v>44</v>
      </c>
      <c r="H4824" t="s">
        <v>3324</v>
      </c>
      <c r="I4824" s="8">
        <v>46040</v>
      </c>
      <c r="J4824" t="s">
        <v>2674</v>
      </c>
      <c r="K4824" t="s">
        <v>2675</v>
      </c>
      <c r="L4824" s="13">
        <v>20000</v>
      </c>
      <c r="M4824" t="s">
        <v>2661</v>
      </c>
    </row>
    <row r="4825" spans="1:13">
      <c r="A4825" t="s">
        <v>1967</v>
      </c>
      <c r="B4825" t="s">
        <v>40</v>
      </c>
      <c r="C4825" s="8">
        <v>46223</v>
      </c>
      <c r="D4825" t="s">
        <v>330</v>
      </c>
      <c r="E4825" t="s">
        <v>334</v>
      </c>
      <c r="F4825" s="12">
        <v>447464</v>
      </c>
      <c r="G4825" s="13">
        <v>44</v>
      </c>
      <c r="H4825" t="s">
        <v>3474</v>
      </c>
      <c r="I4825" s="8">
        <v>45997</v>
      </c>
      <c r="J4825" t="s">
        <v>2665</v>
      </c>
      <c r="K4825" t="s">
        <v>2666</v>
      </c>
      <c r="L4825" s="13">
        <v>2500</v>
      </c>
      <c r="M4825" t="s">
        <v>2676</v>
      </c>
    </row>
    <row r="4826" spans="1:13">
      <c r="A4826" t="s">
        <v>1968</v>
      </c>
      <c r="B4826" t="s">
        <v>102</v>
      </c>
      <c r="C4826" s="8">
        <v>46234</v>
      </c>
      <c r="D4826" t="s">
        <v>332</v>
      </c>
      <c r="E4826" t="s">
        <v>325</v>
      </c>
      <c r="F4826" s="12">
        <v>185718</v>
      </c>
      <c r="G4826" s="13">
        <v>18</v>
      </c>
      <c r="H4826" t="s">
        <v>2797</v>
      </c>
      <c r="I4826" s="8">
        <v>46163</v>
      </c>
      <c r="J4826" t="s">
        <v>2665</v>
      </c>
      <c r="K4826" t="s">
        <v>2666</v>
      </c>
      <c r="L4826" s="13">
        <v>2500</v>
      </c>
      <c r="M4826" t="s">
        <v>2661</v>
      </c>
    </row>
    <row r="4827" spans="1:13">
      <c r="A4827" t="s">
        <v>1968</v>
      </c>
      <c r="B4827" t="s">
        <v>102</v>
      </c>
      <c r="C4827" s="8">
        <v>46234</v>
      </c>
      <c r="D4827" t="s">
        <v>332</v>
      </c>
      <c r="E4827" t="s">
        <v>325</v>
      </c>
      <c r="F4827" s="12">
        <v>185718</v>
      </c>
      <c r="G4827" s="13">
        <v>18</v>
      </c>
      <c r="H4827" t="s">
        <v>3355</v>
      </c>
      <c r="I4827" s="8">
        <v>46029</v>
      </c>
      <c r="J4827" t="s">
        <v>2659</v>
      </c>
      <c r="K4827" t="s">
        <v>2660</v>
      </c>
      <c r="L4827" s="13">
        <v>3500</v>
      </c>
      <c r="M4827" t="s">
        <v>2676</v>
      </c>
    </row>
    <row r="4828" spans="1:13">
      <c r="A4828" t="s">
        <v>1968</v>
      </c>
      <c r="B4828" t="s">
        <v>102</v>
      </c>
      <c r="C4828" s="8">
        <v>46234</v>
      </c>
      <c r="D4828" t="s">
        <v>332</v>
      </c>
      <c r="E4828" t="s">
        <v>325</v>
      </c>
      <c r="F4828" s="12">
        <v>185718</v>
      </c>
      <c r="G4828" s="13">
        <v>18</v>
      </c>
      <c r="H4828" t="s">
        <v>3360</v>
      </c>
      <c r="I4828" s="8">
        <v>46231</v>
      </c>
      <c r="J4828" t="s">
        <v>2674</v>
      </c>
      <c r="K4828" t="s">
        <v>2675</v>
      </c>
      <c r="L4828" s="13">
        <v>20000</v>
      </c>
      <c r="M4828" t="s">
        <v>2661</v>
      </c>
    </row>
    <row r="4829" spans="1:13">
      <c r="A4829" t="s">
        <v>1968</v>
      </c>
      <c r="B4829" t="s">
        <v>102</v>
      </c>
      <c r="C4829" s="8">
        <v>46234</v>
      </c>
      <c r="D4829" t="s">
        <v>332</v>
      </c>
      <c r="E4829" t="s">
        <v>325</v>
      </c>
      <c r="F4829" s="12">
        <v>185718</v>
      </c>
      <c r="G4829" s="13">
        <v>18</v>
      </c>
      <c r="H4829" t="s">
        <v>3439</v>
      </c>
      <c r="I4829" s="8">
        <v>46268</v>
      </c>
      <c r="J4829" t="s">
        <v>2663</v>
      </c>
      <c r="K4829" t="s">
        <v>3630</v>
      </c>
      <c r="L4829" s="13">
        <v>1500</v>
      </c>
      <c r="M4829" t="s">
        <v>2661</v>
      </c>
    </row>
    <row r="4830" spans="1:13">
      <c r="A4830" t="s">
        <v>1968</v>
      </c>
      <c r="B4830" t="s">
        <v>102</v>
      </c>
      <c r="C4830" s="8">
        <v>46234</v>
      </c>
      <c r="D4830" t="s">
        <v>332</v>
      </c>
      <c r="E4830" t="s">
        <v>325</v>
      </c>
      <c r="F4830" s="12">
        <v>185718</v>
      </c>
      <c r="G4830" s="13">
        <v>18</v>
      </c>
      <c r="H4830" t="s">
        <v>3565</v>
      </c>
      <c r="I4830" s="8">
        <v>46150</v>
      </c>
      <c r="J4830" t="s">
        <v>2674</v>
      </c>
      <c r="K4830" t="s">
        <v>2675</v>
      </c>
      <c r="L4830" s="13">
        <v>20000</v>
      </c>
      <c r="M4830" t="s">
        <v>2661</v>
      </c>
    </row>
    <row r="4831" spans="1:13">
      <c r="A4831" t="s">
        <v>1969</v>
      </c>
      <c r="B4831" t="s">
        <v>214</v>
      </c>
      <c r="C4831" s="8">
        <v>45967</v>
      </c>
      <c r="D4831" t="s">
        <v>344</v>
      </c>
      <c r="E4831" t="s">
        <v>328</v>
      </c>
      <c r="F4831" s="12">
        <v>178154</v>
      </c>
      <c r="G4831" s="13">
        <v>17</v>
      </c>
      <c r="H4831" t="s">
        <v>2664</v>
      </c>
      <c r="I4831" s="8">
        <v>46259</v>
      </c>
      <c r="J4831" t="s">
        <v>2665</v>
      </c>
      <c r="K4831" t="s">
        <v>2666</v>
      </c>
      <c r="L4831" s="13">
        <v>2500</v>
      </c>
      <c r="M4831" t="s">
        <v>2661</v>
      </c>
    </row>
    <row r="4832" spans="1:13">
      <c r="A4832" t="s">
        <v>1969</v>
      </c>
      <c r="B4832" t="s">
        <v>214</v>
      </c>
      <c r="C4832" s="8">
        <v>45967</v>
      </c>
      <c r="D4832" t="s">
        <v>344</v>
      </c>
      <c r="E4832" t="s">
        <v>328</v>
      </c>
      <c r="F4832" s="12">
        <v>178154</v>
      </c>
      <c r="G4832" s="13">
        <v>17</v>
      </c>
      <c r="H4832" t="s">
        <v>3137</v>
      </c>
      <c r="I4832" s="8">
        <v>46189</v>
      </c>
      <c r="J4832" t="s">
        <v>2685</v>
      </c>
      <c r="K4832" t="s">
        <v>2686</v>
      </c>
      <c r="L4832" s="13">
        <v>5000</v>
      </c>
      <c r="M4832" t="s">
        <v>2661</v>
      </c>
    </row>
    <row r="4833" spans="1:13">
      <c r="A4833" t="s">
        <v>1969</v>
      </c>
      <c r="B4833" t="s">
        <v>214</v>
      </c>
      <c r="C4833" s="8">
        <v>45967</v>
      </c>
      <c r="D4833" t="s">
        <v>344</v>
      </c>
      <c r="E4833" t="s">
        <v>328</v>
      </c>
      <c r="F4833" s="12">
        <v>178154</v>
      </c>
      <c r="G4833" s="13">
        <v>17</v>
      </c>
      <c r="H4833" t="s">
        <v>3302</v>
      </c>
      <c r="I4833" s="8">
        <v>46119</v>
      </c>
      <c r="J4833" t="s">
        <v>2659</v>
      </c>
      <c r="K4833" t="s">
        <v>2660</v>
      </c>
      <c r="L4833" s="13">
        <v>3500</v>
      </c>
      <c r="M4833" t="s">
        <v>2661</v>
      </c>
    </row>
    <row r="4834" spans="1:13">
      <c r="A4834" t="s">
        <v>1969</v>
      </c>
      <c r="B4834" t="s">
        <v>214</v>
      </c>
      <c r="C4834" s="8">
        <v>45967</v>
      </c>
      <c r="D4834" t="s">
        <v>344</v>
      </c>
      <c r="E4834" t="s">
        <v>328</v>
      </c>
      <c r="F4834" s="12">
        <v>178154</v>
      </c>
      <c r="G4834" s="13">
        <v>17</v>
      </c>
      <c r="H4834" t="s">
        <v>3564</v>
      </c>
      <c r="I4834" s="8">
        <v>46208</v>
      </c>
      <c r="J4834" t="s">
        <v>2674</v>
      </c>
      <c r="K4834" t="s">
        <v>2675</v>
      </c>
      <c r="L4834" s="13">
        <v>20000</v>
      </c>
      <c r="M4834" t="s">
        <v>2661</v>
      </c>
    </row>
    <row r="4835" spans="1:13">
      <c r="A4835" t="s">
        <v>1970</v>
      </c>
      <c r="B4835" t="s">
        <v>8</v>
      </c>
      <c r="C4835" s="8">
        <v>46255</v>
      </c>
      <c r="D4835" t="s">
        <v>342</v>
      </c>
      <c r="E4835" t="s">
        <v>325</v>
      </c>
      <c r="F4835" s="12">
        <v>152356</v>
      </c>
      <c r="G4835" s="13">
        <v>15</v>
      </c>
      <c r="H4835" t="s">
        <v>3033</v>
      </c>
      <c r="I4835" s="8">
        <v>46098</v>
      </c>
      <c r="J4835" t="s">
        <v>2659</v>
      </c>
      <c r="K4835" t="s">
        <v>2660</v>
      </c>
      <c r="L4835" s="13">
        <v>3500</v>
      </c>
      <c r="M4835" t="s">
        <v>2676</v>
      </c>
    </row>
    <row r="4836" spans="1:13">
      <c r="A4836" t="s">
        <v>1970</v>
      </c>
      <c r="B4836" t="s">
        <v>8</v>
      </c>
      <c r="C4836" s="8">
        <v>46255</v>
      </c>
      <c r="D4836" t="s">
        <v>342</v>
      </c>
      <c r="E4836" t="s">
        <v>325</v>
      </c>
      <c r="F4836" s="12">
        <v>152356</v>
      </c>
      <c r="G4836" s="13">
        <v>15</v>
      </c>
      <c r="H4836" t="s">
        <v>3159</v>
      </c>
      <c r="I4836" s="8">
        <v>46079</v>
      </c>
      <c r="J4836" t="s">
        <v>2659</v>
      </c>
      <c r="K4836" t="s">
        <v>2660</v>
      </c>
      <c r="L4836" s="13">
        <v>3500</v>
      </c>
      <c r="M4836" t="s">
        <v>2661</v>
      </c>
    </row>
    <row r="4837" spans="1:13">
      <c r="A4837" t="s">
        <v>1970</v>
      </c>
      <c r="B4837" t="s">
        <v>8</v>
      </c>
      <c r="C4837" s="8">
        <v>46255</v>
      </c>
      <c r="D4837" t="s">
        <v>342</v>
      </c>
      <c r="E4837" t="s">
        <v>325</v>
      </c>
      <c r="F4837" s="12">
        <v>152356</v>
      </c>
      <c r="G4837" s="13">
        <v>15</v>
      </c>
      <c r="H4837" t="s">
        <v>3184</v>
      </c>
      <c r="I4837" s="8">
        <v>46261</v>
      </c>
      <c r="J4837" t="s">
        <v>2685</v>
      </c>
      <c r="K4837" t="s">
        <v>2686</v>
      </c>
      <c r="L4837" s="13">
        <v>5000</v>
      </c>
      <c r="M4837" t="s">
        <v>2661</v>
      </c>
    </row>
    <row r="4838" spans="1:13">
      <c r="A4838" t="s">
        <v>1970</v>
      </c>
      <c r="B4838" t="s">
        <v>8</v>
      </c>
      <c r="C4838" s="8">
        <v>46255</v>
      </c>
      <c r="D4838" t="s">
        <v>342</v>
      </c>
      <c r="E4838" t="s">
        <v>325</v>
      </c>
      <c r="F4838" s="12">
        <v>152356</v>
      </c>
      <c r="G4838" s="13">
        <v>15</v>
      </c>
      <c r="H4838" t="s">
        <v>3303</v>
      </c>
      <c r="I4838" s="8">
        <v>46196</v>
      </c>
      <c r="J4838" t="s">
        <v>2682</v>
      </c>
      <c r="K4838" t="s">
        <v>2683</v>
      </c>
      <c r="L4838" s="13">
        <v>6000</v>
      </c>
      <c r="M4838" t="s">
        <v>2676</v>
      </c>
    </row>
    <row r="4839" spans="1:13">
      <c r="A4839" t="s">
        <v>1970</v>
      </c>
      <c r="B4839" t="s">
        <v>8</v>
      </c>
      <c r="C4839" s="8">
        <v>46255</v>
      </c>
      <c r="D4839" t="s">
        <v>342</v>
      </c>
      <c r="E4839" t="s">
        <v>325</v>
      </c>
      <c r="F4839" s="12">
        <v>152356</v>
      </c>
      <c r="G4839" s="13">
        <v>15</v>
      </c>
      <c r="H4839" t="s">
        <v>3353</v>
      </c>
      <c r="I4839" s="8">
        <v>45991</v>
      </c>
      <c r="J4839" t="s">
        <v>2659</v>
      </c>
      <c r="K4839" t="s">
        <v>2660</v>
      </c>
      <c r="L4839" s="13">
        <v>3500</v>
      </c>
      <c r="M4839" t="s">
        <v>2661</v>
      </c>
    </row>
    <row r="4840" spans="1:13">
      <c r="A4840" t="s">
        <v>1971</v>
      </c>
      <c r="B4840" t="s">
        <v>268</v>
      </c>
      <c r="C4840" s="8">
        <v>46102</v>
      </c>
      <c r="D4840" t="s">
        <v>342</v>
      </c>
      <c r="E4840" t="s">
        <v>322</v>
      </c>
      <c r="F4840" s="12">
        <v>293361</v>
      </c>
      <c r="G4840" s="13">
        <v>29</v>
      </c>
      <c r="H4840" t="s">
        <v>2792</v>
      </c>
      <c r="I4840" s="8">
        <v>46132</v>
      </c>
      <c r="J4840" t="s">
        <v>2671</v>
      </c>
      <c r="K4840" t="s">
        <v>2672</v>
      </c>
      <c r="L4840" s="13">
        <v>3000</v>
      </c>
      <c r="M4840" t="s">
        <v>2661</v>
      </c>
    </row>
    <row r="4841" spans="1:13">
      <c r="A4841" t="s">
        <v>1971</v>
      </c>
      <c r="B4841" t="s">
        <v>268</v>
      </c>
      <c r="C4841" s="8">
        <v>46102</v>
      </c>
      <c r="D4841" t="s">
        <v>342</v>
      </c>
      <c r="E4841" t="s">
        <v>322</v>
      </c>
      <c r="F4841" s="12">
        <v>293361</v>
      </c>
      <c r="G4841" s="13">
        <v>29</v>
      </c>
      <c r="H4841" t="s">
        <v>2905</v>
      </c>
      <c r="I4841" s="8">
        <v>46049</v>
      </c>
      <c r="J4841" t="s">
        <v>2682</v>
      </c>
      <c r="K4841" t="s">
        <v>2683</v>
      </c>
      <c r="L4841" s="13">
        <v>6000</v>
      </c>
      <c r="M4841" t="s">
        <v>2661</v>
      </c>
    </row>
    <row r="4842" spans="1:13">
      <c r="A4842" t="s">
        <v>1971</v>
      </c>
      <c r="B4842" t="s">
        <v>268</v>
      </c>
      <c r="C4842" s="8">
        <v>46102</v>
      </c>
      <c r="D4842" t="s">
        <v>342</v>
      </c>
      <c r="E4842" t="s">
        <v>322</v>
      </c>
      <c r="F4842" s="12">
        <v>293361</v>
      </c>
      <c r="G4842" s="13">
        <v>29</v>
      </c>
      <c r="H4842" t="s">
        <v>3397</v>
      </c>
      <c r="I4842" s="8">
        <v>46152</v>
      </c>
      <c r="J4842" t="s">
        <v>2688</v>
      </c>
      <c r="K4842" t="s">
        <v>2689</v>
      </c>
      <c r="L4842" s="13">
        <v>8000</v>
      </c>
      <c r="M4842" t="s">
        <v>2661</v>
      </c>
    </row>
    <row r="4843" spans="1:13">
      <c r="A4843" t="s">
        <v>1971</v>
      </c>
      <c r="B4843" t="s">
        <v>268</v>
      </c>
      <c r="C4843" s="8">
        <v>46102</v>
      </c>
      <c r="D4843" t="s">
        <v>342</v>
      </c>
      <c r="E4843" t="s">
        <v>322</v>
      </c>
      <c r="F4843" s="12">
        <v>293361</v>
      </c>
      <c r="G4843" s="13">
        <v>29</v>
      </c>
      <c r="H4843" t="s">
        <v>3566</v>
      </c>
      <c r="I4843" s="8">
        <v>46049</v>
      </c>
      <c r="J4843" t="s">
        <v>2663</v>
      </c>
      <c r="K4843" t="s">
        <v>3630</v>
      </c>
      <c r="L4843" s="13">
        <v>1500</v>
      </c>
      <c r="M4843" t="s">
        <v>2661</v>
      </c>
    </row>
    <row r="4844" spans="1:13">
      <c r="A4844" t="s">
        <v>1972</v>
      </c>
      <c r="B4844" t="s">
        <v>118</v>
      </c>
      <c r="C4844" s="8">
        <v>46286</v>
      </c>
      <c r="D4844" t="s">
        <v>344</v>
      </c>
      <c r="E4844" t="s">
        <v>334</v>
      </c>
      <c r="F4844" s="12">
        <v>181551</v>
      </c>
      <c r="G4844" s="13">
        <v>18</v>
      </c>
      <c r="H4844" t="s">
        <v>2709</v>
      </c>
      <c r="I4844" s="8">
        <v>46119</v>
      </c>
      <c r="J4844" t="s">
        <v>2685</v>
      </c>
      <c r="K4844" t="s">
        <v>2686</v>
      </c>
      <c r="L4844" s="13">
        <v>5000</v>
      </c>
      <c r="M4844" t="s">
        <v>2661</v>
      </c>
    </row>
    <row r="4845" spans="1:13">
      <c r="A4845" t="s">
        <v>1972</v>
      </c>
      <c r="B4845" t="s">
        <v>118</v>
      </c>
      <c r="C4845" s="8">
        <v>46286</v>
      </c>
      <c r="D4845" t="s">
        <v>344</v>
      </c>
      <c r="E4845" t="s">
        <v>334</v>
      </c>
      <c r="F4845" s="12">
        <v>181551</v>
      </c>
      <c r="G4845" s="13">
        <v>18</v>
      </c>
      <c r="H4845" t="s">
        <v>2853</v>
      </c>
      <c r="I4845" s="8">
        <v>46269</v>
      </c>
      <c r="J4845" t="s">
        <v>2688</v>
      </c>
      <c r="K4845" t="s">
        <v>2689</v>
      </c>
      <c r="L4845" s="13">
        <v>8000</v>
      </c>
      <c r="M4845" t="s">
        <v>2661</v>
      </c>
    </row>
    <row r="4846" spans="1:13">
      <c r="A4846" t="s">
        <v>1972</v>
      </c>
      <c r="B4846" t="s">
        <v>118</v>
      </c>
      <c r="C4846" s="8">
        <v>46286</v>
      </c>
      <c r="D4846" t="s">
        <v>344</v>
      </c>
      <c r="E4846" t="s">
        <v>334</v>
      </c>
      <c r="F4846" s="12">
        <v>181551</v>
      </c>
      <c r="G4846" s="13">
        <v>18</v>
      </c>
      <c r="H4846" t="s">
        <v>2932</v>
      </c>
      <c r="I4846" s="8">
        <v>45982</v>
      </c>
      <c r="J4846" t="s">
        <v>2685</v>
      </c>
      <c r="K4846" t="s">
        <v>2686</v>
      </c>
      <c r="L4846" s="13">
        <v>5000</v>
      </c>
      <c r="M4846" t="s">
        <v>2661</v>
      </c>
    </row>
    <row r="4847" spans="1:13">
      <c r="A4847" t="s">
        <v>1972</v>
      </c>
      <c r="B4847" t="s">
        <v>118</v>
      </c>
      <c r="C4847" s="8">
        <v>46286</v>
      </c>
      <c r="D4847" t="s">
        <v>344</v>
      </c>
      <c r="E4847" t="s">
        <v>334</v>
      </c>
      <c r="F4847" s="12">
        <v>181551</v>
      </c>
      <c r="G4847" s="13">
        <v>18</v>
      </c>
      <c r="H4847" t="s">
        <v>3562</v>
      </c>
      <c r="I4847" s="8">
        <v>46251</v>
      </c>
      <c r="J4847" t="s">
        <v>2692</v>
      </c>
      <c r="K4847" t="s">
        <v>2693</v>
      </c>
      <c r="L4847" s="13">
        <v>10000</v>
      </c>
      <c r="M4847" t="s">
        <v>2661</v>
      </c>
    </row>
    <row r="4848" spans="1:13">
      <c r="A4848" t="s">
        <v>1973</v>
      </c>
      <c r="B4848" t="s">
        <v>13</v>
      </c>
      <c r="C4848" s="8">
        <v>46268</v>
      </c>
      <c r="D4848" t="s">
        <v>350</v>
      </c>
      <c r="E4848" t="s">
        <v>337</v>
      </c>
      <c r="F4848" s="12">
        <v>338792</v>
      </c>
      <c r="G4848" s="13">
        <v>33</v>
      </c>
      <c r="H4848" t="s">
        <v>3049</v>
      </c>
      <c r="I4848" s="8">
        <v>46156</v>
      </c>
      <c r="J4848" t="s">
        <v>2665</v>
      </c>
      <c r="K4848" t="s">
        <v>2666</v>
      </c>
      <c r="L4848" s="13">
        <v>2500</v>
      </c>
      <c r="M4848" t="s">
        <v>2661</v>
      </c>
    </row>
    <row r="4849" spans="1:13">
      <c r="A4849" t="s">
        <v>1973</v>
      </c>
      <c r="B4849" t="s">
        <v>13</v>
      </c>
      <c r="C4849" s="8">
        <v>46268</v>
      </c>
      <c r="D4849" t="s">
        <v>350</v>
      </c>
      <c r="E4849" t="s">
        <v>337</v>
      </c>
      <c r="F4849" s="12">
        <v>338792</v>
      </c>
      <c r="G4849" s="13">
        <v>33</v>
      </c>
      <c r="H4849" t="s">
        <v>3156</v>
      </c>
      <c r="I4849" s="8">
        <v>46215</v>
      </c>
      <c r="J4849" t="s">
        <v>2682</v>
      </c>
      <c r="K4849" t="s">
        <v>2683</v>
      </c>
      <c r="L4849" s="13">
        <v>6000</v>
      </c>
      <c r="M4849" t="s">
        <v>2661</v>
      </c>
    </row>
    <row r="4850" spans="1:13">
      <c r="A4850" t="s">
        <v>1974</v>
      </c>
      <c r="B4850" t="s">
        <v>134</v>
      </c>
      <c r="C4850" s="8">
        <v>45971</v>
      </c>
      <c r="D4850" t="s">
        <v>332</v>
      </c>
      <c r="E4850" t="s">
        <v>337</v>
      </c>
      <c r="F4850" s="12">
        <v>853308</v>
      </c>
      <c r="G4850" s="13">
        <v>85</v>
      </c>
      <c r="H4850" t="s">
        <v>3183</v>
      </c>
      <c r="I4850" s="8">
        <v>46285</v>
      </c>
      <c r="J4850" t="s">
        <v>2663</v>
      </c>
      <c r="K4850" t="s">
        <v>3630</v>
      </c>
      <c r="L4850" s="13">
        <v>1500</v>
      </c>
      <c r="M4850" t="s">
        <v>2661</v>
      </c>
    </row>
    <row r="4851" spans="1:13">
      <c r="A4851" t="s">
        <v>1975</v>
      </c>
      <c r="B4851" t="s">
        <v>246</v>
      </c>
      <c r="C4851" s="8">
        <v>46199</v>
      </c>
      <c r="D4851" t="s">
        <v>324</v>
      </c>
      <c r="E4851" t="s">
        <v>334</v>
      </c>
      <c r="F4851" s="12">
        <v>160457</v>
      </c>
      <c r="G4851" s="13">
        <v>16</v>
      </c>
      <c r="H4851" t="s">
        <v>2762</v>
      </c>
      <c r="I4851" s="8">
        <v>46154</v>
      </c>
      <c r="J4851" t="s">
        <v>2682</v>
      </c>
      <c r="K4851" t="s">
        <v>2683</v>
      </c>
      <c r="L4851" s="13">
        <v>6000</v>
      </c>
      <c r="M4851" t="s">
        <v>2661</v>
      </c>
    </row>
    <row r="4852" spans="1:13">
      <c r="A4852" t="s">
        <v>1975</v>
      </c>
      <c r="B4852" t="s">
        <v>246</v>
      </c>
      <c r="C4852" s="8">
        <v>46199</v>
      </c>
      <c r="D4852" t="s">
        <v>324</v>
      </c>
      <c r="E4852" t="s">
        <v>334</v>
      </c>
      <c r="F4852" s="12">
        <v>160457</v>
      </c>
      <c r="G4852" s="13">
        <v>16</v>
      </c>
      <c r="H4852" t="s">
        <v>2883</v>
      </c>
      <c r="I4852" s="8">
        <v>46154</v>
      </c>
      <c r="J4852" t="s">
        <v>2688</v>
      </c>
      <c r="K4852" t="s">
        <v>2689</v>
      </c>
      <c r="L4852" s="13">
        <v>8000</v>
      </c>
      <c r="M4852" t="s">
        <v>2676</v>
      </c>
    </row>
    <row r="4853" spans="1:13">
      <c r="A4853" t="s">
        <v>1975</v>
      </c>
      <c r="B4853" t="s">
        <v>246</v>
      </c>
      <c r="C4853" s="8">
        <v>46199</v>
      </c>
      <c r="D4853" t="s">
        <v>324</v>
      </c>
      <c r="E4853" t="s">
        <v>334</v>
      </c>
      <c r="F4853" s="12">
        <v>160457</v>
      </c>
      <c r="G4853" s="13">
        <v>16</v>
      </c>
      <c r="H4853" t="s">
        <v>3077</v>
      </c>
      <c r="I4853" s="8">
        <v>45953</v>
      </c>
      <c r="J4853" t="s">
        <v>2674</v>
      </c>
      <c r="K4853" t="s">
        <v>2675</v>
      </c>
      <c r="L4853" s="13">
        <v>20000</v>
      </c>
      <c r="M4853" t="s">
        <v>2661</v>
      </c>
    </row>
    <row r="4854" spans="1:13">
      <c r="A4854" t="s">
        <v>1975</v>
      </c>
      <c r="B4854" t="s">
        <v>246</v>
      </c>
      <c r="C4854" s="8">
        <v>46199</v>
      </c>
      <c r="D4854" t="s">
        <v>324</v>
      </c>
      <c r="E4854" t="s">
        <v>334</v>
      </c>
      <c r="F4854" s="12">
        <v>160457</v>
      </c>
      <c r="G4854" s="13">
        <v>16</v>
      </c>
      <c r="H4854" t="s">
        <v>3504</v>
      </c>
      <c r="I4854" s="8">
        <v>46053</v>
      </c>
      <c r="J4854" t="s">
        <v>2663</v>
      </c>
      <c r="K4854" t="s">
        <v>3630</v>
      </c>
      <c r="L4854" s="13">
        <v>1500</v>
      </c>
      <c r="M4854" t="s">
        <v>2661</v>
      </c>
    </row>
    <row r="4855" spans="1:13">
      <c r="A4855" t="s">
        <v>1976</v>
      </c>
      <c r="B4855" t="s">
        <v>65</v>
      </c>
      <c r="C4855" s="8">
        <v>46236</v>
      </c>
      <c r="D4855" t="s">
        <v>321</v>
      </c>
      <c r="E4855" t="s">
        <v>334</v>
      </c>
      <c r="F4855" s="12">
        <v>217275</v>
      </c>
      <c r="G4855" s="13">
        <v>21</v>
      </c>
      <c r="H4855" t="s">
        <v>2801</v>
      </c>
      <c r="I4855" s="8">
        <v>46162</v>
      </c>
      <c r="J4855" t="s">
        <v>2688</v>
      </c>
      <c r="K4855" t="s">
        <v>2689</v>
      </c>
      <c r="L4855" s="13">
        <v>8000</v>
      </c>
      <c r="M4855" t="s">
        <v>2661</v>
      </c>
    </row>
    <row r="4856" spans="1:13">
      <c r="A4856" t="s">
        <v>1976</v>
      </c>
      <c r="B4856" t="s">
        <v>65</v>
      </c>
      <c r="C4856" s="8">
        <v>46236</v>
      </c>
      <c r="D4856" t="s">
        <v>321</v>
      </c>
      <c r="E4856" t="s">
        <v>334</v>
      </c>
      <c r="F4856" s="12">
        <v>217275</v>
      </c>
      <c r="G4856" s="13">
        <v>21</v>
      </c>
      <c r="H4856" t="s">
        <v>2826</v>
      </c>
      <c r="I4856" s="8">
        <v>46147</v>
      </c>
      <c r="J4856" t="s">
        <v>2674</v>
      </c>
      <c r="K4856" t="s">
        <v>2675</v>
      </c>
      <c r="L4856" s="13">
        <v>20000</v>
      </c>
      <c r="M4856" t="s">
        <v>2661</v>
      </c>
    </row>
    <row r="4857" spans="1:13">
      <c r="A4857" t="s">
        <v>1976</v>
      </c>
      <c r="B4857" t="s">
        <v>65</v>
      </c>
      <c r="C4857" s="8">
        <v>46236</v>
      </c>
      <c r="D4857" t="s">
        <v>321</v>
      </c>
      <c r="E4857" t="s">
        <v>334</v>
      </c>
      <c r="F4857" s="12">
        <v>217275</v>
      </c>
      <c r="G4857" s="13">
        <v>21</v>
      </c>
      <c r="H4857" t="s">
        <v>3124</v>
      </c>
      <c r="I4857" s="8">
        <v>46278</v>
      </c>
      <c r="J4857" t="s">
        <v>2674</v>
      </c>
      <c r="K4857" t="s">
        <v>2675</v>
      </c>
      <c r="L4857" s="13">
        <v>20000</v>
      </c>
      <c r="M4857" t="s">
        <v>2661</v>
      </c>
    </row>
    <row r="4858" spans="1:13">
      <c r="A4858" t="s">
        <v>1976</v>
      </c>
      <c r="B4858" t="s">
        <v>65</v>
      </c>
      <c r="C4858" s="8">
        <v>46236</v>
      </c>
      <c r="D4858" t="s">
        <v>321</v>
      </c>
      <c r="E4858" t="s">
        <v>334</v>
      </c>
      <c r="F4858" s="12">
        <v>217275</v>
      </c>
      <c r="G4858" s="13">
        <v>21</v>
      </c>
      <c r="H4858" t="s">
        <v>3167</v>
      </c>
      <c r="I4858" s="8">
        <v>46013</v>
      </c>
      <c r="J4858" t="s">
        <v>2685</v>
      </c>
      <c r="K4858" t="s">
        <v>2686</v>
      </c>
      <c r="L4858" s="13">
        <v>5000</v>
      </c>
      <c r="M4858" t="s">
        <v>2676</v>
      </c>
    </row>
    <row r="4859" spans="1:13">
      <c r="A4859" t="s">
        <v>1976</v>
      </c>
      <c r="B4859" t="s">
        <v>65</v>
      </c>
      <c r="C4859" s="8">
        <v>46236</v>
      </c>
      <c r="D4859" t="s">
        <v>321</v>
      </c>
      <c r="E4859" t="s">
        <v>334</v>
      </c>
      <c r="F4859" s="12">
        <v>217275</v>
      </c>
      <c r="G4859" s="13">
        <v>21</v>
      </c>
      <c r="H4859" t="s">
        <v>3344</v>
      </c>
      <c r="I4859" s="8">
        <v>45982</v>
      </c>
      <c r="J4859" t="s">
        <v>2668</v>
      </c>
      <c r="K4859" t="s">
        <v>2669</v>
      </c>
      <c r="L4859" s="13">
        <v>4000</v>
      </c>
      <c r="M4859" t="s">
        <v>2661</v>
      </c>
    </row>
    <row r="4860" spans="1:13">
      <c r="A4860" t="s">
        <v>1977</v>
      </c>
      <c r="B4860" t="s">
        <v>151</v>
      </c>
      <c r="C4860" s="8">
        <v>45977</v>
      </c>
      <c r="D4860" t="s">
        <v>342</v>
      </c>
      <c r="E4860" t="s">
        <v>337</v>
      </c>
      <c r="F4860" s="12">
        <v>120641</v>
      </c>
      <c r="G4860" s="13">
        <v>12</v>
      </c>
      <c r="H4860" t="s">
        <v>2741</v>
      </c>
      <c r="I4860" s="8">
        <v>45954</v>
      </c>
      <c r="J4860" t="s">
        <v>2685</v>
      </c>
      <c r="K4860" t="s">
        <v>2686</v>
      </c>
      <c r="L4860" s="13">
        <v>5000</v>
      </c>
      <c r="M4860" t="s">
        <v>2661</v>
      </c>
    </row>
    <row r="4861" spans="1:13">
      <c r="A4861" t="s">
        <v>1977</v>
      </c>
      <c r="B4861" t="s">
        <v>151</v>
      </c>
      <c r="C4861" s="8">
        <v>45977</v>
      </c>
      <c r="D4861" t="s">
        <v>342</v>
      </c>
      <c r="E4861" t="s">
        <v>337</v>
      </c>
      <c r="F4861" s="12">
        <v>120641</v>
      </c>
      <c r="G4861" s="13">
        <v>12</v>
      </c>
      <c r="H4861" t="s">
        <v>3511</v>
      </c>
      <c r="I4861" s="8">
        <v>45984</v>
      </c>
      <c r="J4861" t="s">
        <v>2668</v>
      </c>
      <c r="K4861" t="s">
        <v>2669</v>
      </c>
      <c r="L4861" s="13">
        <v>4000</v>
      </c>
      <c r="M4861" t="s">
        <v>2676</v>
      </c>
    </row>
    <row r="4862" spans="1:13">
      <c r="A4862" t="s">
        <v>1978</v>
      </c>
      <c r="B4862" t="s">
        <v>280</v>
      </c>
      <c r="C4862" s="8">
        <v>46027</v>
      </c>
      <c r="D4862" t="s">
        <v>342</v>
      </c>
      <c r="E4862" t="s">
        <v>322</v>
      </c>
      <c r="F4862" s="12">
        <v>127997</v>
      </c>
      <c r="G4862" s="13">
        <v>12</v>
      </c>
      <c r="H4862" t="s">
        <v>2673</v>
      </c>
      <c r="I4862" s="8">
        <v>46091</v>
      </c>
      <c r="J4862" t="s">
        <v>2674</v>
      </c>
      <c r="K4862" t="s">
        <v>2675</v>
      </c>
      <c r="L4862" s="13">
        <v>20000</v>
      </c>
      <c r="M4862" t="s">
        <v>2676</v>
      </c>
    </row>
    <row r="4863" spans="1:13">
      <c r="A4863" t="s">
        <v>1978</v>
      </c>
      <c r="B4863" t="s">
        <v>280</v>
      </c>
      <c r="C4863" s="8">
        <v>46027</v>
      </c>
      <c r="D4863" t="s">
        <v>342</v>
      </c>
      <c r="E4863" t="s">
        <v>322</v>
      </c>
      <c r="F4863" s="12">
        <v>127997</v>
      </c>
      <c r="G4863" s="13">
        <v>12</v>
      </c>
      <c r="H4863" t="s">
        <v>2924</v>
      </c>
      <c r="I4863" s="8">
        <v>46275</v>
      </c>
      <c r="J4863" t="s">
        <v>2663</v>
      </c>
      <c r="K4863" t="s">
        <v>3630</v>
      </c>
      <c r="L4863" s="13">
        <v>1500</v>
      </c>
      <c r="M4863" t="s">
        <v>2661</v>
      </c>
    </row>
    <row r="4864" spans="1:13">
      <c r="A4864" t="s">
        <v>1978</v>
      </c>
      <c r="B4864" t="s">
        <v>280</v>
      </c>
      <c r="C4864" s="8">
        <v>46027</v>
      </c>
      <c r="D4864" t="s">
        <v>342</v>
      </c>
      <c r="E4864" t="s">
        <v>322</v>
      </c>
      <c r="F4864" s="12">
        <v>127997</v>
      </c>
      <c r="G4864" s="13">
        <v>12</v>
      </c>
      <c r="H4864" t="s">
        <v>3163</v>
      </c>
      <c r="I4864" s="8">
        <v>46279</v>
      </c>
      <c r="J4864" t="s">
        <v>2668</v>
      </c>
      <c r="K4864" t="s">
        <v>2669</v>
      </c>
      <c r="L4864" s="13">
        <v>4000</v>
      </c>
      <c r="M4864" t="s">
        <v>2661</v>
      </c>
    </row>
    <row r="4865" spans="1:13">
      <c r="A4865" t="s">
        <v>1978</v>
      </c>
      <c r="B4865" t="s">
        <v>280</v>
      </c>
      <c r="C4865" s="8">
        <v>46027</v>
      </c>
      <c r="D4865" t="s">
        <v>342</v>
      </c>
      <c r="E4865" t="s">
        <v>322</v>
      </c>
      <c r="F4865" s="12">
        <v>127997</v>
      </c>
      <c r="G4865" s="13">
        <v>12</v>
      </c>
      <c r="H4865" t="s">
        <v>3286</v>
      </c>
      <c r="I4865" s="8">
        <v>46224</v>
      </c>
      <c r="J4865" t="s">
        <v>2685</v>
      </c>
      <c r="K4865" t="s">
        <v>2686</v>
      </c>
      <c r="L4865" s="13">
        <v>5000</v>
      </c>
      <c r="M4865" t="s">
        <v>2661</v>
      </c>
    </row>
    <row r="4866" spans="1:13">
      <c r="A4866" t="s">
        <v>1978</v>
      </c>
      <c r="B4866" t="s">
        <v>280</v>
      </c>
      <c r="C4866" s="8">
        <v>46027</v>
      </c>
      <c r="D4866" t="s">
        <v>342</v>
      </c>
      <c r="E4866" t="s">
        <v>322</v>
      </c>
      <c r="F4866" s="12">
        <v>127997</v>
      </c>
      <c r="G4866" s="13">
        <v>12</v>
      </c>
      <c r="H4866" t="s">
        <v>3400</v>
      </c>
      <c r="I4866" s="8">
        <v>46126</v>
      </c>
      <c r="J4866" t="s">
        <v>2692</v>
      </c>
      <c r="K4866" t="s">
        <v>2693</v>
      </c>
      <c r="L4866" s="13">
        <v>10000</v>
      </c>
      <c r="M4866" t="s">
        <v>2661</v>
      </c>
    </row>
    <row r="4867" spans="1:13">
      <c r="A4867" t="s">
        <v>1978</v>
      </c>
      <c r="B4867" t="s">
        <v>280</v>
      </c>
      <c r="C4867" s="8">
        <v>46027</v>
      </c>
      <c r="D4867" t="s">
        <v>342</v>
      </c>
      <c r="E4867" t="s">
        <v>322</v>
      </c>
      <c r="F4867" s="12">
        <v>127997</v>
      </c>
      <c r="G4867" s="13">
        <v>12</v>
      </c>
      <c r="H4867" t="s">
        <v>3535</v>
      </c>
      <c r="I4867" s="8">
        <v>46274</v>
      </c>
      <c r="J4867" t="s">
        <v>2659</v>
      </c>
      <c r="K4867" t="s">
        <v>2660</v>
      </c>
      <c r="L4867" s="13">
        <v>3500</v>
      </c>
      <c r="M4867" t="s">
        <v>2661</v>
      </c>
    </row>
    <row r="4868" spans="1:13">
      <c r="A4868" t="s">
        <v>1979</v>
      </c>
      <c r="B4868" t="s">
        <v>219</v>
      </c>
      <c r="C4868" s="8">
        <v>46254</v>
      </c>
      <c r="D4868" t="s">
        <v>332</v>
      </c>
      <c r="E4868" t="s">
        <v>322</v>
      </c>
      <c r="F4868" s="12">
        <v>278177</v>
      </c>
      <c r="G4868" s="13">
        <v>27</v>
      </c>
      <c r="H4868" t="s">
        <v>3084</v>
      </c>
      <c r="I4868" s="8">
        <v>46256</v>
      </c>
      <c r="J4868" t="s">
        <v>2685</v>
      </c>
      <c r="K4868" t="s">
        <v>2686</v>
      </c>
      <c r="L4868" s="13">
        <v>5000</v>
      </c>
      <c r="M4868" t="s">
        <v>2661</v>
      </c>
    </row>
    <row r="4869" spans="1:13">
      <c r="A4869" t="s">
        <v>1980</v>
      </c>
      <c r="B4869" t="s">
        <v>233</v>
      </c>
      <c r="C4869" s="8">
        <v>45938</v>
      </c>
      <c r="D4869" t="s">
        <v>324</v>
      </c>
      <c r="E4869" t="s">
        <v>325</v>
      </c>
      <c r="F4869" s="12">
        <v>27122</v>
      </c>
      <c r="G4869" s="13">
        <v>2</v>
      </c>
      <c r="H4869" t="s">
        <v>2912</v>
      </c>
      <c r="I4869" s="8">
        <v>46184</v>
      </c>
      <c r="J4869" t="s">
        <v>2688</v>
      </c>
      <c r="K4869" t="s">
        <v>2689</v>
      </c>
      <c r="L4869" s="13">
        <v>8000</v>
      </c>
      <c r="M4869" t="s">
        <v>2676</v>
      </c>
    </row>
    <row r="4870" spans="1:13">
      <c r="A4870" t="s">
        <v>1980</v>
      </c>
      <c r="B4870" t="s">
        <v>233</v>
      </c>
      <c r="C4870" s="8">
        <v>45938</v>
      </c>
      <c r="D4870" t="s">
        <v>324</v>
      </c>
      <c r="E4870" t="s">
        <v>325</v>
      </c>
      <c r="F4870" s="12">
        <v>27122</v>
      </c>
      <c r="G4870" s="13">
        <v>2</v>
      </c>
      <c r="H4870" t="s">
        <v>3508</v>
      </c>
      <c r="I4870" s="8">
        <v>46183</v>
      </c>
      <c r="J4870" t="s">
        <v>2671</v>
      </c>
      <c r="K4870" t="s">
        <v>2672</v>
      </c>
      <c r="L4870" s="13">
        <v>3000</v>
      </c>
      <c r="M4870" t="s">
        <v>2661</v>
      </c>
    </row>
    <row r="4871" spans="1:13">
      <c r="A4871" t="s">
        <v>1981</v>
      </c>
      <c r="B4871" t="s">
        <v>16</v>
      </c>
      <c r="C4871" s="8">
        <v>46118</v>
      </c>
      <c r="D4871" t="s">
        <v>342</v>
      </c>
      <c r="E4871" t="s">
        <v>325</v>
      </c>
      <c r="F4871" s="12">
        <v>220289</v>
      </c>
      <c r="G4871" s="13">
        <v>22</v>
      </c>
      <c r="H4871" t="s">
        <v>2886</v>
      </c>
      <c r="I4871" s="8">
        <v>46006</v>
      </c>
      <c r="J4871" t="s">
        <v>2659</v>
      </c>
      <c r="K4871" t="s">
        <v>2660</v>
      </c>
      <c r="L4871" s="13">
        <v>3500</v>
      </c>
      <c r="M4871" t="s">
        <v>2661</v>
      </c>
    </row>
    <row r="4872" spans="1:13">
      <c r="A4872" t="s">
        <v>1981</v>
      </c>
      <c r="B4872" t="s">
        <v>16</v>
      </c>
      <c r="C4872" s="8">
        <v>46118</v>
      </c>
      <c r="D4872" t="s">
        <v>342</v>
      </c>
      <c r="E4872" t="s">
        <v>325</v>
      </c>
      <c r="F4872" s="12">
        <v>220289</v>
      </c>
      <c r="G4872" s="13">
        <v>22</v>
      </c>
      <c r="H4872" t="s">
        <v>3402</v>
      </c>
      <c r="I4872" s="8">
        <v>46050</v>
      </c>
      <c r="J4872" t="s">
        <v>2668</v>
      </c>
      <c r="K4872" t="s">
        <v>2669</v>
      </c>
      <c r="L4872" s="13">
        <v>4000</v>
      </c>
      <c r="M4872" t="s">
        <v>2661</v>
      </c>
    </row>
    <row r="4873" spans="1:13">
      <c r="A4873" t="s">
        <v>1982</v>
      </c>
      <c r="B4873" t="s">
        <v>192</v>
      </c>
      <c r="C4873" s="8">
        <v>46053</v>
      </c>
      <c r="D4873" t="s">
        <v>344</v>
      </c>
      <c r="E4873" t="s">
        <v>328</v>
      </c>
      <c r="F4873" s="12">
        <v>452843</v>
      </c>
      <c r="G4873" s="13">
        <v>45</v>
      </c>
      <c r="H4873" t="s">
        <v>2732</v>
      </c>
      <c r="I4873" s="8">
        <v>46282</v>
      </c>
      <c r="J4873" t="s">
        <v>2668</v>
      </c>
      <c r="K4873" t="s">
        <v>2669</v>
      </c>
      <c r="L4873" s="13">
        <v>4000</v>
      </c>
      <c r="M4873" t="s">
        <v>2661</v>
      </c>
    </row>
    <row r="4874" spans="1:13">
      <c r="A4874" t="s">
        <v>1982</v>
      </c>
      <c r="B4874" t="s">
        <v>192</v>
      </c>
      <c r="C4874" s="8">
        <v>46053</v>
      </c>
      <c r="D4874" t="s">
        <v>344</v>
      </c>
      <c r="E4874" t="s">
        <v>328</v>
      </c>
      <c r="F4874" s="12">
        <v>452843</v>
      </c>
      <c r="G4874" s="13">
        <v>45</v>
      </c>
      <c r="H4874" t="s">
        <v>3058</v>
      </c>
      <c r="I4874" s="8">
        <v>45947</v>
      </c>
      <c r="J4874" t="s">
        <v>2692</v>
      </c>
      <c r="K4874" t="s">
        <v>2693</v>
      </c>
      <c r="L4874" s="13">
        <v>10000</v>
      </c>
      <c r="M4874" t="s">
        <v>2661</v>
      </c>
    </row>
    <row r="4875" spans="1:13">
      <c r="A4875" t="s">
        <v>1982</v>
      </c>
      <c r="B4875" t="s">
        <v>192</v>
      </c>
      <c r="C4875" s="8">
        <v>46053</v>
      </c>
      <c r="D4875" t="s">
        <v>344</v>
      </c>
      <c r="E4875" t="s">
        <v>328</v>
      </c>
      <c r="F4875" s="12">
        <v>452843</v>
      </c>
      <c r="G4875" s="13">
        <v>45</v>
      </c>
      <c r="H4875" t="s">
        <v>3062</v>
      </c>
      <c r="I4875" s="8">
        <v>45992</v>
      </c>
      <c r="J4875" t="s">
        <v>2659</v>
      </c>
      <c r="K4875" t="s">
        <v>2660</v>
      </c>
      <c r="L4875" s="13">
        <v>3500</v>
      </c>
      <c r="M4875" t="s">
        <v>2661</v>
      </c>
    </row>
    <row r="4876" spans="1:13">
      <c r="A4876" t="s">
        <v>1982</v>
      </c>
      <c r="B4876" t="s">
        <v>192</v>
      </c>
      <c r="C4876" s="8">
        <v>46053</v>
      </c>
      <c r="D4876" t="s">
        <v>344</v>
      </c>
      <c r="E4876" t="s">
        <v>328</v>
      </c>
      <c r="F4876" s="12">
        <v>452843</v>
      </c>
      <c r="G4876" s="13">
        <v>45</v>
      </c>
      <c r="H4876" t="s">
        <v>3290</v>
      </c>
      <c r="I4876" s="8">
        <v>46248</v>
      </c>
      <c r="J4876" t="s">
        <v>2692</v>
      </c>
      <c r="K4876" t="s">
        <v>2693</v>
      </c>
      <c r="L4876" s="13">
        <v>10000</v>
      </c>
      <c r="M4876" t="s">
        <v>2661</v>
      </c>
    </row>
    <row r="4877" spans="1:13">
      <c r="A4877" t="s">
        <v>1982</v>
      </c>
      <c r="B4877" t="s">
        <v>192</v>
      </c>
      <c r="C4877" s="8">
        <v>46053</v>
      </c>
      <c r="D4877" t="s">
        <v>344</v>
      </c>
      <c r="E4877" t="s">
        <v>328</v>
      </c>
      <c r="F4877" s="12">
        <v>452843</v>
      </c>
      <c r="G4877" s="13">
        <v>45</v>
      </c>
      <c r="H4877" t="s">
        <v>3376</v>
      </c>
      <c r="I4877" s="8">
        <v>46286</v>
      </c>
      <c r="J4877" t="s">
        <v>2663</v>
      </c>
      <c r="K4877" t="s">
        <v>3630</v>
      </c>
      <c r="L4877" s="13">
        <v>1500</v>
      </c>
      <c r="M4877" t="s">
        <v>2661</v>
      </c>
    </row>
    <row r="4878" spans="1:13">
      <c r="A4878" t="s">
        <v>1983</v>
      </c>
      <c r="B4878" t="s">
        <v>57</v>
      </c>
      <c r="C4878" s="8">
        <v>46193</v>
      </c>
      <c r="D4878" t="s">
        <v>350</v>
      </c>
      <c r="E4878" t="s">
        <v>322</v>
      </c>
      <c r="F4878" s="12">
        <v>104640</v>
      </c>
      <c r="G4878" s="13">
        <v>10</v>
      </c>
      <c r="H4878" t="s">
        <v>3486</v>
      </c>
      <c r="I4878" s="8">
        <v>46159</v>
      </c>
      <c r="J4878" t="s">
        <v>2665</v>
      </c>
      <c r="K4878" t="s">
        <v>2666</v>
      </c>
      <c r="L4878" s="13">
        <v>2500</v>
      </c>
      <c r="M4878" t="s">
        <v>2661</v>
      </c>
    </row>
    <row r="4879" spans="1:13">
      <c r="A4879" t="s">
        <v>1984</v>
      </c>
      <c r="B4879" t="s">
        <v>8</v>
      </c>
      <c r="C4879" s="8">
        <v>46157</v>
      </c>
      <c r="D4879" t="s">
        <v>327</v>
      </c>
      <c r="E4879" t="s">
        <v>339</v>
      </c>
      <c r="F4879" s="12">
        <v>254089</v>
      </c>
      <c r="G4879" s="13">
        <v>25</v>
      </c>
      <c r="H4879" t="s">
        <v>3033</v>
      </c>
      <c r="I4879" s="8">
        <v>46098</v>
      </c>
      <c r="J4879" t="s">
        <v>2659</v>
      </c>
      <c r="K4879" t="s">
        <v>2660</v>
      </c>
      <c r="L4879" s="13">
        <v>3500</v>
      </c>
      <c r="M4879" t="s">
        <v>2676</v>
      </c>
    </row>
    <row r="4880" spans="1:13">
      <c r="A4880" t="s">
        <v>1984</v>
      </c>
      <c r="B4880" t="s">
        <v>8</v>
      </c>
      <c r="C4880" s="8">
        <v>46157</v>
      </c>
      <c r="D4880" t="s">
        <v>327</v>
      </c>
      <c r="E4880" t="s">
        <v>339</v>
      </c>
      <c r="F4880" s="12">
        <v>254089</v>
      </c>
      <c r="G4880" s="13">
        <v>25</v>
      </c>
      <c r="H4880" t="s">
        <v>3159</v>
      </c>
      <c r="I4880" s="8">
        <v>46079</v>
      </c>
      <c r="J4880" t="s">
        <v>2659</v>
      </c>
      <c r="K4880" t="s">
        <v>2660</v>
      </c>
      <c r="L4880" s="13">
        <v>3500</v>
      </c>
      <c r="M4880" t="s">
        <v>2661</v>
      </c>
    </row>
    <row r="4881" spans="1:13">
      <c r="A4881" t="s">
        <v>1984</v>
      </c>
      <c r="B4881" t="s">
        <v>8</v>
      </c>
      <c r="C4881" s="8">
        <v>46157</v>
      </c>
      <c r="D4881" t="s">
        <v>327</v>
      </c>
      <c r="E4881" t="s">
        <v>339</v>
      </c>
      <c r="F4881" s="12">
        <v>254089</v>
      </c>
      <c r="G4881" s="13">
        <v>25</v>
      </c>
      <c r="H4881" t="s">
        <v>3184</v>
      </c>
      <c r="I4881" s="8">
        <v>46261</v>
      </c>
      <c r="J4881" t="s">
        <v>2685</v>
      </c>
      <c r="K4881" t="s">
        <v>2686</v>
      </c>
      <c r="L4881" s="13">
        <v>5000</v>
      </c>
      <c r="M4881" t="s">
        <v>2661</v>
      </c>
    </row>
    <row r="4882" spans="1:13">
      <c r="A4882" t="s">
        <v>1984</v>
      </c>
      <c r="B4882" t="s">
        <v>8</v>
      </c>
      <c r="C4882" s="8">
        <v>46157</v>
      </c>
      <c r="D4882" t="s">
        <v>327</v>
      </c>
      <c r="E4882" t="s">
        <v>339</v>
      </c>
      <c r="F4882" s="12">
        <v>254089</v>
      </c>
      <c r="G4882" s="13">
        <v>25</v>
      </c>
      <c r="H4882" t="s">
        <v>3303</v>
      </c>
      <c r="I4882" s="8">
        <v>46196</v>
      </c>
      <c r="J4882" t="s">
        <v>2682</v>
      </c>
      <c r="K4882" t="s">
        <v>2683</v>
      </c>
      <c r="L4882" s="13">
        <v>6000</v>
      </c>
      <c r="M4882" t="s">
        <v>2676</v>
      </c>
    </row>
    <row r="4883" spans="1:13">
      <c r="A4883" t="s">
        <v>1984</v>
      </c>
      <c r="B4883" t="s">
        <v>8</v>
      </c>
      <c r="C4883" s="8">
        <v>46157</v>
      </c>
      <c r="D4883" t="s">
        <v>327</v>
      </c>
      <c r="E4883" t="s">
        <v>339</v>
      </c>
      <c r="F4883" s="12">
        <v>254089</v>
      </c>
      <c r="G4883" s="13">
        <v>25</v>
      </c>
      <c r="H4883" t="s">
        <v>3353</v>
      </c>
      <c r="I4883" s="8">
        <v>45991</v>
      </c>
      <c r="J4883" t="s">
        <v>2659</v>
      </c>
      <c r="K4883" t="s">
        <v>2660</v>
      </c>
      <c r="L4883" s="13">
        <v>3500</v>
      </c>
      <c r="M4883" t="s">
        <v>2661</v>
      </c>
    </row>
    <row r="4884" spans="1:13">
      <c r="A4884" t="s">
        <v>1985</v>
      </c>
      <c r="B4884" t="s">
        <v>133</v>
      </c>
      <c r="C4884" s="8">
        <v>46173</v>
      </c>
      <c r="D4884" t="s">
        <v>342</v>
      </c>
      <c r="E4884" t="s">
        <v>334</v>
      </c>
      <c r="F4884" s="12">
        <v>410708</v>
      </c>
      <c r="G4884" s="13">
        <v>41</v>
      </c>
      <c r="H4884" t="s">
        <v>2824</v>
      </c>
      <c r="I4884" s="8">
        <v>46219</v>
      </c>
      <c r="J4884" t="s">
        <v>2663</v>
      </c>
      <c r="K4884" t="s">
        <v>3630</v>
      </c>
      <c r="L4884" s="13">
        <v>1500</v>
      </c>
      <c r="M4884" t="s">
        <v>2676</v>
      </c>
    </row>
    <row r="4885" spans="1:13">
      <c r="A4885" t="s">
        <v>1985</v>
      </c>
      <c r="B4885" t="s">
        <v>133</v>
      </c>
      <c r="C4885" s="8">
        <v>46173</v>
      </c>
      <c r="D4885" t="s">
        <v>342</v>
      </c>
      <c r="E4885" t="s">
        <v>334</v>
      </c>
      <c r="F4885" s="12">
        <v>410708</v>
      </c>
      <c r="G4885" s="13">
        <v>41</v>
      </c>
      <c r="H4885" t="s">
        <v>2990</v>
      </c>
      <c r="I4885" s="8">
        <v>46254</v>
      </c>
      <c r="J4885" t="s">
        <v>2692</v>
      </c>
      <c r="K4885" t="s">
        <v>2693</v>
      </c>
      <c r="L4885" s="13">
        <v>10000</v>
      </c>
      <c r="M4885" t="s">
        <v>2676</v>
      </c>
    </row>
    <row r="4886" spans="1:13">
      <c r="A4886" t="s">
        <v>1986</v>
      </c>
      <c r="B4886" t="s">
        <v>53</v>
      </c>
      <c r="C4886" s="8">
        <v>46154</v>
      </c>
      <c r="D4886" t="s">
        <v>332</v>
      </c>
      <c r="E4886" t="s">
        <v>337</v>
      </c>
      <c r="F4886" s="12">
        <v>159366</v>
      </c>
      <c r="G4886" s="13">
        <v>15</v>
      </c>
      <c r="H4886" t="s">
        <v>3078</v>
      </c>
      <c r="I4886" s="8">
        <v>46177</v>
      </c>
      <c r="J4886" t="s">
        <v>2688</v>
      </c>
      <c r="K4886" t="s">
        <v>2689</v>
      </c>
      <c r="L4886" s="13">
        <v>8000</v>
      </c>
      <c r="M4886" t="s">
        <v>2676</v>
      </c>
    </row>
    <row r="4887" spans="1:13">
      <c r="A4887" t="s">
        <v>1986</v>
      </c>
      <c r="B4887" t="s">
        <v>53</v>
      </c>
      <c r="C4887" s="8">
        <v>46154</v>
      </c>
      <c r="D4887" t="s">
        <v>332</v>
      </c>
      <c r="E4887" t="s">
        <v>337</v>
      </c>
      <c r="F4887" s="12">
        <v>159366</v>
      </c>
      <c r="G4887" s="13">
        <v>15</v>
      </c>
      <c r="H4887" t="s">
        <v>3134</v>
      </c>
      <c r="I4887" s="8">
        <v>46053</v>
      </c>
      <c r="J4887" t="s">
        <v>2688</v>
      </c>
      <c r="K4887" t="s">
        <v>2689</v>
      </c>
      <c r="L4887" s="13">
        <v>8000</v>
      </c>
      <c r="M4887" t="s">
        <v>2676</v>
      </c>
    </row>
    <row r="4888" spans="1:13">
      <c r="A4888" t="s">
        <v>1986</v>
      </c>
      <c r="B4888" t="s">
        <v>53</v>
      </c>
      <c r="C4888" s="8">
        <v>46154</v>
      </c>
      <c r="D4888" t="s">
        <v>332</v>
      </c>
      <c r="E4888" t="s">
        <v>337</v>
      </c>
      <c r="F4888" s="12">
        <v>159366</v>
      </c>
      <c r="G4888" s="13">
        <v>15</v>
      </c>
      <c r="H4888" t="s">
        <v>3436</v>
      </c>
      <c r="I4888" s="8">
        <v>46002</v>
      </c>
      <c r="J4888" t="s">
        <v>2685</v>
      </c>
      <c r="K4888" t="s">
        <v>2686</v>
      </c>
      <c r="L4888" s="13">
        <v>5000</v>
      </c>
      <c r="M4888" t="s">
        <v>2676</v>
      </c>
    </row>
    <row r="4889" spans="1:13">
      <c r="A4889" t="s">
        <v>1987</v>
      </c>
      <c r="B4889" t="s">
        <v>301</v>
      </c>
      <c r="C4889" s="8">
        <v>46011</v>
      </c>
      <c r="D4889" t="s">
        <v>344</v>
      </c>
      <c r="E4889" t="s">
        <v>325</v>
      </c>
      <c r="F4889" s="12">
        <v>327313</v>
      </c>
      <c r="G4889" s="13">
        <v>32</v>
      </c>
      <c r="H4889" t="s">
        <v>3559</v>
      </c>
      <c r="I4889" s="8">
        <v>46143</v>
      </c>
      <c r="J4889" t="s">
        <v>2663</v>
      </c>
      <c r="K4889" t="s">
        <v>3630</v>
      </c>
      <c r="L4889" s="13">
        <v>1500</v>
      </c>
      <c r="M4889" t="s">
        <v>2676</v>
      </c>
    </row>
    <row r="4890" spans="1:13">
      <c r="A4890" t="s">
        <v>1988</v>
      </c>
      <c r="B4890" t="s">
        <v>309</v>
      </c>
      <c r="C4890" s="8">
        <v>46070</v>
      </c>
      <c r="D4890" t="s">
        <v>350</v>
      </c>
      <c r="E4890" t="s">
        <v>322</v>
      </c>
      <c r="F4890" s="12">
        <v>285694</v>
      </c>
      <c r="G4890" s="13">
        <v>28</v>
      </c>
      <c r="H4890" t="s">
        <v>2727</v>
      </c>
      <c r="I4890" s="8">
        <v>46058</v>
      </c>
      <c r="J4890" t="s">
        <v>2659</v>
      </c>
      <c r="K4890" t="s">
        <v>2660</v>
      </c>
      <c r="L4890" s="13">
        <v>3500</v>
      </c>
      <c r="M4890" t="s">
        <v>2661</v>
      </c>
    </row>
    <row r="4891" spans="1:13">
      <c r="A4891" t="s">
        <v>1988</v>
      </c>
      <c r="B4891" t="s">
        <v>309</v>
      </c>
      <c r="C4891" s="8">
        <v>46070</v>
      </c>
      <c r="D4891" t="s">
        <v>350</v>
      </c>
      <c r="E4891" t="s">
        <v>322</v>
      </c>
      <c r="F4891" s="12">
        <v>285694</v>
      </c>
      <c r="G4891" s="13">
        <v>28</v>
      </c>
      <c r="H4891" t="s">
        <v>3115</v>
      </c>
      <c r="I4891" s="8">
        <v>45943</v>
      </c>
      <c r="J4891" t="s">
        <v>2682</v>
      </c>
      <c r="K4891" t="s">
        <v>2683</v>
      </c>
      <c r="L4891" s="13">
        <v>6000</v>
      </c>
      <c r="M4891" t="s">
        <v>2676</v>
      </c>
    </row>
    <row r="4892" spans="1:13">
      <c r="A4892" t="s">
        <v>1988</v>
      </c>
      <c r="B4892" t="s">
        <v>309</v>
      </c>
      <c r="C4892" s="8">
        <v>46070</v>
      </c>
      <c r="D4892" t="s">
        <v>350</v>
      </c>
      <c r="E4892" t="s">
        <v>322</v>
      </c>
      <c r="F4892" s="12">
        <v>285694</v>
      </c>
      <c r="G4892" s="13">
        <v>28</v>
      </c>
      <c r="H4892" t="s">
        <v>3418</v>
      </c>
      <c r="I4892" s="8">
        <v>46064</v>
      </c>
      <c r="J4892" t="s">
        <v>2665</v>
      </c>
      <c r="K4892" t="s">
        <v>2666</v>
      </c>
      <c r="L4892" s="13">
        <v>2500</v>
      </c>
      <c r="M4892" t="s">
        <v>2661</v>
      </c>
    </row>
    <row r="4893" spans="1:13">
      <c r="A4893" t="s">
        <v>1989</v>
      </c>
      <c r="B4893" t="s">
        <v>47</v>
      </c>
      <c r="C4893" s="8">
        <v>46160</v>
      </c>
      <c r="D4893" t="s">
        <v>330</v>
      </c>
      <c r="E4893" t="s">
        <v>339</v>
      </c>
      <c r="F4893" s="12">
        <v>527389</v>
      </c>
      <c r="G4893" s="13">
        <v>52</v>
      </c>
      <c r="H4893" t="s">
        <v>3291</v>
      </c>
      <c r="I4893" s="8">
        <v>46026</v>
      </c>
      <c r="J4893" t="s">
        <v>2674</v>
      </c>
      <c r="K4893" t="s">
        <v>2675</v>
      </c>
      <c r="L4893" s="13">
        <v>20000</v>
      </c>
      <c r="M4893" t="s">
        <v>2661</v>
      </c>
    </row>
    <row r="4894" spans="1:13">
      <c r="A4894" t="s">
        <v>1990</v>
      </c>
      <c r="B4894" t="s">
        <v>126</v>
      </c>
      <c r="C4894" s="8">
        <v>46019</v>
      </c>
      <c r="D4894" t="s">
        <v>350</v>
      </c>
      <c r="E4894" t="s">
        <v>328</v>
      </c>
      <c r="F4894" s="12">
        <v>60643</v>
      </c>
      <c r="G4894" s="13">
        <v>6</v>
      </c>
      <c r="H4894" t="s">
        <v>2798</v>
      </c>
      <c r="I4894" s="8">
        <v>46235</v>
      </c>
      <c r="J4894" t="s">
        <v>2659</v>
      </c>
      <c r="K4894" t="s">
        <v>2660</v>
      </c>
      <c r="L4894" s="13">
        <v>3500</v>
      </c>
      <c r="M4894" t="s">
        <v>2661</v>
      </c>
    </row>
    <row r="4895" spans="1:13">
      <c r="A4895" t="s">
        <v>1990</v>
      </c>
      <c r="B4895" t="s">
        <v>126</v>
      </c>
      <c r="C4895" s="8">
        <v>46019</v>
      </c>
      <c r="D4895" t="s">
        <v>350</v>
      </c>
      <c r="E4895" t="s">
        <v>328</v>
      </c>
      <c r="F4895" s="12">
        <v>60643</v>
      </c>
      <c r="G4895" s="13">
        <v>6</v>
      </c>
      <c r="H4895" t="s">
        <v>3334</v>
      </c>
      <c r="I4895" s="8">
        <v>46254</v>
      </c>
      <c r="J4895" t="s">
        <v>2692</v>
      </c>
      <c r="K4895" t="s">
        <v>2693</v>
      </c>
      <c r="L4895" s="13">
        <v>10000</v>
      </c>
      <c r="M4895" t="s">
        <v>2676</v>
      </c>
    </row>
    <row r="4896" spans="1:13">
      <c r="A4896" t="s">
        <v>1991</v>
      </c>
      <c r="B4896" t="s">
        <v>68</v>
      </c>
      <c r="C4896" s="8">
        <v>46173</v>
      </c>
      <c r="D4896" t="s">
        <v>324</v>
      </c>
      <c r="E4896" t="s">
        <v>337</v>
      </c>
      <c r="F4896" s="12">
        <v>946459</v>
      </c>
      <c r="G4896" s="13">
        <v>94</v>
      </c>
      <c r="H4896" t="s">
        <v>2869</v>
      </c>
      <c r="I4896" s="8">
        <v>46266</v>
      </c>
      <c r="J4896" t="s">
        <v>2671</v>
      </c>
      <c r="K4896" t="s">
        <v>2672</v>
      </c>
      <c r="L4896" s="13">
        <v>3000</v>
      </c>
      <c r="M4896" t="s">
        <v>2661</v>
      </c>
    </row>
    <row r="4897" spans="1:13">
      <c r="A4897" t="s">
        <v>1991</v>
      </c>
      <c r="B4897" t="s">
        <v>68</v>
      </c>
      <c r="C4897" s="8">
        <v>46173</v>
      </c>
      <c r="D4897" t="s">
        <v>324</v>
      </c>
      <c r="E4897" t="s">
        <v>337</v>
      </c>
      <c r="F4897" s="12">
        <v>946459</v>
      </c>
      <c r="G4897" s="13">
        <v>94</v>
      </c>
      <c r="H4897" t="s">
        <v>3248</v>
      </c>
      <c r="I4897" s="8">
        <v>45945</v>
      </c>
      <c r="J4897" t="s">
        <v>2682</v>
      </c>
      <c r="K4897" t="s">
        <v>2683</v>
      </c>
      <c r="L4897" s="13">
        <v>6000</v>
      </c>
      <c r="M4897" t="s">
        <v>2661</v>
      </c>
    </row>
    <row r="4898" spans="1:13">
      <c r="A4898" t="s">
        <v>1991</v>
      </c>
      <c r="B4898" t="s">
        <v>68</v>
      </c>
      <c r="C4898" s="8">
        <v>46173</v>
      </c>
      <c r="D4898" t="s">
        <v>324</v>
      </c>
      <c r="E4898" t="s">
        <v>337</v>
      </c>
      <c r="F4898" s="12">
        <v>946459</v>
      </c>
      <c r="G4898" s="13">
        <v>94</v>
      </c>
      <c r="H4898" t="s">
        <v>3506</v>
      </c>
      <c r="I4898" s="8">
        <v>46080</v>
      </c>
      <c r="J4898" t="s">
        <v>2668</v>
      </c>
      <c r="K4898" t="s">
        <v>2669</v>
      </c>
      <c r="L4898" s="13">
        <v>4000</v>
      </c>
      <c r="M4898" t="s">
        <v>2661</v>
      </c>
    </row>
    <row r="4899" spans="1:13">
      <c r="A4899" t="s">
        <v>1992</v>
      </c>
      <c r="B4899" t="s">
        <v>261</v>
      </c>
      <c r="C4899" s="8">
        <v>46262</v>
      </c>
      <c r="D4899" t="s">
        <v>350</v>
      </c>
      <c r="E4899" t="s">
        <v>322</v>
      </c>
      <c r="F4899" s="12">
        <v>515747</v>
      </c>
      <c r="G4899" s="13">
        <v>51</v>
      </c>
      <c r="H4899" t="s">
        <v>2876</v>
      </c>
      <c r="I4899" s="8">
        <v>45995</v>
      </c>
      <c r="J4899" t="s">
        <v>2674</v>
      </c>
      <c r="K4899" t="s">
        <v>2675</v>
      </c>
      <c r="L4899" s="13">
        <v>20000</v>
      </c>
      <c r="M4899" t="s">
        <v>2661</v>
      </c>
    </row>
    <row r="4900" spans="1:13">
      <c r="A4900" t="s">
        <v>1992</v>
      </c>
      <c r="B4900" t="s">
        <v>261</v>
      </c>
      <c r="C4900" s="8">
        <v>46262</v>
      </c>
      <c r="D4900" t="s">
        <v>350</v>
      </c>
      <c r="E4900" t="s">
        <v>322</v>
      </c>
      <c r="F4900" s="12">
        <v>515747</v>
      </c>
      <c r="G4900" s="13">
        <v>51</v>
      </c>
      <c r="H4900" t="s">
        <v>3363</v>
      </c>
      <c r="I4900" s="8">
        <v>46057</v>
      </c>
      <c r="J4900" t="s">
        <v>2685</v>
      </c>
      <c r="K4900" t="s">
        <v>2686</v>
      </c>
      <c r="L4900" s="13">
        <v>5000</v>
      </c>
      <c r="M4900" t="s">
        <v>2661</v>
      </c>
    </row>
    <row r="4901" spans="1:13">
      <c r="A4901" t="s">
        <v>1993</v>
      </c>
      <c r="B4901" t="s">
        <v>65</v>
      </c>
      <c r="C4901" s="8">
        <v>46214</v>
      </c>
      <c r="D4901" t="s">
        <v>324</v>
      </c>
      <c r="E4901" t="s">
        <v>322</v>
      </c>
      <c r="F4901" s="12">
        <v>1128043</v>
      </c>
      <c r="G4901" s="13">
        <v>112</v>
      </c>
      <c r="H4901" t="s">
        <v>2801</v>
      </c>
      <c r="I4901" s="8">
        <v>46162</v>
      </c>
      <c r="J4901" t="s">
        <v>2688</v>
      </c>
      <c r="K4901" t="s">
        <v>2689</v>
      </c>
      <c r="L4901" s="13">
        <v>8000</v>
      </c>
      <c r="M4901" t="s">
        <v>2661</v>
      </c>
    </row>
    <row r="4902" spans="1:13">
      <c r="A4902" t="s">
        <v>1993</v>
      </c>
      <c r="B4902" t="s">
        <v>65</v>
      </c>
      <c r="C4902" s="8">
        <v>46214</v>
      </c>
      <c r="D4902" t="s">
        <v>324</v>
      </c>
      <c r="E4902" t="s">
        <v>322</v>
      </c>
      <c r="F4902" s="12">
        <v>1128043</v>
      </c>
      <c r="G4902" s="13">
        <v>112</v>
      </c>
      <c r="H4902" t="s">
        <v>2826</v>
      </c>
      <c r="I4902" s="8">
        <v>46147</v>
      </c>
      <c r="J4902" t="s">
        <v>2674</v>
      </c>
      <c r="K4902" t="s">
        <v>2675</v>
      </c>
      <c r="L4902" s="13">
        <v>20000</v>
      </c>
      <c r="M4902" t="s">
        <v>2661</v>
      </c>
    </row>
    <row r="4903" spans="1:13">
      <c r="A4903" t="s">
        <v>1993</v>
      </c>
      <c r="B4903" t="s">
        <v>65</v>
      </c>
      <c r="C4903" s="8">
        <v>46214</v>
      </c>
      <c r="D4903" t="s">
        <v>324</v>
      </c>
      <c r="E4903" t="s">
        <v>322</v>
      </c>
      <c r="F4903" s="12">
        <v>1128043</v>
      </c>
      <c r="G4903" s="13">
        <v>112</v>
      </c>
      <c r="H4903" t="s">
        <v>3124</v>
      </c>
      <c r="I4903" s="8">
        <v>46278</v>
      </c>
      <c r="J4903" t="s">
        <v>2674</v>
      </c>
      <c r="K4903" t="s">
        <v>2675</v>
      </c>
      <c r="L4903" s="13">
        <v>20000</v>
      </c>
      <c r="M4903" t="s">
        <v>2661</v>
      </c>
    </row>
    <row r="4904" spans="1:13">
      <c r="A4904" t="s">
        <v>1993</v>
      </c>
      <c r="B4904" t="s">
        <v>65</v>
      </c>
      <c r="C4904" s="8">
        <v>46214</v>
      </c>
      <c r="D4904" t="s">
        <v>324</v>
      </c>
      <c r="E4904" t="s">
        <v>322</v>
      </c>
      <c r="F4904" s="12">
        <v>1128043</v>
      </c>
      <c r="G4904" s="13">
        <v>112</v>
      </c>
      <c r="H4904" t="s">
        <v>3167</v>
      </c>
      <c r="I4904" s="8">
        <v>46013</v>
      </c>
      <c r="J4904" t="s">
        <v>2685</v>
      </c>
      <c r="K4904" t="s">
        <v>2686</v>
      </c>
      <c r="L4904" s="13">
        <v>5000</v>
      </c>
      <c r="M4904" t="s">
        <v>2676</v>
      </c>
    </row>
    <row r="4905" spans="1:13">
      <c r="A4905" t="s">
        <v>1993</v>
      </c>
      <c r="B4905" t="s">
        <v>65</v>
      </c>
      <c r="C4905" s="8">
        <v>46214</v>
      </c>
      <c r="D4905" t="s">
        <v>324</v>
      </c>
      <c r="E4905" t="s">
        <v>322</v>
      </c>
      <c r="F4905" s="12">
        <v>1128043</v>
      </c>
      <c r="G4905" s="13">
        <v>112</v>
      </c>
      <c r="H4905" t="s">
        <v>3344</v>
      </c>
      <c r="I4905" s="8">
        <v>45982</v>
      </c>
      <c r="J4905" t="s">
        <v>2668</v>
      </c>
      <c r="K4905" t="s">
        <v>2669</v>
      </c>
      <c r="L4905" s="13">
        <v>4000</v>
      </c>
      <c r="M4905" t="s">
        <v>2661</v>
      </c>
    </row>
    <row r="4906" spans="1:13">
      <c r="A4906" t="s">
        <v>1994</v>
      </c>
      <c r="B4906" t="s">
        <v>261</v>
      </c>
      <c r="C4906" s="8">
        <v>46267</v>
      </c>
      <c r="D4906" t="s">
        <v>330</v>
      </c>
      <c r="E4906" t="s">
        <v>339</v>
      </c>
      <c r="F4906" s="12">
        <v>304858</v>
      </c>
      <c r="G4906" s="13">
        <v>30</v>
      </c>
      <c r="H4906" t="s">
        <v>2876</v>
      </c>
      <c r="I4906" s="8">
        <v>45995</v>
      </c>
      <c r="J4906" t="s">
        <v>2674</v>
      </c>
      <c r="K4906" t="s">
        <v>2675</v>
      </c>
      <c r="L4906" s="13">
        <v>20000</v>
      </c>
      <c r="M4906" t="s">
        <v>2661</v>
      </c>
    </row>
    <row r="4907" spans="1:13">
      <c r="A4907" t="s">
        <v>1994</v>
      </c>
      <c r="B4907" t="s">
        <v>261</v>
      </c>
      <c r="C4907" s="8">
        <v>46267</v>
      </c>
      <c r="D4907" t="s">
        <v>330</v>
      </c>
      <c r="E4907" t="s">
        <v>339</v>
      </c>
      <c r="F4907" s="12">
        <v>304858</v>
      </c>
      <c r="G4907" s="13">
        <v>30</v>
      </c>
      <c r="H4907" t="s">
        <v>3363</v>
      </c>
      <c r="I4907" s="8">
        <v>46057</v>
      </c>
      <c r="J4907" t="s">
        <v>2685</v>
      </c>
      <c r="K4907" t="s">
        <v>2686</v>
      </c>
      <c r="L4907" s="13">
        <v>5000</v>
      </c>
      <c r="M4907" t="s">
        <v>2661</v>
      </c>
    </row>
    <row r="4908" spans="1:13">
      <c r="A4908" t="s">
        <v>1995</v>
      </c>
      <c r="B4908" t="s">
        <v>199</v>
      </c>
      <c r="C4908" s="8">
        <v>46211</v>
      </c>
      <c r="D4908" t="s">
        <v>324</v>
      </c>
      <c r="E4908" t="s">
        <v>328</v>
      </c>
      <c r="F4908" s="12">
        <v>695083</v>
      </c>
      <c r="G4908" s="13">
        <v>69</v>
      </c>
      <c r="H4908" t="s">
        <v>2993</v>
      </c>
      <c r="I4908" s="8">
        <v>46086</v>
      </c>
      <c r="J4908" t="s">
        <v>2659</v>
      </c>
      <c r="K4908" t="s">
        <v>2660</v>
      </c>
      <c r="L4908" s="13">
        <v>3500</v>
      </c>
      <c r="M4908" t="s">
        <v>2661</v>
      </c>
    </row>
    <row r="4909" spans="1:13">
      <c r="A4909" t="s">
        <v>1995</v>
      </c>
      <c r="B4909" t="s">
        <v>199</v>
      </c>
      <c r="C4909" s="8">
        <v>46211</v>
      </c>
      <c r="D4909" t="s">
        <v>324</v>
      </c>
      <c r="E4909" t="s">
        <v>328</v>
      </c>
      <c r="F4909" s="12">
        <v>695083</v>
      </c>
      <c r="G4909" s="13">
        <v>69</v>
      </c>
      <c r="H4909" t="s">
        <v>3004</v>
      </c>
      <c r="I4909" s="8">
        <v>45974</v>
      </c>
      <c r="J4909" t="s">
        <v>2688</v>
      </c>
      <c r="K4909" t="s">
        <v>2689</v>
      </c>
      <c r="L4909" s="13">
        <v>8000</v>
      </c>
      <c r="M4909" t="s">
        <v>2661</v>
      </c>
    </row>
    <row r="4910" spans="1:13">
      <c r="A4910" t="s">
        <v>1995</v>
      </c>
      <c r="B4910" t="s">
        <v>199</v>
      </c>
      <c r="C4910" s="8">
        <v>46211</v>
      </c>
      <c r="D4910" t="s">
        <v>324</v>
      </c>
      <c r="E4910" t="s">
        <v>328</v>
      </c>
      <c r="F4910" s="12">
        <v>695083</v>
      </c>
      <c r="G4910" s="13">
        <v>69</v>
      </c>
      <c r="H4910" t="s">
        <v>3399</v>
      </c>
      <c r="I4910" s="8">
        <v>46093</v>
      </c>
      <c r="J4910" t="s">
        <v>2659</v>
      </c>
      <c r="K4910" t="s">
        <v>2660</v>
      </c>
      <c r="L4910" s="13">
        <v>3500</v>
      </c>
      <c r="M4910" t="s">
        <v>2661</v>
      </c>
    </row>
    <row r="4911" spans="1:13">
      <c r="A4911" t="s">
        <v>1995</v>
      </c>
      <c r="B4911" t="s">
        <v>199</v>
      </c>
      <c r="C4911" s="8">
        <v>46211</v>
      </c>
      <c r="D4911" t="s">
        <v>324</v>
      </c>
      <c r="E4911" t="s">
        <v>328</v>
      </c>
      <c r="F4911" s="12">
        <v>695083</v>
      </c>
      <c r="G4911" s="13">
        <v>69</v>
      </c>
      <c r="H4911" t="s">
        <v>3496</v>
      </c>
      <c r="I4911" s="8">
        <v>46020</v>
      </c>
      <c r="J4911" t="s">
        <v>2674</v>
      </c>
      <c r="K4911" t="s">
        <v>2675</v>
      </c>
      <c r="L4911" s="13">
        <v>20000</v>
      </c>
      <c r="M4911" t="s">
        <v>2661</v>
      </c>
    </row>
    <row r="4912" spans="1:13">
      <c r="A4912" t="s">
        <v>1996</v>
      </c>
      <c r="B4912" t="s">
        <v>134</v>
      </c>
      <c r="C4912" s="8">
        <v>46273</v>
      </c>
      <c r="D4912" t="s">
        <v>327</v>
      </c>
      <c r="E4912" t="s">
        <v>339</v>
      </c>
      <c r="F4912" s="12">
        <v>29223</v>
      </c>
      <c r="G4912" s="13">
        <v>2</v>
      </c>
      <c r="H4912" t="s">
        <v>3183</v>
      </c>
      <c r="I4912" s="8">
        <v>46285</v>
      </c>
      <c r="J4912" t="s">
        <v>2663</v>
      </c>
      <c r="K4912" t="s">
        <v>3630</v>
      </c>
      <c r="L4912" s="13">
        <v>1500</v>
      </c>
      <c r="M4912" t="s">
        <v>2661</v>
      </c>
    </row>
    <row r="4913" spans="1:13">
      <c r="A4913" t="s">
        <v>1997</v>
      </c>
      <c r="B4913" t="s">
        <v>142</v>
      </c>
      <c r="C4913" s="8">
        <v>46033</v>
      </c>
      <c r="D4913" t="s">
        <v>327</v>
      </c>
      <c r="E4913" t="s">
        <v>325</v>
      </c>
      <c r="F4913" s="12">
        <v>649938</v>
      </c>
      <c r="G4913" s="13">
        <v>64</v>
      </c>
      <c r="H4913" t="s">
        <v>3558</v>
      </c>
      <c r="I4913" s="8">
        <v>46016</v>
      </c>
      <c r="J4913" t="s">
        <v>2663</v>
      </c>
      <c r="K4913" t="s">
        <v>3630</v>
      </c>
      <c r="L4913" s="13">
        <v>1500</v>
      </c>
      <c r="M4913" t="s">
        <v>2661</v>
      </c>
    </row>
    <row r="4914" spans="1:13">
      <c r="A4914" t="s">
        <v>1998</v>
      </c>
      <c r="B4914" t="s">
        <v>115</v>
      </c>
      <c r="C4914" s="8">
        <v>46068</v>
      </c>
      <c r="D4914" t="s">
        <v>342</v>
      </c>
      <c r="E4914" t="s">
        <v>322</v>
      </c>
      <c r="F4914" s="12">
        <v>272582</v>
      </c>
      <c r="G4914" s="13">
        <v>27</v>
      </c>
      <c r="H4914" t="s">
        <v>2708</v>
      </c>
      <c r="I4914" s="8">
        <v>46007</v>
      </c>
      <c r="J4914" t="s">
        <v>2663</v>
      </c>
      <c r="K4914" t="s">
        <v>3630</v>
      </c>
      <c r="L4914" s="13">
        <v>1500</v>
      </c>
      <c r="M4914" t="s">
        <v>2661</v>
      </c>
    </row>
    <row r="4915" spans="1:13">
      <c r="A4915" t="s">
        <v>1998</v>
      </c>
      <c r="B4915" t="s">
        <v>115</v>
      </c>
      <c r="C4915" s="8">
        <v>46068</v>
      </c>
      <c r="D4915" t="s">
        <v>342</v>
      </c>
      <c r="E4915" t="s">
        <v>322</v>
      </c>
      <c r="F4915" s="12">
        <v>272582</v>
      </c>
      <c r="G4915" s="13">
        <v>27</v>
      </c>
      <c r="H4915" t="s">
        <v>3206</v>
      </c>
      <c r="I4915" s="8">
        <v>46044</v>
      </c>
      <c r="J4915" t="s">
        <v>2659</v>
      </c>
      <c r="K4915" t="s">
        <v>2660</v>
      </c>
      <c r="L4915" s="13">
        <v>3500</v>
      </c>
      <c r="M4915" t="s">
        <v>2661</v>
      </c>
    </row>
    <row r="4916" spans="1:13">
      <c r="A4916" t="s">
        <v>1998</v>
      </c>
      <c r="B4916" t="s">
        <v>115</v>
      </c>
      <c r="C4916" s="8">
        <v>46068</v>
      </c>
      <c r="D4916" t="s">
        <v>342</v>
      </c>
      <c r="E4916" t="s">
        <v>322</v>
      </c>
      <c r="F4916" s="12">
        <v>272582</v>
      </c>
      <c r="G4916" s="13">
        <v>27</v>
      </c>
      <c r="H4916" t="s">
        <v>3437</v>
      </c>
      <c r="I4916" s="8">
        <v>45996</v>
      </c>
      <c r="J4916" t="s">
        <v>2668</v>
      </c>
      <c r="K4916" t="s">
        <v>2669</v>
      </c>
      <c r="L4916" s="13">
        <v>4000</v>
      </c>
      <c r="M4916" t="s">
        <v>2661</v>
      </c>
    </row>
    <row r="4917" spans="1:13">
      <c r="A4917" t="s">
        <v>1999</v>
      </c>
      <c r="B4917" t="s">
        <v>243</v>
      </c>
      <c r="C4917" s="8">
        <v>46010</v>
      </c>
      <c r="D4917" t="s">
        <v>321</v>
      </c>
      <c r="E4917" t="s">
        <v>339</v>
      </c>
      <c r="F4917" s="12">
        <v>558680</v>
      </c>
      <c r="G4917" s="13">
        <v>55</v>
      </c>
      <c r="H4917" t="s">
        <v>2856</v>
      </c>
      <c r="I4917" s="8">
        <v>45973</v>
      </c>
      <c r="J4917" t="s">
        <v>2671</v>
      </c>
      <c r="K4917" t="s">
        <v>2672</v>
      </c>
      <c r="L4917" s="13">
        <v>3000</v>
      </c>
      <c r="M4917" t="s">
        <v>2661</v>
      </c>
    </row>
    <row r="4918" spans="1:13">
      <c r="A4918" t="s">
        <v>1999</v>
      </c>
      <c r="B4918" t="s">
        <v>243</v>
      </c>
      <c r="C4918" s="8">
        <v>46010</v>
      </c>
      <c r="D4918" t="s">
        <v>321</v>
      </c>
      <c r="E4918" t="s">
        <v>339</v>
      </c>
      <c r="F4918" s="12">
        <v>558680</v>
      </c>
      <c r="G4918" s="13">
        <v>55</v>
      </c>
      <c r="H4918" t="s">
        <v>3127</v>
      </c>
      <c r="I4918" s="8">
        <v>45944</v>
      </c>
      <c r="J4918" t="s">
        <v>2682</v>
      </c>
      <c r="K4918" t="s">
        <v>2683</v>
      </c>
      <c r="L4918" s="13">
        <v>6000</v>
      </c>
      <c r="M4918" t="s">
        <v>2661</v>
      </c>
    </row>
    <row r="4919" spans="1:13">
      <c r="A4919" t="s">
        <v>2000</v>
      </c>
      <c r="B4919" t="s">
        <v>16</v>
      </c>
      <c r="C4919" s="8">
        <v>45969</v>
      </c>
      <c r="D4919" t="s">
        <v>350</v>
      </c>
      <c r="E4919" t="s">
        <v>328</v>
      </c>
      <c r="F4919" s="12">
        <v>210902</v>
      </c>
      <c r="G4919" s="13">
        <v>21</v>
      </c>
      <c r="H4919" t="s">
        <v>2886</v>
      </c>
      <c r="I4919" s="8">
        <v>46006</v>
      </c>
      <c r="J4919" t="s">
        <v>2659</v>
      </c>
      <c r="K4919" t="s">
        <v>2660</v>
      </c>
      <c r="L4919" s="13">
        <v>3500</v>
      </c>
      <c r="M4919" t="s">
        <v>2661</v>
      </c>
    </row>
    <row r="4920" spans="1:13">
      <c r="A4920" t="s">
        <v>2000</v>
      </c>
      <c r="B4920" t="s">
        <v>16</v>
      </c>
      <c r="C4920" s="8">
        <v>45969</v>
      </c>
      <c r="D4920" t="s">
        <v>350</v>
      </c>
      <c r="E4920" t="s">
        <v>328</v>
      </c>
      <c r="F4920" s="12">
        <v>210902</v>
      </c>
      <c r="G4920" s="13">
        <v>21</v>
      </c>
      <c r="H4920" t="s">
        <v>3402</v>
      </c>
      <c r="I4920" s="8">
        <v>46050</v>
      </c>
      <c r="J4920" t="s">
        <v>2668</v>
      </c>
      <c r="K4920" t="s">
        <v>2669</v>
      </c>
      <c r="L4920" s="13">
        <v>4000</v>
      </c>
      <c r="M4920" t="s">
        <v>2661</v>
      </c>
    </row>
    <row r="4921" spans="1:13">
      <c r="A4921" t="s">
        <v>2001</v>
      </c>
      <c r="B4921" t="s">
        <v>170</v>
      </c>
      <c r="C4921" s="8">
        <v>46216</v>
      </c>
      <c r="D4921" t="s">
        <v>342</v>
      </c>
      <c r="E4921" t="s">
        <v>339</v>
      </c>
      <c r="F4921" s="12">
        <v>442343</v>
      </c>
      <c r="G4921" s="13">
        <v>44</v>
      </c>
      <c r="H4921" t="s">
        <v>2987</v>
      </c>
      <c r="I4921" s="8">
        <v>45962</v>
      </c>
      <c r="J4921" t="s">
        <v>2665</v>
      </c>
      <c r="K4921" t="s">
        <v>2666</v>
      </c>
      <c r="L4921" s="13">
        <v>2500</v>
      </c>
      <c r="M4921" t="s">
        <v>2661</v>
      </c>
    </row>
    <row r="4922" spans="1:13">
      <c r="A4922" t="s">
        <v>2001</v>
      </c>
      <c r="B4922" t="s">
        <v>170</v>
      </c>
      <c r="C4922" s="8">
        <v>46216</v>
      </c>
      <c r="D4922" t="s">
        <v>342</v>
      </c>
      <c r="E4922" t="s">
        <v>339</v>
      </c>
      <c r="F4922" s="12">
        <v>442343</v>
      </c>
      <c r="G4922" s="13">
        <v>44</v>
      </c>
      <c r="H4922" t="s">
        <v>3043</v>
      </c>
      <c r="I4922" s="8">
        <v>46277</v>
      </c>
      <c r="J4922" t="s">
        <v>2663</v>
      </c>
      <c r="K4922" t="s">
        <v>3630</v>
      </c>
      <c r="L4922" s="13">
        <v>1500</v>
      </c>
      <c r="M4922" t="s">
        <v>2676</v>
      </c>
    </row>
    <row r="4923" spans="1:13">
      <c r="A4923" t="s">
        <v>2002</v>
      </c>
      <c r="B4923" t="s">
        <v>149</v>
      </c>
      <c r="C4923" s="8">
        <v>46290</v>
      </c>
      <c r="D4923" t="s">
        <v>350</v>
      </c>
      <c r="E4923" t="s">
        <v>328</v>
      </c>
      <c r="F4923" s="12">
        <v>230533</v>
      </c>
      <c r="G4923" s="13">
        <v>23</v>
      </c>
      <c r="H4923" t="s">
        <v>3322</v>
      </c>
      <c r="I4923" s="8">
        <v>46285</v>
      </c>
      <c r="J4923" t="s">
        <v>2685</v>
      </c>
      <c r="K4923" t="s">
        <v>2686</v>
      </c>
      <c r="L4923" s="13">
        <v>5000</v>
      </c>
      <c r="M4923" t="s">
        <v>2661</v>
      </c>
    </row>
    <row r="4924" spans="1:13">
      <c r="A4924" t="s">
        <v>2003</v>
      </c>
      <c r="B4924" t="s">
        <v>126</v>
      </c>
      <c r="C4924" s="8">
        <v>45945</v>
      </c>
      <c r="D4924" t="s">
        <v>327</v>
      </c>
      <c r="E4924" t="s">
        <v>339</v>
      </c>
      <c r="F4924" s="12">
        <v>272942</v>
      </c>
      <c r="G4924" s="13">
        <v>27</v>
      </c>
      <c r="H4924" t="s">
        <v>2798</v>
      </c>
      <c r="I4924" s="8">
        <v>46235</v>
      </c>
      <c r="J4924" t="s">
        <v>2659</v>
      </c>
      <c r="K4924" t="s">
        <v>2660</v>
      </c>
      <c r="L4924" s="13">
        <v>3500</v>
      </c>
      <c r="M4924" t="s">
        <v>2661</v>
      </c>
    </row>
    <row r="4925" spans="1:13">
      <c r="A4925" t="s">
        <v>2003</v>
      </c>
      <c r="B4925" t="s">
        <v>126</v>
      </c>
      <c r="C4925" s="8">
        <v>45945</v>
      </c>
      <c r="D4925" t="s">
        <v>327</v>
      </c>
      <c r="E4925" t="s">
        <v>339</v>
      </c>
      <c r="F4925" s="12">
        <v>272942</v>
      </c>
      <c r="G4925" s="13">
        <v>27</v>
      </c>
      <c r="H4925" t="s">
        <v>3334</v>
      </c>
      <c r="I4925" s="8">
        <v>46254</v>
      </c>
      <c r="J4925" t="s">
        <v>2692</v>
      </c>
      <c r="K4925" t="s">
        <v>2693</v>
      </c>
      <c r="L4925" s="13">
        <v>10000</v>
      </c>
      <c r="M4925" t="s">
        <v>2676</v>
      </c>
    </row>
    <row r="4926" spans="1:13">
      <c r="A4926" t="s">
        <v>2004</v>
      </c>
      <c r="B4926" t="s">
        <v>237</v>
      </c>
      <c r="C4926" s="8">
        <v>46014</v>
      </c>
      <c r="D4926" t="s">
        <v>342</v>
      </c>
      <c r="E4926" t="s">
        <v>322</v>
      </c>
      <c r="F4926" s="12">
        <v>111231</v>
      </c>
      <c r="G4926" s="13">
        <v>11</v>
      </c>
      <c r="H4926" t="s">
        <v>2750</v>
      </c>
      <c r="I4926" s="8">
        <v>46183</v>
      </c>
      <c r="J4926" t="s">
        <v>2659</v>
      </c>
      <c r="K4926" t="s">
        <v>2660</v>
      </c>
      <c r="L4926" s="13">
        <v>3500</v>
      </c>
      <c r="M4926" t="s">
        <v>2661</v>
      </c>
    </row>
    <row r="4927" spans="1:13">
      <c r="A4927" t="s">
        <v>2004</v>
      </c>
      <c r="B4927" t="s">
        <v>237</v>
      </c>
      <c r="C4927" s="8">
        <v>46014</v>
      </c>
      <c r="D4927" t="s">
        <v>342</v>
      </c>
      <c r="E4927" t="s">
        <v>322</v>
      </c>
      <c r="F4927" s="12">
        <v>111231</v>
      </c>
      <c r="G4927" s="13">
        <v>11</v>
      </c>
      <c r="H4927" t="s">
        <v>2787</v>
      </c>
      <c r="I4927" s="8">
        <v>46144</v>
      </c>
      <c r="J4927" t="s">
        <v>2692</v>
      </c>
      <c r="K4927" t="s">
        <v>2693</v>
      </c>
      <c r="L4927" s="13">
        <v>10000</v>
      </c>
      <c r="M4927" t="s">
        <v>2661</v>
      </c>
    </row>
    <row r="4928" spans="1:13">
      <c r="A4928" t="s">
        <v>2004</v>
      </c>
      <c r="B4928" t="s">
        <v>237</v>
      </c>
      <c r="C4928" s="8">
        <v>46014</v>
      </c>
      <c r="D4928" t="s">
        <v>342</v>
      </c>
      <c r="E4928" t="s">
        <v>322</v>
      </c>
      <c r="F4928" s="12">
        <v>111231</v>
      </c>
      <c r="G4928" s="13">
        <v>11</v>
      </c>
      <c r="H4928" t="s">
        <v>3055</v>
      </c>
      <c r="I4928" s="8">
        <v>46201</v>
      </c>
      <c r="J4928" t="s">
        <v>2659</v>
      </c>
      <c r="K4928" t="s">
        <v>2660</v>
      </c>
      <c r="L4928" s="13">
        <v>3500</v>
      </c>
      <c r="M4928" t="s">
        <v>2661</v>
      </c>
    </row>
    <row r="4929" spans="1:13">
      <c r="A4929" t="s">
        <v>2004</v>
      </c>
      <c r="B4929" t="s">
        <v>237</v>
      </c>
      <c r="C4929" s="8">
        <v>46014</v>
      </c>
      <c r="D4929" t="s">
        <v>342</v>
      </c>
      <c r="E4929" t="s">
        <v>322</v>
      </c>
      <c r="F4929" s="12">
        <v>111231</v>
      </c>
      <c r="G4929" s="13">
        <v>11</v>
      </c>
      <c r="H4929" t="s">
        <v>3067</v>
      </c>
      <c r="I4929" s="8">
        <v>46122</v>
      </c>
      <c r="J4929" t="s">
        <v>2668</v>
      </c>
      <c r="K4929" t="s">
        <v>2669</v>
      </c>
      <c r="L4929" s="13">
        <v>4000</v>
      </c>
      <c r="M4929" t="s">
        <v>2661</v>
      </c>
    </row>
    <row r="4930" spans="1:13">
      <c r="A4930" t="s">
        <v>2004</v>
      </c>
      <c r="B4930" t="s">
        <v>237</v>
      </c>
      <c r="C4930" s="8">
        <v>46014</v>
      </c>
      <c r="D4930" t="s">
        <v>342</v>
      </c>
      <c r="E4930" t="s">
        <v>322</v>
      </c>
      <c r="F4930" s="12">
        <v>111231</v>
      </c>
      <c r="G4930" s="13">
        <v>11</v>
      </c>
      <c r="H4930" t="s">
        <v>3130</v>
      </c>
      <c r="I4930" s="8">
        <v>46003</v>
      </c>
      <c r="J4930" t="s">
        <v>2663</v>
      </c>
      <c r="K4930" t="s">
        <v>3630</v>
      </c>
      <c r="L4930" s="13">
        <v>1500</v>
      </c>
      <c r="M4930" t="s">
        <v>2661</v>
      </c>
    </row>
    <row r="4931" spans="1:13">
      <c r="A4931" t="s">
        <v>2004</v>
      </c>
      <c r="B4931" t="s">
        <v>237</v>
      </c>
      <c r="C4931" s="8">
        <v>46014</v>
      </c>
      <c r="D4931" t="s">
        <v>342</v>
      </c>
      <c r="E4931" t="s">
        <v>322</v>
      </c>
      <c r="F4931" s="12">
        <v>111231</v>
      </c>
      <c r="G4931" s="13">
        <v>11</v>
      </c>
      <c r="H4931" t="s">
        <v>3258</v>
      </c>
      <c r="I4931" s="8">
        <v>45979</v>
      </c>
      <c r="J4931" t="s">
        <v>2692</v>
      </c>
      <c r="K4931" t="s">
        <v>2693</v>
      </c>
      <c r="L4931" s="13">
        <v>10000</v>
      </c>
      <c r="M4931" t="s">
        <v>2661</v>
      </c>
    </row>
    <row r="4932" spans="1:13">
      <c r="A4932" t="s">
        <v>2004</v>
      </c>
      <c r="B4932" t="s">
        <v>237</v>
      </c>
      <c r="C4932" s="8">
        <v>46014</v>
      </c>
      <c r="D4932" t="s">
        <v>342</v>
      </c>
      <c r="E4932" t="s">
        <v>322</v>
      </c>
      <c r="F4932" s="12">
        <v>111231</v>
      </c>
      <c r="G4932" s="13">
        <v>11</v>
      </c>
      <c r="H4932" t="s">
        <v>3276</v>
      </c>
      <c r="I4932" s="8">
        <v>46127</v>
      </c>
      <c r="J4932" t="s">
        <v>2682</v>
      </c>
      <c r="K4932" t="s">
        <v>2683</v>
      </c>
      <c r="L4932" s="13">
        <v>6000</v>
      </c>
      <c r="M4932" t="s">
        <v>2661</v>
      </c>
    </row>
    <row r="4933" spans="1:13">
      <c r="A4933" t="s">
        <v>2006</v>
      </c>
      <c r="B4933" t="s">
        <v>57</v>
      </c>
      <c r="C4933" s="8">
        <v>46261</v>
      </c>
      <c r="D4933" t="s">
        <v>327</v>
      </c>
      <c r="E4933" t="s">
        <v>334</v>
      </c>
      <c r="F4933" s="12">
        <v>287528</v>
      </c>
      <c r="G4933" s="13">
        <v>28</v>
      </c>
      <c r="H4933" t="s">
        <v>3486</v>
      </c>
      <c r="I4933" s="8">
        <v>46159</v>
      </c>
      <c r="J4933" t="s">
        <v>2665</v>
      </c>
      <c r="K4933" t="s">
        <v>2666</v>
      </c>
      <c r="L4933" s="13">
        <v>2500</v>
      </c>
      <c r="M4933" t="s">
        <v>2661</v>
      </c>
    </row>
    <row r="4934" spans="1:13">
      <c r="A4934" t="s">
        <v>2007</v>
      </c>
      <c r="B4934" t="s">
        <v>233</v>
      </c>
      <c r="C4934" s="8">
        <v>45964</v>
      </c>
      <c r="D4934" t="s">
        <v>350</v>
      </c>
      <c r="E4934" t="s">
        <v>325</v>
      </c>
      <c r="F4934" s="12">
        <v>832872</v>
      </c>
      <c r="G4934" s="13">
        <v>83</v>
      </c>
      <c r="H4934" t="s">
        <v>2912</v>
      </c>
      <c r="I4934" s="8">
        <v>46184</v>
      </c>
      <c r="J4934" t="s">
        <v>2688</v>
      </c>
      <c r="K4934" t="s">
        <v>2689</v>
      </c>
      <c r="L4934" s="13">
        <v>8000</v>
      </c>
      <c r="M4934" t="s">
        <v>2676</v>
      </c>
    </row>
    <row r="4935" spans="1:13">
      <c r="A4935" t="s">
        <v>2007</v>
      </c>
      <c r="B4935" t="s">
        <v>233</v>
      </c>
      <c r="C4935" s="8">
        <v>45964</v>
      </c>
      <c r="D4935" t="s">
        <v>350</v>
      </c>
      <c r="E4935" t="s">
        <v>325</v>
      </c>
      <c r="F4935" s="12">
        <v>832872</v>
      </c>
      <c r="G4935" s="13">
        <v>83</v>
      </c>
      <c r="H4935" t="s">
        <v>3508</v>
      </c>
      <c r="I4935" s="8">
        <v>46183</v>
      </c>
      <c r="J4935" t="s">
        <v>2671</v>
      </c>
      <c r="K4935" t="s">
        <v>2672</v>
      </c>
      <c r="L4935" s="13">
        <v>3000</v>
      </c>
      <c r="M4935" t="s">
        <v>2661</v>
      </c>
    </row>
    <row r="4936" spans="1:13">
      <c r="A4936" t="s">
        <v>2008</v>
      </c>
      <c r="B4936" t="s">
        <v>23</v>
      </c>
      <c r="C4936" s="8">
        <v>46095</v>
      </c>
      <c r="D4936" t="s">
        <v>350</v>
      </c>
      <c r="E4936" t="s">
        <v>322</v>
      </c>
      <c r="F4936" s="12">
        <v>416284</v>
      </c>
      <c r="G4936" s="13">
        <v>41</v>
      </c>
      <c r="H4936" t="s">
        <v>2807</v>
      </c>
      <c r="I4936" s="8">
        <v>46239</v>
      </c>
      <c r="J4936" t="s">
        <v>2663</v>
      </c>
      <c r="K4936" t="s">
        <v>3630</v>
      </c>
      <c r="L4936" s="13">
        <v>1500</v>
      </c>
      <c r="M4936" t="s">
        <v>2661</v>
      </c>
    </row>
    <row r="4937" spans="1:13">
      <c r="A4937" t="s">
        <v>2008</v>
      </c>
      <c r="B4937" t="s">
        <v>23</v>
      </c>
      <c r="C4937" s="8">
        <v>46095</v>
      </c>
      <c r="D4937" t="s">
        <v>350</v>
      </c>
      <c r="E4937" t="s">
        <v>322</v>
      </c>
      <c r="F4937" s="12">
        <v>416284</v>
      </c>
      <c r="G4937" s="13">
        <v>41</v>
      </c>
      <c r="H4937" t="s">
        <v>2846</v>
      </c>
      <c r="I4937" s="8">
        <v>46148</v>
      </c>
      <c r="J4937" t="s">
        <v>2685</v>
      </c>
      <c r="K4937" t="s">
        <v>2686</v>
      </c>
      <c r="L4937" s="13">
        <v>5000</v>
      </c>
      <c r="M4937" t="s">
        <v>2661</v>
      </c>
    </row>
    <row r="4938" spans="1:13">
      <c r="A4938" t="s">
        <v>2008</v>
      </c>
      <c r="B4938" t="s">
        <v>23</v>
      </c>
      <c r="C4938" s="8">
        <v>46095</v>
      </c>
      <c r="D4938" t="s">
        <v>350</v>
      </c>
      <c r="E4938" t="s">
        <v>322</v>
      </c>
      <c r="F4938" s="12">
        <v>416284</v>
      </c>
      <c r="G4938" s="13">
        <v>41</v>
      </c>
      <c r="H4938" t="s">
        <v>2872</v>
      </c>
      <c r="I4938" s="8">
        <v>46180</v>
      </c>
      <c r="J4938" t="s">
        <v>2659</v>
      </c>
      <c r="K4938" t="s">
        <v>2660</v>
      </c>
      <c r="L4938" s="13">
        <v>3500</v>
      </c>
      <c r="M4938" t="s">
        <v>2661</v>
      </c>
    </row>
    <row r="4939" spans="1:13">
      <c r="A4939" t="s">
        <v>2008</v>
      </c>
      <c r="B4939" t="s">
        <v>23</v>
      </c>
      <c r="C4939" s="8">
        <v>46095</v>
      </c>
      <c r="D4939" t="s">
        <v>350</v>
      </c>
      <c r="E4939" t="s">
        <v>322</v>
      </c>
      <c r="F4939" s="12">
        <v>416284</v>
      </c>
      <c r="G4939" s="13">
        <v>41</v>
      </c>
      <c r="H4939" t="s">
        <v>2887</v>
      </c>
      <c r="I4939" s="8">
        <v>46147</v>
      </c>
      <c r="J4939" t="s">
        <v>2682</v>
      </c>
      <c r="K4939" t="s">
        <v>2683</v>
      </c>
      <c r="L4939" s="13">
        <v>6000</v>
      </c>
      <c r="M4939" t="s">
        <v>2661</v>
      </c>
    </row>
    <row r="4940" spans="1:13">
      <c r="A4940" t="s">
        <v>2008</v>
      </c>
      <c r="B4940" t="s">
        <v>23</v>
      </c>
      <c r="C4940" s="8">
        <v>46095</v>
      </c>
      <c r="D4940" t="s">
        <v>350</v>
      </c>
      <c r="E4940" t="s">
        <v>322</v>
      </c>
      <c r="F4940" s="12">
        <v>416284</v>
      </c>
      <c r="G4940" s="13">
        <v>41</v>
      </c>
      <c r="H4940" t="s">
        <v>3153</v>
      </c>
      <c r="I4940" s="8">
        <v>46122</v>
      </c>
      <c r="J4940" t="s">
        <v>2665</v>
      </c>
      <c r="K4940" t="s">
        <v>2666</v>
      </c>
      <c r="L4940" s="13">
        <v>2500</v>
      </c>
      <c r="M4940" t="s">
        <v>2676</v>
      </c>
    </row>
    <row r="4941" spans="1:13">
      <c r="A4941" t="s">
        <v>2008</v>
      </c>
      <c r="B4941" t="s">
        <v>23</v>
      </c>
      <c r="C4941" s="8">
        <v>46095</v>
      </c>
      <c r="D4941" t="s">
        <v>350</v>
      </c>
      <c r="E4941" t="s">
        <v>322</v>
      </c>
      <c r="F4941" s="12">
        <v>416284</v>
      </c>
      <c r="G4941" s="13">
        <v>41</v>
      </c>
      <c r="H4941" t="s">
        <v>3426</v>
      </c>
      <c r="I4941" s="8">
        <v>46038</v>
      </c>
      <c r="J4941" t="s">
        <v>2688</v>
      </c>
      <c r="K4941" t="s">
        <v>2689</v>
      </c>
      <c r="L4941" s="13">
        <v>8000</v>
      </c>
      <c r="M4941" t="s">
        <v>2661</v>
      </c>
    </row>
    <row r="4942" spans="1:13">
      <c r="A4942" t="s">
        <v>2009</v>
      </c>
      <c r="B4942" t="s">
        <v>48</v>
      </c>
      <c r="C4942" s="8">
        <v>45933</v>
      </c>
      <c r="D4942" t="s">
        <v>342</v>
      </c>
      <c r="E4942" t="s">
        <v>322</v>
      </c>
      <c r="F4942" s="12">
        <v>577265</v>
      </c>
      <c r="G4942" s="13">
        <v>57</v>
      </c>
      <c r="H4942" t="s">
        <v>3044</v>
      </c>
      <c r="I4942" s="8">
        <v>46137</v>
      </c>
      <c r="J4942" t="s">
        <v>2659</v>
      </c>
      <c r="K4942" t="s">
        <v>2660</v>
      </c>
      <c r="L4942" s="13">
        <v>3500</v>
      </c>
      <c r="M4942" t="s">
        <v>2676</v>
      </c>
    </row>
    <row r="4943" spans="1:13">
      <c r="A4943" t="s">
        <v>2009</v>
      </c>
      <c r="B4943" t="s">
        <v>48</v>
      </c>
      <c r="C4943" s="8">
        <v>45933</v>
      </c>
      <c r="D4943" t="s">
        <v>342</v>
      </c>
      <c r="E4943" t="s">
        <v>322</v>
      </c>
      <c r="F4943" s="12">
        <v>577265</v>
      </c>
      <c r="G4943" s="13">
        <v>57</v>
      </c>
      <c r="H4943" t="s">
        <v>3368</v>
      </c>
      <c r="I4943" s="8">
        <v>46171</v>
      </c>
      <c r="J4943" t="s">
        <v>2659</v>
      </c>
      <c r="K4943" t="s">
        <v>2660</v>
      </c>
      <c r="L4943" s="13">
        <v>3500</v>
      </c>
      <c r="M4943" t="s">
        <v>2676</v>
      </c>
    </row>
    <row r="4944" spans="1:13">
      <c r="A4944" t="s">
        <v>2009</v>
      </c>
      <c r="B4944" t="s">
        <v>48</v>
      </c>
      <c r="C4944" s="8">
        <v>45933</v>
      </c>
      <c r="D4944" t="s">
        <v>342</v>
      </c>
      <c r="E4944" t="s">
        <v>322</v>
      </c>
      <c r="F4944" s="12">
        <v>577265</v>
      </c>
      <c r="G4944" s="13">
        <v>57</v>
      </c>
      <c r="H4944" t="s">
        <v>3393</v>
      </c>
      <c r="I4944" s="8">
        <v>45952</v>
      </c>
      <c r="J4944" t="s">
        <v>2688</v>
      </c>
      <c r="K4944" t="s">
        <v>2689</v>
      </c>
      <c r="L4944" s="13">
        <v>8000</v>
      </c>
      <c r="M4944" t="s">
        <v>2661</v>
      </c>
    </row>
    <row r="4945" spans="1:13">
      <c r="A4945" t="s">
        <v>2010</v>
      </c>
      <c r="B4945" t="s">
        <v>204</v>
      </c>
      <c r="C4945" s="8">
        <v>46174</v>
      </c>
      <c r="D4945" t="s">
        <v>321</v>
      </c>
      <c r="E4945" t="s">
        <v>339</v>
      </c>
      <c r="F4945" s="12">
        <v>56301</v>
      </c>
      <c r="G4945" s="13">
        <v>5</v>
      </c>
      <c r="H4945" t="s">
        <v>3008</v>
      </c>
      <c r="I4945" s="8">
        <v>46076</v>
      </c>
      <c r="J4945" t="s">
        <v>2663</v>
      </c>
      <c r="K4945" t="s">
        <v>3630</v>
      </c>
      <c r="L4945" s="13">
        <v>1500</v>
      </c>
      <c r="M4945" t="s">
        <v>2661</v>
      </c>
    </row>
    <row r="4946" spans="1:13">
      <c r="A4946" t="s">
        <v>2010</v>
      </c>
      <c r="B4946" t="s">
        <v>204</v>
      </c>
      <c r="C4946" s="8">
        <v>46174</v>
      </c>
      <c r="D4946" t="s">
        <v>321</v>
      </c>
      <c r="E4946" t="s">
        <v>339</v>
      </c>
      <c r="F4946" s="12">
        <v>56301</v>
      </c>
      <c r="G4946" s="13">
        <v>5</v>
      </c>
      <c r="H4946" t="s">
        <v>3098</v>
      </c>
      <c r="I4946" s="8">
        <v>45974</v>
      </c>
      <c r="J4946" t="s">
        <v>2674</v>
      </c>
      <c r="K4946" t="s">
        <v>2675</v>
      </c>
      <c r="L4946" s="13">
        <v>20000</v>
      </c>
      <c r="M4946" t="s">
        <v>2661</v>
      </c>
    </row>
    <row r="4947" spans="1:13">
      <c r="A4947" t="s">
        <v>2010</v>
      </c>
      <c r="B4947" t="s">
        <v>204</v>
      </c>
      <c r="C4947" s="8">
        <v>46174</v>
      </c>
      <c r="D4947" t="s">
        <v>321</v>
      </c>
      <c r="E4947" t="s">
        <v>339</v>
      </c>
      <c r="F4947" s="12">
        <v>56301</v>
      </c>
      <c r="G4947" s="13">
        <v>5</v>
      </c>
      <c r="H4947" t="s">
        <v>3265</v>
      </c>
      <c r="I4947" s="8">
        <v>46085</v>
      </c>
      <c r="J4947" t="s">
        <v>2668</v>
      </c>
      <c r="K4947" t="s">
        <v>2669</v>
      </c>
      <c r="L4947" s="13">
        <v>4000</v>
      </c>
      <c r="M4947" t="s">
        <v>2676</v>
      </c>
    </row>
    <row r="4948" spans="1:13">
      <c r="A4948" t="s">
        <v>2010</v>
      </c>
      <c r="B4948" t="s">
        <v>204</v>
      </c>
      <c r="C4948" s="8">
        <v>46174</v>
      </c>
      <c r="D4948" t="s">
        <v>321</v>
      </c>
      <c r="E4948" t="s">
        <v>339</v>
      </c>
      <c r="F4948" s="12">
        <v>56301</v>
      </c>
      <c r="G4948" s="13">
        <v>5</v>
      </c>
      <c r="H4948" t="s">
        <v>3516</v>
      </c>
      <c r="I4948" s="8">
        <v>46167</v>
      </c>
      <c r="J4948" t="s">
        <v>2659</v>
      </c>
      <c r="K4948" t="s">
        <v>2660</v>
      </c>
      <c r="L4948" s="13">
        <v>3500</v>
      </c>
      <c r="M4948" t="s">
        <v>2661</v>
      </c>
    </row>
    <row r="4949" spans="1:13">
      <c r="A4949" t="s">
        <v>2011</v>
      </c>
      <c r="B4949" t="s">
        <v>142</v>
      </c>
      <c r="C4949" s="8">
        <v>46202</v>
      </c>
      <c r="D4949" t="s">
        <v>324</v>
      </c>
      <c r="E4949" t="s">
        <v>325</v>
      </c>
      <c r="F4949" s="12">
        <v>80289</v>
      </c>
      <c r="G4949" s="13">
        <v>8</v>
      </c>
      <c r="H4949" t="s">
        <v>3558</v>
      </c>
      <c r="I4949" s="8">
        <v>46016</v>
      </c>
      <c r="J4949" t="s">
        <v>2663</v>
      </c>
      <c r="K4949" t="s">
        <v>3630</v>
      </c>
      <c r="L4949" s="13">
        <v>1500</v>
      </c>
      <c r="M4949" t="s">
        <v>2661</v>
      </c>
    </row>
    <row r="4950" spans="1:13">
      <c r="A4950" t="s">
        <v>2012</v>
      </c>
      <c r="B4950" t="s">
        <v>167</v>
      </c>
      <c r="C4950" s="8">
        <v>45935</v>
      </c>
      <c r="D4950" t="s">
        <v>342</v>
      </c>
      <c r="E4950" t="s">
        <v>337</v>
      </c>
      <c r="F4950" s="12">
        <v>534816</v>
      </c>
      <c r="G4950" s="13">
        <v>53</v>
      </c>
      <c r="H4950" t="s">
        <v>2714</v>
      </c>
      <c r="I4950" s="8">
        <v>45991</v>
      </c>
      <c r="J4950" t="s">
        <v>2663</v>
      </c>
      <c r="K4950" t="s">
        <v>3630</v>
      </c>
      <c r="L4950" s="13">
        <v>1500</v>
      </c>
      <c r="M4950" t="s">
        <v>2661</v>
      </c>
    </row>
    <row r="4951" spans="1:13">
      <c r="A4951" t="s">
        <v>2012</v>
      </c>
      <c r="B4951" t="s">
        <v>167</v>
      </c>
      <c r="C4951" s="8">
        <v>45935</v>
      </c>
      <c r="D4951" t="s">
        <v>342</v>
      </c>
      <c r="E4951" t="s">
        <v>337</v>
      </c>
      <c r="F4951" s="12">
        <v>534816</v>
      </c>
      <c r="G4951" s="13">
        <v>53</v>
      </c>
      <c r="H4951" t="s">
        <v>3024</v>
      </c>
      <c r="I4951" s="8">
        <v>46163</v>
      </c>
      <c r="J4951" t="s">
        <v>2665</v>
      </c>
      <c r="K4951" t="s">
        <v>2666</v>
      </c>
      <c r="L4951" s="13">
        <v>2500</v>
      </c>
      <c r="M4951" t="s">
        <v>2661</v>
      </c>
    </row>
    <row r="4952" spans="1:13">
      <c r="A4952" t="s">
        <v>2012</v>
      </c>
      <c r="B4952" t="s">
        <v>167</v>
      </c>
      <c r="C4952" s="8">
        <v>45935</v>
      </c>
      <c r="D4952" t="s">
        <v>342</v>
      </c>
      <c r="E4952" t="s">
        <v>337</v>
      </c>
      <c r="F4952" s="12">
        <v>534816</v>
      </c>
      <c r="G4952" s="13">
        <v>53</v>
      </c>
      <c r="H4952" t="s">
        <v>3573</v>
      </c>
      <c r="I4952" s="8">
        <v>46043</v>
      </c>
      <c r="J4952" t="s">
        <v>2671</v>
      </c>
      <c r="K4952" t="s">
        <v>2672</v>
      </c>
      <c r="L4952" s="13">
        <v>3000</v>
      </c>
      <c r="M4952" t="s">
        <v>2661</v>
      </c>
    </row>
    <row r="4953" spans="1:13">
      <c r="A4953" t="s">
        <v>2013</v>
      </c>
      <c r="B4953" t="s">
        <v>139</v>
      </c>
      <c r="C4953" s="8">
        <v>46014</v>
      </c>
      <c r="D4953" t="s">
        <v>324</v>
      </c>
      <c r="E4953" t="s">
        <v>337</v>
      </c>
      <c r="F4953" s="12">
        <v>400625</v>
      </c>
      <c r="G4953" s="13">
        <v>40</v>
      </c>
      <c r="H4953" t="s">
        <v>2789</v>
      </c>
      <c r="I4953" s="8">
        <v>46277</v>
      </c>
      <c r="J4953" t="s">
        <v>2688</v>
      </c>
      <c r="K4953" t="s">
        <v>2689</v>
      </c>
      <c r="L4953" s="13">
        <v>8000</v>
      </c>
      <c r="M4953" t="s">
        <v>2661</v>
      </c>
    </row>
    <row r="4954" spans="1:13">
      <c r="A4954" t="s">
        <v>2013</v>
      </c>
      <c r="B4954" t="s">
        <v>139</v>
      </c>
      <c r="C4954" s="8">
        <v>46014</v>
      </c>
      <c r="D4954" t="s">
        <v>324</v>
      </c>
      <c r="E4954" t="s">
        <v>337</v>
      </c>
      <c r="F4954" s="12">
        <v>400625</v>
      </c>
      <c r="G4954" s="13">
        <v>40</v>
      </c>
      <c r="H4954" t="s">
        <v>3190</v>
      </c>
      <c r="I4954" s="8">
        <v>46132</v>
      </c>
      <c r="J4954" t="s">
        <v>2685</v>
      </c>
      <c r="K4954" t="s">
        <v>2686</v>
      </c>
      <c r="L4954" s="13">
        <v>5000</v>
      </c>
      <c r="M4954" t="s">
        <v>2676</v>
      </c>
    </row>
    <row r="4955" spans="1:13">
      <c r="A4955" t="s">
        <v>2013</v>
      </c>
      <c r="B4955" t="s">
        <v>139</v>
      </c>
      <c r="C4955" s="8">
        <v>46014</v>
      </c>
      <c r="D4955" t="s">
        <v>324</v>
      </c>
      <c r="E4955" t="s">
        <v>337</v>
      </c>
      <c r="F4955" s="12">
        <v>400625</v>
      </c>
      <c r="G4955" s="13">
        <v>40</v>
      </c>
      <c r="H4955" t="s">
        <v>3216</v>
      </c>
      <c r="I4955" s="8">
        <v>46268</v>
      </c>
      <c r="J4955" t="s">
        <v>2668</v>
      </c>
      <c r="K4955" t="s">
        <v>2669</v>
      </c>
      <c r="L4955" s="13">
        <v>4000</v>
      </c>
      <c r="M4955" t="s">
        <v>2676</v>
      </c>
    </row>
    <row r="4956" spans="1:13">
      <c r="A4956" t="s">
        <v>2014</v>
      </c>
      <c r="B4956" t="s">
        <v>69</v>
      </c>
      <c r="C4956" s="8">
        <v>45986</v>
      </c>
      <c r="D4956" t="s">
        <v>330</v>
      </c>
      <c r="E4956" t="s">
        <v>328</v>
      </c>
      <c r="F4956" s="12">
        <v>413966</v>
      </c>
      <c r="G4956" s="13">
        <v>41</v>
      </c>
      <c r="H4956" t="s">
        <v>2723</v>
      </c>
      <c r="I4956" s="8">
        <v>46140</v>
      </c>
      <c r="J4956" t="s">
        <v>2688</v>
      </c>
      <c r="K4956" t="s">
        <v>2689</v>
      </c>
      <c r="L4956" s="13">
        <v>8000</v>
      </c>
      <c r="M4956" t="s">
        <v>2661</v>
      </c>
    </row>
    <row r="4957" spans="1:13">
      <c r="A4957" t="s">
        <v>2014</v>
      </c>
      <c r="B4957" t="s">
        <v>69</v>
      </c>
      <c r="C4957" s="8">
        <v>45986</v>
      </c>
      <c r="D4957" t="s">
        <v>330</v>
      </c>
      <c r="E4957" t="s">
        <v>328</v>
      </c>
      <c r="F4957" s="12">
        <v>413966</v>
      </c>
      <c r="G4957" s="13">
        <v>41</v>
      </c>
      <c r="H4957" t="s">
        <v>2822</v>
      </c>
      <c r="I4957" s="8">
        <v>46159</v>
      </c>
      <c r="J4957" t="s">
        <v>2668</v>
      </c>
      <c r="K4957" t="s">
        <v>2669</v>
      </c>
      <c r="L4957" s="13">
        <v>4000</v>
      </c>
      <c r="M4957" t="s">
        <v>2661</v>
      </c>
    </row>
    <row r="4958" spans="1:13">
      <c r="A4958" t="s">
        <v>2014</v>
      </c>
      <c r="B4958" t="s">
        <v>69</v>
      </c>
      <c r="C4958" s="8">
        <v>45986</v>
      </c>
      <c r="D4958" t="s">
        <v>330</v>
      </c>
      <c r="E4958" t="s">
        <v>328</v>
      </c>
      <c r="F4958" s="12">
        <v>413966</v>
      </c>
      <c r="G4958" s="13">
        <v>41</v>
      </c>
      <c r="H4958" t="s">
        <v>3513</v>
      </c>
      <c r="I4958" s="8">
        <v>46161</v>
      </c>
      <c r="J4958" t="s">
        <v>2692</v>
      </c>
      <c r="K4958" t="s">
        <v>2693</v>
      </c>
      <c r="L4958" s="13">
        <v>10000</v>
      </c>
      <c r="M4958" t="s">
        <v>2661</v>
      </c>
    </row>
    <row r="4959" spans="1:13">
      <c r="A4959" t="s">
        <v>2015</v>
      </c>
      <c r="B4959" t="s">
        <v>278</v>
      </c>
      <c r="C4959" s="8">
        <v>46107</v>
      </c>
      <c r="D4959" t="s">
        <v>321</v>
      </c>
      <c r="E4959" t="s">
        <v>325</v>
      </c>
      <c r="F4959" s="12">
        <v>430396</v>
      </c>
      <c r="G4959" s="13">
        <v>43</v>
      </c>
      <c r="H4959" t="s">
        <v>2818</v>
      </c>
      <c r="I4959" s="8">
        <v>45998</v>
      </c>
      <c r="J4959" t="s">
        <v>2685</v>
      </c>
      <c r="K4959" t="s">
        <v>2686</v>
      </c>
      <c r="L4959" s="13">
        <v>5000</v>
      </c>
      <c r="M4959" t="s">
        <v>2661</v>
      </c>
    </row>
    <row r="4960" spans="1:13">
      <c r="A4960" t="s">
        <v>2015</v>
      </c>
      <c r="B4960" t="s">
        <v>278</v>
      </c>
      <c r="C4960" s="8">
        <v>46107</v>
      </c>
      <c r="D4960" t="s">
        <v>321</v>
      </c>
      <c r="E4960" t="s">
        <v>325</v>
      </c>
      <c r="F4960" s="12">
        <v>430396</v>
      </c>
      <c r="G4960" s="13">
        <v>43</v>
      </c>
      <c r="H4960" t="s">
        <v>3083</v>
      </c>
      <c r="I4960" s="8">
        <v>46001</v>
      </c>
      <c r="J4960" t="s">
        <v>2671</v>
      </c>
      <c r="K4960" t="s">
        <v>2672</v>
      </c>
      <c r="L4960" s="13">
        <v>3000</v>
      </c>
      <c r="M4960" t="s">
        <v>2676</v>
      </c>
    </row>
    <row r="4961" spans="1:13">
      <c r="A4961" t="s">
        <v>2015</v>
      </c>
      <c r="B4961" t="s">
        <v>278</v>
      </c>
      <c r="C4961" s="8">
        <v>46107</v>
      </c>
      <c r="D4961" t="s">
        <v>321</v>
      </c>
      <c r="E4961" t="s">
        <v>325</v>
      </c>
      <c r="F4961" s="12">
        <v>430396</v>
      </c>
      <c r="G4961" s="13">
        <v>43</v>
      </c>
      <c r="H4961" t="s">
        <v>3093</v>
      </c>
      <c r="I4961" s="8">
        <v>46073</v>
      </c>
      <c r="J4961" t="s">
        <v>2668</v>
      </c>
      <c r="K4961" t="s">
        <v>2669</v>
      </c>
      <c r="L4961" s="13">
        <v>4000</v>
      </c>
      <c r="M4961" t="s">
        <v>2661</v>
      </c>
    </row>
    <row r="4962" spans="1:13">
      <c r="A4962" t="s">
        <v>2016</v>
      </c>
      <c r="B4962" t="s">
        <v>259</v>
      </c>
      <c r="C4962" s="8">
        <v>46016</v>
      </c>
      <c r="D4962" t="s">
        <v>321</v>
      </c>
      <c r="E4962" t="s">
        <v>325</v>
      </c>
      <c r="F4962" s="12">
        <v>90370</v>
      </c>
      <c r="G4962" s="13">
        <v>9</v>
      </c>
      <c r="H4962" t="s">
        <v>2802</v>
      </c>
      <c r="I4962" s="8">
        <v>46222</v>
      </c>
      <c r="J4962" t="s">
        <v>2668</v>
      </c>
      <c r="K4962" t="s">
        <v>2669</v>
      </c>
      <c r="L4962" s="13">
        <v>4000</v>
      </c>
      <c r="M4962" t="s">
        <v>2661</v>
      </c>
    </row>
    <row r="4963" spans="1:13">
      <c r="A4963" t="s">
        <v>2016</v>
      </c>
      <c r="B4963" t="s">
        <v>259</v>
      </c>
      <c r="C4963" s="8">
        <v>46016</v>
      </c>
      <c r="D4963" t="s">
        <v>321</v>
      </c>
      <c r="E4963" t="s">
        <v>325</v>
      </c>
      <c r="F4963" s="12">
        <v>90370</v>
      </c>
      <c r="G4963" s="13">
        <v>9</v>
      </c>
      <c r="H4963" t="s">
        <v>2933</v>
      </c>
      <c r="I4963" s="8">
        <v>46183</v>
      </c>
      <c r="J4963" t="s">
        <v>2674</v>
      </c>
      <c r="K4963" t="s">
        <v>2675</v>
      </c>
      <c r="L4963" s="13">
        <v>20000</v>
      </c>
      <c r="M4963" t="s">
        <v>2661</v>
      </c>
    </row>
    <row r="4964" spans="1:13">
      <c r="A4964" t="s">
        <v>2016</v>
      </c>
      <c r="B4964" t="s">
        <v>259</v>
      </c>
      <c r="C4964" s="8">
        <v>46016</v>
      </c>
      <c r="D4964" t="s">
        <v>321</v>
      </c>
      <c r="E4964" t="s">
        <v>325</v>
      </c>
      <c r="F4964" s="12">
        <v>90370</v>
      </c>
      <c r="G4964" s="13">
        <v>9</v>
      </c>
      <c r="H4964" t="s">
        <v>2969</v>
      </c>
      <c r="I4964" s="8">
        <v>46173</v>
      </c>
      <c r="J4964" t="s">
        <v>2668</v>
      </c>
      <c r="K4964" t="s">
        <v>2669</v>
      </c>
      <c r="L4964" s="13">
        <v>4000</v>
      </c>
      <c r="M4964" t="s">
        <v>2661</v>
      </c>
    </row>
    <row r="4965" spans="1:13">
      <c r="A4965" t="s">
        <v>2016</v>
      </c>
      <c r="B4965" t="s">
        <v>259</v>
      </c>
      <c r="C4965" s="8">
        <v>46016</v>
      </c>
      <c r="D4965" t="s">
        <v>321</v>
      </c>
      <c r="E4965" t="s">
        <v>325</v>
      </c>
      <c r="F4965" s="12">
        <v>90370</v>
      </c>
      <c r="G4965" s="13">
        <v>9</v>
      </c>
      <c r="H4965" t="s">
        <v>3300</v>
      </c>
      <c r="I4965" s="8">
        <v>46089</v>
      </c>
      <c r="J4965" t="s">
        <v>2688</v>
      </c>
      <c r="K4965" t="s">
        <v>2689</v>
      </c>
      <c r="L4965" s="13">
        <v>8000</v>
      </c>
      <c r="M4965" t="s">
        <v>2676</v>
      </c>
    </row>
    <row r="4966" spans="1:13">
      <c r="A4966" t="s">
        <v>2017</v>
      </c>
      <c r="B4966" t="s">
        <v>23</v>
      </c>
      <c r="C4966" s="8">
        <v>46236</v>
      </c>
      <c r="D4966" t="s">
        <v>324</v>
      </c>
      <c r="E4966" t="s">
        <v>325</v>
      </c>
      <c r="F4966" s="12">
        <v>43948</v>
      </c>
      <c r="G4966" s="13">
        <v>4</v>
      </c>
      <c r="H4966" t="s">
        <v>2807</v>
      </c>
      <c r="I4966" s="8">
        <v>46239</v>
      </c>
      <c r="J4966" t="s">
        <v>2663</v>
      </c>
      <c r="K4966" t="s">
        <v>3630</v>
      </c>
      <c r="L4966" s="13">
        <v>1500</v>
      </c>
      <c r="M4966" t="s">
        <v>2661</v>
      </c>
    </row>
    <row r="4967" spans="1:13">
      <c r="A4967" t="s">
        <v>2017</v>
      </c>
      <c r="B4967" t="s">
        <v>23</v>
      </c>
      <c r="C4967" s="8">
        <v>46236</v>
      </c>
      <c r="D4967" t="s">
        <v>324</v>
      </c>
      <c r="E4967" t="s">
        <v>325</v>
      </c>
      <c r="F4967" s="12">
        <v>43948</v>
      </c>
      <c r="G4967" s="13">
        <v>4</v>
      </c>
      <c r="H4967" t="s">
        <v>2846</v>
      </c>
      <c r="I4967" s="8">
        <v>46148</v>
      </c>
      <c r="J4967" t="s">
        <v>2685</v>
      </c>
      <c r="K4967" t="s">
        <v>2686</v>
      </c>
      <c r="L4967" s="13">
        <v>5000</v>
      </c>
      <c r="M4967" t="s">
        <v>2661</v>
      </c>
    </row>
    <row r="4968" spans="1:13">
      <c r="A4968" t="s">
        <v>2017</v>
      </c>
      <c r="B4968" t="s">
        <v>23</v>
      </c>
      <c r="C4968" s="8">
        <v>46236</v>
      </c>
      <c r="D4968" t="s">
        <v>324</v>
      </c>
      <c r="E4968" t="s">
        <v>325</v>
      </c>
      <c r="F4968" s="12">
        <v>43948</v>
      </c>
      <c r="G4968" s="13">
        <v>4</v>
      </c>
      <c r="H4968" t="s">
        <v>2872</v>
      </c>
      <c r="I4968" s="8">
        <v>46180</v>
      </c>
      <c r="J4968" t="s">
        <v>2659</v>
      </c>
      <c r="K4968" t="s">
        <v>2660</v>
      </c>
      <c r="L4968" s="13">
        <v>3500</v>
      </c>
      <c r="M4968" t="s">
        <v>2661</v>
      </c>
    </row>
    <row r="4969" spans="1:13">
      <c r="A4969" t="s">
        <v>2017</v>
      </c>
      <c r="B4969" t="s">
        <v>23</v>
      </c>
      <c r="C4969" s="8">
        <v>46236</v>
      </c>
      <c r="D4969" t="s">
        <v>324</v>
      </c>
      <c r="E4969" t="s">
        <v>325</v>
      </c>
      <c r="F4969" s="12">
        <v>43948</v>
      </c>
      <c r="G4969" s="13">
        <v>4</v>
      </c>
      <c r="H4969" t="s">
        <v>2887</v>
      </c>
      <c r="I4969" s="8">
        <v>46147</v>
      </c>
      <c r="J4969" t="s">
        <v>2682</v>
      </c>
      <c r="K4969" t="s">
        <v>2683</v>
      </c>
      <c r="L4969" s="13">
        <v>6000</v>
      </c>
      <c r="M4969" t="s">
        <v>2661</v>
      </c>
    </row>
    <row r="4970" spans="1:13">
      <c r="A4970" t="s">
        <v>2017</v>
      </c>
      <c r="B4970" t="s">
        <v>23</v>
      </c>
      <c r="C4970" s="8">
        <v>46236</v>
      </c>
      <c r="D4970" t="s">
        <v>324</v>
      </c>
      <c r="E4970" t="s">
        <v>325</v>
      </c>
      <c r="F4970" s="12">
        <v>43948</v>
      </c>
      <c r="G4970" s="13">
        <v>4</v>
      </c>
      <c r="H4970" t="s">
        <v>3153</v>
      </c>
      <c r="I4970" s="8">
        <v>46122</v>
      </c>
      <c r="J4970" t="s">
        <v>2665</v>
      </c>
      <c r="K4970" t="s">
        <v>2666</v>
      </c>
      <c r="L4970" s="13">
        <v>2500</v>
      </c>
      <c r="M4970" t="s">
        <v>2676</v>
      </c>
    </row>
    <row r="4971" spans="1:13">
      <c r="A4971" t="s">
        <v>2017</v>
      </c>
      <c r="B4971" t="s">
        <v>23</v>
      </c>
      <c r="C4971" s="8">
        <v>46236</v>
      </c>
      <c r="D4971" t="s">
        <v>324</v>
      </c>
      <c r="E4971" t="s">
        <v>325</v>
      </c>
      <c r="F4971" s="12">
        <v>43948</v>
      </c>
      <c r="G4971" s="13">
        <v>4</v>
      </c>
      <c r="H4971" t="s">
        <v>3426</v>
      </c>
      <c r="I4971" s="8">
        <v>46038</v>
      </c>
      <c r="J4971" t="s">
        <v>2688</v>
      </c>
      <c r="K4971" t="s">
        <v>2689</v>
      </c>
      <c r="L4971" s="13">
        <v>8000</v>
      </c>
      <c r="M4971" t="s">
        <v>2661</v>
      </c>
    </row>
    <row r="4972" spans="1:13">
      <c r="A4972" t="s">
        <v>2018</v>
      </c>
      <c r="B4972" t="s">
        <v>301</v>
      </c>
      <c r="C4972" s="8">
        <v>46105</v>
      </c>
      <c r="D4972" t="s">
        <v>332</v>
      </c>
      <c r="E4972" t="s">
        <v>322</v>
      </c>
      <c r="F4972" s="12">
        <v>58669</v>
      </c>
      <c r="G4972" s="13">
        <v>5</v>
      </c>
      <c r="H4972" t="s">
        <v>3559</v>
      </c>
      <c r="I4972" s="8">
        <v>46143</v>
      </c>
      <c r="J4972" t="s">
        <v>2663</v>
      </c>
      <c r="K4972" t="s">
        <v>3630</v>
      </c>
      <c r="L4972" s="13">
        <v>1500</v>
      </c>
      <c r="M4972" t="s">
        <v>2676</v>
      </c>
    </row>
    <row r="4973" spans="1:13">
      <c r="A4973" t="s">
        <v>2019</v>
      </c>
      <c r="B4973" t="s">
        <v>280</v>
      </c>
      <c r="C4973" s="8">
        <v>46052</v>
      </c>
      <c r="D4973" t="s">
        <v>342</v>
      </c>
      <c r="E4973" t="s">
        <v>322</v>
      </c>
      <c r="F4973" s="12">
        <v>103655</v>
      </c>
      <c r="G4973" s="13">
        <v>10</v>
      </c>
      <c r="H4973" t="s">
        <v>2673</v>
      </c>
      <c r="I4973" s="8">
        <v>46091</v>
      </c>
      <c r="J4973" t="s">
        <v>2674</v>
      </c>
      <c r="K4973" t="s">
        <v>2675</v>
      </c>
      <c r="L4973" s="13">
        <v>20000</v>
      </c>
      <c r="M4973" t="s">
        <v>2676</v>
      </c>
    </row>
    <row r="4974" spans="1:13">
      <c r="A4974" t="s">
        <v>2019</v>
      </c>
      <c r="B4974" t="s">
        <v>280</v>
      </c>
      <c r="C4974" s="8">
        <v>46052</v>
      </c>
      <c r="D4974" t="s">
        <v>342</v>
      </c>
      <c r="E4974" t="s">
        <v>322</v>
      </c>
      <c r="F4974" s="12">
        <v>103655</v>
      </c>
      <c r="G4974" s="13">
        <v>10</v>
      </c>
      <c r="H4974" t="s">
        <v>2924</v>
      </c>
      <c r="I4974" s="8">
        <v>46275</v>
      </c>
      <c r="J4974" t="s">
        <v>2663</v>
      </c>
      <c r="K4974" t="s">
        <v>3630</v>
      </c>
      <c r="L4974" s="13">
        <v>1500</v>
      </c>
      <c r="M4974" t="s">
        <v>2661</v>
      </c>
    </row>
    <row r="4975" spans="1:13">
      <c r="A4975" t="s">
        <v>2019</v>
      </c>
      <c r="B4975" t="s">
        <v>280</v>
      </c>
      <c r="C4975" s="8">
        <v>46052</v>
      </c>
      <c r="D4975" t="s">
        <v>342</v>
      </c>
      <c r="E4975" t="s">
        <v>322</v>
      </c>
      <c r="F4975" s="12">
        <v>103655</v>
      </c>
      <c r="G4975" s="13">
        <v>10</v>
      </c>
      <c r="H4975" t="s">
        <v>3163</v>
      </c>
      <c r="I4975" s="8">
        <v>46279</v>
      </c>
      <c r="J4975" t="s">
        <v>2668</v>
      </c>
      <c r="K4975" t="s">
        <v>2669</v>
      </c>
      <c r="L4975" s="13">
        <v>4000</v>
      </c>
      <c r="M4975" t="s">
        <v>2661</v>
      </c>
    </row>
    <row r="4976" spans="1:13">
      <c r="A4976" t="s">
        <v>2019</v>
      </c>
      <c r="B4976" t="s">
        <v>280</v>
      </c>
      <c r="C4976" s="8">
        <v>46052</v>
      </c>
      <c r="D4976" t="s">
        <v>342</v>
      </c>
      <c r="E4976" t="s">
        <v>322</v>
      </c>
      <c r="F4976" s="12">
        <v>103655</v>
      </c>
      <c r="G4976" s="13">
        <v>10</v>
      </c>
      <c r="H4976" t="s">
        <v>3286</v>
      </c>
      <c r="I4976" s="8">
        <v>46224</v>
      </c>
      <c r="J4976" t="s">
        <v>2685</v>
      </c>
      <c r="K4976" t="s">
        <v>2686</v>
      </c>
      <c r="L4976" s="13">
        <v>5000</v>
      </c>
      <c r="M4976" t="s">
        <v>2661</v>
      </c>
    </row>
    <row r="4977" spans="1:13">
      <c r="A4977" t="s">
        <v>2019</v>
      </c>
      <c r="B4977" t="s">
        <v>280</v>
      </c>
      <c r="C4977" s="8">
        <v>46052</v>
      </c>
      <c r="D4977" t="s">
        <v>342</v>
      </c>
      <c r="E4977" t="s">
        <v>322</v>
      </c>
      <c r="F4977" s="12">
        <v>103655</v>
      </c>
      <c r="G4977" s="13">
        <v>10</v>
      </c>
      <c r="H4977" t="s">
        <v>3400</v>
      </c>
      <c r="I4977" s="8">
        <v>46126</v>
      </c>
      <c r="J4977" t="s">
        <v>2692</v>
      </c>
      <c r="K4977" t="s">
        <v>2693</v>
      </c>
      <c r="L4977" s="13">
        <v>10000</v>
      </c>
      <c r="M4977" t="s">
        <v>2661</v>
      </c>
    </row>
    <row r="4978" spans="1:13">
      <c r="A4978" t="s">
        <v>2019</v>
      </c>
      <c r="B4978" t="s">
        <v>280</v>
      </c>
      <c r="C4978" s="8">
        <v>46052</v>
      </c>
      <c r="D4978" t="s">
        <v>342</v>
      </c>
      <c r="E4978" t="s">
        <v>322</v>
      </c>
      <c r="F4978" s="12">
        <v>103655</v>
      </c>
      <c r="G4978" s="13">
        <v>10</v>
      </c>
      <c r="H4978" t="s">
        <v>3535</v>
      </c>
      <c r="I4978" s="8">
        <v>46274</v>
      </c>
      <c r="J4978" t="s">
        <v>2659</v>
      </c>
      <c r="K4978" t="s">
        <v>2660</v>
      </c>
      <c r="L4978" s="13">
        <v>3500</v>
      </c>
      <c r="M4978" t="s">
        <v>2661</v>
      </c>
    </row>
    <row r="4979" spans="1:13">
      <c r="A4979" t="s">
        <v>2020</v>
      </c>
      <c r="B4979" t="s">
        <v>49</v>
      </c>
      <c r="C4979" s="8">
        <v>46242</v>
      </c>
      <c r="D4979" t="s">
        <v>332</v>
      </c>
      <c r="E4979" t="s">
        <v>322</v>
      </c>
      <c r="F4979" s="12">
        <v>64491</v>
      </c>
      <c r="G4979" s="13">
        <v>6</v>
      </c>
      <c r="H4979" t="s">
        <v>2805</v>
      </c>
      <c r="I4979" s="8">
        <v>46096</v>
      </c>
      <c r="J4979" t="s">
        <v>2663</v>
      </c>
      <c r="K4979" t="s">
        <v>3630</v>
      </c>
      <c r="L4979" s="13">
        <v>1500</v>
      </c>
      <c r="M4979" t="s">
        <v>2661</v>
      </c>
    </row>
    <row r="4980" spans="1:13">
      <c r="A4980" t="s">
        <v>2020</v>
      </c>
      <c r="B4980" t="s">
        <v>49</v>
      </c>
      <c r="C4980" s="8">
        <v>46242</v>
      </c>
      <c r="D4980" t="s">
        <v>332</v>
      </c>
      <c r="E4980" t="s">
        <v>322</v>
      </c>
      <c r="F4980" s="12">
        <v>64491</v>
      </c>
      <c r="G4980" s="13">
        <v>6</v>
      </c>
      <c r="H4980" t="s">
        <v>2830</v>
      </c>
      <c r="I4980" s="8">
        <v>46193</v>
      </c>
      <c r="J4980" t="s">
        <v>2688</v>
      </c>
      <c r="K4980" t="s">
        <v>2689</v>
      </c>
      <c r="L4980" s="13">
        <v>8000</v>
      </c>
      <c r="M4980" t="s">
        <v>2661</v>
      </c>
    </row>
    <row r="4981" spans="1:13">
      <c r="A4981" t="s">
        <v>2020</v>
      </c>
      <c r="B4981" t="s">
        <v>49</v>
      </c>
      <c r="C4981" s="8">
        <v>46242</v>
      </c>
      <c r="D4981" t="s">
        <v>332</v>
      </c>
      <c r="E4981" t="s">
        <v>322</v>
      </c>
      <c r="F4981" s="12">
        <v>64491</v>
      </c>
      <c r="G4981" s="13">
        <v>6</v>
      </c>
      <c r="H4981" t="s">
        <v>2894</v>
      </c>
      <c r="I4981" s="8">
        <v>46222</v>
      </c>
      <c r="J4981" t="s">
        <v>2671</v>
      </c>
      <c r="K4981" t="s">
        <v>2672</v>
      </c>
      <c r="L4981" s="13">
        <v>3000</v>
      </c>
      <c r="M4981" t="s">
        <v>2661</v>
      </c>
    </row>
    <row r="4982" spans="1:13">
      <c r="A4982" t="s">
        <v>2020</v>
      </c>
      <c r="B4982" t="s">
        <v>49</v>
      </c>
      <c r="C4982" s="8">
        <v>46242</v>
      </c>
      <c r="D4982" t="s">
        <v>332</v>
      </c>
      <c r="E4982" t="s">
        <v>322</v>
      </c>
      <c r="F4982" s="12">
        <v>64491</v>
      </c>
      <c r="G4982" s="13">
        <v>6</v>
      </c>
      <c r="H4982" t="s">
        <v>3341</v>
      </c>
      <c r="I4982" s="8">
        <v>46056</v>
      </c>
      <c r="J4982" t="s">
        <v>2668</v>
      </c>
      <c r="K4982" t="s">
        <v>2669</v>
      </c>
      <c r="L4982" s="13">
        <v>4000</v>
      </c>
      <c r="M4982" t="s">
        <v>2661</v>
      </c>
    </row>
    <row r="4983" spans="1:13">
      <c r="A4983" t="s">
        <v>2021</v>
      </c>
      <c r="B4983" t="s">
        <v>212</v>
      </c>
      <c r="C4983" s="8">
        <v>46025</v>
      </c>
      <c r="D4983" t="s">
        <v>344</v>
      </c>
      <c r="E4983" t="s">
        <v>339</v>
      </c>
      <c r="F4983" s="12">
        <v>290723</v>
      </c>
      <c r="G4983" s="13">
        <v>29</v>
      </c>
      <c r="H4983" t="s">
        <v>2760</v>
      </c>
      <c r="I4983" s="8">
        <v>46244</v>
      </c>
      <c r="J4983" t="s">
        <v>2668</v>
      </c>
      <c r="K4983" t="s">
        <v>2669</v>
      </c>
      <c r="L4983" s="13">
        <v>4000</v>
      </c>
      <c r="M4983" t="s">
        <v>2661</v>
      </c>
    </row>
    <row r="4984" spans="1:13">
      <c r="A4984" t="s">
        <v>2021</v>
      </c>
      <c r="B4984" t="s">
        <v>212</v>
      </c>
      <c r="C4984" s="8">
        <v>46025</v>
      </c>
      <c r="D4984" t="s">
        <v>344</v>
      </c>
      <c r="E4984" t="s">
        <v>339</v>
      </c>
      <c r="F4984" s="12">
        <v>290723</v>
      </c>
      <c r="G4984" s="13">
        <v>29</v>
      </c>
      <c r="H4984" t="s">
        <v>2935</v>
      </c>
      <c r="I4984" s="8">
        <v>46216</v>
      </c>
      <c r="J4984" t="s">
        <v>2665</v>
      </c>
      <c r="K4984" t="s">
        <v>2666</v>
      </c>
      <c r="L4984" s="13">
        <v>2500</v>
      </c>
      <c r="M4984" t="s">
        <v>2661</v>
      </c>
    </row>
    <row r="4985" spans="1:13">
      <c r="A4985" t="s">
        <v>2021</v>
      </c>
      <c r="B4985" t="s">
        <v>212</v>
      </c>
      <c r="C4985" s="8">
        <v>46025</v>
      </c>
      <c r="D4985" t="s">
        <v>344</v>
      </c>
      <c r="E4985" t="s">
        <v>339</v>
      </c>
      <c r="F4985" s="12">
        <v>290723</v>
      </c>
      <c r="G4985" s="13">
        <v>29</v>
      </c>
      <c r="H4985" t="s">
        <v>3100</v>
      </c>
      <c r="I4985" s="8">
        <v>46226</v>
      </c>
      <c r="J4985" t="s">
        <v>2665</v>
      </c>
      <c r="K4985" t="s">
        <v>2666</v>
      </c>
      <c r="L4985" s="13">
        <v>2500</v>
      </c>
      <c r="M4985" t="s">
        <v>2661</v>
      </c>
    </row>
    <row r="4986" spans="1:13">
      <c r="A4986" t="s">
        <v>2022</v>
      </c>
      <c r="B4986" t="s">
        <v>103</v>
      </c>
      <c r="C4986" s="8">
        <v>46016</v>
      </c>
      <c r="D4986" t="s">
        <v>321</v>
      </c>
      <c r="E4986" t="s">
        <v>334</v>
      </c>
      <c r="F4986" s="12">
        <v>97346</v>
      </c>
      <c r="G4986" s="13">
        <v>9</v>
      </c>
      <c r="H4986" t="s">
        <v>2729</v>
      </c>
      <c r="I4986" s="8">
        <v>45974</v>
      </c>
      <c r="J4986" t="s">
        <v>2692</v>
      </c>
      <c r="K4986" t="s">
        <v>2693</v>
      </c>
      <c r="L4986" s="13">
        <v>10000</v>
      </c>
      <c r="M4986" t="s">
        <v>2661</v>
      </c>
    </row>
    <row r="4987" spans="1:13">
      <c r="A4987" t="s">
        <v>2022</v>
      </c>
      <c r="B4987" t="s">
        <v>103</v>
      </c>
      <c r="C4987" s="8">
        <v>46016</v>
      </c>
      <c r="D4987" t="s">
        <v>321</v>
      </c>
      <c r="E4987" t="s">
        <v>334</v>
      </c>
      <c r="F4987" s="12">
        <v>97346</v>
      </c>
      <c r="G4987" s="13">
        <v>9</v>
      </c>
      <c r="H4987" t="s">
        <v>2768</v>
      </c>
      <c r="I4987" s="8">
        <v>46048</v>
      </c>
      <c r="J4987" t="s">
        <v>2682</v>
      </c>
      <c r="K4987" t="s">
        <v>2683</v>
      </c>
      <c r="L4987" s="13">
        <v>6000</v>
      </c>
      <c r="M4987" t="s">
        <v>2661</v>
      </c>
    </row>
    <row r="4988" spans="1:13">
      <c r="A4988" t="s">
        <v>2022</v>
      </c>
      <c r="B4988" t="s">
        <v>103</v>
      </c>
      <c r="C4988" s="8">
        <v>46016</v>
      </c>
      <c r="D4988" t="s">
        <v>321</v>
      </c>
      <c r="E4988" t="s">
        <v>334</v>
      </c>
      <c r="F4988" s="12">
        <v>97346</v>
      </c>
      <c r="G4988" s="13">
        <v>9</v>
      </c>
      <c r="H4988" t="s">
        <v>3094</v>
      </c>
      <c r="I4988" s="8">
        <v>46015</v>
      </c>
      <c r="J4988" t="s">
        <v>2665</v>
      </c>
      <c r="K4988" t="s">
        <v>2666</v>
      </c>
      <c r="L4988" s="13">
        <v>2500</v>
      </c>
      <c r="M4988" t="s">
        <v>2661</v>
      </c>
    </row>
    <row r="4989" spans="1:13">
      <c r="A4989" t="s">
        <v>2022</v>
      </c>
      <c r="B4989" t="s">
        <v>103</v>
      </c>
      <c r="C4989" s="8">
        <v>46016</v>
      </c>
      <c r="D4989" t="s">
        <v>321</v>
      </c>
      <c r="E4989" t="s">
        <v>334</v>
      </c>
      <c r="F4989" s="12">
        <v>97346</v>
      </c>
      <c r="G4989" s="13">
        <v>9</v>
      </c>
      <c r="H4989" t="s">
        <v>3371</v>
      </c>
      <c r="I4989" s="8">
        <v>46261</v>
      </c>
      <c r="J4989" t="s">
        <v>2674</v>
      </c>
      <c r="K4989" t="s">
        <v>2675</v>
      </c>
      <c r="L4989" s="13">
        <v>20000</v>
      </c>
      <c r="M4989" t="s">
        <v>2676</v>
      </c>
    </row>
    <row r="4990" spans="1:13">
      <c r="A4990" t="s">
        <v>2022</v>
      </c>
      <c r="B4990" t="s">
        <v>103</v>
      </c>
      <c r="C4990" s="8">
        <v>46016</v>
      </c>
      <c r="D4990" t="s">
        <v>321</v>
      </c>
      <c r="E4990" t="s">
        <v>334</v>
      </c>
      <c r="F4990" s="12">
        <v>97346</v>
      </c>
      <c r="G4990" s="13">
        <v>9</v>
      </c>
      <c r="H4990" t="s">
        <v>3394</v>
      </c>
      <c r="I4990" s="8">
        <v>46193</v>
      </c>
      <c r="J4990" t="s">
        <v>2659</v>
      </c>
      <c r="K4990" t="s">
        <v>2660</v>
      </c>
      <c r="L4990" s="13">
        <v>3500</v>
      </c>
      <c r="M4990" t="s">
        <v>2676</v>
      </c>
    </row>
    <row r="4991" spans="1:13">
      <c r="A4991" t="s">
        <v>2022</v>
      </c>
      <c r="B4991" t="s">
        <v>103</v>
      </c>
      <c r="C4991" s="8">
        <v>46016</v>
      </c>
      <c r="D4991" t="s">
        <v>321</v>
      </c>
      <c r="E4991" t="s">
        <v>334</v>
      </c>
      <c r="F4991" s="12">
        <v>97346</v>
      </c>
      <c r="G4991" s="13">
        <v>9</v>
      </c>
      <c r="H4991" t="s">
        <v>3445</v>
      </c>
      <c r="I4991" s="8">
        <v>46231</v>
      </c>
      <c r="J4991" t="s">
        <v>2688</v>
      </c>
      <c r="K4991" t="s">
        <v>2689</v>
      </c>
      <c r="L4991" s="13">
        <v>8000</v>
      </c>
      <c r="M4991" t="s">
        <v>2661</v>
      </c>
    </row>
    <row r="4992" spans="1:13">
      <c r="A4992" t="s">
        <v>2022</v>
      </c>
      <c r="B4992" t="s">
        <v>103</v>
      </c>
      <c r="C4992" s="8">
        <v>46016</v>
      </c>
      <c r="D4992" t="s">
        <v>321</v>
      </c>
      <c r="E4992" t="s">
        <v>334</v>
      </c>
      <c r="F4992" s="12">
        <v>97346</v>
      </c>
      <c r="G4992" s="13">
        <v>9</v>
      </c>
      <c r="H4992" t="s">
        <v>3522</v>
      </c>
      <c r="I4992" s="8">
        <v>45989</v>
      </c>
      <c r="J4992" t="s">
        <v>2665</v>
      </c>
      <c r="K4992" t="s">
        <v>2666</v>
      </c>
      <c r="L4992" s="13">
        <v>2500</v>
      </c>
      <c r="M4992" t="s">
        <v>2661</v>
      </c>
    </row>
    <row r="4993" spans="1:13">
      <c r="A4993" t="s">
        <v>2022</v>
      </c>
      <c r="B4993" t="s">
        <v>103</v>
      </c>
      <c r="C4993" s="8">
        <v>46016</v>
      </c>
      <c r="D4993" t="s">
        <v>321</v>
      </c>
      <c r="E4993" t="s">
        <v>334</v>
      </c>
      <c r="F4993" s="12">
        <v>97346</v>
      </c>
      <c r="G4993" s="13">
        <v>9</v>
      </c>
      <c r="H4993" t="s">
        <v>3539</v>
      </c>
      <c r="I4993" s="8">
        <v>46041</v>
      </c>
      <c r="J4993" t="s">
        <v>2682</v>
      </c>
      <c r="K4993" t="s">
        <v>2683</v>
      </c>
      <c r="L4993" s="13">
        <v>6000</v>
      </c>
      <c r="M4993" t="s">
        <v>2661</v>
      </c>
    </row>
    <row r="4994" spans="1:13">
      <c r="A4994" t="s">
        <v>2023</v>
      </c>
      <c r="B4994" t="s">
        <v>111</v>
      </c>
      <c r="C4994" s="8">
        <v>45998</v>
      </c>
      <c r="D4994" t="s">
        <v>332</v>
      </c>
      <c r="E4994" t="s">
        <v>339</v>
      </c>
      <c r="F4994" s="12">
        <v>123631</v>
      </c>
      <c r="G4994" s="13">
        <v>12</v>
      </c>
      <c r="H4994" t="s">
        <v>3231</v>
      </c>
      <c r="I4994" s="8">
        <v>46139</v>
      </c>
      <c r="J4994" t="s">
        <v>2668</v>
      </c>
      <c r="K4994" t="s">
        <v>2669</v>
      </c>
      <c r="L4994" s="13">
        <v>4000</v>
      </c>
      <c r="M4994" t="s">
        <v>2661</v>
      </c>
    </row>
    <row r="4995" spans="1:13">
      <c r="A4995" t="s">
        <v>2023</v>
      </c>
      <c r="B4995" t="s">
        <v>111</v>
      </c>
      <c r="C4995" s="8">
        <v>45998</v>
      </c>
      <c r="D4995" t="s">
        <v>332</v>
      </c>
      <c r="E4995" t="s">
        <v>339</v>
      </c>
      <c r="F4995" s="12">
        <v>123631</v>
      </c>
      <c r="G4995" s="13">
        <v>12</v>
      </c>
      <c r="H4995" t="s">
        <v>3411</v>
      </c>
      <c r="I4995" s="8">
        <v>45950</v>
      </c>
      <c r="J4995" t="s">
        <v>2659</v>
      </c>
      <c r="K4995" t="s">
        <v>2660</v>
      </c>
      <c r="L4995" s="13">
        <v>3500</v>
      </c>
      <c r="M4995" t="s">
        <v>2676</v>
      </c>
    </row>
    <row r="4996" spans="1:13">
      <c r="A4996" t="s">
        <v>2024</v>
      </c>
      <c r="B4996" t="s">
        <v>266</v>
      </c>
      <c r="C4996" s="8">
        <v>45980</v>
      </c>
      <c r="D4996" t="s">
        <v>321</v>
      </c>
      <c r="E4996" t="s">
        <v>339</v>
      </c>
      <c r="F4996" s="12">
        <v>157823</v>
      </c>
      <c r="G4996" s="13">
        <v>15</v>
      </c>
      <c r="H4996" t="s">
        <v>2736</v>
      </c>
      <c r="I4996" s="8">
        <v>46216</v>
      </c>
      <c r="J4996" t="s">
        <v>2685</v>
      </c>
      <c r="K4996" t="s">
        <v>2686</v>
      </c>
      <c r="L4996" s="13">
        <v>5000</v>
      </c>
      <c r="M4996" t="s">
        <v>2661</v>
      </c>
    </row>
    <row r="4997" spans="1:13">
      <c r="A4997" t="s">
        <v>2024</v>
      </c>
      <c r="B4997" t="s">
        <v>266</v>
      </c>
      <c r="C4997" s="8">
        <v>45980</v>
      </c>
      <c r="D4997" t="s">
        <v>321</v>
      </c>
      <c r="E4997" t="s">
        <v>339</v>
      </c>
      <c r="F4997" s="12">
        <v>157823</v>
      </c>
      <c r="G4997" s="13">
        <v>15</v>
      </c>
      <c r="H4997" t="s">
        <v>2757</v>
      </c>
      <c r="I4997" s="8">
        <v>46186</v>
      </c>
      <c r="J4997" t="s">
        <v>2688</v>
      </c>
      <c r="K4997" t="s">
        <v>2689</v>
      </c>
      <c r="L4997" s="13">
        <v>8000</v>
      </c>
      <c r="M4997" t="s">
        <v>2661</v>
      </c>
    </row>
    <row r="4998" spans="1:13">
      <c r="A4998" t="s">
        <v>2024</v>
      </c>
      <c r="B4998" t="s">
        <v>266</v>
      </c>
      <c r="C4998" s="8">
        <v>45980</v>
      </c>
      <c r="D4998" t="s">
        <v>321</v>
      </c>
      <c r="E4998" t="s">
        <v>339</v>
      </c>
      <c r="F4998" s="12">
        <v>157823</v>
      </c>
      <c r="G4998" s="13">
        <v>15</v>
      </c>
      <c r="H4998" t="s">
        <v>3331</v>
      </c>
      <c r="I4998" s="8">
        <v>46215</v>
      </c>
      <c r="J4998" t="s">
        <v>2674</v>
      </c>
      <c r="K4998" t="s">
        <v>2675</v>
      </c>
      <c r="L4998" s="13">
        <v>20000</v>
      </c>
      <c r="M4998" t="s">
        <v>2661</v>
      </c>
    </row>
    <row r="4999" spans="1:13">
      <c r="A4999" t="s">
        <v>2024</v>
      </c>
      <c r="B4999" t="s">
        <v>266</v>
      </c>
      <c r="C4999" s="8">
        <v>45980</v>
      </c>
      <c r="D4999" t="s">
        <v>321</v>
      </c>
      <c r="E4999" t="s">
        <v>339</v>
      </c>
      <c r="F4999" s="12">
        <v>157823</v>
      </c>
      <c r="G4999" s="13">
        <v>15</v>
      </c>
      <c r="H4999" t="s">
        <v>3337</v>
      </c>
      <c r="I4999" s="8">
        <v>46032</v>
      </c>
      <c r="J4999" t="s">
        <v>2682</v>
      </c>
      <c r="K4999" t="s">
        <v>2683</v>
      </c>
      <c r="L4999" s="13">
        <v>6000</v>
      </c>
      <c r="M4999" t="s">
        <v>2661</v>
      </c>
    </row>
    <row r="5000" spans="1:13">
      <c r="A5000" t="s">
        <v>2024</v>
      </c>
      <c r="B5000" t="s">
        <v>266</v>
      </c>
      <c r="C5000" s="8">
        <v>45980</v>
      </c>
      <c r="D5000" t="s">
        <v>321</v>
      </c>
      <c r="E5000" t="s">
        <v>339</v>
      </c>
      <c r="F5000" s="12">
        <v>157823</v>
      </c>
      <c r="G5000" s="13">
        <v>15</v>
      </c>
      <c r="H5000" t="s">
        <v>3347</v>
      </c>
      <c r="I5000" s="8">
        <v>46104</v>
      </c>
      <c r="J5000" t="s">
        <v>2688</v>
      </c>
      <c r="K5000" t="s">
        <v>2689</v>
      </c>
      <c r="L5000" s="13">
        <v>8000</v>
      </c>
      <c r="M5000" t="s">
        <v>2661</v>
      </c>
    </row>
    <row r="5001" spans="1:13">
      <c r="A5001" t="s">
        <v>2024</v>
      </c>
      <c r="B5001" t="s">
        <v>266</v>
      </c>
      <c r="C5001" s="8">
        <v>45980</v>
      </c>
      <c r="D5001" t="s">
        <v>321</v>
      </c>
      <c r="E5001" t="s">
        <v>339</v>
      </c>
      <c r="F5001" s="12">
        <v>157823</v>
      </c>
      <c r="G5001" s="13">
        <v>15</v>
      </c>
      <c r="H5001" t="s">
        <v>3518</v>
      </c>
      <c r="I5001" s="8">
        <v>46126</v>
      </c>
      <c r="J5001" t="s">
        <v>2692</v>
      </c>
      <c r="K5001" t="s">
        <v>2693</v>
      </c>
      <c r="L5001" s="13">
        <v>10000</v>
      </c>
      <c r="M5001" t="s">
        <v>2661</v>
      </c>
    </row>
    <row r="5002" spans="1:13">
      <c r="A5002" t="s">
        <v>2025</v>
      </c>
      <c r="B5002" t="s">
        <v>195</v>
      </c>
      <c r="C5002" s="8">
        <v>45933</v>
      </c>
      <c r="D5002" t="s">
        <v>324</v>
      </c>
      <c r="E5002" t="s">
        <v>328</v>
      </c>
      <c r="F5002" s="12">
        <v>195952</v>
      </c>
      <c r="G5002" s="13">
        <v>19</v>
      </c>
      <c r="H5002" t="s">
        <v>2949</v>
      </c>
      <c r="I5002" s="8">
        <v>46284</v>
      </c>
      <c r="J5002" t="s">
        <v>2668</v>
      </c>
      <c r="K5002" t="s">
        <v>2669</v>
      </c>
      <c r="L5002" s="13">
        <v>4000</v>
      </c>
      <c r="M5002" t="s">
        <v>2676</v>
      </c>
    </row>
    <row r="5003" spans="1:13">
      <c r="A5003" t="s">
        <v>2025</v>
      </c>
      <c r="B5003" t="s">
        <v>195</v>
      </c>
      <c r="C5003" s="8">
        <v>45933</v>
      </c>
      <c r="D5003" t="s">
        <v>324</v>
      </c>
      <c r="E5003" t="s">
        <v>328</v>
      </c>
      <c r="F5003" s="12">
        <v>195952</v>
      </c>
      <c r="G5003" s="13">
        <v>19</v>
      </c>
      <c r="H5003" t="s">
        <v>3150</v>
      </c>
      <c r="I5003" s="8">
        <v>46139</v>
      </c>
      <c r="J5003" t="s">
        <v>2659</v>
      </c>
      <c r="K5003" t="s">
        <v>2660</v>
      </c>
      <c r="L5003" s="13">
        <v>3500</v>
      </c>
      <c r="M5003" t="s">
        <v>2661</v>
      </c>
    </row>
    <row r="5004" spans="1:13">
      <c r="A5004" t="s">
        <v>2026</v>
      </c>
      <c r="B5004" t="s">
        <v>22</v>
      </c>
      <c r="C5004" s="8">
        <v>46259</v>
      </c>
      <c r="D5004" t="s">
        <v>344</v>
      </c>
      <c r="E5004" t="s">
        <v>322</v>
      </c>
      <c r="F5004" s="12">
        <v>169706</v>
      </c>
      <c r="G5004" s="13">
        <v>16</v>
      </c>
      <c r="H5004" t="s">
        <v>3212</v>
      </c>
      <c r="I5004" s="8">
        <v>45987</v>
      </c>
      <c r="J5004" t="s">
        <v>2659</v>
      </c>
      <c r="K5004" t="s">
        <v>2660</v>
      </c>
      <c r="L5004" s="13">
        <v>3500</v>
      </c>
      <c r="M5004" t="s">
        <v>2661</v>
      </c>
    </row>
    <row r="5005" spans="1:13">
      <c r="A5005" t="s">
        <v>2026</v>
      </c>
      <c r="B5005" t="s">
        <v>22</v>
      </c>
      <c r="C5005" s="8">
        <v>46259</v>
      </c>
      <c r="D5005" t="s">
        <v>344</v>
      </c>
      <c r="E5005" t="s">
        <v>322</v>
      </c>
      <c r="F5005" s="12">
        <v>169706</v>
      </c>
      <c r="G5005" s="13">
        <v>16</v>
      </c>
      <c r="H5005" t="s">
        <v>3444</v>
      </c>
      <c r="I5005" s="8">
        <v>46084</v>
      </c>
      <c r="J5005" t="s">
        <v>2659</v>
      </c>
      <c r="K5005" t="s">
        <v>2660</v>
      </c>
      <c r="L5005" s="13">
        <v>3500</v>
      </c>
      <c r="M5005" t="s">
        <v>2661</v>
      </c>
    </row>
    <row r="5006" spans="1:13">
      <c r="A5006" t="s">
        <v>2026</v>
      </c>
      <c r="B5006" t="s">
        <v>22</v>
      </c>
      <c r="C5006" s="8">
        <v>46259</v>
      </c>
      <c r="D5006" t="s">
        <v>344</v>
      </c>
      <c r="E5006" t="s">
        <v>322</v>
      </c>
      <c r="F5006" s="12">
        <v>169706</v>
      </c>
      <c r="G5006" s="13">
        <v>16</v>
      </c>
      <c r="H5006" t="s">
        <v>3537</v>
      </c>
      <c r="I5006" s="8">
        <v>46009</v>
      </c>
      <c r="J5006" t="s">
        <v>2659</v>
      </c>
      <c r="K5006" t="s">
        <v>2660</v>
      </c>
      <c r="L5006" s="13">
        <v>3500</v>
      </c>
      <c r="M5006" t="s">
        <v>2661</v>
      </c>
    </row>
    <row r="5007" spans="1:13">
      <c r="A5007" t="s">
        <v>2027</v>
      </c>
      <c r="B5007" t="s">
        <v>200</v>
      </c>
      <c r="C5007" s="8">
        <v>46221</v>
      </c>
      <c r="D5007" t="s">
        <v>344</v>
      </c>
      <c r="E5007" t="s">
        <v>325</v>
      </c>
      <c r="F5007" s="12">
        <v>203600</v>
      </c>
      <c r="G5007" s="13">
        <v>20</v>
      </c>
      <c r="H5007" t="s">
        <v>2975</v>
      </c>
      <c r="I5007" s="8">
        <v>46008</v>
      </c>
      <c r="J5007" t="s">
        <v>2671</v>
      </c>
      <c r="K5007" t="s">
        <v>2672</v>
      </c>
      <c r="L5007" s="13">
        <v>3000</v>
      </c>
      <c r="M5007" t="s">
        <v>2676</v>
      </c>
    </row>
    <row r="5008" spans="1:13">
      <c r="A5008" t="s">
        <v>2027</v>
      </c>
      <c r="B5008" t="s">
        <v>200</v>
      </c>
      <c r="C5008" s="8">
        <v>46221</v>
      </c>
      <c r="D5008" t="s">
        <v>344</v>
      </c>
      <c r="E5008" t="s">
        <v>325</v>
      </c>
      <c r="F5008" s="12">
        <v>203600</v>
      </c>
      <c r="G5008" s="13">
        <v>20</v>
      </c>
      <c r="H5008" t="s">
        <v>3381</v>
      </c>
      <c r="I5008" s="8">
        <v>46037</v>
      </c>
      <c r="J5008" t="s">
        <v>2663</v>
      </c>
      <c r="K5008" t="s">
        <v>3630</v>
      </c>
      <c r="L5008" s="13">
        <v>1500</v>
      </c>
      <c r="M5008" t="s">
        <v>2661</v>
      </c>
    </row>
    <row r="5009" spans="1:13">
      <c r="A5009" t="s">
        <v>2028</v>
      </c>
      <c r="B5009" t="s">
        <v>23</v>
      </c>
      <c r="C5009" s="8">
        <v>45995</v>
      </c>
      <c r="D5009" t="s">
        <v>324</v>
      </c>
      <c r="E5009" t="s">
        <v>339</v>
      </c>
      <c r="F5009" s="12">
        <v>716588</v>
      </c>
      <c r="G5009" s="13">
        <v>71</v>
      </c>
      <c r="H5009" t="s">
        <v>2807</v>
      </c>
      <c r="I5009" s="8">
        <v>46239</v>
      </c>
      <c r="J5009" t="s">
        <v>2663</v>
      </c>
      <c r="K5009" t="s">
        <v>3630</v>
      </c>
      <c r="L5009" s="13">
        <v>1500</v>
      </c>
      <c r="M5009" t="s">
        <v>2661</v>
      </c>
    </row>
    <row r="5010" spans="1:13">
      <c r="A5010" t="s">
        <v>2028</v>
      </c>
      <c r="B5010" t="s">
        <v>23</v>
      </c>
      <c r="C5010" s="8">
        <v>45995</v>
      </c>
      <c r="D5010" t="s">
        <v>324</v>
      </c>
      <c r="E5010" t="s">
        <v>339</v>
      </c>
      <c r="F5010" s="12">
        <v>716588</v>
      </c>
      <c r="G5010" s="13">
        <v>71</v>
      </c>
      <c r="H5010" t="s">
        <v>2846</v>
      </c>
      <c r="I5010" s="8">
        <v>46148</v>
      </c>
      <c r="J5010" t="s">
        <v>2685</v>
      </c>
      <c r="K5010" t="s">
        <v>2686</v>
      </c>
      <c r="L5010" s="13">
        <v>5000</v>
      </c>
      <c r="M5010" t="s">
        <v>2661</v>
      </c>
    </row>
    <row r="5011" spans="1:13">
      <c r="A5011" t="s">
        <v>2028</v>
      </c>
      <c r="B5011" t="s">
        <v>23</v>
      </c>
      <c r="C5011" s="8">
        <v>45995</v>
      </c>
      <c r="D5011" t="s">
        <v>324</v>
      </c>
      <c r="E5011" t="s">
        <v>339</v>
      </c>
      <c r="F5011" s="12">
        <v>716588</v>
      </c>
      <c r="G5011" s="13">
        <v>71</v>
      </c>
      <c r="H5011" t="s">
        <v>2872</v>
      </c>
      <c r="I5011" s="8">
        <v>46180</v>
      </c>
      <c r="J5011" t="s">
        <v>2659</v>
      </c>
      <c r="K5011" t="s">
        <v>2660</v>
      </c>
      <c r="L5011" s="13">
        <v>3500</v>
      </c>
      <c r="M5011" t="s">
        <v>2661</v>
      </c>
    </row>
    <row r="5012" spans="1:13">
      <c r="A5012" t="s">
        <v>2028</v>
      </c>
      <c r="B5012" t="s">
        <v>23</v>
      </c>
      <c r="C5012" s="8">
        <v>45995</v>
      </c>
      <c r="D5012" t="s">
        <v>324</v>
      </c>
      <c r="E5012" t="s">
        <v>339</v>
      </c>
      <c r="F5012" s="12">
        <v>716588</v>
      </c>
      <c r="G5012" s="13">
        <v>71</v>
      </c>
      <c r="H5012" t="s">
        <v>2887</v>
      </c>
      <c r="I5012" s="8">
        <v>46147</v>
      </c>
      <c r="J5012" t="s">
        <v>2682</v>
      </c>
      <c r="K5012" t="s">
        <v>2683</v>
      </c>
      <c r="L5012" s="13">
        <v>6000</v>
      </c>
      <c r="M5012" t="s">
        <v>2661</v>
      </c>
    </row>
    <row r="5013" spans="1:13">
      <c r="A5013" t="s">
        <v>2028</v>
      </c>
      <c r="B5013" t="s">
        <v>23</v>
      </c>
      <c r="C5013" s="8">
        <v>45995</v>
      </c>
      <c r="D5013" t="s">
        <v>324</v>
      </c>
      <c r="E5013" t="s">
        <v>339</v>
      </c>
      <c r="F5013" s="12">
        <v>716588</v>
      </c>
      <c r="G5013" s="13">
        <v>71</v>
      </c>
      <c r="H5013" t="s">
        <v>3153</v>
      </c>
      <c r="I5013" s="8">
        <v>46122</v>
      </c>
      <c r="J5013" t="s">
        <v>2665</v>
      </c>
      <c r="K5013" t="s">
        <v>2666</v>
      </c>
      <c r="L5013" s="13">
        <v>2500</v>
      </c>
      <c r="M5013" t="s">
        <v>2676</v>
      </c>
    </row>
    <row r="5014" spans="1:13">
      <c r="A5014" t="s">
        <v>2028</v>
      </c>
      <c r="B5014" t="s">
        <v>23</v>
      </c>
      <c r="C5014" s="8">
        <v>45995</v>
      </c>
      <c r="D5014" t="s">
        <v>324</v>
      </c>
      <c r="E5014" t="s">
        <v>339</v>
      </c>
      <c r="F5014" s="12">
        <v>716588</v>
      </c>
      <c r="G5014" s="13">
        <v>71</v>
      </c>
      <c r="H5014" t="s">
        <v>3426</v>
      </c>
      <c r="I5014" s="8">
        <v>46038</v>
      </c>
      <c r="J5014" t="s">
        <v>2688</v>
      </c>
      <c r="K5014" t="s">
        <v>2689</v>
      </c>
      <c r="L5014" s="13">
        <v>8000</v>
      </c>
      <c r="M5014" t="s">
        <v>2661</v>
      </c>
    </row>
    <row r="5015" spans="1:13">
      <c r="A5015" t="s">
        <v>2029</v>
      </c>
      <c r="B5015" t="s">
        <v>198</v>
      </c>
      <c r="C5015" s="8">
        <v>46270</v>
      </c>
      <c r="D5015" t="s">
        <v>321</v>
      </c>
      <c r="E5015" t="s">
        <v>339</v>
      </c>
      <c r="F5015" s="12">
        <v>250716</v>
      </c>
      <c r="G5015" s="13">
        <v>25</v>
      </c>
      <c r="H5015" t="s">
        <v>2904</v>
      </c>
      <c r="I5015" s="8">
        <v>46244</v>
      </c>
      <c r="J5015" t="s">
        <v>2659</v>
      </c>
      <c r="K5015" t="s">
        <v>2660</v>
      </c>
      <c r="L5015" s="13">
        <v>3500</v>
      </c>
      <c r="M5015" t="s">
        <v>2661</v>
      </c>
    </row>
    <row r="5016" spans="1:13">
      <c r="A5016" t="s">
        <v>2030</v>
      </c>
      <c r="B5016" t="s">
        <v>51</v>
      </c>
      <c r="C5016" s="8">
        <v>46004</v>
      </c>
      <c r="D5016" t="s">
        <v>324</v>
      </c>
      <c r="E5016" t="s">
        <v>325</v>
      </c>
      <c r="F5016" s="12">
        <v>357245</v>
      </c>
      <c r="G5016" s="13">
        <v>35</v>
      </c>
      <c r="H5016" t="s">
        <v>2800</v>
      </c>
      <c r="I5016" s="8">
        <v>46266</v>
      </c>
      <c r="J5016" t="s">
        <v>2674</v>
      </c>
      <c r="K5016" t="s">
        <v>2675</v>
      </c>
      <c r="L5016" s="13">
        <v>20000</v>
      </c>
      <c r="M5016" t="s">
        <v>2676</v>
      </c>
    </row>
    <row r="5017" spans="1:13">
      <c r="A5017" t="s">
        <v>2030</v>
      </c>
      <c r="B5017" t="s">
        <v>51</v>
      </c>
      <c r="C5017" s="8">
        <v>46004</v>
      </c>
      <c r="D5017" t="s">
        <v>324</v>
      </c>
      <c r="E5017" t="s">
        <v>325</v>
      </c>
      <c r="F5017" s="12">
        <v>357245</v>
      </c>
      <c r="G5017" s="13">
        <v>35</v>
      </c>
      <c r="H5017" t="s">
        <v>3477</v>
      </c>
      <c r="I5017" s="8">
        <v>46036</v>
      </c>
      <c r="J5017" t="s">
        <v>2671</v>
      </c>
      <c r="K5017" t="s">
        <v>2672</v>
      </c>
      <c r="L5017" s="13">
        <v>3000</v>
      </c>
      <c r="M5017" t="s">
        <v>2661</v>
      </c>
    </row>
    <row r="5018" spans="1:13">
      <c r="A5018" t="s">
        <v>2031</v>
      </c>
      <c r="B5018" t="s">
        <v>74</v>
      </c>
      <c r="C5018" s="8">
        <v>46062</v>
      </c>
      <c r="D5018" t="s">
        <v>350</v>
      </c>
      <c r="E5018" t="s">
        <v>322</v>
      </c>
      <c r="F5018" s="12">
        <v>139824</v>
      </c>
      <c r="G5018" s="13">
        <v>13</v>
      </c>
      <c r="H5018" t="s">
        <v>2844</v>
      </c>
      <c r="I5018" s="8">
        <v>45954</v>
      </c>
      <c r="J5018" t="s">
        <v>2671</v>
      </c>
      <c r="K5018" t="s">
        <v>2672</v>
      </c>
      <c r="L5018" s="13">
        <v>3000</v>
      </c>
      <c r="M5018" t="s">
        <v>2676</v>
      </c>
    </row>
    <row r="5019" spans="1:13">
      <c r="A5019" t="s">
        <v>2031</v>
      </c>
      <c r="B5019" t="s">
        <v>74</v>
      </c>
      <c r="C5019" s="8">
        <v>46062</v>
      </c>
      <c r="D5019" t="s">
        <v>350</v>
      </c>
      <c r="E5019" t="s">
        <v>322</v>
      </c>
      <c r="F5019" s="12">
        <v>139824</v>
      </c>
      <c r="G5019" s="13">
        <v>13</v>
      </c>
      <c r="H5019" t="s">
        <v>2889</v>
      </c>
      <c r="I5019" s="8">
        <v>46009</v>
      </c>
      <c r="J5019" t="s">
        <v>2685</v>
      </c>
      <c r="K5019" t="s">
        <v>2686</v>
      </c>
      <c r="L5019" s="13">
        <v>5000</v>
      </c>
      <c r="M5019" t="s">
        <v>2661</v>
      </c>
    </row>
    <row r="5020" spans="1:13">
      <c r="A5020" t="s">
        <v>2031</v>
      </c>
      <c r="B5020" t="s">
        <v>74</v>
      </c>
      <c r="C5020" s="8">
        <v>46062</v>
      </c>
      <c r="D5020" t="s">
        <v>350</v>
      </c>
      <c r="E5020" t="s">
        <v>322</v>
      </c>
      <c r="F5020" s="12">
        <v>139824</v>
      </c>
      <c r="G5020" s="13">
        <v>13</v>
      </c>
      <c r="H5020" t="s">
        <v>2928</v>
      </c>
      <c r="I5020" s="8">
        <v>46272</v>
      </c>
      <c r="J5020" t="s">
        <v>2692</v>
      </c>
      <c r="K5020" t="s">
        <v>2693</v>
      </c>
      <c r="L5020" s="13">
        <v>10000</v>
      </c>
      <c r="M5020" t="s">
        <v>2661</v>
      </c>
    </row>
    <row r="5021" spans="1:13">
      <c r="A5021" t="s">
        <v>2031</v>
      </c>
      <c r="B5021" t="s">
        <v>74</v>
      </c>
      <c r="C5021" s="8">
        <v>46062</v>
      </c>
      <c r="D5021" t="s">
        <v>350</v>
      </c>
      <c r="E5021" t="s">
        <v>322</v>
      </c>
      <c r="F5021" s="12">
        <v>139824</v>
      </c>
      <c r="G5021" s="13">
        <v>13</v>
      </c>
      <c r="H5021" t="s">
        <v>3168</v>
      </c>
      <c r="I5021" s="8">
        <v>46219</v>
      </c>
      <c r="J5021" t="s">
        <v>2685</v>
      </c>
      <c r="K5021" t="s">
        <v>2686</v>
      </c>
      <c r="L5021" s="13">
        <v>5000</v>
      </c>
      <c r="M5021" t="s">
        <v>2661</v>
      </c>
    </row>
    <row r="5022" spans="1:13">
      <c r="A5022" t="s">
        <v>2032</v>
      </c>
      <c r="B5022" t="s">
        <v>94</v>
      </c>
      <c r="C5022" s="8">
        <v>46129</v>
      </c>
      <c r="D5022" t="s">
        <v>342</v>
      </c>
      <c r="E5022" t="s">
        <v>337</v>
      </c>
      <c r="F5022" s="12">
        <v>361838</v>
      </c>
      <c r="G5022" s="13">
        <v>36</v>
      </c>
      <c r="H5022" t="s">
        <v>2994</v>
      </c>
      <c r="I5022" s="8">
        <v>46107</v>
      </c>
      <c r="J5022" t="s">
        <v>2682</v>
      </c>
      <c r="K5022" t="s">
        <v>2683</v>
      </c>
      <c r="L5022" s="13">
        <v>6000</v>
      </c>
      <c r="M5022" t="s">
        <v>2661</v>
      </c>
    </row>
    <row r="5023" spans="1:13">
      <c r="A5023" t="s">
        <v>2033</v>
      </c>
      <c r="B5023" t="s">
        <v>312</v>
      </c>
      <c r="C5023" s="8">
        <v>46139</v>
      </c>
      <c r="D5023" t="s">
        <v>344</v>
      </c>
      <c r="E5023" t="s">
        <v>334</v>
      </c>
      <c r="F5023" s="12">
        <v>129648</v>
      </c>
      <c r="G5023" s="13">
        <v>12</v>
      </c>
      <c r="H5023" t="s">
        <v>3172</v>
      </c>
      <c r="I5023" s="8">
        <v>46074</v>
      </c>
      <c r="J5023" t="s">
        <v>2663</v>
      </c>
      <c r="K5023" t="s">
        <v>3630</v>
      </c>
      <c r="L5023" s="13">
        <v>1500</v>
      </c>
      <c r="M5023" t="s">
        <v>2661</v>
      </c>
    </row>
    <row r="5024" spans="1:13">
      <c r="A5024" t="s">
        <v>2033</v>
      </c>
      <c r="B5024" t="s">
        <v>312</v>
      </c>
      <c r="C5024" s="8">
        <v>46139</v>
      </c>
      <c r="D5024" t="s">
        <v>344</v>
      </c>
      <c r="E5024" t="s">
        <v>334</v>
      </c>
      <c r="F5024" s="12">
        <v>129648</v>
      </c>
      <c r="G5024" s="13">
        <v>12</v>
      </c>
      <c r="H5024" t="s">
        <v>3267</v>
      </c>
      <c r="I5024" s="8">
        <v>45964</v>
      </c>
      <c r="J5024" t="s">
        <v>2682</v>
      </c>
      <c r="K5024" t="s">
        <v>2683</v>
      </c>
      <c r="L5024" s="13">
        <v>6000</v>
      </c>
      <c r="M5024" t="s">
        <v>2661</v>
      </c>
    </row>
    <row r="5025" spans="1:13">
      <c r="A5025" t="s">
        <v>2034</v>
      </c>
      <c r="B5025" t="s">
        <v>302</v>
      </c>
      <c r="C5025" s="8">
        <v>46262</v>
      </c>
      <c r="D5025" t="s">
        <v>324</v>
      </c>
      <c r="E5025" t="s">
        <v>339</v>
      </c>
      <c r="F5025" s="12">
        <v>103691</v>
      </c>
      <c r="G5025" s="13">
        <v>10</v>
      </c>
      <c r="H5025" t="s">
        <v>3325</v>
      </c>
      <c r="I5025" s="8">
        <v>46177</v>
      </c>
      <c r="J5025" t="s">
        <v>2692</v>
      </c>
      <c r="K5025" t="s">
        <v>2693</v>
      </c>
      <c r="L5025" s="13">
        <v>10000</v>
      </c>
      <c r="M5025" t="s">
        <v>2661</v>
      </c>
    </row>
    <row r="5026" spans="1:13">
      <c r="A5026" t="s">
        <v>2035</v>
      </c>
      <c r="B5026" t="s">
        <v>25</v>
      </c>
      <c r="C5026" s="8">
        <v>46290</v>
      </c>
      <c r="D5026" t="s">
        <v>342</v>
      </c>
      <c r="E5026" t="s">
        <v>337</v>
      </c>
      <c r="F5026" s="12">
        <v>25329</v>
      </c>
      <c r="G5026" s="13">
        <v>2</v>
      </c>
      <c r="H5026" t="s">
        <v>2734</v>
      </c>
      <c r="I5026" s="8">
        <v>46236</v>
      </c>
      <c r="J5026" t="s">
        <v>2688</v>
      </c>
      <c r="K5026" t="s">
        <v>2689</v>
      </c>
      <c r="L5026" s="13">
        <v>8000</v>
      </c>
      <c r="M5026" t="s">
        <v>2661</v>
      </c>
    </row>
    <row r="5027" spans="1:13">
      <c r="A5027" t="s">
        <v>2035</v>
      </c>
      <c r="B5027" t="s">
        <v>25</v>
      </c>
      <c r="C5027" s="8">
        <v>46290</v>
      </c>
      <c r="D5027" t="s">
        <v>342</v>
      </c>
      <c r="E5027" t="s">
        <v>337</v>
      </c>
      <c r="F5027" s="12">
        <v>25329</v>
      </c>
      <c r="G5027" s="13">
        <v>2</v>
      </c>
      <c r="H5027" t="s">
        <v>2763</v>
      </c>
      <c r="I5027" s="8">
        <v>46092</v>
      </c>
      <c r="J5027" t="s">
        <v>2692</v>
      </c>
      <c r="K5027" t="s">
        <v>2693</v>
      </c>
      <c r="L5027" s="13">
        <v>10000</v>
      </c>
      <c r="M5027" t="s">
        <v>2661</v>
      </c>
    </row>
    <row r="5028" spans="1:13">
      <c r="A5028" t="s">
        <v>2035</v>
      </c>
      <c r="B5028" t="s">
        <v>25</v>
      </c>
      <c r="C5028" s="8">
        <v>46290</v>
      </c>
      <c r="D5028" t="s">
        <v>342</v>
      </c>
      <c r="E5028" t="s">
        <v>337</v>
      </c>
      <c r="F5028" s="12">
        <v>25329</v>
      </c>
      <c r="G5028" s="13">
        <v>2</v>
      </c>
      <c r="H5028" t="s">
        <v>3079</v>
      </c>
      <c r="I5028" s="8">
        <v>46089</v>
      </c>
      <c r="J5028" t="s">
        <v>2671</v>
      </c>
      <c r="K5028" t="s">
        <v>2672</v>
      </c>
      <c r="L5028" s="13">
        <v>3000</v>
      </c>
      <c r="M5028" t="s">
        <v>2676</v>
      </c>
    </row>
    <row r="5029" spans="1:13">
      <c r="A5029" t="s">
        <v>2035</v>
      </c>
      <c r="B5029" t="s">
        <v>25</v>
      </c>
      <c r="C5029" s="8">
        <v>46290</v>
      </c>
      <c r="D5029" t="s">
        <v>342</v>
      </c>
      <c r="E5029" t="s">
        <v>337</v>
      </c>
      <c r="F5029" s="12">
        <v>25329</v>
      </c>
      <c r="G5029" s="13">
        <v>2</v>
      </c>
      <c r="H5029" t="s">
        <v>3160</v>
      </c>
      <c r="I5029" s="8">
        <v>45931</v>
      </c>
      <c r="J5029" t="s">
        <v>2688</v>
      </c>
      <c r="K5029" t="s">
        <v>2689</v>
      </c>
      <c r="L5029" s="13">
        <v>8000</v>
      </c>
      <c r="M5029" t="s">
        <v>2661</v>
      </c>
    </row>
    <row r="5030" spans="1:13">
      <c r="A5030" t="s">
        <v>2036</v>
      </c>
      <c r="B5030" t="s">
        <v>200</v>
      </c>
      <c r="C5030" s="8">
        <v>46225</v>
      </c>
      <c r="D5030" t="s">
        <v>350</v>
      </c>
      <c r="E5030" t="s">
        <v>334</v>
      </c>
      <c r="F5030" s="12">
        <v>383836</v>
      </c>
      <c r="G5030" s="13">
        <v>38</v>
      </c>
      <c r="H5030" t="s">
        <v>2975</v>
      </c>
      <c r="I5030" s="8">
        <v>46008</v>
      </c>
      <c r="J5030" t="s">
        <v>2671</v>
      </c>
      <c r="K5030" t="s">
        <v>2672</v>
      </c>
      <c r="L5030" s="13">
        <v>3000</v>
      </c>
      <c r="M5030" t="s">
        <v>2676</v>
      </c>
    </row>
    <row r="5031" spans="1:13">
      <c r="A5031" t="s">
        <v>2036</v>
      </c>
      <c r="B5031" t="s">
        <v>200</v>
      </c>
      <c r="C5031" s="8">
        <v>46225</v>
      </c>
      <c r="D5031" t="s">
        <v>350</v>
      </c>
      <c r="E5031" t="s">
        <v>334</v>
      </c>
      <c r="F5031" s="12">
        <v>383836</v>
      </c>
      <c r="G5031" s="13">
        <v>38</v>
      </c>
      <c r="H5031" t="s">
        <v>3381</v>
      </c>
      <c r="I5031" s="8">
        <v>46037</v>
      </c>
      <c r="J5031" t="s">
        <v>2663</v>
      </c>
      <c r="K5031" t="s">
        <v>3630</v>
      </c>
      <c r="L5031" s="13">
        <v>1500</v>
      </c>
      <c r="M5031" t="s">
        <v>2661</v>
      </c>
    </row>
    <row r="5032" spans="1:13">
      <c r="A5032" t="s">
        <v>2037</v>
      </c>
      <c r="B5032" t="s">
        <v>28</v>
      </c>
      <c r="C5032" s="8">
        <v>45984</v>
      </c>
      <c r="D5032" t="s">
        <v>330</v>
      </c>
      <c r="E5032" t="s">
        <v>328</v>
      </c>
      <c r="F5032" s="12">
        <v>228872</v>
      </c>
      <c r="G5032" s="13">
        <v>22</v>
      </c>
      <c r="H5032" t="s">
        <v>2744</v>
      </c>
      <c r="I5032" s="8">
        <v>46085</v>
      </c>
      <c r="J5032" t="s">
        <v>2692</v>
      </c>
      <c r="K5032" t="s">
        <v>2693</v>
      </c>
      <c r="L5032" s="13">
        <v>10000</v>
      </c>
      <c r="M5032" t="s">
        <v>2661</v>
      </c>
    </row>
    <row r="5033" spans="1:13">
      <c r="A5033" t="s">
        <v>2037</v>
      </c>
      <c r="B5033" t="s">
        <v>28</v>
      </c>
      <c r="C5033" s="8">
        <v>45984</v>
      </c>
      <c r="D5033" t="s">
        <v>330</v>
      </c>
      <c r="E5033" t="s">
        <v>328</v>
      </c>
      <c r="F5033" s="12">
        <v>228872</v>
      </c>
      <c r="G5033" s="13">
        <v>22</v>
      </c>
      <c r="H5033" t="s">
        <v>2849</v>
      </c>
      <c r="I5033" s="8">
        <v>46060</v>
      </c>
      <c r="J5033" t="s">
        <v>2659</v>
      </c>
      <c r="K5033" t="s">
        <v>2660</v>
      </c>
      <c r="L5033" s="13">
        <v>3500</v>
      </c>
      <c r="M5033" t="s">
        <v>2661</v>
      </c>
    </row>
    <row r="5034" spans="1:13">
      <c r="A5034" t="s">
        <v>2037</v>
      </c>
      <c r="B5034" t="s">
        <v>28</v>
      </c>
      <c r="C5034" s="8">
        <v>45984</v>
      </c>
      <c r="D5034" t="s">
        <v>330</v>
      </c>
      <c r="E5034" t="s">
        <v>328</v>
      </c>
      <c r="F5034" s="12">
        <v>228872</v>
      </c>
      <c r="G5034" s="13">
        <v>22</v>
      </c>
      <c r="H5034" t="s">
        <v>2940</v>
      </c>
      <c r="I5034" s="8">
        <v>45947</v>
      </c>
      <c r="J5034" t="s">
        <v>2688</v>
      </c>
      <c r="K5034" t="s">
        <v>2689</v>
      </c>
      <c r="L5034" s="13">
        <v>8000</v>
      </c>
      <c r="M5034" t="s">
        <v>2661</v>
      </c>
    </row>
    <row r="5035" spans="1:13">
      <c r="A5035" t="s">
        <v>2037</v>
      </c>
      <c r="B5035" t="s">
        <v>28</v>
      </c>
      <c r="C5035" s="8">
        <v>45984</v>
      </c>
      <c r="D5035" t="s">
        <v>330</v>
      </c>
      <c r="E5035" t="s">
        <v>328</v>
      </c>
      <c r="F5035" s="12">
        <v>228872</v>
      </c>
      <c r="G5035" s="13">
        <v>22</v>
      </c>
      <c r="H5035" t="s">
        <v>3361</v>
      </c>
      <c r="I5035" s="8">
        <v>46205</v>
      </c>
      <c r="J5035" t="s">
        <v>2685</v>
      </c>
      <c r="K5035" t="s">
        <v>2686</v>
      </c>
      <c r="L5035" s="13">
        <v>5000</v>
      </c>
      <c r="M5035" t="s">
        <v>2661</v>
      </c>
    </row>
    <row r="5036" spans="1:13">
      <c r="A5036" t="s">
        <v>2037</v>
      </c>
      <c r="B5036" t="s">
        <v>28</v>
      </c>
      <c r="C5036" s="8">
        <v>45984</v>
      </c>
      <c r="D5036" t="s">
        <v>330</v>
      </c>
      <c r="E5036" t="s">
        <v>328</v>
      </c>
      <c r="F5036" s="12">
        <v>228872</v>
      </c>
      <c r="G5036" s="13">
        <v>22</v>
      </c>
      <c r="H5036" t="s">
        <v>3416</v>
      </c>
      <c r="I5036" s="8">
        <v>46028</v>
      </c>
      <c r="J5036" t="s">
        <v>2659</v>
      </c>
      <c r="K5036" t="s">
        <v>2660</v>
      </c>
      <c r="L5036" s="13">
        <v>3500</v>
      </c>
      <c r="M5036" t="s">
        <v>2676</v>
      </c>
    </row>
    <row r="5037" spans="1:13">
      <c r="A5037" t="s">
        <v>2037</v>
      </c>
      <c r="B5037" t="s">
        <v>28</v>
      </c>
      <c r="C5037" s="8">
        <v>45984</v>
      </c>
      <c r="D5037" t="s">
        <v>330</v>
      </c>
      <c r="E5037" t="s">
        <v>328</v>
      </c>
      <c r="F5037" s="12">
        <v>228872</v>
      </c>
      <c r="G5037" s="13">
        <v>22</v>
      </c>
      <c r="H5037" t="s">
        <v>3459</v>
      </c>
      <c r="I5037" s="8">
        <v>45984</v>
      </c>
      <c r="J5037" t="s">
        <v>2674</v>
      </c>
      <c r="K5037" t="s">
        <v>2675</v>
      </c>
      <c r="L5037" s="13">
        <v>20000</v>
      </c>
      <c r="M5037" t="s">
        <v>2676</v>
      </c>
    </row>
    <row r="5038" spans="1:13">
      <c r="A5038" t="s">
        <v>2038</v>
      </c>
      <c r="B5038" t="s">
        <v>259</v>
      </c>
      <c r="C5038" s="8">
        <v>46065</v>
      </c>
      <c r="D5038" t="s">
        <v>350</v>
      </c>
      <c r="E5038" t="s">
        <v>339</v>
      </c>
      <c r="F5038" s="12">
        <v>121775</v>
      </c>
      <c r="G5038" s="13">
        <v>12</v>
      </c>
      <c r="H5038" t="s">
        <v>2802</v>
      </c>
      <c r="I5038" s="8">
        <v>46222</v>
      </c>
      <c r="J5038" t="s">
        <v>2668</v>
      </c>
      <c r="K5038" t="s">
        <v>2669</v>
      </c>
      <c r="L5038" s="13">
        <v>4000</v>
      </c>
      <c r="M5038" t="s">
        <v>2661</v>
      </c>
    </row>
    <row r="5039" spans="1:13">
      <c r="A5039" t="s">
        <v>2038</v>
      </c>
      <c r="B5039" t="s">
        <v>259</v>
      </c>
      <c r="C5039" s="8">
        <v>46065</v>
      </c>
      <c r="D5039" t="s">
        <v>350</v>
      </c>
      <c r="E5039" t="s">
        <v>339</v>
      </c>
      <c r="F5039" s="12">
        <v>121775</v>
      </c>
      <c r="G5039" s="13">
        <v>12</v>
      </c>
      <c r="H5039" t="s">
        <v>2933</v>
      </c>
      <c r="I5039" s="8">
        <v>46183</v>
      </c>
      <c r="J5039" t="s">
        <v>2674</v>
      </c>
      <c r="K5039" t="s">
        <v>2675</v>
      </c>
      <c r="L5039" s="13">
        <v>20000</v>
      </c>
      <c r="M5039" t="s">
        <v>2661</v>
      </c>
    </row>
    <row r="5040" spans="1:13">
      <c r="A5040" t="s">
        <v>2038</v>
      </c>
      <c r="B5040" t="s">
        <v>259</v>
      </c>
      <c r="C5040" s="8">
        <v>46065</v>
      </c>
      <c r="D5040" t="s">
        <v>350</v>
      </c>
      <c r="E5040" t="s">
        <v>339</v>
      </c>
      <c r="F5040" s="12">
        <v>121775</v>
      </c>
      <c r="G5040" s="13">
        <v>12</v>
      </c>
      <c r="H5040" t="s">
        <v>2969</v>
      </c>
      <c r="I5040" s="8">
        <v>46173</v>
      </c>
      <c r="J5040" t="s">
        <v>2668</v>
      </c>
      <c r="K5040" t="s">
        <v>2669</v>
      </c>
      <c r="L5040" s="13">
        <v>4000</v>
      </c>
      <c r="M5040" t="s">
        <v>2661</v>
      </c>
    </row>
    <row r="5041" spans="1:13">
      <c r="A5041" t="s">
        <v>2038</v>
      </c>
      <c r="B5041" t="s">
        <v>259</v>
      </c>
      <c r="C5041" s="8">
        <v>46065</v>
      </c>
      <c r="D5041" t="s">
        <v>350</v>
      </c>
      <c r="E5041" t="s">
        <v>339</v>
      </c>
      <c r="F5041" s="12">
        <v>121775</v>
      </c>
      <c r="G5041" s="13">
        <v>12</v>
      </c>
      <c r="H5041" t="s">
        <v>3300</v>
      </c>
      <c r="I5041" s="8">
        <v>46089</v>
      </c>
      <c r="J5041" t="s">
        <v>2688</v>
      </c>
      <c r="K5041" t="s">
        <v>2689</v>
      </c>
      <c r="L5041" s="13">
        <v>8000</v>
      </c>
      <c r="M5041" t="s">
        <v>2676</v>
      </c>
    </row>
    <row r="5042" spans="1:13">
      <c r="A5042" t="s">
        <v>2039</v>
      </c>
      <c r="B5042" t="s">
        <v>51</v>
      </c>
      <c r="C5042" s="8">
        <v>46107</v>
      </c>
      <c r="D5042" t="s">
        <v>330</v>
      </c>
      <c r="E5042" t="s">
        <v>337</v>
      </c>
      <c r="F5042" s="12">
        <v>161822</v>
      </c>
      <c r="G5042" s="13">
        <v>16</v>
      </c>
      <c r="H5042" t="s">
        <v>2800</v>
      </c>
      <c r="I5042" s="8">
        <v>46266</v>
      </c>
      <c r="J5042" t="s">
        <v>2674</v>
      </c>
      <c r="K5042" t="s">
        <v>2675</v>
      </c>
      <c r="L5042" s="13">
        <v>20000</v>
      </c>
      <c r="M5042" t="s">
        <v>2676</v>
      </c>
    </row>
    <row r="5043" spans="1:13">
      <c r="A5043" t="s">
        <v>2039</v>
      </c>
      <c r="B5043" t="s">
        <v>51</v>
      </c>
      <c r="C5043" s="8">
        <v>46107</v>
      </c>
      <c r="D5043" t="s">
        <v>330</v>
      </c>
      <c r="E5043" t="s">
        <v>337</v>
      </c>
      <c r="F5043" s="12">
        <v>161822</v>
      </c>
      <c r="G5043" s="13">
        <v>16</v>
      </c>
      <c r="H5043" t="s">
        <v>3477</v>
      </c>
      <c r="I5043" s="8">
        <v>46036</v>
      </c>
      <c r="J5043" t="s">
        <v>2671</v>
      </c>
      <c r="K5043" t="s">
        <v>2672</v>
      </c>
      <c r="L5043" s="13">
        <v>3000</v>
      </c>
      <c r="M5043" t="s">
        <v>2661</v>
      </c>
    </row>
    <row r="5044" spans="1:13">
      <c r="A5044" t="s">
        <v>2040</v>
      </c>
      <c r="B5044" t="s">
        <v>275</v>
      </c>
      <c r="C5044" s="8">
        <v>46233</v>
      </c>
      <c r="D5044" t="s">
        <v>321</v>
      </c>
      <c r="E5044" t="s">
        <v>325</v>
      </c>
      <c r="F5044" s="12">
        <v>498452</v>
      </c>
      <c r="G5044" s="13">
        <v>49</v>
      </c>
      <c r="H5044" t="s">
        <v>2769</v>
      </c>
      <c r="I5044" s="8">
        <v>45949</v>
      </c>
      <c r="J5044" t="s">
        <v>2659</v>
      </c>
      <c r="K5044" t="s">
        <v>2660</v>
      </c>
      <c r="L5044" s="13">
        <v>3500</v>
      </c>
      <c r="M5044" t="s">
        <v>2661</v>
      </c>
    </row>
    <row r="5045" spans="1:13">
      <c r="A5045" t="s">
        <v>2040</v>
      </c>
      <c r="B5045" t="s">
        <v>275</v>
      </c>
      <c r="C5045" s="8">
        <v>46233</v>
      </c>
      <c r="D5045" t="s">
        <v>321</v>
      </c>
      <c r="E5045" t="s">
        <v>325</v>
      </c>
      <c r="F5045" s="12">
        <v>498452</v>
      </c>
      <c r="G5045" s="13">
        <v>49</v>
      </c>
      <c r="H5045" t="s">
        <v>2812</v>
      </c>
      <c r="I5045" s="8">
        <v>46037</v>
      </c>
      <c r="J5045" t="s">
        <v>2671</v>
      </c>
      <c r="K5045" t="s">
        <v>2672</v>
      </c>
      <c r="L5045" s="13">
        <v>3000</v>
      </c>
      <c r="M5045" t="s">
        <v>2661</v>
      </c>
    </row>
    <row r="5046" spans="1:13">
      <c r="A5046" t="s">
        <v>2040</v>
      </c>
      <c r="B5046" t="s">
        <v>275</v>
      </c>
      <c r="C5046" s="8">
        <v>46233</v>
      </c>
      <c r="D5046" t="s">
        <v>321</v>
      </c>
      <c r="E5046" t="s">
        <v>325</v>
      </c>
      <c r="F5046" s="12">
        <v>498452</v>
      </c>
      <c r="G5046" s="13">
        <v>49</v>
      </c>
      <c r="H5046" t="s">
        <v>2988</v>
      </c>
      <c r="I5046" s="8">
        <v>45949</v>
      </c>
      <c r="J5046" t="s">
        <v>2692</v>
      </c>
      <c r="K5046" t="s">
        <v>2693</v>
      </c>
      <c r="L5046" s="13">
        <v>10000</v>
      </c>
      <c r="M5046" t="s">
        <v>2661</v>
      </c>
    </row>
    <row r="5047" spans="1:13">
      <c r="A5047" t="s">
        <v>2040</v>
      </c>
      <c r="B5047" t="s">
        <v>275</v>
      </c>
      <c r="C5047" s="8">
        <v>46233</v>
      </c>
      <c r="D5047" t="s">
        <v>321</v>
      </c>
      <c r="E5047" t="s">
        <v>325</v>
      </c>
      <c r="F5047" s="12">
        <v>498452</v>
      </c>
      <c r="G5047" s="13">
        <v>49</v>
      </c>
      <c r="H5047" t="s">
        <v>3251</v>
      </c>
      <c r="I5047" s="8">
        <v>46059</v>
      </c>
      <c r="J5047" t="s">
        <v>2685</v>
      </c>
      <c r="K5047" t="s">
        <v>2686</v>
      </c>
      <c r="L5047" s="13">
        <v>5000</v>
      </c>
      <c r="M5047" t="s">
        <v>2661</v>
      </c>
    </row>
    <row r="5048" spans="1:13">
      <c r="A5048" t="s">
        <v>2040</v>
      </c>
      <c r="B5048" t="s">
        <v>275</v>
      </c>
      <c r="C5048" s="8">
        <v>46233</v>
      </c>
      <c r="D5048" t="s">
        <v>321</v>
      </c>
      <c r="E5048" t="s">
        <v>325</v>
      </c>
      <c r="F5048" s="12">
        <v>498452</v>
      </c>
      <c r="G5048" s="13">
        <v>49</v>
      </c>
      <c r="H5048" t="s">
        <v>3366</v>
      </c>
      <c r="I5048" s="8">
        <v>46230</v>
      </c>
      <c r="J5048" t="s">
        <v>2671</v>
      </c>
      <c r="K5048" t="s">
        <v>2672</v>
      </c>
      <c r="L5048" s="13">
        <v>3000</v>
      </c>
      <c r="M5048" t="s">
        <v>2661</v>
      </c>
    </row>
    <row r="5049" spans="1:13">
      <c r="A5049" t="s">
        <v>2041</v>
      </c>
      <c r="B5049" t="s">
        <v>186</v>
      </c>
      <c r="C5049" s="8">
        <v>45933</v>
      </c>
      <c r="D5049" t="s">
        <v>344</v>
      </c>
      <c r="E5049" t="s">
        <v>339</v>
      </c>
      <c r="F5049" s="12">
        <v>587060</v>
      </c>
      <c r="G5049" s="13">
        <v>58</v>
      </c>
      <c r="H5049" t="s">
        <v>3509</v>
      </c>
      <c r="I5049" s="8">
        <v>46214</v>
      </c>
      <c r="J5049" t="s">
        <v>2668</v>
      </c>
      <c r="K5049" t="s">
        <v>2669</v>
      </c>
      <c r="L5049" s="13">
        <v>4000</v>
      </c>
      <c r="M5049" t="s">
        <v>2661</v>
      </c>
    </row>
    <row r="5050" spans="1:13">
      <c r="A5050" t="s">
        <v>2042</v>
      </c>
      <c r="B5050" t="s">
        <v>49</v>
      </c>
      <c r="C5050" s="8">
        <v>46041</v>
      </c>
      <c r="D5050" t="s">
        <v>350</v>
      </c>
      <c r="E5050" t="s">
        <v>339</v>
      </c>
      <c r="F5050" s="12">
        <v>25079</v>
      </c>
      <c r="G5050" s="13">
        <v>2</v>
      </c>
      <c r="H5050" t="s">
        <v>2805</v>
      </c>
      <c r="I5050" s="8">
        <v>46096</v>
      </c>
      <c r="J5050" t="s">
        <v>2663</v>
      </c>
      <c r="K5050" t="s">
        <v>3630</v>
      </c>
      <c r="L5050" s="13">
        <v>1500</v>
      </c>
      <c r="M5050" t="s">
        <v>2661</v>
      </c>
    </row>
    <row r="5051" spans="1:13">
      <c r="A5051" t="s">
        <v>2042</v>
      </c>
      <c r="B5051" t="s">
        <v>49</v>
      </c>
      <c r="C5051" s="8">
        <v>46041</v>
      </c>
      <c r="D5051" t="s">
        <v>350</v>
      </c>
      <c r="E5051" t="s">
        <v>339</v>
      </c>
      <c r="F5051" s="12">
        <v>25079</v>
      </c>
      <c r="G5051" s="13">
        <v>2</v>
      </c>
      <c r="H5051" t="s">
        <v>2830</v>
      </c>
      <c r="I5051" s="8">
        <v>46193</v>
      </c>
      <c r="J5051" t="s">
        <v>2688</v>
      </c>
      <c r="K5051" t="s">
        <v>2689</v>
      </c>
      <c r="L5051" s="13">
        <v>8000</v>
      </c>
      <c r="M5051" t="s">
        <v>2661</v>
      </c>
    </row>
    <row r="5052" spans="1:13">
      <c r="A5052" t="s">
        <v>2042</v>
      </c>
      <c r="B5052" t="s">
        <v>49</v>
      </c>
      <c r="C5052" s="8">
        <v>46041</v>
      </c>
      <c r="D5052" t="s">
        <v>350</v>
      </c>
      <c r="E5052" t="s">
        <v>339</v>
      </c>
      <c r="F5052" s="12">
        <v>25079</v>
      </c>
      <c r="G5052" s="13">
        <v>2</v>
      </c>
      <c r="H5052" t="s">
        <v>2894</v>
      </c>
      <c r="I5052" s="8">
        <v>46222</v>
      </c>
      <c r="J5052" t="s">
        <v>2671</v>
      </c>
      <c r="K5052" t="s">
        <v>2672</v>
      </c>
      <c r="L5052" s="13">
        <v>3000</v>
      </c>
      <c r="M5052" t="s">
        <v>2661</v>
      </c>
    </row>
    <row r="5053" spans="1:13">
      <c r="A5053" t="s">
        <v>2042</v>
      </c>
      <c r="B5053" t="s">
        <v>49</v>
      </c>
      <c r="C5053" s="8">
        <v>46041</v>
      </c>
      <c r="D5053" t="s">
        <v>350</v>
      </c>
      <c r="E5053" t="s">
        <v>339</v>
      </c>
      <c r="F5053" s="12">
        <v>25079</v>
      </c>
      <c r="G5053" s="13">
        <v>2</v>
      </c>
      <c r="H5053" t="s">
        <v>3341</v>
      </c>
      <c r="I5053" s="8">
        <v>46056</v>
      </c>
      <c r="J5053" t="s">
        <v>2668</v>
      </c>
      <c r="K5053" t="s">
        <v>2669</v>
      </c>
      <c r="L5053" s="13">
        <v>4000</v>
      </c>
      <c r="M5053" t="s">
        <v>2661</v>
      </c>
    </row>
    <row r="5054" spans="1:13">
      <c r="A5054" t="s">
        <v>2043</v>
      </c>
      <c r="B5054" t="s">
        <v>240</v>
      </c>
      <c r="C5054" s="8">
        <v>45960</v>
      </c>
      <c r="D5054" t="s">
        <v>342</v>
      </c>
      <c r="E5054" t="s">
        <v>339</v>
      </c>
      <c r="F5054" s="12">
        <v>99263</v>
      </c>
      <c r="G5054" s="13">
        <v>9</v>
      </c>
      <c r="H5054" t="s">
        <v>3066</v>
      </c>
      <c r="I5054" s="8">
        <v>46121</v>
      </c>
      <c r="J5054" t="s">
        <v>2685</v>
      </c>
      <c r="K5054" t="s">
        <v>2686</v>
      </c>
      <c r="L5054" s="13">
        <v>5000</v>
      </c>
      <c r="M5054" t="s">
        <v>2661</v>
      </c>
    </row>
    <row r="5055" spans="1:13">
      <c r="A5055" t="s">
        <v>2043</v>
      </c>
      <c r="B5055" t="s">
        <v>240</v>
      </c>
      <c r="C5055" s="8">
        <v>45960</v>
      </c>
      <c r="D5055" t="s">
        <v>342</v>
      </c>
      <c r="E5055" t="s">
        <v>339</v>
      </c>
      <c r="F5055" s="12">
        <v>99263</v>
      </c>
      <c r="G5055" s="13">
        <v>9</v>
      </c>
      <c r="H5055" t="s">
        <v>3319</v>
      </c>
      <c r="I5055" s="8">
        <v>45952</v>
      </c>
      <c r="J5055" t="s">
        <v>2685</v>
      </c>
      <c r="K5055" t="s">
        <v>2686</v>
      </c>
      <c r="L5055" s="13">
        <v>5000</v>
      </c>
      <c r="M5055" t="s">
        <v>2661</v>
      </c>
    </row>
    <row r="5056" spans="1:13">
      <c r="A5056" t="s">
        <v>2043</v>
      </c>
      <c r="B5056" t="s">
        <v>240</v>
      </c>
      <c r="C5056" s="8">
        <v>45960</v>
      </c>
      <c r="D5056" t="s">
        <v>342</v>
      </c>
      <c r="E5056" t="s">
        <v>339</v>
      </c>
      <c r="F5056" s="12">
        <v>99263</v>
      </c>
      <c r="G5056" s="13">
        <v>9</v>
      </c>
      <c r="H5056" t="s">
        <v>3380</v>
      </c>
      <c r="I5056" s="8">
        <v>46263</v>
      </c>
      <c r="J5056" t="s">
        <v>2682</v>
      </c>
      <c r="K5056" t="s">
        <v>2683</v>
      </c>
      <c r="L5056" s="13">
        <v>6000</v>
      </c>
      <c r="M5056" t="s">
        <v>2661</v>
      </c>
    </row>
    <row r="5057" spans="1:13">
      <c r="A5057" t="s">
        <v>2044</v>
      </c>
      <c r="B5057" t="s">
        <v>115</v>
      </c>
      <c r="C5057" s="8">
        <v>46199</v>
      </c>
      <c r="D5057" t="s">
        <v>342</v>
      </c>
      <c r="E5057" t="s">
        <v>334</v>
      </c>
      <c r="F5057" s="12">
        <v>816514</v>
      </c>
      <c r="G5057" s="13">
        <v>81</v>
      </c>
      <c r="H5057" t="s">
        <v>2708</v>
      </c>
      <c r="I5057" s="8">
        <v>46007</v>
      </c>
      <c r="J5057" t="s">
        <v>2663</v>
      </c>
      <c r="K5057" t="s">
        <v>3630</v>
      </c>
      <c r="L5057" s="13">
        <v>1500</v>
      </c>
      <c r="M5057" t="s">
        <v>2661</v>
      </c>
    </row>
    <row r="5058" spans="1:13">
      <c r="A5058" t="s">
        <v>2044</v>
      </c>
      <c r="B5058" t="s">
        <v>115</v>
      </c>
      <c r="C5058" s="8">
        <v>46199</v>
      </c>
      <c r="D5058" t="s">
        <v>342</v>
      </c>
      <c r="E5058" t="s">
        <v>334</v>
      </c>
      <c r="F5058" s="12">
        <v>816514</v>
      </c>
      <c r="G5058" s="13">
        <v>81</v>
      </c>
      <c r="H5058" t="s">
        <v>3206</v>
      </c>
      <c r="I5058" s="8">
        <v>46044</v>
      </c>
      <c r="J5058" t="s">
        <v>2659</v>
      </c>
      <c r="K5058" t="s">
        <v>2660</v>
      </c>
      <c r="L5058" s="13">
        <v>3500</v>
      </c>
      <c r="M5058" t="s">
        <v>2661</v>
      </c>
    </row>
    <row r="5059" spans="1:13">
      <c r="A5059" t="s">
        <v>2044</v>
      </c>
      <c r="B5059" t="s">
        <v>115</v>
      </c>
      <c r="C5059" s="8">
        <v>46199</v>
      </c>
      <c r="D5059" t="s">
        <v>342</v>
      </c>
      <c r="E5059" t="s">
        <v>334</v>
      </c>
      <c r="F5059" s="12">
        <v>816514</v>
      </c>
      <c r="G5059" s="13">
        <v>81</v>
      </c>
      <c r="H5059" t="s">
        <v>3437</v>
      </c>
      <c r="I5059" s="8">
        <v>45996</v>
      </c>
      <c r="J5059" t="s">
        <v>2668</v>
      </c>
      <c r="K5059" t="s">
        <v>2669</v>
      </c>
      <c r="L5059" s="13">
        <v>4000</v>
      </c>
      <c r="M5059" t="s">
        <v>2661</v>
      </c>
    </row>
    <row r="5060" spans="1:13">
      <c r="A5060" t="s">
        <v>2045</v>
      </c>
      <c r="B5060" t="s">
        <v>90</v>
      </c>
      <c r="C5060" s="8">
        <v>46138</v>
      </c>
      <c r="D5060" t="s">
        <v>332</v>
      </c>
      <c r="E5060" t="s">
        <v>325</v>
      </c>
      <c r="F5060" s="12">
        <v>393909</v>
      </c>
      <c r="G5060" s="13">
        <v>39</v>
      </c>
      <c r="H5060" t="s">
        <v>3041</v>
      </c>
      <c r="I5060" s="8">
        <v>46040</v>
      </c>
      <c r="J5060" t="s">
        <v>2685</v>
      </c>
      <c r="K5060" t="s">
        <v>2686</v>
      </c>
      <c r="L5060" s="13">
        <v>5000</v>
      </c>
      <c r="M5060" t="s">
        <v>2661</v>
      </c>
    </row>
    <row r="5061" spans="1:13">
      <c r="A5061" t="s">
        <v>2046</v>
      </c>
      <c r="B5061" t="s">
        <v>154</v>
      </c>
      <c r="C5061" s="8">
        <v>46218</v>
      </c>
      <c r="D5061" t="s">
        <v>330</v>
      </c>
      <c r="E5061" t="s">
        <v>337</v>
      </c>
      <c r="F5061" s="12">
        <v>70741</v>
      </c>
      <c r="G5061" s="13">
        <v>7</v>
      </c>
      <c r="H5061" t="s">
        <v>2871</v>
      </c>
      <c r="I5061" s="8">
        <v>46267</v>
      </c>
      <c r="J5061" t="s">
        <v>2692</v>
      </c>
      <c r="K5061" t="s">
        <v>2693</v>
      </c>
      <c r="L5061" s="13">
        <v>10000</v>
      </c>
      <c r="M5061" t="s">
        <v>2676</v>
      </c>
    </row>
    <row r="5062" spans="1:13">
      <c r="A5062" t="s">
        <v>2046</v>
      </c>
      <c r="B5062" t="s">
        <v>154</v>
      </c>
      <c r="C5062" s="8">
        <v>46218</v>
      </c>
      <c r="D5062" t="s">
        <v>330</v>
      </c>
      <c r="E5062" t="s">
        <v>337</v>
      </c>
      <c r="F5062" s="12">
        <v>70741</v>
      </c>
      <c r="G5062" s="13">
        <v>7</v>
      </c>
      <c r="H5062" t="s">
        <v>2963</v>
      </c>
      <c r="I5062" s="8">
        <v>45981</v>
      </c>
      <c r="J5062" t="s">
        <v>2659</v>
      </c>
      <c r="K5062" t="s">
        <v>2660</v>
      </c>
      <c r="L5062" s="13">
        <v>3500</v>
      </c>
      <c r="M5062" t="s">
        <v>2661</v>
      </c>
    </row>
    <row r="5063" spans="1:13">
      <c r="A5063" t="s">
        <v>2046</v>
      </c>
      <c r="B5063" t="s">
        <v>154</v>
      </c>
      <c r="C5063" s="8">
        <v>46218</v>
      </c>
      <c r="D5063" t="s">
        <v>330</v>
      </c>
      <c r="E5063" t="s">
        <v>337</v>
      </c>
      <c r="F5063" s="12">
        <v>70741</v>
      </c>
      <c r="G5063" s="13">
        <v>7</v>
      </c>
      <c r="H5063" t="s">
        <v>2967</v>
      </c>
      <c r="I5063" s="8">
        <v>46155</v>
      </c>
      <c r="J5063" t="s">
        <v>2668</v>
      </c>
      <c r="K5063" t="s">
        <v>2669</v>
      </c>
      <c r="L5063" s="13">
        <v>4000</v>
      </c>
      <c r="M5063" t="s">
        <v>2661</v>
      </c>
    </row>
    <row r="5064" spans="1:13">
      <c r="A5064" t="s">
        <v>2046</v>
      </c>
      <c r="B5064" t="s">
        <v>154</v>
      </c>
      <c r="C5064" s="8">
        <v>46218</v>
      </c>
      <c r="D5064" t="s">
        <v>330</v>
      </c>
      <c r="E5064" t="s">
        <v>337</v>
      </c>
      <c r="F5064" s="12">
        <v>70741</v>
      </c>
      <c r="G5064" s="13">
        <v>7</v>
      </c>
      <c r="H5064" t="s">
        <v>3013</v>
      </c>
      <c r="I5064" s="8">
        <v>45942</v>
      </c>
      <c r="J5064" t="s">
        <v>2682</v>
      </c>
      <c r="K5064" t="s">
        <v>2683</v>
      </c>
      <c r="L5064" s="13">
        <v>6000</v>
      </c>
      <c r="M5064" t="s">
        <v>2661</v>
      </c>
    </row>
    <row r="5065" spans="1:13">
      <c r="A5065" t="s">
        <v>2046</v>
      </c>
      <c r="B5065" t="s">
        <v>154</v>
      </c>
      <c r="C5065" s="8">
        <v>46218</v>
      </c>
      <c r="D5065" t="s">
        <v>330</v>
      </c>
      <c r="E5065" t="s">
        <v>337</v>
      </c>
      <c r="F5065" s="12">
        <v>70741</v>
      </c>
      <c r="G5065" s="13">
        <v>7</v>
      </c>
      <c r="H5065" t="s">
        <v>3188</v>
      </c>
      <c r="I5065" s="8">
        <v>46142</v>
      </c>
      <c r="J5065" t="s">
        <v>2665</v>
      </c>
      <c r="K5065" t="s">
        <v>2666</v>
      </c>
      <c r="L5065" s="13">
        <v>2500</v>
      </c>
      <c r="M5065" t="s">
        <v>2676</v>
      </c>
    </row>
    <row r="5066" spans="1:13">
      <c r="A5066" t="s">
        <v>2046</v>
      </c>
      <c r="B5066" t="s">
        <v>154</v>
      </c>
      <c r="C5066" s="8">
        <v>46218</v>
      </c>
      <c r="D5066" t="s">
        <v>330</v>
      </c>
      <c r="E5066" t="s">
        <v>337</v>
      </c>
      <c r="F5066" s="12">
        <v>70741</v>
      </c>
      <c r="G5066" s="13">
        <v>7</v>
      </c>
      <c r="H5066" t="s">
        <v>3240</v>
      </c>
      <c r="I5066" s="8">
        <v>46030</v>
      </c>
      <c r="J5066" t="s">
        <v>2671</v>
      </c>
      <c r="K5066" t="s">
        <v>2672</v>
      </c>
      <c r="L5066" s="13">
        <v>3000</v>
      </c>
      <c r="M5066" t="s">
        <v>2661</v>
      </c>
    </row>
    <row r="5067" spans="1:13">
      <c r="A5067" t="s">
        <v>2046</v>
      </c>
      <c r="B5067" t="s">
        <v>154</v>
      </c>
      <c r="C5067" s="8">
        <v>46218</v>
      </c>
      <c r="D5067" t="s">
        <v>330</v>
      </c>
      <c r="E5067" t="s">
        <v>337</v>
      </c>
      <c r="F5067" s="12">
        <v>70741</v>
      </c>
      <c r="G5067" s="13">
        <v>7</v>
      </c>
      <c r="H5067" t="s">
        <v>3316</v>
      </c>
      <c r="I5067" s="8">
        <v>46084</v>
      </c>
      <c r="J5067" t="s">
        <v>2688</v>
      </c>
      <c r="K5067" t="s">
        <v>2689</v>
      </c>
      <c r="L5067" s="13">
        <v>8000</v>
      </c>
      <c r="M5067" t="s">
        <v>2661</v>
      </c>
    </row>
    <row r="5068" spans="1:13">
      <c r="A5068" t="s">
        <v>2047</v>
      </c>
      <c r="B5068" t="s">
        <v>173</v>
      </c>
      <c r="C5068" s="8">
        <v>46000</v>
      </c>
      <c r="D5068" t="s">
        <v>332</v>
      </c>
      <c r="E5068" t="s">
        <v>339</v>
      </c>
      <c r="F5068" s="12">
        <v>217733</v>
      </c>
      <c r="G5068" s="13">
        <v>21</v>
      </c>
      <c r="H5068" t="s">
        <v>2961</v>
      </c>
      <c r="I5068" s="8">
        <v>46293</v>
      </c>
      <c r="J5068" t="s">
        <v>2663</v>
      </c>
      <c r="K5068" t="s">
        <v>3630</v>
      </c>
      <c r="L5068" s="13">
        <v>1500</v>
      </c>
      <c r="M5068" t="s">
        <v>2661</v>
      </c>
    </row>
    <row r="5069" spans="1:13">
      <c r="A5069" t="s">
        <v>2047</v>
      </c>
      <c r="B5069" t="s">
        <v>173</v>
      </c>
      <c r="C5069" s="8">
        <v>46000</v>
      </c>
      <c r="D5069" t="s">
        <v>332</v>
      </c>
      <c r="E5069" t="s">
        <v>339</v>
      </c>
      <c r="F5069" s="12">
        <v>217733</v>
      </c>
      <c r="G5069" s="13">
        <v>21</v>
      </c>
      <c r="H5069" t="s">
        <v>3113</v>
      </c>
      <c r="I5069" s="8">
        <v>46105</v>
      </c>
      <c r="J5069" t="s">
        <v>2663</v>
      </c>
      <c r="K5069" t="s">
        <v>3630</v>
      </c>
      <c r="L5069" s="13">
        <v>1500</v>
      </c>
      <c r="M5069" t="s">
        <v>2661</v>
      </c>
    </row>
    <row r="5070" spans="1:13">
      <c r="A5070" t="s">
        <v>2047</v>
      </c>
      <c r="B5070" t="s">
        <v>173</v>
      </c>
      <c r="C5070" s="8">
        <v>46000</v>
      </c>
      <c r="D5070" t="s">
        <v>332</v>
      </c>
      <c r="E5070" t="s">
        <v>339</v>
      </c>
      <c r="F5070" s="12">
        <v>217733</v>
      </c>
      <c r="G5070" s="13">
        <v>21</v>
      </c>
      <c r="H5070" t="s">
        <v>3225</v>
      </c>
      <c r="I5070" s="8">
        <v>46285</v>
      </c>
      <c r="J5070" t="s">
        <v>2665</v>
      </c>
      <c r="K5070" t="s">
        <v>2666</v>
      </c>
      <c r="L5070" s="13">
        <v>2500</v>
      </c>
      <c r="M5070" t="s">
        <v>2676</v>
      </c>
    </row>
    <row r="5071" spans="1:13">
      <c r="A5071" t="s">
        <v>2047</v>
      </c>
      <c r="B5071" t="s">
        <v>173</v>
      </c>
      <c r="C5071" s="8">
        <v>46000</v>
      </c>
      <c r="D5071" t="s">
        <v>332</v>
      </c>
      <c r="E5071" t="s">
        <v>339</v>
      </c>
      <c r="F5071" s="12">
        <v>217733</v>
      </c>
      <c r="G5071" s="13">
        <v>21</v>
      </c>
      <c r="H5071" t="s">
        <v>3228</v>
      </c>
      <c r="I5071" s="8">
        <v>46163</v>
      </c>
      <c r="J5071" t="s">
        <v>2659</v>
      </c>
      <c r="K5071" t="s">
        <v>2660</v>
      </c>
      <c r="L5071" s="13">
        <v>3500</v>
      </c>
      <c r="M5071" t="s">
        <v>2661</v>
      </c>
    </row>
    <row r="5072" spans="1:13">
      <c r="A5072" t="s">
        <v>2048</v>
      </c>
      <c r="B5072" t="s">
        <v>249</v>
      </c>
      <c r="C5072" s="8">
        <v>46127</v>
      </c>
      <c r="D5072" t="s">
        <v>344</v>
      </c>
      <c r="E5072" t="s">
        <v>322</v>
      </c>
      <c r="F5072" s="12">
        <v>171903</v>
      </c>
      <c r="G5072" s="13">
        <v>17</v>
      </c>
      <c r="H5072" t="s">
        <v>2783</v>
      </c>
      <c r="I5072" s="8">
        <v>46270</v>
      </c>
      <c r="J5072" t="s">
        <v>2665</v>
      </c>
      <c r="K5072" t="s">
        <v>2666</v>
      </c>
      <c r="L5072" s="13">
        <v>2500</v>
      </c>
      <c r="M5072" t="s">
        <v>2676</v>
      </c>
    </row>
    <row r="5073" spans="1:13">
      <c r="A5073" t="s">
        <v>2048</v>
      </c>
      <c r="B5073" t="s">
        <v>249</v>
      </c>
      <c r="C5073" s="8">
        <v>46127</v>
      </c>
      <c r="D5073" t="s">
        <v>344</v>
      </c>
      <c r="E5073" t="s">
        <v>322</v>
      </c>
      <c r="F5073" s="12">
        <v>171903</v>
      </c>
      <c r="G5073" s="13">
        <v>17</v>
      </c>
      <c r="H5073" t="s">
        <v>3085</v>
      </c>
      <c r="I5073" s="8">
        <v>46161</v>
      </c>
      <c r="J5073" t="s">
        <v>2674</v>
      </c>
      <c r="K5073" t="s">
        <v>2675</v>
      </c>
      <c r="L5073" s="13">
        <v>20000</v>
      </c>
      <c r="M5073" t="s">
        <v>2661</v>
      </c>
    </row>
    <row r="5074" spans="1:13">
      <c r="A5074" t="s">
        <v>2048</v>
      </c>
      <c r="B5074" t="s">
        <v>249</v>
      </c>
      <c r="C5074" s="8">
        <v>46127</v>
      </c>
      <c r="D5074" t="s">
        <v>344</v>
      </c>
      <c r="E5074" t="s">
        <v>322</v>
      </c>
      <c r="F5074" s="12">
        <v>171903</v>
      </c>
      <c r="G5074" s="13">
        <v>17</v>
      </c>
      <c r="H5074" t="s">
        <v>3358</v>
      </c>
      <c r="I5074" s="8">
        <v>46150</v>
      </c>
      <c r="J5074" t="s">
        <v>2668</v>
      </c>
      <c r="K5074" t="s">
        <v>2669</v>
      </c>
      <c r="L5074" s="13">
        <v>4000</v>
      </c>
      <c r="M5074" t="s">
        <v>2661</v>
      </c>
    </row>
    <row r="5075" spans="1:13">
      <c r="A5075" t="s">
        <v>2049</v>
      </c>
      <c r="B5075" t="s">
        <v>94</v>
      </c>
      <c r="C5075" s="8">
        <v>46088</v>
      </c>
      <c r="D5075" t="s">
        <v>321</v>
      </c>
      <c r="E5075" t="s">
        <v>334</v>
      </c>
      <c r="F5075" s="12">
        <v>278459</v>
      </c>
      <c r="G5075" s="13">
        <v>27</v>
      </c>
      <c r="H5075" t="s">
        <v>2994</v>
      </c>
      <c r="I5075" s="8">
        <v>46107</v>
      </c>
      <c r="J5075" t="s">
        <v>2682</v>
      </c>
      <c r="K5075" t="s">
        <v>2683</v>
      </c>
      <c r="L5075" s="13">
        <v>6000</v>
      </c>
      <c r="M5075" t="s">
        <v>2661</v>
      </c>
    </row>
    <row r="5076" spans="1:13">
      <c r="A5076" t="s">
        <v>2050</v>
      </c>
      <c r="B5076" t="s">
        <v>262</v>
      </c>
      <c r="C5076" s="8">
        <v>46004</v>
      </c>
      <c r="D5076" t="s">
        <v>332</v>
      </c>
      <c r="E5076" t="s">
        <v>328</v>
      </c>
      <c r="F5076" s="12">
        <v>229968</v>
      </c>
      <c r="G5076" s="13">
        <v>22</v>
      </c>
      <c r="H5076" t="s">
        <v>2923</v>
      </c>
      <c r="I5076" s="8">
        <v>46130</v>
      </c>
      <c r="J5076" t="s">
        <v>2682</v>
      </c>
      <c r="K5076" t="s">
        <v>2683</v>
      </c>
      <c r="L5076" s="13">
        <v>6000</v>
      </c>
      <c r="M5076" t="s">
        <v>2661</v>
      </c>
    </row>
    <row r="5077" spans="1:13">
      <c r="A5077" t="s">
        <v>2051</v>
      </c>
      <c r="B5077" t="s">
        <v>205</v>
      </c>
      <c r="C5077" s="8">
        <v>46263</v>
      </c>
      <c r="D5077" t="s">
        <v>324</v>
      </c>
      <c r="E5077" t="s">
        <v>325</v>
      </c>
      <c r="F5077" s="12">
        <v>165177</v>
      </c>
      <c r="G5077" s="13">
        <v>16</v>
      </c>
      <c r="H5077" t="s">
        <v>3241</v>
      </c>
      <c r="I5077" s="8">
        <v>45972</v>
      </c>
      <c r="J5077" t="s">
        <v>2671</v>
      </c>
      <c r="K5077" t="s">
        <v>2672</v>
      </c>
      <c r="L5077" s="13">
        <v>3000</v>
      </c>
      <c r="M5077" t="s">
        <v>2676</v>
      </c>
    </row>
    <row r="5078" spans="1:13">
      <c r="A5078" t="s">
        <v>2052</v>
      </c>
      <c r="B5078" t="s">
        <v>249</v>
      </c>
      <c r="C5078" s="8">
        <v>46291</v>
      </c>
      <c r="D5078" t="s">
        <v>321</v>
      </c>
      <c r="E5078" t="s">
        <v>339</v>
      </c>
      <c r="F5078" s="12">
        <v>260256</v>
      </c>
      <c r="G5078" s="13">
        <v>26</v>
      </c>
      <c r="H5078" t="s">
        <v>2783</v>
      </c>
      <c r="I5078" s="8">
        <v>46270</v>
      </c>
      <c r="J5078" t="s">
        <v>2665</v>
      </c>
      <c r="K5078" t="s">
        <v>2666</v>
      </c>
      <c r="L5078" s="13">
        <v>2500</v>
      </c>
      <c r="M5078" t="s">
        <v>2676</v>
      </c>
    </row>
    <row r="5079" spans="1:13">
      <c r="A5079" t="s">
        <v>2052</v>
      </c>
      <c r="B5079" t="s">
        <v>249</v>
      </c>
      <c r="C5079" s="8">
        <v>46291</v>
      </c>
      <c r="D5079" t="s">
        <v>321</v>
      </c>
      <c r="E5079" t="s">
        <v>339</v>
      </c>
      <c r="F5079" s="12">
        <v>260256</v>
      </c>
      <c r="G5079" s="13">
        <v>26</v>
      </c>
      <c r="H5079" t="s">
        <v>3085</v>
      </c>
      <c r="I5079" s="8">
        <v>46161</v>
      </c>
      <c r="J5079" t="s">
        <v>2674</v>
      </c>
      <c r="K5079" t="s">
        <v>2675</v>
      </c>
      <c r="L5079" s="13">
        <v>20000</v>
      </c>
      <c r="M5079" t="s">
        <v>2661</v>
      </c>
    </row>
    <row r="5080" spans="1:13">
      <c r="A5080" t="s">
        <v>2052</v>
      </c>
      <c r="B5080" t="s">
        <v>249</v>
      </c>
      <c r="C5080" s="8">
        <v>46291</v>
      </c>
      <c r="D5080" t="s">
        <v>321</v>
      </c>
      <c r="E5080" t="s">
        <v>339</v>
      </c>
      <c r="F5080" s="12">
        <v>260256</v>
      </c>
      <c r="G5080" s="13">
        <v>26</v>
      </c>
      <c r="H5080" t="s">
        <v>3358</v>
      </c>
      <c r="I5080" s="8">
        <v>46150</v>
      </c>
      <c r="J5080" t="s">
        <v>2668</v>
      </c>
      <c r="K5080" t="s">
        <v>2669</v>
      </c>
      <c r="L5080" s="13">
        <v>4000</v>
      </c>
      <c r="M5080" t="s">
        <v>2661</v>
      </c>
    </row>
    <row r="5081" spans="1:13">
      <c r="A5081" t="s">
        <v>2053</v>
      </c>
      <c r="B5081" t="s">
        <v>102</v>
      </c>
      <c r="C5081" s="8">
        <v>45989</v>
      </c>
      <c r="D5081" t="s">
        <v>324</v>
      </c>
      <c r="E5081" t="s">
        <v>337</v>
      </c>
      <c r="F5081" s="12">
        <v>368987</v>
      </c>
      <c r="G5081" s="13">
        <v>36</v>
      </c>
      <c r="H5081" t="s">
        <v>2797</v>
      </c>
      <c r="I5081" s="8">
        <v>46163</v>
      </c>
      <c r="J5081" t="s">
        <v>2665</v>
      </c>
      <c r="K5081" t="s">
        <v>2666</v>
      </c>
      <c r="L5081" s="13">
        <v>2500</v>
      </c>
      <c r="M5081" t="s">
        <v>2661</v>
      </c>
    </row>
    <row r="5082" spans="1:13">
      <c r="A5082" t="s">
        <v>2053</v>
      </c>
      <c r="B5082" t="s">
        <v>102</v>
      </c>
      <c r="C5082" s="8">
        <v>45989</v>
      </c>
      <c r="D5082" t="s">
        <v>324</v>
      </c>
      <c r="E5082" t="s">
        <v>337</v>
      </c>
      <c r="F5082" s="12">
        <v>368987</v>
      </c>
      <c r="G5082" s="13">
        <v>36</v>
      </c>
      <c r="H5082" t="s">
        <v>3355</v>
      </c>
      <c r="I5082" s="8">
        <v>46029</v>
      </c>
      <c r="J5082" t="s">
        <v>2659</v>
      </c>
      <c r="K5082" t="s">
        <v>2660</v>
      </c>
      <c r="L5082" s="13">
        <v>3500</v>
      </c>
      <c r="M5082" t="s">
        <v>2676</v>
      </c>
    </row>
    <row r="5083" spans="1:13">
      <c r="A5083" t="s">
        <v>2053</v>
      </c>
      <c r="B5083" t="s">
        <v>102</v>
      </c>
      <c r="C5083" s="8">
        <v>45989</v>
      </c>
      <c r="D5083" t="s">
        <v>324</v>
      </c>
      <c r="E5083" t="s">
        <v>337</v>
      </c>
      <c r="F5083" s="12">
        <v>368987</v>
      </c>
      <c r="G5083" s="13">
        <v>36</v>
      </c>
      <c r="H5083" t="s">
        <v>3360</v>
      </c>
      <c r="I5083" s="8">
        <v>46231</v>
      </c>
      <c r="J5083" t="s">
        <v>2674</v>
      </c>
      <c r="K5083" t="s">
        <v>2675</v>
      </c>
      <c r="L5083" s="13">
        <v>20000</v>
      </c>
      <c r="M5083" t="s">
        <v>2661</v>
      </c>
    </row>
    <row r="5084" spans="1:13">
      <c r="A5084" t="s">
        <v>2053</v>
      </c>
      <c r="B5084" t="s">
        <v>102</v>
      </c>
      <c r="C5084" s="8">
        <v>45989</v>
      </c>
      <c r="D5084" t="s">
        <v>324</v>
      </c>
      <c r="E5084" t="s">
        <v>337</v>
      </c>
      <c r="F5084" s="12">
        <v>368987</v>
      </c>
      <c r="G5084" s="13">
        <v>36</v>
      </c>
      <c r="H5084" t="s">
        <v>3439</v>
      </c>
      <c r="I5084" s="8">
        <v>46268</v>
      </c>
      <c r="J5084" t="s">
        <v>2663</v>
      </c>
      <c r="K5084" t="s">
        <v>3630</v>
      </c>
      <c r="L5084" s="13">
        <v>1500</v>
      </c>
      <c r="M5084" t="s">
        <v>2661</v>
      </c>
    </row>
    <row r="5085" spans="1:13">
      <c r="A5085" t="s">
        <v>2053</v>
      </c>
      <c r="B5085" t="s">
        <v>102</v>
      </c>
      <c r="C5085" s="8">
        <v>45989</v>
      </c>
      <c r="D5085" t="s">
        <v>324</v>
      </c>
      <c r="E5085" t="s">
        <v>337</v>
      </c>
      <c r="F5085" s="12">
        <v>368987</v>
      </c>
      <c r="G5085" s="13">
        <v>36</v>
      </c>
      <c r="H5085" t="s">
        <v>3565</v>
      </c>
      <c r="I5085" s="8">
        <v>46150</v>
      </c>
      <c r="J5085" t="s">
        <v>2674</v>
      </c>
      <c r="K5085" t="s">
        <v>2675</v>
      </c>
      <c r="L5085" s="13">
        <v>20000</v>
      </c>
      <c r="M5085" t="s">
        <v>2661</v>
      </c>
    </row>
    <row r="5086" spans="1:13">
      <c r="A5086" t="s">
        <v>2054</v>
      </c>
      <c r="B5086" t="s">
        <v>237</v>
      </c>
      <c r="C5086" s="8">
        <v>46116</v>
      </c>
      <c r="D5086" t="s">
        <v>342</v>
      </c>
      <c r="E5086" t="s">
        <v>339</v>
      </c>
      <c r="F5086" s="12">
        <v>551972</v>
      </c>
      <c r="G5086" s="13">
        <v>55</v>
      </c>
      <c r="H5086" t="s">
        <v>2750</v>
      </c>
      <c r="I5086" s="8">
        <v>46183</v>
      </c>
      <c r="J5086" t="s">
        <v>2659</v>
      </c>
      <c r="K5086" t="s">
        <v>2660</v>
      </c>
      <c r="L5086" s="13">
        <v>3500</v>
      </c>
      <c r="M5086" t="s">
        <v>2661</v>
      </c>
    </row>
    <row r="5087" spans="1:13">
      <c r="A5087" t="s">
        <v>2054</v>
      </c>
      <c r="B5087" t="s">
        <v>237</v>
      </c>
      <c r="C5087" s="8">
        <v>46116</v>
      </c>
      <c r="D5087" t="s">
        <v>342</v>
      </c>
      <c r="E5087" t="s">
        <v>339</v>
      </c>
      <c r="F5087" s="12">
        <v>551972</v>
      </c>
      <c r="G5087" s="13">
        <v>55</v>
      </c>
      <c r="H5087" t="s">
        <v>2787</v>
      </c>
      <c r="I5087" s="8">
        <v>46144</v>
      </c>
      <c r="J5087" t="s">
        <v>2692</v>
      </c>
      <c r="K5087" t="s">
        <v>2693</v>
      </c>
      <c r="L5087" s="13">
        <v>10000</v>
      </c>
      <c r="M5087" t="s">
        <v>2661</v>
      </c>
    </row>
    <row r="5088" spans="1:13">
      <c r="A5088" t="s">
        <v>2054</v>
      </c>
      <c r="B5088" t="s">
        <v>237</v>
      </c>
      <c r="C5088" s="8">
        <v>46116</v>
      </c>
      <c r="D5088" t="s">
        <v>342</v>
      </c>
      <c r="E5088" t="s">
        <v>339</v>
      </c>
      <c r="F5088" s="12">
        <v>551972</v>
      </c>
      <c r="G5088" s="13">
        <v>55</v>
      </c>
      <c r="H5088" t="s">
        <v>3055</v>
      </c>
      <c r="I5088" s="8">
        <v>46201</v>
      </c>
      <c r="J5088" t="s">
        <v>2659</v>
      </c>
      <c r="K5088" t="s">
        <v>2660</v>
      </c>
      <c r="L5088" s="13">
        <v>3500</v>
      </c>
      <c r="M5088" t="s">
        <v>2661</v>
      </c>
    </row>
    <row r="5089" spans="1:13">
      <c r="A5089" t="s">
        <v>2054</v>
      </c>
      <c r="B5089" t="s">
        <v>237</v>
      </c>
      <c r="C5089" s="8">
        <v>46116</v>
      </c>
      <c r="D5089" t="s">
        <v>342</v>
      </c>
      <c r="E5089" t="s">
        <v>339</v>
      </c>
      <c r="F5089" s="12">
        <v>551972</v>
      </c>
      <c r="G5089" s="13">
        <v>55</v>
      </c>
      <c r="H5089" t="s">
        <v>3067</v>
      </c>
      <c r="I5089" s="8">
        <v>46122</v>
      </c>
      <c r="J5089" t="s">
        <v>2668</v>
      </c>
      <c r="K5089" t="s">
        <v>2669</v>
      </c>
      <c r="L5089" s="13">
        <v>4000</v>
      </c>
      <c r="M5089" t="s">
        <v>2661</v>
      </c>
    </row>
    <row r="5090" spans="1:13">
      <c r="A5090" t="s">
        <v>2054</v>
      </c>
      <c r="B5090" t="s">
        <v>237</v>
      </c>
      <c r="C5090" s="8">
        <v>46116</v>
      </c>
      <c r="D5090" t="s">
        <v>342</v>
      </c>
      <c r="E5090" t="s">
        <v>339</v>
      </c>
      <c r="F5090" s="12">
        <v>551972</v>
      </c>
      <c r="G5090" s="13">
        <v>55</v>
      </c>
      <c r="H5090" t="s">
        <v>3130</v>
      </c>
      <c r="I5090" s="8">
        <v>46003</v>
      </c>
      <c r="J5090" t="s">
        <v>2663</v>
      </c>
      <c r="K5090" t="s">
        <v>3630</v>
      </c>
      <c r="L5090" s="13">
        <v>1500</v>
      </c>
      <c r="M5090" t="s">
        <v>2661</v>
      </c>
    </row>
    <row r="5091" spans="1:13">
      <c r="A5091" t="s">
        <v>2054</v>
      </c>
      <c r="B5091" t="s">
        <v>237</v>
      </c>
      <c r="C5091" s="8">
        <v>46116</v>
      </c>
      <c r="D5091" t="s">
        <v>342</v>
      </c>
      <c r="E5091" t="s">
        <v>339</v>
      </c>
      <c r="F5091" s="12">
        <v>551972</v>
      </c>
      <c r="G5091" s="13">
        <v>55</v>
      </c>
      <c r="H5091" t="s">
        <v>3258</v>
      </c>
      <c r="I5091" s="8">
        <v>45979</v>
      </c>
      <c r="J5091" t="s">
        <v>2692</v>
      </c>
      <c r="K5091" t="s">
        <v>2693</v>
      </c>
      <c r="L5091" s="13">
        <v>10000</v>
      </c>
      <c r="M5091" t="s">
        <v>2661</v>
      </c>
    </row>
    <row r="5092" spans="1:13">
      <c r="A5092" t="s">
        <v>2054</v>
      </c>
      <c r="B5092" t="s">
        <v>237</v>
      </c>
      <c r="C5092" s="8">
        <v>46116</v>
      </c>
      <c r="D5092" t="s">
        <v>342</v>
      </c>
      <c r="E5092" t="s">
        <v>339</v>
      </c>
      <c r="F5092" s="12">
        <v>551972</v>
      </c>
      <c r="G5092" s="13">
        <v>55</v>
      </c>
      <c r="H5092" t="s">
        <v>3276</v>
      </c>
      <c r="I5092" s="8">
        <v>46127</v>
      </c>
      <c r="J5092" t="s">
        <v>2682</v>
      </c>
      <c r="K5092" t="s">
        <v>2683</v>
      </c>
      <c r="L5092" s="13">
        <v>6000</v>
      </c>
      <c r="M5092" t="s">
        <v>2661</v>
      </c>
    </row>
    <row r="5093" spans="1:13">
      <c r="A5093" t="s">
        <v>2055</v>
      </c>
      <c r="B5093" t="s">
        <v>252</v>
      </c>
      <c r="C5093" s="8">
        <v>45985</v>
      </c>
      <c r="D5093" t="s">
        <v>327</v>
      </c>
      <c r="E5093" t="s">
        <v>339</v>
      </c>
      <c r="F5093" s="12">
        <v>187096</v>
      </c>
      <c r="G5093" s="13">
        <v>18</v>
      </c>
      <c r="H5093" t="s">
        <v>2815</v>
      </c>
      <c r="I5093" s="8">
        <v>45992</v>
      </c>
      <c r="J5093" t="s">
        <v>2688</v>
      </c>
      <c r="K5093" t="s">
        <v>2689</v>
      </c>
      <c r="L5093" s="13">
        <v>8000</v>
      </c>
      <c r="M5093" t="s">
        <v>2661</v>
      </c>
    </row>
    <row r="5094" spans="1:13">
      <c r="A5094" t="s">
        <v>2055</v>
      </c>
      <c r="B5094" t="s">
        <v>252</v>
      </c>
      <c r="C5094" s="8">
        <v>45985</v>
      </c>
      <c r="D5094" t="s">
        <v>327</v>
      </c>
      <c r="E5094" t="s">
        <v>339</v>
      </c>
      <c r="F5094" s="12">
        <v>187096</v>
      </c>
      <c r="G5094" s="13">
        <v>18</v>
      </c>
      <c r="H5094" t="s">
        <v>3320</v>
      </c>
      <c r="I5094" s="8">
        <v>46043</v>
      </c>
      <c r="J5094" t="s">
        <v>2663</v>
      </c>
      <c r="K5094" t="s">
        <v>3630</v>
      </c>
      <c r="L5094" s="13">
        <v>1500</v>
      </c>
      <c r="M5094" t="s">
        <v>2661</v>
      </c>
    </row>
    <row r="5095" spans="1:13">
      <c r="A5095" t="s">
        <v>2055</v>
      </c>
      <c r="B5095" t="s">
        <v>252</v>
      </c>
      <c r="C5095" s="8">
        <v>45985</v>
      </c>
      <c r="D5095" t="s">
        <v>327</v>
      </c>
      <c r="E5095" t="s">
        <v>339</v>
      </c>
      <c r="F5095" s="12">
        <v>187096</v>
      </c>
      <c r="G5095" s="13">
        <v>18</v>
      </c>
      <c r="H5095" t="s">
        <v>3575</v>
      </c>
      <c r="I5095" s="8">
        <v>46263</v>
      </c>
      <c r="J5095" t="s">
        <v>2668</v>
      </c>
      <c r="K5095" t="s">
        <v>2669</v>
      </c>
      <c r="L5095" s="13">
        <v>4000</v>
      </c>
      <c r="M5095" t="s">
        <v>2676</v>
      </c>
    </row>
    <row r="5096" spans="1:13">
      <c r="A5096" t="s">
        <v>2056</v>
      </c>
      <c r="B5096" t="s">
        <v>164</v>
      </c>
      <c r="C5096" s="8">
        <v>46215</v>
      </c>
      <c r="D5096" t="s">
        <v>324</v>
      </c>
      <c r="E5096" t="s">
        <v>328</v>
      </c>
      <c r="F5096" s="12">
        <v>117379</v>
      </c>
      <c r="G5096" s="13">
        <v>11</v>
      </c>
      <c r="H5096" t="s">
        <v>2971</v>
      </c>
      <c r="I5096" s="8">
        <v>46018</v>
      </c>
      <c r="J5096" t="s">
        <v>2665</v>
      </c>
      <c r="K5096" t="s">
        <v>2666</v>
      </c>
      <c r="L5096" s="13">
        <v>2500</v>
      </c>
      <c r="M5096" t="s">
        <v>2661</v>
      </c>
    </row>
    <row r="5097" spans="1:13">
      <c r="A5097" t="s">
        <v>2056</v>
      </c>
      <c r="B5097" t="s">
        <v>164</v>
      </c>
      <c r="C5097" s="8">
        <v>46215</v>
      </c>
      <c r="D5097" t="s">
        <v>324</v>
      </c>
      <c r="E5097" t="s">
        <v>328</v>
      </c>
      <c r="F5097" s="12">
        <v>117379</v>
      </c>
      <c r="G5097" s="13">
        <v>11</v>
      </c>
      <c r="H5097" t="s">
        <v>3109</v>
      </c>
      <c r="I5097" s="8">
        <v>46204</v>
      </c>
      <c r="J5097" t="s">
        <v>2668</v>
      </c>
      <c r="K5097" t="s">
        <v>2669</v>
      </c>
      <c r="L5097" s="13">
        <v>4000</v>
      </c>
      <c r="M5097" t="s">
        <v>2676</v>
      </c>
    </row>
    <row r="5098" spans="1:13">
      <c r="A5098" t="s">
        <v>2056</v>
      </c>
      <c r="B5098" t="s">
        <v>164</v>
      </c>
      <c r="C5098" s="8">
        <v>46215</v>
      </c>
      <c r="D5098" t="s">
        <v>324</v>
      </c>
      <c r="E5098" t="s">
        <v>328</v>
      </c>
      <c r="F5098" s="12">
        <v>117379</v>
      </c>
      <c r="G5098" s="13">
        <v>11</v>
      </c>
      <c r="H5098" t="s">
        <v>3298</v>
      </c>
      <c r="I5098" s="8">
        <v>46208</v>
      </c>
      <c r="J5098" t="s">
        <v>2692</v>
      </c>
      <c r="K5098" t="s">
        <v>2693</v>
      </c>
      <c r="L5098" s="13">
        <v>10000</v>
      </c>
      <c r="M5098" t="s">
        <v>2661</v>
      </c>
    </row>
    <row r="5099" spans="1:13">
      <c r="A5099" t="s">
        <v>2056</v>
      </c>
      <c r="B5099" t="s">
        <v>164</v>
      </c>
      <c r="C5099" s="8">
        <v>46215</v>
      </c>
      <c r="D5099" t="s">
        <v>324</v>
      </c>
      <c r="E5099" t="s">
        <v>328</v>
      </c>
      <c r="F5099" s="12">
        <v>117379</v>
      </c>
      <c r="G5099" s="13">
        <v>11</v>
      </c>
      <c r="H5099" t="s">
        <v>3523</v>
      </c>
      <c r="I5099" s="8">
        <v>46098</v>
      </c>
      <c r="J5099" t="s">
        <v>2659</v>
      </c>
      <c r="K5099" t="s">
        <v>2660</v>
      </c>
      <c r="L5099" s="13">
        <v>3500</v>
      </c>
      <c r="M5099" t="s">
        <v>2661</v>
      </c>
    </row>
    <row r="5100" spans="1:13">
      <c r="A5100" t="s">
        <v>2057</v>
      </c>
      <c r="B5100" t="s">
        <v>161</v>
      </c>
      <c r="C5100" s="8">
        <v>46038</v>
      </c>
      <c r="D5100" t="s">
        <v>324</v>
      </c>
      <c r="E5100" t="s">
        <v>337</v>
      </c>
      <c r="F5100" s="12">
        <v>631491</v>
      </c>
      <c r="G5100" s="13">
        <v>63</v>
      </c>
      <c r="H5100" t="s">
        <v>2737</v>
      </c>
      <c r="I5100" s="8">
        <v>45957</v>
      </c>
      <c r="J5100" t="s">
        <v>2682</v>
      </c>
      <c r="K5100" t="s">
        <v>2683</v>
      </c>
      <c r="L5100" s="13">
        <v>6000</v>
      </c>
      <c r="M5100" t="s">
        <v>2661</v>
      </c>
    </row>
    <row r="5101" spans="1:13">
      <c r="A5101" t="s">
        <v>2057</v>
      </c>
      <c r="B5101" t="s">
        <v>161</v>
      </c>
      <c r="C5101" s="8">
        <v>46038</v>
      </c>
      <c r="D5101" t="s">
        <v>324</v>
      </c>
      <c r="E5101" t="s">
        <v>337</v>
      </c>
      <c r="F5101" s="12">
        <v>631491</v>
      </c>
      <c r="G5101" s="13">
        <v>63</v>
      </c>
      <c r="H5101" t="s">
        <v>2874</v>
      </c>
      <c r="I5101" s="8">
        <v>46115</v>
      </c>
      <c r="J5101" t="s">
        <v>2688</v>
      </c>
      <c r="K5101" t="s">
        <v>2689</v>
      </c>
      <c r="L5101" s="13">
        <v>8000</v>
      </c>
      <c r="M5101" t="s">
        <v>2661</v>
      </c>
    </row>
    <row r="5102" spans="1:13">
      <c r="A5102" t="s">
        <v>2057</v>
      </c>
      <c r="B5102" t="s">
        <v>161</v>
      </c>
      <c r="C5102" s="8">
        <v>46038</v>
      </c>
      <c r="D5102" t="s">
        <v>324</v>
      </c>
      <c r="E5102" t="s">
        <v>337</v>
      </c>
      <c r="F5102" s="12">
        <v>631491</v>
      </c>
      <c r="G5102" s="13">
        <v>63</v>
      </c>
      <c r="H5102" t="s">
        <v>3296</v>
      </c>
      <c r="I5102" s="8">
        <v>46264</v>
      </c>
      <c r="J5102" t="s">
        <v>2659</v>
      </c>
      <c r="K5102" t="s">
        <v>2660</v>
      </c>
      <c r="L5102" s="13">
        <v>3500</v>
      </c>
      <c r="M5102" t="s">
        <v>2661</v>
      </c>
    </row>
    <row r="5103" spans="1:13">
      <c r="A5103" t="s">
        <v>2057</v>
      </c>
      <c r="B5103" t="s">
        <v>161</v>
      </c>
      <c r="C5103" s="8">
        <v>46038</v>
      </c>
      <c r="D5103" t="s">
        <v>324</v>
      </c>
      <c r="E5103" t="s">
        <v>337</v>
      </c>
      <c r="F5103" s="12">
        <v>631491</v>
      </c>
      <c r="G5103" s="13">
        <v>63</v>
      </c>
      <c r="H5103" t="s">
        <v>3457</v>
      </c>
      <c r="I5103" s="8">
        <v>46162</v>
      </c>
      <c r="J5103" t="s">
        <v>2674</v>
      </c>
      <c r="K5103" t="s">
        <v>2675</v>
      </c>
      <c r="L5103" s="13">
        <v>20000</v>
      </c>
      <c r="M5103" t="s">
        <v>2661</v>
      </c>
    </row>
    <row r="5104" spans="1:13">
      <c r="A5104" t="s">
        <v>2057</v>
      </c>
      <c r="B5104" t="s">
        <v>161</v>
      </c>
      <c r="C5104" s="8">
        <v>46038</v>
      </c>
      <c r="D5104" t="s">
        <v>324</v>
      </c>
      <c r="E5104" t="s">
        <v>337</v>
      </c>
      <c r="F5104" s="12">
        <v>631491</v>
      </c>
      <c r="G5104" s="13">
        <v>63</v>
      </c>
      <c r="H5104" t="s">
        <v>3485</v>
      </c>
      <c r="I5104" s="8">
        <v>45934</v>
      </c>
      <c r="J5104" t="s">
        <v>2685</v>
      </c>
      <c r="K5104" t="s">
        <v>2686</v>
      </c>
      <c r="L5104" s="13">
        <v>5000</v>
      </c>
      <c r="M5104" t="s">
        <v>2661</v>
      </c>
    </row>
    <row r="5105" spans="1:13">
      <c r="A5105" t="s">
        <v>2057</v>
      </c>
      <c r="B5105" t="s">
        <v>161</v>
      </c>
      <c r="C5105" s="8">
        <v>46038</v>
      </c>
      <c r="D5105" t="s">
        <v>324</v>
      </c>
      <c r="E5105" t="s">
        <v>337</v>
      </c>
      <c r="F5105" s="12">
        <v>631491</v>
      </c>
      <c r="G5105" s="13">
        <v>63</v>
      </c>
      <c r="H5105" t="s">
        <v>3544</v>
      </c>
      <c r="I5105" s="8">
        <v>46259</v>
      </c>
      <c r="J5105" t="s">
        <v>2671</v>
      </c>
      <c r="K5105" t="s">
        <v>2672</v>
      </c>
      <c r="L5105" s="13">
        <v>3000</v>
      </c>
      <c r="M5105" t="s">
        <v>2661</v>
      </c>
    </row>
    <row r="5106" spans="1:13">
      <c r="A5106" t="s">
        <v>2058</v>
      </c>
      <c r="B5106" t="s">
        <v>260</v>
      </c>
      <c r="C5106" s="8">
        <v>46043</v>
      </c>
      <c r="D5106" t="s">
        <v>324</v>
      </c>
      <c r="E5106" t="s">
        <v>334</v>
      </c>
      <c r="F5106" s="12">
        <v>286225</v>
      </c>
      <c r="G5106" s="13">
        <v>28</v>
      </c>
      <c r="H5106" t="s">
        <v>3236</v>
      </c>
      <c r="I5106" s="8">
        <v>45955</v>
      </c>
      <c r="J5106" t="s">
        <v>2674</v>
      </c>
      <c r="K5106" t="s">
        <v>2675</v>
      </c>
      <c r="L5106" s="13">
        <v>20000</v>
      </c>
      <c r="M5106" t="s">
        <v>2661</v>
      </c>
    </row>
    <row r="5107" spans="1:13">
      <c r="A5107" t="s">
        <v>2058</v>
      </c>
      <c r="B5107" t="s">
        <v>260</v>
      </c>
      <c r="C5107" s="8">
        <v>46043</v>
      </c>
      <c r="D5107" t="s">
        <v>324</v>
      </c>
      <c r="E5107" t="s">
        <v>334</v>
      </c>
      <c r="F5107" s="12">
        <v>286225</v>
      </c>
      <c r="G5107" s="13">
        <v>28</v>
      </c>
      <c r="H5107" t="s">
        <v>3279</v>
      </c>
      <c r="I5107" s="8">
        <v>46104</v>
      </c>
      <c r="J5107" t="s">
        <v>2692</v>
      </c>
      <c r="K5107" t="s">
        <v>2693</v>
      </c>
      <c r="L5107" s="13">
        <v>10000</v>
      </c>
      <c r="M5107" t="s">
        <v>2661</v>
      </c>
    </row>
    <row r="5108" spans="1:13">
      <c r="A5108" t="s">
        <v>2059</v>
      </c>
      <c r="B5108" t="s">
        <v>256</v>
      </c>
      <c r="C5108" s="8">
        <v>46200</v>
      </c>
      <c r="D5108" t="s">
        <v>324</v>
      </c>
      <c r="E5108" t="s">
        <v>325</v>
      </c>
      <c r="F5108" s="12">
        <v>386184</v>
      </c>
      <c r="G5108" s="13">
        <v>38</v>
      </c>
      <c r="H5108" t="s">
        <v>3289</v>
      </c>
      <c r="I5108" s="8">
        <v>46146</v>
      </c>
      <c r="J5108" t="s">
        <v>2659</v>
      </c>
      <c r="K5108" t="s">
        <v>2660</v>
      </c>
      <c r="L5108" s="13">
        <v>3500</v>
      </c>
      <c r="M5108" t="s">
        <v>2661</v>
      </c>
    </row>
    <row r="5109" spans="1:13">
      <c r="A5109" t="s">
        <v>2060</v>
      </c>
      <c r="B5109" t="s">
        <v>41</v>
      </c>
      <c r="C5109" s="8">
        <v>46106</v>
      </c>
      <c r="D5109" t="s">
        <v>342</v>
      </c>
      <c r="E5109" t="s">
        <v>339</v>
      </c>
      <c r="F5109" s="12">
        <v>543334</v>
      </c>
      <c r="G5109" s="13">
        <v>54</v>
      </c>
      <c r="H5109" t="s">
        <v>3052</v>
      </c>
      <c r="I5109" s="8">
        <v>45996</v>
      </c>
      <c r="J5109" t="s">
        <v>2674</v>
      </c>
      <c r="K5109" t="s">
        <v>2675</v>
      </c>
      <c r="L5109" s="13">
        <v>20000</v>
      </c>
      <c r="M5109" t="s">
        <v>2661</v>
      </c>
    </row>
    <row r="5110" spans="1:13">
      <c r="A5110" t="s">
        <v>2060</v>
      </c>
      <c r="B5110" t="s">
        <v>41</v>
      </c>
      <c r="C5110" s="8">
        <v>46106</v>
      </c>
      <c r="D5110" t="s">
        <v>342</v>
      </c>
      <c r="E5110" t="s">
        <v>339</v>
      </c>
      <c r="F5110" s="12">
        <v>543334</v>
      </c>
      <c r="G5110" s="13">
        <v>54</v>
      </c>
      <c r="H5110" t="s">
        <v>3425</v>
      </c>
      <c r="I5110" s="8">
        <v>46047</v>
      </c>
      <c r="J5110" t="s">
        <v>2688</v>
      </c>
      <c r="K5110" t="s">
        <v>2689</v>
      </c>
      <c r="L5110" s="13">
        <v>8000</v>
      </c>
      <c r="M5110" t="s">
        <v>2661</v>
      </c>
    </row>
    <row r="5111" spans="1:13">
      <c r="A5111" t="s">
        <v>2061</v>
      </c>
      <c r="B5111" t="s">
        <v>89</v>
      </c>
      <c r="C5111" s="8">
        <v>45948</v>
      </c>
      <c r="D5111" t="s">
        <v>342</v>
      </c>
      <c r="E5111" t="s">
        <v>337</v>
      </c>
      <c r="F5111" s="12">
        <v>473329</v>
      </c>
      <c r="G5111" s="13">
        <v>47</v>
      </c>
      <c r="H5111" t="s">
        <v>3245</v>
      </c>
      <c r="I5111" s="8">
        <v>46031</v>
      </c>
      <c r="J5111" t="s">
        <v>2685</v>
      </c>
      <c r="K5111" t="s">
        <v>2686</v>
      </c>
      <c r="L5111" s="13">
        <v>5000</v>
      </c>
      <c r="M5111" t="s">
        <v>2661</v>
      </c>
    </row>
    <row r="5112" spans="1:13">
      <c r="A5112" t="s">
        <v>2061</v>
      </c>
      <c r="B5112" t="s">
        <v>89</v>
      </c>
      <c r="C5112" s="8">
        <v>45948</v>
      </c>
      <c r="D5112" t="s">
        <v>342</v>
      </c>
      <c r="E5112" t="s">
        <v>337</v>
      </c>
      <c r="F5112" s="12">
        <v>473329</v>
      </c>
      <c r="G5112" s="13">
        <v>47</v>
      </c>
      <c r="H5112" t="s">
        <v>3283</v>
      </c>
      <c r="I5112" s="8">
        <v>45983</v>
      </c>
      <c r="J5112" t="s">
        <v>2674</v>
      </c>
      <c r="K5112" t="s">
        <v>2675</v>
      </c>
      <c r="L5112" s="13">
        <v>20000</v>
      </c>
      <c r="M5112" t="s">
        <v>2661</v>
      </c>
    </row>
    <row r="5113" spans="1:13">
      <c r="A5113" t="s">
        <v>2062</v>
      </c>
      <c r="B5113" t="s">
        <v>126</v>
      </c>
      <c r="C5113" s="8">
        <v>46204</v>
      </c>
      <c r="D5113" t="s">
        <v>344</v>
      </c>
      <c r="E5113" t="s">
        <v>328</v>
      </c>
      <c r="F5113" s="12">
        <v>234249</v>
      </c>
      <c r="G5113" s="13">
        <v>23</v>
      </c>
      <c r="H5113" t="s">
        <v>2798</v>
      </c>
      <c r="I5113" s="8">
        <v>46235</v>
      </c>
      <c r="J5113" t="s">
        <v>2659</v>
      </c>
      <c r="K5113" t="s">
        <v>2660</v>
      </c>
      <c r="L5113" s="13">
        <v>3500</v>
      </c>
      <c r="M5113" t="s">
        <v>2661</v>
      </c>
    </row>
    <row r="5114" spans="1:13">
      <c r="A5114" t="s">
        <v>2062</v>
      </c>
      <c r="B5114" t="s">
        <v>126</v>
      </c>
      <c r="C5114" s="8">
        <v>46204</v>
      </c>
      <c r="D5114" t="s">
        <v>344</v>
      </c>
      <c r="E5114" t="s">
        <v>328</v>
      </c>
      <c r="F5114" s="12">
        <v>234249</v>
      </c>
      <c r="G5114" s="13">
        <v>23</v>
      </c>
      <c r="H5114" t="s">
        <v>3334</v>
      </c>
      <c r="I5114" s="8">
        <v>46254</v>
      </c>
      <c r="J5114" t="s">
        <v>2692</v>
      </c>
      <c r="K5114" t="s">
        <v>2693</v>
      </c>
      <c r="L5114" s="13">
        <v>10000</v>
      </c>
      <c r="M5114" t="s">
        <v>2676</v>
      </c>
    </row>
    <row r="5115" spans="1:13">
      <c r="A5115" t="s">
        <v>2063</v>
      </c>
      <c r="B5115" t="s">
        <v>251</v>
      </c>
      <c r="C5115" s="8">
        <v>46176</v>
      </c>
      <c r="D5115" t="s">
        <v>321</v>
      </c>
      <c r="E5115" t="s">
        <v>328</v>
      </c>
      <c r="F5115" s="12">
        <v>362708</v>
      </c>
      <c r="G5115" s="13">
        <v>36</v>
      </c>
      <c r="H5115" t="s">
        <v>3057</v>
      </c>
      <c r="I5115" s="8">
        <v>46164</v>
      </c>
      <c r="J5115" t="s">
        <v>2685</v>
      </c>
      <c r="K5115" t="s">
        <v>2686</v>
      </c>
      <c r="L5115" s="13">
        <v>5000</v>
      </c>
      <c r="M5115" t="s">
        <v>2661</v>
      </c>
    </row>
    <row r="5116" spans="1:13">
      <c r="A5116" t="s">
        <v>2063</v>
      </c>
      <c r="B5116" t="s">
        <v>251</v>
      </c>
      <c r="C5116" s="8">
        <v>46176</v>
      </c>
      <c r="D5116" t="s">
        <v>321</v>
      </c>
      <c r="E5116" t="s">
        <v>328</v>
      </c>
      <c r="F5116" s="12">
        <v>362708</v>
      </c>
      <c r="G5116" s="13">
        <v>36</v>
      </c>
      <c r="H5116" t="s">
        <v>3146</v>
      </c>
      <c r="I5116" s="8">
        <v>46276</v>
      </c>
      <c r="J5116" t="s">
        <v>2692</v>
      </c>
      <c r="K5116" t="s">
        <v>2693</v>
      </c>
      <c r="L5116" s="13">
        <v>10000</v>
      </c>
      <c r="M5116" t="s">
        <v>2661</v>
      </c>
    </row>
    <row r="5117" spans="1:13">
      <c r="A5117" t="s">
        <v>2064</v>
      </c>
      <c r="B5117" t="s">
        <v>257</v>
      </c>
      <c r="C5117" s="8">
        <v>46008</v>
      </c>
      <c r="D5117" t="s">
        <v>321</v>
      </c>
      <c r="E5117" t="s">
        <v>334</v>
      </c>
      <c r="F5117" s="12">
        <v>107701</v>
      </c>
      <c r="G5117" s="13">
        <v>10</v>
      </c>
      <c r="H5117" t="s">
        <v>2782</v>
      </c>
      <c r="I5117" s="8">
        <v>46070</v>
      </c>
      <c r="J5117" t="s">
        <v>2692</v>
      </c>
      <c r="K5117" t="s">
        <v>2693</v>
      </c>
      <c r="L5117" s="13">
        <v>10000</v>
      </c>
      <c r="M5117" t="s">
        <v>2676</v>
      </c>
    </row>
    <row r="5118" spans="1:13">
      <c r="A5118" t="s">
        <v>2064</v>
      </c>
      <c r="B5118" t="s">
        <v>257</v>
      </c>
      <c r="C5118" s="8">
        <v>46008</v>
      </c>
      <c r="D5118" t="s">
        <v>321</v>
      </c>
      <c r="E5118" t="s">
        <v>334</v>
      </c>
      <c r="F5118" s="12">
        <v>107701</v>
      </c>
      <c r="G5118" s="13">
        <v>10</v>
      </c>
      <c r="H5118" t="s">
        <v>2850</v>
      </c>
      <c r="I5118" s="8">
        <v>46061</v>
      </c>
      <c r="J5118" t="s">
        <v>2674</v>
      </c>
      <c r="K5118" t="s">
        <v>2675</v>
      </c>
      <c r="L5118" s="13">
        <v>20000</v>
      </c>
      <c r="M5118" t="s">
        <v>2676</v>
      </c>
    </row>
    <row r="5119" spans="1:13">
      <c r="A5119" t="s">
        <v>2064</v>
      </c>
      <c r="B5119" t="s">
        <v>257</v>
      </c>
      <c r="C5119" s="8">
        <v>46008</v>
      </c>
      <c r="D5119" t="s">
        <v>321</v>
      </c>
      <c r="E5119" t="s">
        <v>334</v>
      </c>
      <c r="F5119" s="12">
        <v>107701</v>
      </c>
      <c r="G5119" s="13">
        <v>10</v>
      </c>
      <c r="H5119" t="s">
        <v>2921</v>
      </c>
      <c r="I5119" s="8">
        <v>46239</v>
      </c>
      <c r="J5119" t="s">
        <v>2692</v>
      </c>
      <c r="K5119" t="s">
        <v>2693</v>
      </c>
      <c r="L5119" s="13">
        <v>10000</v>
      </c>
      <c r="M5119" t="s">
        <v>2661</v>
      </c>
    </row>
    <row r="5120" spans="1:13">
      <c r="A5120" t="s">
        <v>2064</v>
      </c>
      <c r="B5120" t="s">
        <v>257</v>
      </c>
      <c r="C5120" s="8">
        <v>46008</v>
      </c>
      <c r="D5120" t="s">
        <v>321</v>
      </c>
      <c r="E5120" t="s">
        <v>334</v>
      </c>
      <c r="F5120" s="12">
        <v>107701</v>
      </c>
      <c r="G5120" s="13">
        <v>10</v>
      </c>
      <c r="H5120" t="s">
        <v>3061</v>
      </c>
      <c r="I5120" s="8">
        <v>46140</v>
      </c>
      <c r="J5120" t="s">
        <v>2674</v>
      </c>
      <c r="K5120" t="s">
        <v>2675</v>
      </c>
      <c r="L5120" s="13">
        <v>20000</v>
      </c>
      <c r="M5120" t="s">
        <v>2661</v>
      </c>
    </row>
    <row r="5121" spans="1:13">
      <c r="A5121" t="s">
        <v>2065</v>
      </c>
      <c r="B5121" t="s">
        <v>197</v>
      </c>
      <c r="C5121" s="8">
        <v>46174</v>
      </c>
      <c r="D5121" t="s">
        <v>327</v>
      </c>
      <c r="E5121" t="s">
        <v>334</v>
      </c>
      <c r="F5121" s="12">
        <v>359828</v>
      </c>
      <c r="G5121" s="13">
        <v>35</v>
      </c>
      <c r="H5121" t="s">
        <v>2907</v>
      </c>
      <c r="I5121" s="8">
        <v>46147</v>
      </c>
      <c r="J5121" t="s">
        <v>2659</v>
      </c>
      <c r="K5121" t="s">
        <v>2660</v>
      </c>
      <c r="L5121" s="13">
        <v>3500</v>
      </c>
      <c r="M5121" t="s">
        <v>2676</v>
      </c>
    </row>
    <row r="5122" spans="1:13">
      <c r="A5122" t="s">
        <v>2065</v>
      </c>
      <c r="B5122" t="s">
        <v>197</v>
      </c>
      <c r="C5122" s="8">
        <v>46174</v>
      </c>
      <c r="D5122" t="s">
        <v>327</v>
      </c>
      <c r="E5122" t="s">
        <v>334</v>
      </c>
      <c r="F5122" s="12">
        <v>359828</v>
      </c>
      <c r="G5122" s="13">
        <v>35</v>
      </c>
      <c r="H5122" t="s">
        <v>3356</v>
      </c>
      <c r="I5122" s="8">
        <v>46124</v>
      </c>
      <c r="J5122" t="s">
        <v>2685</v>
      </c>
      <c r="K5122" t="s">
        <v>2686</v>
      </c>
      <c r="L5122" s="13">
        <v>5000</v>
      </c>
      <c r="M5122" t="s">
        <v>2661</v>
      </c>
    </row>
    <row r="5123" spans="1:13">
      <c r="A5123" t="s">
        <v>2065</v>
      </c>
      <c r="B5123" t="s">
        <v>197</v>
      </c>
      <c r="C5123" s="8">
        <v>46174</v>
      </c>
      <c r="D5123" t="s">
        <v>327</v>
      </c>
      <c r="E5123" t="s">
        <v>334</v>
      </c>
      <c r="F5123" s="12">
        <v>359828</v>
      </c>
      <c r="G5123" s="13">
        <v>35</v>
      </c>
      <c r="H5123" t="s">
        <v>3465</v>
      </c>
      <c r="I5123" s="8">
        <v>46076</v>
      </c>
      <c r="J5123" t="s">
        <v>2692</v>
      </c>
      <c r="K5123" t="s">
        <v>2693</v>
      </c>
      <c r="L5123" s="13">
        <v>10000</v>
      </c>
      <c r="M5123" t="s">
        <v>2661</v>
      </c>
    </row>
    <row r="5124" spans="1:13">
      <c r="A5124" t="s">
        <v>2065</v>
      </c>
      <c r="B5124" t="s">
        <v>197</v>
      </c>
      <c r="C5124" s="8">
        <v>46174</v>
      </c>
      <c r="D5124" t="s">
        <v>327</v>
      </c>
      <c r="E5124" t="s">
        <v>334</v>
      </c>
      <c r="F5124" s="12">
        <v>359828</v>
      </c>
      <c r="G5124" s="13">
        <v>35</v>
      </c>
      <c r="H5124" t="s">
        <v>3529</v>
      </c>
      <c r="I5124" s="8">
        <v>46013</v>
      </c>
      <c r="J5124" t="s">
        <v>2688</v>
      </c>
      <c r="K5124" t="s">
        <v>2689</v>
      </c>
      <c r="L5124" s="13">
        <v>8000</v>
      </c>
      <c r="M5124" t="s">
        <v>2661</v>
      </c>
    </row>
    <row r="5125" spans="1:13">
      <c r="A5125" t="s">
        <v>2065</v>
      </c>
      <c r="B5125" t="s">
        <v>197</v>
      </c>
      <c r="C5125" s="8">
        <v>46174</v>
      </c>
      <c r="D5125" t="s">
        <v>327</v>
      </c>
      <c r="E5125" t="s">
        <v>334</v>
      </c>
      <c r="F5125" s="12">
        <v>359828</v>
      </c>
      <c r="G5125" s="13">
        <v>35</v>
      </c>
      <c r="H5125" t="s">
        <v>3540</v>
      </c>
      <c r="I5125" s="8">
        <v>46276</v>
      </c>
      <c r="J5125" t="s">
        <v>2692</v>
      </c>
      <c r="K5125" t="s">
        <v>2693</v>
      </c>
      <c r="L5125" s="13">
        <v>10000</v>
      </c>
      <c r="M5125" t="s">
        <v>2676</v>
      </c>
    </row>
    <row r="5126" spans="1:13">
      <c r="A5126" t="s">
        <v>2066</v>
      </c>
      <c r="B5126" t="s">
        <v>129</v>
      </c>
      <c r="C5126" s="8">
        <v>46058</v>
      </c>
      <c r="D5126" t="s">
        <v>342</v>
      </c>
      <c r="E5126" t="s">
        <v>334</v>
      </c>
      <c r="F5126" s="12">
        <v>342186</v>
      </c>
      <c r="G5126" s="13">
        <v>34</v>
      </c>
      <c r="H5126" t="s">
        <v>3185</v>
      </c>
      <c r="I5126" s="8">
        <v>46242</v>
      </c>
      <c r="J5126" t="s">
        <v>2665</v>
      </c>
      <c r="K5126" t="s">
        <v>2666</v>
      </c>
      <c r="L5126" s="13">
        <v>2500</v>
      </c>
      <c r="M5126" t="s">
        <v>2661</v>
      </c>
    </row>
    <row r="5127" spans="1:13">
      <c r="A5127" t="s">
        <v>2067</v>
      </c>
      <c r="B5127" t="s">
        <v>253</v>
      </c>
      <c r="C5127" s="8">
        <v>46215</v>
      </c>
      <c r="D5127" t="s">
        <v>342</v>
      </c>
      <c r="E5127" t="s">
        <v>325</v>
      </c>
      <c r="F5127" s="12">
        <v>105750</v>
      </c>
      <c r="G5127" s="13">
        <v>10</v>
      </c>
      <c r="H5127" t="s">
        <v>2862</v>
      </c>
      <c r="I5127" s="8">
        <v>46039</v>
      </c>
      <c r="J5127" t="s">
        <v>2663</v>
      </c>
      <c r="K5127" t="s">
        <v>3630</v>
      </c>
      <c r="L5127" s="13">
        <v>1500</v>
      </c>
      <c r="M5127" t="s">
        <v>2661</v>
      </c>
    </row>
    <row r="5128" spans="1:13">
      <c r="A5128" t="s">
        <v>2067</v>
      </c>
      <c r="B5128" t="s">
        <v>253</v>
      </c>
      <c r="C5128" s="8">
        <v>46215</v>
      </c>
      <c r="D5128" t="s">
        <v>342</v>
      </c>
      <c r="E5128" t="s">
        <v>325</v>
      </c>
      <c r="F5128" s="12">
        <v>105750</v>
      </c>
      <c r="G5128" s="13">
        <v>10</v>
      </c>
      <c r="H5128" t="s">
        <v>3158</v>
      </c>
      <c r="I5128" s="8">
        <v>46168</v>
      </c>
      <c r="J5128" t="s">
        <v>2685</v>
      </c>
      <c r="K5128" t="s">
        <v>2686</v>
      </c>
      <c r="L5128" s="13">
        <v>5000</v>
      </c>
      <c r="M5128" t="s">
        <v>2676</v>
      </c>
    </row>
    <row r="5129" spans="1:13">
      <c r="A5129" t="s">
        <v>2067</v>
      </c>
      <c r="B5129" t="s">
        <v>253</v>
      </c>
      <c r="C5129" s="8">
        <v>46215</v>
      </c>
      <c r="D5129" t="s">
        <v>342</v>
      </c>
      <c r="E5129" t="s">
        <v>325</v>
      </c>
      <c r="F5129" s="12">
        <v>105750</v>
      </c>
      <c r="G5129" s="13">
        <v>10</v>
      </c>
      <c r="H5129" t="s">
        <v>3173</v>
      </c>
      <c r="I5129" s="8">
        <v>46038</v>
      </c>
      <c r="J5129" t="s">
        <v>2682</v>
      </c>
      <c r="K5129" t="s">
        <v>2683</v>
      </c>
      <c r="L5129" s="13">
        <v>6000</v>
      </c>
      <c r="M5129" t="s">
        <v>2676</v>
      </c>
    </row>
    <row r="5130" spans="1:13">
      <c r="A5130" t="s">
        <v>2067</v>
      </c>
      <c r="B5130" t="s">
        <v>253</v>
      </c>
      <c r="C5130" s="8">
        <v>46215</v>
      </c>
      <c r="D5130" t="s">
        <v>342</v>
      </c>
      <c r="E5130" t="s">
        <v>325</v>
      </c>
      <c r="F5130" s="12">
        <v>105750</v>
      </c>
      <c r="G5130" s="13">
        <v>10</v>
      </c>
      <c r="H5130" t="s">
        <v>3235</v>
      </c>
      <c r="I5130" s="8">
        <v>45953</v>
      </c>
      <c r="J5130" t="s">
        <v>2663</v>
      </c>
      <c r="K5130" t="s">
        <v>3630</v>
      </c>
      <c r="L5130" s="13">
        <v>1500</v>
      </c>
      <c r="M5130" t="s">
        <v>2661</v>
      </c>
    </row>
    <row r="5131" spans="1:13">
      <c r="A5131" t="s">
        <v>2068</v>
      </c>
      <c r="B5131" t="s">
        <v>148</v>
      </c>
      <c r="C5131" s="8">
        <v>46250</v>
      </c>
      <c r="D5131" t="s">
        <v>344</v>
      </c>
      <c r="E5131" t="s">
        <v>339</v>
      </c>
      <c r="F5131" s="12">
        <v>259984</v>
      </c>
      <c r="G5131" s="13">
        <v>25</v>
      </c>
      <c r="H5131" t="s">
        <v>2701</v>
      </c>
      <c r="I5131" s="8">
        <v>46251</v>
      </c>
      <c r="J5131" t="s">
        <v>2685</v>
      </c>
      <c r="K5131" t="s">
        <v>2686</v>
      </c>
      <c r="L5131" s="13">
        <v>5000</v>
      </c>
      <c r="M5131" t="s">
        <v>2661</v>
      </c>
    </row>
    <row r="5132" spans="1:13">
      <c r="A5132" t="s">
        <v>2068</v>
      </c>
      <c r="B5132" t="s">
        <v>148</v>
      </c>
      <c r="C5132" s="8">
        <v>46250</v>
      </c>
      <c r="D5132" t="s">
        <v>344</v>
      </c>
      <c r="E5132" t="s">
        <v>339</v>
      </c>
      <c r="F5132" s="12">
        <v>259984</v>
      </c>
      <c r="G5132" s="13">
        <v>25</v>
      </c>
      <c r="H5132" t="s">
        <v>2859</v>
      </c>
      <c r="I5132" s="8">
        <v>46163</v>
      </c>
      <c r="J5132" t="s">
        <v>2685</v>
      </c>
      <c r="K5132" t="s">
        <v>2686</v>
      </c>
      <c r="L5132" s="13">
        <v>5000</v>
      </c>
      <c r="M5132" t="s">
        <v>2661</v>
      </c>
    </row>
    <row r="5133" spans="1:13">
      <c r="A5133" t="s">
        <v>2068</v>
      </c>
      <c r="B5133" t="s">
        <v>148</v>
      </c>
      <c r="C5133" s="8">
        <v>46250</v>
      </c>
      <c r="D5133" t="s">
        <v>344</v>
      </c>
      <c r="E5133" t="s">
        <v>339</v>
      </c>
      <c r="F5133" s="12">
        <v>259984</v>
      </c>
      <c r="G5133" s="13">
        <v>25</v>
      </c>
      <c r="H5133" t="s">
        <v>3210</v>
      </c>
      <c r="I5133" s="8">
        <v>46038</v>
      </c>
      <c r="J5133" t="s">
        <v>2663</v>
      </c>
      <c r="K5133" t="s">
        <v>3630</v>
      </c>
      <c r="L5133" s="13">
        <v>1500</v>
      </c>
      <c r="M5133" t="s">
        <v>2661</v>
      </c>
    </row>
    <row r="5134" spans="1:13">
      <c r="A5134" t="s">
        <v>2068</v>
      </c>
      <c r="B5134" t="s">
        <v>148</v>
      </c>
      <c r="C5134" s="8">
        <v>46250</v>
      </c>
      <c r="D5134" t="s">
        <v>344</v>
      </c>
      <c r="E5134" t="s">
        <v>339</v>
      </c>
      <c r="F5134" s="12">
        <v>259984</v>
      </c>
      <c r="G5134" s="13">
        <v>25</v>
      </c>
      <c r="H5134" t="s">
        <v>3242</v>
      </c>
      <c r="I5134" s="8">
        <v>45943</v>
      </c>
      <c r="J5134" t="s">
        <v>2674</v>
      </c>
      <c r="K5134" t="s">
        <v>2675</v>
      </c>
      <c r="L5134" s="13">
        <v>20000</v>
      </c>
      <c r="M5134" t="s">
        <v>2661</v>
      </c>
    </row>
    <row r="5135" spans="1:13">
      <c r="A5135" t="s">
        <v>2068</v>
      </c>
      <c r="B5135" t="s">
        <v>148</v>
      </c>
      <c r="C5135" s="8">
        <v>46250</v>
      </c>
      <c r="D5135" t="s">
        <v>344</v>
      </c>
      <c r="E5135" t="s">
        <v>339</v>
      </c>
      <c r="F5135" s="12">
        <v>259984</v>
      </c>
      <c r="G5135" s="13">
        <v>25</v>
      </c>
      <c r="H5135" t="s">
        <v>3304</v>
      </c>
      <c r="I5135" s="8">
        <v>46267</v>
      </c>
      <c r="J5135" t="s">
        <v>2665</v>
      </c>
      <c r="K5135" t="s">
        <v>2666</v>
      </c>
      <c r="L5135" s="13">
        <v>2500</v>
      </c>
      <c r="M5135" t="s">
        <v>2661</v>
      </c>
    </row>
    <row r="5136" spans="1:13">
      <c r="A5136" t="s">
        <v>2068</v>
      </c>
      <c r="B5136" t="s">
        <v>148</v>
      </c>
      <c r="C5136" s="8">
        <v>46250</v>
      </c>
      <c r="D5136" t="s">
        <v>344</v>
      </c>
      <c r="E5136" t="s">
        <v>339</v>
      </c>
      <c r="F5136" s="12">
        <v>259984</v>
      </c>
      <c r="G5136" s="13">
        <v>25</v>
      </c>
      <c r="H5136" t="s">
        <v>3492</v>
      </c>
      <c r="I5136" s="8">
        <v>45951</v>
      </c>
      <c r="J5136" t="s">
        <v>2659</v>
      </c>
      <c r="K5136" t="s">
        <v>2660</v>
      </c>
      <c r="L5136" s="13">
        <v>3500</v>
      </c>
      <c r="M5136" t="s">
        <v>2661</v>
      </c>
    </row>
    <row r="5137" spans="1:13">
      <c r="A5137" t="s">
        <v>2068</v>
      </c>
      <c r="B5137" t="s">
        <v>148</v>
      </c>
      <c r="C5137" s="8">
        <v>46250</v>
      </c>
      <c r="D5137" t="s">
        <v>344</v>
      </c>
      <c r="E5137" t="s">
        <v>339</v>
      </c>
      <c r="F5137" s="12">
        <v>259984</v>
      </c>
      <c r="G5137" s="13">
        <v>25</v>
      </c>
      <c r="H5137" t="s">
        <v>3552</v>
      </c>
      <c r="I5137" s="8">
        <v>45939</v>
      </c>
      <c r="J5137" t="s">
        <v>2671</v>
      </c>
      <c r="K5137" t="s">
        <v>2672</v>
      </c>
      <c r="L5137" s="13">
        <v>3000</v>
      </c>
      <c r="M5137" t="s">
        <v>2661</v>
      </c>
    </row>
    <row r="5138" spans="1:13">
      <c r="A5138" t="s">
        <v>2069</v>
      </c>
      <c r="B5138" t="s">
        <v>104</v>
      </c>
      <c r="C5138" s="8">
        <v>46165</v>
      </c>
      <c r="D5138" t="s">
        <v>321</v>
      </c>
      <c r="E5138" t="s">
        <v>339</v>
      </c>
      <c r="F5138" s="12">
        <v>73572</v>
      </c>
      <c r="G5138" s="13">
        <v>7</v>
      </c>
      <c r="H5138" t="s">
        <v>2847</v>
      </c>
      <c r="I5138" s="8">
        <v>45979</v>
      </c>
      <c r="J5138" t="s">
        <v>2671</v>
      </c>
      <c r="K5138" t="s">
        <v>2672</v>
      </c>
      <c r="L5138" s="13">
        <v>3000</v>
      </c>
      <c r="M5138" t="s">
        <v>2661</v>
      </c>
    </row>
    <row r="5139" spans="1:13">
      <c r="A5139" t="s">
        <v>2069</v>
      </c>
      <c r="B5139" t="s">
        <v>104</v>
      </c>
      <c r="C5139" s="8">
        <v>46165</v>
      </c>
      <c r="D5139" t="s">
        <v>321</v>
      </c>
      <c r="E5139" t="s">
        <v>339</v>
      </c>
      <c r="F5139" s="12">
        <v>73572</v>
      </c>
      <c r="G5139" s="13">
        <v>7</v>
      </c>
      <c r="H5139" t="s">
        <v>2870</v>
      </c>
      <c r="I5139" s="8">
        <v>46166</v>
      </c>
      <c r="J5139" t="s">
        <v>2659</v>
      </c>
      <c r="K5139" t="s">
        <v>2660</v>
      </c>
      <c r="L5139" s="13">
        <v>3500</v>
      </c>
      <c r="M5139" t="s">
        <v>2661</v>
      </c>
    </row>
    <row r="5140" spans="1:13">
      <c r="A5140" t="s">
        <v>2069</v>
      </c>
      <c r="B5140" t="s">
        <v>104</v>
      </c>
      <c r="C5140" s="8">
        <v>46165</v>
      </c>
      <c r="D5140" t="s">
        <v>321</v>
      </c>
      <c r="E5140" t="s">
        <v>339</v>
      </c>
      <c r="F5140" s="12">
        <v>73572</v>
      </c>
      <c r="G5140" s="13">
        <v>7</v>
      </c>
      <c r="H5140" t="s">
        <v>3310</v>
      </c>
      <c r="I5140" s="8">
        <v>45966</v>
      </c>
      <c r="J5140" t="s">
        <v>2671</v>
      </c>
      <c r="K5140" t="s">
        <v>2672</v>
      </c>
      <c r="L5140" s="13">
        <v>3000</v>
      </c>
      <c r="M5140" t="s">
        <v>2661</v>
      </c>
    </row>
    <row r="5141" spans="1:13">
      <c r="A5141" t="s">
        <v>2069</v>
      </c>
      <c r="B5141" t="s">
        <v>104</v>
      </c>
      <c r="C5141" s="8">
        <v>46165</v>
      </c>
      <c r="D5141" t="s">
        <v>321</v>
      </c>
      <c r="E5141" t="s">
        <v>339</v>
      </c>
      <c r="F5141" s="12">
        <v>73572</v>
      </c>
      <c r="G5141" s="13">
        <v>7</v>
      </c>
      <c r="H5141" t="s">
        <v>3443</v>
      </c>
      <c r="I5141" s="8">
        <v>46284</v>
      </c>
      <c r="J5141" t="s">
        <v>2659</v>
      </c>
      <c r="K5141" t="s">
        <v>2660</v>
      </c>
      <c r="L5141" s="13">
        <v>3500</v>
      </c>
      <c r="M5141" t="s">
        <v>2676</v>
      </c>
    </row>
    <row r="5142" spans="1:13">
      <c r="A5142" t="s">
        <v>2071</v>
      </c>
      <c r="B5142" t="s">
        <v>84</v>
      </c>
      <c r="C5142" s="8">
        <v>46025</v>
      </c>
      <c r="D5142" t="s">
        <v>321</v>
      </c>
      <c r="E5142" t="s">
        <v>328</v>
      </c>
      <c r="F5142" s="12">
        <v>239007</v>
      </c>
      <c r="G5142" s="13">
        <v>23</v>
      </c>
      <c r="H5142" t="s">
        <v>2962</v>
      </c>
      <c r="I5142" s="8">
        <v>46190</v>
      </c>
      <c r="J5142" t="s">
        <v>2671</v>
      </c>
      <c r="K5142" t="s">
        <v>2672</v>
      </c>
      <c r="L5142" s="13">
        <v>3000</v>
      </c>
      <c r="M5142" t="s">
        <v>2661</v>
      </c>
    </row>
    <row r="5143" spans="1:13">
      <c r="A5143" t="s">
        <v>2071</v>
      </c>
      <c r="B5143" t="s">
        <v>84</v>
      </c>
      <c r="C5143" s="8">
        <v>46025</v>
      </c>
      <c r="D5143" t="s">
        <v>321</v>
      </c>
      <c r="E5143" t="s">
        <v>328</v>
      </c>
      <c r="F5143" s="12">
        <v>239007</v>
      </c>
      <c r="G5143" s="13">
        <v>23</v>
      </c>
      <c r="H5143" t="s">
        <v>3204</v>
      </c>
      <c r="I5143" s="8">
        <v>46029</v>
      </c>
      <c r="J5143" t="s">
        <v>2671</v>
      </c>
      <c r="K5143" t="s">
        <v>2672</v>
      </c>
      <c r="L5143" s="13">
        <v>3000</v>
      </c>
      <c r="M5143" t="s">
        <v>2661</v>
      </c>
    </row>
    <row r="5144" spans="1:13">
      <c r="A5144" t="s">
        <v>2071</v>
      </c>
      <c r="B5144" t="s">
        <v>84</v>
      </c>
      <c r="C5144" s="8">
        <v>46025</v>
      </c>
      <c r="D5144" t="s">
        <v>321</v>
      </c>
      <c r="E5144" t="s">
        <v>328</v>
      </c>
      <c r="F5144" s="12">
        <v>239007</v>
      </c>
      <c r="G5144" s="13">
        <v>23</v>
      </c>
      <c r="H5144" t="s">
        <v>3273</v>
      </c>
      <c r="I5144" s="8">
        <v>46050</v>
      </c>
      <c r="J5144" t="s">
        <v>2668</v>
      </c>
      <c r="K5144" t="s">
        <v>2669</v>
      </c>
      <c r="L5144" s="13">
        <v>4000</v>
      </c>
      <c r="M5144" t="s">
        <v>2676</v>
      </c>
    </row>
    <row r="5145" spans="1:13">
      <c r="A5145" t="s">
        <v>2071</v>
      </c>
      <c r="B5145" t="s">
        <v>84</v>
      </c>
      <c r="C5145" s="8">
        <v>46025</v>
      </c>
      <c r="D5145" t="s">
        <v>321</v>
      </c>
      <c r="E5145" t="s">
        <v>328</v>
      </c>
      <c r="F5145" s="12">
        <v>239007</v>
      </c>
      <c r="G5145" s="13">
        <v>23</v>
      </c>
      <c r="H5145" t="s">
        <v>3305</v>
      </c>
      <c r="I5145" s="8">
        <v>45960</v>
      </c>
      <c r="J5145" t="s">
        <v>2682</v>
      </c>
      <c r="K5145" t="s">
        <v>2683</v>
      </c>
      <c r="L5145" s="13">
        <v>6000</v>
      </c>
      <c r="M5145" t="s">
        <v>2661</v>
      </c>
    </row>
    <row r="5146" spans="1:13">
      <c r="A5146" t="s">
        <v>2072</v>
      </c>
      <c r="B5146" t="s">
        <v>135</v>
      </c>
      <c r="C5146" s="8">
        <v>46157</v>
      </c>
      <c r="D5146" t="s">
        <v>330</v>
      </c>
      <c r="E5146" t="s">
        <v>325</v>
      </c>
      <c r="F5146" s="12">
        <v>363102</v>
      </c>
      <c r="G5146" s="13">
        <v>36</v>
      </c>
      <c r="H5146" t="s">
        <v>2922</v>
      </c>
      <c r="I5146" s="8">
        <v>45998</v>
      </c>
      <c r="J5146" t="s">
        <v>2682</v>
      </c>
      <c r="K5146" t="s">
        <v>2683</v>
      </c>
      <c r="L5146" s="13">
        <v>6000</v>
      </c>
      <c r="M5146" t="s">
        <v>2661</v>
      </c>
    </row>
    <row r="5147" spans="1:13">
      <c r="A5147" t="s">
        <v>2072</v>
      </c>
      <c r="B5147" t="s">
        <v>135</v>
      </c>
      <c r="C5147" s="8">
        <v>46157</v>
      </c>
      <c r="D5147" t="s">
        <v>330</v>
      </c>
      <c r="E5147" t="s">
        <v>325</v>
      </c>
      <c r="F5147" s="12">
        <v>363102</v>
      </c>
      <c r="G5147" s="13">
        <v>36</v>
      </c>
      <c r="H5147" t="s">
        <v>3053</v>
      </c>
      <c r="I5147" s="8">
        <v>46165</v>
      </c>
      <c r="J5147" t="s">
        <v>2692</v>
      </c>
      <c r="K5147" t="s">
        <v>2693</v>
      </c>
      <c r="L5147" s="13">
        <v>10000</v>
      </c>
      <c r="M5147" t="s">
        <v>2661</v>
      </c>
    </row>
    <row r="5148" spans="1:13">
      <c r="A5148" t="s">
        <v>2072</v>
      </c>
      <c r="B5148" t="s">
        <v>135</v>
      </c>
      <c r="C5148" s="8">
        <v>46157</v>
      </c>
      <c r="D5148" t="s">
        <v>330</v>
      </c>
      <c r="E5148" t="s">
        <v>325</v>
      </c>
      <c r="F5148" s="12">
        <v>363102</v>
      </c>
      <c r="G5148" s="13">
        <v>36</v>
      </c>
      <c r="H5148" t="s">
        <v>3118</v>
      </c>
      <c r="I5148" s="8">
        <v>45989</v>
      </c>
      <c r="J5148" t="s">
        <v>2692</v>
      </c>
      <c r="K5148" t="s">
        <v>2693</v>
      </c>
      <c r="L5148" s="13">
        <v>10000</v>
      </c>
      <c r="M5148" t="s">
        <v>2661</v>
      </c>
    </row>
    <row r="5149" spans="1:13">
      <c r="A5149" t="s">
        <v>2072</v>
      </c>
      <c r="B5149" t="s">
        <v>135</v>
      </c>
      <c r="C5149" s="8">
        <v>46157</v>
      </c>
      <c r="D5149" t="s">
        <v>330</v>
      </c>
      <c r="E5149" t="s">
        <v>325</v>
      </c>
      <c r="F5149" s="12">
        <v>363102</v>
      </c>
      <c r="G5149" s="13">
        <v>36</v>
      </c>
      <c r="H5149" t="s">
        <v>3262</v>
      </c>
      <c r="I5149" s="8">
        <v>46091</v>
      </c>
      <c r="J5149" t="s">
        <v>2682</v>
      </c>
      <c r="K5149" t="s">
        <v>2683</v>
      </c>
      <c r="L5149" s="13">
        <v>6000</v>
      </c>
      <c r="M5149" t="s">
        <v>2661</v>
      </c>
    </row>
    <row r="5150" spans="1:13">
      <c r="A5150" t="s">
        <v>2073</v>
      </c>
      <c r="B5150" t="s">
        <v>154</v>
      </c>
      <c r="C5150" s="8">
        <v>46224</v>
      </c>
      <c r="D5150" t="s">
        <v>321</v>
      </c>
      <c r="E5150" t="s">
        <v>322</v>
      </c>
      <c r="F5150" s="12">
        <v>252774</v>
      </c>
      <c r="G5150" s="13">
        <v>25</v>
      </c>
      <c r="H5150" t="s">
        <v>2871</v>
      </c>
      <c r="I5150" s="8">
        <v>46267</v>
      </c>
      <c r="J5150" t="s">
        <v>2692</v>
      </c>
      <c r="K5150" t="s">
        <v>2693</v>
      </c>
      <c r="L5150" s="13">
        <v>10000</v>
      </c>
      <c r="M5150" t="s">
        <v>2676</v>
      </c>
    </row>
    <row r="5151" spans="1:13">
      <c r="A5151" t="s">
        <v>2073</v>
      </c>
      <c r="B5151" t="s">
        <v>154</v>
      </c>
      <c r="C5151" s="8">
        <v>46224</v>
      </c>
      <c r="D5151" t="s">
        <v>321</v>
      </c>
      <c r="E5151" t="s">
        <v>322</v>
      </c>
      <c r="F5151" s="12">
        <v>252774</v>
      </c>
      <c r="G5151" s="13">
        <v>25</v>
      </c>
      <c r="H5151" t="s">
        <v>2963</v>
      </c>
      <c r="I5151" s="8">
        <v>45981</v>
      </c>
      <c r="J5151" t="s">
        <v>2659</v>
      </c>
      <c r="K5151" t="s">
        <v>2660</v>
      </c>
      <c r="L5151" s="13">
        <v>3500</v>
      </c>
      <c r="M5151" t="s">
        <v>2661</v>
      </c>
    </row>
    <row r="5152" spans="1:13">
      <c r="A5152" t="s">
        <v>2073</v>
      </c>
      <c r="B5152" t="s">
        <v>154</v>
      </c>
      <c r="C5152" s="8">
        <v>46224</v>
      </c>
      <c r="D5152" t="s">
        <v>321</v>
      </c>
      <c r="E5152" t="s">
        <v>322</v>
      </c>
      <c r="F5152" s="12">
        <v>252774</v>
      </c>
      <c r="G5152" s="13">
        <v>25</v>
      </c>
      <c r="H5152" t="s">
        <v>2967</v>
      </c>
      <c r="I5152" s="8">
        <v>46155</v>
      </c>
      <c r="J5152" t="s">
        <v>2668</v>
      </c>
      <c r="K5152" t="s">
        <v>2669</v>
      </c>
      <c r="L5152" s="13">
        <v>4000</v>
      </c>
      <c r="M5152" t="s">
        <v>2661</v>
      </c>
    </row>
    <row r="5153" spans="1:13">
      <c r="A5153" t="s">
        <v>2073</v>
      </c>
      <c r="B5153" t="s">
        <v>154</v>
      </c>
      <c r="C5153" s="8">
        <v>46224</v>
      </c>
      <c r="D5153" t="s">
        <v>321</v>
      </c>
      <c r="E5153" t="s">
        <v>322</v>
      </c>
      <c r="F5153" s="12">
        <v>252774</v>
      </c>
      <c r="G5153" s="13">
        <v>25</v>
      </c>
      <c r="H5153" t="s">
        <v>3013</v>
      </c>
      <c r="I5153" s="8">
        <v>45942</v>
      </c>
      <c r="J5153" t="s">
        <v>2682</v>
      </c>
      <c r="K5153" t="s">
        <v>2683</v>
      </c>
      <c r="L5153" s="13">
        <v>6000</v>
      </c>
      <c r="M5153" t="s">
        <v>2661</v>
      </c>
    </row>
    <row r="5154" spans="1:13">
      <c r="A5154" t="s">
        <v>2073</v>
      </c>
      <c r="B5154" t="s">
        <v>154</v>
      </c>
      <c r="C5154" s="8">
        <v>46224</v>
      </c>
      <c r="D5154" t="s">
        <v>321</v>
      </c>
      <c r="E5154" t="s">
        <v>322</v>
      </c>
      <c r="F5154" s="12">
        <v>252774</v>
      </c>
      <c r="G5154" s="13">
        <v>25</v>
      </c>
      <c r="H5154" t="s">
        <v>3188</v>
      </c>
      <c r="I5154" s="8">
        <v>46142</v>
      </c>
      <c r="J5154" t="s">
        <v>2665</v>
      </c>
      <c r="K5154" t="s">
        <v>2666</v>
      </c>
      <c r="L5154" s="13">
        <v>2500</v>
      </c>
      <c r="M5154" t="s">
        <v>2676</v>
      </c>
    </row>
    <row r="5155" spans="1:13">
      <c r="A5155" t="s">
        <v>2073</v>
      </c>
      <c r="B5155" t="s">
        <v>154</v>
      </c>
      <c r="C5155" s="8">
        <v>46224</v>
      </c>
      <c r="D5155" t="s">
        <v>321</v>
      </c>
      <c r="E5155" t="s">
        <v>322</v>
      </c>
      <c r="F5155" s="12">
        <v>252774</v>
      </c>
      <c r="G5155" s="13">
        <v>25</v>
      </c>
      <c r="H5155" t="s">
        <v>3240</v>
      </c>
      <c r="I5155" s="8">
        <v>46030</v>
      </c>
      <c r="J5155" t="s">
        <v>2671</v>
      </c>
      <c r="K5155" t="s">
        <v>2672</v>
      </c>
      <c r="L5155" s="13">
        <v>3000</v>
      </c>
      <c r="M5155" t="s">
        <v>2661</v>
      </c>
    </row>
    <row r="5156" spans="1:13">
      <c r="A5156" t="s">
        <v>2073</v>
      </c>
      <c r="B5156" t="s">
        <v>154</v>
      </c>
      <c r="C5156" s="8">
        <v>46224</v>
      </c>
      <c r="D5156" t="s">
        <v>321</v>
      </c>
      <c r="E5156" t="s">
        <v>322</v>
      </c>
      <c r="F5156" s="12">
        <v>252774</v>
      </c>
      <c r="G5156" s="13">
        <v>25</v>
      </c>
      <c r="H5156" t="s">
        <v>3316</v>
      </c>
      <c r="I5156" s="8">
        <v>46084</v>
      </c>
      <c r="J5156" t="s">
        <v>2688</v>
      </c>
      <c r="K5156" t="s">
        <v>2689</v>
      </c>
      <c r="L5156" s="13">
        <v>8000</v>
      </c>
      <c r="M5156" t="s">
        <v>2661</v>
      </c>
    </row>
    <row r="5157" spans="1:13">
      <c r="A5157" t="s">
        <v>2074</v>
      </c>
      <c r="B5157" t="s">
        <v>256</v>
      </c>
      <c r="C5157" s="8">
        <v>46119</v>
      </c>
      <c r="D5157" t="s">
        <v>342</v>
      </c>
      <c r="E5157" t="s">
        <v>339</v>
      </c>
      <c r="F5157" s="12">
        <v>180852</v>
      </c>
      <c r="G5157" s="13">
        <v>18</v>
      </c>
      <c r="H5157" t="s">
        <v>3289</v>
      </c>
      <c r="I5157" s="8">
        <v>46146</v>
      </c>
      <c r="J5157" t="s">
        <v>2659</v>
      </c>
      <c r="K5157" t="s">
        <v>2660</v>
      </c>
      <c r="L5157" s="13">
        <v>3500</v>
      </c>
      <c r="M5157" t="s">
        <v>2661</v>
      </c>
    </row>
    <row r="5158" spans="1:13">
      <c r="A5158" t="s">
        <v>2075</v>
      </c>
      <c r="B5158" t="s">
        <v>48</v>
      </c>
      <c r="C5158" s="8">
        <v>46045</v>
      </c>
      <c r="D5158" t="s">
        <v>344</v>
      </c>
      <c r="E5158" t="s">
        <v>334</v>
      </c>
      <c r="F5158" s="12">
        <v>223073</v>
      </c>
      <c r="G5158" s="13">
        <v>22</v>
      </c>
      <c r="H5158" t="s">
        <v>3044</v>
      </c>
      <c r="I5158" s="8">
        <v>46137</v>
      </c>
      <c r="J5158" t="s">
        <v>2659</v>
      </c>
      <c r="K5158" t="s">
        <v>2660</v>
      </c>
      <c r="L5158" s="13">
        <v>3500</v>
      </c>
      <c r="M5158" t="s">
        <v>2676</v>
      </c>
    </row>
    <row r="5159" spans="1:13">
      <c r="A5159" t="s">
        <v>2075</v>
      </c>
      <c r="B5159" t="s">
        <v>48</v>
      </c>
      <c r="C5159" s="8">
        <v>46045</v>
      </c>
      <c r="D5159" t="s">
        <v>344</v>
      </c>
      <c r="E5159" t="s">
        <v>334</v>
      </c>
      <c r="F5159" s="12">
        <v>223073</v>
      </c>
      <c r="G5159" s="13">
        <v>22</v>
      </c>
      <c r="H5159" t="s">
        <v>3368</v>
      </c>
      <c r="I5159" s="8">
        <v>46171</v>
      </c>
      <c r="J5159" t="s">
        <v>2659</v>
      </c>
      <c r="K5159" t="s">
        <v>2660</v>
      </c>
      <c r="L5159" s="13">
        <v>3500</v>
      </c>
      <c r="M5159" t="s">
        <v>2676</v>
      </c>
    </row>
    <row r="5160" spans="1:13">
      <c r="A5160" t="s">
        <v>2075</v>
      </c>
      <c r="B5160" t="s">
        <v>48</v>
      </c>
      <c r="C5160" s="8">
        <v>46045</v>
      </c>
      <c r="D5160" t="s">
        <v>344</v>
      </c>
      <c r="E5160" t="s">
        <v>334</v>
      </c>
      <c r="F5160" s="12">
        <v>223073</v>
      </c>
      <c r="G5160" s="13">
        <v>22</v>
      </c>
      <c r="H5160" t="s">
        <v>3393</v>
      </c>
      <c r="I5160" s="8">
        <v>45952</v>
      </c>
      <c r="J5160" t="s">
        <v>2688</v>
      </c>
      <c r="K5160" t="s">
        <v>2689</v>
      </c>
      <c r="L5160" s="13">
        <v>8000</v>
      </c>
      <c r="M5160" t="s">
        <v>2661</v>
      </c>
    </row>
    <row r="5161" spans="1:13">
      <c r="A5161" t="s">
        <v>2076</v>
      </c>
      <c r="B5161" t="s">
        <v>284</v>
      </c>
      <c r="C5161" s="8">
        <v>46159</v>
      </c>
      <c r="D5161" t="s">
        <v>342</v>
      </c>
      <c r="E5161" t="s">
        <v>328</v>
      </c>
      <c r="F5161" s="12">
        <v>146379</v>
      </c>
      <c r="G5161" s="13">
        <v>14</v>
      </c>
      <c r="H5161" t="s">
        <v>2713</v>
      </c>
      <c r="I5161" s="8">
        <v>46275</v>
      </c>
      <c r="J5161" t="s">
        <v>2674</v>
      </c>
      <c r="K5161" t="s">
        <v>2675</v>
      </c>
      <c r="L5161" s="13">
        <v>20000</v>
      </c>
      <c r="M5161" t="s">
        <v>2661</v>
      </c>
    </row>
    <row r="5162" spans="1:13">
      <c r="A5162" t="s">
        <v>2076</v>
      </c>
      <c r="B5162" t="s">
        <v>284</v>
      </c>
      <c r="C5162" s="8">
        <v>46159</v>
      </c>
      <c r="D5162" t="s">
        <v>342</v>
      </c>
      <c r="E5162" t="s">
        <v>328</v>
      </c>
      <c r="F5162" s="12">
        <v>146379</v>
      </c>
      <c r="G5162" s="13">
        <v>14</v>
      </c>
      <c r="H5162" t="s">
        <v>2751</v>
      </c>
      <c r="I5162" s="8">
        <v>46170</v>
      </c>
      <c r="J5162" t="s">
        <v>2671</v>
      </c>
      <c r="K5162" t="s">
        <v>2672</v>
      </c>
      <c r="L5162" s="13">
        <v>3000</v>
      </c>
      <c r="M5162" t="s">
        <v>2661</v>
      </c>
    </row>
    <row r="5163" spans="1:13">
      <c r="A5163" t="s">
        <v>2076</v>
      </c>
      <c r="B5163" t="s">
        <v>284</v>
      </c>
      <c r="C5163" s="8">
        <v>46159</v>
      </c>
      <c r="D5163" t="s">
        <v>342</v>
      </c>
      <c r="E5163" t="s">
        <v>328</v>
      </c>
      <c r="F5163" s="12">
        <v>146379</v>
      </c>
      <c r="G5163" s="13">
        <v>14</v>
      </c>
      <c r="H5163" t="s">
        <v>3208</v>
      </c>
      <c r="I5163" s="8">
        <v>45949</v>
      </c>
      <c r="J5163" t="s">
        <v>2674</v>
      </c>
      <c r="K5163" t="s">
        <v>2675</v>
      </c>
      <c r="L5163" s="13">
        <v>20000</v>
      </c>
      <c r="M5163" t="s">
        <v>2661</v>
      </c>
    </row>
    <row r="5164" spans="1:13">
      <c r="A5164" t="s">
        <v>2076</v>
      </c>
      <c r="B5164" t="s">
        <v>284</v>
      </c>
      <c r="C5164" s="8">
        <v>46159</v>
      </c>
      <c r="D5164" t="s">
        <v>342</v>
      </c>
      <c r="E5164" t="s">
        <v>328</v>
      </c>
      <c r="F5164" s="12">
        <v>146379</v>
      </c>
      <c r="G5164" s="13">
        <v>14</v>
      </c>
      <c r="H5164" t="s">
        <v>3259</v>
      </c>
      <c r="I5164" s="8">
        <v>46227</v>
      </c>
      <c r="J5164" t="s">
        <v>2665</v>
      </c>
      <c r="K5164" t="s">
        <v>2666</v>
      </c>
      <c r="L5164" s="13">
        <v>2500</v>
      </c>
      <c r="M5164" t="s">
        <v>2661</v>
      </c>
    </row>
    <row r="5165" spans="1:13">
      <c r="A5165" t="s">
        <v>2076</v>
      </c>
      <c r="B5165" t="s">
        <v>284</v>
      </c>
      <c r="C5165" s="8">
        <v>46159</v>
      </c>
      <c r="D5165" t="s">
        <v>342</v>
      </c>
      <c r="E5165" t="s">
        <v>328</v>
      </c>
      <c r="F5165" s="12">
        <v>146379</v>
      </c>
      <c r="G5165" s="13">
        <v>14</v>
      </c>
      <c r="H5165" t="s">
        <v>3404</v>
      </c>
      <c r="I5165" s="8">
        <v>46114</v>
      </c>
      <c r="J5165" t="s">
        <v>2688</v>
      </c>
      <c r="K5165" t="s">
        <v>2689</v>
      </c>
      <c r="L5165" s="13">
        <v>8000</v>
      </c>
      <c r="M5165" t="s">
        <v>2661</v>
      </c>
    </row>
    <row r="5166" spans="1:13">
      <c r="A5166" t="s">
        <v>2077</v>
      </c>
      <c r="B5166" t="s">
        <v>96</v>
      </c>
      <c r="C5166" s="8">
        <v>46133</v>
      </c>
      <c r="D5166" t="s">
        <v>327</v>
      </c>
      <c r="E5166" t="s">
        <v>339</v>
      </c>
      <c r="F5166" s="12">
        <v>444150</v>
      </c>
      <c r="G5166" s="13">
        <v>44</v>
      </c>
      <c r="H5166" t="s">
        <v>2761</v>
      </c>
      <c r="I5166" s="8">
        <v>46195</v>
      </c>
      <c r="J5166" t="s">
        <v>2665</v>
      </c>
      <c r="K5166" t="s">
        <v>2666</v>
      </c>
      <c r="L5166" s="13">
        <v>2500</v>
      </c>
      <c r="M5166" t="s">
        <v>2661</v>
      </c>
    </row>
    <row r="5167" spans="1:13">
      <c r="A5167" t="s">
        <v>2077</v>
      </c>
      <c r="B5167" t="s">
        <v>96</v>
      </c>
      <c r="C5167" s="8">
        <v>46133</v>
      </c>
      <c r="D5167" t="s">
        <v>327</v>
      </c>
      <c r="E5167" t="s">
        <v>339</v>
      </c>
      <c r="F5167" s="12">
        <v>444150</v>
      </c>
      <c r="G5167" s="13">
        <v>44</v>
      </c>
      <c r="H5167" t="s">
        <v>2839</v>
      </c>
      <c r="I5167" s="8">
        <v>45996</v>
      </c>
      <c r="J5167" t="s">
        <v>2685</v>
      </c>
      <c r="K5167" t="s">
        <v>2686</v>
      </c>
      <c r="L5167" s="13">
        <v>5000</v>
      </c>
      <c r="M5167" t="s">
        <v>2661</v>
      </c>
    </row>
    <row r="5168" spans="1:13">
      <c r="A5168" t="s">
        <v>2077</v>
      </c>
      <c r="B5168" t="s">
        <v>96</v>
      </c>
      <c r="C5168" s="8">
        <v>46133</v>
      </c>
      <c r="D5168" t="s">
        <v>327</v>
      </c>
      <c r="E5168" t="s">
        <v>339</v>
      </c>
      <c r="F5168" s="12">
        <v>444150</v>
      </c>
      <c r="G5168" s="13">
        <v>44</v>
      </c>
      <c r="H5168" t="s">
        <v>3048</v>
      </c>
      <c r="I5168" s="8">
        <v>46256</v>
      </c>
      <c r="J5168" t="s">
        <v>2659</v>
      </c>
      <c r="K5168" t="s">
        <v>2660</v>
      </c>
      <c r="L5168" s="13">
        <v>3500</v>
      </c>
      <c r="M5168" t="s">
        <v>2661</v>
      </c>
    </row>
    <row r="5169" spans="1:13">
      <c r="A5169" t="s">
        <v>2077</v>
      </c>
      <c r="B5169" t="s">
        <v>96</v>
      </c>
      <c r="C5169" s="8">
        <v>46133</v>
      </c>
      <c r="D5169" t="s">
        <v>327</v>
      </c>
      <c r="E5169" t="s">
        <v>339</v>
      </c>
      <c r="F5169" s="12">
        <v>444150</v>
      </c>
      <c r="G5169" s="13">
        <v>44</v>
      </c>
      <c r="H5169" t="s">
        <v>3112</v>
      </c>
      <c r="I5169" s="8">
        <v>46182</v>
      </c>
      <c r="J5169" t="s">
        <v>2668</v>
      </c>
      <c r="K5169" t="s">
        <v>2669</v>
      </c>
      <c r="L5169" s="13">
        <v>4000</v>
      </c>
      <c r="M5169" t="s">
        <v>2661</v>
      </c>
    </row>
    <row r="5170" spans="1:13">
      <c r="A5170" t="s">
        <v>2077</v>
      </c>
      <c r="B5170" t="s">
        <v>96</v>
      </c>
      <c r="C5170" s="8">
        <v>46133</v>
      </c>
      <c r="D5170" t="s">
        <v>327</v>
      </c>
      <c r="E5170" t="s">
        <v>339</v>
      </c>
      <c r="F5170" s="12">
        <v>444150</v>
      </c>
      <c r="G5170" s="13">
        <v>44</v>
      </c>
      <c r="H5170" t="s">
        <v>3389</v>
      </c>
      <c r="I5170" s="8">
        <v>45999</v>
      </c>
      <c r="J5170" t="s">
        <v>2671</v>
      </c>
      <c r="K5170" t="s">
        <v>2672</v>
      </c>
      <c r="L5170" s="13">
        <v>3000</v>
      </c>
      <c r="M5170" t="s">
        <v>2661</v>
      </c>
    </row>
    <row r="5171" spans="1:13">
      <c r="A5171" t="s">
        <v>2077</v>
      </c>
      <c r="B5171" t="s">
        <v>96</v>
      </c>
      <c r="C5171" s="8">
        <v>46133</v>
      </c>
      <c r="D5171" t="s">
        <v>327</v>
      </c>
      <c r="E5171" t="s">
        <v>339</v>
      </c>
      <c r="F5171" s="12">
        <v>444150</v>
      </c>
      <c r="G5171" s="13">
        <v>44</v>
      </c>
      <c r="H5171" t="s">
        <v>3431</v>
      </c>
      <c r="I5171" s="8">
        <v>46091</v>
      </c>
      <c r="J5171" t="s">
        <v>2685</v>
      </c>
      <c r="K5171" t="s">
        <v>2686</v>
      </c>
      <c r="L5171" s="13">
        <v>5000</v>
      </c>
      <c r="M5171" t="s">
        <v>2661</v>
      </c>
    </row>
    <row r="5172" spans="1:13">
      <c r="A5172" t="s">
        <v>2078</v>
      </c>
      <c r="B5172" t="s">
        <v>127</v>
      </c>
      <c r="C5172" s="8">
        <v>46021</v>
      </c>
      <c r="D5172" t="s">
        <v>327</v>
      </c>
      <c r="E5172" t="s">
        <v>322</v>
      </c>
      <c r="F5172" s="12">
        <v>362020</v>
      </c>
      <c r="G5172" s="13">
        <v>36</v>
      </c>
      <c r="H5172" t="s">
        <v>2841</v>
      </c>
      <c r="I5172" s="8">
        <v>46149</v>
      </c>
      <c r="J5172" t="s">
        <v>2659</v>
      </c>
      <c r="K5172" t="s">
        <v>2660</v>
      </c>
      <c r="L5172" s="13">
        <v>3500</v>
      </c>
      <c r="M5172" t="s">
        <v>2661</v>
      </c>
    </row>
    <row r="5173" spans="1:13">
      <c r="A5173" t="s">
        <v>2078</v>
      </c>
      <c r="B5173" t="s">
        <v>127</v>
      </c>
      <c r="C5173" s="8">
        <v>46021</v>
      </c>
      <c r="D5173" t="s">
        <v>327</v>
      </c>
      <c r="E5173" t="s">
        <v>322</v>
      </c>
      <c r="F5173" s="12">
        <v>362020</v>
      </c>
      <c r="G5173" s="13">
        <v>36</v>
      </c>
      <c r="H5173" t="s">
        <v>3175</v>
      </c>
      <c r="I5173" s="8">
        <v>46280</v>
      </c>
      <c r="J5173" t="s">
        <v>2665</v>
      </c>
      <c r="K5173" t="s">
        <v>2666</v>
      </c>
      <c r="L5173" s="13">
        <v>2500</v>
      </c>
      <c r="M5173" t="s">
        <v>2661</v>
      </c>
    </row>
    <row r="5174" spans="1:13">
      <c r="A5174" t="s">
        <v>2079</v>
      </c>
      <c r="B5174" t="s">
        <v>52</v>
      </c>
      <c r="C5174" s="8">
        <v>46173</v>
      </c>
      <c r="D5174" t="s">
        <v>324</v>
      </c>
      <c r="E5174" t="s">
        <v>322</v>
      </c>
      <c r="F5174" s="12">
        <v>314468</v>
      </c>
      <c r="G5174" s="13">
        <v>31</v>
      </c>
      <c r="H5174" t="s">
        <v>2861</v>
      </c>
      <c r="I5174" s="8">
        <v>46105</v>
      </c>
      <c r="J5174" t="s">
        <v>2685</v>
      </c>
      <c r="K5174" t="s">
        <v>2686</v>
      </c>
      <c r="L5174" s="13">
        <v>5000</v>
      </c>
      <c r="M5174" t="s">
        <v>2661</v>
      </c>
    </row>
    <row r="5175" spans="1:13">
      <c r="A5175" t="s">
        <v>2079</v>
      </c>
      <c r="B5175" t="s">
        <v>52</v>
      </c>
      <c r="C5175" s="8">
        <v>46173</v>
      </c>
      <c r="D5175" t="s">
        <v>324</v>
      </c>
      <c r="E5175" t="s">
        <v>322</v>
      </c>
      <c r="F5175" s="12">
        <v>314468</v>
      </c>
      <c r="G5175" s="13">
        <v>31</v>
      </c>
      <c r="H5175" t="s">
        <v>3122</v>
      </c>
      <c r="I5175" s="8">
        <v>45976</v>
      </c>
      <c r="J5175" t="s">
        <v>2668</v>
      </c>
      <c r="K5175" t="s">
        <v>2669</v>
      </c>
      <c r="L5175" s="13">
        <v>4000</v>
      </c>
      <c r="M5175" t="s">
        <v>2661</v>
      </c>
    </row>
    <row r="5176" spans="1:13">
      <c r="A5176" t="s">
        <v>2079</v>
      </c>
      <c r="B5176" t="s">
        <v>52</v>
      </c>
      <c r="C5176" s="8">
        <v>46173</v>
      </c>
      <c r="D5176" t="s">
        <v>324</v>
      </c>
      <c r="E5176" t="s">
        <v>322</v>
      </c>
      <c r="F5176" s="12">
        <v>314468</v>
      </c>
      <c r="G5176" s="13">
        <v>31</v>
      </c>
      <c r="H5176" t="s">
        <v>3497</v>
      </c>
      <c r="I5176" s="8">
        <v>46058</v>
      </c>
      <c r="J5176" t="s">
        <v>2665</v>
      </c>
      <c r="K5176" t="s">
        <v>2666</v>
      </c>
      <c r="L5176" s="13">
        <v>2500</v>
      </c>
      <c r="M5176" t="s">
        <v>2661</v>
      </c>
    </row>
    <row r="5177" spans="1:13">
      <c r="A5177" t="s">
        <v>2080</v>
      </c>
      <c r="B5177" t="s">
        <v>105</v>
      </c>
      <c r="C5177" s="8">
        <v>45991</v>
      </c>
      <c r="D5177" t="s">
        <v>330</v>
      </c>
      <c r="E5177" t="s">
        <v>328</v>
      </c>
      <c r="F5177" s="12">
        <v>331313</v>
      </c>
      <c r="G5177" s="13">
        <v>33</v>
      </c>
      <c r="H5177" t="s">
        <v>3001</v>
      </c>
      <c r="I5177" s="8">
        <v>46288</v>
      </c>
      <c r="J5177" t="s">
        <v>2668</v>
      </c>
      <c r="K5177" t="s">
        <v>2669</v>
      </c>
      <c r="L5177" s="13">
        <v>4000</v>
      </c>
      <c r="M5177" t="s">
        <v>2661</v>
      </c>
    </row>
    <row r="5178" spans="1:13">
      <c r="A5178" t="s">
        <v>2080</v>
      </c>
      <c r="B5178" t="s">
        <v>105</v>
      </c>
      <c r="C5178" s="8">
        <v>45991</v>
      </c>
      <c r="D5178" t="s">
        <v>330</v>
      </c>
      <c r="E5178" t="s">
        <v>328</v>
      </c>
      <c r="F5178" s="12">
        <v>331313</v>
      </c>
      <c r="G5178" s="13">
        <v>33</v>
      </c>
      <c r="H5178" t="s">
        <v>3018</v>
      </c>
      <c r="I5178" s="8">
        <v>45961</v>
      </c>
      <c r="J5178" t="s">
        <v>2685</v>
      </c>
      <c r="K5178" t="s">
        <v>2686</v>
      </c>
      <c r="L5178" s="13">
        <v>5000</v>
      </c>
      <c r="M5178" t="s">
        <v>2661</v>
      </c>
    </row>
    <row r="5179" spans="1:13">
      <c r="A5179" t="s">
        <v>2081</v>
      </c>
      <c r="B5179" t="s">
        <v>267</v>
      </c>
      <c r="C5179" s="8">
        <v>46278</v>
      </c>
      <c r="D5179" t="s">
        <v>332</v>
      </c>
      <c r="E5179" t="s">
        <v>334</v>
      </c>
      <c r="F5179" s="12">
        <v>251529</v>
      </c>
      <c r="G5179" s="13">
        <v>25</v>
      </c>
      <c r="H5179" t="s">
        <v>3119</v>
      </c>
      <c r="I5179" s="8">
        <v>46208</v>
      </c>
      <c r="J5179" t="s">
        <v>2671</v>
      </c>
      <c r="K5179" t="s">
        <v>2672</v>
      </c>
      <c r="L5179" s="13">
        <v>3000</v>
      </c>
      <c r="M5179" t="s">
        <v>2661</v>
      </c>
    </row>
    <row r="5180" spans="1:13">
      <c r="A5180" t="s">
        <v>2081</v>
      </c>
      <c r="B5180" t="s">
        <v>267</v>
      </c>
      <c r="C5180" s="8">
        <v>46278</v>
      </c>
      <c r="D5180" t="s">
        <v>332</v>
      </c>
      <c r="E5180" t="s">
        <v>334</v>
      </c>
      <c r="F5180" s="12">
        <v>251529</v>
      </c>
      <c r="G5180" s="13">
        <v>25</v>
      </c>
      <c r="H5180" t="s">
        <v>3125</v>
      </c>
      <c r="I5180" s="8">
        <v>45961</v>
      </c>
      <c r="J5180" t="s">
        <v>2685</v>
      </c>
      <c r="K5180" t="s">
        <v>2686</v>
      </c>
      <c r="L5180" s="13">
        <v>5000</v>
      </c>
      <c r="M5180" t="s">
        <v>2676</v>
      </c>
    </row>
    <row r="5181" spans="1:13">
      <c r="A5181" t="s">
        <v>2081</v>
      </c>
      <c r="B5181" t="s">
        <v>267</v>
      </c>
      <c r="C5181" s="8">
        <v>46278</v>
      </c>
      <c r="D5181" t="s">
        <v>332</v>
      </c>
      <c r="E5181" t="s">
        <v>334</v>
      </c>
      <c r="F5181" s="12">
        <v>251529</v>
      </c>
      <c r="G5181" s="13">
        <v>25</v>
      </c>
      <c r="H5181" t="s">
        <v>3307</v>
      </c>
      <c r="I5181" s="8">
        <v>45958</v>
      </c>
      <c r="J5181" t="s">
        <v>2674</v>
      </c>
      <c r="K5181" t="s">
        <v>2675</v>
      </c>
      <c r="L5181" s="13">
        <v>20000</v>
      </c>
      <c r="M5181" t="s">
        <v>2661</v>
      </c>
    </row>
    <row r="5182" spans="1:13">
      <c r="A5182" t="s">
        <v>2081</v>
      </c>
      <c r="B5182" t="s">
        <v>267</v>
      </c>
      <c r="C5182" s="8">
        <v>46278</v>
      </c>
      <c r="D5182" t="s">
        <v>332</v>
      </c>
      <c r="E5182" t="s">
        <v>334</v>
      </c>
      <c r="F5182" s="12">
        <v>251529</v>
      </c>
      <c r="G5182" s="13">
        <v>25</v>
      </c>
      <c r="H5182" t="s">
        <v>3449</v>
      </c>
      <c r="I5182" s="8">
        <v>46253</v>
      </c>
      <c r="J5182" t="s">
        <v>2668</v>
      </c>
      <c r="K5182" t="s">
        <v>2669</v>
      </c>
      <c r="L5182" s="13">
        <v>4000</v>
      </c>
      <c r="M5182" t="s">
        <v>2676</v>
      </c>
    </row>
    <row r="5183" spans="1:13">
      <c r="A5183" t="s">
        <v>2082</v>
      </c>
      <c r="B5183" t="s">
        <v>211</v>
      </c>
      <c r="C5183" s="8">
        <v>46228</v>
      </c>
      <c r="D5183" t="s">
        <v>321</v>
      </c>
      <c r="E5183" t="s">
        <v>337</v>
      </c>
      <c r="F5183" s="12">
        <v>208130</v>
      </c>
      <c r="G5183" s="13">
        <v>20</v>
      </c>
      <c r="H5183" t="s">
        <v>2724</v>
      </c>
      <c r="I5183" s="8">
        <v>45945</v>
      </c>
      <c r="J5183" t="s">
        <v>2665</v>
      </c>
      <c r="K5183" t="s">
        <v>2666</v>
      </c>
      <c r="L5183" s="13">
        <v>2500</v>
      </c>
      <c r="M5183" t="s">
        <v>2661</v>
      </c>
    </row>
    <row r="5184" spans="1:13">
      <c r="A5184" t="s">
        <v>2083</v>
      </c>
      <c r="B5184" t="s">
        <v>232</v>
      </c>
      <c r="C5184" s="8">
        <v>46221</v>
      </c>
      <c r="D5184" t="s">
        <v>330</v>
      </c>
      <c r="E5184" t="s">
        <v>339</v>
      </c>
      <c r="F5184" s="12">
        <v>46851</v>
      </c>
      <c r="G5184" s="13">
        <v>4</v>
      </c>
      <c r="H5184" t="s">
        <v>2819</v>
      </c>
      <c r="I5184" s="8">
        <v>46271</v>
      </c>
      <c r="J5184" t="s">
        <v>2674</v>
      </c>
      <c r="K5184" t="s">
        <v>2675</v>
      </c>
      <c r="L5184" s="13">
        <v>20000</v>
      </c>
      <c r="M5184" t="s">
        <v>2661</v>
      </c>
    </row>
    <row r="5185" spans="1:13">
      <c r="A5185" t="s">
        <v>2083</v>
      </c>
      <c r="B5185" t="s">
        <v>232</v>
      </c>
      <c r="C5185" s="8">
        <v>46221</v>
      </c>
      <c r="D5185" t="s">
        <v>330</v>
      </c>
      <c r="E5185" t="s">
        <v>339</v>
      </c>
      <c r="F5185" s="12">
        <v>46851</v>
      </c>
      <c r="G5185" s="13">
        <v>4</v>
      </c>
      <c r="H5185" t="s">
        <v>2884</v>
      </c>
      <c r="I5185" s="8">
        <v>46028</v>
      </c>
      <c r="J5185" t="s">
        <v>2671</v>
      </c>
      <c r="K5185" t="s">
        <v>2672</v>
      </c>
      <c r="L5185" s="13">
        <v>3000</v>
      </c>
      <c r="M5185" t="s">
        <v>2661</v>
      </c>
    </row>
    <row r="5186" spans="1:13">
      <c r="A5186" t="s">
        <v>2083</v>
      </c>
      <c r="B5186" t="s">
        <v>232</v>
      </c>
      <c r="C5186" s="8">
        <v>46221</v>
      </c>
      <c r="D5186" t="s">
        <v>330</v>
      </c>
      <c r="E5186" t="s">
        <v>339</v>
      </c>
      <c r="F5186" s="12">
        <v>46851</v>
      </c>
      <c r="G5186" s="13">
        <v>4</v>
      </c>
      <c r="H5186" t="s">
        <v>3101</v>
      </c>
      <c r="I5186" s="8">
        <v>46222</v>
      </c>
      <c r="J5186" t="s">
        <v>2688</v>
      </c>
      <c r="K5186" t="s">
        <v>2689</v>
      </c>
      <c r="L5186" s="13">
        <v>8000</v>
      </c>
      <c r="M5186" t="s">
        <v>2676</v>
      </c>
    </row>
    <row r="5187" spans="1:13">
      <c r="A5187" t="s">
        <v>2083</v>
      </c>
      <c r="B5187" t="s">
        <v>232</v>
      </c>
      <c r="C5187" s="8">
        <v>46221</v>
      </c>
      <c r="D5187" t="s">
        <v>330</v>
      </c>
      <c r="E5187" t="s">
        <v>339</v>
      </c>
      <c r="F5187" s="12">
        <v>46851</v>
      </c>
      <c r="G5187" s="13">
        <v>4</v>
      </c>
      <c r="H5187" t="s">
        <v>3463</v>
      </c>
      <c r="I5187" s="8">
        <v>46026</v>
      </c>
      <c r="J5187" t="s">
        <v>2674</v>
      </c>
      <c r="K5187" t="s">
        <v>2675</v>
      </c>
      <c r="L5187" s="13">
        <v>20000</v>
      </c>
      <c r="M5187" t="s">
        <v>2661</v>
      </c>
    </row>
    <row r="5188" spans="1:13">
      <c r="A5188" t="s">
        <v>2083</v>
      </c>
      <c r="B5188" t="s">
        <v>232</v>
      </c>
      <c r="C5188" s="8">
        <v>46221</v>
      </c>
      <c r="D5188" t="s">
        <v>330</v>
      </c>
      <c r="E5188" t="s">
        <v>339</v>
      </c>
      <c r="F5188" s="12">
        <v>46851</v>
      </c>
      <c r="G5188" s="13">
        <v>4</v>
      </c>
      <c r="H5188" t="s">
        <v>3578</v>
      </c>
      <c r="I5188" s="8">
        <v>46141</v>
      </c>
      <c r="J5188" t="s">
        <v>2692</v>
      </c>
      <c r="K5188" t="s">
        <v>2693</v>
      </c>
      <c r="L5188" s="13">
        <v>10000</v>
      </c>
      <c r="M5188" t="s">
        <v>2661</v>
      </c>
    </row>
    <row r="5189" spans="1:13">
      <c r="A5189" t="s">
        <v>2084</v>
      </c>
      <c r="B5189" t="s">
        <v>160</v>
      </c>
      <c r="C5189" s="8">
        <v>45984</v>
      </c>
      <c r="D5189" t="s">
        <v>332</v>
      </c>
      <c r="E5189" t="s">
        <v>337</v>
      </c>
      <c r="F5189" s="12">
        <v>42599</v>
      </c>
      <c r="G5189" s="13">
        <v>4</v>
      </c>
      <c r="H5189" t="s">
        <v>2995</v>
      </c>
      <c r="I5189" s="8">
        <v>46074</v>
      </c>
      <c r="J5189" t="s">
        <v>2685</v>
      </c>
      <c r="K5189" t="s">
        <v>2686</v>
      </c>
      <c r="L5189" s="13">
        <v>5000</v>
      </c>
      <c r="M5189" t="s">
        <v>2676</v>
      </c>
    </row>
    <row r="5190" spans="1:13">
      <c r="A5190" t="s">
        <v>2084</v>
      </c>
      <c r="B5190" t="s">
        <v>160</v>
      </c>
      <c r="C5190" s="8">
        <v>45984</v>
      </c>
      <c r="D5190" t="s">
        <v>332</v>
      </c>
      <c r="E5190" t="s">
        <v>337</v>
      </c>
      <c r="F5190" s="12">
        <v>42599</v>
      </c>
      <c r="G5190" s="13">
        <v>4</v>
      </c>
      <c r="H5190" t="s">
        <v>3105</v>
      </c>
      <c r="I5190" s="8">
        <v>46023</v>
      </c>
      <c r="J5190" t="s">
        <v>2671</v>
      </c>
      <c r="K5190" t="s">
        <v>2672</v>
      </c>
      <c r="L5190" s="13">
        <v>3000</v>
      </c>
      <c r="M5190" t="s">
        <v>2661</v>
      </c>
    </row>
    <row r="5191" spans="1:13">
      <c r="A5191" t="s">
        <v>2084</v>
      </c>
      <c r="B5191" t="s">
        <v>160</v>
      </c>
      <c r="C5191" s="8">
        <v>45984</v>
      </c>
      <c r="D5191" t="s">
        <v>332</v>
      </c>
      <c r="E5191" t="s">
        <v>337</v>
      </c>
      <c r="F5191" s="12">
        <v>42599</v>
      </c>
      <c r="G5191" s="13">
        <v>4</v>
      </c>
      <c r="H5191" t="s">
        <v>3246</v>
      </c>
      <c r="I5191" s="8">
        <v>46099</v>
      </c>
      <c r="J5191" t="s">
        <v>2663</v>
      </c>
      <c r="K5191" t="s">
        <v>3630</v>
      </c>
      <c r="L5191" s="13">
        <v>1500</v>
      </c>
      <c r="M5191" t="s">
        <v>2661</v>
      </c>
    </row>
    <row r="5192" spans="1:13">
      <c r="A5192" t="s">
        <v>2085</v>
      </c>
      <c r="B5192" t="s">
        <v>273</v>
      </c>
      <c r="C5192" s="8">
        <v>46076</v>
      </c>
      <c r="D5192" t="s">
        <v>330</v>
      </c>
      <c r="E5192" t="s">
        <v>325</v>
      </c>
      <c r="F5192" s="12">
        <v>447129</v>
      </c>
      <c r="G5192" s="13">
        <v>44</v>
      </c>
      <c r="H5192" t="s">
        <v>3007</v>
      </c>
      <c r="I5192" s="8">
        <v>46197</v>
      </c>
      <c r="J5192" t="s">
        <v>2671</v>
      </c>
      <c r="K5192" t="s">
        <v>2672</v>
      </c>
      <c r="L5192" s="13">
        <v>3000</v>
      </c>
      <c r="M5192" t="s">
        <v>2676</v>
      </c>
    </row>
    <row r="5193" spans="1:13">
      <c r="A5193" t="s">
        <v>2085</v>
      </c>
      <c r="B5193" t="s">
        <v>273</v>
      </c>
      <c r="C5193" s="8">
        <v>46076</v>
      </c>
      <c r="D5193" t="s">
        <v>330</v>
      </c>
      <c r="E5193" t="s">
        <v>325</v>
      </c>
      <c r="F5193" s="12">
        <v>447129</v>
      </c>
      <c r="G5193" s="13">
        <v>44</v>
      </c>
      <c r="H5193" t="s">
        <v>3060</v>
      </c>
      <c r="I5193" s="8">
        <v>45991</v>
      </c>
      <c r="J5193" t="s">
        <v>2685</v>
      </c>
      <c r="K5193" t="s">
        <v>2686</v>
      </c>
      <c r="L5193" s="13">
        <v>5000</v>
      </c>
      <c r="M5193" t="s">
        <v>2676</v>
      </c>
    </row>
    <row r="5194" spans="1:13">
      <c r="A5194" t="s">
        <v>2085</v>
      </c>
      <c r="B5194" t="s">
        <v>273</v>
      </c>
      <c r="C5194" s="8">
        <v>46076</v>
      </c>
      <c r="D5194" t="s">
        <v>330</v>
      </c>
      <c r="E5194" t="s">
        <v>325</v>
      </c>
      <c r="F5194" s="12">
        <v>447129</v>
      </c>
      <c r="G5194" s="13">
        <v>44</v>
      </c>
      <c r="H5194" t="s">
        <v>3435</v>
      </c>
      <c r="I5194" s="8">
        <v>45946</v>
      </c>
      <c r="J5194" t="s">
        <v>2671</v>
      </c>
      <c r="K5194" t="s">
        <v>2672</v>
      </c>
      <c r="L5194" s="13">
        <v>3000</v>
      </c>
      <c r="M5194" t="s">
        <v>2661</v>
      </c>
    </row>
    <row r="5195" spans="1:13">
      <c r="A5195" t="s">
        <v>2086</v>
      </c>
      <c r="B5195" t="s">
        <v>207</v>
      </c>
      <c r="C5195" s="8">
        <v>46106</v>
      </c>
      <c r="D5195" t="s">
        <v>332</v>
      </c>
      <c r="E5195" t="s">
        <v>334</v>
      </c>
      <c r="F5195" s="12">
        <v>177754</v>
      </c>
      <c r="G5195" s="13">
        <v>17</v>
      </c>
      <c r="H5195" t="s">
        <v>2813</v>
      </c>
      <c r="I5195" s="8">
        <v>46129</v>
      </c>
      <c r="J5195" t="s">
        <v>2674</v>
      </c>
      <c r="K5195" t="s">
        <v>2675</v>
      </c>
      <c r="L5195" s="13">
        <v>20000</v>
      </c>
      <c r="M5195" t="s">
        <v>2661</v>
      </c>
    </row>
    <row r="5196" spans="1:13">
      <c r="A5196" t="s">
        <v>2086</v>
      </c>
      <c r="B5196" t="s">
        <v>207</v>
      </c>
      <c r="C5196" s="8">
        <v>46106</v>
      </c>
      <c r="D5196" t="s">
        <v>332</v>
      </c>
      <c r="E5196" t="s">
        <v>334</v>
      </c>
      <c r="F5196" s="12">
        <v>177754</v>
      </c>
      <c r="G5196" s="13">
        <v>17</v>
      </c>
      <c r="H5196" t="s">
        <v>2879</v>
      </c>
      <c r="I5196" s="8">
        <v>46287</v>
      </c>
      <c r="J5196" t="s">
        <v>2688</v>
      </c>
      <c r="K5196" t="s">
        <v>2689</v>
      </c>
      <c r="L5196" s="13">
        <v>8000</v>
      </c>
      <c r="M5196" t="s">
        <v>2661</v>
      </c>
    </row>
    <row r="5197" spans="1:13">
      <c r="A5197" t="s">
        <v>2086</v>
      </c>
      <c r="B5197" t="s">
        <v>207</v>
      </c>
      <c r="C5197" s="8">
        <v>46106</v>
      </c>
      <c r="D5197" t="s">
        <v>332</v>
      </c>
      <c r="E5197" t="s">
        <v>334</v>
      </c>
      <c r="F5197" s="12">
        <v>177754</v>
      </c>
      <c r="G5197" s="13">
        <v>17</v>
      </c>
      <c r="H5197" t="s">
        <v>2910</v>
      </c>
      <c r="I5197" s="8">
        <v>46262</v>
      </c>
      <c r="J5197" t="s">
        <v>2688</v>
      </c>
      <c r="K5197" t="s">
        <v>2689</v>
      </c>
      <c r="L5197" s="13">
        <v>8000</v>
      </c>
      <c r="M5197" t="s">
        <v>2661</v>
      </c>
    </row>
    <row r="5198" spans="1:13">
      <c r="A5198" t="s">
        <v>2086</v>
      </c>
      <c r="B5198" t="s">
        <v>207</v>
      </c>
      <c r="C5198" s="8">
        <v>46106</v>
      </c>
      <c r="D5198" t="s">
        <v>332</v>
      </c>
      <c r="E5198" t="s">
        <v>334</v>
      </c>
      <c r="F5198" s="12">
        <v>177754</v>
      </c>
      <c r="G5198" s="13">
        <v>17</v>
      </c>
      <c r="H5198" t="s">
        <v>3252</v>
      </c>
      <c r="I5198" s="8">
        <v>45986</v>
      </c>
      <c r="J5198" t="s">
        <v>2671</v>
      </c>
      <c r="K5198" t="s">
        <v>2672</v>
      </c>
      <c r="L5198" s="13">
        <v>3000</v>
      </c>
      <c r="M5198" t="s">
        <v>2661</v>
      </c>
    </row>
    <row r="5199" spans="1:13">
      <c r="A5199" t="s">
        <v>2086</v>
      </c>
      <c r="B5199" t="s">
        <v>207</v>
      </c>
      <c r="C5199" s="8">
        <v>46106</v>
      </c>
      <c r="D5199" t="s">
        <v>332</v>
      </c>
      <c r="E5199" t="s">
        <v>334</v>
      </c>
      <c r="F5199" s="12">
        <v>177754</v>
      </c>
      <c r="G5199" s="13">
        <v>17</v>
      </c>
      <c r="H5199" t="s">
        <v>3278</v>
      </c>
      <c r="I5199" s="8">
        <v>46248</v>
      </c>
      <c r="J5199" t="s">
        <v>2682</v>
      </c>
      <c r="K5199" t="s">
        <v>2683</v>
      </c>
      <c r="L5199" s="13">
        <v>6000</v>
      </c>
      <c r="M5199" t="s">
        <v>2661</v>
      </c>
    </row>
    <row r="5200" spans="1:13">
      <c r="A5200" t="s">
        <v>2087</v>
      </c>
      <c r="B5200" t="s">
        <v>67</v>
      </c>
      <c r="C5200" s="8">
        <v>46101</v>
      </c>
      <c r="D5200" t="s">
        <v>321</v>
      </c>
      <c r="E5200" t="s">
        <v>339</v>
      </c>
      <c r="F5200" s="12">
        <v>361661</v>
      </c>
      <c r="G5200" s="13">
        <v>36</v>
      </c>
      <c r="H5200" t="s">
        <v>3272</v>
      </c>
      <c r="I5200" s="8">
        <v>46247</v>
      </c>
      <c r="J5200" t="s">
        <v>2665</v>
      </c>
      <c r="K5200" t="s">
        <v>2666</v>
      </c>
      <c r="L5200" s="13">
        <v>2500</v>
      </c>
      <c r="M5200" t="s">
        <v>2661</v>
      </c>
    </row>
    <row r="5201" spans="1:13">
      <c r="A5201" t="s">
        <v>2088</v>
      </c>
      <c r="B5201" t="s">
        <v>294</v>
      </c>
      <c r="C5201" s="8">
        <v>46076</v>
      </c>
      <c r="D5201" t="s">
        <v>321</v>
      </c>
      <c r="E5201" t="s">
        <v>339</v>
      </c>
      <c r="F5201" s="12">
        <v>203572</v>
      </c>
      <c r="G5201" s="13">
        <v>20</v>
      </c>
      <c r="H5201" t="s">
        <v>3571</v>
      </c>
      <c r="I5201" s="8">
        <v>45937</v>
      </c>
      <c r="J5201" t="s">
        <v>2663</v>
      </c>
      <c r="K5201" t="s">
        <v>3630</v>
      </c>
      <c r="L5201" s="13">
        <v>1500</v>
      </c>
      <c r="M5201" t="s">
        <v>2661</v>
      </c>
    </row>
    <row r="5202" spans="1:13">
      <c r="A5202" t="s">
        <v>2088</v>
      </c>
      <c r="B5202" t="s">
        <v>294</v>
      </c>
      <c r="C5202" s="8">
        <v>46076</v>
      </c>
      <c r="D5202" t="s">
        <v>321</v>
      </c>
      <c r="E5202" t="s">
        <v>339</v>
      </c>
      <c r="F5202" s="12">
        <v>203572</v>
      </c>
      <c r="G5202" s="13">
        <v>20</v>
      </c>
      <c r="H5202" t="s">
        <v>3572</v>
      </c>
      <c r="I5202" s="8">
        <v>46039</v>
      </c>
      <c r="J5202" t="s">
        <v>2668</v>
      </c>
      <c r="K5202" t="s">
        <v>2669</v>
      </c>
      <c r="L5202" s="13">
        <v>4000</v>
      </c>
      <c r="M5202" t="s">
        <v>2661</v>
      </c>
    </row>
    <row r="5203" spans="1:13">
      <c r="A5203" t="s">
        <v>2089</v>
      </c>
      <c r="B5203" t="s">
        <v>240</v>
      </c>
      <c r="C5203" s="8">
        <v>46245</v>
      </c>
      <c r="D5203" t="s">
        <v>321</v>
      </c>
      <c r="E5203" t="s">
        <v>339</v>
      </c>
      <c r="F5203" s="12">
        <v>189623</v>
      </c>
      <c r="G5203" s="13">
        <v>18</v>
      </c>
      <c r="H5203" t="s">
        <v>3066</v>
      </c>
      <c r="I5203" s="8">
        <v>46121</v>
      </c>
      <c r="J5203" t="s">
        <v>2685</v>
      </c>
      <c r="K5203" t="s">
        <v>2686</v>
      </c>
      <c r="L5203" s="13">
        <v>5000</v>
      </c>
      <c r="M5203" t="s">
        <v>2661</v>
      </c>
    </row>
    <row r="5204" spans="1:13">
      <c r="A5204" t="s">
        <v>2089</v>
      </c>
      <c r="B5204" t="s">
        <v>240</v>
      </c>
      <c r="C5204" s="8">
        <v>46245</v>
      </c>
      <c r="D5204" t="s">
        <v>321</v>
      </c>
      <c r="E5204" t="s">
        <v>339</v>
      </c>
      <c r="F5204" s="12">
        <v>189623</v>
      </c>
      <c r="G5204" s="13">
        <v>18</v>
      </c>
      <c r="H5204" t="s">
        <v>3319</v>
      </c>
      <c r="I5204" s="8">
        <v>45952</v>
      </c>
      <c r="J5204" t="s">
        <v>2685</v>
      </c>
      <c r="K5204" t="s">
        <v>2686</v>
      </c>
      <c r="L5204" s="13">
        <v>5000</v>
      </c>
      <c r="M5204" t="s">
        <v>2661</v>
      </c>
    </row>
    <row r="5205" spans="1:13">
      <c r="A5205" t="s">
        <v>2089</v>
      </c>
      <c r="B5205" t="s">
        <v>240</v>
      </c>
      <c r="C5205" s="8">
        <v>46245</v>
      </c>
      <c r="D5205" t="s">
        <v>321</v>
      </c>
      <c r="E5205" t="s">
        <v>339</v>
      </c>
      <c r="F5205" s="12">
        <v>189623</v>
      </c>
      <c r="G5205" s="13">
        <v>18</v>
      </c>
      <c r="H5205" t="s">
        <v>3380</v>
      </c>
      <c r="I5205" s="8">
        <v>46263</v>
      </c>
      <c r="J5205" t="s">
        <v>2682</v>
      </c>
      <c r="K5205" t="s">
        <v>2683</v>
      </c>
      <c r="L5205" s="13">
        <v>6000</v>
      </c>
      <c r="M5205" t="s">
        <v>2661</v>
      </c>
    </row>
    <row r="5206" spans="1:13">
      <c r="A5206" t="s">
        <v>2090</v>
      </c>
      <c r="B5206" t="s">
        <v>52</v>
      </c>
      <c r="C5206" s="8">
        <v>46033</v>
      </c>
      <c r="D5206" t="s">
        <v>344</v>
      </c>
      <c r="E5206" t="s">
        <v>334</v>
      </c>
      <c r="F5206" s="12">
        <v>272778</v>
      </c>
      <c r="G5206" s="13">
        <v>27</v>
      </c>
      <c r="H5206" t="s">
        <v>2861</v>
      </c>
      <c r="I5206" s="8">
        <v>46105</v>
      </c>
      <c r="J5206" t="s">
        <v>2685</v>
      </c>
      <c r="K5206" t="s">
        <v>2686</v>
      </c>
      <c r="L5206" s="13">
        <v>5000</v>
      </c>
      <c r="M5206" t="s">
        <v>2661</v>
      </c>
    </row>
    <row r="5207" spans="1:13">
      <c r="A5207" t="s">
        <v>2090</v>
      </c>
      <c r="B5207" t="s">
        <v>52</v>
      </c>
      <c r="C5207" s="8">
        <v>46033</v>
      </c>
      <c r="D5207" t="s">
        <v>344</v>
      </c>
      <c r="E5207" t="s">
        <v>334</v>
      </c>
      <c r="F5207" s="12">
        <v>272778</v>
      </c>
      <c r="G5207" s="13">
        <v>27</v>
      </c>
      <c r="H5207" t="s">
        <v>3122</v>
      </c>
      <c r="I5207" s="8">
        <v>45976</v>
      </c>
      <c r="J5207" t="s">
        <v>2668</v>
      </c>
      <c r="K5207" t="s">
        <v>2669</v>
      </c>
      <c r="L5207" s="13">
        <v>4000</v>
      </c>
      <c r="M5207" t="s">
        <v>2661</v>
      </c>
    </row>
    <row r="5208" spans="1:13">
      <c r="A5208" t="s">
        <v>2090</v>
      </c>
      <c r="B5208" t="s">
        <v>52</v>
      </c>
      <c r="C5208" s="8">
        <v>46033</v>
      </c>
      <c r="D5208" t="s">
        <v>344</v>
      </c>
      <c r="E5208" t="s">
        <v>334</v>
      </c>
      <c r="F5208" s="12">
        <v>272778</v>
      </c>
      <c r="G5208" s="13">
        <v>27</v>
      </c>
      <c r="H5208" t="s">
        <v>3497</v>
      </c>
      <c r="I5208" s="8">
        <v>46058</v>
      </c>
      <c r="J5208" t="s">
        <v>2665</v>
      </c>
      <c r="K5208" t="s">
        <v>2666</v>
      </c>
      <c r="L5208" s="13">
        <v>2500</v>
      </c>
      <c r="M5208" t="s">
        <v>2661</v>
      </c>
    </row>
    <row r="5209" spans="1:13">
      <c r="A5209" t="s">
        <v>2091</v>
      </c>
      <c r="B5209" t="s">
        <v>97</v>
      </c>
      <c r="C5209" s="8">
        <v>46091</v>
      </c>
      <c r="D5209" t="s">
        <v>350</v>
      </c>
      <c r="E5209" t="s">
        <v>325</v>
      </c>
      <c r="F5209" s="12">
        <v>261131</v>
      </c>
      <c r="G5209" s="13">
        <v>26</v>
      </c>
      <c r="H5209" t="s">
        <v>3056</v>
      </c>
      <c r="I5209" s="8">
        <v>46286</v>
      </c>
      <c r="J5209" t="s">
        <v>2674</v>
      </c>
      <c r="K5209" t="s">
        <v>2675</v>
      </c>
      <c r="L5209" s="13">
        <v>20000</v>
      </c>
      <c r="M5209" t="s">
        <v>2661</v>
      </c>
    </row>
    <row r="5210" spans="1:13">
      <c r="A5210" t="s">
        <v>2091</v>
      </c>
      <c r="B5210" t="s">
        <v>97</v>
      </c>
      <c r="C5210" s="8">
        <v>46091</v>
      </c>
      <c r="D5210" t="s">
        <v>350</v>
      </c>
      <c r="E5210" t="s">
        <v>325</v>
      </c>
      <c r="F5210" s="12">
        <v>261131</v>
      </c>
      <c r="G5210" s="13">
        <v>26</v>
      </c>
      <c r="H5210" t="s">
        <v>3176</v>
      </c>
      <c r="I5210" s="8">
        <v>46256</v>
      </c>
      <c r="J5210" t="s">
        <v>2692</v>
      </c>
      <c r="K5210" t="s">
        <v>2693</v>
      </c>
      <c r="L5210" s="13">
        <v>10000</v>
      </c>
      <c r="M5210" t="s">
        <v>2661</v>
      </c>
    </row>
    <row r="5211" spans="1:13">
      <c r="A5211" t="s">
        <v>2091</v>
      </c>
      <c r="B5211" t="s">
        <v>97</v>
      </c>
      <c r="C5211" s="8">
        <v>46091</v>
      </c>
      <c r="D5211" t="s">
        <v>350</v>
      </c>
      <c r="E5211" t="s">
        <v>325</v>
      </c>
      <c r="F5211" s="12">
        <v>261131</v>
      </c>
      <c r="G5211" s="13">
        <v>26</v>
      </c>
      <c r="H5211" t="s">
        <v>3528</v>
      </c>
      <c r="I5211" s="8">
        <v>46172</v>
      </c>
      <c r="J5211" t="s">
        <v>2688</v>
      </c>
      <c r="K5211" t="s">
        <v>2689</v>
      </c>
      <c r="L5211" s="13">
        <v>8000</v>
      </c>
      <c r="M5211" t="s">
        <v>2661</v>
      </c>
    </row>
    <row r="5212" spans="1:13">
      <c r="A5212" t="s">
        <v>2092</v>
      </c>
      <c r="B5212" t="s">
        <v>207</v>
      </c>
      <c r="C5212" s="8">
        <v>46287</v>
      </c>
      <c r="D5212" t="s">
        <v>344</v>
      </c>
      <c r="E5212" t="s">
        <v>334</v>
      </c>
      <c r="F5212" s="12">
        <v>160001</v>
      </c>
      <c r="G5212" s="13">
        <v>16</v>
      </c>
      <c r="H5212" t="s">
        <v>2813</v>
      </c>
      <c r="I5212" s="8">
        <v>46129</v>
      </c>
      <c r="J5212" t="s">
        <v>2674</v>
      </c>
      <c r="K5212" t="s">
        <v>2675</v>
      </c>
      <c r="L5212" s="13">
        <v>20000</v>
      </c>
      <c r="M5212" t="s">
        <v>2661</v>
      </c>
    </row>
    <row r="5213" spans="1:13">
      <c r="A5213" t="s">
        <v>2092</v>
      </c>
      <c r="B5213" t="s">
        <v>207</v>
      </c>
      <c r="C5213" s="8">
        <v>46287</v>
      </c>
      <c r="D5213" t="s">
        <v>344</v>
      </c>
      <c r="E5213" t="s">
        <v>334</v>
      </c>
      <c r="F5213" s="12">
        <v>160001</v>
      </c>
      <c r="G5213" s="13">
        <v>16</v>
      </c>
      <c r="H5213" t="s">
        <v>2879</v>
      </c>
      <c r="I5213" s="8">
        <v>46287</v>
      </c>
      <c r="J5213" t="s">
        <v>2688</v>
      </c>
      <c r="K5213" t="s">
        <v>2689</v>
      </c>
      <c r="L5213" s="13">
        <v>8000</v>
      </c>
      <c r="M5213" t="s">
        <v>2661</v>
      </c>
    </row>
    <row r="5214" spans="1:13">
      <c r="A5214" t="s">
        <v>2092</v>
      </c>
      <c r="B5214" t="s">
        <v>207</v>
      </c>
      <c r="C5214" s="8">
        <v>46287</v>
      </c>
      <c r="D5214" t="s">
        <v>344</v>
      </c>
      <c r="E5214" t="s">
        <v>334</v>
      </c>
      <c r="F5214" s="12">
        <v>160001</v>
      </c>
      <c r="G5214" s="13">
        <v>16</v>
      </c>
      <c r="H5214" t="s">
        <v>2910</v>
      </c>
      <c r="I5214" s="8">
        <v>46262</v>
      </c>
      <c r="J5214" t="s">
        <v>2688</v>
      </c>
      <c r="K5214" t="s">
        <v>2689</v>
      </c>
      <c r="L5214" s="13">
        <v>8000</v>
      </c>
      <c r="M5214" t="s">
        <v>2661</v>
      </c>
    </row>
    <row r="5215" spans="1:13">
      <c r="A5215" t="s">
        <v>2092</v>
      </c>
      <c r="B5215" t="s">
        <v>207</v>
      </c>
      <c r="C5215" s="8">
        <v>46287</v>
      </c>
      <c r="D5215" t="s">
        <v>344</v>
      </c>
      <c r="E5215" t="s">
        <v>334</v>
      </c>
      <c r="F5215" s="12">
        <v>160001</v>
      </c>
      <c r="G5215" s="13">
        <v>16</v>
      </c>
      <c r="H5215" t="s">
        <v>3252</v>
      </c>
      <c r="I5215" s="8">
        <v>45986</v>
      </c>
      <c r="J5215" t="s">
        <v>2671</v>
      </c>
      <c r="K5215" t="s">
        <v>2672</v>
      </c>
      <c r="L5215" s="13">
        <v>3000</v>
      </c>
      <c r="M5215" t="s">
        <v>2661</v>
      </c>
    </row>
    <row r="5216" spans="1:13">
      <c r="A5216" t="s">
        <v>2092</v>
      </c>
      <c r="B5216" t="s">
        <v>207</v>
      </c>
      <c r="C5216" s="8">
        <v>46287</v>
      </c>
      <c r="D5216" t="s">
        <v>344</v>
      </c>
      <c r="E5216" t="s">
        <v>334</v>
      </c>
      <c r="F5216" s="12">
        <v>160001</v>
      </c>
      <c r="G5216" s="13">
        <v>16</v>
      </c>
      <c r="H5216" t="s">
        <v>3278</v>
      </c>
      <c r="I5216" s="8">
        <v>46248</v>
      </c>
      <c r="J5216" t="s">
        <v>2682</v>
      </c>
      <c r="K5216" t="s">
        <v>2683</v>
      </c>
      <c r="L5216" s="13">
        <v>6000</v>
      </c>
      <c r="M5216" t="s">
        <v>2661</v>
      </c>
    </row>
    <row r="5217" spans="1:13">
      <c r="A5217" t="s">
        <v>2093</v>
      </c>
      <c r="B5217" t="s">
        <v>178</v>
      </c>
      <c r="C5217" s="8">
        <v>46007</v>
      </c>
      <c r="D5217" t="s">
        <v>327</v>
      </c>
      <c r="E5217" t="s">
        <v>325</v>
      </c>
      <c r="F5217" s="12">
        <v>191174</v>
      </c>
      <c r="G5217" s="13">
        <v>19</v>
      </c>
      <c r="H5217" t="s">
        <v>2803</v>
      </c>
      <c r="I5217" s="8">
        <v>46039</v>
      </c>
      <c r="J5217" t="s">
        <v>2663</v>
      </c>
      <c r="K5217" t="s">
        <v>3630</v>
      </c>
      <c r="L5217" s="13">
        <v>1500</v>
      </c>
      <c r="M5217" t="s">
        <v>2661</v>
      </c>
    </row>
    <row r="5218" spans="1:13">
      <c r="A5218" t="s">
        <v>2093</v>
      </c>
      <c r="B5218" t="s">
        <v>178</v>
      </c>
      <c r="C5218" s="8">
        <v>46007</v>
      </c>
      <c r="D5218" t="s">
        <v>327</v>
      </c>
      <c r="E5218" t="s">
        <v>325</v>
      </c>
      <c r="F5218" s="12">
        <v>191174</v>
      </c>
      <c r="G5218" s="13">
        <v>19</v>
      </c>
      <c r="H5218" t="s">
        <v>2900</v>
      </c>
      <c r="I5218" s="8">
        <v>46214</v>
      </c>
      <c r="J5218" t="s">
        <v>2665</v>
      </c>
      <c r="K5218" t="s">
        <v>2666</v>
      </c>
      <c r="L5218" s="13">
        <v>2500</v>
      </c>
      <c r="M5218" t="s">
        <v>2661</v>
      </c>
    </row>
    <row r="5219" spans="1:13">
      <c r="A5219" t="s">
        <v>2093</v>
      </c>
      <c r="B5219" t="s">
        <v>178</v>
      </c>
      <c r="C5219" s="8">
        <v>46007</v>
      </c>
      <c r="D5219" t="s">
        <v>327</v>
      </c>
      <c r="E5219" t="s">
        <v>325</v>
      </c>
      <c r="F5219" s="12">
        <v>191174</v>
      </c>
      <c r="G5219" s="13">
        <v>19</v>
      </c>
      <c r="H5219" t="s">
        <v>2925</v>
      </c>
      <c r="I5219" s="8">
        <v>46172</v>
      </c>
      <c r="J5219" t="s">
        <v>2671</v>
      </c>
      <c r="K5219" t="s">
        <v>2672</v>
      </c>
      <c r="L5219" s="13">
        <v>3000</v>
      </c>
      <c r="M5219" t="s">
        <v>2661</v>
      </c>
    </row>
    <row r="5220" spans="1:13">
      <c r="A5220" t="s">
        <v>2093</v>
      </c>
      <c r="B5220" t="s">
        <v>178</v>
      </c>
      <c r="C5220" s="8">
        <v>46007</v>
      </c>
      <c r="D5220" t="s">
        <v>327</v>
      </c>
      <c r="E5220" t="s">
        <v>325</v>
      </c>
      <c r="F5220" s="12">
        <v>191174</v>
      </c>
      <c r="G5220" s="13">
        <v>19</v>
      </c>
      <c r="H5220" t="s">
        <v>2964</v>
      </c>
      <c r="I5220" s="8">
        <v>46262</v>
      </c>
      <c r="J5220" t="s">
        <v>2685</v>
      </c>
      <c r="K5220" t="s">
        <v>2686</v>
      </c>
      <c r="L5220" s="13">
        <v>5000</v>
      </c>
      <c r="M5220" t="s">
        <v>2661</v>
      </c>
    </row>
    <row r="5221" spans="1:13">
      <c r="A5221" t="s">
        <v>2093</v>
      </c>
      <c r="B5221" t="s">
        <v>178</v>
      </c>
      <c r="C5221" s="8">
        <v>46007</v>
      </c>
      <c r="D5221" t="s">
        <v>327</v>
      </c>
      <c r="E5221" t="s">
        <v>325</v>
      </c>
      <c r="F5221" s="12">
        <v>191174</v>
      </c>
      <c r="G5221" s="13">
        <v>19</v>
      </c>
      <c r="H5221" t="s">
        <v>3177</v>
      </c>
      <c r="I5221" s="8">
        <v>46293</v>
      </c>
      <c r="J5221" t="s">
        <v>2668</v>
      </c>
      <c r="K5221" t="s">
        <v>2669</v>
      </c>
      <c r="L5221" s="13">
        <v>4000</v>
      </c>
      <c r="M5221" t="s">
        <v>2661</v>
      </c>
    </row>
    <row r="5222" spans="1:13">
      <c r="A5222" t="s">
        <v>2093</v>
      </c>
      <c r="B5222" t="s">
        <v>178</v>
      </c>
      <c r="C5222" s="8">
        <v>46007</v>
      </c>
      <c r="D5222" t="s">
        <v>327</v>
      </c>
      <c r="E5222" t="s">
        <v>325</v>
      </c>
      <c r="F5222" s="12">
        <v>191174</v>
      </c>
      <c r="G5222" s="13">
        <v>19</v>
      </c>
      <c r="H5222" t="s">
        <v>3280</v>
      </c>
      <c r="I5222" s="8">
        <v>46163</v>
      </c>
      <c r="J5222" t="s">
        <v>2685</v>
      </c>
      <c r="K5222" t="s">
        <v>2686</v>
      </c>
      <c r="L5222" s="13">
        <v>5000</v>
      </c>
      <c r="M5222" t="s">
        <v>2676</v>
      </c>
    </row>
    <row r="5223" spans="1:13">
      <c r="A5223" t="s">
        <v>2094</v>
      </c>
      <c r="B5223" t="s">
        <v>217</v>
      </c>
      <c r="C5223" s="8">
        <v>46212</v>
      </c>
      <c r="D5223" t="s">
        <v>324</v>
      </c>
      <c r="E5223" t="s">
        <v>334</v>
      </c>
      <c r="F5223" s="12">
        <v>152751</v>
      </c>
      <c r="G5223" s="13">
        <v>15</v>
      </c>
      <c r="H5223" t="s">
        <v>3010</v>
      </c>
      <c r="I5223" s="8">
        <v>46213</v>
      </c>
      <c r="J5223" t="s">
        <v>2674</v>
      </c>
      <c r="K5223" t="s">
        <v>2675</v>
      </c>
      <c r="L5223" s="13">
        <v>20000</v>
      </c>
      <c r="M5223" t="s">
        <v>2661</v>
      </c>
    </row>
    <row r="5224" spans="1:13">
      <c r="A5224" t="s">
        <v>2094</v>
      </c>
      <c r="B5224" t="s">
        <v>217</v>
      </c>
      <c r="C5224" s="8">
        <v>46212</v>
      </c>
      <c r="D5224" t="s">
        <v>324</v>
      </c>
      <c r="E5224" t="s">
        <v>334</v>
      </c>
      <c r="F5224" s="12">
        <v>152751</v>
      </c>
      <c r="G5224" s="13">
        <v>15</v>
      </c>
      <c r="H5224" t="s">
        <v>3493</v>
      </c>
      <c r="I5224" s="8">
        <v>46078</v>
      </c>
      <c r="J5224" t="s">
        <v>2682</v>
      </c>
      <c r="K5224" t="s">
        <v>2683</v>
      </c>
      <c r="L5224" s="13">
        <v>6000</v>
      </c>
      <c r="M5224" t="s">
        <v>2661</v>
      </c>
    </row>
    <row r="5225" spans="1:13">
      <c r="A5225" t="s">
        <v>2095</v>
      </c>
      <c r="B5225" t="s">
        <v>46</v>
      </c>
      <c r="C5225" s="8">
        <v>46105</v>
      </c>
      <c r="D5225" t="s">
        <v>321</v>
      </c>
      <c r="E5225" t="s">
        <v>328</v>
      </c>
      <c r="F5225" s="12">
        <v>89251</v>
      </c>
      <c r="G5225" s="13">
        <v>8</v>
      </c>
      <c r="H5225" t="s">
        <v>2743</v>
      </c>
      <c r="I5225" s="8">
        <v>46248</v>
      </c>
      <c r="J5225" t="s">
        <v>2685</v>
      </c>
      <c r="K5225" t="s">
        <v>2686</v>
      </c>
      <c r="L5225" s="13">
        <v>5000</v>
      </c>
      <c r="M5225" t="s">
        <v>2661</v>
      </c>
    </row>
    <row r="5226" spans="1:13">
      <c r="A5226" t="s">
        <v>2095</v>
      </c>
      <c r="B5226" t="s">
        <v>46</v>
      </c>
      <c r="C5226" s="8">
        <v>46105</v>
      </c>
      <c r="D5226" t="s">
        <v>321</v>
      </c>
      <c r="E5226" t="s">
        <v>328</v>
      </c>
      <c r="F5226" s="12">
        <v>89251</v>
      </c>
      <c r="G5226" s="13">
        <v>8</v>
      </c>
      <c r="H5226" t="s">
        <v>3021</v>
      </c>
      <c r="I5226" s="8">
        <v>45955</v>
      </c>
      <c r="J5226" t="s">
        <v>2665</v>
      </c>
      <c r="K5226" t="s">
        <v>2666</v>
      </c>
      <c r="L5226" s="13">
        <v>2500</v>
      </c>
      <c r="M5226" t="s">
        <v>2661</v>
      </c>
    </row>
    <row r="5227" spans="1:13">
      <c r="A5227" t="s">
        <v>2095</v>
      </c>
      <c r="B5227" t="s">
        <v>46</v>
      </c>
      <c r="C5227" s="8">
        <v>46105</v>
      </c>
      <c r="D5227" t="s">
        <v>321</v>
      </c>
      <c r="E5227" t="s">
        <v>328</v>
      </c>
      <c r="F5227" s="12">
        <v>89251</v>
      </c>
      <c r="G5227" s="13">
        <v>8</v>
      </c>
      <c r="H5227" t="s">
        <v>3069</v>
      </c>
      <c r="I5227" s="8">
        <v>45945</v>
      </c>
      <c r="J5227" t="s">
        <v>2668</v>
      </c>
      <c r="K5227" t="s">
        <v>2669</v>
      </c>
      <c r="L5227" s="13">
        <v>4000</v>
      </c>
      <c r="M5227" t="s">
        <v>2661</v>
      </c>
    </row>
    <row r="5228" spans="1:13">
      <c r="A5228" t="s">
        <v>2095</v>
      </c>
      <c r="B5228" t="s">
        <v>46</v>
      </c>
      <c r="C5228" s="8">
        <v>46105</v>
      </c>
      <c r="D5228" t="s">
        <v>321</v>
      </c>
      <c r="E5228" t="s">
        <v>328</v>
      </c>
      <c r="F5228" s="12">
        <v>89251</v>
      </c>
      <c r="G5228" s="13">
        <v>8</v>
      </c>
      <c r="H5228" t="s">
        <v>3408</v>
      </c>
      <c r="I5228" s="8">
        <v>46072</v>
      </c>
      <c r="J5228" t="s">
        <v>2668</v>
      </c>
      <c r="K5228" t="s">
        <v>2669</v>
      </c>
      <c r="L5228" s="13">
        <v>4000</v>
      </c>
      <c r="M5228" t="s">
        <v>2661</v>
      </c>
    </row>
    <row r="5229" spans="1:13">
      <c r="A5229" t="s">
        <v>2095</v>
      </c>
      <c r="B5229" t="s">
        <v>46</v>
      </c>
      <c r="C5229" s="8">
        <v>46105</v>
      </c>
      <c r="D5229" t="s">
        <v>321</v>
      </c>
      <c r="E5229" t="s">
        <v>328</v>
      </c>
      <c r="F5229" s="12">
        <v>89251</v>
      </c>
      <c r="G5229" s="13">
        <v>8</v>
      </c>
      <c r="H5229" t="s">
        <v>3494</v>
      </c>
      <c r="I5229" s="8">
        <v>46108</v>
      </c>
      <c r="J5229" t="s">
        <v>2688</v>
      </c>
      <c r="K5229" t="s">
        <v>2689</v>
      </c>
      <c r="L5229" s="13">
        <v>8000</v>
      </c>
      <c r="M5229" t="s">
        <v>2661</v>
      </c>
    </row>
    <row r="5230" spans="1:13">
      <c r="A5230" t="s">
        <v>2096</v>
      </c>
      <c r="B5230" t="s">
        <v>269</v>
      </c>
      <c r="C5230" s="8">
        <v>46287</v>
      </c>
      <c r="D5230" t="s">
        <v>327</v>
      </c>
      <c r="E5230" t="s">
        <v>339</v>
      </c>
      <c r="F5230" s="12">
        <v>50516</v>
      </c>
      <c r="G5230" s="13">
        <v>5</v>
      </c>
      <c r="H5230" t="s">
        <v>2773</v>
      </c>
      <c r="I5230" s="8">
        <v>46184</v>
      </c>
      <c r="J5230" t="s">
        <v>2692</v>
      </c>
      <c r="K5230" t="s">
        <v>2693</v>
      </c>
      <c r="L5230" s="13">
        <v>10000</v>
      </c>
      <c r="M5230" t="s">
        <v>2661</v>
      </c>
    </row>
    <row r="5231" spans="1:13">
      <c r="A5231" t="s">
        <v>2096</v>
      </c>
      <c r="B5231" t="s">
        <v>269</v>
      </c>
      <c r="C5231" s="8">
        <v>46287</v>
      </c>
      <c r="D5231" t="s">
        <v>327</v>
      </c>
      <c r="E5231" t="s">
        <v>339</v>
      </c>
      <c r="F5231" s="12">
        <v>50516</v>
      </c>
      <c r="G5231" s="13">
        <v>5</v>
      </c>
      <c r="H5231" t="s">
        <v>3367</v>
      </c>
      <c r="I5231" s="8">
        <v>46038</v>
      </c>
      <c r="J5231" t="s">
        <v>2692</v>
      </c>
      <c r="K5231" t="s">
        <v>2693</v>
      </c>
      <c r="L5231" s="13">
        <v>10000</v>
      </c>
      <c r="M5231" t="s">
        <v>2661</v>
      </c>
    </row>
    <row r="5232" spans="1:13">
      <c r="A5232" t="s">
        <v>2096</v>
      </c>
      <c r="B5232" t="s">
        <v>269</v>
      </c>
      <c r="C5232" s="8">
        <v>46287</v>
      </c>
      <c r="D5232" t="s">
        <v>327</v>
      </c>
      <c r="E5232" t="s">
        <v>339</v>
      </c>
      <c r="F5232" s="12">
        <v>50516</v>
      </c>
      <c r="G5232" s="13">
        <v>5</v>
      </c>
      <c r="H5232" t="s">
        <v>3556</v>
      </c>
      <c r="I5232" s="8">
        <v>46043</v>
      </c>
      <c r="J5232" t="s">
        <v>2674</v>
      </c>
      <c r="K5232" t="s">
        <v>2675</v>
      </c>
      <c r="L5232" s="13">
        <v>20000</v>
      </c>
      <c r="M5232" t="s">
        <v>2661</v>
      </c>
    </row>
    <row r="5233" spans="1:13">
      <c r="A5233" t="s">
        <v>2097</v>
      </c>
      <c r="B5233" t="s">
        <v>63</v>
      </c>
      <c r="C5233" s="8">
        <v>46094</v>
      </c>
      <c r="D5233" t="s">
        <v>327</v>
      </c>
      <c r="E5233" t="s">
        <v>325</v>
      </c>
      <c r="F5233" s="12">
        <v>145721</v>
      </c>
      <c r="G5233" s="13">
        <v>14</v>
      </c>
      <c r="H5233" t="s">
        <v>2690</v>
      </c>
      <c r="I5233" s="8">
        <v>46282</v>
      </c>
      <c r="J5233" t="s">
        <v>2674</v>
      </c>
      <c r="K5233" t="s">
        <v>2675</v>
      </c>
      <c r="L5233" s="13">
        <v>20000</v>
      </c>
      <c r="M5233" t="s">
        <v>2676</v>
      </c>
    </row>
    <row r="5234" spans="1:13">
      <c r="A5234" t="s">
        <v>2097</v>
      </c>
      <c r="B5234" t="s">
        <v>63</v>
      </c>
      <c r="C5234" s="8">
        <v>46094</v>
      </c>
      <c r="D5234" t="s">
        <v>327</v>
      </c>
      <c r="E5234" t="s">
        <v>325</v>
      </c>
      <c r="F5234" s="12">
        <v>145721</v>
      </c>
      <c r="G5234" s="13">
        <v>14</v>
      </c>
      <c r="H5234" t="s">
        <v>2914</v>
      </c>
      <c r="I5234" s="8">
        <v>46160</v>
      </c>
      <c r="J5234" t="s">
        <v>2671</v>
      </c>
      <c r="K5234" t="s">
        <v>2672</v>
      </c>
      <c r="L5234" s="13">
        <v>3000</v>
      </c>
      <c r="M5234" t="s">
        <v>2661</v>
      </c>
    </row>
    <row r="5235" spans="1:13">
      <c r="A5235" t="s">
        <v>2097</v>
      </c>
      <c r="B5235" t="s">
        <v>63</v>
      </c>
      <c r="C5235" s="8">
        <v>46094</v>
      </c>
      <c r="D5235" t="s">
        <v>327</v>
      </c>
      <c r="E5235" t="s">
        <v>325</v>
      </c>
      <c r="F5235" s="12">
        <v>145721</v>
      </c>
      <c r="G5235" s="13">
        <v>14</v>
      </c>
      <c r="H5235" t="s">
        <v>2918</v>
      </c>
      <c r="I5235" s="8">
        <v>46155</v>
      </c>
      <c r="J5235" t="s">
        <v>2692</v>
      </c>
      <c r="K5235" t="s">
        <v>2693</v>
      </c>
      <c r="L5235" s="13">
        <v>10000</v>
      </c>
      <c r="M5235" t="s">
        <v>2661</v>
      </c>
    </row>
    <row r="5236" spans="1:13">
      <c r="A5236" t="s">
        <v>2097</v>
      </c>
      <c r="B5236" t="s">
        <v>63</v>
      </c>
      <c r="C5236" s="8">
        <v>46094</v>
      </c>
      <c r="D5236" t="s">
        <v>327</v>
      </c>
      <c r="E5236" t="s">
        <v>325</v>
      </c>
      <c r="F5236" s="12">
        <v>145721</v>
      </c>
      <c r="G5236" s="13">
        <v>14</v>
      </c>
      <c r="H5236" t="s">
        <v>3178</v>
      </c>
      <c r="I5236" s="8">
        <v>46070</v>
      </c>
      <c r="J5236" t="s">
        <v>2685</v>
      </c>
      <c r="K5236" t="s">
        <v>2686</v>
      </c>
      <c r="L5236" s="13">
        <v>5000</v>
      </c>
      <c r="M5236" t="s">
        <v>2661</v>
      </c>
    </row>
    <row r="5237" spans="1:13">
      <c r="A5237" t="s">
        <v>2097</v>
      </c>
      <c r="B5237" t="s">
        <v>63</v>
      </c>
      <c r="C5237" s="8">
        <v>46094</v>
      </c>
      <c r="D5237" t="s">
        <v>327</v>
      </c>
      <c r="E5237" t="s">
        <v>325</v>
      </c>
      <c r="F5237" s="12">
        <v>145721</v>
      </c>
      <c r="G5237" s="13">
        <v>14</v>
      </c>
      <c r="H5237" t="s">
        <v>3211</v>
      </c>
      <c r="I5237" s="8">
        <v>46031</v>
      </c>
      <c r="J5237" t="s">
        <v>2663</v>
      </c>
      <c r="K5237" t="s">
        <v>3630</v>
      </c>
      <c r="L5237" s="13">
        <v>1500</v>
      </c>
      <c r="M5237" t="s">
        <v>2661</v>
      </c>
    </row>
    <row r="5238" spans="1:13">
      <c r="A5238" t="s">
        <v>2097</v>
      </c>
      <c r="B5238" t="s">
        <v>63</v>
      </c>
      <c r="C5238" s="8">
        <v>46094</v>
      </c>
      <c r="D5238" t="s">
        <v>327</v>
      </c>
      <c r="E5238" t="s">
        <v>325</v>
      </c>
      <c r="F5238" s="12">
        <v>145721</v>
      </c>
      <c r="G5238" s="13">
        <v>14</v>
      </c>
      <c r="H5238" t="s">
        <v>3454</v>
      </c>
      <c r="I5238" s="8">
        <v>46128</v>
      </c>
      <c r="J5238" t="s">
        <v>2674</v>
      </c>
      <c r="K5238" t="s">
        <v>2675</v>
      </c>
      <c r="L5238" s="13">
        <v>20000</v>
      </c>
      <c r="M5238" t="s">
        <v>2661</v>
      </c>
    </row>
    <row r="5239" spans="1:13">
      <c r="A5239" t="s">
        <v>2097</v>
      </c>
      <c r="B5239" t="s">
        <v>63</v>
      </c>
      <c r="C5239" s="8">
        <v>46094</v>
      </c>
      <c r="D5239" t="s">
        <v>327</v>
      </c>
      <c r="E5239" t="s">
        <v>325</v>
      </c>
      <c r="F5239" s="12">
        <v>145721</v>
      </c>
      <c r="G5239" s="13">
        <v>14</v>
      </c>
      <c r="H5239" t="s">
        <v>3554</v>
      </c>
      <c r="I5239" s="8">
        <v>46103</v>
      </c>
      <c r="J5239" t="s">
        <v>2682</v>
      </c>
      <c r="K5239" t="s">
        <v>2683</v>
      </c>
      <c r="L5239" s="13">
        <v>6000</v>
      </c>
      <c r="M5239" t="s">
        <v>2661</v>
      </c>
    </row>
    <row r="5240" spans="1:13">
      <c r="A5240" t="s">
        <v>2098</v>
      </c>
      <c r="B5240" t="s">
        <v>122</v>
      </c>
      <c r="C5240" s="8">
        <v>45978</v>
      </c>
      <c r="D5240" t="s">
        <v>327</v>
      </c>
      <c r="E5240" t="s">
        <v>322</v>
      </c>
      <c r="F5240" s="12">
        <v>230314</v>
      </c>
      <c r="G5240" s="13">
        <v>23</v>
      </c>
      <c r="H5240" t="s">
        <v>2998</v>
      </c>
      <c r="I5240" s="8">
        <v>46159</v>
      </c>
      <c r="J5240" t="s">
        <v>2659</v>
      </c>
      <c r="K5240" t="s">
        <v>2660</v>
      </c>
      <c r="L5240" s="13">
        <v>3500</v>
      </c>
      <c r="M5240" t="s">
        <v>2661</v>
      </c>
    </row>
    <row r="5241" spans="1:13">
      <c r="A5241" t="s">
        <v>2098</v>
      </c>
      <c r="B5241" t="s">
        <v>122</v>
      </c>
      <c r="C5241" s="8">
        <v>45978</v>
      </c>
      <c r="D5241" t="s">
        <v>327</v>
      </c>
      <c r="E5241" t="s">
        <v>322</v>
      </c>
      <c r="F5241" s="12">
        <v>230314</v>
      </c>
      <c r="G5241" s="13">
        <v>23</v>
      </c>
      <c r="H5241" t="s">
        <v>3144</v>
      </c>
      <c r="I5241" s="8">
        <v>45940</v>
      </c>
      <c r="J5241" t="s">
        <v>2692</v>
      </c>
      <c r="K5241" t="s">
        <v>2693</v>
      </c>
      <c r="L5241" s="13">
        <v>10000</v>
      </c>
      <c r="M5241" t="s">
        <v>2661</v>
      </c>
    </row>
    <row r="5242" spans="1:13">
      <c r="A5242" t="s">
        <v>2099</v>
      </c>
      <c r="B5242" t="s">
        <v>229</v>
      </c>
      <c r="C5242" s="8">
        <v>46202</v>
      </c>
      <c r="D5242" t="s">
        <v>324</v>
      </c>
      <c r="E5242" t="s">
        <v>334</v>
      </c>
      <c r="F5242" s="12">
        <v>71847</v>
      </c>
      <c r="G5242" s="13">
        <v>7</v>
      </c>
      <c r="H5242" t="s">
        <v>2739</v>
      </c>
      <c r="I5242" s="8">
        <v>46112</v>
      </c>
      <c r="J5242" t="s">
        <v>2663</v>
      </c>
      <c r="K5242" t="s">
        <v>3630</v>
      </c>
      <c r="L5242" s="13">
        <v>1500</v>
      </c>
      <c r="M5242" t="s">
        <v>2676</v>
      </c>
    </row>
    <row r="5243" spans="1:13">
      <c r="A5243" t="s">
        <v>2099</v>
      </c>
      <c r="B5243" t="s">
        <v>229</v>
      </c>
      <c r="C5243" s="8">
        <v>46202</v>
      </c>
      <c r="D5243" t="s">
        <v>324</v>
      </c>
      <c r="E5243" t="s">
        <v>334</v>
      </c>
      <c r="F5243" s="12">
        <v>71847</v>
      </c>
      <c r="G5243" s="13">
        <v>7</v>
      </c>
      <c r="H5243" t="s">
        <v>3019</v>
      </c>
      <c r="I5243" s="8">
        <v>46063</v>
      </c>
      <c r="J5243" t="s">
        <v>2685</v>
      </c>
      <c r="K5243" t="s">
        <v>2686</v>
      </c>
      <c r="L5243" s="13">
        <v>5000</v>
      </c>
      <c r="M5243" t="s">
        <v>2676</v>
      </c>
    </row>
    <row r="5244" spans="1:13">
      <c r="A5244" t="s">
        <v>2099</v>
      </c>
      <c r="B5244" t="s">
        <v>229</v>
      </c>
      <c r="C5244" s="8">
        <v>46202</v>
      </c>
      <c r="D5244" t="s">
        <v>324</v>
      </c>
      <c r="E5244" t="s">
        <v>334</v>
      </c>
      <c r="F5244" s="12">
        <v>71847</v>
      </c>
      <c r="G5244" s="13">
        <v>7</v>
      </c>
      <c r="H5244" t="s">
        <v>3479</v>
      </c>
      <c r="I5244" s="8">
        <v>46152</v>
      </c>
      <c r="J5244" t="s">
        <v>2688</v>
      </c>
      <c r="K5244" t="s">
        <v>2689</v>
      </c>
      <c r="L5244" s="13">
        <v>8000</v>
      </c>
      <c r="M5244" t="s">
        <v>2661</v>
      </c>
    </row>
    <row r="5245" spans="1:13">
      <c r="A5245" t="s">
        <v>2100</v>
      </c>
      <c r="B5245" t="s">
        <v>30</v>
      </c>
      <c r="C5245" s="8">
        <v>46097</v>
      </c>
      <c r="D5245" t="s">
        <v>342</v>
      </c>
      <c r="E5245" t="s">
        <v>322</v>
      </c>
      <c r="F5245" s="12">
        <v>462542</v>
      </c>
      <c r="G5245" s="13">
        <v>46</v>
      </c>
      <c r="H5245" t="s">
        <v>2658</v>
      </c>
      <c r="I5245" s="8">
        <v>46259</v>
      </c>
      <c r="J5245" t="s">
        <v>2659</v>
      </c>
      <c r="K5245" t="s">
        <v>2660</v>
      </c>
      <c r="L5245" s="13">
        <v>3500</v>
      </c>
      <c r="M5245" t="s">
        <v>2661</v>
      </c>
    </row>
    <row r="5246" spans="1:13">
      <c r="A5246" t="s">
        <v>2100</v>
      </c>
      <c r="B5246" t="s">
        <v>30</v>
      </c>
      <c r="C5246" s="8">
        <v>46097</v>
      </c>
      <c r="D5246" t="s">
        <v>342</v>
      </c>
      <c r="E5246" t="s">
        <v>322</v>
      </c>
      <c r="F5246" s="12">
        <v>462542</v>
      </c>
      <c r="G5246" s="13">
        <v>46</v>
      </c>
      <c r="H5246" t="s">
        <v>2756</v>
      </c>
      <c r="I5246" s="8">
        <v>45953</v>
      </c>
      <c r="J5246" t="s">
        <v>2688</v>
      </c>
      <c r="K5246" t="s">
        <v>2689</v>
      </c>
      <c r="L5246" s="13">
        <v>8000</v>
      </c>
      <c r="M5246" t="s">
        <v>2661</v>
      </c>
    </row>
    <row r="5247" spans="1:13">
      <c r="A5247" t="s">
        <v>2101</v>
      </c>
      <c r="B5247" t="s">
        <v>141</v>
      </c>
      <c r="C5247" s="8">
        <v>46030</v>
      </c>
      <c r="D5247" t="s">
        <v>342</v>
      </c>
      <c r="E5247" t="s">
        <v>337</v>
      </c>
      <c r="F5247" s="12">
        <v>157825</v>
      </c>
      <c r="G5247" s="13">
        <v>15</v>
      </c>
      <c r="H5247" t="s">
        <v>2784</v>
      </c>
      <c r="I5247" s="8">
        <v>46039</v>
      </c>
      <c r="J5247" t="s">
        <v>2692</v>
      </c>
      <c r="K5247" t="s">
        <v>2693</v>
      </c>
      <c r="L5247" s="13">
        <v>10000</v>
      </c>
      <c r="M5247" t="s">
        <v>2676</v>
      </c>
    </row>
    <row r="5248" spans="1:13">
      <c r="A5248" t="s">
        <v>2101</v>
      </c>
      <c r="B5248" t="s">
        <v>141</v>
      </c>
      <c r="C5248" s="8">
        <v>46030</v>
      </c>
      <c r="D5248" t="s">
        <v>342</v>
      </c>
      <c r="E5248" t="s">
        <v>337</v>
      </c>
      <c r="F5248" s="12">
        <v>157825</v>
      </c>
      <c r="G5248" s="13">
        <v>15</v>
      </c>
      <c r="H5248" t="s">
        <v>2983</v>
      </c>
      <c r="I5248" s="8">
        <v>46195</v>
      </c>
      <c r="J5248" t="s">
        <v>2665</v>
      </c>
      <c r="K5248" t="s">
        <v>2666</v>
      </c>
      <c r="L5248" s="13">
        <v>2500</v>
      </c>
      <c r="M5248" t="s">
        <v>2661</v>
      </c>
    </row>
    <row r="5249" spans="1:13">
      <c r="A5249" t="s">
        <v>2101</v>
      </c>
      <c r="B5249" t="s">
        <v>141</v>
      </c>
      <c r="C5249" s="8">
        <v>46030</v>
      </c>
      <c r="D5249" t="s">
        <v>342</v>
      </c>
      <c r="E5249" t="s">
        <v>337</v>
      </c>
      <c r="F5249" s="12">
        <v>157825</v>
      </c>
      <c r="G5249" s="13">
        <v>15</v>
      </c>
      <c r="H5249" t="s">
        <v>3011</v>
      </c>
      <c r="I5249" s="8">
        <v>46197</v>
      </c>
      <c r="J5249" t="s">
        <v>2674</v>
      </c>
      <c r="K5249" t="s">
        <v>2675</v>
      </c>
      <c r="L5249" s="13">
        <v>20000</v>
      </c>
      <c r="M5249" t="s">
        <v>2661</v>
      </c>
    </row>
    <row r="5250" spans="1:13">
      <c r="A5250" t="s">
        <v>2101</v>
      </c>
      <c r="B5250" t="s">
        <v>141</v>
      </c>
      <c r="C5250" s="8">
        <v>46030</v>
      </c>
      <c r="D5250" t="s">
        <v>342</v>
      </c>
      <c r="E5250" t="s">
        <v>337</v>
      </c>
      <c r="F5250" s="12">
        <v>157825</v>
      </c>
      <c r="G5250" s="13">
        <v>15</v>
      </c>
      <c r="H5250" t="s">
        <v>3035</v>
      </c>
      <c r="I5250" s="8">
        <v>46115</v>
      </c>
      <c r="J5250" t="s">
        <v>2663</v>
      </c>
      <c r="K5250" t="s">
        <v>3630</v>
      </c>
      <c r="L5250" s="13">
        <v>1500</v>
      </c>
      <c r="M5250" t="s">
        <v>2661</v>
      </c>
    </row>
    <row r="5251" spans="1:13">
      <c r="A5251" t="s">
        <v>2101</v>
      </c>
      <c r="B5251" t="s">
        <v>141</v>
      </c>
      <c r="C5251" s="8">
        <v>46030</v>
      </c>
      <c r="D5251" t="s">
        <v>342</v>
      </c>
      <c r="E5251" t="s">
        <v>337</v>
      </c>
      <c r="F5251" s="12">
        <v>157825</v>
      </c>
      <c r="G5251" s="13">
        <v>15</v>
      </c>
      <c r="H5251" t="s">
        <v>3161</v>
      </c>
      <c r="I5251" s="8">
        <v>46177</v>
      </c>
      <c r="J5251" t="s">
        <v>2663</v>
      </c>
      <c r="K5251" t="s">
        <v>3630</v>
      </c>
      <c r="L5251" s="13">
        <v>1500</v>
      </c>
      <c r="M5251" t="s">
        <v>2661</v>
      </c>
    </row>
    <row r="5252" spans="1:13">
      <c r="A5252" t="s">
        <v>2101</v>
      </c>
      <c r="B5252" t="s">
        <v>141</v>
      </c>
      <c r="C5252" s="8">
        <v>46030</v>
      </c>
      <c r="D5252" t="s">
        <v>342</v>
      </c>
      <c r="E5252" t="s">
        <v>337</v>
      </c>
      <c r="F5252" s="12">
        <v>157825</v>
      </c>
      <c r="G5252" s="13">
        <v>15</v>
      </c>
      <c r="H5252" t="s">
        <v>3357</v>
      </c>
      <c r="I5252" s="8">
        <v>46093</v>
      </c>
      <c r="J5252" t="s">
        <v>2685</v>
      </c>
      <c r="K5252" t="s">
        <v>2686</v>
      </c>
      <c r="L5252" s="13">
        <v>5000</v>
      </c>
      <c r="M5252" t="s">
        <v>2676</v>
      </c>
    </row>
    <row r="5253" spans="1:13">
      <c r="A5253" t="s">
        <v>2102</v>
      </c>
      <c r="B5253" t="s">
        <v>272</v>
      </c>
      <c r="C5253" s="8">
        <v>46251</v>
      </c>
      <c r="D5253" t="s">
        <v>330</v>
      </c>
      <c r="E5253" t="s">
        <v>334</v>
      </c>
      <c r="F5253" s="12">
        <v>574418</v>
      </c>
      <c r="G5253" s="13">
        <v>57</v>
      </c>
      <c r="H5253" t="s">
        <v>3170</v>
      </c>
      <c r="I5253" s="8">
        <v>46133</v>
      </c>
      <c r="J5253" t="s">
        <v>2659</v>
      </c>
      <c r="K5253" t="s">
        <v>2660</v>
      </c>
      <c r="L5253" s="13">
        <v>3500</v>
      </c>
      <c r="M5253" t="s">
        <v>2661</v>
      </c>
    </row>
    <row r="5254" spans="1:13">
      <c r="A5254" t="s">
        <v>2102</v>
      </c>
      <c r="B5254" t="s">
        <v>272</v>
      </c>
      <c r="C5254" s="8">
        <v>46251</v>
      </c>
      <c r="D5254" t="s">
        <v>330</v>
      </c>
      <c r="E5254" t="s">
        <v>334</v>
      </c>
      <c r="F5254" s="12">
        <v>574418</v>
      </c>
      <c r="G5254" s="13">
        <v>57</v>
      </c>
      <c r="H5254" t="s">
        <v>3460</v>
      </c>
      <c r="I5254" s="8">
        <v>46021</v>
      </c>
      <c r="J5254" t="s">
        <v>2663</v>
      </c>
      <c r="K5254" t="s">
        <v>3630</v>
      </c>
      <c r="L5254" s="13">
        <v>1500</v>
      </c>
      <c r="M5254" t="s">
        <v>2661</v>
      </c>
    </row>
    <row r="5255" spans="1:13">
      <c r="A5255" t="s">
        <v>2103</v>
      </c>
      <c r="B5255" t="s">
        <v>245</v>
      </c>
      <c r="C5255" s="8">
        <v>46085</v>
      </c>
      <c r="D5255" t="s">
        <v>330</v>
      </c>
      <c r="E5255" t="s">
        <v>339</v>
      </c>
      <c r="F5255" s="12">
        <v>209345</v>
      </c>
      <c r="G5255" s="13">
        <v>20</v>
      </c>
      <c r="H5255" t="s">
        <v>2927</v>
      </c>
      <c r="I5255" s="8">
        <v>46075</v>
      </c>
      <c r="J5255" t="s">
        <v>2685</v>
      </c>
      <c r="K5255" t="s">
        <v>2686</v>
      </c>
      <c r="L5255" s="13">
        <v>5000</v>
      </c>
      <c r="M5255" t="s">
        <v>2661</v>
      </c>
    </row>
    <row r="5256" spans="1:13">
      <c r="A5256" t="s">
        <v>2103</v>
      </c>
      <c r="B5256" t="s">
        <v>245</v>
      </c>
      <c r="C5256" s="8">
        <v>46085</v>
      </c>
      <c r="D5256" t="s">
        <v>330</v>
      </c>
      <c r="E5256" t="s">
        <v>339</v>
      </c>
      <c r="F5256" s="12">
        <v>209345</v>
      </c>
      <c r="G5256" s="13">
        <v>20</v>
      </c>
      <c r="H5256" t="s">
        <v>3031</v>
      </c>
      <c r="I5256" s="8">
        <v>46124</v>
      </c>
      <c r="J5256" t="s">
        <v>2688</v>
      </c>
      <c r="K5256" t="s">
        <v>2689</v>
      </c>
      <c r="L5256" s="13">
        <v>8000</v>
      </c>
      <c r="M5256" t="s">
        <v>2676</v>
      </c>
    </row>
    <row r="5257" spans="1:13">
      <c r="A5257" t="s">
        <v>2103</v>
      </c>
      <c r="B5257" t="s">
        <v>245</v>
      </c>
      <c r="C5257" s="8">
        <v>46085</v>
      </c>
      <c r="D5257" t="s">
        <v>330</v>
      </c>
      <c r="E5257" t="s">
        <v>339</v>
      </c>
      <c r="F5257" s="12">
        <v>209345</v>
      </c>
      <c r="G5257" s="13">
        <v>20</v>
      </c>
      <c r="H5257" t="s">
        <v>3328</v>
      </c>
      <c r="I5257" s="8">
        <v>45934</v>
      </c>
      <c r="J5257" t="s">
        <v>2668</v>
      </c>
      <c r="K5257" t="s">
        <v>2669</v>
      </c>
      <c r="L5257" s="13">
        <v>4000</v>
      </c>
      <c r="M5257" t="s">
        <v>2661</v>
      </c>
    </row>
    <row r="5258" spans="1:13">
      <c r="A5258" t="s">
        <v>2103</v>
      </c>
      <c r="B5258" t="s">
        <v>245</v>
      </c>
      <c r="C5258" s="8">
        <v>46085</v>
      </c>
      <c r="D5258" t="s">
        <v>330</v>
      </c>
      <c r="E5258" t="s">
        <v>339</v>
      </c>
      <c r="F5258" s="12">
        <v>209345</v>
      </c>
      <c r="G5258" s="13">
        <v>20</v>
      </c>
      <c r="H5258" t="s">
        <v>3343</v>
      </c>
      <c r="I5258" s="8">
        <v>46021</v>
      </c>
      <c r="J5258" t="s">
        <v>2674</v>
      </c>
      <c r="K5258" t="s">
        <v>2675</v>
      </c>
      <c r="L5258" s="13">
        <v>20000</v>
      </c>
      <c r="M5258" t="s">
        <v>2661</v>
      </c>
    </row>
    <row r="5259" spans="1:13">
      <c r="A5259" t="s">
        <v>2104</v>
      </c>
      <c r="B5259" t="s">
        <v>69</v>
      </c>
      <c r="C5259" s="8">
        <v>45956</v>
      </c>
      <c r="D5259" t="s">
        <v>330</v>
      </c>
      <c r="E5259" t="s">
        <v>337</v>
      </c>
      <c r="F5259" s="12">
        <v>140560</v>
      </c>
      <c r="G5259" s="13">
        <v>14</v>
      </c>
      <c r="H5259" t="s">
        <v>2723</v>
      </c>
      <c r="I5259" s="8">
        <v>46140</v>
      </c>
      <c r="J5259" t="s">
        <v>2688</v>
      </c>
      <c r="K5259" t="s">
        <v>2689</v>
      </c>
      <c r="L5259" s="13">
        <v>8000</v>
      </c>
      <c r="M5259" t="s">
        <v>2661</v>
      </c>
    </row>
    <row r="5260" spans="1:13">
      <c r="A5260" t="s">
        <v>2104</v>
      </c>
      <c r="B5260" t="s">
        <v>69</v>
      </c>
      <c r="C5260" s="8">
        <v>45956</v>
      </c>
      <c r="D5260" t="s">
        <v>330</v>
      </c>
      <c r="E5260" t="s">
        <v>337</v>
      </c>
      <c r="F5260" s="12">
        <v>140560</v>
      </c>
      <c r="G5260" s="13">
        <v>14</v>
      </c>
      <c r="H5260" t="s">
        <v>2822</v>
      </c>
      <c r="I5260" s="8">
        <v>46159</v>
      </c>
      <c r="J5260" t="s">
        <v>2668</v>
      </c>
      <c r="K5260" t="s">
        <v>2669</v>
      </c>
      <c r="L5260" s="13">
        <v>4000</v>
      </c>
      <c r="M5260" t="s">
        <v>2661</v>
      </c>
    </row>
    <row r="5261" spans="1:13">
      <c r="A5261" t="s">
        <v>2104</v>
      </c>
      <c r="B5261" t="s">
        <v>69</v>
      </c>
      <c r="C5261" s="8">
        <v>45956</v>
      </c>
      <c r="D5261" t="s">
        <v>330</v>
      </c>
      <c r="E5261" t="s">
        <v>337</v>
      </c>
      <c r="F5261" s="12">
        <v>140560</v>
      </c>
      <c r="G5261" s="13">
        <v>14</v>
      </c>
      <c r="H5261" t="s">
        <v>3513</v>
      </c>
      <c r="I5261" s="8">
        <v>46161</v>
      </c>
      <c r="J5261" t="s">
        <v>2692</v>
      </c>
      <c r="K5261" t="s">
        <v>2693</v>
      </c>
      <c r="L5261" s="13">
        <v>10000</v>
      </c>
      <c r="M5261" t="s">
        <v>2661</v>
      </c>
    </row>
    <row r="5262" spans="1:13">
      <c r="A5262" t="s">
        <v>2105</v>
      </c>
      <c r="B5262" t="s">
        <v>296</v>
      </c>
      <c r="C5262" s="8">
        <v>45981</v>
      </c>
      <c r="D5262" t="s">
        <v>344</v>
      </c>
      <c r="E5262" t="s">
        <v>322</v>
      </c>
      <c r="F5262" s="12">
        <v>411176</v>
      </c>
      <c r="G5262" s="13">
        <v>41</v>
      </c>
      <c r="H5262" t="s">
        <v>2866</v>
      </c>
      <c r="I5262" s="8">
        <v>45940</v>
      </c>
      <c r="J5262" t="s">
        <v>2685</v>
      </c>
      <c r="K5262" t="s">
        <v>2686</v>
      </c>
      <c r="L5262" s="13">
        <v>5000</v>
      </c>
      <c r="M5262" t="s">
        <v>2661</v>
      </c>
    </row>
    <row r="5263" spans="1:13">
      <c r="A5263" t="s">
        <v>2106</v>
      </c>
      <c r="B5263" t="s">
        <v>174</v>
      </c>
      <c r="C5263" s="8">
        <v>46107</v>
      </c>
      <c r="D5263" t="s">
        <v>330</v>
      </c>
      <c r="E5263" t="s">
        <v>325</v>
      </c>
      <c r="F5263" s="12">
        <v>126866</v>
      </c>
      <c r="G5263" s="13">
        <v>12</v>
      </c>
      <c r="H5263" t="s">
        <v>3297</v>
      </c>
      <c r="I5263" s="8">
        <v>46090</v>
      </c>
      <c r="J5263" t="s">
        <v>2685</v>
      </c>
      <c r="K5263" t="s">
        <v>2686</v>
      </c>
      <c r="L5263" s="13">
        <v>5000</v>
      </c>
      <c r="M5263" t="s">
        <v>2676</v>
      </c>
    </row>
    <row r="5264" spans="1:13">
      <c r="A5264" t="s">
        <v>2107</v>
      </c>
      <c r="B5264" t="s">
        <v>117</v>
      </c>
      <c r="C5264" s="8">
        <v>46172</v>
      </c>
      <c r="D5264" t="s">
        <v>327</v>
      </c>
      <c r="E5264" t="s">
        <v>325</v>
      </c>
      <c r="F5264" s="12">
        <v>106904</v>
      </c>
      <c r="G5264" s="13">
        <v>10</v>
      </c>
      <c r="H5264" t="s">
        <v>2952</v>
      </c>
      <c r="I5264" s="8">
        <v>46155</v>
      </c>
      <c r="J5264" t="s">
        <v>2674</v>
      </c>
      <c r="K5264" t="s">
        <v>2675</v>
      </c>
      <c r="L5264" s="13">
        <v>20000</v>
      </c>
      <c r="M5264" t="s">
        <v>2661</v>
      </c>
    </row>
    <row r="5265" spans="1:13">
      <c r="A5265" t="s">
        <v>2107</v>
      </c>
      <c r="B5265" t="s">
        <v>117</v>
      </c>
      <c r="C5265" s="8">
        <v>46172</v>
      </c>
      <c r="D5265" t="s">
        <v>327</v>
      </c>
      <c r="E5265" t="s">
        <v>325</v>
      </c>
      <c r="F5265" s="12">
        <v>106904</v>
      </c>
      <c r="G5265" s="13">
        <v>10</v>
      </c>
      <c r="H5265" t="s">
        <v>3244</v>
      </c>
      <c r="I5265" s="8">
        <v>45969</v>
      </c>
      <c r="J5265" t="s">
        <v>2663</v>
      </c>
      <c r="K5265" t="s">
        <v>3630</v>
      </c>
      <c r="L5265" s="13">
        <v>1500</v>
      </c>
      <c r="M5265" t="s">
        <v>2661</v>
      </c>
    </row>
    <row r="5266" spans="1:13">
      <c r="A5266" t="s">
        <v>2108</v>
      </c>
      <c r="B5266" t="s">
        <v>62</v>
      </c>
      <c r="C5266" s="8">
        <v>46143</v>
      </c>
      <c r="D5266" t="s">
        <v>321</v>
      </c>
      <c r="E5266" t="s">
        <v>325</v>
      </c>
      <c r="F5266" s="12">
        <v>283638</v>
      </c>
      <c r="G5266" s="13">
        <v>28</v>
      </c>
      <c r="H5266" t="s">
        <v>2679</v>
      </c>
      <c r="I5266" s="8">
        <v>46195</v>
      </c>
      <c r="J5266" t="s">
        <v>2674</v>
      </c>
      <c r="K5266" t="s">
        <v>2675</v>
      </c>
      <c r="L5266" s="13">
        <v>20000</v>
      </c>
      <c r="M5266" t="s">
        <v>2661</v>
      </c>
    </row>
    <row r="5267" spans="1:13">
      <c r="A5267" t="s">
        <v>2108</v>
      </c>
      <c r="B5267" t="s">
        <v>62</v>
      </c>
      <c r="C5267" s="8">
        <v>46143</v>
      </c>
      <c r="D5267" t="s">
        <v>321</v>
      </c>
      <c r="E5267" t="s">
        <v>325</v>
      </c>
      <c r="F5267" s="12">
        <v>283638</v>
      </c>
      <c r="G5267" s="13">
        <v>28</v>
      </c>
      <c r="H5267" t="s">
        <v>2793</v>
      </c>
      <c r="I5267" s="8">
        <v>46233</v>
      </c>
      <c r="J5267" t="s">
        <v>2663</v>
      </c>
      <c r="K5267" t="s">
        <v>3630</v>
      </c>
      <c r="L5267" s="13">
        <v>1500</v>
      </c>
      <c r="M5267" t="s">
        <v>2661</v>
      </c>
    </row>
    <row r="5268" spans="1:13">
      <c r="A5268" t="s">
        <v>2108</v>
      </c>
      <c r="B5268" t="s">
        <v>62</v>
      </c>
      <c r="C5268" s="8">
        <v>46143</v>
      </c>
      <c r="D5268" t="s">
        <v>321</v>
      </c>
      <c r="E5268" t="s">
        <v>325</v>
      </c>
      <c r="F5268" s="12">
        <v>283638</v>
      </c>
      <c r="G5268" s="13">
        <v>28</v>
      </c>
      <c r="H5268" t="s">
        <v>2794</v>
      </c>
      <c r="I5268" s="8">
        <v>46096</v>
      </c>
      <c r="J5268" t="s">
        <v>2659</v>
      </c>
      <c r="K5268" t="s">
        <v>2660</v>
      </c>
      <c r="L5268" s="13">
        <v>3500</v>
      </c>
      <c r="M5268" t="s">
        <v>2661</v>
      </c>
    </row>
    <row r="5269" spans="1:13">
      <c r="A5269" t="s">
        <v>2108</v>
      </c>
      <c r="B5269" t="s">
        <v>62</v>
      </c>
      <c r="C5269" s="8">
        <v>46143</v>
      </c>
      <c r="D5269" t="s">
        <v>321</v>
      </c>
      <c r="E5269" t="s">
        <v>325</v>
      </c>
      <c r="F5269" s="12">
        <v>283638</v>
      </c>
      <c r="G5269" s="13">
        <v>28</v>
      </c>
      <c r="H5269" t="s">
        <v>2804</v>
      </c>
      <c r="I5269" s="8">
        <v>46260</v>
      </c>
      <c r="J5269" t="s">
        <v>2659</v>
      </c>
      <c r="K5269" t="s">
        <v>2660</v>
      </c>
      <c r="L5269" s="13">
        <v>3500</v>
      </c>
      <c r="M5269" t="s">
        <v>2661</v>
      </c>
    </row>
    <row r="5270" spans="1:13">
      <c r="A5270" t="s">
        <v>2108</v>
      </c>
      <c r="B5270" t="s">
        <v>62</v>
      </c>
      <c r="C5270" s="8">
        <v>46143</v>
      </c>
      <c r="D5270" t="s">
        <v>321</v>
      </c>
      <c r="E5270" t="s">
        <v>325</v>
      </c>
      <c r="F5270" s="12">
        <v>283638</v>
      </c>
      <c r="G5270" s="13">
        <v>28</v>
      </c>
      <c r="H5270" t="s">
        <v>2885</v>
      </c>
      <c r="I5270" s="8">
        <v>46085</v>
      </c>
      <c r="J5270" t="s">
        <v>2692</v>
      </c>
      <c r="K5270" t="s">
        <v>2693</v>
      </c>
      <c r="L5270" s="13">
        <v>10000</v>
      </c>
      <c r="M5270" t="s">
        <v>2661</v>
      </c>
    </row>
    <row r="5271" spans="1:13">
      <c r="A5271" t="s">
        <v>2108</v>
      </c>
      <c r="B5271" t="s">
        <v>62</v>
      </c>
      <c r="C5271" s="8">
        <v>46143</v>
      </c>
      <c r="D5271" t="s">
        <v>321</v>
      </c>
      <c r="E5271" t="s">
        <v>325</v>
      </c>
      <c r="F5271" s="12">
        <v>283638</v>
      </c>
      <c r="G5271" s="13">
        <v>28</v>
      </c>
      <c r="H5271" t="s">
        <v>3000</v>
      </c>
      <c r="I5271" s="8">
        <v>46247</v>
      </c>
      <c r="J5271" t="s">
        <v>2692</v>
      </c>
      <c r="K5271" t="s">
        <v>2693</v>
      </c>
      <c r="L5271" s="13">
        <v>10000</v>
      </c>
      <c r="M5271" t="s">
        <v>2661</v>
      </c>
    </row>
    <row r="5272" spans="1:13">
      <c r="A5272" t="s">
        <v>2108</v>
      </c>
      <c r="B5272" t="s">
        <v>62</v>
      </c>
      <c r="C5272" s="8">
        <v>46143</v>
      </c>
      <c r="D5272" t="s">
        <v>321</v>
      </c>
      <c r="E5272" t="s">
        <v>325</v>
      </c>
      <c r="F5272" s="12">
        <v>283638</v>
      </c>
      <c r="G5272" s="13">
        <v>28</v>
      </c>
      <c r="H5272" t="s">
        <v>3197</v>
      </c>
      <c r="I5272" s="8">
        <v>46129</v>
      </c>
      <c r="J5272" t="s">
        <v>2671</v>
      </c>
      <c r="K5272" t="s">
        <v>2672</v>
      </c>
      <c r="L5272" s="13">
        <v>3000</v>
      </c>
      <c r="M5272" t="s">
        <v>2661</v>
      </c>
    </row>
    <row r="5273" spans="1:13">
      <c r="A5273" t="s">
        <v>2109</v>
      </c>
      <c r="B5273" t="s">
        <v>135</v>
      </c>
      <c r="C5273" s="8">
        <v>46097</v>
      </c>
      <c r="D5273" t="s">
        <v>324</v>
      </c>
      <c r="E5273" t="s">
        <v>339</v>
      </c>
      <c r="F5273" s="12">
        <v>330366</v>
      </c>
      <c r="G5273" s="13">
        <v>33</v>
      </c>
      <c r="H5273" t="s">
        <v>2922</v>
      </c>
      <c r="I5273" s="8">
        <v>45998</v>
      </c>
      <c r="J5273" t="s">
        <v>2682</v>
      </c>
      <c r="K5273" t="s">
        <v>2683</v>
      </c>
      <c r="L5273" s="13">
        <v>6000</v>
      </c>
      <c r="M5273" t="s">
        <v>2661</v>
      </c>
    </row>
    <row r="5274" spans="1:13">
      <c r="A5274" t="s">
        <v>2109</v>
      </c>
      <c r="B5274" t="s">
        <v>135</v>
      </c>
      <c r="C5274" s="8">
        <v>46097</v>
      </c>
      <c r="D5274" t="s">
        <v>324</v>
      </c>
      <c r="E5274" t="s">
        <v>339</v>
      </c>
      <c r="F5274" s="12">
        <v>330366</v>
      </c>
      <c r="G5274" s="13">
        <v>33</v>
      </c>
      <c r="H5274" t="s">
        <v>3053</v>
      </c>
      <c r="I5274" s="8">
        <v>46165</v>
      </c>
      <c r="J5274" t="s">
        <v>2692</v>
      </c>
      <c r="K5274" t="s">
        <v>2693</v>
      </c>
      <c r="L5274" s="13">
        <v>10000</v>
      </c>
      <c r="M5274" t="s">
        <v>2661</v>
      </c>
    </row>
    <row r="5275" spans="1:13">
      <c r="A5275" t="s">
        <v>2109</v>
      </c>
      <c r="B5275" t="s">
        <v>135</v>
      </c>
      <c r="C5275" s="8">
        <v>46097</v>
      </c>
      <c r="D5275" t="s">
        <v>324</v>
      </c>
      <c r="E5275" t="s">
        <v>339</v>
      </c>
      <c r="F5275" s="12">
        <v>330366</v>
      </c>
      <c r="G5275" s="13">
        <v>33</v>
      </c>
      <c r="H5275" t="s">
        <v>3118</v>
      </c>
      <c r="I5275" s="8">
        <v>45989</v>
      </c>
      <c r="J5275" t="s">
        <v>2692</v>
      </c>
      <c r="K5275" t="s">
        <v>2693</v>
      </c>
      <c r="L5275" s="13">
        <v>10000</v>
      </c>
      <c r="M5275" t="s">
        <v>2661</v>
      </c>
    </row>
    <row r="5276" spans="1:13">
      <c r="A5276" t="s">
        <v>2109</v>
      </c>
      <c r="B5276" t="s">
        <v>135</v>
      </c>
      <c r="C5276" s="8">
        <v>46097</v>
      </c>
      <c r="D5276" t="s">
        <v>324</v>
      </c>
      <c r="E5276" t="s">
        <v>339</v>
      </c>
      <c r="F5276" s="12">
        <v>330366</v>
      </c>
      <c r="G5276" s="13">
        <v>33</v>
      </c>
      <c r="H5276" t="s">
        <v>3262</v>
      </c>
      <c r="I5276" s="8">
        <v>46091</v>
      </c>
      <c r="J5276" t="s">
        <v>2682</v>
      </c>
      <c r="K5276" t="s">
        <v>2683</v>
      </c>
      <c r="L5276" s="13">
        <v>6000</v>
      </c>
      <c r="M5276" t="s">
        <v>2661</v>
      </c>
    </row>
    <row r="5277" spans="1:13">
      <c r="A5277" t="s">
        <v>2110</v>
      </c>
      <c r="B5277" t="s">
        <v>111</v>
      </c>
      <c r="C5277" s="8">
        <v>45958</v>
      </c>
      <c r="D5277" t="s">
        <v>330</v>
      </c>
      <c r="E5277" t="s">
        <v>325</v>
      </c>
      <c r="F5277" s="12">
        <v>77278</v>
      </c>
      <c r="G5277" s="13">
        <v>7</v>
      </c>
      <c r="H5277" t="s">
        <v>3231</v>
      </c>
      <c r="I5277" s="8">
        <v>46139</v>
      </c>
      <c r="J5277" t="s">
        <v>2668</v>
      </c>
      <c r="K5277" t="s">
        <v>2669</v>
      </c>
      <c r="L5277" s="13">
        <v>4000</v>
      </c>
      <c r="M5277" t="s">
        <v>2661</v>
      </c>
    </row>
    <row r="5278" spans="1:13">
      <c r="A5278" t="s">
        <v>2110</v>
      </c>
      <c r="B5278" t="s">
        <v>111</v>
      </c>
      <c r="C5278" s="8">
        <v>45958</v>
      </c>
      <c r="D5278" t="s">
        <v>330</v>
      </c>
      <c r="E5278" t="s">
        <v>325</v>
      </c>
      <c r="F5278" s="12">
        <v>77278</v>
      </c>
      <c r="G5278" s="13">
        <v>7</v>
      </c>
      <c r="H5278" t="s">
        <v>3411</v>
      </c>
      <c r="I5278" s="8">
        <v>45950</v>
      </c>
      <c r="J5278" t="s">
        <v>2659</v>
      </c>
      <c r="K5278" t="s">
        <v>2660</v>
      </c>
      <c r="L5278" s="13">
        <v>3500</v>
      </c>
      <c r="M5278" t="s">
        <v>2676</v>
      </c>
    </row>
    <row r="5279" spans="1:13">
      <c r="A5279" t="s">
        <v>2111</v>
      </c>
      <c r="B5279" t="s">
        <v>37</v>
      </c>
      <c r="C5279" s="8">
        <v>46104</v>
      </c>
      <c r="D5279" t="s">
        <v>330</v>
      </c>
      <c r="E5279" t="s">
        <v>334</v>
      </c>
      <c r="F5279" s="12">
        <v>499884</v>
      </c>
      <c r="G5279" s="13">
        <v>49</v>
      </c>
      <c r="H5279" t="s">
        <v>2810</v>
      </c>
      <c r="I5279" s="8">
        <v>46053</v>
      </c>
      <c r="J5279" t="s">
        <v>2692</v>
      </c>
      <c r="K5279" t="s">
        <v>2693</v>
      </c>
      <c r="L5279" s="13">
        <v>10000</v>
      </c>
      <c r="M5279" t="s">
        <v>2661</v>
      </c>
    </row>
    <row r="5280" spans="1:13">
      <c r="A5280" t="s">
        <v>2111</v>
      </c>
      <c r="B5280" t="s">
        <v>37</v>
      </c>
      <c r="C5280" s="8">
        <v>46104</v>
      </c>
      <c r="D5280" t="s">
        <v>330</v>
      </c>
      <c r="E5280" t="s">
        <v>334</v>
      </c>
      <c r="F5280" s="12">
        <v>499884</v>
      </c>
      <c r="G5280" s="13">
        <v>49</v>
      </c>
      <c r="H5280" t="s">
        <v>3040</v>
      </c>
      <c r="I5280" s="8">
        <v>45997</v>
      </c>
      <c r="J5280" t="s">
        <v>2665</v>
      </c>
      <c r="K5280" t="s">
        <v>2666</v>
      </c>
      <c r="L5280" s="13">
        <v>2500</v>
      </c>
      <c r="M5280" t="s">
        <v>2661</v>
      </c>
    </row>
    <row r="5281" spans="1:13">
      <c r="A5281" t="s">
        <v>2111</v>
      </c>
      <c r="B5281" t="s">
        <v>37</v>
      </c>
      <c r="C5281" s="8">
        <v>46104</v>
      </c>
      <c r="D5281" t="s">
        <v>330</v>
      </c>
      <c r="E5281" t="s">
        <v>334</v>
      </c>
      <c r="F5281" s="12">
        <v>499884</v>
      </c>
      <c r="G5281" s="13">
        <v>49</v>
      </c>
      <c r="H5281" t="s">
        <v>3440</v>
      </c>
      <c r="I5281" s="8">
        <v>46104</v>
      </c>
      <c r="J5281" t="s">
        <v>2665</v>
      </c>
      <c r="K5281" t="s">
        <v>2666</v>
      </c>
      <c r="L5281" s="13">
        <v>2500</v>
      </c>
      <c r="M5281" t="s">
        <v>2661</v>
      </c>
    </row>
    <row r="5282" spans="1:13">
      <c r="A5282" t="s">
        <v>2111</v>
      </c>
      <c r="B5282" t="s">
        <v>37</v>
      </c>
      <c r="C5282" s="8">
        <v>46104</v>
      </c>
      <c r="D5282" t="s">
        <v>330</v>
      </c>
      <c r="E5282" t="s">
        <v>334</v>
      </c>
      <c r="F5282" s="12">
        <v>499884</v>
      </c>
      <c r="G5282" s="13">
        <v>49</v>
      </c>
      <c r="H5282" t="s">
        <v>3487</v>
      </c>
      <c r="I5282" s="8">
        <v>46135</v>
      </c>
      <c r="J5282" t="s">
        <v>2692</v>
      </c>
      <c r="K5282" t="s">
        <v>2693</v>
      </c>
      <c r="L5282" s="13">
        <v>10000</v>
      </c>
      <c r="M5282" t="s">
        <v>2676</v>
      </c>
    </row>
    <row r="5283" spans="1:13">
      <c r="A5283" t="s">
        <v>2112</v>
      </c>
      <c r="B5283" t="s">
        <v>255</v>
      </c>
      <c r="C5283" s="8">
        <v>46002</v>
      </c>
      <c r="D5283" t="s">
        <v>330</v>
      </c>
      <c r="E5283" t="s">
        <v>339</v>
      </c>
      <c r="F5283" s="12">
        <v>297842</v>
      </c>
      <c r="G5283" s="13">
        <v>29</v>
      </c>
      <c r="H5283" t="s">
        <v>2956</v>
      </c>
      <c r="I5283" s="8">
        <v>45952</v>
      </c>
      <c r="J5283" t="s">
        <v>2674</v>
      </c>
      <c r="K5283" t="s">
        <v>2675</v>
      </c>
      <c r="L5283" s="13">
        <v>20000</v>
      </c>
      <c r="M5283" t="s">
        <v>2676</v>
      </c>
    </row>
    <row r="5284" spans="1:13">
      <c r="A5284" t="s">
        <v>2112</v>
      </c>
      <c r="B5284" t="s">
        <v>255</v>
      </c>
      <c r="C5284" s="8">
        <v>46002</v>
      </c>
      <c r="D5284" t="s">
        <v>330</v>
      </c>
      <c r="E5284" t="s">
        <v>339</v>
      </c>
      <c r="F5284" s="12">
        <v>297842</v>
      </c>
      <c r="G5284" s="13">
        <v>29</v>
      </c>
      <c r="H5284" t="s">
        <v>3223</v>
      </c>
      <c r="I5284" s="8">
        <v>46198</v>
      </c>
      <c r="J5284" t="s">
        <v>2665</v>
      </c>
      <c r="K5284" t="s">
        <v>2666</v>
      </c>
      <c r="L5284" s="13">
        <v>2500</v>
      </c>
      <c r="M5284" t="s">
        <v>2661</v>
      </c>
    </row>
    <row r="5285" spans="1:13">
      <c r="A5285" t="s">
        <v>2112</v>
      </c>
      <c r="B5285" t="s">
        <v>255</v>
      </c>
      <c r="C5285" s="8">
        <v>46002</v>
      </c>
      <c r="D5285" t="s">
        <v>330</v>
      </c>
      <c r="E5285" t="s">
        <v>339</v>
      </c>
      <c r="F5285" s="12">
        <v>297842</v>
      </c>
      <c r="G5285" s="13">
        <v>29</v>
      </c>
      <c r="H5285" t="s">
        <v>3323</v>
      </c>
      <c r="I5285" s="8">
        <v>46169</v>
      </c>
      <c r="J5285" t="s">
        <v>2682</v>
      </c>
      <c r="K5285" t="s">
        <v>2683</v>
      </c>
      <c r="L5285" s="13">
        <v>6000</v>
      </c>
      <c r="M5285" t="s">
        <v>2676</v>
      </c>
    </row>
    <row r="5286" spans="1:13">
      <c r="A5286" t="s">
        <v>2113</v>
      </c>
      <c r="B5286" t="s">
        <v>67</v>
      </c>
      <c r="C5286" s="8">
        <v>46219</v>
      </c>
      <c r="D5286" t="s">
        <v>324</v>
      </c>
      <c r="E5286" t="s">
        <v>325</v>
      </c>
      <c r="F5286" s="12">
        <v>181304</v>
      </c>
      <c r="G5286" s="13">
        <v>18</v>
      </c>
      <c r="H5286" t="s">
        <v>3272</v>
      </c>
      <c r="I5286" s="8">
        <v>46247</v>
      </c>
      <c r="J5286" t="s">
        <v>2665</v>
      </c>
      <c r="K5286" t="s">
        <v>2666</v>
      </c>
      <c r="L5286" s="13">
        <v>2500</v>
      </c>
      <c r="M5286" t="s">
        <v>2661</v>
      </c>
    </row>
    <row r="5287" spans="1:13">
      <c r="A5287" t="s">
        <v>2114</v>
      </c>
      <c r="B5287" t="s">
        <v>211</v>
      </c>
      <c r="C5287" s="8">
        <v>46236</v>
      </c>
      <c r="D5287" t="s">
        <v>350</v>
      </c>
      <c r="E5287" t="s">
        <v>334</v>
      </c>
      <c r="F5287" s="12">
        <v>496901</v>
      </c>
      <c r="G5287" s="13">
        <v>49</v>
      </c>
      <c r="H5287" t="s">
        <v>2724</v>
      </c>
      <c r="I5287" s="8">
        <v>45945</v>
      </c>
      <c r="J5287" t="s">
        <v>2665</v>
      </c>
      <c r="K5287" t="s">
        <v>2666</v>
      </c>
      <c r="L5287" s="13">
        <v>2500</v>
      </c>
      <c r="M5287" t="s">
        <v>2661</v>
      </c>
    </row>
    <row r="5288" spans="1:13">
      <c r="A5288" t="s">
        <v>2115</v>
      </c>
      <c r="B5288" t="s">
        <v>110</v>
      </c>
      <c r="C5288" s="8">
        <v>45975</v>
      </c>
      <c r="D5288" t="s">
        <v>342</v>
      </c>
      <c r="E5288" t="s">
        <v>328</v>
      </c>
      <c r="F5288" s="12">
        <v>664776</v>
      </c>
      <c r="G5288" s="13">
        <v>66</v>
      </c>
      <c r="H5288" t="s">
        <v>3413</v>
      </c>
      <c r="I5288" s="8">
        <v>46031</v>
      </c>
      <c r="J5288" t="s">
        <v>2685</v>
      </c>
      <c r="K5288" t="s">
        <v>2686</v>
      </c>
      <c r="L5288" s="13">
        <v>5000</v>
      </c>
      <c r="M5288" t="s">
        <v>2661</v>
      </c>
    </row>
    <row r="5289" spans="1:13">
      <c r="A5289" t="s">
        <v>2115</v>
      </c>
      <c r="B5289" t="s">
        <v>110</v>
      </c>
      <c r="C5289" s="8">
        <v>45975</v>
      </c>
      <c r="D5289" t="s">
        <v>342</v>
      </c>
      <c r="E5289" t="s">
        <v>328</v>
      </c>
      <c r="F5289" s="12">
        <v>664776</v>
      </c>
      <c r="G5289" s="13">
        <v>66</v>
      </c>
      <c r="H5289" t="s">
        <v>3438</v>
      </c>
      <c r="I5289" s="8">
        <v>45935</v>
      </c>
      <c r="J5289" t="s">
        <v>2668</v>
      </c>
      <c r="K5289" t="s">
        <v>2669</v>
      </c>
      <c r="L5289" s="13">
        <v>4000</v>
      </c>
      <c r="M5289" t="s">
        <v>2661</v>
      </c>
    </row>
    <row r="5290" spans="1:13">
      <c r="A5290" t="s">
        <v>2115</v>
      </c>
      <c r="B5290" t="s">
        <v>110</v>
      </c>
      <c r="C5290" s="8">
        <v>45975</v>
      </c>
      <c r="D5290" t="s">
        <v>342</v>
      </c>
      <c r="E5290" t="s">
        <v>328</v>
      </c>
      <c r="F5290" s="12">
        <v>664776</v>
      </c>
      <c r="G5290" s="13">
        <v>66</v>
      </c>
      <c r="H5290" t="s">
        <v>3543</v>
      </c>
      <c r="I5290" s="8">
        <v>46256</v>
      </c>
      <c r="J5290" t="s">
        <v>2663</v>
      </c>
      <c r="K5290" t="s">
        <v>3630</v>
      </c>
      <c r="L5290" s="13">
        <v>1500</v>
      </c>
      <c r="M5290" t="s">
        <v>2676</v>
      </c>
    </row>
    <row r="5291" spans="1:13">
      <c r="A5291" t="s">
        <v>2116</v>
      </c>
      <c r="B5291" t="s">
        <v>190</v>
      </c>
      <c r="C5291" s="8">
        <v>46245</v>
      </c>
      <c r="D5291" t="s">
        <v>344</v>
      </c>
      <c r="E5291" t="s">
        <v>328</v>
      </c>
      <c r="F5291" s="12">
        <v>335246</v>
      </c>
      <c r="G5291" s="13">
        <v>33</v>
      </c>
      <c r="H5291" t="s">
        <v>2684</v>
      </c>
      <c r="I5291" s="8">
        <v>46175</v>
      </c>
      <c r="J5291" t="s">
        <v>2685</v>
      </c>
      <c r="K5291" t="s">
        <v>2686</v>
      </c>
      <c r="L5291" s="13">
        <v>5000</v>
      </c>
      <c r="M5291" t="s">
        <v>2661</v>
      </c>
    </row>
    <row r="5292" spans="1:13">
      <c r="A5292" t="s">
        <v>2116</v>
      </c>
      <c r="B5292" t="s">
        <v>190</v>
      </c>
      <c r="C5292" s="8">
        <v>46245</v>
      </c>
      <c r="D5292" t="s">
        <v>344</v>
      </c>
      <c r="E5292" t="s">
        <v>328</v>
      </c>
      <c r="F5292" s="12">
        <v>335246</v>
      </c>
      <c r="G5292" s="13">
        <v>33</v>
      </c>
      <c r="H5292" t="s">
        <v>2834</v>
      </c>
      <c r="I5292" s="8">
        <v>46253</v>
      </c>
      <c r="J5292" t="s">
        <v>2692</v>
      </c>
      <c r="K5292" t="s">
        <v>2693</v>
      </c>
      <c r="L5292" s="13">
        <v>10000</v>
      </c>
      <c r="M5292" t="s">
        <v>2676</v>
      </c>
    </row>
    <row r="5293" spans="1:13">
      <c r="A5293" t="s">
        <v>2116</v>
      </c>
      <c r="B5293" t="s">
        <v>190</v>
      </c>
      <c r="C5293" s="8">
        <v>46245</v>
      </c>
      <c r="D5293" t="s">
        <v>344</v>
      </c>
      <c r="E5293" t="s">
        <v>328</v>
      </c>
      <c r="F5293" s="12">
        <v>335246</v>
      </c>
      <c r="G5293" s="13">
        <v>33</v>
      </c>
      <c r="H5293" t="s">
        <v>2965</v>
      </c>
      <c r="I5293" s="8">
        <v>46102</v>
      </c>
      <c r="J5293" t="s">
        <v>2671</v>
      </c>
      <c r="K5293" t="s">
        <v>2672</v>
      </c>
      <c r="L5293" s="13">
        <v>3000</v>
      </c>
      <c r="M5293" t="s">
        <v>2661</v>
      </c>
    </row>
    <row r="5294" spans="1:13">
      <c r="A5294" t="s">
        <v>2116</v>
      </c>
      <c r="B5294" t="s">
        <v>190</v>
      </c>
      <c r="C5294" s="8">
        <v>46245</v>
      </c>
      <c r="D5294" t="s">
        <v>344</v>
      </c>
      <c r="E5294" t="s">
        <v>328</v>
      </c>
      <c r="F5294" s="12">
        <v>335246</v>
      </c>
      <c r="G5294" s="13">
        <v>33</v>
      </c>
      <c r="H5294" t="s">
        <v>3299</v>
      </c>
      <c r="I5294" s="8">
        <v>46006</v>
      </c>
      <c r="J5294" t="s">
        <v>2685</v>
      </c>
      <c r="K5294" t="s">
        <v>2686</v>
      </c>
      <c r="L5294" s="13">
        <v>5000</v>
      </c>
      <c r="M5294" t="s">
        <v>2661</v>
      </c>
    </row>
    <row r="5295" spans="1:13">
      <c r="A5295" t="s">
        <v>2117</v>
      </c>
      <c r="B5295" t="s">
        <v>219</v>
      </c>
      <c r="C5295" s="8">
        <v>46265</v>
      </c>
      <c r="D5295" t="s">
        <v>344</v>
      </c>
      <c r="E5295" t="s">
        <v>337</v>
      </c>
      <c r="F5295" s="12">
        <v>561991</v>
      </c>
      <c r="G5295" s="13">
        <v>56</v>
      </c>
      <c r="H5295" t="s">
        <v>3084</v>
      </c>
      <c r="I5295" s="8">
        <v>46256</v>
      </c>
      <c r="J5295" t="s">
        <v>2685</v>
      </c>
      <c r="K5295" t="s">
        <v>2686</v>
      </c>
      <c r="L5295" s="13">
        <v>5000</v>
      </c>
      <c r="M5295" t="s">
        <v>2661</v>
      </c>
    </row>
    <row r="5296" spans="1:13">
      <c r="A5296" t="s">
        <v>2119</v>
      </c>
      <c r="B5296" t="s">
        <v>12</v>
      </c>
      <c r="C5296" s="8">
        <v>45942</v>
      </c>
      <c r="D5296" t="s">
        <v>332</v>
      </c>
      <c r="E5296" t="s">
        <v>334</v>
      </c>
      <c r="F5296" s="12">
        <v>436776</v>
      </c>
      <c r="G5296" s="13">
        <v>43</v>
      </c>
      <c r="H5296" t="s">
        <v>3271</v>
      </c>
      <c r="I5296" s="8">
        <v>46136</v>
      </c>
      <c r="J5296" t="s">
        <v>2685</v>
      </c>
      <c r="K5296" t="s">
        <v>2686</v>
      </c>
      <c r="L5296" s="13">
        <v>5000</v>
      </c>
      <c r="M5296" t="s">
        <v>2661</v>
      </c>
    </row>
    <row r="5297" spans="1:13">
      <c r="A5297" t="s">
        <v>2119</v>
      </c>
      <c r="B5297" t="s">
        <v>12</v>
      </c>
      <c r="C5297" s="8">
        <v>45942</v>
      </c>
      <c r="D5297" t="s">
        <v>332</v>
      </c>
      <c r="E5297" t="s">
        <v>334</v>
      </c>
      <c r="F5297" s="12">
        <v>436776</v>
      </c>
      <c r="G5297" s="13">
        <v>43</v>
      </c>
      <c r="H5297" t="s">
        <v>3392</v>
      </c>
      <c r="I5297" s="8">
        <v>46048</v>
      </c>
      <c r="J5297" t="s">
        <v>2688</v>
      </c>
      <c r="K5297" t="s">
        <v>2689</v>
      </c>
      <c r="L5297" s="13">
        <v>8000</v>
      </c>
      <c r="M5297" t="s">
        <v>2676</v>
      </c>
    </row>
    <row r="5298" spans="1:13">
      <c r="A5298" t="s">
        <v>2119</v>
      </c>
      <c r="B5298" t="s">
        <v>12</v>
      </c>
      <c r="C5298" s="8">
        <v>45942</v>
      </c>
      <c r="D5298" t="s">
        <v>332</v>
      </c>
      <c r="E5298" t="s">
        <v>334</v>
      </c>
      <c r="F5298" s="12">
        <v>436776</v>
      </c>
      <c r="G5298" s="13">
        <v>43</v>
      </c>
      <c r="H5298" t="s">
        <v>3555</v>
      </c>
      <c r="I5298" s="8">
        <v>46279</v>
      </c>
      <c r="J5298" t="s">
        <v>2671</v>
      </c>
      <c r="K5298" t="s">
        <v>2672</v>
      </c>
      <c r="L5298" s="13">
        <v>3000</v>
      </c>
      <c r="M5298" t="s">
        <v>2661</v>
      </c>
    </row>
    <row r="5299" spans="1:13">
      <c r="A5299" t="s">
        <v>2122</v>
      </c>
      <c r="B5299" t="s">
        <v>46</v>
      </c>
      <c r="C5299" s="8">
        <v>46155</v>
      </c>
      <c r="D5299" t="s">
        <v>344</v>
      </c>
      <c r="E5299" t="s">
        <v>325</v>
      </c>
      <c r="F5299" s="12">
        <v>103159</v>
      </c>
      <c r="G5299" s="13">
        <v>10</v>
      </c>
      <c r="H5299" t="s">
        <v>2743</v>
      </c>
      <c r="I5299" s="8">
        <v>46248</v>
      </c>
      <c r="J5299" t="s">
        <v>2685</v>
      </c>
      <c r="K5299" t="s">
        <v>2686</v>
      </c>
      <c r="L5299" s="13">
        <v>5000</v>
      </c>
      <c r="M5299" t="s">
        <v>2661</v>
      </c>
    </row>
    <row r="5300" spans="1:13">
      <c r="A5300" t="s">
        <v>2122</v>
      </c>
      <c r="B5300" t="s">
        <v>46</v>
      </c>
      <c r="C5300" s="8">
        <v>46155</v>
      </c>
      <c r="D5300" t="s">
        <v>344</v>
      </c>
      <c r="E5300" t="s">
        <v>325</v>
      </c>
      <c r="F5300" s="12">
        <v>103159</v>
      </c>
      <c r="G5300" s="13">
        <v>10</v>
      </c>
      <c r="H5300" t="s">
        <v>3021</v>
      </c>
      <c r="I5300" s="8">
        <v>45955</v>
      </c>
      <c r="J5300" t="s">
        <v>2665</v>
      </c>
      <c r="K5300" t="s">
        <v>2666</v>
      </c>
      <c r="L5300" s="13">
        <v>2500</v>
      </c>
      <c r="M5300" t="s">
        <v>2661</v>
      </c>
    </row>
    <row r="5301" spans="1:13">
      <c r="A5301" t="s">
        <v>2122</v>
      </c>
      <c r="B5301" t="s">
        <v>46</v>
      </c>
      <c r="C5301" s="8">
        <v>46155</v>
      </c>
      <c r="D5301" t="s">
        <v>344</v>
      </c>
      <c r="E5301" t="s">
        <v>325</v>
      </c>
      <c r="F5301" s="12">
        <v>103159</v>
      </c>
      <c r="G5301" s="13">
        <v>10</v>
      </c>
      <c r="H5301" t="s">
        <v>3069</v>
      </c>
      <c r="I5301" s="8">
        <v>45945</v>
      </c>
      <c r="J5301" t="s">
        <v>2668</v>
      </c>
      <c r="K5301" t="s">
        <v>2669</v>
      </c>
      <c r="L5301" s="13">
        <v>4000</v>
      </c>
      <c r="M5301" t="s">
        <v>2661</v>
      </c>
    </row>
    <row r="5302" spans="1:13">
      <c r="A5302" t="s">
        <v>2122</v>
      </c>
      <c r="B5302" t="s">
        <v>46</v>
      </c>
      <c r="C5302" s="8">
        <v>46155</v>
      </c>
      <c r="D5302" t="s">
        <v>344</v>
      </c>
      <c r="E5302" t="s">
        <v>325</v>
      </c>
      <c r="F5302" s="12">
        <v>103159</v>
      </c>
      <c r="G5302" s="13">
        <v>10</v>
      </c>
      <c r="H5302" t="s">
        <v>3408</v>
      </c>
      <c r="I5302" s="8">
        <v>46072</v>
      </c>
      <c r="J5302" t="s">
        <v>2668</v>
      </c>
      <c r="K5302" t="s">
        <v>2669</v>
      </c>
      <c r="L5302" s="13">
        <v>4000</v>
      </c>
      <c r="M5302" t="s">
        <v>2661</v>
      </c>
    </row>
    <row r="5303" spans="1:13">
      <c r="A5303" t="s">
        <v>2122</v>
      </c>
      <c r="B5303" t="s">
        <v>46</v>
      </c>
      <c r="C5303" s="8">
        <v>46155</v>
      </c>
      <c r="D5303" t="s">
        <v>344</v>
      </c>
      <c r="E5303" t="s">
        <v>325</v>
      </c>
      <c r="F5303" s="12">
        <v>103159</v>
      </c>
      <c r="G5303" s="13">
        <v>10</v>
      </c>
      <c r="H5303" t="s">
        <v>3494</v>
      </c>
      <c r="I5303" s="8">
        <v>46108</v>
      </c>
      <c r="J5303" t="s">
        <v>2688</v>
      </c>
      <c r="K5303" t="s">
        <v>2689</v>
      </c>
      <c r="L5303" s="13">
        <v>8000</v>
      </c>
      <c r="M5303" t="s">
        <v>2661</v>
      </c>
    </row>
    <row r="5304" spans="1:13">
      <c r="A5304" t="s">
        <v>2123</v>
      </c>
      <c r="B5304" t="s">
        <v>255</v>
      </c>
      <c r="C5304" s="8">
        <v>46023</v>
      </c>
      <c r="D5304" t="s">
        <v>321</v>
      </c>
      <c r="E5304" t="s">
        <v>339</v>
      </c>
      <c r="F5304" s="12">
        <v>309787</v>
      </c>
      <c r="G5304" s="13">
        <v>30</v>
      </c>
      <c r="H5304" t="s">
        <v>2956</v>
      </c>
      <c r="I5304" s="8">
        <v>45952</v>
      </c>
      <c r="J5304" t="s">
        <v>2674</v>
      </c>
      <c r="K5304" t="s">
        <v>2675</v>
      </c>
      <c r="L5304" s="13">
        <v>20000</v>
      </c>
      <c r="M5304" t="s">
        <v>2676</v>
      </c>
    </row>
    <row r="5305" spans="1:13">
      <c r="A5305" t="s">
        <v>2123</v>
      </c>
      <c r="B5305" t="s">
        <v>255</v>
      </c>
      <c r="C5305" s="8">
        <v>46023</v>
      </c>
      <c r="D5305" t="s">
        <v>321</v>
      </c>
      <c r="E5305" t="s">
        <v>339</v>
      </c>
      <c r="F5305" s="12">
        <v>309787</v>
      </c>
      <c r="G5305" s="13">
        <v>30</v>
      </c>
      <c r="H5305" t="s">
        <v>3223</v>
      </c>
      <c r="I5305" s="8">
        <v>46198</v>
      </c>
      <c r="J5305" t="s">
        <v>2665</v>
      </c>
      <c r="K5305" t="s">
        <v>2666</v>
      </c>
      <c r="L5305" s="13">
        <v>2500</v>
      </c>
      <c r="M5305" t="s">
        <v>2661</v>
      </c>
    </row>
    <row r="5306" spans="1:13">
      <c r="A5306" t="s">
        <v>2123</v>
      </c>
      <c r="B5306" t="s">
        <v>255</v>
      </c>
      <c r="C5306" s="8">
        <v>46023</v>
      </c>
      <c r="D5306" t="s">
        <v>321</v>
      </c>
      <c r="E5306" t="s">
        <v>339</v>
      </c>
      <c r="F5306" s="12">
        <v>309787</v>
      </c>
      <c r="G5306" s="13">
        <v>30</v>
      </c>
      <c r="H5306" t="s">
        <v>3323</v>
      </c>
      <c r="I5306" s="8">
        <v>46169</v>
      </c>
      <c r="J5306" t="s">
        <v>2682</v>
      </c>
      <c r="K5306" t="s">
        <v>2683</v>
      </c>
      <c r="L5306" s="13">
        <v>6000</v>
      </c>
      <c r="M5306" t="s">
        <v>2676</v>
      </c>
    </row>
    <row r="5307" spans="1:13">
      <c r="A5307" t="s">
        <v>2124</v>
      </c>
      <c r="B5307" t="s">
        <v>274</v>
      </c>
      <c r="C5307" s="8">
        <v>45957</v>
      </c>
      <c r="D5307" t="s">
        <v>350</v>
      </c>
      <c r="E5307" t="s">
        <v>328</v>
      </c>
      <c r="F5307" s="12">
        <v>594339</v>
      </c>
      <c r="G5307" s="13">
        <v>59</v>
      </c>
      <c r="H5307" t="s">
        <v>2774</v>
      </c>
      <c r="I5307" s="8">
        <v>46157</v>
      </c>
      <c r="J5307" t="s">
        <v>2685</v>
      </c>
      <c r="K5307" t="s">
        <v>2686</v>
      </c>
      <c r="L5307" s="13">
        <v>5000</v>
      </c>
      <c r="M5307" t="s">
        <v>2661</v>
      </c>
    </row>
    <row r="5308" spans="1:13">
      <c r="A5308" t="s">
        <v>2124</v>
      </c>
      <c r="B5308" t="s">
        <v>274</v>
      </c>
      <c r="C5308" s="8">
        <v>45957</v>
      </c>
      <c r="D5308" t="s">
        <v>350</v>
      </c>
      <c r="E5308" t="s">
        <v>328</v>
      </c>
      <c r="F5308" s="12">
        <v>594339</v>
      </c>
      <c r="G5308" s="13">
        <v>59</v>
      </c>
      <c r="H5308" t="s">
        <v>2811</v>
      </c>
      <c r="I5308" s="8">
        <v>45976</v>
      </c>
      <c r="J5308" t="s">
        <v>2688</v>
      </c>
      <c r="K5308" t="s">
        <v>2689</v>
      </c>
      <c r="L5308" s="13">
        <v>8000</v>
      </c>
      <c r="M5308" t="s">
        <v>2661</v>
      </c>
    </row>
    <row r="5309" spans="1:13">
      <c r="A5309" t="s">
        <v>2124</v>
      </c>
      <c r="B5309" t="s">
        <v>274</v>
      </c>
      <c r="C5309" s="8">
        <v>45957</v>
      </c>
      <c r="D5309" t="s">
        <v>350</v>
      </c>
      <c r="E5309" t="s">
        <v>328</v>
      </c>
      <c r="F5309" s="12">
        <v>594339</v>
      </c>
      <c r="G5309" s="13">
        <v>59</v>
      </c>
      <c r="H5309" t="s">
        <v>2842</v>
      </c>
      <c r="I5309" s="8">
        <v>46222</v>
      </c>
      <c r="J5309" t="s">
        <v>2682</v>
      </c>
      <c r="K5309" t="s">
        <v>2683</v>
      </c>
      <c r="L5309" s="13">
        <v>6000</v>
      </c>
      <c r="M5309" t="s">
        <v>2661</v>
      </c>
    </row>
    <row r="5310" spans="1:13">
      <c r="A5310" t="s">
        <v>2124</v>
      </c>
      <c r="B5310" t="s">
        <v>274</v>
      </c>
      <c r="C5310" s="8">
        <v>45957</v>
      </c>
      <c r="D5310" t="s">
        <v>350</v>
      </c>
      <c r="E5310" t="s">
        <v>328</v>
      </c>
      <c r="F5310" s="12">
        <v>594339</v>
      </c>
      <c r="G5310" s="13">
        <v>59</v>
      </c>
      <c r="H5310" t="s">
        <v>2855</v>
      </c>
      <c r="I5310" s="8">
        <v>46132</v>
      </c>
      <c r="J5310" t="s">
        <v>2688</v>
      </c>
      <c r="K5310" t="s">
        <v>2689</v>
      </c>
      <c r="L5310" s="13">
        <v>8000</v>
      </c>
      <c r="M5310" t="s">
        <v>2661</v>
      </c>
    </row>
    <row r="5311" spans="1:13">
      <c r="A5311" t="s">
        <v>2124</v>
      </c>
      <c r="B5311" t="s">
        <v>274</v>
      </c>
      <c r="C5311" s="8">
        <v>45957</v>
      </c>
      <c r="D5311" t="s">
        <v>350</v>
      </c>
      <c r="E5311" t="s">
        <v>328</v>
      </c>
      <c r="F5311" s="12">
        <v>594339</v>
      </c>
      <c r="G5311" s="13">
        <v>59</v>
      </c>
      <c r="H5311" t="s">
        <v>3433</v>
      </c>
      <c r="I5311" s="8">
        <v>46038</v>
      </c>
      <c r="J5311" t="s">
        <v>2692</v>
      </c>
      <c r="K5311" t="s">
        <v>2693</v>
      </c>
      <c r="L5311" s="13">
        <v>10000</v>
      </c>
      <c r="M5311" t="s">
        <v>2661</v>
      </c>
    </row>
    <row r="5312" spans="1:13">
      <c r="A5312" t="s">
        <v>2124</v>
      </c>
      <c r="B5312" t="s">
        <v>274</v>
      </c>
      <c r="C5312" s="8">
        <v>45957</v>
      </c>
      <c r="D5312" t="s">
        <v>350</v>
      </c>
      <c r="E5312" t="s">
        <v>328</v>
      </c>
      <c r="F5312" s="12">
        <v>594339</v>
      </c>
      <c r="G5312" s="13">
        <v>59</v>
      </c>
      <c r="H5312" t="s">
        <v>3488</v>
      </c>
      <c r="I5312" s="8">
        <v>46057</v>
      </c>
      <c r="J5312" t="s">
        <v>2665</v>
      </c>
      <c r="K5312" t="s">
        <v>2666</v>
      </c>
      <c r="L5312" s="13">
        <v>2500</v>
      </c>
      <c r="M5312" t="s">
        <v>2676</v>
      </c>
    </row>
    <row r="5313" spans="1:13">
      <c r="A5313" t="s">
        <v>2126</v>
      </c>
      <c r="B5313" t="s">
        <v>199</v>
      </c>
      <c r="C5313" s="8">
        <v>46116</v>
      </c>
      <c r="D5313" t="s">
        <v>324</v>
      </c>
      <c r="E5313" t="s">
        <v>328</v>
      </c>
      <c r="F5313" s="12">
        <v>767311</v>
      </c>
      <c r="G5313" s="13">
        <v>76</v>
      </c>
      <c r="H5313" t="s">
        <v>2993</v>
      </c>
      <c r="I5313" s="8">
        <v>46086</v>
      </c>
      <c r="J5313" t="s">
        <v>2659</v>
      </c>
      <c r="K5313" t="s">
        <v>2660</v>
      </c>
      <c r="L5313" s="13">
        <v>3500</v>
      </c>
      <c r="M5313" t="s">
        <v>2661</v>
      </c>
    </row>
    <row r="5314" spans="1:13">
      <c r="A5314" t="s">
        <v>2126</v>
      </c>
      <c r="B5314" t="s">
        <v>199</v>
      </c>
      <c r="C5314" s="8">
        <v>46116</v>
      </c>
      <c r="D5314" t="s">
        <v>324</v>
      </c>
      <c r="E5314" t="s">
        <v>328</v>
      </c>
      <c r="F5314" s="12">
        <v>767311</v>
      </c>
      <c r="G5314" s="13">
        <v>76</v>
      </c>
      <c r="H5314" t="s">
        <v>3004</v>
      </c>
      <c r="I5314" s="8">
        <v>45974</v>
      </c>
      <c r="J5314" t="s">
        <v>2688</v>
      </c>
      <c r="K5314" t="s">
        <v>2689</v>
      </c>
      <c r="L5314" s="13">
        <v>8000</v>
      </c>
      <c r="M5314" t="s">
        <v>2661</v>
      </c>
    </row>
    <row r="5315" spans="1:13">
      <c r="A5315" t="s">
        <v>2126</v>
      </c>
      <c r="B5315" t="s">
        <v>199</v>
      </c>
      <c r="C5315" s="8">
        <v>46116</v>
      </c>
      <c r="D5315" t="s">
        <v>324</v>
      </c>
      <c r="E5315" t="s">
        <v>328</v>
      </c>
      <c r="F5315" s="12">
        <v>767311</v>
      </c>
      <c r="G5315" s="13">
        <v>76</v>
      </c>
      <c r="H5315" t="s">
        <v>3399</v>
      </c>
      <c r="I5315" s="8">
        <v>46093</v>
      </c>
      <c r="J5315" t="s">
        <v>2659</v>
      </c>
      <c r="K5315" t="s">
        <v>2660</v>
      </c>
      <c r="L5315" s="13">
        <v>3500</v>
      </c>
      <c r="M5315" t="s">
        <v>2661</v>
      </c>
    </row>
    <row r="5316" spans="1:13">
      <c r="A5316" t="s">
        <v>2126</v>
      </c>
      <c r="B5316" t="s">
        <v>199</v>
      </c>
      <c r="C5316" s="8">
        <v>46116</v>
      </c>
      <c r="D5316" t="s">
        <v>324</v>
      </c>
      <c r="E5316" t="s">
        <v>328</v>
      </c>
      <c r="F5316" s="12">
        <v>767311</v>
      </c>
      <c r="G5316" s="13">
        <v>76</v>
      </c>
      <c r="H5316" t="s">
        <v>3496</v>
      </c>
      <c r="I5316" s="8">
        <v>46020</v>
      </c>
      <c r="J5316" t="s">
        <v>2674</v>
      </c>
      <c r="K5316" t="s">
        <v>2675</v>
      </c>
      <c r="L5316" s="13">
        <v>20000</v>
      </c>
      <c r="M5316" t="s">
        <v>2661</v>
      </c>
    </row>
    <row r="5317" spans="1:13">
      <c r="A5317" t="s">
        <v>2127</v>
      </c>
      <c r="B5317" t="s">
        <v>161</v>
      </c>
      <c r="C5317" s="8">
        <v>46211</v>
      </c>
      <c r="D5317" t="s">
        <v>327</v>
      </c>
      <c r="E5317" t="s">
        <v>337</v>
      </c>
      <c r="F5317" s="12">
        <v>123872</v>
      </c>
      <c r="G5317" s="13">
        <v>12</v>
      </c>
      <c r="H5317" t="s">
        <v>2737</v>
      </c>
      <c r="I5317" s="8">
        <v>45957</v>
      </c>
      <c r="J5317" t="s">
        <v>2682</v>
      </c>
      <c r="K5317" t="s">
        <v>2683</v>
      </c>
      <c r="L5317" s="13">
        <v>6000</v>
      </c>
      <c r="M5317" t="s">
        <v>2661</v>
      </c>
    </row>
    <row r="5318" spans="1:13">
      <c r="A5318" t="s">
        <v>2127</v>
      </c>
      <c r="B5318" t="s">
        <v>161</v>
      </c>
      <c r="C5318" s="8">
        <v>46211</v>
      </c>
      <c r="D5318" t="s">
        <v>327</v>
      </c>
      <c r="E5318" t="s">
        <v>337</v>
      </c>
      <c r="F5318" s="12">
        <v>123872</v>
      </c>
      <c r="G5318" s="13">
        <v>12</v>
      </c>
      <c r="H5318" t="s">
        <v>2874</v>
      </c>
      <c r="I5318" s="8">
        <v>46115</v>
      </c>
      <c r="J5318" t="s">
        <v>2688</v>
      </c>
      <c r="K5318" t="s">
        <v>2689</v>
      </c>
      <c r="L5318" s="13">
        <v>8000</v>
      </c>
      <c r="M5318" t="s">
        <v>2661</v>
      </c>
    </row>
    <row r="5319" spans="1:13">
      <c r="A5319" t="s">
        <v>2127</v>
      </c>
      <c r="B5319" t="s">
        <v>161</v>
      </c>
      <c r="C5319" s="8">
        <v>46211</v>
      </c>
      <c r="D5319" t="s">
        <v>327</v>
      </c>
      <c r="E5319" t="s">
        <v>337</v>
      </c>
      <c r="F5319" s="12">
        <v>123872</v>
      </c>
      <c r="G5319" s="13">
        <v>12</v>
      </c>
      <c r="H5319" t="s">
        <v>3296</v>
      </c>
      <c r="I5319" s="8">
        <v>46264</v>
      </c>
      <c r="J5319" t="s">
        <v>2659</v>
      </c>
      <c r="K5319" t="s">
        <v>2660</v>
      </c>
      <c r="L5319" s="13">
        <v>3500</v>
      </c>
      <c r="M5319" t="s">
        <v>2661</v>
      </c>
    </row>
    <row r="5320" spans="1:13">
      <c r="A5320" t="s">
        <v>2127</v>
      </c>
      <c r="B5320" t="s">
        <v>161</v>
      </c>
      <c r="C5320" s="8">
        <v>46211</v>
      </c>
      <c r="D5320" t="s">
        <v>327</v>
      </c>
      <c r="E5320" t="s">
        <v>337</v>
      </c>
      <c r="F5320" s="12">
        <v>123872</v>
      </c>
      <c r="G5320" s="13">
        <v>12</v>
      </c>
      <c r="H5320" t="s">
        <v>3457</v>
      </c>
      <c r="I5320" s="8">
        <v>46162</v>
      </c>
      <c r="J5320" t="s">
        <v>2674</v>
      </c>
      <c r="K5320" t="s">
        <v>2675</v>
      </c>
      <c r="L5320" s="13">
        <v>20000</v>
      </c>
      <c r="M5320" t="s">
        <v>2661</v>
      </c>
    </row>
    <row r="5321" spans="1:13">
      <c r="A5321" t="s">
        <v>2127</v>
      </c>
      <c r="B5321" t="s">
        <v>161</v>
      </c>
      <c r="C5321" s="8">
        <v>46211</v>
      </c>
      <c r="D5321" t="s">
        <v>327</v>
      </c>
      <c r="E5321" t="s">
        <v>337</v>
      </c>
      <c r="F5321" s="12">
        <v>123872</v>
      </c>
      <c r="G5321" s="13">
        <v>12</v>
      </c>
      <c r="H5321" t="s">
        <v>3485</v>
      </c>
      <c r="I5321" s="8">
        <v>45934</v>
      </c>
      <c r="J5321" t="s">
        <v>2685</v>
      </c>
      <c r="K5321" t="s">
        <v>2686</v>
      </c>
      <c r="L5321" s="13">
        <v>5000</v>
      </c>
      <c r="M5321" t="s">
        <v>2661</v>
      </c>
    </row>
    <row r="5322" spans="1:13">
      <c r="A5322" t="s">
        <v>2127</v>
      </c>
      <c r="B5322" t="s">
        <v>161</v>
      </c>
      <c r="C5322" s="8">
        <v>46211</v>
      </c>
      <c r="D5322" t="s">
        <v>327</v>
      </c>
      <c r="E5322" t="s">
        <v>337</v>
      </c>
      <c r="F5322" s="12">
        <v>123872</v>
      </c>
      <c r="G5322" s="13">
        <v>12</v>
      </c>
      <c r="H5322" t="s">
        <v>3544</v>
      </c>
      <c r="I5322" s="8">
        <v>46259</v>
      </c>
      <c r="J5322" t="s">
        <v>2671</v>
      </c>
      <c r="K5322" t="s">
        <v>2672</v>
      </c>
      <c r="L5322" s="13">
        <v>3000</v>
      </c>
      <c r="M5322" t="s">
        <v>2661</v>
      </c>
    </row>
    <row r="5323" spans="1:13">
      <c r="A5323" t="s">
        <v>2128</v>
      </c>
      <c r="B5323" t="s">
        <v>280</v>
      </c>
      <c r="C5323" s="8">
        <v>45942</v>
      </c>
      <c r="D5323" t="s">
        <v>324</v>
      </c>
      <c r="E5323" t="s">
        <v>325</v>
      </c>
      <c r="F5323" s="12">
        <v>721287</v>
      </c>
      <c r="G5323" s="13">
        <v>72</v>
      </c>
      <c r="H5323" t="s">
        <v>2673</v>
      </c>
      <c r="I5323" s="8">
        <v>46091</v>
      </c>
      <c r="J5323" t="s">
        <v>2674</v>
      </c>
      <c r="K5323" t="s">
        <v>2675</v>
      </c>
      <c r="L5323" s="13">
        <v>20000</v>
      </c>
      <c r="M5323" t="s">
        <v>2676</v>
      </c>
    </row>
    <row r="5324" spans="1:13">
      <c r="A5324" t="s">
        <v>2128</v>
      </c>
      <c r="B5324" t="s">
        <v>280</v>
      </c>
      <c r="C5324" s="8">
        <v>45942</v>
      </c>
      <c r="D5324" t="s">
        <v>324</v>
      </c>
      <c r="E5324" t="s">
        <v>325</v>
      </c>
      <c r="F5324" s="12">
        <v>721287</v>
      </c>
      <c r="G5324" s="13">
        <v>72</v>
      </c>
      <c r="H5324" t="s">
        <v>2924</v>
      </c>
      <c r="I5324" s="8">
        <v>46275</v>
      </c>
      <c r="J5324" t="s">
        <v>2663</v>
      </c>
      <c r="K5324" t="s">
        <v>3630</v>
      </c>
      <c r="L5324" s="13">
        <v>1500</v>
      </c>
      <c r="M5324" t="s">
        <v>2661</v>
      </c>
    </row>
    <row r="5325" spans="1:13">
      <c r="A5325" t="s">
        <v>2128</v>
      </c>
      <c r="B5325" t="s">
        <v>280</v>
      </c>
      <c r="C5325" s="8">
        <v>45942</v>
      </c>
      <c r="D5325" t="s">
        <v>324</v>
      </c>
      <c r="E5325" t="s">
        <v>325</v>
      </c>
      <c r="F5325" s="12">
        <v>721287</v>
      </c>
      <c r="G5325" s="13">
        <v>72</v>
      </c>
      <c r="H5325" t="s">
        <v>3163</v>
      </c>
      <c r="I5325" s="8">
        <v>46279</v>
      </c>
      <c r="J5325" t="s">
        <v>2668</v>
      </c>
      <c r="K5325" t="s">
        <v>2669</v>
      </c>
      <c r="L5325" s="13">
        <v>4000</v>
      </c>
      <c r="M5325" t="s">
        <v>2661</v>
      </c>
    </row>
    <row r="5326" spans="1:13">
      <c r="A5326" t="s">
        <v>2128</v>
      </c>
      <c r="B5326" t="s">
        <v>280</v>
      </c>
      <c r="C5326" s="8">
        <v>45942</v>
      </c>
      <c r="D5326" t="s">
        <v>324</v>
      </c>
      <c r="E5326" t="s">
        <v>325</v>
      </c>
      <c r="F5326" s="12">
        <v>721287</v>
      </c>
      <c r="G5326" s="13">
        <v>72</v>
      </c>
      <c r="H5326" t="s">
        <v>3286</v>
      </c>
      <c r="I5326" s="8">
        <v>46224</v>
      </c>
      <c r="J5326" t="s">
        <v>2685</v>
      </c>
      <c r="K5326" t="s">
        <v>2686</v>
      </c>
      <c r="L5326" s="13">
        <v>5000</v>
      </c>
      <c r="M5326" t="s">
        <v>2661</v>
      </c>
    </row>
    <row r="5327" spans="1:13">
      <c r="A5327" t="s">
        <v>2128</v>
      </c>
      <c r="B5327" t="s">
        <v>280</v>
      </c>
      <c r="C5327" s="8">
        <v>45942</v>
      </c>
      <c r="D5327" t="s">
        <v>324</v>
      </c>
      <c r="E5327" t="s">
        <v>325</v>
      </c>
      <c r="F5327" s="12">
        <v>721287</v>
      </c>
      <c r="G5327" s="13">
        <v>72</v>
      </c>
      <c r="H5327" t="s">
        <v>3400</v>
      </c>
      <c r="I5327" s="8">
        <v>46126</v>
      </c>
      <c r="J5327" t="s">
        <v>2692</v>
      </c>
      <c r="K5327" t="s">
        <v>2693</v>
      </c>
      <c r="L5327" s="13">
        <v>10000</v>
      </c>
      <c r="M5327" t="s">
        <v>2661</v>
      </c>
    </row>
    <row r="5328" spans="1:13">
      <c r="A5328" t="s">
        <v>2128</v>
      </c>
      <c r="B5328" t="s">
        <v>280</v>
      </c>
      <c r="C5328" s="8">
        <v>45942</v>
      </c>
      <c r="D5328" t="s">
        <v>324</v>
      </c>
      <c r="E5328" t="s">
        <v>325</v>
      </c>
      <c r="F5328" s="12">
        <v>721287</v>
      </c>
      <c r="G5328" s="13">
        <v>72</v>
      </c>
      <c r="H5328" t="s">
        <v>3535</v>
      </c>
      <c r="I5328" s="8">
        <v>46274</v>
      </c>
      <c r="J5328" t="s">
        <v>2659</v>
      </c>
      <c r="K5328" t="s">
        <v>2660</v>
      </c>
      <c r="L5328" s="13">
        <v>3500</v>
      </c>
      <c r="M5328" t="s">
        <v>2661</v>
      </c>
    </row>
    <row r="5329" spans="1:13">
      <c r="A5329" t="s">
        <v>2129</v>
      </c>
      <c r="B5329" t="s">
        <v>202</v>
      </c>
      <c r="C5329" s="8">
        <v>45979</v>
      </c>
      <c r="D5329" t="s">
        <v>342</v>
      </c>
      <c r="E5329" t="s">
        <v>325</v>
      </c>
      <c r="F5329" s="12">
        <v>239988</v>
      </c>
      <c r="G5329" s="13">
        <v>23</v>
      </c>
      <c r="H5329" t="s">
        <v>3145</v>
      </c>
      <c r="I5329" s="8">
        <v>46214</v>
      </c>
      <c r="J5329" t="s">
        <v>2665</v>
      </c>
      <c r="K5329" t="s">
        <v>2666</v>
      </c>
      <c r="L5329" s="13">
        <v>2500</v>
      </c>
      <c r="M5329" t="s">
        <v>2676</v>
      </c>
    </row>
    <row r="5330" spans="1:13">
      <c r="A5330" t="s">
        <v>2129</v>
      </c>
      <c r="B5330" t="s">
        <v>202</v>
      </c>
      <c r="C5330" s="8">
        <v>45979</v>
      </c>
      <c r="D5330" t="s">
        <v>342</v>
      </c>
      <c r="E5330" t="s">
        <v>325</v>
      </c>
      <c r="F5330" s="12">
        <v>239988</v>
      </c>
      <c r="G5330" s="13">
        <v>23</v>
      </c>
      <c r="H5330" t="s">
        <v>3155</v>
      </c>
      <c r="I5330" s="8">
        <v>46206</v>
      </c>
      <c r="J5330" t="s">
        <v>2659</v>
      </c>
      <c r="K5330" t="s">
        <v>2660</v>
      </c>
      <c r="L5330" s="13">
        <v>3500</v>
      </c>
      <c r="M5330" t="s">
        <v>2661</v>
      </c>
    </row>
    <row r="5331" spans="1:13">
      <c r="A5331" t="s">
        <v>2130</v>
      </c>
      <c r="B5331" t="s">
        <v>199</v>
      </c>
      <c r="C5331" s="8">
        <v>45992</v>
      </c>
      <c r="D5331" t="s">
        <v>321</v>
      </c>
      <c r="E5331" t="s">
        <v>334</v>
      </c>
      <c r="F5331" s="12">
        <v>258521</v>
      </c>
      <c r="G5331" s="13">
        <v>25</v>
      </c>
      <c r="H5331" t="s">
        <v>2993</v>
      </c>
      <c r="I5331" s="8">
        <v>46086</v>
      </c>
      <c r="J5331" t="s">
        <v>2659</v>
      </c>
      <c r="K5331" t="s">
        <v>2660</v>
      </c>
      <c r="L5331" s="13">
        <v>3500</v>
      </c>
      <c r="M5331" t="s">
        <v>2661</v>
      </c>
    </row>
    <row r="5332" spans="1:13">
      <c r="A5332" t="s">
        <v>2130</v>
      </c>
      <c r="B5332" t="s">
        <v>199</v>
      </c>
      <c r="C5332" s="8">
        <v>45992</v>
      </c>
      <c r="D5332" t="s">
        <v>321</v>
      </c>
      <c r="E5332" t="s">
        <v>334</v>
      </c>
      <c r="F5332" s="12">
        <v>258521</v>
      </c>
      <c r="G5332" s="13">
        <v>25</v>
      </c>
      <c r="H5332" t="s">
        <v>3004</v>
      </c>
      <c r="I5332" s="8">
        <v>45974</v>
      </c>
      <c r="J5332" t="s">
        <v>2688</v>
      </c>
      <c r="K5332" t="s">
        <v>2689</v>
      </c>
      <c r="L5332" s="13">
        <v>8000</v>
      </c>
      <c r="M5332" t="s">
        <v>2661</v>
      </c>
    </row>
    <row r="5333" spans="1:13">
      <c r="A5333" t="s">
        <v>2130</v>
      </c>
      <c r="B5333" t="s">
        <v>199</v>
      </c>
      <c r="C5333" s="8">
        <v>45992</v>
      </c>
      <c r="D5333" t="s">
        <v>321</v>
      </c>
      <c r="E5333" t="s">
        <v>334</v>
      </c>
      <c r="F5333" s="12">
        <v>258521</v>
      </c>
      <c r="G5333" s="13">
        <v>25</v>
      </c>
      <c r="H5333" t="s">
        <v>3399</v>
      </c>
      <c r="I5333" s="8">
        <v>46093</v>
      </c>
      <c r="J5333" t="s">
        <v>2659</v>
      </c>
      <c r="K5333" t="s">
        <v>2660</v>
      </c>
      <c r="L5333" s="13">
        <v>3500</v>
      </c>
      <c r="M5333" t="s">
        <v>2661</v>
      </c>
    </row>
    <row r="5334" spans="1:13">
      <c r="A5334" t="s">
        <v>2130</v>
      </c>
      <c r="B5334" t="s">
        <v>199</v>
      </c>
      <c r="C5334" s="8">
        <v>45992</v>
      </c>
      <c r="D5334" t="s">
        <v>321</v>
      </c>
      <c r="E5334" t="s">
        <v>334</v>
      </c>
      <c r="F5334" s="12">
        <v>258521</v>
      </c>
      <c r="G5334" s="13">
        <v>25</v>
      </c>
      <c r="H5334" t="s">
        <v>3496</v>
      </c>
      <c r="I5334" s="8">
        <v>46020</v>
      </c>
      <c r="J5334" t="s">
        <v>2674</v>
      </c>
      <c r="K5334" t="s">
        <v>2675</v>
      </c>
      <c r="L5334" s="13">
        <v>20000</v>
      </c>
      <c r="M5334" t="s">
        <v>2661</v>
      </c>
    </row>
    <row r="5335" spans="1:13">
      <c r="A5335" t="s">
        <v>2131</v>
      </c>
      <c r="B5335" t="s">
        <v>22</v>
      </c>
      <c r="C5335" s="8">
        <v>46214</v>
      </c>
      <c r="D5335" t="s">
        <v>330</v>
      </c>
      <c r="E5335" t="s">
        <v>339</v>
      </c>
      <c r="F5335" s="12">
        <v>574473</v>
      </c>
      <c r="G5335" s="13">
        <v>57</v>
      </c>
      <c r="H5335" t="s">
        <v>3212</v>
      </c>
      <c r="I5335" s="8">
        <v>45987</v>
      </c>
      <c r="J5335" t="s">
        <v>2659</v>
      </c>
      <c r="K5335" t="s">
        <v>2660</v>
      </c>
      <c r="L5335" s="13">
        <v>3500</v>
      </c>
      <c r="M5335" t="s">
        <v>2661</v>
      </c>
    </row>
    <row r="5336" spans="1:13">
      <c r="A5336" t="s">
        <v>2131</v>
      </c>
      <c r="B5336" t="s">
        <v>22</v>
      </c>
      <c r="C5336" s="8">
        <v>46214</v>
      </c>
      <c r="D5336" t="s">
        <v>330</v>
      </c>
      <c r="E5336" t="s">
        <v>339</v>
      </c>
      <c r="F5336" s="12">
        <v>574473</v>
      </c>
      <c r="G5336" s="13">
        <v>57</v>
      </c>
      <c r="H5336" t="s">
        <v>3444</v>
      </c>
      <c r="I5336" s="8">
        <v>46084</v>
      </c>
      <c r="J5336" t="s">
        <v>2659</v>
      </c>
      <c r="K5336" t="s">
        <v>2660</v>
      </c>
      <c r="L5336" s="13">
        <v>3500</v>
      </c>
      <c r="M5336" t="s">
        <v>2661</v>
      </c>
    </row>
    <row r="5337" spans="1:13">
      <c r="A5337" t="s">
        <v>2131</v>
      </c>
      <c r="B5337" t="s">
        <v>22</v>
      </c>
      <c r="C5337" s="8">
        <v>46214</v>
      </c>
      <c r="D5337" t="s">
        <v>330</v>
      </c>
      <c r="E5337" t="s">
        <v>339</v>
      </c>
      <c r="F5337" s="12">
        <v>574473</v>
      </c>
      <c r="G5337" s="13">
        <v>57</v>
      </c>
      <c r="H5337" t="s">
        <v>3537</v>
      </c>
      <c r="I5337" s="8">
        <v>46009</v>
      </c>
      <c r="J5337" t="s">
        <v>2659</v>
      </c>
      <c r="K5337" t="s">
        <v>2660</v>
      </c>
      <c r="L5337" s="13">
        <v>3500</v>
      </c>
      <c r="M5337" t="s">
        <v>2661</v>
      </c>
    </row>
    <row r="5338" spans="1:13">
      <c r="A5338" t="s">
        <v>2132</v>
      </c>
      <c r="B5338" t="s">
        <v>212</v>
      </c>
      <c r="C5338" s="8">
        <v>46261</v>
      </c>
      <c r="D5338" t="s">
        <v>327</v>
      </c>
      <c r="E5338" t="s">
        <v>325</v>
      </c>
      <c r="F5338" s="12">
        <v>432784</v>
      </c>
      <c r="G5338" s="13">
        <v>43</v>
      </c>
      <c r="H5338" t="s">
        <v>2760</v>
      </c>
      <c r="I5338" s="8">
        <v>46244</v>
      </c>
      <c r="J5338" t="s">
        <v>2668</v>
      </c>
      <c r="K5338" t="s">
        <v>2669</v>
      </c>
      <c r="L5338" s="13">
        <v>4000</v>
      </c>
      <c r="M5338" t="s">
        <v>2661</v>
      </c>
    </row>
    <row r="5339" spans="1:13">
      <c r="A5339" t="s">
        <v>2132</v>
      </c>
      <c r="B5339" t="s">
        <v>212</v>
      </c>
      <c r="C5339" s="8">
        <v>46261</v>
      </c>
      <c r="D5339" t="s">
        <v>327</v>
      </c>
      <c r="E5339" t="s">
        <v>325</v>
      </c>
      <c r="F5339" s="12">
        <v>432784</v>
      </c>
      <c r="G5339" s="13">
        <v>43</v>
      </c>
      <c r="H5339" t="s">
        <v>2935</v>
      </c>
      <c r="I5339" s="8">
        <v>46216</v>
      </c>
      <c r="J5339" t="s">
        <v>2665</v>
      </c>
      <c r="K5339" t="s">
        <v>2666</v>
      </c>
      <c r="L5339" s="13">
        <v>2500</v>
      </c>
      <c r="M5339" t="s">
        <v>2661</v>
      </c>
    </row>
    <row r="5340" spans="1:13">
      <c r="A5340" t="s">
        <v>2132</v>
      </c>
      <c r="B5340" t="s">
        <v>212</v>
      </c>
      <c r="C5340" s="8">
        <v>46261</v>
      </c>
      <c r="D5340" t="s">
        <v>327</v>
      </c>
      <c r="E5340" t="s">
        <v>325</v>
      </c>
      <c r="F5340" s="12">
        <v>432784</v>
      </c>
      <c r="G5340" s="13">
        <v>43</v>
      </c>
      <c r="H5340" t="s">
        <v>3100</v>
      </c>
      <c r="I5340" s="8">
        <v>46226</v>
      </c>
      <c r="J5340" t="s">
        <v>2665</v>
      </c>
      <c r="K5340" t="s">
        <v>2666</v>
      </c>
      <c r="L5340" s="13">
        <v>2500</v>
      </c>
      <c r="M5340" t="s">
        <v>2661</v>
      </c>
    </row>
    <row r="5341" spans="1:13">
      <c r="A5341" t="s">
        <v>2133</v>
      </c>
      <c r="B5341" t="s">
        <v>51</v>
      </c>
      <c r="C5341" s="8">
        <v>46129</v>
      </c>
      <c r="D5341" t="s">
        <v>327</v>
      </c>
      <c r="E5341" t="s">
        <v>334</v>
      </c>
      <c r="F5341" s="12">
        <v>318622</v>
      </c>
      <c r="G5341" s="13">
        <v>31</v>
      </c>
      <c r="H5341" t="s">
        <v>2800</v>
      </c>
      <c r="I5341" s="8">
        <v>46266</v>
      </c>
      <c r="J5341" t="s">
        <v>2674</v>
      </c>
      <c r="K5341" t="s">
        <v>2675</v>
      </c>
      <c r="L5341" s="13">
        <v>20000</v>
      </c>
      <c r="M5341" t="s">
        <v>2676</v>
      </c>
    </row>
    <row r="5342" spans="1:13">
      <c r="A5342" t="s">
        <v>2133</v>
      </c>
      <c r="B5342" t="s">
        <v>51</v>
      </c>
      <c r="C5342" s="8">
        <v>46129</v>
      </c>
      <c r="D5342" t="s">
        <v>327</v>
      </c>
      <c r="E5342" t="s">
        <v>334</v>
      </c>
      <c r="F5342" s="12">
        <v>318622</v>
      </c>
      <c r="G5342" s="13">
        <v>31</v>
      </c>
      <c r="H5342" t="s">
        <v>3477</v>
      </c>
      <c r="I5342" s="8">
        <v>46036</v>
      </c>
      <c r="J5342" t="s">
        <v>2671</v>
      </c>
      <c r="K5342" t="s">
        <v>2672</v>
      </c>
      <c r="L5342" s="13">
        <v>3000</v>
      </c>
      <c r="M5342" t="s">
        <v>2661</v>
      </c>
    </row>
    <row r="5343" spans="1:13">
      <c r="A5343" t="s">
        <v>2134</v>
      </c>
      <c r="B5343" t="s">
        <v>290</v>
      </c>
      <c r="C5343" s="8">
        <v>46047</v>
      </c>
      <c r="D5343" t="s">
        <v>324</v>
      </c>
      <c r="E5343" t="s">
        <v>328</v>
      </c>
      <c r="F5343" s="12">
        <v>168477</v>
      </c>
      <c r="G5343" s="13">
        <v>16</v>
      </c>
      <c r="H5343" t="s">
        <v>3253</v>
      </c>
      <c r="I5343" s="8">
        <v>46053</v>
      </c>
      <c r="J5343" t="s">
        <v>2688</v>
      </c>
      <c r="K5343" t="s">
        <v>2689</v>
      </c>
      <c r="L5343" s="13">
        <v>8000</v>
      </c>
      <c r="M5343" t="s">
        <v>2661</v>
      </c>
    </row>
    <row r="5344" spans="1:13">
      <c r="A5344" t="s">
        <v>2134</v>
      </c>
      <c r="B5344" t="s">
        <v>290</v>
      </c>
      <c r="C5344" s="8">
        <v>46047</v>
      </c>
      <c r="D5344" t="s">
        <v>324</v>
      </c>
      <c r="E5344" t="s">
        <v>328</v>
      </c>
      <c r="F5344" s="12">
        <v>168477</v>
      </c>
      <c r="G5344" s="13">
        <v>16</v>
      </c>
      <c r="H5344" t="s">
        <v>3256</v>
      </c>
      <c r="I5344" s="8">
        <v>45968</v>
      </c>
      <c r="J5344" t="s">
        <v>2688</v>
      </c>
      <c r="K5344" t="s">
        <v>2689</v>
      </c>
      <c r="L5344" s="13">
        <v>8000</v>
      </c>
      <c r="M5344" t="s">
        <v>2676</v>
      </c>
    </row>
    <row r="5345" spans="1:13">
      <c r="A5345" t="s">
        <v>2135</v>
      </c>
      <c r="B5345" t="s">
        <v>280</v>
      </c>
      <c r="C5345" s="8">
        <v>46247</v>
      </c>
      <c r="D5345" t="s">
        <v>350</v>
      </c>
      <c r="E5345" t="s">
        <v>337</v>
      </c>
      <c r="F5345" s="12">
        <v>146785</v>
      </c>
      <c r="G5345" s="13">
        <v>14</v>
      </c>
      <c r="H5345" t="s">
        <v>2673</v>
      </c>
      <c r="I5345" s="8">
        <v>46091</v>
      </c>
      <c r="J5345" t="s">
        <v>2674</v>
      </c>
      <c r="K5345" t="s">
        <v>2675</v>
      </c>
      <c r="L5345" s="13">
        <v>20000</v>
      </c>
      <c r="M5345" t="s">
        <v>2676</v>
      </c>
    </row>
    <row r="5346" spans="1:13">
      <c r="A5346" t="s">
        <v>2135</v>
      </c>
      <c r="B5346" t="s">
        <v>280</v>
      </c>
      <c r="C5346" s="8">
        <v>46247</v>
      </c>
      <c r="D5346" t="s">
        <v>350</v>
      </c>
      <c r="E5346" t="s">
        <v>337</v>
      </c>
      <c r="F5346" s="12">
        <v>146785</v>
      </c>
      <c r="G5346" s="13">
        <v>14</v>
      </c>
      <c r="H5346" t="s">
        <v>2924</v>
      </c>
      <c r="I5346" s="8">
        <v>46275</v>
      </c>
      <c r="J5346" t="s">
        <v>2663</v>
      </c>
      <c r="K5346" t="s">
        <v>3630</v>
      </c>
      <c r="L5346" s="13">
        <v>1500</v>
      </c>
      <c r="M5346" t="s">
        <v>2661</v>
      </c>
    </row>
    <row r="5347" spans="1:13">
      <c r="A5347" t="s">
        <v>2135</v>
      </c>
      <c r="B5347" t="s">
        <v>280</v>
      </c>
      <c r="C5347" s="8">
        <v>46247</v>
      </c>
      <c r="D5347" t="s">
        <v>350</v>
      </c>
      <c r="E5347" t="s">
        <v>337</v>
      </c>
      <c r="F5347" s="12">
        <v>146785</v>
      </c>
      <c r="G5347" s="13">
        <v>14</v>
      </c>
      <c r="H5347" t="s">
        <v>3163</v>
      </c>
      <c r="I5347" s="8">
        <v>46279</v>
      </c>
      <c r="J5347" t="s">
        <v>2668</v>
      </c>
      <c r="K5347" t="s">
        <v>2669</v>
      </c>
      <c r="L5347" s="13">
        <v>4000</v>
      </c>
      <c r="M5347" t="s">
        <v>2661</v>
      </c>
    </row>
    <row r="5348" spans="1:13">
      <c r="A5348" t="s">
        <v>2135</v>
      </c>
      <c r="B5348" t="s">
        <v>280</v>
      </c>
      <c r="C5348" s="8">
        <v>46247</v>
      </c>
      <c r="D5348" t="s">
        <v>350</v>
      </c>
      <c r="E5348" t="s">
        <v>337</v>
      </c>
      <c r="F5348" s="12">
        <v>146785</v>
      </c>
      <c r="G5348" s="13">
        <v>14</v>
      </c>
      <c r="H5348" t="s">
        <v>3286</v>
      </c>
      <c r="I5348" s="8">
        <v>46224</v>
      </c>
      <c r="J5348" t="s">
        <v>2685</v>
      </c>
      <c r="K5348" t="s">
        <v>2686</v>
      </c>
      <c r="L5348" s="13">
        <v>5000</v>
      </c>
      <c r="M5348" t="s">
        <v>2661</v>
      </c>
    </row>
    <row r="5349" spans="1:13">
      <c r="A5349" t="s">
        <v>2135</v>
      </c>
      <c r="B5349" t="s">
        <v>280</v>
      </c>
      <c r="C5349" s="8">
        <v>46247</v>
      </c>
      <c r="D5349" t="s">
        <v>350</v>
      </c>
      <c r="E5349" t="s">
        <v>337</v>
      </c>
      <c r="F5349" s="12">
        <v>146785</v>
      </c>
      <c r="G5349" s="13">
        <v>14</v>
      </c>
      <c r="H5349" t="s">
        <v>3400</v>
      </c>
      <c r="I5349" s="8">
        <v>46126</v>
      </c>
      <c r="J5349" t="s">
        <v>2692</v>
      </c>
      <c r="K5349" t="s">
        <v>2693</v>
      </c>
      <c r="L5349" s="13">
        <v>10000</v>
      </c>
      <c r="M5349" t="s">
        <v>2661</v>
      </c>
    </row>
    <row r="5350" spans="1:13">
      <c r="A5350" t="s">
        <v>2135</v>
      </c>
      <c r="B5350" t="s">
        <v>280</v>
      </c>
      <c r="C5350" s="8">
        <v>46247</v>
      </c>
      <c r="D5350" t="s">
        <v>350</v>
      </c>
      <c r="E5350" t="s">
        <v>337</v>
      </c>
      <c r="F5350" s="12">
        <v>146785</v>
      </c>
      <c r="G5350" s="13">
        <v>14</v>
      </c>
      <c r="H5350" t="s">
        <v>3535</v>
      </c>
      <c r="I5350" s="8">
        <v>46274</v>
      </c>
      <c r="J5350" t="s">
        <v>2659</v>
      </c>
      <c r="K5350" t="s">
        <v>2660</v>
      </c>
      <c r="L5350" s="13">
        <v>3500</v>
      </c>
      <c r="M5350" t="s">
        <v>2661</v>
      </c>
    </row>
    <row r="5351" spans="1:13">
      <c r="A5351" t="s">
        <v>2136</v>
      </c>
      <c r="B5351" t="s">
        <v>261</v>
      </c>
      <c r="C5351" s="8">
        <v>45992</v>
      </c>
      <c r="D5351" t="s">
        <v>342</v>
      </c>
      <c r="E5351" t="s">
        <v>339</v>
      </c>
      <c r="F5351" s="12">
        <v>450343</v>
      </c>
      <c r="G5351" s="13">
        <v>45</v>
      </c>
      <c r="H5351" t="s">
        <v>2876</v>
      </c>
      <c r="I5351" s="8">
        <v>45995</v>
      </c>
      <c r="J5351" t="s">
        <v>2674</v>
      </c>
      <c r="K5351" t="s">
        <v>2675</v>
      </c>
      <c r="L5351" s="13">
        <v>20000</v>
      </c>
      <c r="M5351" t="s">
        <v>2661</v>
      </c>
    </row>
    <row r="5352" spans="1:13">
      <c r="A5352" t="s">
        <v>2136</v>
      </c>
      <c r="B5352" t="s">
        <v>261</v>
      </c>
      <c r="C5352" s="8">
        <v>45992</v>
      </c>
      <c r="D5352" t="s">
        <v>342</v>
      </c>
      <c r="E5352" t="s">
        <v>339</v>
      </c>
      <c r="F5352" s="12">
        <v>450343</v>
      </c>
      <c r="G5352" s="13">
        <v>45</v>
      </c>
      <c r="H5352" t="s">
        <v>3363</v>
      </c>
      <c r="I5352" s="8">
        <v>46057</v>
      </c>
      <c r="J5352" t="s">
        <v>2685</v>
      </c>
      <c r="K5352" t="s">
        <v>2686</v>
      </c>
      <c r="L5352" s="13">
        <v>5000</v>
      </c>
      <c r="M5352" t="s">
        <v>2661</v>
      </c>
    </row>
    <row r="5353" spans="1:13">
      <c r="A5353" t="s">
        <v>2138</v>
      </c>
      <c r="B5353" t="s">
        <v>157</v>
      </c>
      <c r="C5353" s="8">
        <v>46132</v>
      </c>
      <c r="D5353" t="s">
        <v>330</v>
      </c>
      <c r="E5353" t="s">
        <v>325</v>
      </c>
      <c r="F5353" s="12">
        <v>167020</v>
      </c>
      <c r="G5353" s="13">
        <v>16</v>
      </c>
      <c r="H5353" t="s">
        <v>2755</v>
      </c>
      <c r="I5353" s="8">
        <v>45990</v>
      </c>
      <c r="J5353" t="s">
        <v>2663</v>
      </c>
      <c r="K5353" t="s">
        <v>3630</v>
      </c>
      <c r="L5353" s="13">
        <v>1500</v>
      </c>
      <c r="M5353" t="s">
        <v>2661</v>
      </c>
    </row>
    <row r="5354" spans="1:13">
      <c r="A5354" t="s">
        <v>2138</v>
      </c>
      <c r="B5354" t="s">
        <v>157</v>
      </c>
      <c r="C5354" s="8">
        <v>46132</v>
      </c>
      <c r="D5354" t="s">
        <v>330</v>
      </c>
      <c r="E5354" t="s">
        <v>325</v>
      </c>
      <c r="F5354" s="12">
        <v>167020</v>
      </c>
      <c r="G5354" s="13">
        <v>16</v>
      </c>
      <c r="H5354" t="s">
        <v>2929</v>
      </c>
      <c r="I5354" s="8">
        <v>45997</v>
      </c>
      <c r="J5354" t="s">
        <v>2685</v>
      </c>
      <c r="K5354" t="s">
        <v>2686</v>
      </c>
      <c r="L5354" s="13">
        <v>5000</v>
      </c>
      <c r="M5354" t="s">
        <v>2661</v>
      </c>
    </row>
    <row r="5355" spans="1:13">
      <c r="A5355" t="s">
        <v>2138</v>
      </c>
      <c r="B5355" t="s">
        <v>157</v>
      </c>
      <c r="C5355" s="8">
        <v>46132</v>
      </c>
      <c r="D5355" t="s">
        <v>330</v>
      </c>
      <c r="E5355" t="s">
        <v>325</v>
      </c>
      <c r="F5355" s="12">
        <v>167020</v>
      </c>
      <c r="G5355" s="13">
        <v>16</v>
      </c>
      <c r="H5355" t="s">
        <v>3123</v>
      </c>
      <c r="I5355" s="8">
        <v>46088</v>
      </c>
      <c r="J5355" t="s">
        <v>2682</v>
      </c>
      <c r="K5355" t="s">
        <v>2683</v>
      </c>
      <c r="L5355" s="13">
        <v>6000</v>
      </c>
      <c r="M5355" t="s">
        <v>2661</v>
      </c>
    </row>
    <row r="5356" spans="1:13">
      <c r="A5356" t="s">
        <v>2138</v>
      </c>
      <c r="B5356" t="s">
        <v>157</v>
      </c>
      <c r="C5356" s="8">
        <v>46132</v>
      </c>
      <c r="D5356" t="s">
        <v>330</v>
      </c>
      <c r="E5356" t="s">
        <v>325</v>
      </c>
      <c r="F5356" s="12">
        <v>167020</v>
      </c>
      <c r="G5356" s="13">
        <v>16</v>
      </c>
      <c r="H5356" t="s">
        <v>3446</v>
      </c>
      <c r="I5356" s="8">
        <v>46221</v>
      </c>
      <c r="J5356" t="s">
        <v>2692</v>
      </c>
      <c r="K5356" t="s">
        <v>2693</v>
      </c>
      <c r="L5356" s="13">
        <v>10000</v>
      </c>
      <c r="M5356" t="s">
        <v>2661</v>
      </c>
    </row>
    <row r="5357" spans="1:13">
      <c r="A5357" t="s">
        <v>2138</v>
      </c>
      <c r="B5357" t="s">
        <v>157</v>
      </c>
      <c r="C5357" s="8">
        <v>46132</v>
      </c>
      <c r="D5357" t="s">
        <v>330</v>
      </c>
      <c r="E5357" t="s">
        <v>325</v>
      </c>
      <c r="F5357" s="12">
        <v>167020</v>
      </c>
      <c r="G5357" s="13">
        <v>16</v>
      </c>
      <c r="H5357" t="s">
        <v>3563</v>
      </c>
      <c r="I5357" s="8">
        <v>46250</v>
      </c>
      <c r="J5357" t="s">
        <v>2659</v>
      </c>
      <c r="K5357" t="s">
        <v>2660</v>
      </c>
      <c r="L5357" s="13">
        <v>3500</v>
      </c>
      <c r="M5357" t="s">
        <v>2661</v>
      </c>
    </row>
    <row r="5358" spans="1:13">
      <c r="A5358" t="s">
        <v>2139</v>
      </c>
      <c r="B5358" t="s">
        <v>226</v>
      </c>
      <c r="C5358" s="8">
        <v>46100</v>
      </c>
      <c r="D5358" t="s">
        <v>330</v>
      </c>
      <c r="E5358" t="s">
        <v>337</v>
      </c>
      <c r="F5358" s="12">
        <v>201670</v>
      </c>
      <c r="G5358" s="13">
        <v>20</v>
      </c>
      <c r="H5358" t="s">
        <v>2958</v>
      </c>
      <c r="I5358" s="8">
        <v>46253</v>
      </c>
      <c r="J5358" t="s">
        <v>2668</v>
      </c>
      <c r="K5358" t="s">
        <v>2669</v>
      </c>
      <c r="L5358" s="13">
        <v>4000</v>
      </c>
      <c r="M5358" t="s">
        <v>2661</v>
      </c>
    </row>
    <row r="5359" spans="1:13">
      <c r="A5359" t="s">
        <v>2139</v>
      </c>
      <c r="B5359" t="s">
        <v>226</v>
      </c>
      <c r="C5359" s="8">
        <v>46100</v>
      </c>
      <c r="D5359" t="s">
        <v>330</v>
      </c>
      <c r="E5359" t="s">
        <v>337</v>
      </c>
      <c r="F5359" s="12">
        <v>201670</v>
      </c>
      <c r="G5359" s="13">
        <v>20</v>
      </c>
      <c r="H5359" t="s">
        <v>2981</v>
      </c>
      <c r="I5359" s="8">
        <v>45946</v>
      </c>
      <c r="J5359" t="s">
        <v>2674</v>
      </c>
      <c r="K5359" t="s">
        <v>2675</v>
      </c>
      <c r="L5359" s="13">
        <v>20000</v>
      </c>
      <c r="M5359" t="s">
        <v>2661</v>
      </c>
    </row>
    <row r="5360" spans="1:13">
      <c r="A5360" t="s">
        <v>2139</v>
      </c>
      <c r="B5360" t="s">
        <v>226</v>
      </c>
      <c r="C5360" s="8">
        <v>46100</v>
      </c>
      <c r="D5360" t="s">
        <v>330</v>
      </c>
      <c r="E5360" t="s">
        <v>337</v>
      </c>
      <c r="F5360" s="12">
        <v>201670</v>
      </c>
      <c r="G5360" s="13">
        <v>20</v>
      </c>
      <c r="H5360" t="s">
        <v>3349</v>
      </c>
      <c r="I5360" s="8">
        <v>46053</v>
      </c>
      <c r="J5360" t="s">
        <v>2665</v>
      </c>
      <c r="K5360" t="s">
        <v>2666</v>
      </c>
      <c r="L5360" s="13">
        <v>2500</v>
      </c>
      <c r="M5360" t="s">
        <v>2661</v>
      </c>
    </row>
    <row r="5361" spans="1:13">
      <c r="A5361" t="s">
        <v>2139</v>
      </c>
      <c r="B5361" t="s">
        <v>226</v>
      </c>
      <c r="C5361" s="8">
        <v>46100</v>
      </c>
      <c r="D5361" t="s">
        <v>330</v>
      </c>
      <c r="E5361" t="s">
        <v>337</v>
      </c>
      <c r="F5361" s="12">
        <v>201670</v>
      </c>
      <c r="G5361" s="13">
        <v>20</v>
      </c>
      <c r="H5361" t="s">
        <v>3491</v>
      </c>
      <c r="I5361" s="8">
        <v>46167</v>
      </c>
      <c r="J5361" t="s">
        <v>2685</v>
      </c>
      <c r="K5361" t="s">
        <v>2686</v>
      </c>
      <c r="L5361" s="13">
        <v>5000</v>
      </c>
      <c r="M5361" t="s">
        <v>2676</v>
      </c>
    </row>
    <row r="5362" spans="1:13">
      <c r="A5362" t="s">
        <v>2140</v>
      </c>
      <c r="B5362" t="s">
        <v>108</v>
      </c>
      <c r="C5362" s="8">
        <v>46085</v>
      </c>
      <c r="D5362" t="s">
        <v>350</v>
      </c>
      <c r="E5362" t="s">
        <v>334</v>
      </c>
      <c r="F5362" s="12">
        <v>227157</v>
      </c>
      <c r="G5362" s="13">
        <v>22</v>
      </c>
      <c r="H5362" t="s">
        <v>2694</v>
      </c>
      <c r="I5362" s="8">
        <v>46032</v>
      </c>
      <c r="J5362" t="s">
        <v>2682</v>
      </c>
      <c r="K5362" t="s">
        <v>2683</v>
      </c>
      <c r="L5362" s="13">
        <v>6000</v>
      </c>
      <c r="M5362" t="s">
        <v>2661</v>
      </c>
    </row>
    <row r="5363" spans="1:13">
      <c r="A5363" t="s">
        <v>2140</v>
      </c>
      <c r="B5363" t="s">
        <v>108</v>
      </c>
      <c r="C5363" s="8">
        <v>46085</v>
      </c>
      <c r="D5363" t="s">
        <v>350</v>
      </c>
      <c r="E5363" t="s">
        <v>334</v>
      </c>
      <c r="F5363" s="12">
        <v>227157</v>
      </c>
      <c r="G5363" s="13">
        <v>22</v>
      </c>
      <c r="H5363" t="s">
        <v>3089</v>
      </c>
      <c r="I5363" s="8">
        <v>46140</v>
      </c>
      <c r="J5363" t="s">
        <v>2659</v>
      </c>
      <c r="K5363" t="s">
        <v>2660</v>
      </c>
      <c r="L5363" s="13">
        <v>3500</v>
      </c>
      <c r="M5363" t="s">
        <v>2661</v>
      </c>
    </row>
    <row r="5364" spans="1:13">
      <c r="A5364" t="s">
        <v>2140</v>
      </c>
      <c r="B5364" t="s">
        <v>108</v>
      </c>
      <c r="C5364" s="8">
        <v>46085</v>
      </c>
      <c r="D5364" t="s">
        <v>350</v>
      </c>
      <c r="E5364" t="s">
        <v>334</v>
      </c>
      <c r="F5364" s="12">
        <v>227157</v>
      </c>
      <c r="G5364" s="13">
        <v>22</v>
      </c>
      <c r="H5364" t="s">
        <v>3140</v>
      </c>
      <c r="I5364" s="8">
        <v>46168</v>
      </c>
      <c r="J5364" t="s">
        <v>2671</v>
      </c>
      <c r="K5364" t="s">
        <v>2672</v>
      </c>
      <c r="L5364" s="13">
        <v>3000</v>
      </c>
      <c r="M5364" t="s">
        <v>2676</v>
      </c>
    </row>
    <row r="5365" spans="1:13">
      <c r="A5365" t="s">
        <v>2140</v>
      </c>
      <c r="B5365" t="s">
        <v>108</v>
      </c>
      <c r="C5365" s="8">
        <v>46085</v>
      </c>
      <c r="D5365" t="s">
        <v>350</v>
      </c>
      <c r="E5365" t="s">
        <v>334</v>
      </c>
      <c r="F5365" s="12">
        <v>227157</v>
      </c>
      <c r="G5365" s="13">
        <v>22</v>
      </c>
      <c r="H5365" t="s">
        <v>3219</v>
      </c>
      <c r="I5365" s="8">
        <v>45964</v>
      </c>
      <c r="J5365" t="s">
        <v>2692</v>
      </c>
      <c r="K5365" t="s">
        <v>2693</v>
      </c>
      <c r="L5365" s="13">
        <v>10000</v>
      </c>
      <c r="M5365" t="s">
        <v>2676</v>
      </c>
    </row>
    <row r="5366" spans="1:13">
      <c r="A5366" t="s">
        <v>2141</v>
      </c>
      <c r="B5366" t="s">
        <v>310</v>
      </c>
      <c r="C5366" s="8">
        <v>46040</v>
      </c>
      <c r="D5366" t="s">
        <v>324</v>
      </c>
      <c r="E5366" t="s">
        <v>325</v>
      </c>
      <c r="F5366" s="12">
        <v>460947</v>
      </c>
      <c r="G5366" s="13">
        <v>46</v>
      </c>
      <c r="H5366" t="s">
        <v>2712</v>
      </c>
      <c r="I5366" s="8">
        <v>46153</v>
      </c>
      <c r="J5366" t="s">
        <v>2682</v>
      </c>
      <c r="K5366" t="s">
        <v>2683</v>
      </c>
      <c r="L5366" s="13">
        <v>6000</v>
      </c>
      <c r="M5366" t="s">
        <v>2661</v>
      </c>
    </row>
    <row r="5367" spans="1:13">
      <c r="A5367" t="s">
        <v>2141</v>
      </c>
      <c r="B5367" t="s">
        <v>310</v>
      </c>
      <c r="C5367" s="8">
        <v>46040</v>
      </c>
      <c r="D5367" t="s">
        <v>324</v>
      </c>
      <c r="E5367" t="s">
        <v>325</v>
      </c>
      <c r="F5367" s="12">
        <v>460947</v>
      </c>
      <c r="G5367" s="13">
        <v>46</v>
      </c>
      <c r="H5367" t="s">
        <v>2895</v>
      </c>
      <c r="I5367" s="8">
        <v>45957</v>
      </c>
      <c r="J5367" t="s">
        <v>2688</v>
      </c>
      <c r="K5367" t="s">
        <v>2689</v>
      </c>
      <c r="L5367" s="13">
        <v>8000</v>
      </c>
      <c r="M5367" t="s">
        <v>2661</v>
      </c>
    </row>
    <row r="5368" spans="1:13">
      <c r="A5368" t="s">
        <v>2141</v>
      </c>
      <c r="B5368" t="s">
        <v>310</v>
      </c>
      <c r="C5368" s="8">
        <v>46040</v>
      </c>
      <c r="D5368" t="s">
        <v>324</v>
      </c>
      <c r="E5368" t="s">
        <v>325</v>
      </c>
      <c r="F5368" s="12">
        <v>460947</v>
      </c>
      <c r="G5368" s="13">
        <v>46</v>
      </c>
      <c r="H5368" t="s">
        <v>2976</v>
      </c>
      <c r="I5368" s="8">
        <v>46146</v>
      </c>
      <c r="J5368" t="s">
        <v>2685</v>
      </c>
      <c r="K5368" t="s">
        <v>2686</v>
      </c>
      <c r="L5368" s="13">
        <v>5000</v>
      </c>
      <c r="M5368" t="s">
        <v>2661</v>
      </c>
    </row>
    <row r="5369" spans="1:13">
      <c r="A5369" t="s">
        <v>2141</v>
      </c>
      <c r="B5369" t="s">
        <v>310</v>
      </c>
      <c r="C5369" s="8">
        <v>46040</v>
      </c>
      <c r="D5369" t="s">
        <v>324</v>
      </c>
      <c r="E5369" t="s">
        <v>325</v>
      </c>
      <c r="F5369" s="12">
        <v>460947</v>
      </c>
      <c r="G5369" s="13">
        <v>46</v>
      </c>
      <c r="H5369" t="s">
        <v>3295</v>
      </c>
      <c r="I5369" s="8">
        <v>46154</v>
      </c>
      <c r="J5369" t="s">
        <v>2668</v>
      </c>
      <c r="K5369" t="s">
        <v>2669</v>
      </c>
      <c r="L5369" s="13">
        <v>4000</v>
      </c>
      <c r="M5369" t="s">
        <v>2676</v>
      </c>
    </row>
    <row r="5370" spans="1:13">
      <c r="A5370" t="s">
        <v>2141</v>
      </c>
      <c r="B5370" t="s">
        <v>310</v>
      </c>
      <c r="C5370" s="8">
        <v>46040</v>
      </c>
      <c r="D5370" t="s">
        <v>324</v>
      </c>
      <c r="E5370" t="s">
        <v>325</v>
      </c>
      <c r="F5370" s="12">
        <v>460947</v>
      </c>
      <c r="G5370" s="13">
        <v>46</v>
      </c>
      <c r="H5370" t="s">
        <v>3480</v>
      </c>
      <c r="I5370" s="8">
        <v>46012</v>
      </c>
      <c r="J5370" t="s">
        <v>2685</v>
      </c>
      <c r="K5370" t="s">
        <v>2686</v>
      </c>
      <c r="L5370" s="13">
        <v>5000</v>
      </c>
      <c r="M5370" t="s">
        <v>2676</v>
      </c>
    </row>
    <row r="5371" spans="1:13">
      <c r="A5371" t="s">
        <v>2142</v>
      </c>
      <c r="B5371" t="s">
        <v>224</v>
      </c>
      <c r="C5371" s="8">
        <v>46095</v>
      </c>
      <c r="D5371" t="s">
        <v>327</v>
      </c>
      <c r="E5371" t="s">
        <v>339</v>
      </c>
      <c r="F5371" s="12">
        <v>513033</v>
      </c>
      <c r="G5371" s="13">
        <v>51</v>
      </c>
      <c r="H5371" t="s">
        <v>2735</v>
      </c>
      <c r="I5371" s="8">
        <v>45968</v>
      </c>
      <c r="J5371" t="s">
        <v>2682</v>
      </c>
      <c r="K5371" t="s">
        <v>2683</v>
      </c>
      <c r="L5371" s="13">
        <v>6000</v>
      </c>
      <c r="M5371" t="s">
        <v>2661</v>
      </c>
    </row>
    <row r="5372" spans="1:13">
      <c r="A5372" t="s">
        <v>2142</v>
      </c>
      <c r="B5372" t="s">
        <v>224</v>
      </c>
      <c r="C5372" s="8">
        <v>46095</v>
      </c>
      <c r="D5372" t="s">
        <v>327</v>
      </c>
      <c r="E5372" t="s">
        <v>339</v>
      </c>
      <c r="F5372" s="12">
        <v>513033</v>
      </c>
      <c r="G5372" s="13">
        <v>51</v>
      </c>
      <c r="H5372" t="s">
        <v>3406</v>
      </c>
      <c r="I5372" s="8">
        <v>46193</v>
      </c>
      <c r="J5372" t="s">
        <v>2682</v>
      </c>
      <c r="K5372" t="s">
        <v>2683</v>
      </c>
      <c r="L5372" s="13">
        <v>6000</v>
      </c>
      <c r="M5372" t="s">
        <v>2676</v>
      </c>
    </row>
    <row r="5373" spans="1:13">
      <c r="A5373" t="s">
        <v>2142</v>
      </c>
      <c r="B5373" t="s">
        <v>224</v>
      </c>
      <c r="C5373" s="8">
        <v>46095</v>
      </c>
      <c r="D5373" t="s">
        <v>327</v>
      </c>
      <c r="E5373" t="s">
        <v>339</v>
      </c>
      <c r="F5373" s="12">
        <v>513033</v>
      </c>
      <c r="G5373" s="13">
        <v>51</v>
      </c>
      <c r="H5373" t="s">
        <v>3410</v>
      </c>
      <c r="I5373" s="8">
        <v>45967</v>
      </c>
      <c r="J5373" t="s">
        <v>2692</v>
      </c>
      <c r="K5373" t="s">
        <v>2693</v>
      </c>
      <c r="L5373" s="13">
        <v>10000</v>
      </c>
      <c r="M5373" t="s">
        <v>2661</v>
      </c>
    </row>
    <row r="5374" spans="1:13">
      <c r="A5374" t="s">
        <v>2143</v>
      </c>
      <c r="B5374" t="s">
        <v>39</v>
      </c>
      <c r="C5374" s="8">
        <v>45965</v>
      </c>
      <c r="D5374" t="s">
        <v>321</v>
      </c>
      <c r="E5374" t="s">
        <v>325</v>
      </c>
      <c r="F5374" s="12">
        <v>178421</v>
      </c>
      <c r="G5374" s="13">
        <v>17</v>
      </c>
      <c r="H5374" t="s">
        <v>2837</v>
      </c>
      <c r="I5374" s="8">
        <v>45971</v>
      </c>
      <c r="J5374" t="s">
        <v>2668</v>
      </c>
      <c r="K5374" t="s">
        <v>2669</v>
      </c>
      <c r="L5374" s="13">
        <v>4000</v>
      </c>
      <c r="M5374" t="s">
        <v>2661</v>
      </c>
    </row>
    <row r="5375" spans="1:13">
      <c r="A5375" t="s">
        <v>2143</v>
      </c>
      <c r="B5375" t="s">
        <v>39</v>
      </c>
      <c r="C5375" s="8">
        <v>45965</v>
      </c>
      <c r="D5375" t="s">
        <v>321</v>
      </c>
      <c r="E5375" t="s">
        <v>325</v>
      </c>
      <c r="F5375" s="12">
        <v>178421</v>
      </c>
      <c r="G5375" s="13">
        <v>17</v>
      </c>
      <c r="H5375" t="s">
        <v>3308</v>
      </c>
      <c r="I5375" s="8">
        <v>46107</v>
      </c>
      <c r="J5375" t="s">
        <v>2692</v>
      </c>
      <c r="K5375" t="s">
        <v>2693</v>
      </c>
      <c r="L5375" s="13">
        <v>10000</v>
      </c>
      <c r="M5375" t="s">
        <v>2661</v>
      </c>
    </row>
    <row r="5376" spans="1:13">
      <c r="A5376" t="s">
        <v>2144</v>
      </c>
      <c r="B5376" t="s">
        <v>80</v>
      </c>
      <c r="C5376" s="8">
        <v>45966</v>
      </c>
      <c r="D5376" t="s">
        <v>321</v>
      </c>
      <c r="E5376" t="s">
        <v>322</v>
      </c>
      <c r="F5376" s="12">
        <v>552803</v>
      </c>
      <c r="G5376" s="13">
        <v>55</v>
      </c>
      <c r="H5376" t="s">
        <v>2678</v>
      </c>
      <c r="I5376" s="8">
        <v>46011</v>
      </c>
      <c r="J5376" t="s">
        <v>2668</v>
      </c>
      <c r="K5376" t="s">
        <v>2669</v>
      </c>
      <c r="L5376" s="13">
        <v>4000</v>
      </c>
      <c r="M5376" t="s">
        <v>2661</v>
      </c>
    </row>
    <row r="5377" spans="1:13">
      <c r="A5377" t="s">
        <v>2144</v>
      </c>
      <c r="B5377" t="s">
        <v>80</v>
      </c>
      <c r="C5377" s="8">
        <v>45966</v>
      </c>
      <c r="D5377" t="s">
        <v>321</v>
      </c>
      <c r="E5377" t="s">
        <v>322</v>
      </c>
      <c r="F5377" s="12">
        <v>552803</v>
      </c>
      <c r="G5377" s="13">
        <v>55</v>
      </c>
      <c r="H5377" t="s">
        <v>3025</v>
      </c>
      <c r="I5377" s="8">
        <v>46051</v>
      </c>
      <c r="J5377" t="s">
        <v>2682</v>
      </c>
      <c r="K5377" t="s">
        <v>2683</v>
      </c>
      <c r="L5377" s="13">
        <v>6000</v>
      </c>
      <c r="M5377" t="s">
        <v>2676</v>
      </c>
    </row>
    <row r="5378" spans="1:13">
      <c r="A5378" t="s">
        <v>2144</v>
      </c>
      <c r="B5378" t="s">
        <v>80</v>
      </c>
      <c r="C5378" s="8">
        <v>45966</v>
      </c>
      <c r="D5378" t="s">
        <v>321</v>
      </c>
      <c r="E5378" t="s">
        <v>322</v>
      </c>
      <c r="F5378" s="12">
        <v>552803</v>
      </c>
      <c r="G5378" s="13">
        <v>55</v>
      </c>
      <c r="H5378" t="s">
        <v>3221</v>
      </c>
      <c r="I5378" s="8">
        <v>45996</v>
      </c>
      <c r="J5378" t="s">
        <v>2659</v>
      </c>
      <c r="K5378" t="s">
        <v>2660</v>
      </c>
      <c r="L5378" s="13">
        <v>3500</v>
      </c>
      <c r="M5378" t="s">
        <v>2661</v>
      </c>
    </row>
    <row r="5379" spans="1:13">
      <c r="A5379" t="s">
        <v>2144</v>
      </c>
      <c r="B5379" t="s">
        <v>80</v>
      </c>
      <c r="C5379" s="8">
        <v>45966</v>
      </c>
      <c r="D5379" t="s">
        <v>321</v>
      </c>
      <c r="E5379" t="s">
        <v>322</v>
      </c>
      <c r="F5379" s="12">
        <v>552803</v>
      </c>
      <c r="G5379" s="13">
        <v>55</v>
      </c>
      <c r="H5379" t="s">
        <v>3277</v>
      </c>
      <c r="I5379" s="8">
        <v>46150</v>
      </c>
      <c r="J5379" t="s">
        <v>2692</v>
      </c>
      <c r="K5379" t="s">
        <v>2693</v>
      </c>
      <c r="L5379" s="13">
        <v>10000</v>
      </c>
      <c r="M5379" t="s">
        <v>2676</v>
      </c>
    </row>
    <row r="5380" spans="1:13">
      <c r="A5380" t="s">
        <v>2144</v>
      </c>
      <c r="B5380" t="s">
        <v>80</v>
      </c>
      <c r="C5380" s="8">
        <v>45966</v>
      </c>
      <c r="D5380" t="s">
        <v>321</v>
      </c>
      <c r="E5380" t="s">
        <v>322</v>
      </c>
      <c r="F5380" s="12">
        <v>552803</v>
      </c>
      <c r="G5380" s="13">
        <v>55</v>
      </c>
      <c r="H5380" t="s">
        <v>3329</v>
      </c>
      <c r="I5380" s="8">
        <v>45936</v>
      </c>
      <c r="J5380" t="s">
        <v>2682</v>
      </c>
      <c r="K5380" t="s">
        <v>2683</v>
      </c>
      <c r="L5380" s="13">
        <v>6000</v>
      </c>
      <c r="M5380" t="s">
        <v>2661</v>
      </c>
    </row>
    <row r="5381" spans="1:13">
      <c r="A5381" t="s">
        <v>2144</v>
      </c>
      <c r="B5381" t="s">
        <v>80</v>
      </c>
      <c r="C5381" s="8">
        <v>45966</v>
      </c>
      <c r="D5381" t="s">
        <v>321</v>
      </c>
      <c r="E5381" t="s">
        <v>322</v>
      </c>
      <c r="F5381" s="12">
        <v>552803</v>
      </c>
      <c r="G5381" s="13">
        <v>55</v>
      </c>
      <c r="H5381" t="s">
        <v>3545</v>
      </c>
      <c r="I5381" s="8">
        <v>46130</v>
      </c>
      <c r="J5381" t="s">
        <v>2668</v>
      </c>
      <c r="K5381" t="s">
        <v>2669</v>
      </c>
      <c r="L5381" s="13">
        <v>4000</v>
      </c>
      <c r="M5381" t="s">
        <v>2661</v>
      </c>
    </row>
    <row r="5382" spans="1:13">
      <c r="A5382" t="s">
        <v>2145</v>
      </c>
      <c r="B5382" t="s">
        <v>200</v>
      </c>
      <c r="C5382" s="8">
        <v>46084</v>
      </c>
      <c r="D5382" t="s">
        <v>324</v>
      </c>
      <c r="E5382" t="s">
        <v>339</v>
      </c>
      <c r="F5382" s="12">
        <v>54040</v>
      </c>
      <c r="G5382" s="13">
        <v>5</v>
      </c>
      <c r="H5382" t="s">
        <v>2975</v>
      </c>
      <c r="I5382" s="8">
        <v>46008</v>
      </c>
      <c r="J5382" t="s">
        <v>2671</v>
      </c>
      <c r="K5382" t="s">
        <v>2672</v>
      </c>
      <c r="L5382" s="13">
        <v>3000</v>
      </c>
      <c r="M5382" t="s">
        <v>2676</v>
      </c>
    </row>
    <row r="5383" spans="1:13">
      <c r="A5383" t="s">
        <v>2145</v>
      </c>
      <c r="B5383" t="s">
        <v>200</v>
      </c>
      <c r="C5383" s="8">
        <v>46084</v>
      </c>
      <c r="D5383" t="s">
        <v>324</v>
      </c>
      <c r="E5383" t="s">
        <v>339</v>
      </c>
      <c r="F5383" s="12">
        <v>54040</v>
      </c>
      <c r="G5383" s="13">
        <v>5</v>
      </c>
      <c r="H5383" t="s">
        <v>3381</v>
      </c>
      <c r="I5383" s="8">
        <v>46037</v>
      </c>
      <c r="J5383" t="s">
        <v>2663</v>
      </c>
      <c r="K5383" t="s">
        <v>3630</v>
      </c>
      <c r="L5383" s="13">
        <v>1500</v>
      </c>
      <c r="M5383" t="s">
        <v>2661</v>
      </c>
    </row>
    <row r="5384" spans="1:13">
      <c r="A5384" t="s">
        <v>2146</v>
      </c>
      <c r="B5384" t="s">
        <v>129</v>
      </c>
      <c r="C5384" s="8">
        <v>46176</v>
      </c>
      <c r="D5384" t="s">
        <v>330</v>
      </c>
      <c r="E5384" t="s">
        <v>328</v>
      </c>
      <c r="F5384" s="12">
        <v>442176</v>
      </c>
      <c r="G5384" s="13">
        <v>44</v>
      </c>
      <c r="H5384" t="s">
        <v>3185</v>
      </c>
      <c r="I5384" s="8">
        <v>46242</v>
      </c>
      <c r="J5384" t="s">
        <v>2665</v>
      </c>
      <c r="K5384" t="s">
        <v>2666</v>
      </c>
      <c r="L5384" s="13">
        <v>2500</v>
      </c>
      <c r="M5384" t="s">
        <v>2661</v>
      </c>
    </row>
    <row r="5385" spans="1:13">
      <c r="A5385" t="s">
        <v>2148</v>
      </c>
      <c r="B5385" t="s">
        <v>16</v>
      </c>
      <c r="C5385" s="8">
        <v>46275</v>
      </c>
      <c r="D5385" t="s">
        <v>324</v>
      </c>
      <c r="E5385" t="s">
        <v>339</v>
      </c>
      <c r="F5385" s="12">
        <v>317846</v>
      </c>
      <c r="G5385" s="13">
        <v>31</v>
      </c>
      <c r="H5385" t="s">
        <v>2886</v>
      </c>
      <c r="I5385" s="8">
        <v>46006</v>
      </c>
      <c r="J5385" t="s">
        <v>2659</v>
      </c>
      <c r="K5385" t="s">
        <v>2660</v>
      </c>
      <c r="L5385" s="13">
        <v>3500</v>
      </c>
      <c r="M5385" t="s">
        <v>2661</v>
      </c>
    </row>
    <row r="5386" spans="1:13">
      <c r="A5386" t="s">
        <v>2148</v>
      </c>
      <c r="B5386" t="s">
        <v>16</v>
      </c>
      <c r="C5386" s="8">
        <v>46275</v>
      </c>
      <c r="D5386" t="s">
        <v>324</v>
      </c>
      <c r="E5386" t="s">
        <v>339</v>
      </c>
      <c r="F5386" s="12">
        <v>317846</v>
      </c>
      <c r="G5386" s="13">
        <v>31</v>
      </c>
      <c r="H5386" t="s">
        <v>3402</v>
      </c>
      <c r="I5386" s="8">
        <v>46050</v>
      </c>
      <c r="J5386" t="s">
        <v>2668</v>
      </c>
      <c r="K5386" t="s">
        <v>2669</v>
      </c>
      <c r="L5386" s="13">
        <v>4000</v>
      </c>
      <c r="M5386" t="s">
        <v>2661</v>
      </c>
    </row>
    <row r="5387" spans="1:13">
      <c r="A5387" t="s">
        <v>2149</v>
      </c>
      <c r="B5387" t="s">
        <v>164</v>
      </c>
      <c r="C5387" s="8">
        <v>45951</v>
      </c>
      <c r="D5387" t="s">
        <v>332</v>
      </c>
      <c r="E5387" t="s">
        <v>334</v>
      </c>
      <c r="F5387" s="12">
        <v>168265</v>
      </c>
      <c r="G5387" s="13">
        <v>16</v>
      </c>
      <c r="H5387" t="s">
        <v>2971</v>
      </c>
      <c r="I5387" s="8">
        <v>46018</v>
      </c>
      <c r="J5387" t="s">
        <v>2665</v>
      </c>
      <c r="K5387" t="s">
        <v>2666</v>
      </c>
      <c r="L5387" s="13">
        <v>2500</v>
      </c>
      <c r="M5387" t="s">
        <v>2661</v>
      </c>
    </row>
    <row r="5388" spans="1:13">
      <c r="A5388" t="s">
        <v>2149</v>
      </c>
      <c r="B5388" t="s">
        <v>164</v>
      </c>
      <c r="C5388" s="8">
        <v>45951</v>
      </c>
      <c r="D5388" t="s">
        <v>332</v>
      </c>
      <c r="E5388" t="s">
        <v>334</v>
      </c>
      <c r="F5388" s="12">
        <v>168265</v>
      </c>
      <c r="G5388" s="13">
        <v>16</v>
      </c>
      <c r="H5388" t="s">
        <v>3109</v>
      </c>
      <c r="I5388" s="8">
        <v>46204</v>
      </c>
      <c r="J5388" t="s">
        <v>2668</v>
      </c>
      <c r="K5388" t="s">
        <v>2669</v>
      </c>
      <c r="L5388" s="13">
        <v>4000</v>
      </c>
      <c r="M5388" t="s">
        <v>2676</v>
      </c>
    </row>
    <row r="5389" spans="1:13">
      <c r="A5389" t="s">
        <v>2149</v>
      </c>
      <c r="B5389" t="s">
        <v>164</v>
      </c>
      <c r="C5389" s="8">
        <v>45951</v>
      </c>
      <c r="D5389" t="s">
        <v>332</v>
      </c>
      <c r="E5389" t="s">
        <v>334</v>
      </c>
      <c r="F5389" s="12">
        <v>168265</v>
      </c>
      <c r="G5389" s="13">
        <v>16</v>
      </c>
      <c r="H5389" t="s">
        <v>3298</v>
      </c>
      <c r="I5389" s="8">
        <v>46208</v>
      </c>
      <c r="J5389" t="s">
        <v>2692</v>
      </c>
      <c r="K5389" t="s">
        <v>2693</v>
      </c>
      <c r="L5389" s="13">
        <v>10000</v>
      </c>
      <c r="M5389" t="s">
        <v>2661</v>
      </c>
    </row>
    <row r="5390" spans="1:13">
      <c r="A5390" t="s">
        <v>2149</v>
      </c>
      <c r="B5390" t="s">
        <v>164</v>
      </c>
      <c r="C5390" s="8">
        <v>45951</v>
      </c>
      <c r="D5390" t="s">
        <v>332</v>
      </c>
      <c r="E5390" t="s">
        <v>334</v>
      </c>
      <c r="F5390" s="12">
        <v>168265</v>
      </c>
      <c r="G5390" s="13">
        <v>16</v>
      </c>
      <c r="H5390" t="s">
        <v>3523</v>
      </c>
      <c r="I5390" s="8">
        <v>46098</v>
      </c>
      <c r="J5390" t="s">
        <v>2659</v>
      </c>
      <c r="K5390" t="s">
        <v>2660</v>
      </c>
      <c r="L5390" s="13">
        <v>3500</v>
      </c>
      <c r="M5390" t="s">
        <v>2661</v>
      </c>
    </row>
    <row r="5391" spans="1:13">
      <c r="A5391" t="s">
        <v>2150</v>
      </c>
      <c r="B5391" t="s">
        <v>263</v>
      </c>
      <c r="C5391" s="8">
        <v>46127</v>
      </c>
      <c r="D5391" t="s">
        <v>321</v>
      </c>
      <c r="E5391" t="s">
        <v>322</v>
      </c>
      <c r="F5391" s="12">
        <v>317609</v>
      </c>
      <c r="G5391" s="13">
        <v>31</v>
      </c>
      <c r="H5391" t="s">
        <v>2702</v>
      </c>
      <c r="I5391" s="8">
        <v>45976</v>
      </c>
      <c r="J5391" t="s">
        <v>2685</v>
      </c>
      <c r="K5391" t="s">
        <v>2686</v>
      </c>
      <c r="L5391" s="13">
        <v>5000</v>
      </c>
      <c r="M5391" t="s">
        <v>2661</v>
      </c>
    </row>
    <row r="5392" spans="1:13">
      <c r="A5392" t="s">
        <v>2150</v>
      </c>
      <c r="B5392" t="s">
        <v>263</v>
      </c>
      <c r="C5392" s="8">
        <v>46127</v>
      </c>
      <c r="D5392" t="s">
        <v>321</v>
      </c>
      <c r="E5392" t="s">
        <v>322</v>
      </c>
      <c r="F5392" s="12">
        <v>317609</v>
      </c>
      <c r="G5392" s="13">
        <v>31</v>
      </c>
      <c r="H5392" t="s">
        <v>2901</v>
      </c>
      <c r="I5392" s="8">
        <v>45949</v>
      </c>
      <c r="J5392" t="s">
        <v>2674</v>
      </c>
      <c r="K5392" t="s">
        <v>2675</v>
      </c>
      <c r="L5392" s="13">
        <v>20000</v>
      </c>
      <c r="M5392" t="s">
        <v>2661</v>
      </c>
    </row>
    <row r="5393" spans="1:13">
      <c r="A5393" t="s">
        <v>2150</v>
      </c>
      <c r="B5393" t="s">
        <v>263</v>
      </c>
      <c r="C5393" s="8">
        <v>46127</v>
      </c>
      <c r="D5393" t="s">
        <v>321</v>
      </c>
      <c r="E5393" t="s">
        <v>322</v>
      </c>
      <c r="F5393" s="12">
        <v>317609</v>
      </c>
      <c r="G5393" s="13">
        <v>31</v>
      </c>
      <c r="H5393" t="s">
        <v>3104</v>
      </c>
      <c r="I5393" s="8">
        <v>45992</v>
      </c>
      <c r="J5393" t="s">
        <v>2663</v>
      </c>
      <c r="K5393" t="s">
        <v>3630</v>
      </c>
      <c r="L5393" s="13">
        <v>1500</v>
      </c>
      <c r="M5393" t="s">
        <v>2676</v>
      </c>
    </row>
    <row r="5394" spans="1:13">
      <c r="A5394" t="s">
        <v>2150</v>
      </c>
      <c r="B5394" t="s">
        <v>263</v>
      </c>
      <c r="C5394" s="8">
        <v>46127</v>
      </c>
      <c r="D5394" t="s">
        <v>321</v>
      </c>
      <c r="E5394" t="s">
        <v>322</v>
      </c>
      <c r="F5394" s="12">
        <v>317609</v>
      </c>
      <c r="G5394" s="13">
        <v>31</v>
      </c>
      <c r="H5394" t="s">
        <v>3195</v>
      </c>
      <c r="I5394" s="8">
        <v>46111</v>
      </c>
      <c r="J5394" t="s">
        <v>2663</v>
      </c>
      <c r="K5394" t="s">
        <v>3630</v>
      </c>
      <c r="L5394" s="13">
        <v>1500</v>
      </c>
      <c r="M5394" t="s">
        <v>2661</v>
      </c>
    </row>
    <row r="5395" spans="1:13">
      <c r="A5395" t="s">
        <v>2150</v>
      </c>
      <c r="B5395" t="s">
        <v>263</v>
      </c>
      <c r="C5395" s="8">
        <v>46127</v>
      </c>
      <c r="D5395" t="s">
        <v>321</v>
      </c>
      <c r="E5395" t="s">
        <v>322</v>
      </c>
      <c r="F5395" s="12">
        <v>317609</v>
      </c>
      <c r="G5395" s="13">
        <v>31</v>
      </c>
      <c r="H5395" t="s">
        <v>3312</v>
      </c>
      <c r="I5395" s="8">
        <v>46286</v>
      </c>
      <c r="J5395" t="s">
        <v>2665</v>
      </c>
      <c r="K5395" t="s">
        <v>2666</v>
      </c>
      <c r="L5395" s="13">
        <v>2500</v>
      </c>
      <c r="M5395" t="s">
        <v>2661</v>
      </c>
    </row>
    <row r="5396" spans="1:13">
      <c r="A5396" t="s">
        <v>2151</v>
      </c>
      <c r="B5396" t="s">
        <v>261</v>
      </c>
      <c r="C5396" s="8">
        <v>46257</v>
      </c>
      <c r="D5396" t="s">
        <v>342</v>
      </c>
      <c r="E5396" t="s">
        <v>337</v>
      </c>
      <c r="F5396" s="12">
        <v>368161</v>
      </c>
      <c r="G5396" s="13">
        <v>36</v>
      </c>
      <c r="H5396" t="s">
        <v>2876</v>
      </c>
      <c r="I5396" s="8">
        <v>45995</v>
      </c>
      <c r="J5396" t="s">
        <v>2674</v>
      </c>
      <c r="K5396" t="s">
        <v>2675</v>
      </c>
      <c r="L5396" s="13">
        <v>20000</v>
      </c>
      <c r="M5396" t="s">
        <v>2661</v>
      </c>
    </row>
    <row r="5397" spans="1:13">
      <c r="A5397" t="s">
        <v>2151</v>
      </c>
      <c r="B5397" t="s">
        <v>261</v>
      </c>
      <c r="C5397" s="8">
        <v>46257</v>
      </c>
      <c r="D5397" t="s">
        <v>342</v>
      </c>
      <c r="E5397" t="s">
        <v>337</v>
      </c>
      <c r="F5397" s="12">
        <v>368161</v>
      </c>
      <c r="G5397" s="13">
        <v>36</v>
      </c>
      <c r="H5397" t="s">
        <v>3363</v>
      </c>
      <c r="I5397" s="8">
        <v>46057</v>
      </c>
      <c r="J5397" t="s">
        <v>2685</v>
      </c>
      <c r="K5397" t="s">
        <v>2686</v>
      </c>
      <c r="L5397" s="13">
        <v>5000</v>
      </c>
      <c r="M5397" t="s">
        <v>2661</v>
      </c>
    </row>
    <row r="5398" spans="1:13">
      <c r="A5398" t="s">
        <v>2152</v>
      </c>
      <c r="B5398" t="s">
        <v>64</v>
      </c>
      <c r="C5398" s="8">
        <v>46054</v>
      </c>
      <c r="D5398" t="s">
        <v>321</v>
      </c>
      <c r="E5398" t="s">
        <v>322</v>
      </c>
      <c r="F5398" s="12">
        <v>145769</v>
      </c>
      <c r="G5398" s="13">
        <v>14</v>
      </c>
      <c r="H5398" t="s">
        <v>2733</v>
      </c>
      <c r="I5398" s="8">
        <v>46127</v>
      </c>
      <c r="J5398" t="s">
        <v>2674</v>
      </c>
      <c r="K5398" t="s">
        <v>2675</v>
      </c>
      <c r="L5398" s="13">
        <v>20000</v>
      </c>
      <c r="M5398" t="s">
        <v>2661</v>
      </c>
    </row>
    <row r="5399" spans="1:13">
      <c r="A5399" t="s">
        <v>2152</v>
      </c>
      <c r="B5399" t="s">
        <v>64</v>
      </c>
      <c r="C5399" s="8">
        <v>46054</v>
      </c>
      <c r="D5399" t="s">
        <v>321</v>
      </c>
      <c r="E5399" t="s">
        <v>322</v>
      </c>
      <c r="F5399" s="12">
        <v>145769</v>
      </c>
      <c r="G5399" s="13">
        <v>14</v>
      </c>
      <c r="H5399" t="s">
        <v>2752</v>
      </c>
      <c r="I5399" s="8">
        <v>45976</v>
      </c>
      <c r="J5399" t="s">
        <v>2668</v>
      </c>
      <c r="K5399" t="s">
        <v>2669</v>
      </c>
      <c r="L5399" s="13">
        <v>4000</v>
      </c>
      <c r="M5399" t="s">
        <v>2661</v>
      </c>
    </row>
    <row r="5400" spans="1:13">
      <c r="A5400" t="s">
        <v>2152</v>
      </c>
      <c r="B5400" t="s">
        <v>64</v>
      </c>
      <c r="C5400" s="8">
        <v>46054</v>
      </c>
      <c r="D5400" t="s">
        <v>321</v>
      </c>
      <c r="E5400" t="s">
        <v>322</v>
      </c>
      <c r="F5400" s="12">
        <v>145769</v>
      </c>
      <c r="G5400" s="13">
        <v>14</v>
      </c>
      <c r="H5400" t="s">
        <v>3108</v>
      </c>
      <c r="I5400" s="8">
        <v>46158</v>
      </c>
      <c r="J5400" t="s">
        <v>2692</v>
      </c>
      <c r="K5400" t="s">
        <v>2693</v>
      </c>
      <c r="L5400" s="13">
        <v>10000</v>
      </c>
      <c r="M5400" t="s">
        <v>2661</v>
      </c>
    </row>
    <row r="5401" spans="1:13">
      <c r="A5401" t="s">
        <v>2152</v>
      </c>
      <c r="B5401" t="s">
        <v>64</v>
      </c>
      <c r="C5401" s="8">
        <v>46054</v>
      </c>
      <c r="D5401" t="s">
        <v>321</v>
      </c>
      <c r="E5401" t="s">
        <v>322</v>
      </c>
      <c r="F5401" s="12">
        <v>145769</v>
      </c>
      <c r="G5401" s="13">
        <v>14</v>
      </c>
      <c r="H5401" t="s">
        <v>3187</v>
      </c>
      <c r="I5401" s="8">
        <v>46275</v>
      </c>
      <c r="J5401" t="s">
        <v>2659</v>
      </c>
      <c r="K5401" t="s">
        <v>2660</v>
      </c>
      <c r="L5401" s="13">
        <v>3500</v>
      </c>
      <c r="M5401" t="s">
        <v>2661</v>
      </c>
    </row>
    <row r="5402" spans="1:13">
      <c r="A5402" t="s">
        <v>2153</v>
      </c>
      <c r="B5402" t="s">
        <v>255</v>
      </c>
      <c r="C5402" s="8">
        <v>46143</v>
      </c>
      <c r="D5402" t="s">
        <v>321</v>
      </c>
      <c r="E5402" t="s">
        <v>337</v>
      </c>
      <c r="F5402" s="12">
        <v>599847</v>
      </c>
      <c r="G5402" s="13">
        <v>59</v>
      </c>
      <c r="H5402" t="s">
        <v>2956</v>
      </c>
      <c r="I5402" s="8">
        <v>45952</v>
      </c>
      <c r="J5402" t="s">
        <v>2674</v>
      </c>
      <c r="K5402" t="s">
        <v>2675</v>
      </c>
      <c r="L5402" s="13">
        <v>20000</v>
      </c>
      <c r="M5402" t="s">
        <v>2676</v>
      </c>
    </row>
    <row r="5403" spans="1:13">
      <c r="A5403" t="s">
        <v>2153</v>
      </c>
      <c r="B5403" t="s">
        <v>255</v>
      </c>
      <c r="C5403" s="8">
        <v>46143</v>
      </c>
      <c r="D5403" t="s">
        <v>321</v>
      </c>
      <c r="E5403" t="s">
        <v>337</v>
      </c>
      <c r="F5403" s="12">
        <v>599847</v>
      </c>
      <c r="G5403" s="13">
        <v>59</v>
      </c>
      <c r="H5403" t="s">
        <v>3223</v>
      </c>
      <c r="I5403" s="8">
        <v>46198</v>
      </c>
      <c r="J5403" t="s">
        <v>2665</v>
      </c>
      <c r="K5403" t="s">
        <v>2666</v>
      </c>
      <c r="L5403" s="13">
        <v>2500</v>
      </c>
      <c r="M5403" t="s">
        <v>2661</v>
      </c>
    </row>
    <row r="5404" spans="1:13">
      <c r="A5404" t="s">
        <v>2153</v>
      </c>
      <c r="B5404" t="s">
        <v>255</v>
      </c>
      <c r="C5404" s="8">
        <v>46143</v>
      </c>
      <c r="D5404" t="s">
        <v>321</v>
      </c>
      <c r="E5404" t="s">
        <v>337</v>
      </c>
      <c r="F5404" s="12">
        <v>599847</v>
      </c>
      <c r="G5404" s="13">
        <v>59</v>
      </c>
      <c r="H5404" t="s">
        <v>3323</v>
      </c>
      <c r="I5404" s="8">
        <v>46169</v>
      </c>
      <c r="J5404" t="s">
        <v>2682</v>
      </c>
      <c r="K5404" t="s">
        <v>2683</v>
      </c>
      <c r="L5404" s="13">
        <v>6000</v>
      </c>
      <c r="M5404" t="s">
        <v>2676</v>
      </c>
    </row>
    <row r="5405" spans="1:13">
      <c r="A5405" t="s">
        <v>2154</v>
      </c>
      <c r="B5405" t="s">
        <v>170</v>
      </c>
      <c r="C5405" s="8">
        <v>45939</v>
      </c>
      <c r="D5405" t="s">
        <v>332</v>
      </c>
      <c r="E5405" t="s">
        <v>337</v>
      </c>
      <c r="F5405" s="12">
        <v>372720</v>
      </c>
      <c r="G5405" s="13">
        <v>37</v>
      </c>
      <c r="H5405" t="s">
        <v>2987</v>
      </c>
      <c r="I5405" s="8">
        <v>45962</v>
      </c>
      <c r="J5405" t="s">
        <v>2665</v>
      </c>
      <c r="K5405" t="s">
        <v>2666</v>
      </c>
      <c r="L5405" s="13">
        <v>2500</v>
      </c>
      <c r="M5405" t="s">
        <v>2661</v>
      </c>
    </row>
    <row r="5406" spans="1:13">
      <c r="A5406" t="s">
        <v>2154</v>
      </c>
      <c r="B5406" t="s">
        <v>170</v>
      </c>
      <c r="C5406" s="8">
        <v>45939</v>
      </c>
      <c r="D5406" t="s">
        <v>332</v>
      </c>
      <c r="E5406" t="s">
        <v>337</v>
      </c>
      <c r="F5406" s="12">
        <v>372720</v>
      </c>
      <c r="G5406" s="13">
        <v>37</v>
      </c>
      <c r="H5406" t="s">
        <v>3043</v>
      </c>
      <c r="I5406" s="8">
        <v>46277</v>
      </c>
      <c r="J5406" t="s">
        <v>2663</v>
      </c>
      <c r="K5406" t="s">
        <v>3630</v>
      </c>
      <c r="L5406" s="13">
        <v>1500</v>
      </c>
      <c r="M5406" t="s">
        <v>2676</v>
      </c>
    </row>
    <row r="5407" spans="1:13">
      <c r="A5407" t="s">
        <v>2156</v>
      </c>
      <c r="B5407" t="s">
        <v>298</v>
      </c>
      <c r="C5407" s="8">
        <v>46207</v>
      </c>
      <c r="D5407" t="s">
        <v>344</v>
      </c>
      <c r="E5407" t="s">
        <v>322</v>
      </c>
      <c r="F5407" s="12">
        <v>114479</v>
      </c>
      <c r="G5407" s="13">
        <v>11</v>
      </c>
      <c r="H5407" t="s">
        <v>2931</v>
      </c>
      <c r="I5407" s="8">
        <v>46241</v>
      </c>
      <c r="J5407" t="s">
        <v>2671</v>
      </c>
      <c r="K5407" t="s">
        <v>2672</v>
      </c>
      <c r="L5407" s="13">
        <v>3000</v>
      </c>
      <c r="M5407" t="s">
        <v>2661</v>
      </c>
    </row>
    <row r="5408" spans="1:13">
      <c r="A5408" t="s">
        <v>2156</v>
      </c>
      <c r="B5408" t="s">
        <v>298</v>
      </c>
      <c r="C5408" s="8">
        <v>46207</v>
      </c>
      <c r="D5408" t="s">
        <v>344</v>
      </c>
      <c r="E5408" t="s">
        <v>322</v>
      </c>
      <c r="F5408" s="12">
        <v>114479</v>
      </c>
      <c r="G5408" s="13">
        <v>11</v>
      </c>
      <c r="H5408" t="s">
        <v>3012</v>
      </c>
      <c r="I5408" s="8">
        <v>46256</v>
      </c>
      <c r="J5408" t="s">
        <v>2682</v>
      </c>
      <c r="K5408" t="s">
        <v>2683</v>
      </c>
      <c r="L5408" s="13">
        <v>6000</v>
      </c>
      <c r="M5408" t="s">
        <v>2661</v>
      </c>
    </row>
    <row r="5409" spans="1:13">
      <c r="A5409" t="s">
        <v>2157</v>
      </c>
      <c r="B5409" t="s">
        <v>118</v>
      </c>
      <c r="C5409" s="8">
        <v>46119</v>
      </c>
      <c r="D5409" t="s">
        <v>321</v>
      </c>
      <c r="E5409" t="s">
        <v>328</v>
      </c>
      <c r="F5409" s="12">
        <v>594660</v>
      </c>
      <c r="G5409" s="13">
        <v>59</v>
      </c>
      <c r="H5409" t="s">
        <v>2709</v>
      </c>
      <c r="I5409" s="8">
        <v>46119</v>
      </c>
      <c r="J5409" t="s">
        <v>2685</v>
      </c>
      <c r="K5409" t="s">
        <v>2686</v>
      </c>
      <c r="L5409" s="13">
        <v>5000</v>
      </c>
      <c r="M5409" t="s">
        <v>2661</v>
      </c>
    </row>
    <row r="5410" spans="1:13">
      <c r="A5410" t="s">
        <v>2157</v>
      </c>
      <c r="B5410" t="s">
        <v>118</v>
      </c>
      <c r="C5410" s="8">
        <v>46119</v>
      </c>
      <c r="D5410" t="s">
        <v>321</v>
      </c>
      <c r="E5410" t="s">
        <v>328</v>
      </c>
      <c r="F5410" s="12">
        <v>594660</v>
      </c>
      <c r="G5410" s="13">
        <v>59</v>
      </c>
      <c r="H5410" t="s">
        <v>2853</v>
      </c>
      <c r="I5410" s="8">
        <v>46269</v>
      </c>
      <c r="J5410" t="s">
        <v>2688</v>
      </c>
      <c r="K5410" t="s">
        <v>2689</v>
      </c>
      <c r="L5410" s="13">
        <v>8000</v>
      </c>
      <c r="M5410" t="s">
        <v>2661</v>
      </c>
    </row>
    <row r="5411" spans="1:13">
      <c r="A5411" t="s">
        <v>2157</v>
      </c>
      <c r="B5411" t="s">
        <v>118</v>
      </c>
      <c r="C5411" s="8">
        <v>46119</v>
      </c>
      <c r="D5411" t="s">
        <v>321</v>
      </c>
      <c r="E5411" t="s">
        <v>328</v>
      </c>
      <c r="F5411" s="12">
        <v>594660</v>
      </c>
      <c r="G5411" s="13">
        <v>59</v>
      </c>
      <c r="H5411" t="s">
        <v>2932</v>
      </c>
      <c r="I5411" s="8">
        <v>45982</v>
      </c>
      <c r="J5411" t="s">
        <v>2685</v>
      </c>
      <c r="K5411" t="s">
        <v>2686</v>
      </c>
      <c r="L5411" s="13">
        <v>5000</v>
      </c>
      <c r="M5411" t="s">
        <v>2661</v>
      </c>
    </row>
    <row r="5412" spans="1:13">
      <c r="A5412" t="s">
        <v>2157</v>
      </c>
      <c r="B5412" t="s">
        <v>118</v>
      </c>
      <c r="C5412" s="8">
        <v>46119</v>
      </c>
      <c r="D5412" t="s">
        <v>321</v>
      </c>
      <c r="E5412" t="s">
        <v>328</v>
      </c>
      <c r="F5412" s="12">
        <v>594660</v>
      </c>
      <c r="G5412" s="13">
        <v>59</v>
      </c>
      <c r="H5412" t="s">
        <v>3562</v>
      </c>
      <c r="I5412" s="8">
        <v>46251</v>
      </c>
      <c r="J5412" t="s">
        <v>2692</v>
      </c>
      <c r="K5412" t="s">
        <v>2693</v>
      </c>
      <c r="L5412" s="13">
        <v>10000</v>
      </c>
      <c r="M5412" t="s">
        <v>2661</v>
      </c>
    </row>
    <row r="5413" spans="1:13">
      <c r="A5413" t="s">
        <v>2158</v>
      </c>
      <c r="B5413" t="s">
        <v>150</v>
      </c>
      <c r="C5413" s="8">
        <v>46291</v>
      </c>
      <c r="D5413" t="s">
        <v>332</v>
      </c>
      <c r="E5413" t="s">
        <v>334</v>
      </c>
      <c r="F5413" s="12">
        <v>359423</v>
      </c>
      <c r="G5413" s="13">
        <v>35</v>
      </c>
      <c r="H5413" t="s">
        <v>3070</v>
      </c>
      <c r="I5413" s="8">
        <v>46003</v>
      </c>
      <c r="J5413" t="s">
        <v>2671</v>
      </c>
      <c r="K5413" t="s">
        <v>2672</v>
      </c>
      <c r="L5413" s="13">
        <v>3000</v>
      </c>
      <c r="M5413" t="s">
        <v>2676</v>
      </c>
    </row>
    <row r="5414" spans="1:13">
      <c r="A5414" t="s">
        <v>2158</v>
      </c>
      <c r="B5414" t="s">
        <v>150</v>
      </c>
      <c r="C5414" s="8">
        <v>46291</v>
      </c>
      <c r="D5414" t="s">
        <v>332</v>
      </c>
      <c r="E5414" t="s">
        <v>334</v>
      </c>
      <c r="F5414" s="12">
        <v>359423</v>
      </c>
      <c r="G5414" s="13">
        <v>35</v>
      </c>
      <c r="H5414" t="s">
        <v>3275</v>
      </c>
      <c r="I5414" s="8">
        <v>45936</v>
      </c>
      <c r="J5414" t="s">
        <v>2688</v>
      </c>
      <c r="K5414" t="s">
        <v>2689</v>
      </c>
      <c r="L5414" s="13">
        <v>8000</v>
      </c>
      <c r="M5414" t="s">
        <v>2661</v>
      </c>
    </row>
    <row r="5415" spans="1:13">
      <c r="A5415" t="s">
        <v>2158</v>
      </c>
      <c r="B5415" t="s">
        <v>150</v>
      </c>
      <c r="C5415" s="8">
        <v>46291</v>
      </c>
      <c r="D5415" t="s">
        <v>332</v>
      </c>
      <c r="E5415" t="s">
        <v>334</v>
      </c>
      <c r="F5415" s="12">
        <v>359423</v>
      </c>
      <c r="G5415" s="13">
        <v>35</v>
      </c>
      <c r="H5415" t="s">
        <v>3352</v>
      </c>
      <c r="I5415" s="8">
        <v>46153</v>
      </c>
      <c r="J5415" t="s">
        <v>2665</v>
      </c>
      <c r="K5415" t="s">
        <v>2666</v>
      </c>
      <c r="L5415" s="13">
        <v>2500</v>
      </c>
      <c r="M5415" t="s">
        <v>2661</v>
      </c>
    </row>
    <row r="5416" spans="1:13">
      <c r="A5416" t="s">
        <v>2159</v>
      </c>
      <c r="B5416" t="s">
        <v>214</v>
      </c>
      <c r="C5416" s="8">
        <v>46170</v>
      </c>
      <c r="D5416" t="s">
        <v>344</v>
      </c>
      <c r="E5416" t="s">
        <v>334</v>
      </c>
      <c r="F5416" s="12">
        <v>356426</v>
      </c>
      <c r="G5416" s="13">
        <v>35</v>
      </c>
      <c r="H5416" t="s">
        <v>2664</v>
      </c>
      <c r="I5416" s="8">
        <v>46259</v>
      </c>
      <c r="J5416" t="s">
        <v>2665</v>
      </c>
      <c r="K5416" t="s">
        <v>2666</v>
      </c>
      <c r="L5416" s="13">
        <v>2500</v>
      </c>
      <c r="M5416" t="s">
        <v>2661</v>
      </c>
    </row>
    <row r="5417" spans="1:13">
      <c r="A5417" t="s">
        <v>2159</v>
      </c>
      <c r="B5417" t="s">
        <v>214</v>
      </c>
      <c r="C5417" s="8">
        <v>46170</v>
      </c>
      <c r="D5417" t="s">
        <v>344</v>
      </c>
      <c r="E5417" t="s">
        <v>334</v>
      </c>
      <c r="F5417" s="12">
        <v>356426</v>
      </c>
      <c r="G5417" s="13">
        <v>35</v>
      </c>
      <c r="H5417" t="s">
        <v>3137</v>
      </c>
      <c r="I5417" s="8">
        <v>46189</v>
      </c>
      <c r="J5417" t="s">
        <v>2685</v>
      </c>
      <c r="K5417" t="s">
        <v>2686</v>
      </c>
      <c r="L5417" s="13">
        <v>5000</v>
      </c>
      <c r="M5417" t="s">
        <v>2661</v>
      </c>
    </row>
    <row r="5418" spans="1:13">
      <c r="A5418" t="s">
        <v>2159</v>
      </c>
      <c r="B5418" t="s">
        <v>214</v>
      </c>
      <c r="C5418" s="8">
        <v>46170</v>
      </c>
      <c r="D5418" t="s">
        <v>344</v>
      </c>
      <c r="E5418" t="s">
        <v>334</v>
      </c>
      <c r="F5418" s="12">
        <v>356426</v>
      </c>
      <c r="G5418" s="13">
        <v>35</v>
      </c>
      <c r="H5418" t="s">
        <v>3302</v>
      </c>
      <c r="I5418" s="8">
        <v>46119</v>
      </c>
      <c r="J5418" t="s">
        <v>2659</v>
      </c>
      <c r="K5418" t="s">
        <v>2660</v>
      </c>
      <c r="L5418" s="13">
        <v>3500</v>
      </c>
      <c r="M5418" t="s">
        <v>2661</v>
      </c>
    </row>
    <row r="5419" spans="1:13">
      <c r="A5419" t="s">
        <v>2159</v>
      </c>
      <c r="B5419" t="s">
        <v>214</v>
      </c>
      <c r="C5419" s="8">
        <v>46170</v>
      </c>
      <c r="D5419" t="s">
        <v>344</v>
      </c>
      <c r="E5419" t="s">
        <v>334</v>
      </c>
      <c r="F5419" s="12">
        <v>356426</v>
      </c>
      <c r="G5419" s="13">
        <v>35</v>
      </c>
      <c r="H5419" t="s">
        <v>3564</v>
      </c>
      <c r="I5419" s="8">
        <v>46208</v>
      </c>
      <c r="J5419" t="s">
        <v>2674</v>
      </c>
      <c r="K5419" t="s">
        <v>2675</v>
      </c>
      <c r="L5419" s="13">
        <v>20000</v>
      </c>
      <c r="M5419" t="s">
        <v>2661</v>
      </c>
    </row>
    <row r="5420" spans="1:13">
      <c r="A5420" t="s">
        <v>2160</v>
      </c>
      <c r="B5420" t="s">
        <v>34</v>
      </c>
      <c r="C5420" s="8">
        <v>46035</v>
      </c>
      <c r="D5420" t="s">
        <v>324</v>
      </c>
      <c r="E5420" t="s">
        <v>328</v>
      </c>
      <c r="F5420" s="12">
        <v>259514</v>
      </c>
      <c r="G5420" s="13">
        <v>25</v>
      </c>
      <c r="H5420" t="s">
        <v>2772</v>
      </c>
      <c r="I5420" s="8">
        <v>46154</v>
      </c>
      <c r="J5420" t="s">
        <v>2659</v>
      </c>
      <c r="K5420" t="s">
        <v>2660</v>
      </c>
      <c r="L5420" s="13">
        <v>3500</v>
      </c>
      <c r="M5420" t="s">
        <v>2661</v>
      </c>
    </row>
    <row r="5421" spans="1:13">
      <c r="A5421" t="s">
        <v>2160</v>
      </c>
      <c r="B5421" t="s">
        <v>34</v>
      </c>
      <c r="C5421" s="8">
        <v>46035</v>
      </c>
      <c r="D5421" t="s">
        <v>324</v>
      </c>
      <c r="E5421" t="s">
        <v>328</v>
      </c>
      <c r="F5421" s="12">
        <v>259514</v>
      </c>
      <c r="G5421" s="13">
        <v>25</v>
      </c>
      <c r="H5421" t="s">
        <v>2979</v>
      </c>
      <c r="I5421" s="8">
        <v>46165</v>
      </c>
      <c r="J5421" t="s">
        <v>2692</v>
      </c>
      <c r="K5421" t="s">
        <v>2693</v>
      </c>
      <c r="L5421" s="13">
        <v>10000</v>
      </c>
      <c r="M5421" t="s">
        <v>2676</v>
      </c>
    </row>
    <row r="5422" spans="1:13">
      <c r="A5422" t="s">
        <v>2160</v>
      </c>
      <c r="B5422" t="s">
        <v>34</v>
      </c>
      <c r="C5422" s="8">
        <v>46035</v>
      </c>
      <c r="D5422" t="s">
        <v>324</v>
      </c>
      <c r="E5422" t="s">
        <v>328</v>
      </c>
      <c r="F5422" s="12">
        <v>259514</v>
      </c>
      <c r="G5422" s="13">
        <v>25</v>
      </c>
      <c r="H5422" t="s">
        <v>3377</v>
      </c>
      <c r="I5422" s="8">
        <v>46184</v>
      </c>
      <c r="J5422" t="s">
        <v>2692</v>
      </c>
      <c r="K5422" t="s">
        <v>2693</v>
      </c>
      <c r="L5422" s="13">
        <v>10000</v>
      </c>
      <c r="M5422" t="s">
        <v>2661</v>
      </c>
    </row>
    <row r="5423" spans="1:13">
      <c r="A5423" t="s">
        <v>2161</v>
      </c>
      <c r="B5423" t="s">
        <v>134</v>
      </c>
      <c r="C5423" s="8">
        <v>46287</v>
      </c>
      <c r="D5423" t="s">
        <v>342</v>
      </c>
      <c r="E5423" t="s">
        <v>322</v>
      </c>
      <c r="F5423" s="12">
        <v>148016</v>
      </c>
      <c r="G5423" s="13">
        <v>14</v>
      </c>
      <c r="H5423" t="s">
        <v>3183</v>
      </c>
      <c r="I5423" s="8">
        <v>46285</v>
      </c>
      <c r="J5423" t="s">
        <v>2663</v>
      </c>
      <c r="K5423" t="s">
        <v>3630</v>
      </c>
      <c r="L5423" s="13">
        <v>1500</v>
      </c>
      <c r="M5423" t="s">
        <v>2661</v>
      </c>
    </row>
    <row r="5424" spans="1:13">
      <c r="A5424" t="s">
        <v>2162</v>
      </c>
      <c r="B5424" t="s">
        <v>102</v>
      </c>
      <c r="C5424" s="8">
        <v>45999</v>
      </c>
      <c r="D5424" t="s">
        <v>327</v>
      </c>
      <c r="E5424" t="s">
        <v>322</v>
      </c>
      <c r="F5424" s="12">
        <v>349081</v>
      </c>
      <c r="G5424" s="13">
        <v>34</v>
      </c>
      <c r="H5424" t="s">
        <v>2797</v>
      </c>
      <c r="I5424" s="8">
        <v>46163</v>
      </c>
      <c r="J5424" t="s">
        <v>2665</v>
      </c>
      <c r="K5424" t="s">
        <v>2666</v>
      </c>
      <c r="L5424" s="13">
        <v>2500</v>
      </c>
      <c r="M5424" t="s">
        <v>2661</v>
      </c>
    </row>
    <row r="5425" spans="1:13">
      <c r="A5425" t="s">
        <v>2162</v>
      </c>
      <c r="B5425" t="s">
        <v>102</v>
      </c>
      <c r="C5425" s="8">
        <v>45999</v>
      </c>
      <c r="D5425" t="s">
        <v>327</v>
      </c>
      <c r="E5425" t="s">
        <v>322</v>
      </c>
      <c r="F5425" s="12">
        <v>349081</v>
      </c>
      <c r="G5425" s="13">
        <v>34</v>
      </c>
      <c r="H5425" t="s">
        <v>3355</v>
      </c>
      <c r="I5425" s="8">
        <v>46029</v>
      </c>
      <c r="J5425" t="s">
        <v>2659</v>
      </c>
      <c r="K5425" t="s">
        <v>2660</v>
      </c>
      <c r="L5425" s="13">
        <v>3500</v>
      </c>
      <c r="M5425" t="s">
        <v>2676</v>
      </c>
    </row>
    <row r="5426" spans="1:13">
      <c r="A5426" t="s">
        <v>2162</v>
      </c>
      <c r="B5426" t="s">
        <v>102</v>
      </c>
      <c r="C5426" s="8">
        <v>45999</v>
      </c>
      <c r="D5426" t="s">
        <v>327</v>
      </c>
      <c r="E5426" t="s">
        <v>322</v>
      </c>
      <c r="F5426" s="12">
        <v>349081</v>
      </c>
      <c r="G5426" s="13">
        <v>34</v>
      </c>
      <c r="H5426" t="s">
        <v>3360</v>
      </c>
      <c r="I5426" s="8">
        <v>46231</v>
      </c>
      <c r="J5426" t="s">
        <v>2674</v>
      </c>
      <c r="K5426" t="s">
        <v>2675</v>
      </c>
      <c r="L5426" s="13">
        <v>20000</v>
      </c>
      <c r="M5426" t="s">
        <v>2661</v>
      </c>
    </row>
    <row r="5427" spans="1:13">
      <c r="A5427" t="s">
        <v>2162</v>
      </c>
      <c r="B5427" t="s">
        <v>102</v>
      </c>
      <c r="C5427" s="8">
        <v>45999</v>
      </c>
      <c r="D5427" t="s">
        <v>327</v>
      </c>
      <c r="E5427" t="s">
        <v>322</v>
      </c>
      <c r="F5427" s="12">
        <v>349081</v>
      </c>
      <c r="G5427" s="13">
        <v>34</v>
      </c>
      <c r="H5427" t="s">
        <v>3439</v>
      </c>
      <c r="I5427" s="8">
        <v>46268</v>
      </c>
      <c r="J5427" t="s">
        <v>2663</v>
      </c>
      <c r="K5427" t="s">
        <v>3630</v>
      </c>
      <c r="L5427" s="13">
        <v>1500</v>
      </c>
      <c r="M5427" t="s">
        <v>2661</v>
      </c>
    </row>
    <row r="5428" spans="1:13">
      <c r="A5428" t="s">
        <v>2162</v>
      </c>
      <c r="B5428" t="s">
        <v>102</v>
      </c>
      <c r="C5428" s="8">
        <v>45999</v>
      </c>
      <c r="D5428" t="s">
        <v>327</v>
      </c>
      <c r="E5428" t="s">
        <v>322</v>
      </c>
      <c r="F5428" s="12">
        <v>349081</v>
      </c>
      <c r="G5428" s="13">
        <v>34</v>
      </c>
      <c r="H5428" t="s">
        <v>3565</v>
      </c>
      <c r="I5428" s="8">
        <v>46150</v>
      </c>
      <c r="J5428" t="s">
        <v>2674</v>
      </c>
      <c r="K5428" t="s">
        <v>2675</v>
      </c>
      <c r="L5428" s="13">
        <v>20000</v>
      </c>
      <c r="M5428" t="s">
        <v>2661</v>
      </c>
    </row>
    <row r="5429" spans="1:13">
      <c r="A5429" t="s">
        <v>2163</v>
      </c>
      <c r="B5429" t="s">
        <v>246</v>
      </c>
      <c r="C5429" s="8">
        <v>46198</v>
      </c>
      <c r="D5429" t="s">
        <v>342</v>
      </c>
      <c r="E5429" t="s">
        <v>322</v>
      </c>
      <c r="F5429" s="12">
        <v>625381</v>
      </c>
      <c r="G5429" s="13">
        <v>62</v>
      </c>
      <c r="H5429" t="s">
        <v>2762</v>
      </c>
      <c r="I5429" s="8">
        <v>46154</v>
      </c>
      <c r="J5429" t="s">
        <v>2682</v>
      </c>
      <c r="K5429" t="s">
        <v>2683</v>
      </c>
      <c r="L5429" s="13">
        <v>6000</v>
      </c>
      <c r="M5429" t="s">
        <v>2661</v>
      </c>
    </row>
    <row r="5430" spans="1:13">
      <c r="A5430" t="s">
        <v>2163</v>
      </c>
      <c r="B5430" t="s">
        <v>246</v>
      </c>
      <c r="C5430" s="8">
        <v>46198</v>
      </c>
      <c r="D5430" t="s">
        <v>342</v>
      </c>
      <c r="E5430" t="s">
        <v>322</v>
      </c>
      <c r="F5430" s="12">
        <v>625381</v>
      </c>
      <c r="G5430" s="13">
        <v>62</v>
      </c>
      <c r="H5430" t="s">
        <v>2883</v>
      </c>
      <c r="I5430" s="8">
        <v>46154</v>
      </c>
      <c r="J5430" t="s">
        <v>2688</v>
      </c>
      <c r="K5430" t="s">
        <v>2689</v>
      </c>
      <c r="L5430" s="13">
        <v>8000</v>
      </c>
      <c r="M5430" t="s">
        <v>2676</v>
      </c>
    </row>
    <row r="5431" spans="1:13">
      <c r="A5431" t="s">
        <v>2163</v>
      </c>
      <c r="B5431" t="s">
        <v>246</v>
      </c>
      <c r="C5431" s="8">
        <v>46198</v>
      </c>
      <c r="D5431" t="s">
        <v>342</v>
      </c>
      <c r="E5431" t="s">
        <v>322</v>
      </c>
      <c r="F5431" s="12">
        <v>625381</v>
      </c>
      <c r="G5431" s="13">
        <v>62</v>
      </c>
      <c r="H5431" t="s">
        <v>3077</v>
      </c>
      <c r="I5431" s="8">
        <v>45953</v>
      </c>
      <c r="J5431" t="s">
        <v>2674</v>
      </c>
      <c r="K5431" t="s">
        <v>2675</v>
      </c>
      <c r="L5431" s="13">
        <v>20000</v>
      </c>
      <c r="M5431" t="s">
        <v>2661</v>
      </c>
    </row>
    <row r="5432" spans="1:13">
      <c r="A5432" t="s">
        <v>2163</v>
      </c>
      <c r="B5432" t="s">
        <v>246</v>
      </c>
      <c r="C5432" s="8">
        <v>46198</v>
      </c>
      <c r="D5432" t="s">
        <v>342</v>
      </c>
      <c r="E5432" t="s">
        <v>322</v>
      </c>
      <c r="F5432" s="12">
        <v>625381</v>
      </c>
      <c r="G5432" s="13">
        <v>62</v>
      </c>
      <c r="H5432" t="s">
        <v>3504</v>
      </c>
      <c r="I5432" s="8">
        <v>46053</v>
      </c>
      <c r="J5432" t="s">
        <v>2663</v>
      </c>
      <c r="K5432" t="s">
        <v>3630</v>
      </c>
      <c r="L5432" s="13">
        <v>1500</v>
      </c>
      <c r="M5432" t="s">
        <v>2661</v>
      </c>
    </row>
    <row r="5433" spans="1:13">
      <c r="A5433" t="s">
        <v>2164</v>
      </c>
      <c r="B5433" t="s">
        <v>233</v>
      </c>
      <c r="C5433" s="8">
        <v>46206</v>
      </c>
      <c r="D5433" t="s">
        <v>332</v>
      </c>
      <c r="E5433" t="s">
        <v>337</v>
      </c>
      <c r="F5433" s="12">
        <v>385958</v>
      </c>
      <c r="G5433" s="13">
        <v>38</v>
      </c>
      <c r="H5433" t="s">
        <v>2912</v>
      </c>
      <c r="I5433" s="8">
        <v>46184</v>
      </c>
      <c r="J5433" t="s">
        <v>2688</v>
      </c>
      <c r="K5433" t="s">
        <v>2689</v>
      </c>
      <c r="L5433" s="13">
        <v>8000</v>
      </c>
      <c r="M5433" t="s">
        <v>2676</v>
      </c>
    </row>
    <row r="5434" spans="1:13">
      <c r="A5434" t="s">
        <v>2164</v>
      </c>
      <c r="B5434" t="s">
        <v>233</v>
      </c>
      <c r="C5434" s="8">
        <v>46206</v>
      </c>
      <c r="D5434" t="s">
        <v>332</v>
      </c>
      <c r="E5434" t="s">
        <v>337</v>
      </c>
      <c r="F5434" s="12">
        <v>385958</v>
      </c>
      <c r="G5434" s="13">
        <v>38</v>
      </c>
      <c r="H5434" t="s">
        <v>3508</v>
      </c>
      <c r="I5434" s="8">
        <v>46183</v>
      </c>
      <c r="J5434" t="s">
        <v>2671</v>
      </c>
      <c r="K5434" t="s">
        <v>2672</v>
      </c>
      <c r="L5434" s="13">
        <v>3000</v>
      </c>
      <c r="M5434" t="s">
        <v>2661</v>
      </c>
    </row>
    <row r="5435" spans="1:13">
      <c r="A5435" t="s">
        <v>2165</v>
      </c>
      <c r="B5435" t="s">
        <v>299</v>
      </c>
      <c r="C5435" s="8">
        <v>46090</v>
      </c>
      <c r="D5435" t="s">
        <v>332</v>
      </c>
      <c r="E5435" t="s">
        <v>325</v>
      </c>
      <c r="F5435" s="12">
        <v>27299</v>
      </c>
      <c r="G5435" s="13">
        <v>2</v>
      </c>
      <c r="H5435" t="s">
        <v>2943</v>
      </c>
      <c r="I5435" s="8">
        <v>46047</v>
      </c>
      <c r="J5435" t="s">
        <v>2692</v>
      </c>
      <c r="K5435" t="s">
        <v>2693</v>
      </c>
      <c r="L5435" s="13">
        <v>10000</v>
      </c>
      <c r="M5435" t="s">
        <v>2661</v>
      </c>
    </row>
    <row r="5436" spans="1:13">
      <c r="A5436" t="s">
        <v>2165</v>
      </c>
      <c r="B5436" t="s">
        <v>299</v>
      </c>
      <c r="C5436" s="8">
        <v>46090</v>
      </c>
      <c r="D5436" t="s">
        <v>332</v>
      </c>
      <c r="E5436" t="s">
        <v>325</v>
      </c>
      <c r="F5436" s="12">
        <v>27299</v>
      </c>
      <c r="G5436" s="13">
        <v>2</v>
      </c>
      <c r="H5436" t="s">
        <v>2948</v>
      </c>
      <c r="I5436" s="8">
        <v>46067</v>
      </c>
      <c r="J5436" t="s">
        <v>2682</v>
      </c>
      <c r="K5436" t="s">
        <v>2683</v>
      </c>
      <c r="L5436" s="13">
        <v>6000</v>
      </c>
      <c r="M5436" t="s">
        <v>2661</v>
      </c>
    </row>
    <row r="5437" spans="1:13">
      <c r="A5437" t="s">
        <v>2165</v>
      </c>
      <c r="B5437" t="s">
        <v>299</v>
      </c>
      <c r="C5437" s="8">
        <v>46090</v>
      </c>
      <c r="D5437" t="s">
        <v>332</v>
      </c>
      <c r="E5437" t="s">
        <v>325</v>
      </c>
      <c r="F5437" s="12">
        <v>27299</v>
      </c>
      <c r="G5437" s="13">
        <v>2</v>
      </c>
      <c r="H5437" t="s">
        <v>3075</v>
      </c>
      <c r="I5437" s="8">
        <v>45993</v>
      </c>
      <c r="J5437" t="s">
        <v>2685</v>
      </c>
      <c r="K5437" t="s">
        <v>2686</v>
      </c>
      <c r="L5437" s="13">
        <v>5000</v>
      </c>
      <c r="M5437" t="s">
        <v>2676</v>
      </c>
    </row>
    <row r="5438" spans="1:13">
      <c r="A5438" t="s">
        <v>2165</v>
      </c>
      <c r="B5438" t="s">
        <v>299</v>
      </c>
      <c r="C5438" s="8">
        <v>46090</v>
      </c>
      <c r="D5438" t="s">
        <v>332</v>
      </c>
      <c r="E5438" t="s">
        <v>325</v>
      </c>
      <c r="F5438" s="12">
        <v>27299</v>
      </c>
      <c r="G5438" s="13">
        <v>2</v>
      </c>
      <c r="H5438" t="s">
        <v>3482</v>
      </c>
      <c r="I5438" s="8">
        <v>46231</v>
      </c>
      <c r="J5438" t="s">
        <v>2682</v>
      </c>
      <c r="K5438" t="s">
        <v>2683</v>
      </c>
      <c r="L5438" s="13">
        <v>6000</v>
      </c>
      <c r="M5438" t="s">
        <v>2661</v>
      </c>
    </row>
    <row r="5439" spans="1:13">
      <c r="A5439" t="s">
        <v>2166</v>
      </c>
      <c r="B5439" t="s">
        <v>69</v>
      </c>
      <c r="C5439" s="8">
        <v>46019</v>
      </c>
      <c r="D5439" t="s">
        <v>321</v>
      </c>
      <c r="E5439" t="s">
        <v>339</v>
      </c>
      <c r="F5439" s="12">
        <v>61365</v>
      </c>
      <c r="G5439" s="13">
        <v>6</v>
      </c>
      <c r="H5439" t="s">
        <v>2723</v>
      </c>
      <c r="I5439" s="8">
        <v>46140</v>
      </c>
      <c r="J5439" t="s">
        <v>2688</v>
      </c>
      <c r="K5439" t="s">
        <v>2689</v>
      </c>
      <c r="L5439" s="13">
        <v>8000</v>
      </c>
      <c r="M5439" t="s">
        <v>2661</v>
      </c>
    </row>
    <row r="5440" spans="1:13">
      <c r="A5440" t="s">
        <v>2166</v>
      </c>
      <c r="B5440" t="s">
        <v>69</v>
      </c>
      <c r="C5440" s="8">
        <v>46019</v>
      </c>
      <c r="D5440" t="s">
        <v>321</v>
      </c>
      <c r="E5440" t="s">
        <v>339</v>
      </c>
      <c r="F5440" s="12">
        <v>61365</v>
      </c>
      <c r="G5440" s="13">
        <v>6</v>
      </c>
      <c r="H5440" t="s">
        <v>2822</v>
      </c>
      <c r="I5440" s="8">
        <v>46159</v>
      </c>
      <c r="J5440" t="s">
        <v>2668</v>
      </c>
      <c r="K5440" t="s">
        <v>2669</v>
      </c>
      <c r="L5440" s="13">
        <v>4000</v>
      </c>
      <c r="M5440" t="s">
        <v>2661</v>
      </c>
    </row>
    <row r="5441" spans="1:13">
      <c r="A5441" t="s">
        <v>2166</v>
      </c>
      <c r="B5441" t="s">
        <v>69</v>
      </c>
      <c r="C5441" s="8">
        <v>46019</v>
      </c>
      <c r="D5441" t="s">
        <v>321</v>
      </c>
      <c r="E5441" t="s">
        <v>339</v>
      </c>
      <c r="F5441" s="12">
        <v>61365</v>
      </c>
      <c r="G5441" s="13">
        <v>6</v>
      </c>
      <c r="H5441" t="s">
        <v>3513</v>
      </c>
      <c r="I5441" s="8">
        <v>46161</v>
      </c>
      <c r="J5441" t="s">
        <v>2692</v>
      </c>
      <c r="K5441" t="s">
        <v>2693</v>
      </c>
      <c r="L5441" s="13">
        <v>10000</v>
      </c>
      <c r="M5441" t="s">
        <v>2661</v>
      </c>
    </row>
    <row r="5442" spans="1:13">
      <c r="A5442" t="s">
        <v>2168</v>
      </c>
      <c r="B5442" t="s">
        <v>140</v>
      </c>
      <c r="C5442" s="8">
        <v>46262</v>
      </c>
      <c r="D5442" t="s">
        <v>350</v>
      </c>
      <c r="E5442" t="s">
        <v>339</v>
      </c>
      <c r="F5442" s="12">
        <v>616900</v>
      </c>
      <c r="G5442" s="13">
        <v>61</v>
      </c>
      <c r="H5442" t="s">
        <v>3192</v>
      </c>
      <c r="I5442" s="8">
        <v>46206</v>
      </c>
      <c r="J5442" t="s">
        <v>2682</v>
      </c>
      <c r="K5442" t="s">
        <v>2683</v>
      </c>
      <c r="L5442" s="13">
        <v>6000</v>
      </c>
      <c r="M5442" t="s">
        <v>2661</v>
      </c>
    </row>
    <row r="5443" spans="1:13">
      <c r="A5443" t="s">
        <v>2169</v>
      </c>
      <c r="B5443" t="s">
        <v>77</v>
      </c>
      <c r="C5443" s="8">
        <v>46211</v>
      </c>
      <c r="D5443" t="s">
        <v>330</v>
      </c>
      <c r="E5443" t="s">
        <v>339</v>
      </c>
      <c r="F5443" s="12">
        <v>167619</v>
      </c>
      <c r="G5443" s="13">
        <v>16</v>
      </c>
      <c r="H5443" t="s">
        <v>2808</v>
      </c>
      <c r="I5443" s="8">
        <v>45978</v>
      </c>
      <c r="J5443" t="s">
        <v>2688</v>
      </c>
      <c r="K5443" t="s">
        <v>2689</v>
      </c>
      <c r="L5443" s="13">
        <v>8000</v>
      </c>
      <c r="M5443" t="s">
        <v>2661</v>
      </c>
    </row>
    <row r="5444" spans="1:13">
      <c r="A5444" t="s">
        <v>2169</v>
      </c>
      <c r="B5444" t="s">
        <v>77</v>
      </c>
      <c r="C5444" s="8">
        <v>46211</v>
      </c>
      <c r="D5444" t="s">
        <v>330</v>
      </c>
      <c r="E5444" t="s">
        <v>339</v>
      </c>
      <c r="F5444" s="12">
        <v>167619</v>
      </c>
      <c r="G5444" s="13">
        <v>16</v>
      </c>
      <c r="H5444" t="s">
        <v>3166</v>
      </c>
      <c r="I5444" s="8">
        <v>46075</v>
      </c>
      <c r="J5444" t="s">
        <v>2668</v>
      </c>
      <c r="K5444" t="s">
        <v>2669</v>
      </c>
      <c r="L5444" s="13">
        <v>4000</v>
      </c>
      <c r="M5444" t="s">
        <v>2661</v>
      </c>
    </row>
    <row r="5445" spans="1:13">
      <c r="A5445" t="s">
        <v>2169</v>
      </c>
      <c r="B5445" t="s">
        <v>77</v>
      </c>
      <c r="C5445" s="8">
        <v>46211</v>
      </c>
      <c r="D5445" t="s">
        <v>330</v>
      </c>
      <c r="E5445" t="s">
        <v>339</v>
      </c>
      <c r="F5445" s="12">
        <v>167619</v>
      </c>
      <c r="G5445" s="13">
        <v>16</v>
      </c>
      <c r="H5445" t="s">
        <v>3326</v>
      </c>
      <c r="I5445" s="8">
        <v>46123</v>
      </c>
      <c r="J5445" t="s">
        <v>2688</v>
      </c>
      <c r="K5445" t="s">
        <v>2689</v>
      </c>
      <c r="L5445" s="13">
        <v>8000</v>
      </c>
      <c r="M5445" t="s">
        <v>2661</v>
      </c>
    </row>
    <row r="5446" spans="1:13">
      <c r="A5446" t="s">
        <v>2170</v>
      </c>
      <c r="B5446" t="s">
        <v>199</v>
      </c>
      <c r="C5446" s="8">
        <v>45947</v>
      </c>
      <c r="D5446" t="s">
        <v>327</v>
      </c>
      <c r="E5446" t="s">
        <v>325</v>
      </c>
      <c r="F5446" s="12">
        <v>687886</v>
      </c>
      <c r="G5446" s="13">
        <v>68</v>
      </c>
      <c r="H5446" t="s">
        <v>2993</v>
      </c>
      <c r="I5446" s="8">
        <v>46086</v>
      </c>
      <c r="J5446" t="s">
        <v>2659</v>
      </c>
      <c r="K5446" t="s">
        <v>2660</v>
      </c>
      <c r="L5446" s="13">
        <v>3500</v>
      </c>
      <c r="M5446" t="s">
        <v>2661</v>
      </c>
    </row>
    <row r="5447" spans="1:13">
      <c r="A5447" t="s">
        <v>2170</v>
      </c>
      <c r="B5447" t="s">
        <v>199</v>
      </c>
      <c r="C5447" s="8">
        <v>45947</v>
      </c>
      <c r="D5447" t="s">
        <v>327</v>
      </c>
      <c r="E5447" t="s">
        <v>325</v>
      </c>
      <c r="F5447" s="12">
        <v>687886</v>
      </c>
      <c r="G5447" s="13">
        <v>68</v>
      </c>
      <c r="H5447" t="s">
        <v>3004</v>
      </c>
      <c r="I5447" s="8">
        <v>45974</v>
      </c>
      <c r="J5447" t="s">
        <v>2688</v>
      </c>
      <c r="K5447" t="s">
        <v>2689</v>
      </c>
      <c r="L5447" s="13">
        <v>8000</v>
      </c>
      <c r="M5447" t="s">
        <v>2661</v>
      </c>
    </row>
    <row r="5448" spans="1:13">
      <c r="A5448" t="s">
        <v>2170</v>
      </c>
      <c r="B5448" t="s">
        <v>199</v>
      </c>
      <c r="C5448" s="8">
        <v>45947</v>
      </c>
      <c r="D5448" t="s">
        <v>327</v>
      </c>
      <c r="E5448" t="s">
        <v>325</v>
      </c>
      <c r="F5448" s="12">
        <v>687886</v>
      </c>
      <c r="G5448" s="13">
        <v>68</v>
      </c>
      <c r="H5448" t="s">
        <v>3399</v>
      </c>
      <c r="I5448" s="8">
        <v>46093</v>
      </c>
      <c r="J5448" t="s">
        <v>2659</v>
      </c>
      <c r="K5448" t="s">
        <v>2660</v>
      </c>
      <c r="L5448" s="13">
        <v>3500</v>
      </c>
      <c r="M5448" t="s">
        <v>2661</v>
      </c>
    </row>
    <row r="5449" spans="1:13">
      <c r="A5449" t="s">
        <v>2170</v>
      </c>
      <c r="B5449" t="s">
        <v>199</v>
      </c>
      <c r="C5449" s="8">
        <v>45947</v>
      </c>
      <c r="D5449" t="s">
        <v>327</v>
      </c>
      <c r="E5449" t="s">
        <v>325</v>
      </c>
      <c r="F5449" s="12">
        <v>687886</v>
      </c>
      <c r="G5449" s="13">
        <v>68</v>
      </c>
      <c r="H5449" t="s">
        <v>3496</v>
      </c>
      <c r="I5449" s="8">
        <v>46020</v>
      </c>
      <c r="J5449" t="s">
        <v>2674</v>
      </c>
      <c r="K5449" t="s">
        <v>2675</v>
      </c>
      <c r="L5449" s="13">
        <v>20000</v>
      </c>
      <c r="M5449" t="s">
        <v>2661</v>
      </c>
    </row>
    <row r="5450" spans="1:13">
      <c r="A5450" t="s">
        <v>2171</v>
      </c>
      <c r="B5450" t="s">
        <v>256</v>
      </c>
      <c r="C5450" s="8">
        <v>46219</v>
      </c>
      <c r="D5450" t="s">
        <v>324</v>
      </c>
      <c r="E5450" t="s">
        <v>322</v>
      </c>
      <c r="F5450" s="12">
        <v>256647</v>
      </c>
      <c r="G5450" s="13">
        <v>25</v>
      </c>
      <c r="H5450" t="s">
        <v>3289</v>
      </c>
      <c r="I5450" s="8">
        <v>46146</v>
      </c>
      <c r="J5450" t="s">
        <v>2659</v>
      </c>
      <c r="K5450" t="s">
        <v>2660</v>
      </c>
      <c r="L5450" s="13">
        <v>3500</v>
      </c>
      <c r="M5450" t="s">
        <v>2661</v>
      </c>
    </row>
    <row r="5451" spans="1:13">
      <c r="A5451" t="s">
        <v>2172</v>
      </c>
      <c r="B5451" t="s">
        <v>69</v>
      </c>
      <c r="C5451" s="8">
        <v>46071</v>
      </c>
      <c r="D5451" t="s">
        <v>324</v>
      </c>
      <c r="E5451" t="s">
        <v>322</v>
      </c>
      <c r="F5451" s="12">
        <v>206134</v>
      </c>
      <c r="G5451" s="13">
        <v>20</v>
      </c>
      <c r="H5451" t="s">
        <v>2723</v>
      </c>
      <c r="I5451" s="8">
        <v>46140</v>
      </c>
      <c r="J5451" t="s">
        <v>2688</v>
      </c>
      <c r="K5451" t="s">
        <v>2689</v>
      </c>
      <c r="L5451" s="13">
        <v>8000</v>
      </c>
      <c r="M5451" t="s">
        <v>2661</v>
      </c>
    </row>
    <row r="5452" spans="1:13">
      <c r="A5452" t="s">
        <v>2172</v>
      </c>
      <c r="B5452" t="s">
        <v>69</v>
      </c>
      <c r="C5452" s="8">
        <v>46071</v>
      </c>
      <c r="D5452" t="s">
        <v>324</v>
      </c>
      <c r="E5452" t="s">
        <v>322</v>
      </c>
      <c r="F5452" s="12">
        <v>206134</v>
      </c>
      <c r="G5452" s="13">
        <v>20</v>
      </c>
      <c r="H5452" t="s">
        <v>2822</v>
      </c>
      <c r="I5452" s="8">
        <v>46159</v>
      </c>
      <c r="J5452" t="s">
        <v>2668</v>
      </c>
      <c r="K5452" t="s">
        <v>2669</v>
      </c>
      <c r="L5452" s="13">
        <v>4000</v>
      </c>
      <c r="M5452" t="s">
        <v>2661</v>
      </c>
    </row>
    <row r="5453" spans="1:13">
      <c r="A5453" t="s">
        <v>2172</v>
      </c>
      <c r="B5453" t="s">
        <v>69</v>
      </c>
      <c r="C5453" s="8">
        <v>46071</v>
      </c>
      <c r="D5453" t="s">
        <v>324</v>
      </c>
      <c r="E5453" t="s">
        <v>322</v>
      </c>
      <c r="F5453" s="12">
        <v>206134</v>
      </c>
      <c r="G5453" s="13">
        <v>20</v>
      </c>
      <c r="H5453" t="s">
        <v>3513</v>
      </c>
      <c r="I5453" s="8">
        <v>46161</v>
      </c>
      <c r="J5453" t="s">
        <v>2692</v>
      </c>
      <c r="K5453" t="s">
        <v>2693</v>
      </c>
      <c r="L5453" s="13">
        <v>10000</v>
      </c>
      <c r="M5453" t="s">
        <v>2661</v>
      </c>
    </row>
    <row r="5454" spans="1:13">
      <c r="A5454" t="s">
        <v>2173</v>
      </c>
      <c r="B5454" t="s">
        <v>140</v>
      </c>
      <c r="C5454" s="8">
        <v>45935</v>
      </c>
      <c r="D5454" t="s">
        <v>330</v>
      </c>
      <c r="E5454" t="s">
        <v>334</v>
      </c>
      <c r="F5454" s="12">
        <v>72550</v>
      </c>
      <c r="G5454" s="13">
        <v>7</v>
      </c>
      <c r="H5454" t="s">
        <v>3192</v>
      </c>
      <c r="I5454" s="8">
        <v>46206</v>
      </c>
      <c r="J5454" t="s">
        <v>2682</v>
      </c>
      <c r="K5454" t="s">
        <v>2683</v>
      </c>
      <c r="L5454" s="13">
        <v>6000</v>
      </c>
      <c r="M5454" t="s">
        <v>2661</v>
      </c>
    </row>
    <row r="5455" spans="1:13">
      <c r="A5455" t="s">
        <v>2174</v>
      </c>
      <c r="B5455" t="s">
        <v>205</v>
      </c>
      <c r="C5455" s="8">
        <v>46157</v>
      </c>
      <c r="D5455" t="s">
        <v>324</v>
      </c>
      <c r="E5455" t="s">
        <v>334</v>
      </c>
      <c r="F5455" s="12">
        <v>295185</v>
      </c>
      <c r="G5455" s="13">
        <v>29</v>
      </c>
      <c r="H5455" t="s">
        <v>3241</v>
      </c>
      <c r="I5455" s="8">
        <v>45972</v>
      </c>
      <c r="J5455" t="s">
        <v>2671</v>
      </c>
      <c r="K5455" t="s">
        <v>2672</v>
      </c>
      <c r="L5455" s="13">
        <v>3000</v>
      </c>
      <c r="M5455" t="s">
        <v>2676</v>
      </c>
    </row>
    <row r="5456" spans="1:13">
      <c r="A5456" t="s">
        <v>2175</v>
      </c>
      <c r="B5456" t="s">
        <v>207</v>
      </c>
      <c r="C5456" s="8">
        <v>46186</v>
      </c>
      <c r="D5456" t="s">
        <v>327</v>
      </c>
      <c r="E5456" t="s">
        <v>325</v>
      </c>
      <c r="F5456" s="12">
        <v>88805</v>
      </c>
      <c r="G5456" s="13">
        <v>8</v>
      </c>
      <c r="H5456" t="s">
        <v>2813</v>
      </c>
      <c r="I5456" s="8">
        <v>46129</v>
      </c>
      <c r="J5456" t="s">
        <v>2674</v>
      </c>
      <c r="K5456" t="s">
        <v>2675</v>
      </c>
      <c r="L5456" s="13">
        <v>20000</v>
      </c>
      <c r="M5456" t="s">
        <v>2661</v>
      </c>
    </row>
    <row r="5457" spans="1:13">
      <c r="A5457" t="s">
        <v>2175</v>
      </c>
      <c r="B5457" t="s">
        <v>207</v>
      </c>
      <c r="C5457" s="8">
        <v>46186</v>
      </c>
      <c r="D5457" t="s">
        <v>327</v>
      </c>
      <c r="E5457" t="s">
        <v>325</v>
      </c>
      <c r="F5457" s="12">
        <v>88805</v>
      </c>
      <c r="G5457" s="13">
        <v>8</v>
      </c>
      <c r="H5457" t="s">
        <v>2879</v>
      </c>
      <c r="I5457" s="8">
        <v>46287</v>
      </c>
      <c r="J5457" t="s">
        <v>2688</v>
      </c>
      <c r="K5457" t="s">
        <v>2689</v>
      </c>
      <c r="L5457" s="13">
        <v>8000</v>
      </c>
      <c r="M5457" t="s">
        <v>2661</v>
      </c>
    </row>
    <row r="5458" spans="1:13">
      <c r="A5458" t="s">
        <v>2175</v>
      </c>
      <c r="B5458" t="s">
        <v>207</v>
      </c>
      <c r="C5458" s="8">
        <v>46186</v>
      </c>
      <c r="D5458" t="s">
        <v>327</v>
      </c>
      <c r="E5458" t="s">
        <v>325</v>
      </c>
      <c r="F5458" s="12">
        <v>88805</v>
      </c>
      <c r="G5458" s="13">
        <v>8</v>
      </c>
      <c r="H5458" t="s">
        <v>2910</v>
      </c>
      <c r="I5458" s="8">
        <v>46262</v>
      </c>
      <c r="J5458" t="s">
        <v>2688</v>
      </c>
      <c r="K5458" t="s">
        <v>2689</v>
      </c>
      <c r="L5458" s="13">
        <v>8000</v>
      </c>
      <c r="M5458" t="s">
        <v>2661</v>
      </c>
    </row>
    <row r="5459" spans="1:13">
      <c r="A5459" t="s">
        <v>2175</v>
      </c>
      <c r="B5459" t="s">
        <v>207</v>
      </c>
      <c r="C5459" s="8">
        <v>46186</v>
      </c>
      <c r="D5459" t="s">
        <v>327</v>
      </c>
      <c r="E5459" t="s">
        <v>325</v>
      </c>
      <c r="F5459" s="12">
        <v>88805</v>
      </c>
      <c r="G5459" s="13">
        <v>8</v>
      </c>
      <c r="H5459" t="s">
        <v>3252</v>
      </c>
      <c r="I5459" s="8">
        <v>45986</v>
      </c>
      <c r="J5459" t="s">
        <v>2671</v>
      </c>
      <c r="K5459" t="s">
        <v>2672</v>
      </c>
      <c r="L5459" s="13">
        <v>3000</v>
      </c>
      <c r="M5459" t="s">
        <v>2661</v>
      </c>
    </row>
    <row r="5460" spans="1:13">
      <c r="A5460" t="s">
        <v>2175</v>
      </c>
      <c r="B5460" t="s">
        <v>207</v>
      </c>
      <c r="C5460" s="8">
        <v>46186</v>
      </c>
      <c r="D5460" t="s">
        <v>327</v>
      </c>
      <c r="E5460" t="s">
        <v>325</v>
      </c>
      <c r="F5460" s="12">
        <v>88805</v>
      </c>
      <c r="G5460" s="13">
        <v>8</v>
      </c>
      <c r="H5460" t="s">
        <v>3278</v>
      </c>
      <c r="I5460" s="8">
        <v>46248</v>
      </c>
      <c r="J5460" t="s">
        <v>2682</v>
      </c>
      <c r="K5460" t="s">
        <v>2683</v>
      </c>
      <c r="L5460" s="13">
        <v>6000</v>
      </c>
      <c r="M5460" t="s">
        <v>2661</v>
      </c>
    </row>
    <row r="5461" spans="1:13">
      <c r="A5461" t="s">
        <v>2176</v>
      </c>
      <c r="B5461" t="s">
        <v>105</v>
      </c>
      <c r="C5461" s="8">
        <v>45988</v>
      </c>
      <c r="D5461" t="s">
        <v>342</v>
      </c>
      <c r="E5461" t="s">
        <v>334</v>
      </c>
      <c r="F5461" s="12">
        <v>335661</v>
      </c>
      <c r="G5461" s="13">
        <v>33</v>
      </c>
      <c r="H5461" t="s">
        <v>3001</v>
      </c>
      <c r="I5461" s="8">
        <v>46288</v>
      </c>
      <c r="J5461" t="s">
        <v>2668</v>
      </c>
      <c r="K5461" t="s">
        <v>2669</v>
      </c>
      <c r="L5461" s="13">
        <v>4000</v>
      </c>
      <c r="M5461" t="s">
        <v>2661</v>
      </c>
    </row>
    <row r="5462" spans="1:13">
      <c r="A5462" t="s">
        <v>2176</v>
      </c>
      <c r="B5462" t="s">
        <v>105</v>
      </c>
      <c r="C5462" s="8">
        <v>45988</v>
      </c>
      <c r="D5462" t="s">
        <v>342</v>
      </c>
      <c r="E5462" t="s">
        <v>334</v>
      </c>
      <c r="F5462" s="12">
        <v>335661</v>
      </c>
      <c r="G5462" s="13">
        <v>33</v>
      </c>
      <c r="H5462" t="s">
        <v>3018</v>
      </c>
      <c r="I5462" s="8">
        <v>45961</v>
      </c>
      <c r="J5462" t="s">
        <v>2685</v>
      </c>
      <c r="K5462" t="s">
        <v>2686</v>
      </c>
      <c r="L5462" s="13">
        <v>5000</v>
      </c>
      <c r="M5462" t="s">
        <v>2661</v>
      </c>
    </row>
    <row r="5463" spans="1:13">
      <c r="A5463" t="s">
        <v>2178</v>
      </c>
      <c r="B5463" t="s">
        <v>230</v>
      </c>
      <c r="C5463" s="8">
        <v>46132</v>
      </c>
      <c r="D5463" t="s">
        <v>350</v>
      </c>
      <c r="E5463" t="s">
        <v>322</v>
      </c>
      <c r="F5463" s="12">
        <v>432399</v>
      </c>
      <c r="G5463" s="13">
        <v>43</v>
      </c>
      <c r="H5463" t="s">
        <v>2687</v>
      </c>
      <c r="I5463" s="8">
        <v>46064</v>
      </c>
      <c r="J5463" t="s">
        <v>2688</v>
      </c>
      <c r="K5463" t="s">
        <v>2689</v>
      </c>
      <c r="L5463" s="13">
        <v>8000</v>
      </c>
      <c r="M5463" t="s">
        <v>2661</v>
      </c>
    </row>
    <row r="5464" spans="1:13">
      <c r="A5464" t="s">
        <v>2178</v>
      </c>
      <c r="B5464" t="s">
        <v>230</v>
      </c>
      <c r="C5464" s="8">
        <v>46132</v>
      </c>
      <c r="D5464" t="s">
        <v>350</v>
      </c>
      <c r="E5464" t="s">
        <v>322</v>
      </c>
      <c r="F5464" s="12">
        <v>432399</v>
      </c>
      <c r="G5464" s="13">
        <v>43</v>
      </c>
      <c r="H5464" t="s">
        <v>2720</v>
      </c>
      <c r="I5464" s="8">
        <v>46041</v>
      </c>
      <c r="J5464" t="s">
        <v>2659</v>
      </c>
      <c r="K5464" t="s">
        <v>2660</v>
      </c>
      <c r="L5464" s="13">
        <v>3500</v>
      </c>
      <c r="M5464" t="s">
        <v>2661</v>
      </c>
    </row>
    <row r="5465" spans="1:13">
      <c r="A5465" t="s">
        <v>2178</v>
      </c>
      <c r="B5465" t="s">
        <v>230</v>
      </c>
      <c r="C5465" s="8">
        <v>46132</v>
      </c>
      <c r="D5465" t="s">
        <v>350</v>
      </c>
      <c r="E5465" t="s">
        <v>322</v>
      </c>
      <c r="F5465" s="12">
        <v>432399</v>
      </c>
      <c r="G5465" s="13">
        <v>43</v>
      </c>
      <c r="H5465" t="s">
        <v>2777</v>
      </c>
      <c r="I5465" s="8">
        <v>45988</v>
      </c>
      <c r="J5465" t="s">
        <v>2659</v>
      </c>
      <c r="K5465" t="s">
        <v>2660</v>
      </c>
      <c r="L5465" s="13">
        <v>3500</v>
      </c>
      <c r="M5465" t="s">
        <v>2661</v>
      </c>
    </row>
    <row r="5466" spans="1:13">
      <c r="A5466" t="s">
        <v>2178</v>
      </c>
      <c r="B5466" t="s">
        <v>230</v>
      </c>
      <c r="C5466" s="8">
        <v>46132</v>
      </c>
      <c r="D5466" t="s">
        <v>350</v>
      </c>
      <c r="E5466" t="s">
        <v>322</v>
      </c>
      <c r="F5466" s="12">
        <v>432399</v>
      </c>
      <c r="G5466" s="13">
        <v>43</v>
      </c>
      <c r="H5466" t="s">
        <v>2906</v>
      </c>
      <c r="I5466" s="8">
        <v>46201</v>
      </c>
      <c r="J5466" t="s">
        <v>2685</v>
      </c>
      <c r="K5466" t="s">
        <v>2686</v>
      </c>
      <c r="L5466" s="13">
        <v>5000</v>
      </c>
      <c r="M5466" t="s">
        <v>2661</v>
      </c>
    </row>
    <row r="5467" spans="1:13">
      <c r="A5467" t="s">
        <v>2178</v>
      </c>
      <c r="B5467" t="s">
        <v>230</v>
      </c>
      <c r="C5467" s="8">
        <v>46132</v>
      </c>
      <c r="D5467" t="s">
        <v>350</v>
      </c>
      <c r="E5467" t="s">
        <v>322</v>
      </c>
      <c r="F5467" s="12">
        <v>432399</v>
      </c>
      <c r="G5467" s="13">
        <v>43</v>
      </c>
      <c r="H5467" t="s">
        <v>3117</v>
      </c>
      <c r="I5467" s="8">
        <v>46062</v>
      </c>
      <c r="J5467" t="s">
        <v>2668</v>
      </c>
      <c r="K5467" t="s">
        <v>2669</v>
      </c>
      <c r="L5467" s="13">
        <v>4000</v>
      </c>
      <c r="M5467" t="s">
        <v>2661</v>
      </c>
    </row>
    <row r="5468" spans="1:13">
      <c r="A5468" t="s">
        <v>2179</v>
      </c>
      <c r="B5468" t="s">
        <v>178</v>
      </c>
      <c r="C5468" s="8">
        <v>46213</v>
      </c>
      <c r="D5468" t="s">
        <v>324</v>
      </c>
      <c r="E5468" t="s">
        <v>339</v>
      </c>
      <c r="F5468" s="12">
        <v>436413</v>
      </c>
      <c r="G5468" s="13">
        <v>43</v>
      </c>
      <c r="H5468" t="s">
        <v>2803</v>
      </c>
      <c r="I5468" s="8">
        <v>46039</v>
      </c>
      <c r="J5468" t="s">
        <v>2663</v>
      </c>
      <c r="K5468" t="s">
        <v>3630</v>
      </c>
      <c r="L5468" s="13">
        <v>1500</v>
      </c>
      <c r="M5468" t="s">
        <v>2661</v>
      </c>
    </row>
    <row r="5469" spans="1:13">
      <c r="A5469" t="s">
        <v>2179</v>
      </c>
      <c r="B5469" t="s">
        <v>178</v>
      </c>
      <c r="C5469" s="8">
        <v>46213</v>
      </c>
      <c r="D5469" t="s">
        <v>324</v>
      </c>
      <c r="E5469" t="s">
        <v>339</v>
      </c>
      <c r="F5469" s="12">
        <v>436413</v>
      </c>
      <c r="G5469" s="13">
        <v>43</v>
      </c>
      <c r="H5469" t="s">
        <v>2900</v>
      </c>
      <c r="I5469" s="8">
        <v>46214</v>
      </c>
      <c r="J5469" t="s">
        <v>2665</v>
      </c>
      <c r="K5469" t="s">
        <v>2666</v>
      </c>
      <c r="L5469" s="13">
        <v>2500</v>
      </c>
      <c r="M5469" t="s">
        <v>2661</v>
      </c>
    </row>
    <row r="5470" spans="1:13">
      <c r="A5470" t="s">
        <v>2179</v>
      </c>
      <c r="B5470" t="s">
        <v>178</v>
      </c>
      <c r="C5470" s="8">
        <v>46213</v>
      </c>
      <c r="D5470" t="s">
        <v>324</v>
      </c>
      <c r="E5470" t="s">
        <v>339</v>
      </c>
      <c r="F5470" s="12">
        <v>436413</v>
      </c>
      <c r="G5470" s="13">
        <v>43</v>
      </c>
      <c r="H5470" t="s">
        <v>2925</v>
      </c>
      <c r="I5470" s="8">
        <v>46172</v>
      </c>
      <c r="J5470" t="s">
        <v>2671</v>
      </c>
      <c r="K5470" t="s">
        <v>2672</v>
      </c>
      <c r="L5470" s="13">
        <v>3000</v>
      </c>
      <c r="M5470" t="s">
        <v>2661</v>
      </c>
    </row>
    <row r="5471" spans="1:13">
      <c r="A5471" t="s">
        <v>2179</v>
      </c>
      <c r="B5471" t="s">
        <v>178</v>
      </c>
      <c r="C5471" s="8">
        <v>46213</v>
      </c>
      <c r="D5471" t="s">
        <v>324</v>
      </c>
      <c r="E5471" t="s">
        <v>339</v>
      </c>
      <c r="F5471" s="12">
        <v>436413</v>
      </c>
      <c r="G5471" s="13">
        <v>43</v>
      </c>
      <c r="H5471" t="s">
        <v>2964</v>
      </c>
      <c r="I5471" s="8">
        <v>46262</v>
      </c>
      <c r="J5471" t="s">
        <v>2685</v>
      </c>
      <c r="K5471" t="s">
        <v>2686</v>
      </c>
      <c r="L5471" s="13">
        <v>5000</v>
      </c>
      <c r="M5471" t="s">
        <v>2661</v>
      </c>
    </row>
    <row r="5472" spans="1:13">
      <c r="A5472" t="s">
        <v>2179</v>
      </c>
      <c r="B5472" t="s">
        <v>178</v>
      </c>
      <c r="C5472" s="8">
        <v>46213</v>
      </c>
      <c r="D5472" t="s">
        <v>324</v>
      </c>
      <c r="E5472" t="s">
        <v>339</v>
      </c>
      <c r="F5472" s="12">
        <v>436413</v>
      </c>
      <c r="G5472" s="13">
        <v>43</v>
      </c>
      <c r="H5472" t="s">
        <v>3177</v>
      </c>
      <c r="I5472" s="8">
        <v>46293</v>
      </c>
      <c r="J5472" t="s">
        <v>2668</v>
      </c>
      <c r="K5472" t="s">
        <v>2669</v>
      </c>
      <c r="L5472" s="13">
        <v>4000</v>
      </c>
      <c r="M5472" t="s">
        <v>2661</v>
      </c>
    </row>
    <row r="5473" spans="1:13">
      <c r="A5473" t="s">
        <v>2179</v>
      </c>
      <c r="B5473" t="s">
        <v>178</v>
      </c>
      <c r="C5473" s="8">
        <v>46213</v>
      </c>
      <c r="D5473" t="s">
        <v>324</v>
      </c>
      <c r="E5473" t="s">
        <v>339</v>
      </c>
      <c r="F5473" s="12">
        <v>436413</v>
      </c>
      <c r="G5473" s="13">
        <v>43</v>
      </c>
      <c r="H5473" t="s">
        <v>3280</v>
      </c>
      <c r="I5473" s="8">
        <v>46163</v>
      </c>
      <c r="J5473" t="s">
        <v>2685</v>
      </c>
      <c r="K5473" t="s">
        <v>2686</v>
      </c>
      <c r="L5473" s="13">
        <v>5000</v>
      </c>
      <c r="M5473" t="s">
        <v>2676</v>
      </c>
    </row>
    <row r="5474" spans="1:13">
      <c r="A5474" t="s">
        <v>2180</v>
      </c>
      <c r="B5474" t="s">
        <v>198</v>
      </c>
      <c r="C5474" s="8">
        <v>45934</v>
      </c>
      <c r="D5474" t="s">
        <v>344</v>
      </c>
      <c r="E5474" t="s">
        <v>325</v>
      </c>
      <c r="F5474" s="12">
        <v>132021</v>
      </c>
      <c r="G5474" s="13">
        <v>13</v>
      </c>
      <c r="H5474" t="s">
        <v>2904</v>
      </c>
      <c r="I5474" s="8">
        <v>46244</v>
      </c>
      <c r="J5474" t="s">
        <v>2659</v>
      </c>
      <c r="K5474" t="s">
        <v>2660</v>
      </c>
      <c r="L5474" s="13">
        <v>3500</v>
      </c>
      <c r="M5474" t="s">
        <v>2661</v>
      </c>
    </row>
    <row r="5475" spans="1:13">
      <c r="A5475" t="s">
        <v>2182</v>
      </c>
      <c r="B5475" t="s">
        <v>135</v>
      </c>
      <c r="C5475" s="8">
        <v>46287</v>
      </c>
      <c r="D5475" t="s">
        <v>342</v>
      </c>
      <c r="E5475" t="s">
        <v>328</v>
      </c>
      <c r="F5475" s="12">
        <v>337400</v>
      </c>
      <c r="G5475" s="13">
        <v>33</v>
      </c>
      <c r="H5475" t="s">
        <v>2922</v>
      </c>
      <c r="I5475" s="8">
        <v>45998</v>
      </c>
      <c r="J5475" t="s">
        <v>2682</v>
      </c>
      <c r="K5475" t="s">
        <v>2683</v>
      </c>
      <c r="L5475" s="13">
        <v>6000</v>
      </c>
      <c r="M5475" t="s">
        <v>2661</v>
      </c>
    </row>
    <row r="5476" spans="1:13">
      <c r="A5476" t="s">
        <v>2182</v>
      </c>
      <c r="B5476" t="s">
        <v>135</v>
      </c>
      <c r="C5476" s="8">
        <v>46287</v>
      </c>
      <c r="D5476" t="s">
        <v>342</v>
      </c>
      <c r="E5476" t="s">
        <v>328</v>
      </c>
      <c r="F5476" s="12">
        <v>337400</v>
      </c>
      <c r="G5476" s="13">
        <v>33</v>
      </c>
      <c r="H5476" t="s">
        <v>3053</v>
      </c>
      <c r="I5476" s="8">
        <v>46165</v>
      </c>
      <c r="J5476" t="s">
        <v>2692</v>
      </c>
      <c r="K5476" t="s">
        <v>2693</v>
      </c>
      <c r="L5476" s="13">
        <v>10000</v>
      </c>
      <c r="M5476" t="s">
        <v>2661</v>
      </c>
    </row>
    <row r="5477" spans="1:13">
      <c r="A5477" t="s">
        <v>2182</v>
      </c>
      <c r="B5477" t="s">
        <v>135</v>
      </c>
      <c r="C5477" s="8">
        <v>46287</v>
      </c>
      <c r="D5477" t="s">
        <v>342</v>
      </c>
      <c r="E5477" t="s">
        <v>328</v>
      </c>
      <c r="F5477" s="12">
        <v>337400</v>
      </c>
      <c r="G5477" s="13">
        <v>33</v>
      </c>
      <c r="H5477" t="s">
        <v>3118</v>
      </c>
      <c r="I5477" s="8">
        <v>45989</v>
      </c>
      <c r="J5477" t="s">
        <v>2692</v>
      </c>
      <c r="K5477" t="s">
        <v>2693</v>
      </c>
      <c r="L5477" s="13">
        <v>10000</v>
      </c>
      <c r="M5477" t="s">
        <v>2661</v>
      </c>
    </row>
    <row r="5478" spans="1:13">
      <c r="A5478" t="s">
        <v>2182</v>
      </c>
      <c r="B5478" t="s">
        <v>135</v>
      </c>
      <c r="C5478" s="8">
        <v>46287</v>
      </c>
      <c r="D5478" t="s">
        <v>342</v>
      </c>
      <c r="E5478" t="s">
        <v>328</v>
      </c>
      <c r="F5478" s="12">
        <v>337400</v>
      </c>
      <c r="G5478" s="13">
        <v>33</v>
      </c>
      <c r="H5478" t="s">
        <v>3262</v>
      </c>
      <c r="I5478" s="8">
        <v>46091</v>
      </c>
      <c r="J5478" t="s">
        <v>2682</v>
      </c>
      <c r="K5478" t="s">
        <v>2683</v>
      </c>
      <c r="L5478" s="13">
        <v>6000</v>
      </c>
      <c r="M5478" t="s">
        <v>2661</v>
      </c>
    </row>
    <row r="5479" spans="1:13">
      <c r="A5479" t="s">
        <v>2183</v>
      </c>
      <c r="B5479" t="s">
        <v>304</v>
      </c>
      <c r="C5479" s="8">
        <v>46083</v>
      </c>
      <c r="D5479" t="s">
        <v>332</v>
      </c>
      <c r="E5479" t="s">
        <v>328</v>
      </c>
      <c r="F5479" s="12">
        <v>406519</v>
      </c>
      <c r="G5479" s="13">
        <v>40</v>
      </c>
      <c r="H5479" t="s">
        <v>2738</v>
      </c>
      <c r="I5479" s="8">
        <v>46051</v>
      </c>
      <c r="J5479" t="s">
        <v>2665</v>
      </c>
      <c r="K5479" t="s">
        <v>2666</v>
      </c>
      <c r="L5479" s="13">
        <v>2500</v>
      </c>
      <c r="M5479" t="s">
        <v>2661</v>
      </c>
    </row>
    <row r="5480" spans="1:13">
      <c r="A5480" t="s">
        <v>2183</v>
      </c>
      <c r="B5480" t="s">
        <v>304</v>
      </c>
      <c r="C5480" s="8">
        <v>46083</v>
      </c>
      <c r="D5480" t="s">
        <v>332</v>
      </c>
      <c r="E5480" t="s">
        <v>328</v>
      </c>
      <c r="F5480" s="12">
        <v>406519</v>
      </c>
      <c r="G5480" s="13">
        <v>40</v>
      </c>
      <c r="H5480" t="s">
        <v>2857</v>
      </c>
      <c r="I5480" s="8">
        <v>46291</v>
      </c>
      <c r="J5480" t="s">
        <v>2685</v>
      </c>
      <c r="K5480" t="s">
        <v>2686</v>
      </c>
      <c r="L5480" s="13">
        <v>5000</v>
      </c>
      <c r="M5480" t="s">
        <v>2661</v>
      </c>
    </row>
    <row r="5481" spans="1:13">
      <c r="A5481" t="s">
        <v>2183</v>
      </c>
      <c r="B5481" t="s">
        <v>304</v>
      </c>
      <c r="C5481" s="8">
        <v>46083</v>
      </c>
      <c r="D5481" t="s">
        <v>332</v>
      </c>
      <c r="E5481" t="s">
        <v>328</v>
      </c>
      <c r="F5481" s="12">
        <v>406519</v>
      </c>
      <c r="G5481" s="13">
        <v>40</v>
      </c>
      <c r="H5481" t="s">
        <v>2989</v>
      </c>
      <c r="I5481" s="8">
        <v>46225</v>
      </c>
      <c r="J5481" t="s">
        <v>2668</v>
      </c>
      <c r="K5481" t="s">
        <v>2669</v>
      </c>
      <c r="L5481" s="13">
        <v>4000</v>
      </c>
      <c r="M5481" t="s">
        <v>2661</v>
      </c>
    </row>
    <row r="5482" spans="1:13">
      <c r="A5482" t="s">
        <v>2183</v>
      </c>
      <c r="B5482" t="s">
        <v>304</v>
      </c>
      <c r="C5482" s="8">
        <v>46083</v>
      </c>
      <c r="D5482" t="s">
        <v>332</v>
      </c>
      <c r="E5482" t="s">
        <v>328</v>
      </c>
      <c r="F5482" s="12">
        <v>406519</v>
      </c>
      <c r="G5482" s="13">
        <v>40</v>
      </c>
      <c r="H5482" t="s">
        <v>3336</v>
      </c>
      <c r="I5482" s="8">
        <v>45946</v>
      </c>
      <c r="J5482" t="s">
        <v>2688</v>
      </c>
      <c r="K5482" t="s">
        <v>2689</v>
      </c>
      <c r="L5482" s="13">
        <v>8000</v>
      </c>
      <c r="M5482" t="s">
        <v>2661</v>
      </c>
    </row>
    <row r="5483" spans="1:13">
      <c r="A5483" t="s">
        <v>2183</v>
      </c>
      <c r="B5483" t="s">
        <v>304</v>
      </c>
      <c r="C5483" s="8">
        <v>46083</v>
      </c>
      <c r="D5483" t="s">
        <v>332</v>
      </c>
      <c r="E5483" t="s">
        <v>328</v>
      </c>
      <c r="F5483" s="12">
        <v>406519</v>
      </c>
      <c r="G5483" s="13">
        <v>40</v>
      </c>
      <c r="H5483" t="s">
        <v>3473</v>
      </c>
      <c r="I5483" s="8">
        <v>46011</v>
      </c>
      <c r="J5483" t="s">
        <v>2688</v>
      </c>
      <c r="K5483" t="s">
        <v>2689</v>
      </c>
      <c r="L5483" s="13">
        <v>8000</v>
      </c>
      <c r="M5483" t="s">
        <v>2661</v>
      </c>
    </row>
    <row r="5484" spans="1:13">
      <c r="A5484" t="s">
        <v>2184</v>
      </c>
      <c r="B5484" t="s">
        <v>122</v>
      </c>
      <c r="C5484" s="8">
        <v>46231</v>
      </c>
      <c r="D5484" t="s">
        <v>324</v>
      </c>
      <c r="E5484" t="s">
        <v>322</v>
      </c>
      <c r="F5484" s="12">
        <v>94991</v>
      </c>
      <c r="G5484" s="13">
        <v>9</v>
      </c>
      <c r="H5484" t="s">
        <v>2998</v>
      </c>
      <c r="I5484" s="8">
        <v>46159</v>
      </c>
      <c r="J5484" t="s">
        <v>2659</v>
      </c>
      <c r="K5484" t="s">
        <v>2660</v>
      </c>
      <c r="L5484" s="13">
        <v>3500</v>
      </c>
      <c r="M5484" t="s">
        <v>2661</v>
      </c>
    </row>
    <row r="5485" spans="1:13">
      <c r="A5485" t="s">
        <v>2184</v>
      </c>
      <c r="B5485" t="s">
        <v>122</v>
      </c>
      <c r="C5485" s="8">
        <v>46231</v>
      </c>
      <c r="D5485" t="s">
        <v>324</v>
      </c>
      <c r="E5485" t="s">
        <v>322</v>
      </c>
      <c r="F5485" s="12">
        <v>94991</v>
      </c>
      <c r="G5485" s="13">
        <v>9</v>
      </c>
      <c r="H5485" t="s">
        <v>3144</v>
      </c>
      <c r="I5485" s="8">
        <v>45940</v>
      </c>
      <c r="J5485" t="s">
        <v>2692</v>
      </c>
      <c r="K5485" t="s">
        <v>2693</v>
      </c>
      <c r="L5485" s="13">
        <v>10000</v>
      </c>
      <c r="M5485" t="s">
        <v>2661</v>
      </c>
    </row>
    <row r="5486" spans="1:13">
      <c r="A5486" t="s">
        <v>2185</v>
      </c>
      <c r="B5486" t="s">
        <v>144</v>
      </c>
      <c r="C5486" s="8">
        <v>46150</v>
      </c>
      <c r="D5486" t="s">
        <v>321</v>
      </c>
      <c r="E5486" t="s">
        <v>325</v>
      </c>
      <c r="F5486" s="12">
        <v>191610</v>
      </c>
      <c r="G5486" s="13">
        <v>19</v>
      </c>
      <c r="H5486" t="s">
        <v>3481</v>
      </c>
      <c r="I5486" s="8">
        <v>46225</v>
      </c>
      <c r="J5486" t="s">
        <v>2682</v>
      </c>
      <c r="K5486" t="s">
        <v>2683</v>
      </c>
      <c r="L5486" s="13">
        <v>6000</v>
      </c>
      <c r="M5486" t="s">
        <v>2661</v>
      </c>
    </row>
    <row r="5487" spans="1:13">
      <c r="A5487" t="s">
        <v>2185</v>
      </c>
      <c r="B5487" t="s">
        <v>144</v>
      </c>
      <c r="C5487" s="8">
        <v>46150</v>
      </c>
      <c r="D5487" t="s">
        <v>321</v>
      </c>
      <c r="E5487" t="s">
        <v>325</v>
      </c>
      <c r="F5487" s="12">
        <v>191610</v>
      </c>
      <c r="G5487" s="13">
        <v>19</v>
      </c>
      <c r="H5487" t="s">
        <v>3512</v>
      </c>
      <c r="I5487" s="8">
        <v>46097</v>
      </c>
      <c r="J5487" t="s">
        <v>2685</v>
      </c>
      <c r="K5487" t="s">
        <v>2686</v>
      </c>
      <c r="L5487" s="13">
        <v>5000</v>
      </c>
      <c r="M5487" t="s">
        <v>2661</v>
      </c>
    </row>
    <row r="5488" spans="1:13">
      <c r="A5488" t="s">
        <v>2185</v>
      </c>
      <c r="B5488" t="s">
        <v>144</v>
      </c>
      <c r="C5488" s="8">
        <v>46150</v>
      </c>
      <c r="D5488" t="s">
        <v>321</v>
      </c>
      <c r="E5488" t="s">
        <v>325</v>
      </c>
      <c r="F5488" s="12">
        <v>191610</v>
      </c>
      <c r="G5488" s="13">
        <v>19</v>
      </c>
      <c r="H5488" t="s">
        <v>3542</v>
      </c>
      <c r="I5488" s="8">
        <v>46287</v>
      </c>
      <c r="J5488" t="s">
        <v>2659</v>
      </c>
      <c r="K5488" t="s">
        <v>2660</v>
      </c>
      <c r="L5488" s="13">
        <v>3500</v>
      </c>
      <c r="M5488" t="s">
        <v>2661</v>
      </c>
    </row>
    <row r="5489" spans="1:13">
      <c r="A5489" t="s">
        <v>2187</v>
      </c>
      <c r="B5489" t="s">
        <v>134</v>
      </c>
      <c r="C5489" s="8">
        <v>45948</v>
      </c>
      <c r="D5489" t="s">
        <v>350</v>
      </c>
      <c r="E5489" t="s">
        <v>322</v>
      </c>
      <c r="F5489" s="12">
        <v>170285</v>
      </c>
      <c r="G5489" s="13">
        <v>17</v>
      </c>
      <c r="H5489" t="s">
        <v>3183</v>
      </c>
      <c r="I5489" s="8">
        <v>46285</v>
      </c>
      <c r="J5489" t="s">
        <v>2663</v>
      </c>
      <c r="K5489" t="s">
        <v>3630</v>
      </c>
      <c r="L5489" s="13">
        <v>1500</v>
      </c>
      <c r="M5489" t="s">
        <v>2661</v>
      </c>
    </row>
    <row r="5490" spans="1:13">
      <c r="A5490" t="s">
        <v>2188</v>
      </c>
      <c r="B5490" t="s">
        <v>149</v>
      </c>
      <c r="C5490" s="8">
        <v>45994</v>
      </c>
      <c r="D5490" t="s">
        <v>324</v>
      </c>
      <c r="E5490" t="s">
        <v>325</v>
      </c>
      <c r="F5490" s="12">
        <v>121435</v>
      </c>
      <c r="G5490" s="13">
        <v>12</v>
      </c>
      <c r="H5490" t="s">
        <v>3322</v>
      </c>
      <c r="I5490" s="8">
        <v>46285</v>
      </c>
      <c r="J5490" t="s">
        <v>2685</v>
      </c>
      <c r="K5490" t="s">
        <v>2686</v>
      </c>
      <c r="L5490" s="13">
        <v>5000</v>
      </c>
      <c r="M5490" t="s">
        <v>2661</v>
      </c>
    </row>
    <row r="5491" spans="1:13">
      <c r="A5491" t="s">
        <v>2190</v>
      </c>
      <c r="B5491" t="s">
        <v>105</v>
      </c>
      <c r="C5491" s="8">
        <v>46291</v>
      </c>
      <c r="D5491" t="s">
        <v>324</v>
      </c>
      <c r="E5491" t="s">
        <v>334</v>
      </c>
      <c r="F5491" s="12">
        <v>560696</v>
      </c>
      <c r="G5491" s="13">
        <v>56</v>
      </c>
      <c r="H5491" t="s">
        <v>3001</v>
      </c>
      <c r="I5491" s="8">
        <v>46288</v>
      </c>
      <c r="J5491" t="s">
        <v>2668</v>
      </c>
      <c r="K5491" t="s">
        <v>2669</v>
      </c>
      <c r="L5491" s="13">
        <v>4000</v>
      </c>
      <c r="M5491" t="s">
        <v>2661</v>
      </c>
    </row>
    <row r="5492" spans="1:13">
      <c r="A5492" t="s">
        <v>2190</v>
      </c>
      <c r="B5492" t="s">
        <v>105</v>
      </c>
      <c r="C5492" s="8">
        <v>46291</v>
      </c>
      <c r="D5492" t="s">
        <v>324</v>
      </c>
      <c r="E5492" t="s">
        <v>334</v>
      </c>
      <c r="F5492" s="12">
        <v>560696</v>
      </c>
      <c r="G5492" s="13">
        <v>56</v>
      </c>
      <c r="H5492" t="s">
        <v>3018</v>
      </c>
      <c r="I5492" s="8">
        <v>45961</v>
      </c>
      <c r="J5492" t="s">
        <v>2685</v>
      </c>
      <c r="K5492" t="s">
        <v>2686</v>
      </c>
      <c r="L5492" s="13">
        <v>5000</v>
      </c>
      <c r="M5492" t="s">
        <v>2661</v>
      </c>
    </row>
    <row r="5493" spans="1:13">
      <c r="A5493" t="s">
        <v>2192</v>
      </c>
      <c r="B5493" t="s">
        <v>273</v>
      </c>
      <c r="C5493" s="8">
        <v>46163</v>
      </c>
      <c r="D5493" t="s">
        <v>344</v>
      </c>
      <c r="E5493" t="s">
        <v>322</v>
      </c>
      <c r="F5493" s="12">
        <v>62500</v>
      </c>
      <c r="G5493" s="13">
        <v>6</v>
      </c>
      <c r="H5493" t="s">
        <v>3007</v>
      </c>
      <c r="I5493" s="8">
        <v>46197</v>
      </c>
      <c r="J5493" t="s">
        <v>2671</v>
      </c>
      <c r="K5493" t="s">
        <v>2672</v>
      </c>
      <c r="L5493" s="13">
        <v>3000</v>
      </c>
      <c r="M5493" t="s">
        <v>2676</v>
      </c>
    </row>
    <row r="5494" spans="1:13">
      <c r="A5494" t="s">
        <v>2192</v>
      </c>
      <c r="B5494" t="s">
        <v>273</v>
      </c>
      <c r="C5494" s="8">
        <v>46163</v>
      </c>
      <c r="D5494" t="s">
        <v>344</v>
      </c>
      <c r="E5494" t="s">
        <v>322</v>
      </c>
      <c r="F5494" s="12">
        <v>62500</v>
      </c>
      <c r="G5494" s="13">
        <v>6</v>
      </c>
      <c r="H5494" t="s">
        <v>3060</v>
      </c>
      <c r="I5494" s="8">
        <v>45991</v>
      </c>
      <c r="J5494" t="s">
        <v>2685</v>
      </c>
      <c r="K5494" t="s">
        <v>2686</v>
      </c>
      <c r="L5494" s="13">
        <v>5000</v>
      </c>
      <c r="M5494" t="s">
        <v>2676</v>
      </c>
    </row>
    <row r="5495" spans="1:13">
      <c r="A5495" t="s">
        <v>2192</v>
      </c>
      <c r="B5495" t="s">
        <v>273</v>
      </c>
      <c r="C5495" s="8">
        <v>46163</v>
      </c>
      <c r="D5495" t="s">
        <v>344</v>
      </c>
      <c r="E5495" t="s">
        <v>322</v>
      </c>
      <c r="F5495" s="12">
        <v>62500</v>
      </c>
      <c r="G5495" s="13">
        <v>6</v>
      </c>
      <c r="H5495" t="s">
        <v>3435</v>
      </c>
      <c r="I5495" s="8">
        <v>45946</v>
      </c>
      <c r="J5495" t="s">
        <v>2671</v>
      </c>
      <c r="K5495" t="s">
        <v>2672</v>
      </c>
      <c r="L5495" s="13">
        <v>3000</v>
      </c>
      <c r="M5495" t="s">
        <v>2661</v>
      </c>
    </row>
    <row r="5496" spans="1:13">
      <c r="A5496" t="s">
        <v>2193</v>
      </c>
      <c r="B5496" t="s">
        <v>62</v>
      </c>
      <c r="C5496" s="8">
        <v>45954</v>
      </c>
      <c r="D5496" t="s">
        <v>324</v>
      </c>
      <c r="E5496" t="s">
        <v>337</v>
      </c>
      <c r="F5496" s="12">
        <v>199306</v>
      </c>
      <c r="G5496" s="13">
        <v>19</v>
      </c>
      <c r="H5496" t="s">
        <v>2679</v>
      </c>
      <c r="I5496" s="8">
        <v>46195</v>
      </c>
      <c r="J5496" t="s">
        <v>2674</v>
      </c>
      <c r="K5496" t="s">
        <v>2675</v>
      </c>
      <c r="L5496" s="13">
        <v>20000</v>
      </c>
      <c r="M5496" t="s">
        <v>2661</v>
      </c>
    </row>
    <row r="5497" spans="1:13">
      <c r="A5497" t="s">
        <v>2193</v>
      </c>
      <c r="B5497" t="s">
        <v>62</v>
      </c>
      <c r="C5497" s="8">
        <v>45954</v>
      </c>
      <c r="D5497" t="s">
        <v>324</v>
      </c>
      <c r="E5497" t="s">
        <v>337</v>
      </c>
      <c r="F5497" s="12">
        <v>199306</v>
      </c>
      <c r="G5497" s="13">
        <v>19</v>
      </c>
      <c r="H5497" t="s">
        <v>2793</v>
      </c>
      <c r="I5497" s="8">
        <v>46233</v>
      </c>
      <c r="J5497" t="s">
        <v>2663</v>
      </c>
      <c r="K5497" t="s">
        <v>3630</v>
      </c>
      <c r="L5497" s="13">
        <v>1500</v>
      </c>
      <c r="M5497" t="s">
        <v>2661</v>
      </c>
    </row>
    <row r="5498" spans="1:13">
      <c r="A5498" t="s">
        <v>2193</v>
      </c>
      <c r="B5498" t="s">
        <v>62</v>
      </c>
      <c r="C5498" s="8">
        <v>45954</v>
      </c>
      <c r="D5498" t="s">
        <v>324</v>
      </c>
      <c r="E5498" t="s">
        <v>337</v>
      </c>
      <c r="F5498" s="12">
        <v>199306</v>
      </c>
      <c r="G5498" s="13">
        <v>19</v>
      </c>
      <c r="H5498" t="s">
        <v>2794</v>
      </c>
      <c r="I5498" s="8">
        <v>46096</v>
      </c>
      <c r="J5498" t="s">
        <v>2659</v>
      </c>
      <c r="K5498" t="s">
        <v>2660</v>
      </c>
      <c r="L5498" s="13">
        <v>3500</v>
      </c>
      <c r="M5498" t="s">
        <v>2661</v>
      </c>
    </row>
    <row r="5499" spans="1:13">
      <c r="A5499" t="s">
        <v>2193</v>
      </c>
      <c r="B5499" t="s">
        <v>62</v>
      </c>
      <c r="C5499" s="8">
        <v>45954</v>
      </c>
      <c r="D5499" t="s">
        <v>324</v>
      </c>
      <c r="E5499" t="s">
        <v>337</v>
      </c>
      <c r="F5499" s="12">
        <v>199306</v>
      </c>
      <c r="G5499" s="13">
        <v>19</v>
      </c>
      <c r="H5499" t="s">
        <v>2804</v>
      </c>
      <c r="I5499" s="8">
        <v>46260</v>
      </c>
      <c r="J5499" t="s">
        <v>2659</v>
      </c>
      <c r="K5499" t="s">
        <v>2660</v>
      </c>
      <c r="L5499" s="13">
        <v>3500</v>
      </c>
      <c r="M5499" t="s">
        <v>2661</v>
      </c>
    </row>
    <row r="5500" spans="1:13">
      <c r="A5500" t="s">
        <v>2193</v>
      </c>
      <c r="B5500" t="s">
        <v>62</v>
      </c>
      <c r="C5500" s="8">
        <v>45954</v>
      </c>
      <c r="D5500" t="s">
        <v>324</v>
      </c>
      <c r="E5500" t="s">
        <v>337</v>
      </c>
      <c r="F5500" s="12">
        <v>199306</v>
      </c>
      <c r="G5500" s="13">
        <v>19</v>
      </c>
      <c r="H5500" t="s">
        <v>2885</v>
      </c>
      <c r="I5500" s="8">
        <v>46085</v>
      </c>
      <c r="J5500" t="s">
        <v>2692</v>
      </c>
      <c r="K5500" t="s">
        <v>2693</v>
      </c>
      <c r="L5500" s="13">
        <v>10000</v>
      </c>
      <c r="M5500" t="s">
        <v>2661</v>
      </c>
    </row>
    <row r="5501" spans="1:13">
      <c r="A5501" t="s">
        <v>2193</v>
      </c>
      <c r="B5501" t="s">
        <v>62</v>
      </c>
      <c r="C5501" s="8">
        <v>45954</v>
      </c>
      <c r="D5501" t="s">
        <v>324</v>
      </c>
      <c r="E5501" t="s">
        <v>337</v>
      </c>
      <c r="F5501" s="12">
        <v>199306</v>
      </c>
      <c r="G5501" s="13">
        <v>19</v>
      </c>
      <c r="H5501" t="s">
        <v>3000</v>
      </c>
      <c r="I5501" s="8">
        <v>46247</v>
      </c>
      <c r="J5501" t="s">
        <v>2692</v>
      </c>
      <c r="K5501" t="s">
        <v>2693</v>
      </c>
      <c r="L5501" s="13">
        <v>10000</v>
      </c>
      <c r="M5501" t="s">
        <v>2661</v>
      </c>
    </row>
    <row r="5502" spans="1:13">
      <c r="A5502" t="s">
        <v>2193</v>
      </c>
      <c r="B5502" t="s">
        <v>62</v>
      </c>
      <c r="C5502" s="8">
        <v>45954</v>
      </c>
      <c r="D5502" t="s">
        <v>324</v>
      </c>
      <c r="E5502" t="s">
        <v>337</v>
      </c>
      <c r="F5502" s="12">
        <v>199306</v>
      </c>
      <c r="G5502" s="13">
        <v>19</v>
      </c>
      <c r="H5502" t="s">
        <v>3197</v>
      </c>
      <c r="I5502" s="8">
        <v>46129</v>
      </c>
      <c r="J5502" t="s">
        <v>2671</v>
      </c>
      <c r="K5502" t="s">
        <v>2672</v>
      </c>
      <c r="L5502" s="13">
        <v>3000</v>
      </c>
      <c r="M5502" t="s">
        <v>2661</v>
      </c>
    </row>
    <row r="5503" spans="1:13">
      <c r="A5503" t="s">
        <v>2194</v>
      </c>
      <c r="B5503" t="s">
        <v>126</v>
      </c>
      <c r="C5503" s="8">
        <v>46200</v>
      </c>
      <c r="D5503" t="s">
        <v>321</v>
      </c>
      <c r="E5503" t="s">
        <v>322</v>
      </c>
      <c r="F5503" s="12">
        <v>56511</v>
      </c>
      <c r="G5503" s="13">
        <v>5</v>
      </c>
      <c r="H5503" t="s">
        <v>2798</v>
      </c>
      <c r="I5503" s="8">
        <v>46235</v>
      </c>
      <c r="J5503" t="s">
        <v>2659</v>
      </c>
      <c r="K5503" t="s">
        <v>2660</v>
      </c>
      <c r="L5503" s="13">
        <v>3500</v>
      </c>
      <c r="M5503" t="s">
        <v>2661</v>
      </c>
    </row>
    <row r="5504" spans="1:13">
      <c r="A5504" t="s">
        <v>2194</v>
      </c>
      <c r="B5504" t="s">
        <v>126</v>
      </c>
      <c r="C5504" s="8">
        <v>46200</v>
      </c>
      <c r="D5504" t="s">
        <v>321</v>
      </c>
      <c r="E5504" t="s">
        <v>322</v>
      </c>
      <c r="F5504" s="12">
        <v>56511</v>
      </c>
      <c r="G5504" s="13">
        <v>5</v>
      </c>
      <c r="H5504" t="s">
        <v>3334</v>
      </c>
      <c r="I5504" s="8">
        <v>46254</v>
      </c>
      <c r="J5504" t="s">
        <v>2692</v>
      </c>
      <c r="K5504" t="s">
        <v>2693</v>
      </c>
      <c r="L5504" s="13">
        <v>10000</v>
      </c>
      <c r="M5504" t="s">
        <v>2676</v>
      </c>
    </row>
    <row r="5505" spans="1:13">
      <c r="A5505" t="s">
        <v>2195</v>
      </c>
      <c r="B5505" t="s">
        <v>118</v>
      </c>
      <c r="C5505" s="8">
        <v>46074</v>
      </c>
      <c r="D5505" t="s">
        <v>342</v>
      </c>
      <c r="E5505" t="s">
        <v>322</v>
      </c>
      <c r="F5505" s="12">
        <v>245343</v>
      </c>
      <c r="G5505" s="13">
        <v>24</v>
      </c>
      <c r="H5505" t="s">
        <v>2709</v>
      </c>
      <c r="I5505" s="8">
        <v>46119</v>
      </c>
      <c r="J5505" t="s">
        <v>2685</v>
      </c>
      <c r="K5505" t="s">
        <v>2686</v>
      </c>
      <c r="L5505" s="13">
        <v>5000</v>
      </c>
      <c r="M5505" t="s">
        <v>2661</v>
      </c>
    </row>
    <row r="5506" spans="1:13">
      <c r="A5506" t="s">
        <v>2195</v>
      </c>
      <c r="B5506" t="s">
        <v>118</v>
      </c>
      <c r="C5506" s="8">
        <v>46074</v>
      </c>
      <c r="D5506" t="s">
        <v>342</v>
      </c>
      <c r="E5506" t="s">
        <v>322</v>
      </c>
      <c r="F5506" s="12">
        <v>245343</v>
      </c>
      <c r="G5506" s="13">
        <v>24</v>
      </c>
      <c r="H5506" t="s">
        <v>2853</v>
      </c>
      <c r="I5506" s="8">
        <v>46269</v>
      </c>
      <c r="J5506" t="s">
        <v>2688</v>
      </c>
      <c r="K5506" t="s">
        <v>2689</v>
      </c>
      <c r="L5506" s="13">
        <v>8000</v>
      </c>
      <c r="M5506" t="s">
        <v>2661</v>
      </c>
    </row>
    <row r="5507" spans="1:13">
      <c r="A5507" t="s">
        <v>2195</v>
      </c>
      <c r="B5507" t="s">
        <v>118</v>
      </c>
      <c r="C5507" s="8">
        <v>46074</v>
      </c>
      <c r="D5507" t="s">
        <v>342</v>
      </c>
      <c r="E5507" t="s">
        <v>322</v>
      </c>
      <c r="F5507" s="12">
        <v>245343</v>
      </c>
      <c r="G5507" s="13">
        <v>24</v>
      </c>
      <c r="H5507" t="s">
        <v>2932</v>
      </c>
      <c r="I5507" s="8">
        <v>45982</v>
      </c>
      <c r="J5507" t="s">
        <v>2685</v>
      </c>
      <c r="K5507" t="s">
        <v>2686</v>
      </c>
      <c r="L5507" s="13">
        <v>5000</v>
      </c>
      <c r="M5507" t="s">
        <v>2661</v>
      </c>
    </row>
    <row r="5508" spans="1:13">
      <c r="A5508" t="s">
        <v>2195</v>
      </c>
      <c r="B5508" t="s">
        <v>118</v>
      </c>
      <c r="C5508" s="8">
        <v>46074</v>
      </c>
      <c r="D5508" t="s">
        <v>342</v>
      </c>
      <c r="E5508" t="s">
        <v>322</v>
      </c>
      <c r="F5508" s="12">
        <v>245343</v>
      </c>
      <c r="G5508" s="13">
        <v>24</v>
      </c>
      <c r="H5508" t="s">
        <v>3562</v>
      </c>
      <c r="I5508" s="8">
        <v>46251</v>
      </c>
      <c r="J5508" t="s">
        <v>2692</v>
      </c>
      <c r="K5508" t="s">
        <v>2693</v>
      </c>
      <c r="L5508" s="13">
        <v>10000</v>
      </c>
      <c r="M5508" t="s">
        <v>2661</v>
      </c>
    </row>
    <row r="5509" spans="1:13">
      <c r="A5509" t="s">
        <v>2196</v>
      </c>
      <c r="B5509" t="s">
        <v>294</v>
      </c>
      <c r="C5509" s="8">
        <v>46090</v>
      </c>
      <c r="D5509" t="s">
        <v>321</v>
      </c>
      <c r="E5509" t="s">
        <v>328</v>
      </c>
      <c r="F5509" s="12">
        <v>159611</v>
      </c>
      <c r="G5509" s="13">
        <v>15</v>
      </c>
      <c r="H5509" t="s">
        <v>3571</v>
      </c>
      <c r="I5509" s="8">
        <v>45937</v>
      </c>
      <c r="J5509" t="s">
        <v>2663</v>
      </c>
      <c r="K5509" t="s">
        <v>3630</v>
      </c>
      <c r="L5509" s="13">
        <v>1500</v>
      </c>
      <c r="M5509" t="s">
        <v>2661</v>
      </c>
    </row>
    <row r="5510" spans="1:13">
      <c r="A5510" t="s">
        <v>2196</v>
      </c>
      <c r="B5510" t="s">
        <v>294</v>
      </c>
      <c r="C5510" s="8">
        <v>46090</v>
      </c>
      <c r="D5510" t="s">
        <v>321</v>
      </c>
      <c r="E5510" t="s">
        <v>328</v>
      </c>
      <c r="F5510" s="12">
        <v>159611</v>
      </c>
      <c r="G5510" s="13">
        <v>15</v>
      </c>
      <c r="H5510" t="s">
        <v>3572</v>
      </c>
      <c r="I5510" s="8">
        <v>46039</v>
      </c>
      <c r="J5510" t="s">
        <v>2668</v>
      </c>
      <c r="K5510" t="s">
        <v>2669</v>
      </c>
      <c r="L5510" s="13">
        <v>4000</v>
      </c>
      <c r="M5510" t="s">
        <v>2661</v>
      </c>
    </row>
    <row r="5511" spans="1:13">
      <c r="A5511" t="s">
        <v>2197</v>
      </c>
      <c r="B5511" t="s">
        <v>3</v>
      </c>
      <c r="C5511" s="8">
        <v>46028</v>
      </c>
      <c r="D5511" t="s">
        <v>350</v>
      </c>
      <c r="E5511" t="s">
        <v>322</v>
      </c>
      <c r="F5511" s="12">
        <v>457921</v>
      </c>
      <c r="G5511" s="13">
        <v>45</v>
      </c>
      <c r="H5511" t="s">
        <v>2703</v>
      </c>
      <c r="I5511" s="8">
        <v>46032</v>
      </c>
      <c r="J5511" t="s">
        <v>2668</v>
      </c>
      <c r="K5511" t="s">
        <v>2669</v>
      </c>
      <c r="L5511" s="13">
        <v>4000</v>
      </c>
      <c r="M5511" t="s">
        <v>2661</v>
      </c>
    </row>
    <row r="5512" spans="1:13">
      <c r="A5512" t="s">
        <v>2197</v>
      </c>
      <c r="B5512" t="s">
        <v>3</v>
      </c>
      <c r="C5512" s="8">
        <v>46028</v>
      </c>
      <c r="D5512" t="s">
        <v>350</v>
      </c>
      <c r="E5512" t="s">
        <v>322</v>
      </c>
      <c r="F5512" s="12">
        <v>457921</v>
      </c>
      <c r="G5512" s="13">
        <v>45</v>
      </c>
      <c r="H5512" t="s">
        <v>3148</v>
      </c>
      <c r="I5512" s="8">
        <v>46264</v>
      </c>
      <c r="J5512" t="s">
        <v>2682</v>
      </c>
      <c r="K5512" t="s">
        <v>2683</v>
      </c>
      <c r="L5512" s="13">
        <v>6000</v>
      </c>
      <c r="M5512" t="s">
        <v>2661</v>
      </c>
    </row>
    <row r="5513" spans="1:13">
      <c r="A5513" t="s">
        <v>2198</v>
      </c>
      <c r="B5513" t="s">
        <v>87</v>
      </c>
      <c r="C5513" s="8">
        <v>46263</v>
      </c>
      <c r="D5513" t="s">
        <v>327</v>
      </c>
      <c r="E5513" t="s">
        <v>334</v>
      </c>
      <c r="F5513" s="12">
        <v>145556</v>
      </c>
      <c r="G5513" s="13">
        <v>14</v>
      </c>
      <c r="H5513" t="s">
        <v>3531</v>
      </c>
      <c r="I5513" s="8">
        <v>45982</v>
      </c>
      <c r="J5513" t="s">
        <v>2685</v>
      </c>
      <c r="K5513" t="s">
        <v>2686</v>
      </c>
      <c r="L5513" s="13">
        <v>5000</v>
      </c>
      <c r="M5513" t="s">
        <v>2661</v>
      </c>
    </row>
    <row r="5514" spans="1:13">
      <c r="A5514" t="s">
        <v>2199</v>
      </c>
      <c r="B5514" t="s">
        <v>41</v>
      </c>
      <c r="C5514" s="8">
        <v>46261</v>
      </c>
      <c r="D5514" t="s">
        <v>350</v>
      </c>
      <c r="E5514" t="s">
        <v>322</v>
      </c>
      <c r="F5514" s="12">
        <v>393648</v>
      </c>
      <c r="G5514" s="13">
        <v>39</v>
      </c>
      <c r="H5514" t="s">
        <v>3052</v>
      </c>
      <c r="I5514" s="8">
        <v>45996</v>
      </c>
      <c r="J5514" t="s">
        <v>2674</v>
      </c>
      <c r="K5514" t="s">
        <v>2675</v>
      </c>
      <c r="L5514" s="13">
        <v>20000</v>
      </c>
      <c r="M5514" t="s">
        <v>2661</v>
      </c>
    </row>
    <row r="5515" spans="1:13">
      <c r="A5515" t="s">
        <v>2199</v>
      </c>
      <c r="B5515" t="s">
        <v>41</v>
      </c>
      <c r="C5515" s="8">
        <v>46261</v>
      </c>
      <c r="D5515" t="s">
        <v>350</v>
      </c>
      <c r="E5515" t="s">
        <v>322</v>
      </c>
      <c r="F5515" s="12">
        <v>393648</v>
      </c>
      <c r="G5515" s="13">
        <v>39</v>
      </c>
      <c r="H5515" t="s">
        <v>3425</v>
      </c>
      <c r="I5515" s="8">
        <v>46047</v>
      </c>
      <c r="J5515" t="s">
        <v>2688</v>
      </c>
      <c r="K5515" t="s">
        <v>2689</v>
      </c>
      <c r="L5515" s="13">
        <v>8000</v>
      </c>
      <c r="M5515" t="s">
        <v>2661</v>
      </c>
    </row>
    <row r="5516" spans="1:13">
      <c r="A5516" t="s">
        <v>2200</v>
      </c>
      <c r="B5516" t="s">
        <v>57</v>
      </c>
      <c r="C5516" s="8">
        <v>46009</v>
      </c>
      <c r="D5516" t="s">
        <v>321</v>
      </c>
      <c r="E5516" t="s">
        <v>334</v>
      </c>
      <c r="F5516" s="12">
        <v>274379</v>
      </c>
      <c r="G5516" s="13">
        <v>27</v>
      </c>
      <c r="H5516" t="s">
        <v>3486</v>
      </c>
      <c r="I5516" s="8">
        <v>46159</v>
      </c>
      <c r="J5516" t="s">
        <v>2665</v>
      </c>
      <c r="K5516" t="s">
        <v>2666</v>
      </c>
      <c r="L5516" s="13">
        <v>2500</v>
      </c>
      <c r="M5516" t="s">
        <v>2661</v>
      </c>
    </row>
    <row r="5517" spans="1:13">
      <c r="A5517" t="s">
        <v>2201</v>
      </c>
      <c r="B5517" t="s">
        <v>201</v>
      </c>
      <c r="C5517" s="8">
        <v>46126</v>
      </c>
      <c r="D5517" t="s">
        <v>324</v>
      </c>
      <c r="E5517" t="s">
        <v>325</v>
      </c>
      <c r="F5517" s="12">
        <v>119065</v>
      </c>
      <c r="G5517" s="13">
        <v>11</v>
      </c>
      <c r="H5517" t="s">
        <v>2997</v>
      </c>
      <c r="I5517" s="8">
        <v>46289</v>
      </c>
      <c r="J5517" t="s">
        <v>2659</v>
      </c>
      <c r="K5517" t="s">
        <v>2660</v>
      </c>
      <c r="L5517" s="13">
        <v>3500</v>
      </c>
      <c r="M5517" t="s">
        <v>2661</v>
      </c>
    </row>
    <row r="5518" spans="1:13">
      <c r="A5518" t="s">
        <v>2201</v>
      </c>
      <c r="B5518" t="s">
        <v>201</v>
      </c>
      <c r="C5518" s="8">
        <v>46126</v>
      </c>
      <c r="D5518" t="s">
        <v>324</v>
      </c>
      <c r="E5518" t="s">
        <v>325</v>
      </c>
      <c r="F5518" s="12">
        <v>119065</v>
      </c>
      <c r="G5518" s="13">
        <v>11</v>
      </c>
      <c r="H5518" t="s">
        <v>3023</v>
      </c>
      <c r="I5518" s="8">
        <v>46224</v>
      </c>
      <c r="J5518" t="s">
        <v>2668</v>
      </c>
      <c r="K5518" t="s">
        <v>2669</v>
      </c>
      <c r="L5518" s="13">
        <v>4000</v>
      </c>
      <c r="M5518" t="s">
        <v>2661</v>
      </c>
    </row>
    <row r="5519" spans="1:13">
      <c r="A5519" t="s">
        <v>2201</v>
      </c>
      <c r="B5519" t="s">
        <v>201</v>
      </c>
      <c r="C5519" s="8">
        <v>46126</v>
      </c>
      <c r="D5519" t="s">
        <v>324</v>
      </c>
      <c r="E5519" t="s">
        <v>325</v>
      </c>
      <c r="F5519" s="12">
        <v>119065</v>
      </c>
      <c r="G5519" s="13">
        <v>11</v>
      </c>
      <c r="H5519" t="s">
        <v>3232</v>
      </c>
      <c r="I5519" s="8">
        <v>45993</v>
      </c>
      <c r="J5519" t="s">
        <v>2688</v>
      </c>
      <c r="K5519" t="s">
        <v>2689</v>
      </c>
      <c r="L5519" s="13">
        <v>8000</v>
      </c>
      <c r="M5519" t="s">
        <v>2676</v>
      </c>
    </row>
    <row r="5520" spans="1:13">
      <c r="A5520" t="s">
        <v>2202</v>
      </c>
      <c r="B5520" t="s">
        <v>263</v>
      </c>
      <c r="C5520" s="8">
        <v>46280</v>
      </c>
      <c r="D5520" t="s">
        <v>324</v>
      </c>
      <c r="E5520" t="s">
        <v>325</v>
      </c>
      <c r="F5520" s="12">
        <v>25000</v>
      </c>
      <c r="G5520" s="13">
        <v>2</v>
      </c>
      <c r="H5520" t="s">
        <v>2702</v>
      </c>
      <c r="I5520" s="8">
        <v>45976</v>
      </c>
      <c r="J5520" t="s">
        <v>2685</v>
      </c>
      <c r="K5520" t="s">
        <v>2686</v>
      </c>
      <c r="L5520" s="13">
        <v>5000</v>
      </c>
      <c r="M5520" t="s">
        <v>2661</v>
      </c>
    </row>
    <row r="5521" spans="1:13">
      <c r="A5521" t="s">
        <v>2202</v>
      </c>
      <c r="B5521" t="s">
        <v>263</v>
      </c>
      <c r="C5521" s="8">
        <v>46280</v>
      </c>
      <c r="D5521" t="s">
        <v>324</v>
      </c>
      <c r="E5521" t="s">
        <v>325</v>
      </c>
      <c r="F5521" s="12">
        <v>25000</v>
      </c>
      <c r="G5521" s="13">
        <v>2</v>
      </c>
      <c r="H5521" t="s">
        <v>2901</v>
      </c>
      <c r="I5521" s="8">
        <v>45949</v>
      </c>
      <c r="J5521" t="s">
        <v>2674</v>
      </c>
      <c r="K5521" t="s">
        <v>2675</v>
      </c>
      <c r="L5521" s="13">
        <v>20000</v>
      </c>
      <c r="M5521" t="s">
        <v>2661</v>
      </c>
    </row>
    <row r="5522" spans="1:13">
      <c r="A5522" t="s">
        <v>2202</v>
      </c>
      <c r="B5522" t="s">
        <v>263</v>
      </c>
      <c r="C5522" s="8">
        <v>46280</v>
      </c>
      <c r="D5522" t="s">
        <v>324</v>
      </c>
      <c r="E5522" t="s">
        <v>325</v>
      </c>
      <c r="F5522" s="12">
        <v>25000</v>
      </c>
      <c r="G5522" s="13">
        <v>2</v>
      </c>
      <c r="H5522" t="s">
        <v>3104</v>
      </c>
      <c r="I5522" s="8">
        <v>45992</v>
      </c>
      <c r="J5522" t="s">
        <v>2663</v>
      </c>
      <c r="K5522" t="s">
        <v>3630</v>
      </c>
      <c r="L5522" s="13">
        <v>1500</v>
      </c>
      <c r="M5522" t="s">
        <v>2676</v>
      </c>
    </row>
    <row r="5523" spans="1:13">
      <c r="A5523" t="s">
        <v>2202</v>
      </c>
      <c r="B5523" t="s">
        <v>263</v>
      </c>
      <c r="C5523" s="8">
        <v>46280</v>
      </c>
      <c r="D5523" t="s">
        <v>324</v>
      </c>
      <c r="E5523" t="s">
        <v>325</v>
      </c>
      <c r="F5523" s="12">
        <v>25000</v>
      </c>
      <c r="G5523" s="13">
        <v>2</v>
      </c>
      <c r="H5523" t="s">
        <v>3195</v>
      </c>
      <c r="I5523" s="8">
        <v>46111</v>
      </c>
      <c r="J5523" t="s">
        <v>2663</v>
      </c>
      <c r="K5523" t="s">
        <v>3630</v>
      </c>
      <c r="L5523" s="13">
        <v>1500</v>
      </c>
      <c r="M5523" t="s">
        <v>2661</v>
      </c>
    </row>
    <row r="5524" spans="1:13">
      <c r="A5524" t="s">
        <v>2202</v>
      </c>
      <c r="B5524" t="s">
        <v>263</v>
      </c>
      <c r="C5524" s="8">
        <v>46280</v>
      </c>
      <c r="D5524" t="s">
        <v>324</v>
      </c>
      <c r="E5524" t="s">
        <v>325</v>
      </c>
      <c r="F5524" s="12">
        <v>25000</v>
      </c>
      <c r="G5524" s="13">
        <v>2</v>
      </c>
      <c r="H5524" t="s">
        <v>3312</v>
      </c>
      <c r="I5524" s="8">
        <v>46286</v>
      </c>
      <c r="J5524" t="s">
        <v>2665</v>
      </c>
      <c r="K5524" t="s">
        <v>2666</v>
      </c>
      <c r="L5524" s="13">
        <v>2500</v>
      </c>
      <c r="M5524" t="s">
        <v>2661</v>
      </c>
    </row>
    <row r="5525" spans="1:13">
      <c r="A5525" t="s">
        <v>2203</v>
      </c>
      <c r="B5525" t="s">
        <v>46</v>
      </c>
      <c r="C5525" s="8">
        <v>46123</v>
      </c>
      <c r="D5525" t="s">
        <v>350</v>
      </c>
      <c r="E5525" t="s">
        <v>328</v>
      </c>
      <c r="F5525" s="12">
        <v>702833</v>
      </c>
      <c r="G5525" s="13">
        <v>70</v>
      </c>
      <c r="H5525" t="s">
        <v>2743</v>
      </c>
      <c r="I5525" s="8">
        <v>46248</v>
      </c>
      <c r="J5525" t="s">
        <v>2685</v>
      </c>
      <c r="K5525" t="s">
        <v>2686</v>
      </c>
      <c r="L5525" s="13">
        <v>5000</v>
      </c>
      <c r="M5525" t="s">
        <v>2661</v>
      </c>
    </row>
    <row r="5526" spans="1:13">
      <c r="A5526" t="s">
        <v>2203</v>
      </c>
      <c r="B5526" t="s">
        <v>46</v>
      </c>
      <c r="C5526" s="8">
        <v>46123</v>
      </c>
      <c r="D5526" t="s">
        <v>350</v>
      </c>
      <c r="E5526" t="s">
        <v>328</v>
      </c>
      <c r="F5526" s="12">
        <v>702833</v>
      </c>
      <c r="G5526" s="13">
        <v>70</v>
      </c>
      <c r="H5526" t="s">
        <v>3021</v>
      </c>
      <c r="I5526" s="8">
        <v>45955</v>
      </c>
      <c r="J5526" t="s">
        <v>2665</v>
      </c>
      <c r="K5526" t="s">
        <v>2666</v>
      </c>
      <c r="L5526" s="13">
        <v>2500</v>
      </c>
      <c r="M5526" t="s">
        <v>2661</v>
      </c>
    </row>
    <row r="5527" spans="1:13">
      <c r="A5527" t="s">
        <v>2203</v>
      </c>
      <c r="B5527" t="s">
        <v>46</v>
      </c>
      <c r="C5527" s="8">
        <v>46123</v>
      </c>
      <c r="D5527" t="s">
        <v>350</v>
      </c>
      <c r="E5527" t="s">
        <v>328</v>
      </c>
      <c r="F5527" s="12">
        <v>702833</v>
      </c>
      <c r="G5527" s="13">
        <v>70</v>
      </c>
      <c r="H5527" t="s">
        <v>3069</v>
      </c>
      <c r="I5527" s="8">
        <v>45945</v>
      </c>
      <c r="J5527" t="s">
        <v>2668</v>
      </c>
      <c r="K5527" t="s">
        <v>2669</v>
      </c>
      <c r="L5527" s="13">
        <v>4000</v>
      </c>
      <c r="M5527" t="s">
        <v>2661</v>
      </c>
    </row>
    <row r="5528" spans="1:13">
      <c r="A5528" t="s">
        <v>2203</v>
      </c>
      <c r="B5528" t="s">
        <v>46</v>
      </c>
      <c r="C5528" s="8">
        <v>46123</v>
      </c>
      <c r="D5528" t="s">
        <v>350</v>
      </c>
      <c r="E5528" t="s">
        <v>328</v>
      </c>
      <c r="F5528" s="12">
        <v>702833</v>
      </c>
      <c r="G5528" s="13">
        <v>70</v>
      </c>
      <c r="H5528" t="s">
        <v>3408</v>
      </c>
      <c r="I5528" s="8">
        <v>46072</v>
      </c>
      <c r="J5528" t="s">
        <v>2668</v>
      </c>
      <c r="K5528" t="s">
        <v>2669</v>
      </c>
      <c r="L5528" s="13">
        <v>4000</v>
      </c>
      <c r="M5528" t="s">
        <v>2661</v>
      </c>
    </row>
    <row r="5529" spans="1:13">
      <c r="A5529" t="s">
        <v>2203</v>
      </c>
      <c r="B5529" t="s">
        <v>46</v>
      </c>
      <c r="C5529" s="8">
        <v>46123</v>
      </c>
      <c r="D5529" t="s">
        <v>350</v>
      </c>
      <c r="E5529" t="s">
        <v>328</v>
      </c>
      <c r="F5529" s="12">
        <v>702833</v>
      </c>
      <c r="G5529" s="13">
        <v>70</v>
      </c>
      <c r="H5529" t="s">
        <v>3494</v>
      </c>
      <c r="I5529" s="8">
        <v>46108</v>
      </c>
      <c r="J5529" t="s">
        <v>2688</v>
      </c>
      <c r="K5529" t="s">
        <v>2689</v>
      </c>
      <c r="L5529" s="13">
        <v>8000</v>
      </c>
      <c r="M5529" t="s">
        <v>2661</v>
      </c>
    </row>
    <row r="5530" spans="1:13">
      <c r="A5530" t="s">
        <v>2204</v>
      </c>
      <c r="B5530" t="s">
        <v>178</v>
      </c>
      <c r="C5530" s="8">
        <v>46045</v>
      </c>
      <c r="D5530" t="s">
        <v>324</v>
      </c>
      <c r="E5530" t="s">
        <v>328</v>
      </c>
      <c r="F5530" s="12">
        <v>149195</v>
      </c>
      <c r="G5530" s="13">
        <v>14</v>
      </c>
      <c r="H5530" t="s">
        <v>2803</v>
      </c>
      <c r="I5530" s="8">
        <v>46039</v>
      </c>
      <c r="J5530" t="s">
        <v>2663</v>
      </c>
      <c r="K5530" t="s">
        <v>3630</v>
      </c>
      <c r="L5530" s="13">
        <v>1500</v>
      </c>
      <c r="M5530" t="s">
        <v>2661</v>
      </c>
    </row>
    <row r="5531" spans="1:13">
      <c r="A5531" t="s">
        <v>2204</v>
      </c>
      <c r="B5531" t="s">
        <v>178</v>
      </c>
      <c r="C5531" s="8">
        <v>46045</v>
      </c>
      <c r="D5531" t="s">
        <v>324</v>
      </c>
      <c r="E5531" t="s">
        <v>328</v>
      </c>
      <c r="F5531" s="12">
        <v>149195</v>
      </c>
      <c r="G5531" s="13">
        <v>14</v>
      </c>
      <c r="H5531" t="s">
        <v>2900</v>
      </c>
      <c r="I5531" s="8">
        <v>46214</v>
      </c>
      <c r="J5531" t="s">
        <v>2665</v>
      </c>
      <c r="K5531" t="s">
        <v>2666</v>
      </c>
      <c r="L5531" s="13">
        <v>2500</v>
      </c>
      <c r="M5531" t="s">
        <v>2661</v>
      </c>
    </row>
    <row r="5532" spans="1:13">
      <c r="A5532" t="s">
        <v>2204</v>
      </c>
      <c r="B5532" t="s">
        <v>178</v>
      </c>
      <c r="C5532" s="8">
        <v>46045</v>
      </c>
      <c r="D5532" t="s">
        <v>324</v>
      </c>
      <c r="E5532" t="s">
        <v>328</v>
      </c>
      <c r="F5532" s="12">
        <v>149195</v>
      </c>
      <c r="G5532" s="13">
        <v>14</v>
      </c>
      <c r="H5532" t="s">
        <v>2925</v>
      </c>
      <c r="I5532" s="8">
        <v>46172</v>
      </c>
      <c r="J5532" t="s">
        <v>2671</v>
      </c>
      <c r="K5532" t="s">
        <v>2672</v>
      </c>
      <c r="L5532" s="13">
        <v>3000</v>
      </c>
      <c r="M5532" t="s">
        <v>2661</v>
      </c>
    </row>
    <row r="5533" spans="1:13">
      <c r="A5533" t="s">
        <v>2204</v>
      </c>
      <c r="B5533" t="s">
        <v>178</v>
      </c>
      <c r="C5533" s="8">
        <v>46045</v>
      </c>
      <c r="D5533" t="s">
        <v>324</v>
      </c>
      <c r="E5533" t="s">
        <v>328</v>
      </c>
      <c r="F5533" s="12">
        <v>149195</v>
      </c>
      <c r="G5533" s="13">
        <v>14</v>
      </c>
      <c r="H5533" t="s">
        <v>2964</v>
      </c>
      <c r="I5533" s="8">
        <v>46262</v>
      </c>
      <c r="J5533" t="s">
        <v>2685</v>
      </c>
      <c r="K5533" t="s">
        <v>2686</v>
      </c>
      <c r="L5533" s="13">
        <v>5000</v>
      </c>
      <c r="M5533" t="s">
        <v>2661</v>
      </c>
    </row>
    <row r="5534" spans="1:13">
      <c r="A5534" t="s">
        <v>2204</v>
      </c>
      <c r="B5534" t="s">
        <v>178</v>
      </c>
      <c r="C5534" s="8">
        <v>46045</v>
      </c>
      <c r="D5534" t="s">
        <v>324</v>
      </c>
      <c r="E5534" t="s">
        <v>328</v>
      </c>
      <c r="F5534" s="12">
        <v>149195</v>
      </c>
      <c r="G5534" s="13">
        <v>14</v>
      </c>
      <c r="H5534" t="s">
        <v>3177</v>
      </c>
      <c r="I5534" s="8">
        <v>46293</v>
      </c>
      <c r="J5534" t="s">
        <v>2668</v>
      </c>
      <c r="K5534" t="s">
        <v>2669</v>
      </c>
      <c r="L5534" s="13">
        <v>4000</v>
      </c>
      <c r="M5534" t="s">
        <v>2661</v>
      </c>
    </row>
    <row r="5535" spans="1:13">
      <c r="A5535" t="s">
        <v>2204</v>
      </c>
      <c r="B5535" t="s">
        <v>178</v>
      </c>
      <c r="C5535" s="8">
        <v>46045</v>
      </c>
      <c r="D5535" t="s">
        <v>324</v>
      </c>
      <c r="E5535" t="s">
        <v>328</v>
      </c>
      <c r="F5535" s="12">
        <v>149195</v>
      </c>
      <c r="G5535" s="13">
        <v>14</v>
      </c>
      <c r="H5535" t="s">
        <v>3280</v>
      </c>
      <c r="I5535" s="8">
        <v>46163</v>
      </c>
      <c r="J5535" t="s">
        <v>2685</v>
      </c>
      <c r="K5535" t="s">
        <v>2686</v>
      </c>
      <c r="L5535" s="13">
        <v>5000</v>
      </c>
      <c r="M5535" t="s">
        <v>2676</v>
      </c>
    </row>
    <row r="5536" spans="1:13">
      <c r="A5536" t="s">
        <v>2205</v>
      </c>
      <c r="B5536" t="s">
        <v>214</v>
      </c>
      <c r="C5536" s="8">
        <v>46293</v>
      </c>
      <c r="D5536" t="s">
        <v>344</v>
      </c>
      <c r="E5536" t="s">
        <v>339</v>
      </c>
      <c r="F5536" s="12">
        <v>232302</v>
      </c>
      <c r="G5536" s="13">
        <v>23</v>
      </c>
      <c r="H5536" t="s">
        <v>2664</v>
      </c>
      <c r="I5536" s="8">
        <v>46259</v>
      </c>
      <c r="J5536" t="s">
        <v>2665</v>
      </c>
      <c r="K5536" t="s">
        <v>2666</v>
      </c>
      <c r="L5536" s="13">
        <v>2500</v>
      </c>
      <c r="M5536" t="s">
        <v>2661</v>
      </c>
    </row>
    <row r="5537" spans="1:13">
      <c r="A5537" t="s">
        <v>2205</v>
      </c>
      <c r="B5537" t="s">
        <v>214</v>
      </c>
      <c r="C5537" s="8">
        <v>46293</v>
      </c>
      <c r="D5537" t="s">
        <v>344</v>
      </c>
      <c r="E5537" t="s">
        <v>339</v>
      </c>
      <c r="F5537" s="12">
        <v>232302</v>
      </c>
      <c r="G5537" s="13">
        <v>23</v>
      </c>
      <c r="H5537" t="s">
        <v>3137</v>
      </c>
      <c r="I5537" s="8">
        <v>46189</v>
      </c>
      <c r="J5537" t="s">
        <v>2685</v>
      </c>
      <c r="K5537" t="s">
        <v>2686</v>
      </c>
      <c r="L5537" s="13">
        <v>5000</v>
      </c>
      <c r="M5537" t="s">
        <v>2661</v>
      </c>
    </row>
    <row r="5538" spans="1:13">
      <c r="A5538" t="s">
        <v>2205</v>
      </c>
      <c r="B5538" t="s">
        <v>214</v>
      </c>
      <c r="C5538" s="8">
        <v>46293</v>
      </c>
      <c r="D5538" t="s">
        <v>344</v>
      </c>
      <c r="E5538" t="s">
        <v>339</v>
      </c>
      <c r="F5538" s="12">
        <v>232302</v>
      </c>
      <c r="G5538" s="13">
        <v>23</v>
      </c>
      <c r="H5538" t="s">
        <v>3302</v>
      </c>
      <c r="I5538" s="8">
        <v>46119</v>
      </c>
      <c r="J5538" t="s">
        <v>2659</v>
      </c>
      <c r="K5538" t="s">
        <v>2660</v>
      </c>
      <c r="L5538" s="13">
        <v>3500</v>
      </c>
      <c r="M5538" t="s">
        <v>2661</v>
      </c>
    </row>
    <row r="5539" spans="1:13">
      <c r="A5539" t="s">
        <v>2205</v>
      </c>
      <c r="B5539" t="s">
        <v>214</v>
      </c>
      <c r="C5539" s="8">
        <v>46293</v>
      </c>
      <c r="D5539" t="s">
        <v>344</v>
      </c>
      <c r="E5539" t="s">
        <v>339</v>
      </c>
      <c r="F5539" s="12">
        <v>232302</v>
      </c>
      <c r="G5539" s="13">
        <v>23</v>
      </c>
      <c r="H5539" t="s">
        <v>3564</v>
      </c>
      <c r="I5539" s="8">
        <v>46208</v>
      </c>
      <c r="J5539" t="s">
        <v>2674</v>
      </c>
      <c r="K5539" t="s">
        <v>2675</v>
      </c>
      <c r="L5539" s="13">
        <v>20000</v>
      </c>
      <c r="M5539" t="s">
        <v>2661</v>
      </c>
    </row>
    <row r="5540" spans="1:13">
      <c r="A5540" t="s">
        <v>2206</v>
      </c>
      <c r="B5540" t="s">
        <v>252</v>
      </c>
      <c r="C5540" s="8">
        <v>46233</v>
      </c>
      <c r="D5540" t="s">
        <v>332</v>
      </c>
      <c r="E5540" t="s">
        <v>328</v>
      </c>
      <c r="F5540" s="12">
        <v>317904</v>
      </c>
      <c r="G5540" s="13">
        <v>31</v>
      </c>
      <c r="H5540" t="s">
        <v>2815</v>
      </c>
      <c r="I5540" s="8">
        <v>45992</v>
      </c>
      <c r="J5540" t="s">
        <v>2688</v>
      </c>
      <c r="K5540" t="s">
        <v>2689</v>
      </c>
      <c r="L5540" s="13">
        <v>8000</v>
      </c>
      <c r="M5540" t="s">
        <v>2661</v>
      </c>
    </row>
    <row r="5541" spans="1:13">
      <c r="A5541" t="s">
        <v>2206</v>
      </c>
      <c r="B5541" t="s">
        <v>252</v>
      </c>
      <c r="C5541" s="8">
        <v>46233</v>
      </c>
      <c r="D5541" t="s">
        <v>332</v>
      </c>
      <c r="E5541" t="s">
        <v>328</v>
      </c>
      <c r="F5541" s="12">
        <v>317904</v>
      </c>
      <c r="G5541" s="13">
        <v>31</v>
      </c>
      <c r="H5541" t="s">
        <v>3320</v>
      </c>
      <c r="I5541" s="8">
        <v>46043</v>
      </c>
      <c r="J5541" t="s">
        <v>2663</v>
      </c>
      <c r="K5541" t="s">
        <v>3630</v>
      </c>
      <c r="L5541" s="13">
        <v>1500</v>
      </c>
      <c r="M5541" t="s">
        <v>2661</v>
      </c>
    </row>
    <row r="5542" spans="1:13">
      <c r="A5542" t="s">
        <v>2206</v>
      </c>
      <c r="B5542" t="s">
        <v>252</v>
      </c>
      <c r="C5542" s="8">
        <v>46233</v>
      </c>
      <c r="D5542" t="s">
        <v>332</v>
      </c>
      <c r="E5542" t="s">
        <v>328</v>
      </c>
      <c r="F5542" s="12">
        <v>317904</v>
      </c>
      <c r="G5542" s="13">
        <v>31</v>
      </c>
      <c r="H5542" t="s">
        <v>3575</v>
      </c>
      <c r="I5542" s="8">
        <v>46263</v>
      </c>
      <c r="J5542" t="s">
        <v>2668</v>
      </c>
      <c r="K5542" t="s">
        <v>2669</v>
      </c>
      <c r="L5542" s="13">
        <v>4000</v>
      </c>
      <c r="M5542" t="s">
        <v>2676</v>
      </c>
    </row>
    <row r="5543" spans="1:13">
      <c r="A5543" t="s">
        <v>2207</v>
      </c>
      <c r="B5543" t="s">
        <v>215</v>
      </c>
      <c r="C5543" s="8">
        <v>46049</v>
      </c>
      <c r="D5543" t="s">
        <v>332</v>
      </c>
      <c r="E5543" t="s">
        <v>328</v>
      </c>
      <c r="F5543" s="12">
        <v>56107</v>
      </c>
      <c r="G5543" s="13">
        <v>5</v>
      </c>
      <c r="H5543" t="s">
        <v>2791</v>
      </c>
      <c r="I5543" s="8">
        <v>46076</v>
      </c>
      <c r="J5543" t="s">
        <v>2674</v>
      </c>
      <c r="K5543" t="s">
        <v>2675</v>
      </c>
      <c r="L5543" s="13">
        <v>20000</v>
      </c>
      <c r="M5543" t="s">
        <v>2661</v>
      </c>
    </row>
    <row r="5544" spans="1:13">
      <c r="A5544" t="s">
        <v>2207</v>
      </c>
      <c r="B5544" t="s">
        <v>215</v>
      </c>
      <c r="C5544" s="8">
        <v>46049</v>
      </c>
      <c r="D5544" t="s">
        <v>332</v>
      </c>
      <c r="E5544" t="s">
        <v>328</v>
      </c>
      <c r="F5544" s="12">
        <v>56107</v>
      </c>
      <c r="G5544" s="13">
        <v>5</v>
      </c>
      <c r="H5544" t="s">
        <v>2999</v>
      </c>
      <c r="I5544" s="8">
        <v>46209</v>
      </c>
      <c r="J5544" t="s">
        <v>2668</v>
      </c>
      <c r="K5544" t="s">
        <v>2669</v>
      </c>
      <c r="L5544" s="13">
        <v>4000</v>
      </c>
      <c r="M5544" t="s">
        <v>2676</v>
      </c>
    </row>
    <row r="5545" spans="1:13">
      <c r="A5545" t="s">
        <v>2207</v>
      </c>
      <c r="B5545" t="s">
        <v>215</v>
      </c>
      <c r="C5545" s="8">
        <v>46049</v>
      </c>
      <c r="D5545" t="s">
        <v>332</v>
      </c>
      <c r="E5545" t="s">
        <v>328</v>
      </c>
      <c r="F5545" s="12">
        <v>56107</v>
      </c>
      <c r="G5545" s="13">
        <v>5</v>
      </c>
      <c r="H5545" t="s">
        <v>3401</v>
      </c>
      <c r="I5545" s="8">
        <v>46022</v>
      </c>
      <c r="J5545" t="s">
        <v>2685</v>
      </c>
      <c r="K5545" t="s">
        <v>2686</v>
      </c>
      <c r="L5545" s="13">
        <v>5000</v>
      </c>
      <c r="M5545" t="s">
        <v>2661</v>
      </c>
    </row>
    <row r="5546" spans="1:13">
      <c r="A5546" t="s">
        <v>2208</v>
      </c>
      <c r="B5546" t="s">
        <v>245</v>
      </c>
      <c r="C5546" s="8">
        <v>46142</v>
      </c>
      <c r="D5546" t="s">
        <v>342</v>
      </c>
      <c r="E5546" t="s">
        <v>325</v>
      </c>
      <c r="F5546" s="12">
        <v>231343</v>
      </c>
      <c r="G5546" s="13">
        <v>23</v>
      </c>
      <c r="H5546" t="s">
        <v>2927</v>
      </c>
      <c r="I5546" s="8">
        <v>46075</v>
      </c>
      <c r="J5546" t="s">
        <v>2685</v>
      </c>
      <c r="K5546" t="s">
        <v>2686</v>
      </c>
      <c r="L5546" s="13">
        <v>5000</v>
      </c>
      <c r="M5546" t="s">
        <v>2661</v>
      </c>
    </row>
    <row r="5547" spans="1:13">
      <c r="A5547" t="s">
        <v>2208</v>
      </c>
      <c r="B5547" t="s">
        <v>245</v>
      </c>
      <c r="C5547" s="8">
        <v>46142</v>
      </c>
      <c r="D5547" t="s">
        <v>342</v>
      </c>
      <c r="E5547" t="s">
        <v>325</v>
      </c>
      <c r="F5547" s="12">
        <v>231343</v>
      </c>
      <c r="G5547" s="13">
        <v>23</v>
      </c>
      <c r="H5547" t="s">
        <v>3031</v>
      </c>
      <c r="I5547" s="8">
        <v>46124</v>
      </c>
      <c r="J5547" t="s">
        <v>2688</v>
      </c>
      <c r="K5547" t="s">
        <v>2689</v>
      </c>
      <c r="L5547" s="13">
        <v>8000</v>
      </c>
      <c r="M5547" t="s">
        <v>2676</v>
      </c>
    </row>
    <row r="5548" spans="1:13">
      <c r="A5548" t="s">
        <v>2208</v>
      </c>
      <c r="B5548" t="s">
        <v>245</v>
      </c>
      <c r="C5548" s="8">
        <v>46142</v>
      </c>
      <c r="D5548" t="s">
        <v>342</v>
      </c>
      <c r="E5548" t="s">
        <v>325</v>
      </c>
      <c r="F5548" s="12">
        <v>231343</v>
      </c>
      <c r="G5548" s="13">
        <v>23</v>
      </c>
      <c r="H5548" t="s">
        <v>3328</v>
      </c>
      <c r="I5548" s="8">
        <v>45934</v>
      </c>
      <c r="J5548" t="s">
        <v>2668</v>
      </c>
      <c r="K5548" t="s">
        <v>2669</v>
      </c>
      <c r="L5548" s="13">
        <v>4000</v>
      </c>
      <c r="M5548" t="s">
        <v>2661</v>
      </c>
    </row>
    <row r="5549" spans="1:13">
      <c r="A5549" t="s">
        <v>2208</v>
      </c>
      <c r="B5549" t="s">
        <v>245</v>
      </c>
      <c r="C5549" s="8">
        <v>46142</v>
      </c>
      <c r="D5549" t="s">
        <v>342</v>
      </c>
      <c r="E5549" t="s">
        <v>325</v>
      </c>
      <c r="F5549" s="12">
        <v>231343</v>
      </c>
      <c r="G5549" s="13">
        <v>23</v>
      </c>
      <c r="H5549" t="s">
        <v>3343</v>
      </c>
      <c r="I5549" s="8">
        <v>46021</v>
      </c>
      <c r="J5549" t="s">
        <v>2674</v>
      </c>
      <c r="K5549" t="s">
        <v>2675</v>
      </c>
      <c r="L5549" s="13">
        <v>20000</v>
      </c>
      <c r="M5549" t="s">
        <v>2661</v>
      </c>
    </row>
    <row r="5550" spans="1:13">
      <c r="A5550" t="s">
        <v>2209</v>
      </c>
      <c r="B5550" t="s">
        <v>26</v>
      </c>
      <c r="C5550" s="8">
        <v>45979</v>
      </c>
      <c r="D5550" t="s">
        <v>327</v>
      </c>
      <c r="E5550" t="s">
        <v>325</v>
      </c>
      <c r="F5550" s="12">
        <v>238057</v>
      </c>
      <c r="G5550" s="13">
        <v>23</v>
      </c>
      <c r="H5550" t="s">
        <v>3227</v>
      </c>
      <c r="I5550" s="8">
        <v>46279</v>
      </c>
      <c r="J5550" t="s">
        <v>2682</v>
      </c>
      <c r="K5550" t="s">
        <v>2683</v>
      </c>
      <c r="L5550" s="13">
        <v>6000</v>
      </c>
      <c r="M5550" t="s">
        <v>2676</v>
      </c>
    </row>
    <row r="5551" spans="1:13">
      <c r="A5551" t="s">
        <v>2209</v>
      </c>
      <c r="B5551" t="s">
        <v>26</v>
      </c>
      <c r="C5551" s="8">
        <v>45979</v>
      </c>
      <c r="D5551" t="s">
        <v>327</v>
      </c>
      <c r="E5551" t="s">
        <v>325</v>
      </c>
      <c r="F5551" s="12">
        <v>238057</v>
      </c>
      <c r="G5551" s="13">
        <v>23</v>
      </c>
      <c r="H5551" t="s">
        <v>3503</v>
      </c>
      <c r="I5551" s="8">
        <v>46288</v>
      </c>
      <c r="J5551" t="s">
        <v>2674</v>
      </c>
      <c r="K5551" t="s">
        <v>2675</v>
      </c>
      <c r="L5551" s="13">
        <v>20000</v>
      </c>
      <c r="M5551" t="s">
        <v>2661</v>
      </c>
    </row>
    <row r="5552" spans="1:13">
      <c r="A5552" t="s">
        <v>2209</v>
      </c>
      <c r="B5552" t="s">
        <v>26</v>
      </c>
      <c r="C5552" s="8">
        <v>45979</v>
      </c>
      <c r="D5552" t="s">
        <v>327</v>
      </c>
      <c r="E5552" t="s">
        <v>325</v>
      </c>
      <c r="F5552" s="12">
        <v>238057</v>
      </c>
      <c r="G5552" s="13">
        <v>23</v>
      </c>
      <c r="H5552" t="s">
        <v>3534</v>
      </c>
      <c r="I5552" s="8">
        <v>46017</v>
      </c>
      <c r="J5552" t="s">
        <v>2671</v>
      </c>
      <c r="K5552" t="s">
        <v>2672</v>
      </c>
      <c r="L5552" s="13">
        <v>3000</v>
      </c>
      <c r="M5552" t="s">
        <v>2661</v>
      </c>
    </row>
    <row r="5553" spans="1:13">
      <c r="A5553" t="s">
        <v>2210</v>
      </c>
      <c r="B5553" t="s">
        <v>240</v>
      </c>
      <c r="C5553" s="8">
        <v>46283</v>
      </c>
      <c r="D5553" t="s">
        <v>324</v>
      </c>
      <c r="E5553" t="s">
        <v>325</v>
      </c>
      <c r="F5553" s="12">
        <v>198873</v>
      </c>
      <c r="G5553" s="13">
        <v>19</v>
      </c>
      <c r="H5553" t="s">
        <v>3066</v>
      </c>
      <c r="I5553" s="8">
        <v>46121</v>
      </c>
      <c r="J5553" t="s">
        <v>2685</v>
      </c>
      <c r="K5553" t="s">
        <v>2686</v>
      </c>
      <c r="L5553" s="13">
        <v>5000</v>
      </c>
      <c r="M5553" t="s">
        <v>2661</v>
      </c>
    </row>
    <row r="5554" spans="1:13">
      <c r="A5554" t="s">
        <v>2210</v>
      </c>
      <c r="B5554" t="s">
        <v>240</v>
      </c>
      <c r="C5554" s="8">
        <v>46283</v>
      </c>
      <c r="D5554" t="s">
        <v>324</v>
      </c>
      <c r="E5554" t="s">
        <v>325</v>
      </c>
      <c r="F5554" s="12">
        <v>198873</v>
      </c>
      <c r="G5554" s="13">
        <v>19</v>
      </c>
      <c r="H5554" t="s">
        <v>3319</v>
      </c>
      <c r="I5554" s="8">
        <v>45952</v>
      </c>
      <c r="J5554" t="s">
        <v>2685</v>
      </c>
      <c r="K5554" t="s">
        <v>2686</v>
      </c>
      <c r="L5554" s="13">
        <v>5000</v>
      </c>
      <c r="M5554" t="s">
        <v>2661</v>
      </c>
    </row>
    <row r="5555" spans="1:13">
      <c r="A5555" t="s">
        <v>2210</v>
      </c>
      <c r="B5555" t="s">
        <v>240</v>
      </c>
      <c r="C5555" s="8">
        <v>46283</v>
      </c>
      <c r="D5555" t="s">
        <v>324</v>
      </c>
      <c r="E5555" t="s">
        <v>325</v>
      </c>
      <c r="F5555" s="12">
        <v>198873</v>
      </c>
      <c r="G5555" s="13">
        <v>19</v>
      </c>
      <c r="H5555" t="s">
        <v>3380</v>
      </c>
      <c r="I5555" s="8">
        <v>46263</v>
      </c>
      <c r="J5555" t="s">
        <v>2682</v>
      </c>
      <c r="K5555" t="s">
        <v>2683</v>
      </c>
      <c r="L5555" s="13">
        <v>6000</v>
      </c>
      <c r="M5555" t="s">
        <v>2661</v>
      </c>
    </row>
    <row r="5556" spans="1:13">
      <c r="A5556" t="s">
        <v>2211</v>
      </c>
      <c r="B5556" t="s">
        <v>67</v>
      </c>
      <c r="C5556" s="8">
        <v>45939</v>
      </c>
      <c r="D5556" t="s">
        <v>327</v>
      </c>
      <c r="E5556" t="s">
        <v>334</v>
      </c>
      <c r="F5556" s="12">
        <v>288862</v>
      </c>
      <c r="G5556" s="13">
        <v>28</v>
      </c>
      <c r="H5556" t="s">
        <v>3272</v>
      </c>
      <c r="I5556" s="8">
        <v>46247</v>
      </c>
      <c r="J5556" t="s">
        <v>2665</v>
      </c>
      <c r="K5556" t="s">
        <v>2666</v>
      </c>
      <c r="L5556" s="13">
        <v>2500</v>
      </c>
      <c r="M5556" t="s">
        <v>2661</v>
      </c>
    </row>
    <row r="5557" spans="1:13">
      <c r="A5557" t="s">
        <v>2212</v>
      </c>
      <c r="B5557" t="s">
        <v>150</v>
      </c>
      <c r="C5557" s="8">
        <v>46198</v>
      </c>
      <c r="D5557" t="s">
        <v>330</v>
      </c>
      <c r="E5557" t="s">
        <v>334</v>
      </c>
      <c r="F5557" s="12">
        <v>374293</v>
      </c>
      <c r="G5557" s="13">
        <v>37</v>
      </c>
      <c r="H5557" t="s">
        <v>3070</v>
      </c>
      <c r="I5557" s="8">
        <v>46003</v>
      </c>
      <c r="J5557" t="s">
        <v>2671</v>
      </c>
      <c r="K5557" t="s">
        <v>2672</v>
      </c>
      <c r="L5557" s="13">
        <v>3000</v>
      </c>
      <c r="M5557" t="s">
        <v>2676</v>
      </c>
    </row>
    <row r="5558" spans="1:13">
      <c r="A5558" t="s">
        <v>2212</v>
      </c>
      <c r="B5558" t="s">
        <v>150</v>
      </c>
      <c r="C5558" s="8">
        <v>46198</v>
      </c>
      <c r="D5558" t="s">
        <v>330</v>
      </c>
      <c r="E5558" t="s">
        <v>334</v>
      </c>
      <c r="F5558" s="12">
        <v>374293</v>
      </c>
      <c r="G5558" s="13">
        <v>37</v>
      </c>
      <c r="H5558" t="s">
        <v>3275</v>
      </c>
      <c r="I5558" s="8">
        <v>45936</v>
      </c>
      <c r="J5558" t="s">
        <v>2688</v>
      </c>
      <c r="K5558" t="s">
        <v>2689</v>
      </c>
      <c r="L5558" s="13">
        <v>8000</v>
      </c>
      <c r="M5558" t="s">
        <v>2661</v>
      </c>
    </row>
    <row r="5559" spans="1:13">
      <c r="A5559" t="s">
        <v>2212</v>
      </c>
      <c r="B5559" t="s">
        <v>150</v>
      </c>
      <c r="C5559" s="8">
        <v>46198</v>
      </c>
      <c r="D5559" t="s">
        <v>330</v>
      </c>
      <c r="E5559" t="s">
        <v>334</v>
      </c>
      <c r="F5559" s="12">
        <v>374293</v>
      </c>
      <c r="G5559" s="13">
        <v>37</v>
      </c>
      <c r="H5559" t="s">
        <v>3352</v>
      </c>
      <c r="I5559" s="8">
        <v>46153</v>
      </c>
      <c r="J5559" t="s">
        <v>2665</v>
      </c>
      <c r="K5559" t="s">
        <v>2666</v>
      </c>
      <c r="L5559" s="13">
        <v>2500</v>
      </c>
      <c r="M5559" t="s">
        <v>2661</v>
      </c>
    </row>
    <row r="5560" spans="1:13">
      <c r="A5560" t="s">
        <v>2213</v>
      </c>
      <c r="B5560" t="s">
        <v>109</v>
      </c>
      <c r="C5560" s="8">
        <v>45977</v>
      </c>
      <c r="D5560" t="s">
        <v>342</v>
      </c>
      <c r="E5560" t="s">
        <v>322</v>
      </c>
      <c r="F5560" s="12">
        <v>683744</v>
      </c>
      <c r="G5560" s="13">
        <v>68</v>
      </c>
      <c r="H5560" t="s">
        <v>2848</v>
      </c>
      <c r="I5560" s="8">
        <v>46269</v>
      </c>
      <c r="J5560" t="s">
        <v>2659</v>
      </c>
      <c r="K5560" t="s">
        <v>2660</v>
      </c>
      <c r="L5560" s="13">
        <v>3500</v>
      </c>
      <c r="M5560" t="s">
        <v>2676</v>
      </c>
    </row>
    <row r="5561" spans="1:13">
      <c r="A5561" t="s">
        <v>2213</v>
      </c>
      <c r="B5561" t="s">
        <v>109</v>
      </c>
      <c r="C5561" s="8">
        <v>45977</v>
      </c>
      <c r="D5561" t="s">
        <v>342</v>
      </c>
      <c r="E5561" t="s">
        <v>322</v>
      </c>
      <c r="F5561" s="12">
        <v>683744</v>
      </c>
      <c r="G5561" s="13">
        <v>68</v>
      </c>
      <c r="H5561" t="s">
        <v>3196</v>
      </c>
      <c r="I5561" s="8">
        <v>46238</v>
      </c>
      <c r="J5561" t="s">
        <v>2674</v>
      </c>
      <c r="K5561" t="s">
        <v>2675</v>
      </c>
      <c r="L5561" s="13">
        <v>20000</v>
      </c>
      <c r="M5561" t="s">
        <v>2661</v>
      </c>
    </row>
    <row r="5562" spans="1:13">
      <c r="A5562" t="s">
        <v>2214</v>
      </c>
      <c r="B5562" t="s">
        <v>257</v>
      </c>
      <c r="C5562" s="8">
        <v>46051</v>
      </c>
      <c r="D5562" t="s">
        <v>321</v>
      </c>
      <c r="E5562" t="s">
        <v>328</v>
      </c>
      <c r="F5562" s="12">
        <v>146396</v>
      </c>
      <c r="G5562" s="13">
        <v>14</v>
      </c>
      <c r="H5562" t="s">
        <v>2782</v>
      </c>
      <c r="I5562" s="8">
        <v>46070</v>
      </c>
      <c r="J5562" t="s">
        <v>2692</v>
      </c>
      <c r="K5562" t="s">
        <v>2693</v>
      </c>
      <c r="L5562" s="13">
        <v>10000</v>
      </c>
      <c r="M5562" t="s">
        <v>2676</v>
      </c>
    </row>
    <row r="5563" spans="1:13">
      <c r="A5563" t="s">
        <v>2214</v>
      </c>
      <c r="B5563" t="s">
        <v>257</v>
      </c>
      <c r="C5563" s="8">
        <v>46051</v>
      </c>
      <c r="D5563" t="s">
        <v>321</v>
      </c>
      <c r="E5563" t="s">
        <v>328</v>
      </c>
      <c r="F5563" s="12">
        <v>146396</v>
      </c>
      <c r="G5563" s="13">
        <v>14</v>
      </c>
      <c r="H5563" t="s">
        <v>2850</v>
      </c>
      <c r="I5563" s="8">
        <v>46061</v>
      </c>
      <c r="J5563" t="s">
        <v>2674</v>
      </c>
      <c r="K5563" t="s">
        <v>2675</v>
      </c>
      <c r="L5563" s="13">
        <v>20000</v>
      </c>
      <c r="M5563" t="s">
        <v>2676</v>
      </c>
    </row>
    <row r="5564" spans="1:13">
      <c r="A5564" t="s">
        <v>2214</v>
      </c>
      <c r="B5564" t="s">
        <v>257</v>
      </c>
      <c r="C5564" s="8">
        <v>46051</v>
      </c>
      <c r="D5564" t="s">
        <v>321</v>
      </c>
      <c r="E5564" t="s">
        <v>328</v>
      </c>
      <c r="F5564" s="12">
        <v>146396</v>
      </c>
      <c r="G5564" s="13">
        <v>14</v>
      </c>
      <c r="H5564" t="s">
        <v>2921</v>
      </c>
      <c r="I5564" s="8">
        <v>46239</v>
      </c>
      <c r="J5564" t="s">
        <v>2692</v>
      </c>
      <c r="K5564" t="s">
        <v>2693</v>
      </c>
      <c r="L5564" s="13">
        <v>10000</v>
      </c>
      <c r="M5564" t="s">
        <v>2661</v>
      </c>
    </row>
    <row r="5565" spans="1:13">
      <c r="A5565" t="s">
        <v>2214</v>
      </c>
      <c r="B5565" t="s">
        <v>257</v>
      </c>
      <c r="C5565" s="8">
        <v>46051</v>
      </c>
      <c r="D5565" t="s">
        <v>321</v>
      </c>
      <c r="E5565" t="s">
        <v>328</v>
      </c>
      <c r="F5565" s="12">
        <v>146396</v>
      </c>
      <c r="G5565" s="13">
        <v>14</v>
      </c>
      <c r="H5565" t="s">
        <v>3061</v>
      </c>
      <c r="I5565" s="8">
        <v>46140</v>
      </c>
      <c r="J5565" t="s">
        <v>2674</v>
      </c>
      <c r="K5565" t="s">
        <v>2675</v>
      </c>
      <c r="L5565" s="13">
        <v>20000</v>
      </c>
      <c r="M5565" t="s">
        <v>2661</v>
      </c>
    </row>
    <row r="5566" spans="1:13">
      <c r="A5566" t="s">
        <v>2215</v>
      </c>
      <c r="B5566" t="s">
        <v>275</v>
      </c>
      <c r="C5566" s="8">
        <v>46034</v>
      </c>
      <c r="D5566" t="s">
        <v>327</v>
      </c>
      <c r="E5566" t="s">
        <v>328</v>
      </c>
      <c r="F5566" s="12">
        <v>482786</v>
      </c>
      <c r="G5566" s="13">
        <v>48</v>
      </c>
      <c r="H5566" t="s">
        <v>2769</v>
      </c>
      <c r="I5566" s="8">
        <v>45949</v>
      </c>
      <c r="J5566" t="s">
        <v>2659</v>
      </c>
      <c r="K5566" t="s">
        <v>2660</v>
      </c>
      <c r="L5566" s="13">
        <v>3500</v>
      </c>
      <c r="M5566" t="s">
        <v>2661</v>
      </c>
    </row>
    <row r="5567" spans="1:13">
      <c r="A5567" t="s">
        <v>2215</v>
      </c>
      <c r="B5567" t="s">
        <v>275</v>
      </c>
      <c r="C5567" s="8">
        <v>46034</v>
      </c>
      <c r="D5567" t="s">
        <v>327</v>
      </c>
      <c r="E5567" t="s">
        <v>328</v>
      </c>
      <c r="F5567" s="12">
        <v>482786</v>
      </c>
      <c r="G5567" s="13">
        <v>48</v>
      </c>
      <c r="H5567" t="s">
        <v>2812</v>
      </c>
      <c r="I5567" s="8">
        <v>46037</v>
      </c>
      <c r="J5567" t="s">
        <v>2671</v>
      </c>
      <c r="K5567" t="s">
        <v>2672</v>
      </c>
      <c r="L5567" s="13">
        <v>3000</v>
      </c>
      <c r="M5567" t="s">
        <v>2661</v>
      </c>
    </row>
    <row r="5568" spans="1:13">
      <c r="A5568" t="s">
        <v>2215</v>
      </c>
      <c r="B5568" t="s">
        <v>275</v>
      </c>
      <c r="C5568" s="8">
        <v>46034</v>
      </c>
      <c r="D5568" t="s">
        <v>327</v>
      </c>
      <c r="E5568" t="s">
        <v>328</v>
      </c>
      <c r="F5568" s="12">
        <v>482786</v>
      </c>
      <c r="G5568" s="13">
        <v>48</v>
      </c>
      <c r="H5568" t="s">
        <v>2988</v>
      </c>
      <c r="I5568" s="8">
        <v>45949</v>
      </c>
      <c r="J5568" t="s">
        <v>2692</v>
      </c>
      <c r="K5568" t="s">
        <v>2693</v>
      </c>
      <c r="L5568" s="13">
        <v>10000</v>
      </c>
      <c r="M5568" t="s">
        <v>2661</v>
      </c>
    </row>
    <row r="5569" spans="1:13">
      <c r="A5569" t="s">
        <v>2215</v>
      </c>
      <c r="B5569" t="s">
        <v>275</v>
      </c>
      <c r="C5569" s="8">
        <v>46034</v>
      </c>
      <c r="D5569" t="s">
        <v>327</v>
      </c>
      <c r="E5569" t="s">
        <v>328</v>
      </c>
      <c r="F5569" s="12">
        <v>482786</v>
      </c>
      <c r="G5569" s="13">
        <v>48</v>
      </c>
      <c r="H5569" t="s">
        <v>3251</v>
      </c>
      <c r="I5569" s="8">
        <v>46059</v>
      </c>
      <c r="J5569" t="s">
        <v>2685</v>
      </c>
      <c r="K5569" t="s">
        <v>2686</v>
      </c>
      <c r="L5569" s="13">
        <v>5000</v>
      </c>
      <c r="M5569" t="s">
        <v>2661</v>
      </c>
    </row>
    <row r="5570" spans="1:13">
      <c r="A5570" t="s">
        <v>2215</v>
      </c>
      <c r="B5570" t="s">
        <v>275</v>
      </c>
      <c r="C5570" s="8">
        <v>46034</v>
      </c>
      <c r="D5570" t="s">
        <v>327</v>
      </c>
      <c r="E5570" t="s">
        <v>328</v>
      </c>
      <c r="F5570" s="12">
        <v>482786</v>
      </c>
      <c r="G5570" s="13">
        <v>48</v>
      </c>
      <c r="H5570" t="s">
        <v>3366</v>
      </c>
      <c r="I5570" s="8">
        <v>46230</v>
      </c>
      <c r="J5570" t="s">
        <v>2671</v>
      </c>
      <c r="K5570" t="s">
        <v>2672</v>
      </c>
      <c r="L5570" s="13">
        <v>3000</v>
      </c>
      <c r="M5570" t="s">
        <v>2661</v>
      </c>
    </row>
    <row r="5571" spans="1:13">
      <c r="A5571" t="s">
        <v>2216</v>
      </c>
      <c r="B5571" t="s">
        <v>36</v>
      </c>
      <c r="C5571" s="8">
        <v>46217</v>
      </c>
      <c r="D5571" t="s">
        <v>327</v>
      </c>
      <c r="E5571" t="s">
        <v>322</v>
      </c>
      <c r="F5571" s="12">
        <v>426666</v>
      </c>
      <c r="G5571" s="13">
        <v>42</v>
      </c>
      <c r="H5571" t="s">
        <v>2780</v>
      </c>
      <c r="I5571" s="8">
        <v>46076</v>
      </c>
      <c r="J5571" t="s">
        <v>2671</v>
      </c>
      <c r="K5571" t="s">
        <v>2672</v>
      </c>
      <c r="L5571" s="13">
        <v>3000</v>
      </c>
      <c r="M5571" t="s">
        <v>2661</v>
      </c>
    </row>
    <row r="5572" spans="1:13">
      <c r="A5572" t="s">
        <v>2216</v>
      </c>
      <c r="B5572" t="s">
        <v>36</v>
      </c>
      <c r="C5572" s="8">
        <v>46217</v>
      </c>
      <c r="D5572" t="s">
        <v>327</v>
      </c>
      <c r="E5572" t="s">
        <v>322</v>
      </c>
      <c r="F5572" s="12">
        <v>426666</v>
      </c>
      <c r="G5572" s="13">
        <v>42</v>
      </c>
      <c r="H5572" t="s">
        <v>3169</v>
      </c>
      <c r="I5572" s="8">
        <v>46084</v>
      </c>
      <c r="J5572" t="s">
        <v>2685</v>
      </c>
      <c r="K5572" t="s">
        <v>2686</v>
      </c>
      <c r="L5572" s="13">
        <v>5000</v>
      </c>
      <c r="M5572" t="s">
        <v>2661</v>
      </c>
    </row>
    <row r="5573" spans="1:13">
      <c r="A5573" t="s">
        <v>2216</v>
      </c>
      <c r="B5573" t="s">
        <v>36</v>
      </c>
      <c r="C5573" s="8">
        <v>46217</v>
      </c>
      <c r="D5573" t="s">
        <v>327</v>
      </c>
      <c r="E5573" t="s">
        <v>322</v>
      </c>
      <c r="F5573" s="12">
        <v>426666</v>
      </c>
      <c r="G5573" s="13">
        <v>42</v>
      </c>
      <c r="H5573" t="s">
        <v>3458</v>
      </c>
      <c r="I5573" s="8">
        <v>45978</v>
      </c>
      <c r="J5573" t="s">
        <v>2665</v>
      </c>
      <c r="K5573" t="s">
        <v>2666</v>
      </c>
      <c r="L5573" s="13">
        <v>2500</v>
      </c>
      <c r="M5573" t="s">
        <v>2661</v>
      </c>
    </row>
    <row r="5574" spans="1:13">
      <c r="A5574" t="s">
        <v>2216</v>
      </c>
      <c r="B5574" t="s">
        <v>36</v>
      </c>
      <c r="C5574" s="8">
        <v>46217</v>
      </c>
      <c r="D5574" t="s">
        <v>327</v>
      </c>
      <c r="E5574" t="s">
        <v>322</v>
      </c>
      <c r="F5574" s="12">
        <v>426666</v>
      </c>
      <c r="G5574" s="13">
        <v>42</v>
      </c>
      <c r="H5574" t="s">
        <v>3521</v>
      </c>
      <c r="I5574" s="8">
        <v>45936</v>
      </c>
      <c r="J5574" t="s">
        <v>2674</v>
      </c>
      <c r="K5574" t="s">
        <v>2675</v>
      </c>
      <c r="L5574" s="13">
        <v>20000</v>
      </c>
      <c r="M5574" t="s">
        <v>2661</v>
      </c>
    </row>
    <row r="5575" spans="1:13">
      <c r="A5575" t="s">
        <v>2217</v>
      </c>
      <c r="B5575" t="s">
        <v>167</v>
      </c>
      <c r="C5575" s="8">
        <v>46108</v>
      </c>
      <c r="D5575" t="s">
        <v>321</v>
      </c>
      <c r="E5575" t="s">
        <v>328</v>
      </c>
      <c r="F5575" s="12">
        <v>648486</v>
      </c>
      <c r="G5575" s="13">
        <v>64</v>
      </c>
      <c r="H5575" t="s">
        <v>2714</v>
      </c>
      <c r="I5575" s="8">
        <v>45991</v>
      </c>
      <c r="J5575" t="s">
        <v>2663</v>
      </c>
      <c r="K5575" t="s">
        <v>3630</v>
      </c>
      <c r="L5575" s="13">
        <v>1500</v>
      </c>
      <c r="M5575" t="s">
        <v>2661</v>
      </c>
    </row>
    <row r="5576" spans="1:13">
      <c r="A5576" t="s">
        <v>2217</v>
      </c>
      <c r="B5576" t="s">
        <v>167</v>
      </c>
      <c r="C5576" s="8">
        <v>46108</v>
      </c>
      <c r="D5576" t="s">
        <v>321</v>
      </c>
      <c r="E5576" t="s">
        <v>328</v>
      </c>
      <c r="F5576" s="12">
        <v>648486</v>
      </c>
      <c r="G5576" s="13">
        <v>64</v>
      </c>
      <c r="H5576" t="s">
        <v>3024</v>
      </c>
      <c r="I5576" s="8">
        <v>46163</v>
      </c>
      <c r="J5576" t="s">
        <v>2665</v>
      </c>
      <c r="K5576" t="s">
        <v>2666</v>
      </c>
      <c r="L5576" s="13">
        <v>2500</v>
      </c>
      <c r="M5576" t="s">
        <v>2661</v>
      </c>
    </row>
    <row r="5577" spans="1:13">
      <c r="A5577" t="s">
        <v>2217</v>
      </c>
      <c r="B5577" t="s">
        <v>167</v>
      </c>
      <c r="C5577" s="8">
        <v>46108</v>
      </c>
      <c r="D5577" t="s">
        <v>321</v>
      </c>
      <c r="E5577" t="s">
        <v>328</v>
      </c>
      <c r="F5577" s="12">
        <v>648486</v>
      </c>
      <c r="G5577" s="13">
        <v>64</v>
      </c>
      <c r="H5577" t="s">
        <v>3573</v>
      </c>
      <c r="I5577" s="8">
        <v>46043</v>
      </c>
      <c r="J5577" t="s">
        <v>2671</v>
      </c>
      <c r="K5577" t="s">
        <v>2672</v>
      </c>
      <c r="L5577" s="13">
        <v>3000</v>
      </c>
      <c r="M5577" t="s">
        <v>2661</v>
      </c>
    </row>
    <row r="5578" spans="1:13">
      <c r="A5578" t="s">
        <v>2219</v>
      </c>
      <c r="B5578" t="s">
        <v>26</v>
      </c>
      <c r="C5578" s="8">
        <v>46009</v>
      </c>
      <c r="D5578" t="s">
        <v>321</v>
      </c>
      <c r="E5578" t="s">
        <v>322</v>
      </c>
      <c r="F5578" s="12">
        <v>160733</v>
      </c>
      <c r="G5578" s="13">
        <v>16</v>
      </c>
      <c r="H5578" t="s">
        <v>3227</v>
      </c>
      <c r="I5578" s="8">
        <v>46279</v>
      </c>
      <c r="J5578" t="s">
        <v>2682</v>
      </c>
      <c r="K5578" t="s">
        <v>2683</v>
      </c>
      <c r="L5578" s="13">
        <v>6000</v>
      </c>
      <c r="M5578" t="s">
        <v>2676</v>
      </c>
    </row>
    <row r="5579" spans="1:13">
      <c r="A5579" t="s">
        <v>2219</v>
      </c>
      <c r="B5579" t="s">
        <v>26</v>
      </c>
      <c r="C5579" s="8">
        <v>46009</v>
      </c>
      <c r="D5579" t="s">
        <v>321</v>
      </c>
      <c r="E5579" t="s">
        <v>322</v>
      </c>
      <c r="F5579" s="12">
        <v>160733</v>
      </c>
      <c r="G5579" s="13">
        <v>16</v>
      </c>
      <c r="H5579" t="s">
        <v>3503</v>
      </c>
      <c r="I5579" s="8">
        <v>46288</v>
      </c>
      <c r="J5579" t="s">
        <v>2674</v>
      </c>
      <c r="K5579" t="s">
        <v>2675</v>
      </c>
      <c r="L5579" s="13">
        <v>20000</v>
      </c>
      <c r="M5579" t="s">
        <v>2661</v>
      </c>
    </row>
    <row r="5580" spans="1:13">
      <c r="A5580" t="s">
        <v>2219</v>
      </c>
      <c r="B5580" t="s">
        <v>26</v>
      </c>
      <c r="C5580" s="8">
        <v>46009</v>
      </c>
      <c r="D5580" t="s">
        <v>321</v>
      </c>
      <c r="E5580" t="s">
        <v>322</v>
      </c>
      <c r="F5580" s="12">
        <v>160733</v>
      </c>
      <c r="G5580" s="13">
        <v>16</v>
      </c>
      <c r="H5580" t="s">
        <v>3534</v>
      </c>
      <c r="I5580" s="8">
        <v>46017</v>
      </c>
      <c r="J5580" t="s">
        <v>2671</v>
      </c>
      <c r="K5580" t="s">
        <v>2672</v>
      </c>
      <c r="L5580" s="13">
        <v>3000</v>
      </c>
      <c r="M5580" t="s">
        <v>2661</v>
      </c>
    </row>
    <row r="5581" spans="1:13">
      <c r="A5581" t="s">
        <v>2220</v>
      </c>
      <c r="B5581" t="s">
        <v>90</v>
      </c>
      <c r="C5581" s="8">
        <v>45972</v>
      </c>
      <c r="D5581" t="s">
        <v>344</v>
      </c>
      <c r="E5581" t="s">
        <v>322</v>
      </c>
      <c r="F5581" s="12">
        <v>937968</v>
      </c>
      <c r="G5581" s="13">
        <v>93</v>
      </c>
      <c r="H5581" t="s">
        <v>3041</v>
      </c>
      <c r="I5581" s="8">
        <v>46040</v>
      </c>
      <c r="J5581" t="s">
        <v>2685</v>
      </c>
      <c r="K5581" t="s">
        <v>2686</v>
      </c>
      <c r="L5581" s="13">
        <v>5000</v>
      </c>
      <c r="M5581" t="s">
        <v>2661</v>
      </c>
    </row>
    <row r="5582" spans="1:13">
      <c r="A5582" t="s">
        <v>2221</v>
      </c>
      <c r="B5582" t="s">
        <v>3</v>
      </c>
      <c r="C5582" s="8">
        <v>46080</v>
      </c>
      <c r="D5582" t="s">
        <v>324</v>
      </c>
      <c r="E5582" t="s">
        <v>325</v>
      </c>
      <c r="F5582" s="12">
        <v>125791</v>
      </c>
      <c r="G5582" s="13">
        <v>12</v>
      </c>
      <c r="H5582" t="s">
        <v>2703</v>
      </c>
      <c r="I5582" s="8">
        <v>46032</v>
      </c>
      <c r="J5582" t="s">
        <v>2668</v>
      </c>
      <c r="K5582" t="s">
        <v>2669</v>
      </c>
      <c r="L5582" s="13">
        <v>4000</v>
      </c>
      <c r="M5582" t="s">
        <v>2661</v>
      </c>
    </row>
    <row r="5583" spans="1:13">
      <c r="A5583" t="s">
        <v>2221</v>
      </c>
      <c r="B5583" t="s">
        <v>3</v>
      </c>
      <c r="C5583" s="8">
        <v>46080</v>
      </c>
      <c r="D5583" t="s">
        <v>324</v>
      </c>
      <c r="E5583" t="s">
        <v>325</v>
      </c>
      <c r="F5583" s="12">
        <v>125791</v>
      </c>
      <c r="G5583" s="13">
        <v>12</v>
      </c>
      <c r="H5583" t="s">
        <v>3148</v>
      </c>
      <c r="I5583" s="8">
        <v>46264</v>
      </c>
      <c r="J5583" t="s">
        <v>2682</v>
      </c>
      <c r="K5583" t="s">
        <v>2683</v>
      </c>
      <c r="L5583" s="13">
        <v>6000</v>
      </c>
      <c r="M5583" t="s">
        <v>2661</v>
      </c>
    </row>
    <row r="5584" spans="1:13">
      <c r="A5584" t="s">
        <v>2222</v>
      </c>
      <c r="B5584" t="s">
        <v>220</v>
      </c>
      <c r="C5584" s="8">
        <v>46199</v>
      </c>
      <c r="D5584" t="s">
        <v>344</v>
      </c>
      <c r="E5584" t="s">
        <v>334</v>
      </c>
      <c r="F5584" s="12">
        <v>215710</v>
      </c>
      <c r="G5584" s="13">
        <v>21</v>
      </c>
      <c r="H5584" t="s">
        <v>2705</v>
      </c>
      <c r="I5584" s="8">
        <v>45956</v>
      </c>
      <c r="J5584" t="s">
        <v>2663</v>
      </c>
      <c r="K5584" t="s">
        <v>3630</v>
      </c>
      <c r="L5584" s="13">
        <v>1500</v>
      </c>
      <c r="M5584" t="s">
        <v>2661</v>
      </c>
    </row>
    <row r="5585" spans="1:13">
      <c r="A5585" t="s">
        <v>2222</v>
      </c>
      <c r="B5585" t="s">
        <v>220</v>
      </c>
      <c r="C5585" s="8">
        <v>46199</v>
      </c>
      <c r="D5585" t="s">
        <v>344</v>
      </c>
      <c r="E5585" t="s">
        <v>334</v>
      </c>
      <c r="F5585" s="12">
        <v>215710</v>
      </c>
      <c r="G5585" s="13">
        <v>21</v>
      </c>
      <c r="H5585" t="s">
        <v>2936</v>
      </c>
      <c r="I5585" s="8">
        <v>45940</v>
      </c>
      <c r="J5585" t="s">
        <v>2665</v>
      </c>
      <c r="K5585" t="s">
        <v>2666</v>
      </c>
      <c r="L5585" s="13">
        <v>2500</v>
      </c>
      <c r="M5585" t="s">
        <v>2661</v>
      </c>
    </row>
    <row r="5586" spans="1:13">
      <c r="A5586" t="s">
        <v>2222</v>
      </c>
      <c r="B5586" t="s">
        <v>220</v>
      </c>
      <c r="C5586" s="8">
        <v>46199</v>
      </c>
      <c r="D5586" t="s">
        <v>344</v>
      </c>
      <c r="E5586" t="s">
        <v>334</v>
      </c>
      <c r="F5586" s="12">
        <v>215710</v>
      </c>
      <c r="G5586" s="13">
        <v>21</v>
      </c>
      <c r="H5586" t="s">
        <v>3157</v>
      </c>
      <c r="I5586" s="8">
        <v>45952</v>
      </c>
      <c r="J5586" t="s">
        <v>2659</v>
      </c>
      <c r="K5586" t="s">
        <v>2660</v>
      </c>
      <c r="L5586" s="13">
        <v>3500</v>
      </c>
      <c r="M5586" t="s">
        <v>2661</v>
      </c>
    </row>
    <row r="5587" spans="1:13">
      <c r="A5587" t="s">
        <v>2222</v>
      </c>
      <c r="B5587" t="s">
        <v>220</v>
      </c>
      <c r="C5587" s="8">
        <v>46199</v>
      </c>
      <c r="D5587" t="s">
        <v>344</v>
      </c>
      <c r="E5587" t="s">
        <v>334</v>
      </c>
      <c r="F5587" s="12">
        <v>215710</v>
      </c>
      <c r="G5587" s="13">
        <v>21</v>
      </c>
      <c r="H5587" t="s">
        <v>3514</v>
      </c>
      <c r="I5587" s="8">
        <v>46060</v>
      </c>
      <c r="J5587" t="s">
        <v>2671</v>
      </c>
      <c r="K5587" t="s">
        <v>2672</v>
      </c>
      <c r="L5587" s="13">
        <v>3000</v>
      </c>
      <c r="M5587" t="s">
        <v>2661</v>
      </c>
    </row>
    <row r="5588" spans="1:13">
      <c r="A5588" t="s">
        <v>2223</v>
      </c>
      <c r="B5588" t="s">
        <v>305</v>
      </c>
      <c r="C5588" s="8">
        <v>45978</v>
      </c>
      <c r="D5588" t="s">
        <v>342</v>
      </c>
      <c r="E5588" t="s">
        <v>339</v>
      </c>
      <c r="F5588" s="12">
        <v>86530</v>
      </c>
      <c r="G5588" s="13">
        <v>8</v>
      </c>
      <c r="H5588" t="s">
        <v>2799</v>
      </c>
      <c r="I5588" s="8">
        <v>46099</v>
      </c>
      <c r="J5588" t="s">
        <v>2674</v>
      </c>
      <c r="K5588" t="s">
        <v>2675</v>
      </c>
      <c r="L5588" s="13">
        <v>20000</v>
      </c>
      <c r="M5588" t="s">
        <v>2661</v>
      </c>
    </row>
    <row r="5589" spans="1:13">
      <c r="A5589" t="s">
        <v>2223</v>
      </c>
      <c r="B5589" t="s">
        <v>305</v>
      </c>
      <c r="C5589" s="8">
        <v>45978</v>
      </c>
      <c r="D5589" t="s">
        <v>342</v>
      </c>
      <c r="E5589" t="s">
        <v>339</v>
      </c>
      <c r="F5589" s="12">
        <v>86530</v>
      </c>
      <c r="G5589" s="13">
        <v>8</v>
      </c>
      <c r="H5589" t="s">
        <v>3020</v>
      </c>
      <c r="I5589" s="8">
        <v>46112</v>
      </c>
      <c r="J5589" t="s">
        <v>2685</v>
      </c>
      <c r="K5589" t="s">
        <v>2686</v>
      </c>
      <c r="L5589" s="13">
        <v>5000</v>
      </c>
      <c r="M5589" t="s">
        <v>2661</v>
      </c>
    </row>
    <row r="5590" spans="1:13">
      <c r="A5590" t="s">
        <v>2223</v>
      </c>
      <c r="B5590" t="s">
        <v>305</v>
      </c>
      <c r="C5590" s="8">
        <v>45978</v>
      </c>
      <c r="D5590" t="s">
        <v>342</v>
      </c>
      <c r="E5590" t="s">
        <v>339</v>
      </c>
      <c r="F5590" s="12">
        <v>86530</v>
      </c>
      <c r="G5590" s="13">
        <v>8</v>
      </c>
      <c r="H5590" t="s">
        <v>3142</v>
      </c>
      <c r="I5590" s="8">
        <v>46178</v>
      </c>
      <c r="J5590" t="s">
        <v>2671</v>
      </c>
      <c r="K5590" t="s">
        <v>2672</v>
      </c>
      <c r="L5590" s="13">
        <v>3000</v>
      </c>
      <c r="M5590" t="s">
        <v>2661</v>
      </c>
    </row>
    <row r="5591" spans="1:13">
      <c r="A5591" t="s">
        <v>2224</v>
      </c>
      <c r="B5591" t="s">
        <v>131</v>
      </c>
      <c r="C5591" s="8">
        <v>46083</v>
      </c>
      <c r="D5591" t="s">
        <v>330</v>
      </c>
      <c r="E5591" t="s">
        <v>322</v>
      </c>
      <c r="F5591" s="12">
        <v>123710</v>
      </c>
      <c r="G5591" s="13">
        <v>12</v>
      </c>
      <c r="H5591" t="s">
        <v>3428</v>
      </c>
      <c r="I5591" s="8">
        <v>46231</v>
      </c>
      <c r="J5591" t="s">
        <v>2692</v>
      </c>
      <c r="K5591" t="s">
        <v>2693</v>
      </c>
      <c r="L5591" s="13">
        <v>10000</v>
      </c>
      <c r="M5591" t="s">
        <v>2676</v>
      </c>
    </row>
    <row r="5592" spans="1:13">
      <c r="A5592" t="s">
        <v>2224</v>
      </c>
      <c r="B5592" t="s">
        <v>131</v>
      </c>
      <c r="C5592" s="8">
        <v>46083</v>
      </c>
      <c r="D5592" t="s">
        <v>330</v>
      </c>
      <c r="E5592" t="s">
        <v>322</v>
      </c>
      <c r="F5592" s="12">
        <v>123710</v>
      </c>
      <c r="G5592" s="13">
        <v>12</v>
      </c>
      <c r="H5592" t="s">
        <v>3464</v>
      </c>
      <c r="I5592" s="8">
        <v>45966</v>
      </c>
      <c r="J5592" t="s">
        <v>2688</v>
      </c>
      <c r="K5592" t="s">
        <v>2689</v>
      </c>
      <c r="L5592" s="13">
        <v>8000</v>
      </c>
      <c r="M5592" t="s">
        <v>2661</v>
      </c>
    </row>
    <row r="5593" spans="1:13">
      <c r="A5593" t="s">
        <v>2225</v>
      </c>
      <c r="B5593" t="s">
        <v>217</v>
      </c>
      <c r="C5593" s="8">
        <v>46118</v>
      </c>
      <c r="D5593" t="s">
        <v>330</v>
      </c>
      <c r="E5593" t="s">
        <v>328</v>
      </c>
      <c r="F5593" s="12">
        <v>232348</v>
      </c>
      <c r="G5593" s="13">
        <v>23</v>
      </c>
      <c r="H5593" t="s">
        <v>3010</v>
      </c>
      <c r="I5593" s="8">
        <v>46213</v>
      </c>
      <c r="J5593" t="s">
        <v>2674</v>
      </c>
      <c r="K5593" t="s">
        <v>2675</v>
      </c>
      <c r="L5593" s="13">
        <v>20000</v>
      </c>
      <c r="M5593" t="s">
        <v>2661</v>
      </c>
    </row>
    <row r="5594" spans="1:13">
      <c r="A5594" t="s">
        <v>2225</v>
      </c>
      <c r="B5594" t="s">
        <v>217</v>
      </c>
      <c r="C5594" s="8">
        <v>46118</v>
      </c>
      <c r="D5594" t="s">
        <v>330</v>
      </c>
      <c r="E5594" t="s">
        <v>328</v>
      </c>
      <c r="F5594" s="12">
        <v>232348</v>
      </c>
      <c r="G5594" s="13">
        <v>23</v>
      </c>
      <c r="H5594" t="s">
        <v>3493</v>
      </c>
      <c r="I5594" s="8">
        <v>46078</v>
      </c>
      <c r="J5594" t="s">
        <v>2682</v>
      </c>
      <c r="K5594" t="s">
        <v>2683</v>
      </c>
      <c r="L5594" s="13">
        <v>6000</v>
      </c>
      <c r="M5594" t="s">
        <v>2661</v>
      </c>
    </row>
    <row r="5595" spans="1:13">
      <c r="A5595" t="s">
        <v>2227</v>
      </c>
      <c r="B5595" t="s">
        <v>135</v>
      </c>
      <c r="C5595" s="8">
        <v>46133</v>
      </c>
      <c r="D5595" t="s">
        <v>327</v>
      </c>
      <c r="E5595" t="s">
        <v>337</v>
      </c>
      <c r="F5595" s="12">
        <v>221835</v>
      </c>
      <c r="G5595" s="13">
        <v>22</v>
      </c>
      <c r="H5595" t="s">
        <v>2922</v>
      </c>
      <c r="I5595" s="8">
        <v>45998</v>
      </c>
      <c r="J5595" t="s">
        <v>2682</v>
      </c>
      <c r="K5595" t="s">
        <v>2683</v>
      </c>
      <c r="L5595" s="13">
        <v>6000</v>
      </c>
      <c r="M5595" t="s">
        <v>2661</v>
      </c>
    </row>
    <row r="5596" spans="1:13">
      <c r="A5596" t="s">
        <v>2227</v>
      </c>
      <c r="B5596" t="s">
        <v>135</v>
      </c>
      <c r="C5596" s="8">
        <v>46133</v>
      </c>
      <c r="D5596" t="s">
        <v>327</v>
      </c>
      <c r="E5596" t="s">
        <v>337</v>
      </c>
      <c r="F5596" s="12">
        <v>221835</v>
      </c>
      <c r="G5596" s="13">
        <v>22</v>
      </c>
      <c r="H5596" t="s">
        <v>3053</v>
      </c>
      <c r="I5596" s="8">
        <v>46165</v>
      </c>
      <c r="J5596" t="s">
        <v>2692</v>
      </c>
      <c r="K5596" t="s">
        <v>2693</v>
      </c>
      <c r="L5596" s="13">
        <v>10000</v>
      </c>
      <c r="M5596" t="s">
        <v>2661</v>
      </c>
    </row>
    <row r="5597" spans="1:13">
      <c r="A5597" t="s">
        <v>2227</v>
      </c>
      <c r="B5597" t="s">
        <v>135</v>
      </c>
      <c r="C5597" s="8">
        <v>46133</v>
      </c>
      <c r="D5597" t="s">
        <v>327</v>
      </c>
      <c r="E5597" t="s">
        <v>337</v>
      </c>
      <c r="F5597" s="12">
        <v>221835</v>
      </c>
      <c r="G5597" s="13">
        <v>22</v>
      </c>
      <c r="H5597" t="s">
        <v>3118</v>
      </c>
      <c r="I5597" s="8">
        <v>45989</v>
      </c>
      <c r="J5597" t="s">
        <v>2692</v>
      </c>
      <c r="K5597" t="s">
        <v>2693</v>
      </c>
      <c r="L5597" s="13">
        <v>10000</v>
      </c>
      <c r="M5597" t="s">
        <v>2661</v>
      </c>
    </row>
    <row r="5598" spans="1:13">
      <c r="A5598" t="s">
        <v>2227</v>
      </c>
      <c r="B5598" t="s">
        <v>135</v>
      </c>
      <c r="C5598" s="8">
        <v>46133</v>
      </c>
      <c r="D5598" t="s">
        <v>327</v>
      </c>
      <c r="E5598" t="s">
        <v>337</v>
      </c>
      <c r="F5598" s="12">
        <v>221835</v>
      </c>
      <c r="G5598" s="13">
        <v>22</v>
      </c>
      <c r="H5598" t="s">
        <v>3262</v>
      </c>
      <c r="I5598" s="8">
        <v>46091</v>
      </c>
      <c r="J5598" t="s">
        <v>2682</v>
      </c>
      <c r="K5598" t="s">
        <v>2683</v>
      </c>
      <c r="L5598" s="13">
        <v>6000</v>
      </c>
      <c r="M5598" t="s">
        <v>2661</v>
      </c>
    </row>
    <row r="5599" spans="1:13">
      <c r="A5599" t="s">
        <v>2228</v>
      </c>
      <c r="B5599" t="s">
        <v>117</v>
      </c>
      <c r="C5599" s="8">
        <v>46090</v>
      </c>
      <c r="D5599" t="s">
        <v>327</v>
      </c>
      <c r="E5599" t="s">
        <v>322</v>
      </c>
      <c r="F5599" s="12">
        <v>284061</v>
      </c>
      <c r="G5599" s="13">
        <v>28</v>
      </c>
      <c r="H5599" t="s">
        <v>2952</v>
      </c>
      <c r="I5599" s="8">
        <v>46155</v>
      </c>
      <c r="J5599" t="s">
        <v>2674</v>
      </c>
      <c r="K5599" t="s">
        <v>2675</v>
      </c>
      <c r="L5599" s="13">
        <v>20000</v>
      </c>
      <c r="M5599" t="s">
        <v>2661</v>
      </c>
    </row>
    <row r="5600" spans="1:13">
      <c r="A5600" t="s">
        <v>2228</v>
      </c>
      <c r="B5600" t="s">
        <v>117</v>
      </c>
      <c r="C5600" s="8">
        <v>46090</v>
      </c>
      <c r="D5600" t="s">
        <v>327</v>
      </c>
      <c r="E5600" t="s">
        <v>322</v>
      </c>
      <c r="F5600" s="12">
        <v>284061</v>
      </c>
      <c r="G5600" s="13">
        <v>28</v>
      </c>
      <c r="H5600" t="s">
        <v>3244</v>
      </c>
      <c r="I5600" s="8">
        <v>45969</v>
      </c>
      <c r="J5600" t="s">
        <v>2663</v>
      </c>
      <c r="K5600" t="s">
        <v>3630</v>
      </c>
      <c r="L5600" s="13">
        <v>1500</v>
      </c>
      <c r="M5600" t="s">
        <v>2661</v>
      </c>
    </row>
    <row r="5601" spans="1:13">
      <c r="A5601" t="s">
        <v>2229</v>
      </c>
      <c r="B5601" t="s">
        <v>286</v>
      </c>
      <c r="C5601" s="8">
        <v>46126</v>
      </c>
      <c r="D5601" t="s">
        <v>324</v>
      </c>
      <c r="E5601" t="s">
        <v>339</v>
      </c>
      <c r="F5601" s="12">
        <v>209028</v>
      </c>
      <c r="G5601" s="13">
        <v>20</v>
      </c>
      <c r="H5601" t="s">
        <v>2814</v>
      </c>
      <c r="I5601" s="8">
        <v>46076</v>
      </c>
      <c r="J5601" t="s">
        <v>2663</v>
      </c>
      <c r="K5601" t="s">
        <v>3630</v>
      </c>
      <c r="L5601" s="13">
        <v>1500</v>
      </c>
      <c r="M5601" t="s">
        <v>2661</v>
      </c>
    </row>
    <row r="5602" spans="1:13">
      <c r="A5602" t="s">
        <v>2229</v>
      </c>
      <c r="B5602" t="s">
        <v>286</v>
      </c>
      <c r="C5602" s="8">
        <v>46126</v>
      </c>
      <c r="D5602" t="s">
        <v>324</v>
      </c>
      <c r="E5602" t="s">
        <v>339</v>
      </c>
      <c r="F5602" s="12">
        <v>209028</v>
      </c>
      <c r="G5602" s="13">
        <v>20</v>
      </c>
      <c r="H5602" t="s">
        <v>3003</v>
      </c>
      <c r="I5602" s="8">
        <v>46032</v>
      </c>
      <c r="J5602" t="s">
        <v>2659</v>
      </c>
      <c r="K5602" t="s">
        <v>2660</v>
      </c>
      <c r="L5602" s="13">
        <v>3500</v>
      </c>
      <c r="M5602" t="s">
        <v>2661</v>
      </c>
    </row>
    <row r="5603" spans="1:13">
      <c r="A5603" t="s">
        <v>2229</v>
      </c>
      <c r="B5603" t="s">
        <v>286</v>
      </c>
      <c r="C5603" s="8">
        <v>46126</v>
      </c>
      <c r="D5603" t="s">
        <v>324</v>
      </c>
      <c r="E5603" t="s">
        <v>339</v>
      </c>
      <c r="F5603" s="12">
        <v>209028</v>
      </c>
      <c r="G5603" s="13">
        <v>20</v>
      </c>
      <c r="H5603" t="s">
        <v>3081</v>
      </c>
      <c r="I5603" s="8">
        <v>46124</v>
      </c>
      <c r="J5603" t="s">
        <v>2692</v>
      </c>
      <c r="K5603" t="s">
        <v>2693</v>
      </c>
      <c r="L5603" s="13">
        <v>10000</v>
      </c>
      <c r="M5603" t="s">
        <v>2661</v>
      </c>
    </row>
    <row r="5604" spans="1:13">
      <c r="A5604" t="s">
        <v>2229</v>
      </c>
      <c r="B5604" t="s">
        <v>286</v>
      </c>
      <c r="C5604" s="8">
        <v>46126</v>
      </c>
      <c r="D5604" t="s">
        <v>324</v>
      </c>
      <c r="E5604" t="s">
        <v>339</v>
      </c>
      <c r="F5604" s="12">
        <v>209028</v>
      </c>
      <c r="G5604" s="13">
        <v>20</v>
      </c>
      <c r="H5604" t="s">
        <v>3151</v>
      </c>
      <c r="I5604" s="8">
        <v>45973</v>
      </c>
      <c r="J5604" t="s">
        <v>2692</v>
      </c>
      <c r="K5604" t="s">
        <v>2693</v>
      </c>
      <c r="L5604" s="13">
        <v>10000</v>
      </c>
      <c r="M5604" t="s">
        <v>2676</v>
      </c>
    </row>
    <row r="5605" spans="1:13">
      <c r="A5605" t="s">
        <v>2230</v>
      </c>
      <c r="B5605" t="s">
        <v>99</v>
      </c>
      <c r="C5605" s="8">
        <v>46212</v>
      </c>
      <c r="D5605" t="s">
        <v>344</v>
      </c>
      <c r="E5605" t="s">
        <v>337</v>
      </c>
      <c r="F5605" s="12">
        <v>210903</v>
      </c>
      <c r="G5605" s="13">
        <v>21</v>
      </c>
      <c r="H5605" t="s">
        <v>2816</v>
      </c>
      <c r="I5605" s="8">
        <v>46182</v>
      </c>
      <c r="J5605" t="s">
        <v>2668</v>
      </c>
      <c r="K5605" t="s">
        <v>2669</v>
      </c>
      <c r="L5605" s="13">
        <v>4000</v>
      </c>
      <c r="M5605" t="s">
        <v>2661</v>
      </c>
    </row>
    <row r="5606" spans="1:13">
      <c r="A5606" t="s">
        <v>2232</v>
      </c>
      <c r="B5606" t="s">
        <v>57</v>
      </c>
      <c r="C5606" s="8">
        <v>45952</v>
      </c>
      <c r="D5606" t="s">
        <v>327</v>
      </c>
      <c r="E5606" t="s">
        <v>339</v>
      </c>
      <c r="F5606" s="12">
        <v>364239</v>
      </c>
      <c r="G5606" s="13">
        <v>36</v>
      </c>
      <c r="H5606" t="s">
        <v>3486</v>
      </c>
      <c r="I5606" s="8">
        <v>46159</v>
      </c>
      <c r="J5606" t="s">
        <v>2665</v>
      </c>
      <c r="K5606" t="s">
        <v>2666</v>
      </c>
      <c r="L5606" s="13">
        <v>2500</v>
      </c>
      <c r="M5606" t="s">
        <v>2661</v>
      </c>
    </row>
    <row r="5607" spans="1:13">
      <c r="A5607" t="s">
        <v>2234</v>
      </c>
      <c r="B5607" t="s">
        <v>205</v>
      </c>
      <c r="C5607" s="8">
        <v>46084</v>
      </c>
      <c r="D5607" t="s">
        <v>344</v>
      </c>
      <c r="E5607" t="s">
        <v>325</v>
      </c>
      <c r="F5607" s="12">
        <v>195004</v>
      </c>
      <c r="G5607" s="13">
        <v>19</v>
      </c>
      <c r="H5607" t="s">
        <v>3241</v>
      </c>
      <c r="I5607" s="8">
        <v>45972</v>
      </c>
      <c r="J5607" t="s">
        <v>2671</v>
      </c>
      <c r="K5607" t="s">
        <v>2672</v>
      </c>
      <c r="L5607" s="13">
        <v>3000</v>
      </c>
      <c r="M5607" t="s">
        <v>2676</v>
      </c>
    </row>
    <row r="5608" spans="1:13">
      <c r="A5608" t="s">
        <v>2235</v>
      </c>
      <c r="B5608" t="s">
        <v>135</v>
      </c>
      <c r="C5608" s="8">
        <v>46019</v>
      </c>
      <c r="D5608" t="s">
        <v>324</v>
      </c>
      <c r="E5608" t="s">
        <v>325</v>
      </c>
      <c r="F5608" s="12">
        <v>396916</v>
      </c>
      <c r="G5608" s="13">
        <v>39</v>
      </c>
      <c r="H5608" t="s">
        <v>2922</v>
      </c>
      <c r="I5608" s="8">
        <v>45998</v>
      </c>
      <c r="J5608" t="s">
        <v>2682</v>
      </c>
      <c r="K5608" t="s">
        <v>2683</v>
      </c>
      <c r="L5608" s="13">
        <v>6000</v>
      </c>
      <c r="M5608" t="s">
        <v>2661</v>
      </c>
    </row>
    <row r="5609" spans="1:13">
      <c r="A5609" t="s">
        <v>2235</v>
      </c>
      <c r="B5609" t="s">
        <v>135</v>
      </c>
      <c r="C5609" s="8">
        <v>46019</v>
      </c>
      <c r="D5609" t="s">
        <v>324</v>
      </c>
      <c r="E5609" t="s">
        <v>325</v>
      </c>
      <c r="F5609" s="12">
        <v>396916</v>
      </c>
      <c r="G5609" s="13">
        <v>39</v>
      </c>
      <c r="H5609" t="s">
        <v>3053</v>
      </c>
      <c r="I5609" s="8">
        <v>46165</v>
      </c>
      <c r="J5609" t="s">
        <v>2692</v>
      </c>
      <c r="K5609" t="s">
        <v>2693</v>
      </c>
      <c r="L5609" s="13">
        <v>10000</v>
      </c>
      <c r="M5609" t="s">
        <v>2661</v>
      </c>
    </row>
    <row r="5610" spans="1:13">
      <c r="A5610" t="s">
        <v>2235</v>
      </c>
      <c r="B5610" t="s">
        <v>135</v>
      </c>
      <c r="C5610" s="8">
        <v>46019</v>
      </c>
      <c r="D5610" t="s">
        <v>324</v>
      </c>
      <c r="E5610" t="s">
        <v>325</v>
      </c>
      <c r="F5610" s="12">
        <v>396916</v>
      </c>
      <c r="G5610" s="13">
        <v>39</v>
      </c>
      <c r="H5610" t="s">
        <v>3118</v>
      </c>
      <c r="I5610" s="8">
        <v>45989</v>
      </c>
      <c r="J5610" t="s">
        <v>2692</v>
      </c>
      <c r="K5610" t="s">
        <v>2693</v>
      </c>
      <c r="L5610" s="13">
        <v>10000</v>
      </c>
      <c r="M5610" t="s">
        <v>2661</v>
      </c>
    </row>
    <row r="5611" spans="1:13">
      <c r="A5611" t="s">
        <v>2235</v>
      </c>
      <c r="B5611" t="s">
        <v>135</v>
      </c>
      <c r="C5611" s="8">
        <v>46019</v>
      </c>
      <c r="D5611" t="s">
        <v>324</v>
      </c>
      <c r="E5611" t="s">
        <v>325</v>
      </c>
      <c r="F5611" s="12">
        <v>396916</v>
      </c>
      <c r="G5611" s="13">
        <v>39</v>
      </c>
      <c r="H5611" t="s">
        <v>3262</v>
      </c>
      <c r="I5611" s="8">
        <v>46091</v>
      </c>
      <c r="J5611" t="s">
        <v>2682</v>
      </c>
      <c r="K5611" t="s">
        <v>2683</v>
      </c>
      <c r="L5611" s="13">
        <v>6000</v>
      </c>
      <c r="M5611" t="s">
        <v>2661</v>
      </c>
    </row>
    <row r="5612" spans="1:13">
      <c r="A5612" t="s">
        <v>2236</v>
      </c>
      <c r="B5612" t="s">
        <v>231</v>
      </c>
      <c r="C5612" s="8">
        <v>45965</v>
      </c>
      <c r="D5612" t="s">
        <v>342</v>
      </c>
      <c r="E5612" t="s">
        <v>328</v>
      </c>
      <c r="F5612" s="12">
        <v>341768</v>
      </c>
      <c r="G5612" s="13">
        <v>34</v>
      </c>
      <c r="H5612" t="s">
        <v>2875</v>
      </c>
      <c r="I5612" s="8">
        <v>46085</v>
      </c>
      <c r="J5612" t="s">
        <v>2665</v>
      </c>
      <c r="K5612" t="s">
        <v>2666</v>
      </c>
      <c r="L5612" s="13">
        <v>2500</v>
      </c>
      <c r="M5612" t="s">
        <v>2661</v>
      </c>
    </row>
    <row r="5613" spans="1:13">
      <c r="A5613" t="s">
        <v>2236</v>
      </c>
      <c r="B5613" t="s">
        <v>231</v>
      </c>
      <c r="C5613" s="8">
        <v>45965</v>
      </c>
      <c r="D5613" t="s">
        <v>342</v>
      </c>
      <c r="E5613" t="s">
        <v>328</v>
      </c>
      <c r="F5613" s="12">
        <v>341768</v>
      </c>
      <c r="G5613" s="13">
        <v>34</v>
      </c>
      <c r="H5613" t="s">
        <v>3014</v>
      </c>
      <c r="I5613" s="8">
        <v>46207</v>
      </c>
      <c r="J5613" t="s">
        <v>2665</v>
      </c>
      <c r="K5613" t="s">
        <v>2666</v>
      </c>
      <c r="L5613" s="13">
        <v>2500</v>
      </c>
      <c r="M5613" t="s">
        <v>2676</v>
      </c>
    </row>
    <row r="5614" spans="1:13">
      <c r="A5614" t="s">
        <v>2237</v>
      </c>
      <c r="B5614" t="s">
        <v>259</v>
      </c>
      <c r="C5614" s="8">
        <v>46243</v>
      </c>
      <c r="D5614" t="s">
        <v>324</v>
      </c>
      <c r="E5614" t="s">
        <v>334</v>
      </c>
      <c r="F5614" s="12">
        <v>559404</v>
      </c>
      <c r="G5614" s="13">
        <v>55</v>
      </c>
      <c r="H5614" t="s">
        <v>2802</v>
      </c>
      <c r="I5614" s="8">
        <v>46222</v>
      </c>
      <c r="J5614" t="s">
        <v>2668</v>
      </c>
      <c r="K5614" t="s">
        <v>2669</v>
      </c>
      <c r="L5614" s="13">
        <v>4000</v>
      </c>
      <c r="M5614" t="s">
        <v>2661</v>
      </c>
    </row>
    <row r="5615" spans="1:13">
      <c r="A5615" t="s">
        <v>2237</v>
      </c>
      <c r="B5615" t="s">
        <v>259</v>
      </c>
      <c r="C5615" s="8">
        <v>46243</v>
      </c>
      <c r="D5615" t="s">
        <v>324</v>
      </c>
      <c r="E5615" t="s">
        <v>334</v>
      </c>
      <c r="F5615" s="12">
        <v>559404</v>
      </c>
      <c r="G5615" s="13">
        <v>55</v>
      </c>
      <c r="H5615" t="s">
        <v>2933</v>
      </c>
      <c r="I5615" s="8">
        <v>46183</v>
      </c>
      <c r="J5615" t="s">
        <v>2674</v>
      </c>
      <c r="K5615" t="s">
        <v>2675</v>
      </c>
      <c r="L5615" s="13">
        <v>20000</v>
      </c>
      <c r="M5615" t="s">
        <v>2661</v>
      </c>
    </row>
    <row r="5616" spans="1:13">
      <c r="A5616" t="s">
        <v>2237</v>
      </c>
      <c r="B5616" t="s">
        <v>259</v>
      </c>
      <c r="C5616" s="8">
        <v>46243</v>
      </c>
      <c r="D5616" t="s">
        <v>324</v>
      </c>
      <c r="E5616" t="s">
        <v>334</v>
      </c>
      <c r="F5616" s="12">
        <v>559404</v>
      </c>
      <c r="G5616" s="13">
        <v>55</v>
      </c>
      <c r="H5616" t="s">
        <v>2969</v>
      </c>
      <c r="I5616" s="8">
        <v>46173</v>
      </c>
      <c r="J5616" t="s">
        <v>2668</v>
      </c>
      <c r="K5616" t="s">
        <v>2669</v>
      </c>
      <c r="L5616" s="13">
        <v>4000</v>
      </c>
      <c r="M5616" t="s">
        <v>2661</v>
      </c>
    </row>
    <row r="5617" spans="1:13">
      <c r="A5617" t="s">
        <v>2237</v>
      </c>
      <c r="B5617" t="s">
        <v>259</v>
      </c>
      <c r="C5617" s="8">
        <v>46243</v>
      </c>
      <c r="D5617" t="s">
        <v>324</v>
      </c>
      <c r="E5617" t="s">
        <v>334</v>
      </c>
      <c r="F5617" s="12">
        <v>559404</v>
      </c>
      <c r="G5617" s="13">
        <v>55</v>
      </c>
      <c r="H5617" t="s">
        <v>3300</v>
      </c>
      <c r="I5617" s="8">
        <v>46089</v>
      </c>
      <c r="J5617" t="s">
        <v>2688</v>
      </c>
      <c r="K5617" t="s">
        <v>2689</v>
      </c>
      <c r="L5617" s="13">
        <v>8000</v>
      </c>
      <c r="M5617" t="s">
        <v>2676</v>
      </c>
    </row>
    <row r="5618" spans="1:13">
      <c r="A5618" t="s">
        <v>2238</v>
      </c>
      <c r="B5618" t="s">
        <v>313</v>
      </c>
      <c r="C5618" s="8">
        <v>46142</v>
      </c>
      <c r="D5618" t="s">
        <v>327</v>
      </c>
      <c r="E5618" t="s">
        <v>337</v>
      </c>
      <c r="F5618" s="12">
        <v>666272</v>
      </c>
      <c r="G5618" s="13">
        <v>66</v>
      </c>
      <c r="H5618" t="s">
        <v>2765</v>
      </c>
      <c r="I5618" s="8">
        <v>46267</v>
      </c>
      <c r="J5618" t="s">
        <v>2671</v>
      </c>
      <c r="K5618" t="s">
        <v>2672</v>
      </c>
      <c r="L5618" s="13">
        <v>3000</v>
      </c>
      <c r="M5618" t="s">
        <v>2661</v>
      </c>
    </row>
    <row r="5619" spans="1:13">
      <c r="A5619" t="s">
        <v>2238</v>
      </c>
      <c r="B5619" t="s">
        <v>313</v>
      </c>
      <c r="C5619" s="8">
        <v>46142</v>
      </c>
      <c r="D5619" t="s">
        <v>327</v>
      </c>
      <c r="E5619" t="s">
        <v>337</v>
      </c>
      <c r="F5619" s="12">
        <v>666272</v>
      </c>
      <c r="G5619" s="13">
        <v>66</v>
      </c>
      <c r="H5619" t="s">
        <v>3541</v>
      </c>
      <c r="I5619" s="8">
        <v>46041</v>
      </c>
      <c r="J5619" t="s">
        <v>2663</v>
      </c>
      <c r="K5619" t="s">
        <v>3630</v>
      </c>
      <c r="L5619" s="13">
        <v>1500</v>
      </c>
      <c r="M5619" t="s">
        <v>2661</v>
      </c>
    </row>
    <row r="5620" spans="1:13">
      <c r="A5620" t="s">
        <v>2239</v>
      </c>
      <c r="B5620" t="s">
        <v>236</v>
      </c>
      <c r="C5620" s="8">
        <v>46096</v>
      </c>
      <c r="D5620" t="s">
        <v>321</v>
      </c>
      <c r="E5620" t="s">
        <v>322</v>
      </c>
      <c r="F5620" s="12">
        <v>297551</v>
      </c>
      <c r="G5620" s="13">
        <v>29</v>
      </c>
      <c r="H5620" t="s">
        <v>2873</v>
      </c>
      <c r="I5620" s="8">
        <v>46247</v>
      </c>
      <c r="J5620" t="s">
        <v>2671</v>
      </c>
      <c r="K5620" t="s">
        <v>2672</v>
      </c>
      <c r="L5620" s="13">
        <v>3000</v>
      </c>
      <c r="M5620" t="s">
        <v>2676</v>
      </c>
    </row>
    <row r="5621" spans="1:13">
      <c r="A5621" t="s">
        <v>2239</v>
      </c>
      <c r="B5621" t="s">
        <v>236</v>
      </c>
      <c r="C5621" s="8">
        <v>46096</v>
      </c>
      <c r="D5621" t="s">
        <v>321</v>
      </c>
      <c r="E5621" t="s">
        <v>322</v>
      </c>
      <c r="F5621" s="12">
        <v>297551</v>
      </c>
      <c r="G5621" s="13">
        <v>29</v>
      </c>
      <c r="H5621" t="s">
        <v>3429</v>
      </c>
      <c r="I5621" s="8">
        <v>46170</v>
      </c>
      <c r="J5621" t="s">
        <v>2692</v>
      </c>
      <c r="K5621" t="s">
        <v>2693</v>
      </c>
      <c r="L5621" s="13">
        <v>10000</v>
      </c>
      <c r="M5621" t="s">
        <v>2661</v>
      </c>
    </row>
    <row r="5622" spans="1:13">
      <c r="A5622" t="s">
        <v>2240</v>
      </c>
      <c r="B5622" t="s">
        <v>267</v>
      </c>
      <c r="C5622" s="8">
        <v>46043</v>
      </c>
      <c r="D5622" t="s">
        <v>342</v>
      </c>
      <c r="E5622" t="s">
        <v>328</v>
      </c>
      <c r="F5622" s="12">
        <v>381556</v>
      </c>
      <c r="G5622" s="13">
        <v>38</v>
      </c>
      <c r="H5622" t="s">
        <v>3119</v>
      </c>
      <c r="I5622" s="8">
        <v>46208</v>
      </c>
      <c r="J5622" t="s">
        <v>2671</v>
      </c>
      <c r="K5622" t="s">
        <v>2672</v>
      </c>
      <c r="L5622" s="13">
        <v>3000</v>
      </c>
      <c r="M5622" t="s">
        <v>2661</v>
      </c>
    </row>
    <row r="5623" spans="1:13">
      <c r="A5623" t="s">
        <v>2240</v>
      </c>
      <c r="B5623" t="s">
        <v>267</v>
      </c>
      <c r="C5623" s="8">
        <v>46043</v>
      </c>
      <c r="D5623" t="s">
        <v>342</v>
      </c>
      <c r="E5623" t="s">
        <v>328</v>
      </c>
      <c r="F5623" s="12">
        <v>381556</v>
      </c>
      <c r="G5623" s="13">
        <v>38</v>
      </c>
      <c r="H5623" t="s">
        <v>3125</v>
      </c>
      <c r="I5623" s="8">
        <v>45961</v>
      </c>
      <c r="J5623" t="s">
        <v>2685</v>
      </c>
      <c r="K5623" t="s">
        <v>2686</v>
      </c>
      <c r="L5623" s="13">
        <v>5000</v>
      </c>
      <c r="M5623" t="s">
        <v>2676</v>
      </c>
    </row>
    <row r="5624" spans="1:13">
      <c r="A5624" t="s">
        <v>2240</v>
      </c>
      <c r="B5624" t="s">
        <v>267</v>
      </c>
      <c r="C5624" s="8">
        <v>46043</v>
      </c>
      <c r="D5624" t="s">
        <v>342</v>
      </c>
      <c r="E5624" t="s">
        <v>328</v>
      </c>
      <c r="F5624" s="12">
        <v>381556</v>
      </c>
      <c r="G5624" s="13">
        <v>38</v>
      </c>
      <c r="H5624" t="s">
        <v>3307</v>
      </c>
      <c r="I5624" s="8">
        <v>45958</v>
      </c>
      <c r="J5624" t="s">
        <v>2674</v>
      </c>
      <c r="K5624" t="s">
        <v>2675</v>
      </c>
      <c r="L5624" s="13">
        <v>20000</v>
      </c>
      <c r="M5624" t="s">
        <v>2661</v>
      </c>
    </row>
    <row r="5625" spans="1:13">
      <c r="A5625" t="s">
        <v>2240</v>
      </c>
      <c r="B5625" t="s">
        <v>267</v>
      </c>
      <c r="C5625" s="8">
        <v>46043</v>
      </c>
      <c r="D5625" t="s">
        <v>342</v>
      </c>
      <c r="E5625" t="s">
        <v>328</v>
      </c>
      <c r="F5625" s="12">
        <v>381556</v>
      </c>
      <c r="G5625" s="13">
        <v>38</v>
      </c>
      <c r="H5625" t="s">
        <v>3449</v>
      </c>
      <c r="I5625" s="8">
        <v>46253</v>
      </c>
      <c r="J5625" t="s">
        <v>2668</v>
      </c>
      <c r="K5625" t="s">
        <v>2669</v>
      </c>
      <c r="L5625" s="13">
        <v>4000</v>
      </c>
      <c r="M5625" t="s">
        <v>2676</v>
      </c>
    </row>
    <row r="5626" spans="1:13">
      <c r="A5626" t="s">
        <v>2241</v>
      </c>
      <c r="B5626" t="s">
        <v>272</v>
      </c>
      <c r="C5626" s="8">
        <v>45958</v>
      </c>
      <c r="D5626" t="s">
        <v>330</v>
      </c>
      <c r="E5626" t="s">
        <v>322</v>
      </c>
      <c r="F5626" s="12">
        <v>330988</v>
      </c>
      <c r="G5626" s="13">
        <v>33</v>
      </c>
      <c r="H5626" t="s">
        <v>3170</v>
      </c>
      <c r="I5626" s="8">
        <v>46133</v>
      </c>
      <c r="J5626" t="s">
        <v>2659</v>
      </c>
      <c r="K5626" t="s">
        <v>2660</v>
      </c>
      <c r="L5626" s="13">
        <v>3500</v>
      </c>
      <c r="M5626" t="s">
        <v>2661</v>
      </c>
    </row>
    <row r="5627" spans="1:13">
      <c r="A5627" t="s">
        <v>2241</v>
      </c>
      <c r="B5627" t="s">
        <v>272</v>
      </c>
      <c r="C5627" s="8">
        <v>45958</v>
      </c>
      <c r="D5627" t="s">
        <v>330</v>
      </c>
      <c r="E5627" t="s">
        <v>322</v>
      </c>
      <c r="F5627" s="12">
        <v>330988</v>
      </c>
      <c r="G5627" s="13">
        <v>33</v>
      </c>
      <c r="H5627" t="s">
        <v>3460</v>
      </c>
      <c r="I5627" s="8">
        <v>46021</v>
      </c>
      <c r="J5627" t="s">
        <v>2663</v>
      </c>
      <c r="K5627" t="s">
        <v>3630</v>
      </c>
      <c r="L5627" s="13">
        <v>1500</v>
      </c>
      <c r="M5627" t="s">
        <v>2661</v>
      </c>
    </row>
    <row r="5628" spans="1:13">
      <c r="A5628" t="s">
        <v>2242</v>
      </c>
      <c r="B5628" t="s">
        <v>130</v>
      </c>
      <c r="C5628" s="8">
        <v>45969</v>
      </c>
      <c r="D5628" t="s">
        <v>342</v>
      </c>
      <c r="E5628" t="s">
        <v>334</v>
      </c>
      <c r="F5628" s="12">
        <v>194967</v>
      </c>
      <c r="G5628" s="13">
        <v>19</v>
      </c>
      <c r="H5628" t="s">
        <v>3547</v>
      </c>
      <c r="I5628" s="8">
        <v>46237</v>
      </c>
      <c r="J5628" t="s">
        <v>2659</v>
      </c>
      <c r="K5628" t="s">
        <v>2660</v>
      </c>
      <c r="L5628" s="13">
        <v>3500</v>
      </c>
      <c r="M5628" t="s">
        <v>2661</v>
      </c>
    </row>
    <row r="5629" spans="1:13">
      <c r="A5629" t="s">
        <v>2243</v>
      </c>
      <c r="B5629" t="s">
        <v>257</v>
      </c>
      <c r="C5629" s="8">
        <v>46062</v>
      </c>
      <c r="D5629" t="s">
        <v>344</v>
      </c>
      <c r="E5629" t="s">
        <v>337</v>
      </c>
      <c r="F5629" s="12">
        <v>324427</v>
      </c>
      <c r="G5629" s="13">
        <v>32</v>
      </c>
      <c r="H5629" t="s">
        <v>2782</v>
      </c>
      <c r="I5629" s="8">
        <v>46070</v>
      </c>
      <c r="J5629" t="s">
        <v>2692</v>
      </c>
      <c r="K5629" t="s">
        <v>2693</v>
      </c>
      <c r="L5629" s="13">
        <v>10000</v>
      </c>
      <c r="M5629" t="s">
        <v>2676</v>
      </c>
    </row>
    <row r="5630" spans="1:13">
      <c r="A5630" t="s">
        <v>2243</v>
      </c>
      <c r="B5630" t="s">
        <v>257</v>
      </c>
      <c r="C5630" s="8">
        <v>46062</v>
      </c>
      <c r="D5630" t="s">
        <v>344</v>
      </c>
      <c r="E5630" t="s">
        <v>337</v>
      </c>
      <c r="F5630" s="12">
        <v>324427</v>
      </c>
      <c r="G5630" s="13">
        <v>32</v>
      </c>
      <c r="H5630" t="s">
        <v>2850</v>
      </c>
      <c r="I5630" s="8">
        <v>46061</v>
      </c>
      <c r="J5630" t="s">
        <v>2674</v>
      </c>
      <c r="K5630" t="s">
        <v>2675</v>
      </c>
      <c r="L5630" s="13">
        <v>20000</v>
      </c>
      <c r="M5630" t="s">
        <v>2676</v>
      </c>
    </row>
    <row r="5631" spans="1:13">
      <c r="A5631" t="s">
        <v>2243</v>
      </c>
      <c r="B5631" t="s">
        <v>257</v>
      </c>
      <c r="C5631" s="8">
        <v>46062</v>
      </c>
      <c r="D5631" t="s">
        <v>344</v>
      </c>
      <c r="E5631" t="s">
        <v>337</v>
      </c>
      <c r="F5631" s="12">
        <v>324427</v>
      </c>
      <c r="G5631" s="13">
        <v>32</v>
      </c>
      <c r="H5631" t="s">
        <v>2921</v>
      </c>
      <c r="I5631" s="8">
        <v>46239</v>
      </c>
      <c r="J5631" t="s">
        <v>2692</v>
      </c>
      <c r="K5631" t="s">
        <v>2693</v>
      </c>
      <c r="L5631" s="13">
        <v>10000</v>
      </c>
      <c r="M5631" t="s">
        <v>2661</v>
      </c>
    </row>
    <row r="5632" spans="1:13">
      <c r="A5632" t="s">
        <v>2243</v>
      </c>
      <c r="B5632" t="s">
        <v>257</v>
      </c>
      <c r="C5632" s="8">
        <v>46062</v>
      </c>
      <c r="D5632" t="s">
        <v>344</v>
      </c>
      <c r="E5632" t="s">
        <v>337</v>
      </c>
      <c r="F5632" s="12">
        <v>324427</v>
      </c>
      <c r="G5632" s="13">
        <v>32</v>
      </c>
      <c r="H5632" t="s">
        <v>3061</v>
      </c>
      <c r="I5632" s="8">
        <v>46140</v>
      </c>
      <c r="J5632" t="s">
        <v>2674</v>
      </c>
      <c r="K5632" t="s">
        <v>2675</v>
      </c>
      <c r="L5632" s="13">
        <v>20000</v>
      </c>
      <c r="M5632" t="s">
        <v>2661</v>
      </c>
    </row>
    <row r="5633" spans="1:13">
      <c r="A5633" t="s">
        <v>2244</v>
      </c>
      <c r="B5633" t="s">
        <v>86</v>
      </c>
      <c r="C5633" s="8">
        <v>46262</v>
      </c>
      <c r="D5633" t="s">
        <v>342</v>
      </c>
      <c r="E5633" t="s">
        <v>325</v>
      </c>
      <c r="F5633" s="12">
        <v>319221</v>
      </c>
      <c r="G5633" s="13">
        <v>31</v>
      </c>
      <c r="H5633" t="s">
        <v>3550</v>
      </c>
      <c r="I5633" s="8">
        <v>46122</v>
      </c>
      <c r="J5633" t="s">
        <v>2671</v>
      </c>
      <c r="K5633" t="s">
        <v>2672</v>
      </c>
      <c r="L5633" s="13">
        <v>3000</v>
      </c>
      <c r="M5633" t="s">
        <v>2661</v>
      </c>
    </row>
    <row r="5634" spans="1:13">
      <c r="A5634" t="s">
        <v>2245</v>
      </c>
      <c r="B5634" t="s">
        <v>65</v>
      </c>
      <c r="C5634" s="8">
        <v>46041</v>
      </c>
      <c r="D5634" t="s">
        <v>327</v>
      </c>
      <c r="E5634" t="s">
        <v>322</v>
      </c>
      <c r="F5634" s="12">
        <v>309544</v>
      </c>
      <c r="G5634" s="13">
        <v>30</v>
      </c>
      <c r="H5634" t="s">
        <v>2801</v>
      </c>
      <c r="I5634" s="8">
        <v>46162</v>
      </c>
      <c r="J5634" t="s">
        <v>2688</v>
      </c>
      <c r="K5634" t="s">
        <v>2689</v>
      </c>
      <c r="L5634" s="13">
        <v>8000</v>
      </c>
      <c r="M5634" t="s">
        <v>2661</v>
      </c>
    </row>
    <row r="5635" spans="1:13">
      <c r="A5635" t="s">
        <v>2245</v>
      </c>
      <c r="B5635" t="s">
        <v>65</v>
      </c>
      <c r="C5635" s="8">
        <v>46041</v>
      </c>
      <c r="D5635" t="s">
        <v>327</v>
      </c>
      <c r="E5635" t="s">
        <v>322</v>
      </c>
      <c r="F5635" s="12">
        <v>309544</v>
      </c>
      <c r="G5635" s="13">
        <v>30</v>
      </c>
      <c r="H5635" t="s">
        <v>2826</v>
      </c>
      <c r="I5635" s="8">
        <v>46147</v>
      </c>
      <c r="J5635" t="s">
        <v>2674</v>
      </c>
      <c r="K5635" t="s">
        <v>2675</v>
      </c>
      <c r="L5635" s="13">
        <v>20000</v>
      </c>
      <c r="M5635" t="s">
        <v>2661</v>
      </c>
    </row>
    <row r="5636" spans="1:13">
      <c r="A5636" t="s">
        <v>2245</v>
      </c>
      <c r="B5636" t="s">
        <v>65</v>
      </c>
      <c r="C5636" s="8">
        <v>46041</v>
      </c>
      <c r="D5636" t="s">
        <v>327</v>
      </c>
      <c r="E5636" t="s">
        <v>322</v>
      </c>
      <c r="F5636" s="12">
        <v>309544</v>
      </c>
      <c r="G5636" s="13">
        <v>30</v>
      </c>
      <c r="H5636" t="s">
        <v>3124</v>
      </c>
      <c r="I5636" s="8">
        <v>46278</v>
      </c>
      <c r="J5636" t="s">
        <v>2674</v>
      </c>
      <c r="K5636" t="s">
        <v>2675</v>
      </c>
      <c r="L5636" s="13">
        <v>20000</v>
      </c>
      <c r="M5636" t="s">
        <v>2661</v>
      </c>
    </row>
    <row r="5637" spans="1:13">
      <c r="A5637" t="s">
        <v>2245</v>
      </c>
      <c r="B5637" t="s">
        <v>65</v>
      </c>
      <c r="C5637" s="8">
        <v>46041</v>
      </c>
      <c r="D5637" t="s">
        <v>327</v>
      </c>
      <c r="E5637" t="s">
        <v>322</v>
      </c>
      <c r="F5637" s="12">
        <v>309544</v>
      </c>
      <c r="G5637" s="13">
        <v>30</v>
      </c>
      <c r="H5637" t="s">
        <v>3167</v>
      </c>
      <c r="I5637" s="8">
        <v>46013</v>
      </c>
      <c r="J5637" t="s">
        <v>2685</v>
      </c>
      <c r="K5637" t="s">
        <v>2686</v>
      </c>
      <c r="L5637" s="13">
        <v>5000</v>
      </c>
      <c r="M5637" t="s">
        <v>2676</v>
      </c>
    </row>
    <row r="5638" spans="1:13">
      <c r="A5638" t="s">
        <v>2245</v>
      </c>
      <c r="B5638" t="s">
        <v>65</v>
      </c>
      <c r="C5638" s="8">
        <v>46041</v>
      </c>
      <c r="D5638" t="s">
        <v>327</v>
      </c>
      <c r="E5638" t="s">
        <v>322</v>
      </c>
      <c r="F5638" s="12">
        <v>309544</v>
      </c>
      <c r="G5638" s="13">
        <v>30</v>
      </c>
      <c r="H5638" t="s">
        <v>3344</v>
      </c>
      <c r="I5638" s="8">
        <v>45982</v>
      </c>
      <c r="J5638" t="s">
        <v>2668</v>
      </c>
      <c r="K5638" t="s">
        <v>2669</v>
      </c>
      <c r="L5638" s="13">
        <v>4000</v>
      </c>
      <c r="M5638" t="s">
        <v>2661</v>
      </c>
    </row>
    <row r="5639" spans="1:13">
      <c r="A5639" t="s">
        <v>2246</v>
      </c>
      <c r="B5639" t="s">
        <v>201</v>
      </c>
      <c r="C5639" s="8">
        <v>46067</v>
      </c>
      <c r="D5639" t="s">
        <v>332</v>
      </c>
      <c r="E5639" t="s">
        <v>334</v>
      </c>
      <c r="F5639" s="12">
        <v>228063</v>
      </c>
      <c r="G5639" s="13">
        <v>22</v>
      </c>
      <c r="H5639" t="s">
        <v>2997</v>
      </c>
      <c r="I5639" s="8">
        <v>46289</v>
      </c>
      <c r="J5639" t="s">
        <v>2659</v>
      </c>
      <c r="K5639" t="s">
        <v>2660</v>
      </c>
      <c r="L5639" s="13">
        <v>3500</v>
      </c>
      <c r="M5639" t="s">
        <v>2661</v>
      </c>
    </row>
    <row r="5640" spans="1:13">
      <c r="A5640" t="s">
        <v>2246</v>
      </c>
      <c r="B5640" t="s">
        <v>201</v>
      </c>
      <c r="C5640" s="8">
        <v>46067</v>
      </c>
      <c r="D5640" t="s">
        <v>332</v>
      </c>
      <c r="E5640" t="s">
        <v>334</v>
      </c>
      <c r="F5640" s="12">
        <v>228063</v>
      </c>
      <c r="G5640" s="13">
        <v>22</v>
      </c>
      <c r="H5640" t="s">
        <v>3023</v>
      </c>
      <c r="I5640" s="8">
        <v>46224</v>
      </c>
      <c r="J5640" t="s">
        <v>2668</v>
      </c>
      <c r="K5640" t="s">
        <v>2669</v>
      </c>
      <c r="L5640" s="13">
        <v>4000</v>
      </c>
      <c r="M5640" t="s">
        <v>2661</v>
      </c>
    </row>
    <row r="5641" spans="1:13">
      <c r="A5641" t="s">
        <v>2246</v>
      </c>
      <c r="B5641" t="s">
        <v>201</v>
      </c>
      <c r="C5641" s="8">
        <v>46067</v>
      </c>
      <c r="D5641" t="s">
        <v>332</v>
      </c>
      <c r="E5641" t="s">
        <v>334</v>
      </c>
      <c r="F5641" s="12">
        <v>228063</v>
      </c>
      <c r="G5641" s="13">
        <v>22</v>
      </c>
      <c r="H5641" t="s">
        <v>3232</v>
      </c>
      <c r="I5641" s="8">
        <v>45993</v>
      </c>
      <c r="J5641" t="s">
        <v>2688</v>
      </c>
      <c r="K5641" t="s">
        <v>2689</v>
      </c>
      <c r="L5641" s="13">
        <v>8000</v>
      </c>
      <c r="M5641" t="s">
        <v>2676</v>
      </c>
    </row>
    <row r="5642" spans="1:13">
      <c r="A5642" t="s">
        <v>2247</v>
      </c>
      <c r="B5642" t="s">
        <v>192</v>
      </c>
      <c r="C5642" s="8">
        <v>46017</v>
      </c>
      <c r="D5642" t="s">
        <v>344</v>
      </c>
      <c r="E5642" t="s">
        <v>334</v>
      </c>
      <c r="F5642" s="12">
        <v>107651</v>
      </c>
      <c r="G5642" s="13">
        <v>10</v>
      </c>
      <c r="H5642" t="s">
        <v>2732</v>
      </c>
      <c r="I5642" s="8">
        <v>46282</v>
      </c>
      <c r="J5642" t="s">
        <v>2668</v>
      </c>
      <c r="K5642" t="s">
        <v>2669</v>
      </c>
      <c r="L5642" s="13">
        <v>4000</v>
      </c>
      <c r="M5642" t="s">
        <v>2661</v>
      </c>
    </row>
    <row r="5643" spans="1:13">
      <c r="A5643" t="s">
        <v>2247</v>
      </c>
      <c r="B5643" t="s">
        <v>192</v>
      </c>
      <c r="C5643" s="8">
        <v>46017</v>
      </c>
      <c r="D5643" t="s">
        <v>344</v>
      </c>
      <c r="E5643" t="s">
        <v>334</v>
      </c>
      <c r="F5643" s="12">
        <v>107651</v>
      </c>
      <c r="G5643" s="13">
        <v>10</v>
      </c>
      <c r="H5643" t="s">
        <v>3058</v>
      </c>
      <c r="I5643" s="8">
        <v>45947</v>
      </c>
      <c r="J5643" t="s">
        <v>2692</v>
      </c>
      <c r="K5643" t="s">
        <v>2693</v>
      </c>
      <c r="L5643" s="13">
        <v>10000</v>
      </c>
      <c r="M5643" t="s">
        <v>2661</v>
      </c>
    </row>
    <row r="5644" spans="1:13">
      <c r="A5644" t="s">
        <v>2247</v>
      </c>
      <c r="B5644" t="s">
        <v>192</v>
      </c>
      <c r="C5644" s="8">
        <v>46017</v>
      </c>
      <c r="D5644" t="s">
        <v>344</v>
      </c>
      <c r="E5644" t="s">
        <v>334</v>
      </c>
      <c r="F5644" s="12">
        <v>107651</v>
      </c>
      <c r="G5644" s="13">
        <v>10</v>
      </c>
      <c r="H5644" t="s">
        <v>3062</v>
      </c>
      <c r="I5644" s="8">
        <v>45992</v>
      </c>
      <c r="J5644" t="s">
        <v>2659</v>
      </c>
      <c r="K5644" t="s">
        <v>2660</v>
      </c>
      <c r="L5644" s="13">
        <v>3500</v>
      </c>
      <c r="M5644" t="s">
        <v>2661</v>
      </c>
    </row>
    <row r="5645" spans="1:13">
      <c r="A5645" t="s">
        <v>2247</v>
      </c>
      <c r="B5645" t="s">
        <v>192</v>
      </c>
      <c r="C5645" s="8">
        <v>46017</v>
      </c>
      <c r="D5645" t="s">
        <v>344</v>
      </c>
      <c r="E5645" t="s">
        <v>334</v>
      </c>
      <c r="F5645" s="12">
        <v>107651</v>
      </c>
      <c r="G5645" s="13">
        <v>10</v>
      </c>
      <c r="H5645" t="s">
        <v>3290</v>
      </c>
      <c r="I5645" s="8">
        <v>46248</v>
      </c>
      <c r="J5645" t="s">
        <v>2692</v>
      </c>
      <c r="K5645" t="s">
        <v>2693</v>
      </c>
      <c r="L5645" s="13">
        <v>10000</v>
      </c>
      <c r="M5645" t="s">
        <v>2661</v>
      </c>
    </row>
    <row r="5646" spans="1:13">
      <c r="A5646" t="s">
        <v>2247</v>
      </c>
      <c r="B5646" t="s">
        <v>192</v>
      </c>
      <c r="C5646" s="8">
        <v>46017</v>
      </c>
      <c r="D5646" t="s">
        <v>344</v>
      </c>
      <c r="E5646" t="s">
        <v>334</v>
      </c>
      <c r="F5646" s="12">
        <v>107651</v>
      </c>
      <c r="G5646" s="13">
        <v>10</v>
      </c>
      <c r="H5646" t="s">
        <v>3376</v>
      </c>
      <c r="I5646" s="8">
        <v>46286</v>
      </c>
      <c r="J5646" t="s">
        <v>2663</v>
      </c>
      <c r="K5646" t="s">
        <v>3630</v>
      </c>
      <c r="L5646" s="13">
        <v>1500</v>
      </c>
      <c r="M5646" t="s">
        <v>2661</v>
      </c>
    </row>
    <row r="5647" spans="1:13">
      <c r="A5647" t="s">
        <v>2248</v>
      </c>
      <c r="B5647" t="s">
        <v>298</v>
      </c>
      <c r="C5647" s="8">
        <v>46157</v>
      </c>
      <c r="D5647" t="s">
        <v>321</v>
      </c>
      <c r="E5647" t="s">
        <v>322</v>
      </c>
      <c r="F5647" s="12">
        <v>310668</v>
      </c>
      <c r="G5647" s="13">
        <v>31</v>
      </c>
      <c r="H5647" t="s">
        <v>2931</v>
      </c>
      <c r="I5647" s="8">
        <v>46241</v>
      </c>
      <c r="J5647" t="s">
        <v>2671</v>
      </c>
      <c r="K5647" t="s">
        <v>2672</v>
      </c>
      <c r="L5647" s="13">
        <v>3000</v>
      </c>
      <c r="M5647" t="s">
        <v>2661</v>
      </c>
    </row>
    <row r="5648" spans="1:13">
      <c r="A5648" t="s">
        <v>2248</v>
      </c>
      <c r="B5648" t="s">
        <v>298</v>
      </c>
      <c r="C5648" s="8">
        <v>46157</v>
      </c>
      <c r="D5648" t="s">
        <v>321</v>
      </c>
      <c r="E5648" t="s">
        <v>322</v>
      </c>
      <c r="F5648" s="12">
        <v>310668</v>
      </c>
      <c r="G5648" s="13">
        <v>31</v>
      </c>
      <c r="H5648" t="s">
        <v>3012</v>
      </c>
      <c r="I5648" s="8">
        <v>46256</v>
      </c>
      <c r="J5648" t="s">
        <v>2682</v>
      </c>
      <c r="K5648" t="s">
        <v>2683</v>
      </c>
      <c r="L5648" s="13">
        <v>6000</v>
      </c>
      <c r="M5648" t="s">
        <v>2661</v>
      </c>
    </row>
    <row r="5649" spans="1:13">
      <c r="A5649" t="s">
        <v>2249</v>
      </c>
      <c r="B5649" t="s">
        <v>64</v>
      </c>
      <c r="C5649" s="8">
        <v>46012</v>
      </c>
      <c r="D5649" t="s">
        <v>321</v>
      </c>
      <c r="E5649" t="s">
        <v>339</v>
      </c>
      <c r="F5649" s="12">
        <v>685359</v>
      </c>
      <c r="G5649" s="13">
        <v>68</v>
      </c>
      <c r="H5649" t="s">
        <v>2733</v>
      </c>
      <c r="I5649" s="8">
        <v>46127</v>
      </c>
      <c r="J5649" t="s">
        <v>2674</v>
      </c>
      <c r="K5649" t="s">
        <v>2675</v>
      </c>
      <c r="L5649" s="13">
        <v>20000</v>
      </c>
      <c r="M5649" t="s">
        <v>2661</v>
      </c>
    </row>
    <row r="5650" spans="1:13">
      <c r="A5650" t="s">
        <v>2249</v>
      </c>
      <c r="B5650" t="s">
        <v>64</v>
      </c>
      <c r="C5650" s="8">
        <v>46012</v>
      </c>
      <c r="D5650" t="s">
        <v>321</v>
      </c>
      <c r="E5650" t="s">
        <v>339</v>
      </c>
      <c r="F5650" s="12">
        <v>685359</v>
      </c>
      <c r="G5650" s="13">
        <v>68</v>
      </c>
      <c r="H5650" t="s">
        <v>2752</v>
      </c>
      <c r="I5650" s="8">
        <v>45976</v>
      </c>
      <c r="J5650" t="s">
        <v>2668</v>
      </c>
      <c r="K5650" t="s">
        <v>2669</v>
      </c>
      <c r="L5650" s="13">
        <v>4000</v>
      </c>
      <c r="M5650" t="s">
        <v>2661</v>
      </c>
    </row>
    <row r="5651" spans="1:13">
      <c r="A5651" t="s">
        <v>2249</v>
      </c>
      <c r="B5651" t="s">
        <v>64</v>
      </c>
      <c r="C5651" s="8">
        <v>46012</v>
      </c>
      <c r="D5651" t="s">
        <v>321</v>
      </c>
      <c r="E5651" t="s">
        <v>339</v>
      </c>
      <c r="F5651" s="12">
        <v>685359</v>
      </c>
      <c r="G5651" s="13">
        <v>68</v>
      </c>
      <c r="H5651" t="s">
        <v>3108</v>
      </c>
      <c r="I5651" s="8">
        <v>46158</v>
      </c>
      <c r="J5651" t="s">
        <v>2692</v>
      </c>
      <c r="K5651" t="s">
        <v>2693</v>
      </c>
      <c r="L5651" s="13">
        <v>10000</v>
      </c>
      <c r="M5651" t="s">
        <v>2661</v>
      </c>
    </row>
    <row r="5652" spans="1:13">
      <c r="A5652" t="s">
        <v>2249</v>
      </c>
      <c r="B5652" t="s">
        <v>64</v>
      </c>
      <c r="C5652" s="8">
        <v>46012</v>
      </c>
      <c r="D5652" t="s">
        <v>321</v>
      </c>
      <c r="E5652" t="s">
        <v>339</v>
      </c>
      <c r="F5652" s="12">
        <v>685359</v>
      </c>
      <c r="G5652" s="13">
        <v>68</v>
      </c>
      <c r="H5652" t="s">
        <v>3187</v>
      </c>
      <c r="I5652" s="8">
        <v>46275</v>
      </c>
      <c r="J5652" t="s">
        <v>2659</v>
      </c>
      <c r="K5652" t="s">
        <v>2660</v>
      </c>
      <c r="L5652" s="13">
        <v>3500</v>
      </c>
      <c r="M5652" t="s">
        <v>2661</v>
      </c>
    </row>
    <row r="5653" spans="1:13">
      <c r="A5653" t="s">
        <v>2250</v>
      </c>
      <c r="B5653" t="s">
        <v>124</v>
      </c>
      <c r="C5653" s="8">
        <v>46071</v>
      </c>
      <c r="D5653" t="s">
        <v>324</v>
      </c>
      <c r="E5653" t="s">
        <v>325</v>
      </c>
      <c r="F5653" s="12">
        <v>490387</v>
      </c>
      <c r="G5653" s="13">
        <v>49</v>
      </c>
      <c r="H5653" t="s">
        <v>2785</v>
      </c>
      <c r="I5653" s="8">
        <v>45933</v>
      </c>
      <c r="J5653" t="s">
        <v>2659</v>
      </c>
      <c r="K5653" t="s">
        <v>2660</v>
      </c>
      <c r="L5653" s="13">
        <v>3500</v>
      </c>
      <c r="M5653" t="s">
        <v>2676</v>
      </c>
    </row>
    <row r="5654" spans="1:13">
      <c r="A5654" t="s">
        <v>2250</v>
      </c>
      <c r="B5654" t="s">
        <v>124</v>
      </c>
      <c r="C5654" s="8">
        <v>46071</v>
      </c>
      <c r="D5654" t="s">
        <v>324</v>
      </c>
      <c r="E5654" t="s">
        <v>325</v>
      </c>
      <c r="F5654" s="12">
        <v>490387</v>
      </c>
      <c r="G5654" s="13">
        <v>49</v>
      </c>
      <c r="H5654" t="s">
        <v>3072</v>
      </c>
      <c r="I5654" s="8">
        <v>46087</v>
      </c>
      <c r="J5654" t="s">
        <v>2685</v>
      </c>
      <c r="K5654" t="s">
        <v>2686</v>
      </c>
      <c r="L5654" s="13">
        <v>5000</v>
      </c>
      <c r="M5654" t="s">
        <v>2661</v>
      </c>
    </row>
    <row r="5655" spans="1:13">
      <c r="A5655" t="s">
        <v>2250</v>
      </c>
      <c r="B5655" t="s">
        <v>124</v>
      </c>
      <c r="C5655" s="8">
        <v>46071</v>
      </c>
      <c r="D5655" t="s">
        <v>324</v>
      </c>
      <c r="E5655" t="s">
        <v>325</v>
      </c>
      <c r="F5655" s="12">
        <v>490387</v>
      </c>
      <c r="G5655" s="13">
        <v>49</v>
      </c>
      <c r="H5655" t="s">
        <v>3557</v>
      </c>
      <c r="I5655" s="8">
        <v>46271</v>
      </c>
      <c r="J5655" t="s">
        <v>2665</v>
      </c>
      <c r="K5655" t="s">
        <v>2666</v>
      </c>
      <c r="L5655" s="13">
        <v>2500</v>
      </c>
      <c r="M5655" t="s">
        <v>2661</v>
      </c>
    </row>
    <row r="5656" spans="1:13">
      <c r="A5656" t="s">
        <v>2251</v>
      </c>
      <c r="B5656" t="s">
        <v>164</v>
      </c>
      <c r="C5656" s="8">
        <v>46082</v>
      </c>
      <c r="D5656" t="s">
        <v>330</v>
      </c>
      <c r="E5656" t="s">
        <v>339</v>
      </c>
      <c r="F5656" s="12">
        <v>91742</v>
      </c>
      <c r="G5656" s="13">
        <v>9</v>
      </c>
      <c r="H5656" t="s">
        <v>2971</v>
      </c>
      <c r="I5656" s="8">
        <v>46018</v>
      </c>
      <c r="J5656" t="s">
        <v>2665</v>
      </c>
      <c r="K5656" t="s">
        <v>2666</v>
      </c>
      <c r="L5656" s="13">
        <v>2500</v>
      </c>
      <c r="M5656" t="s">
        <v>2661</v>
      </c>
    </row>
    <row r="5657" spans="1:13">
      <c r="A5657" t="s">
        <v>2251</v>
      </c>
      <c r="B5657" t="s">
        <v>164</v>
      </c>
      <c r="C5657" s="8">
        <v>46082</v>
      </c>
      <c r="D5657" t="s">
        <v>330</v>
      </c>
      <c r="E5657" t="s">
        <v>339</v>
      </c>
      <c r="F5657" s="12">
        <v>91742</v>
      </c>
      <c r="G5657" s="13">
        <v>9</v>
      </c>
      <c r="H5657" t="s">
        <v>3109</v>
      </c>
      <c r="I5657" s="8">
        <v>46204</v>
      </c>
      <c r="J5657" t="s">
        <v>2668</v>
      </c>
      <c r="K5657" t="s">
        <v>2669</v>
      </c>
      <c r="L5657" s="13">
        <v>4000</v>
      </c>
      <c r="M5657" t="s">
        <v>2676</v>
      </c>
    </row>
    <row r="5658" spans="1:13">
      <c r="A5658" t="s">
        <v>2251</v>
      </c>
      <c r="B5658" t="s">
        <v>164</v>
      </c>
      <c r="C5658" s="8">
        <v>46082</v>
      </c>
      <c r="D5658" t="s">
        <v>330</v>
      </c>
      <c r="E5658" t="s">
        <v>339</v>
      </c>
      <c r="F5658" s="12">
        <v>91742</v>
      </c>
      <c r="G5658" s="13">
        <v>9</v>
      </c>
      <c r="H5658" t="s">
        <v>3298</v>
      </c>
      <c r="I5658" s="8">
        <v>46208</v>
      </c>
      <c r="J5658" t="s">
        <v>2692</v>
      </c>
      <c r="K5658" t="s">
        <v>2693</v>
      </c>
      <c r="L5658" s="13">
        <v>10000</v>
      </c>
      <c r="M5658" t="s">
        <v>2661</v>
      </c>
    </row>
    <row r="5659" spans="1:13">
      <c r="A5659" t="s">
        <v>2251</v>
      </c>
      <c r="B5659" t="s">
        <v>164</v>
      </c>
      <c r="C5659" s="8">
        <v>46082</v>
      </c>
      <c r="D5659" t="s">
        <v>330</v>
      </c>
      <c r="E5659" t="s">
        <v>339</v>
      </c>
      <c r="F5659" s="12">
        <v>91742</v>
      </c>
      <c r="G5659" s="13">
        <v>9</v>
      </c>
      <c r="H5659" t="s">
        <v>3523</v>
      </c>
      <c r="I5659" s="8">
        <v>46098</v>
      </c>
      <c r="J5659" t="s">
        <v>2659</v>
      </c>
      <c r="K5659" t="s">
        <v>2660</v>
      </c>
      <c r="L5659" s="13">
        <v>3500</v>
      </c>
      <c r="M5659" t="s">
        <v>2661</v>
      </c>
    </row>
    <row r="5660" spans="1:13">
      <c r="A5660" t="s">
        <v>2252</v>
      </c>
      <c r="B5660" t="s">
        <v>217</v>
      </c>
      <c r="C5660" s="8">
        <v>46162</v>
      </c>
      <c r="D5660" t="s">
        <v>321</v>
      </c>
      <c r="E5660" t="s">
        <v>325</v>
      </c>
      <c r="F5660" s="12">
        <v>295981</v>
      </c>
      <c r="G5660" s="13">
        <v>29</v>
      </c>
      <c r="H5660" t="s">
        <v>3010</v>
      </c>
      <c r="I5660" s="8">
        <v>46213</v>
      </c>
      <c r="J5660" t="s">
        <v>2674</v>
      </c>
      <c r="K5660" t="s">
        <v>2675</v>
      </c>
      <c r="L5660" s="13">
        <v>20000</v>
      </c>
      <c r="M5660" t="s">
        <v>2661</v>
      </c>
    </row>
    <row r="5661" spans="1:13">
      <c r="A5661" t="s">
        <v>2252</v>
      </c>
      <c r="B5661" t="s">
        <v>217</v>
      </c>
      <c r="C5661" s="8">
        <v>46162</v>
      </c>
      <c r="D5661" t="s">
        <v>321</v>
      </c>
      <c r="E5661" t="s">
        <v>325</v>
      </c>
      <c r="F5661" s="12">
        <v>295981</v>
      </c>
      <c r="G5661" s="13">
        <v>29</v>
      </c>
      <c r="H5661" t="s">
        <v>3493</v>
      </c>
      <c r="I5661" s="8">
        <v>46078</v>
      </c>
      <c r="J5661" t="s">
        <v>2682</v>
      </c>
      <c r="K5661" t="s">
        <v>2683</v>
      </c>
      <c r="L5661" s="13">
        <v>6000</v>
      </c>
      <c r="M5661" t="s">
        <v>2661</v>
      </c>
    </row>
    <row r="5662" spans="1:13">
      <c r="A5662" t="s">
        <v>2253</v>
      </c>
      <c r="B5662" t="s">
        <v>241</v>
      </c>
      <c r="C5662" s="8">
        <v>45954</v>
      </c>
      <c r="D5662" t="s">
        <v>327</v>
      </c>
      <c r="E5662" t="s">
        <v>334</v>
      </c>
      <c r="F5662" s="12">
        <v>38674</v>
      </c>
      <c r="G5662" s="13">
        <v>3</v>
      </c>
      <c r="H5662" t="s">
        <v>2911</v>
      </c>
      <c r="I5662" s="8">
        <v>46173</v>
      </c>
      <c r="J5662" t="s">
        <v>2692</v>
      </c>
      <c r="K5662" t="s">
        <v>2693</v>
      </c>
      <c r="L5662" s="13">
        <v>10000</v>
      </c>
      <c r="M5662" t="s">
        <v>2661</v>
      </c>
    </row>
    <row r="5663" spans="1:13">
      <c r="A5663" t="s">
        <v>2253</v>
      </c>
      <c r="B5663" t="s">
        <v>241</v>
      </c>
      <c r="C5663" s="8">
        <v>45954</v>
      </c>
      <c r="D5663" t="s">
        <v>327</v>
      </c>
      <c r="E5663" t="s">
        <v>334</v>
      </c>
      <c r="F5663" s="12">
        <v>38674</v>
      </c>
      <c r="G5663" s="13">
        <v>3</v>
      </c>
      <c r="H5663" t="s">
        <v>3174</v>
      </c>
      <c r="I5663" s="8">
        <v>46189</v>
      </c>
      <c r="J5663" t="s">
        <v>2674</v>
      </c>
      <c r="K5663" t="s">
        <v>2675</v>
      </c>
      <c r="L5663" s="13">
        <v>20000</v>
      </c>
      <c r="M5663" t="s">
        <v>2661</v>
      </c>
    </row>
    <row r="5664" spans="1:13">
      <c r="A5664" t="s">
        <v>2253</v>
      </c>
      <c r="B5664" t="s">
        <v>241</v>
      </c>
      <c r="C5664" s="8">
        <v>45954</v>
      </c>
      <c r="D5664" t="s">
        <v>327</v>
      </c>
      <c r="E5664" t="s">
        <v>334</v>
      </c>
      <c r="F5664" s="12">
        <v>38674</v>
      </c>
      <c r="G5664" s="13">
        <v>3</v>
      </c>
      <c r="H5664" t="s">
        <v>3419</v>
      </c>
      <c r="I5664" s="8">
        <v>46084</v>
      </c>
      <c r="J5664" t="s">
        <v>2665</v>
      </c>
      <c r="K5664" t="s">
        <v>2666</v>
      </c>
      <c r="L5664" s="13">
        <v>2500</v>
      </c>
      <c r="M5664" t="s">
        <v>2661</v>
      </c>
    </row>
    <row r="5665" spans="1:13">
      <c r="A5665" t="s">
        <v>2253</v>
      </c>
      <c r="B5665" t="s">
        <v>241</v>
      </c>
      <c r="C5665" s="8">
        <v>45954</v>
      </c>
      <c r="D5665" t="s">
        <v>327</v>
      </c>
      <c r="E5665" t="s">
        <v>334</v>
      </c>
      <c r="F5665" s="12">
        <v>38674</v>
      </c>
      <c r="G5665" s="13">
        <v>3</v>
      </c>
      <c r="H5665" t="s">
        <v>3526</v>
      </c>
      <c r="I5665" s="8">
        <v>46211</v>
      </c>
      <c r="J5665" t="s">
        <v>2671</v>
      </c>
      <c r="K5665" t="s">
        <v>2672</v>
      </c>
      <c r="L5665" s="13">
        <v>3000</v>
      </c>
      <c r="M5665" t="s">
        <v>2661</v>
      </c>
    </row>
    <row r="5666" spans="1:13">
      <c r="A5666" t="s">
        <v>2254</v>
      </c>
      <c r="B5666" t="s">
        <v>280</v>
      </c>
      <c r="C5666" s="8">
        <v>46178</v>
      </c>
      <c r="D5666" t="s">
        <v>327</v>
      </c>
      <c r="E5666" t="s">
        <v>334</v>
      </c>
      <c r="F5666" s="12">
        <v>253505</v>
      </c>
      <c r="G5666" s="13">
        <v>25</v>
      </c>
      <c r="H5666" t="s">
        <v>2673</v>
      </c>
      <c r="I5666" s="8">
        <v>46091</v>
      </c>
      <c r="J5666" t="s">
        <v>2674</v>
      </c>
      <c r="K5666" t="s">
        <v>2675</v>
      </c>
      <c r="L5666" s="13">
        <v>20000</v>
      </c>
      <c r="M5666" t="s">
        <v>2676</v>
      </c>
    </row>
    <row r="5667" spans="1:13">
      <c r="A5667" t="s">
        <v>2254</v>
      </c>
      <c r="B5667" t="s">
        <v>280</v>
      </c>
      <c r="C5667" s="8">
        <v>46178</v>
      </c>
      <c r="D5667" t="s">
        <v>327</v>
      </c>
      <c r="E5667" t="s">
        <v>334</v>
      </c>
      <c r="F5667" s="12">
        <v>253505</v>
      </c>
      <c r="G5667" s="13">
        <v>25</v>
      </c>
      <c r="H5667" t="s">
        <v>2924</v>
      </c>
      <c r="I5667" s="8">
        <v>46275</v>
      </c>
      <c r="J5667" t="s">
        <v>2663</v>
      </c>
      <c r="K5667" t="s">
        <v>3630</v>
      </c>
      <c r="L5667" s="13">
        <v>1500</v>
      </c>
      <c r="M5667" t="s">
        <v>2661</v>
      </c>
    </row>
    <row r="5668" spans="1:13">
      <c r="A5668" t="s">
        <v>2254</v>
      </c>
      <c r="B5668" t="s">
        <v>280</v>
      </c>
      <c r="C5668" s="8">
        <v>46178</v>
      </c>
      <c r="D5668" t="s">
        <v>327</v>
      </c>
      <c r="E5668" t="s">
        <v>334</v>
      </c>
      <c r="F5668" s="12">
        <v>253505</v>
      </c>
      <c r="G5668" s="13">
        <v>25</v>
      </c>
      <c r="H5668" t="s">
        <v>3163</v>
      </c>
      <c r="I5668" s="8">
        <v>46279</v>
      </c>
      <c r="J5668" t="s">
        <v>2668</v>
      </c>
      <c r="K5668" t="s">
        <v>2669</v>
      </c>
      <c r="L5668" s="13">
        <v>4000</v>
      </c>
      <c r="M5668" t="s">
        <v>2661</v>
      </c>
    </row>
    <row r="5669" spans="1:13">
      <c r="A5669" t="s">
        <v>2254</v>
      </c>
      <c r="B5669" t="s">
        <v>280</v>
      </c>
      <c r="C5669" s="8">
        <v>46178</v>
      </c>
      <c r="D5669" t="s">
        <v>327</v>
      </c>
      <c r="E5669" t="s">
        <v>334</v>
      </c>
      <c r="F5669" s="12">
        <v>253505</v>
      </c>
      <c r="G5669" s="13">
        <v>25</v>
      </c>
      <c r="H5669" t="s">
        <v>3286</v>
      </c>
      <c r="I5669" s="8">
        <v>46224</v>
      </c>
      <c r="J5669" t="s">
        <v>2685</v>
      </c>
      <c r="K5669" t="s">
        <v>2686</v>
      </c>
      <c r="L5669" s="13">
        <v>5000</v>
      </c>
      <c r="M5669" t="s">
        <v>2661</v>
      </c>
    </row>
    <row r="5670" spans="1:13">
      <c r="A5670" t="s">
        <v>2254</v>
      </c>
      <c r="B5670" t="s">
        <v>280</v>
      </c>
      <c r="C5670" s="8">
        <v>46178</v>
      </c>
      <c r="D5670" t="s">
        <v>327</v>
      </c>
      <c r="E5670" t="s">
        <v>334</v>
      </c>
      <c r="F5670" s="12">
        <v>253505</v>
      </c>
      <c r="G5670" s="13">
        <v>25</v>
      </c>
      <c r="H5670" t="s">
        <v>3400</v>
      </c>
      <c r="I5670" s="8">
        <v>46126</v>
      </c>
      <c r="J5670" t="s">
        <v>2692</v>
      </c>
      <c r="K5670" t="s">
        <v>2693</v>
      </c>
      <c r="L5670" s="13">
        <v>10000</v>
      </c>
      <c r="M5670" t="s">
        <v>2661</v>
      </c>
    </row>
    <row r="5671" spans="1:13">
      <c r="A5671" t="s">
        <v>2254</v>
      </c>
      <c r="B5671" t="s">
        <v>280</v>
      </c>
      <c r="C5671" s="8">
        <v>46178</v>
      </c>
      <c r="D5671" t="s">
        <v>327</v>
      </c>
      <c r="E5671" t="s">
        <v>334</v>
      </c>
      <c r="F5671" s="12">
        <v>253505</v>
      </c>
      <c r="G5671" s="13">
        <v>25</v>
      </c>
      <c r="H5671" t="s">
        <v>3535</v>
      </c>
      <c r="I5671" s="8">
        <v>46274</v>
      </c>
      <c r="J5671" t="s">
        <v>2659</v>
      </c>
      <c r="K5671" t="s">
        <v>2660</v>
      </c>
      <c r="L5671" s="13">
        <v>3500</v>
      </c>
      <c r="M5671" t="s">
        <v>2661</v>
      </c>
    </row>
    <row r="5672" spans="1:13">
      <c r="A5672" t="s">
        <v>2255</v>
      </c>
      <c r="B5672" t="s">
        <v>122</v>
      </c>
      <c r="C5672" s="8">
        <v>45942</v>
      </c>
      <c r="D5672" t="s">
        <v>342</v>
      </c>
      <c r="E5672" t="s">
        <v>328</v>
      </c>
      <c r="F5672" s="12">
        <v>482873</v>
      </c>
      <c r="G5672" s="13">
        <v>48</v>
      </c>
      <c r="H5672" t="s">
        <v>2998</v>
      </c>
      <c r="I5672" s="8">
        <v>46159</v>
      </c>
      <c r="J5672" t="s">
        <v>2659</v>
      </c>
      <c r="K5672" t="s">
        <v>2660</v>
      </c>
      <c r="L5672" s="13">
        <v>3500</v>
      </c>
      <c r="M5672" t="s">
        <v>2661</v>
      </c>
    </row>
    <row r="5673" spans="1:13">
      <c r="A5673" t="s">
        <v>2255</v>
      </c>
      <c r="B5673" t="s">
        <v>122</v>
      </c>
      <c r="C5673" s="8">
        <v>45942</v>
      </c>
      <c r="D5673" t="s">
        <v>342</v>
      </c>
      <c r="E5673" t="s">
        <v>328</v>
      </c>
      <c r="F5673" s="12">
        <v>482873</v>
      </c>
      <c r="G5673" s="13">
        <v>48</v>
      </c>
      <c r="H5673" t="s">
        <v>3144</v>
      </c>
      <c r="I5673" s="8">
        <v>45940</v>
      </c>
      <c r="J5673" t="s">
        <v>2692</v>
      </c>
      <c r="K5673" t="s">
        <v>2693</v>
      </c>
      <c r="L5673" s="13">
        <v>10000</v>
      </c>
      <c r="M5673" t="s">
        <v>2661</v>
      </c>
    </row>
    <row r="5674" spans="1:13">
      <c r="A5674" t="s">
        <v>2256</v>
      </c>
      <c r="B5674" t="s">
        <v>135</v>
      </c>
      <c r="C5674" s="8">
        <v>46215</v>
      </c>
      <c r="D5674" t="s">
        <v>332</v>
      </c>
      <c r="E5674" t="s">
        <v>339</v>
      </c>
      <c r="F5674" s="12">
        <v>185038</v>
      </c>
      <c r="G5674" s="13">
        <v>18</v>
      </c>
      <c r="H5674" t="s">
        <v>2922</v>
      </c>
      <c r="I5674" s="8">
        <v>45998</v>
      </c>
      <c r="J5674" t="s">
        <v>2682</v>
      </c>
      <c r="K5674" t="s">
        <v>2683</v>
      </c>
      <c r="L5674" s="13">
        <v>6000</v>
      </c>
      <c r="M5674" t="s">
        <v>2661</v>
      </c>
    </row>
    <row r="5675" spans="1:13">
      <c r="A5675" t="s">
        <v>2256</v>
      </c>
      <c r="B5675" t="s">
        <v>135</v>
      </c>
      <c r="C5675" s="8">
        <v>46215</v>
      </c>
      <c r="D5675" t="s">
        <v>332</v>
      </c>
      <c r="E5675" t="s">
        <v>339</v>
      </c>
      <c r="F5675" s="12">
        <v>185038</v>
      </c>
      <c r="G5675" s="13">
        <v>18</v>
      </c>
      <c r="H5675" t="s">
        <v>3053</v>
      </c>
      <c r="I5675" s="8">
        <v>46165</v>
      </c>
      <c r="J5675" t="s">
        <v>2692</v>
      </c>
      <c r="K5675" t="s">
        <v>2693</v>
      </c>
      <c r="L5675" s="13">
        <v>10000</v>
      </c>
      <c r="M5675" t="s">
        <v>2661</v>
      </c>
    </row>
    <row r="5676" spans="1:13">
      <c r="A5676" t="s">
        <v>2256</v>
      </c>
      <c r="B5676" t="s">
        <v>135</v>
      </c>
      <c r="C5676" s="8">
        <v>46215</v>
      </c>
      <c r="D5676" t="s">
        <v>332</v>
      </c>
      <c r="E5676" t="s">
        <v>339</v>
      </c>
      <c r="F5676" s="12">
        <v>185038</v>
      </c>
      <c r="G5676" s="13">
        <v>18</v>
      </c>
      <c r="H5676" t="s">
        <v>3118</v>
      </c>
      <c r="I5676" s="8">
        <v>45989</v>
      </c>
      <c r="J5676" t="s">
        <v>2692</v>
      </c>
      <c r="K5676" t="s">
        <v>2693</v>
      </c>
      <c r="L5676" s="13">
        <v>10000</v>
      </c>
      <c r="M5676" t="s">
        <v>2661</v>
      </c>
    </row>
    <row r="5677" spans="1:13">
      <c r="A5677" t="s">
        <v>2256</v>
      </c>
      <c r="B5677" t="s">
        <v>135</v>
      </c>
      <c r="C5677" s="8">
        <v>46215</v>
      </c>
      <c r="D5677" t="s">
        <v>332</v>
      </c>
      <c r="E5677" t="s">
        <v>339</v>
      </c>
      <c r="F5677" s="12">
        <v>185038</v>
      </c>
      <c r="G5677" s="13">
        <v>18</v>
      </c>
      <c r="H5677" t="s">
        <v>3262</v>
      </c>
      <c r="I5677" s="8">
        <v>46091</v>
      </c>
      <c r="J5677" t="s">
        <v>2682</v>
      </c>
      <c r="K5677" t="s">
        <v>2683</v>
      </c>
      <c r="L5677" s="13">
        <v>6000</v>
      </c>
      <c r="M5677" t="s">
        <v>2661</v>
      </c>
    </row>
    <row r="5678" spans="1:13">
      <c r="A5678" t="s">
        <v>2257</v>
      </c>
      <c r="B5678" t="s">
        <v>103</v>
      </c>
      <c r="C5678" s="8">
        <v>46161</v>
      </c>
      <c r="D5678" t="s">
        <v>344</v>
      </c>
      <c r="E5678" t="s">
        <v>334</v>
      </c>
      <c r="F5678" s="12">
        <v>209555</v>
      </c>
      <c r="G5678" s="13">
        <v>20</v>
      </c>
      <c r="H5678" t="s">
        <v>2729</v>
      </c>
      <c r="I5678" s="8">
        <v>45974</v>
      </c>
      <c r="J5678" t="s">
        <v>2692</v>
      </c>
      <c r="K5678" t="s">
        <v>2693</v>
      </c>
      <c r="L5678" s="13">
        <v>10000</v>
      </c>
      <c r="M5678" t="s">
        <v>2661</v>
      </c>
    </row>
    <row r="5679" spans="1:13">
      <c r="A5679" t="s">
        <v>2257</v>
      </c>
      <c r="B5679" t="s">
        <v>103</v>
      </c>
      <c r="C5679" s="8">
        <v>46161</v>
      </c>
      <c r="D5679" t="s">
        <v>344</v>
      </c>
      <c r="E5679" t="s">
        <v>334</v>
      </c>
      <c r="F5679" s="12">
        <v>209555</v>
      </c>
      <c r="G5679" s="13">
        <v>20</v>
      </c>
      <c r="H5679" t="s">
        <v>2768</v>
      </c>
      <c r="I5679" s="8">
        <v>46048</v>
      </c>
      <c r="J5679" t="s">
        <v>2682</v>
      </c>
      <c r="K5679" t="s">
        <v>2683</v>
      </c>
      <c r="L5679" s="13">
        <v>6000</v>
      </c>
      <c r="M5679" t="s">
        <v>2661</v>
      </c>
    </row>
    <row r="5680" spans="1:13">
      <c r="A5680" t="s">
        <v>2257</v>
      </c>
      <c r="B5680" t="s">
        <v>103</v>
      </c>
      <c r="C5680" s="8">
        <v>46161</v>
      </c>
      <c r="D5680" t="s">
        <v>344</v>
      </c>
      <c r="E5680" t="s">
        <v>334</v>
      </c>
      <c r="F5680" s="12">
        <v>209555</v>
      </c>
      <c r="G5680" s="13">
        <v>20</v>
      </c>
      <c r="H5680" t="s">
        <v>3094</v>
      </c>
      <c r="I5680" s="8">
        <v>46015</v>
      </c>
      <c r="J5680" t="s">
        <v>2665</v>
      </c>
      <c r="K5680" t="s">
        <v>2666</v>
      </c>
      <c r="L5680" s="13">
        <v>2500</v>
      </c>
      <c r="M5680" t="s">
        <v>2661</v>
      </c>
    </row>
    <row r="5681" spans="1:13">
      <c r="A5681" t="s">
        <v>2257</v>
      </c>
      <c r="B5681" t="s">
        <v>103</v>
      </c>
      <c r="C5681" s="8">
        <v>46161</v>
      </c>
      <c r="D5681" t="s">
        <v>344</v>
      </c>
      <c r="E5681" t="s">
        <v>334</v>
      </c>
      <c r="F5681" s="12">
        <v>209555</v>
      </c>
      <c r="G5681" s="13">
        <v>20</v>
      </c>
      <c r="H5681" t="s">
        <v>3371</v>
      </c>
      <c r="I5681" s="8">
        <v>46261</v>
      </c>
      <c r="J5681" t="s">
        <v>2674</v>
      </c>
      <c r="K5681" t="s">
        <v>2675</v>
      </c>
      <c r="L5681" s="13">
        <v>20000</v>
      </c>
      <c r="M5681" t="s">
        <v>2676</v>
      </c>
    </row>
    <row r="5682" spans="1:13">
      <c r="A5682" t="s">
        <v>2257</v>
      </c>
      <c r="B5682" t="s">
        <v>103</v>
      </c>
      <c r="C5682" s="8">
        <v>46161</v>
      </c>
      <c r="D5682" t="s">
        <v>344</v>
      </c>
      <c r="E5682" t="s">
        <v>334</v>
      </c>
      <c r="F5682" s="12">
        <v>209555</v>
      </c>
      <c r="G5682" s="13">
        <v>20</v>
      </c>
      <c r="H5682" t="s">
        <v>3394</v>
      </c>
      <c r="I5682" s="8">
        <v>46193</v>
      </c>
      <c r="J5682" t="s">
        <v>2659</v>
      </c>
      <c r="K5682" t="s">
        <v>2660</v>
      </c>
      <c r="L5682" s="13">
        <v>3500</v>
      </c>
      <c r="M5682" t="s">
        <v>2676</v>
      </c>
    </row>
    <row r="5683" spans="1:13">
      <c r="A5683" t="s">
        <v>2257</v>
      </c>
      <c r="B5683" t="s">
        <v>103</v>
      </c>
      <c r="C5683" s="8">
        <v>46161</v>
      </c>
      <c r="D5683" t="s">
        <v>344</v>
      </c>
      <c r="E5683" t="s">
        <v>334</v>
      </c>
      <c r="F5683" s="12">
        <v>209555</v>
      </c>
      <c r="G5683" s="13">
        <v>20</v>
      </c>
      <c r="H5683" t="s">
        <v>3445</v>
      </c>
      <c r="I5683" s="8">
        <v>46231</v>
      </c>
      <c r="J5683" t="s">
        <v>2688</v>
      </c>
      <c r="K5683" t="s">
        <v>2689</v>
      </c>
      <c r="L5683" s="13">
        <v>8000</v>
      </c>
      <c r="M5683" t="s">
        <v>2661</v>
      </c>
    </row>
    <row r="5684" spans="1:13">
      <c r="A5684" t="s">
        <v>2257</v>
      </c>
      <c r="B5684" t="s">
        <v>103</v>
      </c>
      <c r="C5684" s="8">
        <v>46161</v>
      </c>
      <c r="D5684" t="s">
        <v>344</v>
      </c>
      <c r="E5684" t="s">
        <v>334</v>
      </c>
      <c r="F5684" s="12">
        <v>209555</v>
      </c>
      <c r="G5684" s="13">
        <v>20</v>
      </c>
      <c r="H5684" t="s">
        <v>3522</v>
      </c>
      <c r="I5684" s="8">
        <v>45989</v>
      </c>
      <c r="J5684" t="s">
        <v>2665</v>
      </c>
      <c r="K5684" t="s">
        <v>2666</v>
      </c>
      <c r="L5684" s="13">
        <v>2500</v>
      </c>
      <c r="M5684" t="s">
        <v>2661</v>
      </c>
    </row>
    <row r="5685" spans="1:13">
      <c r="A5685" t="s">
        <v>2257</v>
      </c>
      <c r="B5685" t="s">
        <v>103</v>
      </c>
      <c r="C5685" s="8">
        <v>46161</v>
      </c>
      <c r="D5685" t="s">
        <v>344</v>
      </c>
      <c r="E5685" t="s">
        <v>334</v>
      </c>
      <c r="F5685" s="12">
        <v>209555</v>
      </c>
      <c r="G5685" s="13">
        <v>20</v>
      </c>
      <c r="H5685" t="s">
        <v>3539</v>
      </c>
      <c r="I5685" s="8">
        <v>46041</v>
      </c>
      <c r="J5685" t="s">
        <v>2682</v>
      </c>
      <c r="K5685" t="s">
        <v>2683</v>
      </c>
      <c r="L5685" s="13">
        <v>6000</v>
      </c>
      <c r="M5685" t="s">
        <v>2661</v>
      </c>
    </row>
    <row r="5686" spans="1:13">
      <c r="A5686" t="s">
        <v>2258</v>
      </c>
      <c r="B5686" t="s">
        <v>128</v>
      </c>
      <c r="C5686" s="8">
        <v>46088</v>
      </c>
      <c r="D5686" t="s">
        <v>324</v>
      </c>
      <c r="E5686" t="s">
        <v>328</v>
      </c>
      <c r="F5686" s="12">
        <v>231390</v>
      </c>
      <c r="G5686" s="13">
        <v>23</v>
      </c>
      <c r="H5686" t="s">
        <v>2897</v>
      </c>
      <c r="I5686" s="8">
        <v>46253</v>
      </c>
      <c r="J5686" t="s">
        <v>2682</v>
      </c>
      <c r="K5686" t="s">
        <v>2683</v>
      </c>
      <c r="L5686" s="13">
        <v>6000</v>
      </c>
      <c r="M5686" t="s">
        <v>2661</v>
      </c>
    </row>
    <row r="5687" spans="1:13">
      <c r="A5687" t="s">
        <v>2258</v>
      </c>
      <c r="B5687" t="s">
        <v>128</v>
      </c>
      <c r="C5687" s="8">
        <v>46088</v>
      </c>
      <c r="D5687" t="s">
        <v>324</v>
      </c>
      <c r="E5687" t="s">
        <v>328</v>
      </c>
      <c r="F5687" s="12">
        <v>231390</v>
      </c>
      <c r="G5687" s="13">
        <v>23</v>
      </c>
      <c r="H5687" t="s">
        <v>2966</v>
      </c>
      <c r="I5687" s="8">
        <v>45993</v>
      </c>
      <c r="J5687" t="s">
        <v>2663</v>
      </c>
      <c r="K5687" t="s">
        <v>3630</v>
      </c>
      <c r="L5687" s="13">
        <v>1500</v>
      </c>
      <c r="M5687" t="s">
        <v>2661</v>
      </c>
    </row>
    <row r="5688" spans="1:13">
      <c r="A5688" t="s">
        <v>2258</v>
      </c>
      <c r="B5688" t="s">
        <v>128</v>
      </c>
      <c r="C5688" s="8">
        <v>46088</v>
      </c>
      <c r="D5688" t="s">
        <v>324</v>
      </c>
      <c r="E5688" t="s">
        <v>328</v>
      </c>
      <c r="F5688" s="12">
        <v>231390</v>
      </c>
      <c r="G5688" s="13">
        <v>23</v>
      </c>
      <c r="H5688" t="s">
        <v>3407</v>
      </c>
      <c r="I5688" s="8">
        <v>46260</v>
      </c>
      <c r="J5688" t="s">
        <v>2668</v>
      </c>
      <c r="K5688" t="s">
        <v>2669</v>
      </c>
      <c r="L5688" s="13">
        <v>4000</v>
      </c>
      <c r="M5688" t="s">
        <v>2661</v>
      </c>
    </row>
    <row r="5689" spans="1:13">
      <c r="A5689" t="s">
        <v>2259</v>
      </c>
      <c r="B5689" t="s">
        <v>183</v>
      </c>
      <c r="C5689" s="8">
        <v>46224</v>
      </c>
      <c r="D5689" t="s">
        <v>350</v>
      </c>
      <c r="E5689" t="s">
        <v>328</v>
      </c>
      <c r="F5689" s="12">
        <v>100573</v>
      </c>
      <c r="G5689" s="13">
        <v>10</v>
      </c>
      <c r="H5689" t="s">
        <v>2955</v>
      </c>
      <c r="I5689" s="8">
        <v>45983</v>
      </c>
      <c r="J5689" t="s">
        <v>2671</v>
      </c>
      <c r="K5689" t="s">
        <v>2672</v>
      </c>
      <c r="L5689" s="13">
        <v>3000</v>
      </c>
      <c r="M5689" t="s">
        <v>2676</v>
      </c>
    </row>
    <row r="5690" spans="1:13">
      <c r="A5690" t="s">
        <v>2260</v>
      </c>
      <c r="B5690" t="s">
        <v>117</v>
      </c>
      <c r="C5690" s="8">
        <v>46007</v>
      </c>
      <c r="D5690" t="s">
        <v>350</v>
      </c>
      <c r="E5690" t="s">
        <v>322</v>
      </c>
      <c r="F5690" s="12">
        <v>341328</v>
      </c>
      <c r="G5690" s="13">
        <v>34</v>
      </c>
      <c r="H5690" t="s">
        <v>2952</v>
      </c>
      <c r="I5690" s="8">
        <v>46155</v>
      </c>
      <c r="J5690" t="s">
        <v>2674</v>
      </c>
      <c r="K5690" t="s">
        <v>2675</v>
      </c>
      <c r="L5690" s="13">
        <v>20000</v>
      </c>
      <c r="M5690" t="s">
        <v>2661</v>
      </c>
    </row>
    <row r="5691" spans="1:13">
      <c r="A5691" t="s">
        <v>2260</v>
      </c>
      <c r="B5691" t="s">
        <v>117</v>
      </c>
      <c r="C5691" s="8">
        <v>46007</v>
      </c>
      <c r="D5691" t="s">
        <v>350</v>
      </c>
      <c r="E5691" t="s">
        <v>322</v>
      </c>
      <c r="F5691" s="12">
        <v>341328</v>
      </c>
      <c r="G5691" s="13">
        <v>34</v>
      </c>
      <c r="H5691" t="s">
        <v>3244</v>
      </c>
      <c r="I5691" s="8">
        <v>45969</v>
      </c>
      <c r="J5691" t="s">
        <v>2663</v>
      </c>
      <c r="K5691" t="s">
        <v>3630</v>
      </c>
      <c r="L5691" s="13">
        <v>1500</v>
      </c>
      <c r="M5691" t="s">
        <v>2661</v>
      </c>
    </row>
    <row r="5692" spans="1:13">
      <c r="A5692" t="s">
        <v>2261</v>
      </c>
      <c r="B5692" t="s">
        <v>62</v>
      </c>
      <c r="C5692" s="8">
        <v>45952</v>
      </c>
      <c r="D5692" t="s">
        <v>344</v>
      </c>
      <c r="E5692" t="s">
        <v>322</v>
      </c>
      <c r="F5692" s="12">
        <v>177139</v>
      </c>
      <c r="G5692" s="13">
        <v>17</v>
      </c>
      <c r="H5692" t="s">
        <v>2679</v>
      </c>
      <c r="I5692" s="8">
        <v>46195</v>
      </c>
      <c r="J5692" t="s">
        <v>2674</v>
      </c>
      <c r="K5692" t="s">
        <v>2675</v>
      </c>
      <c r="L5692" s="13">
        <v>20000</v>
      </c>
      <c r="M5692" t="s">
        <v>2661</v>
      </c>
    </row>
    <row r="5693" spans="1:13">
      <c r="A5693" t="s">
        <v>2261</v>
      </c>
      <c r="B5693" t="s">
        <v>62</v>
      </c>
      <c r="C5693" s="8">
        <v>45952</v>
      </c>
      <c r="D5693" t="s">
        <v>344</v>
      </c>
      <c r="E5693" t="s">
        <v>322</v>
      </c>
      <c r="F5693" s="12">
        <v>177139</v>
      </c>
      <c r="G5693" s="13">
        <v>17</v>
      </c>
      <c r="H5693" t="s">
        <v>2793</v>
      </c>
      <c r="I5693" s="8">
        <v>46233</v>
      </c>
      <c r="J5693" t="s">
        <v>2663</v>
      </c>
      <c r="K5693" t="s">
        <v>3630</v>
      </c>
      <c r="L5693" s="13">
        <v>1500</v>
      </c>
      <c r="M5693" t="s">
        <v>2661</v>
      </c>
    </row>
    <row r="5694" spans="1:13">
      <c r="A5694" t="s">
        <v>2261</v>
      </c>
      <c r="B5694" t="s">
        <v>62</v>
      </c>
      <c r="C5694" s="8">
        <v>45952</v>
      </c>
      <c r="D5694" t="s">
        <v>344</v>
      </c>
      <c r="E5694" t="s">
        <v>322</v>
      </c>
      <c r="F5694" s="12">
        <v>177139</v>
      </c>
      <c r="G5694" s="13">
        <v>17</v>
      </c>
      <c r="H5694" t="s">
        <v>2794</v>
      </c>
      <c r="I5694" s="8">
        <v>46096</v>
      </c>
      <c r="J5694" t="s">
        <v>2659</v>
      </c>
      <c r="K5694" t="s">
        <v>2660</v>
      </c>
      <c r="L5694" s="13">
        <v>3500</v>
      </c>
      <c r="M5694" t="s">
        <v>2661</v>
      </c>
    </row>
    <row r="5695" spans="1:13">
      <c r="A5695" t="s">
        <v>2261</v>
      </c>
      <c r="B5695" t="s">
        <v>62</v>
      </c>
      <c r="C5695" s="8">
        <v>45952</v>
      </c>
      <c r="D5695" t="s">
        <v>344</v>
      </c>
      <c r="E5695" t="s">
        <v>322</v>
      </c>
      <c r="F5695" s="12">
        <v>177139</v>
      </c>
      <c r="G5695" s="13">
        <v>17</v>
      </c>
      <c r="H5695" t="s">
        <v>2804</v>
      </c>
      <c r="I5695" s="8">
        <v>46260</v>
      </c>
      <c r="J5695" t="s">
        <v>2659</v>
      </c>
      <c r="K5695" t="s">
        <v>2660</v>
      </c>
      <c r="L5695" s="13">
        <v>3500</v>
      </c>
      <c r="M5695" t="s">
        <v>2661</v>
      </c>
    </row>
    <row r="5696" spans="1:13">
      <c r="A5696" t="s">
        <v>2261</v>
      </c>
      <c r="B5696" t="s">
        <v>62</v>
      </c>
      <c r="C5696" s="8">
        <v>45952</v>
      </c>
      <c r="D5696" t="s">
        <v>344</v>
      </c>
      <c r="E5696" t="s">
        <v>322</v>
      </c>
      <c r="F5696" s="12">
        <v>177139</v>
      </c>
      <c r="G5696" s="13">
        <v>17</v>
      </c>
      <c r="H5696" t="s">
        <v>2885</v>
      </c>
      <c r="I5696" s="8">
        <v>46085</v>
      </c>
      <c r="J5696" t="s">
        <v>2692</v>
      </c>
      <c r="K5696" t="s">
        <v>2693</v>
      </c>
      <c r="L5696" s="13">
        <v>10000</v>
      </c>
      <c r="M5696" t="s">
        <v>2661</v>
      </c>
    </row>
    <row r="5697" spans="1:13">
      <c r="A5697" t="s">
        <v>2261</v>
      </c>
      <c r="B5697" t="s">
        <v>62</v>
      </c>
      <c r="C5697" s="8">
        <v>45952</v>
      </c>
      <c r="D5697" t="s">
        <v>344</v>
      </c>
      <c r="E5697" t="s">
        <v>322</v>
      </c>
      <c r="F5697" s="12">
        <v>177139</v>
      </c>
      <c r="G5697" s="13">
        <v>17</v>
      </c>
      <c r="H5697" t="s">
        <v>3000</v>
      </c>
      <c r="I5697" s="8">
        <v>46247</v>
      </c>
      <c r="J5697" t="s">
        <v>2692</v>
      </c>
      <c r="K5697" t="s">
        <v>2693</v>
      </c>
      <c r="L5697" s="13">
        <v>10000</v>
      </c>
      <c r="M5697" t="s">
        <v>2661</v>
      </c>
    </row>
    <row r="5698" spans="1:13">
      <c r="A5698" t="s">
        <v>2261</v>
      </c>
      <c r="B5698" t="s">
        <v>62</v>
      </c>
      <c r="C5698" s="8">
        <v>45952</v>
      </c>
      <c r="D5698" t="s">
        <v>344</v>
      </c>
      <c r="E5698" t="s">
        <v>322</v>
      </c>
      <c r="F5698" s="12">
        <v>177139</v>
      </c>
      <c r="G5698" s="13">
        <v>17</v>
      </c>
      <c r="H5698" t="s">
        <v>3197</v>
      </c>
      <c r="I5698" s="8">
        <v>46129</v>
      </c>
      <c r="J5698" t="s">
        <v>2671</v>
      </c>
      <c r="K5698" t="s">
        <v>2672</v>
      </c>
      <c r="L5698" s="13">
        <v>3000</v>
      </c>
      <c r="M5698" t="s">
        <v>2661</v>
      </c>
    </row>
    <row r="5699" spans="1:13">
      <c r="A5699" t="s">
        <v>2262</v>
      </c>
      <c r="B5699" t="s">
        <v>31</v>
      </c>
      <c r="C5699" s="8">
        <v>45989</v>
      </c>
      <c r="D5699" t="s">
        <v>327</v>
      </c>
      <c r="E5699" t="s">
        <v>325</v>
      </c>
      <c r="F5699" s="12">
        <v>65196</v>
      </c>
      <c r="G5699" s="13">
        <v>6</v>
      </c>
      <c r="H5699" t="s">
        <v>2920</v>
      </c>
      <c r="I5699" s="8">
        <v>46231</v>
      </c>
      <c r="J5699" t="s">
        <v>2674</v>
      </c>
      <c r="K5699" t="s">
        <v>2675</v>
      </c>
      <c r="L5699" s="13">
        <v>20000</v>
      </c>
      <c r="M5699" t="s">
        <v>2661</v>
      </c>
    </row>
    <row r="5700" spans="1:13">
      <c r="A5700" t="s">
        <v>2262</v>
      </c>
      <c r="B5700" t="s">
        <v>31</v>
      </c>
      <c r="C5700" s="8">
        <v>45989</v>
      </c>
      <c r="D5700" t="s">
        <v>327</v>
      </c>
      <c r="E5700" t="s">
        <v>325</v>
      </c>
      <c r="F5700" s="12">
        <v>65196</v>
      </c>
      <c r="G5700" s="13">
        <v>6</v>
      </c>
      <c r="H5700" t="s">
        <v>3164</v>
      </c>
      <c r="I5700" s="8">
        <v>46110</v>
      </c>
      <c r="J5700" t="s">
        <v>2685</v>
      </c>
      <c r="K5700" t="s">
        <v>2686</v>
      </c>
      <c r="L5700" s="13">
        <v>5000</v>
      </c>
      <c r="M5700" t="s">
        <v>2661</v>
      </c>
    </row>
    <row r="5701" spans="1:13">
      <c r="A5701" t="s">
        <v>2263</v>
      </c>
      <c r="B5701" t="s">
        <v>201</v>
      </c>
      <c r="C5701" s="8">
        <v>45971</v>
      </c>
      <c r="D5701" t="s">
        <v>350</v>
      </c>
      <c r="E5701" t="s">
        <v>334</v>
      </c>
      <c r="F5701" s="12">
        <v>101616</v>
      </c>
      <c r="G5701" s="13">
        <v>10</v>
      </c>
      <c r="H5701" t="s">
        <v>2997</v>
      </c>
      <c r="I5701" s="8">
        <v>46289</v>
      </c>
      <c r="J5701" t="s">
        <v>2659</v>
      </c>
      <c r="K5701" t="s">
        <v>2660</v>
      </c>
      <c r="L5701" s="13">
        <v>3500</v>
      </c>
      <c r="M5701" t="s">
        <v>2661</v>
      </c>
    </row>
    <row r="5702" spans="1:13">
      <c r="A5702" t="s">
        <v>2263</v>
      </c>
      <c r="B5702" t="s">
        <v>201</v>
      </c>
      <c r="C5702" s="8">
        <v>45971</v>
      </c>
      <c r="D5702" t="s">
        <v>350</v>
      </c>
      <c r="E5702" t="s">
        <v>334</v>
      </c>
      <c r="F5702" s="12">
        <v>101616</v>
      </c>
      <c r="G5702" s="13">
        <v>10</v>
      </c>
      <c r="H5702" t="s">
        <v>3023</v>
      </c>
      <c r="I5702" s="8">
        <v>46224</v>
      </c>
      <c r="J5702" t="s">
        <v>2668</v>
      </c>
      <c r="K5702" t="s">
        <v>2669</v>
      </c>
      <c r="L5702" s="13">
        <v>4000</v>
      </c>
      <c r="M5702" t="s">
        <v>2661</v>
      </c>
    </row>
    <row r="5703" spans="1:13">
      <c r="A5703" t="s">
        <v>2263</v>
      </c>
      <c r="B5703" t="s">
        <v>201</v>
      </c>
      <c r="C5703" s="8">
        <v>45971</v>
      </c>
      <c r="D5703" t="s">
        <v>350</v>
      </c>
      <c r="E5703" t="s">
        <v>334</v>
      </c>
      <c r="F5703" s="12">
        <v>101616</v>
      </c>
      <c r="G5703" s="13">
        <v>10</v>
      </c>
      <c r="H5703" t="s">
        <v>3232</v>
      </c>
      <c r="I5703" s="8">
        <v>45993</v>
      </c>
      <c r="J5703" t="s">
        <v>2688</v>
      </c>
      <c r="K5703" t="s">
        <v>2689</v>
      </c>
      <c r="L5703" s="13">
        <v>8000</v>
      </c>
      <c r="M5703" t="s">
        <v>2676</v>
      </c>
    </row>
    <row r="5704" spans="1:13">
      <c r="A5704" t="s">
        <v>2264</v>
      </c>
      <c r="B5704" t="s">
        <v>117</v>
      </c>
      <c r="C5704" s="8">
        <v>46094</v>
      </c>
      <c r="D5704" t="s">
        <v>324</v>
      </c>
      <c r="E5704" t="s">
        <v>322</v>
      </c>
      <c r="F5704" s="12">
        <v>95542</v>
      </c>
      <c r="G5704" s="13">
        <v>9</v>
      </c>
      <c r="H5704" t="s">
        <v>2952</v>
      </c>
      <c r="I5704" s="8">
        <v>46155</v>
      </c>
      <c r="J5704" t="s">
        <v>2674</v>
      </c>
      <c r="K5704" t="s">
        <v>2675</v>
      </c>
      <c r="L5704" s="13">
        <v>20000</v>
      </c>
      <c r="M5704" t="s">
        <v>2661</v>
      </c>
    </row>
    <row r="5705" spans="1:13">
      <c r="A5705" t="s">
        <v>2264</v>
      </c>
      <c r="B5705" t="s">
        <v>117</v>
      </c>
      <c r="C5705" s="8">
        <v>46094</v>
      </c>
      <c r="D5705" t="s">
        <v>324</v>
      </c>
      <c r="E5705" t="s">
        <v>322</v>
      </c>
      <c r="F5705" s="12">
        <v>95542</v>
      </c>
      <c r="G5705" s="13">
        <v>9</v>
      </c>
      <c r="H5705" t="s">
        <v>3244</v>
      </c>
      <c r="I5705" s="8">
        <v>45969</v>
      </c>
      <c r="J5705" t="s">
        <v>2663</v>
      </c>
      <c r="K5705" t="s">
        <v>3630</v>
      </c>
      <c r="L5705" s="13">
        <v>1500</v>
      </c>
      <c r="M5705" t="s">
        <v>2661</v>
      </c>
    </row>
    <row r="5706" spans="1:13">
      <c r="A5706" t="s">
        <v>2265</v>
      </c>
      <c r="B5706" t="s">
        <v>84</v>
      </c>
      <c r="C5706" s="8">
        <v>46046</v>
      </c>
      <c r="D5706" t="s">
        <v>324</v>
      </c>
      <c r="E5706" t="s">
        <v>337</v>
      </c>
      <c r="F5706" s="12">
        <v>531008</v>
      </c>
      <c r="G5706" s="13">
        <v>53</v>
      </c>
      <c r="H5706" t="s">
        <v>2962</v>
      </c>
      <c r="I5706" s="8">
        <v>46190</v>
      </c>
      <c r="J5706" t="s">
        <v>2671</v>
      </c>
      <c r="K5706" t="s">
        <v>2672</v>
      </c>
      <c r="L5706" s="13">
        <v>3000</v>
      </c>
      <c r="M5706" t="s">
        <v>2661</v>
      </c>
    </row>
    <row r="5707" spans="1:13">
      <c r="A5707" t="s">
        <v>2265</v>
      </c>
      <c r="B5707" t="s">
        <v>84</v>
      </c>
      <c r="C5707" s="8">
        <v>46046</v>
      </c>
      <c r="D5707" t="s">
        <v>324</v>
      </c>
      <c r="E5707" t="s">
        <v>337</v>
      </c>
      <c r="F5707" s="12">
        <v>531008</v>
      </c>
      <c r="G5707" s="13">
        <v>53</v>
      </c>
      <c r="H5707" t="s">
        <v>3204</v>
      </c>
      <c r="I5707" s="8">
        <v>46029</v>
      </c>
      <c r="J5707" t="s">
        <v>2671</v>
      </c>
      <c r="K5707" t="s">
        <v>2672</v>
      </c>
      <c r="L5707" s="13">
        <v>3000</v>
      </c>
      <c r="M5707" t="s">
        <v>2661</v>
      </c>
    </row>
    <row r="5708" spans="1:13">
      <c r="A5708" t="s">
        <v>2265</v>
      </c>
      <c r="B5708" t="s">
        <v>84</v>
      </c>
      <c r="C5708" s="8">
        <v>46046</v>
      </c>
      <c r="D5708" t="s">
        <v>324</v>
      </c>
      <c r="E5708" t="s">
        <v>337</v>
      </c>
      <c r="F5708" s="12">
        <v>531008</v>
      </c>
      <c r="G5708" s="13">
        <v>53</v>
      </c>
      <c r="H5708" t="s">
        <v>3273</v>
      </c>
      <c r="I5708" s="8">
        <v>46050</v>
      </c>
      <c r="J5708" t="s">
        <v>2668</v>
      </c>
      <c r="K5708" t="s">
        <v>2669</v>
      </c>
      <c r="L5708" s="13">
        <v>4000</v>
      </c>
      <c r="M5708" t="s">
        <v>2676</v>
      </c>
    </row>
    <row r="5709" spans="1:13">
      <c r="A5709" t="s">
        <v>2265</v>
      </c>
      <c r="B5709" t="s">
        <v>84</v>
      </c>
      <c r="C5709" s="8">
        <v>46046</v>
      </c>
      <c r="D5709" t="s">
        <v>324</v>
      </c>
      <c r="E5709" t="s">
        <v>337</v>
      </c>
      <c r="F5709" s="12">
        <v>531008</v>
      </c>
      <c r="G5709" s="13">
        <v>53</v>
      </c>
      <c r="H5709" t="s">
        <v>3305</v>
      </c>
      <c r="I5709" s="8">
        <v>45960</v>
      </c>
      <c r="J5709" t="s">
        <v>2682</v>
      </c>
      <c r="K5709" t="s">
        <v>2683</v>
      </c>
      <c r="L5709" s="13">
        <v>6000</v>
      </c>
      <c r="M5709" t="s">
        <v>2661</v>
      </c>
    </row>
    <row r="5710" spans="1:13">
      <c r="A5710" t="s">
        <v>2266</v>
      </c>
      <c r="B5710" t="s">
        <v>255</v>
      </c>
      <c r="C5710" s="8">
        <v>46112</v>
      </c>
      <c r="D5710" t="s">
        <v>330</v>
      </c>
      <c r="E5710" t="s">
        <v>328</v>
      </c>
      <c r="F5710" s="12">
        <v>95151</v>
      </c>
      <c r="G5710" s="13">
        <v>9</v>
      </c>
      <c r="H5710" t="s">
        <v>2956</v>
      </c>
      <c r="I5710" s="8">
        <v>45952</v>
      </c>
      <c r="J5710" t="s">
        <v>2674</v>
      </c>
      <c r="K5710" t="s">
        <v>2675</v>
      </c>
      <c r="L5710" s="13">
        <v>20000</v>
      </c>
      <c r="M5710" t="s">
        <v>2676</v>
      </c>
    </row>
    <row r="5711" spans="1:13">
      <c r="A5711" t="s">
        <v>2266</v>
      </c>
      <c r="B5711" t="s">
        <v>255</v>
      </c>
      <c r="C5711" s="8">
        <v>46112</v>
      </c>
      <c r="D5711" t="s">
        <v>330</v>
      </c>
      <c r="E5711" t="s">
        <v>328</v>
      </c>
      <c r="F5711" s="12">
        <v>95151</v>
      </c>
      <c r="G5711" s="13">
        <v>9</v>
      </c>
      <c r="H5711" t="s">
        <v>3223</v>
      </c>
      <c r="I5711" s="8">
        <v>46198</v>
      </c>
      <c r="J5711" t="s">
        <v>2665</v>
      </c>
      <c r="K5711" t="s">
        <v>2666</v>
      </c>
      <c r="L5711" s="13">
        <v>2500</v>
      </c>
      <c r="M5711" t="s">
        <v>2661</v>
      </c>
    </row>
    <row r="5712" spans="1:13">
      <c r="A5712" t="s">
        <v>2266</v>
      </c>
      <c r="B5712" t="s">
        <v>255</v>
      </c>
      <c r="C5712" s="8">
        <v>46112</v>
      </c>
      <c r="D5712" t="s">
        <v>330</v>
      </c>
      <c r="E5712" t="s">
        <v>328</v>
      </c>
      <c r="F5712" s="12">
        <v>95151</v>
      </c>
      <c r="G5712" s="13">
        <v>9</v>
      </c>
      <c r="H5712" t="s">
        <v>3323</v>
      </c>
      <c r="I5712" s="8">
        <v>46169</v>
      </c>
      <c r="J5712" t="s">
        <v>2682</v>
      </c>
      <c r="K5712" t="s">
        <v>2683</v>
      </c>
      <c r="L5712" s="13">
        <v>6000</v>
      </c>
      <c r="M5712" t="s">
        <v>2676</v>
      </c>
    </row>
    <row r="5713" spans="1:13">
      <c r="A5713" t="s">
        <v>2267</v>
      </c>
      <c r="B5713" t="s">
        <v>244</v>
      </c>
      <c r="C5713" s="8">
        <v>46278</v>
      </c>
      <c r="D5713" t="s">
        <v>327</v>
      </c>
      <c r="E5713" t="s">
        <v>339</v>
      </c>
      <c r="F5713" s="12">
        <v>456728</v>
      </c>
      <c r="G5713" s="13">
        <v>45</v>
      </c>
      <c r="H5713" t="s">
        <v>2778</v>
      </c>
      <c r="I5713" s="8">
        <v>45994</v>
      </c>
      <c r="J5713" t="s">
        <v>2692</v>
      </c>
      <c r="K5713" t="s">
        <v>2693</v>
      </c>
      <c r="L5713" s="13">
        <v>10000</v>
      </c>
      <c r="M5713" t="s">
        <v>2661</v>
      </c>
    </row>
    <row r="5714" spans="1:13">
      <c r="A5714" t="s">
        <v>2267</v>
      </c>
      <c r="B5714" t="s">
        <v>244</v>
      </c>
      <c r="C5714" s="8">
        <v>46278</v>
      </c>
      <c r="D5714" t="s">
        <v>327</v>
      </c>
      <c r="E5714" t="s">
        <v>339</v>
      </c>
      <c r="F5714" s="12">
        <v>456728</v>
      </c>
      <c r="G5714" s="13">
        <v>45</v>
      </c>
      <c r="H5714" t="s">
        <v>2916</v>
      </c>
      <c r="I5714" s="8">
        <v>46078</v>
      </c>
      <c r="J5714" t="s">
        <v>2668</v>
      </c>
      <c r="K5714" t="s">
        <v>2669</v>
      </c>
      <c r="L5714" s="13">
        <v>4000</v>
      </c>
      <c r="M5714" t="s">
        <v>2661</v>
      </c>
    </row>
    <row r="5715" spans="1:13">
      <c r="A5715" t="s">
        <v>2268</v>
      </c>
      <c r="B5715" t="s">
        <v>263</v>
      </c>
      <c r="C5715" s="8">
        <v>46221</v>
      </c>
      <c r="D5715" t="s">
        <v>327</v>
      </c>
      <c r="E5715" t="s">
        <v>334</v>
      </c>
      <c r="F5715" s="12">
        <v>283977</v>
      </c>
      <c r="G5715" s="13">
        <v>28</v>
      </c>
      <c r="H5715" t="s">
        <v>2702</v>
      </c>
      <c r="I5715" s="8">
        <v>45976</v>
      </c>
      <c r="J5715" t="s">
        <v>2685</v>
      </c>
      <c r="K5715" t="s">
        <v>2686</v>
      </c>
      <c r="L5715" s="13">
        <v>5000</v>
      </c>
      <c r="M5715" t="s">
        <v>2661</v>
      </c>
    </row>
    <row r="5716" spans="1:13">
      <c r="A5716" t="s">
        <v>2268</v>
      </c>
      <c r="B5716" t="s">
        <v>263</v>
      </c>
      <c r="C5716" s="8">
        <v>46221</v>
      </c>
      <c r="D5716" t="s">
        <v>327</v>
      </c>
      <c r="E5716" t="s">
        <v>334</v>
      </c>
      <c r="F5716" s="12">
        <v>283977</v>
      </c>
      <c r="G5716" s="13">
        <v>28</v>
      </c>
      <c r="H5716" t="s">
        <v>2901</v>
      </c>
      <c r="I5716" s="8">
        <v>45949</v>
      </c>
      <c r="J5716" t="s">
        <v>2674</v>
      </c>
      <c r="K5716" t="s">
        <v>2675</v>
      </c>
      <c r="L5716" s="13">
        <v>20000</v>
      </c>
      <c r="M5716" t="s">
        <v>2661</v>
      </c>
    </row>
    <row r="5717" spans="1:13">
      <c r="A5717" t="s">
        <v>2268</v>
      </c>
      <c r="B5717" t="s">
        <v>263</v>
      </c>
      <c r="C5717" s="8">
        <v>46221</v>
      </c>
      <c r="D5717" t="s">
        <v>327</v>
      </c>
      <c r="E5717" t="s">
        <v>334</v>
      </c>
      <c r="F5717" s="12">
        <v>283977</v>
      </c>
      <c r="G5717" s="13">
        <v>28</v>
      </c>
      <c r="H5717" t="s">
        <v>3104</v>
      </c>
      <c r="I5717" s="8">
        <v>45992</v>
      </c>
      <c r="J5717" t="s">
        <v>2663</v>
      </c>
      <c r="K5717" t="s">
        <v>3630</v>
      </c>
      <c r="L5717" s="13">
        <v>1500</v>
      </c>
      <c r="M5717" t="s">
        <v>2676</v>
      </c>
    </row>
    <row r="5718" spans="1:13">
      <c r="A5718" t="s">
        <v>2268</v>
      </c>
      <c r="B5718" t="s">
        <v>263</v>
      </c>
      <c r="C5718" s="8">
        <v>46221</v>
      </c>
      <c r="D5718" t="s">
        <v>327</v>
      </c>
      <c r="E5718" t="s">
        <v>334</v>
      </c>
      <c r="F5718" s="12">
        <v>283977</v>
      </c>
      <c r="G5718" s="13">
        <v>28</v>
      </c>
      <c r="H5718" t="s">
        <v>3195</v>
      </c>
      <c r="I5718" s="8">
        <v>46111</v>
      </c>
      <c r="J5718" t="s">
        <v>2663</v>
      </c>
      <c r="K5718" t="s">
        <v>3630</v>
      </c>
      <c r="L5718" s="13">
        <v>1500</v>
      </c>
      <c r="M5718" t="s">
        <v>2661</v>
      </c>
    </row>
    <row r="5719" spans="1:13">
      <c r="A5719" t="s">
        <v>2268</v>
      </c>
      <c r="B5719" t="s">
        <v>263</v>
      </c>
      <c r="C5719" s="8">
        <v>46221</v>
      </c>
      <c r="D5719" t="s">
        <v>327</v>
      </c>
      <c r="E5719" t="s">
        <v>334</v>
      </c>
      <c r="F5719" s="12">
        <v>283977</v>
      </c>
      <c r="G5719" s="13">
        <v>28</v>
      </c>
      <c r="H5719" t="s">
        <v>3312</v>
      </c>
      <c r="I5719" s="8">
        <v>46286</v>
      </c>
      <c r="J5719" t="s">
        <v>2665</v>
      </c>
      <c r="K5719" t="s">
        <v>2666</v>
      </c>
      <c r="L5719" s="13">
        <v>2500</v>
      </c>
      <c r="M5719" t="s">
        <v>2661</v>
      </c>
    </row>
    <row r="5720" spans="1:13">
      <c r="A5720" t="s">
        <v>2269</v>
      </c>
      <c r="B5720" t="s">
        <v>109</v>
      </c>
      <c r="C5720" s="8">
        <v>46050</v>
      </c>
      <c r="D5720" t="s">
        <v>332</v>
      </c>
      <c r="E5720" t="s">
        <v>337</v>
      </c>
      <c r="F5720" s="12">
        <v>821335</v>
      </c>
      <c r="G5720" s="13">
        <v>82</v>
      </c>
      <c r="H5720" t="s">
        <v>2848</v>
      </c>
      <c r="I5720" s="8">
        <v>46269</v>
      </c>
      <c r="J5720" t="s">
        <v>2659</v>
      </c>
      <c r="K5720" t="s">
        <v>2660</v>
      </c>
      <c r="L5720" s="13">
        <v>3500</v>
      </c>
      <c r="M5720" t="s">
        <v>2676</v>
      </c>
    </row>
    <row r="5721" spans="1:13">
      <c r="A5721" t="s">
        <v>2269</v>
      </c>
      <c r="B5721" t="s">
        <v>109</v>
      </c>
      <c r="C5721" s="8">
        <v>46050</v>
      </c>
      <c r="D5721" t="s">
        <v>332</v>
      </c>
      <c r="E5721" t="s">
        <v>337</v>
      </c>
      <c r="F5721" s="12">
        <v>821335</v>
      </c>
      <c r="G5721" s="13">
        <v>82</v>
      </c>
      <c r="H5721" t="s">
        <v>3196</v>
      </c>
      <c r="I5721" s="8">
        <v>46238</v>
      </c>
      <c r="J5721" t="s">
        <v>2674</v>
      </c>
      <c r="K5721" t="s">
        <v>2675</v>
      </c>
      <c r="L5721" s="13">
        <v>20000</v>
      </c>
      <c r="M5721" t="s">
        <v>2661</v>
      </c>
    </row>
    <row r="5722" spans="1:13">
      <c r="A5722" t="s">
        <v>2270</v>
      </c>
      <c r="B5722" t="s">
        <v>67</v>
      </c>
      <c r="C5722" s="8">
        <v>46194</v>
      </c>
      <c r="D5722" t="s">
        <v>350</v>
      </c>
      <c r="E5722" t="s">
        <v>334</v>
      </c>
      <c r="F5722" s="12">
        <v>397838</v>
      </c>
      <c r="G5722" s="13">
        <v>39</v>
      </c>
      <c r="H5722" t="s">
        <v>3272</v>
      </c>
      <c r="I5722" s="8">
        <v>46247</v>
      </c>
      <c r="J5722" t="s">
        <v>2665</v>
      </c>
      <c r="K5722" t="s">
        <v>2666</v>
      </c>
      <c r="L5722" s="13">
        <v>2500</v>
      </c>
      <c r="M5722" t="s">
        <v>2661</v>
      </c>
    </row>
    <row r="5723" spans="1:13">
      <c r="A5723" t="s">
        <v>2271</v>
      </c>
      <c r="B5723" t="s">
        <v>294</v>
      </c>
      <c r="C5723" s="8">
        <v>46183</v>
      </c>
      <c r="D5723" t="s">
        <v>342</v>
      </c>
      <c r="E5723" t="s">
        <v>325</v>
      </c>
      <c r="F5723" s="12">
        <v>25000</v>
      </c>
      <c r="G5723" s="13">
        <v>2</v>
      </c>
      <c r="H5723" t="s">
        <v>3571</v>
      </c>
      <c r="I5723" s="8">
        <v>45937</v>
      </c>
      <c r="J5723" t="s">
        <v>2663</v>
      </c>
      <c r="K5723" t="s">
        <v>3630</v>
      </c>
      <c r="L5723" s="13">
        <v>1500</v>
      </c>
      <c r="M5723" t="s">
        <v>2661</v>
      </c>
    </row>
    <row r="5724" spans="1:13">
      <c r="A5724" t="s">
        <v>2271</v>
      </c>
      <c r="B5724" t="s">
        <v>294</v>
      </c>
      <c r="C5724" s="8">
        <v>46183</v>
      </c>
      <c r="D5724" t="s">
        <v>342</v>
      </c>
      <c r="E5724" t="s">
        <v>325</v>
      </c>
      <c r="F5724" s="12">
        <v>25000</v>
      </c>
      <c r="G5724" s="13">
        <v>2</v>
      </c>
      <c r="H5724" t="s">
        <v>3572</v>
      </c>
      <c r="I5724" s="8">
        <v>46039</v>
      </c>
      <c r="J5724" t="s">
        <v>2668</v>
      </c>
      <c r="K5724" t="s">
        <v>2669</v>
      </c>
      <c r="L5724" s="13">
        <v>4000</v>
      </c>
      <c r="M5724" t="s">
        <v>2661</v>
      </c>
    </row>
    <row r="5725" spans="1:13">
      <c r="A5725" t="s">
        <v>2272</v>
      </c>
      <c r="B5725" t="s">
        <v>94</v>
      </c>
      <c r="C5725" s="8">
        <v>46197</v>
      </c>
      <c r="D5725" t="s">
        <v>350</v>
      </c>
      <c r="E5725" t="s">
        <v>337</v>
      </c>
      <c r="F5725" s="12">
        <v>1110195</v>
      </c>
      <c r="G5725" s="13">
        <v>111</v>
      </c>
      <c r="H5725" t="s">
        <v>2994</v>
      </c>
      <c r="I5725" s="8">
        <v>46107</v>
      </c>
      <c r="J5725" t="s">
        <v>2682</v>
      </c>
      <c r="K5725" t="s">
        <v>2683</v>
      </c>
      <c r="L5725" s="13">
        <v>6000</v>
      </c>
      <c r="M5725" t="s">
        <v>2661</v>
      </c>
    </row>
    <row r="5726" spans="1:13">
      <c r="A5726" t="s">
        <v>2273</v>
      </c>
      <c r="B5726" t="s">
        <v>58</v>
      </c>
      <c r="C5726" s="8">
        <v>46191</v>
      </c>
      <c r="D5726" t="s">
        <v>330</v>
      </c>
      <c r="E5726" t="s">
        <v>322</v>
      </c>
      <c r="F5726" s="12">
        <v>292413</v>
      </c>
      <c r="G5726" s="13">
        <v>29</v>
      </c>
      <c r="H5726" t="s">
        <v>2699</v>
      </c>
      <c r="I5726" s="8">
        <v>45942</v>
      </c>
      <c r="J5726" t="s">
        <v>2688</v>
      </c>
      <c r="K5726" t="s">
        <v>2689</v>
      </c>
      <c r="L5726" s="13">
        <v>8000</v>
      </c>
      <c r="M5726" t="s">
        <v>2676</v>
      </c>
    </row>
    <row r="5727" spans="1:13">
      <c r="A5727" t="s">
        <v>2273</v>
      </c>
      <c r="B5727" t="s">
        <v>58</v>
      </c>
      <c r="C5727" s="8">
        <v>46191</v>
      </c>
      <c r="D5727" t="s">
        <v>330</v>
      </c>
      <c r="E5727" t="s">
        <v>322</v>
      </c>
      <c r="F5727" s="12">
        <v>292413</v>
      </c>
      <c r="G5727" s="13">
        <v>29</v>
      </c>
      <c r="H5727" t="s">
        <v>2731</v>
      </c>
      <c r="I5727" s="8">
        <v>46096</v>
      </c>
      <c r="J5727" t="s">
        <v>2671</v>
      </c>
      <c r="K5727" t="s">
        <v>2672</v>
      </c>
      <c r="L5727" s="13">
        <v>3000</v>
      </c>
      <c r="M5727" t="s">
        <v>2661</v>
      </c>
    </row>
    <row r="5728" spans="1:13">
      <c r="A5728" t="s">
        <v>2273</v>
      </c>
      <c r="B5728" t="s">
        <v>58</v>
      </c>
      <c r="C5728" s="8">
        <v>46191</v>
      </c>
      <c r="D5728" t="s">
        <v>330</v>
      </c>
      <c r="E5728" t="s">
        <v>322</v>
      </c>
      <c r="F5728" s="12">
        <v>292413</v>
      </c>
      <c r="G5728" s="13">
        <v>29</v>
      </c>
      <c r="H5728" t="s">
        <v>2947</v>
      </c>
      <c r="I5728" s="8">
        <v>45954</v>
      </c>
      <c r="J5728" t="s">
        <v>2668</v>
      </c>
      <c r="K5728" t="s">
        <v>2669</v>
      </c>
      <c r="L5728" s="13">
        <v>4000</v>
      </c>
      <c r="M5728" t="s">
        <v>2676</v>
      </c>
    </row>
    <row r="5729" spans="1:13">
      <c r="A5729" t="s">
        <v>2274</v>
      </c>
      <c r="B5729" t="s">
        <v>256</v>
      </c>
      <c r="C5729" s="8">
        <v>46195</v>
      </c>
      <c r="D5729" t="s">
        <v>342</v>
      </c>
      <c r="E5729" t="s">
        <v>339</v>
      </c>
      <c r="F5729" s="12">
        <v>1014042</v>
      </c>
      <c r="G5729" s="13">
        <v>101</v>
      </c>
      <c r="H5729" t="s">
        <v>3289</v>
      </c>
      <c r="I5729" s="8">
        <v>46146</v>
      </c>
      <c r="J5729" t="s">
        <v>2659</v>
      </c>
      <c r="K5729" t="s">
        <v>2660</v>
      </c>
      <c r="L5729" s="13">
        <v>3500</v>
      </c>
      <c r="M5729" t="s">
        <v>2661</v>
      </c>
    </row>
    <row r="5730" spans="1:13">
      <c r="A5730" t="s">
        <v>2275</v>
      </c>
      <c r="B5730" t="s">
        <v>231</v>
      </c>
      <c r="C5730" s="8">
        <v>46008</v>
      </c>
      <c r="D5730" t="s">
        <v>327</v>
      </c>
      <c r="E5730" t="s">
        <v>325</v>
      </c>
      <c r="F5730" s="12">
        <v>191258</v>
      </c>
      <c r="G5730" s="13">
        <v>19</v>
      </c>
      <c r="H5730" t="s">
        <v>2875</v>
      </c>
      <c r="I5730" s="8">
        <v>46085</v>
      </c>
      <c r="J5730" t="s">
        <v>2665</v>
      </c>
      <c r="K5730" t="s">
        <v>2666</v>
      </c>
      <c r="L5730" s="13">
        <v>2500</v>
      </c>
      <c r="M5730" t="s">
        <v>2661</v>
      </c>
    </row>
    <row r="5731" spans="1:13">
      <c r="A5731" t="s">
        <v>2275</v>
      </c>
      <c r="B5731" t="s">
        <v>231</v>
      </c>
      <c r="C5731" s="8">
        <v>46008</v>
      </c>
      <c r="D5731" t="s">
        <v>327</v>
      </c>
      <c r="E5731" t="s">
        <v>325</v>
      </c>
      <c r="F5731" s="12">
        <v>191258</v>
      </c>
      <c r="G5731" s="13">
        <v>19</v>
      </c>
      <c r="H5731" t="s">
        <v>3014</v>
      </c>
      <c r="I5731" s="8">
        <v>46207</v>
      </c>
      <c r="J5731" t="s">
        <v>2665</v>
      </c>
      <c r="K5731" t="s">
        <v>2666</v>
      </c>
      <c r="L5731" s="13">
        <v>2500</v>
      </c>
      <c r="M5731" t="s">
        <v>2676</v>
      </c>
    </row>
    <row r="5732" spans="1:13">
      <c r="A5732" t="s">
        <v>2276</v>
      </c>
      <c r="B5732" t="s">
        <v>8</v>
      </c>
      <c r="C5732" s="8">
        <v>46229</v>
      </c>
      <c r="D5732" t="s">
        <v>350</v>
      </c>
      <c r="E5732" t="s">
        <v>328</v>
      </c>
      <c r="F5732" s="12">
        <v>212854</v>
      </c>
      <c r="G5732" s="13">
        <v>21</v>
      </c>
      <c r="H5732" t="s">
        <v>3033</v>
      </c>
      <c r="I5732" s="8">
        <v>46098</v>
      </c>
      <c r="J5732" t="s">
        <v>2659</v>
      </c>
      <c r="K5732" t="s">
        <v>2660</v>
      </c>
      <c r="L5732" s="13">
        <v>3500</v>
      </c>
      <c r="M5732" t="s">
        <v>2676</v>
      </c>
    </row>
    <row r="5733" spans="1:13">
      <c r="A5733" t="s">
        <v>2276</v>
      </c>
      <c r="B5733" t="s">
        <v>8</v>
      </c>
      <c r="C5733" s="8">
        <v>46229</v>
      </c>
      <c r="D5733" t="s">
        <v>350</v>
      </c>
      <c r="E5733" t="s">
        <v>328</v>
      </c>
      <c r="F5733" s="12">
        <v>212854</v>
      </c>
      <c r="G5733" s="13">
        <v>21</v>
      </c>
      <c r="H5733" t="s">
        <v>3159</v>
      </c>
      <c r="I5733" s="8">
        <v>46079</v>
      </c>
      <c r="J5733" t="s">
        <v>2659</v>
      </c>
      <c r="K5733" t="s">
        <v>2660</v>
      </c>
      <c r="L5733" s="13">
        <v>3500</v>
      </c>
      <c r="M5733" t="s">
        <v>2661</v>
      </c>
    </row>
    <row r="5734" spans="1:13">
      <c r="A5734" t="s">
        <v>2276</v>
      </c>
      <c r="B5734" t="s">
        <v>8</v>
      </c>
      <c r="C5734" s="8">
        <v>46229</v>
      </c>
      <c r="D5734" t="s">
        <v>350</v>
      </c>
      <c r="E5734" t="s">
        <v>328</v>
      </c>
      <c r="F5734" s="12">
        <v>212854</v>
      </c>
      <c r="G5734" s="13">
        <v>21</v>
      </c>
      <c r="H5734" t="s">
        <v>3184</v>
      </c>
      <c r="I5734" s="8">
        <v>46261</v>
      </c>
      <c r="J5734" t="s">
        <v>2685</v>
      </c>
      <c r="K5734" t="s">
        <v>2686</v>
      </c>
      <c r="L5734" s="13">
        <v>5000</v>
      </c>
      <c r="M5734" t="s">
        <v>2661</v>
      </c>
    </row>
    <row r="5735" spans="1:13">
      <c r="A5735" t="s">
        <v>2276</v>
      </c>
      <c r="B5735" t="s">
        <v>8</v>
      </c>
      <c r="C5735" s="8">
        <v>46229</v>
      </c>
      <c r="D5735" t="s">
        <v>350</v>
      </c>
      <c r="E5735" t="s">
        <v>328</v>
      </c>
      <c r="F5735" s="12">
        <v>212854</v>
      </c>
      <c r="G5735" s="13">
        <v>21</v>
      </c>
      <c r="H5735" t="s">
        <v>3303</v>
      </c>
      <c r="I5735" s="8">
        <v>46196</v>
      </c>
      <c r="J5735" t="s">
        <v>2682</v>
      </c>
      <c r="K5735" t="s">
        <v>2683</v>
      </c>
      <c r="L5735" s="13">
        <v>6000</v>
      </c>
      <c r="M5735" t="s">
        <v>2676</v>
      </c>
    </row>
    <row r="5736" spans="1:13">
      <c r="A5736" t="s">
        <v>2276</v>
      </c>
      <c r="B5736" t="s">
        <v>8</v>
      </c>
      <c r="C5736" s="8">
        <v>46229</v>
      </c>
      <c r="D5736" t="s">
        <v>350</v>
      </c>
      <c r="E5736" t="s">
        <v>328</v>
      </c>
      <c r="F5736" s="12">
        <v>212854</v>
      </c>
      <c r="G5736" s="13">
        <v>21</v>
      </c>
      <c r="H5736" t="s">
        <v>3353</v>
      </c>
      <c r="I5736" s="8">
        <v>45991</v>
      </c>
      <c r="J5736" t="s">
        <v>2659</v>
      </c>
      <c r="K5736" t="s">
        <v>2660</v>
      </c>
      <c r="L5736" s="13">
        <v>3500</v>
      </c>
      <c r="M5736" t="s">
        <v>2661</v>
      </c>
    </row>
    <row r="5737" spans="1:13">
      <c r="A5737" t="s">
        <v>2277</v>
      </c>
      <c r="B5737" t="s">
        <v>277</v>
      </c>
      <c r="C5737" s="8">
        <v>45987</v>
      </c>
      <c r="D5737" t="s">
        <v>332</v>
      </c>
      <c r="E5737" t="s">
        <v>334</v>
      </c>
      <c r="F5737" s="12">
        <v>25000</v>
      </c>
      <c r="G5737" s="13">
        <v>2</v>
      </c>
      <c r="H5737" t="s">
        <v>2843</v>
      </c>
      <c r="I5737" s="8">
        <v>46213</v>
      </c>
      <c r="J5737" t="s">
        <v>2682</v>
      </c>
      <c r="K5737" t="s">
        <v>2683</v>
      </c>
      <c r="L5737" s="13">
        <v>6000</v>
      </c>
      <c r="M5737" t="s">
        <v>2661</v>
      </c>
    </row>
    <row r="5738" spans="1:13">
      <c r="A5738" t="s">
        <v>2277</v>
      </c>
      <c r="B5738" t="s">
        <v>277</v>
      </c>
      <c r="C5738" s="8">
        <v>45987</v>
      </c>
      <c r="D5738" t="s">
        <v>332</v>
      </c>
      <c r="E5738" t="s">
        <v>334</v>
      </c>
      <c r="F5738" s="12">
        <v>25000</v>
      </c>
      <c r="G5738" s="13">
        <v>2</v>
      </c>
      <c r="H5738" t="s">
        <v>2957</v>
      </c>
      <c r="I5738" s="8">
        <v>45984</v>
      </c>
      <c r="J5738" t="s">
        <v>2671</v>
      </c>
      <c r="K5738" t="s">
        <v>2672</v>
      </c>
      <c r="L5738" s="13">
        <v>3000</v>
      </c>
      <c r="M5738" t="s">
        <v>2661</v>
      </c>
    </row>
    <row r="5739" spans="1:13">
      <c r="A5739" t="s">
        <v>2277</v>
      </c>
      <c r="B5739" t="s">
        <v>277</v>
      </c>
      <c r="C5739" s="8">
        <v>45987</v>
      </c>
      <c r="D5739" t="s">
        <v>332</v>
      </c>
      <c r="E5739" t="s">
        <v>334</v>
      </c>
      <c r="F5739" s="12">
        <v>25000</v>
      </c>
      <c r="G5739" s="13">
        <v>2</v>
      </c>
      <c r="H5739" t="s">
        <v>2978</v>
      </c>
      <c r="I5739" s="8">
        <v>46142</v>
      </c>
      <c r="J5739" t="s">
        <v>2659</v>
      </c>
      <c r="K5739" t="s">
        <v>2660</v>
      </c>
      <c r="L5739" s="13">
        <v>3500</v>
      </c>
      <c r="M5739" t="s">
        <v>2661</v>
      </c>
    </row>
    <row r="5740" spans="1:13">
      <c r="A5740" t="s">
        <v>2277</v>
      </c>
      <c r="B5740" t="s">
        <v>277</v>
      </c>
      <c r="C5740" s="8">
        <v>45987</v>
      </c>
      <c r="D5740" t="s">
        <v>332</v>
      </c>
      <c r="E5740" t="s">
        <v>334</v>
      </c>
      <c r="F5740" s="12">
        <v>25000</v>
      </c>
      <c r="G5740" s="13">
        <v>2</v>
      </c>
      <c r="H5740" t="s">
        <v>3059</v>
      </c>
      <c r="I5740" s="8">
        <v>46217</v>
      </c>
      <c r="J5740" t="s">
        <v>2659</v>
      </c>
      <c r="K5740" t="s">
        <v>2660</v>
      </c>
      <c r="L5740" s="13">
        <v>3500</v>
      </c>
      <c r="M5740" t="s">
        <v>2661</v>
      </c>
    </row>
    <row r="5741" spans="1:13">
      <c r="A5741" t="s">
        <v>2277</v>
      </c>
      <c r="B5741" t="s">
        <v>277</v>
      </c>
      <c r="C5741" s="8">
        <v>45987</v>
      </c>
      <c r="D5741" t="s">
        <v>332</v>
      </c>
      <c r="E5741" t="s">
        <v>334</v>
      </c>
      <c r="F5741" s="12">
        <v>25000</v>
      </c>
      <c r="G5741" s="13">
        <v>2</v>
      </c>
      <c r="H5741" t="s">
        <v>3102</v>
      </c>
      <c r="I5741" s="8">
        <v>46027</v>
      </c>
      <c r="J5741" t="s">
        <v>2692</v>
      </c>
      <c r="K5741" t="s">
        <v>2693</v>
      </c>
      <c r="L5741" s="13">
        <v>10000</v>
      </c>
      <c r="M5741" t="s">
        <v>2661</v>
      </c>
    </row>
    <row r="5742" spans="1:13">
      <c r="A5742" t="s">
        <v>2277</v>
      </c>
      <c r="B5742" t="s">
        <v>277</v>
      </c>
      <c r="C5742" s="8">
        <v>45987</v>
      </c>
      <c r="D5742" t="s">
        <v>332</v>
      </c>
      <c r="E5742" t="s">
        <v>334</v>
      </c>
      <c r="F5742" s="12">
        <v>25000</v>
      </c>
      <c r="G5742" s="13">
        <v>2</v>
      </c>
      <c r="H5742" t="s">
        <v>3553</v>
      </c>
      <c r="I5742" s="8">
        <v>45945</v>
      </c>
      <c r="J5742" t="s">
        <v>2685</v>
      </c>
      <c r="K5742" t="s">
        <v>2686</v>
      </c>
      <c r="L5742" s="13">
        <v>5000</v>
      </c>
      <c r="M5742" t="s">
        <v>2661</v>
      </c>
    </row>
    <row r="5743" spans="1:13">
      <c r="A5743" t="s">
        <v>2277</v>
      </c>
      <c r="B5743" t="s">
        <v>277</v>
      </c>
      <c r="C5743" s="8">
        <v>45987</v>
      </c>
      <c r="D5743" t="s">
        <v>332</v>
      </c>
      <c r="E5743" t="s">
        <v>334</v>
      </c>
      <c r="F5743" s="12">
        <v>25000</v>
      </c>
      <c r="G5743" s="13">
        <v>2</v>
      </c>
      <c r="H5743" t="s">
        <v>3560</v>
      </c>
      <c r="I5743" s="8">
        <v>45986</v>
      </c>
      <c r="J5743" t="s">
        <v>2685</v>
      </c>
      <c r="K5743" t="s">
        <v>2686</v>
      </c>
      <c r="L5743" s="13">
        <v>5000</v>
      </c>
      <c r="M5743" t="s">
        <v>2661</v>
      </c>
    </row>
    <row r="5744" spans="1:13">
      <c r="A5744" t="s">
        <v>2278</v>
      </c>
      <c r="B5744" t="s">
        <v>102</v>
      </c>
      <c r="C5744" s="8">
        <v>45945</v>
      </c>
      <c r="D5744" t="s">
        <v>330</v>
      </c>
      <c r="E5744" t="s">
        <v>325</v>
      </c>
      <c r="F5744" s="12">
        <v>140386</v>
      </c>
      <c r="G5744" s="13">
        <v>14</v>
      </c>
      <c r="H5744" t="s">
        <v>2797</v>
      </c>
      <c r="I5744" s="8">
        <v>46163</v>
      </c>
      <c r="J5744" t="s">
        <v>2665</v>
      </c>
      <c r="K5744" t="s">
        <v>2666</v>
      </c>
      <c r="L5744" s="13">
        <v>2500</v>
      </c>
      <c r="M5744" t="s">
        <v>2661</v>
      </c>
    </row>
    <row r="5745" spans="1:13">
      <c r="A5745" t="s">
        <v>2278</v>
      </c>
      <c r="B5745" t="s">
        <v>102</v>
      </c>
      <c r="C5745" s="8">
        <v>45945</v>
      </c>
      <c r="D5745" t="s">
        <v>330</v>
      </c>
      <c r="E5745" t="s">
        <v>325</v>
      </c>
      <c r="F5745" s="12">
        <v>140386</v>
      </c>
      <c r="G5745" s="13">
        <v>14</v>
      </c>
      <c r="H5745" t="s">
        <v>3355</v>
      </c>
      <c r="I5745" s="8">
        <v>46029</v>
      </c>
      <c r="J5745" t="s">
        <v>2659</v>
      </c>
      <c r="K5745" t="s">
        <v>2660</v>
      </c>
      <c r="L5745" s="13">
        <v>3500</v>
      </c>
      <c r="M5745" t="s">
        <v>2676</v>
      </c>
    </row>
    <row r="5746" spans="1:13">
      <c r="A5746" t="s">
        <v>2278</v>
      </c>
      <c r="B5746" t="s">
        <v>102</v>
      </c>
      <c r="C5746" s="8">
        <v>45945</v>
      </c>
      <c r="D5746" t="s">
        <v>330</v>
      </c>
      <c r="E5746" t="s">
        <v>325</v>
      </c>
      <c r="F5746" s="12">
        <v>140386</v>
      </c>
      <c r="G5746" s="13">
        <v>14</v>
      </c>
      <c r="H5746" t="s">
        <v>3360</v>
      </c>
      <c r="I5746" s="8">
        <v>46231</v>
      </c>
      <c r="J5746" t="s">
        <v>2674</v>
      </c>
      <c r="K5746" t="s">
        <v>2675</v>
      </c>
      <c r="L5746" s="13">
        <v>20000</v>
      </c>
      <c r="M5746" t="s">
        <v>2661</v>
      </c>
    </row>
    <row r="5747" spans="1:13">
      <c r="A5747" t="s">
        <v>2278</v>
      </c>
      <c r="B5747" t="s">
        <v>102</v>
      </c>
      <c r="C5747" s="8">
        <v>45945</v>
      </c>
      <c r="D5747" t="s">
        <v>330</v>
      </c>
      <c r="E5747" t="s">
        <v>325</v>
      </c>
      <c r="F5747" s="12">
        <v>140386</v>
      </c>
      <c r="G5747" s="13">
        <v>14</v>
      </c>
      <c r="H5747" t="s">
        <v>3439</v>
      </c>
      <c r="I5747" s="8">
        <v>46268</v>
      </c>
      <c r="J5747" t="s">
        <v>2663</v>
      </c>
      <c r="K5747" t="s">
        <v>3630</v>
      </c>
      <c r="L5747" s="13">
        <v>1500</v>
      </c>
      <c r="M5747" t="s">
        <v>2661</v>
      </c>
    </row>
    <row r="5748" spans="1:13">
      <c r="A5748" t="s">
        <v>2278</v>
      </c>
      <c r="B5748" t="s">
        <v>102</v>
      </c>
      <c r="C5748" s="8">
        <v>45945</v>
      </c>
      <c r="D5748" t="s">
        <v>330</v>
      </c>
      <c r="E5748" t="s">
        <v>325</v>
      </c>
      <c r="F5748" s="12">
        <v>140386</v>
      </c>
      <c r="G5748" s="13">
        <v>14</v>
      </c>
      <c r="H5748" t="s">
        <v>3565</v>
      </c>
      <c r="I5748" s="8">
        <v>46150</v>
      </c>
      <c r="J5748" t="s">
        <v>2674</v>
      </c>
      <c r="K5748" t="s">
        <v>2675</v>
      </c>
      <c r="L5748" s="13">
        <v>20000</v>
      </c>
      <c r="M5748" t="s">
        <v>2661</v>
      </c>
    </row>
    <row r="5749" spans="1:13">
      <c r="A5749" t="s">
        <v>2280</v>
      </c>
      <c r="B5749" t="s">
        <v>288</v>
      </c>
      <c r="C5749" s="8">
        <v>46030</v>
      </c>
      <c r="D5749" t="s">
        <v>350</v>
      </c>
      <c r="E5749" t="s">
        <v>322</v>
      </c>
      <c r="F5749" s="12">
        <v>149825</v>
      </c>
      <c r="G5749" s="13">
        <v>14</v>
      </c>
      <c r="H5749" t="s">
        <v>2753</v>
      </c>
      <c r="I5749" s="8">
        <v>46202</v>
      </c>
      <c r="J5749" t="s">
        <v>2671</v>
      </c>
      <c r="K5749" t="s">
        <v>2672</v>
      </c>
      <c r="L5749" s="13">
        <v>3000</v>
      </c>
      <c r="M5749" t="s">
        <v>2661</v>
      </c>
    </row>
    <row r="5750" spans="1:13">
      <c r="A5750" t="s">
        <v>2280</v>
      </c>
      <c r="B5750" t="s">
        <v>288</v>
      </c>
      <c r="C5750" s="8">
        <v>46030</v>
      </c>
      <c r="D5750" t="s">
        <v>350</v>
      </c>
      <c r="E5750" t="s">
        <v>322</v>
      </c>
      <c r="F5750" s="12">
        <v>149825</v>
      </c>
      <c r="G5750" s="13">
        <v>14</v>
      </c>
      <c r="H5750" t="s">
        <v>2764</v>
      </c>
      <c r="I5750" s="8">
        <v>46008</v>
      </c>
      <c r="J5750" t="s">
        <v>2668</v>
      </c>
      <c r="K5750" t="s">
        <v>2669</v>
      </c>
      <c r="L5750" s="13">
        <v>4000</v>
      </c>
      <c r="M5750" t="s">
        <v>2676</v>
      </c>
    </row>
    <row r="5751" spans="1:13">
      <c r="A5751" t="s">
        <v>2280</v>
      </c>
      <c r="B5751" t="s">
        <v>288</v>
      </c>
      <c r="C5751" s="8">
        <v>46030</v>
      </c>
      <c r="D5751" t="s">
        <v>350</v>
      </c>
      <c r="E5751" t="s">
        <v>322</v>
      </c>
      <c r="F5751" s="12">
        <v>149825</v>
      </c>
      <c r="G5751" s="13">
        <v>14</v>
      </c>
      <c r="H5751" t="s">
        <v>2863</v>
      </c>
      <c r="I5751" s="8">
        <v>45971</v>
      </c>
      <c r="J5751" t="s">
        <v>2659</v>
      </c>
      <c r="K5751" t="s">
        <v>2660</v>
      </c>
      <c r="L5751" s="13">
        <v>3500</v>
      </c>
      <c r="M5751" t="s">
        <v>2676</v>
      </c>
    </row>
    <row r="5752" spans="1:13">
      <c r="A5752" t="s">
        <v>2280</v>
      </c>
      <c r="B5752" t="s">
        <v>288</v>
      </c>
      <c r="C5752" s="8">
        <v>46030</v>
      </c>
      <c r="D5752" t="s">
        <v>350</v>
      </c>
      <c r="E5752" t="s">
        <v>322</v>
      </c>
      <c r="F5752" s="12">
        <v>149825</v>
      </c>
      <c r="G5752" s="13">
        <v>14</v>
      </c>
      <c r="H5752" t="s">
        <v>3009</v>
      </c>
      <c r="I5752" s="8">
        <v>45978</v>
      </c>
      <c r="J5752" t="s">
        <v>2674</v>
      </c>
      <c r="K5752" t="s">
        <v>2675</v>
      </c>
      <c r="L5752" s="13">
        <v>20000</v>
      </c>
      <c r="M5752" t="s">
        <v>2676</v>
      </c>
    </row>
    <row r="5753" spans="1:13">
      <c r="A5753" t="s">
        <v>2280</v>
      </c>
      <c r="B5753" t="s">
        <v>288</v>
      </c>
      <c r="C5753" s="8">
        <v>46030</v>
      </c>
      <c r="D5753" t="s">
        <v>350</v>
      </c>
      <c r="E5753" t="s">
        <v>322</v>
      </c>
      <c r="F5753" s="12">
        <v>149825</v>
      </c>
      <c r="G5753" s="13">
        <v>14</v>
      </c>
      <c r="H5753" t="s">
        <v>3139</v>
      </c>
      <c r="I5753" s="8">
        <v>45962</v>
      </c>
      <c r="J5753" t="s">
        <v>2659</v>
      </c>
      <c r="K5753" t="s">
        <v>2660</v>
      </c>
      <c r="L5753" s="13">
        <v>3500</v>
      </c>
      <c r="M5753" t="s">
        <v>2661</v>
      </c>
    </row>
    <row r="5754" spans="1:13">
      <c r="A5754" t="s">
        <v>2281</v>
      </c>
      <c r="B5754" t="s">
        <v>136</v>
      </c>
      <c r="C5754" s="8">
        <v>46199</v>
      </c>
      <c r="D5754" t="s">
        <v>344</v>
      </c>
      <c r="E5754" t="s">
        <v>328</v>
      </c>
      <c r="F5754" s="12">
        <v>426362</v>
      </c>
      <c r="G5754" s="13">
        <v>42</v>
      </c>
      <c r="H5754" t="s">
        <v>2748</v>
      </c>
      <c r="I5754" s="8">
        <v>46022</v>
      </c>
      <c r="J5754" t="s">
        <v>2674</v>
      </c>
      <c r="K5754" t="s">
        <v>2675</v>
      </c>
      <c r="L5754" s="13">
        <v>20000</v>
      </c>
      <c r="M5754" t="s">
        <v>2661</v>
      </c>
    </row>
    <row r="5755" spans="1:13">
      <c r="A5755" t="s">
        <v>2281</v>
      </c>
      <c r="B5755" t="s">
        <v>136</v>
      </c>
      <c r="C5755" s="8">
        <v>46199</v>
      </c>
      <c r="D5755" t="s">
        <v>344</v>
      </c>
      <c r="E5755" t="s">
        <v>328</v>
      </c>
      <c r="F5755" s="12">
        <v>426362</v>
      </c>
      <c r="G5755" s="13">
        <v>42</v>
      </c>
      <c r="H5755" t="s">
        <v>2749</v>
      </c>
      <c r="I5755" s="8">
        <v>46017</v>
      </c>
      <c r="J5755" t="s">
        <v>2688</v>
      </c>
      <c r="K5755" t="s">
        <v>2689</v>
      </c>
      <c r="L5755" s="13">
        <v>8000</v>
      </c>
      <c r="M5755" t="s">
        <v>2676</v>
      </c>
    </row>
    <row r="5756" spans="1:13">
      <c r="A5756" t="s">
        <v>2281</v>
      </c>
      <c r="B5756" t="s">
        <v>136</v>
      </c>
      <c r="C5756" s="8">
        <v>46199</v>
      </c>
      <c r="D5756" t="s">
        <v>344</v>
      </c>
      <c r="E5756" t="s">
        <v>328</v>
      </c>
      <c r="F5756" s="12">
        <v>426362</v>
      </c>
      <c r="G5756" s="13">
        <v>42</v>
      </c>
      <c r="H5756" t="s">
        <v>2817</v>
      </c>
      <c r="I5756" s="8">
        <v>46089</v>
      </c>
      <c r="J5756" t="s">
        <v>2663</v>
      </c>
      <c r="K5756" t="s">
        <v>3630</v>
      </c>
      <c r="L5756" s="13">
        <v>1500</v>
      </c>
      <c r="M5756" t="s">
        <v>2676</v>
      </c>
    </row>
    <row r="5757" spans="1:13">
      <c r="A5757" t="s">
        <v>2281</v>
      </c>
      <c r="B5757" t="s">
        <v>136</v>
      </c>
      <c r="C5757" s="8">
        <v>46199</v>
      </c>
      <c r="D5757" t="s">
        <v>344</v>
      </c>
      <c r="E5757" t="s">
        <v>328</v>
      </c>
      <c r="F5757" s="12">
        <v>426362</v>
      </c>
      <c r="G5757" s="13">
        <v>42</v>
      </c>
      <c r="H5757" t="s">
        <v>2878</v>
      </c>
      <c r="I5757" s="8">
        <v>45988</v>
      </c>
      <c r="J5757" t="s">
        <v>2671</v>
      </c>
      <c r="K5757" t="s">
        <v>2672</v>
      </c>
      <c r="L5757" s="13">
        <v>3000</v>
      </c>
      <c r="M5757" t="s">
        <v>2661</v>
      </c>
    </row>
    <row r="5758" spans="1:13">
      <c r="A5758" t="s">
        <v>2282</v>
      </c>
      <c r="B5758" t="s">
        <v>293</v>
      </c>
      <c r="C5758" s="8">
        <v>45945</v>
      </c>
      <c r="D5758" t="s">
        <v>342</v>
      </c>
      <c r="E5758" t="s">
        <v>328</v>
      </c>
      <c r="F5758" s="12">
        <v>314282</v>
      </c>
      <c r="G5758" s="13">
        <v>31</v>
      </c>
      <c r="H5758" t="s">
        <v>2680</v>
      </c>
      <c r="I5758" s="8">
        <v>46235</v>
      </c>
      <c r="J5758" t="s">
        <v>2665</v>
      </c>
      <c r="K5758" t="s">
        <v>2666</v>
      </c>
      <c r="L5758" s="13">
        <v>2500</v>
      </c>
      <c r="M5758" t="s">
        <v>2661</v>
      </c>
    </row>
    <row r="5759" spans="1:13">
      <c r="A5759" t="s">
        <v>2282</v>
      </c>
      <c r="B5759" t="s">
        <v>293</v>
      </c>
      <c r="C5759" s="8">
        <v>45945</v>
      </c>
      <c r="D5759" t="s">
        <v>342</v>
      </c>
      <c r="E5759" t="s">
        <v>328</v>
      </c>
      <c r="F5759" s="12">
        <v>314282</v>
      </c>
      <c r="G5759" s="13">
        <v>31</v>
      </c>
      <c r="H5759" t="s">
        <v>2795</v>
      </c>
      <c r="I5759" s="8">
        <v>45945</v>
      </c>
      <c r="J5759" t="s">
        <v>2663</v>
      </c>
      <c r="K5759" t="s">
        <v>3630</v>
      </c>
      <c r="L5759" s="13">
        <v>1500</v>
      </c>
      <c r="M5759" t="s">
        <v>2661</v>
      </c>
    </row>
    <row r="5760" spans="1:13">
      <c r="A5760" t="s">
        <v>2282</v>
      </c>
      <c r="B5760" t="s">
        <v>293</v>
      </c>
      <c r="C5760" s="8">
        <v>45945</v>
      </c>
      <c r="D5760" t="s">
        <v>342</v>
      </c>
      <c r="E5760" t="s">
        <v>328</v>
      </c>
      <c r="F5760" s="12">
        <v>314282</v>
      </c>
      <c r="G5760" s="13">
        <v>31</v>
      </c>
      <c r="H5760" t="s">
        <v>2977</v>
      </c>
      <c r="I5760" s="8">
        <v>46001</v>
      </c>
      <c r="J5760" t="s">
        <v>2659</v>
      </c>
      <c r="K5760" t="s">
        <v>2660</v>
      </c>
      <c r="L5760" s="13">
        <v>3500</v>
      </c>
      <c r="M5760" t="s">
        <v>2661</v>
      </c>
    </row>
    <row r="5761" spans="1:13">
      <c r="A5761" t="s">
        <v>2282</v>
      </c>
      <c r="B5761" t="s">
        <v>293</v>
      </c>
      <c r="C5761" s="8">
        <v>45945</v>
      </c>
      <c r="D5761" t="s">
        <v>342</v>
      </c>
      <c r="E5761" t="s">
        <v>328</v>
      </c>
      <c r="F5761" s="12">
        <v>314282</v>
      </c>
      <c r="G5761" s="13">
        <v>31</v>
      </c>
      <c r="H5761" t="s">
        <v>3042</v>
      </c>
      <c r="I5761" s="8">
        <v>45970</v>
      </c>
      <c r="J5761" t="s">
        <v>2682</v>
      </c>
      <c r="K5761" t="s">
        <v>2683</v>
      </c>
      <c r="L5761" s="13">
        <v>6000</v>
      </c>
      <c r="M5761" t="s">
        <v>2661</v>
      </c>
    </row>
    <row r="5762" spans="1:13">
      <c r="A5762" t="s">
        <v>2282</v>
      </c>
      <c r="B5762" t="s">
        <v>293</v>
      </c>
      <c r="C5762" s="8">
        <v>45945</v>
      </c>
      <c r="D5762" t="s">
        <v>342</v>
      </c>
      <c r="E5762" t="s">
        <v>328</v>
      </c>
      <c r="F5762" s="12">
        <v>314282</v>
      </c>
      <c r="G5762" s="13">
        <v>31</v>
      </c>
      <c r="H5762" t="s">
        <v>3354</v>
      </c>
      <c r="I5762" s="8">
        <v>45997</v>
      </c>
      <c r="J5762" t="s">
        <v>2659</v>
      </c>
      <c r="K5762" t="s">
        <v>2660</v>
      </c>
      <c r="L5762" s="13">
        <v>3500</v>
      </c>
      <c r="M5762" t="s">
        <v>2661</v>
      </c>
    </row>
    <row r="5763" spans="1:13">
      <c r="A5763" t="s">
        <v>2282</v>
      </c>
      <c r="B5763" t="s">
        <v>293</v>
      </c>
      <c r="C5763" s="8">
        <v>45945</v>
      </c>
      <c r="D5763" t="s">
        <v>342</v>
      </c>
      <c r="E5763" t="s">
        <v>328</v>
      </c>
      <c r="F5763" s="12">
        <v>314282</v>
      </c>
      <c r="G5763" s="13">
        <v>31</v>
      </c>
      <c r="H5763" t="s">
        <v>3448</v>
      </c>
      <c r="I5763" s="8">
        <v>46100</v>
      </c>
      <c r="J5763" t="s">
        <v>2668</v>
      </c>
      <c r="K5763" t="s">
        <v>2669</v>
      </c>
      <c r="L5763" s="13">
        <v>4000</v>
      </c>
      <c r="M5763" t="s">
        <v>2676</v>
      </c>
    </row>
    <row r="5764" spans="1:13">
      <c r="A5764" t="s">
        <v>2283</v>
      </c>
      <c r="B5764" t="s">
        <v>88</v>
      </c>
      <c r="C5764" s="8">
        <v>46219</v>
      </c>
      <c r="D5764" t="s">
        <v>330</v>
      </c>
      <c r="E5764" t="s">
        <v>337</v>
      </c>
      <c r="F5764" s="12">
        <v>192224</v>
      </c>
      <c r="G5764" s="13">
        <v>19</v>
      </c>
      <c r="H5764" t="s">
        <v>2726</v>
      </c>
      <c r="I5764" s="8">
        <v>46247</v>
      </c>
      <c r="J5764" t="s">
        <v>2668</v>
      </c>
      <c r="K5764" t="s">
        <v>2669</v>
      </c>
      <c r="L5764" s="13">
        <v>4000</v>
      </c>
      <c r="M5764" t="s">
        <v>2661</v>
      </c>
    </row>
    <row r="5765" spans="1:13">
      <c r="A5765" t="s">
        <v>2284</v>
      </c>
      <c r="B5765" t="s">
        <v>70</v>
      </c>
      <c r="C5765" s="8">
        <v>46265</v>
      </c>
      <c r="D5765" t="s">
        <v>321</v>
      </c>
      <c r="E5765" t="s">
        <v>325</v>
      </c>
      <c r="F5765" s="12">
        <v>33578</v>
      </c>
      <c r="G5765" s="13">
        <v>3</v>
      </c>
      <c r="H5765" t="s">
        <v>2667</v>
      </c>
      <c r="I5765" s="8">
        <v>45932</v>
      </c>
      <c r="J5765" t="s">
        <v>2668</v>
      </c>
      <c r="K5765" t="s">
        <v>2669</v>
      </c>
      <c r="L5765" s="13">
        <v>4000</v>
      </c>
      <c r="M5765" t="s">
        <v>2661</v>
      </c>
    </row>
    <row r="5766" spans="1:13">
      <c r="A5766" t="s">
        <v>2284</v>
      </c>
      <c r="B5766" t="s">
        <v>70</v>
      </c>
      <c r="C5766" s="8">
        <v>46265</v>
      </c>
      <c r="D5766" t="s">
        <v>321</v>
      </c>
      <c r="E5766" t="s">
        <v>325</v>
      </c>
      <c r="F5766" s="12">
        <v>33578</v>
      </c>
      <c r="G5766" s="13">
        <v>3</v>
      </c>
      <c r="H5766" t="s">
        <v>2766</v>
      </c>
      <c r="I5766" s="8">
        <v>45958</v>
      </c>
      <c r="J5766" t="s">
        <v>2674</v>
      </c>
      <c r="K5766" t="s">
        <v>2675</v>
      </c>
      <c r="L5766" s="13">
        <v>20000</v>
      </c>
      <c r="M5766" t="s">
        <v>2661</v>
      </c>
    </row>
    <row r="5767" spans="1:13">
      <c r="A5767" t="s">
        <v>2285</v>
      </c>
      <c r="B5767" t="s">
        <v>113</v>
      </c>
      <c r="C5767" s="8">
        <v>46205</v>
      </c>
      <c r="D5767" t="s">
        <v>327</v>
      </c>
      <c r="E5767" t="s">
        <v>325</v>
      </c>
      <c r="F5767" s="12">
        <v>621941</v>
      </c>
      <c r="G5767" s="13">
        <v>62</v>
      </c>
      <c r="H5767" t="s">
        <v>3114</v>
      </c>
      <c r="I5767" s="8">
        <v>46023</v>
      </c>
      <c r="J5767" t="s">
        <v>2668</v>
      </c>
      <c r="K5767" t="s">
        <v>2669</v>
      </c>
      <c r="L5767" s="13">
        <v>4000</v>
      </c>
      <c r="M5767" t="s">
        <v>2661</v>
      </c>
    </row>
    <row r="5768" spans="1:13">
      <c r="A5768" t="s">
        <v>2285</v>
      </c>
      <c r="B5768" t="s">
        <v>113</v>
      </c>
      <c r="C5768" s="8">
        <v>46205</v>
      </c>
      <c r="D5768" t="s">
        <v>327</v>
      </c>
      <c r="E5768" t="s">
        <v>325</v>
      </c>
      <c r="F5768" s="12">
        <v>621941</v>
      </c>
      <c r="G5768" s="13">
        <v>62</v>
      </c>
      <c r="H5768" t="s">
        <v>3149</v>
      </c>
      <c r="I5768" s="8">
        <v>46086</v>
      </c>
      <c r="J5768" t="s">
        <v>2688</v>
      </c>
      <c r="K5768" t="s">
        <v>2689</v>
      </c>
      <c r="L5768" s="13">
        <v>8000</v>
      </c>
      <c r="M5768" t="s">
        <v>2676</v>
      </c>
    </row>
    <row r="5769" spans="1:13">
      <c r="A5769" t="s">
        <v>2285</v>
      </c>
      <c r="B5769" t="s">
        <v>113</v>
      </c>
      <c r="C5769" s="8">
        <v>46205</v>
      </c>
      <c r="D5769" t="s">
        <v>327</v>
      </c>
      <c r="E5769" t="s">
        <v>325</v>
      </c>
      <c r="F5769" s="12">
        <v>621941</v>
      </c>
      <c r="G5769" s="13">
        <v>62</v>
      </c>
      <c r="H5769" t="s">
        <v>3315</v>
      </c>
      <c r="I5769" s="8">
        <v>46102</v>
      </c>
      <c r="J5769" t="s">
        <v>2692</v>
      </c>
      <c r="K5769" t="s">
        <v>2693</v>
      </c>
      <c r="L5769" s="13">
        <v>10000</v>
      </c>
      <c r="M5769" t="s">
        <v>2676</v>
      </c>
    </row>
    <row r="5770" spans="1:13">
      <c r="A5770" t="s">
        <v>2285</v>
      </c>
      <c r="B5770" t="s">
        <v>113</v>
      </c>
      <c r="C5770" s="8">
        <v>46205</v>
      </c>
      <c r="D5770" t="s">
        <v>327</v>
      </c>
      <c r="E5770" t="s">
        <v>325</v>
      </c>
      <c r="F5770" s="12">
        <v>621941</v>
      </c>
      <c r="G5770" s="13">
        <v>62</v>
      </c>
      <c r="H5770" t="s">
        <v>3365</v>
      </c>
      <c r="I5770" s="8">
        <v>45995</v>
      </c>
      <c r="J5770" t="s">
        <v>2685</v>
      </c>
      <c r="K5770" t="s">
        <v>2686</v>
      </c>
      <c r="L5770" s="13">
        <v>5000</v>
      </c>
      <c r="M5770" t="s">
        <v>2676</v>
      </c>
    </row>
    <row r="5771" spans="1:13">
      <c r="A5771" t="s">
        <v>2286</v>
      </c>
      <c r="B5771" t="s">
        <v>102</v>
      </c>
      <c r="C5771" s="8">
        <v>46233</v>
      </c>
      <c r="D5771" t="s">
        <v>342</v>
      </c>
      <c r="E5771" t="s">
        <v>337</v>
      </c>
      <c r="F5771" s="12">
        <v>204504</v>
      </c>
      <c r="G5771" s="13">
        <v>20</v>
      </c>
      <c r="H5771" t="s">
        <v>2797</v>
      </c>
      <c r="I5771" s="8">
        <v>46163</v>
      </c>
      <c r="J5771" t="s">
        <v>2665</v>
      </c>
      <c r="K5771" t="s">
        <v>2666</v>
      </c>
      <c r="L5771" s="13">
        <v>2500</v>
      </c>
      <c r="M5771" t="s">
        <v>2661</v>
      </c>
    </row>
    <row r="5772" spans="1:13">
      <c r="A5772" t="s">
        <v>2286</v>
      </c>
      <c r="B5772" t="s">
        <v>102</v>
      </c>
      <c r="C5772" s="8">
        <v>46233</v>
      </c>
      <c r="D5772" t="s">
        <v>342</v>
      </c>
      <c r="E5772" t="s">
        <v>337</v>
      </c>
      <c r="F5772" s="12">
        <v>204504</v>
      </c>
      <c r="G5772" s="13">
        <v>20</v>
      </c>
      <c r="H5772" t="s">
        <v>3355</v>
      </c>
      <c r="I5772" s="8">
        <v>46029</v>
      </c>
      <c r="J5772" t="s">
        <v>2659</v>
      </c>
      <c r="K5772" t="s">
        <v>2660</v>
      </c>
      <c r="L5772" s="13">
        <v>3500</v>
      </c>
      <c r="M5772" t="s">
        <v>2676</v>
      </c>
    </row>
    <row r="5773" spans="1:13">
      <c r="A5773" t="s">
        <v>2286</v>
      </c>
      <c r="B5773" t="s">
        <v>102</v>
      </c>
      <c r="C5773" s="8">
        <v>46233</v>
      </c>
      <c r="D5773" t="s">
        <v>342</v>
      </c>
      <c r="E5773" t="s">
        <v>337</v>
      </c>
      <c r="F5773" s="12">
        <v>204504</v>
      </c>
      <c r="G5773" s="13">
        <v>20</v>
      </c>
      <c r="H5773" t="s">
        <v>3360</v>
      </c>
      <c r="I5773" s="8">
        <v>46231</v>
      </c>
      <c r="J5773" t="s">
        <v>2674</v>
      </c>
      <c r="K5773" t="s">
        <v>2675</v>
      </c>
      <c r="L5773" s="13">
        <v>20000</v>
      </c>
      <c r="M5773" t="s">
        <v>2661</v>
      </c>
    </row>
    <row r="5774" spans="1:13">
      <c r="A5774" t="s">
        <v>2286</v>
      </c>
      <c r="B5774" t="s">
        <v>102</v>
      </c>
      <c r="C5774" s="8">
        <v>46233</v>
      </c>
      <c r="D5774" t="s">
        <v>342</v>
      </c>
      <c r="E5774" t="s">
        <v>337</v>
      </c>
      <c r="F5774" s="12">
        <v>204504</v>
      </c>
      <c r="G5774" s="13">
        <v>20</v>
      </c>
      <c r="H5774" t="s">
        <v>3439</v>
      </c>
      <c r="I5774" s="8">
        <v>46268</v>
      </c>
      <c r="J5774" t="s">
        <v>2663</v>
      </c>
      <c r="K5774" t="s">
        <v>3630</v>
      </c>
      <c r="L5774" s="13">
        <v>1500</v>
      </c>
      <c r="M5774" t="s">
        <v>2661</v>
      </c>
    </row>
    <row r="5775" spans="1:13">
      <c r="A5775" t="s">
        <v>2286</v>
      </c>
      <c r="B5775" t="s">
        <v>102</v>
      </c>
      <c r="C5775" s="8">
        <v>46233</v>
      </c>
      <c r="D5775" t="s">
        <v>342</v>
      </c>
      <c r="E5775" t="s">
        <v>337</v>
      </c>
      <c r="F5775" s="12">
        <v>204504</v>
      </c>
      <c r="G5775" s="13">
        <v>20</v>
      </c>
      <c r="H5775" t="s">
        <v>3565</v>
      </c>
      <c r="I5775" s="8">
        <v>46150</v>
      </c>
      <c r="J5775" t="s">
        <v>2674</v>
      </c>
      <c r="K5775" t="s">
        <v>2675</v>
      </c>
      <c r="L5775" s="13">
        <v>20000</v>
      </c>
      <c r="M5775" t="s">
        <v>2661</v>
      </c>
    </row>
    <row r="5776" spans="1:13">
      <c r="A5776" t="s">
        <v>2287</v>
      </c>
      <c r="B5776" t="s">
        <v>164</v>
      </c>
      <c r="C5776" s="8">
        <v>46291</v>
      </c>
      <c r="D5776" t="s">
        <v>327</v>
      </c>
      <c r="E5776" t="s">
        <v>339</v>
      </c>
      <c r="F5776" s="12">
        <v>259763</v>
      </c>
      <c r="G5776" s="13">
        <v>25</v>
      </c>
      <c r="H5776" t="s">
        <v>2971</v>
      </c>
      <c r="I5776" s="8">
        <v>46018</v>
      </c>
      <c r="J5776" t="s">
        <v>2665</v>
      </c>
      <c r="K5776" t="s">
        <v>2666</v>
      </c>
      <c r="L5776" s="13">
        <v>2500</v>
      </c>
      <c r="M5776" t="s">
        <v>2661</v>
      </c>
    </row>
    <row r="5777" spans="1:13">
      <c r="A5777" t="s">
        <v>2287</v>
      </c>
      <c r="B5777" t="s">
        <v>164</v>
      </c>
      <c r="C5777" s="8">
        <v>46291</v>
      </c>
      <c r="D5777" t="s">
        <v>327</v>
      </c>
      <c r="E5777" t="s">
        <v>339</v>
      </c>
      <c r="F5777" s="12">
        <v>259763</v>
      </c>
      <c r="G5777" s="13">
        <v>25</v>
      </c>
      <c r="H5777" t="s">
        <v>3109</v>
      </c>
      <c r="I5777" s="8">
        <v>46204</v>
      </c>
      <c r="J5777" t="s">
        <v>2668</v>
      </c>
      <c r="K5777" t="s">
        <v>2669</v>
      </c>
      <c r="L5777" s="13">
        <v>4000</v>
      </c>
      <c r="M5777" t="s">
        <v>2676</v>
      </c>
    </row>
    <row r="5778" spans="1:13">
      <c r="A5778" t="s">
        <v>2287</v>
      </c>
      <c r="B5778" t="s">
        <v>164</v>
      </c>
      <c r="C5778" s="8">
        <v>46291</v>
      </c>
      <c r="D5778" t="s">
        <v>327</v>
      </c>
      <c r="E5778" t="s">
        <v>339</v>
      </c>
      <c r="F5778" s="12">
        <v>259763</v>
      </c>
      <c r="G5778" s="13">
        <v>25</v>
      </c>
      <c r="H5778" t="s">
        <v>3298</v>
      </c>
      <c r="I5778" s="8">
        <v>46208</v>
      </c>
      <c r="J5778" t="s">
        <v>2692</v>
      </c>
      <c r="K5778" t="s">
        <v>2693</v>
      </c>
      <c r="L5778" s="13">
        <v>10000</v>
      </c>
      <c r="M5778" t="s">
        <v>2661</v>
      </c>
    </row>
    <row r="5779" spans="1:13">
      <c r="A5779" t="s">
        <v>2287</v>
      </c>
      <c r="B5779" t="s">
        <v>164</v>
      </c>
      <c r="C5779" s="8">
        <v>46291</v>
      </c>
      <c r="D5779" t="s">
        <v>327</v>
      </c>
      <c r="E5779" t="s">
        <v>339</v>
      </c>
      <c r="F5779" s="12">
        <v>259763</v>
      </c>
      <c r="G5779" s="13">
        <v>25</v>
      </c>
      <c r="H5779" t="s">
        <v>3523</v>
      </c>
      <c r="I5779" s="8">
        <v>46098</v>
      </c>
      <c r="J5779" t="s">
        <v>2659</v>
      </c>
      <c r="K5779" t="s">
        <v>2660</v>
      </c>
      <c r="L5779" s="13">
        <v>3500</v>
      </c>
      <c r="M5779" t="s">
        <v>2661</v>
      </c>
    </row>
    <row r="5780" spans="1:13">
      <c r="A5780" t="s">
        <v>2288</v>
      </c>
      <c r="B5780" t="s">
        <v>270</v>
      </c>
      <c r="C5780" s="8">
        <v>46180</v>
      </c>
      <c r="D5780" t="s">
        <v>342</v>
      </c>
      <c r="E5780" t="s">
        <v>322</v>
      </c>
      <c r="F5780" s="12">
        <v>442173</v>
      </c>
      <c r="G5780" s="13">
        <v>44</v>
      </c>
      <c r="H5780" t="s">
        <v>2881</v>
      </c>
      <c r="I5780" s="8">
        <v>46177</v>
      </c>
      <c r="J5780" t="s">
        <v>2685</v>
      </c>
      <c r="K5780" t="s">
        <v>2686</v>
      </c>
      <c r="L5780" s="13">
        <v>5000</v>
      </c>
      <c r="M5780" t="s">
        <v>2661</v>
      </c>
    </row>
    <row r="5781" spans="1:13">
      <c r="A5781" t="s">
        <v>2288</v>
      </c>
      <c r="B5781" t="s">
        <v>270</v>
      </c>
      <c r="C5781" s="8">
        <v>46180</v>
      </c>
      <c r="D5781" t="s">
        <v>342</v>
      </c>
      <c r="E5781" t="s">
        <v>322</v>
      </c>
      <c r="F5781" s="12">
        <v>442173</v>
      </c>
      <c r="G5781" s="13">
        <v>44</v>
      </c>
      <c r="H5781" t="s">
        <v>3386</v>
      </c>
      <c r="I5781" s="8">
        <v>46223</v>
      </c>
      <c r="J5781" t="s">
        <v>2663</v>
      </c>
      <c r="K5781" t="s">
        <v>3630</v>
      </c>
      <c r="L5781" s="13">
        <v>1500</v>
      </c>
      <c r="M5781" t="s">
        <v>2661</v>
      </c>
    </row>
    <row r="5782" spans="1:13">
      <c r="A5782" t="s">
        <v>2289</v>
      </c>
      <c r="B5782" t="s">
        <v>106</v>
      </c>
      <c r="C5782" s="8">
        <v>45978</v>
      </c>
      <c r="D5782" t="s">
        <v>321</v>
      </c>
      <c r="E5782" t="s">
        <v>337</v>
      </c>
      <c r="F5782" s="12">
        <v>1144657</v>
      </c>
      <c r="G5782" s="13">
        <v>114</v>
      </c>
      <c r="H5782" t="s">
        <v>2700</v>
      </c>
      <c r="I5782" s="8">
        <v>46262</v>
      </c>
      <c r="J5782" t="s">
        <v>2692</v>
      </c>
      <c r="K5782" t="s">
        <v>2693</v>
      </c>
      <c r="L5782" s="13">
        <v>10000</v>
      </c>
      <c r="M5782" t="s">
        <v>2676</v>
      </c>
    </row>
    <row r="5783" spans="1:13">
      <c r="A5783" t="s">
        <v>2289</v>
      </c>
      <c r="B5783" t="s">
        <v>106</v>
      </c>
      <c r="C5783" s="8">
        <v>45978</v>
      </c>
      <c r="D5783" t="s">
        <v>321</v>
      </c>
      <c r="E5783" t="s">
        <v>337</v>
      </c>
      <c r="F5783" s="12">
        <v>1144657</v>
      </c>
      <c r="G5783" s="13">
        <v>114</v>
      </c>
      <c r="H5783" t="s">
        <v>2973</v>
      </c>
      <c r="I5783" s="8">
        <v>46143</v>
      </c>
      <c r="J5783" t="s">
        <v>2682</v>
      </c>
      <c r="K5783" t="s">
        <v>2683</v>
      </c>
      <c r="L5783" s="13">
        <v>6000</v>
      </c>
      <c r="M5783" t="s">
        <v>2661</v>
      </c>
    </row>
    <row r="5784" spans="1:13">
      <c r="A5784" t="s">
        <v>2289</v>
      </c>
      <c r="B5784" t="s">
        <v>106</v>
      </c>
      <c r="C5784" s="8">
        <v>45978</v>
      </c>
      <c r="D5784" t="s">
        <v>321</v>
      </c>
      <c r="E5784" t="s">
        <v>337</v>
      </c>
      <c r="F5784" s="12">
        <v>1144657</v>
      </c>
      <c r="G5784" s="13">
        <v>114</v>
      </c>
      <c r="H5784" t="s">
        <v>3217</v>
      </c>
      <c r="I5784" s="8">
        <v>46275</v>
      </c>
      <c r="J5784" t="s">
        <v>2682</v>
      </c>
      <c r="K5784" t="s">
        <v>2683</v>
      </c>
      <c r="L5784" s="13">
        <v>6000</v>
      </c>
      <c r="M5784" t="s">
        <v>2676</v>
      </c>
    </row>
    <row r="5785" spans="1:13">
      <c r="A5785" t="s">
        <v>2289</v>
      </c>
      <c r="B5785" t="s">
        <v>106</v>
      </c>
      <c r="C5785" s="8">
        <v>45978</v>
      </c>
      <c r="D5785" t="s">
        <v>321</v>
      </c>
      <c r="E5785" t="s">
        <v>337</v>
      </c>
      <c r="F5785" s="12">
        <v>1144657</v>
      </c>
      <c r="G5785" s="13">
        <v>114</v>
      </c>
      <c r="H5785" t="s">
        <v>3285</v>
      </c>
      <c r="I5785" s="8">
        <v>46234</v>
      </c>
      <c r="J5785" t="s">
        <v>2668</v>
      </c>
      <c r="K5785" t="s">
        <v>2669</v>
      </c>
      <c r="L5785" s="13">
        <v>4000</v>
      </c>
      <c r="M5785" t="s">
        <v>2661</v>
      </c>
    </row>
    <row r="5786" spans="1:13">
      <c r="A5786" t="s">
        <v>2289</v>
      </c>
      <c r="B5786" t="s">
        <v>106</v>
      </c>
      <c r="C5786" s="8">
        <v>45978</v>
      </c>
      <c r="D5786" t="s">
        <v>321</v>
      </c>
      <c r="E5786" t="s">
        <v>337</v>
      </c>
      <c r="F5786" s="12">
        <v>1144657</v>
      </c>
      <c r="G5786" s="13">
        <v>114</v>
      </c>
      <c r="H5786" t="s">
        <v>3476</v>
      </c>
      <c r="I5786" s="8">
        <v>45966</v>
      </c>
      <c r="J5786" t="s">
        <v>2674</v>
      </c>
      <c r="K5786" t="s">
        <v>2675</v>
      </c>
      <c r="L5786" s="13">
        <v>20000</v>
      </c>
      <c r="M5786" t="s">
        <v>2661</v>
      </c>
    </row>
    <row r="5787" spans="1:13">
      <c r="A5787" t="s">
        <v>2290</v>
      </c>
      <c r="B5787" t="s">
        <v>109</v>
      </c>
      <c r="C5787" s="8">
        <v>46259</v>
      </c>
      <c r="D5787" t="s">
        <v>350</v>
      </c>
      <c r="E5787" t="s">
        <v>322</v>
      </c>
      <c r="F5787" s="12">
        <v>429629</v>
      </c>
      <c r="G5787" s="13">
        <v>42</v>
      </c>
      <c r="H5787" t="s">
        <v>2848</v>
      </c>
      <c r="I5787" s="8">
        <v>46269</v>
      </c>
      <c r="J5787" t="s">
        <v>2659</v>
      </c>
      <c r="K5787" t="s">
        <v>2660</v>
      </c>
      <c r="L5787" s="13">
        <v>3500</v>
      </c>
      <c r="M5787" t="s">
        <v>2676</v>
      </c>
    </row>
    <row r="5788" spans="1:13">
      <c r="A5788" t="s">
        <v>2290</v>
      </c>
      <c r="B5788" t="s">
        <v>109</v>
      </c>
      <c r="C5788" s="8">
        <v>46259</v>
      </c>
      <c r="D5788" t="s">
        <v>350</v>
      </c>
      <c r="E5788" t="s">
        <v>322</v>
      </c>
      <c r="F5788" s="12">
        <v>429629</v>
      </c>
      <c r="G5788" s="13">
        <v>42</v>
      </c>
      <c r="H5788" t="s">
        <v>3196</v>
      </c>
      <c r="I5788" s="8">
        <v>46238</v>
      </c>
      <c r="J5788" t="s">
        <v>2674</v>
      </c>
      <c r="K5788" t="s">
        <v>2675</v>
      </c>
      <c r="L5788" s="13">
        <v>20000</v>
      </c>
      <c r="M5788" t="s">
        <v>2661</v>
      </c>
    </row>
    <row r="5789" spans="1:13">
      <c r="A5789" t="s">
        <v>2291</v>
      </c>
      <c r="B5789" t="s">
        <v>294</v>
      </c>
      <c r="C5789" s="8">
        <v>46198</v>
      </c>
      <c r="D5789" t="s">
        <v>342</v>
      </c>
      <c r="E5789" t="s">
        <v>322</v>
      </c>
      <c r="F5789" s="12">
        <v>167830</v>
      </c>
      <c r="G5789" s="13">
        <v>16</v>
      </c>
      <c r="H5789" t="s">
        <v>3571</v>
      </c>
      <c r="I5789" s="8">
        <v>45937</v>
      </c>
      <c r="J5789" t="s">
        <v>2663</v>
      </c>
      <c r="K5789" t="s">
        <v>3630</v>
      </c>
      <c r="L5789" s="13">
        <v>1500</v>
      </c>
      <c r="M5789" t="s">
        <v>2661</v>
      </c>
    </row>
    <row r="5790" spans="1:13">
      <c r="A5790" t="s">
        <v>2291</v>
      </c>
      <c r="B5790" t="s">
        <v>294</v>
      </c>
      <c r="C5790" s="8">
        <v>46198</v>
      </c>
      <c r="D5790" t="s">
        <v>342</v>
      </c>
      <c r="E5790" t="s">
        <v>322</v>
      </c>
      <c r="F5790" s="12">
        <v>167830</v>
      </c>
      <c r="G5790" s="13">
        <v>16</v>
      </c>
      <c r="H5790" t="s">
        <v>3572</v>
      </c>
      <c r="I5790" s="8">
        <v>46039</v>
      </c>
      <c r="J5790" t="s">
        <v>2668</v>
      </c>
      <c r="K5790" t="s">
        <v>2669</v>
      </c>
      <c r="L5790" s="13">
        <v>4000</v>
      </c>
      <c r="M5790" t="s">
        <v>2661</v>
      </c>
    </row>
    <row r="5791" spans="1:13">
      <c r="A5791" t="s">
        <v>2292</v>
      </c>
      <c r="B5791" t="s">
        <v>284</v>
      </c>
      <c r="C5791" s="8">
        <v>46078</v>
      </c>
      <c r="D5791" t="s">
        <v>350</v>
      </c>
      <c r="E5791" t="s">
        <v>337</v>
      </c>
      <c r="F5791" s="12">
        <v>514686</v>
      </c>
      <c r="G5791" s="13">
        <v>51</v>
      </c>
      <c r="H5791" t="s">
        <v>2713</v>
      </c>
      <c r="I5791" s="8">
        <v>46275</v>
      </c>
      <c r="J5791" t="s">
        <v>2674</v>
      </c>
      <c r="K5791" t="s">
        <v>2675</v>
      </c>
      <c r="L5791" s="13">
        <v>20000</v>
      </c>
      <c r="M5791" t="s">
        <v>2661</v>
      </c>
    </row>
    <row r="5792" spans="1:13">
      <c r="A5792" t="s">
        <v>2292</v>
      </c>
      <c r="B5792" t="s">
        <v>284</v>
      </c>
      <c r="C5792" s="8">
        <v>46078</v>
      </c>
      <c r="D5792" t="s">
        <v>350</v>
      </c>
      <c r="E5792" t="s">
        <v>337</v>
      </c>
      <c r="F5792" s="12">
        <v>514686</v>
      </c>
      <c r="G5792" s="13">
        <v>51</v>
      </c>
      <c r="H5792" t="s">
        <v>2751</v>
      </c>
      <c r="I5792" s="8">
        <v>46170</v>
      </c>
      <c r="J5792" t="s">
        <v>2671</v>
      </c>
      <c r="K5792" t="s">
        <v>2672</v>
      </c>
      <c r="L5792" s="13">
        <v>3000</v>
      </c>
      <c r="M5792" t="s">
        <v>2661</v>
      </c>
    </row>
    <row r="5793" spans="1:13">
      <c r="A5793" t="s">
        <v>2292</v>
      </c>
      <c r="B5793" t="s">
        <v>284</v>
      </c>
      <c r="C5793" s="8">
        <v>46078</v>
      </c>
      <c r="D5793" t="s">
        <v>350</v>
      </c>
      <c r="E5793" t="s">
        <v>337</v>
      </c>
      <c r="F5793" s="12">
        <v>514686</v>
      </c>
      <c r="G5793" s="13">
        <v>51</v>
      </c>
      <c r="H5793" t="s">
        <v>3208</v>
      </c>
      <c r="I5793" s="8">
        <v>45949</v>
      </c>
      <c r="J5793" t="s">
        <v>2674</v>
      </c>
      <c r="K5793" t="s">
        <v>2675</v>
      </c>
      <c r="L5793" s="13">
        <v>20000</v>
      </c>
      <c r="M5793" t="s">
        <v>2661</v>
      </c>
    </row>
    <row r="5794" spans="1:13">
      <c r="A5794" t="s">
        <v>2292</v>
      </c>
      <c r="B5794" t="s">
        <v>284</v>
      </c>
      <c r="C5794" s="8">
        <v>46078</v>
      </c>
      <c r="D5794" t="s">
        <v>350</v>
      </c>
      <c r="E5794" t="s">
        <v>337</v>
      </c>
      <c r="F5794" s="12">
        <v>514686</v>
      </c>
      <c r="G5794" s="13">
        <v>51</v>
      </c>
      <c r="H5794" t="s">
        <v>3259</v>
      </c>
      <c r="I5794" s="8">
        <v>46227</v>
      </c>
      <c r="J5794" t="s">
        <v>2665</v>
      </c>
      <c r="K5794" t="s">
        <v>2666</v>
      </c>
      <c r="L5794" s="13">
        <v>2500</v>
      </c>
      <c r="M5794" t="s">
        <v>2661</v>
      </c>
    </row>
    <row r="5795" spans="1:13">
      <c r="A5795" t="s">
        <v>2292</v>
      </c>
      <c r="B5795" t="s">
        <v>284</v>
      </c>
      <c r="C5795" s="8">
        <v>46078</v>
      </c>
      <c r="D5795" t="s">
        <v>350</v>
      </c>
      <c r="E5795" t="s">
        <v>337</v>
      </c>
      <c r="F5795" s="12">
        <v>514686</v>
      </c>
      <c r="G5795" s="13">
        <v>51</v>
      </c>
      <c r="H5795" t="s">
        <v>3404</v>
      </c>
      <c r="I5795" s="8">
        <v>46114</v>
      </c>
      <c r="J5795" t="s">
        <v>2688</v>
      </c>
      <c r="K5795" t="s">
        <v>2689</v>
      </c>
      <c r="L5795" s="13">
        <v>8000</v>
      </c>
      <c r="M5795" t="s">
        <v>2661</v>
      </c>
    </row>
    <row r="5796" spans="1:13">
      <c r="A5796" t="s">
        <v>2293</v>
      </c>
      <c r="B5796" t="s">
        <v>278</v>
      </c>
      <c r="C5796" s="8">
        <v>46285</v>
      </c>
      <c r="D5796" t="s">
        <v>342</v>
      </c>
      <c r="E5796" t="s">
        <v>328</v>
      </c>
      <c r="F5796" s="12">
        <v>592472</v>
      </c>
      <c r="G5796" s="13">
        <v>59</v>
      </c>
      <c r="H5796" t="s">
        <v>2818</v>
      </c>
      <c r="I5796" s="8">
        <v>45998</v>
      </c>
      <c r="J5796" t="s">
        <v>2685</v>
      </c>
      <c r="K5796" t="s">
        <v>2686</v>
      </c>
      <c r="L5796" s="13">
        <v>5000</v>
      </c>
      <c r="M5796" t="s">
        <v>2661</v>
      </c>
    </row>
    <row r="5797" spans="1:13">
      <c r="A5797" t="s">
        <v>2293</v>
      </c>
      <c r="B5797" t="s">
        <v>278</v>
      </c>
      <c r="C5797" s="8">
        <v>46285</v>
      </c>
      <c r="D5797" t="s">
        <v>342</v>
      </c>
      <c r="E5797" t="s">
        <v>328</v>
      </c>
      <c r="F5797" s="12">
        <v>592472</v>
      </c>
      <c r="G5797" s="13">
        <v>59</v>
      </c>
      <c r="H5797" t="s">
        <v>3083</v>
      </c>
      <c r="I5797" s="8">
        <v>46001</v>
      </c>
      <c r="J5797" t="s">
        <v>2671</v>
      </c>
      <c r="K5797" t="s">
        <v>2672</v>
      </c>
      <c r="L5797" s="13">
        <v>3000</v>
      </c>
      <c r="M5797" t="s">
        <v>2676</v>
      </c>
    </row>
    <row r="5798" spans="1:13">
      <c r="A5798" t="s">
        <v>2293</v>
      </c>
      <c r="B5798" t="s">
        <v>278</v>
      </c>
      <c r="C5798" s="8">
        <v>46285</v>
      </c>
      <c r="D5798" t="s">
        <v>342</v>
      </c>
      <c r="E5798" t="s">
        <v>328</v>
      </c>
      <c r="F5798" s="12">
        <v>592472</v>
      </c>
      <c r="G5798" s="13">
        <v>59</v>
      </c>
      <c r="H5798" t="s">
        <v>3093</v>
      </c>
      <c r="I5798" s="8">
        <v>46073</v>
      </c>
      <c r="J5798" t="s">
        <v>2668</v>
      </c>
      <c r="K5798" t="s">
        <v>2669</v>
      </c>
      <c r="L5798" s="13">
        <v>4000</v>
      </c>
      <c r="M5798" t="s">
        <v>2661</v>
      </c>
    </row>
    <row r="5799" spans="1:13">
      <c r="A5799" t="s">
        <v>2294</v>
      </c>
      <c r="B5799" t="s">
        <v>135</v>
      </c>
      <c r="C5799" s="8">
        <v>46006</v>
      </c>
      <c r="D5799" t="s">
        <v>324</v>
      </c>
      <c r="E5799" t="s">
        <v>334</v>
      </c>
      <c r="F5799" s="12">
        <v>181568</v>
      </c>
      <c r="G5799" s="13">
        <v>18</v>
      </c>
      <c r="H5799" t="s">
        <v>2922</v>
      </c>
      <c r="I5799" s="8">
        <v>45998</v>
      </c>
      <c r="J5799" t="s">
        <v>2682</v>
      </c>
      <c r="K5799" t="s">
        <v>2683</v>
      </c>
      <c r="L5799" s="13">
        <v>6000</v>
      </c>
      <c r="M5799" t="s">
        <v>2661</v>
      </c>
    </row>
    <row r="5800" spans="1:13">
      <c r="A5800" t="s">
        <v>2294</v>
      </c>
      <c r="B5800" t="s">
        <v>135</v>
      </c>
      <c r="C5800" s="8">
        <v>46006</v>
      </c>
      <c r="D5800" t="s">
        <v>324</v>
      </c>
      <c r="E5800" t="s">
        <v>334</v>
      </c>
      <c r="F5800" s="12">
        <v>181568</v>
      </c>
      <c r="G5800" s="13">
        <v>18</v>
      </c>
      <c r="H5800" t="s">
        <v>3053</v>
      </c>
      <c r="I5800" s="8">
        <v>46165</v>
      </c>
      <c r="J5800" t="s">
        <v>2692</v>
      </c>
      <c r="K5800" t="s">
        <v>2693</v>
      </c>
      <c r="L5800" s="13">
        <v>10000</v>
      </c>
      <c r="M5800" t="s">
        <v>2661</v>
      </c>
    </row>
    <row r="5801" spans="1:13">
      <c r="A5801" t="s">
        <v>2294</v>
      </c>
      <c r="B5801" t="s">
        <v>135</v>
      </c>
      <c r="C5801" s="8">
        <v>46006</v>
      </c>
      <c r="D5801" t="s">
        <v>324</v>
      </c>
      <c r="E5801" t="s">
        <v>334</v>
      </c>
      <c r="F5801" s="12">
        <v>181568</v>
      </c>
      <c r="G5801" s="13">
        <v>18</v>
      </c>
      <c r="H5801" t="s">
        <v>3118</v>
      </c>
      <c r="I5801" s="8">
        <v>45989</v>
      </c>
      <c r="J5801" t="s">
        <v>2692</v>
      </c>
      <c r="K5801" t="s">
        <v>2693</v>
      </c>
      <c r="L5801" s="13">
        <v>10000</v>
      </c>
      <c r="M5801" t="s">
        <v>2661</v>
      </c>
    </row>
    <row r="5802" spans="1:13">
      <c r="A5802" t="s">
        <v>2294</v>
      </c>
      <c r="B5802" t="s">
        <v>135</v>
      </c>
      <c r="C5802" s="8">
        <v>46006</v>
      </c>
      <c r="D5802" t="s">
        <v>324</v>
      </c>
      <c r="E5802" t="s">
        <v>334</v>
      </c>
      <c r="F5802" s="12">
        <v>181568</v>
      </c>
      <c r="G5802" s="13">
        <v>18</v>
      </c>
      <c r="H5802" t="s">
        <v>3262</v>
      </c>
      <c r="I5802" s="8">
        <v>46091</v>
      </c>
      <c r="J5802" t="s">
        <v>2682</v>
      </c>
      <c r="K5802" t="s">
        <v>2683</v>
      </c>
      <c r="L5802" s="13">
        <v>6000</v>
      </c>
      <c r="M5802" t="s">
        <v>2661</v>
      </c>
    </row>
    <row r="5803" spans="1:13">
      <c r="A5803" t="s">
        <v>2295</v>
      </c>
      <c r="B5803" t="s">
        <v>36</v>
      </c>
      <c r="C5803" s="8">
        <v>46097</v>
      </c>
      <c r="D5803" t="s">
        <v>350</v>
      </c>
      <c r="E5803" t="s">
        <v>339</v>
      </c>
      <c r="F5803" s="12">
        <v>259427</v>
      </c>
      <c r="G5803" s="13">
        <v>25</v>
      </c>
      <c r="H5803" t="s">
        <v>2780</v>
      </c>
      <c r="I5803" s="8">
        <v>46076</v>
      </c>
      <c r="J5803" t="s">
        <v>2671</v>
      </c>
      <c r="K5803" t="s">
        <v>2672</v>
      </c>
      <c r="L5803" s="13">
        <v>3000</v>
      </c>
      <c r="M5803" t="s">
        <v>2661</v>
      </c>
    </row>
    <row r="5804" spans="1:13">
      <c r="A5804" t="s">
        <v>2295</v>
      </c>
      <c r="B5804" t="s">
        <v>36</v>
      </c>
      <c r="C5804" s="8">
        <v>46097</v>
      </c>
      <c r="D5804" t="s">
        <v>350</v>
      </c>
      <c r="E5804" t="s">
        <v>339</v>
      </c>
      <c r="F5804" s="12">
        <v>259427</v>
      </c>
      <c r="G5804" s="13">
        <v>25</v>
      </c>
      <c r="H5804" t="s">
        <v>3169</v>
      </c>
      <c r="I5804" s="8">
        <v>46084</v>
      </c>
      <c r="J5804" t="s">
        <v>2685</v>
      </c>
      <c r="K5804" t="s">
        <v>2686</v>
      </c>
      <c r="L5804" s="13">
        <v>5000</v>
      </c>
      <c r="M5804" t="s">
        <v>2661</v>
      </c>
    </row>
    <row r="5805" spans="1:13">
      <c r="A5805" t="s">
        <v>2295</v>
      </c>
      <c r="B5805" t="s">
        <v>36</v>
      </c>
      <c r="C5805" s="8">
        <v>46097</v>
      </c>
      <c r="D5805" t="s">
        <v>350</v>
      </c>
      <c r="E5805" t="s">
        <v>339</v>
      </c>
      <c r="F5805" s="12">
        <v>259427</v>
      </c>
      <c r="G5805" s="13">
        <v>25</v>
      </c>
      <c r="H5805" t="s">
        <v>3458</v>
      </c>
      <c r="I5805" s="8">
        <v>45978</v>
      </c>
      <c r="J5805" t="s">
        <v>2665</v>
      </c>
      <c r="K5805" t="s">
        <v>2666</v>
      </c>
      <c r="L5805" s="13">
        <v>2500</v>
      </c>
      <c r="M5805" t="s">
        <v>2661</v>
      </c>
    </row>
    <row r="5806" spans="1:13">
      <c r="A5806" t="s">
        <v>2295</v>
      </c>
      <c r="B5806" t="s">
        <v>36</v>
      </c>
      <c r="C5806" s="8">
        <v>46097</v>
      </c>
      <c r="D5806" t="s">
        <v>350</v>
      </c>
      <c r="E5806" t="s">
        <v>339</v>
      </c>
      <c r="F5806" s="12">
        <v>259427</v>
      </c>
      <c r="G5806" s="13">
        <v>25</v>
      </c>
      <c r="H5806" t="s">
        <v>3521</v>
      </c>
      <c r="I5806" s="8">
        <v>45936</v>
      </c>
      <c r="J5806" t="s">
        <v>2674</v>
      </c>
      <c r="K5806" t="s">
        <v>2675</v>
      </c>
      <c r="L5806" s="13">
        <v>20000</v>
      </c>
      <c r="M5806" t="s">
        <v>2661</v>
      </c>
    </row>
    <row r="5807" spans="1:13">
      <c r="A5807" t="s">
        <v>2296</v>
      </c>
      <c r="B5807" t="s">
        <v>292</v>
      </c>
      <c r="C5807" s="8">
        <v>45994</v>
      </c>
      <c r="D5807" t="s">
        <v>330</v>
      </c>
      <c r="E5807" t="s">
        <v>339</v>
      </c>
      <c r="F5807" s="12">
        <v>105686</v>
      </c>
      <c r="G5807" s="13">
        <v>10</v>
      </c>
      <c r="H5807" t="s">
        <v>2945</v>
      </c>
      <c r="I5807" s="8">
        <v>46180</v>
      </c>
      <c r="J5807" t="s">
        <v>2663</v>
      </c>
      <c r="K5807" t="s">
        <v>3630</v>
      </c>
      <c r="L5807" s="13">
        <v>1500</v>
      </c>
      <c r="M5807" t="s">
        <v>2661</v>
      </c>
    </row>
    <row r="5808" spans="1:13">
      <c r="A5808" t="s">
        <v>2296</v>
      </c>
      <c r="B5808" t="s">
        <v>292</v>
      </c>
      <c r="C5808" s="8">
        <v>45994</v>
      </c>
      <c r="D5808" t="s">
        <v>330</v>
      </c>
      <c r="E5808" t="s">
        <v>339</v>
      </c>
      <c r="F5808" s="12">
        <v>105686</v>
      </c>
      <c r="G5808" s="13">
        <v>10</v>
      </c>
      <c r="H5808" t="s">
        <v>3229</v>
      </c>
      <c r="I5808" s="8">
        <v>46149</v>
      </c>
      <c r="J5808" t="s">
        <v>2692</v>
      </c>
      <c r="K5808" t="s">
        <v>2693</v>
      </c>
      <c r="L5808" s="13">
        <v>10000</v>
      </c>
      <c r="M5808" t="s">
        <v>2661</v>
      </c>
    </row>
    <row r="5809" spans="1:13">
      <c r="A5809" t="s">
        <v>2297</v>
      </c>
      <c r="B5809" t="s">
        <v>218</v>
      </c>
      <c r="C5809" s="8">
        <v>46153</v>
      </c>
      <c r="D5809" t="s">
        <v>332</v>
      </c>
      <c r="E5809" t="s">
        <v>322</v>
      </c>
      <c r="F5809" s="12">
        <v>373116</v>
      </c>
      <c r="G5809" s="13">
        <v>37</v>
      </c>
      <c r="H5809" t="s">
        <v>2946</v>
      </c>
      <c r="I5809" s="8">
        <v>46105</v>
      </c>
      <c r="J5809" t="s">
        <v>2668</v>
      </c>
      <c r="K5809" t="s">
        <v>2669</v>
      </c>
      <c r="L5809" s="13">
        <v>4000</v>
      </c>
      <c r="M5809" t="s">
        <v>2661</v>
      </c>
    </row>
    <row r="5810" spans="1:13">
      <c r="A5810" t="s">
        <v>2297</v>
      </c>
      <c r="B5810" t="s">
        <v>218</v>
      </c>
      <c r="C5810" s="8">
        <v>46153</v>
      </c>
      <c r="D5810" t="s">
        <v>332</v>
      </c>
      <c r="E5810" t="s">
        <v>322</v>
      </c>
      <c r="F5810" s="12">
        <v>373116</v>
      </c>
      <c r="G5810" s="13">
        <v>37</v>
      </c>
      <c r="H5810" t="s">
        <v>3095</v>
      </c>
      <c r="I5810" s="8">
        <v>46223</v>
      </c>
      <c r="J5810" t="s">
        <v>2668</v>
      </c>
      <c r="K5810" t="s">
        <v>2669</v>
      </c>
      <c r="L5810" s="13">
        <v>4000</v>
      </c>
      <c r="M5810" t="s">
        <v>2661</v>
      </c>
    </row>
    <row r="5811" spans="1:13">
      <c r="A5811" t="s">
        <v>2297</v>
      </c>
      <c r="B5811" t="s">
        <v>218</v>
      </c>
      <c r="C5811" s="8">
        <v>46153</v>
      </c>
      <c r="D5811" t="s">
        <v>332</v>
      </c>
      <c r="E5811" t="s">
        <v>322</v>
      </c>
      <c r="F5811" s="12">
        <v>373116</v>
      </c>
      <c r="G5811" s="13">
        <v>37</v>
      </c>
      <c r="H5811" t="s">
        <v>3260</v>
      </c>
      <c r="I5811" s="8">
        <v>45974</v>
      </c>
      <c r="J5811" t="s">
        <v>2668</v>
      </c>
      <c r="K5811" t="s">
        <v>2669</v>
      </c>
      <c r="L5811" s="13">
        <v>4000</v>
      </c>
      <c r="M5811" t="s">
        <v>2661</v>
      </c>
    </row>
    <row r="5812" spans="1:13">
      <c r="A5812" t="s">
        <v>2298</v>
      </c>
      <c r="B5812" t="s">
        <v>65</v>
      </c>
      <c r="C5812" s="8">
        <v>46151</v>
      </c>
      <c r="D5812" t="s">
        <v>350</v>
      </c>
      <c r="E5812" t="s">
        <v>334</v>
      </c>
      <c r="F5812" s="12">
        <v>243639</v>
      </c>
      <c r="G5812" s="13">
        <v>24</v>
      </c>
      <c r="H5812" t="s">
        <v>2801</v>
      </c>
      <c r="I5812" s="8">
        <v>46162</v>
      </c>
      <c r="J5812" t="s">
        <v>2688</v>
      </c>
      <c r="K5812" t="s">
        <v>2689</v>
      </c>
      <c r="L5812" s="13">
        <v>8000</v>
      </c>
      <c r="M5812" t="s">
        <v>2661</v>
      </c>
    </row>
    <row r="5813" spans="1:13">
      <c r="A5813" t="s">
        <v>2298</v>
      </c>
      <c r="B5813" t="s">
        <v>65</v>
      </c>
      <c r="C5813" s="8">
        <v>46151</v>
      </c>
      <c r="D5813" t="s">
        <v>350</v>
      </c>
      <c r="E5813" t="s">
        <v>334</v>
      </c>
      <c r="F5813" s="12">
        <v>243639</v>
      </c>
      <c r="G5813" s="13">
        <v>24</v>
      </c>
      <c r="H5813" t="s">
        <v>2826</v>
      </c>
      <c r="I5813" s="8">
        <v>46147</v>
      </c>
      <c r="J5813" t="s">
        <v>2674</v>
      </c>
      <c r="K5813" t="s">
        <v>2675</v>
      </c>
      <c r="L5813" s="13">
        <v>20000</v>
      </c>
      <c r="M5813" t="s">
        <v>2661</v>
      </c>
    </row>
    <row r="5814" spans="1:13">
      <c r="A5814" t="s">
        <v>2298</v>
      </c>
      <c r="B5814" t="s">
        <v>65</v>
      </c>
      <c r="C5814" s="8">
        <v>46151</v>
      </c>
      <c r="D5814" t="s">
        <v>350</v>
      </c>
      <c r="E5814" t="s">
        <v>334</v>
      </c>
      <c r="F5814" s="12">
        <v>243639</v>
      </c>
      <c r="G5814" s="13">
        <v>24</v>
      </c>
      <c r="H5814" t="s">
        <v>3124</v>
      </c>
      <c r="I5814" s="8">
        <v>46278</v>
      </c>
      <c r="J5814" t="s">
        <v>2674</v>
      </c>
      <c r="K5814" t="s">
        <v>2675</v>
      </c>
      <c r="L5814" s="13">
        <v>20000</v>
      </c>
      <c r="M5814" t="s">
        <v>2661</v>
      </c>
    </row>
    <row r="5815" spans="1:13">
      <c r="A5815" t="s">
        <v>2298</v>
      </c>
      <c r="B5815" t="s">
        <v>65</v>
      </c>
      <c r="C5815" s="8">
        <v>46151</v>
      </c>
      <c r="D5815" t="s">
        <v>350</v>
      </c>
      <c r="E5815" t="s">
        <v>334</v>
      </c>
      <c r="F5815" s="12">
        <v>243639</v>
      </c>
      <c r="G5815" s="13">
        <v>24</v>
      </c>
      <c r="H5815" t="s">
        <v>3167</v>
      </c>
      <c r="I5815" s="8">
        <v>46013</v>
      </c>
      <c r="J5815" t="s">
        <v>2685</v>
      </c>
      <c r="K5815" t="s">
        <v>2686</v>
      </c>
      <c r="L5815" s="13">
        <v>5000</v>
      </c>
      <c r="M5815" t="s">
        <v>2676</v>
      </c>
    </row>
    <row r="5816" spans="1:13">
      <c r="A5816" t="s">
        <v>2298</v>
      </c>
      <c r="B5816" t="s">
        <v>65</v>
      </c>
      <c r="C5816" s="8">
        <v>46151</v>
      </c>
      <c r="D5816" t="s">
        <v>350</v>
      </c>
      <c r="E5816" t="s">
        <v>334</v>
      </c>
      <c r="F5816" s="12">
        <v>243639</v>
      </c>
      <c r="G5816" s="13">
        <v>24</v>
      </c>
      <c r="H5816" t="s">
        <v>3344</v>
      </c>
      <c r="I5816" s="8">
        <v>45982</v>
      </c>
      <c r="J5816" t="s">
        <v>2668</v>
      </c>
      <c r="K5816" t="s">
        <v>2669</v>
      </c>
      <c r="L5816" s="13">
        <v>4000</v>
      </c>
      <c r="M5816" t="s">
        <v>2661</v>
      </c>
    </row>
    <row r="5817" spans="1:13">
      <c r="A5817" t="s">
        <v>2299</v>
      </c>
      <c r="B5817" t="s">
        <v>253</v>
      </c>
      <c r="C5817" s="8">
        <v>46234</v>
      </c>
      <c r="D5817" t="s">
        <v>321</v>
      </c>
      <c r="E5817" t="s">
        <v>334</v>
      </c>
      <c r="F5817" s="12">
        <v>25000</v>
      </c>
      <c r="G5817" s="13">
        <v>2</v>
      </c>
      <c r="H5817" t="s">
        <v>2862</v>
      </c>
      <c r="I5817" s="8">
        <v>46039</v>
      </c>
      <c r="J5817" t="s">
        <v>2663</v>
      </c>
      <c r="K5817" t="s">
        <v>3630</v>
      </c>
      <c r="L5817" s="13">
        <v>1500</v>
      </c>
      <c r="M5817" t="s">
        <v>2661</v>
      </c>
    </row>
    <row r="5818" spans="1:13">
      <c r="A5818" t="s">
        <v>2299</v>
      </c>
      <c r="B5818" t="s">
        <v>253</v>
      </c>
      <c r="C5818" s="8">
        <v>46234</v>
      </c>
      <c r="D5818" t="s">
        <v>321</v>
      </c>
      <c r="E5818" t="s">
        <v>334</v>
      </c>
      <c r="F5818" s="12">
        <v>25000</v>
      </c>
      <c r="G5818" s="13">
        <v>2</v>
      </c>
      <c r="H5818" t="s">
        <v>3158</v>
      </c>
      <c r="I5818" s="8">
        <v>46168</v>
      </c>
      <c r="J5818" t="s">
        <v>2685</v>
      </c>
      <c r="K5818" t="s">
        <v>2686</v>
      </c>
      <c r="L5818" s="13">
        <v>5000</v>
      </c>
      <c r="M5818" t="s">
        <v>2676</v>
      </c>
    </row>
    <row r="5819" spans="1:13">
      <c r="A5819" t="s">
        <v>2299</v>
      </c>
      <c r="B5819" t="s">
        <v>253</v>
      </c>
      <c r="C5819" s="8">
        <v>46234</v>
      </c>
      <c r="D5819" t="s">
        <v>321</v>
      </c>
      <c r="E5819" t="s">
        <v>334</v>
      </c>
      <c r="F5819" s="12">
        <v>25000</v>
      </c>
      <c r="G5819" s="13">
        <v>2</v>
      </c>
      <c r="H5819" t="s">
        <v>3173</v>
      </c>
      <c r="I5819" s="8">
        <v>46038</v>
      </c>
      <c r="J5819" t="s">
        <v>2682</v>
      </c>
      <c r="K5819" t="s">
        <v>2683</v>
      </c>
      <c r="L5819" s="13">
        <v>6000</v>
      </c>
      <c r="M5819" t="s">
        <v>2676</v>
      </c>
    </row>
    <row r="5820" spans="1:13">
      <c r="A5820" t="s">
        <v>2299</v>
      </c>
      <c r="B5820" t="s">
        <v>253</v>
      </c>
      <c r="C5820" s="8">
        <v>46234</v>
      </c>
      <c r="D5820" t="s">
        <v>321</v>
      </c>
      <c r="E5820" t="s">
        <v>334</v>
      </c>
      <c r="F5820" s="12">
        <v>25000</v>
      </c>
      <c r="G5820" s="13">
        <v>2</v>
      </c>
      <c r="H5820" t="s">
        <v>3235</v>
      </c>
      <c r="I5820" s="8">
        <v>45953</v>
      </c>
      <c r="J5820" t="s">
        <v>2663</v>
      </c>
      <c r="K5820" t="s">
        <v>3630</v>
      </c>
      <c r="L5820" s="13">
        <v>1500</v>
      </c>
      <c r="M5820" t="s">
        <v>2661</v>
      </c>
    </row>
    <row r="5821" spans="1:13">
      <c r="A5821" t="s">
        <v>2300</v>
      </c>
      <c r="B5821" t="s">
        <v>141</v>
      </c>
      <c r="C5821" s="8">
        <v>46081</v>
      </c>
      <c r="D5821" t="s">
        <v>321</v>
      </c>
      <c r="E5821" t="s">
        <v>322</v>
      </c>
      <c r="F5821" s="12">
        <v>563106</v>
      </c>
      <c r="G5821" s="13">
        <v>56</v>
      </c>
      <c r="H5821" t="s">
        <v>2784</v>
      </c>
      <c r="I5821" s="8">
        <v>46039</v>
      </c>
      <c r="J5821" t="s">
        <v>2692</v>
      </c>
      <c r="K5821" t="s">
        <v>2693</v>
      </c>
      <c r="L5821" s="13">
        <v>10000</v>
      </c>
      <c r="M5821" t="s">
        <v>2676</v>
      </c>
    </row>
    <row r="5822" spans="1:13">
      <c r="A5822" t="s">
        <v>2300</v>
      </c>
      <c r="B5822" t="s">
        <v>141</v>
      </c>
      <c r="C5822" s="8">
        <v>46081</v>
      </c>
      <c r="D5822" t="s">
        <v>321</v>
      </c>
      <c r="E5822" t="s">
        <v>322</v>
      </c>
      <c r="F5822" s="12">
        <v>563106</v>
      </c>
      <c r="G5822" s="13">
        <v>56</v>
      </c>
      <c r="H5822" t="s">
        <v>2983</v>
      </c>
      <c r="I5822" s="8">
        <v>46195</v>
      </c>
      <c r="J5822" t="s">
        <v>2665</v>
      </c>
      <c r="K5822" t="s">
        <v>2666</v>
      </c>
      <c r="L5822" s="13">
        <v>2500</v>
      </c>
      <c r="M5822" t="s">
        <v>2661</v>
      </c>
    </row>
    <row r="5823" spans="1:13">
      <c r="A5823" t="s">
        <v>2300</v>
      </c>
      <c r="B5823" t="s">
        <v>141</v>
      </c>
      <c r="C5823" s="8">
        <v>46081</v>
      </c>
      <c r="D5823" t="s">
        <v>321</v>
      </c>
      <c r="E5823" t="s">
        <v>322</v>
      </c>
      <c r="F5823" s="12">
        <v>563106</v>
      </c>
      <c r="G5823" s="13">
        <v>56</v>
      </c>
      <c r="H5823" t="s">
        <v>3011</v>
      </c>
      <c r="I5823" s="8">
        <v>46197</v>
      </c>
      <c r="J5823" t="s">
        <v>2674</v>
      </c>
      <c r="K5823" t="s">
        <v>2675</v>
      </c>
      <c r="L5823" s="13">
        <v>20000</v>
      </c>
      <c r="M5823" t="s">
        <v>2661</v>
      </c>
    </row>
    <row r="5824" spans="1:13">
      <c r="A5824" t="s">
        <v>2300</v>
      </c>
      <c r="B5824" t="s">
        <v>141</v>
      </c>
      <c r="C5824" s="8">
        <v>46081</v>
      </c>
      <c r="D5824" t="s">
        <v>321</v>
      </c>
      <c r="E5824" t="s">
        <v>322</v>
      </c>
      <c r="F5824" s="12">
        <v>563106</v>
      </c>
      <c r="G5824" s="13">
        <v>56</v>
      </c>
      <c r="H5824" t="s">
        <v>3035</v>
      </c>
      <c r="I5824" s="8">
        <v>46115</v>
      </c>
      <c r="J5824" t="s">
        <v>2663</v>
      </c>
      <c r="K5824" t="s">
        <v>3630</v>
      </c>
      <c r="L5824" s="13">
        <v>1500</v>
      </c>
      <c r="M5824" t="s">
        <v>2661</v>
      </c>
    </row>
    <row r="5825" spans="1:13">
      <c r="A5825" t="s">
        <v>2300</v>
      </c>
      <c r="B5825" t="s">
        <v>141</v>
      </c>
      <c r="C5825" s="8">
        <v>46081</v>
      </c>
      <c r="D5825" t="s">
        <v>321</v>
      </c>
      <c r="E5825" t="s">
        <v>322</v>
      </c>
      <c r="F5825" s="12">
        <v>563106</v>
      </c>
      <c r="G5825" s="13">
        <v>56</v>
      </c>
      <c r="H5825" t="s">
        <v>3161</v>
      </c>
      <c r="I5825" s="8">
        <v>46177</v>
      </c>
      <c r="J5825" t="s">
        <v>2663</v>
      </c>
      <c r="K5825" t="s">
        <v>3630</v>
      </c>
      <c r="L5825" s="13">
        <v>1500</v>
      </c>
      <c r="M5825" t="s">
        <v>2661</v>
      </c>
    </row>
    <row r="5826" spans="1:13">
      <c r="A5826" t="s">
        <v>2300</v>
      </c>
      <c r="B5826" t="s">
        <v>141</v>
      </c>
      <c r="C5826" s="8">
        <v>46081</v>
      </c>
      <c r="D5826" t="s">
        <v>321</v>
      </c>
      <c r="E5826" t="s">
        <v>322</v>
      </c>
      <c r="F5826" s="12">
        <v>563106</v>
      </c>
      <c r="G5826" s="13">
        <v>56</v>
      </c>
      <c r="H5826" t="s">
        <v>3357</v>
      </c>
      <c r="I5826" s="8">
        <v>46093</v>
      </c>
      <c r="J5826" t="s">
        <v>2685</v>
      </c>
      <c r="K5826" t="s">
        <v>2686</v>
      </c>
      <c r="L5826" s="13">
        <v>5000</v>
      </c>
      <c r="M5826" t="s">
        <v>2676</v>
      </c>
    </row>
    <row r="5827" spans="1:13">
      <c r="A5827" t="s">
        <v>2301</v>
      </c>
      <c r="B5827" t="s">
        <v>206</v>
      </c>
      <c r="C5827" s="8">
        <v>45935</v>
      </c>
      <c r="D5827" t="s">
        <v>330</v>
      </c>
      <c r="E5827" t="s">
        <v>322</v>
      </c>
      <c r="F5827" s="12">
        <v>155091</v>
      </c>
      <c r="G5827" s="13">
        <v>15</v>
      </c>
      <c r="H5827" t="s">
        <v>2868</v>
      </c>
      <c r="I5827" s="8">
        <v>45937</v>
      </c>
      <c r="J5827" t="s">
        <v>2688</v>
      </c>
      <c r="K5827" t="s">
        <v>2689</v>
      </c>
      <c r="L5827" s="13">
        <v>8000</v>
      </c>
      <c r="M5827" t="s">
        <v>2661</v>
      </c>
    </row>
    <row r="5828" spans="1:13">
      <c r="A5828" t="s">
        <v>2301</v>
      </c>
      <c r="B5828" t="s">
        <v>206</v>
      </c>
      <c r="C5828" s="8">
        <v>45935</v>
      </c>
      <c r="D5828" t="s">
        <v>330</v>
      </c>
      <c r="E5828" t="s">
        <v>322</v>
      </c>
      <c r="F5828" s="12">
        <v>155091</v>
      </c>
      <c r="G5828" s="13">
        <v>15</v>
      </c>
      <c r="H5828" t="s">
        <v>2915</v>
      </c>
      <c r="I5828" s="8">
        <v>45941</v>
      </c>
      <c r="J5828" t="s">
        <v>2659</v>
      </c>
      <c r="K5828" t="s">
        <v>2660</v>
      </c>
      <c r="L5828" s="13">
        <v>3500</v>
      </c>
      <c r="M5828" t="s">
        <v>2661</v>
      </c>
    </row>
    <row r="5829" spans="1:13">
      <c r="A5829" t="s">
        <v>2301</v>
      </c>
      <c r="B5829" t="s">
        <v>206</v>
      </c>
      <c r="C5829" s="8">
        <v>45935</v>
      </c>
      <c r="D5829" t="s">
        <v>330</v>
      </c>
      <c r="E5829" t="s">
        <v>322</v>
      </c>
      <c r="F5829" s="12">
        <v>155091</v>
      </c>
      <c r="G5829" s="13">
        <v>15</v>
      </c>
      <c r="H5829" t="s">
        <v>3362</v>
      </c>
      <c r="I5829" s="8">
        <v>46007</v>
      </c>
      <c r="J5829" t="s">
        <v>2685</v>
      </c>
      <c r="K5829" t="s">
        <v>2686</v>
      </c>
      <c r="L5829" s="13">
        <v>5000</v>
      </c>
      <c r="M5829" t="s">
        <v>2661</v>
      </c>
    </row>
    <row r="5830" spans="1:13">
      <c r="A5830" t="s">
        <v>2302</v>
      </c>
      <c r="B5830" t="s">
        <v>130</v>
      </c>
      <c r="C5830" s="8">
        <v>46018</v>
      </c>
      <c r="D5830" t="s">
        <v>332</v>
      </c>
      <c r="E5830" t="s">
        <v>328</v>
      </c>
      <c r="F5830" s="12">
        <v>178586</v>
      </c>
      <c r="G5830" s="13">
        <v>17</v>
      </c>
      <c r="H5830" t="s">
        <v>3547</v>
      </c>
      <c r="I5830" s="8">
        <v>46237</v>
      </c>
      <c r="J5830" t="s">
        <v>2659</v>
      </c>
      <c r="K5830" t="s">
        <v>2660</v>
      </c>
      <c r="L5830" s="13">
        <v>3500</v>
      </c>
      <c r="M5830" t="s">
        <v>2661</v>
      </c>
    </row>
    <row r="5831" spans="1:13">
      <c r="A5831" t="s">
        <v>2303</v>
      </c>
      <c r="B5831" t="s">
        <v>240</v>
      </c>
      <c r="C5831" s="8">
        <v>46252</v>
      </c>
      <c r="D5831" t="s">
        <v>330</v>
      </c>
      <c r="E5831" t="s">
        <v>322</v>
      </c>
      <c r="F5831" s="12">
        <v>249939</v>
      </c>
      <c r="G5831" s="13">
        <v>24</v>
      </c>
      <c r="H5831" t="s">
        <v>3066</v>
      </c>
      <c r="I5831" s="8">
        <v>46121</v>
      </c>
      <c r="J5831" t="s">
        <v>2685</v>
      </c>
      <c r="K5831" t="s">
        <v>2686</v>
      </c>
      <c r="L5831" s="13">
        <v>5000</v>
      </c>
      <c r="M5831" t="s">
        <v>2661</v>
      </c>
    </row>
    <row r="5832" spans="1:13">
      <c r="A5832" t="s">
        <v>2303</v>
      </c>
      <c r="B5832" t="s">
        <v>240</v>
      </c>
      <c r="C5832" s="8">
        <v>46252</v>
      </c>
      <c r="D5832" t="s">
        <v>330</v>
      </c>
      <c r="E5832" t="s">
        <v>322</v>
      </c>
      <c r="F5832" s="12">
        <v>249939</v>
      </c>
      <c r="G5832" s="13">
        <v>24</v>
      </c>
      <c r="H5832" t="s">
        <v>3319</v>
      </c>
      <c r="I5832" s="8">
        <v>45952</v>
      </c>
      <c r="J5832" t="s">
        <v>2685</v>
      </c>
      <c r="K5832" t="s">
        <v>2686</v>
      </c>
      <c r="L5832" s="13">
        <v>5000</v>
      </c>
      <c r="M5832" t="s">
        <v>2661</v>
      </c>
    </row>
    <row r="5833" spans="1:13">
      <c r="A5833" t="s">
        <v>2303</v>
      </c>
      <c r="B5833" t="s">
        <v>240</v>
      </c>
      <c r="C5833" s="8">
        <v>46252</v>
      </c>
      <c r="D5833" t="s">
        <v>330</v>
      </c>
      <c r="E5833" t="s">
        <v>322</v>
      </c>
      <c r="F5833" s="12">
        <v>249939</v>
      </c>
      <c r="G5833" s="13">
        <v>24</v>
      </c>
      <c r="H5833" t="s">
        <v>3380</v>
      </c>
      <c r="I5833" s="8">
        <v>46263</v>
      </c>
      <c r="J5833" t="s">
        <v>2682</v>
      </c>
      <c r="K5833" t="s">
        <v>2683</v>
      </c>
      <c r="L5833" s="13">
        <v>6000</v>
      </c>
      <c r="M5833" t="s">
        <v>2661</v>
      </c>
    </row>
    <row r="5834" spans="1:13">
      <c r="A5834" t="s">
        <v>2304</v>
      </c>
      <c r="B5834" t="s">
        <v>111</v>
      </c>
      <c r="C5834" s="8">
        <v>46238</v>
      </c>
      <c r="D5834" t="s">
        <v>324</v>
      </c>
      <c r="E5834" t="s">
        <v>337</v>
      </c>
      <c r="F5834" s="12">
        <v>363811</v>
      </c>
      <c r="G5834" s="13">
        <v>36</v>
      </c>
      <c r="H5834" t="s">
        <v>3231</v>
      </c>
      <c r="I5834" s="8">
        <v>46139</v>
      </c>
      <c r="J5834" t="s">
        <v>2668</v>
      </c>
      <c r="K5834" t="s">
        <v>2669</v>
      </c>
      <c r="L5834" s="13">
        <v>4000</v>
      </c>
      <c r="M5834" t="s">
        <v>2661</v>
      </c>
    </row>
    <row r="5835" spans="1:13">
      <c r="A5835" t="s">
        <v>2304</v>
      </c>
      <c r="B5835" t="s">
        <v>111</v>
      </c>
      <c r="C5835" s="8">
        <v>46238</v>
      </c>
      <c r="D5835" t="s">
        <v>324</v>
      </c>
      <c r="E5835" t="s">
        <v>337</v>
      </c>
      <c r="F5835" s="12">
        <v>363811</v>
      </c>
      <c r="G5835" s="13">
        <v>36</v>
      </c>
      <c r="H5835" t="s">
        <v>3411</v>
      </c>
      <c r="I5835" s="8">
        <v>45950</v>
      </c>
      <c r="J5835" t="s">
        <v>2659</v>
      </c>
      <c r="K5835" t="s">
        <v>2660</v>
      </c>
      <c r="L5835" s="13">
        <v>3500</v>
      </c>
      <c r="M5835" t="s">
        <v>2676</v>
      </c>
    </row>
    <row r="5836" spans="1:13">
      <c r="A5836" t="s">
        <v>2305</v>
      </c>
      <c r="B5836" t="s">
        <v>52</v>
      </c>
      <c r="C5836" s="8">
        <v>46089</v>
      </c>
      <c r="D5836" t="s">
        <v>332</v>
      </c>
      <c r="E5836" t="s">
        <v>339</v>
      </c>
      <c r="F5836" s="12">
        <v>280249</v>
      </c>
      <c r="G5836" s="13">
        <v>28</v>
      </c>
      <c r="H5836" t="s">
        <v>2861</v>
      </c>
      <c r="I5836" s="8">
        <v>46105</v>
      </c>
      <c r="J5836" t="s">
        <v>2685</v>
      </c>
      <c r="K5836" t="s">
        <v>2686</v>
      </c>
      <c r="L5836" s="13">
        <v>5000</v>
      </c>
      <c r="M5836" t="s">
        <v>2661</v>
      </c>
    </row>
    <row r="5837" spans="1:13">
      <c r="A5837" t="s">
        <v>2305</v>
      </c>
      <c r="B5837" t="s">
        <v>52</v>
      </c>
      <c r="C5837" s="8">
        <v>46089</v>
      </c>
      <c r="D5837" t="s">
        <v>332</v>
      </c>
      <c r="E5837" t="s">
        <v>339</v>
      </c>
      <c r="F5837" s="12">
        <v>280249</v>
      </c>
      <c r="G5837" s="13">
        <v>28</v>
      </c>
      <c r="H5837" t="s">
        <v>3122</v>
      </c>
      <c r="I5837" s="8">
        <v>45976</v>
      </c>
      <c r="J5837" t="s">
        <v>2668</v>
      </c>
      <c r="K5837" t="s">
        <v>2669</v>
      </c>
      <c r="L5837" s="13">
        <v>4000</v>
      </c>
      <c r="M5837" t="s">
        <v>2661</v>
      </c>
    </row>
    <row r="5838" spans="1:13">
      <c r="A5838" t="s">
        <v>2305</v>
      </c>
      <c r="B5838" t="s">
        <v>52</v>
      </c>
      <c r="C5838" s="8">
        <v>46089</v>
      </c>
      <c r="D5838" t="s">
        <v>332</v>
      </c>
      <c r="E5838" t="s">
        <v>339</v>
      </c>
      <c r="F5838" s="12">
        <v>280249</v>
      </c>
      <c r="G5838" s="13">
        <v>28</v>
      </c>
      <c r="H5838" t="s">
        <v>3497</v>
      </c>
      <c r="I5838" s="8">
        <v>46058</v>
      </c>
      <c r="J5838" t="s">
        <v>2665</v>
      </c>
      <c r="K5838" t="s">
        <v>2666</v>
      </c>
      <c r="L5838" s="13">
        <v>2500</v>
      </c>
      <c r="M5838" t="s">
        <v>2661</v>
      </c>
    </row>
    <row r="5839" spans="1:13">
      <c r="A5839" t="s">
        <v>2306</v>
      </c>
      <c r="B5839" t="s">
        <v>211</v>
      </c>
      <c r="C5839" s="8">
        <v>46186</v>
      </c>
      <c r="D5839" t="s">
        <v>342</v>
      </c>
      <c r="E5839" t="s">
        <v>337</v>
      </c>
      <c r="F5839" s="12">
        <v>395669</v>
      </c>
      <c r="G5839" s="13">
        <v>39</v>
      </c>
      <c r="H5839" t="s">
        <v>2724</v>
      </c>
      <c r="I5839" s="8">
        <v>45945</v>
      </c>
      <c r="J5839" t="s">
        <v>2665</v>
      </c>
      <c r="K5839" t="s">
        <v>2666</v>
      </c>
      <c r="L5839" s="13">
        <v>2500</v>
      </c>
      <c r="M5839" t="s">
        <v>2661</v>
      </c>
    </row>
    <row r="5840" spans="1:13">
      <c r="A5840" t="s">
        <v>2307</v>
      </c>
      <c r="B5840" t="s">
        <v>87</v>
      </c>
      <c r="C5840" s="8">
        <v>46185</v>
      </c>
      <c r="D5840" t="s">
        <v>321</v>
      </c>
      <c r="E5840" t="s">
        <v>322</v>
      </c>
      <c r="F5840" s="12">
        <v>721837</v>
      </c>
      <c r="G5840" s="13">
        <v>72</v>
      </c>
      <c r="H5840" t="s">
        <v>3531</v>
      </c>
      <c r="I5840" s="8">
        <v>45982</v>
      </c>
      <c r="J5840" t="s">
        <v>2685</v>
      </c>
      <c r="K5840" t="s">
        <v>2686</v>
      </c>
      <c r="L5840" s="13">
        <v>5000</v>
      </c>
      <c r="M5840" t="s">
        <v>2661</v>
      </c>
    </row>
    <row r="5841" spans="1:13">
      <c r="A5841" t="s">
        <v>2308</v>
      </c>
      <c r="B5841" t="s">
        <v>119</v>
      </c>
      <c r="C5841" s="8">
        <v>46162</v>
      </c>
      <c r="D5841" t="s">
        <v>324</v>
      </c>
      <c r="E5841" t="s">
        <v>328</v>
      </c>
      <c r="F5841" s="12">
        <v>363306</v>
      </c>
      <c r="G5841" s="13">
        <v>36</v>
      </c>
      <c r="H5841" t="s">
        <v>3432</v>
      </c>
      <c r="I5841" s="8">
        <v>46150</v>
      </c>
      <c r="J5841" t="s">
        <v>2692</v>
      </c>
      <c r="K5841" t="s">
        <v>2693</v>
      </c>
      <c r="L5841" s="13">
        <v>10000</v>
      </c>
      <c r="M5841" t="s">
        <v>2661</v>
      </c>
    </row>
    <row r="5842" spans="1:13">
      <c r="A5842" t="s">
        <v>2309</v>
      </c>
      <c r="B5842" t="s">
        <v>120</v>
      </c>
      <c r="C5842" s="8">
        <v>46091</v>
      </c>
      <c r="D5842" t="s">
        <v>332</v>
      </c>
      <c r="E5842" t="s">
        <v>322</v>
      </c>
      <c r="F5842" s="12">
        <v>404170</v>
      </c>
      <c r="G5842" s="13">
        <v>40</v>
      </c>
      <c r="H5842" t="s">
        <v>3398</v>
      </c>
      <c r="I5842" s="8">
        <v>46119</v>
      </c>
      <c r="J5842" t="s">
        <v>2668</v>
      </c>
      <c r="K5842" t="s">
        <v>2669</v>
      </c>
      <c r="L5842" s="13">
        <v>4000</v>
      </c>
      <c r="M5842" t="s">
        <v>2661</v>
      </c>
    </row>
    <row r="5843" spans="1:13">
      <c r="A5843" t="s">
        <v>2310</v>
      </c>
      <c r="B5843" t="s">
        <v>200</v>
      </c>
      <c r="C5843" s="8">
        <v>45935</v>
      </c>
      <c r="D5843" t="s">
        <v>350</v>
      </c>
      <c r="E5843" t="s">
        <v>325</v>
      </c>
      <c r="F5843" s="12">
        <v>212216</v>
      </c>
      <c r="G5843" s="13">
        <v>21</v>
      </c>
      <c r="H5843" t="s">
        <v>2975</v>
      </c>
      <c r="I5843" s="8">
        <v>46008</v>
      </c>
      <c r="J5843" t="s">
        <v>2671</v>
      </c>
      <c r="K5843" t="s">
        <v>2672</v>
      </c>
      <c r="L5843" s="13">
        <v>3000</v>
      </c>
      <c r="M5843" t="s">
        <v>2676</v>
      </c>
    </row>
    <row r="5844" spans="1:13">
      <c r="A5844" t="s">
        <v>2310</v>
      </c>
      <c r="B5844" t="s">
        <v>200</v>
      </c>
      <c r="C5844" s="8">
        <v>45935</v>
      </c>
      <c r="D5844" t="s">
        <v>350</v>
      </c>
      <c r="E5844" t="s">
        <v>325</v>
      </c>
      <c r="F5844" s="12">
        <v>212216</v>
      </c>
      <c r="G5844" s="13">
        <v>21</v>
      </c>
      <c r="H5844" t="s">
        <v>3381</v>
      </c>
      <c r="I5844" s="8">
        <v>46037</v>
      </c>
      <c r="J5844" t="s">
        <v>2663</v>
      </c>
      <c r="K5844" t="s">
        <v>3630</v>
      </c>
      <c r="L5844" s="13">
        <v>1500</v>
      </c>
      <c r="M5844" t="s">
        <v>2661</v>
      </c>
    </row>
    <row r="5845" spans="1:13">
      <c r="A5845" t="s">
        <v>2311</v>
      </c>
      <c r="B5845" t="s">
        <v>110</v>
      </c>
      <c r="C5845" s="8">
        <v>46263</v>
      </c>
      <c r="D5845" t="s">
        <v>350</v>
      </c>
      <c r="E5845" t="s">
        <v>325</v>
      </c>
      <c r="F5845" s="12">
        <v>231102</v>
      </c>
      <c r="G5845" s="13">
        <v>23</v>
      </c>
      <c r="H5845" t="s">
        <v>3413</v>
      </c>
      <c r="I5845" s="8">
        <v>46031</v>
      </c>
      <c r="J5845" t="s">
        <v>2685</v>
      </c>
      <c r="K5845" t="s">
        <v>2686</v>
      </c>
      <c r="L5845" s="13">
        <v>5000</v>
      </c>
      <c r="M5845" t="s">
        <v>2661</v>
      </c>
    </row>
    <row r="5846" spans="1:13">
      <c r="A5846" t="s">
        <v>2311</v>
      </c>
      <c r="B5846" t="s">
        <v>110</v>
      </c>
      <c r="C5846" s="8">
        <v>46263</v>
      </c>
      <c r="D5846" t="s">
        <v>350</v>
      </c>
      <c r="E5846" t="s">
        <v>325</v>
      </c>
      <c r="F5846" s="12">
        <v>231102</v>
      </c>
      <c r="G5846" s="13">
        <v>23</v>
      </c>
      <c r="H5846" t="s">
        <v>3438</v>
      </c>
      <c r="I5846" s="8">
        <v>45935</v>
      </c>
      <c r="J5846" t="s">
        <v>2668</v>
      </c>
      <c r="K5846" t="s">
        <v>2669</v>
      </c>
      <c r="L5846" s="13">
        <v>4000</v>
      </c>
      <c r="M5846" t="s">
        <v>2661</v>
      </c>
    </row>
    <row r="5847" spans="1:13">
      <c r="A5847" t="s">
        <v>2311</v>
      </c>
      <c r="B5847" t="s">
        <v>110</v>
      </c>
      <c r="C5847" s="8">
        <v>46263</v>
      </c>
      <c r="D5847" t="s">
        <v>350</v>
      </c>
      <c r="E5847" t="s">
        <v>325</v>
      </c>
      <c r="F5847" s="12">
        <v>231102</v>
      </c>
      <c r="G5847" s="13">
        <v>23</v>
      </c>
      <c r="H5847" t="s">
        <v>3543</v>
      </c>
      <c r="I5847" s="8">
        <v>46256</v>
      </c>
      <c r="J5847" t="s">
        <v>2663</v>
      </c>
      <c r="K5847" t="s">
        <v>3630</v>
      </c>
      <c r="L5847" s="13">
        <v>1500</v>
      </c>
      <c r="M5847" t="s">
        <v>2676</v>
      </c>
    </row>
    <row r="5848" spans="1:13">
      <c r="A5848" t="s">
        <v>2312</v>
      </c>
      <c r="B5848" t="s">
        <v>213</v>
      </c>
      <c r="C5848" s="8">
        <v>46029</v>
      </c>
      <c r="D5848" t="s">
        <v>342</v>
      </c>
      <c r="E5848" t="s">
        <v>322</v>
      </c>
      <c r="F5848" s="12">
        <v>320457</v>
      </c>
      <c r="G5848" s="13">
        <v>32</v>
      </c>
      <c r="H5848" t="s">
        <v>2951</v>
      </c>
      <c r="I5848" s="8">
        <v>46292</v>
      </c>
      <c r="J5848" t="s">
        <v>2692</v>
      </c>
      <c r="K5848" t="s">
        <v>2693</v>
      </c>
      <c r="L5848" s="13">
        <v>10000</v>
      </c>
      <c r="M5848" t="s">
        <v>2661</v>
      </c>
    </row>
    <row r="5849" spans="1:13">
      <c r="A5849" t="s">
        <v>2312</v>
      </c>
      <c r="B5849" t="s">
        <v>213</v>
      </c>
      <c r="C5849" s="8">
        <v>46029</v>
      </c>
      <c r="D5849" t="s">
        <v>342</v>
      </c>
      <c r="E5849" t="s">
        <v>322</v>
      </c>
      <c r="F5849" s="12">
        <v>320457</v>
      </c>
      <c r="G5849" s="13">
        <v>32</v>
      </c>
      <c r="H5849" t="s">
        <v>3382</v>
      </c>
      <c r="I5849" s="8">
        <v>46034</v>
      </c>
      <c r="J5849" t="s">
        <v>2688</v>
      </c>
      <c r="K5849" t="s">
        <v>2689</v>
      </c>
      <c r="L5849" s="13">
        <v>8000</v>
      </c>
      <c r="M5849" t="s">
        <v>2661</v>
      </c>
    </row>
    <row r="5850" spans="1:13">
      <c r="A5850" t="s">
        <v>2313</v>
      </c>
      <c r="B5850" t="s">
        <v>232</v>
      </c>
      <c r="C5850" s="8">
        <v>45944</v>
      </c>
      <c r="D5850" t="s">
        <v>324</v>
      </c>
      <c r="E5850" t="s">
        <v>339</v>
      </c>
      <c r="F5850" s="12">
        <v>676195</v>
      </c>
      <c r="G5850" s="13">
        <v>67</v>
      </c>
      <c r="H5850" t="s">
        <v>2819</v>
      </c>
      <c r="I5850" s="8">
        <v>46271</v>
      </c>
      <c r="J5850" t="s">
        <v>2674</v>
      </c>
      <c r="K5850" t="s">
        <v>2675</v>
      </c>
      <c r="L5850" s="13">
        <v>20000</v>
      </c>
      <c r="M5850" t="s">
        <v>2661</v>
      </c>
    </row>
    <row r="5851" spans="1:13">
      <c r="A5851" t="s">
        <v>2313</v>
      </c>
      <c r="B5851" t="s">
        <v>232</v>
      </c>
      <c r="C5851" s="8">
        <v>45944</v>
      </c>
      <c r="D5851" t="s">
        <v>324</v>
      </c>
      <c r="E5851" t="s">
        <v>339</v>
      </c>
      <c r="F5851" s="12">
        <v>676195</v>
      </c>
      <c r="G5851" s="13">
        <v>67</v>
      </c>
      <c r="H5851" t="s">
        <v>2884</v>
      </c>
      <c r="I5851" s="8">
        <v>46028</v>
      </c>
      <c r="J5851" t="s">
        <v>2671</v>
      </c>
      <c r="K5851" t="s">
        <v>2672</v>
      </c>
      <c r="L5851" s="13">
        <v>3000</v>
      </c>
      <c r="M5851" t="s">
        <v>2661</v>
      </c>
    </row>
    <row r="5852" spans="1:13">
      <c r="A5852" t="s">
        <v>2313</v>
      </c>
      <c r="B5852" t="s">
        <v>232</v>
      </c>
      <c r="C5852" s="8">
        <v>45944</v>
      </c>
      <c r="D5852" t="s">
        <v>324</v>
      </c>
      <c r="E5852" t="s">
        <v>339</v>
      </c>
      <c r="F5852" s="12">
        <v>676195</v>
      </c>
      <c r="G5852" s="13">
        <v>67</v>
      </c>
      <c r="H5852" t="s">
        <v>3101</v>
      </c>
      <c r="I5852" s="8">
        <v>46222</v>
      </c>
      <c r="J5852" t="s">
        <v>2688</v>
      </c>
      <c r="K5852" t="s">
        <v>2689</v>
      </c>
      <c r="L5852" s="13">
        <v>8000</v>
      </c>
      <c r="M5852" t="s">
        <v>2676</v>
      </c>
    </row>
    <row r="5853" spans="1:13">
      <c r="A5853" t="s">
        <v>2313</v>
      </c>
      <c r="B5853" t="s">
        <v>232</v>
      </c>
      <c r="C5853" s="8">
        <v>45944</v>
      </c>
      <c r="D5853" t="s">
        <v>324</v>
      </c>
      <c r="E5853" t="s">
        <v>339</v>
      </c>
      <c r="F5853" s="12">
        <v>676195</v>
      </c>
      <c r="G5853" s="13">
        <v>67</v>
      </c>
      <c r="H5853" t="s">
        <v>3463</v>
      </c>
      <c r="I5853" s="8">
        <v>46026</v>
      </c>
      <c r="J5853" t="s">
        <v>2674</v>
      </c>
      <c r="K5853" t="s">
        <v>2675</v>
      </c>
      <c r="L5853" s="13">
        <v>20000</v>
      </c>
      <c r="M5853" t="s">
        <v>2661</v>
      </c>
    </row>
    <row r="5854" spans="1:13">
      <c r="A5854" t="s">
        <v>2313</v>
      </c>
      <c r="B5854" t="s">
        <v>232</v>
      </c>
      <c r="C5854" s="8">
        <v>45944</v>
      </c>
      <c r="D5854" t="s">
        <v>324</v>
      </c>
      <c r="E5854" t="s">
        <v>339</v>
      </c>
      <c r="F5854" s="12">
        <v>676195</v>
      </c>
      <c r="G5854" s="13">
        <v>67</v>
      </c>
      <c r="H5854" t="s">
        <v>3578</v>
      </c>
      <c r="I5854" s="8">
        <v>46141</v>
      </c>
      <c r="J5854" t="s">
        <v>2692</v>
      </c>
      <c r="K5854" t="s">
        <v>2693</v>
      </c>
      <c r="L5854" s="13">
        <v>10000</v>
      </c>
      <c r="M5854" t="s">
        <v>2661</v>
      </c>
    </row>
    <row r="5855" spans="1:13">
      <c r="A5855" t="s">
        <v>2314</v>
      </c>
      <c r="B5855" t="s">
        <v>303</v>
      </c>
      <c r="C5855" s="8">
        <v>46245</v>
      </c>
      <c r="D5855" t="s">
        <v>324</v>
      </c>
      <c r="E5855" t="s">
        <v>334</v>
      </c>
      <c r="F5855" s="12">
        <v>568580</v>
      </c>
      <c r="G5855" s="13">
        <v>56</v>
      </c>
      <c r="H5855" t="s">
        <v>2809</v>
      </c>
      <c r="I5855" s="8">
        <v>46061</v>
      </c>
      <c r="J5855" t="s">
        <v>2682</v>
      </c>
      <c r="K5855" t="s">
        <v>2683</v>
      </c>
      <c r="L5855" s="13">
        <v>6000</v>
      </c>
      <c r="M5855" t="s">
        <v>2661</v>
      </c>
    </row>
    <row r="5856" spans="1:13">
      <c r="A5856" t="s">
        <v>2315</v>
      </c>
      <c r="B5856" t="s">
        <v>212</v>
      </c>
      <c r="C5856" s="8">
        <v>46202</v>
      </c>
      <c r="D5856" t="s">
        <v>350</v>
      </c>
      <c r="E5856" t="s">
        <v>325</v>
      </c>
      <c r="F5856" s="12">
        <v>236943</v>
      </c>
      <c r="G5856" s="13">
        <v>23</v>
      </c>
      <c r="H5856" t="s">
        <v>2760</v>
      </c>
      <c r="I5856" s="8">
        <v>46244</v>
      </c>
      <c r="J5856" t="s">
        <v>2668</v>
      </c>
      <c r="K5856" t="s">
        <v>2669</v>
      </c>
      <c r="L5856" s="13">
        <v>4000</v>
      </c>
      <c r="M5856" t="s">
        <v>2661</v>
      </c>
    </row>
    <row r="5857" spans="1:13">
      <c r="A5857" t="s">
        <v>2315</v>
      </c>
      <c r="B5857" t="s">
        <v>212</v>
      </c>
      <c r="C5857" s="8">
        <v>46202</v>
      </c>
      <c r="D5857" t="s">
        <v>350</v>
      </c>
      <c r="E5857" t="s">
        <v>325</v>
      </c>
      <c r="F5857" s="12">
        <v>236943</v>
      </c>
      <c r="G5857" s="13">
        <v>23</v>
      </c>
      <c r="H5857" t="s">
        <v>2935</v>
      </c>
      <c r="I5857" s="8">
        <v>46216</v>
      </c>
      <c r="J5857" t="s">
        <v>2665</v>
      </c>
      <c r="K5857" t="s">
        <v>2666</v>
      </c>
      <c r="L5857" s="13">
        <v>2500</v>
      </c>
      <c r="M5857" t="s">
        <v>2661</v>
      </c>
    </row>
    <row r="5858" spans="1:13">
      <c r="A5858" t="s">
        <v>2315</v>
      </c>
      <c r="B5858" t="s">
        <v>212</v>
      </c>
      <c r="C5858" s="8">
        <v>46202</v>
      </c>
      <c r="D5858" t="s">
        <v>350</v>
      </c>
      <c r="E5858" t="s">
        <v>325</v>
      </c>
      <c r="F5858" s="12">
        <v>236943</v>
      </c>
      <c r="G5858" s="13">
        <v>23</v>
      </c>
      <c r="H5858" t="s">
        <v>3100</v>
      </c>
      <c r="I5858" s="8">
        <v>46226</v>
      </c>
      <c r="J5858" t="s">
        <v>2665</v>
      </c>
      <c r="K5858" t="s">
        <v>2666</v>
      </c>
      <c r="L5858" s="13">
        <v>2500</v>
      </c>
      <c r="M5858" t="s">
        <v>2661</v>
      </c>
    </row>
    <row r="5859" spans="1:13">
      <c r="A5859" t="s">
        <v>2316</v>
      </c>
      <c r="B5859" t="s">
        <v>293</v>
      </c>
      <c r="C5859" s="8">
        <v>46222</v>
      </c>
      <c r="D5859" t="s">
        <v>342</v>
      </c>
      <c r="E5859" t="s">
        <v>322</v>
      </c>
      <c r="F5859" s="12">
        <v>163787</v>
      </c>
      <c r="G5859" s="13">
        <v>16</v>
      </c>
      <c r="H5859" t="s">
        <v>2680</v>
      </c>
      <c r="I5859" s="8">
        <v>46235</v>
      </c>
      <c r="J5859" t="s">
        <v>2665</v>
      </c>
      <c r="K5859" t="s">
        <v>2666</v>
      </c>
      <c r="L5859" s="13">
        <v>2500</v>
      </c>
      <c r="M5859" t="s">
        <v>2661</v>
      </c>
    </row>
    <row r="5860" spans="1:13">
      <c r="A5860" t="s">
        <v>2316</v>
      </c>
      <c r="B5860" t="s">
        <v>293</v>
      </c>
      <c r="C5860" s="8">
        <v>46222</v>
      </c>
      <c r="D5860" t="s">
        <v>342</v>
      </c>
      <c r="E5860" t="s">
        <v>322</v>
      </c>
      <c r="F5860" s="12">
        <v>163787</v>
      </c>
      <c r="G5860" s="13">
        <v>16</v>
      </c>
      <c r="H5860" t="s">
        <v>2795</v>
      </c>
      <c r="I5860" s="8">
        <v>45945</v>
      </c>
      <c r="J5860" t="s">
        <v>2663</v>
      </c>
      <c r="K5860" t="s">
        <v>3630</v>
      </c>
      <c r="L5860" s="13">
        <v>1500</v>
      </c>
      <c r="M5860" t="s">
        <v>2661</v>
      </c>
    </row>
    <row r="5861" spans="1:13">
      <c r="A5861" t="s">
        <v>2316</v>
      </c>
      <c r="B5861" t="s">
        <v>293</v>
      </c>
      <c r="C5861" s="8">
        <v>46222</v>
      </c>
      <c r="D5861" t="s">
        <v>342</v>
      </c>
      <c r="E5861" t="s">
        <v>322</v>
      </c>
      <c r="F5861" s="12">
        <v>163787</v>
      </c>
      <c r="G5861" s="13">
        <v>16</v>
      </c>
      <c r="H5861" t="s">
        <v>2977</v>
      </c>
      <c r="I5861" s="8">
        <v>46001</v>
      </c>
      <c r="J5861" t="s">
        <v>2659</v>
      </c>
      <c r="K5861" t="s">
        <v>2660</v>
      </c>
      <c r="L5861" s="13">
        <v>3500</v>
      </c>
      <c r="M5861" t="s">
        <v>2661</v>
      </c>
    </row>
    <row r="5862" spans="1:13">
      <c r="A5862" t="s">
        <v>2316</v>
      </c>
      <c r="B5862" t="s">
        <v>293</v>
      </c>
      <c r="C5862" s="8">
        <v>46222</v>
      </c>
      <c r="D5862" t="s">
        <v>342</v>
      </c>
      <c r="E5862" t="s">
        <v>322</v>
      </c>
      <c r="F5862" s="12">
        <v>163787</v>
      </c>
      <c r="G5862" s="13">
        <v>16</v>
      </c>
      <c r="H5862" t="s">
        <v>3042</v>
      </c>
      <c r="I5862" s="8">
        <v>45970</v>
      </c>
      <c r="J5862" t="s">
        <v>2682</v>
      </c>
      <c r="K5862" t="s">
        <v>2683</v>
      </c>
      <c r="L5862" s="13">
        <v>6000</v>
      </c>
      <c r="M5862" t="s">
        <v>2661</v>
      </c>
    </row>
    <row r="5863" spans="1:13">
      <c r="A5863" t="s">
        <v>2316</v>
      </c>
      <c r="B5863" t="s">
        <v>293</v>
      </c>
      <c r="C5863" s="8">
        <v>46222</v>
      </c>
      <c r="D5863" t="s">
        <v>342</v>
      </c>
      <c r="E5863" t="s">
        <v>322</v>
      </c>
      <c r="F5863" s="12">
        <v>163787</v>
      </c>
      <c r="G5863" s="13">
        <v>16</v>
      </c>
      <c r="H5863" t="s">
        <v>3354</v>
      </c>
      <c r="I5863" s="8">
        <v>45997</v>
      </c>
      <c r="J5863" t="s">
        <v>2659</v>
      </c>
      <c r="K5863" t="s">
        <v>2660</v>
      </c>
      <c r="L5863" s="13">
        <v>3500</v>
      </c>
      <c r="M5863" t="s">
        <v>2661</v>
      </c>
    </row>
    <row r="5864" spans="1:13">
      <c r="A5864" t="s">
        <v>2316</v>
      </c>
      <c r="B5864" t="s">
        <v>293</v>
      </c>
      <c r="C5864" s="8">
        <v>46222</v>
      </c>
      <c r="D5864" t="s">
        <v>342</v>
      </c>
      <c r="E5864" t="s">
        <v>322</v>
      </c>
      <c r="F5864" s="12">
        <v>163787</v>
      </c>
      <c r="G5864" s="13">
        <v>16</v>
      </c>
      <c r="H5864" t="s">
        <v>3448</v>
      </c>
      <c r="I5864" s="8">
        <v>46100</v>
      </c>
      <c r="J5864" t="s">
        <v>2668</v>
      </c>
      <c r="K5864" t="s">
        <v>2669</v>
      </c>
      <c r="L5864" s="13">
        <v>4000</v>
      </c>
      <c r="M5864" t="s">
        <v>2676</v>
      </c>
    </row>
    <row r="5865" spans="1:13">
      <c r="A5865" t="s">
        <v>2317</v>
      </c>
      <c r="B5865" t="s">
        <v>278</v>
      </c>
      <c r="C5865" s="8">
        <v>46046</v>
      </c>
      <c r="D5865" t="s">
        <v>327</v>
      </c>
      <c r="E5865" t="s">
        <v>334</v>
      </c>
      <c r="F5865" s="12">
        <v>534634</v>
      </c>
      <c r="G5865" s="13">
        <v>53</v>
      </c>
      <c r="H5865" t="s">
        <v>2818</v>
      </c>
      <c r="I5865" s="8">
        <v>45998</v>
      </c>
      <c r="J5865" t="s">
        <v>2685</v>
      </c>
      <c r="K5865" t="s">
        <v>2686</v>
      </c>
      <c r="L5865" s="13">
        <v>5000</v>
      </c>
      <c r="M5865" t="s">
        <v>2661</v>
      </c>
    </row>
    <row r="5866" spans="1:13">
      <c r="A5866" t="s">
        <v>2317</v>
      </c>
      <c r="B5866" t="s">
        <v>278</v>
      </c>
      <c r="C5866" s="8">
        <v>46046</v>
      </c>
      <c r="D5866" t="s">
        <v>327</v>
      </c>
      <c r="E5866" t="s">
        <v>334</v>
      </c>
      <c r="F5866" s="12">
        <v>534634</v>
      </c>
      <c r="G5866" s="13">
        <v>53</v>
      </c>
      <c r="H5866" t="s">
        <v>3083</v>
      </c>
      <c r="I5866" s="8">
        <v>46001</v>
      </c>
      <c r="J5866" t="s">
        <v>2671</v>
      </c>
      <c r="K5866" t="s">
        <v>2672</v>
      </c>
      <c r="L5866" s="13">
        <v>3000</v>
      </c>
      <c r="M5866" t="s">
        <v>2676</v>
      </c>
    </row>
    <row r="5867" spans="1:13">
      <c r="A5867" t="s">
        <v>2317</v>
      </c>
      <c r="B5867" t="s">
        <v>278</v>
      </c>
      <c r="C5867" s="8">
        <v>46046</v>
      </c>
      <c r="D5867" t="s">
        <v>327</v>
      </c>
      <c r="E5867" t="s">
        <v>334</v>
      </c>
      <c r="F5867" s="12">
        <v>534634</v>
      </c>
      <c r="G5867" s="13">
        <v>53</v>
      </c>
      <c r="H5867" t="s">
        <v>3093</v>
      </c>
      <c r="I5867" s="8">
        <v>46073</v>
      </c>
      <c r="J5867" t="s">
        <v>2668</v>
      </c>
      <c r="K5867" t="s">
        <v>2669</v>
      </c>
      <c r="L5867" s="13">
        <v>4000</v>
      </c>
      <c r="M5867" t="s">
        <v>2661</v>
      </c>
    </row>
    <row r="5868" spans="1:13">
      <c r="A5868" t="s">
        <v>2318</v>
      </c>
      <c r="B5868" t="s">
        <v>130</v>
      </c>
      <c r="C5868" s="8">
        <v>46287</v>
      </c>
      <c r="D5868" t="s">
        <v>324</v>
      </c>
      <c r="E5868" t="s">
        <v>337</v>
      </c>
      <c r="F5868" s="12">
        <v>151925</v>
      </c>
      <c r="G5868" s="13">
        <v>15</v>
      </c>
      <c r="H5868" t="s">
        <v>3547</v>
      </c>
      <c r="I5868" s="8">
        <v>46237</v>
      </c>
      <c r="J5868" t="s">
        <v>2659</v>
      </c>
      <c r="K5868" t="s">
        <v>2660</v>
      </c>
      <c r="L5868" s="13">
        <v>3500</v>
      </c>
      <c r="M5868" t="s">
        <v>2661</v>
      </c>
    </row>
    <row r="5869" spans="1:13">
      <c r="A5869" t="s">
        <v>2319</v>
      </c>
      <c r="B5869" t="s">
        <v>240</v>
      </c>
      <c r="C5869" s="8">
        <v>46275</v>
      </c>
      <c r="D5869" t="s">
        <v>324</v>
      </c>
      <c r="E5869" t="s">
        <v>339</v>
      </c>
      <c r="F5869" s="12">
        <v>530480</v>
      </c>
      <c r="G5869" s="13">
        <v>53</v>
      </c>
      <c r="H5869" t="s">
        <v>3066</v>
      </c>
      <c r="I5869" s="8">
        <v>46121</v>
      </c>
      <c r="J5869" t="s">
        <v>2685</v>
      </c>
      <c r="K5869" t="s">
        <v>2686</v>
      </c>
      <c r="L5869" s="13">
        <v>5000</v>
      </c>
      <c r="M5869" t="s">
        <v>2661</v>
      </c>
    </row>
    <row r="5870" spans="1:13">
      <c r="A5870" t="s">
        <v>2319</v>
      </c>
      <c r="B5870" t="s">
        <v>240</v>
      </c>
      <c r="C5870" s="8">
        <v>46275</v>
      </c>
      <c r="D5870" t="s">
        <v>324</v>
      </c>
      <c r="E5870" t="s">
        <v>339</v>
      </c>
      <c r="F5870" s="12">
        <v>530480</v>
      </c>
      <c r="G5870" s="13">
        <v>53</v>
      </c>
      <c r="H5870" t="s">
        <v>3319</v>
      </c>
      <c r="I5870" s="8">
        <v>45952</v>
      </c>
      <c r="J5870" t="s">
        <v>2685</v>
      </c>
      <c r="K5870" t="s">
        <v>2686</v>
      </c>
      <c r="L5870" s="13">
        <v>5000</v>
      </c>
      <c r="M5870" t="s">
        <v>2661</v>
      </c>
    </row>
    <row r="5871" spans="1:13">
      <c r="A5871" t="s">
        <v>2319</v>
      </c>
      <c r="B5871" t="s">
        <v>240</v>
      </c>
      <c r="C5871" s="8">
        <v>46275</v>
      </c>
      <c r="D5871" t="s">
        <v>324</v>
      </c>
      <c r="E5871" t="s">
        <v>339</v>
      </c>
      <c r="F5871" s="12">
        <v>530480</v>
      </c>
      <c r="G5871" s="13">
        <v>53</v>
      </c>
      <c r="H5871" t="s">
        <v>3380</v>
      </c>
      <c r="I5871" s="8">
        <v>46263</v>
      </c>
      <c r="J5871" t="s">
        <v>2682</v>
      </c>
      <c r="K5871" t="s">
        <v>2683</v>
      </c>
      <c r="L5871" s="13">
        <v>6000</v>
      </c>
      <c r="M5871" t="s">
        <v>2661</v>
      </c>
    </row>
    <row r="5872" spans="1:13">
      <c r="A5872" t="s">
        <v>2320</v>
      </c>
      <c r="B5872" t="s">
        <v>309</v>
      </c>
      <c r="C5872" s="8">
        <v>46154</v>
      </c>
      <c r="D5872" t="s">
        <v>332</v>
      </c>
      <c r="E5872" t="s">
        <v>337</v>
      </c>
      <c r="F5872" s="12">
        <v>890592</v>
      </c>
      <c r="G5872" s="13">
        <v>89</v>
      </c>
      <c r="H5872" t="s">
        <v>2727</v>
      </c>
      <c r="I5872" s="8">
        <v>46058</v>
      </c>
      <c r="J5872" t="s">
        <v>2659</v>
      </c>
      <c r="K5872" t="s">
        <v>2660</v>
      </c>
      <c r="L5872" s="13">
        <v>3500</v>
      </c>
      <c r="M5872" t="s">
        <v>2661</v>
      </c>
    </row>
    <row r="5873" spans="1:13">
      <c r="A5873" t="s">
        <v>2320</v>
      </c>
      <c r="B5873" t="s">
        <v>309</v>
      </c>
      <c r="C5873" s="8">
        <v>46154</v>
      </c>
      <c r="D5873" t="s">
        <v>332</v>
      </c>
      <c r="E5873" t="s">
        <v>337</v>
      </c>
      <c r="F5873" s="12">
        <v>890592</v>
      </c>
      <c r="G5873" s="13">
        <v>89</v>
      </c>
      <c r="H5873" t="s">
        <v>3115</v>
      </c>
      <c r="I5873" s="8">
        <v>45943</v>
      </c>
      <c r="J5873" t="s">
        <v>2682</v>
      </c>
      <c r="K5873" t="s">
        <v>2683</v>
      </c>
      <c r="L5873" s="13">
        <v>6000</v>
      </c>
      <c r="M5873" t="s">
        <v>2676</v>
      </c>
    </row>
    <row r="5874" spans="1:13">
      <c r="A5874" t="s">
        <v>2320</v>
      </c>
      <c r="B5874" t="s">
        <v>309</v>
      </c>
      <c r="C5874" s="8">
        <v>46154</v>
      </c>
      <c r="D5874" t="s">
        <v>332</v>
      </c>
      <c r="E5874" t="s">
        <v>337</v>
      </c>
      <c r="F5874" s="12">
        <v>890592</v>
      </c>
      <c r="G5874" s="13">
        <v>89</v>
      </c>
      <c r="H5874" t="s">
        <v>3418</v>
      </c>
      <c r="I5874" s="8">
        <v>46064</v>
      </c>
      <c r="J5874" t="s">
        <v>2665</v>
      </c>
      <c r="K5874" t="s">
        <v>2666</v>
      </c>
      <c r="L5874" s="13">
        <v>2500</v>
      </c>
      <c r="M5874" t="s">
        <v>2661</v>
      </c>
    </row>
    <row r="5875" spans="1:13">
      <c r="A5875" t="s">
        <v>2321</v>
      </c>
      <c r="B5875" t="s">
        <v>156</v>
      </c>
      <c r="C5875" s="8">
        <v>46198</v>
      </c>
      <c r="D5875" t="s">
        <v>327</v>
      </c>
      <c r="E5875" t="s">
        <v>337</v>
      </c>
      <c r="F5875" s="12">
        <v>573787</v>
      </c>
      <c r="G5875" s="13">
        <v>57</v>
      </c>
      <c r="H5875" t="s">
        <v>3301</v>
      </c>
      <c r="I5875" s="8">
        <v>46106</v>
      </c>
      <c r="J5875" t="s">
        <v>2674</v>
      </c>
      <c r="K5875" t="s">
        <v>2675</v>
      </c>
      <c r="L5875" s="13">
        <v>20000</v>
      </c>
      <c r="M5875" t="s">
        <v>2661</v>
      </c>
    </row>
    <row r="5876" spans="1:13">
      <c r="A5876" t="s">
        <v>2321</v>
      </c>
      <c r="B5876" t="s">
        <v>156</v>
      </c>
      <c r="C5876" s="8">
        <v>46198</v>
      </c>
      <c r="D5876" t="s">
        <v>327</v>
      </c>
      <c r="E5876" t="s">
        <v>337</v>
      </c>
      <c r="F5876" s="12">
        <v>573787</v>
      </c>
      <c r="G5876" s="13">
        <v>57</v>
      </c>
      <c r="H5876" t="s">
        <v>3309</v>
      </c>
      <c r="I5876" s="8">
        <v>46033</v>
      </c>
      <c r="J5876" t="s">
        <v>2692</v>
      </c>
      <c r="K5876" t="s">
        <v>2693</v>
      </c>
      <c r="L5876" s="13">
        <v>10000</v>
      </c>
      <c r="M5876" t="s">
        <v>2661</v>
      </c>
    </row>
    <row r="5877" spans="1:13">
      <c r="A5877" t="s">
        <v>2322</v>
      </c>
      <c r="B5877" t="s">
        <v>303</v>
      </c>
      <c r="C5877" s="8">
        <v>46146</v>
      </c>
      <c r="D5877" t="s">
        <v>324</v>
      </c>
      <c r="E5877" t="s">
        <v>322</v>
      </c>
      <c r="F5877" s="12">
        <v>420218</v>
      </c>
      <c r="G5877" s="13">
        <v>42</v>
      </c>
      <c r="H5877" t="s">
        <v>2809</v>
      </c>
      <c r="I5877" s="8">
        <v>46061</v>
      </c>
      <c r="J5877" t="s">
        <v>2682</v>
      </c>
      <c r="K5877" t="s">
        <v>2683</v>
      </c>
      <c r="L5877" s="13">
        <v>6000</v>
      </c>
      <c r="M5877" t="s">
        <v>2661</v>
      </c>
    </row>
    <row r="5878" spans="1:13">
      <c r="A5878" t="s">
        <v>2323</v>
      </c>
      <c r="B5878" t="s">
        <v>27</v>
      </c>
      <c r="C5878" s="8">
        <v>46218</v>
      </c>
      <c r="D5878" t="s">
        <v>327</v>
      </c>
      <c r="E5878" t="s">
        <v>337</v>
      </c>
      <c r="F5878" s="12">
        <v>856111</v>
      </c>
      <c r="G5878" s="13">
        <v>85</v>
      </c>
      <c r="H5878" t="s">
        <v>3224</v>
      </c>
      <c r="I5878" s="8">
        <v>46029</v>
      </c>
      <c r="J5878" t="s">
        <v>2685</v>
      </c>
      <c r="K5878" t="s">
        <v>2686</v>
      </c>
      <c r="L5878" s="13">
        <v>5000</v>
      </c>
      <c r="M5878" t="s">
        <v>2661</v>
      </c>
    </row>
    <row r="5879" spans="1:13">
      <c r="A5879" t="s">
        <v>2323</v>
      </c>
      <c r="B5879" t="s">
        <v>27</v>
      </c>
      <c r="C5879" s="8">
        <v>46218</v>
      </c>
      <c r="D5879" t="s">
        <v>327</v>
      </c>
      <c r="E5879" t="s">
        <v>337</v>
      </c>
      <c r="F5879" s="12">
        <v>856111</v>
      </c>
      <c r="G5879" s="13">
        <v>85</v>
      </c>
      <c r="H5879" t="s">
        <v>3345</v>
      </c>
      <c r="I5879" s="8">
        <v>46277</v>
      </c>
      <c r="J5879" t="s">
        <v>2671</v>
      </c>
      <c r="K5879" t="s">
        <v>2672</v>
      </c>
      <c r="L5879" s="13">
        <v>3000</v>
      </c>
      <c r="M5879" t="s">
        <v>2661</v>
      </c>
    </row>
    <row r="5880" spans="1:13">
      <c r="A5880" t="s">
        <v>2324</v>
      </c>
      <c r="B5880" t="s">
        <v>262</v>
      </c>
      <c r="C5880" s="8">
        <v>46243</v>
      </c>
      <c r="D5880" t="s">
        <v>332</v>
      </c>
      <c r="E5880" t="s">
        <v>328</v>
      </c>
      <c r="F5880" s="12">
        <v>1550689</v>
      </c>
      <c r="G5880" s="13">
        <v>155</v>
      </c>
      <c r="H5880" t="s">
        <v>2923</v>
      </c>
      <c r="I5880" s="8">
        <v>46130</v>
      </c>
      <c r="J5880" t="s">
        <v>2682</v>
      </c>
      <c r="K5880" t="s">
        <v>2683</v>
      </c>
      <c r="L5880" s="13">
        <v>6000</v>
      </c>
      <c r="M5880" t="s">
        <v>2661</v>
      </c>
    </row>
    <row r="5881" spans="1:13">
      <c r="A5881" t="s">
        <v>2325</v>
      </c>
      <c r="B5881" t="s">
        <v>141</v>
      </c>
      <c r="C5881" s="8">
        <v>45986</v>
      </c>
      <c r="D5881" t="s">
        <v>321</v>
      </c>
      <c r="E5881" t="s">
        <v>322</v>
      </c>
      <c r="F5881" s="12">
        <v>178823</v>
      </c>
      <c r="G5881" s="13">
        <v>17</v>
      </c>
      <c r="H5881" t="s">
        <v>2784</v>
      </c>
      <c r="I5881" s="8">
        <v>46039</v>
      </c>
      <c r="J5881" t="s">
        <v>2692</v>
      </c>
      <c r="K5881" t="s">
        <v>2693</v>
      </c>
      <c r="L5881" s="13">
        <v>10000</v>
      </c>
      <c r="M5881" t="s">
        <v>2676</v>
      </c>
    </row>
    <row r="5882" spans="1:13">
      <c r="A5882" t="s">
        <v>2325</v>
      </c>
      <c r="B5882" t="s">
        <v>141</v>
      </c>
      <c r="C5882" s="8">
        <v>45986</v>
      </c>
      <c r="D5882" t="s">
        <v>321</v>
      </c>
      <c r="E5882" t="s">
        <v>322</v>
      </c>
      <c r="F5882" s="12">
        <v>178823</v>
      </c>
      <c r="G5882" s="13">
        <v>17</v>
      </c>
      <c r="H5882" t="s">
        <v>2983</v>
      </c>
      <c r="I5882" s="8">
        <v>46195</v>
      </c>
      <c r="J5882" t="s">
        <v>2665</v>
      </c>
      <c r="K5882" t="s">
        <v>2666</v>
      </c>
      <c r="L5882" s="13">
        <v>2500</v>
      </c>
      <c r="M5882" t="s">
        <v>2661</v>
      </c>
    </row>
    <row r="5883" spans="1:13">
      <c r="A5883" t="s">
        <v>2325</v>
      </c>
      <c r="B5883" t="s">
        <v>141</v>
      </c>
      <c r="C5883" s="8">
        <v>45986</v>
      </c>
      <c r="D5883" t="s">
        <v>321</v>
      </c>
      <c r="E5883" t="s">
        <v>322</v>
      </c>
      <c r="F5883" s="12">
        <v>178823</v>
      </c>
      <c r="G5883" s="13">
        <v>17</v>
      </c>
      <c r="H5883" t="s">
        <v>3011</v>
      </c>
      <c r="I5883" s="8">
        <v>46197</v>
      </c>
      <c r="J5883" t="s">
        <v>2674</v>
      </c>
      <c r="K5883" t="s">
        <v>2675</v>
      </c>
      <c r="L5883" s="13">
        <v>20000</v>
      </c>
      <c r="M5883" t="s">
        <v>2661</v>
      </c>
    </row>
    <row r="5884" spans="1:13">
      <c r="A5884" t="s">
        <v>2325</v>
      </c>
      <c r="B5884" t="s">
        <v>141</v>
      </c>
      <c r="C5884" s="8">
        <v>45986</v>
      </c>
      <c r="D5884" t="s">
        <v>321</v>
      </c>
      <c r="E5884" t="s">
        <v>322</v>
      </c>
      <c r="F5884" s="12">
        <v>178823</v>
      </c>
      <c r="G5884" s="13">
        <v>17</v>
      </c>
      <c r="H5884" t="s">
        <v>3035</v>
      </c>
      <c r="I5884" s="8">
        <v>46115</v>
      </c>
      <c r="J5884" t="s">
        <v>2663</v>
      </c>
      <c r="K5884" t="s">
        <v>3630</v>
      </c>
      <c r="L5884" s="13">
        <v>1500</v>
      </c>
      <c r="M5884" t="s">
        <v>2661</v>
      </c>
    </row>
    <row r="5885" spans="1:13">
      <c r="A5885" t="s">
        <v>2325</v>
      </c>
      <c r="B5885" t="s">
        <v>141</v>
      </c>
      <c r="C5885" s="8">
        <v>45986</v>
      </c>
      <c r="D5885" t="s">
        <v>321</v>
      </c>
      <c r="E5885" t="s">
        <v>322</v>
      </c>
      <c r="F5885" s="12">
        <v>178823</v>
      </c>
      <c r="G5885" s="13">
        <v>17</v>
      </c>
      <c r="H5885" t="s">
        <v>3161</v>
      </c>
      <c r="I5885" s="8">
        <v>46177</v>
      </c>
      <c r="J5885" t="s">
        <v>2663</v>
      </c>
      <c r="K5885" t="s">
        <v>3630</v>
      </c>
      <c r="L5885" s="13">
        <v>1500</v>
      </c>
      <c r="M5885" t="s">
        <v>2661</v>
      </c>
    </row>
    <row r="5886" spans="1:13">
      <c r="A5886" t="s">
        <v>2325</v>
      </c>
      <c r="B5886" t="s">
        <v>141</v>
      </c>
      <c r="C5886" s="8">
        <v>45986</v>
      </c>
      <c r="D5886" t="s">
        <v>321</v>
      </c>
      <c r="E5886" t="s">
        <v>322</v>
      </c>
      <c r="F5886" s="12">
        <v>178823</v>
      </c>
      <c r="G5886" s="13">
        <v>17</v>
      </c>
      <c r="H5886" t="s">
        <v>3357</v>
      </c>
      <c r="I5886" s="8">
        <v>46093</v>
      </c>
      <c r="J5886" t="s">
        <v>2685</v>
      </c>
      <c r="K5886" t="s">
        <v>2686</v>
      </c>
      <c r="L5886" s="13">
        <v>5000</v>
      </c>
      <c r="M5886" t="s">
        <v>2676</v>
      </c>
    </row>
    <row r="5887" spans="1:13">
      <c r="A5887" t="s">
        <v>2326</v>
      </c>
      <c r="B5887" t="s">
        <v>105</v>
      </c>
      <c r="C5887" s="8">
        <v>46110</v>
      </c>
      <c r="D5887" t="s">
        <v>324</v>
      </c>
      <c r="E5887" t="s">
        <v>339</v>
      </c>
      <c r="F5887" s="12">
        <v>732843</v>
      </c>
      <c r="G5887" s="13">
        <v>73</v>
      </c>
      <c r="H5887" t="s">
        <v>3001</v>
      </c>
      <c r="I5887" s="8">
        <v>46288</v>
      </c>
      <c r="J5887" t="s">
        <v>2668</v>
      </c>
      <c r="K5887" t="s">
        <v>2669</v>
      </c>
      <c r="L5887" s="13">
        <v>4000</v>
      </c>
      <c r="M5887" t="s">
        <v>2661</v>
      </c>
    </row>
    <row r="5888" spans="1:13">
      <c r="A5888" t="s">
        <v>2326</v>
      </c>
      <c r="B5888" t="s">
        <v>105</v>
      </c>
      <c r="C5888" s="8">
        <v>46110</v>
      </c>
      <c r="D5888" t="s">
        <v>324</v>
      </c>
      <c r="E5888" t="s">
        <v>339</v>
      </c>
      <c r="F5888" s="12">
        <v>732843</v>
      </c>
      <c r="G5888" s="13">
        <v>73</v>
      </c>
      <c r="H5888" t="s">
        <v>3018</v>
      </c>
      <c r="I5888" s="8">
        <v>45961</v>
      </c>
      <c r="J5888" t="s">
        <v>2685</v>
      </c>
      <c r="K5888" t="s">
        <v>2686</v>
      </c>
      <c r="L5888" s="13">
        <v>5000</v>
      </c>
      <c r="M5888" t="s">
        <v>2661</v>
      </c>
    </row>
    <row r="5889" spans="1:13">
      <c r="A5889" t="s">
        <v>2327</v>
      </c>
      <c r="B5889" t="s">
        <v>259</v>
      </c>
      <c r="C5889" s="8">
        <v>46153</v>
      </c>
      <c r="D5889" t="s">
        <v>344</v>
      </c>
      <c r="E5889" t="s">
        <v>334</v>
      </c>
      <c r="F5889" s="12">
        <v>251392</v>
      </c>
      <c r="G5889" s="13">
        <v>25</v>
      </c>
      <c r="H5889" t="s">
        <v>2802</v>
      </c>
      <c r="I5889" s="8">
        <v>46222</v>
      </c>
      <c r="J5889" t="s">
        <v>2668</v>
      </c>
      <c r="K5889" t="s">
        <v>2669</v>
      </c>
      <c r="L5889" s="13">
        <v>4000</v>
      </c>
      <c r="M5889" t="s">
        <v>2661</v>
      </c>
    </row>
    <row r="5890" spans="1:13">
      <c r="A5890" t="s">
        <v>2327</v>
      </c>
      <c r="B5890" t="s">
        <v>259</v>
      </c>
      <c r="C5890" s="8">
        <v>46153</v>
      </c>
      <c r="D5890" t="s">
        <v>344</v>
      </c>
      <c r="E5890" t="s">
        <v>334</v>
      </c>
      <c r="F5890" s="12">
        <v>251392</v>
      </c>
      <c r="G5890" s="13">
        <v>25</v>
      </c>
      <c r="H5890" t="s">
        <v>2933</v>
      </c>
      <c r="I5890" s="8">
        <v>46183</v>
      </c>
      <c r="J5890" t="s">
        <v>2674</v>
      </c>
      <c r="K5890" t="s">
        <v>2675</v>
      </c>
      <c r="L5890" s="13">
        <v>20000</v>
      </c>
      <c r="M5890" t="s">
        <v>2661</v>
      </c>
    </row>
    <row r="5891" spans="1:13">
      <c r="A5891" t="s">
        <v>2327</v>
      </c>
      <c r="B5891" t="s">
        <v>259</v>
      </c>
      <c r="C5891" s="8">
        <v>46153</v>
      </c>
      <c r="D5891" t="s">
        <v>344</v>
      </c>
      <c r="E5891" t="s">
        <v>334</v>
      </c>
      <c r="F5891" s="12">
        <v>251392</v>
      </c>
      <c r="G5891" s="13">
        <v>25</v>
      </c>
      <c r="H5891" t="s">
        <v>2969</v>
      </c>
      <c r="I5891" s="8">
        <v>46173</v>
      </c>
      <c r="J5891" t="s">
        <v>2668</v>
      </c>
      <c r="K5891" t="s">
        <v>2669</v>
      </c>
      <c r="L5891" s="13">
        <v>4000</v>
      </c>
      <c r="M5891" t="s">
        <v>2661</v>
      </c>
    </row>
    <row r="5892" spans="1:13">
      <c r="A5892" t="s">
        <v>2327</v>
      </c>
      <c r="B5892" t="s">
        <v>259</v>
      </c>
      <c r="C5892" s="8">
        <v>46153</v>
      </c>
      <c r="D5892" t="s">
        <v>344</v>
      </c>
      <c r="E5892" t="s">
        <v>334</v>
      </c>
      <c r="F5892" s="12">
        <v>251392</v>
      </c>
      <c r="G5892" s="13">
        <v>25</v>
      </c>
      <c r="H5892" t="s">
        <v>3300</v>
      </c>
      <c r="I5892" s="8">
        <v>46089</v>
      </c>
      <c r="J5892" t="s">
        <v>2688</v>
      </c>
      <c r="K5892" t="s">
        <v>2689</v>
      </c>
      <c r="L5892" s="13">
        <v>8000</v>
      </c>
      <c r="M5892" t="s">
        <v>2676</v>
      </c>
    </row>
    <row r="5893" spans="1:13">
      <c r="A5893" t="s">
        <v>2328</v>
      </c>
      <c r="B5893" t="s">
        <v>233</v>
      </c>
      <c r="C5893" s="8">
        <v>46001</v>
      </c>
      <c r="D5893" t="s">
        <v>350</v>
      </c>
      <c r="E5893" t="s">
        <v>328</v>
      </c>
      <c r="F5893" s="12">
        <v>578462</v>
      </c>
      <c r="G5893" s="13">
        <v>57</v>
      </c>
      <c r="H5893" t="s">
        <v>2912</v>
      </c>
      <c r="I5893" s="8">
        <v>46184</v>
      </c>
      <c r="J5893" t="s">
        <v>2688</v>
      </c>
      <c r="K5893" t="s">
        <v>2689</v>
      </c>
      <c r="L5893" s="13">
        <v>8000</v>
      </c>
      <c r="M5893" t="s">
        <v>2676</v>
      </c>
    </row>
    <row r="5894" spans="1:13">
      <c r="A5894" t="s">
        <v>2328</v>
      </c>
      <c r="B5894" t="s">
        <v>233</v>
      </c>
      <c r="C5894" s="8">
        <v>46001</v>
      </c>
      <c r="D5894" t="s">
        <v>350</v>
      </c>
      <c r="E5894" t="s">
        <v>328</v>
      </c>
      <c r="F5894" s="12">
        <v>578462</v>
      </c>
      <c r="G5894" s="13">
        <v>57</v>
      </c>
      <c r="H5894" t="s">
        <v>3508</v>
      </c>
      <c r="I5894" s="8">
        <v>46183</v>
      </c>
      <c r="J5894" t="s">
        <v>2671</v>
      </c>
      <c r="K5894" t="s">
        <v>2672</v>
      </c>
      <c r="L5894" s="13">
        <v>3000</v>
      </c>
      <c r="M5894" t="s">
        <v>2661</v>
      </c>
    </row>
    <row r="5895" spans="1:13">
      <c r="A5895" t="s">
        <v>2329</v>
      </c>
      <c r="B5895" t="s">
        <v>90</v>
      </c>
      <c r="C5895" s="8">
        <v>45985</v>
      </c>
      <c r="D5895" t="s">
        <v>342</v>
      </c>
      <c r="E5895" t="s">
        <v>339</v>
      </c>
      <c r="F5895" s="12">
        <v>137210</v>
      </c>
      <c r="G5895" s="13">
        <v>13</v>
      </c>
      <c r="H5895" t="s">
        <v>3041</v>
      </c>
      <c r="I5895" s="8">
        <v>46040</v>
      </c>
      <c r="J5895" t="s">
        <v>2685</v>
      </c>
      <c r="K5895" t="s">
        <v>2686</v>
      </c>
      <c r="L5895" s="13">
        <v>5000</v>
      </c>
      <c r="M5895" t="s">
        <v>2661</v>
      </c>
    </row>
    <row r="5896" spans="1:13">
      <c r="A5896" t="s">
        <v>2330</v>
      </c>
      <c r="B5896" t="s">
        <v>68</v>
      </c>
      <c r="C5896" s="8">
        <v>45987</v>
      </c>
      <c r="D5896" t="s">
        <v>332</v>
      </c>
      <c r="E5896" t="s">
        <v>339</v>
      </c>
      <c r="F5896" s="12">
        <v>259100</v>
      </c>
      <c r="G5896" s="13">
        <v>25</v>
      </c>
      <c r="H5896" t="s">
        <v>2869</v>
      </c>
      <c r="I5896" s="8">
        <v>46266</v>
      </c>
      <c r="J5896" t="s">
        <v>2671</v>
      </c>
      <c r="K5896" t="s">
        <v>2672</v>
      </c>
      <c r="L5896" s="13">
        <v>3000</v>
      </c>
      <c r="M5896" t="s">
        <v>2661</v>
      </c>
    </row>
    <row r="5897" spans="1:13">
      <c r="A5897" t="s">
        <v>2330</v>
      </c>
      <c r="B5897" t="s">
        <v>68</v>
      </c>
      <c r="C5897" s="8">
        <v>45987</v>
      </c>
      <c r="D5897" t="s">
        <v>332</v>
      </c>
      <c r="E5897" t="s">
        <v>339</v>
      </c>
      <c r="F5897" s="12">
        <v>259100</v>
      </c>
      <c r="G5897" s="13">
        <v>25</v>
      </c>
      <c r="H5897" t="s">
        <v>3248</v>
      </c>
      <c r="I5897" s="8">
        <v>45945</v>
      </c>
      <c r="J5897" t="s">
        <v>2682</v>
      </c>
      <c r="K5897" t="s">
        <v>2683</v>
      </c>
      <c r="L5897" s="13">
        <v>6000</v>
      </c>
      <c r="M5897" t="s">
        <v>2661</v>
      </c>
    </row>
    <row r="5898" spans="1:13">
      <c r="A5898" t="s">
        <v>2330</v>
      </c>
      <c r="B5898" t="s">
        <v>68</v>
      </c>
      <c r="C5898" s="8">
        <v>45987</v>
      </c>
      <c r="D5898" t="s">
        <v>332</v>
      </c>
      <c r="E5898" t="s">
        <v>339</v>
      </c>
      <c r="F5898" s="12">
        <v>259100</v>
      </c>
      <c r="G5898" s="13">
        <v>25</v>
      </c>
      <c r="H5898" t="s">
        <v>3506</v>
      </c>
      <c r="I5898" s="8">
        <v>46080</v>
      </c>
      <c r="J5898" t="s">
        <v>2668</v>
      </c>
      <c r="K5898" t="s">
        <v>2669</v>
      </c>
      <c r="L5898" s="13">
        <v>4000</v>
      </c>
      <c r="M5898" t="s">
        <v>2661</v>
      </c>
    </row>
    <row r="5899" spans="1:13">
      <c r="A5899" t="s">
        <v>2331</v>
      </c>
      <c r="B5899" t="s">
        <v>241</v>
      </c>
      <c r="C5899" s="8">
        <v>46212</v>
      </c>
      <c r="D5899" t="s">
        <v>327</v>
      </c>
      <c r="E5899" t="s">
        <v>322</v>
      </c>
      <c r="F5899" s="12">
        <v>276249</v>
      </c>
      <c r="G5899" s="13">
        <v>27</v>
      </c>
      <c r="H5899" t="s">
        <v>2911</v>
      </c>
      <c r="I5899" s="8">
        <v>46173</v>
      </c>
      <c r="J5899" t="s">
        <v>2692</v>
      </c>
      <c r="K5899" t="s">
        <v>2693</v>
      </c>
      <c r="L5899" s="13">
        <v>10000</v>
      </c>
      <c r="M5899" t="s">
        <v>2661</v>
      </c>
    </row>
    <row r="5900" spans="1:13">
      <c r="A5900" t="s">
        <v>2331</v>
      </c>
      <c r="B5900" t="s">
        <v>241</v>
      </c>
      <c r="C5900" s="8">
        <v>46212</v>
      </c>
      <c r="D5900" t="s">
        <v>327</v>
      </c>
      <c r="E5900" t="s">
        <v>322</v>
      </c>
      <c r="F5900" s="12">
        <v>276249</v>
      </c>
      <c r="G5900" s="13">
        <v>27</v>
      </c>
      <c r="H5900" t="s">
        <v>3174</v>
      </c>
      <c r="I5900" s="8">
        <v>46189</v>
      </c>
      <c r="J5900" t="s">
        <v>2674</v>
      </c>
      <c r="K5900" t="s">
        <v>2675</v>
      </c>
      <c r="L5900" s="13">
        <v>20000</v>
      </c>
      <c r="M5900" t="s">
        <v>2661</v>
      </c>
    </row>
    <row r="5901" spans="1:13">
      <c r="A5901" t="s">
        <v>2331</v>
      </c>
      <c r="B5901" t="s">
        <v>241</v>
      </c>
      <c r="C5901" s="8">
        <v>46212</v>
      </c>
      <c r="D5901" t="s">
        <v>327</v>
      </c>
      <c r="E5901" t="s">
        <v>322</v>
      </c>
      <c r="F5901" s="12">
        <v>276249</v>
      </c>
      <c r="G5901" s="13">
        <v>27</v>
      </c>
      <c r="H5901" t="s">
        <v>3419</v>
      </c>
      <c r="I5901" s="8">
        <v>46084</v>
      </c>
      <c r="J5901" t="s">
        <v>2665</v>
      </c>
      <c r="K5901" t="s">
        <v>2666</v>
      </c>
      <c r="L5901" s="13">
        <v>2500</v>
      </c>
      <c r="M5901" t="s">
        <v>2661</v>
      </c>
    </row>
    <row r="5902" spans="1:13">
      <c r="A5902" t="s">
        <v>2331</v>
      </c>
      <c r="B5902" t="s">
        <v>241</v>
      </c>
      <c r="C5902" s="8">
        <v>46212</v>
      </c>
      <c r="D5902" t="s">
        <v>327</v>
      </c>
      <c r="E5902" t="s">
        <v>322</v>
      </c>
      <c r="F5902" s="12">
        <v>276249</v>
      </c>
      <c r="G5902" s="13">
        <v>27</v>
      </c>
      <c r="H5902" t="s">
        <v>3526</v>
      </c>
      <c r="I5902" s="8">
        <v>46211</v>
      </c>
      <c r="J5902" t="s">
        <v>2671</v>
      </c>
      <c r="K5902" t="s">
        <v>2672</v>
      </c>
      <c r="L5902" s="13">
        <v>3000</v>
      </c>
      <c r="M5902" t="s">
        <v>2661</v>
      </c>
    </row>
    <row r="5903" spans="1:13">
      <c r="A5903" t="s">
        <v>2332</v>
      </c>
      <c r="B5903" t="s">
        <v>266</v>
      </c>
      <c r="C5903" s="8">
        <v>46019</v>
      </c>
      <c r="D5903" t="s">
        <v>344</v>
      </c>
      <c r="E5903" t="s">
        <v>334</v>
      </c>
      <c r="F5903" s="12">
        <v>351137</v>
      </c>
      <c r="G5903" s="13">
        <v>35</v>
      </c>
      <c r="H5903" t="s">
        <v>2736</v>
      </c>
      <c r="I5903" s="8">
        <v>46216</v>
      </c>
      <c r="J5903" t="s">
        <v>2685</v>
      </c>
      <c r="K5903" t="s">
        <v>2686</v>
      </c>
      <c r="L5903" s="13">
        <v>5000</v>
      </c>
      <c r="M5903" t="s">
        <v>2661</v>
      </c>
    </row>
    <row r="5904" spans="1:13">
      <c r="A5904" t="s">
        <v>2332</v>
      </c>
      <c r="B5904" t="s">
        <v>266</v>
      </c>
      <c r="C5904" s="8">
        <v>46019</v>
      </c>
      <c r="D5904" t="s">
        <v>344</v>
      </c>
      <c r="E5904" t="s">
        <v>334</v>
      </c>
      <c r="F5904" s="12">
        <v>351137</v>
      </c>
      <c r="G5904" s="13">
        <v>35</v>
      </c>
      <c r="H5904" t="s">
        <v>2757</v>
      </c>
      <c r="I5904" s="8">
        <v>46186</v>
      </c>
      <c r="J5904" t="s">
        <v>2688</v>
      </c>
      <c r="K5904" t="s">
        <v>2689</v>
      </c>
      <c r="L5904" s="13">
        <v>8000</v>
      </c>
      <c r="M5904" t="s">
        <v>2661</v>
      </c>
    </row>
    <row r="5905" spans="1:13">
      <c r="A5905" t="s">
        <v>2332</v>
      </c>
      <c r="B5905" t="s">
        <v>266</v>
      </c>
      <c r="C5905" s="8">
        <v>46019</v>
      </c>
      <c r="D5905" t="s">
        <v>344</v>
      </c>
      <c r="E5905" t="s">
        <v>334</v>
      </c>
      <c r="F5905" s="12">
        <v>351137</v>
      </c>
      <c r="G5905" s="13">
        <v>35</v>
      </c>
      <c r="H5905" t="s">
        <v>3331</v>
      </c>
      <c r="I5905" s="8">
        <v>46215</v>
      </c>
      <c r="J5905" t="s">
        <v>2674</v>
      </c>
      <c r="K5905" t="s">
        <v>2675</v>
      </c>
      <c r="L5905" s="13">
        <v>20000</v>
      </c>
      <c r="M5905" t="s">
        <v>2661</v>
      </c>
    </row>
    <row r="5906" spans="1:13">
      <c r="A5906" t="s">
        <v>2332</v>
      </c>
      <c r="B5906" t="s">
        <v>266</v>
      </c>
      <c r="C5906" s="8">
        <v>46019</v>
      </c>
      <c r="D5906" t="s">
        <v>344</v>
      </c>
      <c r="E5906" t="s">
        <v>334</v>
      </c>
      <c r="F5906" s="12">
        <v>351137</v>
      </c>
      <c r="G5906" s="13">
        <v>35</v>
      </c>
      <c r="H5906" t="s">
        <v>3337</v>
      </c>
      <c r="I5906" s="8">
        <v>46032</v>
      </c>
      <c r="J5906" t="s">
        <v>2682</v>
      </c>
      <c r="K5906" t="s">
        <v>2683</v>
      </c>
      <c r="L5906" s="13">
        <v>6000</v>
      </c>
      <c r="M5906" t="s">
        <v>2661</v>
      </c>
    </row>
    <row r="5907" spans="1:13">
      <c r="A5907" t="s">
        <v>2332</v>
      </c>
      <c r="B5907" t="s">
        <v>266</v>
      </c>
      <c r="C5907" s="8">
        <v>46019</v>
      </c>
      <c r="D5907" t="s">
        <v>344</v>
      </c>
      <c r="E5907" t="s">
        <v>334</v>
      </c>
      <c r="F5907" s="12">
        <v>351137</v>
      </c>
      <c r="G5907" s="13">
        <v>35</v>
      </c>
      <c r="H5907" t="s">
        <v>3347</v>
      </c>
      <c r="I5907" s="8">
        <v>46104</v>
      </c>
      <c r="J5907" t="s">
        <v>2688</v>
      </c>
      <c r="K5907" t="s">
        <v>2689</v>
      </c>
      <c r="L5907" s="13">
        <v>8000</v>
      </c>
      <c r="M5907" t="s">
        <v>2661</v>
      </c>
    </row>
    <row r="5908" spans="1:13">
      <c r="A5908" t="s">
        <v>2332</v>
      </c>
      <c r="B5908" t="s">
        <v>266</v>
      </c>
      <c r="C5908" s="8">
        <v>46019</v>
      </c>
      <c r="D5908" t="s">
        <v>344</v>
      </c>
      <c r="E5908" t="s">
        <v>334</v>
      </c>
      <c r="F5908" s="12">
        <v>351137</v>
      </c>
      <c r="G5908" s="13">
        <v>35</v>
      </c>
      <c r="H5908" t="s">
        <v>3518</v>
      </c>
      <c r="I5908" s="8">
        <v>46126</v>
      </c>
      <c r="J5908" t="s">
        <v>2692</v>
      </c>
      <c r="K5908" t="s">
        <v>2693</v>
      </c>
      <c r="L5908" s="13">
        <v>10000</v>
      </c>
      <c r="M5908" t="s">
        <v>2661</v>
      </c>
    </row>
    <row r="5909" spans="1:13">
      <c r="A5909" t="s">
        <v>2333</v>
      </c>
      <c r="B5909" t="s">
        <v>43</v>
      </c>
      <c r="C5909" s="8">
        <v>46099</v>
      </c>
      <c r="D5909" t="s">
        <v>342</v>
      </c>
      <c r="E5909" t="s">
        <v>339</v>
      </c>
      <c r="F5909" s="12">
        <v>509549</v>
      </c>
      <c r="G5909" s="13">
        <v>50</v>
      </c>
      <c r="H5909" t="s">
        <v>2790</v>
      </c>
      <c r="I5909" s="8">
        <v>46099</v>
      </c>
      <c r="J5909" t="s">
        <v>2665</v>
      </c>
      <c r="K5909" t="s">
        <v>2666</v>
      </c>
      <c r="L5909" s="13">
        <v>2500</v>
      </c>
      <c r="M5909" t="s">
        <v>2661</v>
      </c>
    </row>
    <row r="5910" spans="1:13">
      <c r="A5910" t="s">
        <v>2333</v>
      </c>
      <c r="B5910" t="s">
        <v>43</v>
      </c>
      <c r="C5910" s="8">
        <v>46099</v>
      </c>
      <c r="D5910" t="s">
        <v>342</v>
      </c>
      <c r="E5910" t="s">
        <v>339</v>
      </c>
      <c r="F5910" s="12">
        <v>509549</v>
      </c>
      <c r="G5910" s="13">
        <v>50</v>
      </c>
      <c r="H5910" t="s">
        <v>2970</v>
      </c>
      <c r="I5910" s="8">
        <v>46077</v>
      </c>
      <c r="J5910" t="s">
        <v>2665</v>
      </c>
      <c r="K5910" t="s">
        <v>2666</v>
      </c>
      <c r="L5910" s="13">
        <v>2500</v>
      </c>
      <c r="M5910" t="s">
        <v>2676</v>
      </c>
    </row>
    <row r="5911" spans="1:13">
      <c r="A5911" t="s">
        <v>2333</v>
      </c>
      <c r="B5911" t="s">
        <v>43</v>
      </c>
      <c r="C5911" s="8">
        <v>46099</v>
      </c>
      <c r="D5911" t="s">
        <v>342</v>
      </c>
      <c r="E5911" t="s">
        <v>339</v>
      </c>
      <c r="F5911" s="12">
        <v>509549</v>
      </c>
      <c r="G5911" s="13">
        <v>50</v>
      </c>
      <c r="H5911" t="s">
        <v>3068</v>
      </c>
      <c r="I5911" s="8">
        <v>46081</v>
      </c>
      <c r="J5911" t="s">
        <v>2674</v>
      </c>
      <c r="K5911" t="s">
        <v>2675</v>
      </c>
      <c r="L5911" s="13">
        <v>20000</v>
      </c>
      <c r="M5911" t="s">
        <v>2661</v>
      </c>
    </row>
    <row r="5912" spans="1:13">
      <c r="A5912" t="s">
        <v>2333</v>
      </c>
      <c r="B5912" t="s">
        <v>43</v>
      </c>
      <c r="C5912" s="8">
        <v>46099</v>
      </c>
      <c r="D5912" t="s">
        <v>342</v>
      </c>
      <c r="E5912" t="s">
        <v>339</v>
      </c>
      <c r="F5912" s="12">
        <v>509549</v>
      </c>
      <c r="G5912" s="13">
        <v>50</v>
      </c>
      <c r="H5912" t="s">
        <v>3209</v>
      </c>
      <c r="I5912" s="8">
        <v>46183</v>
      </c>
      <c r="J5912" t="s">
        <v>2685</v>
      </c>
      <c r="K5912" t="s">
        <v>2686</v>
      </c>
      <c r="L5912" s="13">
        <v>5000</v>
      </c>
      <c r="M5912" t="s">
        <v>2676</v>
      </c>
    </row>
    <row r="5913" spans="1:13">
      <c r="A5913" t="s">
        <v>2333</v>
      </c>
      <c r="B5913" t="s">
        <v>43</v>
      </c>
      <c r="C5913" s="8">
        <v>46099</v>
      </c>
      <c r="D5913" t="s">
        <v>342</v>
      </c>
      <c r="E5913" t="s">
        <v>339</v>
      </c>
      <c r="F5913" s="12">
        <v>509549</v>
      </c>
      <c r="G5913" s="13">
        <v>50</v>
      </c>
      <c r="H5913" t="s">
        <v>3281</v>
      </c>
      <c r="I5913" s="8">
        <v>46099</v>
      </c>
      <c r="J5913" t="s">
        <v>2692</v>
      </c>
      <c r="K5913" t="s">
        <v>2693</v>
      </c>
      <c r="L5913" s="13">
        <v>10000</v>
      </c>
      <c r="M5913" t="s">
        <v>2676</v>
      </c>
    </row>
    <row r="5914" spans="1:13">
      <c r="A5914" t="s">
        <v>2333</v>
      </c>
      <c r="B5914" t="s">
        <v>43</v>
      </c>
      <c r="C5914" s="8">
        <v>46099</v>
      </c>
      <c r="D5914" t="s">
        <v>342</v>
      </c>
      <c r="E5914" t="s">
        <v>339</v>
      </c>
      <c r="F5914" s="12">
        <v>509549</v>
      </c>
      <c r="G5914" s="13">
        <v>50</v>
      </c>
      <c r="H5914" t="s">
        <v>3472</v>
      </c>
      <c r="I5914" s="8">
        <v>46141</v>
      </c>
      <c r="J5914" t="s">
        <v>2692</v>
      </c>
      <c r="K5914" t="s">
        <v>2693</v>
      </c>
      <c r="L5914" s="13">
        <v>10000</v>
      </c>
      <c r="M5914" t="s">
        <v>2661</v>
      </c>
    </row>
    <row r="5915" spans="1:13">
      <c r="A5915" t="s">
        <v>2334</v>
      </c>
      <c r="B5915" t="s">
        <v>63</v>
      </c>
      <c r="C5915" s="8">
        <v>46105</v>
      </c>
      <c r="D5915" t="s">
        <v>350</v>
      </c>
      <c r="E5915" t="s">
        <v>334</v>
      </c>
      <c r="F5915" s="12">
        <v>358002</v>
      </c>
      <c r="G5915" s="13">
        <v>35</v>
      </c>
      <c r="H5915" t="s">
        <v>2690</v>
      </c>
      <c r="I5915" s="8">
        <v>46282</v>
      </c>
      <c r="J5915" t="s">
        <v>2674</v>
      </c>
      <c r="K5915" t="s">
        <v>2675</v>
      </c>
      <c r="L5915" s="13">
        <v>20000</v>
      </c>
      <c r="M5915" t="s">
        <v>2676</v>
      </c>
    </row>
    <row r="5916" spans="1:13">
      <c r="A5916" t="s">
        <v>2334</v>
      </c>
      <c r="B5916" t="s">
        <v>63</v>
      </c>
      <c r="C5916" s="8">
        <v>46105</v>
      </c>
      <c r="D5916" t="s">
        <v>350</v>
      </c>
      <c r="E5916" t="s">
        <v>334</v>
      </c>
      <c r="F5916" s="12">
        <v>358002</v>
      </c>
      <c r="G5916" s="13">
        <v>35</v>
      </c>
      <c r="H5916" t="s">
        <v>2914</v>
      </c>
      <c r="I5916" s="8">
        <v>46160</v>
      </c>
      <c r="J5916" t="s">
        <v>2671</v>
      </c>
      <c r="K5916" t="s">
        <v>2672</v>
      </c>
      <c r="L5916" s="13">
        <v>3000</v>
      </c>
      <c r="M5916" t="s">
        <v>2661</v>
      </c>
    </row>
    <row r="5917" spans="1:13">
      <c r="A5917" t="s">
        <v>2334</v>
      </c>
      <c r="B5917" t="s">
        <v>63</v>
      </c>
      <c r="C5917" s="8">
        <v>46105</v>
      </c>
      <c r="D5917" t="s">
        <v>350</v>
      </c>
      <c r="E5917" t="s">
        <v>334</v>
      </c>
      <c r="F5917" s="12">
        <v>358002</v>
      </c>
      <c r="G5917" s="13">
        <v>35</v>
      </c>
      <c r="H5917" t="s">
        <v>2918</v>
      </c>
      <c r="I5917" s="8">
        <v>46155</v>
      </c>
      <c r="J5917" t="s">
        <v>2692</v>
      </c>
      <c r="K5917" t="s">
        <v>2693</v>
      </c>
      <c r="L5917" s="13">
        <v>10000</v>
      </c>
      <c r="M5917" t="s">
        <v>2661</v>
      </c>
    </row>
    <row r="5918" spans="1:13">
      <c r="A5918" t="s">
        <v>2334</v>
      </c>
      <c r="B5918" t="s">
        <v>63</v>
      </c>
      <c r="C5918" s="8">
        <v>46105</v>
      </c>
      <c r="D5918" t="s">
        <v>350</v>
      </c>
      <c r="E5918" t="s">
        <v>334</v>
      </c>
      <c r="F5918" s="12">
        <v>358002</v>
      </c>
      <c r="G5918" s="13">
        <v>35</v>
      </c>
      <c r="H5918" t="s">
        <v>3178</v>
      </c>
      <c r="I5918" s="8">
        <v>46070</v>
      </c>
      <c r="J5918" t="s">
        <v>2685</v>
      </c>
      <c r="K5918" t="s">
        <v>2686</v>
      </c>
      <c r="L5918" s="13">
        <v>5000</v>
      </c>
      <c r="M5918" t="s">
        <v>2661</v>
      </c>
    </row>
    <row r="5919" spans="1:13">
      <c r="A5919" t="s">
        <v>2334</v>
      </c>
      <c r="B5919" t="s">
        <v>63</v>
      </c>
      <c r="C5919" s="8">
        <v>46105</v>
      </c>
      <c r="D5919" t="s">
        <v>350</v>
      </c>
      <c r="E5919" t="s">
        <v>334</v>
      </c>
      <c r="F5919" s="12">
        <v>358002</v>
      </c>
      <c r="G5919" s="13">
        <v>35</v>
      </c>
      <c r="H5919" t="s">
        <v>3211</v>
      </c>
      <c r="I5919" s="8">
        <v>46031</v>
      </c>
      <c r="J5919" t="s">
        <v>2663</v>
      </c>
      <c r="K5919" t="s">
        <v>3630</v>
      </c>
      <c r="L5919" s="13">
        <v>1500</v>
      </c>
      <c r="M5919" t="s">
        <v>2661</v>
      </c>
    </row>
    <row r="5920" spans="1:13">
      <c r="A5920" t="s">
        <v>2334</v>
      </c>
      <c r="B5920" t="s">
        <v>63</v>
      </c>
      <c r="C5920" s="8">
        <v>46105</v>
      </c>
      <c r="D5920" t="s">
        <v>350</v>
      </c>
      <c r="E5920" t="s">
        <v>334</v>
      </c>
      <c r="F5920" s="12">
        <v>358002</v>
      </c>
      <c r="G5920" s="13">
        <v>35</v>
      </c>
      <c r="H5920" t="s">
        <v>3454</v>
      </c>
      <c r="I5920" s="8">
        <v>46128</v>
      </c>
      <c r="J5920" t="s">
        <v>2674</v>
      </c>
      <c r="K5920" t="s">
        <v>2675</v>
      </c>
      <c r="L5920" s="13">
        <v>20000</v>
      </c>
      <c r="M5920" t="s">
        <v>2661</v>
      </c>
    </row>
    <row r="5921" spans="1:13">
      <c r="A5921" t="s">
        <v>2334</v>
      </c>
      <c r="B5921" t="s">
        <v>63</v>
      </c>
      <c r="C5921" s="8">
        <v>46105</v>
      </c>
      <c r="D5921" t="s">
        <v>350</v>
      </c>
      <c r="E5921" t="s">
        <v>334</v>
      </c>
      <c r="F5921" s="12">
        <v>358002</v>
      </c>
      <c r="G5921" s="13">
        <v>35</v>
      </c>
      <c r="H5921" t="s">
        <v>3554</v>
      </c>
      <c r="I5921" s="8">
        <v>46103</v>
      </c>
      <c r="J5921" t="s">
        <v>2682</v>
      </c>
      <c r="K5921" t="s">
        <v>2683</v>
      </c>
      <c r="L5921" s="13">
        <v>6000</v>
      </c>
      <c r="M5921" t="s">
        <v>2661</v>
      </c>
    </row>
    <row r="5922" spans="1:13">
      <c r="A5922" t="s">
        <v>2335</v>
      </c>
      <c r="B5922" t="s">
        <v>289</v>
      </c>
      <c r="C5922" s="8">
        <v>45937</v>
      </c>
      <c r="D5922" t="s">
        <v>350</v>
      </c>
      <c r="E5922" t="s">
        <v>339</v>
      </c>
      <c r="F5922" s="12">
        <v>727424</v>
      </c>
      <c r="G5922" s="13">
        <v>72</v>
      </c>
      <c r="H5922" t="s">
        <v>2908</v>
      </c>
      <c r="I5922" s="8">
        <v>46092</v>
      </c>
      <c r="J5922" t="s">
        <v>2665</v>
      </c>
      <c r="K5922" t="s">
        <v>2666</v>
      </c>
      <c r="L5922" s="13">
        <v>2500</v>
      </c>
      <c r="M5922" t="s">
        <v>2676</v>
      </c>
    </row>
    <row r="5923" spans="1:13">
      <c r="A5923" t="s">
        <v>2335</v>
      </c>
      <c r="B5923" t="s">
        <v>289</v>
      </c>
      <c r="C5923" s="8">
        <v>45937</v>
      </c>
      <c r="D5923" t="s">
        <v>350</v>
      </c>
      <c r="E5923" t="s">
        <v>339</v>
      </c>
      <c r="F5923" s="12">
        <v>727424</v>
      </c>
      <c r="G5923" s="13">
        <v>72</v>
      </c>
      <c r="H5923" t="s">
        <v>3141</v>
      </c>
      <c r="I5923" s="8">
        <v>46139</v>
      </c>
      <c r="J5923" t="s">
        <v>2668</v>
      </c>
      <c r="K5923" t="s">
        <v>2669</v>
      </c>
      <c r="L5923" s="13">
        <v>4000</v>
      </c>
      <c r="M5923" t="s">
        <v>2661</v>
      </c>
    </row>
    <row r="5924" spans="1:13">
      <c r="A5924" t="s">
        <v>2335</v>
      </c>
      <c r="B5924" t="s">
        <v>289</v>
      </c>
      <c r="C5924" s="8">
        <v>45937</v>
      </c>
      <c r="D5924" t="s">
        <v>350</v>
      </c>
      <c r="E5924" t="s">
        <v>339</v>
      </c>
      <c r="F5924" s="12">
        <v>727424</v>
      </c>
      <c r="G5924" s="13">
        <v>72</v>
      </c>
      <c r="H5924" t="s">
        <v>3378</v>
      </c>
      <c r="I5924" s="8">
        <v>46068</v>
      </c>
      <c r="J5924" t="s">
        <v>2692</v>
      </c>
      <c r="K5924" t="s">
        <v>2693</v>
      </c>
      <c r="L5924" s="13">
        <v>10000</v>
      </c>
      <c r="M5924" t="s">
        <v>2676</v>
      </c>
    </row>
    <row r="5925" spans="1:13">
      <c r="A5925" t="s">
        <v>2336</v>
      </c>
      <c r="B5925" t="s">
        <v>237</v>
      </c>
      <c r="C5925" s="8">
        <v>46212</v>
      </c>
      <c r="D5925" t="s">
        <v>332</v>
      </c>
      <c r="E5925" t="s">
        <v>322</v>
      </c>
      <c r="F5925" s="12">
        <v>255860</v>
      </c>
      <c r="G5925" s="13">
        <v>25</v>
      </c>
      <c r="H5925" t="s">
        <v>2750</v>
      </c>
      <c r="I5925" s="8">
        <v>46183</v>
      </c>
      <c r="J5925" t="s">
        <v>2659</v>
      </c>
      <c r="K5925" t="s">
        <v>2660</v>
      </c>
      <c r="L5925" s="13">
        <v>3500</v>
      </c>
      <c r="M5925" t="s">
        <v>2661</v>
      </c>
    </row>
    <row r="5926" spans="1:13">
      <c r="A5926" t="s">
        <v>2336</v>
      </c>
      <c r="B5926" t="s">
        <v>237</v>
      </c>
      <c r="C5926" s="8">
        <v>46212</v>
      </c>
      <c r="D5926" t="s">
        <v>332</v>
      </c>
      <c r="E5926" t="s">
        <v>322</v>
      </c>
      <c r="F5926" s="12">
        <v>255860</v>
      </c>
      <c r="G5926" s="13">
        <v>25</v>
      </c>
      <c r="H5926" t="s">
        <v>2787</v>
      </c>
      <c r="I5926" s="8">
        <v>46144</v>
      </c>
      <c r="J5926" t="s">
        <v>2692</v>
      </c>
      <c r="K5926" t="s">
        <v>2693</v>
      </c>
      <c r="L5926" s="13">
        <v>10000</v>
      </c>
      <c r="M5926" t="s">
        <v>2661</v>
      </c>
    </row>
    <row r="5927" spans="1:13">
      <c r="A5927" t="s">
        <v>2336</v>
      </c>
      <c r="B5927" t="s">
        <v>237</v>
      </c>
      <c r="C5927" s="8">
        <v>46212</v>
      </c>
      <c r="D5927" t="s">
        <v>332</v>
      </c>
      <c r="E5927" t="s">
        <v>322</v>
      </c>
      <c r="F5927" s="12">
        <v>255860</v>
      </c>
      <c r="G5927" s="13">
        <v>25</v>
      </c>
      <c r="H5927" t="s">
        <v>3055</v>
      </c>
      <c r="I5927" s="8">
        <v>46201</v>
      </c>
      <c r="J5927" t="s">
        <v>2659</v>
      </c>
      <c r="K5927" t="s">
        <v>2660</v>
      </c>
      <c r="L5927" s="13">
        <v>3500</v>
      </c>
      <c r="M5927" t="s">
        <v>2661</v>
      </c>
    </row>
    <row r="5928" spans="1:13">
      <c r="A5928" t="s">
        <v>2336</v>
      </c>
      <c r="B5928" t="s">
        <v>237</v>
      </c>
      <c r="C5928" s="8">
        <v>46212</v>
      </c>
      <c r="D5928" t="s">
        <v>332</v>
      </c>
      <c r="E5928" t="s">
        <v>322</v>
      </c>
      <c r="F5928" s="12">
        <v>255860</v>
      </c>
      <c r="G5928" s="13">
        <v>25</v>
      </c>
      <c r="H5928" t="s">
        <v>3067</v>
      </c>
      <c r="I5928" s="8">
        <v>46122</v>
      </c>
      <c r="J5928" t="s">
        <v>2668</v>
      </c>
      <c r="K5928" t="s">
        <v>2669</v>
      </c>
      <c r="L5928" s="13">
        <v>4000</v>
      </c>
      <c r="M5928" t="s">
        <v>2661</v>
      </c>
    </row>
    <row r="5929" spans="1:13">
      <c r="A5929" t="s">
        <v>2336</v>
      </c>
      <c r="B5929" t="s">
        <v>237</v>
      </c>
      <c r="C5929" s="8">
        <v>46212</v>
      </c>
      <c r="D5929" t="s">
        <v>332</v>
      </c>
      <c r="E5929" t="s">
        <v>322</v>
      </c>
      <c r="F5929" s="12">
        <v>255860</v>
      </c>
      <c r="G5929" s="13">
        <v>25</v>
      </c>
      <c r="H5929" t="s">
        <v>3130</v>
      </c>
      <c r="I5929" s="8">
        <v>46003</v>
      </c>
      <c r="J5929" t="s">
        <v>2663</v>
      </c>
      <c r="K5929" t="s">
        <v>3630</v>
      </c>
      <c r="L5929" s="13">
        <v>1500</v>
      </c>
      <c r="M5929" t="s">
        <v>2661</v>
      </c>
    </row>
    <row r="5930" spans="1:13">
      <c r="A5930" t="s">
        <v>2336</v>
      </c>
      <c r="B5930" t="s">
        <v>237</v>
      </c>
      <c r="C5930" s="8">
        <v>46212</v>
      </c>
      <c r="D5930" t="s">
        <v>332</v>
      </c>
      <c r="E5930" t="s">
        <v>322</v>
      </c>
      <c r="F5930" s="12">
        <v>255860</v>
      </c>
      <c r="G5930" s="13">
        <v>25</v>
      </c>
      <c r="H5930" t="s">
        <v>3258</v>
      </c>
      <c r="I5930" s="8">
        <v>45979</v>
      </c>
      <c r="J5930" t="s">
        <v>2692</v>
      </c>
      <c r="K5930" t="s">
        <v>2693</v>
      </c>
      <c r="L5930" s="13">
        <v>10000</v>
      </c>
      <c r="M5930" t="s">
        <v>2661</v>
      </c>
    </row>
    <row r="5931" spans="1:13">
      <c r="A5931" t="s">
        <v>2336</v>
      </c>
      <c r="B5931" t="s">
        <v>237</v>
      </c>
      <c r="C5931" s="8">
        <v>46212</v>
      </c>
      <c r="D5931" t="s">
        <v>332</v>
      </c>
      <c r="E5931" t="s">
        <v>322</v>
      </c>
      <c r="F5931" s="12">
        <v>255860</v>
      </c>
      <c r="G5931" s="13">
        <v>25</v>
      </c>
      <c r="H5931" t="s">
        <v>3276</v>
      </c>
      <c r="I5931" s="8">
        <v>46127</v>
      </c>
      <c r="J5931" t="s">
        <v>2682</v>
      </c>
      <c r="K5931" t="s">
        <v>2683</v>
      </c>
      <c r="L5931" s="13">
        <v>6000</v>
      </c>
      <c r="M5931" t="s">
        <v>2661</v>
      </c>
    </row>
    <row r="5932" spans="1:13">
      <c r="A5932" t="s">
        <v>2337</v>
      </c>
      <c r="B5932" t="s">
        <v>301</v>
      </c>
      <c r="C5932" s="8">
        <v>46150</v>
      </c>
      <c r="D5932" t="s">
        <v>327</v>
      </c>
      <c r="E5932" t="s">
        <v>334</v>
      </c>
      <c r="F5932" s="12">
        <v>211764</v>
      </c>
      <c r="G5932" s="13">
        <v>21</v>
      </c>
      <c r="H5932" t="s">
        <v>3559</v>
      </c>
      <c r="I5932" s="8">
        <v>46143</v>
      </c>
      <c r="J5932" t="s">
        <v>2663</v>
      </c>
      <c r="K5932" t="s">
        <v>3630</v>
      </c>
      <c r="L5932" s="13">
        <v>1500</v>
      </c>
      <c r="M5932" t="s">
        <v>2676</v>
      </c>
    </row>
    <row r="5933" spans="1:13">
      <c r="A5933" t="s">
        <v>2338</v>
      </c>
      <c r="B5933" t="s">
        <v>87</v>
      </c>
      <c r="C5933" s="8">
        <v>46064</v>
      </c>
      <c r="D5933" t="s">
        <v>327</v>
      </c>
      <c r="E5933" t="s">
        <v>339</v>
      </c>
      <c r="F5933" s="12">
        <v>71345</v>
      </c>
      <c r="G5933" s="13">
        <v>7</v>
      </c>
      <c r="H5933" t="s">
        <v>3531</v>
      </c>
      <c r="I5933" s="8">
        <v>45982</v>
      </c>
      <c r="J5933" t="s">
        <v>2685</v>
      </c>
      <c r="K5933" t="s">
        <v>2686</v>
      </c>
      <c r="L5933" s="13">
        <v>5000</v>
      </c>
      <c r="M5933" t="s">
        <v>2661</v>
      </c>
    </row>
    <row r="5934" spans="1:13">
      <c r="A5934" t="s">
        <v>2339</v>
      </c>
      <c r="B5934" t="s">
        <v>265</v>
      </c>
      <c r="C5934" s="8">
        <v>46234</v>
      </c>
      <c r="D5934" t="s">
        <v>330</v>
      </c>
      <c r="E5934" t="s">
        <v>325</v>
      </c>
      <c r="F5934" s="12">
        <v>445718</v>
      </c>
      <c r="G5934" s="13">
        <v>44</v>
      </c>
      <c r="H5934" t="s">
        <v>2909</v>
      </c>
      <c r="I5934" s="8">
        <v>45963</v>
      </c>
      <c r="J5934" t="s">
        <v>2659</v>
      </c>
      <c r="K5934" t="s">
        <v>2660</v>
      </c>
      <c r="L5934" s="13">
        <v>3500</v>
      </c>
      <c r="M5934" t="s">
        <v>2661</v>
      </c>
    </row>
    <row r="5935" spans="1:13">
      <c r="A5935" t="s">
        <v>2340</v>
      </c>
      <c r="B5935" t="s">
        <v>253</v>
      </c>
      <c r="C5935" s="8">
        <v>46051</v>
      </c>
      <c r="D5935" t="s">
        <v>350</v>
      </c>
      <c r="E5935" t="s">
        <v>337</v>
      </c>
      <c r="F5935" s="12">
        <v>125419</v>
      </c>
      <c r="G5935" s="13">
        <v>12</v>
      </c>
      <c r="H5935" t="s">
        <v>2862</v>
      </c>
      <c r="I5935" s="8">
        <v>46039</v>
      </c>
      <c r="J5935" t="s">
        <v>2663</v>
      </c>
      <c r="K5935" t="s">
        <v>3630</v>
      </c>
      <c r="L5935" s="13">
        <v>1500</v>
      </c>
      <c r="M5935" t="s">
        <v>2661</v>
      </c>
    </row>
    <row r="5936" spans="1:13">
      <c r="A5936" t="s">
        <v>2340</v>
      </c>
      <c r="B5936" t="s">
        <v>253</v>
      </c>
      <c r="C5936" s="8">
        <v>46051</v>
      </c>
      <c r="D5936" t="s">
        <v>350</v>
      </c>
      <c r="E5936" t="s">
        <v>337</v>
      </c>
      <c r="F5936" s="12">
        <v>125419</v>
      </c>
      <c r="G5936" s="13">
        <v>12</v>
      </c>
      <c r="H5936" t="s">
        <v>3158</v>
      </c>
      <c r="I5936" s="8">
        <v>46168</v>
      </c>
      <c r="J5936" t="s">
        <v>2685</v>
      </c>
      <c r="K5936" t="s">
        <v>2686</v>
      </c>
      <c r="L5936" s="13">
        <v>5000</v>
      </c>
      <c r="M5936" t="s">
        <v>2676</v>
      </c>
    </row>
    <row r="5937" spans="1:13">
      <c r="A5937" t="s">
        <v>2340</v>
      </c>
      <c r="B5937" t="s">
        <v>253</v>
      </c>
      <c r="C5937" s="8">
        <v>46051</v>
      </c>
      <c r="D5937" t="s">
        <v>350</v>
      </c>
      <c r="E5937" t="s">
        <v>337</v>
      </c>
      <c r="F5937" s="12">
        <v>125419</v>
      </c>
      <c r="G5937" s="13">
        <v>12</v>
      </c>
      <c r="H5937" t="s">
        <v>3173</v>
      </c>
      <c r="I5937" s="8">
        <v>46038</v>
      </c>
      <c r="J5937" t="s">
        <v>2682</v>
      </c>
      <c r="K5937" t="s">
        <v>2683</v>
      </c>
      <c r="L5937" s="13">
        <v>6000</v>
      </c>
      <c r="M5937" t="s">
        <v>2676</v>
      </c>
    </row>
    <row r="5938" spans="1:13">
      <c r="A5938" t="s">
        <v>2340</v>
      </c>
      <c r="B5938" t="s">
        <v>253</v>
      </c>
      <c r="C5938" s="8">
        <v>46051</v>
      </c>
      <c r="D5938" t="s">
        <v>350</v>
      </c>
      <c r="E5938" t="s">
        <v>337</v>
      </c>
      <c r="F5938" s="12">
        <v>125419</v>
      </c>
      <c r="G5938" s="13">
        <v>12</v>
      </c>
      <c r="H5938" t="s">
        <v>3235</v>
      </c>
      <c r="I5938" s="8">
        <v>45953</v>
      </c>
      <c r="J5938" t="s">
        <v>2663</v>
      </c>
      <c r="K5938" t="s">
        <v>3630</v>
      </c>
      <c r="L5938" s="13">
        <v>1500</v>
      </c>
      <c r="M5938" t="s">
        <v>2661</v>
      </c>
    </row>
    <row r="5939" spans="1:13">
      <c r="A5939" t="s">
        <v>2341</v>
      </c>
      <c r="B5939" t="s">
        <v>294</v>
      </c>
      <c r="C5939" s="8">
        <v>46291</v>
      </c>
      <c r="D5939" t="s">
        <v>324</v>
      </c>
      <c r="E5939" t="s">
        <v>339</v>
      </c>
      <c r="F5939" s="12">
        <v>147270</v>
      </c>
      <c r="G5939" s="13">
        <v>14</v>
      </c>
      <c r="H5939" t="s">
        <v>3571</v>
      </c>
      <c r="I5939" s="8">
        <v>45937</v>
      </c>
      <c r="J5939" t="s">
        <v>2663</v>
      </c>
      <c r="K5939" t="s">
        <v>3630</v>
      </c>
      <c r="L5939" s="13">
        <v>1500</v>
      </c>
      <c r="M5939" t="s">
        <v>2661</v>
      </c>
    </row>
    <row r="5940" spans="1:13">
      <c r="A5940" t="s">
        <v>2341</v>
      </c>
      <c r="B5940" t="s">
        <v>294</v>
      </c>
      <c r="C5940" s="8">
        <v>46291</v>
      </c>
      <c r="D5940" t="s">
        <v>324</v>
      </c>
      <c r="E5940" t="s">
        <v>339</v>
      </c>
      <c r="F5940" s="12">
        <v>147270</v>
      </c>
      <c r="G5940" s="13">
        <v>14</v>
      </c>
      <c r="H5940" t="s">
        <v>3572</v>
      </c>
      <c r="I5940" s="8">
        <v>46039</v>
      </c>
      <c r="J5940" t="s">
        <v>2668</v>
      </c>
      <c r="K5940" t="s">
        <v>2669</v>
      </c>
      <c r="L5940" s="13">
        <v>4000</v>
      </c>
      <c r="M5940" t="s">
        <v>2661</v>
      </c>
    </row>
    <row r="5941" spans="1:13">
      <c r="A5941" t="s">
        <v>2342</v>
      </c>
      <c r="B5941" t="s">
        <v>83</v>
      </c>
      <c r="C5941" s="8">
        <v>46002</v>
      </c>
      <c r="D5941" t="s">
        <v>324</v>
      </c>
      <c r="E5941" t="s">
        <v>328</v>
      </c>
      <c r="F5941" s="12">
        <v>234692</v>
      </c>
      <c r="G5941" s="13">
        <v>23</v>
      </c>
      <c r="H5941" t="s">
        <v>2696</v>
      </c>
      <c r="I5941" s="8">
        <v>46024</v>
      </c>
      <c r="J5941" t="s">
        <v>2663</v>
      </c>
      <c r="K5941" t="s">
        <v>3630</v>
      </c>
      <c r="L5941" s="13">
        <v>1500</v>
      </c>
      <c r="M5941" t="s">
        <v>2661</v>
      </c>
    </row>
    <row r="5942" spans="1:13">
      <c r="A5942" t="s">
        <v>2342</v>
      </c>
      <c r="B5942" t="s">
        <v>83</v>
      </c>
      <c r="C5942" s="8">
        <v>46002</v>
      </c>
      <c r="D5942" t="s">
        <v>324</v>
      </c>
      <c r="E5942" t="s">
        <v>328</v>
      </c>
      <c r="F5942" s="12">
        <v>234692</v>
      </c>
      <c r="G5942" s="13">
        <v>23</v>
      </c>
      <c r="H5942" t="s">
        <v>2725</v>
      </c>
      <c r="I5942" s="8">
        <v>46065</v>
      </c>
      <c r="J5942" t="s">
        <v>2688</v>
      </c>
      <c r="K5942" t="s">
        <v>2689</v>
      </c>
      <c r="L5942" s="13">
        <v>8000</v>
      </c>
      <c r="M5942" t="s">
        <v>2661</v>
      </c>
    </row>
    <row r="5943" spans="1:13">
      <c r="A5943" t="s">
        <v>2342</v>
      </c>
      <c r="B5943" t="s">
        <v>83</v>
      </c>
      <c r="C5943" s="8">
        <v>46002</v>
      </c>
      <c r="D5943" t="s">
        <v>324</v>
      </c>
      <c r="E5943" t="s">
        <v>328</v>
      </c>
      <c r="F5943" s="12">
        <v>234692</v>
      </c>
      <c r="G5943" s="13">
        <v>23</v>
      </c>
      <c r="H5943" t="s">
        <v>2938</v>
      </c>
      <c r="I5943" s="8">
        <v>46277</v>
      </c>
      <c r="J5943" t="s">
        <v>2692</v>
      </c>
      <c r="K5943" t="s">
        <v>2693</v>
      </c>
      <c r="L5943" s="13">
        <v>10000</v>
      </c>
      <c r="M5943" t="s">
        <v>2661</v>
      </c>
    </row>
    <row r="5944" spans="1:13">
      <c r="A5944" t="s">
        <v>2343</v>
      </c>
      <c r="B5944" t="s">
        <v>179</v>
      </c>
      <c r="C5944" s="8">
        <v>46043</v>
      </c>
      <c r="D5944" t="s">
        <v>321</v>
      </c>
      <c r="E5944" t="s">
        <v>328</v>
      </c>
      <c r="F5944" s="12">
        <v>208087</v>
      </c>
      <c r="G5944" s="13">
        <v>20</v>
      </c>
      <c r="H5944" t="s">
        <v>2677</v>
      </c>
      <c r="I5944" s="8">
        <v>45973</v>
      </c>
      <c r="J5944" t="s">
        <v>2663</v>
      </c>
      <c r="K5944" t="s">
        <v>3630</v>
      </c>
      <c r="L5944" s="13">
        <v>1500</v>
      </c>
      <c r="M5944" t="s">
        <v>2661</v>
      </c>
    </row>
    <row r="5945" spans="1:13">
      <c r="A5945" t="s">
        <v>2343</v>
      </c>
      <c r="B5945" t="s">
        <v>179</v>
      </c>
      <c r="C5945" s="8">
        <v>46043</v>
      </c>
      <c r="D5945" t="s">
        <v>321</v>
      </c>
      <c r="E5945" t="s">
        <v>328</v>
      </c>
      <c r="F5945" s="12">
        <v>208087</v>
      </c>
      <c r="G5945" s="13">
        <v>20</v>
      </c>
      <c r="H5945" t="s">
        <v>2695</v>
      </c>
      <c r="I5945" s="8">
        <v>46143</v>
      </c>
      <c r="J5945" t="s">
        <v>2671</v>
      </c>
      <c r="K5945" t="s">
        <v>2672</v>
      </c>
      <c r="L5945" s="13">
        <v>3000</v>
      </c>
      <c r="M5945" t="s">
        <v>2661</v>
      </c>
    </row>
    <row r="5946" spans="1:13">
      <c r="A5946" t="s">
        <v>2344</v>
      </c>
      <c r="B5946" t="s">
        <v>141</v>
      </c>
      <c r="C5946" s="8">
        <v>46266</v>
      </c>
      <c r="D5946" t="s">
        <v>324</v>
      </c>
      <c r="E5946" t="s">
        <v>328</v>
      </c>
      <c r="F5946" s="12">
        <v>191727</v>
      </c>
      <c r="G5946" s="13">
        <v>19</v>
      </c>
      <c r="H5946" t="s">
        <v>2784</v>
      </c>
      <c r="I5946" s="8">
        <v>46039</v>
      </c>
      <c r="J5946" t="s">
        <v>2692</v>
      </c>
      <c r="K5946" t="s">
        <v>2693</v>
      </c>
      <c r="L5946" s="13">
        <v>10000</v>
      </c>
      <c r="M5946" t="s">
        <v>2676</v>
      </c>
    </row>
    <row r="5947" spans="1:13">
      <c r="A5947" t="s">
        <v>2344</v>
      </c>
      <c r="B5947" t="s">
        <v>141</v>
      </c>
      <c r="C5947" s="8">
        <v>46266</v>
      </c>
      <c r="D5947" t="s">
        <v>324</v>
      </c>
      <c r="E5947" t="s">
        <v>328</v>
      </c>
      <c r="F5947" s="12">
        <v>191727</v>
      </c>
      <c r="G5947" s="13">
        <v>19</v>
      </c>
      <c r="H5947" t="s">
        <v>2983</v>
      </c>
      <c r="I5947" s="8">
        <v>46195</v>
      </c>
      <c r="J5947" t="s">
        <v>2665</v>
      </c>
      <c r="K5947" t="s">
        <v>2666</v>
      </c>
      <c r="L5947" s="13">
        <v>2500</v>
      </c>
      <c r="M5947" t="s">
        <v>2661</v>
      </c>
    </row>
    <row r="5948" spans="1:13">
      <c r="A5948" t="s">
        <v>2344</v>
      </c>
      <c r="B5948" t="s">
        <v>141</v>
      </c>
      <c r="C5948" s="8">
        <v>46266</v>
      </c>
      <c r="D5948" t="s">
        <v>324</v>
      </c>
      <c r="E5948" t="s">
        <v>328</v>
      </c>
      <c r="F5948" s="12">
        <v>191727</v>
      </c>
      <c r="G5948" s="13">
        <v>19</v>
      </c>
      <c r="H5948" t="s">
        <v>3011</v>
      </c>
      <c r="I5948" s="8">
        <v>46197</v>
      </c>
      <c r="J5948" t="s">
        <v>2674</v>
      </c>
      <c r="K5948" t="s">
        <v>2675</v>
      </c>
      <c r="L5948" s="13">
        <v>20000</v>
      </c>
      <c r="M5948" t="s">
        <v>2661</v>
      </c>
    </row>
    <row r="5949" spans="1:13">
      <c r="A5949" t="s">
        <v>2344</v>
      </c>
      <c r="B5949" t="s">
        <v>141</v>
      </c>
      <c r="C5949" s="8">
        <v>46266</v>
      </c>
      <c r="D5949" t="s">
        <v>324</v>
      </c>
      <c r="E5949" t="s">
        <v>328</v>
      </c>
      <c r="F5949" s="12">
        <v>191727</v>
      </c>
      <c r="G5949" s="13">
        <v>19</v>
      </c>
      <c r="H5949" t="s">
        <v>3035</v>
      </c>
      <c r="I5949" s="8">
        <v>46115</v>
      </c>
      <c r="J5949" t="s">
        <v>2663</v>
      </c>
      <c r="K5949" t="s">
        <v>3630</v>
      </c>
      <c r="L5949" s="13">
        <v>1500</v>
      </c>
      <c r="M5949" t="s">
        <v>2661</v>
      </c>
    </row>
    <row r="5950" spans="1:13">
      <c r="A5950" t="s">
        <v>2344</v>
      </c>
      <c r="B5950" t="s">
        <v>141</v>
      </c>
      <c r="C5950" s="8">
        <v>46266</v>
      </c>
      <c r="D5950" t="s">
        <v>324</v>
      </c>
      <c r="E5950" t="s">
        <v>328</v>
      </c>
      <c r="F5950" s="12">
        <v>191727</v>
      </c>
      <c r="G5950" s="13">
        <v>19</v>
      </c>
      <c r="H5950" t="s">
        <v>3161</v>
      </c>
      <c r="I5950" s="8">
        <v>46177</v>
      </c>
      <c r="J5950" t="s">
        <v>2663</v>
      </c>
      <c r="K5950" t="s">
        <v>3630</v>
      </c>
      <c r="L5950" s="13">
        <v>1500</v>
      </c>
      <c r="M5950" t="s">
        <v>2661</v>
      </c>
    </row>
    <row r="5951" spans="1:13">
      <c r="A5951" t="s">
        <v>2344</v>
      </c>
      <c r="B5951" t="s">
        <v>141</v>
      </c>
      <c r="C5951" s="8">
        <v>46266</v>
      </c>
      <c r="D5951" t="s">
        <v>324</v>
      </c>
      <c r="E5951" t="s">
        <v>328</v>
      </c>
      <c r="F5951" s="12">
        <v>191727</v>
      </c>
      <c r="G5951" s="13">
        <v>19</v>
      </c>
      <c r="H5951" t="s">
        <v>3357</v>
      </c>
      <c r="I5951" s="8">
        <v>46093</v>
      </c>
      <c r="J5951" t="s">
        <v>2685</v>
      </c>
      <c r="K5951" t="s">
        <v>2686</v>
      </c>
      <c r="L5951" s="13">
        <v>5000</v>
      </c>
      <c r="M5951" t="s">
        <v>2676</v>
      </c>
    </row>
    <row r="5952" spans="1:13">
      <c r="A5952" t="s">
        <v>2345</v>
      </c>
      <c r="B5952" t="s">
        <v>221</v>
      </c>
      <c r="C5952" s="8">
        <v>46235</v>
      </c>
      <c r="D5952" t="s">
        <v>342</v>
      </c>
      <c r="E5952" t="s">
        <v>328</v>
      </c>
      <c r="F5952" s="12">
        <v>232150</v>
      </c>
      <c r="G5952" s="13">
        <v>23</v>
      </c>
      <c r="H5952" t="s">
        <v>2670</v>
      </c>
      <c r="I5952" s="8">
        <v>46033</v>
      </c>
      <c r="J5952" t="s">
        <v>2671</v>
      </c>
      <c r="K5952" t="s">
        <v>2672</v>
      </c>
      <c r="L5952" s="13">
        <v>3000</v>
      </c>
      <c r="M5952" t="s">
        <v>2661</v>
      </c>
    </row>
    <row r="5953" spans="1:13">
      <c r="A5953" t="s">
        <v>2345</v>
      </c>
      <c r="B5953" t="s">
        <v>221</v>
      </c>
      <c r="C5953" s="8">
        <v>46235</v>
      </c>
      <c r="D5953" t="s">
        <v>342</v>
      </c>
      <c r="E5953" t="s">
        <v>328</v>
      </c>
      <c r="F5953" s="12">
        <v>232150</v>
      </c>
      <c r="G5953" s="13">
        <v>23</v>
      </c>
      <c r="H5953" t="s">
        <v>3538</v>
      </c>
      <c r="I5953" s="8">
        <v>46114</v>
      </c>
      <c r="J5953" t="s">
        <v>2685</v>
      </c>
      <c r="K5953" t="s">
        <v>2686</v>
      </c>
      <c r="L5953" s="13">
        <v>5000</v>
      </c>
      <c r="M5953" t="s">
        <v>2661</v>
      </c>
    </row>
    <row r="5954" spans="1:13">
      <c r="A5954" t="s">
        <v>2346</v>
      </c>
      <c r="B5954" t="s">
        <v>201</v>
      </c>
      <c r="C5954" s="8">
        <v>46158</v>
      </c>
      <c r="D5954" t="s">
        <v>327</v>
      </c>
      <c r="E5954" t="s">
        <v>337</v>
      </c>
      <c r="F5954" s="12">
        <v>146016</v>
      </c>
      <c r="G5954" s="13">
        <v>14</v>
      </c>
      <c r="H5954" t="s">
        <v>2997</v>
      </c>
      <c r="I5954" s="8">
        <v>46289</v>
      </c>
      <c r="J5954" t="s">
        <v>2659</v>
      </c>
      <c r="K5954" t="s">
        <v>2660</v>
      </c>
      <c r="L5954" s="13">
        <v>3500</v>
      </c>
      <c r="M5954" t="s">
        <v>2661</v>
      </c>
    </row>
    <row r="5955" spans="1:13">
      <c r="A5955" t="s">
        <v>2346</v>
      </c>
      <c r="B5955" t="s">
        <v>201</v>
      </c>
      <c r="C5955" s="8">
        <v>46158</v>
      </c>
      <c r="D5955" t="s">
        <v>327</v>
      </c>
      <c r="E5955" t="s">
        <v>337</v>
      </c>
      <c r="F5955" s="12">
        <v>146016</v>
      </c>
      <c r="G5955" s="13">
        <v>14</v>
      </c>
      <c r="H5955" t="s">
        <v>3023</v>
      </c>
      <c r="I5955" s="8">
        <v>46224</v>
      </c>
      <c r="J5955" t="s">
        <v>2668</v>
      </c>
      <c r="K5955" t="s">
        <v>2669</v>
      </c>
      <c r="L5955" s="13">
        <v>4000</v>
      </c>
      <c r="M5955" t="s">
        <v>2661</v>
      </c>
    </row>
    <row r="5956" spans="1:13">
      <c r="A5956" t="s">
        <v>2346</v>
      </c>
      <c r="B5956" t="s">
        <v>201</v>
      </c>
      <c r="C5956" s="8">
        <v>46158</v>
      </c>
      <c r="D5956" t="s">
        <v>327</v>
      </c>
      <c r="E5956" t="s">
        <v>337</v>
      </c>
      <c r="F5956" s="12">
        <v>146016</v>
      </c>
      <c r="G5956" s="13">
        <v>14</v>
      </c>
      <c r="H5956" t="s">
        <v>3232</v>
      </c>
      <c r="I5956" s="8">
        <v>45993</v>
      </c>
      <c r="J5956" t="s">
        <v>2688</v>
      </c>
      <c r="K5956" t="s">
        <v>2689</v>
      </c>
      <c r="L5956" s="13">
        <v>8000</v>
      </c>
      <c r="M5956" t="s">
        <v>2676</v>
      </c>
    </row>
    <row r="5957" spans="1:13">
      <c r="A5957" t="s">
        <v>2347</v>
      </c>
      <c r="B5957" t="s">
        <v>262</v>
      </c>
      <c r="C5957" s="8">
        <v>45968</v>
      </c>
      <c r="D5957" t="s">
        <v>342</v>
      </c>
      <c r="E5957" t="s">
        <v>339</v>
      </c>
      <c r="F5957" s="12">
        <v>359091</v>
      </c>
      <c r="G5957" s="13">
        <v>35</v>
      </c>
      <c r="H5957" t="s">
        <v>2923</v>
      </c>
      <c r="I5957" s="8">
        <v>46130</v>
      </c>
      <c r="J5957" t="s">
        <v>2682</v>
      </c>
      <c r="K5957" t="s">
        <v>2683</v>
      </c>
      <c r="L5957" s="13">
        <v>6000</v>
      </c>
      <c r="M5957" t="s">
        <v>2661</v>
      </c>
    </row>
    <row r="5958" spans="1:13">
      <c r="A5958" t="s">
        <v>2348</v>
      </c>
      <c r="B5958" t="s">
        <v>225</v>
      </c>
      <c r="C5958" s="8">
        <v>45958</v>
      </c>
      <c r="D5958" t="s">
        <v>330</v>
      </c>
      <c r="E5958" t="s">
        <v>339</v>
      </c>
      <c r="F5958" s="12">
        <v>242794</v>
      </c>
      <c r="G5958" s="13">
        <v>24</v>
      </c>
      <c r="H5958" t="s">
        <v>2806</v>
      </c>
      <c r="I5958" s="8">
        <v>45967</v>
      </c>
      <c r="J5958" t="s">
        <v>2671</v>
      </c>
      <c r="K5958" t="s">
        <v>2672</v>
      </c>
      <c r="L5958" s="13">
        <v>3000</v>
      </c>
      <c r="M5958" t="s">
        <v>2676</v>
      </c>
    </row>
    <row r="5959" spans="1:13">
      <c r="A5959" t="s">
        <v>2349</v>
      </c>
      <c r="B5959" t="s">
        <v>131</v>
      </c>
      <c r="C5959" s="8">
        <v>46212</v>
      </c>
      <c r="D5959" t="s">
        <v>321</v>
      </c>
      <c r="E5959" t="s">
        <v>328</v>
      </c>
      <c r="F5959" s="12">
        <v>371410</v>
      </c>
      <c r="G5959" s="13">
        <v>37</v>
      </c>
      <c r="H5959" t="s">
        <v>3428</v>
      </c>
      <c r="I5959" s="8">
        <v>46231</v>
      </c>
      <c r="J5959" t="s">
        <v>2692</v>
      </c>
      <c r="K5959" t="s">
        <v>2693</v>
      </c>
      <c r="L5959" s="13">
        <v>10000</v>
      </c>
      <c r="M5959" t="s">
        <v>2676</v>
      </c>
    </row>
    <row r="5960" spans="1:13">
      <c r="A5960" t="s">
        <v>2349</v>
      </c>
      <c r="B5960" t="s">
        <v>131</v>
      </c>
      <c r="C5960" s="8">
        <v>46212</v>
      </c>
      <c r="D5960" t="s">
        <v>321</v>
      </c>
      <c r="E5960" t="s">
        <v>328</v>
      </c>
      <c r="F5960" s="12">
        <v>371410</v>
      </c>
      <c r="G5960" s="13">
        <v>37</v>
      </c>
      <c r="H5960" t="s">
        <v>3464</v>
      </c>
      <c r="I5960" s="8">
        <v>45966</v>
      </c>
      <c r="J5960" t="s">
        <v>2688</v>
      </c>
      <c r="K5960" t="s">
        <v>2689</v>
      </c>
      <c r="L5960" s="13">
        <v>8000</v>
      </c>
      <c r="M5960" t="s">
        <v>2661</v>
      </c>
    </row>
    <row r="5961" spans="1:13">
      <c r="A5961" t="s">
        <v>2350</v>
      </c>
      <c r="B5961" t="s">
        <v>47</v>
      </c>
      <c r="C5961" s="8">
        <v>46214</v>
      </c>
      <c r="D5961" t="s">
        <v>342</v>
      </c>
      <c r="E5961" t="s">
        <v>337</v>
      </c>
      <c r="F5961" s="12">
        <v>57274</v>
      </c>
      <c r="G5961" s="13">
        <v>5</v>
      </c>
      <c r="H5961" t="s">
        <v>3291</v>
      </c>
      <c r="I5961" s="8">
        <v>46026</v>
      </c>
      <c r="J5961" t="s">
        <v>2674</v>
      </c>
      <c r="K5961" t="s">
        <v>2675</v>
      </c>
      <c r="L5961" s="13">
        <v>20000</v>
      </c>
      <c r="M5961" t="s">
        <v>2661</v>
      </c>
    </row>
    <row r="5962" spans="1:13">
      <c r="A5962" t="s">
        <v>2351</v>
      </c>
      <c r="B5962" t="s">
        <v>118</v>
      </c>
      <c r="C5962" s="8">
        <v>46033</v>
      </c>
      <c r="D5962" t="s">
        <v>324</v>
      </c>
      <c r="E5962" t="s">
        <v>339</v>
      </c>
      <c r="F5962" s="12">
        <v>601630</v>
      </c>
      <c r="G5962" s="13">
        <v>60</v>
      </c>
      <c r="H5962" t="s">
        <v>2709</v>
      </c>
      <c r="I5962" s="8">
        <v>46119</v>
      </c>
      <c r="J5962" t="s">
        <v>2685</v>
      </c>
      <c r="K5962" t="s">
        <v>2686</v>
      </c>
      <c r="L5962" s="13">
        <v>5000</v>
      </c>
      <c r="M5962" t="s">
        <v>2661</v>
      </c>
    </row>
    <row r="5963" spans="1:13">
      <c r="A5963" t="s">
        <v>2351</v>
      </c>
      <c r="B5963" t="s">
        <v>118</v>
      </c>
      <c r="C5963" s="8">
        <v>46033</v>
      </c>
      <c r="D5963" t="s">
        <v>324</v>
      </c>
      <c r="E5963" t="s">
        <v>339</v>
      </c>
      <c r="F5963" s="12">
        <v>601630</v>
      </c>
      <c r="G5963" s="13">
        <v>60</v>
      </c>
      <c r="H5963" t="s">
        <v>2853</v>
      </c>
      <c r="I5963" s="8">
        <v>46269</v>
      </c>
      <c r="J5963" t="s">
        <v>2688</v>
      </c>
      <c r="K5963" t="s">
        <v>2689</v>
      </c>
      <c r="L5963" s="13">
        <v>8000</v>
      </c>
      <c r="M5963" t="s">
        <v>2661</v>
      </c>
    </row>
    <row r="5964" spans="1:13">
      <c r="A5964" t="s">
        <v>2351</v>
      </c>
      <c r="B5964" t="s">
        <v>118</v>
      </c>
      <c r="C5964" s="8">
        <v>46033</v>
      </c>
      <c r="D5964" t="s">
        <v>324</v>
      </c>
      <c r="E5964" t="s">
        <v>339</v>
      </c>
      <c r="F5964" s="12">
        <v>601630</v>
      </c>
      <c r="G5964" s="13">
        <v>60</v>
      </c>
      <c r="H5964" t="s">
        <v>2932</v>
      </c>
      <c r="I5964" s="8">
        <v>45982</v>
      </c>
      <c r="J5964" t="s">
        <v>2685</v>
      </c>
      <c r="K5964" t="s">
        <v>2686</v>
      </c>
      <c r="L5964" s="13">
        <v>5000</v>
      </c>
      <c r="M5964" t="s">
        <v>2661</v>
      </c>
    </row>
    <row r="5965" spans="1:13">
      <c r="A5965" t="s">
        <v>2351</v>
      </c>
      <c r="B5965" t="s">
        <v>118</v>
      </c>
      <c r="C5965" s="8">
        <v>46033</v>
      </c>
      <c r="D5965" t="s">
        <v>324</v>
      </c>
      <c r="E5965" t="s">
        <v>339</v>
      </c>
      <c r="F5965" s="12">
        <v>601630</v>
      </c>
      <c r="G5965" s="13">
        <v>60</v>
      </c>
      <c r="H5965" t="s">
        <v>3562</v>
      </c>
      <c r="I5965" s="8">
        <v>46251</v>
      </c>
      <c r="J5965" t="s">
        <v>2692</v>
      </c>
      <c r="K5965" t="s">
        <v>2693</v>
      </c>
      <c r="L5965" s="13">
        <v>10000</v>
      </c>
      <c r="M5965" t="s">
        <v>2661</v>
      </c>
    </row>
    <row r="5966" spans="1:13">
      <c r="A5966" t="s">
        <v>2352</v>
      </c>
      <c r="B5966" t="s">
        <v>240</v>
      </c>
      <c r="C5966" s="8">
        <v>46172</v>
      </c>
      <c r="D5966" t="s">
        <v>350</v>
      </c>
      <c r="E5966" t="s">
        <v>322</v>
      </c>
      <c r="F5966" s="12">
        <v>67818</v>
      </c>
      <c r="G5966" s="13">
        <v>6</v>
      </c>
      <c r="H5966" t="s">
        <v>3066</v>
      </c>
      <c r="I5966" s="8">
        <v>46121</v>
      </c>
      <c r="J5966" t="s">
        <v>2685</v>
      </c>
      <c r="K5966" t="s">
        <v>2686</v>
      </c>
      <c r="L5966" s="13">
        <v>5000</v>
      </c>
      <c r="M5966" t="s">
        <v>2661</v>
      </c>
    </row>
    <row r="5967" spans="1:13">
      <c r="A5967" t="s">
        <v>2352</v>
      </c>
      <c r="B5967" t="s">
        <v>240</v>
      </c>
      <c r="C5967" s="8">
        <v>46172</v>
      </c>
      <c r="D5967" t="s">
        <v>350</v>
      </c>
      <c r="E5967" t="s">
        <v>322</v>
      </c>
      <c r="F5967" s="12">
        <v>67818</v>
      </c>
      <c r="G5967" s="13">
        <v>6</v>
      </c>
      <c r="H5967" t="s">
        <v>3319</v>
      </c>
      <c r="I5967" s="8">
        <v>45952</v>
      </c>
      <c r="J5967" t="s">
        <v>2685</v>
      </c>
      <c r="K5967" t="s">
        <v>2686</v>
      </c>
      <c r="L5967" s="13">
        <v>5000</v>
      </c>
      <c r="M5967" t="s">
        <v>2661</v>
      </c>
    </row>
    <row r="5968" spans="1:13">
      <c r="A5968" t="s">
        <v>2352</v>
      </c>
      <c r="B5968" t="s">
        <v>240</v>
      </c>
      <c r="C5968" s="8">
        <v>46172</v>
      </c>
      <c r="D5968" t="s">
        <v>350</v>
      </c>
      <c r="E5968" t="s">
        <v>322</v>
      </c>
      <c r="F5968" s="12">
        <v>67818</v>
      </c>
      <c r="G5968" s="13">
        <v>6</v>
      </c>
      <c r="H5968" t="s">
        <v>3380</v>
      </c>
      <c r="I5968" s="8">
        <v>46263</v>
      </c>
      <c r="J5968" t="s">
        <v>2682</v>
      </c>
      <c r="K5968" t="s">
        <v>2683</v>
      </c>
      <c r="L5968" s="13">
        <v>6000</v>
      </c>
      <c r="M5968" t="s">
        <v>2661</v>
      </c>
    </row>
    <row r="5969" spans="1:13">
      <c r="A5969" t="s">
        <v>2353</v>
      </c>
      <c r="B5969" t="s">
        <v>206</v>
      </c>
      <c r="C5969" s="8">
        <v>45956</v>
      </c>
      <c r="D5969" t="s">
        <v>344</v>
      </c>
      <c r="E5969" t="s">
        <v>328</v>
      </c>
      <c r="F5969" s="12">
        <v>754792</v>
      </c>
      <c r="G5969" s="13">
        <v>75</v>
      </c>
      <c r="H5969" t="s">
        <v>2868</v>
      </c>
      <c r="I5969" s="8">
        <v>45937</v>
      </c>
      <c r="J5969" t="s">
        <v>2688</v>
      </c>
      <c r="K5969" t="s">
        <v>2689</v>
      </c>
      <c r="L5969" s="13">
        <v>8000</v>
      </c>
      <c r="M5969" t="s">
        <v>2661</v>
      </c>
    </row>
    <row r="5970" spans="1:13">
      <c r="A5970" t="s">
        <v>2353</v>
      </c>
      <c r="B5970" t="s">
        <v>206</v>
      </c>
      <c r="C5970" s="8">
        <v>45956</v>
      </c>
      <c r="D5970" t="s">
        <v>344</v>
      </c>
      <c r="E5970" t="s">
        <v>328</v>
      </c>
      <c r="F5970" s="12">
        <v>754792</v>
      </c>
      <c r="G5970" s="13">
        <v>75</v>
      </c>
      <c r="H5970" t="s">
        <v>2915</v>
      </c>
      <c r="I5970" s="8">
        <v>45941</v>
      </c>
      <c r="J5970" t="s">
        <v>2659</v>
      </c>
      <c r="K5970" t="s">
        <v>2660</v>
      </c>
      <c r="L5970" s="13">
        <v>3500</v>
      </c>
      <c r="M5970" t="s">
        <v>2661</v>
      </c>
    </row>
    <row r="5971" spans="1:13">
      <c r="A5971" t="s">
        <v>2353</v>
      </c>
      <c r="B5971" t="s">
        <v>206</v>
      </c>
      <c r="C5971" s="8">
        <v>45956</v>
      </c>
      <c r="D5971" t="s">
        <v>344</v>
      </c>
      <c r="E5971" t="s">
        <v>328</v>
      </c>
      <c r="F5971" s="12">
        <v>754792</v>
      </c>
      <c r="G5971" s="13">
        <v>75</v>
      </c>
      <c r="H5971" t="s">
        <v>3362</v>
      </c>
      <c r="I5971" s="8">
        <v>46007</v>
      </c>
      <c r="J5971" t="s">
        <v>2685</v>
      </c>
      <c r="K5971" t="s">
        <v>2686</v>
      </c>
      <c r="L5971" s="13">
        <v>5000</v>
      </c>
      <c r="M5971" t="s">
        <v>2661</v>
      </c>
    </row>
    <row r="5972" spans="1:13">
      <c r="A5972" t="s">
        <v>2354</v>
      </c>
      <c r="B5972" t="s">
        <v>303</v>
      </c>
      <c r="C5972" s="8">
        <v>46287</v>
      </c>
      <c r="D5972" t="s">
        <v>321</v>
      </c>
      <c r="E5972" t="s">
        <v>339</v>
      </c>
      <c r="F5972" s="12">
        <v>258688</v>
      </c>
      <c r="G5972" s="13">
        <v>25</v>
      </c>
      <c r="H5972" t="s">
        <v>2809</v>
      </c>
      <c r="I5972" s="8">
        <v>46061</v>
      </c>
      <c r="J5972" t="s">
        <v>2682</v>
      </c>
      <c r="K5972" t="s">
        <v>2683</v>
      </c>
      <c r="L5972" s="13">
        <v>6000</v>
      </c>
      <c r="M5972" t="s">
        <v>2661</v>
      </c>
    </row>
    <row r="5973" spans="1:13">
      <c r="A5973" t="s">
        <v>2355</v>
      </c>
      <c r="B5973" t="s">
        <v>244</v>
      </c>
      <c r="C5973" s="8">
        <v>46241</v>
      </c>
      <c r="D5973" t="s">
        <v>332</v>
      </c>
      <c r="E5973" t="s">
        <v>328</v>
      </c>
      <c r="F5973" s="12">
        <v>998271</v>
      </c>
      <c r="G5973" s="13">
        <v>99</v>
      </c>
      <c r="H5973" t="s">
        <v>2778</v>
      </c>
      <c r="I5973" s="8">
        <v>45994</v>
      </c>
      <c r="J5973" t="s">
        <v>2692</v>
      </c>
      <c r="K5973" t="s">
        <v>2693</v>
      </c>
      <c r="L5973" s="13">
        <v>10000</v>
      </c>
      <c r="M5973" t="s">
        <v>2661</v>
      </c>
    </row>
    <row r="5974" spans="1:13">
      <c r="A5974" t="s">
        <v>2355</v>
      </c>
      <c r="B5974" t="s">
        <v>244</v>
      </c>
      <c r="C5974" s="8">
        <v>46241</v>
      </c>
      <c r="D5974" t="s">
        <v>332</v>
      </c>
      <c r="E5974" t="s">
        <v>328</v>
      </c>
      <c r="F5974" s="12">
        <v>998271</v>
      </c>
      <c r="G5974" s="13">
        <v>99</v>
      </c>
      <c r="H5974" t="s">
        <v>2916</v>
      </c>
      <c r="I5974" s="8">
        <v>46078</v>
      </c>
      <c r="J5974" t="s">
        <v>2668</v>
      </c>
      <c r="K5974" t="s">
        <v>2669</v>
      </c>
      <c r="L5974" s="13">
        <v>4000</v>
      </c>
      <c r="M5974" t="s">
        <v>2661</v>
      </c>
    </row>
    <row r="5975" spans="1:13">
      <c r="A5975" t="s">
        <v>2356</v>
      </c>
      <c r="B5975" t="s">
        <v>255</v>
      </c>
      <c r="C5975" s="8">
        <v>45935</v>
      </c>
      <c r="D5975" t="s">
        <v>332</v>
      </c>
      <c r="E5975" t="s">
        <v>328</v>
      </c>
      <c r="F5975" s="12">
        <v>315672</v>
      </c>
      <c r="G5975" s="13">
        <v>31</v>
      </c>
      <c r="H5975" t="s">
        <v>2956</v>
      </c>
      <c r="I5975" s="8">
        <v>45952</v>
      </c>
      <c r="J5975" t="s">
        <v>2674</v>
      </c>
      <c r="K5975" t="s">
        <v>2675</v>
      </c>
      <c r="L5975" s="13">
        <v>20000</v>
      </c>
      <c r="M5975" t="s">
        <v>2676</v>
      </c>
    </row>
    <row r="5976" spans="1:13">
      <c r="A5976" t="s">
        <v>2356</v>
      </c>
      <c r="B5976" t="s">
        <v>255</v>
      </c>
      <c r="C5976" s="8">
        <v>45935</v>
      </c>
      <c r="D5976" t="s">
        <v>332</v>
      </c>
      <c r="E5976" t="s">
        <v>328</v>
      </c>
      <c r="F5976" s="12">
        <v>315672</v>
      </c>
      <c r="G5976" s="13">
        <v>31</v>
      </c>
      <c r="H5976" t="s">
        <v>3223</v>
      </c>
      <c r="I5976" s="8">
        <v>46198</v>
      </c>
      <c r="J5976" t="s">
        <v>2665</v>
      </c>
      <c r="K5976" t="s">
        <v>2666</v>
      </c>
      <c r="L5976" s="13">
        <v>2500</v>
      </c>
      <c r="M5976" t="s">
        <v>2661</v>
      </c>
    </row>
    <row r="5977" spans="1:13">
      <c r="A5977" t="s">
        <v>2356</v>
      </c>
      <c r="B5977" t="s">
        <v>255</v>
      </c>
      <c r="C5977" s="8">
        <v>45935</v>
      </c>
      <c r="D5977" t="s">
        <v>332</v>
      </c>
      <c r="E5977" t="s">
        <v>328</v>
      </c>
      <c r="F5977" s="12">
        <v>315672</v>
      </c>
      <c r="G5977" s="13">
        <v>31</v>
      </c>
      <c r="H5977" t="s">
        <v>3323</v>
      </c>
      <c r="I5977" s="8">
        <v>46169</v>
      </c>
      <c r="J5977" t="s">
        <v>2682</v>
      </c>
      <c r="K5977" t="s">
        <v>2683</v>
      </c>
      <c r="L5977" s="13">
        <v>6000</v>
      </c>
      <c r="M5977" t="s">
        <v>2676</v>
      </c>
    </row>
    <row r="5978" spans="1:13">
      <c r="A5978" t="s">
        <v>2357</v>
      </c>
      <c r="B5978" t="s">
        <v>156</v>
      </c>
      <c r="C5978" s="8">
        <v>45985</v>
      </c>
      <c r="D5978" t="s">
        <v>344</v>
      </c>
      <c r="E5978" t="s">
        <v>328</v>
      </c>
      <c r="F5978" s="12">
        <v>94661</v>
      </c>
      <c r="G5978" s="13">
        <v>9</v>
      </c>
      <c r="H5978" t="s">
        <v>3301</v>
      </c>
      <c r="I5978" s="8">
        <v>46106</v>
      </c>
      <c r="J5978" t="s">
        <v>2674</v>
      </c>
      <c r="K5978" t="s">
        <v>2675</v>
      </c>
      <c r="L5978" s="13">
        <v>20000</v>
      </c>
      <c r="M5978" t="s">
        <v>2661</v>
      </c>
    </row>
    <row r="5979" spans="1:13">
      <c r="A5979" t="s">
        <v>2357</v>
      </c>
      <c r="B5979" t="s">
        <v>156</v>
      </c>
      <c r="C5979" s="8">
        <v>45985</v>
      </c>
      <c r="D5979" t="s">
        <v>344</v>
      </c>
      <c r="E5979" t="s">
        <v>328</v>
      </c>
      <c r="F5979" s="12">
        <v>94661</v>
      </c>
      <c r="G5979" s="13">
        <v>9</v>
      </c>
      <c r="H5979" t="s">
        <v>3309</v>
      </c>
      <c r="I5979" s="8">
        <v>46033</v>
      </c>
      <c r="J5979" t="s">
        <v>2692</v>
      </c>
      <c r="K5979" t="s">
        <v>2693</v>
      </c>
      <c r="L5979" s="13">
        <v>10000</v>
      </c>
      <c r="M5979" t="s">
        <v>2661</v>
      </c>
    </row>
    <row r="5980" spans="1:13">
      <c r="A5980" t="s">
        <v>2358</v>
      </c>
      <c r="B5980" t="s">
        <v>87</v>
      </c>
      <c r="C5980" s="8">
        <v>46287</v>
      </c>
      <c r="D5980" t="s">
        <v>330</v>
      </c>
      <c r="E5980" t="s">
        <v>325</v>
      </c>
      <c r="F5980" s="12">
        <v>253029</v>
      </c>
      <c r="G5980" s="13">
        <v>25</v>
      </c>
      <c r="H5980" t="s">
        <v>3531</v>
      </c>
      <c r="I5980" s="8">
        <v>45982</v>
      </c>
      <c r="J5980" t="s">
        <v>2685</v>
      </c>
      <c r="K5980" t="s">
        <v>2686</v>
      </c>
      <c r="L5980" s="13">
        <v>5000</v>
      </c>
      <c r="M5980" t="s">
        <v>2661</v>
      </c>
    </row>
    <row r="5981" spans="1:13">
      <c r="A5981" t="s">
        <v>2359</v>
      </c>
      <c r="B5981" t="s">
        <v>311</v>
      </c>
      <c r="C5981" s="8">
        <v>46061</v>
      </c>
      <c r="D5981" t="s">
        <v>324</v>
      </c>
      <c r="E5981" t="s">
        <v>322</v>
      </c>
      <c r="F5981" s="12">
        <v>372824</v>
      </c>
      <c r="G5981" s="13">
        <v>37</v>
      </c>
      <c r="H5981" t="s">
        <v>2715</v>
      </c>
      <c r="I5981" s="8">
        <v>46035</v>
      </c>
      <c r="J5981" t="s">
        <v>2663</v>
      </c>
      <c r="K5981" t="s">
        <v>3630</v>
      </c>
      <c r="L5981" s="13">
        <v>1500</v>
      </c>
      <c r="M5981" t="s">
        <v>2661</v>
      </c>
    </row>
    <row r="5982" spans="1:13">
      <c r="A5982" t="s">
        <v>2360</v>
      </c>
      <c r="B5982" t="s">
        <v>87</v>
      </c>
      <c r="C5982" s="8">
        <v>46037</v>
      </c>
      <c r="D5982" t="s">
        <v>327</v>
      </c>
      <c r="E5982" t="s">
        <v>334</v>
      </c>
      <c r="F5982" s="12">
        <v>196690</v>
      </c>
      <c r="G5982" s="13">
        <v>19</v>
      </c>
      <c r="H5982" t="s">
        <v>3531</v>
      </c>
      <c r="I5982" s="8">
        <v>45982</v>
      </c>
      <c r="J5982" t="s">
        <v>2685</v>
      </c>
      <c r="K5982" t="s">
        <v>2686</v>
      </c>
      <c r="L5982" s="13">
        <v>5000</v>
      </c>
      <c r="M5982" t="s">
        <v>2661</v>
      </c>
    </row>
    <row r="5983" spans="1:13">
      <c r="A5983" t="s">
        <v>2361</v>
      </c>
      <c r="B5983" t="s">
        <v>23</v>
      </c>
      <c r="C5983" s="8">
        <v>46158</v>
      </c>
      <c r="D5983" t="s">
        <v>342</v>
      </c>
      <c r="E5983" t="s">
        <v>322</v>
      </c>
      <c r="F5983" s="12">
        <v>201374</v>
      </c>
      <c r="G5983" s="13">
        <v>20</v>
      </c>
      <c r="H5983" t="s">
        <v>2807</v>
      </c>
      <c r="I5983" s="8">
        <v>46239</v>
      </c>
      <c r="J5983" t="s">
        <v>2663</v>
      </c>
      <c r="K5983" t="s">
        <v>3630</v>
      </c>
      <c r="L5983" s="13">
        <v>1500</v>
      </c>
      <c r="M5983" t="s">
        <v>2661</v>
      </c>
    </row>
    <row r="5984" spans="1:13">
      <c r="A5984" t="s">
        <v>2361</v>
      </c>
      <c r="B5984" t="s">
        <v>23</v>
      </c>
      <c r="C5984" s="8">
        <v>46158</v>
      </c>
      <c r="D5984" t="s">
        <v>342</v>
      </c>
      <c r="E5984" t="s">
        <v>322</v>
      </c>
      <c r="F5984" s="12">
        <v>201374</v>
      </c>
      <c r="G5984" s="13">
        <v>20</v>
      </c>
      <c r="H5984" t="s">
        <v>2846</v>
      </c>
      <c r="I5984" s="8">
        <v>46148</v>
      </c>
      <c r="J5984" t="s">
        <v>2685</v>
      </c>
      <c r="K5984" t="s">
        <v>2686</v>
      </c>
      <c r="L5984" s="13">
        <v>5000</v>
      </c>
      <c r="M5984" t="s">
        <v>2661</v>
      </c>
    </row>
    <row r="5985" spans="1:13">
      <c r="A5985" t="s">
        <v>2361</v>
      </c>
      <c r="B5985" t="s">
        <v>23</v>
      </c>
      <c r="C5985" s="8">
        <v>46158</v>
      </c>
      <c r="D5985" t="s">
        <v>342</v>
      </c>
      <c r="E5985" t="s">
        <v>322</v>
      </c>
      <c r="F5985" s="12">
        <v>201374</v>
      </c>
      <c r="G5985" s="13">
        <v>20</v>
      </c>
      <c r="H5985" t="s">
        <v>2872</v>
      </c>
      <c r="I5985" s="8">
        <v>46180</v>
      </c>
      <c r="J5985" t="s">
        <v>2659</v>
      </c>
      <c r="K5985" t="s">
        <v>2660</v>
      </c>
      <c r="L5985" s="13">
        <v>3500</v>
      </c>
      <c r="M5985" t="s">
        <v>2661</v>
      </c>
    </row>
    <row r="5986" spans="1:13">
      <c r="A5986" t="s">
        <v>2361</v>
      </c>
      <c r="B5986" t="s">
        <v>23</v>
      </c>
      <c r="C5986" s="8">
        <v>46158</v>
      </c>
      <c r="D5986" t="s">
        <v>342</v>
      </c>
      <c r="E5986" t="s">
        <v>322</v>
      </c>
      <c r="F5986" s="12">
        <v>201374</v>
      </c>
      <c r="G5986" s="13">
        <v>20</v>
      </c>
      <c r="H5986" t="s">
        <v>2887</v>
      </c>
      <c r="I5986" s="8">
        <v>46147</v>
      </c>
      <c r="J5986" t="s">
        <v>2682</v>
      </c>
      <c r="K5986" t="s">
        <v>2683</v>
      </c>
      <c r="L5986" s="13">
        <v>6000</v>
      </c>
      <c r="M5986" t="s">
        <v>2661</v>
      </c>
    </row>
    <row r="5987" spans="1:13">
      <c r="A5987" t="s">
        <v>2361</v>
      </c>
      <c r="B5987" t="s">
        <v>23</v>
      </c>
      <c r="C5987" s="8">
        <v>46158</v>
      </c>
      <c r="D5987" t="s">
        <v>342</v>
      </c>
      <c r="E5987" t="s">
        <v>322</v>
      </c>
      <c r="F5987" s="12">
        <v>201374</v>
      </c>
      <c r="G5987" s="13">
        <v>20</v>
      </c>
      <c r="H5987" t="s">
        <v>3153</v>
      </c>
      <c r="I5987" s="8">
        <v>46122</v>
      </c>
      <c r="J5987" t="s">
        <v>2665</v>
      </c>
      <c r="K5987" t="s">
        <v>2666</v>
      </c>
      <c r="L5987" s="13">
        <v>2500</v>
      </c>
      <c r="M5987" t="s">
        <v>2676</v>
      </c>
    </row>
    <row r="5988" spans="1:13">
      <c r="A5988" t="s">
        <v>2361</v>
      </c>
      <c r="B5988" t="s">
        <v>23</v>
      </c>
      <c r="C5988" s="8">
        <v>46158</v>
      </c>
      <c r="D5988" t="s">
        <v>342</v>
      </c>
      <c r="E5988" t="s">
        <v>322</v>
      </c>
      <c r="F5988" s="12">
        <v>201374</v>
      </c>
      <c r="G5988" s="13">
        <v>20</v>
      </c>
      <c r="H5988" t="s">
        <v>3426</v>
      </c>
      <c r="I5988" s="8">
        <v>46038</v>
      </c>
      <c r="J5988" t="s">
        <v>2688</v>
      </c>
      <c r="K5988" t="s">
        <v>2689</v>
      </c>
      <c r="L5988" s="13">
        <v>8000</v>
      </c>
      <c r="M5988" t="s">
        <v>2661</v>
      </c>
    </row>
    <row r="5989" spans="1:13">
      <c r="A5989" t="s">
        <v>2362</v>
      </c>
      <c r="B5989" t="s">
        <v>141</v>
      </c>
      <c r="C5989" s="8">
        <v>46103</v>
      </c>
      <c r="D5989" t="s">
        <v>324</v>
      </c>
      <c r="E5989" t="s">
        <v>337</v>
      </c>
      <c r="F5989" s="12">
        <v>122164</v>
      </c>
      <c r="G5989" s="13">
        <v>12</v>
      </c>
      <c r="H5989" t="s">
        <v>2784</v>
      </c>
      <c r="I5989" s="8">
        <v>46039</v>
      </c>
      <c r="J5989" t="s">
        <v>2692</v>
      </c>
      <c r="K5989" t="s">
        <v>2693</v>
      </c>
      <c r="L5989" s="13">
        <v>10000</v>
      </c>
      <c r="M5989" t="s">
        <v>2676</v>
      </c>
    </row>
    <row r="5990" spans="1:13">
      <c r="A5990" t="s">
        <v>2362</v>
      </c>
      <c r="B5990" t="s">
        <v>141</v>
      </c>
      <c r="C5990" s="8">
        <v>46103</v>
      </c>
      <c r="D5990" t="s">
        <v>324</v>
      </c>
      <c r="E5990" t="s">
        <v>337</v>
      </c>
      <c r="F5990" s="12">
        <v>122164</v>
      </c>
      <c r="G5990" s="13">
        <v>12</v>
      </c>
      <c r="H5990" t="s">
        <v>2983</v>
      </c>
      <c r="I5990" s="8">
        <v>46195</v>
      </c>
      <c r="J5990" t="s">
        <v>2665</v>
      </c>
      <c r="K5990" t="s">
        <v>2666</v>
      </c>
      <c r="L5990" s="13">
        <v>2500</v>
      </c>
      <c r="M5990" t="s">
        <v>2661</v>
      </c>
    </row>
    <row r="5991" spans="1:13">
      <c r="A5991" t="s">
        <v>2362</v>
      </c>
      <c r="B5991" t="s">
        <v>141</v>
      </c>
      <c r="C5991" s="8">
        <v>46103</v>
      </c>
      <c r="D5991" t="s">
        <v>324</v>
      </c>
      <c r="E5991" t="s">
        <v>337</v>
      </c>
      <c r="F5991" s="12">
        <v>122164</v>
      </c>
      <c r="G5991" s="13">
        <v>12</v>
      </c>
      <c r="H5991" t="s">
        <v>3011</v>
      </c>
      <c r="I5991" s="8">
        <v>46197</v>
      </c>
      <c r="J5991" t="s">
        <v>2674</v>
      </c>
      <c r="K5991" t="s">
        <v>2675</v>
      </c>
      <c r="L5991" s="13">
        <v>20000</v>
      </c>
      <c r="M5991" t="s">
        <v>2661</v>
      </c>
    </row>
    <row r="5992" spans="1:13">
      <c r="A5992" t="s">
        <v>2362</v>
      </c>
      <c r="B5992" t="s">
        <v>141</v>
      </c>
      <c r="C5992" s="8">
        <v>46103</v>
      </c>
      <c r="D5992" t="s">
        <v>324</v>
      </c>
      <c r="E5992" t="s">
        <v>337</v>
      </c>
      <c r="F5992" s="12">
        <v>122164</v>
      </c>
      <c r="G5992" s="13">
        <v>12</v>
      </c>
      <c r="H5992" t="s">
        <v>3035</v>
      </c>
      <c r="I5992" s="8">
        <v>46115</v>
      </c>
      <c r="J5992" t="s">
        <v>2663</v>
      </c>
      <c r="K5992" t="s">
        <v>3630</v>
      </c>
      <c r="L5992" s="13">
        <v>1500</v>
      </c>
      <c r="M5992" t="s">
        <v>2661</v>
      </c>
    </row>
    <row r="5993" spans="1:13">
      <c r="A5993" t="s">
        <v>2362</v>
      </c>
      <c r="B5993" t="s">
        <v>141</v>
      </c>
      <c r="C5993" s="8">
        <v>46103</v>
      </c>
      <c r="D5993" t="s">
        <v>324</v>
      </c>
      <c r="E5993" t="s">
        <v>337</v>
      </c>
      <c r="F5993" s="12">
        <v>122164</v>
      </c>
      <c r="G5993" s="13">
        <v>12</v>
      </c>
      <c r="H5993" t="s">
        <v>3161</v>
      </c>
      <c r="I5993" s="8">
        <v>46177</v>
      </c>
      <c r="J5993" t="s">
        <v>2663</v>
      </c>
      <c r="K5993" t="s">
        <v>3630</v>
      </c>
      <c r="L5993" s="13">
        <v>1500</v>
      </c>
      <c r="M5993" t="s">
        <v>2661</v>
      </c>
    </row>
    <row r="5994" spans="1:13">
      <c r="A5994" t="s">
        <v>2362</v>
      </c>
      <c r="B5994" t="s">
        <v>141</v>
      </c>
      <c r="C5994" s="8">
        <v>46103</v>
      </c>
      <c r="D5994" t="s">
        <v>324</v>
      </c>
      <c r="E5994" t="s">
        <v>337</v>
      </c>
      <c r="F5994" s="12">
        <v>122164</v>
      </c>
      <c r="G5994" s="13">
        <v>12</v>
      </c>
      <c r="H5994" t="s">
        <v>3357</v>
      </c>
      <c r="I5994" s="8">
        <v>46093</v>
      </c>
      <c r="J5994" t="s">
        <v>2685</v>
      </c>
      <c r="K5994" t="s">
        <v>2686</v>
      </c>
      <c r="L5994" s="13">
        <v>5000</v>
      </c>
      <c r="M5994" t="s">
        <v>2676</v>
      </c>
    </row>
    <row r="5995" spans="1:13">
      <c r="A5995" t="s">
        <v>2363</v>
      </c>
      <c r="B5995" t="s">
        <v>46</v>
      </c>
      <c r="C5995" s="8">
        <v>46190</v>
      </c>
      <c r="D5995" t="s">
        <v>344</v>
      </c>
      <c r="E5995" t="s">
        <v>337</v>
      </c>
      <c r="F5995" s="12">
        <v>126042</v>
      </c>
      <c r="G5995" s="13">
        <v>12</v>
      </c>
      <c r="H5995" t="s">
        <v>2743</v>
      </c>
      <c r="I5995" s="8">
        <v>46248</v>
      </c>
      <c r="J5995" t="s">
        <v>2685</v>
      </c>
      <c r="K5995" t="s">
        <v>2686</v>
      </c>
      <c r="L5995" s="13">
        <v>5000</v>
      </c>
      <c r="M5995" t="s">
        <v>2661</v>
      </c>
    </row>
    <row r="5996" spans="1:13">
      <c r="A5996" t="s">
        <v>2363</v>
      </c>
      <c r="B5996" t="s">
        <v>46</v>
      </c>
      <c r="C5996" s="8">
        <v>46190</v>
      </c>
      <c r="D5996" t="s">
        <v>344</v>
      </c>
      <c r="E5996" t="s">
        <v>337</v>
      </c>
      <c r="F5996" s="12">
        <v>126042</v>
      </c>
      <c r="G5996" s="13">
        <v>12</v>
      </c>
      <c r="H5996" t="s">
        <v>3021</v>
      </c>
      <c r="I5996" s="8">
        <v>45955</v>
      </c>
      <c r="J5996" t="s">
        <v>2665</v>
      </c>
      <c r="K5996" t="s">
        <v>2666</v>
      </c>
      <c r="L5996" s="13">
        <v>2500</v>
      </c>
      <c r="M5996" t="s">
        <v>2661</v>
      </c>
    </row>
    <row r="5997" spans="1:13">
      <c r="A5997" t="s">
        <v>2363</v>
      </c>
      <c r="B5997" t="s">
        <v>46</v>
      </c>
      <c r="C5997" s="8">
        <v>46190</v>
      </c>
      <c r="D5997" t="s">
        <v>344</v>
      </c>
      <c r="E5997" t="s">
        <v>337</v>
      </c>
      <c r="F5997" s="12">
        <v>126042</v>
      </c>
      <c r="G5997" s="13">
        <v>12</v>
      </c>
      <c r="H5997" t="s">
        <v>3069</v>
      </c>
      <c r="I5997" s="8">
        <v>45945</v>
      </c>
      <c r="J5997" t="s">
        <v>2668</v>
      </c>
      <c r="K5997" t="s">
        <v>2669</v>
      </c>
      <c r="L5997" s="13">
        <v>4000</v>
      </c>
      <c r="M5997" t="s">
        <v>2661</v>
      </c>
    </row>
    <row r="5998" spans="1:13">
      <c r="A5998" t="s">
        <v>2363</v>
      </c>
      <c r="B5998" t="s">
        <v>46</v>
      </c>
      <c r="C5998" s="8">
        <v>46190</v>
      </c>
      <c r="D5998" t="s">
        <v>344</v>
      </c>
      <c r="E5998" t="s">
        <v>337</v>
      </c>
      <c r="F5998" s="12">
        <v>126042</v>
      </c>
      <c r="G5998" s="13">
        <v>12</v>
      </c>
      <c r="H5998" t="s">
        <v>3408</v>
      </c>
      <c r="I5998" s="8">
        <v>46072</v>
      </c>
      <c r="J5998" t="s">
        <v>2668</v>
      </c>
      <c r="K5998" t="s">
        <v>2669</v>
      </c>
      <c r="L5998" s="13">
        <v>4000</v>
      </c>
      <c r="M5998" t="s">
        <v>2661</v>
      </c>
    </row>
    <row r="5999" spans="1:13">
      <c r="A5999" t="s">
        <v>2363</v>
      </c>
      <c r="B5999" t="s">
        <v>46</v>
      </c>
      <c r="C5999" s="8">
        <v>46190</v>
      </c>
      <c r="D5999" t="s">
        <v>344</v>
      </c>
      <c r="E5999" t="s">
        <v>337</v>
      </c>
      <c r="F5999" s="12">
        <v>126042</v>
      </c>
      <c r="G5999" s="13">
        <v>12</v>
      </c>
      <c r="H5999" t="s">
        <v>3494</v>
      </c>
      <c r="I5999" s="8">
        <v>46108</v>
      </c>
      <c r="J5999" t="s">
        <v>2688</v>
      </c>
      <c r="K5999" t="s">
        <v>2689</v>
      </c>
      <c r="L5999" s="13">
        <v>8000</v>
      </c>
      <c r="M5999" t="s">
        <v>2661</v>
      </c>
    </row>
    <row r="6000" spans="1:13">
      <c r="A6000" t="s">
        <v>2364</v>
      </c>
      <c r="B6000" t="s">
        <v>199</v>
      </c>
      <c r="C6000" s="8">
        <v>46282</v>
      </c>
      <c r="D6000" t="s">
        <v>350</v>
      </c>
      <c r="E6000" t="s">
        <v>325</v>
      </c>
      <c r="F6000" s="12">
        <v>454515</v>
      </c>
      <c r="G6000" s="13">
        <v>45</v>
      </c>
      <c r="H6000" t="s">
        <v>2993</v>
      </c>
      <c r="I6000" s="8">
        <v>46086</v>
      </c>
      <c r="J6000" t="s">
        <v>2659</v>
      </c>
      <c r="K6000" t="s">
        <v>2660</v>
      </c>
      <c r="L6000" s="13">
        <v>3500</v>
      </c>
      <c r="M6000" t="s">
        <v>2661</v>
      </c>
    </row>
    <row r="6001" spans="1:13">
      <c r="A6001" t="s">
        <v>2364</v>
      </c>
      <c r="B6001" t="s">
        <v>199</v>
      </c>
      <c r="C6001" s="8">
        <v>46282</v>
      </c>
      <c r="D6001" t="s">
        <v>350</v>
      </c>
      <c r="E6001" t="s">
        <v>325</v>
      </c>
      <c r="F6001" s="12">
        <v>454515</v>
      </c>
      <c r="G6001" s="13">
        <v>45</v>
      </c>
      <c r="H6001" t="s">
        <v>3004</v>
      </c>
      <c r="I6001" s="8">
        <v>45974</v>
      </c>
      <c r="J6001" t="s">
        <v>2688</v>
      </c>
      <c r="K6001" t="s">
        <v>2689</v>
      </c>
      <c r="L6001" s="13">
        <v>8000</v>
      </c>
      <c r="M6001" t="s">
        <v>2661</v>
      </c>
    </row>
    <row r="6002" spans="1:13">
      <c r="A6002" t="s">
        <v>2364</v>
      </c>
      <c r="B6002" t="s">
        <v>199</v>
      </c>
      <c r="C6002" s="8">
        <v>46282</v>
      </c>
      <c r="D6002" t="s">
        <v>350</v>
      </c>
      <c r="E6002" t="s">
        <v>325</v>
      </c>
      <c r="F6002" s="12">
        <v>454515</v>
      </c>
      <c r="G6002" s="13">
        <v>45</v>
      </c>
      <c r="H6002" t="s">
        <v>3399</v>
      </c>
      <c r="I6002" s="8">
        <v>46093</v>
      </c>
      <c r="J6002" t="s">
        <v>2659</v>
      </c>
      <c r="K6002" t="s">
        <v>2660</v>
      </c>
      <c r="L6002" s="13">
        <v>3500</v>
      </c>
      <c r="M6002" t="s">
        <v>2661</v>
      </c>
    </row>
    <row r="6003" spans="1:13">
      <c r="A6003" t="s">
        <v>2364</v>
      </c>
      <c r="B6003" t="s">
        <v>199</v>
      </c>
      <c r="C6003" s="8">
        <v>46282</v>
      </c>
      <c r="D6003" t="s">
        <v>350</v>
      </c>
      <c r="E6003" t="s">
        <v>325</v>
      </c>
      <c r="F6003" s="12">
        <v>454515</v>
      </c>
      <c r="G6003" s="13">
        <v>45</v>
      </c>
      <c r="H6003" t="s">
        <v>3496</v>
      </c>
      <c r="I6003" s="8">
        <v>46020</v>
      </c>
      <c r="J6003" t="s">
        <v>2674</v>
      </c>
      <c r="K6003" t="s">
        <v>2675</v>
      </c>
      <c r="L6003" s="13">
        <v>20000</v>
      </c>
      <c r="M6003" t="s">
        <v>2661</v>
      </c>
    </row>
    <row r="6004" spans="1:13">
      <c r="A6004" t="s">
        <v>2365</v>
      </c>
      <c r="B6004" t="s">
        <v>224</v>
      </c>
      <c r="C6004" s="8">
        <v>46246</v>
      </c>
      <c r="D6004" t="s">
        <v>330</v>
      </c>
      <c r="E6004" t="s">
        <v>328</v>
      </c>
      <c r="F6004" s="12">
        <v>378031</v>
      </c>
      <c r="G6004" s="13">
        <v>37</v>
      </c>
      <c r="H6004" t="s">
        <v>2735</v>
      </c>
      <c r="I6004" s="8">
        <v>45968</v>
      </c>
      <c r="J6004" t="s">
        <v>2682</v>
      </c>
      <c r="K6004" t="s">
        <v>2683</v>
      </c>
      <c r="L6004" s="13">
        <v>6000</v>
      </c>
      <c r="M6004" t="s">
        <v>2661</v>
      </c>
    </row>
    <row r="6005" spans="1:13">
      <c r="A6005" t="s">
        <v>2365</v>
      </c>
      <c r="B6005" t="s">
        <v>224</v>
      </c>
      <c r="C6005" s="8">
        <v>46246</v>
      </c>
      <c r="D6005" t="s">
        <v>330</v>
      </c>
      <c r="E6005" t="s">
        <v>328</v>
      </c>
      <c r="F6005" s="12">
        <v>378031</v>
      </c>
      <c r="G6005" s="13">
        <v>37</v>
      </c>
      <c r="H6005" t="s">
        <v>3406</v>
      </c>
      <c r="I6005" s="8">
        <v>46193</v>
      </c>
      <c r="J6005" t="s">
        <v>2682</v>
      </c>
      <c r="K6005" t="s">
        <v>2683</v>
      </c>
      <c r="L6005" s="13">
        <v>6000</v>
      </c>
      <c r="M6005" t="s">
        <v>2676</v>
      </c>
    </row>
    <row r="6006" spans="1:13">
      <c r="A6006" t="s">
        <v>2365</v>
      </c>
      <c r="B6006" t="s">
        <v>224</v>
      </c>
      <c r="C6006" s="8">
        <v>46246</v>
      </c>
      <c r="D6006" t="s">
        <v>330</v>
      </c>
      <c r="E6006" t="s">
        <v>328</v>
      </c>
      <c r="F6006" s="12">
        <v>378031</v>
      </c>
      <c r="G6006" s="13">
        <v>37</v>
      </c>
      <c r="H6006" t="s">
        <v>3410</v>
      </c>
      <c r="I6006" s="8">
        <v>45967</v>
      </c>
      <c r="J6006" t="s">
        <v>2692</v>
      </c>
      <c r="K6006" t="s">
        <v>2693</v>
      </c>
      <c r="L6006" s="13">
        <v>10000</v>
      </c>
      <c r="M6006" t="s">
        <v>2661</v>
      </c>
    </row>
    <row r="6007" spans="1:13">
      <c r="A6007" t="s">
        <v>2366</v>
      </c>
      <c r="B6007" t="s">
        <v>84</v>
      </c>
      <c r="C6007" s="8">
        <v>46007</v>
      </c>
      <c r="D6007" t="s">
        <v>324</v>
      </c>
      <c r="E6007" t="s">
        <v>325</v>
      </c>
      <c r="F6007" s="12">
        <v>1063983</v>
      </c>
      <c r="G6007" s="13">
        <v>106</v>
      </c>
      <c r="H6007" t="s">
        <v>2962</v>
      </c>
      <c r="I6007" s="8">
        <v>46190</v>
      </c>
      <c r="J6007" t="s">
        <v>2671</v>
      </c>
      <c r="K6007" t="s">
        <v>2672</v>
      </c>
      <c r="L6007" s="13">
        <v>3000</v>
      </c>
      <c r="M6007" t="s">
        <v>2661</v>
      </c>
    </row>
    <row r="6008" spans="1:13">
      <c r="A6008" t="s">
        <v>2366</v>
      </c>
      <c r="B6008" t="s">
        <v>84</v>
      </c>
      <c r="C6008" s="8">
        <v>46007</v>
      </c>
      <c r="D6008" t="s">
        <v>324</v>
      </c>
      <c r="E6008" t="s">
        <v>325</v>
      </c>
      <c r="F6008" s="12">
        <v>1063983</v>
      </c>
      <c r="G6008" s="13">
        <v>106</v>
      </c>
      <c r="H6008" t="s">
        <v>3204</v>
      </c>
      <c r="I6008" s="8">
        <v>46029</v>
      </c>
      <c r="J6008" t="s">
        <v>2671</v>
      </c>
      <c r="K6008" t="s">
        <v>2672</v>
      </c>
      <c r="L6008" s="13">
        <v>3000</v>
      </c>
      <c r="M6008" t="s">
        <v>2661</v>
      </c>
    </row>
    <row r="6009" spans="1:13">
      <c r="A6009" t="s">
        <v>2366</v>
      </c>
      <c r="B6009" t="s">
        <v>84</v>
      </c>
      <c r="C6009" s="8">
        <v>46007</v>
      </c>
      <c r="D6009" t="s">
        <v>324</v>
      </c>
      <c r="E6009" t="s">
        <v>325</v>
      </c>
      <c r="F6009" s="12">
        <v>1063983</v>
      </c>
      <c r="G6009" s="13">
        <v>106</v>
      </c>
      <c r="H6009" t="s">
        <v>3273</v>
      </c>
      <c r="I6009" s="8">
        <v>46050</v>
      </c>
      <c r="J6009" t="s">
        <v>2668</v>
      </c>
      <c r="K6009" t="s">
        <v>2669</v>
      </c>
      <c r="L6009" s="13">
        <v>4000</v>
      </c>
      <c r="M6009" t="s">
        <v>2676</v>
      </c>
    </row>
    <row r="6010" spans="1:13">
      <c r="A6010" t="s">
        <v>2366</v>
      </c>
      <c r="B6010" t="s">
        <v>84</v>
      </c>
      <c r="C6010" s="8">
        <v>46007</v>
      </c>
      <c r="D6010" t="s">
        <v>324</v>
      </c>
      <c r="E6010" t="s">
        <v>325</v>
      </c>
      <c r="F6010" s="12">
        <v>1063983</v>
      </c>
      <c r="G6010" s="13">
        <v>106</v>
      </c>
      <c r="H6010" t="s">
        <v>3305</v>
      </c>
      <c r="I6010" s="8">
        <v>45960</v>
      </c>
      <c r="J6010" t="s">
        <v>2682</v>
      </c>
      <c r="K6010" t="s">
        <v>2683</v>
      </c>
      <c r="L6010" s="13">
        <v>6000</v>
      </c>
      <c r="M6010" t="s">
        <v>2661</v>
      </c>
    </row>
    <row r="6011" spans="1:13">
      <c r="A6011" t="s">
        <v>2367</v>
      </c>
      <c r="B6011" t="s">
        <v>310</v>
      </c>
      <c r="C6011" s="8">
        <v>46210</v>
      </c>
      <c r="D6011" t="s">
        <v>332</v>
      </c>
      <c r="E6011" t="s">
        <v>325</v>
      </c>
      <c r="F6011" s="12">
        <v>25000</v>
      </c>
      <c r="G6011" s="13">
        <v>2</v>
      </c>
      <c r="H6011" t="s">
        <v>2712</v>
      </c>
      <c r="I6011" s="8">
        <v>46153</v>
      </c>
      <c r="J6011" t="s">
        <v>2682</v>
      </c>
      <c r="K6011" t="s">
        <v>2683</v>
      </c>
      <c r="L6011" s="13">
        <v>6000</v>
      </c>
      <c r="M6011" t="s">
        <v>2661</v>
      </c>
    </row>
    <row r="6012" spans="1:13">
      <c r="A6012" t="s">
        <v>2367</v>
      </c>
      <c r="B6012" t="s">
        <v>310</v>
      </c>
      <c r="C6012" s="8">
        <v>46210</v>
      </c>
      <c r="D6012" t="s">
        <v>332</v>
      </c>
      <c r="E6012" t="s">
        <v>325</v>
      </c>
      <c r="F6012" s="12">
        <v>25000</v>
      </c>
      <c r="G6012" s="13">
        <v>2</v>
      </c>
      <c r="H6012" t="s">
        <v>2895</v>
      </c>
      <c r="I6012" s="8">
        <v>45957</v>
      </c>
      <c r="J6012" t="s">
        <v>2688</v>
      </c>
      <c r="K6012" t="s">
        <v>2689</v>
      </c>
      <c r="L6012" s="13">
        <v>8000</v>
      </c>
      <c r="M6012" t="s">
        <v>2661</v>
      </c>
    </row>
    <row r="6013" spans="1:13">
      <c r="A6013" t="s">
        <v>2367</v>
      </c>
      <c r="B6013" t="s">
        <v>310</v>
      </c>
      <c r="C6013" s="8">
        <v>46210</v>
      </c>
      <c r="D6013" t="s">
        <v>332</v>
      </c>
      <c r="E6013" t="s">
        <v>325</v>
      </c>
      <c r="F6013" s="12">
        <v>25000</v>
      </c>
      <c r="G6013" s="13">
        <v>2</v>
      </c>
      <c r="H6013" t="s">
        <v>2976</v>
      </c>
      <c r="I6013" s="8">
        <v>46146</v>
      </c>
      <c r="J6013" t="s">
        <v>2685</v>
      </c>
      <c r="K6013" t="s">
        <v>2686</v>
      </c>
      <c r="L6013" s="13">
        <v>5000</v>
      </c>
      <c r="M6013" t="s">
        <v>2661</v>
      </c>
    </row>
    <row r="6014" spans="1:13">
      <c r="A6014" t="s">
        <v>2367</v>
      </c>
      <c r="B6014" t="s">
        <v>310</v>
      </c>
      <c r="C6014" s="8">
        <v>46210</v>
      </c>
      <c r="D6014" t="s">
        <v>332</v>
      </c>
      <c r="E6014" t="s">
        <v>325</v>
      </c>
      <c r="F6014" s="12">
        <v>25000</v>
      </c>
      <c r="G6014" s="13">
        <v>2</v>
      </c>
      <c r="H6014" t="s">
        <v>3295</v>
      </c>
      <c r="I6014" s="8">
        <v>46154</v>
      </c>
      <c r="J6014" t="s">
        <v>2668</v>
      </c>
      <c r="K6014" t="s">
        <v>2669</v>
      </c>
      <c r="L6014" s="13">
        <v>4000</v>
      </c>
      <c r="M6014" t="s">
        <v>2676</v>
      </c>
    </row>
    <row r="6015" spans="1:13">
      <c r="A6015" t="s">
        <v>2367</v>
      </c>
      <c r="B6015" t="s">
        <v>310</v>
      </c>
      <c r="C6015" s="8">
        <v>46210</v>
      </c>
      <c r="D6015" t="s">
        <v>332</v>
      </c>
      <c r="E6015" t="s">
        <v>325</v>
      </c>
      <c r="F6015" s="12">
        <v>25000</v>
      </c>
      <c r="G6015" s="13">
        <v>2</v>
      </c>
      <c r="H6015" t="s">
        <v>3480</v>
      </c>
      <c r="I6015" s="8">
        <v>46012</v>
      </c>
      <c r="J6015" t="s">
        <v>2685</v>
      </c>
      <c r="K6015" t="s">
        <v>2686</v>
      </c>
      <c r="L6015" s="13">
        <v>5000</v>
      </c>
      <c r="M6015" t="s">
        <v>2676</v>
      </c>
    </row>
    <row r="6016" spans="1:13">
      <c r="A6016" t="s">
        <v>2368</v>
      </c>
      <c r="B6016" t="s">
        <v>134</v>
      </c>
      <c r="C6016" s="8">
        <v>46142</v>
      </c>
      <c r="D6016" t="s">
        <v>330</v>
      </c>
      <c r="E6016" t="s">
        <v>339</v>
      </c>
      <c r="F6016" s="12">
        <v>424601</v>
      </c>
      <c r="G6016" s="13">
        <v>42</v>
      </c>
      <c r="H6016" t="s">
        <v>3183</v>
      </c>
      <c r="I6016" s="8">
        <v>46285</v>
      </c>
      <c r="J6016" t="s">
        <v>2663</v>
      </c>
      <c r="K6016" t="s">
        <v>3630</v>
      </c>
      <c r="L6016" s="13">
        <v>1500</v>
      </c>
      <c r="M6016" t="s">
        <v>2661</v>
      </c>
    </row>
    <row r="6017" spans="1:13">
      <c r="A6017" t="s">
        <v>2369</v>
      </c>
      <c r="B6017" t="s">
        <v>47</v>
      </c>
      <c r="C6017" s="8">
        <v>46053</v>
      </c>
      <c r="D6017" t="s">
        <v>324</v>
      </c>
      <c r="E6017" t="s">
        <v>325</v>
      </c>
      <c r="F6017" s="12">
        <v>220633</v>
      </c>
      <c r="G6017" s="13">
        <v>22</v>
      </c>
      <c r="H6017" t="s">
        <v>3291</v>
      </c>
      <c r="I6017" s="8">
        <v>46026</v>
      </c>
      <c r="J6017" t="s">
        <v>2674</v>
      </c>
      <c r="K6017" t="s">
        <v>2675</v>
      </c>
      <c r="L6017" s="13">
        <v>20000</v>
      </c>
      <c r="M6017" t="s">
        <v>2661</v>
      </c>
    </row>
    <row r="6018" spans="1:13">
      <c r="A6018" t="s">
        <v>2370</v>
      </c>
      <c r="B6018" t="s">
        <v>147</v>
      </c>
      <c r="C6018" s="8">
        <v>46197</v>
      </c>
      <c r="D6018" t="s">
        <v>327</v>
      </c>
      <c r="E6018" t="s">
        <v>325</v>
      </c>
      <c r="F6018" s="12">
        <v>371620</v>
      </c>
      <c r="G6018" s="13">
        <v>37</v>
      </c>
      <c r="H6018" t="s">
        <v>3143</v>
      </c>
      <c r="I6018" s="8">
        <v>46139</v>
      </c>
      <c r="J6018" t="s">
        <v>2692</v>
      </c>
      <c r="K6018" t="s">
        <v>2693</v>
      </c>
      <c r="L6018" s="13">
        <v>10000</v>
      </c>
      <c r="M6018" t="s">
        <v>2661</v>
      </c>
    </row>
    <row r="6019" spans="1:13">
      <c r="A6019" t="s">
        <v>2370</v>
      </c>
      <c r="B6019" t="s">
        <v>147</v>
      </c>
      <c r="C6019" s="8">
        <v>46197</v>
      </c>
      <c r="D6019" t="s">
        <v>327</v>
      </c>
      <c r="E6019" t="s">
        <v>325</v>
      </c>
      <c r="F6019" s="12">
        <v>371620</v>
      </c>
      <c r="G6019" s="13">
        <v>37</v>
      </c>
      <c r="H6019" t="s">
        <v>3264</v>
      </c>
      <c r="I6019" s="8">
        <v>46157</v>
      </c>
      <c r="J6019" t="s">
        <v>2692</v>
      </c>
      <c r="K6019" t="s">
        <v>2693</v>
      </c>
      <c r="L6019" s="13">
        <v>10000</v>
      </c>
      <c r="M6019" t="s">
        <v>2661</v>
      </c>
    </row>
    <row r="6020" spans="1:13">
      <c r="A6020" t="s">
        <v>2371</v>
      </c>
      <c r="B6020" t="s">
        <v>167</v>
      </c>
      <c r="C6020" s="8">
        <v>46191</v>
      </c>
      <c r="D6020" t="s">
        <v>321</v>
      </c>
      <c r="E6020" t="s">
        <v>325</v>
      </c>
      <c r="F6020" s="12">
        <v>110335</v>
      </c>
      <c r="G6020" s="13">
        <v>11</v>
      </c>
      <c r="H6020" t="s">
        <v>2714</v>
      </c>
      <c r="I6020" s="8">
        <v>45991</v>
      </c>
      <c r="J6020" t="s">
        <v>2663</v>
      </c>
      <c r="K6020" t="s">
        <v>3630</v>
      </c>
      <c r="L6020" s="13">
        <v>1500</v>
      </c>
      <c r="M6020" t="s">
        <v>2661</v>
      </c>
    </row>
    <row r="6021" spans="1:13">
      <c r="A6021" t="s">
        <v>2371</v>
      </c>
      <c r="B6021" t="s">
        <v>167</v>
      </c>
      <c r="C6021" s="8">
        <v>46191</v>
      </c>
      <c r="D6021" t="s">
        <v>321</v>
      </c>
      <c r="E6021" t="s">
        <v>325</v>
      </c>
      <c r="F6021" s="12">
        <v>110335</v>
      </c>
      <c r="G6021" s="13">
        <v>11</v>
      </c>
      <c r="H6021" t="s">
        <v>3024</v>
      </c>
      <c r="I6021" s="8">
        <v>46163</v>
      </c>
      <c r="J6021" t="s">
        <v>2665</v>
      </c>
      <c r="K6021" t="s">
        <v>2666</v>
      </c>
      <c r="L6021" s="13">
        <v>2500</v>
      </c>
      <c r="M6021" t="s">
        <v>2661</v>
      </c>
    </row>
    <row r="6022" spans="1:13">
      <c r="A6022" t="s">
        <v>2371</v>
      </c>
      <c r="B6022" t="s">
        <v>167</v>
      </c>
      <c r="C6022" s="8">
        <v>46191</v>
      </c>
      <c r="D6022" t="s">
        <v>321</v>
      </c>
      <c r="E6022" t="s">
        <v>325</v>
      </c>
      <c r="F6022" s="12">
        <v>110335</v>
      </c>
      <c r="G6022" s="13">
        <v>11</v>
      </c>
      <c r="H6022" t="s">
        <v>3573</v>
      </c>
      <c r="I6022" s="8">
        <v>46043</v>
      </c>
      <c r="J6022" t="s">
        <v>2671</v>
      </c>
      <c r="K6022" t="s">
        <v>2672</v>
      </c>
      <c r="L6022" s="13">
        <v>3000</v>
      </c>
      <c r="M6022" t="s">
        <v>2661</v>
      </c>
    </row>
    <row r="6023" spans="1:13">
      <c r="A6023" t="s">
        <v>2372</v>
      </c>
      <c r="B6023" t="s">
        <v>110</v>
      </c>
      <c r="C6023" s="8">
        <v>46150</v>
      </c>
      <c r="D6023" t="s">
        <v>327</v>
      </c>
      <c r="E6023" t="s">
        <v>328</v>
      </c>
      <c r="F6023" s="12">
        <v>25000</v>
      </c>
      <c r="G6023" s="13">
        <v>2</v>
      </c>
      <c r="H6023" t="s">
        <v>3413</v>
      </c>
      <c r="I6023" s="8">
        <v>46031</v>
      </c>
      <c r="J6023" t="s">
        <v>2685</v>
      </c>
      <c r="K6023" t="s">
        <v>2686</v>
      </c>
      <c r="L6023" s="13">
        <v>5000</v>
      </c>
      <c r="M6023" t="s">
        <v>2661</v>
      </c>
    </row>
    <row r="6024" spans="1:13">
      <c r="A6024" t="s">
        <v>2372</v>
      </c>
      <c r="B6024" t="s">
        <v>110</v>
      </c>
      <c r="C6024" s="8">
        <v>46150</v>
      </c>
      <c r="D6024" t="s">
        <v>327</v>
      </c>
      <c r="E6024" t="s">
        <v>328</v>
      </c>
      <c r="F6024" s="12">
        <v>25000</v>
      </c>
      <c r="G6024" s="13">
        <v>2</v>
      </c>
      <c r="H6024" t="s">
        <v>3438</v>
      </c>
      <c r="I6024" s="8">
        <v>45935</v>
      </c>
      <c r="J6024" t="s">
        <v>2668</v>
      </c>
      <c r="K6024" t="s">
        <v>2669</v>
      </c>
      <c r="L6024" s="13">
        <v>4000</v>
      </c>
      <c r="M6024" t="s">
        <v>2661</v>
      </c>
    </row>
    <row r="6025" spans="1:13">
      <c r="A6025" t="s">
        <v>2372</v>
      </c>
      <c r="B6025" t="s">
        <v>110</v>
      </c>
      <c r="C6025" s="8">
        <v>46150</v>
      </c>
      <c r="D6025" t="s">
        <v>327</v>
      </c>
      <c r="E6025" t="s">
        <v>328</v>
      </c>
      <c r="F6025" s="12">
        <v>25000</v>
      </c>
      <c r="G6025" s="13">
        <v>2</v>
      </c>
      <c r="H6025" t="s">
        <v>3543</v>
      </c>
      <c r="I6025" s="8">
        <v>46256</v>
      </c>
      <c r="J6025" t="s">
        <v>2663</v>
      </c>
      <c r="K6025" t="s">
        <v>3630</v>
      </c>
      <c r="L6025" s="13">
        <v>1500</v>
      </c>
      <c r="M6025" t="s">
        <v>2676</v>
      </c>
    </row>
    <row r="6026" spans="1:13">
      <c r="A6026" t="s">
        <v>2373</v>
      </c>
      <c r="B6026" t="s">
        <v>186</v>
      </c>
      <c r="C6026" s="8">
        <v>46036</v>
      </c>
      <c r="D6026" t="s">
        <v>327</v>
      </c>
      <c r="E6026" t="s">
        <v>325</v>
      </c>
      <c r="F6026" s="12">
        <v>384807</v>
      </c>
      <c r="G6026" s="13">
        <v>38</v>
      </c>
      <c r="H6026" t="s">
        <v>3509</v>
      </c>
      <c r="I6026" s="8">
        <v>46214</v>
      </c>
      <c r="J6026" t="s">
        <v>2668</v>
      </c>
      <c r="K6026" t="s">
        <v>2669</v>
      </c>
      <c r="L6026" s="13">
        <v>4000</v>
      </c>
      <c r="M6026" t="s">
        <v>2661</v>
      </c>
    </row>
    <row r="6027" spans="1:13">
      <c r="A6027" t="s">
        <v>2374</v>
      </c>
      <c r="B6027" t="s">
        <v>301</v>
      </c>
      <c r="C6027" s="8">
        <v>46118</v>
      </c>
      <c r="D6027" t="s">
        <v>327</v>
      </c>
      <c r="E6027" t="s">
        <v>337</v>
      </c>
      <c r="F6027" s="12">
        <v>361991</v>
      </c>
      <c r="G6027" s="13">
        <v>36</v>
      </c>
      <c r="H6027" t="s">
        <v>3559</v>
      </c>
      <c r="I6027" s="8">
        <v>46143</v>
      </c>
      <c r="J6027" t="s">
        <v>2663</v>
      </c>
      <c r="K6027" t="s">
        <v>3630</v>
      </c>
      <c r="L6027" s="13">
        <v>1500</v>
      </c>
      <c r="M6027" t="s">
        <v>2676</v>
      </c>
    </row>
    <row r="6028" spans="1:13">
      <c r="A6028" t="s">
        <v>2375</v>
      </c>
      <c r="B6028" t="s">
        <v>205</v>
      </c>
      <c r="C6028" s="8">
        <v>46077</v>
      </c>
      <c r="D6028" t="s">
        <v>321</v>
      </c>
      <c r="E6028" t="s">
        <v>339</v>
      </c>
      <c r="F6028" s="12">
        <v>355896</v>
      </c>
      <c r="G6028" s="13">
        <v>35</v>
      </c>
      <c r="H6028" t="s">
        <v>3241</v>
      </c>
      <c r="I6028" s="8">
        <v>45972</v>
      </c>
      <c r="J6028" t="s">
        <v>2671</v>
      </c>
      <c r="K6028" t="s">
        <v>2672</v>
      </c>
      <c r="L6028" s="13">
        <v>3000</v>
      </c>
      <c r="M6028" t="s">
        <v>2676</v>
      </c>
    </row>
    <row r="6029" spans="1:13">
      <c r="A6029" t="s">
        <v>2376</v>
      </c>
      <c r="B6029" t="s">
        <v>69</v>
      </c>
      <c r="C6029" s="8">
        <v>46178</v>
      </c>
      <c r="D6029" t="s">
        <v>330</v>
      </c>
      <c r="E6029" t="s">
        <v>328</v>
      </c>
      <c r="F6029" s="12">
        <v>74997</v>
      </c>
      <c r="G6029" s="13">
        <v>7</v>
      </c>
      <c r="H6029" t="s">
        <v>2723</v>
      </c>
      <c r="I6029" s="8">
        <v>46140</v>
      </c>
      <c r="J6029" t="s">
        <v>2688</v>
      </c>
      <c r="K6029" t="s">
        <v>2689</v>
      </c>
      <c r="L6029" s="13">
        <v>8000</v>
      </c>
      <c r="M6029" t="s">
        <v>2661</v>
      </c>
    </row>
    <row r="6030" spans="1:13">
      <c r="A6030" t="s">
        <v>2376</v>
      </c>
      <c r="B6030" t="s">
        <v>69</v>
      </c>
      <c r="C6030" s="8">
        <v>46178</v>
      </c>
      <c r="D6030" t="s">
        <v>330</v>
      </c>
      <c r="E6030" t="s">
        <v>328</v>
      </c>
      <c r="F6030" s="12">
        <v>74997</v>
      </c>
      <c r="G6030" s="13">
        <v>7</v>
      </c>
      <c r="H6030" t="s">
        <v>2822</v>
      </c>
      <c r="I6030" s="8">
        <v>46159</v>
      </c>
      <c r="J6030" t="s">
        <v>2668</v>
      </c>
      <c r="K6030" t="s">
        <v>2669</v>
      </c>
      <c r="L6030" s="13">
        <v>4000</v>
      </c>
      <c r="M6030" t="s">
        <v>2661</v>
      </c>
    </row>
    <row r="6031" spans="1:13">
      <c r="A6031" t="s">
        <v>2376</v>
      </c>
      <c r="B6031" t="s">
        <v>69</v>
      </c>
      <c r="C6031" s="8">
        <v>46178</v>
      </c>
      <c r="D6031" t="s">
        <v>330</v>
      </c>
      <c r="E6031" t="s">
        <v>328</v>
      </c>
      <c r="F6031" s="12">
        <v>74997</v>
      </c>
      <c r="G6031" s="13">
        <v>7</v>
      </c>
      <c r="H6031" t="s">
        <v>3513</v>
      </c>
      <c r="I6031" s="8">
        <v>46161</v>
      </c>
      <c r="J6031" t="s">
        <v>2692</v>
      </c>
      <c r="K6031" t="s">
        <v>2693</v>
      </c>
      <c r="L6031" s="13">
        <v>10000</v>
      </c>
      <c r="M6031" t="s">
        <v>2661</v>
      </c>
    </row>
    <row r="6032" spans="1:13">
      <c r="A6032" t="s">
        <v>2377</v>
      </c>
      <c r="B6032" t="s">
        <v>247</v>
      </c>
      <c r="C6032" s="8">
        <v>46038</v>
      </c>
      <c r="D6032" t="s">
        <v>327</v>
      </c>
      <c r="E6032" t="s">
        <v>328</v>
      </c>
      <c r="F6032" s="12">
        <v>311076</v>
      </c>
      <c r="G6032" s="13">
        <v>31</v>
      </c>
      <c r="H6032" t="s">
        <v>3106</v>
      </c>
      <c r="I6032" s="8">
        <v>46071</v>
      </c>
      <c r="J6032" t="s">
        <v>2668</v>
      </c>
      <c r="K6032" t="s">
        <v>2669</v>
      </c>
      <c r="L6032" s="13">
        <v>4000</v>
      </c>
      <c r="M6032" t="s">
        <v>2661</v>
      </c>
    </row>
    <row r="6033" spans="1:13">
      <c r="A6033" t="s">
        <v>2378</v>
      </c>
      <c r="B6033" t="s">
        <v>235</v>
      </c>
      <c r="C6033" s="8">
        <v>46261</v>
      </c>
      <c r="D6033" t="s">
        <v>321</v>
      </c>
      <c r="E6033" t="s">
        <v>322</v>
      </c>
      <c r="F6033" s="12">
        <v>259014</v>
      </c>
      <c r="G6033" s="13">
        <v>25</v>
      </c>
      <c r="H6033" t="s">
        <v>2864</v>
      </c>
      <c r="I6033" s="8">
        <v>46063</v>
      </c>
      <c r="J6033" t="s">
        <v>2671</v>
      </c>
      <c r="K6033" t="s">
        <v>2672</v>
      </c>
      <c r="L6033" s="13">
        <v>3000</v>
      </c>
      <c r="M6033" t="s">
        <v>2661</v>
      </c>
    </row>
    <row r="6034" spans="1:13">
      <c r="A6034" t="s">
        <v>2378</v>
      </c>
      <c r="B6034" t="s">
        <v>235</v>
      </c>
      <c r="C6034" s="8">
        <v>46261</v>
      </c>
      <c r="D6034" t="s">
        <v>321</v>
      </c>
      <c r="E6034" t="s">
        <v>322</v>
      </c>
      <c r="F6034" s="12">
        <v>259014</v>
      </c>
      <c r="G6034" s="13">
        <v>25</v>
      </c>
      <c r="H6034" t="s">
        <v>3530</v>
      </c>
      <c r="I6034" s="8">
        <v>45940</v>
      </c>
      <c r="J6034" t="s">
        <v>2659</v>
      </c>
      <c r="K6034" t="s">
        <v>2660</v>
      </c>
      <c r="L6034" s="13">
        <v>3500</v>
      </c>
      <c r="M6034" t="s">
        <v>2676</v>
      </c>
    </row>
    <row r="6035" spans="1:13">
      <c r="A6035" t="s">
        <v>2378</v>
      </c>
      <c r="B6035" t="s">
        <v>235</v>
      </c>
      <c r="C6035" s="8">
        <v>46261</v>
      </c>
      <c r="D6035" t="s">
        <v>321</v>
      </c>
      <c r="E6035" t="s">
        <v>322</v>
      </c>
      <c r="F6035" s="12">
        <v>259014</v>
      </c>
      <c r="G6035" s="13">
        <v>25</v>
      </c>
      <c r="H6035" t="s">
        <v>3533</v>
      </c>
      <c r="I6035" s="8">
        <v>46204</v>
      </c>
      <c r="J6035" t="s">
        <v>2685</v>
      </c>
      <c r="K6035" t="s">
        <v>2686</v>
      </c>
      <c r="L6035" s="13">
        <v>5000</v>
      </c>
      <c r="M6035" t="s">
        <v>2661</v>
      </c>
    </row>
    <row r="6036" spans="1:13">
      <c r="A6036" t="s">
        <v>2379</v>
      </c>
      <c r="B6036" t="s">
        <v>90</v>
      </c>
      <c r="C6036" s="8">
        <v>46203</v>
      </c>
      <c r="D6036" t="s">
        <v>332</v>
      </c>
      <c r="E6036" t="s">
        <v>322</v>
      </c>
      <c r="F6036" s="12">
        <v>295915</v>
      </c>
      <c r="G6036" s="13">
        <v>29</v>
      </c>
      <c r="H6036" t="s">
        <v>3041</v>
      </c>
      <c r="I6036" s="8">
        <v>46040</v>
      </c>
      <c r="J6036" t="s">
        <v>2685</v>
      </c>
      <c r="K6036" t="s">
        <v>2686</v>
      </c>
      <c r="L6036" s="13">
        <v>5000</v>
      </c>
      <c r="M6036" t="s">
        <v>2661</v>
      </c>
    </row>
    <row r="6037" spans="1:13">
      <c r="A6037" t="s">
        <v>2380</v>
      </c>
      <c r="B6037" t="s">
        <v>61</v>
      </c>
      <c r="C6037" s="8">
        <v>46031</v>
      </c>
      <c r="D6037" t="s">
        <v>324</v>
      </c>
      <c r="E6037" t="s">
        <v>328</v>
      </c>
      <c r="F6037" s="12">
        <v>518297</v>
      </c>
      <c r="G6037" s="13">
        <v>51</v>
      </c>
      <c r="H6037" t="s">
        <v>2681</v>
      </c>
      <c r="I6037" s="8">
        <v>46094</v>
      </c>
      <c r="J6037" t="s">
        <v>2682</v>
      </c>
      <c r="K6037" t="s">
        <v>2683</v>
      </c>
      <c r="L6037" s="13">
        <v>6000</v>
      </c>
      <c r="M6037" t="s">
        <v>2661</v>
      </c>
    </row>
    <row r="6038" spans="1:13">
      <c r="A6038" t="s">
        <v>2380</v>
      </c>
      <c r="B6038" t="s">
        <v>61</v>
      </c>
      <c r="C6038" s="8">
        <v>46031</v>
      </c>
      <c r="D6038" t="s">
        <v>324</v>
      </c>
      <c r="E6038" t="s">
        <v>328</v>
      </c>
      <c r="F6038" s="12">
        <v>518297</v>
      </c>
      <c r="G6038" s="13">
        <v>51</v>
      </c>
      <c r="H6038" t="s">
        <v>2959</v>
      </c>
      <c r="I6038" s="8">
        <v>46036</v>
      </c>
      <c r="J6038" t="s">
        <v>2692</v>
      </c>
      <c r="K6038" t="s">
        <v>2693</v>
      </c>
      <c r="L6038" s="13">
        <v>10000</v>
      </c>
      <c r="M6038" t="s">
        <v>2661</v>
      </c>
    </row>
    <row r="6039" spans="1:13">
      <c r="A6039" t="s">
        <v>2380</v>
      </c>
      <c r="B6039" t="s">
        <v>61</v>
      </c>
      <c r="C6039" s="8">
        <v>46031</v>
      </c>
      <c r="D6039" t="s">
        <v>324</v>
      </c>
      <c r="E6039" t="s">
        <v>328</v>
      </c>
      <c r="F6039" s="12">
        <v>518297</v>
      </c>
      <c r="G6039" s="13">
        <v>51</v>
      </c>
      <c r="H6039" t="s">
        <v>3466</v>
      </c>
      <c r="I6039" s="8">
        <v>46050</v>
      </c>
      <c r="J6039" t="s">
        <v>2659</v>
      </c>
      <c r="K6039" t="s">
        <v>2660</v>
      </c>
      <c r="L6039" s="13">
        <v>3500</v>
      </c>
      <c r="M6039" t="s">
        <v>2661</v>
      </c>
    </row>
    <row r="6040" spans="1:13">
      <c r="A6040" t="s">
        <v>2380</v>
      </c>
      <c r="B6040" t="s">
        <v>61</v>
      </c>
      <c r="C6040" s="8">
        <v>46031</v>
      </c>
      <c r="D6040" t="s">
        <v>324</v>
      </c>
      <c r="E6040" t="s">
        <v>328</v>
      </c>
      <c r="F6040" s="12">
        <v>518297</v>
      </c>
      <c r="G6040" s="13">
        <v>51</v>
      </c>
      <c r="H6040" t="s">
        <v>3470</v>
      </c>
      <c r="I6040" s="8">
        <v>46196</v>
      </c>
      <c r="J6040" t="s">
        <v>2659</v>
      </c>
      <c r="K6040" t="s">
        <v>2660</v>
      </c>
      <c r="L6040" s="13">
        <v>3500</v>
      </c>
      <c r="M6040" t="s">
        <v>2661</v>
      </c>
    </row>
    <row r="6041" spans="1:13">
      <c r="A6041" t="s">
        <v>2381</v>
      </c>
      <c r="B6041" t="s">
        <v>118</v>
      </c>
      <c r="C6041" s="8">
        <v>46086</v>
      </c>
      <c r="D6041" t="s">
        <v>330</v>
      </c>
      <c r="E6041" t="s">
        <v>325</v>
      </c>
      <c r="F6041" s="12">
        <v>227826</v>
      </c>
      <c r="G6041" s="13">
        <v>22</v>
      </c>
      <c r="H6041" t="s">
        <v>2709</v>
      </c>
      <c r="I6041" s="8">
        <v>46119</v>
      </c>
      <c r="J6041" t="s">
        <v>2685</v>
      </c>
      <c r="K6041" t="s">
        <v>2686</v>
      </c>
      <c r="L6041" s="13">
        <v>5000</v>
      </c>
      <c r="M6041" t="s">
        <v>2661</v>
      </c>
    </row>
    <row r="6042" spans="1:13">
      <c r="A6042" t="s">
        <v>2381</v>
      </c>
      <c r="B6042" t="s">
        <v>118</v>
      </c>
      <c r="C6042" s="8">
        <v>46086</v>
      </c>
      <c r="D6042" t="s">
        <v>330</v>
      </c>
      <c r="E6042" t="s">
        <v>325</v>
      </c>
      <c r="F6042" s="12">
        <v>227826</v>
      </c>
      <c r="G6042" s="13">
        <v>22</v>
      </c>
      <c r="H6042" t="s">
        <v>2853</v>
      </c>
      <c r="I6042" s="8">
        <v>46269</v>
      </c>
      <c r="J6042" t="s">
        <v>2688</v>
      </c>
      <c r="K6042" t="s">
        <v>2689</v>
      </c>
      <c r="L6042" s="13">
        <v>8000</v>
      </c>
      <c r="M6042" t="s">
        <v>2661</v>
      </c>
    </row>
    <row r="6043" spans="1:13">
      <c r="A6043" t="s">
        <v>2381</v>
      </c>
      <c r="B6043" t="s">
        <v>118</v>
      </c>
      <c r="C6043" s="8">
        <v>46086</v>
      </c>
      <c r="D6043" t="s">
        <v>330</v>
      </c>
      <c r="E6043" t="s">
        <v>325</v>
      </c>
      <c r="F6043" s="12">
        <v>227826</v>
      </c>
      <c r="G6043" s="13">
        <v>22</v>
      </c>
      <c r="H6043" t="s">
        <v>2932</v>
      </c>
      <c r="I6043" s="8">
        <v>45982</v>
      </c>
      <c r="J6043" t="s">
        <v>2685</v>
      </c>
      <c r="K6043" t="s">
        <v>2686</v>
      </c>
      <c r="L6043" s="13">
        <v>5000</v>
      </c>
      <c r="M6043" t="s">
        <v>2661</v>
      </c>
    </row>
    <row r="6044" spans="1:13">
      <c r="A6044" t="s">
        <v>2381</v>
      </c>
      <c r="B6044" t="s">
        <v>118</v>
      </c>
      <c r="C6044" s="8">
        <v>46086</v>
      </c>
      <c r="D6044" t="s">
        <v>330</v>
      </c>
      <c r="E6044" t="s">
        <v>325</v>
      </c>
      <c r="F6044" s="12">
        <v>227826</v>
      </c>
      <c r="G6044" s="13">
        <v>22</v>
      </c>
      <c r="H6044" t="s">
        <v>3562</v>
      </c>
      <c r="I6044" s="8">
        <v>46251</v>
      </c>
      <c r="J6044" t="s">
        <v>2692</v>
      </c>
      <c r="K6044" t="s">
        <v>2693</v>
      </c>
      <c r="L6044" s="13">
        <v>10000</v>
      </c>
      <c r="M6044" t="s">
        <v>2661</v>
      </c>
    </row>
    <row r="6045" spans="1:13">
      <c r="A6045" t="s">
        <v>2382</v>
      </c>
      <c r="B6045" t="s">
        <v>125</v>
      </c>
      <c r="C6045" s="8">
        <v>46212</v>
      </c>
      <c r="D6045" t="s">
        <v>321</v>
      </c>
      <c r="E6045" t="s">
        <v>322</v>
      </c>
      <c r="F6045" s="12">
        <v>362635</v>
      </c>
      <c r="G6045" s="13">
        <v>36</v>
      </c>
      <c r="H6045" t="s">
        <v>2832</v>
      </c>
      <c r="I6045" s="8">
        <v>46262</v>
      </c>
      <c r="J6045" t="s">
        <v>2671</v>
      </c>
      <c r="K6045" t="s">
        <v>2672</v>
      </c>
      <c r="L6045" s="13">
        <v>3000</v>
      </c>
      <c r="M6045" t="s">
        <v>2661</v>
      </c>
    </row>
    <row r="6046" spans="1:13">
      <c r="A6046" t="s">
        <v>2382</v>
      </c>
      <c r="B6046" t="s">
        <v>125</v>
      </c>
      <c r="C6046" s="8">
        <v>46212</v>
      </c>
      <c r="D6046" t="s">
        <v>321</v>
      </c>
      <c r="E6046" t="s">
        <v>322</v>
      </c>
      <c r="F6046" s="12">
        <v>362635</v>
      </c>
      <c r="G6046" s="13">
        <v>36</v>
      </c>
      <c r="H6046" t="s">
        <v>3039</v>
      </c>
      <c r="I6046" s="8">
        <v>45962</v>
      </c>
      <c r="J6046" t="s">
        <v>2682</v>
      </c>
      <c r="K6046" t="s">
        <v>2683</v>
      </c>
      <c r="L6046" s="13">
        <v>6000</v>
      </c>
      <c r="M6046" t="s">
        <v>2661</v>
      </c>
    </row>
    <row r="6047" spans="1:13">
      <c r="A6047" t="s">
        <v>2383</v>
      </c>
      <c r="B6047" t="s">
        <v>100</v>
      </c>
      <c r="C6047" s="8">
        <v>46205</v>
      </c>
      <c r="D6047" t="s">
        <v>342</v>
      </c>
      <c r="E6047" t="s">
        <v>322</v>
      </c>
      <c r="F6047" s="12">
        <v>208951</v>
      </c>
      <c r="G6047" s="13">
        <v>20</v>
      </c>
      <c r="H6047" t="s">
        <v>3294</v>
      </c>
      <c r="I6047" s="8">
        <v>46090</v>
      </c>
      <c r="J6047" t="s">
        <v>2671</v>
      </c>
      <c r="K6047" t="s">
        <v>2672</v>
      </c>
      <c r="L6047" s="13">
        <v>3000</v>
      </c>
      <c r="M6047" t="s">
        <v>2676</v>
      </c>
    </row>
    <row r="6048" spans="1:13">
      <c r="A6048" t="s">
        <v>2383</v>
      </c>
      <c r="B6048" t="s">
        <v>100</v>
      </c>
      <c r="C6048" s="8">
        <v>46205</v>
      </c>
      <c r="D6048" t="s">
        <v>342</v>
      </c>
      <c r="E6048" t="s">
        <v>322</v>
      </c>
      <c r="F6048" s="12">
        <v>208951</v>
      </c>
      <c r="G6048" s="13">
        <v>20</v>
      </c>
      <c r="H6048" t="s">
        <v>3327</v>
      </c>
      <c r="I6048" s="8">
        <v>46135</v>
      </c>
      <c r="J6048" t="s">
        <v>2682</v>
      </c>
      <c r="K6048" t="s">
        <v>2683</v>
      </c>
      <c r="L6048" s="13">
        <v>6000</v>
      </c>
      <c r="M6048" t="s">
        <v>2661</v>
      </c>
    </row>
    <row r="6049" spans="1:13">
      <c r="A6049" t="s">
        <v>2383</v>
      </c>
      <c r="B6049" t="s">
        <v>100</v>
      </c>
      <c r="C6049" s="8">
        <v>46205</v>
      </c>
      <c r="D6049" t="s">
        <v>342</v>
      </c>
      <c r="E6049" t="s">
        <v>322</v>
      </c>
      <c r="F6049" s="12">
        <v>208951</v>
      </c>
      <c r="G6049" s="13">
        <v>20</v>
      </c>
      <c r="H6049" t="s">
        <v>3375</v>
      </c>
      <c r="I6049" s="8">
        <v>46122</v>
      </c>
      <c r="J6049" t="s">
        <v>2685</v>
      </c>
      <c r="K6049" t="s">
        <v>2686</v>
      </c>
      <c r="L6049" s="13">
        <v>5000</v>
      </c>
      <c r="M6049" t="s">
        <v>2676</v>
      </c>
    </row>
    <row r="6050" spans="1:13">
      <c r="A6050" t="s">
        <v>2384</v>
      </c>
      <c r="B6050" t="s">
        <v>46</v>
      </c>
      <c r="C6050" s="8">
        <v>46089</v>
      </c>
      <c r="D6050" t="s">
        <v>350</v>
      </c>
      <c r="E6050" t="s">
        <v>328</v>
      </c>
      <c r="F6050" s="12">
        <v>308229</v>
      </c>
      <c r="G6050" s="13">
        <v>30</v>
      </c>
      <c r="H6050" t="s">
        <v>2743</v>
      </c>
      <c r="I6050" s="8">
        <v>46248</v>
      </c>
      <c r="J6050" t="s">
        <v>2685</v>
      </c>
      <c r="K6050" t="s">
        <v>2686</v>
      </c>
      <c r="L6050" s="13">
        <v>5000</v>
      </c>
      <c r="M6050" t="s">
        <v>2661</v>
      </c>
    </row>
    <row r="6051" spans="1:13">
      <c r="A6051" t="s">
        <v>2384</v>
      </c>
      <c r="B6051" t="s">
        <v>46</v>
      </c>
      <c r="C6051" s="8">
        <v>46089</v>
      </c>
      <c r="D6051" t="s">
        <v>350</v>
      </c>
      <c r="E6051" t="s">
        <v>328</v>
      </c>
      <c r="F6051" s="12">
        <v>308229</v>
      </c>
      <c r="G6051" s="13">
        <v>30</v>
      </c>
      <c r="H6051" t="s">
        <v>3021</v>
      </c>
      <c r="I6051" s="8">
        <v>45955</v>
      </c>
      <c r="J6051" t="s">
        <v>2665</v>
      </c>
      <c r="K6051" t="s">
        <v>2666</v>
      </c>
      <c r="L6051" s="13">
        <v>2500</v>
      </c>
      <c r="M6051" t="s">
        <v>2661</v>
      </c>
    </row>
    <row r="6052" spans="1:13">
      <c r="A6052" t="s">
        <v>2384</v>
      </c>
      <c r="B6052" t="s">
        <v>46</v>
      </c>
      <c r="C6052" s="8">
        <v>46089</v>
      </c>
      <c r="D6052" t="s">
        <v>350</v>
      </c>
      <c r="E6052" t="s">
        <v>328</v>
      </c>
      <c r="F6052" s="12">
        <v>308229</v>
      </c>
      <c r="G6052" s="13">
        <v>30</v>
      </c>
      <c r="H6052" t="s">
        <v>3069</v>
      </c>
      <c r="I6052" s="8">
        <v>45945</v>
      </c>
      <c r="J6052" t="s">
        <v>2668</v>
      </c>
      <c r="K6052" t="s">
        <v>2669</v>
      </c>
      <c r="L6052" s="13">
        <v>4000</v>
      </c>
      <c r="M6052" t="s">
        <v>2661</v>
      </c>
    </row>
    <row r="6053" spans="1:13">
      <c r="A6053" t="s">
        <v>2384</v>
      </c>
      <c r="B6053" t="s">
        <v>46</v>
      </c>
      <c r="C6053" s="8">
        <v>46089</v>
      </c>
      <c r="D6053" t="s">
        <v>350</v>
      </c>
      <c r="E6053" t="s">
        <v>328</v>
      </c>
      <c r="F6053" s="12">
        <v>308229</v>
      </c>
      <c r="G6053" s="13">
        <v>30</v>
      </c>
      <c r="H6053" t="s">
        <v>3408</v>
      </c>
      <c r="I6053" s="8">
        <v>46072</v>
      </c>
      <c r="J6053" t="s">
        <v>2668</v>
      </c>
      <c r="K6053" t="s">
        <v>2669</v>
      </c>
      <c r="L6053" s="13">
        <v>4000</v>
      </c>
      <c r="M6053" t="s">
        <v>2661</v>
      </c>
    </row>
    <row r="6054" spans="1:13">
      <c r="A6054" t="s">
        <v>2384</v>
      </c>
      <c r="B6054" t="s">
        <v>46</v>
      </c>
      <c r="C6054" s="8">
        <v>46089</v>
      </c>
      <c r="D6054" t="s">
        <v>350</v>
      </c>
      <c r="E6054" t="s">
        <v>328</v>
      </c>
      <c r="F6054" s="12">
        <v>308229</v>
      </c>
      <c r="G6054" s="13">
        <v>30</v>
      </c>
      <c r="H6054" t="s">
        <v>3494</v>
      </c>
      <c r="I6054" s="8">
        <v>46108</v>
      </c>
      <c r="J6054" t="s">
        <v>2688</v>
      </c>
      <c r="K6054" t="s">
        <v>2689</v>
      </c>
      <c r="L6054" s="13">
        <v>8000</v>
      </c>
      <c r="M6054" t="s">
        <v>2661</v>
      </c>
    </row>
    <row r="6055" spans="1:13">
      <c r="A6055" t="s">
        <v>2385</v>
      </c>
      <c r="B6055" t="s">
        <v>115</v>
      </c>
      <c r="C6055" s="8">
        <v>45936</v>
      </c>
      <c r="D6055" t="s">
        <v>350</v>
      </c>
      <c r="E6055" t="s">
        <v>325</v>
      </c>
      <c r="F6055" s="12">
        <v>235227</v>
      </c>
      <c r="G6055" s="13">
        <v>23</v>
      </c>
      <c r="H6055" t="s">
        <v>2708</v>
      </c>
      <c r="I6055" s="8">
        <v>46007</v>
      </c>
      <c r="J6055" t="s">
        <v>2663</v>
      </c>
      <c r="K6055" t="s">
        <v>3630</v>
      </c>
      <c r="L6055" s="13">
        <v>1500</v>
      </c>
      <c r="M6055" t="s">
        <v>2661</v>
      </c>
    </row>
    <row r="6056" spans="1:13">
      <c r="A6056" t="s">
        <v>2385</v>
      </c>
      <c r="B6056" t="s">
        <v>115</v>
      </c>
      <c r="C6056" s="8">
        <v>45936</v>
      </c>
      <c r="D6056" t="s">
        <v>350</v>
      </c>
      <c r="E6056" t="s">
        <v>325</v>
      </c>
      <c r="F6056" s="12">
        <v>235227</v>
      </c>
      <c r="G6056" s="13">
        <v>23</v>
      </c>
      <c r="H6056" t="s">
        <v>3206</v>
      </c>
      <c r="I6056" s="8">
        <v>46044</v>
      </c>
      <c r="J6056" t="s">
        <v>2659</v>
      </c>
      <c r="K6056" t="s">
        <v>2660</v>
      </c>
      <c r="L6056" s="13">
        <v>3500</v>
      </c>
      <c r="M6056" t="s">
        <v>2661</v>
      </c>
    </row>
    <row r="6057" spans="1:13">
      <c r="A6057" t="s">
        <v>2385</v>
      </c>
      <c r="B6057" t="s">
        <v>115</v>
      </c>
      <c r="C6057" s="8">
        <v>45936</v>
      </c>
      <c r="D6057" t="s">
        <v>350</v>
      </c>
      <c r="E6057" t="s">
        <v>325</v>
      </c>
      <c r="F6057" s="12">
        <v>235227</v>
      </c>
      <c r="G6057" s="13">
        <v>23</v>
      </c>
      <c r="H6057" t="s">
        <v>3437</v>
      </c>
      <c r="I6057" s="8">
        <v>45996</v>
      </c>
      <c r="J6057" t="s">
        <v>2668</v>
      </c>
      <c r="K6057" t="s">
        <v>2669</v>
      </c>
      <c r="L6057" s="13">
        <v>4000</v>
      </c>
      <c r="M6057" t="s">
        <v>2661</v>
      </c>
    </row>
    <row r="6058" spans="1:13">
      <c r="A6058" t="s">
        <v>2386</v>
      </c>
      <c r="B6058" t="s">
        <v>62</v>
      </c>
      <c r="C6058" s="8">
        <v>46252</v>
      </c>
      <c r="D6058" t="s">
        <v>324</v>
      </c>
      <c r="E6058" t="s">
        <v>337</v>
      </c>
      <c r="F6058" s="12">
        <v>243343</v>
      </c>
      <c r="G6058" s="13">
        <v>24</v>
      </c>
      <c r="H6058" t="s">
        <v>2679</v>
      </c>
      <c r="I6058" s="8">
        <v>46195</v>
      </c>
      <c r="J6058" t="s">
        <v>2674</v>
      </c>
      <c r="K6058" t="s">
        <v>2675</v>
      </c>
      <c r="L6058" s="13">
        <v>20000</v>
      </c>
      <c r="M6058" t="s">
        <v>2661</v>
      </c>
    </row>
    <row r="6059" spans="1:13">
      <c r="A6059" t="s">
        <v>2386</v>
      </c>
      <c r="B6059" t="s">
        <v>62</v>
      </c>
      <c r="C6059" s="8">
        <v>46252</v>
      </c>
      <c r="D6059" t="s">
        <v>324</v>
      </c>
      <c r="E6059" t="s">
        <v>337</v>
      </c>
      <c r="F6059" s="12">
        <v>243343</v>
      </c>
      <c r="G6059" s="13">
        <v>24</v>
      </c>
      <c r="H6059" t="s">
        <v>2793</v>
      </c>
      <c r="I6059" s="8">
        <v>46233</v>
      </c>
      <c r="J6059" t="s">
        <v>2663</v>
      </c>
      <c r="K6059" t="s">
        <v>3630</v>
      </c>
      <c r="L6059" s="13">
        <v>1500</v>
      </c>
      <c r="M6059" t="s">
        <v>2661</v>
      </c>
    </row>
    <row r="6060" spans="1:13">
      <c r="A6060" t="s">
        <v>2386</v>
      </c>
      <c r="B6060" t="s">
        <v>62</v>
      </c>
      <c r="C6060" s="8">
        <v>46252</v>
      </c>
      <c r="D6060" t="s">
        <v>324</v>
      </c>
      <c r="E6060" t="s">
        <v>337</v>
      </c>
      <c r="F6060" s="12">
        <v>243343</v>
      </c>
      <c r="G6060" s="13">
        <v>24</v>
      </c>
      <c r="H6060" t="s">
        <v>2794</v>
      </c>
      <c r="I6060" s="8">
        <v>46096</v>
      </c>
      <c r="J6060" t="s">
        <v>2659</v>
      </c>
      <c r="K6060" t="s">
        <v>2660</v>
      </c>
      <c r="L6060" s="13">
        <v>3500</v>
      </c>
      <c r="M6060" t="s">
        <v>2661</v>
      </c>
    </row>
    <row r="6061" spans="1:13">
      <c r="A6061" t="s">
        <v>2386</v>
      </c>
      <c r="B6061" t="s">
        <v>62</v>
      </c>
      <c r="C6061" s="8">
        <v>46252</v>
      </c>
      <c r="D6061" t="s">
        <v>324</v>
      </c>
      <c r="E6061" t="s">
        <v>337</v>
      </c>
      <c r="F6061" s="12">
        <v>243343</v>
      </c>
      <c r="G6061" s="13">
        <v>24</v>
      </c>
      <c r="H6061" t="s">
        <v>2804</v>
      </c>
      <c r="I6061" s="8">
        <v>46260</v>
      </c>
      <c r="J6061" t="s">
        <v>2659</v>
      </c>
      <c r="K6061" t="s">
        <v>2660</v>
      </c>
      <c r="L6061" s="13">
        <v>3500</v>
      </c>
      <c r="M6061" t="s">
        <v>2661</v>
      </c>
    </row>
    <row r="6062" spans="1:13">
      <c r="A6062" t="s">
        <v>2386</v>
      </c>
      <c r="B6062" t="s">
        <v>62</v>
      </c>
      <c r="C6062" s="8">
        <v>46252</v>
      </c>
      <c r="D6062" t="s">
        <v>324</v>
      </c>
      <c r="E6062" t="s">
        <v>337</v>
      </c>
      <c r="F6062" s="12">
        <v>243343</v>
      </c>
      <c r="G6062" s="13">
        <v>24</v>
      </c>
      <c r="H6062" t="s">
        <v>2885</v>
      </c>
      <c r="I6062" s="8">
        <v>46085</v>
      </c>
      <c r="J6062" t="s">
        <v>2692</v>
      </c>
      <c r="K6062" t="s">
        <v>2693</v>
      </c>
      <c r="L6062" s="13">
        <v>10000</v>
      </c>
      <c r="M6062" t="s">
        <v>2661</v>
      </c>
    </row>
    <row r="6063" spans="1:13">
      <c r="A6063" t="s">
        <v>2386</v>
      </c>
      <c r="B6063" t="s">
        <v>62</v>
      </c>
      <c r="C6063" s="8">
        <v>46252</v>
      </c>
      <c r="D6063" t="s">
        <v>324</v>
      </c>
      <c r="E6063" t="s">
        <v>337</v>
      </c>
      <c r="F6063" s="12">
        <v>243343</v>
      </c>
      <c r="G6063" s="13">
        <v>24</v>
      </c>
      <c r="H6063" t="s">
        <v>3000</v>
      </c>
      <c r="I6063" s="8">
        <v>46247</v>
      </c>
      <c r="J6063" t="s">
        <v>2692</v>
      </c>
      <c r="K6063" t="s">
        <v>2693</v>
      </c>
      <c r="L6063" s="13">
        <v>10000</v>
      </c>
      <c r="M6063" t="s">
        <v>2661</v>
      </c>
    </row>
    <row r="6064" spans="1:13">
      <c r="A6064" t="s">
        <v>2386</v>
      </c>
      <c r="B6064" t="s">
        <v>62</v>
      </c>
      <c r="C6064" s="8">
        <v>46252</v>
      </c>
      <c r="D6064" t="s">
        <v>324</v>
      </c>
      <c r="E6064" t="s">
        <v>337</v>
      </c>
      <c r="F6064" s="12">
        <v>243343</v>
      </c>
      <c r="G6064" s="13">
        <v>24</v>
      </c>
      <c r="H6064" t="s">
        <v>3197</v>
      </c>
      <c r="I6064" s="8">
        <v>46129</v>
      </c>
      <c r="J6064" t="s">
        <v>2671</v>
      </c>
      <c r="K6064" t="s">
        <v>2672</v>
      </c>
      <c r="L6064" s="13">
        <v>3000</v>
      </c>
      <c r="M6064" t="s">
        <v>2661</v>
      </c>
    </row>
    <row r="6065" spans="1:13">
      <c r="A6065" t="s">
        <v>2387</v>
      </c>
      <c r="B6065" t="s">
        <v>118</v>
      </c>
      <c r="C6065" s="8">
        <v>46202</v>
      </c>
      <c r="D6065" t="s">
        <v>330</v>
      </c>
      <c r="E6065" t="s">
        <v>325</v>
      </c>
      <c r="F6065" s="12">
        <v>675473</v>
      </c>
      <c r="G6065" s="13">
        <v>67</v>
      </c>
      <c r="H6065" t="s">
        <v>2709</v>
      </c>
      <c r="I6065" s="8">
        <v>46119</v>
      </c>
      <c r="J6065" t="s">
        <v>2685</v>
      </c>
      <c r="K6065" t="s">
        <v>2686</v>
      </c>
      <c r="L6065" s="13">
        <v>5000</v>
      </c>
      <c r="M6065" t="s">
        <v>2661</v>
      </c>
    </row>
    <row r="6066" spans="1:13">
      <c r="A6066" t="s">
        <v>2387</v>
      </c>
      <c r="B6066" t="s">
        <v>118</v>
      </c>
      <c r="C6066" s="8">
        <v>46202</v>
      </c>
      <c r="D6066" t="s">
        <v>330</v>
      </c>
      <c r="E6066" t="s">
        <v>325</v>
      </c>
      <c r="F6066" s="12">
        <v>675473</v>
      </c>
      <c r="G6066" s="13">
        <v>67</v>
      </c>
      <c r="H6066" t="s">
        <v>2853</v>
      </c>
      <c r="I6066" s="8">
        <v>46269</v>
      </c>
      <c r="J6066" t="s">
        <v>2688</v>
      </c>
      <c r="K6066" t="s">
        <v>2689</v>
      </c>
      <c r="L6066" s="13">
        <v>8000</v>
      </c>
      <c r="M6066" t="s">
        <v>2661</v>
      </c>
    </row>
    <row r="6067" spans="1:13">
      <c r="A6067" t="s">
        <v>2387</v>
      </c>
      <c r="B6067" t="s">
        <v>118</v>
      </c>
      <c r="C6067" s="8">
        <v>46202</v>
      </c>
      <c r="D6067" t="s">
        <v>330</v>
      </c>
      <c r="E6067" t="s">
        <v>325</v>
      </c>
      <c r="F6067" s="12">
        <v>675473</v>
      </c>
      <c r="G6067" s="13">
        <v>67</v>
      </c>
      <c r="H6067" t="s">
        <v>2932</v>
      </c>
      <c r="I6067" s="8">
        <v>45982</v>
      </c>
      <c r="J6067" t="s">
        <v>2685</v>
      </c>
      <c r="K6067" t="s">
        <v>2686</v>
      </c>
      <c r="L6067" s="13">
        <v>5000</v>
      </c>
      <c r="M6067" t="s">
        <v>2661</v>
      </c>
    </row>
    <row r="6068" spans="1:13">
      <c r="A6068" t="s">
        <v>2387</v>
      </c>
      <c r="B6068" t="s">
        <v>118</v>
      </c>
      <c r="C6068" s="8">
        <v>46202</v>
      </c>
      <c r="D6068" t="s">
        <v>330</v>
      </c>
      <c r="E6068" t="s">
        <v>325</v>
      </c>
      <c r="F6068" s="12">
        <v>675473</v>
      </c>
      <c r="G6068" s="13">
        <v>67</v>
      </c>
      <c r="H6068" t="s">
        <v>3562</v>
      </c>
      <c r="I6068" s="8">
        <v>46251</v>
      </c>
      <c r="J6068" t="s">
        <v>2692</v>
      </c>
      <c r="K6068" t="s">
        <v>2693</v>
      </c>
      <c r="L6068" s="13">
        <v>10000</v>
      </c>
      <c r="M6068" t="s">
        <v>2661</v>
      </c>
    </row>
    <row r="6069" spans="1:13">
      <c r="A6069" t="s">
        <v>2388</v>
      </c>
      <c r="B6069" t="s">
        <v>166</v>
      </c>
      <c r="C6069" s="8">
        <v>46100</v>
      </c>
      <c r="D6069" t="s">
        <v>327</v>
      </c>
      <c r="E6069" t="s">
        <v>334</v>
      </c>
      <c r="F6069" s="12">
        <v>43707</v>
      </c>
      <c r="G6069" s="13">
        <v>4</v>
      </c>
      <c r="H6069" t="s">
        <v>2711</v>
      </c>
      <c r="I6069" s="8">
        <v>45938</v>
      </c>
      <c r="J6069" t="s">
        <v>2674</v>
      </c>
      <c r="K6069" t="s">
        <v>2675</v>
      </c>
      <c r="L6069" s="13">
        <v>20000</v>
      </c>
      <c r="M6069" t="s">
        <v>2676</v>
      </c>
    </row>
    <row r="6070" spans="1:13">
      <c r="A6070" t="s">
        <v>2388</v>
      </c>
      <c r="B6070" t="s">
        <v>166</v>
      </c>
      <c r="C6070" s="8">
        <v>46100</v>
      </c>
      <c r="D6070" t="s">
        <v>327</v>
      </c>
      <c r="E6070" t="s">
        <v>334</v>
      </c>
      <c r="F6070" s="12">
        <v>43707</v>
      </c>
      <c r="G6070" s="13">
        <v>4</v>
      </c>
      <c r="H6070" t="s">
        <v>2854</v>
      </c>
      <c r="I6070" s="8">
        <v>46022</v>
      </c>
      <c r="J6070" t="s">
        <v>2685</v>
      </c>
      <c r="K6070" t="s">
        <v>2686</v>
      </c>
      <c r="L6070" s="13">
        <v>5000</v>
      </c>
      <c r="M6070" t="s">
        <v>2661</v>
      </c>
    </row>
    <row r="6071" spans="1:13">
      <c r="A6071" t="s">
        <v>2388</v>
      </c>
      <c r="B6071" t="s">
        <v>166</v>
      </c>
      <c r="C6071" s="8">
        <v>46100</v>
      </c>
      <c r="D6071" t="s">
        <v>327</v>
      </c>
      <c r="E6071" t="s">
        <v>334</v>
      </c>
      <c r="F6071" s="12">
        <v>43707</v>
      </c>
      <c r="G6071" s="13">
        <v>4</v>
      </c>
      <c r="H6071" t="s">
        <v>3215</v>
      </c>
      <c r="I6071" s="8">
        <v>46213</v>
      </c>
      <c r="J6071" t="s">
        <v>2682</v>
      </c>
      <c r="K6071" t="s">
        <v>2683</v>
      </c>
      <c r="L6071" s="13">
        <v>6000</v>
      </c>
      <c r="M6071" t="s">
        <v>2661</v>
      </c>
    </row>
    <row r="6072" spans="1:13">
      <c r="A6072" t="s">
        <v>2388</v>
      </c>
      <c r="B6072" t="s">
        <v>166</v>
      </c>
      <c r="C6072" s="8">
        <v>46100</v>
      </c>
      <c r="D6072" t="s">
        <v>327</v>
      </c>
      <c r="E6072" t="s">
        <v>334</v>
      </c>
      <c r="F6072" s="12">
        <v>43707</v>
      </c>
      <c r="G6072" s="13">
        <v>4</v>
      </c>
      <c r="H6072" t="s">
        <v>3254</v>
      </c>
      <c r="I6072" s="8">
        <v>45958</v>
      </c>
      <c r="J6072" t="s">
        <v>2663</v>
      </c>
      <c r="K6072" t="s">
        <v>3630</v>
      </c>
      <c r="L6072" s="13">
        <v>1500</v>
      </c>
      <c r="M6072" t="s">
        <v>2661</v>
      </c>
    </row>
    <row r="6073" spans="1:13">
      <c r="A6073" t="s">
        <v>2389</v>
      </c>
      <c r="B6073" t="s">
        <v>164</v>
      </c>
      <c r="C6073" s="8">
        <v>46019</v>
      </c>
      <c r="D6073" t="s">
        <v>342</v>
      </c>
      <c r="E6073" t="s">
        <v>325</v>
      </c>
      <c r="F6073" s="12">
        <v>528333</v>
      </c>
      <c r="G6073" s="13">
        <v>52</v>
      </c>
      <c r="H6073" t="s">
        <v>2971</v>
      </c>
      <c r="I6073" s="8">
        <v>46018</v>
      </c>
      <c r="J6073" t="s">
        <v>2665</v>
      </c>
      <c r="K6073" t="s">
        <v>2666</v>
      </c>
      <c r="L6073" s="13">
        <v>2500</v>
      </c>
      <c r="M6073" t="s">
        <v>2661</v>
      </c>
    </row>
    <row r="6074" spans="1:13">
      <c r="A6074" t="s">
        <v>2389</v>
      </c>
      <c r="B6074" t="s">
        <v>164</v>
      </c>
      <c r="C6074" s="8">
        <v>46019</v>
      </c>
      <c r="D6074" t="s">
        <v>342</v>
      </c>
      <c r="E6074" t="s">
        <v>325</v>
      </c>
      <c r="F6074" s="12">
        <v>528333</v>
      </c>
      <c r="G6074" s="13">
        <v>52</v>
      </c>
      <c r="H6074" t="s">
        <v>3109</v>
      </c>
      <c r="I6074" s="8">
        <v>46204</v>
      </c>
      <c r="J6074" t="s">
        <v>2668</v>
      </c>
      <c r="K6074" t="s">
        <v>2669</v>
      </c>
      <c r="L6074" s="13">
        <v>4000</v>
      </c>
      <c r="M6074" t="s">
        <v>2676</v>
      </c>
    </row>
    <row r="6075" spans="1:13">
      <c r="A6075" t="s">
        <v>2389</v>
      </c>
      <c r="B6075" t="s">
        <v>164</v>
      </c>
      <c r="C6075" s="8">
        <v>46019</v>
      </c>
      <c r="D6075" t="s">
        <v>342</v>
      </c>
      <c r="E6075" t="s">
        <v>325</v>
      </c>
      <c r="F6075" s="12">
        <v>528333</v>
      </c>
      <c r="G6075" s="13">
        <v>52</v>
      </c>
      <c r="H6075" t="s">
        <v>3298</v>
      </c>
      <c r="I6075" s="8">
        <v>46208</v>
      </c>
      <c r="J6075" t="s">
        <v>2692</v>
      </c>
      <c r="K6075" t="s">
        <v>2693</v>
      </c>
      <c r="L6075" s="13">
        <v>10000</v>
      </c>
      <c r="M6075" t="s">
        <v>2661</v>
      </c>
    </row>
    <row r="6076" spans="1:13">
      <c r="A6076" t="s">
        <v>2389</v>
      </c>
      <c r="B6076" t="s">
        <v>164</v>
      </c>
      <c r="C6076" s="8">
        <v>46019</v>
      </c>
      <c r="D6076" t="s">
        <v>342</v>
      </c>
      <c r="E6076" t="s">
        <v>325</v>
      </c>
      <c r="F6076" s="12">
        <v>528333</v>
      </c>
      <c r="G6076" s="13">
        <v>52</v>
      </c>
      <c r="H6076" t="s">
        <v>3523</v>
      </c>
      <c r="I6076" s="8">
        <v>46098</v>
      </c>
      <c r="J6076" t="s">
        <v>2659</v>
      </c>
      <c r="K6076" t="s">
        <v>2660</v>
      </c>
      <c r="L6076" s="13">
        <v>3500</v>
      </c>
      <c r="M6076" t="s">
        <v>2661</v>
      </c>
    </row>
    <row r="6077" spans="1:13">
      <c r="A6077" t="s">
        <v>2390</v>
      </c>
      <c r="B6077" t="s">
        <v>8</v>
      </c>
      <c r="C6077" s="8">
        <v>46081</v>
      </c>
      <c r="D6077" t="s">
        <v>327</v>
      </c>
      <c r="E6077" t="s">
        <v>334</v>
      </c>
      <c r="F6077" s="12">
        <v>314354</v>
      </c>
      <c r="G6077" s="13">
        <v>31</v>
      </c>
      <c r="H6077" t="s">
        <v>3033</v>
      </c>
      <c r="I6077" s="8">
        <v>46098</v>
      </c>
      <c r="J6077" t="s">
        <v>2659</v>
      </c>
      <c r="K6077" t="s">
        <v>2660</v>
      </c>
      <c r="L6077" s="13">
        <v>3500</v>
      </c>
      <c r="M6077" t="s">
        <v>2676</v>
      </c>
    </row>
    <row r="6078" spans="1:13">
      <c r="A6078" t="s">
        <v>2390</v>
      </c>
      <c r="B6078" t="s">
        <v>8</v>
      </c>
      <c r="C6078" s="8">
        <v>46081</v>
      </c>
      <c r="D6078" t="s">
        <v>327</v>
      </c>
      <c r="E6078" t="s">
        <v>334</v>
      </c>
      <c r="F6078" s="12">
        <v>314354</v>
      </c>
      <c r="G6078" s="13">
        <v>31</v>
      </c>
      <c r="H6078" t="s">
        <v>3159</v>
      </c>
      <c r="I6078" s="8">
        <v>46079</v>
      </c>
      <c r="J6078" t="s">
        <v>2659</v>
      </c>
      <c r="K6078" t="s">
        <v>2660</v>
      </c>
      <c r="L6078" s="13">
        <v>3500</v>
      </c>
      <c r="M6078" t="s">
        <v>2661</v>
      </c>
    </row>
    <row r="6079" spans="1:13">
      <c r="A6079" t="s">
        <v>2390</v>
      </c>
      <c r="B6079" t="s">
        <v>8</v>
      </c>
      <c r="C6079" s="8">
        <v>46081</v>
      </c>
      <c r="D6079" t="s">
        <v>327</v>
      </c>
      <c r="E6079" t="s">
        <v>334</v>
      </c>
      <c r="F6079" s="12">
        <v>314354</v>
      </c>
      <c r="G6079" s="13">
        <v>31</v>
      </c>
      <c r="H6079" t="s">
        <v>3184</v>
      </c>
      <c r="I6079" s="8">
        <v>46261</v>
      </c>
      <c r="J6079" t="s">
        <v>2685</v>
      </c>
      <c r="K6079" t="s">
        <v>2686</v>
      </c>
      <c r="L6079" s="13">
        <v>5000</v>
      </c>
      <c r="M6079" t="s">
        <v>2661</v>
      </c>
    </row>
    <row r="6080" spans="1:13">
      <c r="A6080" t="s">
        <v>2390</v>
      </c>
      <c r="B6080" t="s">
        <v>8</v>
      </c>
      <c r="C6080" s="8">
        <v>46081</v>
      </c>
      <c r="D6080" t="s">
        <v>327</v>
      </c>
      <c r="E6080" t="s">
        <v>334</v>
      </c>
      <c r="F6080" s="12">
        <v>314354</v>
      </c>
      <c r="G6080" s="13">
        <v>31</v>
      </c>
      <c r="H6080" t="s">
        <v>3303</v>
      </c>
      <c r="I6080" s="8">
        <v>46196</v>
      </c>
      <c r="J6080" t="s">
        <v>2682</v>
      </c>
      <c r="K6080" t="s">
        <v>2683</v>
      </c>
      <c r="L6080" s="13">
        <v>6000</v>
      </c>
      <c r="M6080" t="s">
        <v>2676</v>
      </c>
    </row>
    <row r="6081" spans="1:13">
      <c r="A6081" t="s">
        <v>2390</v>
      </c>
      <c r="B6081" t="s">
        <v>8</v>
      </c>
      <c r="C6081" s="8">
        <v>46081</v>
      </c>
      <c r="D6081" t="s">
        <v>327</v>
      </c>
      <c r="E6081" t="s">
        <v>334</v>
      </c>
      <c r="F6081" s="12">
        <v>314354</v>
      </c>
      <c r="G6081" s="13">
        <v>31</v>
      </c>
      <c r="H6081" t="s">
        <v>3353</v>
      </c>
      <c r="I6081" s="8">
        <v>45991</v>
      </c>
      <c r="J6081" t="s">
        <v>2659</v>
      </c>
      <c r="K6081" t="s">
        <v>2660</v>
      </c>
      <c r="L6081" s="13">
        <v>3500</v>
      </c>
      <c r="M6081" t="s">
        <v>2661</v>
      </c>
    </row>
    <row r="6082" spans="1:13">
      <c r="A6082" t="s">
        <v>2391</v>
      </c>
      <c r="B6082" t="s">
        <v>23</v>
      </c>
      <c r="C6082" s="8">
        <v>45963</v>
      </c>
      <c r="D6082" t="s">
        <v>321</v>
      </c>
      <c r="E6082" t="s">
        <v>325</v>
      </c>
      <c r="F6082" s="12">
        <v>273075</v>
      </c>
      <c r="G6082" s="13">
        <v>27</v>
      </c>
      <c r="H6082" t="s">
        <v>2807</v>
      </c>
      <c r="I6082" s="8">
        <v>46239</v>
      </c>
      <c r="J6082" t="s">
        <v>2663</v>
      </c>
      <c r="K6082" t="s">
        <v>3630</v>
      </c>
      <c r="L6082" s="13">
        <v>1500</v>
      </c>
      <c r="M6082" t="s">
        <v>2661</v>
      </c>
    </row>
    <row r="6083" spans="1:13">
      <c r="A6083" t="s">
        <v>2391</v>
      </c>
      <c r="B6083" t="s">
        <v>23</v>
      </c>
      <c r="C6083" s="8">
        <v>45963</v>
      </c>
      <c r="D6083" t="s">
        <v>321</v>
      </c>
      <c r="E6083" t="s">
        <v>325</v>
      </c>
      <c r="F6083" s="12">
        <v>273075</v>
      </c>
      <c r="G6083" s="13">
        <v>27</v>
      </c>
      <c r="H6083" t="s">
        <v>2846</v>
      </c>
      <c r="I6083" s="8">
        <v>46148</v>
      </c>
      <c r="J6083" t="s">
        <v>2685</v>
      </c>
      <c r="K6083" t="s">
        <v>2686</v>
      </c>
      <c r="L6083" s="13">
        <v>5000</v>
      </c>
      <c r="M6083" t="s">
        <v>2661</v>
      </c>
    </row>
    <row r="6084" spans="1:13">
      <c r="A6084" t="s">
        <v>2391</v>
      </c>
      <c r="B6084" t="s">
        <v>23</v>
      </c>
      <c r="C6084" s="8">
        <v>45963</v>
      </c>
      <c r="D6084" t="s">
        <v>321</v>
      </c>
      <c r="E6084" t="s">
        <v>325</v>
      </c>
      <c r="F6084" s="12">
        <v>273075</v>
      </c>
      <c r="G6084" s="13">
        <v>27</v>
      </c>
      <c r="H6084" t="s">
        <v>2872</v>
      </c>
      <c r="I6084" s="8">
        <v>46180</v>
      </c>
      <c r="J6084" t="s">
        <v>2659</v>
      </c>
      <c r="K6084" t="s">
        <v>2660</v>
      </c>
      <c r="L6084" s="13">
        <v>3500</v>
      </c>
      <c r="M6084" t="s">
        <v>2661</v>
      </c>
    </row>
    <row r="6085" spans="1:13">
      <c r="A6085" t="s">
        <v>2391</v>
      </c>
      <c r="B6085" t="s">
        <v>23</v>
      </c>
      <c r="C6085" s="8">
        <v>45963</v>
      </c>
      <c r="D6085" t="s">
        <v>321</v>
      </c>
      <c r="E6085" t="s">
        <v>325</v>
      </c>
      <c r="F6085" s="12">
        <v>273075</v>
      </c>
      <c r="G6085" s="13">
        <v>27</v>
      </c>
      <c r="H6085" t="s">
        <v>2887</v>
      </c>
      <c r="I6085" s="8">
        <v>46147</v>
      </c>
      <c r="J6085" t="s">
        <v>2682</v>
      </c>
      <c r="K6085" t="s">
        <v>2683</v>
      </c>
      <c r="L6085" s="13">
        <v>6000</v>
      </c>
      <c r="M6085" t="s">
        <v>2661</v>
      </c>
    </row>
    <row r="6086" spans="1:13">
      <c r="A6086" t="s">
        <v>2391</v>
      </c>
      <c r="B6086" t="s">
        <v>23</v>
      </c>
      <c r="C6086" s="8">
        <v>45963</v>
      </c>
      <c r="D6086" t="s">
        <v>321</v>
      </c>
      <c r="E6086" t="s">
        <v>325</v>
      </c>
      <c r="F6086" s="12">
        <v>273075</v>
      </c>
      <c r="G6086" s="13">
        <v>27</v>
      </c>
      <c r="H6086" t="s">
        <v>3153</v>
      </c>
      <c r="I6086" s="8">
        <v>46122</v>
      </c>
      <c r="J6086" t="s">
        <v>2665</v>
      </c>
      <c r="K6086" t="s">
        <v>2666</v>
      </c>
      <c r="L6086" s="13">
        <v>2500</v>
      </c>
      <c r="M6086" t="s">
        <v>2676</v>
      </c>
    </row>
    <row r="6087" spans="1:13">
      <c r="A6087" t="s">
        <v>2391</v>
      </c>
      <c r="B6087" t="s">
        <v>23</v>
      </c>
      <c r="C6087" s="8">
        <v>45963</v>
      </c>
      <c r="D6087" t="s">
        <v>321</v>
      </c>
      <c r="E6087" t="s">
        <v>325</v>
      </c>
      <c r="F6087" s="12">
        <v>273075</v>
      </c>
      <c r="G6087" s="13">
        <v>27</v>
      </c>
      <c r="H6087" t="s">
        <v>3426</v>
      </c>
      <c r="I6087" s="8">
        <v>46038</v>
      </c>
      <c r="J6087" t="s">
        <v>2688</v>
      </c>
      <c r="K6087" t="s">
        <v>2689</v>
      </c>
      <c r="L6087" s="13">
        <v>8000</v>
      </c>
      <c r="M6087" t="s">
        <v>2661</v>
      </c>
    </row>
    <row r="6088" spans="1:13">
      <c r="A6088" t="s">
        <v>2392</v>
      </c>
      <c r="B6088" t="s">
        <v>65</v>
      </c>
      <c r="C6088" s="8">
        <v>45954</v>
      </c>
      <c r="D6088" t="s">
        <v>332</v>
      </c>
      <c r="E6088" t="s">
        <v>322</v>
      </c>
      <c r="F6088" s="12">
        <v>162564</v>
      </c>
      <c r="G6088" s="13">
        <v>16</v>
      </c>
      <c r="H6088" t="s">
        <v>2801</v>
      </c>
      <c r="I6088" s="8">
        <v>46162</v>
      </c>
      <c r="J6088" t="s">
        <v>2688</v>
      </c>
      <c r="K6088" t="s">
        <v>2689</v>
      </c>
      <c r="L6088" s="13">
        <v>8000</v>
      </c>
      <c r="M6088" t="s">
        <v>2661</v>
      </c>
    </row>
    <row r="6089" spans="1:13">
      <c r="A6089" t="s">
        <v>2392</v>
      </c>
      <c r="B6089" t="s">
        <v>65</v>
      </c>
      <c r="C6089" s="8">
        <v>45954</v>
      </c>
      <c r="D6089" t="s">
        <v>332</v>
      </c>
      <c r="E6089" t="s">
        <v>322</v>
      </c>
      <c r="F6089" s="12">
        <v>162564</v>
      </c>
      <c r="G6089" s="13">
        <v>16</v>
      </c>
      <c r="H6089" t="s">
        <v>2826</v>
      </c>
      <c r="I6089" s="8">
        <v>46147</v>
      </c>
      <c r="J6089" t="s">
        <v>2674</v>
      </c>
      <c r="K6089" t="s">
        <v>2675</v>
      </c>
      <c r="L6089" s="13">
        <v>20000</v>
      </c>
      <c r="M6089" t="s">
        <v>2661</v>
      </c>
    </row>
    <row r="6090" spans="1:13">
      <c r="A6090" t="s">
        <v>2392</v>
      </c>
      <c r="B6090" t="s">
        <v>65</v>
      </c>
      <c r="C6090" s="8">
        <v>45954</v>
      </c>
      <c r="D6090" t="s">
        <v>332</v>
      </c>
      <c r="E6090" t="s">
        <v>322</v>
      </c>
      <c r="F6090" s="12">
        <v>162564</v>
      </c>
      <c r="G6090" s="13">
        <v>16</v>
      </c>
      <c r="H6090" t="s">
        <v>3124</v>
      </c>
      <c r="I6090" s="8">
        <v>46278</v>
      </c>
      <c r="J6090" t="s">
        <v>2674</v>
      </c>
      <c r="K6090" t="s">
        <v>2675</v>
      </c>
      <c r="L6090" s="13">
        <v>20000</v>
      </c>
      <c r="M6090" t="s">
        <v>2661</v>
      </c>
    </row>
    <row r="6091" spans="1:13">
      <c r="A6091" t="s">
        <v>2392</v>
      </c>
      <c r="B6091" t="s">
        <v>65</v>
      </c>
      <c r="C6091" s="8">
        <v>45954</v>
      </c>
      <c r="D6091" t="s">
        <v>332</v>
      </c>
      <c r="E6091" t="s">
        <v>322</v>
      </c>
      <c r="F6091" s="12">
        <v>162564</v>
      </c>
      <c r="G6091" s="13">
        <v>16</v>
      </c>
      <c r="H6091" t="s">
        <v>3167</v>
      </c>
      <c r="I6091" s="8">
        <v>46013</v>
      </c>
      <c r="J6091" t="s">
        <v>2685</v>
      </c>
      <c r="K6091" t="s">
        <v>2686</v>
      </c>
      <c r="L6091" s="13">
        <v>5000</v>
      </c>
      <c r="M6091" t="s">
        <v>2676</v>
      </c>
    </row>
    <row r="6092" spans="1:13">
      <c r="A6092" t="s">
        <v>2392</v>
      </c>
      <c r="B6092" t="s">
        <v>65</v>
      </c>
      <c r="C6092" s="8">
        <v>45954</v>
      </c>
      <c r="D6092" t="s">
        <v>332</v>
      </c>
      <c r="E6092" t="s">
        <v>322</v>
      </c>
      <c r="F6092" s="12">
        <v>162564</v>
      </c>
      <c r="G6092" s="13">
        <v>16</v>
      </c>
      <c r="H6092" t="s">
        <v>3344</v>
      </c>
      <c r="I6092" s="8">
        <v>45982</v>
      </c>
      <c r="J6092" t="s">
        <v>2668</v>
      </c>
      <c r="K6092" t="s">
        <v>2669</v>
      </c>
      <c r="L6092" s="13">
        <v>4000</v>
      </c>
      <c r="M6092" t="s">
        <v>2661</v>
      </c>
    </row>
    <row r="6093" spans="1:13">
      <c r="A6093" t="s">
        <v>2393</v>
      </c>
      <c r="B6093" t="s">
        <v>125</v>
      </c>
      <c r="C6093" s="8">
        <v>46001</v>
      </c>
      <c r="D6093" t="s">
        <v>332</v>
      </c>
      <c r="E6093" t="s">
        <v>328</v>
      </c>
      <c r="F6093" s="12">
        <v>710223</v>
      </c>
      <c r="G6093" s="13">
        <v>71</v>
      </c>
      <c r="H6093" t="s">
        <v>2832</v>
      </c>
      <c r="I6093" s="8">
        <v>46262</v>
      </c>
      <c r="J6093" t="s">
        <v>2671</v>
      </c>
      <c r="K6093" t="s">
        <v>2672</v>
      </c>
      <c r="L6093" s="13">
        <v>3000</v>
      </c>
      <c r="M6093" t="s">
        <v>2661</v>
      </c>
    </row>
    <row r="6094" spans="1:13">
      <c r="A6094" t="s">
        <v>2393</v>
      </c>
      <c r="B6094" t="s">
        <v>125</v>
      </c>
      <c r="C6094" s="8">
        <v>46001</v>
      </c>
      <c r="D6094" t="s">
        <v>332</v>
      </c>
      <c r="E6094" t="s">
        <v>328</v>
      </c>
      <c r="F6094" s="12">
        <v>710223</v>
      </c>
      <c r="G6094" s="13">
        <v>71</v>
      </c>
      <c r="H6094" t="s">
        <v>3039</v>
      </c>
      <c r="I6094" s="8">
        <v>45962</v>
      </c>
      <c r="J6094" t="s">
        <v>2682</v>
      </c>
      <c r="K6094" t="s">
        <v>2683</v>
      </c>
      <c r="L6094" s="13">
        <v>6000</v>
      </c>
      <c r="M6094" t="s">
        <v>2661</v>
      </c>
    </row>
    <row r="6095" spans="1:13">
      <c r="A6095" t="s">
        <v>2394</v>
      </c>
      <c r="B6095" t="s">
        <v>244</v>
      </c>
      <c r="C6095" s="8">
        <v>45946</v>
      </c>
      <c r="D6095" t="s">
        <v>327</v>
      </c>
      <c r="E6095" t="s">
        <v>325</v>
      </c>
      <c r="F6095" s="12">
        <v>361244</v>
      </c>
      <c r="G6095" s="13">
        <v>36</v>
      </c>
      <c r="H6095" t="s">
        <v>2778</v>
      </c>
      <c r="I6095" s="8">
        <v>45994</v>
      </c>
      <c r="J6095" t="s">
        <v>2692</v>
      </c>
      <c r="K6095" t="s">
        <v>2693</v>
      </c>
      <c r="L6095" s="13">
        <v>10000</v>
      </c>
      <c r="M6095" t="s">
        <v>2661</v>
      </c>
    </row>
    <row r="6096" spans="1:13">
      <c r="A6096" t="s">
        <v>2394</v>
      </c>
      <c r="B6096" t="s">
        <v>244</v>
      </c>
      <c r="C6096" s="8">
        <v>45946</v>
      </c>
      <c r="D6096" t="s">
        <v>327</v>
      </c>
      <c r="E6096" t="s">
        <v>325</v>
      </c>
      <c r="F6096" s="12">
        <v>361244</v>
      </c>
      <c r="G6096" s="13">
        <v>36</v>
      </c>
      <c r="H6096" t="s">
        <v>2916</v>
      </c>
      <c r="I6096" s="8">
        <v>46078</v>
      </c>
      <c r="J6096" t="s">
        <v>2668</v>
      </c>
      <c r="K6096" t="s">
        <v>2669</v>
      </c>
      <c r="L6096" s="13">
        <v>4000</v>
      </c>
      <c r="M6096" t="s">
        <v>2661</v>
      </c>
    </row>
    <row r="6097" spans="1:13">
      <c r="A6097" t="s">
        <v>2395</v>
      </c>
      <c r="B6097" t="s">
        <v>126</v>
      </c>
      <c r="C6097" s="8">
        <v>46069</v>
      </c>
      <c r="D6097" t="s">
        <v>350</v>
      </c>
      <c r="E6097" t="s">
        <v>322</v>
      </c>
      <c r="F6097" s="12">
        <v>742863</v>
      </c>
      <c r="G6097" s="13">
        <v>74</v>
      </c>
      <c r="H6097" t="s">
        <v>2798</v>
      </c>
      <c r="I6097" s="8">
        <v>46235</v>
      </c>
      <c r="J6097" t="s">
        <v>2659</v>
      </c>
      <c r="K6097" t="s">
        <v>2660</v>
      </c>
      <c r="L6097" s="13">
        <v>3500</v>
      </c>
      <c r="M6097" t="s">
        <v>2661</v>
      </c>
    </row>
    <row r="6098" spans="1:13">
      <c r="A6098" t="s">
        <v>2395</v>
      </c>
      <c r="B6098" t="s">
        <v>126</v>
      </c>
      <c r="C6098" s="8">
        <v>46069</v>
      </c>
      <c r="D6098" t="s">
        <v>350</v>
      </c>
      <c r="E6098" t="s">
        <v>322</v>
      </c>
      <c r="F6098" s="12">
        <v>742863</v>
      </c>
      <c r="G6098" s="13">
        <v>74</v>
      </c>
      <c r="H6098" t="s">
        <v>3334</v>
      </c>
      <c r="I6098" s="8">
        <v>46254</v>
      </c>
      <c r="J6098" t="s">
        <v>2692</v>
      </c>
      <c r="K6098" t="s">
        <v>2693</v>
      </c>
      <c r="L6098" s="13">
        <v>10000</v>
      </c>
      <c r="M6098" t="s">
        <v>2676</v>
      </c>
    </row>
    <row r="6099" spans="1:13">
      <c r="A6099" t="s">
        <v>2396</v>
      </c>
      <c r="B6099" t="s">
        <v>206</v>
      </c>
      <c r="C6099" s="8">
        <v>46095</v>
      </c>
      <c r="D6099" t="s">
        <v>344</v>
      </c>
      <c r="E6099" t="s">
        <v>328</v>
      </c>
      <c r="F6099" s="12">
        <v>2041534</v>
      </c>
      <c r="G6099" s="13">
        <v>204</v>
      </c>
      <c r="H6099" t="s">
        <v>2868</v>
      </c>
      <c r="I6099" s="8">
        <v>45937</v>
      </c>
      <c r="J6099" t="s">
        <v>2688</v>
      </c>
      <c r="K6099" t="s">
        <v>2689</v>
      </c>
      <c r="L6099" s="13">
        <v>8000</v>
      </c>
      <c r="M6099" t="s">
        <v>2661</v>
      </c>
    </row>
    <row r="6100" spans="1:13">
      <c r="A6100" t="s">
        <v>2396</v>
      </c>
      <c r="B6100" t="s">
        <v>206</v>
      </c>
      <c r="C6100" s="8">
        <v>46095</v>
      </c>
      <c r="D6100" t="s">
        <v>344</v>
      </c>
      <c r="E6100" t="s">
        <v>328</v>
      </c>
      <c r="F6100" s="12">
        <v>2041534</v>
      </c>
      <c r="G6100" s="13">
        <v>204</v>
      </c>
      <c r="H6100" t="s">
        <v>2915</v>
      </c>
      <c r="I6100" s="8">
        <v>45941</v>
      </c>
      <c r="J6100" t="s">
        <v>2659</v>
      </c>
      <c r="K6100" t="s">
        <v>2660</v>
      </c>
      <c r="L6100" s="13">
        <v>3500</v>
      </c>
      <c r="M6100" t="s">
        <v>2661</v>
      </c>
    </row>
    <row r="6101" spans="1:13">
      <c r="A6101" t="s">
        <v>2396</v>
      </c>
      <c r="B6101" t="s">
        <v>206</v>
      </c>
      <c r="C6101" s="8">
        <v>46095</v>
      </c>
      <c r="D6101" t="s">
        <v>344</v>
      </c>
      <c r="E6101" t="s">
        <v>328</v>
      </c>
      <c r="F6101" s="12">
        <v>2041534</v>
      </c>
      <c r="G6101" s="13">
        <v>204</v>
      </c>
      <c r="H6101" t="s">
        <v>3362</v>
      </c>
      <c r="I6101" s="8">
        <v>46007</v>
      </c>
      <c r="J6101" t="s">
        <v>2685</v>
      </c>
      <c r="K6101" t="s">
        <v>2686</v>
      </c>
      <c r="L6101" s="13">
        <v>5000</v>
      </c>
      <c r="M6101" t="s">
        <v>2661</v>
      </c>
    </row>
    <row r="6102" spans="1:13">
      <c r="A6102" t="s">
        <v>2397</v>
      </c>
      <c r="B6102" t="s">
        <v>92</v>
      </c>
      <c r="C6102" s="8">
        <v>46130</v>
      </c>
      <c r="D6102" t="s">
        <v>327</v>
      </c>
      <c r="E6102" t="s">
        <v>325</v>
      </c>
      <c r="F6102" s="12">
        <v>128573</v>
      </c>
      <c r="G6102" s="13">
        <v>12</v>
      </c>
      <c r="H6102" t="s">
        <v>3415</v>
      </c>
      <c r="I6102" s="8">
        <v>46280</v>
      </c>
      <c r="J6102" t="s">
        <v>2663</v>
      </c>
      <c r="K6102" t="s">
        <v>3630</v>
      </c>
      <c r="L6102" s="13">
        <v>1500</v>
      </c>
      <c r="M6102" t="s">
        <v>2661</v>
      </c>
    </row>
    <row r="6103" spans="1:13">
      <c r="A6103" t="s">
        <v>2397</v>
      </c>
      <c r="B6103" t="s">
        <v>92</v>
      </c>
      <c r="C6103" s="8">
        <v>46130</v>
      </c>
      <c r="D6103" t="s">
        <v>327</v>
      </c>
      <c r="E6103" t="s">
        <v>325</v>
      </c>
      <c r="F6103" s="12">
        <v>128573</v>
      </c>
      <c r="G6103" s="13">
        <v>12</v>
      </c>
      <c r="H6103" t="s">
        <v>3577</v>
      </c>
      <c r="I6103" s="8">
        <v>45965</v>
      </c>
      <c r="J6103" t="s">
        <v>2663</v>
      </c>
      <c r="K6103" t="s">
        <v>3630</v>
      </c>
      <c r="L6103" s="13">
        <v>1500</v>
      </c>
      <c r="M6103" t="s">
        <v>2661</v>
      </c>
    </row>
    <row r="6104" spans="1:13">
      <c r="A6104" t="s">
        <v>2398</v>
      </c>
      <c r="B6104" t="s">
        <v>50</v>
      </c>
      <c r="C6104" s="8">
        <v>45955</v>
      </c>
      <c r="D6104" t="s">
        <v>330</v>
      </c>
      <c r="E6104" t="s">
        <v>325</v>
      </c>
      <c r="F6104" s="12">
        <v>478493</v>
      </c>
      <c r="G6104" s="13">
        <v>47</v>
      </c>
      <c r="H6104" t="s">
        <v>2890</v>
      </c>
      <c r="I6104" s="8">
        <v>46179</v>
      </c>
      <c r="J6104" t="s">
        <v>2674</v>
      </c>
      <c r="K6104" t="s">
        <v>2675</v>
      </c>
      <c r="L6104" s="13">
        <v>20000</v>
      </c>
      <c r="M6104" t="s">
        <v>2661</v>
      </c>
    </row>
    <row r="6105" spans="1:13">
      <c r="A6105" t="s">
        <v>2398</v>
      </c>
      <c r="B6105" t="s">
        <v>50</v>
      </c>
      <c r="C6105" s="8">
        <v>45955</v>
      </c>
      <c r="D6105" t="s">
        <v>330</v>
      </c>
      <c r="E6105" t="s">
        <v>325</v>
      </c>
      <c r="F6105" s="12">
        <v>478493</v>
      </c>
      <c r="G6105" s="13">
        <v>47</v>
      </c>
      <c r="H6105" t="s">
        <v>2942</v>
      </c>
      <c r="I6105" s="8">
        <v>45989</v>
      </c>
      <c r="J6105" t="s">
        <v>2665</v>
      </c>
      <c r="K6105" t="s">
        <v>2666</v>
      </c>
      <c r="L6105" s="13">
        <v>2500</v>
      </c>
      <c r="M6105" t="s">
        <v>2676</v>
      </c>
    </row>
    <row r="6106" spans="1:13">
      <c r="A6106" t="s">
        <v>2398</v>
      </c>
      <c r="B6106" t="s">
        <v>50</v>
      </c>
      <c r="C6106" s="8">
        <v>45955</v>
      </c>
      <c r="D6106" t="s">
        <v>330</v>
      </c>
      <c r="E6106" t="s">
        <v>325</v>
      </c>
      <c r="F6106" s="12">
        <v>478493</v>
      </c>
      <c r="G6106" s="13">
        <v>47</v>
      </c>
      <c r="H6106" t="s">
        <v>3179</v>
      </c>
      <c r="I6106" s="8">
        <v>46270</v>
      </c>
      <c r="J6106" t="s">
        <v>2665</v>
      </c>
      <c r="K6106" t="s">
        <v>2666</v>
      </c>
      <c r="L6106" s="13">
        <v>2500</v>
      </c>
      <c r="M6106" t="s">
        <v>2661</v>
      </c>
    </row>
    <row r="6107" spans="1:13">
      <c r="A6107" t="s">
        <v>2398</v>
      </c>
      <c r="B6107" t="s">
        <v>50</v>
      </c>
      <c r="C6107" s="8">
        <v>45955</v>
      </c>
      <c r="D6107" t="s">
        <v>330</v>
      </c>
      <c r="E6107" t="s">
        <v>325</v>
      </c>
      <c r="F6107" s="12">
        <v>478493</v>
      </c>
      <c r="G6107" s="13">
        <v>47</v>
      </c>
      <c r="H6107" t="s">
        <v>3269</v>
      </c>
      <c r="I6107" s="8">
        <v>46217</v>
      </c>
      <c r="J6107" t="s">
        <v>2688</v>
      </c>
      <c r="K6107" t="s">
        <v>2689</v>
      </c>
      <c r="L6107" s="13">
        <v>8000</v>
      </c>
      <c r="M6107" t="s">
        <v>2661</v>
      </c>
    </row>
    <row r="6108" spans="1:13">
      <c r="A6108" t="s">
        <v>2398</v>
      </c>
      <c r="B6108" t="s">
        <v>50</v>
      </c>
      <c r="C6108" s="8">
        <v>45955</v>
      </c>
      <c r="D6108" t="s">
        <v>330</v>
      </c>
      <c r="E6108" t="s">
        <v>325</v>
      </c>
      <c r="F6108" s="12">
        <v>478493</v>
      </c>
      <c r="G6108" s="13">
        <v>47</v>
      </c>
      <c r="H6108" t="s">
        <v>3379</v>
      </c>
      <c r="I6108" s="8">
        <v>46136</v>
      </c>
      <c r="J6108" t="s">
        <v>2688</v>
      </c>
      <c r="K6108" t="s">
        <v>2689</v>
      </c>
      <c r="L6108" s="13">
        <v>8000</v>
      </c>
      <c r="M6108" t="s">
        <v>2676</v>
      </c>
    </row>
    <row r="6109" spans="1:13">
      <c r="A6109" t="s">
        <v>2398</v>
      </c>
      <c r="B6109" t="s">
        <v>50</v>
      </c>
      <c r="C6109" s="8">
        <v>45955</v>
      </c>
      <c r="D6109" t="s">
        <v>330</v>
      </c>
      <c r="E6109" t="s">
        <v>325</v>
      </c>
      <c r="F6109" s="12">
        <v>478493</v>
      </c>
      <c r="G6109" s="13">
        <v>47</v>
      </c>
      <c r="H6109" t="s">
        <v>3484</v>
      </c>
      <c r="I6109" s="8">
        <v>46072</v>
      </c>
      <c r="J6109" t="s">
        <v>2692</v>
      </c>
      <c r="K6109" t="s">
        <v>2693</v>
      </c>
      <c r="L6109" s="13">
        <v>10000</v>
      </c>
      <c r="M6109" t="s">
        <v>2661</v>
      </c>
    </row>
    <row r="6110" spans="1:13">
      <c r="A6110" t="s">
        <v>2399</v>
      </c>
      <c r="B6110" t="s">
        <v>208</v>
      </c>
      <c r="C6110" s="8">
        <v>46005</v>
      </c>
      <c r="D6110" t="s">
        <v>344</v>
      </c>
      <c r="E6110" t="s">
        <v>334</v>
      </c>
      <c r="F6110" s="12">
        <v>326036</v>
      </c>
      <c r="G6110" s="13">
        <v>32</v>
      </c>
      <c r="H6110" t="s">
        <v>3080</v>
      </c>
      <c r="I6110" s="8">
        <v>46162</v>
      </c>
      <c r="J6110" t="s">
        <v>2668</v>
      </c>
      <c r="K6110" t="s">
        <v>2669</v>
      </c>
      <c r="L6110" s="13">
        <v>4000</v>
      </c>
      <c r="M6110" t="s">
        <v>2661</v>
      </c>
    </row>
    <row r="6111" spans="1:13">
      <c r="A6111" t="s">
        <v>2399</v>
      </c>
      <c r="B6111" t="s">
        <v>208</v>
      </c>
      <c r="C6111" s="8">
        <v>46005</v>
      </c>
      <c r="D6111" t="s">
        <v>344</v>
      </c>
      <c r="E6111" t="s">
        <v>334</v>
      </c>
      <c r="F6111" s="12">
        <v>326036</v>
      </c>
      <c r="G6111" s="13">
        <v>32</v>
      </c>
      <c r="H6111" t="s">
        <v>3193</v>
      </c>
      <c r="I6111" s="8">
        <v>46274</v>
      </c>
      <c r="J6111" t="s">
        <v>2682</v>
      </c>
      <c r="K6111" t="s">
        <v>2683</v>
      </c>
      <c r="L6111" s="13">
        <v>6000</v>
      </c>
      <c r="M6111" t="s">
        <v>2661</v>
      </c>
    </row>
    <row r="6112" spans="1:13">
      <c r="A6112" t="s">
        <v>2399</v>
      </c>
      <c r="B6112" t="s">
        <v>208</v>
      </c>
      <c r="C6112" s="8">
        <v>46005</v>
      </c>
      <c r="D6112" t="s">
        <v>344</v>
      </c>
      <c r="E6112" t="s">
        <v>334</v>
      </c>
      <c r="F6112" s="12">
        <v>326036</v>
      </c>
      <c r="G6112" s="13">
        <v>32</v>
      </c>
      <c r="H6112" t="s">
        <v>3507</v>
      </c>
      <c r="I6112" s="8">
        <v>46288</v>
      </c>
      <c r="J6112" t="s">
        <v>2692</v>
      </c>
      <c r="K6112" t="s">
        <v>2693</v>
      </c>
      <c r="L6112" s="13">
        <v>10000</v>
      </c>
      <c r="M6112" t="s">
        <v>2661</v>
      </c>
    </row>
    <row r="6113" spans="1:13">
      <c r="A6113" t="s">
        <v>2400</v>
      </c>
      <c r="B6113" t="s">
        <v>59</v>
      </c>
      <c r="C6113" s="8">
        <v>45975</v>
      </c>
      <c r="D6113" t="s">
        <v>342</v>
      </c>
      <c r="E6113" t="s">
        <v>334</v>
      </c>
      <c r="F6113" s="12">
        <v>479271</v>
      </c>
      <c r="G6113" s="13">
        <v>47</v>
      </c>
      <c r="H6113" t="s">
        <v>3015</v>
      </c>
      <c r="I6113" s="8">
        <v>46063</v>
      </c>
      <c r="J6113" t="s">
        <v>2688</v>
      </c>
      <c r="K6113" t="s">
        <v>2689</v>
      </c>
      <c r="L6113" s="13">
        <v>8000</v>
      </c>
      <c r="M6113" t="s">
        <v>2661</v>
      </c>
    </row>
    <row r="6114" spans="1:13">
      <c r="A6114" t="s">
        <v>2400</v>
      </c>
      <c r="B6114" t="s">
        <v>59</v>
      </c>
      <c r="C6114" s="8">
        <v>45975</v>
      </c>
      <c r="D6114" t="s">
        <v>342</v>
      </c>
      <c r="E6114" t="s">
        <v>334</v>
      </c>
      <c r="F6114" s="12">
        <v>479271</v>
      </c>
      <c r="G6114" s="13">
        <v>47</v>
      </c>
      <c r="H6114" t="s">
        <v>3420</v>
      </c>
      <c r="I6114" s="8">
        <v>46108</v>
      </c>
      <c r="J6114" t="s">
        <v>2665</v>
      </c>
      <c r="K6114" t="s">
        <v>2666</v>
      </c>
      <c r="L6114" s="13">
        <v>2500</v>
      </c>
      <c r="M6114" t="s">
        <v>2661</v>
      </c>
    </row>
    <row r="6115" spans="1:13">
      <c r="A6115" t="s">
        <v>2400</v>
      </c>
      <c r="B6115" t="s">
        <v>59</v>
      </c>
      <c r="C6115" s="8">
        <v>45975</v>
      </c>
      <c r="D6115" t="s">
        <v>342</v>
      </c>
      <c r="E6115" t="s">
        <v>334</v>
      </c>
      <c r="F6115" s="12">
        <v>479271</v>
      </c>
      <c r="G6115" s="13">
        <v>47</v>
      </c>
      <c r="H6115" t="s">
        <v>3515</v>
      </c>
      <c r="I6115" s="8">
        <v>46190</v>
      </c>
      <c r="J6115" t="s">
        <v>2659</v>
      </c>
      <c r="K6115" t="s">
        <v>2660</v>
      </c>
      <c r="L6115" s="13">
        <v>3500</v>
      </c>
      <c r="M6115" t="s">
        <v>2661</v>
      </c>
    </row>
    <row r="6116" spans="1:13">
      <c r="A6116" t="s">
        <v>2401</v>
      </c>
      <c r="B6116" t="s">
        <v>168</v>
      </c>
      <c r="C6116" s="8">
        <v>45967</v>
      </c>
      <c r="D6116" t="s">
        <v>350</v>
      </c>
      <c r="E6116" t="s">
        <v>322</v>
      </c>
      <c r="F6116" s="12">
        <v>200997</v>
      </c>
      <c r="G6116" s="13">
        <v>20</v>
      </c>
      <c r="H6116" t="s">
        <v>3128</v>
      </c>
      <c r="I6116" s="8">
        <v>46083</v>
      </c>
      <c r="J6116" t="s">
        <v>2674</v>
      </c>
      <c r="K6116" t="s">
        <v>2675</v>
      </c>
      <c r="L6116" s="13">
        <v>20000</v>
      </c>
      <c r="M6116" t="s">
        <v>2661</v>
      </c>
    </row>
    <row r="6117" spans="1:13">
      <c r="A6117" t="s">
        <v>2402</v>
      </c>
      <c r="B6117" t="s">
        <v>154</v>
      </c>
      <c r="C6117" s="8">
        <v>46186</v>
      </c>
      <c r="D6117" t="s">
        <v>321</v>
      </c>
      <c r="E6117" t="s">
        <v>334</v>
      </c>
      <c r="F6117" s="12">
        <v>107034</v>
      </c>
      <c r="G6117" s="13">
        <v>10</v>
      </c>
      <c r="H6117" t="s">
        <v>2871</v>
      </c>
      <c r="I6117" s="8">
        <v>46267</v>
      </c>
      <c r="J6117" t="s">
        <v>2692</v>
      </c>
      <c r="K6117" t="s">
        <v>2693</v>
      </c>
      <c r="L6117" s="13">
        <v>10000</v>
      </c>
      <c r="M6117" t="s">
        <v>2676</v>
      </c>
    </row>
    <row r="6118" spans="1:13">
      <c r="A6118" t="s">
        <v>2402</v>
      </c>
      <c r="B6118" t="s">
        <v>154</v>
      </c>
      <c r="C6118" s="8">
        <v>46186</v>
      </c>
      <c r="D6118" t="s">
        <v>321</v>
      </c>
      <c r="E6118" t="s">
        <v>334</v>
      </c>
      <c r="F6118" s="12">
        <v>107034</v>
      </c>
      <c r="G6118" s="13">
        <v>10</v>
      </c>
      <c r="H6118" t="s">
        <v>2963</v>
      </c>
      <c r="I6118" s="8">
        <v>45981</v>
      </c>
      <c r="J6118" t="s">
        <v>2659</v>
      </c>
      <c r="K6118" t="s">
        <v>2660</v>
      </c>
      <c r="L6118" s="13">
        <v>3500</v>
      </c>
      <c r="M6118" t="s">
        <v>2661</v>
      </c>
    </row>
    <row r="6119" spans="1:13">
      <c r="A6119" t="s">
        <v>2402</v>
      </c>
      <c r="B6119" t="s">
        <v>154</v>
      </c>
      <c r="C6119" s="8">
        <v>46186</v>
      </c>
      <c r="D6119" t="s">
        <v>321</v>
      </c>
      <c r="E6119" t="s">
        <v>334</v>
      </c>
      <c r="F6119" s="12">
        <v>107034</v>
      </c>
      <c r="G6119" s="13">
        <v>10</v>
      </c>
      <c r="H6119" t="s">
        <v>2967</v>
      </c>
      <c r="I6119" s="8">
        <v>46155</v>
      </c>
      <c r="J6119" t="s">
        <v>2668</v>
      </c>
      <c r="K6119" t="s">
        <v>2669</v>
      </c>
      <c r="L6119" s="13">
        <v>4000</v>
      </c>
      <c r="M6119" t="s">
        <v>2661</v>
      </c>
    </row>
    <row r="6120" spans="1:13">
      <c r="A6120" t="s">
        <v>2402</v>
      </c>
      <c r="B6120" t="s">
        <v>154</v>
      </c>
      <c r="C6120" s="8">
        <v>46186</v>
      </c>
      <c r="D6120" t="s">
        <v>321</v>
      </c>
      <c r="E6120" t="s">
        <v>334</v>
      </c>
      <c r="F6120" s="12">
        <v>107034</v>
      </c>
      <c r="G6120" s="13">
        <v>10</v>
      </c>
      <c r="H6120" t="s">
        <v>3013</v>
      </c>
      <c r="I6120" s="8">
        <v>45942</v>
      </c>
      <c r="J6120" t="s">
        <v>2682</v>
      </c>
      <c r="K6120" t="s">
        <v>2683</v>
      </c>
      <c r="L6120" s="13">
        <v>6000</v>
      </c>
      <c r="M6120" t="s">
        <v>2661</v>
      </c>
    </row>
    <row r="6121" spans="1:13">
      <c r="A6121" t="s">
        <v>2402</v>
      </c>
      <c r="B6121" t="s">
        <v>154</v>
      </c>
      <c r="C6121" s="8">
        <v>46186</v>
      </c>
      <c r="D6121" t="s">
        <v>321</v>
      </c>
      <c r="E6121" t="s">
        <v>334</v>
      </c>
      <c r="F6121" s="12">
        <v>107034</v>
      </c>
      <c r="G6121" s="13">
        <v>10</v>
      </c>
      <c r="H6121" t="s">
        <v>3188</v>
      </c>
      <c r="I6121" s="8">
        <v>46142</v>
      </c>
      <c r="J6121" t="s">
        <v>2665</v>
      </c>
      <c r="K6121" t="s">
        <v>2666</v>
      </c>
      <c r="L6121" s="13">
        <v>2500</v>
      </c>
      <c r="M6121" t="s">
        <v>2676</v>
      </c>
    </row>
    <row r="6122" spans="1:13">
      <c r="A6122" t="s">
        <v>2402</v>
      </c>
      <c r="B6122" t="s">
        <v>154</v>
      </c>
      <c r="C6122" s="8">
        <v>46186</v>
      </c>
      <c r="D6122" t="s">
        <v>321</v>
      </c>
      <c r="E6122" t="s">
        <v>334</v>
      </c>
      <c r="F6122" s="12">
        <v>107034</v>
      </c>
      <c r="G6122" s="13">
        <v>10</v>
      </c>
      <c r="H6122" t="s">
        <v>3240</v>
      </c>
      <c r="I6122" s="8">
        <v>46030</v>
      </c>
      <c r="J6122" t="s">
        <v>2671</v>
      </c>
      <c r="K6122" t="s">
        <v>2672</v>
      </c>
      <c r="L6122" s="13">
        <v>3000</v>
      </c>
      <c r="M6122" t="s">
        <v>2661</v>
      </c>
    </row>
    <row r="6123" spans="1:13">
      <c r="A6123" t="s">
        <v>2402</v>
      </c>
      <c r="B6123" t="s">
        <v>154</v>
      </c>
      <c r="C6123" s="8">
        <v>46186</v>
      </c>
      <c r="D6123" t="s">
        <v>321</v>
      </c>
      <c r="E6123" t="s">
        <v>334</v>
      </c>
      <c r="F6123" s="12">
        <v>107034</v>
      </c>
      <c r="G6123" s="13">
        <v>10</v>
      </c>
      <c r="H6123" t="s">
        <v>3316</v>
      </c>
      <c r="I6123" s="8">
        <v>46084</v>
      </c>
      <c r="J6123" t="s">
        <v>2688</v>
      </c>
      <c r="K6123" t="s">
        <v>2689</v>
      </c>
      <c r="L6123" s="13">
        <v>8000</v>
      </c>
      <c r="M6123" t="s">
        <v>2661</v>
      </c>
    </row>
    <row r="6124" spans="1:13">
      <c r="A6124" t="s">
        <v>2403</v>
      </c>
      <c r="B6124" t="s">
        <v>102</v>
      </c>
      <c r="C6124" s="8">
        <v>46181</v>
      </c>
      <c r="D6124" t="s">
        <v>327</v>
      </c>
      <c r="E6124" t="s">
        <v>339</v>
      </c>
      <c r="F6124" s="12">
        <v>557078</v>
      </c>
      <c r="G6124" s="13">
        <v>55</v>
      </c>
      <c r="H6124" t="s">
        <v>2797</v>
      </c>
      <c r="I6124" s="8">
        <v>46163</v>
      </c>
      <c r="J6124" t="s">
        <v>2665</v>
      </c>
      <c r="K6124" t="s">
        <v>2666</v>
      </c>
      <c r="L6124" s="13">
        <v>2500</v>
      </c>
      <c r="M6124" t="s">
        <v>2661</v>
      </c>
    </row>
    <row r="6125" spans="1:13">
      <c r="A6125" t="s">
        <v>2403</v>
      </c>
      <c r="B6125" t="s">
        <v>102</v>
      </c>
      <c r="C6125" s="8">
        <v>46181</v>
      </c>
      <c r="D6125" t="s">
        <v>327</v>
      </c>
      <c r="E6125" t="s">
        <v>339</v>
      </c>
      <c r="F6125" s="12">
        <v>557078</v>
      </c>
      <c r="G6125" s="13">
        <v>55</v>
      </c>
      <c r="H6125" t="s">
        <v>3355</v>
      </c>
      <c r="I6125" s="8">
        <v>46029</v>
      </c>
      <c r="J6125" t="s">
        <v>2659</v>
      </c>
      <c r="K6125" t="s">
        <v>2660</v>
      </c>
      <c r="L6125" s="13">
        <v>3500</v>
      </c>
      <c r="M6125" t="s">
        <v>2676</v>
      </c>
    </row>
    <row r="6126" spans="1:13">
      <c r="A6126" t="s">
        <v>2403</v>
      </c>
      <c r="B6126" t="s">
        <v>102</v>
      </c>
      <c r="C6126" s="8">
        <v>46181</v>
      </c>
      <c r="D6126" t="s">
        <v>327</v>
      </c>
      <c r="E6126" t="s">
        <v>339</v>
      </c>
      <c r="F6126" s="12">
        <v>557078</v>
      </c>
      <c r="G6126" s="13">
        <v>55</v>
      </c>
      <c r="H6126" t="s">
        <v>3360</v>
      </c>
      <c r="I6126" s="8">
        <v>46231</v>
      </c>
      <c r="J6126" t="s">
        <v>2674</v>
      </c>
      <c r="K6126" t="s">
        <v>2675</v>
      </c>
      <c r="L6126" s="13">
        <v>20000</v>
      </c>
      <c r="M6126" t="s">
        <v>2661</v>
      </c>
    </row>
    <row r="6127" spans="1:13">
      <c r="A6127" t="s">
        <v>2403</v>
      </c>
      <c r="B6127" t="s">
        <v>102</v>
      </c>
      <c r="C6127" s="8">
        <v>46181</v>
      </c>
      <c r="D6127" t="s">
        <v>327</v>
      </c>
      <c r="E6127" t="s">
        <v>339</v>
      </c>
      <c r="F6127" s="12">
        <v>557078</v>
      </c>
      <c r="G6127" s="13">
        <v>55</v>
      </c>
      <c r="H6127" t="s">
        <v>3439</v>
      </c>
      <c r="I6127" s="8">
        <v>46268</v>
      </c>
      <c r="J6127" t="s">
        <v>2663</v>
      </c>
      <c r="K6127" t="s">
        <v>3630</v>
      </c>
      <c r="L6127" s="13">
        <v>1500</v>
      </c>
      <c r="M6127" t="s">
        <v>2661</v>
      </c>
    </row>
    <row r="6128" spans="1:13">
      <c r="A6128" t="s">
        <v>2403</v>
      </c>
      <c r="B6128" t="s">
        <v>102</v>
      </c>
      <c r="C6128" s="8">
        <v>46181</v>
      </c>
      <c r="D6128" t="s">
        <v>327</v>
      </c>
      <c r="E6128" t="s">
        <v>339</v>
      </c>
      <c r="F6128" s="12">
        <v>557078</v>
      </c>
      <c r="G6128" s="13">
        <v>55</v>
      </c>
      <c r="H6128" t="s">
        <v>3565</v>
      </c>
      <c r="I6128" s="8">
        <v>46150</v>
      </c>
      <c r="J6128" t="s">
        <v>2674</v>
      </c>
      <c r="K6128" t="s">
        <v>2675</v>
      </c>
      <c r="L6128" s="13">
        <v>20000</v>
      </c>
      <c r="M6128" t="s">
        <v>2661</v>
      </c>
    </row>
    <row r="6129" spans="1:13">
      <c r="A6129" t="s">
        <v>2404</v>
      </c>
      <c r="B6129" t="s">
        <v>16</v>
      </c>
      <c r="C6129" s="8">
        <v>45994</v>
      </c>
      <c r="D6129" t="s">
        <v>321</v>
      </c>
      <c r="E6129" t="s">
        <v>334</v>
      </c>
      <c r="F6129" s="12">
        <v>198164</v>
      </c>
      <c r="G6129" s="13">
        <v>19</v>
      </c>
      <c r="H6129" t="s">
        <v>2886</v>
      </c>
      <c r="I6129" s="8">
        <v>46006</v>
      </c>
      <c r="J6129" t="s">
        <v>2659</v>
      </c>
      <c r="K6129" t="s">
        <v>2660</v>
      </c>
      <c r="L6129" s="13">
        <v>3500</v>
      </c>
      <c r="M6129" t="s">
        <v>2661</v>
      </c>
    </row>
    <row r="6130" spans="1:13">
      <c r="A6130" t="s">
        <v>2404</v>
      </c>
      <c r="B6130" t="s">
        <v>16</v>
      </c>
      <c r="C6130" s="8">
        <v>45994</v>
      </c>
      <c r="D6130" t="s">
        <v>321</v>
      </c>
      <c r="E6130" t="s">
        <v>334</v>
      </c>
      <c r="F6130" s="12">
        <v>198164</v>
      </c>
      <c r="G6130" s="13">
        <v>19</v>
      </c>
      <c r="H6130" t="s">
        <v>3402</v>
      </c>
      <c r="I6130" s="8">
        <v>46050</v>
      </c>
      <c r="J6130" t="s">
        <v>2668</v>
      </c>
      <c r="K6130" t="s">
        <v>2669</v>
      </c>
      <c r="L6130" s="13">
        <v>4000</v>
      </c>
      <c r="M6130" t="s">
        <v>2661</v>
      </c>
    </row>
    <row r="6131" spans="1:13">
      <c r="A6131" t="s">
        <v>2405</v>
      </c>
      <c r="B6131" t="s">
        <v>235</v>
      </c>
      <c r="C6131" s="8">
        <v>46187</v>
      </c>
      <c r="D6131" t="s">
        <v>342</v>
      </c>
      <c r="E6131" t="s">
        <v>328</v>
      </c>
      <c r="F6131" s="12">
        <v>402264</v>
      </c>
      <c r="G6131" s="13">
        <v>40</v>
      </c>
      <c r="H6131" t="s">
        <v>2864</v>
      </c>
      <c r="I6131" s="8">
        <v>46063</v>
      </c>
      <c r="J6131" t="s">
        <v>2671</v>
      </c>
      <c r="K6131" t="s">
        <v>2672</v>
      </c>
      <c r="L6131" s="13">
        <v>3000</v>
      </c>
      <c r="M6131" t="s">
        <v>2661</v>
      </c>
    </row>
    <row r="6132" spans="1:13">
      <c r="A6132" t="s">
        <v>2405</v>
      </c>
      <c r="B6132" t="s">
        <v>235</v>
      </c>
      <c r="C6132" s="8">
        <v>46187</v>
      </c>
      <c r="D6132" t="s">
        <v>342</v>
      </c>
      <c r="E6132" t="s">
        <v>328</v>
      </c>
      <c r="F6132" s="12">
        <v>402264</v>
      </c>
      <c r="G6132" s="13">
        <v>40</v>
      </c>
      <c r="H6132" t="s">
        <v>3530</v>
      </c>
      <c r="I6132" s="8">
        <v>45940</v>
      </c>
      <c r="J6132" t="s">
        <v>2659</v>
      </c>
      <c r="K6132" t="s">
        <v>2660</v>
      </c>
      <c r="L6132" s="13">
        <v>3500</v>
      </c>
      <c r="M6132" t="s">
        <v>2676</v>
      </c>
    </row>
    <row r="6133" spans="1:13">
      <c r="A6133" t="s">
        <v>2405</v>
      </c>
      <c r="B6133" t="s">
        <v>235</v>
      </c>
      <c r="C6133" s="8">
        <v>46187</v>
      </c>
      <c r="D6133" t="s">
        <v>342</v>
      </c>
      <c r="E6133" t="s">
        <v>328</v>
      </c>
      <c r="F6133" s="12">
        <v>402264</v>
      </c>
      <c r="G6133" s="13">
        <v>40</v>
      </c>
      <c r="H6133" t="s">
        <v>3533</v>
      </c>
      <c r="I6133" s="8">
        <v>46204</v>
      </c>
      <c r="J6133" t="s">
        <v>2685</v>
      </c>
      <c r="K6133" t="s">
        <v>2686</v>
      </c>
      <c r="L6133" s="13">
        <v>5000</v>
      </c>
      <c r="M6133" t="s">
        <v>2661</v>
      </c>
    </row>
    <row r="6134" spans="1:13">
      <c r="A6134" t="s">
        <v>2406</v>
      </c>
      <c r="B6134" t="s">
        <v>164</v>
      </c>
      <c r="C6134" s="8">
        <v>46096</v>
      </c>
      <c r="D6134" t="s">
        <v>344</v>
      </c>
      <c r="E6134" t="s">
        <v>337</v>
      </c>
      <c r="F6134" s="12">
        <v>304080</v>
      </c>
      <c r="G6134" s="13">
        <v>30</v>
      </c>
      <c r="H6134" t="s">
        <v>2971</v>
      </c>
      <c r="I6134" s="8">
        <v>46018</v>
      </c>
      <c r="J6134" t="s">
        <v>2665</v>
      </c>
      <c r="K6134" t="s">
        <v>2666</v>
      </c>
      <c r="L6134" s="13">
        <v>2500</v>
      </c>
      <c r="M6134" t="s">
        <v>2661</v>
      </c>
    </row>
    <row r="6135" spans="1:13">
      <c r="A6135" t="s">
        <v>2406</v>
      </c>
      <c r="B6135" t="s">
        <v>164</v>
      </c>
      <c r="C6135" s="8">
        <v>46096</v>
      </c>
      <c r="D6135" t="s">
        <v>344</v>
      </c>
      <c r="E6135" t="s">
        <v>337</v>
      </c>
      <c r="F6135" s="12">
        <v>304080</v>
      </c>
      <c r="G6135" s="13">
        <v>30</v>
      </c>
      <c r="H6135" t="s">
        <v>3109</v>
      </c>
      <c r="I6135" s="8">
        <v>46204</v>
      </c>
      <c r="J6135" t="s">
        <v>2668</v>
      </c>
      <c r="K6135" t="s">
        <v>2669</v>
      </c>
      <c r="L6135" s="13">
        <v>4000</v>
      </c>
      <c r="M6135" t="s">
        <v>2676</v>
      </c>
    </row>
    <row r="6136" spans="1:13">
      <c r="A6136" t="s">
        <v>2406</v>
      </c>
      <c r="B6136" t="s">
        <v>164</v>
      </c>
      <c r="C6136" s="8">
        <v>46096</v>
      </c>
      <c r="D6136" t="s">
        <v>344</v>
      </c>
      <c r="E6136" t="s">
        <v>337</v>
      </c>
      <c r="F6136" s="12">
        <v>304080</v>
      </c>
      <c r="G6136" s="13">
        <v>30</v>
      </c>
      <c r="H6136" t="s">
        <v>3298</v>
      </c>
      <c r="I6136" s="8">
        <v>46208</v>
      </c>
      <c r="J6136" t="s">
        <v>2692</v>
      </c>
      <c r="K6136" t="s">
        <v>2693</v>
      </c>
      <c r="L6136" s="13">
        <v>10000</v>
      </c>
      <c r="M6136" t="s">
        <v>2661</v>
      </c>
    </row>
    <row r="6137" spans="1:13">
      <c r="A6137" t="s">
        <v>2406</v>
      </c>
      <c r="B6137" t="s">
        <v>164</v>
      </c>
      <c r="C6137" s="8">
        <v>46096</v>
      </c>
      <c r="D6137" t="s">
        <v>344</v>
      </c>
      <c r="E6137" t="s">
        <v>337</v>
      </c>
      <c r="F6137" s="12">
        <v>304080</v>
      </c>
      <c r="G6137" s="13">
        <v>30</v>
      </c>
      <c r="H6137" t="s">
        <v>3523</v>
      </c>
      <c r="I6137" s="8">
        <v>46098</v>
      </c>
      <c r="J6137" t="s">
        <v>2659</v>
      </c>
      <c r="K6137" t="s">
        <v>2660</v>
      </c>
      <c r="L6137" s="13">
        <v>3500</v>
      </c>
      <c r="M6137" t="s">
        <v>2661</v>
      </c>
    </row>
    <row r="6138" spans="1:13">
      <c r="A6138" t="s">
        <v>2408</v>
      </c>
      <c r="B6138" t="s">
        <v>310</v>
      </c>
      <c r="C6138" s="8">
        <v>45977</v>
      </c>
      <c r="D6138" t="s">
        <v>330</v>
      </c>
      <c r="E6138" t="s">
        <v>339</v>
      </c>
      <c r="F6138" s="12">
        <v>356737</v>
      </c>
      <c r="G6138" s="13">
        <v>35</v>
      </c>
      <c r="H6138" t="s">
        <v>2712</v>
      </c>
      <c r="I6138" s="8">
        <v>46153</v>
      </c>
      <c r="J6138" t="s">
        <v>2682</v>
      </c>
      <c r="K6138" t="s">
        <v>2683</v>
      </c>
      <c r="L6138" s="13">
        <v>6000</v>
      </c>
      <c r="M6138" t="s">
        <v>2661</v>
      </c>
    </row>
    <row r="6139" spans="1:13">
      <c r="A6139" t="s">
        <v>2408</v>
      </c>
      <c r="B6139" t="s">
        <v>310</v>
      </c>
      <c r="C6139" s="8">
        <v>45977</v>
      </c>
      <c r="D6139" t="s">
        <v>330</v>
      </c>
      <c r="E6139" t="s">
        <v>339</v>
      </c>
      <c r="F6139" s="12">
        <v>356737</v>
      </c>
      <c r="G6139" s="13">
        <v>35</v>
      </c>
      <c r="H6139" t="s">
        <v>2895</v>
      </c>
      <c r="I6139" s="8">
        <v>45957</v>
      </c>
      <c r="J6139" t="s">
        <v>2688</v>
      </c>
      <c r="K6139" t="s">
        <v>2689</v>
      </c>
      <c r="L6139" s="13">
        <v>8000</v>
      </c>
      <c r="M6139" t="s">
        <v>2661</v>
      </c>
    </row>
    <row r="6140" spans="1:13">
      <c r="A6140" t="s">
        <v>2408</v>
      </c>
      <c r="B6140" t="s">
        <v>310</v>
      </c>
      <c r="C6140" s="8">
        <v>45977</v>
      </c>
      <c r="D6140" t="s">
        <v>330</v>
      </c>
      <c r="E6140" t="s">
        <v>339</v>
      </c>
      <c r="F6140" s="12">
        <v>356737</v>
      </c>
      <c r="G6140" s="13">
        <v>35</v>
      </c>
      <c r="H6140" t="s">
        <v>2976</v>
      </c>
      <c r="I6140" s="8">
        <v>46146</v>
      </c>
      <c r="J6140" t="s">
        <v>2685</v>
      </c>
      <c r="K6140" t="s">
        <v>2686</v>
      </c>
      <c r="L6140" s="13">
        <v>5000</v>
      </c>
      <c r="M6140" t="s">
        <v>2661</v>
      </c>
    </row>
    <row r="6141" spans="1:13">
      <c r="A6141" t="s">
        <v>2408</v>
      </c>
      <c r="B6141" t="s">
        <v>310</v>
      </c>
      <c r="C6141" s="8">
        <v>45977</v>
      </c>
      <c r="D6141" t="s">
        <v>330</v>
      </c>
      <c r="E6141" t="s">
        <v>339</v>
      </c>
      <c r="F6141" s="12">
        <v>356737</v>
      </c>
      <c r="G6141" s="13">
        <v>35</v>
      </c>
      <c r="H6141" t="s">
        <v>3295</v>
      </c>
      <c r="I6141" s="8">
        <v>46154</v>
      </c>
      <c r="J6141" t="s">
        <v>2668</v>
      </c>
      <c r="K6141" t="s">
        <v>2669</v>
      </c>
      <c r="L6141" s="13">
        <v>4000</v>
      </c>
      <c r="M6141" t="s">
        <v>2676</v>
      </c>
    </row>
    <row r="6142" spans="1:13">
      <c r="A6142" t="s">
        <v>2408</v>
      </c>
      <c r="B6142" t="s">
        <v>310</v>
      </c>
      <c r="C6142" s="8">
        <v>45977</v>
      </c>
      <c r="D6142" t="s">
        <v>330</v>
      </c>
      <c r="E6142" t="s">
        <v>339</v>
      </c>
      <c r="F6142" s="12">
        <v>356737</v>
      </c>
      <c r="G6142" s="13">
        <v>35</v>
      </c>
      <c r="H6142" t="s">
        <v>3480</v>
      </c>
      <c r="I6142" s="8">
        <v>46012</v>
      </c>
      <c r="J6142" t="s">
        <v>2685</v>
      </c>
      <c r="K6142" t="s">
        <v>2686</v>
      </c>
      <c r="L6142" s="13">
        <v>5000</v>
      </c>
      <c r="M6142" t="s">
        <v>2676</v>
      </c>
    </row>
    <row r="6143" spans="1:13">
      <c r="A6143" t="s">
        <v>2409</v>
      </c>
      <c r="B6143" t="s">
        <v>69</v>
      </c>
      <c r="C6143" s="8">
        <v>46287</v>
      </c>
      <c r="D6143" t="s">
        <v>324</v>
      </c>
      <c r="E6143" t="s">
        <v>328</v>
      </c>
      <c r="F6143" s="12">
        <v>290019</v>
      </c>
      <c r="G6143" s="13">
        <v>29</v>
      </c>
      <c r="H6143" t="s">
        <v>2723</v>
      </c>
      <c r="I6143" s="8">
        <v>46140</v>
      </c>
      <c r="J6143" t="s">
        <v>2688</v>
      </c>
      <c r="K6143" t="s">
        <v>2689</v>
      </c>
      <c r="L6143" s="13">
        <v>8000</v>
      </c>
      <c r="M6143" t="s">
        <v>2661</v>
      </c>
    </row>
    <row r="6144" spans="1:13">
      <c r="A6144" t="s">
        <v>2409</v>
      </c>
      <c r="B6144" t="s">
        <v>69</v>
      </c>
      <c r="C6144" s="8">
        <v>46287</v>
      </c>
      <c r="D6144" t="s">
        <v>324</v>
      </c>
      <c r="E6144" t="s">
        <v>328</v>
      </c>
      <c r="F6144" s="12">
        <v>290019</v>
      </c>
      <c r="G6144" s="13">
        <v>29</v>
      </c>
      <c r="H6144" t="s">
        <v>2822</v>
      </c>
      <c r="I6144" s="8">
        <v>46159</v>
      </c>
      <c r="J6144" t="s">
        <v>2668</v>
      </c>
      <c r="K6144" t="s">
        <v>2669</v>
      </c>
      <c r="L6144" s="13">
        <v>4000</v>
      </c>
      <c r="M6144" t="s">
        <v>2661</v>
      </c>
    </row>
    <row r="6145" spans="1:13">
      <c r="A6145" t="s">
        <v>2409</v>
      </c>
      <c r="B6145" t="s">
        <v>69</v>
      </c>
      <c r="C6145" s="8">
        <v>46287</v>
      </c>
      <c r="D6145" t="s">
        <v>324</v>
      </c>
      <c r="E6145" t="s">
        <v>328</v>
      </c>
      <c r="F6145" s="12">
        <v>290019</v>
      </c>
      <c r="G6145" s="13">
        <v>29</v>
      </c>
      <c r="H6145" t="s">
        <v>3513</v>
      </c>
      <c r="I6145" s="8">
        <v>46161</v>
      </c>
      <c r="J6145" t="s">
        <v>2692</v>
      </c>
      <c r="K6145" t="s">
        <v>2693</v>
      </c>
      <c r="L6145" s="13">
        <v>10000</v>
      </c>
      <c r="M6145" t="s">
        <v>2661</v>
      </c>
    </row>
    <row r="6146" spans="1:13">
      <c r="A6146" t="s">
        <v>2410</v>
      </c>
      <c r="B6146" t="s">
        <v>301</v>
      </c>
      <c r="C6146" s="8">
        <v>46124</v>
      </c>
      <c r="D6146" t="s">
        <v>327</v>
      </c>
      <c r="E6146" t="s">
        <v>334</v>
      </c>
      <c r="F6146" s="12">
        <v>489751</v>
      </c>
      <c r="G6146" s="13">
        <v>48</v>
      </c>
      <c r="H6146" t="s">
        <v>3559</v>
      </c>
      <c r="I6146" s="8">
        <v>46143</v>
      </c>
      <c r="J6146" t="s">
        <v>2663</v>
      </c>
      <c r="K6146" t="s">
        <v>3630</v>
      </c>
      <c r="L6146" s="13">
        <v>1500</v>
      </c>
      <c r="M6146" t="s">
        <v>2676</v>
      </c>
    </row>
    <row r="6147" spans="1:13">
      <c r="A6147" t="s">
        <v>2411</v>
      </c>
      <c r="B6147" t="s">
        <v>142</v>
      </c>
      <c r="C6147" s="8">
        <v>46222</v>
      </c>
      <c r="D6147" t="s">
        <v>321</v>
      </c>
      <c r="E6147" t="s">
        <v>328</v>
      </c>
      <c r="F6147" s="12">
        <v>390883</v>
      </c>
      <c r="G6147" s="13">
        <v>39</v>
      </c>
      <c r="H6147" t="s">
        <v>3558</v>
      </c>
      <c r="I6147" s="8">
        <v>46016</v>
      </c>
      <c r="J6147" t="s">
        <v>2663</v>
      </c>
      <c r="K6147" t="s">
        <v>3630</v>
      </c>
      <c r="L6147" s="13">
        <v>1500</v>
      </c>
      <c r="M6147" t="s">
        <v>2661</v>
      </c>
    </row>
    <row r="6148" spans="1:13">
      <c r="A6148" t="s">
        <v>2412</v>
      </c>
      <c r="B6148" t="s">
        <v>90</v>
      </c>
      <c r="C6148" s="8">
        <v>46180</v>
      </c>
      <c r="D6148" t="s">
        <v>344</v>
      </c>
      <c r="E6148" t="s">
        <v>322</v>
      </c>
      <c r="F6148" s="12">
        <v>345366</v>
      </c>
      <c r="G6148" s="13">
        <v>34</v>
      </c>
      <c r="H6148" t="s">
        <v>3041</v>
      </c>
      <c r="I6148" s="8">
        <v>46040</v>
      </c>
      <c r="J6148" t="s">
        <v>2685</v>
      </c>
      <c r="K6148" t="s">
        <v>2686</v>
      </c>
      <c r="L6148" s="13">
        <v>5000</v>
      </c>
      <c r="M6148" t="s">
        <v>2661</v>
      </c>
    </row>
    <row r="6149" spans="1:13">
      <c r="A6149" t="s">
        <v>2413</v>
      </c>
      <c r="B6149" t="s">
        <v>96</v>
      </c>
      <c r="C6149" s="8">
        <v>46125</v>
      </c>
      <c r="D6149" t="s">
        <v>327</v>
      </c>
      <c r="E6149" t="s">
        <v>325</v>
      </c>
      <c r="F6149" s="12">
        <v>252010</v>
      </c>
      <c r="G6149" s="13">
        <v>25</v>
      </c>
      <c r="H6149" t="s">
        <v>2761</v>
      </c>
      <c r="I6149" s="8">
        <v>46195</v>
      </c>
      <c r="J6149" t="s">
        <v>2665</v>
      </c>
      <c r="K6149" t="s">
        <v>2666</v>
      </c>
      <c r="L6149" s="13">
        <v>2500</v>
      </c>
      <c r="M6149" t="s">
        <v>2661</v>
      </c>
    </row>
    <row r="6150" spans="1:13">
      <c r="A6150" t="s">
        <v>2413</v>
      </c>
      <c r="B6150" t="s">
        <v>96</v>
      </c>
      <c r="C6150" s="8">
        <v>46125</v>
      </c>
      <c r="D6150" t="s">
        <v>327</v>
      </c>
      <c r="E6150" t="s">
        <v>325</v>
      </c>
      <c r="F6150" s="12">
        <v>252010</v>
      </c>
      <c r="G6150" s="13">
        <v>25</v>
      </c>
      <c r="H6150" t="s">
        <v>2839</v>
      </c>
      <c r="I6150" s="8">
        <v>45996</v>
      </c>
      <c r="J6150" t="s">
        <v>2685</v>
      </c>
      <c r="K6150" t="s">
        <v>2686</v>
      </c>
      <c r="L6150" s="13">
        <v>5000</v>
      </c>
      <c r="M6150" t="s">
        <v>2661</v>
      </c>
    </row>
    <row r="6151" spans="1:13">
      <c r="A6151" t="s">
        <v>2413</v>
      </c>
      <c r="B6151" t="s">
        <v>96</v>
      </c>
      <c r="C6151" s="8">
        <v>46125</v>
      </c>
      <c r="D6151" t="s">
        <v>327</v>
      </c>
      <c r="E6151" t="s">
        <v>325</v>
      </c>
      <c r="F6151" s="12">
        <v>252010</v>
      </c>
      <c r="G6151" s="13">
        <v>25</v>
      </c>
      <c r="H6151" t="s">
        <v>3048</v>
      </c>
      <c r="I6151" s="8">
        <v>46256</v>
      </c>
      <c r="J6151" t="s">
        <v>2659</v>
      </c>
      <c r="K6151" t="s">
        <v>2660</v>
      </c>
      <c r="L6151" s="13">
        <v>3500</v>
      </c>
      <c r="M6151" t="s">
        <v>2661</v>
      </c>
    </row>
    <row r="6152" spans="1:13">
      <c r="A6152" t="s">
        <v>2413</v>
      </c>
      <c r="B6152" t="s">
        <v>96</v>
      </c>
      <c r="C6152" s="8">
        <v>46125</v>
      </c>
      <c r="D6152" t="s">
        <v>327</v>
      </c>
      <c r="E6152" t="s">
        <v>325</v>
      </c>
      <c r="F6152" s="12">
        <v>252010</v>
      </c>
      <c r="G6152" s="13">
        <v>25</v>
      </c>
      <c r="H6152" t="s">
        <v>3112</v>
      </c>
      <c r="I6152" s="8">
        <v>46182</v>
      </c>
      <c r="J6152" t="s">
        <v>2668</v>
      </c>
      <c r="K6152" t="s">
        <v>2669</v>
      </c>
      <c r="L6152" s="13">
        <v>4000</v>
      </c>
      <c r="M6152" t="s">
        <v>2661</v>
      </c>
    </row>
    <row r="6153" spans="1:13">
      <c r="A6153" t="s">
        <v>2413</v>
      </c>
      <c r="B6153" t="s">
        <v>96</v>
      </c>
      <c r="C6153" s="8">
        <v>46125</v>
      </c>
      <c r="D6153" t="s">
        <v>327</v>
      </c>
      <c r="E6153" t="s">
        <v>325</v>
      </c>
      <c r="F6153" s="12">
        <v>252010</v>
      </c>
      <c r="G6153" s="13">
        <v>25</v>
      </c>
      <c r="H6153" t="s">
        <v>3389</v>
      </c>
      <c r="I6153" s="8">
        <v>45999</v>
      </c>
      <c r="J6153" t="s">
        <v>2671</v>
      </c>
      <c r="K6153" t="s">
        <v>2672</v>
      </c>
      <c r="L6153" s="13">
        <v>3000</v>
      </c>
      <c r="M6153" t="s">
        <v>2661</v>
      </c>
    </row>
    <row r="6154" spans="1:13">
      <c r="A6154" t="s">
        <v>2413</v>
      </c>
      <c r="B6154" t="s">
        <v>96</v>
      </c>
      <c r="C6154" s="8">
        <v>46125</v>
      </c>
      <c r="D6154" t="s">
        <v>327</v>
      </c>
      <c r="E6154" t="s">
        <v>325</v>
      </c>
      <c r="F6154" s="12">
        <v>252010</v>
      </c>
      <c r="G6154" s="13">
        <v>25</v>
      </c>
      <c r="H6154" t="s">
        <v>3431</v>
      </c>
      <c r="I6154" s="8">
        <v>46091</v>
      </c>
      <c r="J6154" t="s">
        <v>2685</v>
      </c>
      <c r="K6154" t="s">
        <v>2686</v>
      </c>
      <c r="L6154" s="13">
        <v>5000</v>
      </c>
      <c r="M6154" t="s">
        <v>2661</v>
      </c>
    </row>
    <row r="6155" spans="1:13">
      <c r="A6155" t="s">
        <v>2414</v>
      </c>
      <c r="B6155" t="s">
        <v>190</v>
      </c>
      <c r="C6155" s="8">
        <v>46153</v>
      </c>
      <c r="D6155" t="s">
        <v>342</v>
      </c>
      <c r="E6155" t="s">
        <v>322</v>
      </c>
      <c r="F6155" s="12">
        <v>184896</v>
      </c>
      <c r="G6155" s="13">
        <v>18</v>
      </c>
      <c r="H6155" t="s">
        <v>2684</v>
      </c>
      <c r="I6155" s="8">
        <v>46175</v>
      </c>
      <c r="J6155" t="s">
        <v>2685</v>
      </c>
      <c r="K6155" t="s">
        <v>2686</v>
      </c>
      <c r="L6155" s="13">
        <v>5000</v>
      </c>
      <c r="M6155" t="s">
        <v>2661</v>
      </c>
    </row>
    <row r="6156" spans="1:13">
      <c r="A6156" t="s">
        <v>2414</v>
      </c>
      <c r="B6156" t="s">
        <v>190</v>
      </c>
      <c r="C6156" s="8">
        <v>46153</v>
      </c>
      <c r="D6156" t="s">
        <v>342</v>
      </c>
      <c r="E6156" t="s">
        <v>322</v>
      </c>
      <c r="F6156" s="12">
        <v>184896</v>
      </c>
      <c r="G6156" s="13">
        <v>18</v>
      </c>
      <c r="H6156" t="s">
        <v>2834</v>
      </c>
      <c r="I6156" s="8">
        <v>46253</v>
      </c>
      <c r="J6156" t="s">
        <v>2692</v>
      </c>
      <c r="K6156" t="s">
        <v>2693</v>
      </c>
      <c r="L6156" s="13">
        <v>10000</v>
      </c>
      <c r="M6156" t="s">
        <v>2676</v>
      </c>
    </row>
    <row r="6157" spans="1:13">
      <c r="A6157" t="s">
        <v>2414</v>
      </c>
      <c r="B6157" t="s">
        <v>190</v>
      </c>
      <c r="C6157" s="8">
        <v>46153</v>
      </c>
      <c r="D6157" t="s">
        <v>342</v>
      </c>
      <c r="E6157" t="s">
        <v>322</v>
      </c>
      <c r="F6157" s="12">
        <v>184896</v>
      </c>
      <c r="G6157" s="13">
        <v>18</v>
      </c>
      <c r="H6157" t="s">
        <v>2965</v>
      </c>
      <c r="I6157" s="8">
        <v>46102</v>
      </c>
      <c r="J6157" t="s">
        <v>2671</v>
      </c>
      <c r="K6157" t="s">
        <v>2672</v>
      </c>
      <c r="L6157" s="13">
        <v>3000</v>
      </c>
      <c r="M6157" t="s">
        <v>2661</v>
      </c>
    </row>
    <row r="6158" spans="1:13">
      <c r="A6158" t="s">
        <v>2414</v>
      </c>
      <c r="B6158" t="s">
        <v>190</v>
      </c>
      <c r="C6158" s="8">
        <v>46153</v>
      </c>
      <c r="D6158" t="s">
        <v>342</v>
      </c>
      <c r="E6158" t="s">
        <v>322</v>
      </c>
      <c r="F6158" s="12">
        <v>184896</v>
      </c>
      <c r="G6158" s="13">
        <v>18</v>
      </c>
      <c r="H6158" t="s">
        <v>3299</v>
      </c>
      <c r="I6158" s="8">
        <v>46006</v>
      </c>
      <c r="J6158" t="s">
        <v>2685</v>
      </c>
      <c r="K6158" t="s">
        <v>2686</v>
      </c>
      <c r="L6158" s="13">
        <v>5000</v>
      </c>
      <c r="M6158" t="s">
        <v>2661</v>
      </c>
    </row>
    <row r="6159" spans="1:13">
      <c r="A6159" t="s">
        <v>2415</v>
      </c>
      <c r="B6159" t="s">
        <v>294</v>
      </c>
      <c r="C6159" s="8">
        <v>46032</v>
      </c>
      <c r="D6159" t="s">
        <v>327</v>
      </c>
      <c r="E6159" t="s">
        <v>328</v>
      </c>
      <c r="F6159" s="12">
        <v>554706</v>
      </c>
      <c r="G6159" s="13">
        <v>55</v>
      </c>
      <c r="H6159" t="s">
        <v>3571</v>
      </c>
      <c r="I6159" s="8">
        <v>45937</v>
      </c>
      <c r="J6159" t="s">
        <v>2663</v>
      </c>
      <c r="K6159" t="s">
        <v>3630</v>
      </c>
      <c r="L6159" s="13">
        <v>1500</v>
      </c>
      <c r="M6159" t="s">
        <v>2661</v>
      </c>
    </row>
    <row r="6160" spans="1:13">
      <c r="A6160" t="s">
        <v>2415</v>
      </c>
      <c r="B6160" t="s">
        <v>294</v>
      </c>
      <c r="C6160" s="8">
        <v>46032</v>
      </c>
      <c r="D6160" t="s">
        <v>327</v>
      </c>
      <c r="E6160" t="s">
        <v>328</v>
      </c>
      <c r="F6160" s="12">
        <v>554706</v>
      </c>
      <c r="G6160" s="13">
        <v>55</v>
      </c>
      <c r="H6160" t="s">
        <v>3572</v>
      </c>
      <c r="I6160" s="8">
        <v>46039</v>
      </c>
      <c r="J6160" t="s">
        <v>2668</v>
      </c>
      <c r="K6160" t="s">
        <v>2669</v>
      </c>
      <c r="L6160" s="13">
        <v>4000</v>
      </c>
      <c r="M6160" t="s">
        <v>2661</v>
      </c>
    </row>
    <row r="6161" spans="1:13">
      <c r="A6161" t="s">
        <v>2416</v>
      </c>
      <c r="B6161" t="s">
        <v>202</v>
      </c>
      <c r="C6161" s="8">
        <v>46266</v>
      </c>
      <c r="D6161" t="s">
        <v>332</v>
      </c>
      <c r="E6161" t="s">
        <v>334</v>
      </c>
      <c r="F6161" s="12">
        <v>691211</v>
      </c>
      <c r="G6161" s="13">
        <v>69</v>
      </c>
      <c r="H6161" t="s">
        <v>3145</v>
      </c>
      <c r="I6161" s="8">
        <v>46214</v>
      </c>
      <c r="J6161" t="s">
        <v>2665</v>
      </c>
      <c r="K6161" t="s">
        <v>2666</v>
      </c>
      <c r="L6161" s="13">
        <v>2500</v>
      </c>
      <c r="M6161" t="s">
        <v>2676</v>
      </c>
    </row>
    <row r="6162" spans="1:13">
      <c r="A6162" t="s">
        <v>2416</v>
      </c>
      <c r="B6162" t="s">
        <v>202</v>
      </c>
      <c r="C6162" s="8">
        <v>46266</v>
      </c>
      <c r="D6162" t="s">
        <v>332</v>
      </c>
      <c r="E6162" t="s">
        <v>334</v>
      </c>
      <c r="F6162" s="12">
        <v>691211</v>
      </c>
      <c r="G6162" s="13">
        <v>69</v>
      </c>
      <c r="H6162" t="s">
        <v>3155</v>
      </c>
      <c r="I6162" s="8">
        <v>46206</v>
      </c>
      <c r="J6162" t="s">
        <v>2659</v>
      </c>
      <c r="K6162" t="s">
        <v>2660</v>
      </c>
      <c r="L6162" s="13">
        <v>3500</v>
      </c>
      <c r="M6162" t="s">
        <v>2661</v>
      </c>
    </row>
    <row r="6163" spans="1:13">
      <c r="A6163" t="s">
        <v>2417</v>
      </c>
      <c r="B6163" t="s">
        <v>287</v>
      </c>
      <c r="C6163" s="8">
        <v>46014</v>
      </c>
      <c r="D6163" t="s">
        <v>344</v>
      </c>
      <c r="E6163" t="s">
        <v>328</v>
      </c>
      <c r="F6163" s="12">
        <v>544074</v>
      </c>
      <c r="G6163" s="13">
        <v>54</v>
      </c>
      <c r="H6163" t="s">
        <v>2902</v>
      </c>
      <c r="I6163" s="8">
        <v>46135</v>
      </c>
      <c r="J6163" t="s">
        <v>2692</v>
      </c>
      <c r="K6163" t="s">
        <v>2693</v>
      </c>
      <c r="L6163" s="13">
        <v>10000</v>
      </c>
      <c r="M6163" t="s">
        <v>2661</v>
      </c>
    </row>
    <row r="6164" spans="1:13">
      <c r="A6164" t="s">
        <v>2417</v>
      </c>
      <c r="B6164" t="s">
        <v>287</v>
      </c>
      <c r="C6164" s="8">
        <v>46014</v>
      </c>
      <c r="D6164" t="s">
        <v>344</v>
      </c>
      <c r="E6164" t="s">
        <v>328</v>
      </c>
      <c r="F6164" s="12">
        <v>544074</v>
      </c>
      <c r="G6164" s="13">
        <v>54</v>
      </c>
      <c r="H6164" t="s">
        <v>2980</v>
      </c>
      <c r="I6164" s="8">
        <v>46280</v>
      </c>
      <c r="J6164" t="s">
        <v>2663</v>
      </c>
      <c r="K6164" t="s">
        <v>3630</v>
      </c>
      <c r="L6164" s="13">
        <v>1500</v>
      </c>
      <c r="M6164" t="s">
        <v>2661</v>
      </c>
    </row>
    <row r="6165" spans="1:13">
      <c r="A6165" t="s">
        <v>2417</v>
      </c>
      <c r="B6165" t="s">
        <v>287</v>
      </c>
      <c r="C6165" s="8">
        <v>46014</v>
      </c>
      <c r="D6165" t="s">
        <v>344</v>
      </c>
      <c r="E6165" t="s">
        <v>328</v>
      </c>
      <c r="F6165" s="12">
        <v>544074</v>
      </c>
      <c r="G6165" s="13">
        <v>54</v>
      </c>
      <c r="H6165" t="s">
        <v>3096</v>
      </c>
      <c r="I6165" s="8">
        <v>46218</v>
      </c>
      <c r="J6165" t="s">
        <v>2688</v>
      </c>
      <c r="K6165" t="s">
        <v>2689</v>
      </c>
      <c r="L6165" s="13">
        <v>8000</v>
      </c>
      <c r="M6165" t="s">
        <v>2661</v>
      </c>
    </row>
    <row r="6166" spans="1:13">
      <c r="A6166" t="s">
        <v>2417</v>
      </c>
      <c r="B6166" t="s">
        <v>287</v>
      </c>
      <c r="C6166" s="8">
        <v>46014</v>
      </c>
      <c r="D6166" t="s">
        <v>344</v>
      </c>
      <c r="E6166" t="s">
        <v>328</v>
      </c>
      <c r="F6166" s="12">
        <v>544074</v>
      </c>
      <c r="G6166" s="13">
        <v>54</v>
      </c>
      <c r="H6166" t="s">
        <v>3129</v>
      </c>
      <c r="I6166" s="8">
        <v>45981</v>
      </c>
      <c r="J6166" t="s">
        <v>2685</v>
      </c>
      <c r="K6166" t="s">
        <v>2686</v>
      </c>
      <c r="L6166" s="13">
        <v>5000</v>
      </c>
      <c r="M6166" t="s">
        <v>2661</v>
      </c>
    </row>
    <row r="6167" spans="1:13">
      <c r="A6167" t="s">
        <v>2417</v>
      </c>
      <c r="B6167" t="s">
        <v>287</v>
      </c>
      <c r="C6167" s="8">
        <v>46014</v>
      </c>
      <c r="D6167" t="s">
        <v>344</v>
      </c>
      <c r="E6167" t="s">
        <v>328</v>
      </c>
      <c r="F6167" s="12">
        <v>544074</v>
      </c>
      <c r="G6167" s="13">
        <v>54</v>
      </c>
      <c r="H6167" t="s">
        <v>3237</v>
      </c>
      <c r="I6167" s="8">
        <v>46146</v>
      </c>
      <c r="J6167" t="s">
        <v>2682</v>
      </c>
      <c r="K6167" t="s">
        <v>2683</v>
      </c>
      <c r="L6167" s="13">
        <v>6000</v>
      </c>
      <c r="M6167" t="s">
        <v>2676</v>
      </c>
    </row>
    <row r="6168" spans="1:13">
      <c r="A6168" t="s">
        <v>2417</v>
      </c>
      <c r="B6168" t="s">
        <v>287</v>
      </c>
      <c r="C6168" s="8">
        <v>46014</v>
      </c>
      <c r="D6168" t="s">
        <v>344</v>
      </c>
      <c r="E6168" t="s">
        <v>328</v>
      </c>
      <c r="F6168" s="12">
        <v>544074</v>
      </c>
      <c r="G6168" s="13">
        <v>54</v>
      </c>
      <c r="H6168" t="s">
        <v>3576</v>
      </c>
      <c r="I6168" s="8">
        <v>46119</v>
      </c>
      <c r="J6168" t="s">
        <v>2688</v>
      </c>
      <c r="K6168" t="s">
        <v>2689</v>
      </c>
      <c r="L6168" s="13">
        <v>8000</v>
      </c>
      <c r="M6168" t="s">
        <v>2661</v>
      </c>
    </row>
    <row r="6169" spans="1:13">
      <c r="A6169" t="s">
        <v>2418</v>
      </c>
      <c r="B6169" t="s">
        <v>122</v>
      </c>
      <c r="C6169" s="8">
        <v>46261</v>
      </c>
      <c r="D6169" t="s">
        <v>321</v>
      </c>
      <c r="E6169" t="s">
        <v>328</v>
      </c>
      <c r="F6169" s="12">
        <v>749109</v>
      </c>
      <c r="G6169" s="13">
        <v>74</v>
      </c>
      <c r="H6169" t="s">
        <v>2998</v>
      </c>
      <c r="I6169" s="8">
        <v>46159</v>
      </c>
      <c r="J6169" t="s">
        <v>2659</v>
      </c>
      <c r="K6169" t="s">
        <v>2660</v>
      </c>
      <c r="L6169" s="13">
        <v>3500</v>
      </c>
      <c r="M6169" t="s">
        <v>2661</v>
      </c>
    </row>
    <row r="6170" spans="1:13">
      <c r="A6170" t="s">
        <v>2418</v>
      </c>
      <c r="B6170" t="s">
        <v>122</v>
      </c>
      <c r="C6170" s="8">
        <v>46261</v>
      </c>
      <c r="D6170" t="s">
        <v>321</v>
      </c>
      <c r="E6170" t="s">
        <v>328</v>
      </c>
      <c r="F6170" s="12">
        <v>749109</v>
      </c>
      <c r="G6170" s="13">
        <v>74</v>
      </c>
      <c r="H6170" t="s">
        <v>3144</v>
      </c>
      <c r="I6170" s="8">
        <v>45940</v>
      </c>
      <c r="J6170" t="s">
        <v>2692</v>
      </c>
      <c r="K6170" t="s">
        <v>2693</v>
      </c>
      <c r="L6170" s="13">
        <v>10000</v>
      </c>
      <c r="M6170" t="s">
        <v>2661</v>
      </c>
    </row>
    <row r="6171" spans="1:13">
      <c r="A6171" t="s">
        <v>2419</v>
      </c>
      <c r="B6171" t="s">
        <v>285</v>
      </c>
      <c r="C6171" s="8">
        <v>46102</v>
      </c>
      <c r="D6171" t="s">
        <v>342</v>
      </c>
      <c r="E6171" t="s">
        <v>339</v>
      </c>
      <c r="F6171" s="12">
        <v>182085</v>
      </c>
      <c r="G6171" s="13">
        <v>18</v>
      </c>
      <c r="H6171" t="s">
        <v>2745</v>
      </c>
      <c r="I6171" s="8">
        <v>46274</v>
      </c>
      <c r="J6171" t="s">
        <v>2682</v>
      </c>
      <c r="K6171" t="s">
        <v>2683</v>
      </c>
      <c r="L6171" s="13">
        <v>6000</v>
      </c>
      <c r="M6171" t="s">
        <v>2661</v>
      </c>
    </row>
    <row r="6172" spans="1:13">
      <c r="A6172" t="s">
        <v>2420</v>
      </c>
      <c r="B6172" t="s">
        <v>231</v>
      </c>
      <c r="C6172" s="8">
        <v>46208</v>
      </c>
      <c r="D6172" t="s">
        <v>350</v>
      </c>
      <c r="E6172" t="s">
        <v>328</v>
      </c>
      <c r="F6172" s="12">
        <v>1003252</v>
      </c>
      <c r="G6172" s="13">
        <v>100</v>
      </c>
      <c r="H6172" t="s">
        <v>2875</v>
      </c>
      <c r="I6172" s="8">
        <v>46085</v>
      </c>
      <c r="J6172" t="s">
        <v>2665</v>
      </c>
      <c r="K6172" t="s">
        <v>2666</v>
      </c>
      <c r="L6172" s="13">
        <v>2500</v>
      </c>
      <c r="M6172" t="s">
        <v>2661</v>
      </c>
    </row>
    <row r="6173" spans="1:13">
      <c r="A6173" t="s">
        <v>2420</v>
      </c>
      <c r="B6173" t="s">
        <v>231</v>
      </c>
      <c r="C6173" s="8">
        <v>46208</v>
      </c>
      <c r="D6173" t="s">
        <v>350</v>
      </c>
      <c r="E6173" t="s">
        <v>328</v>
      </c>
      <c r="F6173" s="12">
        <v>1003252</v>
      </c>
      <c r="G6173" s="13">
        <v>100</v>
      </c>
      <c r="H6173" t="s">
        <v>3014</v>
      </c>
      <c r="I6173" s="8">
        <v>46207</v>
      </c>
      <c r="J6173" t="s">
        <v>2665</v>
      </c>
      <c r="K6173" t="s">
        <v>2666</v>
      </c>
      <c r="L6173" s="13">
        <v>2500</v>
      </c>
      <c r="M6173" t="s">
        <v>2676</v>
      </c>
    </row>
    <row r="6174" spans="1:13">
      <c r="A6174" t="s">
        <v>2421</v>
      </c>
      <c r="B6174" t="s">
        <v>118</v>
      </c>
      <c r="C6174" s="8">
        <v>46049</v>
      </c>
      <c r="D6174" t="s">
        <v>332</v>
      </c>
      <c r="E6174" t="s">
        <v>337</v>
      </c>
      <c r="F6174" s="12">
        <v>84133</v>
      </c>
      <c r="G6174" s="13">
        <v>8</v>
      </c>
      <c r="H6174" t="s">
        <v>2709</v>
      </c>
      <c r="I6174" s="8">
        <v>46119</v>
      </c>
      <c r="J6174" t="s">
        <v>2685</v>
      </c>
      <c r="K6174" t="s">
        <v>2686</v>
      </c>
      <c r="L6174" s="13">
        <v>5000</v>
      </c>
      <c r="M6174" t="s">
        <v>2661</v>
      </c>
    </row>
    <row r="6175" spans="1:13">
      <c r="A6175" t="s">
        <v>2421</v>
      </c>
      <c r="B6175" t="s">
        <v>118</v>
      </c>
      <c r="C6175" s="8">
        <v>46049</v>
      </c>
      <c r="D6175" t="s">
        <v>332</v>
      </c>
      <c r="E6175" t="s">
        <v>337</v>
      </c>
      <c r="F6175" s="12">
        <v>84133</v>
      </c>
      <c r="G6175" s="13">
        <v>8</v>
      </c>
      <c r="H6175" t="s">
        <v>2853</v>
      </c>
      <c r="I6175" s="8">
        <v>46269</v>
      </c>
      <c r="J6175" t="s">
        <v>2688</v>
      </c>
      <c r="K6175" t="s">
        <v>2689</v>
      </c>
      <c r="L6175" s="13">
        <v>8000</v>
      </c>
      <c r="M6175" t="s">
        <v>2661</v>
      </c>
    </row>
    <row r="6176" spans="1:13">
      <c r="A6176" t="s">
        <v>2421</v>
      </c>
      <c r="B6176" t="s">
        <v>118</v>
      </c>
      <c r="C6176" s="8">
        <v>46049</v>
      </c>
      <c r="D6176" t="s">
        <v>332</v>
      </c>
      <c r="E6176" t="s">
        <v>337</v>
      </c>
      <c r="F6176" s="12">
        <v>84133</v>
      </c>
      <c r="G6176" s="13">
        <v>8</v>
      </c>
      <c r="H6176" t="s">
        <v>2932</v>
      </c>
      <c r="I6176" s="8">
        <v>45982</v>
      </c>
      <c r="J6176" t="s">
        <v>2685</v>
      </c>
      <c r="K6176" t="s">
        <v>2686</v>
      </c>
      <c r="L6176" s="13">
        <v>5000</v>
      </c>
      <c r="M6176" t="s">
        <v>2661</v>
      </c>
    </row>
    <row r="6177" spans="1:13">
      <c r="A6177" t="s">
        <v>2421</v>
      </c>
      <c r="B6177" t="s">
        <v>118</v>
      </c>
      <c r="C6177" s="8">
        <v>46049</v>
      </c>
      <c r="D6177" t="s">
        <v>332</v>
      </c>
      <c r="E6177" t="s">
        <v>337</v>
      </c>
      <c r="F6177" s="12">
        <v>84133</v>
      </c>
      <c r="G6177" s="13">
        <v>8</v>
      </c>
      <c r="H6177" t="s">
        <v>3562</v>
      </c>
      <c r="I6177" s="8">
        <v>46251</v>
      </c>
      <c r="J6177" t="s">
        <v>2692</v>
      </c>
      <c r="K6177" t="s">
        <v>2693</v>
      </c>
      <c r="L6177" s="13">
        <v>10000</v>
      </c>
      <c r="M6177" t="s">
        <v>2661</v>
      </c>
    </row>
    <row r="6178" spans="1:13">
      <c r="A6178" t="s">
        <v>2422</v>
      </c>
      <c r="B6178" t="s">
        <v>127</v>
      </c>
      <c r="C6178" s="8">
        <v>46154</v>
      </c>
      <c r="D6178" t="s">
        <v>321</v>
      </c>
      <c r="E6178" t="s">
        <v>337</v>
      </c>
      <c r="F6178" s="12">
        <v>225433</v>
      </c>
      <c r="G6178" s="13">
        <v>22</v>
      </c>
      <c r="H6178" t="s">
        <v>2841</v>
      </c>
      <c r="I6178" s="8">
        <v>46149</v>
      </c>
      <c r="J6178" t="s">
        <v>2659</v>
      </c>
      <c r="K6178" t="s">
        <v>2660</v>
      </c>
      <c r="L6178" s="13">
        <v>3500</v>
      </c>
      <c r="M6178" t="s">
        <v>2661</v>
      </c>
    </row>
    <row r="6179" spans="1:13">
      <c r="A6179" t="s">
        <v>2422</v>
      </c>
      <c r="B6179" t="s">
        <v>127</v>
      </c>
      <c r="C6179" s="8">
        <v>46154</v>
      </c>
      <c r="D6179" t="s">
        <v>321</v>
      </c>
      <c r="E6179" t="s">
        <v>337</v>
      </c>
      <c r="F6179" s="12">
        <v>225433</v>
      </c>
      <c r="G6179" s="13">
        <v>22</v>
      </c>
      <c r="H6179" t="s">
        <v>3175</v>
      </c>
      <c r="I6179" s="8">
        <v>46280</v>
      </c>
      <c r="J6179" t="s">
        <v>2665</v>
      </c>
      <c r="K6179" t="s">
        <v>2666</v>
      </c>
      <c r="L6179" s="13">
        <v>2500</v>
      </c>
      <c r="M6179" t="s">
        <v>2661</v>
      </c>
    </row>
    <row r="6180" spans="1:13">
      <c r="A6180" t="s">
        <v>2423</v>
      </c>
      <c r="B6180" t="s">
        <v>210</v>
      </c>
      <c r="C6180" s="8">
        <v>46177</v>
      </c>
      <c r="D6180" t="s">
        <v>324</v>
      </c>
      <c r="E6180" t="s">
        <v>328</v>
      </c>
      <c r="F6180" s="12">
        <v>171754</v>
      </c>
      <c r="G6180" s="13">
        <v>17</v>
      </c>
      <c r="H6180" t="s">
        <v>2771</v>
      </c>
      <c r="I6180" s="8">
        <v>46292</v>
      </c>
      <c r="J6180" t="s">
        <v>2674</v>
      </c>
      <c r="K6180" t="s">
        <v>2675</v>
      </c>
      <c r="L6180" s="13">
        <v>20000</v>
      </c>
      <c r="M6180" t="s">
        <v>2661</v>
      </c>
    </row>
    <row r="6181" spans="1:13">
      <c r="A6181" t="s">
        <v>2423</v>
      </c>
      <c r="B6181" t="s">
        <v>210</v>
      </c>
      <c r="C6181" s="8">
        <v>46177</v>
      </c>
      <c r="D6181" t="s">
        <v>324</v>
      </c>
      <c r="E6181" t="s">
        <v>328</v>
      </c>
      <c r="F6181" s="12">
        <v>171754</v>
      </c>
      <c r="G6181" s="13">
        <v>17</v>
      </c>
      <c r="H6181" t="s">
        <v>2860</v>
      </c>
      <c r="I6181" s="8">
        <v>46250</v>
      </c>
      <c r="J6181" t="s">
        <v>2688</v>
      </c>
      <c r="K6181" t="s">
        <v>2689</v>
      </c>
      <c r="L6181" s="13">
        <v>8000</v>
      </c>
      <c r="M6181" t="s">
        <v>2661</v>
      </c>
    </row>
    <row r="6182" spans="1:13">
      <c r="A6182" t="s">
        <v>2423</v>
      </c>
      <c r="B6182" t="s">
        <v>210</v>
      </c>
      <c r="C6182" s="8">
        <v>46177</v>
      </c>
      <c r="D6182" t="s">
        <v>324</v>
      </c>
      <c r="E6182" t="s">
        <v>328</v>
      </c>
      <c r="F6182" s="12">
        <v>171754</v>
      </c>
      <c r="G6182" s="13">
        <v>17</v>
      </c>
      <c r="H6182" t="s">
        <v>2892</v>
      </c>
      <c r="I6182" s="8">
        <v>46230</v>
      </c>
      <c r="J6182" t="s">
        <v>2671</v>
      </c>
      <c r="K6182" t="s">
        <v>2672</v>
      </c>
      <c r="L6182" s="13">
        <v>3000</v>
      </c>
      <c r="M6182" t="s">
        <v>2661</v>
      </c>
    </row>
    <row r="6183" spans="1:13">
      <c r="A6183" t="s">
        <v>2423</v>
      </c>
      <c r="B6183" t="s">
        <v>210</v>
      </c>
      <c r="C6183" s="8">
        <v>46177</v>
      </c>
      <c r="D6183" t="s">
        <v>324</v>
      </c>
      <c r="E6183" t="s">
        <v>328</v>
      </c>
      <c r="F6183" s="12">
        <v>171754</v>
      </c>
      <c r="G6183" s="13">
        <v>17</v>
      </c>
      <c r="H6183" t="s">
        <v>3054</v>
      </c>
      <c r="I6183" s="8">
        <v>46291</v>
      </c>
      <c r="J6183" t="s">
        <v>2685</v>
      </c>
      <c r="K6183" t="s">
        <v>2686</v>
      </c>
      <c r="L6183" s="13">
        <v>5000</v>
      </c>
      <c r="M6183" t="s">
        <v>2676</v>
      </c>
    </row>
    <row r="6184" spans="1:13">
      <c r="A6184" t="s">
        <v>2423</v>
      </c>
      <c r="B6184" t="s">
        <v>210</v>
      </c>
      <c r="C6184" s="8">
        <v>46177</v>
      </c>
      <c r="D6184" t="s">
        <v>324</v>
      </c>
      <c r="E6184" t="s">
        <v>328</v>
      </c>
      <c r="F6184" s="12">
        <v>171754</v>
      </c>
      <c r="G6184" s="13">
        <v>17</v>
      </c>
      <c r="H6184" t="s">
        <v>3111</v>
      </c>
      <c r="I6184" s="8">
        <v>46232</v>
      </c>
      <c r="J6184" t="s">
        <v>2665</v>
      </c>
      <c r="K6184" t="s">
        <v>2666</v>
      </c>
      <c r="L6184" s="13">
        <v>2500</v>
      </c>
      <c r="M6184" t="s">
        <v>2661</v>
      </c>
    </row>
    <row r="6185" spans="1:13">
      <c r="A6185" t="s">
        <v>2424</v>
      </c>
      <c r="B6185" t="s">
        <v>101</v>
      </c>
      <c r="C6185" s="8">
        <v>45965</v>
      </c>
      <c r="D6185" t="s">
        <v>324</v>
      </c>
      <c r="E6185" t="s">
        <v>322</v>
      </c>
      <c r="F6185" s="12">
        <v>510286</v>
      </c>
      <c r="G6185" s="13">
        <v>51</v>
      </c>
      <c r="H6185" t="s">
        <v>2781</v>
      </c>
      <c r="I6185" s="8">
        <v>46017</v>
      </c>
      <c r="J6185" t="s">
        <v>2663</v>
      </c>
      <c r="K6185" t="s">
        <v>3630</v>
      </c>
      <c r="L6185" s="13">
        <v>1500</v>
      </c>
      <c r="M6185" t="s">
        <v>2676</v>
      </c>
    </row>
    <row r="6186" spans="1:13">
      <c r="A6186" t="s">
        <v>2424</v>
      </c>
      <c r="B6186" t="s">
        <v>101</v>
      </c>
      <c r="C6186" s="8">
        <v>45965</v>
      </c>
      <c r="D6186" t="s">
        <v>324</v>
      </c>
      <c r="E6186" t="s">
        <v>322</v>
      </c>
      <c r="F6186" s="12">
        <v>510286</v>
      </c>
      <c r="G6186" s="13">
        <v>51</v>
      </c>
      <c r="H6186" t="s">
        <v>3051</v>
      </c>
      <c r="I6186" s="8">
        <v>46004</v>
      </c>
      <c r="J6186" t="s">
        <v>2671</v>
      </c>
      <c r="K6186" t="s">
        <v>2672</v>
      </c>
      <c r="L6186" s="13">
        <v>3000</v>
      </c>
      <c r="M6186" t="s">
        <v>2676</v>
      </c>
    </row>
    <row r="6187" spans="1:13">
      <c r="A6187" t="s">
        <v>2424</v>
      </c>
      <c r="B6187" t="s">
        <v>101</v>
      </c>
      <c r="C6187" s="8">
        <v>45965</v>
      </c>
      <c r="D6187" t="s">
        <v>324</v>
      </c>
      <c r="E6187" t="s">
        <v>322</v>
      </c>
      <c r="F6187" s="12">
        <v>510286</v>
      </c>
      <c r="G6187" s="13">
        <v>51</v>
      </c>
      <c r="H6187" t="s">
        <v>3369</v>
      </c>
      <c r="I6187" s="8">
        <v>45964</v>
      </c>
      <c r="J6187" t="s">
        <v>2665</v>
      </c>
      <c r="K6187" t="s">
        <v>2666</v>
      </c>
      <c r="L6187" s="13">
        <v>2500</v>
      </c>
      <c r="M6187" t="s">
        <v>2661</v>
      </c>
    </row>
    <row r="6188" spans="1:13">
      <c r="A6188" t="s">
        <v>2425</v>
      </c>
      <c r="B6188" t="s">
        <v>72</v>
      </c>
      <c r="C6188" s="8">
        <v>46026</v>
      </c>
      <c r="D6188" t="s">
        <v>324</v>
      </c>
      <c r="E6188" t="s">
        <v>322</v>
      </c>
      <c r="F6188" s="12">
        <v>240874</v>
      </c>
      <c r="G6188" s="13">
        <v>24</v>
      </c>
      <c r="H6188" t="s">
        <v>2867</v>
      </c>
      <c r="I6188" s="8">
        <v>46133</v>
      </c>
      <c r="J6188" t="s">
        <v>2692</v>
      </c>
      <c r="K6188" t="s">
        <v>2693</v>
      </c>
      <c r="L6188" s="13">
        <v>10000</v>
      </c>
      <c r="M6188" t="s">
        <v>2661</v>
      </c>
    </row>
    <row r="6189" spans="1:13">
      <c r="A6189" t="s">
        <v>2425</v>
      </c>
      <c r="B6189" t="s">
        <v>72</v>
      </c>
      <c r="C6189" s="8">
        <v>46026</v>
      </c>
      <c r="D6189" t="s">
        <v>324</v>
      </c>
      <c r="E6189" t="s">
        <v>322</v>
      </c>
      <c r="F6189" s="12">
        <v>240874</v>
      </c>
      <c r="G6189" s="13">
        <v>24</v>
      </c>
      <c r="H6189" t="s">
        <v>2882</v>
      </c>
      <c r="I6189" s="8">
        <v>46263</v>
      </c>
      <c r="J6189" t="s">
        <v>2659</v>
      </c>
      <c r="K6189" t="s">
        <v>2660</v>
      </c>
      <c r="L6189" s="13">
        <v>3500</v>
      </c>
      <c r="M6189" t="s">
        <v>2661</v>
      </c>
    </row>
    <row r="6190" spans="1:13">
      <c r="A6190" t="s">
        <v>2425</v>
      </c>
      <c r="B6190" t="s">
        <v>72</v>
      </c>
      <c r="C6190" s="8">
        <v>46026</v>
      </c>
      <c r="D6190" t="s">
        <v>324</v>
      </c>
      <c r="E6190" t="s">
        <v>322</v>
      </c>
      <c r="F6190" s="12">
        <v>240874</v>
      </c>
      <c r="G6190" s="13">
        <v>24</v>
      </c>
      <c r="H6190" t="s">
        <v>2960</v>
      </c>
      <c r="I6190" s="8">
        <v>46011</v>
      </c>
      <c r="J6190" t="s">
        <v>2671</v>
      </c>
      <c r="K6190" t="s">
        <v>2672</v>
      </c>
      <c r="L6190" s="13">
        <v>3000</v>
      </c>
      <c r="M6190" t="s">
        <v>2661</v>
      </c>
    </row>
    <row r="6191" spans="1:13">
      <c r="A6191" t="s">
        <v>2425</v>
      </c>
      <c r="B6191" t="s">
        <v>72</v>
      </c>
      <c r="C6191" s="8">
        <v>46026</v>
      </c>
      <c r="D6191" t="s">
        <v>324</v>
      </c>
      <c r="E6191" t="s">
        <v>322</v>
      </c>
      <c r="F6191" s="12">
        <v>240874</v>
      </c>
      <c r="G6191" s="13">
        <v>24</v>
      </c>
      <c r="H6191" t="s">
        <v>3202</v>
      </c>
      <c r="I6191" s="8">
        <v>46044</v>
      </c>
      <c r="J6191" t="s">
        <v>2685</v>
      </c>
      <c r="K6191" t="s">
        <v>2686</v>
      </c>
      <c r="L6191" s="13">
        <v>5000</v>
      </c>
      <c r="M6191" t="s">
        <v>2661</v>
      </c>
    </row>
    <row r="6192" spans="1:13">
      <c r="A6192" t="s">
        <v>2425</v>
      </c>
      <c r="B6192" t="s">
        <v>72</v>
      </c>
      <c r="C6192" s="8">
        <v>46026</v>
      </c>
      <c r="D6192" t="s">
        <v>324</v>
      </c>
      <c r="E6192" t="s">
        <v>322</v>
      </c>
      <c r="F6192" s="12">
        <v>240874</v>
      </c>
      <c r="G6192" s="13">
        <v>24</v>
      </c>
      <c r="H6192" t="s">
        <v>3453</v>
      </c>
      <c r="I6192" s="8">
        <v>45963</v>
      </c>
      <c r="J6192" t="s">
        <v>2692</v>
      </c>
      <c r="K6192" t="s">
        <v>2693</v>
      </c>
      <c r="L6192" s="13">
        <v>10000</v>
      </c>
      <c r="M6192" t="s">
        <v>2676</v>
      </c>
    </row>
    <row r="6193" spans="1:13">
      <c r="A6193" t="s">
        <v>2426</v>
      </c>
      <c r="B6193" t="s">
        <v>109</v>
      </c>
      <c r="C6193" s="8">
        <v>46147</v>
      </c>
      <c r="D6193" t="s">
        <v>350</v>
      </c>
      <c r="E6193" t="s">
        <v>325</v>
      </c>
      <c r="F6193" s="12">
        <v>160380</v>
      </c>
      <c r="G6193" s="13">
        <v>16</v>
      </c>
      <c r="H6193" t="s">
        <v>2848</v>
      </c>
      <c r="I6193" s="8">
        <v>46269</v>
      </c>
      <c r="J6193" t="s">
        <v>2659</v>
      </c>
      <c r="K6193" t="s">
        <v>2660</v>
      </c>
      <c r="L6193" s="13">
        <v>3500</v>
      </c>
      <c r="M6193" t="s">
        <v>2676</v>
      </c>
    </row>
    <row r="6194" spans="1:13">
      <c r="A6194" t="s">
        <v>2426</v>
      </c>
      <c r="B6194" t="s">
        <v>109</v>
      </c>
      <c r="C6194" s="8">
        <v>46147</v>
      </c>
      <c r="D6194" t="s">
        <v>350</v>
      </c>
      <c r="E6194" t="s">
        <v>325</v>
      </c>
      <c r="F6194" s="12">
        <v>160380</v>
      </c>
      <c r="G6194" s="13">
        <v>16</v>
      </c>
      <c r="H6194" t="s">
        <v>3196</v>
      </c>
      <c r="I6194" s="8">
        <v>46238</v>
      </c>
      <c r="J6194" t="s">
        <v>2674</v>
      </c>
      <c r="K6194" t="s">
        <v>2675</v>
      </c>
      <c r="L6194" s="13">
        <v>20000</v>
      </c>
      <c r="M6194" t="s">
        <v>2661</v>
      </c>
    </row>
    <row r="6195" spans="1:13">
      <c r="A6195" t="s">
        <v>2427</v>
      </c>
      <c r="B6195" t="s">
        <v>274</v>
      </c>
      <c r="C6195" s="8">
        <v>45987</v>
      </c>
      <c r="D6195" t="s">
        <v>327</v>
      </c>
      <c r="E6195" t="s">
        <v>328</v>
      </c>
      <c r="F6195" s="12">
        <v>214039</v>
      </c>
      <c r="G6195" s="13">
        <v>21</v>
      </c>
      <c r="H6195" t="s">
        <v>2774</v>
      </c>
      <c r="I6195" s="8">
        <v>46157</v>
      </c>
      <c r="J6195" t="s">
        <v>2685</v>
      </c>
      <c r="K6195" t="s">
        <v>2686</v>
      </c>
      <c r="L6195" s="13">
        <v>5000</v>
      </c>
      <c r="M6195" t="s">
        <v>2661</v>
      </c>
    </row>
    <row r="6196" spans="1:13">
      <c r="A6196" t="s">
        <v>2427</v>
      </c>
      <c r="B6196" t="s">
        <v>274</v>
      </c>
      <c r="C6196" s="8">
        <v>45987</v>
      </c>
      <c r="D6196" t="s">
        <v>327</v>
      </c>
      <c r="E6196" t="s">
        <v>328</v>
      </c>
      <c r="F6196" s="12">
        <v>214039</v>
      </c>
      <c r="G6196" s="13">
        <v>21</v>
      </c>
      <c r="H6196" t="s">
        <v>2811</v>
      </c>
      <c r="I6196" s="8">
        <v>45976</v>
      </c>
      <c r="J6196" t="s">
        <v>2688</v>
      </c>
      <c r="K6196" t="s">
        <v>2689</v>
      </c>
      <c r="L6196" s="13">
        <v>8000</v>
      </c>
      <c r="M6196" t="s">
        <v>2661</v>
      </c>
    </row>
    <row r="6197" spans="1:13">
      <c r="A6197" t="s">
        <v>2427</v>
      </c>
      <c r="B6197" t="s">
        <v>274</v>
      </c>
      <c r="C6197" s="8">
        <v>45987</v>
      </c>
      <c r="D6197" t="s">
        <v>327</v>
      </c>
      <c r="E6197" t="s">
        <v>328</v>
      </c>
      <c r="F6197" s="12">
        <v>214039</v>
      </c>
      <c r="G6197" s="13">
        <v>21</v>
      </c>
      <c r="H6197" t="s">
        <v>2842</v>
      </c>
      <c r="I6197" s="8">
        <v>46222</v>
      </c>
      <c r="J6197" t="s">
        <v>2682</v>
      </c>
      <c r="K6197" t="s">
        <v>2683</v>
      </c>
      <c r="L6197" s="13">
        <v>6000</v>
      </c>
      <c r="M6197" t="s">
        <v>2661</v>
      </c>
    </row>
    <row r="6198" spans="1:13">
      <c r="A6198" t="s">
        <v>2427</v>
      </c>
      <c r="B6198" t="s">
        <v>274</v>
      </c>
      <c r="C6198" s="8">
        <v>45987</v>
      </c>
      <c r="D6198" t="s">
        <v>327</v>
      </c>
      <c r="E6198" t="s">
        <v>328</v>
      </c>
      <c r="F6198" s="12">
        <v>214039</v>
      </c>
      <c r="G6198" s="13">
        <v>21</v>
      </c>
      <c r="H6198" t="s">
        <v>2855</v>
      </c>
      <c r="I6198" s="8">
        <v>46132</v>
      </c>
      <c r="J6198" t="s">
        <v>2688</v>
      </c>
      <c r="K6198" t="s">
        <v>2689</v>
      </c>
      <c r="L6198" s="13">
        <v>8000</v>
      </c>
      <c r="M6198" t="s">
        <v>2661</v>
      </c>
    </row>
    <row r="6199" spans="1:13">
      <c r="A6199" t="s">
        <v>2427</v>
      </c>
      <c r="B6199" t="s">
        <v>274</v>
      </c>
      <c r="C6199" s="8">
        <v>45987</v>
      </c>
      <c r="D6199" t="s">
        <v>327</v>
      </c>
      <c r="E6199" t="s">
        <v>328</v>
      </c>
      <c r="F6199" s="12">
        <v>214039</v>
      </c>
      <c r="G6199" s="13">
        <v>21</v>
      </c>
      <c r="H6199" t="s">
        <v>3433</v>
      </c>
      <c r="I6199" s="8">
        <v>46038</v>
      </c>
      <c r="J6199" t="s">
        <v>2692</v>
      </c>
      <c r="K6199" t="s">
        <v>2693</v>
      </c>
      <c r="L6199" s="13">
        <v>10000</v>
      </c>
      <c r="M6199" t="s">
        <v>2661</v>
      </c>
    </row>
    <row r="6200" spans="1:13">
      <c r="A6200" t="s">
        <v>2427</v>
      </c>
      <c r="B6200" t="s">
        <v>274</v>
      </c>
      <c r="C6200" s="8">
        <v>45987</v>
      </c>
      <c r="D6200" t="s">
        <v>327</v>
      </c>
      <c r="E6200" t="s">
        <v>328</v>
      </c>
      <c r="F6200" s="12">
        <v>214039</v>
      </c>
      <c r="G6200" s="13">
        <v>21</v>
      </c>
      <c r="H6200" t="s">
        <v>3488</v>
      </c>
      <c r="I6200" s="8">
        <v>46057</v>
      </c>
      <c r="J6200" t="s">
        <v>2665</v>
      </c>
      <c r="K6200" t="s">
        <v>2666</v>
      </c>
      <c r="L6200" s="13">
        <v>2500</v>
      </c>
      <c r="M6200" t="s">
        <v>2676</v>
      </c>
    </row>
    <row r="6201" spans="1:13">
      <c r="A6201" t="s">
        <v>2428</v>
      </c>
      <c r="B6201" t="s">
        <v>67</v>
      </c>
      <c r="C6201" s="8">
        <v>46103</v>
      </c>
      <c r="D6201" t="s">
        <v>321</v>
      </c>
      <c r="E6201" t="s">
        <v>337</v>
      </c>
      <c r="F6201" s="12">
        <v>328404</v>
      </c>
      <c r="G6201" s="13">
        <v>32</v>
      </c>
      <c r="H6201" t="s">
        <v>3272</v>
      </c>
      <c r="I6201" s="8">
        <v>46247</v>
      </c>
      <c r="J6201" t="s">
        <v>2665</v>
      </c>
      <c r="K6201" t="s">
        <v>2666</v>
      </c>
      <c r="L6201" s="13">
        <v>2500</v>
      </c>
      <c r="M6201" t="s">
        <v>2661</v>
      </c>
    </row>
    <row r="6202" spans="1:13">
      <c r="A6202" t="s">
        <v>2429</v>
      </c>
      <c r="B6202" t="s">
        <v>88</v>
      </c>
      <c r="C6202" s="8">
        <v>46214</v>
      </c>
      <c r="D6202" t="s">
        <v>332</v>
      </c>
      <c r="E6202" t="s">
        <v>334</v>
      </c>
      <c r="F6202" s="12">
        <v>47566</v>
      </c>
      <c r="G6202" s="13">
        <v>4</v>
      </c>
      <c r="H6202" t="s">
        <v>2726</v>
      </c>
      <c r="I6202" s="8">
        <v>46247</v>
      </c>
      <c r="J6202" t="s">
        <v>2668</v>
      </c>
      <c r="K6202" t="s">
        <v>2669</v>
      </c>
      <c r="L6202" s="13">
        <v>4000</v>
      </c>
      <c r="M6202" t="s">
        <v>2661</v>
      </c>
    </row>
    <row r="6203" spans="1:13">
      <c r="A6203" t="s">
        <v>2430</v>
      </c>
      <c r="B6203" t="s">
        <v>31</v>
      </c>
      <c r="C6203" s="8">
        <v>46269</v>
      </c>
      <c r="D6203" t="s">
        <v>332</v>
      </c>
      <c r="E6203" t="s">
        <v>325</v>
      </c>
      <c r="F6203" s="12">
        <v>98129</v>
      </c>
      <c r="G6203" s="13">
        <v>9</v>
      </c>
      <c r="H6203" t="s">
        <v>2920</v>
      </c>
      <c r="I6203" s="8">
        <v>46231</v>
      </c>
      <c r="J6203" t="s">
        <v>2674</v>
      </c>
      <c r="K6203" t="s">
        <v>2675</v>
      </c>
      <c r="L6203" s="13">
        <v>20000</v>
      </c>
      <c r="M6203" t="s">
        <v>2661</v>
      </c>
    </row>
    <row r="6204" spans="1:13">
      <c r="A6204" t="s">
        <v>2430</v>
      </c>
      <c r="B6204" t="s">
        <v>31</v>
      </c>
      <c r="C6204" s="8">
        <v>46269</v>
      </c>
      <c r="D6204" t="s">
        <v>332</v>
      </c>
      <c r="E6204" t="s">
        <v>325</v>
      </c>
      <c r="F6204" s="12">
        <v>98129</v>
      </c>
      <c r="G6204" s="13">
        <v>9</v>
      </c>
      <c r="H6204" t="s">
        <v>3164</v>
      </c>
      <c r="I6204" s="8">
        <v>46110</v>
      </c>
      <c r="J6204" t="s">
        <v>2685</v>
      </c>
      <c r="K6204" t="s">
        <v>2686</v>
      </c>
      <c r="L6204" s="13">
        <v>5000</v>
      </c>
      <c r="M6204" t="s">
        <v>2661</v>
      </c>
    </row>
    <row r="6205" spans="1:13">
      <c r="A6205" t="s">
        <v>2431</v>
      </c>
      <c r="B6205" t="s">
        <v>223</v>
      </c>
      <c r="C6205" s="8">
        <v>46217</v>
      </c>
      <c r="D6205" t="s">
        <v>330</v>
      </c>
      <c r="E6205" t="s">
        <v>325</v>
      </c>
      <c r="F6205" s="12">
        <v>519913</v>
      </c>
      <c r="G6205" s="13">
        <v>51</v>
      </c>
      <c r="H6205" t="s">
        <v>3064</v>
      </c>
      <c r="I6205" s="8">
        <v>45951</v>
      </c>
      <c r="J6205" t="s">
        <v>2674</v>
      </c>
      <c r="K6205" t="s">
        <v>2675</v>
      </c>
      <c r="L6205" s="13">
        <v>20000</v>
      </c>
      <c r="M6205" t="s">
        <v>2676</v>
      </c>
    </row>
    <row r="6206" spans="1:13">
      <c r="A6206" t="s">
        <v>2431</v>
      </c>
      <c r="B6206" t="s">
        <v>223</v>
      </c>
      <c r="C6206" s="8">
        <v>46217</v>
      </c>
      <c r="D6206" t="s">
        <v>330</v>
      </c>
      <c r="E6206" t="s">
        <v>325</v>
      </c>
      <c r="F6206" s="12">
        <v>519913</v>
      </c>
      <c r="G6206" s="13">
        <v>51</v>
      </c>
      <c r="H6206" t="s">
        <v>3374</v>
      </c>
      <c r="I6206" s="8">
        <v>46022</v>
      </c>
      <c r="J6206" t="s">
        <v>2668</v>
      </c>
      <c r="K6206" t="s">
        <v>2669</v>
      </c>
      <c r="L6206" s="13">
        <v>4000</v>
      </c>
      <c r="M6206" t="s">
        <v>2661</v>
      </c>
    </row>
    <row r="6207" spans="1:13">
      <c r="A6207" t="s">
        <v>2431</v>
      </c>
      <c r="B6207" t="s">
        <v>223</v>
      </c>
      <c r="C6207" s="8">
        <v>46217</v>
      </c>
      <c r="D6207" t="s">
        <v>330</v>
      </c>
      <c r="E6207" t="s">
        <v>325</v>
      </c>
      <c r="F6207" s="12">
        <v>519913</v>
      </c>
      <c r="G6207" s="13">
        <v>51</v>
      </c>
      <c r="H6207" t="s">
        <v>3422</v>
      </c>
      <c r="I6207" s="8">
        <v>46266</v>
      </c>
      <c r="J6207" t="s">
        <v>2659</v>
      </c>
      <c r="K6207" t="s">
        <v>2660</v>
      </c>
      <c r="L6207" s="13">
        <v>3500</v>
      </c>
      <c r="M6207" t="s">
        <v>2661</v>
      </c>
    </row>
    <row r="6208" spans="1:13">
      <c r="A6208" t="s">
        <v>2431</v>
      </c>
      <c r="B6208" t="s">
        <v>223</v>
      </c>
      <c r="C6208" s="8">
        <v>46217</v>
      </c>
      <c r="D6208" t="s">
        <v>330</v>
      </c>
      <c r="E6208" t="s">
        <v>325</v>
      </c>
      <c r="F6208" s="12">
        <v>519913</v>
      </c>
      <c r="G6208" s="13">
        <v>51</v>
      </c>
      <c r="H6208" t="s">
        <v>3570</v>
      </c>
      <c r="I6208" s="8">
        <v>46265</v>
      </c>
      <c r="J6208" t="s">
        <v>2663</v>
      </c>
      <c r="K6208" t="s">
        <v>3630</v>
      </c>
      <c r="L6208" s="13">
        <v>1500</v>
      </c>
      <c r="M6208" t="s">
        <v>2661</v>
      </c>
    </row>
    <row r="6209" spans="1:13">
      <c r="A6209" t="s">
        <v>2432</v>
      </c>
      <c r="B6209" t="s">
        <v>266</v>
      </c>
      <c r="C6209" s="8">
        <v>46205</v>
      </c>
      <c r="D6209" t="s">
        <v>350</v>
      </c>
      <c r="E6209" t="s">
        <v>337</v>
      </c>
      <c r="F6209" s="12">
        <v>39962</v>
      </c>
      <c r="G6209" s="13">
        <v>3</v>
      </c>
      <c r="H6209" t="s">
        <v>2736</v>
      </c>
      <c r="I6209" s="8">
        <v>46216</v>
      </c>
      <c r="J6209" t="s">
        <v>2685</v>
      </c>
      <c r="K6209" t="s">
        <v>2686</v>
      </c>
      <c r="L6209" s="13">
        <v>5000</v>
      </c>
      <c r="M6209" t="s">
        <v>2661</v>
      </c>
    </row>
    <row r="6210" spans="1:13">
      <c r="A6210" t="s">
        <v>2432</v>
      </c>
      <c r="B6210" t="s">
        <v>266</v>
      </c>
      <c r="C6210" s="8">
        <v>46205</v>
      </c>
      <c r="D6210" t="s">
        <v>350</v>
      </c>
      <c r="E6210" t="s">
        <v>337</v>
      </c>
      <c r="F6210" s="12">
        <v>39962</v>
      </c>
      <c r="G6210" s="13">
        <v>3</v>
      </c>
      <c r="H6210" t="s">
        <v>2757</v>
      </c>
      <c r="I6210" s="8">
        <v>46186</v>
      </c>
      <c r="J6210" t="s">
        <v>2688</v>
      </c>
      <c r="K6210" t="s">
        <v>2689</v>
      </c>
      <c r="L6210" s="13">
        <v>8000</v>
      </c>
      <c r="M6210" t="s">
        <v>2661</v>
      </c>
    </row>
    <row r="6211" spans="1:13">
      <c r="A6211" t="s">
        <v>2432</v>
      </c>
      <c r="B6211" t="s">
        <v>266</v>
      </c>
      <c r="C6211" s="8">
        <v>46205</v>
      </c>
      <c r="D6211" t="s">
        <v>350</v>
      </c>
      <c r="E6211" t="s">
        <v>337</v>
      </c>
      <c r="F6211" s="12">
        <v>39962</v>
      </c>
      <c r="G6211" s="13">
        <v>3</v>
      </c>
      <c r="H6211" t="s">
        <v>3331</v>
      </c>
      <c r="I6211" s="8">
        <v>46215</v>
      </c>
      <c r="J6211" t="s">
        <v>2674</v>
      </c>
      <c r="K6211" t="s">
        <v>2675</v>
      </c>
      <c r="L6211" s="13">
        <v>20000</v>
      </c>
      <c r="M6211" t="s">
        <v>2661</v>
      </c>
    </row>
    <row r="6212" spans="1:13">
      <c r="A6212" t="s">
        <v>2432</v>
      </c>
      <c r="B6212" t="s">
        <v>266</v>
      </c>
      <c r="C6212" s="8">
        <v>46205</v>
      </c>
      <c r="D6212" t="s">
        <v>350</v>
      </c>
      <c r="E6212" t="s">
        <v>337</v>
      </c>
      <c r="F6212" s="12">
        <v>39962</v>
      </c>
      <c r="G6212" s="13">
        <v>3</v>
      </c>
      <c r="H6212" t="s">
        <v>3337</v>
      </c>
      <c r="I6212" s="8">
        <v>46032</v>
      </c>
      <c r="J6212" t="s">
        <v>2682</v>
      </c>
      <c r="K6212" t="s">
        <v>2683</v>
      </c>
      <c r="L6212" s="13">
        <v>6000</v>
      </c>
      <c r="M6212" t="s">
        <v>2661</v>
      </c>
    </row>
    <row r="6213" spans="1:13">
      <c r="A6213" t="s">
        <v>2432</v>
      </c>
      <c r="B6213" t="s">
        <v>266</v>
      </c>
      <c r="C6213" s="8">
        <v>46205</v>
      </c>
      <c r="D6213" t="s">
        <v>350</v>
      </c>
      <c r="E6213" t="s">
        <v>337</v>
      </c>
      <c r="F6213" s="12">
        <v>39962</v>
      </c>
      <c r="G6213" s="13">
        <v>3</v>
      </c>
      <c r="H6213" t="s">
        <v>3347</v>
      </c>
      <c r="I6213" s="8">
        <v>46104</v>
      </c>
      <c r="J6213" t="s">
        <v>2688</v>
      </c>
      <c r="K6213" t="s">
        <v>2689</v>
      </c>
      <c r="L6213" s="13">
        <v>8000</v>
      </c>
      <c r="M6213" t="s">
        <v>2661</v>
      </c>
    </row>
    <row r="6214" spans="1:13">
      <c r="A6214" t="s">
        <v>2432</v>
      </c>
      <c r="B6214" t="s">
        <v>266</v>
      </c>
      <c r="C6214" s="8">
        <v>46205</v>
      </c>
      <c r="D6214" t="s">
        <v>350</v>
      </c>
      <c r="E6214" t="s">
        <v>337</v>
      </c>
      <c r="F6214" s="12">
        <v>39962</v>
      </c>
      <c r="G6214" s="13">
        <v>3</v>
      </c>
      <c r="H6214" t="s">
        <v>3518</v>
      </c>
      <c r="I6214" s="8">
        <v>46126</v>
      </c>
      <c r="J6214" t="s">
        <v>2692</v>
      </c>
      <c r="K6214" t="s">
        <v>2693</v>
      </c>
      <c r="L6214" s="13">
        <v>10000</v>
      </c>
      <c r="M6214" t="s">
        <v>2661</v>
      </c>
    </row>
    <row r="6215" spans="1:13">
      <c r="A6215" t="s">
        <v>2433</v>
      </c>
      <c r="B6215" t="s">
        <v>249</v>
      </c>
      <c r="C6215" s="8">
        <v>46207</v>
      </c>
      <c r="D6215" t="s">
        <v>321</v>
      </c>
      <c r="E6215" t="s">
        <v>322</v>
      </c>
      <c r="F6215" s="12">
        <v>826783</v>
      </c>
      <c r="G6215" s="13">
        <v>82</v>
      </c>
      <c r="H6215" t="s">
        <v>2783</v>
      </c>
      <c r="I6215" s="8">
        <v>46270</v>
      </c>
      <c r="J6215" t="s">
        <v>2665</v>
      </c>
      <c r="K6215" t="s">
        <v>2666</v>
      </c>
      <c r="L6215" s="13">
        <v>2500</v>
      </c>
      <c r="M6215" t="s">
        <v>2676</v>
      </c>
    </row>
    <row r="6216" spans="1:13">
      <c r="A6216" t="s">
        <v>2433</v>
      </c>
      <c r="B6216" t="s">
        <v>249</v>
      </c>
      <c r="C6216" s="8">
        <v>46207</v>
      </c>
      <c r="D6216" t="s">
        <v>321</v>
      </c>
      <c r="E6216" t="s">
        <v>322</v>
      </c>
      <c r="F6216" s="12">
        <v>826783</v>
      </c>
      <c r="G6216" s="13">
        <v>82</v>
      </c>
      <c r="H6216" t="s">
        <v>3085</v>
      </c>
      <c r="I6216" s="8">
        <v>46161</v>
      </c>
      <c r="J6216" t="s">
        <v>2674</v>
      </c>
      <c r="K6216" t="s">
        <v>2675</v>
      </c>
      <c r="L6216" s="13">
        <v>20000</v>
      </c>
      <c r="M6216" t="s">
        <v>2661</v>
      </c>
    </row>
    <row r="6217" spans="1:13">
      <c r="A6217" t="s">
        <v>2433</v>
      </c>
      <c r="B6217" t="s">
        <v>249</v>
      </c>
      <c r="C6217" s="8">
        <v>46207</v>
      </c>
      <c r="D6217" t="s">
        <v>321</v>
      </c>
      <c r="E6217" t="s">
        <v>322</v>
      </c>
      <c r="F6217" s="12">
        <v>826783</v>
      </c>
      <c r="G6217" s="13">
        <v>82</v>
      </c>
      <c r="H6217" t="s">
        <v>3358</v>
      </c>
      <c r="I6217" s="8">
        <v>46150</v>
      </c>
      <c r="J6217" t="s">
        <v>2668</v>
      </c>
      <c r="K6217" t="s">
        <v>2669</v>
      </c>
      <c r="L6217" s="13">
        <v>4000</v>
      </c>
      <c r="M6217" t="s">
        <v>2661</v>
      </c>
    </row>
    <row r="6218" spans="1:13">
      <c r="A6218" t="s">
        <v>2434</v>
      </c>
      <c r="B6218" t="s">
        <v>100</v>
      </c>
      <c r="C6218" s="8">
        <v>45981</v>
      </c>
      <c r="D6218" t="s">
        <v>324</v>
      </c>
      <c r="E6218" t="s">
        <v>328</v>
      </c>
      <c r="F6218" s="12">
        <v>158437</v>
      </c>
      <c r="G6218" s="13">
        <v>15</v>
      </c>
      <c r="H6218" t="s">
        <v>3294</v>
      </c>
      <c r="I6218" s="8">
        <v>46090</v>
      </c>
      <c r="J6218" t="s">
        <v>2671</v>
      </c>
      <c r="K6218" t="s">
        <v>2672</v>
      </c>
      <c r="L6218" s="13">
        <v>3000</v>
      </c>
      <c r="M6218" t="s">
        <v>2676</v>
      </c>
    </row>
    <row r="6219" spans="1:13">
      <c r="A6219" t="s">
        <v>2434</v>
      </c>
      <c r="B6219" t="s">
        <v>100</v>
      </c>
      <c r="C6219" s="8">
        <v>45981</v>
      </c>
      <c r="D6219" t="s">
        <v>324</v>
      </c>
      <c r="E6219" t="s">
        <v>328</v>
      </c>
      <c r="F6219" s="12">
        <v>158437</v>
      </c>
      <c r="G6219" s="13">
        <v>15</v>
      </c>
      <c r="H6219" t="s">
        <v>3327</v>
      </c>
      <c r="I6219" s="8">
        <v>46135</v>
      </c>
      <c r="J6219" t="s">
        <v>2682</v>
      </c>
      <c r="K6219" t="s">
        <v>2683</v>
      </c>
      <c r="L6219" s="13">
        <v>6000</v>
      </c>
      <c r="M6219" t="s">
        <v>2661</v>
      </c>
    </row>
    <row r="6220" spans="1:13">
      <c r="A6220" t="s">
        <v>2434</v>
      </c>
      <c r="B6220" t="s">
        <v>100</v>
      </c>
      <c r="C6220" s="8">
        <v>45981</v>
      </c>
      <c r="D6220" t="s">
        <v>324</v>
      </c>
      <c r="E6220" t="s">
        <v>328</v>
      </c>
      <c r="F6220" s="12">
        <v>158437</v>
      </c>
      <c r="G6220" s="13">
        <v>15</v>
      </c>
      <c r="H6220" t="s">
        <v>3375</v>
      </c>
      <c r="I6220" s="8">
        <v>46122</v>
      </c>
      <c r="J6220" t="s">
        <v>2685</v>
      </c>
      <c r="K6220" t="s">
        <v>2686</v>
      </c>
      <c r="L6220" s="13">
        <v>5000</v>
      </c>
      <c r="M6220" t="s">
        <v>2676</v>
      </c>
    </row>
    <row r="6221" spans="1:13">
      <c r="A6221" t="s">
        <v>2435</v>
      </c>
      <c r="B6221" t="s">
        <v>296</v>
      </c>
      <c r="C6221" s="8">
        <v>45986</v>
      </c>
      <c r="D6221" t="s">
        <v>342</v>
      </c>
      <c r="E6221" t="s">
        <v>334</v>
      </c>
      <c r="F6221" s="12">
        <v>650234</v>
      </c>
      <c r="G6221" s="13">
        <v>65</v>
      </c>
      <c r="H6221" t="s">
        <v>2866</v>
      </c>
      <c r="I6221" s="8">
        <v>45940</v>
      </c>
      <c r="J6221" t="s">
        <v>2685</v>
      </c>
      <c r="K6221" t="s">
        <v>2686</v>
      </c>
      <c r="L6221" s="13">
        <v>5000</v>
      </c>
      <c r="M6221" t="s">
        <v>2661</v>
      </c>
    </row>
    <row r="6222" spans="1:13">
      <c r="A6222" t="s">
        <v>2436</v>
      </c>
      <c r="B6222" t="s">
        <v>256</v>
      </c>
      <c r="C6222" s="8">
        <v>45950</v>
      </c>
      <c r="D6222" t="s">
        <v>321</v>
      </c>
      <c r="E6222" t="s">
        <v>337</v>
      </c>
      <c r="F6222" s="12">
        <v>575069</v>
      </c>
      <c r="G6222" s="13">
        <v>57</v>
      </c>
      <c r="H6222" t="s">
        <v>3289</v>
      </c>
      <c r="I6222" s="8">
        <v>46146</v>
      </c>
      <c r="J6222" t="s">
        <v>2659</v>
      </c>
      <c r="K6222" t="s">
        <v>2660</v>
      </c>
      <c r="L6222" s="13">
        <v>3500</v>
      </c>
      <c r="M6222" t="s">
        <v>2661</v>
      </c>
    </row>
    <row r="6223" spans="1:13">
      <c r="A6223" t="s">
        <v>2438</v>
      </c>
      <c r="B6223" t="s">
        <v>108</v>
      </c>
      <c r="C6223" s="8">
        <v>45978</v>
      </c>
      <c r="D6223" t="s">
        <v>327</v>
      </c>
      <c r="E6223" t="s">
        <v>334</v>
      </c>
      <c r="F6223" s="12">
        <v>99491</v>
      </c>
      <c r="G6223" s="13">
        <v>9</v>
      </c>
      <c r="H6223" t="s">
        <v>2694</v>
      </c>
      <c r="I6223" s="8">
        <v>46032</v>
      </c>
      <c r="J6223" t="s">
        <v>2682</v>
      </c>
      <c r="K6223" t="s">
        <v>2683</v>
      </c>
      <c r="L6223" s="13">
        <v>6000</v>
      </c>
      <c r="M6223" t="s">
        <v>2661</v>
      </c>
    </row>
    <row r="6224" spans="1:13">
      <c r="A6224" t="s">
        <v>2438</v>
      </c>
      <c r="B6224" t="s">
        <v>108</v>
      </c>
      <c r="C6224" s="8">
        <v>45978</v>
      </c>
      <c r="D6224" t="s">
        <v>327</v>
      </c>
      <c r="E6224" t="s">
        <v>334</v>
      </c>
      <c r="F6224" s="12">
        <v>99491</v>
      </c>
      <c r="G6224" s="13">
        <v>9</v>
      </c>
      <c r="H6224" t="s">
        <v>3089</v>
      </c>
      <c r="I6224" s="8">
        <v>46140</v>
      </c>
      <c r="J6224" t="s">
        <v>2659</v>
      </c>
      <c r="K6224" t="s">
        <v>2660</v>
      </c>
      <c r="L6224" s="13">
        <v>3500</v>
      </c>
      <c r="M6224" t="s">
        <v>2661</v>
      </c>
    </row>
    <row r="6225" spans="1:13">
      <c r="A6225" t="s">
        <v>2438</v>
      </c>
      <c r="B6225" t="s">
        <v>108</v>
      </c>
      <c r="C6225" s="8">
        <v>45978</v>
      </c>
      <c r="D6225" t="s">
        <v>327</v>
      </c>
      <c r="E6225" t="s">
        <v>334</v>
      </c>
      <c r="F6225" s="12">
        <v>99491</v>
      </c>
      <c r="G6225" s="13">
        <v>9</v>
      </c>
      <c r="H6225" t="s">
        <v>3140</v>
      </c>
      <c r="I6225" s="8">
        <v>46168</v>
      </c>
      <c r="J6225" t="s">
        <v>2671</v>
      </c>
      <c r="K6225" t="s">
        <v>2672</v>
      </c>
      <c r="L6225" s="13">
        <v>3000</v>
      </c>
      <c r="M6225" t="s">
        <v>2676</v>
      </c>
    </row>
    <row r="6226" spans="1:13">
      <c r="A6226" t="s">
        <v>2438</v>
      </c>
      <c r="B6226" t="s">
        <v>108</v>
      </c>
      <c r="C6226" s="8">
        <v>45978</v>
      </c>
      <c r="D6226" t="s">
        <v>327</v>
      </c>
      <c r="E6226" t="s">
        <v>334</v>
      </c>
      <c r="F6226" s="12">
        <v>99491</v>
      </c>
      <c r="G6226" s="13">
        <v>9</v>
      </c>
      <c r="H6226" t="s">
        <v>3219</v>
      </c>
      <c r="I6226" s="8">
        <v>45964</v>
      </c>
      <c r="J6226" t="s">
        <v>2692</v>
      </c>
      <c r="K6226" t="s">
        <v>2693</v>
      </c>
      <c r="L6226" s="13">
        <v>10000</v>
      </c>
      <c r="M6226" t="s">
        <v>2676</v>
      </c>
    </row>
    <row r="6227" spans="1:13">
      <c r="A6227" t="s">
        <v>2439</v>
      </c>
      <c r="B6227" t="s">
        <v>93</v>
      </c>
      <c r="C6227" s="8">
        <v>46002</v>
      </c>
      <c r="D6227" t="s">
        <v>342</v>
      </c>
      <c r="E6227" t="s">
        <v>339</v>
      </c>
      <c r="F6227" s="12">
        <v>298060</v>
      </c>
      <c r="G6227" s="13">
        <v>29</v>
      </c>
      <c r="H6227" t="s">
        <v>2662</v>
      </c>
      <c r="I6227" s="8">
        <v>46253</v>
      </c>
      <c r="J6227" t="s">
        <v>2663</v>
      </c>
      <c r="K6227" t="s">
        <v>3630</v>
      </c>
      <c r="L6227" s="13">
        <v>1500</v>
      </c>
      <c r="M6227" t="s">
        <v>2661</v>
      </c>
    </row>
    <row r="6228" spans="1:13">
      <c r="A6228" t="s">
        <v>2439</v>
      </c>
      <c r="B6228" t="s">
        <v>93</v>
      </c>
      <c r="C6228" s="8">
        <v>46002</v>
      </c>
      <c r="D6228" t="s">
        <v>342</v>
      </c>
      <c r="E6228" t="s">
        <v>339</v>
      </c>
      <c r="F6228" s="12">
        <v>298060</v>
      </c>
      <c r="G6228" s="13">
        <v>29</v>
      </c>
      <c r="H6228" t="s">
        <v>2968</v>
      </c>
      <c r="I6228" s="8">
        <v>45934</v>
      </c>
      <c r="J6228" t="s">
        <v>2659</v>
      </c>
      <c r="K6228" t="s">
        <v>2660</v>
      </c>
      <c r="L6228" s="13">
        <v>3500</v>
      </c>
      <c r="M6228" t="s">
        <v>2661</v>
      </c>
    </row>
    <row r="6229" spans="1:13">
      <c r="A6229" t="s">
        <v>2439</v>
      </c>
      <c r="B6229" t="s">
        <v>93</v>
      </c>
      <c r="C6229" s="8">
        <v>46002</v>
      </c>
      <c r="D6229" t="s">
        <v>342</v>
      </c>
      <c r="E6229" t="s">
        <v>339</v>
      </c>
      <c r="F6229" s="12">
        <v>298060</v>
      </c>
      <c r="G6229" s="13">
        <v>29</v>
      </c>
      <c r="H6229" t="s">
        <v>3086</v>
      </c>
      <c r="I6229" s="8">
        <v>46007</v>
      </c>
      <c r="J6229" t="s">
        <v>2663</v>
      </c>
      <c r="K6229" t="s">
        <v>3630</v>
      </c>
      <c r="L6229" s="13">
        <v>1500</v>
      </c>
      <c r="M6229" t="s">
        <v>2661</v>
      </c>
    </row>
    <row r="6230" spans="1:13">
      <c r="A6230" t="s">
        <v>2439</v>
      </c>
      <c r="B6230" t="s">
        <v>93</v>
      </c>
      <c r="C6230" s="8">
        <v>46002</v>
      </c>
      <c r="D6230" t="s">
        <v>342</v>
      </c>
      <c r="E6230" t="s">
        <v>339</v>
      </c>
      <c r="F6230" s="12">
        <v>298060</v>
      </c>
      <c r="G6230" s="13">
        <v>29</v>
      </c>
      <c r="H6230" t="s">
        <v>3194</v>
      </c>
      <c r="I6230" s="8">
        <v>46275</v>
      </c>
      <c r="J6230" t="s">
        <v>2674</v>
      </c>
      <c r="K6230" t="s">
        <v>2675</v>
      </c>
      <c r="L6230" s="13">
        <v>20000</v>
      </c>
      <c r="M6230" t="s">
        <v>2661</v>
      </c>
    </row>
    <row r="6231" spans="1:13">
      <c r="A6231" t="s">
        <v>2439</v>
      </c>
      <c r="B6231" t="s">
        <v>93</v>
      </c>
      <c r="C6231" s="8">
        <v>46002</v>
      </c>
      <c r="D6231" t="s">
        <v>342</v>
      </c>
      <c r="E6231" t="s">
        <v>339</v>
      </c>
      <c r="F6231" s="12">
        <v>298060</v>
      </c>
      <c r="G6231" s="13">
        <v>29</v>
      </c>
      <c r="H6231" t="s">
        <v>3282</v>
      </c>
      <c r="I6231" s="8">
        <v>46029</v>
      </c>
      <c r="J6231" t="s">
        <v>2665</v>
      </c>
      <c r="K6231" t="s">
        <v>2666</v>
      </c>
      <c r="L6231" s="13">
        <v>2500</v>
      </c>
      <c r="M6231" t="s">
        <v>2661</v>
      </c>
    </row>
    <row r="6232" spans="1:13">
      <c r="A6232" t="s">
        <v>2439</v>
      </c>
      <c r="B6232" t="s">
        <v>93</v>
      </c>
      <c r="C6232" s="8">
        <v>46002</v>
      </c>
      <c r="D6232" t="s">
        <v>342</v>
      </c>
      <c r="E6232" t="s">
        <v>339</v>
      </c>
      <c r="F6232" s="12">
        <v>298060</v>
      </c>
      <c r="G6232" s="13">
        <v>29</v>
      </c>
      <c r="H6232" t="s">
        <v>3551</v>
      </c>
      <c r="I6232" s="8">
        <v>46033</v>
      </c>
      <c r="J6232" t="s">
        <v>2692</v>
      </c>
      <c r="K6232" t="s">
        <v>2693</v>
      </c>
      <c r="L6232" s="13">
        <v>10000</v>
      </c>
      <c r="M6232" t="s">
        <v>2661</v>
      </c>
    </row>
    <row r="6233" spans="1:13">
      <c r="A6233" t="s">
        <v>2440</v>
      </c>
      <c r="B6233" t="s">
        <v>259</v>
      </c>
      <c r="C6233" s="8">
        <v>46203</v>
      </c>
      <c r="D6233" t="s">
        <v>330</v>
      </c>
      <c r="E6233" t="s">
        <v>325</v>
      </c>
      <c r="F6233" s="12">
        <v>175461</v>
      </c>
      <c r="G6233" s="13">
        <v>17</v>
      </c>
      <c r="H6233" t="s">
        <v>2802</v>
      </c>
      <c r="I6233" s="8">
        <v>46222</v>
      </c>
      <c r="J6233" t="s">
        <v>2668</v>
      </c>
      <c r="K6233" t="s">
        <v>2669</v>
      </c>
      <c r="L6233" s="13">
        <v>4000</v>
      </c>
      <c r="M6233" t="s">
        <v>2661</v>
      </c>
    </row>
    <row r="6234" spans="1:13">
      <c r="A6234" t="s">
        <v>2440</v>
      </c>
      <c r="B6234" t="s">
        <v>259</v>
      </c>
      <c r="C6234" s="8">
        <v>46203</v>
      </c>
      <c r="D6234" t="s">
        <v>330</v>
      </c>
      <c r="E6234" t="s">
        <v>325</v>
      </c>
      <c r="F6234" s="12">
        <v>175461</v>
      </c>
      <c r="G6234" s="13">
        <v>17</v>
      </c>
      <c r="H6234" t="s">
        <v>2933</v>
      </c>
      <c r="I6234" s="8">
        <v>46183</v>
      </c>
      <c r="J6234" t="s">
        <v>2674</v>
      </c>
      <c r="K6234" t="s">
        <v>2675</v>
      </c>
      <c r="L6234" s="13">
        <v>20000</v>
      </c>
      <c r="M6234" t="s">
        <v>2661</v>
      </c>
    </row>
    <row r="6235" spans="1:13">
      <c r="A6235" t="s">
        <v>2440</v>
      </c>
      <c r="B6235" t="s">
        <v>259</v>
      </c>
      <c r="C6235" s="8">
        <v>46203</v>
      </c>
      <c r="D6235" t="s">
        <v>330</v>
      </c>
      <c r="E6235" t="s">
        <v>325</v>
      </c>
      <c r="F6235" s="12">
        <v>175461</v>
      </c>
      <c r="G6235" s="13">
        <v>17</v>
      </c>
      <c r="H6235" t="s">
        <v>2969</v>
      </c>
      <c r="I6235" s="8">
        <v>46173</v>
      </c>
      <c r="J6235" t="s">
        <v>2668</v>
      </c>
      <c r="K6235" t="s">
        <v>2669</v>
      </c>
      <c r="L6235" s="13">
        <v>4000</v>
      </c>
      <c r="M6235" t="s">
        <v>2661</v>
      </c>
    </row>
    <row r="6236" spans="1:13">
      <c r="A6236" t="s">
        <v>2440</v>
      </c>
      <c r="B6236" t="s">
        <v>259</v>
      </c>
      <c r="C6236" s="8">
        <v>46203</v>
      </c>
      <c r="D6236" t="s">
        <v>330</v>
      </c>
      <c r="E6236" t="s">
        <v>325</v>
      </c>
      <c r="F6236" s="12">
        <v>175461</v>
      </c>
      <c r="G6236" s="13">
        <v>17</v>
      </c>
      <c r="H6236" t="s">
        <v>3300</v>
      </c>
      <c r="I6236" s="8">
        <v>46089</v>
      </c>
      <c r="J6236" t="s">
        <v>2688</v>
      </c>
      <c r="K6236" t="s">
        <v>2689</v>
      </c>
      <c r="L6236" s="13">
        <v>8000</v>
      </c>
      <c r="M6236" t="s">
        <v>2676</v>
      </c>
    </row>
    <row r="6237" spans="1:13">
      <c r="A6237" t="s">
        <v>2441</v>
      </c>
      <c r="B6237" t="s">
        <v>164</v>
      </c>
      <c r="C6237" s="8">
        <v>45947</v>
      </c>
      <c r="D6237" t="s">
        <v>327</v>
      </c>
      <c r="E6237" t="s">
        <v>325</v>
      </c>
      <c r="F6237" s="12">
        <v>345132</v>
      </c>
      <c r="G6237" s="13">
        <v>34</v>
      </c>
      <c r="H6237" t="s">
        <v>2971</v>
      </c>
      <c r="I6237" s="8">
        <v>46018</v>
      </c>
      <c r="J6237" t="s">
        <v>2665</v>
      </c>
      <c r="K6237" t="s">
        <v>2666</v>
      </c>
      <c r="L6237" s="13">
        <v>2500</v>
      </c>
      <c r="M6237" t="s">
        <v>2661</v>
      </c>
    </row>
    <row r="6238" spans="1:13">
      <c r="A6238" t="s">
        <v>2441</v>
      </c>
      <c r="B6238" t="s">
        <v>164</v>
      </c>
      <c r="C6238" s="8">
        <v>45947</v>
      </c>
      <c r="D6238" t="s">
        <v>327</v>
      </c>
      <c r="E6238" t="s">
        <v>325</v>
      </c>
      <c r="F6238" s="12">
        <v>345132</v>
      </c>
      <c r="G6238" s="13">
        <v>34</v>
      </c>
      <c r="H6238" t="s">
        <v>3109</v>
      </c>
      <c r="I6238" s="8">
        <v>46204</v>
      </c>
      <c r="J6238" t="s">
        <v>2668</v>
      </c>
      <c r="K6238" t="s">
        <v>2669</v>
      </c>
      <c r="L6238" s="13">
        <v>4000</v>
      </c>
      <c r="M6238" t="s">
        <v>2676</v>
      </c>
    </row>
    <row r="6239" spans="1:13">
      <c r="A6239" t="s">
        <v>2441</v>
      </c>
      <c r="B6239" t="s">
        <v>164</v>
      </c>
      <c r="C6239" s="8">
        <v>45947</v>
      </c>
      <c r="D6239" t="s">
        <v>327</v>
      </c>
      <c r="E6239" t="s">
        <v>325</v>
      </c>
      <c r="F6239" s="12">
        <v>345132</v>
      </c>
      <c r="G6239" s="13">
        <v>34</v>
      </c>
      <c r="H6239" t="s">
        <v>3298</v>
      </c>
      <c r="I6239" s="8">
        <v>46208</v>
      </c>
      <c r="J6239" t="s">
        <v>2692</v>
      </c>
      <c r="K6239" t="s">
        <v>2693</v>
      </c>
      <c r="L6239" s="13">
        <v>10000</v>
      </c>
      <c r="M6239" t="s">
        <v>2661</v>
      </c>
    </row>
    <row r="6240" spans="1:13">
      <c r="A6240" t="s">
        <v>2441</v>
      </c>
      <c r="B6240" t="s">
        <v>164</v>
      </c>
      <c r="C6240" s="8">
        <v>45947</v>
      </c>
      <c r="D6240" t="s">
        <v>327</v>
      </c>
      <c r="E6240" t="s">
        <v>325</v>
      </c>
      <c r="F6240" s="12">
        <v>345132</v>
      </c>
      <c r="G6240" s="13">
        <v>34</v>
      </c>
      <c r="H6240" t="s">
        <v>3523</v>
      </c>
      <c r="I6240" s="8">
        <v>46098</v>
      </c>
      <c r="J6240" t="s">
        <v>2659</v>
      </c>
      <c r="K6240" t="s">
        <v>2660</v>
      </c>
      <c r="L6240" s="13">
        <v>3500</v>
      </c>
      <c r="M6240" t="s">
        <v>2661</v>
      </c>
    </row>
    <row r="6241" spans="1:13">
      <c r="A6241" t="s">
        <v>2442</v>
      </c>
      <c r="B6241" t="s">
        <v>202</v>
      </c>
      <c r="C6241" s="8">
        <v>46211</v>
      </c>
      <c r="D6241" t="s">
        <v>344</v>
      </c>
      <c r="E6241" t="s">
        <v>322</v>
      </c>
      <c r="F6241" s="12">
        <v>746493</v>
      </c>
      <c r="G6241" s="13">
        <v>74</v>
      </c>
      <c r="H6241" t="s">
        <v>3145</v>
      </c>
      <c r="I6241" s="8">
        <v>46214</v>
      </c>
      <c r="J6241" t="s">
        <v>2665</v>
      </c>
      <c r="K6241" t="s">
        <v>2666</v>
      </c>
      <c r="L6241" s="13">
        <v>2500</v>
      </c>
      <c r="M6241" t="s">
        <v>2676</v>
      </c>
    </row>
    <row r="6242" spans="1:13">
      <c r="A6242" t="s">
        <v>2442</v>
      </c>
      <c r="B6242" t="s">
        <v>202</v>
      </c>
      <c r="C6242" s="8">
        <v>46211</v>
      </c>
      <c r="D6242" t="s">
        <v>344</v>
      </c>
      <c r="E6242" t="s">
        <v>322</v>
      </c>
      <c r="F6242" s="12">
        <v>746493</v>
      </c>
      <c r="G6242" s="13">
        <v>74</v>
      </c>
      <c r="H6242" t="s">
        <v>3155</v>
      </c>
      <c r="I6242" s="8">
        <v>46206</v>
      </c>
      <c r="J6242" t="s">
        <v>2659</v>
      </c>
      <c r="K6242" t="s">
        <v>2660</v>
      </c>
      <c r="L6242" s="13">
        <v>3500</v>
      </c>
      <c r="M6242" t="s">
        <v>2661</v>
      </c>
    </row>
    <row r="6243" spans="1:13">
      <c r="A6243" t="s">
        <v>2443</v>
      </c>
      <c r="B6243" t="s">
        <v>287</v>
      </c>
      <c r="C6243" s="8">
        <v>46225</v>
      </c>
      <c r="D6243" t="s">
        <v>344</v>
      </c>
      <c r="E6243" t="s">
        <v>334</v>
      </c>
      <c r="F6243" s="12">
        <v>615460</v>
      </c>
      <c r="G6243" s="13">
        <v>61</v>
      </c>
      <c r="H6243" t="s">
        <v>2902</v>
      </c>
      <c r="I6243" s="8">
        <v>46135</v>
      </c>
      <c r="J6243" t="s">
        <v>2692</v>
      </c>
      <c r="K6243" t="s">
        <v>2693</v>
      </c>
      <c r="L6243" s="13">
        <v>10000</v>
      </c>
      <c r="M6243" t="s">
        <v>2661</v>
      </c>
    </row>
    <row r="6244" spans="1:13">
      <c r="A6244" t="s">
        <v>2443</v>
      </c>
      <c r="B6244" t="s">
        <v>287</v>
      </c>
      <c r="C6244" s="8">
        <v>46225</v>
      </c>
      <c r="D6244" t="s">
        <v>344</v>
      </c>
      <c r="E6244" t="s">
        <v>334</v>
      </c>
      <c r="F6244" s="12">
        <v>615460</v>
      </c>
      <c r="G6244" s="13">
        <v>61</v>
      </c>
      <c r="H6244" t="s">
        <v>2980</v>
      </c>
      <c r="I6244" s="8">
        <v>46280</v>
      </c>
      <c r="J6244" t="s">
        <v>2663</v>
      </c>
      <c r="K6244" t="s">
        <v>3630</v>
      </c>
      <c r="L6244" s="13">
        <v>1500</v>
      </c>
      <c r="M6244" t="s">
        <v>2661</v>
      </c>
    </row>
    <row r="6245" spans="1:13">
      <c r="A6245" t="s">
        <v>2443</v>
      </c>
      <c r="B6245" t="s">
        <v>287</v>
      </c>
      <c r="C6245" s="8">
        <v>46225</v>
      </c>
      <c r="D6245" t="s">
        <v>344</v>
      </c>
      <c r="E6245" t="s">
        <v>334</v>
      </c>
      <c r="F6245" s="12">
        <v>615460</v>
      </c>
      <c r="G6245" s="13">
        <v>61</v>
      </c>
      <c r="H6245" t="s">
        <v>3096</v>
      </c>
      <c r="I6245" s="8">
        <v>46218</v>
      </c>
      <c r="J6245" t="s">
        <v>2688</v>
      </c>
      <c r="K6245" t="s">
        <v>2689</v>
      </c>
      <c r="L6245" s="13">
        <v>8000</v>
      </c>
      <c r="M6245" t="s">
        <v>2661</v>
      </c>
    </row>
    <row r="6246" spans="1:13">
      <c r="A6246" t="s">
        <v>2443</v>
      </c>
      <c r="B6246" t="s">
        <v>287</v>
      </c>
      <c r="C6246" s="8">
        <v>46225</v>
      </c>
      <c r="D6246" t="s">
        <v>344</v>
      </c>
      <c r="E6246" t="s">
        <v>334</v>
      </c>
      <c r="F6246" s="12">
        <v>615460</v>
      </c>
      <c r="G6246" s="13">
        <v>61</v>
      </c>
      <c r="H6246" t="s">
        <v>3129</v>
      </c>
      <c r="I6246" s="8">
        <v>45981</v>
      </c>
      <c r="J6246" t="s">
        <v>2685</v>
      </c>
      <c r="K6246" t="s">
        <v>2686</v>
      </c>
      <c r="L6246" s="13">
        <v>5000</v>
      </c>
      <c r="M6246" t="s">
        <v>2661</v>
      </c>
    </row>
    <row r="6247" spans="1:13">
      <c r="A6247" t="s">
        <v>2443</v>
      </c>
      <c r="B6247" t="s">
        <v>287</v>
      </c>
      <c r="C6247" s="8">
        <v>46225</v>
      </c>
      <c r="D6247" t="s">
        <v>344</v>
      </c>
      <c r="E6247" t="s">
        <v>334</v>
      </c>
      <c r="F6247" s="12">
        <v>615460</v>
      </c>
      <c r="G6247" s="13">
        <v>61</v>
      </c>
      <c r="H6247" t="s">
        <v>3237</v>
      </c>
      <c r="I6247" s="8">
        <v>46146</v>
      </c>
      <c r="J6247" t="s">
        <v>2682</v>
      </c>
      <c r="K6247" t="s">
        <v>2683</v>
      </c>
      <c r="L6247" s="13">
        <v>6000</v>
      </c>
      <c r="M6247" t="s">
        <v>2676</v>
      </c>
    </row>
    <row r="6248" spans="1:13">
      <c r="A6248" t="s">
        <v>2443</v>
      </c>
      <c r="B6248" t="s">
        <v>287</v>
      </c>
      <c r="C6248" s="8">
        <v>46225</v>
      </c>
      <c r="D6248" t="s">
        <v>344</v>
      </c>
      <c r="E6248" t="s">
        <v>334</v>
      </c>
      <c r="F6248" s="12">
        <v>615460</v>
      </c>
      <c r="G6248" s="13">
        <v>61</v>
      </c>
      <c r="H6248" t="s">
        <v>3576</v>
      </c>
      <c r="I6248" s="8">
        <v>46119</v>
      </c>
      <c r="J6248" t="s">
        <v>2688</v>
      </c>
      <c r="K6248" t="s">
        <v>2689</v>
      </c>
      <c r="L6248" s="13">
        <v>8000</v>
      </c>
      <c r="M6248" t="s">
        <v>2661</v>
      </c>
    </row>
    <row r="6249" spans="1:13">
      <c r="A6249" t="s">
        <v>2444</v>
      </c>
      <c r="B6249" t="s">
        <v>127</v>
      </c>
      <c r="C6249" s="8">
        <v>46122</v>
      </c>
      <c r="D6249" t="s">
        <v>332</v>
      </c>
      <c r="E6249" t="s">
        <v>339</v>
      </c>
      <c r="F6249" s="12">
        <v>466992</v>
      </c>
      <c r="G6249" s="13">
        <v>46</v>
      </c>
      <c r="H6249" t="s">
        <v>2841</v>
      </c>
      <c r="I6249" s="8">
        <v>46149</v>
      </c>
      <c r="J6249" t="s">
        <v>2659</v>
      </c>
      <c r="K6249" t="s">
        <v>2660</v>
      </c>
      <c r="L6249" s="13">
        <v>3500</v>
      </c>
      <c r="M6249" t="s">
        <v>2661</v>
      </c>
    </row>
    <row r="6250" spans="1:13">
      <c r="A6250" t="s">
        <v>2444</v>
      </c>
      <c r="B6250" t="s">
        <v>127</v>
      </c>
      <c r="C6250" s="8">
        <v>46122</v>
      </c>
      <c r="D6250" t="s">
        <v>332</v>
      </c>
      <c r="E6250" t="s">
        <v>339</v>
      </c>
      <c r="F6250" s="12">
        <v>466992</v>
      </c>
      <c r="G6250" s="13">
        <v>46</v>
      </c>
      <c r="H6250" t="s">
        <v>3175</v>
      </c>
      <c r="I6250" s="8">
        <v>46280</v>
      </c>
      <c r="J6250" t="s">
        <v>2665</v>
      </c>
      <c r="K6250" t="s">
        <v>2666</v>
      </c>
      <c r="L6250" s="13">
        <v>2500</v>
      </c>
      <c r="M6250" t="s">
        <v>2661</v>
      </c>
    </row>
    <row r="6251" spans="1:13">
      <c r="A6251" t="s">
        <v>2446</v>
      </c>
      <c r="B6251" t="s">
        <v>100</v>
      </c>
      <c r="C6251" s="8">
        <v>46261</v>
      </c>
      <c r="D6251" t="s">
        <v>332</v>
      </c>
      <c r="E6251" t="s">
        <v>334</v>
      </c>
      <c r="F6251" s="12">
        <v>154152</v>
      </c>
      <c r="G6251" s="13">
        <v>15</v>
      </c>
      <c r="H6251" t="s">
        <v>3294</v>
      </c>
      <c r="I6251" s="8">
        <v>46090</v>
      </c>
      <c r="J6251" t="s">
        <v>2671</v>
      </c>
      <c r="K6251" t="s">
        <v>2672</v>
      </c>
      <c r="L6251" s="13">
        <v>3000</v>
      </c>
      <c r="M6251" t="s">
        <v>2676</v>
      </c>
    </row>
    <row r="6252" spans="1:13">
      <c r="A6252" t="s">
        <v>2446</v>
      </c>
      <c r="B6252" t="s">
        <v>100</v>
      </c>
      <c r="C6252" s="8">
        <v>46261</v>
      </c>
      <c r="D6252" t="s">
        <v>332</v>
      </c>
      <c r="E6252" t="s">
        <v>334</v>
      </c>
      <c r="F6252" s="12">
        <v>154152</v>
      </c>
      <c r="G6252" s="13">
        <v>15</v>
      </c>
      <c r="H6252" t="s">
        <v>3327</v>
      </c>
      <c r="I6252" s="8">
        <v>46135</v>
      </c>
      <c r="J6252" t="s">
        <v>2682</v>
      </c>
      <c r="K6252" t="s">
        <v>2683</v>
      </c>
      <c r="L6252" s="13">
        <v>6000</v>
      </c>
      <c r="M6252" t="s">
        <v>2661</v>
      </c>
    </row>
    <row r="6253" spans="1:13">
      <c r="A6253" t="s">
        <v>2446</v>
      </c>
      <c r="B6253" t="s">
        <v>100</v>
      </c>
      <c r="C6253" s="8">
        <v>46261</v>
      </c>
      <c r="D6253" t="s">
        <v>332</v>
      </c>
      <c r="E6253" t="s">
        <v>334</v>
      </c>
      <c r="F6253" s="12">
        <v>154152</v>
      </c>
      <c r="G6253" s="13">
        <v>15</v>
      </c>
      <c r="H6253" t="s">
        <v>3375</v>
      </c>
      <c r="I6253" s="8">
        <v>46122</v>
      </c>
      <c r="J6253" t="s">
        <v>2685</v>
      </c>
      <c r="K6253" t="s">
        <v>2686</v>
      </c>
      <c r="L6253" s="13">
        <v>5000</v>
      </c>
      <c r="M6253" t="s">
        <v>2676</v>
      </c>
    </row>
    <row r="6254" spans="1:13">
      <c r="A6254" t="s">
        <v>2447</v>
      </c>
      <c r="B6254" t="s">
        <v>307</v>
      </c>
      <c r="C6254" s="8">
        <v>46141</v>
      </c>
      <c r="D6254" t="s">
        <v>327</v>
      </c>
      <c r="E6254" t="s">
        <v>322</v>
      </c>
      <c r="F6254" s="12">
        <v>161401</v>
      </c>
      <c r="G6254" s="13">
        <v>16</v>
      </c>
      <c r="H6254" t="s">
        <v>2796</v>
      </c>
      <c r="I6254" s="8">
        <v>46166</v>
      </c>
      <c r="J6254" t="s">
        <v>2682</v>
      </c>
      <c r="K6254" t="s">
        <v>2683</v>
      </c>
      <c r="L6254" s="13">
        <v>6000</v>
      </c>
      <c r="M6254" t="s">
        <v>2661</v>
      </c>
    </row>
    <row r="6255" spans="1:13">
      <c r="A6255" t="s">
        <v>2447</v>
      </c>
      <c r="B6255" t="s">
        <v>307</v>
      </c>
      <c r="C6255" s="8">
        <v>46141</v>
      </c>
      <c r="D6255" t="s">
        <v>327</v>
      </c>
      <c r="E6255" t="s">
        <v>322</v>
      </c>
      <c r="F6255" s="12">
        <v>161401</v>
      </c>
      <c r="G6255" s="13">
        <v>16</v>
      </c>
      <c r="H6255" t="s">
        <v>2858</v>
      </c>
      <c r="I6255" s="8">
        <v>46091</v>
      </c>
      <c r="J6255" t="s">
        <v>2674</v>
      </c>
      <c r="K6255" t="s">
        <v>2675</v>
      </c>
      <c r="L6255" s="13">
        <v>20000</v>
      </c>
      <c r="M6255" t="s">
        <v>2676</v>
      </c>
    </row>
    <row r="6256" spans="1:13">
      <c r="A6256" t="s">
        <v>2447</v>
      </c>
      <c r="B6256" t="s">
        <v>307</v>
      </c>
      <c r="C6256" s="8">
        <v>46141</v>
      </c>
      <c r="D6256" t="s">
        <v>327</v>
      </c>
      <c r="E6256" t="s">
        <v>322</v>
      </c>
      <c r="F6256" s="12">
        <v>161401</v>
      </c>
      <c r="G6256" s="13">
        <v>16</v>
      </c>
      <c r="H6256" t="s">
        <v>3076</v>
      </c>
      <c r="I6256" s="8">
        <v>46109</v>
      </c>
      <c r="J6256" t="s">
        <v>2659</v>
      </c>
      <c r="K6256" t="s">
        <v>2660</v>
      </c>
      <c r="L6256" s="13">
        <v>3500</v>
      </c>
      <c r="M6256" t="s">
        <v>2661</v>
      </c>
    </row>
    <row r="6257" spans="1:13">
      <c r="A6257" t="s">
        <v>2447</v>
      </c>
      <c r="B6257" t="s">
        <v>307</v>
      </c>
      <c r="C6257" s="8">
        <v>46141</v>
      </c>
      <c r="D6257" t="s">
        <v>327</v>
      </c>
      <c r="E6257" t="s">
        <v>322</v>
      </c>
      <c r="F6257" s="12">
        <v>161401</v>
      </c>
      <c r="G6257" s="13">
        <v>16</v>
      </c>
      <c r="H6257" t="s">
        <v>3090</v>
      </c>
      <c r="I6257" s="8">
        <v>46050</v>
      </c>
      <c r="J6257" t="s">
        <v>2671</v>
      </c>
      <c r="K6257" t="s">
        <v>2672</v>
      </c>
      <c r="L6257" s="13">
        <v>3000</v>
      </c>
      <c r="M6257" t="s">
        <v>2661</v>
      </c>
    </row>
    <row r="6258" spans="1:13">
      <c r="A6258" t="s">
        <v>2447</v>
      </c>
      <c r="B6258" t="s">
        <v>307</v>
      </c>
      <c r="C6258" s="8">
        <v>46141</v>
      </c>
      <c r="D6258" t="s">
        <v>327</v>
      </c>
      <c r="E6258" t="s">
        <v>322</v>
      </c>
      <c r="F6258" s="12">
        <v>161401</v>
      </c>
      <c r="G6258" s="13">
        <v>16</v>
      </c>
      <c r="H6258" t="s">
        <v>3121</v>
      </c>
      <c r="I6258" s="8">
        <v>46024</v>
      </c>
      <c r="J6258" t="s">
        <v>2671</v>
      </c>
      <c r="K6258" t="s">
        <v>2672</v>
      </c>
      <c r="L6258" s="13">
        <v>3000</v>
      </c>
      <c r="M6258" t="s">
        <v>2661</v>
      </c>
    </row>
    <row r="6259" spans="1:13">
      <c r="A6259" t="s">
        <v>2447</v>
      </c>
      <c r="B6259" t="s">
        <v>307</v>
      </c>
      <c r="C6259" s="8">
        <v>46141</v>
      </c>
      <c r="D6259" t="s">
        <v>327</v>
      </c>
      <c r="E6259" t="s">
        <v>322</v>
      </c>
      <c r="F6259" s="12">
        <v>161401</v>
      </c>
      <c r="G6259" s="13">
        <v>16</v>
      </c>
      <c r="H6259" t="s">
        <v>3475</v>
      </c>
      <c r="I6259" s="8">
        <v>46145</v>
      </c>
      <c r="J6259" t="s">
        <v>2668</v>
      </c>
      <c r="K6259" t="s">
        <v>2669</v>
      </c>
      <c r="L6259" s="13">
        <v>4000</v>
      </c>
      <c r="M6259" t="s">
        <v>2661</v>
      </c>
    </row>
    <row r="6260" spans="1:13">
      <c r="A6260" t="s">
        <v>2448</v>
      </c>
      <c r="B6260" t="s">
        <v>311</v>
      </c>
      <c r="C6260" s="8">
        <v>46053</v>
      </c>
      <c r="D6260" t="s">
        <v>324</v>
      </c>
      <c r="E6260" t="s">
        <v>339</v>
      </c>
      <c r="F6260" s="12">
        <v>25000</v>
      </c>
      <c r="G6260" s="13">
        <v>2</v>
      </c>
      <c r="H6260" t="s">
        <v>2715</v>
      </c>
      <c r="I6260" s="8">
        <v>46035</v>
      </c>
      <c r="J6260" t="s">
        <v>2663</v>
      </c>
      <c r="K6260" t="s">
        <v>3630</v>
      </c>
      <c r="L6260" s="13">
        <v>1500</v>
      </c>
      <c r="M6260" t="s">
        <v>2661</v>
      </c>
    </row>
    <row r="6261" spans="1:13">
      <c r="A6261" t="s">
        <v>2449</v>
      </c>
      <c r="B6261" t="s">
        <v>196</v>
      </c>
      <c r="C6261" s="8">
        <v>45978</v>
      </c>
      <c r="D6261" t="s">
        <v>332</v>
      </c>
      <c r="E6261" t="s">
        <v>337</v>
      </c>
      <c r="F6261" s="12">
        <v>187936</v>
      </c>
      <c r="G6261" s="13">
        <v>18</v>
      </c>
      <c r="H6261" t="s">
        <v>3132</v>
      </c>
      <c r="I6261" s="8">
        <v>46123</v>
      </c>
      <c r="J6261" t="s">
        <v>2668</v>
      </c>
      <c r="K6261" t="s">
        <v>2669</v>
      </c>
      <c r="L6261" s="13">
        <v>4000</v>
      </c>
      <c r="M6261" t="s">
        <v>2661</v>
      </c>
    </row>
    <row r="6262" spans="1:13">
      <c r="A6262" t="s">
        <v>2449</v>
      </c>
      <c r="B6262" t="s">
        <v>196</v>
      </c>
      <c r="C6262" s="8">
        <v>45978</v>
      </c>
      <c r="D6262" t="s">
        <v>332</v>
      </c>
      <c r="E6262" t="s">
        <v>337</v>
      </c>
      <c r="F6262" s="12">
        <v>187936</v>
      </c>
      <c r="G6262" s="13">
        <v>18</v>
      </c>
      <c r="H6262" t="s">
        <v>3338</v>
      </c>
      <c r="I6262" s="8">
        <v>46020</v>
      </c>
      <c r="J6262" t="s">
        <v>2692</v>
      </c>
      <c r="K6262" t="s">
        <v>2693</v>
      </c>
      <c r="L6262" s="13">
        <v>10000</v>
      </c>
      <c r="M6262" t="s">
        <v>2661</v>
      </c>
    </row>
    <row r="6263" spans="1:13">
      <c r="A6263" t="s">
        <v>2449</v>
      </c>
      <c r="B6263" t="s">
        <v>196</v>
      </c>
      <c r="C6263" s="8">
        <v>45978</v>
      </c>
      <c r="D6263" t="s">
        <v>332</v>
      </c>
      <c r="E6263" t="s">
        <v>337</v>
      </c>
      <c r="F6263" s="12">
        <v>187936</v>
      </c>
      <c r="G6263" s="13">
        <v>18</v>
      </c>
      <c r="H6263" t="s">
        <v>3502</v>
      </c>
      <c r="I6263" s="8">
        <v>45979</v>
      </c>
      <c r="J6263" t="s">
        <v>2692</v>
      </c>
      <c r="K6263" t="s">
        <v>2693</v>
      </c>
      <c r="L6263" s="13">
        <v>10000</v>
      </c>
      <c r="M6263" t="s">
        <v>2661</v>
      </c>
    </row>
    <row r="6264" spans="1:13">
      <c r="A6264" t="s">
        <v>2450</v>
      </c>
      <c r="B6264" t="s">
        <v>100</v>
      </c>
      <c r="C6264" s="8">
        <v>46147</v>
      </c>
      <c r="D6264" t="s">
        <v>332</v>
      </c>
      <c r="E6264" t="s">
        <v>322</v>
      </c>
      <c r="F6264" s="12">
        <v>250590</v>
      </c>
      <c r="G6264" s="13">
        <v>25</v>
      </c>
      <c r="H6264" t="s">
        <v>3294</v>
      </c>
      <c r="I6264" s="8">
        <v>46090</v>
      </c>
      <c r="J6264" t="s">
        <v>2671</v>
      </c>
      <c r="K6264" t="s">
        <v>2672</v>
      </c>
      <c r="L6264" s="13">
        <v>3000</v>
      </c>
      <c r="M6264" t="s">
        <v>2676</v>
      </c>
    </row>
    <row r="6265" spans="1:13">
      <c r="A6265" t="s">
        <v>2450</v>
      </c>
      <c r="B6265" t="s">
        <v>100</v>
      </c>
      <c r="C6265" s="8">
        <v>46147</v>
      </c>
      <c r="D6265" t="s">
        <v>332</v>
      </c>
      <c r="E6265" t="s">
        <v>322</v>
      </c>
      <c r="F6265" s="12">
        <v>250590</v>
      </c>
      <c r="G6265" s="13">
        <v>25</v>
      </c>
      <c r="H6265" t="s">
        <v>3327</v>
      </c>
      <c r="I6265" s="8">
        <v>46135</v>
      </c>
      <c r="J6265" t="s">
        <v>2682</v>
      </c>
      <c r="K6265" t="s">
        <v>2683</v>
      </c>
      <c r="L6265" s="13">
        <v>6000</v>
      </c>
      <c r="M6265" t="s">
        <v>2661</v>
      </c>
    </row>
    <row r="6266" spans="1:13">
      <c r="A6266" t="s">
        <v>2450</v>
      </c>
      <c r="B6266" t="s">
        <v>100</v>
      </c>
      <c r="C6266" s="8">
        <v>46147</v>
      </c>
      <c r="D6266" t="s">
        <v>332</v>
      </c>
      <c r="E6266" t="s">
        <v>322</v>
      </c>
      <c r="F6266" s="12">
        <v>250590</v>
      </c>
      <c r="G6266" s="13">
        <v>25</v>
      </c>
      <c r="H6266" t="s">
        <v>3375</v>
      </c>
      <c r="I6266" s="8">
        <v>46122</v>
      </c>
      <c r="J6266" t="s">
        <v>2685</v>
      </c>
      <c r="K6266" t="s">
        <v>2686</v>
      </c>
      <c r="L6266" s="13">
        <v>5000</v>
      </c>
      <c r="M6266" t="s">
        <v>2676</v>
      </c>
    </row>
    <row r="6267" spans="1:13">
      <c r="A6267" t="s">
        <v>2451</v>
      </c>
      <c r="B6267" t="s">
        <v>188</v>
      </c>
      <c r="C6267" s="8">
        <v>46088</v>
      </c>
      <c r="D6267" t="s">
        <v>327</v>
      </c>
      <c r="E6267" t="s">
        <v>337</v>
      </c>
      <c r="F6267" s="12">
        <v>311941</v>
      </c>
      <c r="G6267" s="13">
        <v>31</v>
      </c>
      <c r="H6267" t="s">
        <v>2719</v>
      </c>
      <c r="I6267" s="8">
        <v>46036</v>
      </c>
      <c r="J6267" t="s">
        <v>2674</v>
      </c>
      <c r="K6267" t="s">
        <v>2675</v>
      </c>
      <c r="L6267" s="13">
        <v>20000</v>
      </c>
      <c r="M6267" t="s">
        <v>2676</v>
      </c>
    </row>
    <row r="6268" spans="1:13">
      <c r="A6268" t="s">
        <v>2451</v>
      </c>
      <c r="B6268" t="s">
        <v>188</v>
      </c>
      <c r="C6268" s="8">
        <v>46088</v>
      </c>
      <c r="D6268" t="s">
        <v>327</v>
      </c>
      <c r="E6268" t="s">
        <v>337</v>
      </c>
      <c r="F6268" s="12">
        <v>311941</v>
      </c>
      <c r="G6268" s="13">
        <v>31</v>
      </c>
      <c r="H6268" t="s">
        <v>3384</v>
      </c>
      <c r="I6268" s="8">
        <v>46042</v>
      </c>
      <c r="J6268" t="s">
        <v>2663</v>
      </c>
      <c r="K6268" t="s">
        <v>3630</v>
      </c>
      <c r="L6268" s="13">
        <v>1500</v>
      </c>
      <c r="M6268" t="s">
        <v>2661</v>
      </c>
    </row>
    <row r="6269" spans="1:13">
      <c r="A6269" t="s">
        <v>2451</v>
      </c>
      <c r="B6269" t="s">
        <v>188</v>
      </c>
      <c r="C6269" s="8">
        <v>46088</v>
      </c>
      <c r="D6269" t="s">
        <v>327</v>
      </c>
      <c r="E6269" t="s">
        <v>337</v>
      </c>
      <c r="F6269" s="12">
        <v>311941</v>
      </c>
      <c r="G6269" s="13">
        <v>31</v>
      </c>
      <c r="H6269" t="s">
        <v>3500</v>
      </c>
      <c r="I6269" s="8">
        <v>46268</v>
      </c>
      <c r="J6269" t="s">
        <v>2671</v>
      </c>
      <c r="K6269" t="s">
        <v>2672</v>
      </c>
      <c r="L6269" s="13">
        <v>3000</v>
      </c>
      <c r="M6269" t="s">
        <v>2661</v>
      </c>
    </row>
    <row r="6270" spans="1:13">
      <c r="A6270" t="s">
        <v>2452</v>
      </c>
      <c r="B6270" t="s">
        <v>272</v>
      </c>
      <c r="C6270" s="8">
        <v>46116</v>
      </c>
      <c r="D6270" t="s">
        <v>330</v>
      </c>
      <c r="E6270" t="s">
        <v>325</v>
      </c>
      <c r="F6270" s="12">
        <v>63285</v>
      </c>
      <c r="G6270" s="13">
        <v>6</v>
      </c>
      <c r="H6270" t="s">
        <v>3170</v>
      </c>
      <c r="I6270" s="8">
        <v>46133</v>
      </c>
      <c r="J6270" t="s">
        <v>2659</v>
      </c>
      <c r="K6270" t="s">
        <v>2660</v>
      </c>
      <c r="L6270" s="13">
        <v>3500</v>
      </c>
      <c r="M6270" t="s">
        <v>2661</v>
      </c>
    </row>
    <row r="6271" spans="1:13">
      <c r="A6271" t="s">
        <v>2452</v>
      </c>
      <c r="B6271" t="s">
        <v>272</v>
      </c>
      <c r="C6271" s="8">
        <v>46116</v>
      </c>
      <c r="D6271" t="s">
        <v>330</v>
      </c>
      <c r="E6271" t="s">
        <v>325</v>
      </c>
      <c r="F6271" s="12">
        <v>63285</v>
      </c>
      <c r="G6271" s="13">
        <v>6</v>
      </c>
      <c r="H6271" t="s">
        <v>3460</v>
      </c>
      <c r="I6271" s="8">
        <v>46021</v>
      </c>
      <c r="J6271" t="s">
        <v>2663</v>
      </c>
      <c r="K6271" t="s">
        <v>3630</v>
      </c>
      <c r="L6271" s="13">
        <v>1500</v>
      </c>
      <c r="M6271" t="s">
        <v>2661</v>
      </c>
    </row>
    <row r="6272" spans="1:13">
      <c r="A6272" t="s">
        <v>2453</v>
      </c>
      <c r="B6272" t="s">
        <v>105</v>
      </c>
      <c r="C6272" s="8">
        <v>46206</v>
      </c>
      <c r="D6272" t="s">
        <v>350</v>
      </c>
      <c r="E6272" t="s">
        <v>334</v>
      </c>
      <c r="F6272" s="12">
        <v>334480</v>
      </c>
      <c r="G6272" s="13">
        <v>33</v>
      </c>
      <c r="H6272" t="s">
        <v>3001</v>
      </c>
      <c r="I6272" s="8">
        <v>46288</v>
      </c>
      <c r="J6272" t="s">
        <v>2668</v>
      </c>
      <c r="K6272" t="s">
        <v>2669</v>
      </c>
      <c r="L6272" s="13">
        <v>4000</v>
      </c>
      <c r="M6272" t="s">
        <v>2661</v>
      </c>
    </row>
    <row r="6273" spans="1:13">
      <c r="A6273" t="s">
        <v>2453</v>
      </c>
      <c r="B6273" t="s">
        <v>105</v>
      </c>
      <c r="C6273" s="8">
        <v>46206</v>
      </c>
      <c r="D6273" t="s">
        <v>350</v>
      </c>
      <c r="E6273" t="s">
        <v>334</v>
      </c>
      <c r="F6273" s="12">
        <v>334480</v>
      </c>
      <c r="G6273" s="13">
        <v>33</v>
      </c>
      <c r="H6273" t="s">
        <v>3018</v>
      </c>
      <c r="I6273" s="8">
        <v>45961</v>
      </c>
      <c r="J6273" t="s">
        <v>2685</v>
      </c>
      <c r="K6273" t="s">
        <v>2686</v>
      </c>
      <c r="L6273" s="13">
        <v>5000</v>
      </c>
      <c r="M6273" t="s">
        <v>2661</v>
      </c>
    </row>
    <row r="6274" spans="1:13">
      <c r="A6274" t="s">
        <v>2454</v>
      </c>
      <c r="B6274" t="s">
        <v>293</v>
      </c>
      <c r="C6274" s="8">
        <v>46042</v>
      </c>
      <c r="D6274" t="s">
        <v>330</v>
      </c>
      <c r="E6274" t="s">
        <v>334</v>
      </c>
      <c r="F6274" s="12">
        <v>326273</v>
      </c>
      <c r="G6274" s="13">
        <v>32</v>
      </c>
      <c r="H6274" t="s">
        <v>2680</v>
      </c>
      <c r="I6274" s="8">
        <v>46235</v>
      </c>
      <c r="J6274" t="s">
        <v>2665</v>
      </c>
      <c r="K6274" t="s">
        <v>2666</v>
      </c>
      <c r="L6274" s="13">
        <v>2500</v>
      </c>
      <c r="M6274" t="s">
        <v>2661</v>
      </c>
    </row>
    <row r="6275" spans="1:13">
      <c r="A6275" t="s">
        <v>2454</v>
      </c>
      <c r="B6275" t="s">
        <v>293</v>
      </c>
      <c r="C6275" s="8">
        <v>46042</v>
      </c>
      <c r="D6275" t="s">
        <v>330</v>
      </c>
      <c r="E6275" t="s">
        <v>334</v>
      </c>
      <c r="F6275" s="12">
        <v>326273</v>
      </c>
      <c r="G6275" s="13">
        <v>32</v>
      </c>
      <c r="H6275" t="s">
        <v>2795</v>
      </c>
      <c r="I6275" s="8">
        <v>45945</v>
      </c>
      <c r="J6275" t="s">
        <v>2663</v>
      </c>
      <c r="K6275" t="s">
        <v>3630</v>
      </c>
      <c r="L6275" s="13">
        <v>1500</v>
      </c>
      <c r="M6275" t="s">
        <v>2661</v>
      </c>
    </row>
    <row r="6276" spans="1:13">
      <c r="A6276" t="s">
        <v>2454</v>
      </c>
      <c r="B6276" t="s">
        <v>293</v>
      </c>
      <c r="C6276" s="8">
        <v>46042</v>
      </c>
      <c r="D6276" t="s">
        <v>330</v>
      </c>
      <c r="E6276" t="s">
        <v>334</v>
      </c>
      <c r="F6276" s="12">
        <v>326273</v>
      </c>
      <c r="G6276" s="13">
        <v>32</v>
      </c>
      <c r="H6276" t="s">
        <v>2977</v>
      </c>
      <c r="I6276" s="8">
        <v>46001</v>
      </c>
      <c r="J6276" t="s">
        <v>2659</v>
      </c>
      <c r="K6276" t="s">
        <v>2660</v>
      </c>
      <c r="L6276" s="13">
        <v>3500</v>
      </c>
      <c r="M6276" t="s">
        <v>2661</v>
      </c>
    </row>
    <row r="6277" spans="1:13">
      <c r="A6277" t="s">
        <v>2454</v>
      </c>
      <c r="B6277" t="s">
        <v>293</v>
      </c>
      <c r="C6277" s="8">
        <v>46042</v>
      </c>
      <c r="D6277" t="s">
        <v>330</v>
      </c>
      <c r="E6277" t="s">
        <v>334</v>
      </c>
      <c r="F6277" s="12">
        <v>326273</v>
      </c>
      <c r="G6277" s="13">
        <v>32</v>
      </c>
      <c r="H6277" t="s">
        <v>3042</v>
      </c>
      <c r="I6277" s="8">
        <v>45970</v>
      </c>
      <c r="J6277" t="s">
        <v>2682</v>
      </c>
      <c r="K6277" t="s">
        <v>2683</v>
      </c>
      <c r="L6277" s="13">
        <v>6000</v>
      </c>
      <c r="M6277" t="s">
        <v>2661</v>
      </c>
    </row>
    <row r="6278" spans="1:13">
      <c r="A6278" t="s">
        <v>2454</v>
      </c>
      <c r="B6278" t="s">
        <v>293</v>
      </c>
      <c r="C6278" s="8">
        <v>46042</v>
      </c>
      <c r="D6278" t="s">
        <v>330</v>
      </c>
      <c r="E6278" t="s">
        <v>334</v>
      </c>
      <c r="F6278" s="12">
        <v>326273</v>
      </c>
      <c r="G6278" s="13">
        <v>32</v>
      </c>
      <c r="H6278" t="s">
        <v>3354</v>
      </c>
      <c r="I6278" s="8">
        <v>45997</v>
      </c>
      <c r="J6278" t="s">
        <v>2659</v>
      </c>
      <c r="K6278" t="s">
        <v>2660</v>
      </c>
      <c r="L6278" s="13">
        <v>3500</v>
      </c>
      <c r="M6278" t="s">
        <v>2661</v>
      </c>
    </row>
    <row r="6279" spans="1:13">
      <c r="A6279" t="s">
        <v>2454</v>
      </c>
      <c r="B6279" t="s">
        <v>293</v>
      </c>
      <c r="C6279" s="8">
        <v>46042</v>
      </c>
      <c r="D6279" t="s">
        <v>330</v>
      </c>
      <c r="E6279" t="s">
        <v>334</v>
      </c>
      <c r="F6279" s="12">
        <v>326273</v>
      </c>
      <c r="G6279" s="13">
        <v>32</v>
      </c>
      <c r="H6279" t="s">
        <v>3448</v>
      </c>
      <c r="I6279" s="8">
        <v>46100</v>
      </c>
      <c r="J6279" t="s">
        <v>2668</v>
      </c>
      <c r="K6279" t="s">
        <v>2669</v>
      </c>
      <c r="L6279" s="13">
        <v>4000</v>
      </c>
      <c r="M6279" t="s">
        <v>2676</v>
      </c>
    </row>
    <row r="6280" spans="1:13">
      <c r="A6280" t="s">
        <v>2455</v>
      </c>
      <c r="B6280" t="s">
        <v>239</v>
      </c>
      <c r="C6280" s="8">
        <v>46232</v>
      </c>
      <c r="D6280" t="s">
        <v>321</v>
      </c>
      <c r="E6280" t="s">
        <v>325</v>
      </c>
      <c r="F6280" s="12">
        <v>108806</v>
      </c>
      <c r="G6280" s="13">
        <v>10</v>
      </c>
      <c r="H6280" t="s">
        <v>3498</v>
      </c>
      <c r="I6280" s="8">
        <v>46247</v>
      </c>
      <c r="J6280" t="s">
        <v>2671</v>
      </c>
      <c r="K6280" t="s">
        <v>2672</v>
      </c>
      <c r="L6280" s="13">
        <v>3000</v>
      </c>
      <c r="M6280" t="s">
        <v>2661</v>
      </c>
    </row>
    <row r="6281" spans="1:13">
      <c r="A6281" t="s">
        <v>2456</v>
      </c>
      <c r="B6281" t="s">
        <v>195</v>
      </c>
      <c r="C6281" s="8">
        <v>46163</v>
      </c>
      <c r="D6281" t="s">
        <v>332</v>
      </c>
      <c r="E6281" t="s">
        <v>339</v>
      </c>
      <c r="F6281" s="12">
        <v>405925</v>
      </c>
      <c r="G6281" s="13">
        <v>40</v>
      </c>
      <c r="H6281" t="s">
        <v>2949</v>
      </c>
      <c r="I6281" s="8">
        <v>46284</v>
      </c>
      <c r="J6281" t="s">
        <v>2668</v>
      </c>
      <c r="K6281" t="s">
        <v>2669</v>
      </c>
      <c r="L6281" s="13">
        <v>4000</v>
      </c>
      <c r="M6281" t="s">
        <v>2676</v>
      </c>
    </row>
    <row r="6282" spans="1:13">
      <c r="A6282" t="s">
        <v>2456</v>
      </c>
      <c r="B6282" t="s">
        <v>195</v>
      </c>
      <c r="C6282" s="8">
        <v>46163</v>
      </c>
      <c r="D6282" t="s">
        <v>332</v>
      </c>
      <c r="E6282" t="s">
        <v>339</v>
      </c>
      <c r="F6282" s="12">
        <v>405925</v>
      </c>
      <c r="G6282" s="13">
        <v>40</v>
      </c>
      <c r="H6282" t="s">
        <v>3150</v>
      </c>
      <c r="I6282" s="8">
        <v>46139</v>
      </c>
      <c r="J6282" t="s">
        <v>2659</v>
      </c>
      <c r="K6282" t="s">
        <v>2660</v>
      </c>
      <c r="L6282" s="13">
        <v>3500</v>
      </c>
      <c r="M6282" t="s">
        <v>2661</v>
      </c>
    </row>
    <row r="6283" spans="1:13">
      <c r="A6283" t="s">
        <v>2457</v>
      </c>
      <c r="B6283" t="s">
        <v>303</v>
      </c>
      <c r="C6283" s="8">
        <v>45942</v>
      </c>
      <c r="D6283" t="s">
        <v>327</v>
      </c>
      <c r="E6283" t="s">
        <v>325</v>
      </c>
      <c r="F6283" s="12">
        <v>41426</v>
      </c>
      <c r="G6283" s="13">
        <v>4</v>
      </c>
      <c r="H6283" t="s">
        <v>2809</v>
      </c>
      <c r="I6283" s="8">
        <v>46061</v>
      </c>
      <c r="J6283" t="s">
        <v>2682</v>
      </c>
      <c r="K6283" t="s">
        <v>2683</v>
      </c>
      <c r="L6283" s="13">
        <v>6000</v>
      </c>
      <c r="M6283" t="s">
        <v>2661</v>
      </c>
    </row>
    <row r="6284" spans="1:13">
      <c r="A6284" t="s">
        <v>2458</v>
      </c>
      <c r="B6284" t="s">
        <v>255</v>
      </c>
      <c r="C6284" s="8">
        <v>46127</v>
      </c>
      <c r="D6284" t="s">
        <v>327</v>
      </c>
      <c r="E6284" t="s">
        <v>325</v>
      </c>
      <c r="F6284" s="12">
        <v>130222</v>
      </c>
      <c r="G6284" s="13">
        <v>13</v>
      </c>
      <c r="H6284" t="s">
        <v>2956</v>
      </c>
      <c r="I6284" s="8">
        <v>45952</v>
      </c>
      <c r="J6284" t="s">
        <v>2674</v>
      </c>
      <c r="K6284" t="s">
        <v>2675</v>
      </c>
      <c r="L6284" s="13">
        <v>20000</v>
      </c>
      <c r="M6284" t="s">
        <v>2676</v>
      </c>
    </row>
    <row r="6285" spans="1:13">
      <c r="A6285" t="s">
        <v>2458</v>
      </c>
      <c r="B6285" t="s">
        <v>255</v>
      </c>
      <c r="C6285" s="8">
        <v>46127</v>
      </c>
      <c r="D6285" t="s">
        <v>327</v>
      </c>
      <c r="E6285" t="s">
        <v>325</v>
      </c>
      <c r="F6285" s="12">
        <v>130222</v>
      </c>
      <c r="G6285" s="13">
        <v>13</v>
      </c>
      <c r="H6285" t="s">
        <v>3223</v>
      </c>
      <c r="I6285" s="8">
        <v>46198</v>
      </c>
      <c r="J6285" t="s">
        <v>2665</v>
      </c>
      <c r="K6285" t="s">
        <v>2666</v>
      </c>
      <c r="L6285" s="13">
        <v>2500</v>
      </c>
      <c r="M6285" t="s">
        <v>2661</v>
      </c>
    </row>
    <row r="6286" spans="1:13">
      <c r="A6286" t="s">
        <v>2458</v>
      </c>
      <c r="B6286" t="s">
        <v>255</v>
      </c>
      <c r="C6286" s="8">
        <v>46127</v>
      </c>
      <c r="D6286" t="s">
        <v>327</v>
      </c>
      <c r="E6286" t="s">
        <v>325</v>
      </c>
      <c r="F6286" s="12">
        <v>130222</v>
      </c>
      <c r="G6286" s="13">
        <v>13</v>
      </c>
      <c r="H6286" t="s">
        <v>3323</v>
      </c>
      <c r="I6286" s="8">
        <v>46169</v>
      </c>
      <c r="J6286" t="s">
        <v>2682</v>
      </c>
      <c r="K6286" t="s">
        <v>2683</v>
      </c>
      <c r="L6286" s="13">
        <v>6000</v>
      </c>
      <c r="M6286" t="s">
        <v>2676</v>
      </c>
    </row>
    <row r="6287" spans="1:13">
      <c r="A6287" t="s">
        <v>2459</v>
      </c>
      <c r="B6287" t="s">
        <v>238</v>
      </c>
      <c r="C6287" s="8">
        <v>46060</v>
      </c>
      <c r="D6287" t="s">
        <v>344</v>
      </c>
      <c r="E6287" t="s">
        <v>325</v>
      </c>
      <c r="F6287" s="12">
        <v>735420</v>
      </c>
      <c r="G6287" s="13">
        <v>73</v>
      </c>
      <c r="H6287" t="s">
        <v>3383</v>
      </c>
      <c r="I6287" s="8">
        <v>46051</v>
      </c>
      <c r="J6287" t="s">
        <v>2682</v>
      </c>
      <c r="K6287" t="s">
        <v>2683</v>
      </c>
      <c r="L6287" s="13">
        <v>6000</v>
      </c>
      <c r="M6287" t="s">
        <v>2661</v>
      </c>
    </row>
    <row r="6288" spans="1:13">
      <c r="A6288" t="s">
        <v>2459</v>
      </c>
      <c r="B6288" t="s">
        <v>238</v>
      </c>
      <c r="C6288" s="8">
        <v>46060</v>
      </c>
      <c r="D6288" t="s">
        <v>344</v>
      </c>
      <c r="E6288" t="s">
        <v>325</v>
      </c>
      <c r="F6288" s="12">
        <v>735420</v>
      </c>
      <c r="G6288" s="13">
        <v>73</v>
      </c>
      <c r="H6288" t="s">
        <v>3483</v>
      </c>
      <c r="I6288" s="8">
        <v>46188</v>
      </c>
      <c r="J6288" t="s">
        <v>2674</v>
      </c>
      <c r="K6288" t="s">
        <v>2675</v>
      </c>
      <c r="L6288" s="13">
        <v>20000</v>
      </c>
      <c r="M6288" t="s">
        <v>2661</v>
      </c>
    </row>
    <row r="6289" spans="1:13">
      <c r="A6289" t="s">
        <v>2460</v>
      </c>
      <c r="B6289" t="s">
        <v>240</v>
      </c>
      <c r="C6289" s="8">
        <v>46211</v>
      </c>
      <c r="D6289" t="s">
        <v>324</v>
      </c>
      <c r="E6289" t="s">
        <v>339</v>
      </c>
      <c r="F6289" s="12">
        <v>769650</v>
      </c>
      <c r="G6289" s="13">
        <v>76</v>
      </c>
      <c r="H6289" t="s">
        <v>3066</v>
      </c>
      <c r="I6289" s="8">
        <v>46121</v>
      </c>
      <c r="J6289" t="s">
        <v>2685</v>
      </c>
      <c r="K6289" t="s">
        <v>2686</v>
      </c>
      <c r="L6289" s="13">
        <v>5000</v>
      </c>
      <c r="M6289" t="s">
        <v>2661</v>
      </c>
    </row>
    <row r="6290" spans="1:13">
      <c r="A6290" t="s">
        <v>2460</v>
      </c>
      <c r="B6290" t="s">
        <v>240</v>
      </c>
      <c r="C6290" s="8">
        <v>46211</v>
      </c>
      <c r="D6290" t="s">
        <v>324</v>
      </c>
      <c r="E6290" t="s">
        <v>339</v>
      </c>
      <c r="F6290" s="12">
        <v>769650</v>
      </c>
      <c r="G6290" s="13">
        <v>76</v>
      </c>
      <c r="H6290" t="s">
        <v>3319</v>
      </c>
      <c r="I6290" s="8">
        <v>45952</v>
      </c>
      <c r="J6290" t="s">
        <v>2685</v>
      </c>
      <c r="K6290" t="s">
        <v>2686</v>
      </c>
      <c r="L6290" s="13">
        <v>5000</v>
      </c>
      <c r="M6290" t="s">
        <v>2661</v>
      </c>
    </row>
    <row r="6291" spans="1:13">
      <c r="A6291" t="s">
        <v>2460</v>
      </c>
      <c r="B6291" t="s">
        <v>240</v>
      </c>
      <c r="C6291" s="8">
        <v>46211</v>
      </c>
      <c r="D6291" t="s">
        <v>324</v>
      </c>
      <c r="E6291" t="s">
        <v>339</v>
      </c>
      <c r="F6291" s="12">
        <v>769650</v>
      </c>
      <c r="G6291" s="13">
        <v>76</v>
      </c>
      <c r="H6291" t="s">
        <v>3380</v>
      </c>
      <c r="I6291" s="8">
        <v>46263</v>
      </c>
      <c r="J6291" t="s">
        <v>2682</v>
      </c>
      <c r="K6291" t="s">
        <v>2683</v>
      </c>
      <c r="L6291" s="13">
        <v>6000</v>
      </c>
      <c r="M6291" t="s">
        <v>2661</v>
      </c>
    </row>
    <row r="6292" spans="1:13">
      <c r="A6292" t="s">
        <v>2461</v>
      </c>
      <c r="B6292" t="s">
        <v>79</v>
      </c>
      <c r="C6292" s="8">
        <v>45954</v>
      </c>
      <c r="D6292" t="s">
        <v>332</v>
      </c>
      <c r="E6292" t="s">
        <v>334</v>
      </c>
      <c r="F6292" s="12">
        <v>303953</v>
      </c>
      <c r="G6292" s="13">
        <v>30</v>
      </c>
      <c r="H6292" t="s">
        <v>3501</v>
      </c>
      <c r="I6292" s="8">
        <v>46288</v>
      </c>
      <c r="J6292" t="s">
        <v>2668</v>
      </c>
      <c r="K6292" t="s">
        <v>2669</v>
      </c>
      <c r="L6292" s="13">
        <v>4000</v>
      </c>
      <c r="M6292" t="s">
        <v>2676</v>
      </c>
    </row>
    <row r="6293" spans="1:13">
      <c r="A6293" t="s">
        <v>2462</v>
      </c>
      <c r="B6293" t="s">
        <v>167</v>
      </c>
      <c r="C6293" s="8">
        <v>46259</v>
      </c>
      <c r="D6293" t="s">
        <v>330</v>
      </c>
      <c r="E6293" t="s">
        <v>322</v>
      </c>
      <c r="F6293" s="12">
        <v>178176</v>
      </c>
      <c r="G6293" s="13">
        <v>17</v>
      </c>
      <c r="H6293" t="s">
        <v>2714</v>
      </c>
      <c r="I6293" s="8">
        <v>45991</v>
      </c>
      <c r="J6293" t="s">
        <v>2663</v>
      </c>
      <c r="K6293" t="s">
        <v>3630</v>
      </c>
      <c r="L6293" s="13">
        <v>1500</v>
      </c>
      <c r="M6293" t="s">
        <v>2661</v>
      </c>
    </row>
    <row r="6294" spans="1:13">
      <c r="A6294" t="s">
        <v>2462</v>
      </c>
      <c r="B6294" t="s">
        <v>167</v>
      </c>
      <c r="C6294" s="8">
        <v>46259</v>
      </c>
      <c r="D6294" t="s">
        <v>330</v>
      </c>
      <c r="E6294" t="s">
        <v>322</v>
      </c>
      <c r="F6294" s="12">
        <v>178176</v>
      </c>
      <c r="G6294" s="13">
        <v>17</v>
      </c>
      <c r="H6294" t="s">
        <v>3024</v>
      </c>
      <c r="I6294" s="8">
        <v>46163</v>
      </c>
      <c r="J6294" t="s">
        <v>2665</v>
      </c>
      <c r="K6294" t="s">
        <v>2666</v>
      </c>
      <c r="L6294" s="13">
        <v>2500</v>
      </c>
      <c r="M6294" t="s">
        <v>2661</v>
      </c>
    </row>
    <row r="6295" spans="1:13">
      <c r="A6295" t="s">
        <v>2462</v>
      </c>
      <c r="B6295" t="s">
        <v>167</v>
      </c>
      <c r="C6295" s="8">
        <v>46259</v>
      </c>
      <c r="D6295" t="s">
        <v>330</v>
      </c>
      <c r="E6295" t="s">
        <v>322</v>
      </c>
      <c r="F6295" s="12">
        <v>178176</v>
      </c>
      <c r="G6295" s="13">
        <v>17</v>
      </c>
      <c r="H6295" t="s">
        <v>3573</v>
      </c>
      <c r="I6295" s="8">
        <v>46043</v>
      </c>
      <c r="J6295" t="s">
        <v>2671</v>
      </c>
      <c r="K6295" t="s">
        <v>2672</v>
      </c>
      <c r="L6295" s="13">
        <v>3000</v>
      </c>
      <c r="M6295" t="s">
        <v>2661</v>
      </c>
    </row>
    <row r="6296" spans="1:13">
      <c r="A6296" t="s">
        <v>2463</v>
      </c>
      <c r="B6296" t="s">
        <v>167</v>
      </c>
      <c r="C6296" s="8">
        <v>46195</v>
      </c>
      <c r="D6296" t="s">
        <v>327</v>
      </c>
      <c r="E6296" t="s">
        <v>339</v>
      </c>
      <c r="F6296" s="12">
        <v>207984</v>
      </c>
      <c r="G6296" s="13">
        <v>20</v>
      </c>
      <c r="H6296" t="s">
        <v>2714</v>
      </c>
      <c r="I6296" s="8">
        <v>45991</v>
      </c>
      <c r="J6296" t="s">
        <v>2663</v>
      </c>
      <c r="K6296" t="s">
        <v>3630</v>
      </c>
      <c r="L6296" s="13">
        <v>1500</v>
      </c>
      <c r="M6296" t="s">
        <v>2661</v>
      </c>
    </row>
    <row r="6297" spans="1:13">
      <c r="A6297" t="s">
        <v>2463</v>
      </c>
      <c r="B6297" t="s">
        <v>167</v>
      </c>
      <c r="C6297" s="8">
        <v>46195</v>
      </c>
      <c r="D6297" t="s">
        <v>327</v>
      </c>
      <c r="E6297" t="s">
        <v>339</v>
      </c>
      <c r="F6297" s="12">
        <v>207984</v>
      </c>
      <c r="G6297" s="13">
        <v>20</v>
      </c>
      <c r="H6297" t="s">
        <v>3024</v>
      </c>
      <c r="I6297" s="8">
        <v>46163</v>
      </c>
      <c r="J6297" t="s">
        <v>2665</v>
      </c>
      <c r="K6297" t="s">
        <v>2666</v>
      </c>
      <c r="L6297" s="13">
        <v>2500</v>
      </c>
      <c r="M6297" t="s">
        <v>2661</v>
      </c>
    </row>
    <row r="6298" spans="1:13">
      <c r="A6298" t="s">
        <v>2463</v>
      </c>
      <c r="B6298" t="s">
        <v>167</v>
      </c>
      <c r="C6298" s="8">
        <v>46195</v>
      </c>
      <c r="D6298" t="s">
        <v>327</v>
      </c>
      <c r="E6298" t="s">
        <v>339</v>
      </c>
      <c r="F6298" s="12">
        <v>207984</v>
      </c>
      <c r="G6298" s="13">
        <v>20</v>
      </c>
      <c r="H6298" t="s">
        <v>3573</v>
      </c>
      <c r="I6298" s="8">
        <v>46043</v>
      </c>
      <c r="J6298" t="s">
        <v>2671</v>
      </c>
      <c r="K6298" t="s">
        <v>2672</v>
      </c>
      <c r="L6298" s="13">
        <v>3000</v>
      </c>
      <c r="M6298" t="s">
        <v>2661</v>
      </c>
    </row>
    <row r="6299" spans="1:13">
      <c r="A6299" t="s">
        <v>2465</v>
      </c>
      <c r="B6299" t="s">
        <v>61</v>
      </c>
      <c r="C6299" s="8">
        <v>46196</v>
      </c>
      <c r="D6299" t="s">
        <v>350</v>
      </c>
      <c r="E6299" t="s">
        <v>334</v>
      </c>
      <c r="F6299" s="12">
        <v>290027</v>
      </c>
      <c r="G6299" s="13">
        <v>29</v>
      </c>
      <c r="H6299" t="s">
        <v>2681</v>
      </c>
      <c r="I6299" s="8">
        <v>46094</v>
      </c>
      <c r="J6299" t="s">
        <v>2682</v>
      </c>
      <c r="K6299" t="s">
        <v>2683</v>
      </c>
      <c r="L6299" s="13">
        <v>6000</v>
      </c>
      <c r="M6299" t="s">
        <v>2661</v>
      </c>
    </row>
    <row r="6300" spans="1:13">
      <c r="A6300" t="s">
        <v>2465</v>
      </c>
      <c r="B6300" t="s">
        <v>61</v>
      </c>
      <c r="C6300" s="8">
        <v>46196</v>
      </c>
      <c r="D6300" t="s">
        <v>350</v>
      </c>
      <c r="E6300" t="s">
        <v>334</v>
      </c>
      <c r="F6300" s="12">
        <v>290027</v>
      </c>
      <c r="G6300" s="13">
        <v>29</v>
      </c>
      <c r="H6300" t="s">
        <v>2959</v>
      </c>
      <c r="I6300" s="8">
        <v>46036</v>
      </c>
      <c r="J6300" t="s">
        <v>2692</v>
      </c>
      <c r="K6300" t="s">
        <v>2693</v>
      </c>
      <c r="L6300" s="13">
        <v>10000</v>
      </c>
      <c r="M6300" t="s">
        <v>2661</v>
      </c>
    </row>
    <row r="6301" spans="1:13">
      <c r="A6301" t="s">
        <v>2465</v>
      </c>
      <c r="B6301" t="s">
        <v>61</v>
      </c>
      <c r="C6301" s="8">
        <v>46196</v>
      </c>
      <c r="D6301" t="s">
        <v>350</v>
      </c>
      <c r="E6301" t="s">
        <v>334</v>
      </c>
      <c r="F6301" s="12">
        <v>290027</v>
      </c>
      <c r="G6301" s="13">
        <v>29</v>
      </c>
      <c r="H6301" t="s">
        <v>3466</v>
      </c>
      <c r="I6301" s="8">
        <v>46050</v>
      </c>
      <c r="J6301" t="s">
        <v>2659</v>
      </c>
      <c r="K6301" t="s">
        <v>2660</v>
      </c>
      <c r="L6301" s="13">
        <v>3500</v>
      </c>
      <c r="M6301" t="s">
        <v>2661</v>
      </c>
    </row>
    <row r="6302" spans="1:13">
      <c r="A6302" t="s">
        <v>2465</v>
      </c>
      <c r="B6302" t="s">
        <v>61</v>
      </c>
      <c r="C6302" s="8">
        <v>46196</v>
      </c>
      <c r="D6302" t="s">
        <v>350</v>
      </c>
      <c r="E6302" t="s">
        <v>334</v>
      </c>
      <c r="F6302" s="12">
        <v>290027</v>
      </c>
      <c r="G6302" s="13">
        <v>29</v>
      </c>
      <c r="H6302" t="s">
        <v>3470</v>
      </c>
      <c r="I6302" s="8">
        <v>46196</v>
      </c>
      <c r="J6302" t="s">
        <v>2659</v>
      </c>
      <c r="K6302" t="s">
        <v>2660</v>
      </c>
      <c r="L6302" s="13">
        <v>3500</v>
      </c>
      <c r="M6302" t="s">
        <v>2661</v>
      </c>
    </row>
    <row r="6303" spans="1:13">
      <c r="A6303" t="s">
        <v>2466</v>
      </c>
      <c r="B6303" t="s">
        <v>247</v>
      </c>
      <c r="C6303" s="8">
        <v>46226</v>
      </c>
      <c r="D6303" t="s">
        <v>324</v>
      </c>
      <c r="E6303" t="s">
        <v>337</v>
      </c>
      <c r="F6303" s="12">
        <v>74305</v>
      </c>
      <c r="G6303" s="13">
        <v>7</v>
      </c>
      <c r="H6303" t="s">
        <v>3106</v>
      </c>
      <c r="I6303" s="8">
        <v>46071</v>
      </c>
      <c r="J6303" t="s">
        <v>2668</v>
      </c>
      <c r="K6303" t="s">
        <v>2669</v>
      </c>
      <c r="L6303" s="13">
        <v>4000</v>
      </c>
      <c r="M6303" t="s">
        <v>2661</v>
      </c>
    </row>
    <row r="6304" spans="1:13">
      <c r="A6304" t="s">
        <v>2467</v>
      </c>
      <c r="B6304" t="s">
        <v>106</v>
      </c>
      <c r="C6304" s="8">
        <v>46204</v>
      </c>
      <c r="D6304" t="s">
        <v>332</v>
      </c>
      <c r="E6304" t="s">
        <v>328</v>
      </c>
      <c r="F6304" s="12">
        <v>874440</v>
      </c>
      <c r="G6304" s="13">
        <v>87</v>
      </c>
      <c r="H6304" t="s">
        <v>2700</v>
      </c>
      <c r="I6304" s="8">
        <v>46262</v>
      </c>
      <c r="J6304" t="s">
        <v>2692</v>
      </c>
      <c r="K6304" t="s">
        <v>2693</v>
      </c>
      <c r="L6304" s="13">
        <v>10000</v>
      </c>
      <c r="M6304" t="s">
        <v>2676</v>
      </c>
    </row>
    <row r="6305" spans="1:13">
      <c r="A6305" t="s">
        <v>2467</v>
      </c>
      <c r="B6305" t="s">
        <v>106</v>
      </c>
      <c r="C6305" s="8">
        <v>46204</v>
      </c>
      <c r="D6305" t="s">
        <v>332</v>
      </c>
      <c r="E6305" t="s">
        <v>328</v>
      </c>
      <c r="F6305" s="12">
        <v>874440</v>
      </c>
      <c r="G6305" s="13">
        <v>87</v>
      </c>
      <c r="H6305" t="s">
        <v>2973</v>
      </c>
      <c r="I6305" s="8">
        <v>46143</v>
      </c>
      <c r="J6305" t="s">
        <v>2682</v>
      </c>
      <c r="K6305" t="s">
        <v>2683</v>
      </c>
      <c r="L6305" s="13">
        <v>6000</v>
      </c>
      <c r="M6305" t="s">
        <v>2661</v>
      </c>
    </row>
    <row r="6306" spans="1:13">
      <c r="A6306" t="s">
        <v>2467</v>
      </c>
      <c r="B6306" t="s">
        <v>106</v>
      </c>
      <c r="C6306" s="8">
        <v>46204</v>
      </c>
      <c r="D6306" t="s">
        <v>332</v>
      </c>
      <c r="E6306" t="s">
        <v>328</v>
      </c>
      <c r="F6306" s="12">
        <v>874440</v>
      </c>
      <c r="G6306" s="13">
        <v>87</v>
      </c>
      <c r="H6306" t="s">
        <v>3217</v>
      </c>
      <c r="I6306" s="8">
        <v>46275</v>
      </c>
      <c r="J6306" t="s">
        <v>2682</v>
      </c>
      <c r="K6306" t="s">
        <v>2683</v>
      </c>
      <c r="L6306" s="13">
        <v>6000</v>
      </c>
      <c r="M6306" t="s">
        <v>2676</v>
      </c>
    </row>
    <row r="6307" spans="1:13">
      <c r="A6307" t="s">
        <v>2467</v>
      </c>
      <c r="B6307" t="s">
        <v>106</v>
      </c>
      <c r="C6307" s="8">
        <v>46204</v>
      </c>
      <c r="D6307" t="s">
        <v>332</v>
      </c>
      <c r="E6307" t="s">
        <v>328</v>
      </c>
      <c r="F6307" s="12">
        <v>874440</v>
      </c>
      <c r="G6307" s="13">
        <v>87</v>
      </c>
      <c r="H6307" t="s">
        <v>3285</v>
      </c>
      <c r="I6307" s="8">
        <v>46234</v>
      </c>
      <c r="J6307" t="s">
        <v>2668</v>
      </c>
      <c r="K6307" t="s">
        <v>2669</v>
      </c>
      <c r="L6307" s="13">
        <v>4000</v>
      </c>
      <c r="M6307" t="s">
        <v>2661</v>
      </c>
    </row>
    <row r="6308" spans="1:13">
      <c r="A6308" t="s">
        <v>2467</v>
      </c>
      <c r="B6308" t="s">
        <v>106</v>
      </c>
      <c r="C6308" s="8">
        <v>46204</v>
      </c>
      <c r="D6308" t="s">
        <v>332</v>
      </c>
      <c r="E6308" t="s">
        <v>328</v>
      </c>
      <c r="F6308" s="12">
        <v>874440</v>
      </c>
      <c r="G6308" s="13">
        <v>87</v>
      </c>
      <c r="H6308" t="s">
        <v>3476</v>
      </c>
      <c r="I6308" s="8">
        <v>45966</v>
      </c>
      <c r="J6308" t="s">
        <v>2674</v>
      </c>
      <c r="K6308" t="s">
        <v>2675</v>
      </c>
      <c r="L6308" s="13">
        <v>20000</v>
      </c>
      <c r="M6308" t="s">
        <v>2661</v>
      </c>
    </row>
    <row r="6309" spans="1:13">
      <c r="A6309" t="s">
        <v>2468</v>
      </c>
      <c r="B6309" t="s">
        <v>107</v>
      </c>
      <c r="C6309" s="8">
        <v>46164</v>
      </c>
      <c r="D6309" t="s">
        <v>344</v>
      </c>
      <c r="E6309" t="s">
        <v>325</v>
      </c>
      <c r="F6309" s="12">
        <v>214341</v>
      </c>
      <c r="G6309" s="13">
        <v>21</v>
      </c>
      <c r="H6309" t="s">
        <v>2865</v>
      </c>
      <c r="I6309" s="8">
        <v>46153</v>
      </c>
      <c r="J6309" t="s">
        <v>2692</v>
      </c>
      <c r="K6309" t="s">
        <v>2693</v>
      </c>
      <c r="L6309" s="13">
        <v>10000</v>
      </c>
      <c r="M6309" t="s">
        <v>2676</v>
      </c>
    </row>
    <row r="6310" spans="1:13">
      <c r="A6310" t="s">
        <v>2468</v>
      </c>
      <c r="B6310" t="s">
        <v>107</v>
      </c>
      <c r="C6310" s="8">
        <v>46164</v>
      </c>
      <c r="D6310" t="s">
        <v>344</v>
      </c>
      <c r="E6310" t="s">
        <v>325</v>
      </c>
      <c r="F6310" s="12">
        <v>214341</v>
      </c>
      <c r="G6310" s="13">
        <v>21</v>
      </c>
      <c r="H6310" t="s">
        <v>3214</v>
      </c>
      <c r="I6310" s="8">
        <v>46183</v>
      </c>
      <c r="J6310" t="s">
        <v>2692</v>
      </c>
      <c r="K6310" t="s">
        <v>2693</v>
      </c>
      <c r="L6310" s="13">
        <v>10000</v>
      </c>
      <c r="M6310" t="s">
        <v>2661</v>
      </c>
    </row>
    <row r="6311" spans="1:13">
      <c r="A6311" t="s">
        <v>2468</v>
      </c>
      <c r="B6311" t="s">
        <v>107</v>
      </c>
      <c r="C6311" s="8">
        <v>46164</v>
      </c>
      <c r="D6311" t="s">
        <v>344</v>
      </c>
      <c r="E6311" t="s">
        <v>325</v>
      </c>
      <c r="F6311" s="12">
        <v>214341</v>
      </c>
      <c r="G6311" s="13">
        <v>21</v>
      </c>
      <c r="H6311" t="s">
        <v>3424</v>
      </c>
      <c r="I6311" s="8">
        <v>46007</v>
      </c>
      <c r="J6311" t="s">
        <v>2674</v>
      </c>
      <c r="K6311" t="s">
        <v>2675</v>
      </c>
      <c r="L6311" s="13">
        <v>20000</v>
      </c>
      <c r="M6311" t="s">
        <v>2661</v>
      </c>
    </row>
    <row r="6312" spans="1:13">
      <c r="A6312" t="s">
        <v>2468</v>
      </c>
      <c r="B6312" t="s">
        <v>107</v>
      </c>
      <c r="C6312" s="8">
        <v>46164</v>
      </c>
      <c r="D6312" t="s">
        <v>344</v>
      </c>
      <c r="E6312" t="s">
        <v>325</v>
      </c>
      <c r="F6312" s="12">
        <v>214341</v>
      </c>
      <c r="G6312" s="13">
        <v>21</v>
      </c>
      <c r="H6312" t="s">
        <v>3569</v>
      </c>
      <c r="I6312" s="8">
        <v>45938</v>
      </c>
      <c r="J6312" t="s">
        <v>2692</v>
      </c>
      <c r="K6312" t="s">
        <v>2693</v>
      </c>
      <c r="L6312" s="13">
        <v>10000</v>
      </c>
      <c r="M6312" t="s">
        <v>2661</v>
      </c>
    </row>
    <row r="6313" spans="1:13">
      <c r="A6313" t="s">
        <v>2469</v>
      </c>
      <c r="B6313" t="s">
        <v>255</v>
      </c>
      <c r="C6313" s="8">
        <v>46180</v>
      </c>
      <c r="D6313" t="s">
        <v>332</v>
      </c>
      <c r="E6313" t="s">
        <v>328</v>
      </c>
      <c r="F6313" s="12">
        <v>521084</v>
      </c>
      <c r="G6313" s="13">
        <v>52</v>
      </c>
      <c r="H6313" t="s">
        <v>2956</v>
      </c>
      <c r="I6313" s="8">
        <v>45952</v>
      </c>
      <c r="J6313" t="s">
        <v>2674</v>
      </c>
      <c r="K6313" t="s">
        <v>2675</v>
      </c>
      <c r="L6313" s="13">
        <v>20000</v>
      </c>
      <c r="M6313" t="s">
        <v>2676</v>
      </c>
    </row>
    <row r="6314" spans="1:13">
      <c r="A6314" t="s">
        <v>2469</v>
      </c>
      <c r="B6314" t="s">
        <v>255</v>
      </c>
      <c r="C6314" s="8">
        <v>46180</v>
      </c>
      <c r="D6314" t="s">
        <v>332</v>
      </c>
      <c r="E6314" t="s">
        <v>328</v>
      </c>
      <c r="F6314" s="12">
        <v>521084</v>
      </c>
      <c r="G6314" s="13">
        <v>52</v>
      </c>
      <c r="H6314" t="s">
        <v>3223</v>
      </c>
      <c r="I6314" s="8">
        <v>46198</v>
      </c>
      <c r="J6314" t="s">
        <v>2665</v>
      </c>
      <c r="K6314" t="s">
        <v>2666</v>
      </c>
      <c r="L6314" s="13">
        <v>2500</v>
      </c>
      <c r="M6314" t="s">
        <v>2661</v>
      </c>
    </row>
    <row r="6315" spans="1:13">
      <c r="A6315" t="s">
        <v>2469</v>
      </c>
      <c r="B6315" t="s">
        <v>255</v>
      </c>
      <c r="C6315" s="8">
        <v>46180</v>
      </c>
      <c r="D6315" t="s">
        <v>332</v>
      </c>
      <c r="E6315" t="s">
        <v>328</v>
      </c>
      <c r="F6315" s="12">
        <v>521084</v>
      </c>
      <c r="G6315" s="13">
        <v>52</v>
      </c>
      <c r="H6315" t="s">
        <v>3323</v>
      </c>
      <c r="I6315" s="8">
        <v>46169</v>
      </c>
      <c r="J6315" t="s">
        <v>2682</v>
      </c>
      <c r="K6315" t="s">
        <v>2683</v>
      </c>
      <c r="L6315" s="13">
        <v>6000</v>
      </c>
      <c r="M6315" t="s">
        <v>2676</v>
      </c>
    </row>
    <row r="6316" spans="1:13">
      <c r="A6316" t="s">
        <v>2470</v>
      </c>
      <c r="B6316" t="s">
        <v>154</v>
      </c>
      <c r="C6316" s="8">
        <v>46216</v>
      </c>
      <c r="D6316" t="s">
        <v>344</v>
      </c>
      <c r="E6316" t="s">
        <v>322</v>
      </c>
      <c r="F6316" s="12">
        <v>52957</v>
      </c>
      <c r="G6316" s="13">
        <v>5</v>
      </c>
      <c r="H6316" t="s">
        <v>2871</v>
      </c>
      <c r="I6316" s="8">
        <v>46267</v>
      </c>
      <c r="J6316" t="s">
        <v>2692</v>
      </c>
      <c r="K6316" t="s">
        <v>2693</v>
      </c>
      <c r="L6316" s="13">
        <v>10000</v>
      </c>
      <c r="M6316" t="s">
        <v>2676</v>
      </c>
    </row>
    <row r="6317" spans="1:13">
      <c r="A6317" t="s">
        <v>2470</v>
      </c>
      <c r="B6317" t="s">
        <v>154</v>
      </c>
      <c r="C6317" s="8">
        <v>46216</v>
      </c>
      <c r="D6317" t="s">
        <v>344</v>
      </c>
      <c r="E6317" t="s">
        <v>322</v>
      </c>
      <c r="F6317" s="12">
        <v>52957</v>
      </c>
      <c r="G6317" s="13">
        <v>5</v>
      </c>
      <c r="H6317" t="s">
        <v>2963</v>
      </c>
      <c r="I6317" s="8">
        <v>45981</v>
      </c>
      <c r="J6317" t="s">
        <v>2659</v>
      </c>
      <c r="K6317" t="s">
        <v>2660</v>
      </c>
      <c r="L6317" s="13">
        <v>3500</v>
      </c>
      <c r="M6317" t="s">
        <v>2661</v>
      </c>
    </row>
    <row r="6318" spans="1:13">
      <c r="A6318" t="s">
        <v>2470</v>
      </c>
      <c r="B6318" t="s">
        <v>154</v>
      </c>
      <c r="C6318" s="8">
        <v>46216</v>
      </c>
      <c r="D6318" t="s">
        <v>344</v>
      </c>
      <c r="E6318" t="s">
        <v>322</v>
      </c>
      <c r="F6318" s="12">
        <v>52957</v>
      </c>
      <c r="G6318" s="13">
        <v>5</v>
      </c>
      <c r="H6318" t="s">
        <v>2967</v>
      </c>
      <c r="I6318" s="8">
        <v>46155</v>
      </c>
      <c r="J6318" t="s">
        <v>2668</v>
      </c>
      <c r="K6318" t="s">
        <v>2669</v>
      </c>
      <c r="L6318" s="13">
        <v>4000</v>
      </c>
      <c r="M6318" t="s">
        <v>2661</v>
      </c>
    </row>
    <row r="6319" spans="1:13">
      <c r="A6319" t="s">
        <v>2470</v>
      </c>
      <c r="B6319" t="s">
        <v>154</v>
      </c>
      <c r="C6319" s="8">
        <v>46216</v>
      </c>
      <c r="D6319" t="s">
        <v>344</v>
      </c>
      <c r="E6319" t="s">
        <v>322</v>
      </c>
      <c r="F6319" s="12">
        <v>52957</v>
      </c>
      <c r="G6319" s="13">
        <v>5</v>
      </c>
      <c r="H6319" t="s">
        <v>3013</v>
      </c>
      <c r="I6319" s="8">
        <v>45942</v>
      </c>
      <c r="J6319" t="s">
        <v>2682</v>
      </c>
      <c r="K6319" t="s">
        <v>2683</v>
      </c>
      <c r="L6319" s="13">
        <v>6000</v>
      </c>
      <c r="M6319" t="s">
        <v>2661</v>
      </c>
    </row>
    <row r="6320" spans="1:13">
      <c r="A6320" t="s">
        <v>2470</v>
      </c>
      <c r="B6320" t="s">
        <v>154</v>
      </c>
      <c r="C6320" s="8">
        <v>46216</v>
      </c>
      <c r="D6320" t="s">
        <v>344</v>
      </c>
      <c r="E6320" t="s">
        <v>322</v>
      </c>
      <c r="F6320" s="12">
        <v>52957</v>
      </c>
      <c r="G6320" s="13">
        <v>5</v>
      </c>
      <c r="H6320" t="s">
        <v>3188</v>
      </c>
      <c r="I6320" s="8">
        <v>46142</v>
      </c>
      <c r="J6320" t="s">
        <v>2665</v>
      </c>
      <c r="K6320" t="s">
        <v>2666</v>
      </c>
      <c r="L6320" s="13">
        <v>2500</v>
      </c>
      <c r="M6320" t="s">
        <v>2676</v>
      </c>
    </row>
    <row r="6321" spans="1:13">
      <c r="A6321" t="s">
        <v>2470</v>
      </c>
      <c r="B6321" t="s">
        <v>154</v>
      </c>
      <c r="C6321" s="8">
        <v>46216</v>
      </c>
      <c r="D6321" t="s">
        <v>344</v>
      </c>
      <c r="E6321" t="s">
        <v>322</v>
      </c>
      <c r="F6321" s="12">
        <v>52957</v>
      </c>
      <c r="G6321" s="13">
        <v>5</v>
      </c>
      <c r="H6321" t="s">
        <v>3240</v>
      </c>
      <c r="I6321" s="8">
        <v>46030</v>
      </c>
      <c r="J6321" t="s">
        <v>2671</v>
      </c>
      <c r="K6321" t="s">
        <v>2672</v>
      </c>
      <c r="L6321" s="13">
        <v>3000</v>
      </c>
      <c r="M6321" t="s">
        <v>2661</v>
      </c>
    </row>
    <row r="6322" spans="1:13">
      <c r="A6322" t="s">
        <v>2470</v>
      </c>
      <c r="B6322" t="s">
        <v>154</v>
      </c>
      <c r="C6322" s="8">
        <v>46216</v>
      </c>
      <c r="D6322" t="s">
        <v>344</v>
      </c>
      <c r="E6322" t="s">
        <v>322</v>
      </c>
      <c r="F6322" s="12">
        <v>52957</v>
      </c>
      <c r="G6322" s="13">
        <v>5</v>
      </c>
      <c r="H6322" t="s">
        <v>3316</v>
      </c>
      <c r="I6322" s="8">
        <v>46084</v>
      </c>
      <c r="J6322" t="s">
        <v>2688</v>
      </c>
      <c r="K6322" t="s">
        <v>2689</v>
      </c>
      <c r="L6322" s="13">
        <v>8000</v>
      </c>
      <c r="M6322" t="s">
        <v>2661</v>
      </c>
    </row>
    <row r="6323" spans="1:13">
      <c r="A6323" t="s">
        <v>2471</v>
      </c>
      <c r="B6323" t="s">
        <v>287</v>
      </c>
      <c r="C6323" s="8">
        <v>45965</v>
      </c>
      <c r="D6323" t="s">
        <v>327</v>
      </c>
      <c r="E6323" t="s">
        <v>339</v>
      </c>
      <c r="F6323" s="12">
        <v>127475</v>
      </c>
      <c r="G6323" s="13">
        <v>12</v>
      </c>
      <c r="H6323" t="s">
        <v>2902</v>
      </c>
      <c r="I6323" s="8">
        <v>46135</v>
      </c>
      <c r="J6323" t="s">
        <v>2692</v>
      </c>
      <c r="K6323" t="s">
        <v>2693</v>
      </c>
      <c r="L6323" s="13">
        <v>10000</v>
      </c>
      <c r="M6323" t="s">
        <v>2661</v>
      </c>
    </row>
    <row r="6324" spans="1:13">
      <c r="A6324" t="s">
        <v>2471</v>
      </c>
      <c r="B6324" t="s">
        <v>287</v>
      </c>
      <c r="C6324" s="8">
        <v>45965</v>
      </c>
      <c r="D6324" t="s">
        <v>327</v>
      </c>
      <c r="E6324" t="s">
        <v>339</v>
      </c>
      <c r="F6324" s="12">
        <v>127475</v>
      </c>
      <c r="G6324" s="13">
        <v>12</v>
      </c>
      <c r="H6324" t="s">
        <v>2980</v>
      </c>
      <c r="I6324" s="8">
        <v>46280</v>
      </c>
      <c r="J6324" t="s">
        <v>2663</v>
      </c>
      <c r="K6324" t="s">
        <v>3630</v>
      </c>
      <c r="L6324" s="13">
        <v>1500</v>
      </c>
      <c r="M6324" t="s">
        <v>2661</v>
      </c>
    </row>
    <row r="6325" spans="1:13">
      <c r="A6325" t="s">
        <v>2471</v>
      </c>
      <c r="B6325" t="s">
        <v>287</v>
      </c>
      <c r="C6325" s="8">
        <v>45965</v>
      </c>
      <c r="D6325" t="s">
        <v>327</v>
      </c>
      <c r="E6325" t="s">
        <v>339</v>
      </c>
      <c r="F6325" s="12">
        <v>127475</v>
      </c>
      <c r="G6325" s="13">
        <v>12</v>
      </c>
      <c r="H6325" t="s">
        <v>3096</v>
      </c>
      <c r="I6325" s="8">
        <v>46218</v>
      </c>
      <c r="J6325" t="s">
        <v>2688</v>
      </c>
      <c r="K6325" t="s">
        <v>2689</v>
      </c>
      <c r="L6325" s="13">
        <v>8000</v>
      </c>
      <c r="M6325" t="s">
        <v>2661</v>
      </c>
    </row>
    <row r="6326" spans="1:13">
      <c r="A6326" t="s">
        <v>2471</v>
      </c>
      <c r="B6326" t="s">
        <v>287</v>
      </c>
      <c r="C6326" s="8">
        <v>45965</v>
      </c>
      <c r="D6326" t="s">
        <v>327</v>
      </c>
      <c r="E6326" t="s">
        <v>339</v>
      </c>
      <c r="F6326" s="12">
        <v>127475</v>
      </c>
      <c r="G6326" s="13">
        <v>12</v>
      </c>
      <c r="H6326" t="s">
        <v>3129</v>
      </c>
      <c r="I6326" s="8">
        <v>45981</v>
      </c>
      <c r="J6326" t="s">
        <v>2685</v>
      </c>
      <c r="K6326" t="s">
        <v>2686</v>
      </c>
      <c r="L6326" s="13">
        <v>5000</v>
      </c>
      <c r="M6326" t="s">
        <v>2661</v>
      </c>
    </row>
    <row r="6327" spans="1:13">
      <c r="A6327" t="s">
        <v>2471</v>
      </c>
      <c r="B6327" t="s">
        <v>287</v>
      </c>
      <c r="C6327" s="8">
        <v>45965</v>
      </c>
      <c r="D6327" t="s">
        <v>327</v>
      </c>
      <c r="E6327" t="s">
        <v>339</v>
      </c>
      <c r="F6327" s="12">
        <v>127475</v>
      </c>
      <c r="G6327" s="13">
        <v>12</v>
      </c>
      <c r="H6327" t="s">
        <v>3237</v>
      </c>
      <c r="I6327" s="8">
        <v>46146</v>
      </c>
      <c r="J6327" t="s">
        <v>2682</v>
      </c>
      <c r="K6327" t="s">
        <v>2683</v>
      </c>
      <c r="L6327" s="13">
        <v>6000</v>
      </c>
      <c r="M6327" t="s">
        <v>2676</v>
      </c>
    </row>
    <row r="6328" spans="1:13">
      <c r="A6328" t="s">
        <v>2471</v>
      </c>
      <c r="B6328" t="s">
        <v>287</v>
      </c>
      <c r="C6328" s="8">
        <v>45965</v>
      </c>
      <c r="D6328" t="s">
        <v>327</v>
      </c>
      <c r="E6328" t="s">
        <v>339</v>
      </c>
      <c r="F6328" s="12">
        <v>127475</v>
      </c>
      <c r="G6328" s="13">
        <v>12</v>
      </c>
      <c r="H6328" t="s">
        <v>3576</v>
      </c>
      <c r="I6328" s="8">
        <v>46119</v>
      </c>
      <c r="J6328" t="s">
        <v>2688</v>
      </c>
      <c r="K6328" t="s">
        <v>2689</v>
      </c>
      <c r="L6328" s="13">
        <v>8000</v>
      </c>
      <c r="M6328" t="s">
        <v>2661</v>
      </c>
    </row>
    <row r="6329" spans="1:13">
      <c r="A6329" t="s">
        <v>2472</v>
      </c>
      <c r="B6329" t="s">
        <v>129</v>
      </c>
      <c r="C6329" s="8">
        <v>46142</v>
      </c>
      <c r="D6329" t="s">
        <v>321</v>
      </c>
      <c r="E6329" t="s">
        <v>325</v>
      </c>
      <c r="F6329" s="12">
        <v>204637</v>
      </c>
      <c r="G6329" s="13">
        <v>20</v>
      </c>
      <c r="H6329" t="s">
        <v>3185</v>
      </c>
      <c r="I6329" s="8">
        <v>46242</v>
      </c>
      <c r="J6329" t="s">
        <v>2665</v>
      </c>
      <c r="K6329" t="s">
        <v>2666</v>
      </c>
      <c r="L6329" s="13">
        <v>2500</v>
      </c>
      <c r="M6329" t="s">
        <v>2661</v>
      </c>
    </row>
    <row r="6330" spans="1:13">
      <c r="A6330" t="s">
        <v>2473</v>
      </c>
      <c r="B6330" t="s">
        <v>105</v>
      </c>
      <c r="C6330" s="8">
        <v>46246</v>
      </c>
      <c r="D6330" t="s">
        <v>350</v>
      </c>
      <c r="E6330" t="s">
        <v>328</v>
      </c>
      <c r="F6330" s="12">
        <v>211668</v>
      </c>
      <c r="G6330" s="13">
        <v>21</v>
      </c>
      <c r="H6330" t="s">
        <v>3001</v>
      </c>
      <c r="I6330" s="8">
        <v>46288</v>
      </c>
      <c r="J6330" t="s">
        <v>2668</v>
      </c>
      <c r="K6330" t="s">
        <v>2669</v>
      </c>
      <c r="L6330" s="13">
        <v>4000</v>
      </c>
      <c r="M6330" t="s">
        <v>2661</v>
      </c>
    </row>
    <row r="6331" spans="1:13">
      <c r="A6331" t="s">
        <v>2473</v>
      </c>
      <c r="B6331" t="s">
        <v>105</v>
      </c>
      <c r="C6331" s="8">
        <v>46246</v>
      </c>
      <c r="D6331" t="s">
        <v>350</v>
      </c>
      <c r="E6331" t="s">
        <v>328</v>
      </c>
      <c r="F6331" s="12">
        <v>211668</v>
      </c>
      <c r="G6331" s="13">
        <v>21</v>
      </c>
      <c r="H6331" t="s">
        <v>3018</v>
      </c>
      <c r="I6331" s="8">
        <v>45961</v>
      </c>
      <c r="J6331" t="s">
        <v>2685</v>
      </c>
      <c r="K6331" t="s">
        <v>2686</v>
      </c>
      <c r="L6331" s="13">
        <v>5000</v>
      </c>
      <c r="M6331" t="s">
        <v>2661</v>
      </c>
    </row>
    <row r="6332" spans="1:13">
      <c r="A6332" t="s">
        <v>2474</v>
      </c>
      <c r="B6332" t="s">
        <v>231</v>
      </c>
      <c r="C6332" s="8">
        <v>46089</v>
      </c>
      <c r="D6332" t="s">
        <v>350</v>
      </c>
      <c r="E6332" t="s">
        <v>325</v>
      </c>
      <c r="F6332" s="12">
        <v>33904</v>
      </c>
      <c r="G6332" s="13">
        <v>3</v>
      </c>
      <c r="H6332" t="s">
        <v>2875</v>
      </c>
      <c r="I6332" s="8">
        <v>46085</v>
      </c>
      <c r="J6332" t="s">
        <v>2665</v>
      </c>
      <c r="K6332" t="s">
        <v>2666</v>
      </c>
      <c r="L6332" s="13">
        <v>2500</v>
      </c>
      <c r="M6332" t="s">
        <v>2661</v>
      </c>
    </row>
    <row r="6333" spans="1:13">
      <c r="A6333" t="s">
        <v>2474</v>
      </c>
      <c r="B6333" t="s">
        <v>231</v>
      </c>
      <c r="C6333" s="8">
        <v>46089</v>
      </c>
      <c r="D6333" t="s">
        <v>350</v>
      </c>
      <c r="E6333" t="s">
        <v>325</v>
      </c>
      <c r="F6333" s="12">
        <v>33904</v>
      </c>
      <c r="G6333" s="13">
        <v>3</v>
      </c>
      <c r="H6333" t="s">
        <v>3014</v>
      </c>
      <c r="I6333" s="8">
        <v>46207</v>
      </c>
      <c r="J6333" t="s">
        <v>2665</v>
      </c>
      <c r="K6333" t="s">
        <v>2666</v>
      </c>
      <c r="L6333" s="13">
        <v>2500</v>
      </c>
      <c r="M6333" t="s">
        <v>2676</v>
      </c>
    </row>
    <row r="6334" spans="1:13">
      <c r="A6334" t="s">
        <v>2475</v>
      </c>
      <c r="B6334" t="s">
        <v>265</v>
      </c>
      <c r="C6334" s="8">
        <v>45974</v>
      </c>
      <c r="D6334" t="s">
        <v>321</v>
      </c>
      <c r="E6334" t="s">
        <v>337</v>
      </c>
      <c r="F6334" s="12">
        <v>307648</v>
      </c>
      <c r="G6334" s="13">
        <v>30</v>
      </c>
      <c r="H6334" t="s">
        <v>2909</v>
      </c>
      <c r="I6334" s="8">
        <v>45963</v>
      </c>
      <c r="J6334" t="s">
        <v>2659</v>
      </c>
      <c r="K6334" t="s">
        <v>2660</v>
      </c>
      <c r="L6334" s="13">
        <v>3500</v>
      </c>
      <c r="M6334" t="s">
        <v>2661</v>
      </c>
    </row>
    <row r="6335" spans="1:13">
      <c r="A6335" t="s">
        <v>2476</v>
      </c>
      <c r="B6335" t="s">
        <v>255</v>
      </c>
      <c r="C6335" s="8">
        <v>46075</v>
      </c>
      <c r="D6335" t="s">
        <v>344</v>
      </c>
      <c r="E6335" t="s">
        <v>328</v>
      </c>
      <c r="F6335" s="12">
        <v>1119932</v>
      </c>
      <c r="G6335" s="13">
        <v>111</v>
      </c>
      <c r="H6335" t="s">
        <v>2956</v>
      </c>
      <c r="I6335" s="8">
        <v>45952</v>
      </c>
      <c r="J6335" t="s">
        <v>2674</v>
      </c>
      <c r="K6335" t="s">
        <v>2675</v>
      </c>
      <c r="L6335" s="13">
        <v>20000</v>
      </c>
      <c r="M6335" t="s">
        <v>2676</v>
      </c>
    </row>
    <row r="6336" spans="1:13">
      <c r="A6336" t="s">
        <v>2476</v>
      </c>
      <c r="B6336" t="s">
        <v>255</v>
      </c>
      <c r="C6336" s="8">
        <v>46075</v>
      </c>
      <c r="D6336" t="s">
        <v>344</v>
      </c>
      <c r="E6336" t="s">
        <v>328</v>
      </c>
      <c r="F6336" s="12">
        <v>1119932</v>
      </c>
      <c r="G6336" s="13">
        <v>111</v>
      </c>
      <c r="H6336" t="s">
        <v>3223</v>
      </c>
      <c r="I6336" s="8">
        <v>46198</v>
      </c>
      <c r="J6336" t="s">
        <v>2665</v>
      </c>
      <c r="K6336" t="s">
        <v>2666</v>
      </c>
      <c r="L6336" s="13">
        <v>2500</v>
      </c>
      <c r="M6336" t="s">
        <v>2661</v>
      </c>
    </row>
    <row r="6337" spans="1:13">
      <c r="A6337" t="s">
        <v>2476</v>
      </c>
      <c r="B6337" t="s">
        <v>255</v>
      </c>
      <c r="C6337" s="8">
        <v>46075</v>
      </c>
      <c r="D6337" t="s">
        <v>344</v>
      </c>
      <c r="E6337" t="s">
        <v>328</v>
      </c>
      <c r="F6337" s="12">
        <v>1119932</v>
      </c>
      <c r="G6337" s="13">
        <v>111</v>
      </c>
      <c r="H6337" t="s">
        <v>3323</v>
      </c>
      <c r="I6337" s="8">
        <v>46169</v>
      </c>
      <c r="J6337" t="s">
        <v>2682</v>
      </c>
      <c r="K6337" t="s">
        <v>2683</v>
      </c>
      <c r="L6337" s="13">
        <v>6000</v>
      </c>
      <c r="M6337" t="s">
        <v>2676</v>
      </c>
    </row>
    <row r="6338" spans="1:13">
      <c r="A6338" t="s">
        <v>2477</v>
      </c>
      <c r="B6338" t="s">
        <v>22</v>
      </c>
      <c r="C6338" s="8">
        <v>46269</v>
      </c>
      <c r="D6338" t="s">
        <v>344</v>
      </c>
      <c r="E6338" t="s">
        <v>328</v>
      </c>
      <c r="F6338" s="12">
        <v>274026</v>
      </c>
      <c r="G6338" s="13">
        <v>27</v>
      </c>
      <c r="H6338" t="s">
        <v>3212</v>
      </c>
      <c r="I6338" s="8">
        <v>45987</v>
      </c>
      <c r="J6338" t="s">
        <v>2659</v>
      </c>
      <c r="K6338" t="s">
        <v>2660</v>
      </c>
      <c r="L6338" s="13">
        <v>3500</v>
      </c>
      <c r="M6338" t="s">
        <v>2661</v>
      </c>
    </row>
    <row r="6339" spans="1:13">
      <c r="A6339" t="s">
        <v>2477</v>
      </c>
      <c r="B6339" t="s">
        <v>22</v>
      </c>
      <c r="C6339" s="8">
        <v>46269</v>
      </c>
      <c r="D6339" t="s">
        <v>344</v>
      </c>
      <c r="E6339" t="s">
        <v>328</v>
      </c>
      <c r="F6339" s="12">
        <v>274026</v>
      </c>
      <c r="G6339" s="13">
        <v>27</v>
      </c>
      <c r="H6339" t="s">
        <v>3444</v>
      </c>
      <c r="I6339" s="8">
        <v>46084</v>
      </c>
      <c r="J6339" t="s">
        <v>2659</v>
      </c>
      <c r="K6339" t="s">
        <v>2660</v>
      </c>
      <c r="L6339" s="13">
        <v>3500</v>
      </c>
      <c r="M6339" t="s">
        <v>2661</v>
      </c>
    </row>
    <row r="6340" spans="1:13">
      <c r="A6340" t="s">
        <v>2477</v>
      </c>
      <c r="B6340" t="s">
        <v>22</v>
      </c>
      <c r="C6340" s="8">
        <v>46269</v>
      </c>
      <c r="D6340" t="s">
        <v>344</v>
      </c>
      <c r="E6340" t="s">
        <v>328</v>
      </c>
      <c r="F6340" s="12">
        <v>274026</v>
      </c>
      <c r="G6340" s="13">
        <v>27</v>
      </c>
      <c r="H6340" t="s">
        <v>3537</v>
      </c>
      <c r="I6340" s="8">
        <v>46009</v>
      </c>
      <c r="J6340" t="s">
        <v>2659</v>
      </c>
      <c r="K6340" t="s">
        <v>2660</v>
      </c>
      <c r="L6340" s="13">
        <v>3500</v>
      </c>
      <c r="M6340" t="s">
        <v>2661</v>
      </c>
    </row>
    <row r="6341" spans="1:13">
      <c r="A6341" t="s">
        <v>2478</v>
      </c>
      <c r="B6341" t="s">
        <v>57</v>
      </c>
      <c r="C6341" s="8">
        <v>46257</v>
      </c>
      <c r="D6341" t="s">
        <v>332</v>
      </c>
      <c r="E6341" t="s">
        <v>334</v>
      </c>
      <c r="F6341" s="12">
        <v>64558</v>
      </c>
      <c r="G6341" s="13">
        <v>6</v>
      </c>
      <c r="H6341" t="s">
        <v>3486</v>
      </c>
      <c r="I6341" s="8">
        <v>46159</v>
      </c>
      <c r="J6341" t="s">
        <v>2665</v>
      </c>
      <c r="K6341" t="s">
        <v>2666</v>
      </c>
      <c r="L6341" s="13">
        <v>2500</v>
      </c>
      <c r="M6341" t="s">
        <v>2661</v>
      </c>
    </row>
    <row r="6342" spans="1:13">
      <c r="A6342" t="s">
        <v>2479</v>
      </c>
      <c r="B6342" t="s">
        <v>127</v>
      </c>
      <c r="C6342" s="8">
        <v>46200</v>
      </c>
      <c r="D6342" t="s">
        <v>327</v>
      </c>
      <c r="E6342" t="s">
        <v>322</v>
      </c>
      <c r="F6342" s="12">
        <v>710201</v>
      </c>
      <c r="G6342" s="13">
        <v>71</v>
      </c>
      <c r="H6342" t="s">
        <v>2841</v>
      </c>
      <c r="I6342" s="8">
        <v>46149</v>
      </c>
      <c r="J6342" t="s">
        <v>2659</v>
      </c>
      <c r="K6342" t="s">
        <v>2660</v>
      </c>
      <c r="L6342" s="13">
        <v>3500</v>
      </c>
      <c r="M6342" t="s">
        <v>2661</v>
      </c>
    </row>
    <row r="6343" spans="1:13">
      <c r="A6343" t="s">
        <v>2479</v>
      </c>
      <c r="B6343" t="s">
        <v>127</v>
      </c>
      <c r="C6343" s="8">
        <v>46200</v>
      </c>
      <c r="D6343" t="s">
        <v>327</v>
      </c>
      <c r="E6343" t="s">
        <v>322</v>
      </c>
      <c r="F6343" s="12">
        <v>710201</v>
      </c>
      <c r="G6343" s="13">
        <v>71</v>
      </c>
      <c r="H6343" t="s">
        <v>3175</v>
      </c>
      <c r="I6343" s="8">
        <v>46280</v>
      </c>
      <c r="J6343" t="s">
        <v>2665</v>
      </c>
      <c r="K6343" t="s">
        <v>2666</v>
      </c>
      <c r="L6343" s="13">
        <v>2500</v>
      </c>
      <c r="M6343" t="s">
        <v>2661</v>
      </c>
    </row>
    <row r="6344" spans="1:13">
      <c r="A6344" t="s">
        <v>2480</v>
      </c>
      <c r="B6344" t="s">
        <v>205</v>
      </c>
      <c r="C6344" s="8">
        <v>46058</v>
      </c>
      <c r="D6344" t="s">
        <v>350</v>
      </c>
      <c r="E6344" t="s">
        <v>337</v>
      </c>
      <c r="F6344" s="12">
        <v>153018</v>
      </c>
      <c r="G6344" s="13">
        <v>15</v>
      </c>
      <c r="H6344" t="s">
        <v>3241</v>
      </c>
      <c r="I6344" s="8">
        <v>45972</v>
      </c>
      <c r="J6344" t="s">
        <v>2671</v>
      </c>
      <c r="K6344" t="s">
        <v>2672</v>
      </c>
      <c r="L6344" s="13">
        <v>3000</v>
      </c>
      <c r="M6344" t="s">
        <v>2676</v>
      </c>
    </row>
    <row r="6345" spans="1:13">
      <c r="A6345" t="s">
        <v>2481</v>
      </c>
      <c r="B6345" t="s">
        <v>69</v>
      </c>
      <c r="C6345" s="8">
        <v>45962</v>
      </c>
      <c r="D6345" t="s">
        <v>350</v>
      </c>
      <c r="E6345" t="s">
        <v>339</v>
      </c>
      <c r="F6345" s="12">
        <v>330392</v>
      </c>
      <c r="G6345" s="13">
        <v>33</v>
      </c>
      <c r="H6345" t="s">
        <v>2723</v>
      </c>
      <c r="I6345" s="8">
        <v>46140</v>
      </c>
      <c r="J6345" t="s">
        <v>2688</v>
      </c>
      <c r="K6345" t="s">
        <v>2689</v>
      </c>
      <c r="L6345" s="13">
        <v>8000</v>
      </c>
      <c r="M6345" t="s">
        <v>2661</v>
      </c>
    </row>
    <row r="6346" spans="1:13">
      <c r="A6346" t="s">
        <v>2481</v>
      </c>
      <c r="B6346" t="s">
        <v>69</v>
      </c>
      <c r="C6346" s="8">
        <v>45962</v>
      </c>
      <c r="D6346" t="s">
        <v>350</v>
      </c>
      <c r="E6346" t="s">
        <v>339</v>
      </c>
      <c r="F6346" s="12">
        <v>330392</v>
      </c>
      <c r="G6346" s="13">
        <v>33</v>
      </c>
      <c r="H6346" t="s">
        <v>2822</v>
      </c>
      <c r="I6346" s="8">
        <v>46159</v>
      </c>
      <c r="J6346" t="s">
        <v>2668</v>
      </c>
      <c r="K6346" t="s">
        <v>2669</v>
      </c>
      <c r="L6346" s="13">
        <v>4000</v>
      </c>
      <c r="M6346" t="s">
        <v>2661</v>
      </c>
    </row>
    <row r="6347" spans="1:13">
      <c r="A6347" t="s">
        <v>2481</v>
      </c>
      <c r="B6347" t="s">
        <v>69</v>
      </c>
      <c r="C6347" s="8">
        <v>45962</v>
      </c>
      <c r="D6347" t="s">
        <v>350</v>
      </c>
      <c r="E6347" t="s">
        <v>339</v>
      </c>
      <c r="F6347" s="12">
        <v>330392</v>
      </c>
      <c r="G6347" s="13">
        <v>33</v>
      </c>
      <c r="H6347" t="s">
        <v>3513</v>
      </c>
      <c r="I6347" s="8">
        <v>46161</v>
      </c>
      <c r="J6347" t="s">
        <v>2692</v>
      </c>
      <c r="K6347" t="s">
        <v>2693</v>
      </c>
      <c r="L6347" s="13">
        <v>10000</v>
      </c>
      <c r="M6347" t="s">
        <v>2661</v>
      </c>
    </row>
    <row r="6348" spans="1:13">
      <c r="A6348" t="s">
        <v>2483</v>
      </c>
      <c r="B6348" t="s">
        <v>181</v>
      </c>
      <c r="C6348" s="8">
        <v>46015</v>
      </c>
      <c r="D6348" t="s">
        <v>330</v>
      </c>
      <c r="E6348" t="s">
        <v>322</v>
      </c>
      <c r="F6348" s="12">
        <v>1075877</v>
      </c>
      <c r="G6348" s="13">
        <v>107</v>
      </c>
      <c r="H6348" t="s">
        <v>3293</v>
      </c>
      <c r="I6348" s="8">
        <v>45961</v>
      </c>
      <c r="J6348" t="s">
        <v>2659</v>
      </c>
      <c r="K6348" t="s">
        <v>2660</v>
      </c>
      <c r="L6348" s="13">
        <v>3500</v>
      </c>
      <c r="M6348" t="s">
        <v>2661</v>
      </c>
    </row>
    <row r="6349" spans="1:13">
      <c r="A6349" t="s">
        <v>2484</v>
      </c>
      <c r="B6349" t="s">
        <v>214</v>
      </c>
      <c r="C6349" s="8">
        <v>46259</v>
      </c>
      <c r="D6349" t="s">
        <v>332</v>
      </c>
      <c r="E6349" t="s">
        <v>337</v>
      </c>
      <c r="F6349" s="12">
        <v>221123</v>
      </c>
      <c r="G6349" s="13">
        <v>22</v>
      </c>
      <c r="H6349" t="s">
        <v>2664</v>
      </c>
      <c r="I6349" s="8">
        <v>46259</v>
      </c>
      <c r="J6349" t="s">
        <v>2665</v>
      </c>
      <c r="K6349" t="s">
        <v>2666</v>
      </c>
      <c r="L6349" s="13">
        <v>2500</v>
      </c>
      <c r="M6349" t="s">
        <v>2661</v>
      </c>
    </row>
    <row r="6350" spans="1:13">
      <c r="A6350" t="s">
        <v>2484</v>
      </c>
      <c r="B6350" t="s">
        <v>214</v>
      </c>
      <c r="C6350" s="8">
        <v>46259</v>
      </c>
      <c r="D6350" t="s">
        <v>332</v>
      </c>
      <c r="E6350" t="s">
        <v>337</v>
      </c>
      <c r="F6350" s="12">
        <v>221123</v>
      </c>
      <c r="G6350" s="13">
        <v>22</v>
      </c>
      <c r="H6350" t="s">
        <v>3137</v>
      </c>
      <c r="I6350" s="8">
        <v>46189</v>
      </c>
      <c r="J6350" t="s">
        <v>2685</v>
      </c>
      <c r="K6350" t="s">
        <v>2686</v>
      </c>
      <c r="L6350" s="13">
        <v>5000</v>
      </c>
      <c r="M6350" t="s">
        <v>2661</v>
      </c>
    </row>
    <row r="6351" spans="1:13">
      <c r="A6351" t="s">
        <v>2484</v>
      </c>
      <c r="B6351" t="s">
        <v>214</v>
      </c>
      <c r="C6351" s="8">
        <v>46259</v>
      </c>
      <c r="D6351" t="s">
        <v>332</v>
      </c>
      <c r="E6351" t="s">
        <v>337</v>
      </c>
      <c r="F6351" s="12">
        <v>221123</v>
      </c>
      <c r="G6351" s="13">
        <v>22</v>
      </c>
      <c r="H6351" t="s">
        <v>3302</v>
      </c>
      <c r="I6351" s="8">
        <v>46119</v>
      </c>
      <c r="J6351" t="s">
        <v>2659</v>
      </c>
      <c r="K6351" t="s">
        <v>2660</v>
      </c>
      <c r="L6351" s="13">
        <v>3500</v>
      </c>
      <c r="M6351" t="s">
        <v>2661</v>
      </c>
    </row>
    <row r="6352" spans="1:13">
      <c r="A6352" t="s">
        <v>2484</v>
      </c>
      <c r="B6352" t="s">
        <v>214</v>
      </c>
      <c r="C6352" s="8">
        <v>46259</v>
      </c>
      <c r="D6352" t="s">
        <v>332</v>
      </c>
      <c r="E6352" t="s">
        <v>337</v>
      </c>
      <c r="F6352" s="12">
        <v>221123</v>
      </c>
      <c r="G6352" s="13">
        <v>22</v>
      </c>
      <c r="H6352" t="s">
        <v>3564</v>
      </c>
      <c r="I6352" s="8">
        <v>46208</v>
      </c>
      <c r="J6352" t="s">
        <v>2674</v>
      </c>
      <c r="K6352" t="s">
        <v>2675</v>
      </c>
      <c r="L6352" s="13">
        <v>20000</v>
      </c>
      <c r="M6352" t="s">
        <v>2661</v>
      </c>
    </row>
    <row r="6353" spans="1:13">
      <c r="A6353" t="s">
        <v>2485</v>
      </c>
      <c r="B6353" t="s">
        <v>81</v>
      </c>
      <c r="C6353" s="8">
        <v>45996</v>
      </c>
      <c r="D6353" t="s">
        <v>330</v>
      </c>
      <c r="E6353" t="s">
        <v>322</v>
      </c>
      <c r="F6353" s="12">
        <v>265173</v>
      </c>
      <c r="G6353" s="13">
        <v>26</v>
      </c>
      <c r="H6353" t="s">
        <v>2691</v>
      </c>
      <c r="I6353" s="8">
        <v>46098</v>
      </c>
      <c r="J6353" t="s">
        <v>2692</v>
      </c>
      <c r="K6353" t="s">
        <v>2693</v>
      </c>
      <c r="L6353" s="13">
        <v>10000</v>
      </c>
      <c r="M6353" t="s">
        <v>2661</v>
      </c>
    </row>
    <row r="6354" spans="1:13">
      <c r="A6354" t="s">
        <v>2485</v>
      </c>
      <c r="B6354" t="s">
        <v>81</v>
      </c>
      <c r="C6354" s="8">
        <v>45996</v>
      </c>
      <c r="D6354" t="s">
        <v>330</v>
      </c>
      <c r="E6354" t="s">
        <v>322</v>
      </c>
      <c r="F6354" s="12">
        <v>265173</v>
      </c>
      <c r="G6354" s="13">
        <v>26</v>
      </c>
      <c r="H6354" t="s">
        <v>2788</v>
      </c>
      <c r="I6354" s="8">
        <v>46057</v>
      </c>
      <c r="J6354" t="s">
        <v>2668</v>
      </c>
      <c r="K6354" t="s">
        <v>2669</v>
      </c>
      <c r="L6354" s="13">
        <v>4000</v>
      </c>
      <c r="M6354" t="s">
        <v>2661</v>
      </c>
    </row>
    <row r="6355" spans="1:13">
      <c r="A6355" t="s">
        <v>2485</v>
      </c>
      <c r="B6355" t="s">
        <v>81</v>
      </c>
      <c r="C6355" s="8">
        <v>45996</v>
      </c>
      <c r="D6355" t="s">
        <v>330</v>
      </c>
      <c r="E6355" t="s">
        <v>322</v>
      </c>
      <c r="F6355" s="12">
        <v>265173</v>
      </c>
      <c r="G6355" s="13">
        <v>26</v>
      </c>
      <c r="H6355" t="s">
        <v>2827</v>
      </c>
      <c r="I6355" s="8">
        <v>46245</v>
      </c>
      <c r="J6355" t="s">
        <v>2668</v>
      </c>
      <c r="K6355" t="s">
        <v>2669</v>
      </c>
      <c r="L6355" s="13">
        <v>4000</v>
      </c>
      <c r="M6355" t="s">
        <v>2661</v>
      </c>
    </row>
    <row r="6356" spans="1:13">
      <c r="A6356" t="s">
        <v>2485</v>
      </c>
      <c r="B6356" t="s">
        <v>81</v>
      </c>
      <c r="C6356" s="8">
        <v>45996</v>
      </c>
      <c r="D6356" t="s">
        <v>330</v>
      </c>
      <c r="E6356" t="s">
        <v>322</v>
      </c>
      <c r="F6356" s="12">
        <v>265173</v>
      </c>
      <c r="G6356" s="13">
        <v>26</v>
      </c>
      <c r="H6356" t="s">
        <v>2893</v>
      </c>
      <c r="I6356" s="8">
        <v>46034</v>
      </c>
      <c r="J6356" t="s">
        <v>2663</v>
      </c>
      <c r="K6356" t="s">
        <v>3630</v>
      </c>
      <c r="L6356" s="13">
        <v>1500</v>
      </c>
      <c r="M6356" t="s">
        <v>2661</v>
      </c>
    </row>
    <row r="6357" spans="1:13">
      <c r="A6357" t="s">
        <v>2485</v>
      </c>
      <c r="B6357" t="s">
        <v>81</v>
      </c>
      <c r="C6357" s="8">
        <v>45996</v>
      </c>
      <c r="D6357" t="s">
        <v>330</v>
      </c>
      <c r="E6357" t="s">
        <v>322</v>
      </c>
      <c r="F6357" s="12">
        <v>265173</v>
      </c>
      <c r="G6357" s="13">
        <v>26</v>
      </c>
      <c r="H6357" t="s">
        <v>3088</v>
      </c>
      <c r="I6357" s="8">
        <v>46271</v>
      </c>
      <c r="J6357" t="s">
        <v>2663</v>
      </c>
      <c r="K6357" t="s">
        <v>3630</v>
      </c>
      <c r="L6357" s="13">
        <v>1500</v>
      </c>
      <c r="M6357" t="s">
        <v>2676</v>
      </c>
    </row>
    <row r="6358" spans="1:13">
      <c r="A6358" t="s">
        <v>2485</v>
      </c>
      <c r="B6358" t="s">
        <v>81</v>
      </c>
      <c r="C6358" s="8">
        <v>45996</v>
      </c>
      <c r="D6358" t="s">
        <v>330</v>
      </c>
      <c r="E6358" t="s">
        <v>322</v>
      </c>
      <c r="F6358" s="12">
        <v>265173</v>
      </c>
      <c r="G6358" s="13">
        <v>26</v>
      </c>
      <c r="H6358" t="s">
        <v>3099</v>
      </c>
      <c r="I6358" s="8">
        <v>46247</v>
      </c>
      <c r="J6358" t="s">
        <v>2668</v>
      </c>
      <c r="K6358" t="s">
        <v>2669</v>
      </c>
      <c r="L6358" s="13">
        <v>4000</v>
      </c>
      <c r="M6358" t="s">
        <v>2676</v>
      </c>
    </row>
    <row r="6359" spans="1:13">
      <c r="A6359" t="s">
        <v>2485</v>
      </c>
      <c r="B6359" t="s">
        <v>81</v>
      </c>
      <c r="C6359" s="8">
        <v>45996</v>
      </c>
      <c r="D6359" t="s">
        <v>330</v>
      </c>
      <c r="E6359" t="s">
        <v>322</v>
      </c>
      <c r="F6359" s="12">
        <v>265173</v>
      </c>
      <c r="G6359" s="13">
        <v>26</v>
      </c>
      <c r="H6359" t="s">
        <v>3200</v>
      </c>
      <c r="I6359" s="8">
        <v>46120</v>
      </c>
      <c r="J6359" t="s">
        <v>2685</v>
      </c>
      <c r="K6359" t="s">
        <v>2686</v>
      </c>
      <c r="L6359" s="13">
        <v>5000</v>
      </c>
      <c r="M6359" t="s">
        <v>2661</v>
      </c>
    </row>
    <row r="6360" spans="1:13">
      <c r="A6360" t="s">
        <v>2485</v>
      </c>
      <c r="B6360" t="s">
        <v>81</v>
      </c>
      <c r="C6360" s="8">
        <v>45996</v>
      </c>
      <c r="D6360" t="s">
        <v>330</v>
      </c>
      <c r="E6360" t="s">
        <v>322</v>
      </c>
      <c r="F6360" s="12">
        <v>265173</v>
      </c>
      <c r="G6360" s="13">
        <v>26</v>
      </c>
      <c r="H6360" t="s">
        <v>3250</v>
      </c>
      <c r="I6360" s="8">
        <v>46234</v>
      </c>
      <c r="J6360" t="s">
        <v>2659</v>
      </c>
      <c r="K6360" t="s">
        <v>2660</v>
      </c>
      <c r="L6360" s="13">
        <v>3500</v>
      </c>
      <c r="M6360" t="s">
        <v>2661</v>
      </c>
    </row>
    <row r="6361" spans="1:13">
      <c r="A6361" t="s">
        <v>2485</v>
      </c>
      <c r="B6361" t="s">
        <v>81</v>
      </c>
      <c r="C6361" s="8">
        <v>45996</v>
      </c>
      <c r="D6361" t="s">
        <v>330</v>
      </c>
      <c r="E6361" t="s">
        <v>322</v>
      </c>
      <c r="F6361" s="12">
        <v>265173</v>
      </c>
      <c r="G6361" s="13">
        <v>26</v>
      </c>
      <c r="H6361" t="s">
        <v>3263</v>
      </c>
      <c r="I6361" s="8">
        <v>45996</v>
      </c>
      <c r="J6361" t="s">
        <v>2682</v>
      </c>
      <c r="K6361" t="s">
        <v>2683</v>
      </c>
      <c r="L6361" s="13">
        <v>6000</v>
      </c>
      <c r="M6361" t="s">
        <v>2661</v>
      </c>
    </row>
    <row r="6362" spans="1:13">
      <c r="A6362" t="s">
        <v>2485</v>
      </c>
      <c r="B6362" t="s">
        <v>81</v>
      </c>
      <c r="C6362" s="8">
        <v>45996</v>
      </c>
      <c r="D6362" t="s">
        <v>330</v>
      </c>
      <c r="E6362" t="s">
        <v>322</v>
      </c>
      <c r="F6362" s="12">
        <v>265173</v>
      </c>
      <c r="G6362" s="13">
        <v>26</v>
      </c>
      <c r="H6362" t="s">
        <v>3561</v>
      </c>
      <c r="I6362" s="8">
        <v>46096</v>
      </c>
      <c r="J6362" t="s">
        <v>2692</v>
      </c>
      <c r="K6362" t="s">
        <v>2693</v>
      </c>
      <c r="L6362" s="13">
        <v>10000</v>
      </c>
      <c r="M6362" t="s">
        <v>2676</v>
      </c>
    </row>
    <row r="6363" spans="1:13">
      <c r="A6363" t="s">
        <v>2486</v>
      </c>
      <c r="B6363" t="s">
        <v>240</v>
      </c>
      <c r="C6363" s="8">
        <v>46025</v>
      </c>
      <c r="D6363" t="s">
        <v>350</v>
      </c>
      <c r="E6363" t="s">
        <v>322</v>
      </c>
      <c r="F6363" s="12">
        <v>910604</v>
      </c>
      <c r="G6363" s="13">
        <v>91</v>
      </c>
      <c r="H6363" t="s">
        <v>3066</v>
      </c>
      <c r="I6363" s="8">
        <v>46121</v>
      </c>
      <c r="J6363" t="s">
        <v>2685</v>
      </c>
      <c r="K6363" t="s">
        <v>2686</v>
      </c>
      <c r="L6363" s="13">
        <v>5000</v>
      </c>
      <c r="M6363" t="s">
        <v>2661</v>
      </c>
    </row>
    <row r="6364" spans="1:13">
      <c r="A6364" t="s">
        <v>2486</v>
      </c>
      <c r="B6364" t="s">
        <v>240</v>
      </c>
      <c r="C6364" s="8">
        <v>46025</v>
      </c>
      <c r="D6364" t="s">
        <v>350</v>
      </c>
      <c r="E6364" t="s">
        <v>322</v>
      </c>
      <c r="F6364" s="12">
        <v>910604</v>
      </c>
      <c r="G6364" s="13">
        <v>91</v>
      </c>
      <c r="H6364" t="s">
        <v>3319</v>
      </c>
      <c r="I6364" s="8">
        <v>45952</v>
      </c>
      <c r="J6364" t="s">
        <v>2685</v>
      </c>
      <c r="K6364" t="s">
        <v>2686</v>
      </c>
      <c r="L6364" s="13">
        <v>5000</v>
      </c>
      <c r="M6364" t="s">
        <v>2661</v>
      </c>
    </row>
    <row r="6365" spans="1:13">
      <c r="A6365" t="s">
        <v>2486</v>
      </c>
      <c r="B6365" t="s">
        <v>240</v>
      </c>
      <c r="C6365" s="8">
        <v>46025</v>
      </c>
      <c r="D6365" t="s">
        <v>350</v>
      </c>
      <c r="E6365" t="s">
        <v>322</v>
      </c>
      <c r="F6365" s="12">
        <v>910604</v>
      </c>
      <c r="G6365" s="13">
        <v>91</v>
      </c>
      <c r="H6365" t="s">
        <v>3380</v>
      </c>
      <c r="I6365" s="8">
        <v>46263</v>
      </c>
      <c r="J6365" t="s">
        <v>2682</v>
      </c>
      <c r="K6365" t="s">
        <v>2683</v>
      </c>
      <c r="L6365" s="13">
        <v>6000</v>
      </c>
      <c r="M6365" t="s">
        <v>2661</v>
      </c>
    </row>
    <row r="6366" spans="1:13">
      <c r="A6366" t="s">
        <v>2487</v>
      </c>
      <c r="B6366" t="s">
        <v>184</v>
      </c>
      <c r="C6366" s="8">
        <v>46282</v>
      </c>
      <c r="D6366" t="s">
        <v>327</v>
      </c>
      <c r="E6366" t="s">
        <v>325</v>
      </c>
      <c r="F6366" s="12">
        <v>768598</v>
      </c>
      <c r="G6366" s="13">
        <v>76</v>
      </c>
      <c r="H6366" t="s">
        <v>3030</v>
      </c>
      <c r="I6366" s="8">
        <v>46275</v>
      </c>
      <c r="J6366" t="s">
        <v>2692</v>
      </c>
      <c r="K6366" t="s">
        <v>2693</v>
      </c>
      <c r="L6366" s="13">
        <v>10000</v>
      </c>
      <c r="M6366" t="s">
        <v>2661</v>
      </c>
    </row>
    <row r="6367" spans="1:13">
      <c r="A6367" t="s">
        <v>2487</v>
      </c>
      <c r="B6367" t="s">
        <v>184</v>
      </c>
      <c r="C6367" s="8">
        <v>46282</v>
      </c>
      <c r="D6367" t="s">
        <v>327</v>
      </c>
      <c r="E6367" t="s">
        <v>325</v>
      </c>
      <c r="F6367" s="12">
        <v>768598</v>
      </c>
      <c r="G6367" s="13">
        <v>76</v>
      </c>
      <c r="H6367" t="s">
        <v>3284</v>
      </c>
      <c r="I6367" s="8">
        <v>46235</v>
      </c>
      <c r="J6367" t="s">
        <v>2688</v>
      </c>
      <c r="K6367" t="s">
        <v>2689</v>
      </c>
      <c r="L6367" s="13">
        <v>8000</v>
      </c>
      <c r="M6367" t="s">
        <v>2661</v>
      </c>
    </row>
    <row r="6368" spans="1:13">
      <c r="A6368" t="s">
        <v>2487</v>
      </c>
      <c r="B6368" t="s">
        <v>184</v>
      </c>
      <c r="C6368" s="8">
        <v>46282</v>
      </c>
      <c r="D6368" t="s">
        <v>327</v>
      </c>
      <c r="E6368" t="s">
        <v>325</v>
      </c>
      <c r="F6368" s="12">
        <v>768598</v>
      </c>
      <c r="G6368" s="13">
        <v>76</v>
      </c>
      <c r="H6368" t="s">
        <v>3311</v>
      </c>
      <c r="I6368" s="8">
        <v>46027</v>
      </c>
      <c r="J6368" t="s">
        <v>2668</v>
      </c>
      <c r="K6368" t="s">
        <v>2669</v>
      </c>
      <c r="L6368" s="13">
        <v>4000</v>
      </c>
      <c r="M6368" t="s">
        <v>2661</v>
      </c>
    </row>
    <row r="6369" spans="1:13">
      <c r="A6369" t="s">
        <v>2487</v>
      </c>
      <c r="B6369" t="s">
        <v>184</v>
      </c>
      <c r="C6369" s="8">
        <v>46282</v>
      </c>
      <c r="D6369" t="s">
        <v>327</v>
      </c>
      <c r="E6369" t="s">
        <v>325</v>
      </c>
      <c r="F6369" s="12">
        <v>768598</v>
      </c>
      <c r="G6369" s="13">
        <v>76</v>
      </c>
      <c r="H6369" t="s">
        <v>3417</v>
      </c>
      <c r="I6369" s="8">
        <v>46001</v>
      </c>
      <c r="J6369" t="s">
        <v>2663</v>
      </c>
      <c r="K6369" t="s">
        <v>3630</v>
      </c>
      <c r="L6369" s="13">
        <v>1500</v>
      </c>
      <c r="M6369" t="s">
        <v>2676</v>
      </c>
    </row>
    <row r="6370" spans="1:13">
      <c r="A6370" t="s">
        <v>2487</v>
      </c>
      <c r="B6370" t="s">
        <v>184</v>
      </c>
      <c r="C6370" s="8">
        <v>46282</v>
      </c>
      <c r="D6370" t="s">
        <v>327</v>
      </c>
      <c r="E6370" t="s">
        <v>325</v>
      </c>
      <c r="F6370" s="12">
        <v>768598</v>
      </c>
      <c r="G6370" s="13">
        <v>76</v>
      </c>
      <c r="H6370" t="s">
        <v>3456</v>
      </c>
      <c r="I6370" s="8">
        <v>46099</v>
      </c>
      <c r="J6370" t="s">
        <v>2682</v>
      </c>
      <c r="K6370" t="s">
        <v>2683</v>
      </c>
      <c r="L6370" s="13">
        <v>6000</v>
      </c>
      <c r="M6370" t="s">
        <v>2676</v>
      </c>
    </row>
    <row r="6371" spans="1:13">
      <c r="A6371" t="s">
        <v>2488</v>
      </c>
      <c r="B6371" t="s">
        <v>282</v>
      </c>
      <c r="C6371" s="8">
        <v>46002</v>
      </c>
      <c r="D6371" t="s">
        <v>342</v>
      </c>
      <c r="E6371" t="s">
        <v>334</v>
      </c>
      <c r="F6371" s="12">
        <v>209510</v>
      </c>
      <c r="G6371" s="13">
        <v>20</v>
      </c>
      <c r="H6371" t="s">
        <v>3045</v>
      </c>
      <c r="I6371" s="8">
        <v>46217</v>
      </c>
      <c r="J6371" t="s">
        <v>2659</v>
      </c>
      <c r="K6371" t="s">
        <v>2660</v>
      </c>
      <c r="L6371" s="13">
        <v>3500</v>
      </c>
      <c r="M6371" t="s">
        <v>2676</v>
      </c>
    </row>
    <row r="6372" spans="1:13">
      <c r="A6372" t="s">
        <v>2488</v>
      </c>
      <c r="B6372" t="s">
        <v>282</v>
      </c>
      <c r="C6372" s="8">
        <v>46002</v>
      </c>
      <c r="D6372" t="s">
        <v>342</v>
      </c>
      <c r="E6372" t="s">
        <v>334</v>
      </c>
      <c r="F6372" s="12">
        <v>209510</v>
      </c>
      <c r="G6372" s="13">
        <v>20</v>
      </c>
      <c r="H6372" t="s">
        <v>3568</v>
      </c>
      <c r="I6372" s="8">
        <v>46096</v>
      </c>
      <c r="J6372" t="s">
        <v>2674</v>
      </c>
      <c r="K6372" t="s">
        <v>2675</v>
      </c>
      <c r="L6372" s="13">
        <v>20000</v>
      </c>
      <c r="M6372" t="s">
        <v>2661</v>
      </c>
    </row>
    <row r="6373" spans="1:13">
      <c r="A6373" t="s">
        <v>2489</v>
      </c>
      <c r="B6373" t="s">
        <v>161</v>
      </c>
      <c r="C6373" s="8">
        <v>46106</v>
      </c>
      <c r="D6373" t="s">
        <v>324</v>
      </c>
      <c r="E6373" t="s">
        <v>325</v>
      </c>
      <c r="F6373" s="12">
        <v>151225</v>
      </c>
      <c r="G6373" s="13">
        <v>15</v>
      </c>
      <c r="H6373" t="s">
        <v>2737</v>
      </c>
      <c r="I6373" s="8">
        <v>45957</v>
      </c>
      <c r="J6373" t="s">
        <v>2682</v>
      </c>
      <c r="K6373" t="s">
        <v>2683</v>
      </c>
      <c r="L6373" s="13">
        <v>6000</v>
      </c>
      <c r="M6373" t="s">
        <v>2661</v>
      </c>
    </row>
    <row r="6374" spans="1:13">
      <c r="A6374" t="s">
        <v>2489</v>
      </c>
      <c r="B6374" t="s">
        <v>161</v>
      </c>
      <c r="C6374" s="8">
        <v>46106</v>
      </c>
      <c r="D6374" t="s">
        <v>324</v>
      </c>
      <c r="E6374" t="s">
        <v>325</v>
      </c>
      <c r="F6374" s="12">
        <v>151225</v>
      </c>
      <c r="G6374" s="13">
        <v>15</v>
      </c>
      <c r="H6374" t="s">
        <v>2874</v>
      </c>
      <c r="I6374" s="8">
        <v>46115</v>
      </c>
      <c r="J6374" t="s">
        <v>2688</v>
      </c>
      <c r="K6374" t="s">
        <v>2689</v>
      </c>
      <c r="L6374" s="13">
        <v>8000</v>
      </c>
      <c r="M6374" t="s">
        <v>2661</v>
      </c>
    </row>
    <row r="6375" spans="1:13">
      <c r="A6375" t="s">
        <v>2489</v>
      </c>
      <c r="B6375" t="s">
        <v>161</v>
      </c>
      <c r="C6375" s="8">
        <v>46106</v>
      </c>
      <c r="D6375" t="s">
        <v>324</v>
      </c>
      <c r="E6375" t="s">
        <v>325</v>
      </c>
      <c r="F6375" s="12">
        <v>151225</v>
      </c>
      <c r="G6375" s="13">
        <v>15</v>
      </c>
      <c r="H6375" t="s">
        <v>3296</v>
      </c>
      <c r="I6375" s="8">
        <v>46264</v>
      </c>
      <c r="J6375" t="s">
        <v>2659</v>
      </c>
      <c r="K6375" t="s">
        <v>2660</v>
      </c>
      <c r="L6375" s="13">
        <v>3500</v>
      </c>
      <c r="M6375" t="s">
        <v>2661</v>
      </c>
    </row>
    <row r="6376" spans="1:13">
      <c r="A6376" t="s">
        <v>2489</v>
      </c>
      <c r="B6376" t="s">
        <v>161</v>
      </c>
      <c r="C6376" s="8">
        <v>46106</v>
      </c>
      <c r="D6376" t="s">
        <v>324</v>
      </c>
      <c r="E6376" t="s">
        <v>325</v>
      </c>
      <c r="F6376" s="12">
        <v>151225</v>
      </c>
      <c r="G6376" s="13">
        <v>15</v>
      </c>
      <c r="H6376" t="s">
        <v>3457</v>
      </c>
      <c r="I6376" s="8">
        <v>46162</v>
      </c>
      <c r="J6376" t="s">
        <v>2674</v>
      </c>
      <c r="K6376" t="s">
        <v>2675</v>
      </c>
      <c r="L6376" s="13">
        <v>20000</v>
      </c>
      <c r="M6376" t="s">
        <v>2661</v>
      </c>
    </row>
    <row r="6377" spans="1:13">
      <c r="A6377" t="s">
        <v>2489</v>
      </c>
      <c r="B6377" t="s">
        <v>161</v>
      </c>
      <c r="C6377" s="8">
        <v>46106</v>
      </c>
      <c r="D6377" t="s">
        <v>324</v>
      </c>
      <c r="E6377" t="s">
        <v>325</v>
      </c>
      <c r="F6377" s="12">
        <v>151225</v>
      </c>
      <c r="G6377" s="13">
        <v>15</v>
      </c>
      <c r="H6377" t="s">
        <v>3485</v>
      </c>
      <c r="I6377" s="8">
        <v>45934</v>
      </c>
      <c r="J6377" t="s">
        <v>2685</v>
      </c>
      <c r="K6377" t="s">
        <v>2686</v>
      </c>
      <c r="L6377" s="13">
        <v>5000</v>
      </c>
      <c r="M6377" t="s">
        <v>2661</v>
      </c>
    </row>
    <row r="6378" spans="1:13">
      <c r="A6378" t="s">
        <v>2489</v>
      </c>
      <c r="B6378" t="s">
        <v>161</v>
      </c>
      <c r="C6378" s="8">
        <v>46106</v>
      </c>
      <c r="D6378" t="s">
        <v>324</v>
      </c>
      <c r="E6378" t="s">
        <v>325</v>
      </c>
      <c r="F6378" s="12">
        <v>151225</v>
      </c>
      <c r="G6378" s="13">
        <v>15</v>
      </c>
      <c r="H6378" t="s">
        <v>3544</v>
      </c>
      <c r="I6378" s="8">
        <v>46259</v>
      </c>
      <c r="J6378" t="s">
        <v>2671</v>
      </c>
      <c r="K6378" t="s">
        <v>2672</v>
      </c>
      <c r="L6378" s="13">
        <v>3000</v>
      </c>
      <c r="M6378" t="s">
        <v>2661</v>
      </c>
    </row>
    <row r="6379" spans="1:13">
      <c r="A6379" t="s">
        <v>2490</v>
      </c>
      <c r="B6379" t="s">
        <v>280</v>
      </c>
      <c r="C6379" s="8">
        <v>45955</v>
      </c>
      <c r="D6379" t="s">
        <v>350</v>
      </c>
      <c r="E6379" t="s">
        <v>334</v>
      </c>
      <c r="F6379" s="12">
        <v>353147</v>
      </c>
      <c r="G6379" s="13">
        <v>35</v>
      </c>
      <c r="H6379" t="s">
        <v>2673</v>
      </c>
      <c r="I6379" s="8">
        <v>46091</v>
      </c>
      <c r="J6379" t="s">
        <v>2674</v>
      </c>
      <c r="K6379" t="s">
        <v>2675</v>
      </c>
      <c r="L6379" s="13">
        <v>20000</v>
      </c>
      <c r="M6379" t="s">
        <v>2676</v>
      </c>
    </row>
    <row r="6380" spans="1:13">
      <c r="A6380" t="s">
        <v>2490</v>
      </c>
      <c r="B6380" t="s">
        <v>280</v>
      </c>
      <c r="C6380" s="8">
        <v>45955</v>
      </c>
      <c r="D6380" t="s">
        <v>350</v>
      </c>
      <c r="E6380" t="s">
        <v>334</v>
      </c>
      <c r="F6380" s="12">
        <v>353147</v>
      </c>
      <c r="G6380" s="13">
        <v>35</v>
      </c>
      <c r="H6380" t="s">
        <v>2924</v>
      </c>
      <c r="I6380" s="8">
        <v>46275</v>
      </c>
      <c r="J6380" t="s">
        <v>2663</v>
      </c>
      <c r="K6380" t="s">
        <v>3630</v>
      </c>
      <c r="L6380" s="13">
        <v>1500</v>
      </c>
      <c r="M6380" t="s">
        <v>2661</v>
      </c>
    </row>
    <row r="6381" spans="1:13">
      <c r="A6381" t="s">
        <v>2490</v>
      </c>
      <c r="B6381" t="s">
        <v>280</v>
      </c>
      <c r="C6381" s="8">
        <v>45955</v>
      </c>
      <c r="D6381" t="s">
        <v>350</v>
      </c>
      <c r="E6381" t="s">
        <v>334</v>
      </c>
      <c r="F6381" s="12">
        <v>353147</v>
      </c>
      <c r="G6381" s="13">
        <v>35</v>
      </c>
      <c r="H6381" t="s">
        <v>3163</v>
      </c>
      <c r="I6381" s="8">
        <v>46279</v>
      </c>
      <c r="J6381" t="s">
        <v>2668</v>
      </c>
      <c r="K6381" t="s">
        <v>2669</v>
      </c>
      <c r="L6381" s="13">
        <v>4000</v>
      </c>
      <c r="M6381" t="s">
        <v>2661</v>
      </c>
    </row>
    <row r="6382" spans="1:13">
      <c r="A6382" t="s">
        <v>2490</v>
      </c>
      <c r="B6382" t="s">
        <v>280</v>
      </c>
      <c r="C6382" s="8">
        <v>45955</v>
      </c>
      <c r="D6382" t="s">
        <v>350</v>
      </c>
      <c r="E6382" t="s">
        <v>334</v>
      </c>
      <c r="F6382" s="12">
        <v>353147</v>
      </c>
      <c r="G6382" s="13">
        <v>35</v>
      </c>
      <c r="H6382" t="s">
        <v>3286</v>
      </c>
      <c r="I6382" s="8">
        <v>46224</v>
      </c>
      <c r="J6382" t="s">
        <v>2685</v>
      </c>
      <c r="K6382" t="s">
        <v>2686</v>
      </c>
      <c r="L6382" s="13">
        <v>5000</v>
      </c>
      <c r="M6382" t="s">
        <v>2661</v>
      </c>
    </row>
    <row r="6383" spans="1:13">
      <c r="A6383" t="s">
        <v>2490</v>
      </c>
      <c r="B6383" t="s">
        <v>280</v>
      </c>
      <c r="C6383" s="8">
        <v>45955</v>
      </c>
      <c r="D6383" t="s">
        <v>350</v>
      </c>
      <c r="E6383" t="s">
        <v>334</v>
      </c>
      <c r="F6383" s="12">
        <v>353147</v>
      </c>
      <c r="G6383" s="13">
        <v>35</v>
      </c>
      <c r="H6383" t="s">
        <v>3400</v>
      </c>
      <c r="I6383" s="8">
        <v>46126</v>
      </c>
      <c r="J6383" t="s">
        <v>2692</v>
      </c>
      <c r="K6383" t="s">
        <v>2693</v>
      </c>
      <c r="L6383" s="13">
        <v>10000</v>
      </c>
      <c r="M6383" t="s">
        <v>2661</v>
      </c>
    </row>
    <row r="6384" spans="1:13">
      <c r="A6384" t="s">
        <v>2490</v>
      </c>
      <c r="B6384" t="s">
        <v>280</v>
      </c>
      <c r="C6384" s="8">
        <v>45955</v>
      </c>
      <c r="D6384" t="s">
        <v>350</v>
      </c>
      <c r="E6384" t="s">
        <v>334</v>
      </c>
      <c r="F6384" s="12">
        <v>353147</v>
      </c>
      <c r="G6384" s="13">
        <v>35</v>
      </c>
      <c r="H6384" t="s">
        <v>3535</v>
      </c>
      <c r="I6384" s="8">
        <v>46274</v>
      </c>
      <c r="J6384" t="s">
        <v>2659</v>
      </c>
      <c r="K6384" t="s">
        <v>2660</v>
      </c>
      <c r="L6384" s="13">
        <v>3500</v>
      </c>
      <c r="M6384" t="s">
        <v>2661</v>
      </c>
    </row>
    <row r="6385" spans="1:13">
      <c r="A6385" t="s">
        <v>2491</v>
      </c>
      <c r="B6385" t="s">
        <v>175</v>
      </c>
      <c r="C6385" s="8">
        <v>46099</v>
      </c>
      <c r="D6385" t="s">
        <v>324</v>
      </c>
      <c r="E6385" t="s">
        <v>337</v>
      </c>
      <c r="F6385" s="12">
        <v>520661</v>
      </c>
      <c r="G6385" s="13">
        <v>52</v>
      </c>
      <c r="H6385" t="s">
        <v>2880</v>
      </c>
      <c r="I6385" s="8">
        <v>45944</v>
      </c>
      <c r="J6385" t="s">
        <v>2674</v>
      </c>
      <c r="K6385" t="s">
        <v>2675</v>
      </c>
      <c r="L6385" s="13">
        <v>20000</v>
      </c>
      <c r="M6385" t="s">
        <v>2661</v>
      </c>
    </row>
    <row r="6386" spans="1:13">
      <c r="A6386" t="s">
        <v>2491</v>
      </c>
      <c r="B6386" t="s">
        <v>175</v>
      </c>
      <c r="C6386" s="8">
        <v>46099</v>
      </c>
      <c r="D6386" t="s">
        <v>324</v>
      </c>
      <c r="E6386" t="s">
        <v>337</v>
      </c>
      <c r="F6386" s="12">
        <v>520661</v>
      </c>
      <c r="G6386" s="13">
        <v>52</v>
      </c>
      <c r="H6386" t="s">
        <v>2888</v>
      </c>
      <c r="I6386" s="8">
        <v>45990</v>
      </c>
      <c r="J6386" t="s">
        <v>2663</v>
      </c>
      <c r="K6386" t="s">
        <v>3630</v>
      </c>
      <c r="L6386" s="13">
        <v>1500</v>
      </c>
      <c r="M6386" t="s">
        <v>2661</v>
      </c>
    </row>
    <row r="6387" spans="1:13">
      <c r="A6387" t="s">
        <v>2493</v>
      </c>
      <c r="B6387" t="s">
        <v>94</v>
      </c>
      <c r="C6387" s="8">
        <v>46125</v>
      </c>
      <c r="D6387" t="s">
        <v>350</v>
      </c>
      <c r="E6387" t="s">
        <v>328</v>
      </c>
      <c r="F6387" s="12">
        <v>266183</v>
      </c>
      <c r="G6387" s="13">
        <v>26</v>
      </c>
      <c r="H6387" t="s">
        <v>2994</v>
      </c>
      <c r="I6387" s="8">
        <v>46107</v>
      </c>
      <c r="J6387" t="s">
        <v>2682</v>
      </c>
      <c r="K6387" t="s">
        <v>2683</v>
      </c>
      <c r="L6387" s="13">
        <v>6000</v>
      </c>
      <c r="M6387" t="s">
        <v>2661</v>
      </c>
    </row>
    <row r="6388" spans="1:13">
      <c r="A6388" t="s">
        <v>2494</v>
      </c>
      <c r="B6388" t="s">
        <v>311</v>
      </c>
      <c r="C6388" s="8">
        <v>46289</v>
      </c>
      <c r="D6388" t="s">
        <v>327</v>
      </c>
      <c r="E6388" t="s">
        <v>337</v>
      </c>
      <c r="F6388" s="12">
        <v>410414</v>
      </c>
      <c r="G6388" s="13">
        <v>41</v>
      </c>
      <c r="H6388" t="s">
        <v>2715</v>
      </c>
      <c r="I6388" s="8">
        <v>46035</v>
      </c>
      <c r="J6388" t="s">
        <v>2663</v>
      </c>
      <c r="K6388" t="s">
        <v>3630</v>
      </c>
      <c r="L6388" s="13">
        <v>1500</v>
      </c>
      <c r="M6388" t="s">
        <v>2661</v>
      </c>
    </row>
    <row r="6389" spans="1:13">
      <c r="A6389" t="s">
        <v>2495</v>
      </c>
      <c r="B6389" t="s">
        <v>231</v>
      </c>
      <c r="C6389" s="8">
        <v>46062</v>
      </c>
      <c r="D6389" t="s">
        <v>332</v>
      </c>
      <c r="E6389" t="s">
        <v>322</v>
      </c>
      <c r="F6389" s="12">
        <v>363734</v>
      </c>
      <c r="G6389" s="13">
        <v>36</v>
      </c>
      <c r="H6389" t="s">
        <v>2875</v>
      </c>
      <c r="I6389" s="8">
        <v>46085</v>
      </c>
      <c r="J6389" t="s">
        <v>2665</v>
      </c>
      <c r="K6389" t="s">
        <v>2666</v>
      </c>
      <c r="L6389" s="13">
        <v>2500</v>
      </c>
      <c r="M6389" t="s">
        <v>2661</v>
      </c>
    </row>
    <row r="6390" spans="1:13">
      <c r="A6390" t="s">
        <v>2495</v>
      </c>
      <c r="B6390" t="s">
        <v>231</v>
      </c>
      <c r="C6390" s="8">
        <v>46062</v>
      </c>
      <c r="D6390" t="s">
        <v>332</v>
      </c>
      <c r="E6390" t="s">
        <v>322</v>
      </c>
      <c r="F6390" s="12">
        <v>363734</v>
      </c>
      <c r="G6390" s="13">
        <v>36</v>
      </c>
      <c r="H6390" t="s">
        <v>3014</v>
      </c>
      <c r="I6390" s="8">
        <v>46207</v>
      </c>
      <c r="J6390" t="s">
        <v>2665</v>
      </c>
      <c r="K6390" t="s">
        <v>2666</v>
      </c>
      <c r="L6390" s="13">
        <v>2500</v>
      </c>
      <c r="M6390" t="s">
        <v>2676</v>
      </c>
    </row>
    <row r="6391" spans="1:13">
      <c r="A6391" t="s">
        <v>2496</v>
      </c>
      <c r="B6391" t="s">
        <v>231</v>
      </c>
      <c r="C6391" s="8">
        <v>46141</v>
      </c>
      <c r="D6391" t="s">
        <v>324</v>
      </c>
      <c r="E6391" t="s">
        <v>325</v>
      </c>
      <c r="F6391" s="12">
        <v>468038</v>
      </c>
      <c r="G6391" s="13">
        <v>46</v>
      </c>
      <c r="H6391" t="s">
        <v>2875</v>
      </c>
      <c r="I6391" s="8">
        <v>46085</v>
      </c>
      <c r="J6391" t="s">
        <v>2665</v>
      </c>
      <c r="K6391" t="s">
        <v>2666</v>
      </c>
      <c r="L6391" s="13">
        <v>2500</v>
      </c>
      <c r="M6391" t="s">
        <v>2661</v>
      </c>
    </row>
    <row r="6392" spans="1:13">
      <c r="A6392" t="s">
        <v>2496</v>
      </c>
      <c r="B6392" t="s">
        <v>231</v>
      </c>
      <c r="C6392" s="8">
        <v>46141</v>
      </c>
      <c r="D6392" t="s">
        <v>324</v>
      </c>
      <c r="E6392" t="s">
        <v>325</v>
      </c>
      <c r="F6392" s="12">
        <v>468038</v>
      </c>
      <c r="G6392" s="13">
        <v>46</v>
      </c>
      <c r="H6392" t="s">
        <v>3014</v>
      </c>
      <c r="I6392" s="8">
        <v>46207</v>
      </c>
      <c r="J6392" t="s">
        <v>2665</v>
      </c>
      <c r="K6392" t="s">
        <v>2666</v>
      </c>
      <c r="L6392" s="13">
        <v>2500</v>
      </c>
      <c r="M6392" t="s">
        <v>2676</v>
      </c>
    </row>
    <row r="6393" spans="1:13">
      <c r="A6393" t="s">
        <v>2497</v>
      </c>
      <c r="B6393" t="s">
        <v>23</v>
      </c>
      <c r="C6393" s="8">
        <v>46260</v>
      </c>
      <c r="D6393" t="s">
        <v>344</v>
      </c>
      <c r="E6393" t="s">
        <v>322</v>
      </c>
      <c r="F6393" s="12">
        <v>619724</v>
      </c>
      <c r="G6393" s="13">
        <v>61</v>
      </c>
      <c r="H6393" t="s">
        <v>2807</v>
      </c>
      <c r="I6393" s="8">
        <v>46239</v>
      </c>
      <c r="J6393" t="s">
        <v>2663</v>
      </c>
      <c r="K6393" t="s">
        <v>3630</v>
      </c>
      <c r="L6393" s="13">
        <v>1500</v>
      </c>
      <c r="M6393" t="s">
        <v>2661</v>
      </c>
    </row>
    <row r="6394" spans="1:13">
      <c r="A6394" t="s">
        <v>2497</v>
      </c>
      <c r="B6394" t="s">
        <v>23</v>
      </c>
      <c r="C6394" s="8">
        <v>46260</v>
      </c>
      <c r="D6394" t="s">
        <v>344</v>
      </c>
      <c r="E6394" t="s">
        <v>322</v>
      </c>
      <c r="F6394" s="12">
        <v>619724</v>
      </c>
      <c r="G6394" s="13">
        <v>61</v>
      </c>
      <c r="H6394" t="s">
        <v>2846</v>
      </c>
      <c r="I6394" s="8">
        <v>46148</v>
      </c>
      <c r="J6394" t="s">
        <v>2685</v>
      </c>
      <c r="K6394" t="s">
        <v>2686</v>
      </c>
      <c r="L6394" s="13">
        <v>5000</v>
      </c>
      <c r="M6394" t="s">
        <v>2661</v>
      </c>
    </row>
    <row r="6395" spans="1:13">
      <c r="A6395" t="s">
        <v>2497</v>
      </c>
      <c r="B6395" t="s">
        <v>23</v>
      </c>
      <c r="C6395" s="8">
        <v>46260</v>
      </c>
      <c r="D6395" t="s">
        <v>344</v>
      </c>
      <c r="E6395" t="s">
        <v>322</v>
      </c>
      <c r="F6395" s="12">
        <v>619724</v>
      </c>
      <c r="G6395" s="13">
        <v>61</v>
      </c>
      <c r="H6395" t="s">
        <v>2872</v>
      </c>
      <c r="I6395" s="8">
        <v>46180</v>
      </c>
      <c r="J6395" t="s">
        <v>2659</v>
      </c>
      <c r="K6395" t="s">
        <v>2660</v>
      </c>
      <c r="L6395" s="13">
        <v>3500</v>
      </c>
      <c r="M6395" t="s">
        <v>2661</v>
      </c>
    </row>
    <row r="6396" spans="1:13">
      <c r="A6396" t="s">
        <v>2497</v>
      </c>
      <c r="B6396" t="s">
        <v>23</v>
      </c>
      <c r="C6396" s="8">
        <v>46260</v>
      </c>
      <c r="D6396" t="s">
        <v>344</v>
      </c>
      <c r="E6396" t="s">
        <v>322</v>
      </c>
      <c r="F6396" s="12">
        <v>619724</v>
      </c>
      <c r="G6396" s="13">
        <v>61</v>
      </c>
      <c r="H6396" t="s">
        <v>2887</v>
      </c>
      <c r="I6396" s="8">
        <v>46147</v>
      </c>
      <c r="J6396" t="s">
        <v>2682</v>
      </c>
      <c r="K6396" t="s">
        <v>2683</v>
      </c>
      <c r="L6396" s="13">
        <v>6000</v>
      </c>
      <c r="M6396" t="s">
        <v>2661</v>
      </c>
    </row>
    <row r="6397" spans="1:13">
      <c r="A6397" t="s">
        <v>2497</v>
      </c>
      <c r="B6397" t="s">
        <v>23</v>
      </c>
      <c r="C6397" s="8">
        <v>46260</v>
      </c>
      <c r="D6397" t="s">
        <v>344</v>
      </c>
      <c r="E6397" t="s">
        <v>322</v>
      </c>
      <c r="F6397" s="12">
        <v>619724</v>
      </c>
      <c r="G6397" s="13">
        <v>61</v>
      </c>
      <c r="H6397" t="s">
        <v>3153</v>
      </c>
      <c r="I6397" s="8">
        <v>46122</v>
      </c>
      <c r="J6397" t="s">
        <v>2665</v>
      </c>
      <c r="K6397" t="s">
        <v>2666</v>
      </c>
      <c r="L6397" s="13">
        <v>2500</v>
      </c>
      <c r="M6397" t="s">
        <v>2676</v>
      </c>
    </row>
    <row r="6398" spans="1:13">
      <c r="A6398" t="s">
        <v>2497</v>
      </c>
      <c r="B6398" t="s">
        <v>23</v>
      </c>
      <c r="C6398" s="8">
        <v>46260</v>
      </c>
      <c r="D6398" t="s">
        <v>344</v>
      </c>
      <c r="E6398" t="s">
        <v>322</v>
      </c>
      <c r="F6398" s="12">
        <v>619724</v>
      </c>
      <c r="G6398" s="13">
        <v>61</v>
      </c>
      <c r="H6398" t="s">
        <v>3426</v>
      </c>
      <c r="I6398" s="8">
        <v>46038</v>
      </c>
      <c r="J6398" t="s">
        <v>2688</v>
      </c>
      <c r="K6398" t="s">
        <v>2689</v>
      </c>
      <c r="L6398" s="13">
        <v>8000</v>
      </c>
      <c r="M6398" t="s">
        <v>2661</v>
      </c>
    </row>
    <row r="6399" spans="1:13">
      <c r="A6399" t="s">
        <v>2498</v>
      </c>
      <c r="B6399" t="s">
        <v>164</v>
      </c>
      <c r="C6399" s="8">
        <v>46129</v>
      </c>
      <c r="D6399" t="s">
        <v>332</v>
      </c>
      <c r="E6399" t="s">
        <v>337</v>
      </c>
      <c r="F6399" s="12">
        <v>453111</v>
      </c>
      <c r="G6399" s="13">
        <v>45</v>
      </c>
      <c r="H6399" t="s">
        <v>2971</v>
      </c>
      <c r="I6399" s="8">
        <v>46018</v>
      </c>
      <c r="J6399" t="s">
        <v>2665</v>
      </c>
      <c r="K6399" t="s">
        <v>2666</v>
      </c>
      <c r="L6399" s="13">
        <v>2500</v>
      </c>
      <c r="M6399" t="s">
        <v>2661</v>
      </c>
    </row>
    <row r="6400" spans="1:13">
      <c r="A6400" t="s">
        <v>2498</v>
      </c>
      <c r="B6400" t="s">
        <v>164</v>
      </c>
      <c r="C6400" s="8">
        <v>46129</v>
      </c>
      <c r="D6400" t="s">
        <v>332</v>
      </c>
      <c r="E6400" t="s">
        <v>337</v>
      </c>
      <c r="F6400" s="12">
        <v>453111</v>
      </c>
      <c r="G6400" s="13">
        <v>45</v>
      </c>
      <c r="H6400" t="s">
        <v>3109</v>
      </c>
      <c r="I6400" s="8">
        <v>46204</v>
      </c>
      <c r="J6400" t="s">
        <v>2668</v>
      </c>
      <c r="K6400" t="s">
        <v>2669</v>
      </c>
      <c r="L6400" s="13">
        <v>4000</v>
      </c>
      <c r="M6400" t="s">
        <v>2676</v>
      </c>
    </row>
    <row r="6401" spans="1:13">
      <c r="A6401" t="s">
        <v>2498</v>
      </c>
      <c r="B6401" t="s">
        <v>164</v>
      </c>
      <c r="C6401" s="8">
        <v>46129</v>
      </c>
      <c r="D6401" t="s">
        <v>332</v>
      </c>
      <c r="E6401" t="s">
        <v>337</v>
      </c>
      <c r="F6401" s="12">
        <v>453111</v>
      </c>
      <c r="G6401" s="13">
        <v>45</v>
      </c>
      <c r="H6401" t="s">
        <v>3298</v>
      </c>
      <c r="I6401" s="8">
        <v>46208</v>
      </c>
      <c r="J6401" t="s">
        <v>2692</v>
      </c>
      <c r="K6401" t="s">
        <v>2693</v>
      </c>
      <c r="L6401" s="13">
        <v>10000</v>
      </c>
      <c r="M6401" t="s">
        <v>2661</v>
      </c>
    </row>
    <row r="6402" spans="1:13">
      <c r="A6402" t="s">
        <v>2498</v>
      </c>
      <c r="B6402" t="s">
        <v>164</v>
      </c>
      <c r="C6402" s="8">
        <v>46129</v>
      </c>
      <c r="D6402" t="s">
        <v>332</v>
      </c>
      <c r="E6402" t="s">
        <v>337</v>
      </c>
      <c r="F6402" s="12">
        <v>453111</v>
      </c>
      <c r="G6402" s="13">
        <v>45</v>
      </c>
      <c r="H6402" t="s">
        <v>3523</v>
      </c>
      <c r="I6402" s="8">
        <v>46098</v>
      </c>
      <c r="J6402" t="s">
        <v>2659</v>
      </c>
      <c r="K6402" t="s">
        <v>2660</v>
      </c>
      <c r="L6402" s="13">
        <v>3500</v>
      </c>
      <c r="M6402" t="s">
        <v>2661</v>
      </c>
    </row>
    <row r="6403" spans="1:13">
      <c r="A6403" t="s">
        <v>2499</v>
      </c>
      <c r="B6403" t="s">
        <v>47</v>
      </c>
      <c r="C6403" s="8">
        <v>46277</v>
      </c>
      <c r="D6403" t="s">
        <v>330</v>
      </c>
      <c r="E6403" t="s">
        <v>325</v>
      </c>
      <c r="F6403" s="12">
        <v>226424</v>
      </c>
      <c r="G6403" s="13">
        <v>22</v>
      </c>
      <c r="H6403" t="s">
        <v>3291</v>
      </c>
      <c r="I6403" s="8">
        <v>46026</v>
      </c>
      <c r="J6403" t="s">
        <v>2674</v>
      </c>
      <c r="K6403" t="s">
        <v>2675</v>
      </c>
      <c r="L6403" s="13">
        <v>20000</v>
      </c>
      <c r="M6403" t="s">
        <v>2661</v>
      </c>
    </row>
    <row r="6404" spans="1:13">
      <c r="A6404" t="s">
        <v>2500</v>
      </c>
      <c r="B6404" t="s">
        <v>148</v>
      </c>
      <c r="C6404" s="8">
        <v>45941</v>
      </c>
      <c r="D6404" t="s">
        <v>344</v>
      </c>
      <c r="E6404" t="s">
        <v>337</v>
      </c>
      <c r="F6404" s="12">
        <v>300279</v>
      </c>
      <c r="G6404" s="13">
        <v>30</v>
      </c>
      <c r="H6404" t="s">
        <v>2701</v>
      </c>
      <c r="I6404" s="8">
        <v>46251</v>
      </c>
      <c r="J6404" t="s">
        <v>2685</v>
      </c>
      <c r="K6404" t="s">
        <v>2686</v>
      </c>
      <c r="L6404" s="13">
        <v>5000</v>
      </c>
      <c r="M6404" t="s">
        <v>2661</v>
      </c>
    </row>
    <row r="6405" spans="1:13">
      <c r="A6405" t="s">
        <v>2500</v>
      </c>
      <c r="B6405" t="s">
        <v>148</v>
      </c>
      <c r="C6405" s="8">
        <v>45941</v>
      </c>
      <c r="D6405" t="s">
        <v>344</v>
      </c>
      <c r="E6405" t="s">
        <v>337</v>
      </c>
      <c r="F6405" s="12">
        <v>300279</v>
      </c>
      <c r="G6405" s="13">
        <v>30</v>
      </c>
      <c r="H6405" t="s">
        <v>2859</v>
      </c>
      <c r="I6405" s="8">
        <v>46163</v>
      </c>
      <c r="J6405" t="s">
        <v>2685</v>
      </c>
      <c r="K6405" t="s">
        <v>2686</v>
      </c>
      <c r="L6405" s="13">
        <v>5000</v>
      </c>
      <c r="M6405" t="s">
        <v>2661</v>
      </c>
    </row>
    <row r="6406" spans="1:13">
      <c r="A6406" t="s">
        <v>2500</v>
      </c>
      <c r="B6406" t="s">
        <v>148</v>
      </c>
      <c r="C6406" s="8">
        <v>45941</v>
      </c>
      <c r="D6406" t="s">
        <v>344</v>
      </c>
      <c r="E6406" t="s">
        <v>337</v>
      </c>
      <c r="F6406" s="12">
        <v>300279</v>
      </c>
      <c r="G6406" s="13">
        <v>30</v>
      </c>
      <c r="H6406" t="s">
        <v>3210</v>
      </c>
      <c r="I6406" s="8">
        <v>46038</v>
      </c>
      <c r="J6406" t="s">
        <v>2663</v>
      </c>
      <c r="K6406" t="s">
        <v>3630</v>
      </c>
      <c r="L6406" s="13">
        <v>1500</v>
      </c>
      <c r="M6406" t="s">
        <v>2661</v>
      </c>
    </row>
    <row r="6407" spans="1:13">
      <c r="A6407" t="s">
        <v>2500</v>
      </c>
      <c r="B6407" t="s">
        <v>148</v>
      </c>
      <c r="C6407" s="8">
        <v>45941</v>
      </c>
      <c r="D6407" t="s">
        <v>344</v>
      </c>
      <c r="E6407" t="s">
        <v>337</v>
      </c>
      <c r="F6407" s="12">
        <v>300279</v>
      </c>
      <c r="G6407" s="13">
        <v>30</v>
      </c>
      <c r="H6407" t="s">
        <v>3242</v>
      </c>
      <c r="I6407" s="8">
        <v>45943</v>
      </c>
      <c r="J6407" t="s">
        <v>2674</v>
      </c>
      <c r="K6407" t="s">
        <v>2675</v>
      </c>
      <c r="L6407" s="13">
        <v>20000</v>
      </c>
      <c r="M6407" t="s">
        <v>2661</v>
      </c>
    </row>
    <row r="6408" spans="1:13">
      <c r="A6408" t="s">
        <v>2500</v>
      </c>
      <c r="B6408" t="s">
        <v>148</v>
      </c>
      <c r="C6408" s="8">
        <v>45941</v>
      </c>
      <c r="D6408" t="s">
        <v>344</v>
      </c>
      <c r="E6408" t="s">
        <v>337</v>
      </c>
      <c r="F6408" s="12">
        <v>300279</v>
      </c>
      <c r="G6408" s="13">
        <v>30</v>
      </c>
      <c r="H6408" t="s">
        <v>3304</v>
      </c>
      <c r="I6408" s="8">
        <v>46267</v>
      </c>
      <c r="J6408" t="s">
        <v>2665</v>
      </c>
      <c r="K6408" t="s">
        <v>2666</v>
      </c>
      <c r="L6408" s="13">
        <v>2500</v>
      </c>
      <c r="M6408" t="s">
        <v>2661</v>
      </c>
    </row>
    <row r="6409" spans="1:13">
      <c r="A6409" t="s">
        <v>2500</v>
      </c>
      <c r="B6409" t="s">
        <v>148</v>
      </c>
      <c r="C6409" s="8">
        <v>45941</v>
      </c>
      <c r="D6409" t="s">
        <v>344</v>
      </c>
      <c r="E6409" t="s">
        <v>337</v>
      </c>
      <c r="F6409" s="12">
        <v>300279</v>
      </c>
      <c r="G6409" s="13">
        <v>30</v>
      </c>
      <c r="H6409" t="s">
        <v>3492</v>
      </c>
      <c r="I6409" s="8">
        <v>45951</v>
      </c>
      <c r="J6409" t="s">
        <v>2659</v>
      </c>
      <c r="K6409" t="s">
        <v>2660</v>
      </c>
      <c r="L6409" s="13">
        <v>3500</v>
      </c>
      <c r="M6409" t="s">
        <v>2661</v>
      </c>
    </row>
    <row r="6410" spans="1:13">
      <c r="A6410" t="s">
        <v>2500</v>
      </c>
      <c r="B6410" t="s">
        <v>148</v>
      </c>
      <c r="C6410" s="8">
        <v>45941</v>
      </c>
      <c r="D6410" t="s">
        <v>344</v>
      </c>
      <c r="E6410" t="s">
        <v>337</v>
      </c>
      <c r="F6410" s="12">
        <v>300279</v>
      </c>
      <c r="G6410" s="13">
        <v>30</v>
      </c>
      <c r="H6410" t="s">
        <v>3552</v>
      </c>
      <c r="I6410" s="8">
        <v>45939</v>
      </c>
      <c r="J6410" t="s">
        <v>2671</v>
      </c>
      <c r="K6410" t="s">
        <v>2672</v>
      </c>
      <c r="L6410" s="13">
        <v>3000</v>
      </c>
      <c r="M6410" t="s">
        <v>2661</v>
      </c>
    </row>
    <row r="6411" spans="1:13">
      <c r="A6411" t="s">
        <v>2502</v>
      </c>
      <c r="B6411" t="s">
        <v>284</v>
      </c>
      <c r="C6411" s="8">
        <v>46149</v>
      </c>
      <c r="D6411" t="s">
        <v>327</v>
      </c>
      <c r="E6411" t="s">
        <v>325</v>
      </c>
      <c r="F6411" s="12">
        <v>425149</v>
      </c>
      <c r="G6411" s="13">
        <v>42</v>
      </c>
      <c r="H6411" t="s">
        <v>2713</v>
      </c>
      <c r="I6411" s="8">
        <v>46275</v>
      </c>
      <c r="J6411" t="s">
        <v>2674</v>
      </c>
      <c r="K6411" t="s">
        <v>2675</v>
      </c>
      <c r="L6411" s="13">
        <v>20000</v>
      </c>
      <c r="M6411" t="s">
        <v>2661</v>
      </c>
    </row>
    <row r="6412" spans="1:13">
      <c r="A6412" t="s">
        <v>2502</v>
      </c>
      <c r="B6412" t="s">
        <v>284</v>
      </c>
      <c r="C6412" s="8">
        <v>46149</v>
      </c>
      <c r="D6412" t="s">
        <v>327</v>
      </c>
      <c r="E6412" t="s">
        <v>325</v>
      </c>
      <c r="F6412" s="12">
        <v>425149</v>
      </c>
      <c r="G6412" s="13">
        <v>42</v>
      </c>
      <c r="H6412" t="s">
        <v>2751</v>
      </c>
      <c r="I6412" s="8">
        <v>46170</v>
      </c>
      <c r="J6412" t="s">
        <v>2671</v>
      </c>
      <c r="K6412" t="s">
        <v>2672</v>
      </c>
      <c r="L6412" s="13">
        <v>3000</v>
      </c>
      <c r="M6412" t="s">
        <v>2661</v>
      </c>
    </row>
    <row r="6413" spans="1:13">
      <c r="A6413" t="s">
        <v>2502</v>
      </c>
      <c r="B6413" t="s">
        <v>284</v>
      </c>
      <c r="C6413" s="8">
        <v>46149</v>
      </c>
      <c r="D6413" t="s">
        <v>327</v>
      </c>
      <c r="E6413" t="s">
        <v>325</v>
      </c>
      <c r="F6413" s="12">
        <v>425149</v>
      </c>
      <c r="G6413" s="13">
        <v>42</v>
      </c>
      <c r="H6413" t="s">
        <v>3208</v>
      </c>
      <c r="I6413" s="8">
        <v>45949</v>
      </c>
      <c r="J6413" t="s">
        <v>2674</v>
      </c>
      <c r="K6413" t="s">
        <v>2675</v>
      </c>
      <c r="L6413" s="13">
        <v>20000</v>
      </c>
      <c r="M6413" t="s">
        <v>2661</v>
      </c>
    </row>
    <row r="6414" spans="1:13">
      <c r="A6414" t="s">
        <v>2502</v>
      </c>
      <c r="B6414" t="s">
        <v>284</v>
      </c>
      <c r="C6414" s="8">
        <v>46149</v>
      </c>
      <c r="D6414" t="s">
        <v>327</v>
      </c>
      <c r="E6414" t="s">
        <v>325</v>
      </c>
      <c r="F6414" s="12">
        <v>425149</v>
      </c>
      <c r="G6414" s="13">
        <v>42</v>
      </c>
      <c r="H6414" t="s">
        <v>3259</v>
      </c>
      <c r="I6414" s="8">
        <v>46227</v>
      </c>
      <c r="J6414" t="s">
        <v>2665</v>
      </c>
      <c r="K6414" t="s">
        <v>2666</v>
      </c>
      <c r="L6414" s="13">
        <v>2500</v>
      </c>
      <c r="M6414" t="s">
        <v>2661</v>
      </c>
    </row>
    <row r="6415" spans="1:13">
      <c r="A6415" t="s">
        <v>2502</v>
      </c>
      <c r="B6415" t="s">
        <v>284</v>
      </c>
      <c r="C6415" s="8">
        <v>46149</v>
      </c>
      <c r="D6415" t="s">
        <v>327</v>
      </c>
      <c r="E6415" t="s">
        <v>325</v>
      </c>
      <c r="F6415" s="12">
        <v>425149</v>
      </c>
      <c r="G6415" s="13">
        <v>42</v>
      </c>
      <c r="H6415" t="s">
        <v>3404</v>
      </c>
      <c r="I6415" s="8">
        <v>46114</v>
      </c>
      <c r="J6415" t="s">
        <v>2688</v>
      </c>
      <c r="K6415" t="s">
        <v>2689</v>
      </c>
      <c r="L6415" s="13">
        <v>8000</v>
      </c>
      <c r="M6415" t="s">
        <v>2661</v>
      </c>
    </row>
    <row r="6416" spans="1:13">
      <c r="A6416" t="s">
        <v>2503</v>
      </c>
      <c r="B6416" t="s">
        <v>311</v>
      </c>
      <c r="C6416" s="8">
        <v>45993</v>
      </c>
      <c r="D6416" t="s">
        <v>330</v>
      </c>
      <c r="E6416" t="s">
        <v>325</v>
      </c>
      <c r="F6416" s="12">
        <v>189673</v>
      </c>
      <c r="G6416" s="13">
        <v>18</v>
      </c>
      <c r="H6416" t="s">
        <v>2715</v>
      </c>
      <c r="I6416" s="8">
        <v>46035</v>
      </c>
      <c r="J6416" t="s">
        <v>2663</v>
      </c>
      <c r="K6416" t="s">
        <v>3630</v>
      </c>
      <c r="L6416" s="13">
        <v>1500</v>
      </c>
      <c r="M6416" t="s">
        <v>2661</v>
      </c>
    </row>
    <row r="6417" spans="1:13">
      <c r="A6417" t="s">
        <v>2504</v>
      </c>
      <c r="B6417" t="s">
        <v>51</v>
      </c>
      <c r="C6417" s="8">
        <v>46194</v>
      </c>
      <c r="D6417" t="s">
        <v>330</v>
      </c>
      <c r="E6417" t="s">
        <v>337</v>
      </c>
      <c r="F6417" s="12">
        <v>161562</v>
      </c>
      <c r="G6417" s="13">
        <v>16</v>
      </c>
      <c r="H6417" t="s">
        <v>2800</v>
      </c>
      <c r="I6417" s="8">
        <v>46266</v>
      </c>
      <c r="J6417" t="s">
        <v>2674</v>
      </c>
      <c r="K6417" t="s">
        <v>2675</v>
      </c>
      <c r="L6417" s="13">
        <v>20000</v>
      </c>
      <c r="M6417" t="s">
        <v>2676</v>
      </c>
    </row>
    <row r="6418" spans="1:13">
      <c r="A6418" t="s">
        <v>2504</v>
      </c>
      <c r="B6418" t="s">
        <v>51</v>
      </c>
      <c r="C6418" s="8">
        <v>46194</v>
      </c>
      <c r="D6418" t="s">
        <v>330</v>
      </c>
      <c r="E6418" t="s">
        <v>337</v>
      </c>
      <c r="F6418" s="12">
        <v>161562</v>
      </c>
      <c r="G6418" s="13">
        <v>16</v>
      </c>
      <c r="H6418" t="s">
        <v>3477</v>
      </c>
      <c r="I6418" s="8">
        <v>46036</v>
      </c>
      <c r="J6418" t="s">
        <v>2671</v>
      </c>
      <c r="K6418" t="s">
        <v>2672</v>
      </c>
      <c r="L6418" s="13">
        <v>3000</v>
      </c>
      <c r="M6418" t="s">
        <v>2661</v>
      </c>
    </row>
    <row r="6419" spans="1:13">
      <c r="A6419" t="s">
        <v>2505</v>
      </c>
      <c r="B6419" t="s">
        <v>152</v>
      </c>
      <c r="C6419" s="8">
        <v>46168</v>
      </c>
      <c r="D6419" t="s">
        <v>344</v>
      </c>
      <c r="E6419" t="s">
        <v>322</v>
      </c>
      <c r="F6419" s="12">
        <v>214975</v>
      </c>
      <c r="G6419" s="13">
        <v>21</v>
      </c>
      <c r="H6419" t="s">
        <v>3191</v>
      </c>
      <c r="I6419" s="8">
        <v>45972</v>
      </c>
      <c r="J6419" t="s">
        <v>2682</v>
      </c>
      <c r="K6419" t="s">
        <v>2683</v>
      </c>
      <c r="L6419" s="13">
        <v>6000</v>
      </c>
      <c r="M6419" t="s">
        <v>2661</v>
      </c>
    </row>
    <row r="6420" spans="1:13">
      <c r="A6420" t="s">
        <v>2505</v>
      </c>
      <c r="B6420" t="s">
        <v>152</v>
      </c>
      <c r="C6420" s="8">
        <v>46168</v>
      </c>
      <c r="D6420" t="s">
        <v>344</v>
      </c>
      <c r="E6420" t="s">
        <v>322</v>
      </c>
      <c r="F6420" s="12">
        <v>214975</v>
      </c>
      <c r="G6420" s="13">
        <v>21</v>
      </c>
      <c r="H6420" t="s">
        <v>3266</v>
      </c>
      <c r="I6420" s="8">
        <v>46251</v>
      </c>
      <c r="J6420" t="s">
        <v>2668</v>
      </c>
      <c r="K6420" t="s">
        <v>2669</v>
      </c>
      <c r="L6420" s="13">
        <v>4000</v>
      </c>
      <c r="M6420" t="s">
        <v>2661</v>
      </c>
    </row>
    <row r="6421" spans="1:13">
      <c r="A6421" t="s">
        <v>2506</v>
      </c>
      <c r="B6421" t="s">
        <v>230</v>
      </c>
      <c r="C6421" s="8">
        <v>46187</v>
      </c>
      <c r="D6421" t="s">
        <v>324</v>
      </c>
      <c r="E6421" t="s">
        <v>322</v>
      </c>
      <c r="F6421" s="12">
        <v>490422</v>
      </c>
      <c r="G6421" s="13">
        <v>49</v>
      </c>
      <c r="H6421" t="s">
        <v>2687</v>
      </c>
      <c r="I6421" s="8">
        <v>46064</v>
      </c>
      <c r="J6421" t="s">
        <v>2688</v>
      </c>
      <c r="K6421" t="s">
        <v>2689</v>
      </c>
      <c r="L6421" s="13">
        <v>8000</v>
      </c>
      <c r="M6421" t="s">
        <v>2661</v>
      </c>
    </row>
    <row r="6422" spans="1:13">
      <c r="A6422" t="s">
        <v>2506</v>
      </c>
      <c r="B6422" t="s">
        <v>230</v>
      </c>
      <c r="C6422" s="8">
        <v>46187</v>
      </c>
      <c r="D6422" t="s">
        <v>324</v>
      </c>
      <c r="E6422" t="s">
        <v>322</v>
      </c>
      <c r="F6422" s="12">
        <v>490422</v>
      </c>
      <c r="G6422" s="13">
        <v>49</v>
      </c>
      <c r="H6422" t="s">
        <v>2720</v>
      </c>
      <c r="I6422" s="8">
        <v>46041</v>
      </c>
      <c r="J6422" t="s">
        <v>2659</v>
      </c>
      <c r="K6422" t="s">
        <v>2660</v>
      </c>
      <c r="L6422" s="13">
        <v>3500</v>
      </c>
      <c r="M6422" t="s">
        <v>2661</v>
      </c>
    </row>
    <row r="6423" spans="1:13">
      <c r="A6423" t="s">
        <v>2506</v>
      </c>
      <c r="B6423" t="s">
        <v>230</v>
      </c>
      <c r="C6423" s="8">
        <v>46187</v>
      </c>
      <c r="D6423" t="s">
        <v>324</v>
      </c>
      <c r="E6423" t="s">
        <v>322</v>
      </c>
      <c r="F6423" s="12">
        <v>490422</v>
      </c>
      <c r="G6423" s="13">
        <v>49</v>
      </c>
      <c r="H6423" t="s">
        <v>2777</v>
      </c>
      <c r="I6423" s="8">
        <v>45988</v>
      </c>
      <c r="J6423" t="s">
        <v>2659</v>
      </c>
      <c r="K6423" t="s">
        <v>2660</v>
      </c>
      <c r="L6423" s="13">
        <v>3500</v>
      </c>
      <c r="M6423" t="s">
        <v>2661</v>
      </c>
    </row>
    <row r="6424" spans="1:13">
      <c r="A6424" t="s">
        <v>2506</v>
      </c>
      <c r="B6424" t="s">
        <v>230</v>
      </c>
      <c r="C6424" s="8">
        <v>46187</v>
      </c>
      <c r="D6424" t="s">
        <v>324</v>
      </c>
      <c r="E6424" t="s">
        <v>322</v>
      </c>
      <c r="F6424" s="12">
        <v>490422</v>
      </c>
      <c r="G6424" s="13">
        <v>49</v>
      </c>
      <c r="H6424" t="s">
        <v>2906</v>
      </c>
      <c r="I6424" s="8">
        <v>46201</v>
      </c>
      <c r="J6424" t="s">
        <v>2685</v>
      </c>
      <c r="K6424" t="s">
        <v>2686</v>
      </c>
      <c r="L6424" s="13">
        <v>5000</v>
      </c>
      <c r="M6424" t="s">
        <v>2661</v>
      </c>
    </row>
    <row r="6425" spans="1:13">
      <c r="A6425" t="s">
        <v>2506</v>
      </c>
      <c r="B6425" t="s">
        <v>230</v>
      </c>
      <c r="C6425" s="8">
        <v>46187</v>
      </c>
      <c r="D6425" t="s">
        <v>324</v>
      </c>
      <c r="E6425" t="s">
        <v>322</v>
      </c>
      <c r="F6425" s="12">
        <v>490422</v>
      </c>
      <c r="G6425" s="13">
        <v>49</v>
      </c>
      <c r="H6425" t="s">
        <v>3117</v>
      </c>
      <c r="I6425" s="8">
        <v>46062</v>
      </c>
      <c r="J6425" t="s">
        <v>2668</v>
      </c>
      <c r="K6425" t="s">
        <v>2669</v>
      </c>
      <c r="L6425" s="13">
        <v>4000</v>
      </c>
      <c r="M6425" t="s">
        <v>2661</v>
      </c>
    </row>
    <row r="6426" spans="1:13">
      <c r="A6426" t="s">
        <v>2507</v>
      </c>
      <c r="B6426" t="s">
        <v>211</v>
      </c>
      <c r="C6426" s="8">
        <v>45976</v>
      </c>
      <c r="D6426" t="s">
        <v>330</v>
      </c>
      <c r="E6426" t="s">
        <v>328</v>
      </c>
      <c r="F6426" s="12">
        <v>170107</v>
      </c>
      <c r="G6426" s="13">
        <v>17</v>
      </c>
      <c r="H6426" t="s">
        <v>2724</v>
      </c>
      <c r="I6426" s="8">
        <v>45945</v>
      </c>
      <c r="J6426" t="s">
        <v>2665</v>
      </c>
      <c r="K6426" t="s">
        <v>2666</v>
      </c>
      <c r="L6426" s="13">
        <v>2500</v>
      </c>
      <c r="M6426" t="s">
        <v>2661</v>
      </c>
    </row>
    <row r="6427" spans="1:13">
      <c r="A6427" t="s">
        <v>2508</v>
      </c>
      <c r="B6427" t="s">
        <v>90</v>
      </c>
      <c r="C6427" s="8">
        <v>46007</v>
      </c>
      <c r="D6427" t="s">
        <v>330</v>
      </c>
      <c r="E6427" t="s">
        <v>328</v>
      </c>
      <c r="F6427" s="12">
        <v>142348</v>
      </c>
      <c r="G6427" s="13">
        <v>14</v>
      </c>
      <c r="H6427" t="s">
        <v>3041</v>
      </c>
      <c r="I6427" s="8">
        <v>46040</v>
      </c>
      <c r="J6427" t="s">
        <v>2685</v>
      </c>
      <c r="K6427" t="s">
        <v>2686</v>
      </c>
      <c r="L6427" s="13">
        <v>5000</v>
      </c>
      <c r="M6427" t="s">
        <v>2661</v>
      </c>
    </row>
    <row r="6428" spans="1:13">
      <c r="A6428" t="s">
        <v>2509</v>
      </c>
      <c r="B6428" t="s">
        <v>135</v>
      </c>
      <c r="C6428" s="8">
        <v>46250</v>
      </c>
      <c r="D6428" t="s">
        <v>332</v>
      </c>
      <c r="E6428" t="s">
        <v>322</v>
      </c>
      <c r="F6428" s="12">
        <v>39850</v>
      </c>
      <c r="G6428" s="13">
        <v>3</v>
      </c>
      <c r="H6428" t="s">
        <v>2922</v>
      </c>
      <c r="I6428" s="8">
        <v>45998</v>
      </c>
      <c r="J6428" t="s">
        <v>2682</v>
      </c>
      <c r="K6428" t="s">
        <v>2683</v>
      </c>
      <c r="L6428" s="13">
        <v>6000</v>
      </c>
      <c r="M6428" t="s">
        <v>2661</v>
      </c>
    </row>
    <row r="6429" spans="1:13">
      <c r="A6429" t="s">
        <v>2509</v>
      </c>
      <c r="B6429" t="s">
        <v>135</v>
      </c>
      <c r="C6429" s="8">
        <v>46250</v>
      </c>
      <c r="D6429" t="s">
        <v>332</v>
      </c>
      <c r="E6429" t="s">
        <v>322</v>
      </c>
      <c r="F6429" s="12">
        <v>39850</v>
      </c>
      <c r="G6429" s="13">
        <v>3</v>
      </c>
      <c r="H6429" t="s">
        <v>3053</v>
      </c>
      <c r="I6429" s="8">
        <v>46165</v>
      </c>
      <c r="J6429" t="s">
        <v>2692</v>
      </c>
      <c r="K6429" t="s">
        <v>2693</v>
      </c>
      <c r="L6429" s="13">
        <v>10000</v>
      </c>
      <c r="M6429" t="s">
        <v>2661</v>
      </c>
    </row>
    <row r="6430" spans="1:13">
      <c r="A6430" t="s">
        <v>2509</v>
      </c>
      <c r="B6430" t="s">
        <v>135</v>
      </c>
      <c r="C6430" s="8">
        <v>46250</v>
      </c>
      <c r="D6430" t="s">
        <v>332</v>
      </c>
      <c r="E6430" t="s">
        <v>322</v>
      </c>
      <c r="F6430" s="12">
        <v>39850</v>
      </c>
      <c r="G6430" s="13">
        <v>3</v>
      </c>
      <c r="H6430" t="s">
        <v>3118</v>
      </c>
      <c r="I6430" s="8">
        <v>45989</v>
      </c>
      <c r="J6430" t="s">
        <v>2692</v>
      </c>
      <c r="K6430" t="s">
        <v>2693</v>
      </c>
      <c r="L6430" s="13">
        <v>10000</v>
      </c>
      <c r="M6430" t="s">
        <v>2661</v>
      </c>
    </row>
    <row r="6431" spans="1:13">
      <c r="A6431" t="s">
        <v>2509</v>
      </c>
      <c r="B6431" t="s">
        <v>135</v>
      </c>
      <c r="C6431" s="8">
        <v>46250</v>
      </c>
      <c r="D6431" t="s">
        <v>332</v>
      </c>
      <c r="E6431" t="s">
        <v>322</v>
      </c>
      <c r="F6431" s="12">
        <v>39850</v>
      </c>
      <c r="G6431" s="13">
        <v>3</v>
      </c>
      <c r="H6431" t="s">
        <v>3262</v>
      </c>
      <c r="I6431" s="8">
        <v>46091</v>
      </c>
      <c r="J6431" t="s">
        <v>2682</v>
      </c>
      <c r="K6431" t="s">
        <v>2683</v>
      </c>
      <c r="L6431" s="13">
        <v>6000</v>
      </c>
      <c r="M6431" t="s">
        <v>2661</v>
      </c>
    </row>
    <row r="6432" spans="1:13">
      <c r="A6432" t="s">
        <v>2510</v>
      </c>
      <c r="B6432" t="s">
        <v>220</v>
      </c>
      <c r="C6432" s="8">
        <v>46188</v>
      </c>
      <c r="D6432" t="s">
        <v>330</v>
      </c>
      <c r="E6432" t="s">
        <v>328</v>
      </c>
      <c r="F6432" s="12">
        <v>30548</v>
      </c>
      <c r="G6432" s="13">
        <v>3</v>
      </c>
      <c r="H6432" t="s">
        <v>2705</v>
      </c>
      <c r="I6432" s="8">
        <v>45956</v>
      </c>
      <c r="J6432" t="s">
        <v>2663</v>
      </c>
      <c r="K6432" t="s">
        <v>3630</v>
      </c>
      <c r="L6432" s="13">
        <v>1500</v>
      </c>
      <c r="M6432" t="s">
        <v>2661</v>
      </c>
    </row>
    <row r="6433" spans="1:13">
      <c r="A6433" t="s">
        <v>2510</v>
      </c>
      <c r="B6433" t="s">
        <v>220</v>
      </c>
      <c r="C6433" s="8">
        <v>46188</v>
      </c>
      <c r="D6433" t="s">
        <v>330</v>
      </c>
      <c r="E6433" t="s">
        <v>328</v>
      </c>
      <c r="F6433" s="12">
        <v>30548</v>
      </c>
      <c r="G6433" s="13">
        <v>3</v>
      </c>
      <c r="H6433" t="s">
        <v>2936</v>
      </c>
      <c r="I6433" s="8">
        <v>45940</v>
      </c>
      <c r="J6433" t="s">
        <v>2665</v>
      </c>
      <c r="K6433" t="s">
        <v>2666</v>
      </c>
      <c r="L6433" s="13">
        <v>2500</v>
      </c>
      <c r="M6433" t="s">
        <v>2661</v>
      </c>
    </row>
    <row r="6434" spans="1:13">
      <c r="A6434" t="s">
        <v>2510</v>
      </c>
      <c r="B6434" t="s">
        <v>220</v>
      </c>
      <c r="C6434" s="8">
        <v>46188</v>
      </c>
      <c r="D6434" t="s">
        <v>330</v>
      </c>
      <c r="E6434" t="s">
        <v>328</v>
      </c>
      <c r="F6434" s="12">
        <v>30548</v>
      </c>
      <c r="G6434" s="13">
        <v>3</v>
      </c>
      <c r="H6434" t="s">
        <v>3157</v>
      </c>
      <c r="I6434" s="8">
        <v>45952</v>
      </c>
      <c r="J6434" t="s">
        <v>2659</v>
      </c>
      <c r="K6434" t="s">
        <v>2660</v>
      </c>
      <c r="L6434" s="13">
        <v>3500</v>
      </c>
      <c r="M6434" t="s">
        <v>2661</v>
      </c>
    </row>
    <row r="6435" spans="1:13">
      <c r="A6435" t="s">
        <v>2510</v>
      </c>
      <c r="B6435" t="s">
        <v>220</v>
      </c>
      <c r="C6435" s="8">
        <v>46188</v>
      </c>
      <c r="D6435" t="s">
        <v>330</v>
      </c>
      <c r="E6435" t="s">
        <v>328</v>
      </c>
      <c r="F6435" s="12">
        <v>30548</v>
      </c>
      <c r="G6435" s="13">
        <v>3</v>
      </c>
      <c r="H6435" t="s">
        <v>3514</v>
      </c>
      <c r="I6435" s="8">
        <v>46060</v>
      </c>
      <c r="J6435" t="s">
        <v>2671</v>
      </c>
      <c r="K6435" t="s">
        <v>2672</v>
      </c>
      <c r="L6435" s="13">
        <v>3000</v>
      </c>
      <c r="M6435" t="s">
        <v>2661</v>
      </c>
    </row>
    <row r="6436" spans="1:13">
      <c r="A6436" t="s">
        <v>2511</v>
      </c>
      <c r="B6436" t="s">
        <v>124</v>
      </c>
      <c r="C6436" s="8">
        <v>46112</v>
      </c>
      <c r="D6436" t="s">
        <v>330</v>
      </c>
      <c r="E6436" t="s">
        <v>328</v>
      </c>
      <c r="F6436" s="12">
        <v>299059</v>
      </c>
      <c r="G6436" s="13">
        <v>29</v>
      </c>
      <c r="H6436" t="s">
        <v>2785</v>
      </c>
      <c r="I6436" s="8">
        <v>45933</v>
      </c>
      <c r="J6436" t="s">
        <v>2659</v>
      </c>
      <c r="K6436" t="s">
        <v>2660</v>
      </c>
      <c r="L6436" s="13">
        <v>3500</v>
      </c>
      <c r="M6436" t="s">
        <v>2676</v>
      </c>
    </row>
    <row r="6437" spans="1:13">
      <c r="A6437" t="s">
        <v>2511</v>
      </c>
      <c r="B6437" t="s">
        <v>124</v>
      </c>
      <c r="C6437" s="8">
        <v>46112</v>
      </c>
      <c r="D6437" t="s">
        <v>330</v>
      </c>
      <c r="E6437" t="s">
        <v>328</v>
      </c>
      <c r="F6437" s="12">
        <v>299059</v>
      </c>
      <c r="G6437" s="13">
        <v>29</v>
      </c>
      <c r="H6437" t="s">
        <v>3072</v>
      </c>
      <c r="I6437" s="8">
        <v>46087</v>
      </c>
      <c r="J6437" t="s">
        <v>2685</v>
      </c>
      <c r="K6437" t="s">
        <v>2686</v>
      </c>
      <c r="L6437" s="13">
        <v>5000</v>
      </c>
      <c r="M6437" t="s">
        <v>2661</v>
      </c>
    </row>
    <row r="6438" spans="1:13">
      <c r="A6438" t="s">
        <v>2511</v>
      </c>
      <c r="B6438" t="s">
        <v>124</v>
      </c>
      <c r="C6438" s="8">
        <v>46112</v>
      </c>
      <c r="D6438" t="s">
        <v>330</v>
      </c>
      <c r="E6438" t="s">
        <v>328</v>
      </c>
      <c r="F6438" s="12">
        <v>299059</v>
      </c>
      <c r="G6438" s="13">
        <v>29</v>
      </c>
      <c r="H6438" t="s">
        <v>3557</v>
      </c>
      <c r="I6438" s="8">
        <v>46271</v>
      </c>
      <c r="J6438" t="s">
        <v>2665</v>
      </c>
      <c r="K6438" t="s">
        <v>2666</v>
      </c>
      <c r="L6438" s="13">
        <v>2500</v>
      </c>
      <c r="M6438" t="s">
        <v>2661</v>
      </c>
    </row>
    <row r="6439" spans="1:13">
      <c r="A6439" t="s">
        <v>2512</v>
      </c>
      <c r="B6439" t="s">
        <v>16</v>
      </c>
      <c r="C6439" s="8">
        <v>46202</v>
      </c>
      <c r="D6439" t="s">
        <v>324</v>
      </c>
      <c r="E6439" t="s">
        <v>328</v>
      </c>
      <c r="F6439" s="12">
        <v>61359</v>
      </c>
      <c r="G6439" s="13">
        <v>6</v>
      </c>
      <c r="H6439" t="s">
        <v>2886</v>
      </c>
      <c r="I6439" s="8">
        <v>46006</v>
      </c>
      <c r="J6439" t="s">
        <v>2659</v>
      </c>
      <c r="K6439" t="s">
        <v>2660</v>
      </c>
      <c r="L6439" s="13">
        <v>3500</v>
      </c>
      <c r="M6439" t="s">
        <v>2661</v>
      </c>
    </row>
    <row r="6440" spans="1:13">
      <c r="A6440" t="s">
        <v>2512</v>
      </c>
      <c r="B6440" t="s">
        <v>16</v>
      </c>
      <c r="C6440" s="8">
        <v>46202</v>
      </c>
      <c r="D6440" t="s">
        <v>324</v>
      </c>
      <c r="E6440" t="s">
        <v>328</v>
      </c>
      <c r="F6440" s="12">
        <v>61359</v>
      </c>
      <c r="G6440" s="13">
        <v>6</v>
      </c>
      <c r="H6440" t="s">
        <v>3402</v>
      </c>
      <c r="I6440" s="8">
        <v>46050</v>
      </c>
      <c r="J6440" t="s">
        <v>2668</v>
      </c>
      <c r="K6440" t="s">
        <v>2669</v>
      </c>
      <c r="L6440" s="13">
        <v>4000</v>
      </c>
      <c r="M6440" t="s">
        <v>2661</v>
      </c>
    </row>
    <row r="6441" spans="1:13">
      <c r="A6441" t="s">
        <v>2513</v>
      </c>
      <c r="B6441" t="s">
        <v>69</v>
      </c>
      <c r="C6441" s="8">
        <v>46050</v>
      </c>
      <c r="D6441" t="s">
        <v>344</v>
      </c>
      <c r="E6441" t="s">
        <v>322</v>
      </c>
      <c r="F6441" s="12">
        <v>786056</v>
      </c>
      <c r="G6441" s="13">
        <v>78</v>
      </c>
      <c r="H6441" t="s">
        <v>2723</v>
      </c>
      <c r="I6441" s="8">
        <v>46140</v>
      </c>
      <c r="J6441" t="s">
        <v>2688</v>
      </c>
      <c r="K6441" t="s">
        <v>2689</v>
      </c>
      <c r="L6441" s="13">
        <v>8000</v>
      </c>
      <c r="M6441" t="s">
        <v>2661</v>
      </c>
    </row>
    <row r="6442" spans="1:13">
      <c r="A6442" t="s">
        <v>2513</v>
      </c>
      <c r="B6442" t="s">
        <v>69</v>
      </c>
      <c r="C6442" s="8">
        <v>46050</v>
      </c>
      <c r="D6442" t="s">
        <v>344</v>
      </c>
      <c r="E6442" t="s">
        <v>322</v>
      </c>
      <c r="F6442" s="12">
        <v>786056</v>
      </c>
      <c r="G6442" s="13">
        <v>78</v>
      </c>
      <c r="H6442" t="s">
        <v>2822</v>
      </c>
      <c r="I6442" s="8">
        <v>46159</v>
      </c>
      <c r="J6442" t="s">
        <v>2668</v>
      </c>
      <c r="K6442" t="s">
        <v>2669</v>
      </c>
      <c r="L6442" s="13">
        <v>4000</v>
      </c>
      <c r="M6442" t="s">
        <v>2661</v>
      </c>
    </row>
    <row r="6443" spans="1:13">
      <c r="A6443" t="s">
        <v>2513</v>
      </c>
      <c r="B6443" t="s">
        <v>69</v>
      </c>
      <c r="C6443" s="8">
        <v>46050</v>
      </c>
      <c r="D6443" t="s">
        <v>344</v>
      </c>
      <c r="E6443" t="s">
        <v>322</v>
      </c>
      <c r="F6443" s="12">
        <v>786056</v>
      </c>
      <c r="G6443" s="13">
        <v>78</v>
      </c>
      <c r="H6443" t="s">
        <v>3513</v>
      </c>
      <c r="I6443" s="8">
        <v>46161</v>
      </c>
      <c r="J6443" t="s">
        <v>2692</v>
      </c>
      <c r="K6443" t="s">
        <v>2693</v>
      </c>
      <c r="L6443" s="13">
        <v>10000</v>
      </c>
      <c r="M6443" t="s">
        <v>2661</v>
      </c>
    </row>
    <row r="6444" spans="1:13">
      <c r="A6444" t="s">
        <v>2514</v>
      </c>
      <c r="B6444" t="s">
        <v>128</v>
      </c>
      <c r="C6444" s="8">
        <v>46286</v>
      </c>
      <c r="D6444" t="s">
        <v>327</v>
      </c>
      <c r="E6444" t="s">
        <v>328</v>
      </c>
      <c r="F6444" s="12">
        <v>284102</v>
      </c>
      <c r="G6444" s="13">
        <v>28</v>
      </c>
      <c r="H6444" t="s">
        <v>2897</v>
      </c>
      <c r="I6444" s="8">
        <v>46253</v>
      </c>
      <c r="J6444" t="s">
        <v>2682</v>
      </c>
      <c r="K6444" t="s">
        <v>2683</v>
      </c>
      <c r="L6444" s="13">
        <v>6000</v>
      </c>
      <c r="M6444" t="s">
        <v>2661</v>
      </c>
    </row>
    <row r="6445" spans="1:13">
      <c r="A6445" t="s">
        <v>2514</v>
      </c>
      <c r="B6445" t="s">
        <v>128</v>
      </c>
      <c r="C6445" s="8">
        <v>46286</v>
      </c>
      <c r="D6445" t="s">
        <v>327</v>
      </c>
      <c r="E6445" t="s">
        <v>328</v>
      </c>
      <c r="F6445" s="12">
        <v>284102</v>
      </c>
      <c r="G6445" s="13">
        <v>28</v>
      </c>
      <c r="H6445" t="s">
        <v>2966</v>
      </c>
      <c r="I6445" s="8">
        <v>45993</v>
      </c>
      <c r="J6445" t="s">
        <v>2663</v>
      </c>
      <c r="K6445" t="s">
        <v>3630</v>
      </c>
      <c r="L6445" s="13">
        <v>1500</v>
      </c>
      <c r="M6445" t="s">
        <v>2661</v>
      </c>
    </row>
    <row r="6446" spans="1:13">
      <c r="A6446" t="s">
        <v>2514</v>
      </c>
      <c r="B6446" t="s">
        <v>128</v>
      </c>
      <c r="C6446" s="8">
        <v>46286</v>
      </c>
      <c r="D6446" t="s">
        <v>327</v>
      </c>
      <c r="E6446" t="s">
        <v>328</v>
      </c>
      <c r="F6446" s="12">
        <v>284102</v>
      </c>
      <c r="G6446" s="13">
        <v>28</v>
      </c>
      <c r="H6446" t="s">
        <v>3407</v>
      </c>
      <c r="I6446" s="8">
        <v>46260</v>
      </c>
      <c r="J6446" t="s">
        <v>2668</v>
      </c>
      <c r="K6446" t="s">
        <v>2669</v>
      </c>
      <c r="L6446" s="13">
        <v>4000</v>
      </c>
      <c r="M6446" t="s">
        <v>2661</v>
      </c>
    </row>
    <row r="6447" spans="1:13">
      <c r="A6447" t="s">
        <v>2515</v>
      </c>
      <c r="B6447" t="s">
        <v>77</v>
      </c>
      <c r="C6447" s="8">
        <v>46279</v>
      </c>
      <c r="D6447" t="s">
        <v>342</v>
      </c>
      <c r="E6447" t="s">
        <v>339</v>
      </c>
      <c r="F6447" s="12">
        <v>273971</v>
      </c>
      <c r="G6447" s="13">
        <v>27</v>
      </c>
      <c r="H6447" t="s">
        <v>2808</v>
      </c>
      <c r="I6447" s="8">
        <v>45978</v>
      </c>
      <c r="J6447" t="s">
        <v>2688</v>
      </c>
      <c r="K6447" t="s">
        <v>2689</v>
      </c>
      <c r="L6447" s="13">
        <v>8000</v>
      </c>
      <c r="M6447" t="s">
        <v>2661</v>
      </c>
    </row>
    <row r="6448" spans="1:13">
      <c r="A6448" t="s">
        <v>2515</v>
      </c>
      <c r="B6448" t="s">
        <v>77</v>
      </c>
      <c r="C6448" s="8">
        <v>46279</v>
      </c>
      <c r="D6448" t="s">
        <v>342</v>
      </c>
      <c r="E6448" t="s">
        <v>339</v>
      </c>
      <c r="F6448" s="12">
        <v>273971</v>
      </c>
      <c r="G6448" s="13">
        <v>27</v>
      </c>
      <c r="H6448" t="s">
        <v>3166</v>
      </c>
      <c r="I6448" s="8">
        <v>46075</v>
      </c>
      <c r="J6448" t="s">
        <v>2668</v>
      </c>
      <c r="K6448" t="s">
        <v>2669</v>
      </c>
      <c r="L6448" s="13">
        <v>4000</v>
      </c>
      <c r="M6448" t="s">
        <v>2661</v>
      </c>
    </row>
    <row r="6449" spans="1:13">
      <c r="A6449" t="s">
        <v>2515</v>
      </c>
      <c r="B6449" t="s">
        <v>77</v>
      </c>
      <c r="C6449" s="8">
        <v>46279</v>
      </c>
      <c r="D6449" t="s">
        <v>342</v>
      </c>
      <c r="E6449" t="s">
        <v>339</v>
      </c>
      <c r="F6449" s="12">
        <v>273971</v>
      </c>
      <c r="G6449" s="13">
        <v>27</v>
      </c>
      <c r="H6449" t="s">
        <v>3326</v>
      </c>
      <c r="I6449" s="8">
        <v>46123</v>
      </c>
      <c r="J6449" t="s">
        <v>2688</v>
      </c>
      <c r="K6449" t="s">
        <v>2689</v>
      </c>
      <c r="L6449" s="13">
        <v>8000</v>
      </c>
      <c r="M6449" t="s">
        <v>2661</v>
      </c>
    </row>
    <row r="6450" spans="1:13">
      <c r="A6450" t="s">
        <v>2516</v>
      </c>
      <c r="B6450" t="s">
        <v>179</v>
      </c>
      <c r="C6450" s="8">
        <v>46002</v>
      </c>
      <c r="D6450" t="s">
        <v>321</v>
      </c>
      <c r="E6450" t="s">
        <v>328</v>
      </c>
      <c r="F6450" s="12">
        <v>371657</v>
      </c>
      <c r="G6450" s="13">
        <v>37</v>
      </c>
      <c r="H6450" t="s">
        <v>2677</v>
      </c>
      <c r="I6450" s="8">
        <v>45973</v>
      </c>
      <c r="J6450" t="s">
        <v>2663</v>
      </c>
      <c r="K6450" t="s">
        <v>3630</v>
      </c>
      <c r="L6450" s="13">
        <v>1500</v>
      </c>
      <c r="M6450" t="s">
        <v>2661</v>
      </c>
    </row>
    <row r="6451" spans="1:13">
      <c r="A6451" t="s">
        <v>2516</v>
      </c>
      <c r="B6451" t="s">
        <v>179</v>
      </c>
      <c r="C6451" s="8">
        <v>46002</v>
      </c>
      <c r="D6451" t="s">
        <v>321</v>
      </c>
      <c r="E6451" t="s">
        <v>328</v>
      </c>
      <c r="F6451" s="12">
        <v>371657</v>
      </c>
      <c r="G6451" s="13">
        <v>37</v>
      </c>
      <c r="H6451" t="s">
        <v>2695</v>
      </c>
      <c r="I6451" s="8">
        <v>46143</v>
      </c>
      <c r="J6451" t="s">
        <v>2671</v>
      </c>
      <c r="K6451" t="s">
        <v>2672</v>
      </c>
      <c r="L6451" s="13">
        <v>3000</v>
      </c>
      <c r="M6451" t="s">
        <v>2661</v>
      </c>
    </row>
    <row r="6452" spans="1:13">
      <c r="A6452" t="s">
        <v>2517</v>
      </c>
      <c r="B6452" t="s">
        <v>102</v>
      </c>
      <c r="C6452" s="8">
        <v>46292</v>
      </c>
      <c r="D6452" t="s">
        <v>324</v>
      </c>
      <c r="E6452" t="s">
        <v>339</v>
      </c>
      <c r="F6452" s="12">
        <v>192574</v>
      </c>
      <c r="G6452" s="13">
        <v>19</v>
      </c>
      <c r="H6452" t="s">
        <v>2797</v>
      </c>
      <c r="I6452" s="8">
        <v>46163</v>
      </c>
      <c r="J6452" t="s">
        <v>2665</v>
      </c>
      <c r="K6452" t="s">
        <v>2666</v>
      </c>
      <c r="L6452" s="13">
        <v>2500</v>
      </c>
      <c r="M6452" t="s">
        <v>2661</v>
      </c>
    </row>
    <row r="6453" spans="1:13">
      <c r="A6453" t="s">
        <v>2517</v>
      </c>
      <c r="B6453" t="s">
        <v>102</v>
      </c>
      <c r="C6453" s="8">
        <v>46292</v>
      </c>
      <c r="D6453" t="s">
        <v>324</v>
      </c>
      <c r="E6453" t="s">
        <v>339</v>
      </c>
      <c r="F6453" s="12">
        <v>192574</v>
      </c>
      <c r="G6453" s="13">
        <v>19</v>
      </c>
      <c r="H6453" t="s">
        <v>3355</v>
      </c>
      <c r="I6453" s="8">
        <v>46029</v>
      </c>
      <c r="J6453" t="s">
        <v>2659</v>
      </c>
      <c r="K6453" t="s">
        <v>2660</v>
      </c>
      <c r="L6453" s="13">
        <v>3500</v>
      </c>
      <c r="M6453" t="s">
        <v>2676</v>
      </c>
    </row>
    <row r="6454" spans="1:13">
      <c r="A6454" t="s">
        <v>2517</v>
      </c>
      <c r="B6454" t="s">
        <v>102</v>
      </c>
      <c r="C6454" s="8">
        <v>46292</v>
      </c>
      <c r="D6454" t="s">
        <v>324</v>
      </c>
      <c r="E6454" t="s">
        <v>339</v>
      </c>
      <c r="F6454" s="12">
        <v>192574</v>
      </c>
      <c r="G6454" s="13">
        <v>19</v>
      </c>
      <c r="H6454" t="s">
        <v>3360</v>
      </c>
      <c r="I6454" s="8">
        <v>46231</v>
      </c>
      <c r="J6454" t="s">
        <v>2674</v>
      </c>
      <c r="K6454" t="s">
        <v>2675</v>
      </c>
      <c r="L6454" s="13">
        <v>20000</v>
      </c>
      <c r="M6454" t="s">
        <v>2661</v>
      </c>
    </row>
    <row r="6455" spans="1:13">
      <c r="A6455" t="s">
        <v>2517</v>
      </c>
      <c r="B6455" t="s">
        <v>102</v>
      </c>
      <c r="C6455" s="8">
        <v>46292</v>
      </c>
      <c r="D6455" t="s">
        <v>324</v>
      </c>
      <c r="E6455" t="s">
        <v>339</v>
      </c>
      <c r="F6455" s="12">
        <v>192574</v>
      </c>
      <c r="G6455" s="13">
        <v>19</v>
      </c>
      <c r="H6455" t="s">
        <v>3439</v>
      </c>
      <c r="I6455" s="8">
        <v>46268</v>
      </c>
      <c r="J6455" t="s">
        <v>2663</v>
      </c>
      <c r="K6455" t="s">
        <v>3630</v>
      </c>
      <c r="L6455" s="13">
        <v>1500</v>
      </c>
      <c r="M6455" t="s">
        <v>2661</v>
      </c>
    </row>
    <row r="6456" spans="1:13">
      <c r="A6456" t="s">
        <v>2517</v>
      </c>
      <c r="B6456" t="s">
        <v>102</v>
      </c>
      <c r="C6456" s="8">
        <v>46292</v>
      </c>
      <c r="D6456" t="s">
        <v>324</v>
      </c>
      <c r="E6456" t="s">
        <v>339</v>
      </c>
      <c r="F6456" s="12">
        <v>192574</v>
      </c>
      <c r="G6456" s="13">
        <v>19</v>
      </c>
      <c r="H6456" t="s">
        <v>3565</v>
      </c>
      <c r="I6456" s="8">
        <v>46150</v>
      </c>
      <c r="J6456" t="s">
        <v>2674</v>
      </c>
      <c r="K6456" t="s">
        <v>2675</v>
      </c>
      <c r="L6456" s="13">
        <v>20000</v>
      </c>
      <c r="M6456" t="s">
        <v>2661</v>
      </c>
    </row>
    <row r="6457" spans="1:13">
      <c r="A6457" t="s">
        <v>2518</v>
      </c>
      <c r="B6457" t="s">
        <v>259</v>
      </c>
      <c r="C6457" s="8">
        <v>46174</v>
      </c>
      <c r="D6457" t="s">
        <v>324</v>
      </c>
      <c r="E6457" t="s">
        <v>325</v>
      </c>
      <c r="F6457" s="12">
        <v>434312</v>
      </c>
      <c r="G6457" s="13">
        <v>43</v>
      </c>
      <c r="H6457" t="s">
        <v>2802</v>
      </c>
      <c r="I6457" s="8">
        <v>46222</v>
      </c>
      <c r="J6457" t="s">
        <v>2668</v>
      </c>
      <c r="K6457" t="s">
        <v>2669</v>
      </c>
      <c r="L6457" s="13">
        <v>4000</v>
      </c>
      <c r="M6457" t="s">
        <v>2661</v>
      </c>
    </row>
    <row r="6458" spans="1:13">
      <c r="A6458" t="s">
        <v>2518</v>
      </c>
      <c r="B6458" t="s">
        <v>259</v>
      </c>
      <c r="C6458" s="8">
        <v>46174</v>
      </c>
      <c r="D6458" t="s">
        <v>324</v>
      </c>
      <c r="E6458" t="s">
        <v>325</v>
      </c>
      <c r="F6458" s="12">
        <v>434312</v>
      </c>
      <c r="G6458" s="13">
        <v>43</v>
      </c>
      <c r="H6458" t="s">
        <v>2933</v>
      </c>
      <c r="I6458" s="8">
        <v>46183</v>
      </c>
      <c r="J6458" t="s">
        <v>2674</v>
      </c>
      <c r="K6458" t="s">
        <v>2675</v>
      </c>
      <c r="L6458" s="13">
        <v>20000</v>
      </c>
      <c r="M6458" t="s">
        <v>2661</v>
      </c>
    </row>
    <row r="6459" spans="1:13">
      <c r="A6459" t="s">
        <v>2518</v>
      </c>
      <c r="B6459" t="s">
        <v>259</v>
      </c>
      <c r="C6459" s="8">
        <v>46174</v>
      </c>
      <c r="D6459" t="s">
        <v>324</v>
      </c>
      <c r="E6459" t="s">
        <v>325</v>
      </c>
      <c r="F6459" s="12">
        <v>434312</v>
      </c>
      <c r="G6459" s="13">
        <v>43</v>
      </c>
      <c r="H6459" t="s">
        <v>2969</v>
      </c>
      <c r="I6459" s="8">
        <v>46173</v>
      </c>
      <c r="J6459" t="s">
        <v>2668</v>
      </c>
      <c r="K6459" t="s">
        <v>2669</v>
      </c>
      <c r="L6459" s="13">
        <v>4000</v>
      </c>
      <c r="M6459" t="s">
        <v>2661</v>
      </c>
    </row>
    <row r="6460" spans="1:13">
      <c r="A6460" t="s">
        <v>2518</v>
      </c>
      <c r="B6460" t="s">
        <v>259</v>
      </c>
      <c r="C6460" s="8">
        <v>46174</v>
      </c>
      <c r="D6460" t="s">
        <v>324</v>
      </c>
      <c r="E6460" t="s">
        <v>325</v>
      </c>
      <c r="F6460" s="12">
        <v>434312</v>
      </c>
      <c r="G6460" s="13">
        <v>43</v>
      </c>
      <c r="H6460" t="s">
        <v>3300</v>
      </c>
      <c r="I6460" s="8">
        <v>46089</v>
      </c>
      <c r="J6460" t="s">
        <v>2688</v>
      </c>
      <c r="K6460" t="s">
        <v>2689</v>
      </c>
      <c r="L6460" s="13">
        <v>8000</v>
      </c>
      <c r="M6460" t="s">
        <v>2676</v>
      </c>
    </row>
    <row r="6461" spans="1:13">
      <c r="A6461" t="s">
        <v>2519</v>
      </c>
      <c r="B6461" t="s">
        <v>224</v>
      </c>
      <c r="C6461" s="8">
        <v>46264</v>
      </c>
      <c r="D6461" t="s">
        <v>330</v>
      </c>
      <c r="E6461" t="s">
        <v>339</v>
      </c>
      <c r="F6461" s="12">
        <v>73889</v>
      </c>
      <c r="G6461" s="13">
        <v>7</v>
      </c>
      <c r="H6461" t="s">
        <v>2735</v>
      </c>
      <c r="I6461" s="8">
        <v>45968</v>
      </c>
      <c r="J6461" t="s">
        <v>2682</v>
      </c>
      <c r="K6461" t="s">
        <v>2683</v>
      </c>
      <c r="L6461" s="13">
        <v>6000</v>
      </c>
      <c r="M6461" t="s">
        <v>2661</v>
      </c>
    </row>
    <row r="6462" spans="1:13">
      <c r="A6462" t="s">
        <v>2519</v>
      </c>
      <c r="B6462" t="s">
        <v>224</v>
      </c>
      <c r="C6462" s="8">
        <v>46264</v>
      </c>
      <c r="D6462" t="s">
        <v>330</v>
      </c>
      <c r="E6462" t="s">
        <v>339</v>
      </c>
      <c r="F6462" s="12">
        <v>73889</v>
      </c>
      <c r="G6462" s="13">
        <v>7</v>
      </c>
      <c r="H6462" t="s">
        <v>3406</v>
      </c>
      <c r="I6462" s="8">
        <v>46193</v>
      </c>
      <c r="J6462" t="s">
        <v>2682</v>
      </c>
      <c r="K6462" t="s">
        <v>2683</v>
      </c>
      <c r="L6462" s="13">
        <v>6000</v>
      </c>
      <c r="M6462" t="s">
        <v>2676</v>
      </c>
    </row>
    <row r="6463" spans="1:13">
      <c r="A6463" t="s">
        <v>2519</v>
      </c>
      <c r="B6463" t="s">
        <v>224</v>
      </c>
      <c r="C6463" s="8">
        <v>46264</v>
      </c>
      <c r="D6463" t="s">
        <v>330</v>
      </c>
      <c r="E6463" t="s">
        <v>339</v>
      </c>
      <c r="F6463" s="12">
        <v>73889</v>
      </c>
      <c r="G6463" s="13">
        <v>7</v>
      </c>
      <c r="H6463" t="s">
        <v>3410</v>
      </c>
      <c r="I6463" s="8">
        <v>45967</v>
      </c>
      <c r="J6463" t="s">
        <v>2692</v>
      </c>
      <c r="K6463" t="s">
        <v>2693</v>
      </c>
      <c r="L6463" s="13">
        <v>10000</v>
      </c>
      <c r="M6463" t="s">
        <v>2661</v>
      </c>
    </row>
    <row r="6464" spans="1:13">
      <c r="A6464" t="s">
        <v>2520</v>
      </c>
      <c r="B6464" t="s">
        <v>211</v>
      </c>
      <c r="C6464" s="8">
        <v>46051</v>
      </c>
      <c r="D6464" t="s">
        <v>332</v>
      </c>
      <c r="E6464" t="s">
        <v>334</v>
      </c>
      <c r="F6464" s="12">
        <v>484374</v>
      </c>
      <c r="G6464" s="13">
        <v>48</v>
      </c>
      <c r="H6464" t="s">
        <v>2724</v>
      </c>
      <c r="I6464" s="8">
        <v>45945</v>
      </c>
      <c r="J6464" t="s">
        <v>2665</v>
      </c>
      <c r="K6464" t="s">
        <v>2666</v>
      </c>
      <c r="L6464" s="13">
        <v>2500</v>
      </c>
      <c r="M6464" t="s">
        <v>2661</v>
      </c>
    </row>
    <row r="6465" spans="1:13">
      <c r="A6465" t="s">
        <v>2521</v>
      </c>
      <c r="B6465" t="s">
        <v>211</v>
      </c>
      <c r="C6465" s="8">
        <v>45957</v>
      </c>
      <c r="D6465" t="s">
        <v>330</v>
      </c>
      <c r="E6465" t="s">
        <v>322</v>
      </c>
      <c r="F6465" s="12">
        <v>114310</v>
      </c>
      <c r="G6465" s="13">
        <v>11</v>
      </c>
      <c r="H6465" t="s">
        <v>2724</v>
      </c>
      <c r="I6465" s="8">
        <v>45945</v>
      </c>
      <c r="J6465" t="s">
        <v>2665</v>
      </c>
      <c r="K6465" t="s">
        <v>2666</v>
      </c>
      <c r="L6465" s="13">
        <v>2500</v>
      </c>
      <c r="M6465" t="s">
        <v>2661</v>
      </c>
    </row>
    <row r="6466" spans="1:13">
      <c r="A6466" t="s">
        <v>2522</v>
      </c>
      <c r="B6466" t="s">
        <v>190</v>
      </c>
      <c r="C6466" s="8">
        <v>45982</v>
      </c>
      <c r="D6466" t="s">
        <v>330</v>
      </c>
      <c r="E6466" t="s">
        <v>339</v>
      </c>
      <c r="F6466" s="12">
        <v>520208</v>
      </c>
      <c r="G6466" s="13">
        <v>52</v>
      </c>
      <c r="H6466" t="s">
        <v>2684</v>
      </c>
      <c r="I6466" s="8">
        <v>46175</v>
      </c>
      <c r="J6466" t="s">
        <v>2685</v>
      </c>
      <c r="K6466" t="s">
        <v>2686</v>
      </c>
      <c r="L6466" s="13">
        <v>5000</v>
      </c>
      <c r="M6466" t="s">
        <v>2661</v>
      </c>
    </row>
    <row r="6467" spans="1:13">
      <c r="A6467" t="s">
        <v>2522</v>
      </c>
      <c r="B6467" t="s">
        <v>190</v>
      </c>
      <c r="C6467" s="8">
        <v>45982</v>
      </c>
      <c r="D6467" t="s">
        <v>330</v>
      </c>
      <c r="E6467" t="s">
        <v>339</v>
      </c>
      <c r="F6467" s="12">
        <v>520208</v>
      </c>
      <c r="G6467" s="13">
        <v>52</v>
      </c>
      <c r="H6467" t="s">
        <v>2834</v>
      </c>
      <c r="I6467" s="8">
        <v>46253</v>
      </c>
      <c r="J6467" t="s">
        <v>2692</v>
      </c>
      <c r="K6467" t="s">
        <v>2693</v>
      </c>
      <c r="L6467" s="13">
        <v>10000</v>
      </c>
      <c r="M6467" t="s">
        <v>2676</v>
      </c>
    </row>
    <row r="6468" spans="1:13">
      <c r="A6468" t="s">
        <v>2522</v>
      </c>
      <c r="B6468" t="s">
        <v>190</v>
      </c>
      <c r="C6468" s="8">
        <v>45982</v>
      </c>
      <c r="D6468" t="s">
        <v>330</v>
      </c>
      <c r="E6468" t="s">
        <v>339</v>
      </c>
      <c r="F6468" s="12">
        <v>520208</v>
      </c>
      <c r="G6468" s="13">
        <v>52</v>
      </c>
      <c r="H6468" t="s">
        <v>2965</v>
      </c>
      <c r="I6468" s="8">
        <v>46102</v>
      </c>
      <c r="J6468" t="s">
        <v>2671</v>
      </c>
      <c r="K6468" t="s">
        <v>2672</v>
      </c>
      <c r="L6468" s="13">
        <v>3000</v>
      </c>
      <c r="M6468" t="s">
        <v>2661</v>
      </c>
    </row>
    <row r="6469" spans="1:13">
      <c r="A6469" t="s">
        <v>2522</v>
      </c>
      <c r="B6469" t="s">
        <v>190</v>
      </c>
      <c r="C6469" s="8">
        <v>45982</v>
      </c>
      <c r="D6469" t="s">
        <v>330</v>
      </c>
      <c r="E6469" t="s">
        <v>339</v>
      </c>
      <c r="F6469" s="12">
        <v>520208</v>
      </c>
      <c r="G6469" s="13">
        <v>52</v>
      </c>
      <c r="H6469" t="s">
        <v>3299</v>
      </c>
      <c r="I6469" s="8">
        <v>46006</v>
      </c>
      <c r="J6469" t="s">
        <v>2685</v>
      </c>
      <c r="K6469" t="s">
        <v>2686</v>
      </c>
      <c r="L6469" s="13">
        <v>5000</v>
      </c>
      <c r="M6469" t="s">
        <v>2661</v>
      </c>
    </row>
    <row r="6470" spans="1:13">
      <c r="A6470" t="s">
        <v>2523</v>
      </c>
      <c r="B6470" t="s">
        <v>18</v>
      </c>
      <c r="C6470" s="8">
        <v>46140</v>
      </c>
      <c r="D6470" t="s">
        <v>342</v>
      </c>
      <c r="E6470" t="s">
        <v>328</v>
      </c>
      <c r="F6470" s="12">
        <v>254776</v>
      </c>
      <c r="G6470" s="13">
        <v>25</v>
      </c>
      <c r="H6470" t="s">
        <v>2899</v>
      </c>
      <c r="I6470" s="8">
        <v>46227</v>
      </c>
      <c r="J6470" t="s">
        <v>2665</v>
      </c>
      <c r="K6470" t="s">
        <v>2666</v>
      </c>
      <c r="L6470" s="13">
        <v>2500</v>
      </c>
      <c r="M6470" t="s">
        <v>2676</v>
      </c>
    </row>
    <row r="6471" spans="1:13">
      <c r="A6471" t="s">
        <v>2523</v>
      </c>
      <c r="B6471" t="s">
        <v>18</v>
      </c>
      <c r="C6471" s="8">
        <v>46140</v>
      </c>
      <c r="D6471" t="s">
        <v>342</v>
      </c>
      <c r="E6471" t="s">
        <v>328</v>
      </c>
      <c r="F6471" s="12">
        <v>254776</v>
      </c>
      <c r="G6471" s="13">
        <v>25</v>
      </c>
      <c r="H6471" t="s">
        <v>3087</v>
      </c>
      <c r="I6471" s="8">
        <v>45976</v>
      </c>
      <c r="J6471" t="s">
        <v>2659</v>
      </c>
      <c r="K6471" t="s">
        <v>2660</v>
      </c>
      <c r="L6471" s="13">
        <v>3500</v>
      </c>
      <c r="M6471" t="s">
        <v>2676</v>
      </c>
    </row>
    <row r="6472" spans="1:13">
      <c r="A6472" t="s">
        <v>2524</v>
      </c>
      <c r="B6472" t="s">
        <v>280</v>
      </c>
      <c r="C6472" s="8">
        <v>46086</v>
      </c>
      <c r="D6472" t="s">
        <v>350</v>
      </c>
      <c r="E6472" t="s">
        <v>334</v>
      </c>
      <c r="F6472" s="12">
        <v>722372</v>
      </c>
      <c r="G6472" s="13">
        <v>72</v>
      </c>
      <c r="H6472" t="s">
        <v>2673</v>
      </c>
      <c r="I6472" s="8">
        <v>46091</v>
      </c>
      <c r="J6472" t="s">
        <v>2674</v>
      </c>
      <c r="K6472" t="s">
        <v>2675</v>
      </c>
      <c r="L6472" s="13">
        <v>20000</v>
      </c>
      <c r="M6472" t="s">
        <v>2676</v>
      </c>
    </row>
    <row r="6473" spans="1:13">
      <c r="A6473" t="s">
        <v>2524</v>
      </c>
      <c r="B6473" t="s">
        <v>280</v>
      </c>
      <c r="C6473" s="8">
        <v>46086</v>
      </c>
      <c r="D6473" t="s">
        <v>350</v>
      </c>
      <c r="E6473" t="s">
        <v>334</v>
      </c>
      <c r="F6473" s="12">
        <v>722372</v>
      </c>
      <c r="G6473" s="13">
        <v>72</v>
      </c>
      <c r="H6473" t="s">
        <v>2924</v>
      </c>
      <c r="I6473" s="8">
        <v>46275</v>
      </c>
      <c r="J6473" t="s">
        <v>2663</v>
      </c>
      <c r="K6473" t="s">
        <v>3630</v>
      </c>
      <c r="L6473" s="13">
        <v>1500</v>
      </c>
      <c r="M6473" t="s">
        <v>2661</v>
      </c>
    </row>
    <row r="6474" spans="1:13">
      <c r="A6474" t="s">
        <v>2524</v>
      </c>
      <c r="B6474" t="s">
        <v>280</v>
      </c>
      <c r="C6474" s="8">
        <v>46086</v>
      </c>
      <c r="D6474" t="s">
        <v>350</v>
      </c>
      <c r="E6474" t="s">
        <v>334</v>
      </c>
      <c r="F6474" s="12">
        <v>722372</v>
      </c>
      <c r="G6474" s="13">
        <v>72</v>
      </c>
      <c r="H6474" t="s">
        <v>3163</v>
      </c>
      <c r="I6474" s="8">
        <v>46279</v>
      </c>
      <c r="J6474" t="s">
        <v>2668</v>
      </c>
      <c r="K6474" t="s">
        <v>2669</v>
      </c>
      <c r="L6474" s="13">
        <v>4000</v>
      </c>
      <c r="M6474" t="s">
        <v>2661</v>
      </c>
    </row>
    <row r="6475" spans="1:13">
      <c r="A6475" t="s">
        <v>2524</v>
      </c>
      <c r="B6475" t="s">
        <v>280</v>
      </c>
      <c r="C6475" s="8">
        <v>46086</v>
      </c>
      <c r="D6475" t="s">
        <v>350</v>
      </c>
      <c r="E6475" t="s">
        <v>334</v>
      </c>
      <c r="F6475" s="12">
        <v>722372</v>
      </c>
      <c r="G6475" s="13">
        <v>72</v>
      </c>
      <c r="H6475" t="s">
        <v>3286</v>
      </c>
      <c r="I6475" s="8">
        <v>46224</v>
      </c>
      <c r="J6475" t="s">
        <v>2685</v>
      </c>
      <c r="K6475" t="s">
        <v>2686</v>
      </c>
      <c r="L6475" s="13">
        <v>5000</v>
      </c>
      <c r="M6475" t="s">
        <v>2661</v>
      </c>
    </row>
    <row r="6476" spans="1:13">
      <c r="A6476" t="s">
        <v>2524</v>
      </c>
      <c r="B6476" t="s">
        <v>280</v>
      </c>
      <c r="C6476" s="8">
        <v>46086</v>
      </c>
      <c r="D6476" t="s">
        <v>350</v>
      </c>
      <c r="E6476" t="s">
        <v>334</v>
      </c>
      <c r="F6476" s="12">
        <v>722372</v>
      </c>
      <c r="G6476" s="13">
        <v>72</v>
      </c>
      <c r="H6476" t="s">
        <v>3400</v>
      </c>
      <c r="I6476" s="8">
        <v>46126</v>
      </c>
      <c r="J6476" t="s">
        <v>2692</v>
      </c>
      <c r="K6476" t="s">
        <v>2693</v>
      </c>
      <c r="L6476" s="13">
        <v>10000</v>
      </c>
      <c r="M6476" t="s">
        <v>2661</v>
      </c>
    </row>
    <row r="6477" spans="1:13">
      <c r="A6477" t="s">
        <v>2524</v>
      </c>
      <c r="B6477" t="s">
        <v>280</v>
      </c>
      <c r="C6477" s="8">
        <v>46086</v>
      </c>
      <c r="D6477" t="s">
        <v>350</v>
      </c>
      <c r="E6477" t="s">
        <v>334</v>
      </c>
      <c r="F6477" s="12">
        <v>722372</v>
      </c>
      <c r="G6477" s="13">
        <v>72</v>
      </c>
      <c r="H6477" t="s">
        <v>3535</v>
      </c>
      <c r="I6477" s="8">
        <v>46274</v>
      </c>
      <c r="J6477" t="s">
        <v>2659</v>
      </c>
      <c r="K6477" t="s">
        <v>2660</v>
      </c>
      <c r="L6477" s="13">
        <v>3500</v>
      </c>
      <c r="M6477" t="s">
        <v>2661</v>
      </c>
    </row>
    <row r="6478" spans="1:13">
      <c r="A6478" t="s">
        <v>2525</v>
      </c>
      <c r="B6478" t="s">
        <v>126</v>
      </c>
      <c r="C6478" s="8">
        <v>46027</v>
      </c>
      <c r="D6478" t="s">
        <v>321</v>
      </c>
      <c r="E6478" t="s">
        <v>339</v>
      </c>
      <c r="F6478" s="12">
        <v>130824</v>
      </c>
      <c r="G6478" s="13">
        <v>13</v>
      </c>
      <c r="H6478" t="s">
        <v>2798</v>
      </c>
      <c r="I6478" s="8">
        <v>46235</v>
      </c>
      <c r="J6478" t="s">
        <v>2659</v>
      </c>
      <c r="K6478" t="s">
        <v>2660</v>
      </c>
      <c r="L6478" s="13">
        <v>3500</v>
      </c>
      <c r="M6478" t="s">
        <v>2661</v>
      </c>
    </row>
    <row r="6479" spans="1:13">
      <c r="A6479" t="s">
        <v>2525</v>
      </c>
      <c r="B6479" t="s">
        <v>126</v>
      </c>
      <c r="C6479" s="8">
        <v>46027</v>
      </c>
      <c r="D6479" t="s">
        <v>321</v>
      </c>
      <c r="E6479" t="s">
        <v>339</v>
      </c>
      <c r="F6479" s="12">
        <v>130824</v>
      </c>
      <c r="G6479" s="13">
        <v>13</v>
      </c>
      <c r="H6479" t="s">
        <v>3334</v>
      </c>
      <c r="I6479" s="8">
        <v>46254</v>
      </c>
      <c r="J6479" t="s">
        <v>2692</v>
      </c>
      <c r="K6479" t="s">
        <v>2693</v>
      </c>
      <c r="L6479" s="13">
        <v>10000</v>
      </c>
      <c r="M6479" t="s">
        <v>2676</v>
      </c>
    </row>
    <row r="6480" spans="1:13">
      <c r="A6480" t="s">
        <v>2526</v>
      </c>
      <c r="B6480" t="s">
        <v>77</v>
      </c>
      <c r="C6480" s="8">
        <v>46271</v>
      </c>
      <c r="D6480" t="s">
        <v>330</v>
      </c>
      <c r="E6480" t="s">
        <v>328</v>
      </c>
      <c r="F6480" s="12">
        <v>257431</v>
      </c>
      <c r="G6480" s="13">
        <v>25</v>
      </c>
      <c r="H6480" t="s">
        <v>2808</v>
      </c>
      <c r="I6480" s="8">
        <v>45978</v>
      </c>
      <c r="J6480" t="s">
        <v>2688</v>
      </c>
      <c r="K6480" t="s">
        <v>2689</v>
      </c>
      <c r="L6480" s="13">
        <v>8000</v>
      </c>
      <c r="M6480" t="s">
        <v>2661</v>
      </c>
    </row>
    <row r="6481" spans="1:13">
      <c r="A6481" t="s">
        <v>2526</v>
      </c>
      <c r="B6481" t="s">
        <v>77</v>
      </c>
      <c r="C6481" s="8">
        <v>46271</v>
      </c>
      <c r="D6481" t="s">
        <v>330</v>
      </c>
      <c r="E6481" t="s">
        <v>328</v>
      </c>
      <c r="F6481" s="12">
        <v>257431</v>
      </c>
      <c r="G6481" s="13">
        <v>25</v>
      </c>
      <c r="H6481" t="s">
        <v>3166</v>
      </c>
      <c r="I6481" s="8">
        <v>46075</v>
      </c>
      <c r="J6481" t="s">
        <v>2668</v>
      </c>
      <c r="K6481" t="s">
        <v>2669</v>
      </c>
      <c r="L6481" s="13">
        <v>4000</v>
      </c>
      <c r="M6481" t="s">
        <v>2661</v>
      </c>
    </row>
    <row r="6482" spans="1:13">
      <c r="A6482" t="s">
        <v>2526</v>
      </c>
      <c r="B6482" t="s">
        <v>77</v>
      </c>
      <c r="C6482" s="8">
        <v>46271</v>
      </c>
      <c r="D6482" t="s">
        <v>330</v>
      </c>
      <c r="E6482" t="s">
        <v>328</v>
      </c>
      <c r="F6482" s="12">
        <v>257431</v>
      </c>
      <c r="G6482" s="13">
        <v>25</v>
      </c>
      <c r="H6482" t="s">
        <v>3326</v>
      </c>
      <c r="I6482" s="8">
        <v>46123</v>
      </c>
      <c r="J6482" t="s">
        <v>2688</v>
      </c>
      <c r="K6482" t="s">
        <v>2689</v>
      </c>
      <c r="L6482" s="13">
        <v>8000</v>
      </c>
      <c r="M6482" t="s">
        <v>2661</v>
      </c>
    </row>
    <row r="6483" spans="1:13">
      <c r="A6483" t="s">
        <v>2527</v>
      </c>
      <c r="B6483" t="s">
        <v>141</v>
      </c>
      <c r="C6483" s="8">
        <v>46171</v>
      </c>
      <c r="D6483" t="s">
        <v>344</v>
      </c>
      <c r="E6483" t="s">
        <v>337</v>
      </c>
      <c r="F6483" s="12">
        <v>250102</v>
      </c>
      <c r="G6483" s="13">
        <v>25</v>
      </c>
      <c r="H6483" t="s">
        <v>2784</v>
      </c>
      <c r="I6483" s="8">
        <v>46039</v>
      </c>
      <c r="J6483" t="s">
        <v>2692</v>
      </c>
      <c r="K6483" t="s">
        <v>2693</v>
      </c>
      <c r="L6483" s="13">
        <v>10000</v>
      </c>
      <c r="M6483" t="s">
        <v>2676</v>
      </c>
    </row>
    <row r="6484" spans="1:13">
      <c r="A6484" t="s">
        <v>2527</v>
      </c>
      <c r="B6484" t="s">
        <v>141</v>
      </c>
      <c r="C6484" s="8">
        <v>46171</v>
      </c>
      <c r="D6484" t="s">
        <v>344</v>
      </c>
      <c r="E6484" t="s">
        <v>337</v>
      </c>
      <c r="F6484" s="12">
        <v>250102</v>
      </c>
      <c r="G6484" s="13">
        <v>25</v>
      </c>
      <c r="H6484" t="s">
        <v>2983</v>
      </c>
      <c r="I6484" s="8">
        <v>46195</v>
      </c>
      <c r="J6484" t="s">
        <v>2665</v>
      </c>
      <c r="K6484" t="s">
        <v>2666</v>
      </c>
      <c r="L6484" s="13">
        <v>2500</v>
      </c>
      <c r="M6484" t="s">
        <v>2661</v>
      </c>
    </row>
    <row r="6485" spans="1:13">
      <c r="A6485" t="s">
        <v>2527</v>
      </c>
      <c r="B6485" t="s">
        <v>141</v>
      </c>
      <c r="C6485" s="8">
        <v>46171</v>
      </c>
      <c r="D6485" t="s">
        <v>344</v>
      </c>
      <c r="E6485" t="s">
        <v>337</v>
      </c>
      <c r="F6485" s="12">
        <v>250102</v>
      </c>
      <c r="G6485" s="13">
        <v>25</v>
      </c>
      <c r="H6485" t="s">
        <v>3011</v>
      </c>
      <c r="I6485" s="8">
        <v>46197</v>
      </c>
      <c r="J6485" t="s">
        <v>2674</v>
      </c>
      <c r="K6485" t="s">
        <v>2675</v>
      </c>
      <c r="L6485" s="13">
        <v>20000</v>
      </c>
      <c r="M6485" t="s">
        <v>2661</v>
      </c>
    </row>
    <row r="6486" spans="1:13">
      <c r="A6486" t="s">
        <v>2527</v>
      </c>
      <c r="B6486" t="s">
        <v>141</v>
      </c>
      <c r="C6486" s="8">
        <v>46171</v>
      </c>
      <c r="D6486" t="s">
        <v>344</v>
      </c>
      <c r="E6486" t="s">
        <v>337</v>
      </c>
      <c r="F6486" s="12">
        <v>250102</v>
      </c>
      <c r="G6486" s="13">
        <v>25</v>
      </c>
      <c r="H6486" t="s">
        <v>3035</v>
      </c>
      <c r="I6486" s="8">
        <v>46115</v>
      </c>
      <c r="J6486" t="s">
        <v>2663</v>
      </c>
      <c r="K6486" t="s">
        <v>3630</v>
      </c>
      <c r="L6486" s="13">
        <v>1500</v>
      </c>
      <c r="M6486" t="s">
        <v>2661</v>
      </c>
    </row>
    <row r="6487" spans="1:13">
      <c r="A6487" t="s">
        <v>2527</v>
      </c>
      <c r="B6487" t="s">
        <v>141</v>
      </c>
      <c r="C6487" s="8">
        <v>46171</v>
      </c>
      <c r="D6487" t="s">
        <v>344</v>
      </c>
      <c r="E6487" t="s">
        <v>337</v>
      </c>
      <c r="F6487" s="12">
        <v>250102</v>
      </c>
      <c r="G6487" s="13">
        <v>25</v>
      </c>
      <c r="H6487" t="s">
        <v>3161</v>
      </c>
      <c r="I6487" s="8">
        <v>46177</v>
      </c>
      <c r="J6487" t="s">
        <v>2663</v>
      </c>
      <c r="K6487" t="s">
        <v>3630</v>
      </c>
      <c r="L6487" s="13">
        <v>1500</v>
      </c>
      <c r="M6487" t="s">
        <v>2661</v>
      </c>
    </row>
    <row r="6488" spans="1:13">
      <c r="A6488" t="s">
        <v>2527</v>
      </c>
      <c r="B6488" t="s">
        <v>141</v>
      </c>
      <c r="C6488" s="8">
        <v>46171</v>
      </c>
      <c r="D6488" t="s">
        <v>344</v>
      </c>
      <c r="E6488" t="s">
        <v>337</v>
      </c>
      <c r="F6488" s="12">
        <v>250102</v>
      </c>
      <c r="G6488" s="13">
        <v>25</v>
      </c>
      <c r="H6488" t="s">
        <v>3357</v>
      </c>
      <c r="I6488" s="8">
        <v>46093</v>
      </c>
      <c r="J6488" t="s">
        <v>2685</v>
      </c>
      <c r="K6488" t="s">
        <v>2686</v>
      </c>
      <c r="L6488" s="13">
        <v>5000</v>
      </c>
      <c r="M6488" t="s">
        <v>2676</v>
      </c>
    </row>
    <row r="6489" spans="1:13">
      <c r="A6489" t="s">
        <v>2528</v>
      </c>
      <c r="B6489" t="s">
        <v>217</v>
      </c>
      <c r="C6489" s="8">
        <v>46042</v>
      </c>
      <c r="D6489" t="s">
        <v>342</v>
      </c>
      <c r="E6489" t="s">
        <v>337</v>
      </c>
      <c r="F6489" s="12">
        <v>317590</v>
      </c>
      <c r="G6489" s="13">
        <v>31</v>
      </c>
      <c r="H6489" t="s">
        <v>3010</v>
      </c>
      <c r="I6489" s="8">
        <v>46213</v>
      </c>
      <c r="J6489" t="s">
        <v>2674</v>
      </c>
      <c r="K6489" t="s">
        <v>2675</v>
      </c>
      <c r="L6489" s="13">
        <v>20000</v>
      </c>
      <c r="M6489" t="s">
        <v>2661</v>
      </c>
    </row>
    <row r="6490" spans="1:13">
      <c r="A6490" t="s">
        <v>2528</v>
      </c>
      <c r="B6490" t="s">
        <v>217</v>
      </c>
      <c r="C6490" s="8">
        <v>46042</v>
      </c>
      <c r="D6490" t="s">
        <v>342</v>
      </c>
      <c r="E6490" t="s">
        <v>337</v>
      </c>
      <c r="F6490" s="12">
        <v>317590</v>
      </c>
      <c r="G6490" s="13">
        <v>31</v>
      </c>
      <c r="H6490" t="s">
        <v>3493</v>
      </c>
      <c r="I6490" s="8">
        <v>46078</v>
      </c>
      <c r="J6490" t="s">
        <v>2682</v>
      </c>
      <c r="K6490" t="s">
        <v>2683</v>
      </c>
      <c r="L6490" s="13">
        <v>6000</v>
      </c>
      <c r="M6490" t="s">
        <v>2661</v>
      </c>
    </row>
    <row r="6491" spans="1:13">
      <c r="A6491" t="s">
        <v>2529</v>
      </c>
      <c r="B6491" t="s">
        <v>271</v>
      </c>
      <c r="C6491" s="8">
        <v>45976</v>
      </c>
      <c r="D6491" t="s">
        <v>324</v>
      </c>
      <c r="E6491" t="s">
        <v>334</v>
      </c>
      <c r="F6491" s="12">
        <v>555820</v>
      </c>
      <c r="G6491" s="13">
        <v>55</v>
      </c>
      <c r="H6491" t="s">
        <v>2917</v>
      </c>
      <c r="I6491" s="8">
        <v>46171</v>
      </c>
      <c r="J6491" t="s">
        <v>2671</v>
      </c>
      <c r="K6491" t="s">
        <v>2672</v>
      </c>
      <c r="L6491" s="13">
        <v>3000</v>
      </c>
      <c r="M6491" t="s">
        <v>2661</v>
      </c>
    </row>
    <row r="6492" spans="1:13">
      <c r="A6492" t="s">
        <v>2529</v>
      </c>
      <c r="B6492" t="s">
        <v>271</v>
      </c>
      <c r="C6492" s="8">
        <v>45976</v>
      </c>
      <c r="D6492" t="s">
        <v>324</v>
      </c>
      <c r="E6492" t="s">
        <v>334</v>
      </c>
      <c r="F6492" s="12">
        <v>555820</v>
      </c>
      <c r="G6492" s="13">
        <v>55</v>
      </c>
      <c r="H6492" t="s">
        <v>3330</v>
      </c>
      <c r="I6492" s="8">
        <v>46114</v>
      </c>
      <c r="J6492" t="s">
        <v>2685</v>
      </c>
      <c r="K6492" t="s">
        <v>2686</v>
      </c>
      <c r="L6492" s="13">
        <v>5000</v>
      </c>
      <c r="M6492" t="s">
        <v>2661</v>
      </c>
    </row>
    <row r="6493" spans="1:13">
      <c r="A6493" t="s">
        <v>2530</v>
      </c>
      <c r="B6493" t="s">
        <v>106</v>
      </c>
      <c r="C6493" s="8">
        <v>46095</v>
      </c>
      <c r="D6493" t="s">
        <v>330</v>
      </c>
      <c r="E6493" t="s">
        <v>337</v>
      </c>
      <c r="F6493" s="12">
        <v>174494</v>
      </c>
      <c r="G6493" s="13">
        <v>17</v>
      </c>
      <c r="H6493" t="s">
        <v>2700</v>
      </c>
      <c r="I6493" s="8">
        <v>46262</v>
      </c>
      <c r="J6493" t="s">
        <v>2692</v>
      </c>
      <c r="K6493" t="s">
        <v>2693</v>
      </c>
      <c r="L6493" s="13">
        <v>10000</v>
      </c>
      <c r="M6493" t="s">
        <v>2676</v>
      </c>
    </row>
    <row r="6494" spans="1:13">
      <c r="A6494" t="s">
        <v>2530</v>
      </c>
      <c r="B6494" t="s">
        <v>106</v>
      </c>
      <c r="C6494" s="8">
        <v>46095</v>
      </c>
      <c r="D6494" t="s">
        <v>330</v>
      </c>
      <c r="E6494" t="s">
        <v>337</v>
      </c>
      <c r="F6494" s="12">
        <v>174494</v>
      </c>
      <c r="G6494" s="13">
        <v>17</v>
      </c>
      <c r="H6494" t="s">
        <v>2973</v>
      </c>
      <c r="I6494" s="8">
        <v>46143</v>
      </c>
      <c r="J6494" t="s">
        <v>2682</v>
      </c>
      <c r="K6494" t="s">
        <v>2683</v>
      </c>
      <c r="L6494" s="13">
        <v>6000</v>
      </c>
      <c r="M6494" t="s">
        <v>2661</v>
      </c>
    </row>
    <row r="6495" spans="1:13">
      <c r="A6495" t="s">
        <v>2530</v>
      </c>
      <c r="B6495" t="s">
        <v>106</v>
      </c>
      <c r="C6495" s="8">
        <v>46095</v>
      </c>
      <c r="D6495" t="s">
        <v>330</v>
      </c>
      <c r="E6495" t="s">
        <v>337</v>
      </c>
      <c r="F6495" s="12">
        <v>174494</v>
      </c>
      <c r="G6495" s="13">
        <v>17</v>
      </c>
      <c r="H6495" t="s">
        <v>3217</v>
      </c>
      <c r="I6495" s="8">
        <v>46275</v>
      </c>
      <c r="J6495" t="s">
        <v>2682</v>
      </c>
      <c r="K6495" t="s">
        <v>2683</v>
      </c>
      <c r="L6495" s="13">
        <v>6000</v>
      </c>
      <c r="M6495" t="s">
        <v>2676</v>
      </c>
    </row>
    <row r="6496" spans="1:13">
      <c r="A6496" t="s">
        <v>2530</v>
      </c>
      <c r="B6496" t="s">
        <v>106</v>
      </c>
      <c r="C6496" s="8">
        <v>46095</v>
      </c>
      <c r="D6496" t="s">
        <v>330</v>
      </c>
      <c r="E6496" t="s">
        <v>337</v>
      </c>
      <c r="F6496" s="12">
        <v>174494</v>
      </c>
      <c r="G6496" s="13">
        <v>17</v>
      </c>
      <c r="H6496" t="s">
        <v>3285</v>
      </c>
      <c r="I6496" s="8">
        <v>46234</v>
      </c>
      <c r="J6496" t="s">
        <v>2668</v>
      </c>
      <c r="K6496" t="s">
        <v>2669</v>
      </c>
      <c r="L6496" s="13">
        <v>4000</v>
      </c>
      <c r="M6496" t="s">
        <v>2661</v>
      </c>
    </row>
    <row r="6497" spans="1:13">
      <c r="A6497" t="s">
        <v>2530</v>
      </c>
      <c r="B6497" t="s">
        <v>106</v>
      </c>
      <c r="C6497" s="8">
        <v>46095</v>
      </c>
      <c r="D6497" t="s">
        <v>330</v>
      </c>
      <c r="E6497" t="s">
        <v>337</v>
      </c>
      <c r="F6497" s="12">
        <v>174494</v>
      </c>
      <c r="G6497" s="13">
        <v>17</v>
      </c>
      <c r="H6497" t="s">
        <v>3476</v>
      </c>
      <c r="I6497" s="8">
        <v>45966</v>
      </c>
      <c r="J6497" t="s">
        <v>2674</v>
      </c>
      <c r="K6497" t="s">
        <v>2675</v>
      </c>
      <c r="L6497" s="13">
        <v>20000</v>
      </c>
      <c r="M6497" t="s">
        <v>2661</v>
      </c>
    </row>
    <row r="6498" spans="1:13">
      <c r="A6498" t="s">
        <v>2531</v>
      </c>
      <c r="B6498" t="s">
        <v>244</v>
      </c>
      <c r="C6498" s="8">
        <v>46251</v>
      </c>
      <c r="D6498" t="s">
        <v>350</v>
      </c>
      <c r="E6498" t="s">
        <v>339</v>
      </c>
      <c r="F6498" s="12">
        <v>663448</v>
      </c>
      <c r="G6498" s="13">
        <v>66</v>
      </c>
      <c r="H6498" t="s">
        <v>2778</v>
      </c>
      <c r="I6498" s="8">
        <v>45994</v>
      </c>
      <c r="J6498" t="s">
        <v>2692</v>
      </c>
      <c r="K6498" t="s">
        <v>2693</v>
      </c>
      <c r="L6498" s="13">
        <v>10000</v>
      </c>
      <c r="M6498" t="s">
        <v>2661</v>
      </c>
    </row>
    <row r="6499" spans="1:13">
      <c r="A6499" t="s">
        <v>2531</v>
      </c>
      <c r="B6499" t="s">
        <v>244</v>
      </c>
      <c r="C6499" s="8">
        <v>46251</v>
      </c>
      <c r="D6499" t="s">
        <v>350</v>
      </c>
      <c r="E6499" t="s">
        <v>339</v>
      </c>
      <c r="F6499" s="12">
        <v>663448</v>
      </c>
      <c r="G6499" s="13">
        <v>66</v>
      </c>
      <c r="H6499" t="s">
        <v>2916</v>
      </c>
      <c r="I6499" s="8">
        <v>46078</v>
      </c>
      <c r="J6499" t="s">
        <v>2668</v>
      </c>
      <c r="K6499" t="s">
        <v>2669</v>
      </c>
      <c r="L6499" s="13">
        <v>4000</v>
      </c>
      <c r="M6499" t="s">
        <v>2661</v>
      </c>
    </row>
    <row r="6500" spans="1:13">
      <c r="A6500" t="s">
        <v>2532</v>
      </c>
      <c r="B6500" t="s">
        <v>118</v>
      </c>
      <c r="C6500" s="8">
        <v>46270</v>
      </c>
      <c r="D6500" t="s">
        <v>350</v>
      </c>
      <c r="E6500" t="s">
        <v>328</v>
      </c>
      <c r="F6500" s="12">
        <v>69441</v>
      </c>
      <c r="G6500" s="13">
        <v>6</v>
      </c>
      <c r="H6500" t="s">
        <v>2709</v>
      </c>
      <c r="I6500" s="8">
        <v>46119</v>
      </c>
      <c r="J6500" t="s">
        <v>2685</v>
      </c>
      <c r="K6500" t="s">
        <v>2686</v>
      </c>
      <c r="L6500" s="13">
        <v>5000</v>
      </c>
      <c r="M6500" t="s">
        <v>2661</v>
      </c>
    </row>
    <row r="6501" spans="1:13">
      <c r="A6501" t="s">
        <v>2532</v>
      </c>
      <c r="B6501" t="s">
        <v>118</v>
      </c>
      <c r="C6501" s="8">
        <v>46270</v>
      </c>
      <c r="D6501" t="s">
        <v>350</v>
      </c>
      <c r="E6501" t="s">
        <v>328</v>
      </c>
      <c r="F6501" s="12">
        <v>69441</v>
      </c>
      <c r="G6501" s="13">
        <v>6</v>
      </c>
      <c r="H6501" t="s">
        <v>2853</v>
      </c>
      <c r="I6501" s="8">
        <v>46269</v>
      </c>
      <c r="J6501" t="s">
        <v>2688</v>
      </c>
      <c r="K6501" t="s">
        <v>2689</v>
      </c>
      <c r="L6501" s="13">
        <v>8000</v>
      </c>
      <c r="M6501" t="s">
        <v>2661</v>
      </c>
    </row>
    <row r="6502" spans="1:13">
      <c r="A6502" t="s">
        <v>2532</v>
      </c>
      <c r="B6502" t="s">
        <v>118</v>
      </c>
      <c r="C6502" s="8">
        <v>46270</v>
      </c>
      <c r="D6502" t="s">
        <v>350</v>
      </c>
      <c r="E6502" t="s">
        <v>328</v>
      </c>
      <c r="F6502" s="12">
        <v>69441</v>
      </c>
      <c r="G6502" s="13">
        <v>6</v>
      </c>
      <c r="H6502" t="s">
        <v>2932</v>
      </c>
      <c r="I6502" s="8">
        <v>45982</v>
      </c>
      <c r="J6502" t="s">
        <v>2685</v>
      </c>
      <c r="K6502" t="s">
        <v>2686</v>
      </c>
      <c r="L6502" s="13">
        <v>5000</v>
      </c>
      <c r="M6502" t="s">
        <v>2661</v>
      </c>
    </row>
    <row r="6503" spans="1:13">
      <c r="A6503" t="s">
        <v>2532</v>
      </c>
      <c r="B6503" t="s">
        <v>118</v>
      </c>
      <c r="C6503" s="8">
        <v>46270</v>
      </c>
      <c r="D6503" t="s">
        <v>350</v>
      </c>
      <c r="E6503" t="s">
        <v>328</v>
      </c>
      <c r="F6503" s="12">
        <v>69441</v>
      </c>
      <c r="G6503" s="13">
        <v>6</v>
      </c>
      <c r="H6503" t="s">
        <v>3562</v>
      </c>
      <c r="I6503" s="8">
        <v>46251</v>
      </c>
      <c r="J6503" t="s">
        <v>2692</v>
      </c>
      <c r="K6503" t="s">
        <v>2693</v>
      </c>
      <c r="L6503" s="13">
        <v>10000</v>
      </c>
      <c r="M6503" t="s">
        <v>2661</v>
      </c>
    </row>
    <row r="6504" spans="1:13">
      <c r="A6504" t="s">
        <v>2533</v>
      </c>
      <c r="B6504" t="s">
        <v>310</v>
      </c>
      <c r="C6504" s="8">
        <v>46119</v>
      </c>
      <c r="D6504" t="s">
        <v>324</v>
      </c>
      <c r="E6504" t="s">
        <v>322</v>
      </c>
      <c r="F6504" s="12">
        <v>324171</v>
      </c>
      <c r="G6504" s="13">
        <v>32</v>
      </c>
      <c r="H6504" t="s">
        <v>2712</v>
      </c>
      <c r="I6504" s="8">
        <v>46153</v>
      </c>
      <c r="J6504" t="s">
        <v>2682</v>
      </c>
      <c r="K6504" t="s">
        <v>2683</v>
      </c>
      <c r="L6504" s="13">
        <v>6000</v>
      </c>
      <c r="M6504" t="s">
        <v>2661</v>
      </c>
    </row>
    <row r="6505" spans="1:13">
      <c r="A6505" t="s">
        <v>2533</v>
      </c>
      <c r="B6505" t="s">
        <v>310</v>
      </c>
      <c r="C6505" s="8">
        <v>46119</v>
      </c>
      <c r="D6505" t="s">
        <v>324</v>
      </c>
      <c r="E6505" t="s">
        <v>322</v>
      </c>
      <c r="F6505" s="12">
        <v>324171</v>
      </c>
      <c r="G6505" s="13">
        <v>32</v>
      </c>
      <c r="H6505" t="s">
        <v>2895</v>
      </c>
      <c r="I6505" s="8">
        <v>45957</v>
      </c>
      <c r="J6505" t="s">
        <v>2688</v>
      </c>
      <c r="K6505" t="s">
        <v>2689</v>
      </c>
      <c r="L6505" s="13">
        <v>8000</v>
      </c>
      <c r="M6505" t="s">
        <v>2661</v>
      </c>
    </row>
    <row r="6506" spans="1:13">
      <c r="A6506" t="s">
        <v>2533</v>
      </c>
      <c r="B6506" t="s">
        <v>310</v>
      </c>
      <c r="C6506" s="8">
        <v>46119</v>
      </c>
      <c r="D6506" t="s">
        <v>324</v>
      </c>
      <c r="E6506" t="s">
        <v>322</v>
      </c>
      <c r="F6506" s="12">
        <v>324171</v>
      </c>
      <c r="G6506" s="13">
        <v>32</v>
      </c>
      <c r="H6506" t="s">
        <v>2976</v>
      </c>
      <c r="I6506" s="8">
        <v>46146</v>
      </c>
      <c r="J6506" t="s">
        <v>2685</v>
      </c>
      <c r="K6506" t="s">
        <v>2686</v>
      </c>
      <c r="L6506" s="13">
        <v>5000</v>
      </c>
      <c r="M6506" t="s">
        <v>2661</v>
      </c>
    </row>
    <row r="6507" spans="1:13">
      <c r="A6507" t="s">
        <v>2533</v>
      </c>
      <c r="B6507" t="s">
        <v>310</v>
      </c>
      <c r="C6507" s="8">
        <v>46119</v>
      </c>
      <c r="D6507" t="s">
        <v>324</v>
      </c>
      <c r="E6507" t="s">
        <v>322</v>
      </c>
      <c r="F6507" s="12">
        <v>324171</v>
      </c>
      <c r="G6507" s="13">
        <v>32</v>
      </c>
      <c r="H6507" t="s">
        <v>3295</v>
      </c>
      <c r="I6507" s="8">
        <v>46154</v>
      </c>
      <c r="J6507" t="s">
        <v>2668</v>
      </c>
      <c r="K6507" t="s">
        <v>2669</v>
      </c>
      <c r="L6507" s="13">
        <v>4000</v>
      </c>
      <c r="M6507" t="s">
        <v>2676</v>
      </c>
    </row>
    <row r="6508" spans="1:13">
      <c r="A6508" t="s">
        <v>2533</v>
      </c>
      <c r="B6508" t="s">
        <v>310</v>
      </c>
      <c r="C6508" s="8">
        <v>46119</v>
      </c>
      <c r="D6508" t="s">
        <v>324</v>
      </c>
      <c r="E6508" t="s">
        <v>322</v>
      </c>
      <c r="F6508" s="12">
        <v>324171</v>
      </c>
      <c r="G6508" s="13">
        <v>32</v>
      </c>
      <c r="H6508" t="s">
        <v>3480</v>
      </c>
      <c r="I6508" s="8">
        <v>46012</v>
      </c>
      <c r="J6508" t="s">
        <v>2685</v>
      </c>
      <c r="K6508" t="s">
        <v>2686</v>
      </c>
      <c r="L6508" s="13">
        <v>5000</v>
      </c>
      <c r="M6508" t="s">
        <v>2676</v>
      </c>
    </row>
    <row r="6509" spans="1:13">
      <c r="A6509" t="s">
        <v>2534</v>
      </c>
      <c r="B6509" t="s">
        <v>130</v>
      </c>
      <c r="C6509" s="8">
        <v>45946</v>
      </c>
      <c r="D6509" t="s">
        <v>332</v>
      </c>
      <c r="E6509" t="s">
        <v>337</v>
      </c>
      <c r="F6509" s="12">
        <v>599266</v>
      </c>
      <c r="G6509" s="13">
        <v>59</v>
      </c>
      <c r="H6509" t="s">
        <v>3547</v>
      </c>
      <c r="I6509" s="8">
        <v>46237</v>
      </c>
      <c r="J6509" t="s">
        <v>2659</v>
      </c>
      <c r="K6509" t="s">
        <v>2660</v>
      </c>
      <c r="L6509" s="13">
        <v>3500</v>
      </c>
      <c r="M6509" t="s">
        <v>2661</v>
      </c>
    </row>
    <row r="6510" spans="1:13">
      <c r="A6510" t="s">
        <v>2535</v>
      </c>
      <c r="B6510" t="s">
        <v>213</v>
      </c>
      <c r="C6510" s="8">
        <v>46034</v>
      </c>
      <c r="D6510" t="s">
        <v>342</v>
      </c>
      <c r="E6510" t="s">
        <v>325</v>
      </c>
      <c r="F6510" s="12">
        <v>265306</v>
      </c>
      <c r="G6510" s="13">
        <v>26</v>
      </c>
      <c r="H6510" t="s">
        <v>2951</v>
      </c>
      <c r="I6510" s="8">
        <v>46292</v>
      </c>
      <c r="J6510" t="s">
        <v>2692</v>
      </c>
      <c r="K6510" t="s">
        <v>2693</v>
      </c>
      <c r="L6510" s="13">
        <v>10000</v>
      </c>
      <c r="M6510" t="s">
        <v>2661</v>
      </c>
    </row>
    <row r="6511" spans="1:13">
      <c r="A6511" t="s">
        <v>2535</v>
      </c>
      <c r="B6511" t="s">
        <v>213</v>
      </c>
      <c r="C6511" s="8">
        <v>46034</v>
      </c>
      <c r="D6511" t="s">
        <v>342</v>
      </c>
      <c r="E6511" t="s">
        <v>325</v>
      </c>
      <c r="F6511" s="12">
        <v>265306</v>
      </c>
      <c r="G6511" s="13">
        <v>26</v>
      </c>
      <c r="H6511" t="s">
        <v>3382</v>
      </c>
      <c r="I6511" s="8">
        <v>46034</v>
      </c>
      <c r="J6511" t="s">
        <v>2688</v>
      </c>
      <c r="K6511" t="s">
        <v>2689</v>
      </c>
      <c r="L6511" s="13">
        <v>8000</v>
      </c>
      <c r="M6511" t="s">
        <v>2661</v>
      </c>
    </row>
    <row r="6512" spans="1:13">
      <c r="A6512" t="s">
        <v>2536</v>
      </c>
      <c r="B6512" t="s">
        <v>148</v>
      </c>
      <c r="C6512" s="8">
        <v>46258</v>
      </c>
      <c r="D6512" t="s">
        <v>324</v>
      </c>
      <c r="E6512" t="s">
        <v>339</v>
      </c>
      <c r="F6512" s="12">
        <v>283282</v>
      </c>
      <c r="G6512" s="13">
        <v>28</v>
      </c>
      <c r="H6512" t="s">
        <v>2701</v>
      </c>
      <c r="I6512" s="8">
        <v>46251</v>
      </c>
      <c r="J6512" t="s">
        <v>2685</v>
      </c>
      <c r="K6512" t="s">
        <v>2686</v>
      </c>
      <c r="L6512" s="13">
        <v>5000</v>
      </c>
      <c r="M6512" t="s">
        <v>2661</v>
      </c>
    </row>
    <row r="6513" spans="1:13">
      <c r="A6513" t="s">
        <v>2536</v>
      </c>
      <c r="B6513" t="s">
        <v>148</v>
      </c>
      <c r="C6513" s="8">
        <v>46258</v>
      </c>
      <c r="D6513" t="s">
        <v>324</v>
      </c>
      <c r="E6513" t="s">
        <v>339</v>
      </c>
      <c r="F6513" s="12">
        <v>283282</v>
      </c>
      <c r="G6513" s="13">
        <v>28</v>
      </c>
      <c r="H6513" t="s">
        <v>2859</v>
      </c>
      <c r="I6513" s="8">
        <v>46163</v>
      </c>
      <c r="J6513" t="s">
        <v>2685</v>
      </c>
      <c r="K6513" t="s">
        <v>2686</v>
      </c>
      <c r="L6513" s="13">
        <v>5000</v>
      </c>
      <c r="M6513" t="s">
        <v>2661</v>
      </c>
    </row>
    <row r="6514" spans="1:13">
      <c r="A6514" t="s">
        <v>2536</v>
      </c>
      <c r="B6514" t="s">
        <v>148</v>
      </c>
      <c r="C6514" s="8">
        <v>46258</v>
      </c>
      <c r="D6514" t="s">
        <v>324</v>
      </c>
      <c r="E6514" t="s">
        <v>339</v>
      </c>
      <c r="F6514" s="12">
        <v>283282</v>
      </c>
      <c r="G6514" s="13">
        <v>28</v>
      </c>
      <c r="H6514" t="s">
        <v>3210</v>
      </c>
      <c r="I6514" s="8">
        <v>46038</v>
      </c>
      <c r="J6514" t="s">
        <v>2663</v>
      </c>
      <c r="K6514" t="s">
        <v>3630</v>
      </c>
      <c r="L6514" s="13">
        <v>1500</v>
      </c>
      <c r="M6514" t="s">
        <v>2661</v>
      </c>
    </row>
    <row r="6515" spans="1:13">
      <c r="A6515" t="s">
        <v>2536</v>
      </c>
      <c r="B6515" t="s">
        <v>148</v>
      </c>
      <c r="C6515" s="8">
        <v>46258</v>
      </c>
      <c r="D6515" t="s">
        <v>324</v>
      </c>
      <c r="E6515" t="s">
        <v>339</v>
      </c>
      <c r="F6515" s="12">
        <v>283282</v>
      </c>
      <c r="G6515" s="13">
        <v>28</v>
      </c>
      <c r="H6515" t="s">
        <v>3242</v>
      </c>
      <c r="I6515" s="8">
        <v>45943</v>
      </c>
      <c r="J6515" t="s">
        <v>2674</v>
      </c>
      <c r="K6515" t="s">
        <v>2675</v>
      </c>
      <c r="L6515" s="13">
        <v>20000</v>
      </c>
      <c r="M6515" t="s">
        <v>2661</v>
      </c>
    </row>
    <row r="6516" spans="1:13">
      <c r="A6516" t="s">
        <v>2536</v>
      </c>
      <c r="B6516" t="s">
        <v>148</v>
      </c>
      <c r="C6516" s="8">
        <v>46258</v>
      </c>
      <c r="D6516" t="s">
        <v>324</v>
      </c>
      <c r="E6516" t="s">
        <v>339</v>
      </c>
      <c r="F6516" s="12">
        <v>283282</v>
      </c>
      <c r="G6516" s="13">
        <v>28</v>
      </c>
      <c r="H6516" t="s">
        <v>3304</v>
      </c>
      <c r="I6516" s="8">
        <v>46267</v>
      </c>
      <c r="J6516" t="s">
        <v>2665</v>
      </c>
      <c r="K6516" t="s">
        <v>2666</v>
      </c>
      <c r="L6516" s="13">
        <v>2500</v>
      </c>
      <c r="M6516" t="s">
        <v>2661</v>
      </c>
    </row>
    <row r="6517" spans="1:13">
      <c r="A6517" t="s">
        <v>2536</v>
      </c>
      <c r="B6517" t="s">
        <v>148</v>
      </c>
      <c r="C6517" s="8">
        <v>46258</v>
      </c>
      <c r="D6517" t="s">
        <v>324</v>
      </c>
      <c r="E6517" t="s">
        <v>339</v>
      </c>
      <c r="F6517" s="12">
        <v>283282</v>
      </c>
      <c r="G6517" s="13">
        <v>28</v>
      </c>
      <c r="H6517" t="s">
        <v>3492</v>
      </c>
      <c r="I6517" s="8">
        <v>45951</v>
      </c>
      <c r="J6517" t="s">
        <v>2659</v>
      </c>
      <c r="K6517" t="s">
        <v>2660</v>
      </c>
      <c r="L6517" s="13">
        <v>3500</v>
      </c>
      <c r="M6517" t="s">
        <v>2661</v>
      </c>
    </row>
    <row r="6518" spans="1:13">
      <c r="A6518" t="s">
        <v>2536</v>
      </c>
      <c r="B6518" t="s">
        <v>148</v>
      </c>
      <c r="C6518" s="8">
        <v>46258</v>
      </c>
      <c r="D6518" t="s">
        <v>324</v>
      </c>
      <c r="E6518" t="s">
        <v>339</v>
      </c>
      <c r="F6518" s="12">
        <v>283282</v>
      </c>
      <c r="G6518" s="13">
        <v>28</v>
      </c>
      <c r="H6518" t="s">
        <v>3552</v>
      </c>
      <c r="I6518" s="8">
        <v>45939</v>
      </c>
      <c r="J6518" t="s">
        <v>2671</v>
      </c>
      <c r="K6518" t="s">
        <v>2672</v>
      </c>
      <c r="L6518" s="13">
        <v>3000</v>
      </c>
      <c r="M6518" t="s">
        <v>2661</v>
      </c>
    </row>
    <row r="6519" spans="1:13">
      <c r="A6519" t="s">
        <v>2537</v>
      </c>
      <c r="B6519" t="s">
        <v>86</v>
      </c>
      <c r="C6519" s="8">
        <v>46061</v>
      </c>
      <c r="D6519" t="s">
        <v>330</v>
      </c>
      <c r="E6519" t="s">
        <v>334</v>
      </c>
      <c r="F6519" s="12">
        <v>237784</v>
      </c>
      <c r="G6519" s="13">
        <v>23</v>
      </c>
      <c r="H6519" t="s">
        <v>3550</v>
      </c>
      <c r="I6519" s="8">
        <v>46122</v>
      </c>
      <c r="J6519" t="s">
        <v>2671</v>
      </c>
      <c r="K6519" t="s">
        <v>2672</v>
      </c>
      <c r="L6519" s="13">
        <v>3000</v>
      </c>
      <c r="M6519" t="s">
        <v>2661</v>
      </c>
    </row>
    <row r="6520" spans="1:13">
      <c r="A6520" t="s">
        <v>2538</v>
      </c>
      <c r="B6520" t="s">
        <v>69</v>
      </c>
      <c r="C6520" s="8">
        <v>45952</v>
      </c>
      <c r="D6520" t="s">
        <v>324</v>
      </c>
      <c r="E6520" t="s">
        <v>337</v>
      </c>
      <c r="F6520" s="12">
        <v>646757</v>
      </c>
      <c r="G6520" s="13">
        <v>64</v>
      </c>
      <c r="H6520" t="s">
        <v>2723</v>
      </c>
      <c r="I6520" s="8">
        <v>46140</v>
      </c>
      <c r="J6520" t="s">
        <v>2688</v>
      </c>
      <c r="K6520" t="s">
        <v>2689</v>
      </c>
      <c r="L6520" s="13">
        <v>8000</v>
      </c>
      <c r="M6520" t="s">
        <v>2661</v>
      </c>
    </row>
    <row r="6521" spans="1:13">
      <c r="A6521" t="s">
        <v>2538</v>
      </c>
      <c r="B6521" t="s">
        <v>69</v>
      </c>
      <c r="C6521" s="8">
        <v>45952</v>
      </c>
      <c r="D6521" t="s">
        <v>324</v>
      </c>
      <c r="E6521" t="s">
        <v>337</v>
      </c>
      <c r="F6521" s="12">
        <v>646757</v>
      </c>
      <c r="G6521" s="13">
        <v>64</v>
      </c>
      <c r="H6521" t="s">
        <v>2822</v>
      </c>
      <c r="I6521" s="8">
        <v>46159</v>
      </c>
      <c r="J6521" t="s">
        <v>2668</v>
      </c>
      <c r="K6521" t="s">
        <v>2669</v>
      </c>
      <c r="L6521" s="13">
        <v>4000</v>
      </c>
      <c r="M6521" t="s">
        <v>2661</v>
      </c>
    </row>
    <row r="6522" spans="1:13">
      <c r="A6522" t="s">
        <v>2538</v>
      </c>
      <c r="B6522" t="s">
        <v>69</v>
      </c>
      <c r="C6522" s="8">
        <v>45952</v>
      </c>
      <c r="D6522" t="s">
        <v>324</v>
      </c>
      <c r="E6522" t="s">
        <v>337</v>
      </c>
      <c r="F6522" s="12">
        <v>646757</v>
      </c>
      <c r="G6522" s="13">
        <v>64</v>
      </c>
      <c r="H6522" t="s">
        <v>3513</v>
      </c>
      <c r="I6522" s="8">
        <v>46161</v>
      </c>
      <c r="J6522" t="s">
        <v>2692</v>
      </c>
      <c r="K6522" t="s">
        <v>2693</v>
      </c>
      <c r="L6522" s="13">
        <v>10000</v>
      </c>
      <c r="M6522" t="s">
        <v>2661</v>
      </c>
    </row>
    <row r="6523" spans="1:13">
      <c r="A6523" t="s">
        <v>2539</v>
      </c>
      <c r="B6523" t="s">
        <v>39</v>
      </c>
      <c r="C6523" s="8">
        <v>46092</v>
      </c>
      <c r="D6523" t="s">
        <v>350</v>
      </c>
      <c r="E6523" t="s">
        <v>325</v>
      </c>
      <c r="F6523" s="12">
        <v>321240</v>
      </c>
      <c r="G6523" s="13">
        <v>32</v>
      </c>
      <c r="H6523" t="s">
        <v>2837</v>
      </c>
      <c r="I6523" s="8">
        <v>45971</v>
      </c>
      <c r="J6523" t="s">
        <v>2668</v>
      </c>
      <c r="K6523" t="s">
        <v>2669</v>
      </c>
      <c r="L6523" s="13">
        <v>4000</v>
      </c>
      <c r="M6523" t="s">
        <v>2661</v>
      </c>
    </row>
    <row r="6524" spans="1:13">
      <c r="A6524" t="s">
        <v>2539</v>
      </c>
      <c r="B6524" t="s">
        <v>39</v>
      </c>
      <c r="C6524" s="8">
        <v>46092</v>
      </c>
      <c r="D6524" t="s">
        <v>350</v>
      </c>
      <c r="E6524" t="s">
        <v>325</v>
      </c>
      <c r="F6524" s="12">
        <v>321240</v>
      </c>
      <c r="G6524" s="13">
        <v>32</v>
      </c>
      <c r="H6524" t="s">
        <v>3308</v>
      </c>
      <c r="I6524" s="8">
        <v>46107</v>
      </c>
      <c r="J6524" t="s">
        <v>2692</v>
      </c>
      <c r="K6524" t="s">
        <v>2693</v>
      </c>
      <c r="L6524" s="13">
        <v>10000</v>
      </c>
      <c r="M6524" t="s">
        <v>2661</v>
      </c>
    </row>
    <row r="6525" spans="1:13">
      <c r="A6525" t="s">
        <v>2540</v>
      </c>
      <c r="B6525" t="s">
        <v>259</v>
      </c>
      <c r="C6525" s="8">
        <v>46107</v>
      </c>
      <c r="D6525" t="s">
        <v>344</v>
      </c>
      <c r="E6525" t="s">
        <v>337</v>
      </c>
      <c r="F6525" s="12">
        <v>216286</v>
      </c>
      <c r="G6525" s="13">
        <v>21</v>
      </c>
      <c r="H6525" t="s">
        <v>2802</v>
      </c>
      <c r="I6525" s="8">
        <v>46222</v>
      </c>
      <c r="J6525" t="s">
        <v>2668</v>
      </c>
      <c r="K6525" t="s">
        <v>2669</v>
      </c>
      <c r="L6525" s="13">
        <v>4000</v>
      </c>
      <c r="M6525" t="s">
        <v>2661</v>
      </c>
    </row>
    <row r="6526" spans="1:13">
      <c r="A6526" t="s">
        <v>2540</v>
      </c>
      <c r="B6526" t="s">
        <v>259</v>
      </c>
      <c r="C6526" s="8">
        <v>46107</v>
      </c>
      <c r="D6526" t="s">
        <v>344</v>
      </c>
      <c r="E6526" t="s">
        <v>337</v>
      </c>
      <c r="F6526" s="12">
        <v>216286</v>
      </c>
      <c r="G6526" s="13">
        <v>21</v>
      </c>
      <c r="H6526" t="s">
        <v>2933</v>
      </c>
      <c r="I6526" s="8">
        <v>46183</v>
      </c>
      <c r="J6526" t="s">
        <v>2674</v>
      </c>
      <c r="K6526" t="s">
        <v>2675</v>
      </c>
      <c r="L6526" s="13">
        <v>20000</v>
      </c>
      <c r="M6526" t="s">
        <v>2661</v>
      </c>
    </row>
    <row r="6527" spans="1:13">
      <c r="A6527" t="s">
        <v>2540</v>
      </c>
      <c r="B6527" t="s">
        <v>259</v>
      </c>
      <c r="C6527" s="8">
        <v>46107</v>
      </c>
      <c r="D6527" t="s">
        <v>344</v>
      </c>
      <c r="E6527" t="s">
        <v>337</v>
      </c>
      <c r="F6527" s="12">
        <v>216286</v>
      </c>
      <c r="G6527" s="13">
        <v>21</v>
      </c>
      <c r="H6527" t="s">
        <v>2969</v>
      </c>
      <c r="I6527" s="8">
        <v>46173</v>
      </c>
      <c r="J6527" t="s">
        <v>2668</v>
      </c>
      <c r="K6527" t="s">
        <v>2669</v>
      </c>
      <c r="L6527" s="13">
        <v>4000</v>
      </c>
      <c r="M6527" t="s">
        <v>2661</v>
      </c>
    </row>
    <row r="6528" spans="1:13">
      <c r="A6528" t="s">
        <v>2540</v>
      </c>
      <c r="B6528" t="s">
        <v>259</v>
      </c>
      <c r="C6528" s="8">
        <v>46107</v>
      </c>
      <c r="D6528" t="s">
        <v>344</v>
      </c>
      <c r="E6528" t="s">
        <v>337</v>
      </c>
      <c r="F6528" s="12">
        <v>216286</v>
      </c>
      <c r="G6528" s="13">
        <v>21</v>
      </c>
      <c r="H6528" t="s">
        <v>3300</v>
      </c>
      <c r="I6528" s="8">
        <v>46089</v>
      </c>
      <c r="J6528" t="s">
        <v>2688</v>
      </c>
      <c r="K6528" t="s">
        <v>2689</v>
      </c>
      <c r="L6528" s="13">
        <v>8000</v>
      </c>
      <c r="M6528" t="s">
        <v>2676</v>
      </c>
    </row>
    <row r="6529" spans="1:13">
      <c r="A6529" t="s">
        <v>2541</v>
      </c>
      <c r="B6529" t="s">
        <v>241</v>
      </c>
      <c r="C6529" s="8">
        <v>46023</v>
      </c>
      <c r="D6529" t="s">
        <v>330</v>
      </c>
      <c r="E6529" t="s">
        <v>337</v>
      </c>
      <c r="F6529" s="12">
        <v>219277</v>
      </c>
      <c r="G6529" s="13">
        <v>21</v>
      </c>
      <c r="H6529" t="s">
        <v>2911</v>
      </c>
      <c r="I6529" s="8">
        <v>46173</v>
      </c>
      <c r="J6529" t="s">
        <v>2692</v>
      </c>
      <c r="K6529" t="s">
        <v>2693</v>
      </c>
      <c r="L6529" s="13">
        <v>10000</v>
      </c>
      <c r="M6529" t="s">
        <v>2661</v>
      </c>
    </row>
    <row r="6530" spans="1:13">
      <c r="A6530" t="s">
        <v>2541</v>
      </c>
      <c r="B6530" t="s">
        <v>241</v>
      </c>
      <c r="C6530" s="8">
        <v>46023</v>
      </c>
      <c r="D6530" t="s">
        <v>330</v>
      </c>
      <c r="E6530" t="s">
        <v>337</v>
      </c>
      <c r="F6530" s="12">
        <v>219277</v>
      </c>
      <c r="G6530" s="13">
        <v>21</v>
      </c>
      <c r="H6530" t="s">
        <v>3174</v>
      </c>
      <c r="I6530" s="8">
        <v>46189</v>
      </c>
      <c r="J6530" t="s">
        <v>2674</v>
      </c>
      <c r="K6530" t="s">
        <v>2675</v>
      </c>
      <c r="L6530" s="13">
        <v>20000</v>
      </c>
      <c r="M6530" t="s">
        <v>2661</v>
      </c>
    </row>
    <row r="6531" spans="1:13">
      <c r="A6531" t="s">
        <v>2541</v>
      </c>
      <c r="B6531" t="s">
        <v>241</v>
      </c>
      <c r="C6531" s="8">
        <v>46023</v>
      </c>
      <c r="D6531" t="s">
        <v>330</v>
      </c>
      <c r="E6531" t="s">
        <v>337</v>
      </c>
      <c r="F6531" s="12">
        <v>219277</v>
      </c>
      <c r="G6531" s="13">
        <v>21</v>
      </c>
      <c r="H6531" t="s">
        <v>3419</v>
      </c>
      <c r="I6531" s="8">
        <v>46084</v>
      </c>
      <c r="J6531" t="s">
        <v>2665</v>
      </c>
      <c r="K6531" t="s">
        <v>2666</v>
      </c>
      <c r="L6531" s="13">
        <v>2500</v>
      </c>
      <c r="M6531" t="s">
        <v>2661</v>
      </c>
    </row>
    <row r="6532" spans="1:13">
      <c r="A6532" t="s">
        <v>2541</v>
      </c>
      <c r="B6532" t="s">
        <v>241</v>
      </c>
      <c r="C6532" s="8">
        <v>46023</v>
      </c>
      <c r="D6532" t="s">
        <v>330</v>
      </c>
      <c r="E6532" t="s">
        <v>337</v>
      </c>
      <c r="F6532" s="12">
        <v>219277</v>
      </c>
      <c r="G6532" s="13">
        <v>21</v>
      </c>
      <c r="H6532" t="s">
        <v>3526</v>
      </c>
      <c r="I6532" s="8">
        <v>46211</v>
      </c>
      <c r="J6532" t="s">
        <v>2671</v>
      </c>
      <c r="K6532" t="s">
        <v>2672</v>
      </c>
      <c r="L6532" s="13">
        <v>3000</v>
      </c>
      <c r="M6532" t="s">
        <v>2661</v>
      </c>
    </row>
    <row r="6533" spans="1:13">
      <c r="A6533" t="s">
        <v>2542</v>
      </c>
      <c r="B6533" t="s">
        <v>98</v>
      </c>
      <c r="C6533" s="8">
        <v>46132</v>
      </c>
      <c r="D6533" t="s">
        <v>327</v>
      </c>
      <c r="E6533" t="s">
        <v>322</v>
      </c>
      <c r="F6533" s="12">
        <v>81293</v>
      </c>
      <c r="G6533" s="13">
        <v>8</v>
      </c>
      <c r="H6533" t="s">
        <v>2747</v>
      </c>
      <c r="I6533" s="8">
        <v>45952</v>
      </c>
      <c r="J6533" t="s">
        <v>2671</v>
      </c>
      <c r="K6533" t="s">
        <v>2672</v>
      </c>
      <c r="L6533" s="13">
        <v>3000</v>
      </c>
      <c r="M6533" t="s">
        <v>2676</v>
      </c>
    </row>
    <row r="6534" spans="1:13">
      <c r="A6534" t="s">
        <v>2542</v>
      </c>
      <c r="B6534" t="s">
        <v>98</v>
      </c>
      <c r="C6534" s="8">
        <v>46132</v>
      </c>
      <c r="D6534" t="s">
        <v>327</v>
      </c>
      <c r="E6534" t="s">
        <v>322</v>
      </c>
      <c r="F6534" s="12">
        <v>81293</v>
      </c>
      <c r="G6534" s="13">
        <v>8</v>
      </c>
      <c r="H6534" t="s">
        <v>3387</v>
      </c>
      <c r="I6534" s="8">
        <v>46122</v>
      </c>
      <c r="J6534" t="s">
        <v>2685</v>
      </c>
      <c r="K6534" t="s">
        <v>2686</v>
      </c>
      <c r="L6534" s="13">
        <v>5000</v>
      </c>
      <c r="M6534" t="s">
        <v>2661</v>
      </c>
    </row>
    <row r="6535" spans="1:13">
      <c r="A6535" t="s">
        <v>2543</v>
      </c>
      <c r="B6535" t="s">
        <v>277</v>
      </c>
      <c r="C6535" s="8">
        <v>46255</v>
      </c>
      <c r="D6535" t="s">
        <v>344</v>
      </c>
      <c r="E6535" t="s">
        <v>337</v>
      </c>
      <c r="F6535" s="12">
        <v>403892</v>
      </c>
      <c r="G6535" s="13">
        <v>40</v>
      </c>
      <c r="H6535" t="s">
        <v>2843</v>
      </c>
      <c r="I6535" s="8">
        <v>46213</v>
      </c>
      <c r="J6535" t="s">
        <v>2682</v>
      </c>
      <c r="K6535" t="s">
        <v>2683</v>
      </c>
      <c r="L6535" s="13">
        <v>6000</v>
      </c>
      <c r="M6535" t="s">
        <v>2661</v>
      </c>
    </row>
    <row r="6536" spans="1:13">
      <c r="A6536" t="s">
        <v>2543</v>
      </c>
      <c r="B6536" t="s">
        <v>277</v>
      </c>
      <c r="C6536" s="8">
        <v>46255</v>
      </c>
      <c r="D6536" t="s">
        <v>344</v>
      </c>
      <c r="E6536" t="s">
        <v>337</v>
      </c>
      <c r="F6536" s="12">
        <v>403892</v>
      </c>
      <c r="G6536" s="13">
        <v>40</v>
      </c>
      <c r="H6536" t="s">
        <v>2957</v>
      </c>
      <c r="I6536" s="8">
        <v>45984</v>
      </c>
      <c r="J6536" t="s">
        <v>2671</v>
      </c>
      <c r="K6536" t="s">
        <v>2672</v>
      </c>
      <c r="L6536" s="13">
        <v>3000</v>
      </c>
      <c r="M6536" t="s">
        <v>2661</v>
      </c>
    </row>
    <row r="6537" spans="1:13">
      <c r="A6537" t="s">
        <v>2543</v>
      </c>
      <c r="B6537" t="s">
        <v>277</v>
      </c>
      <c r="C6537" s="8">
        <v>46255</v>
      </c>
      <c r="D6537" t="s">
        <v>344</v>
      </c>
      <c r="E6537" t="s">
        <v>337</v>
      </c>
      <c r="F6537" s="12">
        <v>403892</v>
      </c>
      <c r="G6537" s="13">
        <v>40</v>
      </c>
      <c r="H6537" t="s">
        <v>2978</v>
      </c>
      <c r="I6537" s="8">
        <v>46142</v>
      </c>
      <c r="J6537" t="s">
        <v>2659</v>
      </c>
      <c r="K6537" t="s">
        <v>2660</v>
      </c>
      <c r="L6537" s="13">
        <v>3500</v>
      </c>
      <c r="M6537" t="s">
        <v>2661</v>
      </c>
    </row>
    <row r="6538" spans="1:13">
      <c r="A6538" t="s">
        <v>2543</v>
      </c>
      <c r="B6538" t="s">
        <v>277</v>
      </c>
      <c r="C6538" s="8">
        <v>46255</v>
      </c>
      <c r="D6538" t="s">
        <v>344</v>
      </c>
      <c r="E6538" t="s">
        <v>337</v>
      </c>
      <c r="F6538" s="12">
        <v>403892</v>
      </c>
      <c r="G6538" s="13">
        <v>40</v>
      </c>
      <c r="H6538" t="s">
        <v>3059</v>
      </c>
      <c r="I6538" s="8">
        <v>46217</v>
      </c>
      <c r="J6538" t="s">
        <v>2659</v>
      </c>
      <c r="K6538" t="s">
        <v>2660</v>
      </c>
      <c r="L6538" s="13">
        <v>3500</v>
      </c>
      <c r="M6538" t="s">
        <v>2661</v>
      </c>
    </row>
    <row r="6539" spans="1:13">
      <c r="A6539" t="s">
        <v>2543</v>
      </c>
      <c r="B6539" t="s">
        <v>277</v>
      </c>
      <c r="C6539" s="8">
        <v>46255</v>
      </c>
      <c r="D6539" t="s">
        <v>344</v>
      </c>
      <c r="E6539" t="s">
        <v>337</v>
      </c>
      <c r="F6539" s="12">
        <v>403892</v>
      </c>
      <c r="G6539" s="13">
        <v>40</v>
      </c>
      <c r="H6539" t="s">
        <v>3102</v>
      </c>
      <c r="I6539" s="8">
        <v>46027</v>
      </c>
      <c r="J6539" t="s">
        <v>2692</v>
      </c>
      <c r="K6539" t="s">
        <v>2693</v>
      </c>
      <c r="L6539" s="13">
        <v>10000</v>
      </c>
      <c r="M6539" t="s">
        <v>2661</v>
      </c>
    </row>
    <row r="6540" spans="1:13">
      <c r="A6540" t="s">
        <v>2543</v>
      </c>
      <c r="B6540" t="s">
        <v>277</v>
      </c>
      <c r="C6540" s="8">
        <v>46255</v>
      </c>
      <c r="D6540" t="s">
        <v>344</v>
      </c>
      <c r="E6540" t="s">
        <v>337</v>
      </c>
      <c r="F6540" s="12">
        <v>403892</v>
      </c>
      <c r="G6540" s="13">
        <v>40</v>
      </c>
      <c r="H6540" t="s">
        <v>3553</v>
      </c>
      <c r="I6540" s="8">
        <v>45945</v>
      </c>
      <c r="J6540" t="s">
        <v>2685</v>
      </c>
      <c r="K6540" t="s">
        <v>2686</v>
      </c>
      <c r="L6540" s="13">
        <v>5000</v>
      </c>
      <c r="M6540" t="s">
        <v>2661</v>
      </c>
    </row>
    <row r="6541" spans="1:13">
      <c r="A6541" t="s">
        <v>2543</v>
      </c>
      <c r="B6541" t="s">
        <v>277</v>
      </c>
      <c r="C6541" s="8">
        <v>46255</v>
      </c>
      <c r="D6541" t="s">
        <v>344</v>
      </c>
      <c r="E6541" t="s">
        <v>337</v>
      </c>
      <c r="F6541" s="12">
        <v>403892</v>
      </c>
      <c r="G6541" s="13">
        <v>40</v>
      </c>
      <c r="H6541" t="s">
        <v>3560</v>
      </c>
      <c r="I6541" s="8">
        <v>45986</v>
      </c>
      <c r="J6541" t="s">
        <v>2685</v>
      </c>
      <c r="K6541" t="s">
        <v>2686</v>
      </c>
      <c r="L6541" s="13">
        <v>5000</v>
      </c>
      <c r="M6541" t="s">
        <v>2661</v>
      </c>
    </row>
    <row r="6542" spans="1:13">
      <c r="A6542" t="s">
        <v>2544</v>
      </c>
      <c r="B6542" t="s">
        <v>269</v>
      </c>
      <c r="C6542" s="8">
        <v>46228</v>
      </c>
      <c r="D6542" t="s">
        <v>344</v>
      </c>
      <c r="E6542" t="s">
        <v>328</v>
      </c>
      <c r="F6542" s="12">
        <v>363234</v>
      </c>
      <c r="G6542" s="13">
        <v>36</v>
      </c>
      <c r="H6542" t="s">
        <v>2773</v>
      </c>
      <c r="I6542" s="8">
        <v>46184</v>
      </c>
      <c r="J6542" t="s">
        <v>2692</v>
      </c>
      <c r="K6542" t="s">
        <v>2693</v>
      </c>
      <c r="L6542" s="13">
        <v>10000</v>
      </c>
      <c r="M6542" t="s">
        <v>2661</v>
      </c>
    </row>
    <row r="6543" spans="1:13">
      <c r="A6543" t="s">
        <v>2544</v>
      </c>
      <c r="B6543" t="s">
        <v>269</v>
      </c>
      <c r="C6543" s="8">
        <v>46228</v>
      </c>
      <c r="D6543" t="s">
        <v>344</v>
      </c>
      <c r="E6543" t="s">
        <v>328</v>
      </c>
      <c r="F6543" s="12">
        <v>363234</v>
      </c>
      <c r="G6543" s="13">
        <v>36</v>
      </c>
      <c r="H6543" t="s">
        <v>3367</v>
      </c>
      <c r="I6543" s="8">
        <v>46038</v>
      </c>
      <c r="J6543" t="s">
        <v>2692</v>
      </c>
      <c r="K6543" t="s">
        <v>2693</v>
      </c>
      <c r="L6543" s="13">
        <v>10000</v>
      </c>
      <c r="M6543" t="s">
        <v>2661</v>
      </c>
    </row>
    <row r="6544" spans="1:13">
      <c r="A6544" t="s">
        <v>2544</v>
      </c>
      <c r="B6544" t="s">
        <v>269</v>
      </c>
      <c r="C6544" s="8">
        <v>46228</v>
      </c>
      <c r="D6544" t="s">
        <v>344</v>
      </c>
      <c r="E6544" t="s">
        <v>328</v>
      </c>
      <c r="F6544" s="12">
        <v>363234</v>
      </c>
      <c r="G6544" s="13">
        <v>36</v>
      </c>
      <c r="H6544" t="s">
        <v>3556</v>
      </c>
      <c r="I6544" s="8">
        <v>46043</v>
      </c>
      <c r="J6544" t="s">
        <v>2674</v>
      </c>
      <c r="K6544" t="s">
        <v>2675</v>
      </c>
      <c r="L6544" s="13">
        <v>20000</v>
      </c>
      <c r="M6544" t="s">
        <v>2661</v>
      </c>
    </row>
    <row r="6545" spans="1:13">
      <c r="A6545" t="s">
        <v>2546</v>
      </c>
      <c r="B6545" t="s">
        <v>202</v>
      </c>
      <c r="C6545" s="8">
        <v>46197</v>
      </c>
      <c r="D6545" t="s">
        <v>321</v>
      </c>
      <c r="E6545" t="s">
        <v>325</v>
      </c>
      <c r="F6545" s="12">
        <v>799269</v>
      </c>
      <c r="G6545" s="13">
        <v>79</v>
      </c>
      <c r="H6545" t="s">
        <v>3145</v>
      </c>
      <c r="I6545" s="8">
        <v>46214</v>
      </c>
      <c r="J6545" t="s">
        <v>2665</v>
      </c>
      <c r="K6545" t="s">
        <v>2666</v>
      </c>
      <c r="L6545" s="13">
        <v>2500</v>
      </c>
      <c r="M6545" t="s">
        <v>2676</v>
      </c>
    </row>
    <row r="6546" spans="1:13">
      <c r="A6546" t="s">
        <v>2546</v>
      </c>
      <c r="B6546" t="s">
        <v>202</v>
      </c>
      <c r="C6546" s="8">
        <v>46197</v>
      </c>
      <c r="D6546" t="s">
        <v>321</v>
      </c>
      <c r="E6546" t="s">
        <v>325</v>
      </c>
      <c r="F6546" s="12">
        <v>799269</v>
      </c>
      <c r="G6546" s="13">
        <v>79</v>
      </c>
      <c r="H6546" t="s">
        <v>3155</v>
      </c>
      <c r="I6546" s="8">
        <v>46206</v>
      </c>
      <c r="J6546" t="s">
        <v>2659</v>
      </c>
      <c r="K6546" t="s">
        <v>2660</v>
      </c>
      <c r="L6546" s="13">
        <v>3500</v>
      </c>
      <c r="M6546" t="s">
        <v>2661</v>
      </c>
    </row>
    <row r="6547" spans="1:13">
      <c r="A6547" t="s">
        <v>2547</v>
      </c>
      <c r="B6547" t="s">
        <v>225</v>
      </c>
      <c r="C6547" s="8">
        <v>46005</v>
      </c>
      <c r="D6547" t="s">
        <v>321</v>
      </c>
      <c r="E6547" t="s">
        <v>322</v>
      </c>
      <c r="F6547" s="12">
        <v>186879</v>
      </c>
      <c r="G6547" s="13">
        <v>18</v>
      </c>
      <c r="H6547" t="s">
        <v>2806</v>
      </c>
      <c r="I6547" s="8">
        <v>45967</v>
      </c>
      <c r="J6547" t="s">
        <v>2671</v>
      </c>
      <c r="K6547" t="s">
        <v>2672</v>
      </c>
      <c r="L6547" s="13">
        <v>3000</v>
      </c>
      <c r="M6547" t="s">
        <v>2676</v>
      </c>
    </row>
    <row r="6548" spans="1:13">
      <c r="A6548" t="s">
        <v>2548</v>
      </c>
      <c r="B6548" t="s">
        <v>61</v>
      </c>
      <c r="C6548" s="8">
        <v>46076</v>
      </c>
      <c r="D6548" t="s">
        <v>342</v>
      </c>
      <c r="E6548" t="s">
        <v>334</v>
      </c>
      <c r="F6548" s="12">
        <v>266275</v>
      </c>
      <c r="G6548" s="13">
        <v>26</v>
      </c>
      <c r="H6548" t="s">
        <v>2681</v>
      </c>
      <c r="I6548" s="8">
        <v>46094</v>
      </c>
      <c r="J6548" t="s">
        <v>2682</v>
      </c>
      <c r="K6548" t="s">
        <v>2683</v>
      </c>
      <c r="L6548" s="13">
        <v>6000</v>
      </c>
      <c r="M6548" t="s">
        <v>2661</v>
      </c>
    </row>
    <row r="6549" spans="1:13">
      <c r="A6549" t="s">
        <v>2548</v>
      </c>
      <c r="B6549" t="s">
        <v>61</v>
      </c>
      <c r="C6549" s="8">
        <v>46076</v>
      </c>
      <c r="D6549" t="s">
        <v>342</v>
      </c>
      <c r="E6549" t="s">
        <v>334</v>
      </c>
      <c r="F6549" s="12">
        <v>266275</v>
      </c>
      <c r="G6549" s="13">
        <v>26</v>
      </c>
      <c r="H6549" t="s">
        <v>2959</v>
      </c>
      <c r="I6549" s="8">
        <v>46036</v>
      </c>
      <c r="J6549" t="s">
        <v>2692</v>
      </c>
      <c r="K6549" t="s">
        <v>2693</v>
      </c>
      <c r="L6549" s="13">
        <v>10000</v>
      </c>
      <c r="M6549" t="s">
        <v>2661</v>
      </c>
    </row>
    <row r="6550" spans="1:13">
      <c r="A6550" t="s">
        <v>2548</v>
      </c>
      <c r="B6550" t="s">
        <v>61</v>
      </c>
      <c r="C6550" s="8">
        <v>46076</v>
      </c>
      <c r="D6550" t="s">
        <v>342</v>
      </c>
      <c r="E6550" t="s">
        <v>334</v>
      </c>
      <c r="F6550" s="12">
        <v>266275</v>
      </c>
      <c r="G6550" s="13">
        <v>26</v>
      </c>
      <c r="H6550" t="s">
        <v>3466</v>
      </c>
      <c r="I6550" s="8">
        <v>46050</v>
      </c>
      <c r="J6550" t="s">
        <v>2659</v>
      </c>
      <c r="K6550" t="s">
        <v>2660</v>
      </c>
      <c r="L6550" s="13">
        <v>3500</v>
      </c>
      <c r="M6550" t="s">
        <v>2661</v>
      </c>
    </row>
    <row r="6551" spans="1:13">
      <c r="A6551" t="s">
        <v>2548</v>
      </c>
      <c r="B6551" t="s">
        <v>61</v>
      </c>
      <c r="C6551" s="8">
        <v>46076</v>
      </c>
      <c r="D6551" t="s">
        <v>342</v>
      </c>
      <c r="E6551" t="s">
        <v>334</v>
      </c>
      <c r="F6551" s="12">
        <v>266275</v>
      </c>
      <c r="G6551" s="13">
        <v>26</v>
      </c>
      <c r="H6551" t="s">
        <v>3470</v>
      </c>
      <c r="I6551" s="8">
        <v>46196</v>
      </c>
      <c r="J6551" t="s">
        <v>2659</v>
      </c>
      <c r="K6551" t="s">
        <v>2660</v>
      </c>
      <c r="L6551" s="13">
        <v>3500</v>
      </c>
      <c r="M6551" t="s">
        <v>2661</v>
      </c>
    </row>
    <row r="6552" spans="1:13">
      <c r="A6552" t="s">
        <v>2550</v>
      </c>
      <c r="B6552" t="s">
        <v>310</v>
      </c>
      <c r="C6552" s="8">
        <v>46270</v>
      </c>
      <c r="D6552" t="s">
        <v>344</v>
      </c>
      <c r="E6552" t="s">
        <v>337</v>
      </c>
      <c r="F6552" s="12">
        <v>39389</v>
      </c>
      <c r="G6552" s="13">
        <v>3</v>
      </c>
      <c r="H6552" t="s">
        <v>2712</v>
      </c>
      <c r="I6552" s="8">
        <v>46153</v>
      </c>
      <c r="J6552" t="s">
        <v>2682</v>
      </c>
      <c r="K6552" t="s">
        <v>2683</v>
      </c>
      <c r="L6552" s="13">
        <v>6000</v>
      </c>
      <c r="M6552" t="s">
        <v>2661</v>
      </c>
    </row>
    <row r="6553" spans="1:13">
      <c r="A6553" t="s">
        <v>2550</v>
      </c>
      <c r="B6553" t="s">
        <v>310</v>
      </c>
      <c r="C6553" s="8">
        <v>46270</v>
      </c>
      <c r="D6553" t="s">
        <v>344</v>
      </c>
      <c r="E6553" t="s">
        <v>337</v>
      </c>
      <c r="F6553" s="12">
        <v>39389</v>
      </c>
      <c r="G6553" s="13">
        <v>3</v>
      </c>
      <c r="H6553" t="s">
        <v>2895</v>
      </c>
      <c r="I6553" s="8">
        <v>45957</v>
      </c>
      <c r="J6553" t="s">
        <v>2688</v>
      </c>
      <c r="K6553" t="s">
        <v>2689</v>
      </c>
      <c r="L6553" s="13">
        <v>8000</v>
      </c>
      <c r="M6553" t="s">
        <v>2661</v>
      </c>
    </row>
    <row r="6554" spans="1:13">
      <c r="A6554" t="s">
        <v>2550</v>
      </c>
      <c r="B6554" t="s">
        <v>310</v>
      </c>
      <c r="C6554" s="8">
        <v>46270</v>
      </c>
      <c r="D6554" t="s">
        <v>344</v>
      </c>
      <c r="E6554" t="s">
        <v>337</v>
      </c>
      <c r="F6554" s="12">
        <v>39389</v>
      </c>
      <c r="G6554" s="13">
        <v>3</v>
      </c>
      <c r="H6554" t="s">
        <v>2976</v>
      </c>
      <c r="I6554" s="8">
        <v>46146</v>
      </c>
      <c r="J6554" t="s">
        <v>2685</v>
      </c>
      <c r="K6554" t="s">
        <v>2686</v>
      </c>
      <c r="L6554" s="13">
        <v>5000</v>
      </c>
      <c r="M6554" t="s">
        <v>2661</v>
      </c>
    </row>
    <row r="6555" spans="1:13">
      <c r="A6555" t="s">
        <v>2550</v>
      </c>
      <c r="B6555" t="s">
        <v>310</v>
      </c>
      <c r="C6555" s="8">
        <v>46270</v>
      </c>
      <c r="D6555" t="s">
        <v>344</v>
      </c>
      <c r="E6555" t="s">
        <v>337</v>
      </c>
      <c r="F6555" s="12">
        <v>39389</v>
      </c>
      <c r="G6555" s="13">
        <v>3</v>
      </c>
      <c r="H6555" t="s">
        <v>3295</v>
      </c>
      <c r="I6555" s="8">
        <v>46154</v>
      </c>
      <c r="J6555" t="s">
        <v>2668</v>
      </c>
      <c r="K6555" t="s">
        <v>2669</v>
      </c>
      <c r="L6555" s="13">
        <v>4000</v>
      </c>
      <c r="M6555" t="s">
        <v>2676</v>
      </c>
    </row>
    <row r="6556" spans="1:13">
      <c r="A6556" t="s">
        <v>2550</v>
      </c>
      <c r="B6556" t="s">
        <v>310</v>
      </c>
      <c r="C6556" s="8">
        <v>46270</v>
      </c>
      <c r="D6556" t="s">
        <v>344</v>
      </c>
      <c r="E6556" t="s">
        <v>337</v>
      </c>
      <c r="F6556" s="12">
        <v>39389</v>
      </c>
      <c r="G6556" s="13">
        <v>3</v>
      </c>
      <c r="H6556" t="s">
        <v>3480</v>
      </c>
      <c r="I6556" s="8">
        <v>46012</v>
      </c>
      <c r="J6556" t="s">
        <v>2685</v>
      </c>
      <c r="K6556" t="s">
        <v>2686</v>
      </c>
      <c r="L6556" s="13">
        <v>5000</v>
      </c>
      <c r="M6556" t="s">
        <v>2676</v>
      </c>
    </row>
    <row r="6557" spans="1:13">
      <c r="A6557" t="s">
        <v>2551</v>
      </c>
      <c r="B6557" t="s">
        <v>51</v>
      </c>
      <c r="C6557" s="8">
        <v>46111</v>
      </c>
      <c r="D6557" t="s">
        <v>327</v>
      </c>
      <c r="E6557" t="s">
        <v>337</v>
      </c>
      <c r="F6557" s="12">
        <v>386673</v>
      </c>
      <c r="G6557" s="13">
        <v>38</v>
      </c>
      <c r="H6557" t="s">
        <v>2800</v>
      </c>
      <c r="I6557" s="8">
        <v>46266</v>
      </c>
      <c r="J6557" t="s">
        <v>2674</v>
      </c>
      <c r="K6557" t="s">
        <v>2675</v>
      </c>
      <c r="L6557" s="13">
        <v>20000</v>
      </c>
      <c r="M6557" t="s">
        <v>2676</v>
      </c>
    </row>
    <row r="6558" spans="1:13">
      <c r="A6558" t="s">
        <v>2551</v>
      </c>
      <c r="B6558" t="s">
        <v>51</v>
      </c>
      <c r="C6558" s="8">
        <v>46111</v>
      </c>
      <c r="D6558" t="s">
        <v>327</v>
      </c>
      <c r="E6558" t="s">
        <v>337</v>
      </c>
      <c r="F6558" s="12">
        <v>386673</v>
      </c>
      <c r="G6558" s="13">
        <v>38</v>
      </c>
      <c r="H6558" t="s">
        <v>3477</v>
      </c>
      <c r="I6558" s="8">
        <v>46036</v>
      </c>
      <c r="J6558" t="s">
        <v>2671</v>
      </c>
      <c r="K6558" t="s">
        <v>2672</v>
      </c>
      <c r="L6558" s="13">
        <v>3000</v>
      </c>
      <c r="M6558" t="s">
        <v>2661</v>
      </c>
    </row>
    <row r="6559" spans="1:13">
      <c r="A6559" t="s">
        <v>2552</v>
      </c>
      <c r="B6559" t="s">
        <v>259</v>
      </c>
      <c r="C6559" s="8">
        <v>46276</v>
      </c>
      <c r="D6559" t="s">
        <v>330</v>
      </c>
      <c r="E6559" t="s">
        <v>337</v>
      </c>
      <c r="F6559" s="12">
        <v>321489</v>
      </c>
      <c r="G6559" s="13">
        <v>32</v>
      </c>
      <c r="H6559" t="s">
        <v>2802</v>
      </c>
      <c r="I6559" s="8">
        <v>46222</v>
      </c>
      <c r="J6559" t="s">
        <v>2668</v>
      </c>
      <c r="K6559" t="s">
        <v>2669</v>
      </c>
      <c r="L6559" s="13">
        <v>4000</v>
      </c>
      <c r="M6559" t="s">
        <v>2661</v>
      </c>
    </row>
    <row r="6560" spans="1:13">
      <c r="A6560" t="s">
        <v>2552</v>
      </c>
      <c r="B6560" t="s">
        <v>259</v>
      </c>
      <c r="C6560" s="8">
        <v>46276</v>
      </c>
      <c r="D6560" t="s">
        <v>330</v>
      </c>
      <c r="E6560" t="s">
        <v>337</v>
      </c>
      <c r="F6560" s="12">
        <v>321489</v>
      </c>
      <c r="G6560" s="13">
        <v>32</v>
      </c>
      <c r="H6560" t="s">
        <v>2933</v>
      </c>
      <c r="I6560" s="8">
        <v>46183</v>
      </c>
      <c r="J6560" t="s">
        <v>2674</v>
      </c>
      <c r="K6560" t="s">
        <v>2675</v>
      </c>
      <c r="L6560" s="13">
        <v>20000</v>
      </c>
      <c r="M6560" t="s">
        <v>2661</v>
      </c>
    </row>
    <row r="6561" spans="1:13">
      <c r="A6561" t="s">
        <v>2552</v>
      </c>
      <c r="B6561" t="s">
        <v>259</v>
      </c>
      <c r="C6561" s="8">
        <v>46276</v>
      </c>
      <c r="D6561" t="s">
        <v>330</v>
      </c>
      <c r="E6561" t="s">
        <v>337</v>
      </c>
      <c r="F6561" s="12">
        <v>321489</v>
      </c>
      <c r="G6561" s="13">
        <v>32</v>
      </c>
      <c r="H6561" t="s">
        <v>2969</v>
      </c>
      <c r="I6561" s="8">
        <v>46173</v>
      </c>
      <c r="J6561" t="s">
        <v>2668</v>
      </c>
      <c r="K6561" t="s">
        <v>2669</v>
      </c>
      <c r="L6561" s="13">
        <v>4000</v>
      </c>
      <c r="M6561" t="s">
        <v>2661</v>
      </c>
    </row>
    <row r="6562" spans="1:13">
      <c r="A6562" t="s">
        <v>2552</v>
      </c>
      <c r="B6562" t="s">
        <v>259</v>
      </c>
      <c r="C6562" s="8">
        <v>46276</v>
      </c>
      <c r="D6562" t="s">
        <v>330</v>
      </c>
      <c r="E6562" t="s">
        <v>337</v>
      </c>
      <c r="F6562" s="12">
        <v>321489</v>
      </c>
      <c r="G6562" s="13">
        <v>32</v>
      </c>
      <c r="H6562" t="s">
        <v>3300</v>
      </c>
      <c r="I6562" s="8">
        <v>46089</v>
      </c>
      <c r="J6562" t="s">
        <v>2688</v>
      </c>
      <c r="K6562" t="s">
        <v>2689</v>
      </c>
      <c r="L6562" s="13">
        <v>8000</v>
      </c>
      <c r="M6562" t="s">
        <v>2676</v>
      </c>
    </row>
    <row r="6563" spans="1:13">
      <c r="A6563" t="s">
        <v>2553</v>
      </c>
      <c r="B6563" t="s">
        <v>246</v>
      </c>
      <c r="C6563" s="8">
        <v>45949</v>
      </c>
      <c r="D6563" t="s">
        <v>321</v>
      </c>
      <c r="E6563" t="s">
        <v>325</v>
      </c>
      <c r="F6563" s="12">
        <v>302168</v>
      </c>
      <c r="G6563" s="13">
        <v>30</v>
      </c>
      <c r="H6563" t="s">
        <v>2762</v>
      </c>
      <c r="I6563" s="8">
        <v>46154</v>
      </c>
      <c r="J6563" t="s">
        <v>2682</v>
      </c>
      <c r="K6563" t="s">
        <v>2683</v>
      </c>
      <c r="L6563" s="13">
        <v>6000</v>
      </c>
      <c r="M6563" t="s">
        <v>2661</v>
      </c>
    </row>
    <row r="6564" spans="1:13">
      <c r="A6564" t="s">
        <v>2553</v>
      </c>
      <c r="B6564" t="s">
        <v>246</v>
      </c>
      <c r="C6564" s="8">
        <v>45949</v>
      </c>
      <c r="D6564" t="s">
        <v>321</v>
      </c>
      <c r="E6564" t="s">
        <v>325</v>
      </c>
      <c r="F6564" s="12">
        <v>302168</v>
      </c>
      <c r="G6564" s="13">
        <v>30</v>
      </c>
      <c r="H6564" t="s">
        <v>2883</v>
      </c>
      <c r="I6564" s="8">
        <v>46154</v>
      </c>
      <c r="J6564" t="s">
        <v>2688</v>
      </c>
      <c r="K6564" t="s">
        <v>2689</v>
      </c>
      <c r="L6564" s="13">
        <v>8000</v>
      </c>
      <c r="M6564" t="s">
        <v>2676</v>
      </c>
    </row>
    <row r="6565" spans="1:13">
      <c r="A6565" t="s">
        <v>2553</v>
      </c>
      <c r="B6565" t="s">
        <v>246</v>
      </c>
      <c r="C6565" s="8">
        <v>45949</v>
      </c>
      <c r="D6565" t="s">
        <v>321</v>
      </c>
      <c r="E6565" t="s">
        <v>325</v>
      </c>
      <c r="F6565" s="12">
        <v>302168</v>
      </c>
      <c r="G6565" s="13">
        <v>30</v>
      </c>
      <c r="H6565" t="s">
        <v>3077</v>
      </c>
      <c r="I6565" s="8">
        <v>45953</v>
      </c>
      <c r="J6565" t="s">
        <v>2674</v>
      </c>
      <c r="K6565" t="s">
        <v>2675</v>
      </c>
      <c r="L6565" s="13">
        <v>20000</v>
      </c>
      <c r="M6565" t="s">
        <v>2661</v>
      </c>
    </row>
    <row r="6566" spans="1:13">
      <c r="A6566" t="s">
        <v>2553</v>
      </c>
      <c r="B6566" t="s">
        <v>246</v>
      </c>
      <c r="C6566" s="8">
        <v>45949</v>
      </c>
      <c r="D6566" t="s">
        <v>321</v>
      </c>
      <c r="E6566" t="s">
        <v>325</v>
      </c>
      <c r="F6566" s="12">
        <v>302168</v>
      </c>
      <c r="G6566" s="13">
        <v>30</v>
      </c>
      <c r="H6566" t="s">
        <v>3504</v>
      </c>
      <c r="I6566" s="8">
        <v>46053</v>
      </c>
      <c r="J6566" t="s">
        <v>2663</v>
      </c>
      <c r="K6566" t="s">
        <v>3630</v>
      </c>
      <c r="L6566" s="13">
        <v>1500</v>
      </c>
      <c r="M6566" t="s">
        <v>2661</v>
      </c>
    </row>
    <row r="6567" spans="1:13">
      <c r="A6567" t="s">
        <v>2554</v>
      </c>
      <c r="B6567" t="s">
        <v>294</v>
      </c>
      <c r="C6567" s="8">
        <v>46040</v>
      </c>
      <c r="D6567" t="s">
        <v>330</v>
      </c>
      <c r="E6567" t="s">
        <v>325</v>
      </c>
      <c r="F6567" s="12">
        <v>377722</v>
      </c>
      <c r="G6567" s="13">
        <v>37</v>
      </c>
      <c r="H6567" t="s">
        <v>3571</v>
      </c>
      <c r="I6567" s="8">
        <v>45937</v>
      </c>
      <c r="J6567" t="s">
        <v>2663</v>
      </c>
      <c r="K6567" t="s">
        <v>3630</v>
      </c>
      <c r="L6567" s="13">
        <v>1500</v>
      </c>
      <c r="M6567" t="s">
        <v>2661</v>
      </c>
    </row>
    <row r="6568" spans="1:13">
      <c r="A6568" t="s">
        <v>2554</v>
      </c>
      <c r="B6568" t="s">
        <v>294</v>
      </c>
      <c r="C6568" s="8">
        <v>46040</v>
      </c>
      <c r="D6568" t="s">
        <v>330</v>
      </c>
      <c r="E6568" t="s">
        <v>325</v>
      </c>
      <c r="F6568" s="12">
        <v>377722</v>
      </c>
      <c r="G6568" s="13">
        <v>37</v>
      </c>
      <c r="H6568" t="s">
        <v>3572</v>
      </c>
      <c r="I6568" s="8">
        <v>46039</v>
      </c>
      <c r="J6568" t="s">
        <v>2668</v>
      </c>
      <c r="K6568" t="s">
        <v>2669</v>
      </c>
      <c r="L6568" s="13">
        <v>4000</v>
      </c>
      <c r="M6568" t="s">
        <v>2661</v>
      </c>
    </row>
    <row r="6569" spans="1:13">
      <c r="A6569" t="s">
        <v>2555</v>
      </c>
      <c r="B6569" t="s">
        <v>126</v>
      </c>
      <c r="C6569" s="8">
        <v>46234</v>
      </c>
      <c r="D6569" t="s">
        <v>327</v>
      </c>
      <c r="E6569" t="s">
        <v>337</v>
      </c>
      <c r="F6569" s="12">
        <v>194775</v>
      </c>
      <c r="G6569" s="13">
        <v>19</v>
      </c>
      <c r="H6569" t="s">
        <v>2798</v>
      </c>
      <c r="I6569" s="8">
        <v>46235</v>
      </c>
      <c r="J6569" t="s">
        <v>2659</v>
      </c>
      <c r="K6569" t="s">
        <v>2660</v>
      </c>
      <c r="L6569" s="13">
        <v>3500</v>
      </c>
      <c r="M6569" t="s">
        <v>2661</v>
      </c>
    </row>
    <row r="6570" spans="1:13">
      <c r="A6570" t="s">
        <v>2555</v>
      </c>
      <c r="B6570" t="s">
        <v>126</v>
      </c>
      <c r="C6570" s="8">
        <v>46234</v>
      </c>
      <c r="D6570" t="s">
        <v>327</v>
      </c>
      <c r="E6570" t="s">
        <v>337</v>
      </c>
      <c r="F6570" s="12">
        <v>194775</v>
      </c>
      <c r="G6570" s="13">
        <v>19</v>
      </c>
      <c r="H6570" t="s">
        <v>3334</v>
      </c>
      <c r="I6570" s="8">
        <v>46254</v>
      </c>
      <c r="J6570" t="s">
        <v>2692</v>
      </c>
      <c r="K6570" t="s">
        <v>2693</v>
      </c>
      <c r="L6570" s="13">
        <v>10000</v>
      </c>
      <c r="M6570" t="s">
        <v>2676</v>
      </c>
    </row>
    <row r="6571" spans="1:13">
      <c r="A6571" t="s">
        <v>2556</v>
      </c>
      <c r="B6571" t="s">
        <v>309</v>
      </c>
      <c r="C6571" s="8">
        <v>46063</v>
      </c>
      <c r="D6571" t="s">
        <v>324</v>
      </c>
      <c r="E6571" t="s">
        <v>337</v>
      </c>
      <c r="F6571" s="12">
        <v>149849</v>
      </c>
      <c r="G6571" s="13">
        <v>14</v>
      </c>
      <c r="H6571" t="s">
        <v>2727</v>
      </c>
      <c r="I6571" s="8">
        <v>46058</v>
      </c>
      <c r="J6571" t="s">
        <v>2659</v>
      </c>
      <c r="K6571" t="s">
        <v>2660</v>
      </c>
      <c r="L6571" s="13">
        <v>3500</v>
      </c>
      <c r="M6571" t="s">
        <v>2661</v>
      </c>
    </row>
    <row r="6572" spans="1:13">
      <c r="A6572" t="s">
        <v>2556</v>
      </c>
      <c r="B6572" t="s">
        <v>309</v>
      </c>
      <c r="C6572" s="8">
        <v>46063</v>
      </c>
      <c r="D6572" t="s">
        <v>324</v>
      </c>
      <c r="E6572" t="s">
        <v>337</v>
      </c>
      <c r="F6572" s="12">
        <v>149849</v>
      </c>
      <c r="G6572" s="13">
        <v>14</v>
      </c>
      <c r="H6572" t="s">
        <v>3115</v>
      </c>
      <c r="I6572" s="8">
        <v>45943</v>
      </c>
      <c r="J6572" t="s">
        <v>2682</v>
      </c>
      <c r="K6572" t="s">
        <v>2683</v>
      </c>
      <c r="L6572" s="13">
        <v>6000</v>
      </c>
      <c r="M6572" t="s">
        <v>2676</v>
      </c>
    </row>
    <row r="6573" spans="1:13">
      <c r="A6573" t="s">
        <v>2556</v>
      </c>
      <c r="B6573" t="s">
        <v>309</v>
      </c>
      <c r="C6573" s="8">
        <v>46063</v>
      </c>
      <c r="D6573" t="s">
        <v>324</v>
      </c>
      <c r="E6573" t="s">
        <v>337</v>
      </c>
      <c r="F6573" s="12">
        <v>149849</v>
      </c>
      <c r="G6573" s="13">
        <v>14</v>
      </c>
      <c r="H6573" t="s">
        <v>3418</v>
      </c>
      <c r="I6573" s="8">
        <v>46064</v>
      </c>
      <c r="J6573" t="s">
        <v>2665</v>
      </c>
      <c r="K6573" t="s">
        <v>2666</v>
      </c>
      <c r="L6573" s="13">
        <v>2500</v>
      </c>
      <c r="M6573" t="s">
        <v>2661</v>
      </c>
    </row>
    <row r="6574" spans="1:13">
      <c r="A6574" t="s">
        <v>2557</v>
      </c>
      <c r="B6574" t="s">
        <v>301</v>
      </c>
      <c r="C6574" s="8">
        <v>46233</v>
      </c>
      <c r="D6574" t="s">
        <v>344</v>
      </c>
      <c r="E6574" t="s">
        <v>328</v>
      </c>
      <c r="F6574" s="12">
        <v>287710</v>
      </c>
      <c r="G6574" s="13">
        <v>28</v>
      </c>
      <c r="H6574" t="s">
        <v>3559</v>
      </c>
      <c r="I6574" s="8">
        <v>46143</v>
      </c>
      <c r="J6574" t="s">
        <v>2663</v>
      </c>
      <c r="K6574" t="s">
        <v>3630</v>
      </c>
      <c r="L6574" s="13">
        <v>1500</v>
      </c>
      <c r="M6574" t="s">
        <v>2676</v>
      </c>
    </row>
    <row r="6575" spans="1:13">
      <c r="A6575" t="s">
        <v>2558</v>
      </c>
      <c r="B6575" t="s">
        <v>83</v>
      </c>
      <c r="C6575" s="8">
        <v>46225</v>
      </c>
      <c r="D6575" t="s">
        <v>327</v>
      </c>
      <c r="E6575" t="s">
        <v>339</v>
      </c>
      <c r="F6575" s="12">
        <v>472739</v>
      </c>
      <c r="G6575" s="13">
        <v>47</v>
      </c>
      <c r="H6575" t="s">
        <v>2696</v>
      </c>
      <c r="I6575" s="8">
        <v>46024</v>
      </c>
      <c r="J6575" t="s">
        <v>2663</v>
      </c>
      <c r="K6575" t="s">
        <v>3630</v>
      </c>
      <c r="L6575" s="13">
        <v>1500</v>
      </c>
      <c r="M6575" t="s">
        <v>2661</v>
      </c>
    </row>
    <row r="6576" spans="1:13">
      <c r="A6576" t="s">
        <v>2558</v>
      </c>
      <c r="B6576" t="s">
        <v>83</v>
      </c>
      <c r="C6576" s="8">
        <v>46225</v>
      </c>
      <c r="D6576" t="s">
        <v>327</v>
      </c>
      <c r="E6576" t="s">
        <v>339</v>
      </c>
      <c r="F6576" s="12">
        <v>472739</v>
      </c>
      <c r="G6576" s="13">
        <v>47</v>
      </c>
      <c r="H6576" t="s">
        <v>2725</v>
      </c>
      <c r="I6576" s="8">
        <v>46065</v>
      </c>
      <c r="J6576" t="s">
        <v>2688</v>
      </c>
      <c r="K6576" t="s">
        <v>2689</v>
      </c>
      <c r="L6576" s="13">
        <v>8000</v>
      </c>
      <c r="M6576" t="s">
        <v>2661</v>
      </c>
    </row>
    <row r="6577" spans="1:13">
      <c r="A6577" t="s">
        <v>2558</v>
      </c>
      <c r="B6577" t="s">
        <v>83</v>
      </c>
      <c r="C6577" s="8">
        <v>46225</v>
      </c>
      <c r="D6577" t="s">
        <v>327</v>
      </c>
      <c r="E6577" t="s">
        <v>339</v>
      </c>
      <c r="F6577" s="12">
        <v>472739</v>
      </c>
      <c r="G6577" s="13">
        <v>47</v>
      </c>
      <c r="H6577" t="s">
        <v>2938</v>
      </c>
      <c r="I6577" s="8">
        <v>46277</v>
      </c>
      <c r="J6577" t="s">
        <v>2692</v>
      </c>
      <c r="K6577" t="s">
        <v>2693</v>
      </c>
      <c r="L6577" s="13">
        <v>10000</v>
      </c>
      <c r="M6577" t="s">
        <v>2661</v>
      </c>
    </row>
    <row r="6578" spans="1:13">
      <c r="A6578" t="s">
        <v>2559</v>
      </c>
      <c r="B6578" t="s">
        <v>97</v>
      </c>
      <c r="C6578" s="8">
        <v>46094</v>
      </c>
      <c r="D6578" t="s">
        <v>324</v>
      </c>
      <c r="E6578" t="s">
        <v>337</v>
      </c>
      <c r="F6578" s="12">
        <v>367242</v>
      </c>
      <c r="G6578" s="13">
        <v>36</v>
      </c>
      <c r="H6578" t="s">
        <v>3056</v>
      </c>
      <c r="I6578" s="8">
        <v>46286</v>
      </c>
      <c r="J6578" t="s">
        <v>2674</v>
      </c>
      <c r="K6578" t="s">
        <v>2675</v>
      </c>
      <c r="L6578" s="13">
        <v>20000</v>
      </c>
      <c r="M6578" t="s">
        <v>2661</v>
      </c>
    </row>
    <row r="6579" spans="1:13">
      <c r="A6579" t="s">
        <v>2559</v>
      </c>
      <c r="B6579" t="s">
        <v>97</v>
      </c>
      <c r="C6579" s="8">
        <v>46094</v>
      </c>
      <c r="D6579" t="s">
        <v>324</v>
      </c>
      <c r="E6579" t="s">
        <v>337</v>
      </c>
      <c r="F6579" s="12">
        <v>367242</v>
      </c>
      <c r="G6579" s="13">
        <v>36</v>
      </c>
      <c r="H6579" t="s">
        <v>3176</v>
      </c>
      <c r="I6579" s="8">
        <v>46256</v>
      </c>
      <c r="J6579" t="s">
        <v>2692</v>
      </c>
      <c r="K6579" t="s">
        <v>2693</v>
      </c>
      <c r="L6579" s="13">
        <v>10000</v>
      </c>
      <c r="M6579" t="s">
        <v>2661</v>
      </c>
    </row>
    <row r="6580" spans="1:13">
      <c r="A6580" t="s">
        <v>2559</v>
      </c>
      <c r="B6580" t="s">
        <v>97</v>
      </c>
      <c r="C6580" s="8">
        <v>46094</v>
      </c>
      <c r="D6580" t="s">
        <v>324</v>
      </c>
      <c r="E6580" t="s">
        <v>337</v>
      </c>
      <c r="F6580" s="12">
        <v>367242</v>
      </c>
      <c r="G6580" s="13">
        <v>36</v>
      </c>
      <c r="H6580" t="s">
        <v>3528</v>
      </c>
      <c r="I6580" s="8">
        <v>46172</v>
      </c>
      <c r="J6580" t="s">
        <v>2688</v>
      </c>
      <c r="K6580" t="s">
        <v>2689</v>
      </c>
      <c r="L6580" s="13">
        <v>8000</v>
      </c>
      <c r="M6580" t="s">
        <v>2661</v>
      </c>
    </row>
    <row r="6581" spans="1:13">
      <c r="A6581" t="s">
        <v>2560</v>
      </c>
      <c r="B6581" t="s">
        <v>244</v>
      </c>
      <c r="C6581" s="8">
        <v>46226</v>
      </c>
      <c r="D6581" t="s">
        <v>327</v>
      </c>
      <c r="E6581" t="s">
        <v>334</v>
      </c>
      <c r="F6581" s="12">
        <v>235947</v>
      </c>
      <c r="G6581" s="13">
        <v>23</v>
      </c>
      <c r="H6581" t="s">
        <v>2778</v>
      </c>
      <c r="I6581" s="8">
        <v>45994</v>
      </c>
      <c r="J6581" t="s">
        <v>2692</v>
      </c>
      <c r="K6581" t="s">
        <v>2693</v>
      </c>
      <c r="L6581" s="13">
        <v>10000</v>
      </c>
      <c r="M6581" t="s">
        <v>2661</v>
      </c>
    </row>
    <row r="6582" spans="1:13">
      <c r="A6582" t="s">
        <v>2560</v>
      </c>
      <c r="B6582" t="s">
        <v>244</v>
      </c>
      <c r="C6582" s="8">
        <v>46226</v>
      </c>
      <c r="D6582" t="s">
        <v>327</v>
      </c>
      <c r="E6582" t="s">
        <v>334</v>
      </c>
      <c r="F6582" s="12">
        <v>235947</v>
      </c>
      <c r="G6582" s="13">
        <v>23</v>
      </c>
      <c r="H6582" t="s">
        <v>2916</v>
      </c>
      <c r="I6582" s="8">
        <v>46078</v>
      </c>
      <c r="J6582" t="s">
        <v>2668</v>
      </c>
      <c r="K6582" t="s">
        <v>2669</v>
      </c>
      <c r="L6582" s="13">
        <v>4000</v>
      </c>
      <c r="M6582" t="s">
        <v>2661</v>
      </c>
    </row>
    <row r="6583" spans="1:13">
      <c r="A6583" t="s">
        <v>2561</v>
      </c>
      <c r="B6583" t="s">
        <v>31</v>
      </c>
      <c r="C6583" s="8">
        <v>46070</v>
      </c>
      <c r="D6583" t="s">
        <v>330</v>
      </c>
      <c r="E6583" t="s">
        <v>339</v>
      </c>
      <c r="F6583" s="12">
        <v>475662</v>
      </c>
      <c r="G6583" s="13">
        <v>47</v>
      </c>
      <c r="H6583" t="s">
        <v>2920</v>
      </c>
      <c r="I6583" s="8">
        <v>46231</v>
      </c>
      <c r="J6583" t="s">
        <v>2674</v>
      </c>
      <c r="K6583" t="s">
        <v>2675</v>
      </c>
      <c r="L6583" s="13">
        <v>20000</v>
      </c>
      <c r="M6583" t="s">
        <v>2661</v>
      </c>
    </row>
    <row r="6584" spans="1:13">
      <c r="A6584" t="s">
        <v>2561</v>
      </c>
      <c r="B6584" t="s">
        <v>31</v>
      </c>
      <c r="C6584" s="8">
        <v>46070</v>
      </c>
      <c r="D6584" t="s">
        <v>330</v>
      </c>
      <c r="E6584" t="s">
        <v>339</v>
      </c>
      <c r="F6584" s="12">
        <v>475662</v>
      </c>
      <c r="G6584" s="13">
        <v>47</v>
      </c>
      <c r="H6584" t="s">
        <v>3164</v>
      </c>
      <c r="I6584" s="8">
        <v>46110</v>
      </c>
      <c r="J6584" t="s">
        <v>2685</v>
      </c>
      <c r="K6584" t="s">
        <v>2686</v>
      </c>
      <c r="L6584" s="13">
        <v>5000</v>
      </c>
      <c r="M6584" t="s">
        <v>2661</v>
      </c>
    </row>
    <row r="6585" spans="1:13">
      <c r="A6585" t="s">
        <v>2562</v>
      </c>
      <c r="B6585" t="s">
        <v>128</v>
      </c>
      <c r="C6585" s="8">
        <v>45947</v>
      </c>
      <c r="D6585" t="s">
        <v>350</v>
      </c>
      <c r="E6585" t="s">
        <v>339</v>
      </c>
      <c r="F6585" s="12">
        <v>309825</v>
      </c>
      <c r="G6585" s="13">
        <v>30</v>
      </c>
      <c r="H6585" t="s">
        <v>2897</v>
      </c>
      <c r="I6585" s="8">
        <v>46253</v>
      </c>
      <c r="J6585" t="s">
        <v>2682</v>
      </c>
      <c r="K6585" t="s">
        <v>2683</v>
      </c>
      <c r="L6585" s="13">
        <v>6000</v>
      </c>
      <c r="M6585" t="s">
        <v>2661</v>
      </c>
    </row>
    <row r="6586" spans="1:13">
      <c r="A6586" t="s">
        <v>2562</v>
      </c>
      <c r="B6586" t="s">
        <v>128</v>
      </c>
      <c r="C6586" s="8">
        <v>45947</v>
      </c>
      <c r="D6586" t="s">
        <v>350</v>
      </c>
      <c r="E6586" t="s">
        <v>339</v>
      </c>
      <c r="F6586" s="12">
        <v>309825</v>
      </c>
      <c r="G6586" s="13">
        <v>30</v>
      </c>
      <c r="H6586" t="s">
        <v>2966</v>
      </c>
      <c r="I6586" s="8">
        <v>45993</v>
      </c>
      <c r="J6586" t="s">
        <v>2663</v>
      </c>
      <c r="K6586" t="s">
        <v>3630</v>
      </c>
      <c r="L6586" s="13">
        <v>1500</v>
      </c>
      <c r="M6586" t="s">
        <v>2661</v>
      </c>
    </row>
    <row r="6587" spans="1:13">
      <c r="A6587" t="s">
        <v>2562</v>
      </c>
      <c r="B6587" t="s">
        <v>128</v>
      </c>
      <c r="C6587" s="8">
        <v>45947</v>
      </c>
      <c r="D6587" t="s">
        <v>350</v>
      </c>
      <c r="E6587" t="s">
        <v>339</v>
      </c>
      <c r="F6587" s="12">
        <v>309825</v>
      </c>
      <c r="G6587" s="13">
        <v>30</v>
      </c>
      <c r="H6587" t="s">
        <v>3407</v>
      </c>
      <c r="I6587" s="8">
        <v>46260</v>
      </c>
      <c r="J6587" t="s">
        <v>2668</v>
      </c>
      <c r="K6587" t="s">
        <v>2669</v>
      </c>
      <c r="L6587" s="13">
        <v>4000</v>
      </c>
      <c r="M6587" t="s">
        <v>2661</v>
      </c>
    </row>
    <row r="6588" spans="1:13">
      <c r="A6588" t="s">
        <v>2564</v>
      </c>
      <c r="B6588" t="s">
        <v>52</v>
      </c>
      <c r="C6588" s="8">
        <v>45963</v>
      </c>
      <c r="D6588" t="s">
        <v>321</v>
      </c>
      <c r="E6588" t="s">
        <v>322</v>
      </c>
      <c r="F6588" s="12">
        <v>158627</v>
      </c>
      <c r="G6588" s="13">
        <v>15</v>
      </c>
      <c r="H6588" t="s">
        <v>2861</v>
      </c>
      <c r="I6588" s="8">
        <v>46105</v>
      </c>
      <c r="J6588" t="s">
        <v>2685</v>
      </c>
      <c r="K6588" t="s">
        <v>2686</v>
      </c>
      <c r="L6588" s="13">
        <v>5000</v>
      </c>
      <c r="M6588" t="s">
        <v>2661</v>
      </c>
    </row>
    <row r="6589" spans="1:13">
      <c r="A6589" t="s">
        <v>2564</v>
      </c>
      <c r="B6589" t="s">
        <v>52</v>
      </c>
      <c r="C6589" s="8">
        <v>45963</v>
      </c>
      <c r="D6589" t="s">
        <v>321</v>
      </c>
      <c r="E6589" t="s">
        <v>322</v>
      </c>
      <c r="F6589" s="12">
        <v>158627</v>
      </c>
      <c r="G6589" s="13">
        <v>15</v>
      </c>
      <c r="H6589" t="s">
        <v>3122</v>
      </c>
      <c r="I6589" s="8">
        <v>45976</v>
      </c>
      <c r="J6589" t="s">
        <v>2668</v>
      </c>
      <c r="K6589" t="s">
        <v>2669</v>
      </c>
      <c r="L6589" s="13">
        <v>4000</v>
      </c>
      <c r="M6589" t="s">
        <v>2661</v>
      </c>
    </row>
    <row r="6590" spans="1:13">
      <c r="A6590" t="s">
        <v>2564</v>
      </c>
      <c r="B6590" t="s">
        <v>52</v>
      </c>
      <c r="C6590" s="8">
        <v>45963</v>
      </c>
      <c r="D6590" t="s">
        <v>321</v>
      </c>
      <c r="E6590" t="s">
        <v>322</v>
      </c>
      <c r="F6590" s="12">
        <v>158627</v>
      </c>
      <c r="G6590" s="13">
        <v>15</v>
      </c>
      <c r="H6590" t="s">
        <v>3497</v>
      </c>
      <c r="I6590" s="8">
        <v>46058</v>
      </c>
      <c r="J6590" t="s">
        <v>2665</v>
      </c>
      <c r="K6590" t="s">
        <v>2666</v>
      </c>
      <c r="L6590" s="13">
        <v>2500</v>
      </c>
      <c r="M6590" t="s">
        <v>2661</v>
      </c>
    </row>
    <row r="6591" spans="1:13">
      <c r="A6591" t="s">
        <v>2565</v>
      </c>
      <c r="B6591" t="s">
        <v>22</v>
      </c>
      <c r="C6591" s="8">
        <v>46041</v>
      </c>
      <c r="D6591" t="s">
        <v>330</v>
      </c>
      <c r="E6591" t="s">
        <v>334</v>
      </c>
      <c r="F6591" s="12">
        <v>251016</v>
      </c>
      <c r="G6591" s="13">
        <v>25</v>
      </c>
      <c r="H6591" t="s">
        <v>3212</v>
      </c>
      <c r="I6591" s="8">
        <v>45987</v>
      </c>
      <c r="J6591" t="s">
        <v>2659</v>
      </c>
      <c r="K6591" t="s">
        <v>2660</v>
      </c>
      <c r="L6591" s="13">
        <v>3500</v>
      </c>
      <c r="M6591" t="s">
        <v>2661</v>
      </c>
    </row>
    <row r="6592" spans="1:13">
      <c r="A6592" t="s">
        <v>2565</v>
      </c>
      <c r="B6592" t="s">
        <v>22</v>
      </c>
      <c r="C6592" s="8">
        <v>46041</v>
      </c>
      <c r="D6592" t="s">
        <v>330</v>
      </c>
      <c r="E6592" t="s">
        <v>334</v>
      </c>
      <c r="F6592" s="12">
        <v>251016</v>
      </c>
      <c r="G6592" s="13">
        <v>25</v>
      </c>
      <c r="H6592" t="s">
        <v>3444</v>
      </c>
      <c r="I6592" s="8">
        <v>46084</v>
      </c>
      <c r="J6592" t="s">
        <v>2659</v>
      </c>
      <c r="K6592" t="s">
        <v>2660</v>
      </c>
      <c r="L6592" s="13">
        <v>3500</v>
      </c>
      <c r="M6592" t="s">
        <v>2661</v>
      </c>
    </row>
    <row r="6593" spans="1:13">
      <c r="A6593" t="s">
        <v>2565</v>
      </c>
      <c r="B6593" t="s">
        <v>22</v>
      </c>
      <c r="C6593" s="8">
        <v>46041</v>
      </c>
      <c r="D6593" t="s">
        <v>330</v>
      </c>
      <c r="E6593" t="s">
        <v>334</v>
      </c>
      <c r="F6593" s="12">
        <v>251016</v>
      </c>
      <c r="G6593" s="13">
        <v>25</v>
      </c>
      <c r="H6593" t="s">
        <v>3537</v>
      </c>
      <c r="I6593" s="8">
        <v>46009</v>
      </c>
      <c r="J6593" t="s">
        <v>2659</v>
      </c>
      <c r="K6593" t="s">
        <v>2660</v>
      </c>
      <c r="L6593" s="13">
        <v>3500</v>
      </c>
      <c r="M6593" t="s">
        <v>2661</v>
      </c>
    </row>
    <row r="6594" spans="1:13">
      <c r="A6594" t="s">
        <v>2566</v>
      </c>
      <c r="B6594" t="s">
        <v>135</v>
      </c>
      <c r="C6594" s="8">
        <v>45999</v>
      </c>
      <c r="D6594" t="s">
        <v>324</v>
      </c>
      <c r="E6594" t="s">
        <v>337</v>
      </c>
      <c r="F6594" s="12">
        <v>147216</v>
      </c>
      <c r="G6594" s="13">
        <v>14</v>
      </c>
      <c r="H6594" t="s">
        <v>2922</v>
      </c>
      <c r="I6594" s="8">
        <v>45998</v>
      </c>
      <c r="J6594" t="s">
        <v>2682</v>
      </c>
      <c r="K6594" t="s">
        <v>2683</v>
      </c>
      <c r="L6594" s="13">
        <v>6000</v>
      </c>
      <c r="M6594" t="s">
        <v>2661</v>
      </c>
    </row>
    <row r="6595" spans="1:13">
      <c r="A6595" t="s">
        <v>2566</v>
      </c>
      <c r="B6595" t="s">
        <v>135</v>
      </c>
      <c r="C6595" s="8">
        <v>45999</v>
      </c>
      <c r="D6595" t="s">
        <v>324</v>
      </c>
      <c r="E6595" t="s">
        <v>337</v>
      </c>
      <c r="F6595" s="12">
        <v>147216</v>
      </c>
      <c r="G6595" s="13">
        <v>14</v>
      </c>
      <c r="H6595" t="s">
        <v>3053</v>
      </c>
      <c r="I6595" s="8">
        <v>46165</v>
      </c>
      <c r="J6595" t="s">
        <v>2692</v>
      </c>
      <c r="K6595" t="s">
        <v>2693</v>
      </c>
      <c r="L6595" s="13">
        <v>10000</v>
      </c>
      <c r="M6595" t="s">
        <v>2661</v>
      </c>
    </row>
    <row r="6596" spans="1:13">
      <c r="A6596" t="s">
        <v>2566</v>
      </c>
      <c r="B6596" t="s">
        <v>135</v>
      </c>
      <c r="C6596" s="8">
        <v>45999</v>
      </c>
      <c r="D6596" t="s">
        <v>324</v>
      </c>
      <c r="E6596" t="s">
        <v>337</v>
      </c>
      <c r="F6596" s="12">
        <v>147216</v>
      </c>
      <c r="G6596" s="13">
        <v>14</v>
      </c>
      <c r="H6596" t="s">
        <v>3118</v>
      </c>
      <c r="I6596" s="8">
        <v>45989</v>
      </c>
      <c r="J6596" t="s">
        <v>2692</v>
      </c>
      <c r="K6596" t="s">
        <v>2693</v>
      </c>
      <c r="L6596" s="13">
        <v>10000</v>
      </c>
      <c r="M6596" t="s">
        <v>2661</v>
      </c>
    </row>
    <row r="6597" spans="1:13">
      <c r="A6597" t="s">
        <v>2566</v>
      </c>
      <c r="B6597" t="s">
        <v>135</v>
      </c>
      <c r="C6597" s="8">
        <v>45999</v>
      </c>
      <c r="D6597" t="s">
        <v>324</v>
      </c>
      <c r="E6597" t="s">
        <v>337</v>
      </c>
      <c r="F6597" s="12">
        <v>147216</v>
      </c>
      <c r="G6597" s="13">
        <v>14</v>
      </c>
      <c r="H6597" t="s">
        <v>3262</v>
      </c>
      <c r="I6597" s="8">
        <v>46091</v>
      </c>
      <c r="J6597" t="s">
        <v>2682</v>
      </c>
      <c r="K6597" t="s">
        <v>2683</v>
      </c>
      <c r="L6597" s="13">
        <v>6000</v>
      </c>
      <c r="M6597" t="s">
        <v>2661</v>
      </c>
    </row>
    <row r="6598" spans="1:13">
      <c r="A6598" t="s">
        <v>2567</v>
      </c>
      <c r="B6598" t="s">
        <v>252</v>
      </c>
      <c r="C6598" s="8">
        <v>46012</v>
      </c>
      <c r="D6598" t="s">
        <v>321</v>
      </c>
      <c r="E6598" t="s">
        <v>325</v>
      </c>
      <c r="F6598" s="12">
        <v>568761</v>
      </c>
      <c r="G6598" s="13">
        <v>56</v>
      </c>
      <c r="H6598" t="s">
        <v>2815</v>
      </c>
      <c r="I6598" s="8">
        <v>45992</v>
      </c>
      <c r="J6598" t="s">
        <v>2688</v>
      </c>
      <c r="K6598" t="s">
        <v>2689</v>
      </c>
      <c r="L6598" s="13">
        <v>8000</v>
      </c>
      <c r="M6598" t="s">
        <v>2661</v>
      </c>
    </row>
    <row r="6599" spans="1:13">
      <c r="A6599" t="s">
        <v>2567</v>
      </c>
      <c r="B6599" t="s">
        <v>252</v>
      </c>
      <c r="C6599" s="8">
        <v>46012</v>
      </c>
      <c r="D6599" t="s">
        <v>321</v>
      </c>
      <c r="E6599" t="s">
        <v>325</v>
      </c>
      <c r="F6599" s="12">
        <v>568761</v>
      </c>
      <c r="G6599" s="13">
        <v>56</v>
      </c>
      <c r="H6599" t="s">
        <v>3320</v>
      </c>
      <c r="I6599" s="8">
        <v>46043</v>
      </c>
      <c r="J6599" t="s">
        <v>2663</v>
      </c>
      <c r="K6599" t="s">
        <v>3630</v>
      </c>
      <c r="L6599" s="13">
        <v>1500</v>
      </c>
      <c r="M6599" t="s">
        <v>2661</v>
      </c>
    </row>
    <row r="6600" spans="1:13">
      <c r="A6600" t="s">
        <v>2567</v>
      </c>
      <c r="B6600" t="s">
        <v>252</v>
      </c>
      <c r="C6600" s="8">
        <v>46012</v>
      </c>
      <c r="D6600" t="s">
        <v>321</v>
      </c>
      <c r="E6600" t="s">
        <v>325</v>
      </c>
      <c r="F6600" s="12">
        <v>568761</v>
      </c>
      <c r="G6600" s="13">
        <v>56</v>
      </c>
      <c r="H6600" t="s">
        <v>3575</v>
      </c>
      <c r="I6600" s="8">
        <v>46263</v>
      </c>
      <c r="J6600" t="s">
        <v>2668</v>
      </c>
      <c r="K6600" t="s">
        <v>2669</v>
      </c>
      <c r="L6600" s="13">
        <v>4000</v>
      </c>
      <c r="M6600" t="s">
        <v>2676</v>
      </c>
    </row>
    <row r="6601" spans="1:13">
      <c r="A6601" t="s">
        <v>2568</v>
      </c>
      <c r="B6601" t="s">
        <v>126</v>
      </c>
      <c r="C6601" s="8">
        <v>45950</v>
      </c>
      <c r="D6601" t="s">
        <v>342</v>
      </c>
      <c r="E6601" t="s">
        <v>322</v>
      </c>
      <c r="F6601" s="12">
        <v>254149</v>
      </c>
      <c r="G6601" s="13">
        <v>25</v>
      </c>
      <c r="H6601" t="s">
        <v>2798</v>
      </c>
      <c r="I6601" s="8">
        <v>46235</v>
      </c>
      <c r="J6601" t="s">
        <v>2659</v>
      </c>
      <c r="K6601" t="s">
        <v>2660</v>
      </c>
      <c r="L6601" s="13">
        <v>3500</v>
      </c>
      <c r="M6601" t="s">
        <v>2661</v>
      </c>
    </row>
    <row r="6602" spans="1:13">
      <c r="A6602" t="s">
        <v>2568</v>
      </c>
      <c r="B6602" t="s">
        <v>126</v>
      </c>
      <c r="C6602" s="8">
        <v>45950</v>
      </c>
      <c r="D6602" t="s">
        <v>342</v>
      </c>
      <c r="E6602" t="s">
        <v>322</v>
      </c>
      <c r="F6602" s="12">
        <v>254149</v>
      </c>
      <c r="G6602" s="13">
        <v>25</v>
      </c>
      <c r="H6602" t="s">
        <v>3334</v>
      </c>
      <c r="I6602" s="8">
        <v>46254</v>
      </c>
      <c r="J6602" t="s">
        <v>2692</v>
      </c>
      <c r="K6602" t="s">
        <v>2693</v>
      </c>
      <c r="L6602" s="13">
        <v>10000</v>
      </c>
      <c r="M6602" t="s">
        <v>2676</v>
      </c>
    </row>
    <row r="6603" spans="1:13">
      <c r="A6603" t="s">
        <v>2569</v>
      </c>
      <c r="B6603" t="s">
        <v>221</v>
      </c>
      <c r="C6603" s="8">
        <v>46275</v>
      </c>
      <c r="D6603" t="s">
        <v>332</v>
      </c>
      <c r="E6603" t="s">
        <v>325</v>
      </c>
      <c r="F6603" s="12">
        <v>278849</v>
      </c>
      <c r="G6603" s="13">
        <v>27</v>
      </c>
      <c r="H6603" t="s">
        <v>2670</v>
      </c>
      <c r="I6603" s="8">
        <v>46033</v>
      </c>
      <c r="J6603" t="s">
        <v>2671</v>
      </c>
      <c r="K6603" t="s">
        <v>2672</v>
      </c>
      <c r="L6603" s="13">
        <v>3000</v>
      </c>
      <c r="M6603" t="s">
        <v>2661</v>
      </c>
    </row>
    <row r="6604" spans="1:13">
      <c r="A6604" t="s">
        <v>2569</v>
      </c>
      <c r="B6604" t="s">
        <v>221</v>
      </c>
      <c r="C6604" s="8">
        <v>46275</v>
      </c>
      <c r="D6604" t="s">
        <v>332</v>
      </c>
      <c r="E6604" t="s">
        <v>325</v>
      </c>
      <c r="F6604" s="12">
        <v>278849</v>
      </c>
      <c r="G6604" s="13">
        <v>27</v>
      </c>
      <c r="H6604" t="s">
        <v>3538</v>
      </c>
      <c r="I6604" s="8">
        <v>46114</v>
      </c>
      <c r="J6604" t="s">
        <v>2685</v>
      </c>
      <c r="K6604" t="s">
        <v>2686</v>
      </c>
      <c r="L6604" s="13">
        <v>5000</v>
      </c>
      <c r="M6604" t="s">
        <v>2661</v>
      </c>
    </row>
    <row r="6605" spans="1:13">
      <c r="A6605" t="s">
        <v>2570</v>
      </c>
      <c r="B6605" t="s">
        <v>89</v>
      </c>
      <c r="C6605" s="8">
        <v>46208</v>
      </c>
      <c r="D6605" t="s">
        <v>344</v>
      </c>
      <c r="E6605" t="s">
        <v>339</v>
      </c>
      <c r="F6605" s="12">
        <v>91402</v>
      </c>
      <c r="G6605" s="13">
        <v>9</v>
      </c>
      <c r="H6605" t="s">
        <v>3245</v>
      </c>
      <c r="I6605" s="8">
        <v>46031</v>
      </c>
      <c r="J6605" t="s">
        <v>2685</v>
      </c>
      <c r="K6605" t="s">
        <v>2686</v>
      </c>
      <c r="L6605" s="13">
        <v>5000</v>
      </c>
      <c r="M6605" t="s">
        <v>2661</v>
      </c>
    </row>
    <row r="6606" spans="1:13">
      <c r="A6606" t="s">
        <v>2570</v>
      </c>
      <c r="B6606" t="s">
        <v>89</v>
      </c>
      <c r="C6606" s="8">
        <v>46208</v>
      </c>
      <c r="D6606" t="s">
        <v>344</v>
      </c>
      <c r="E6606" t="s">
        <v>339</v>
      </c>
      <c r="F6606" s="12">
        <v>91402</v>
      </c>
      <c r="G6606" s="13">
        <v>9</v>
      </c>
      <c r="H6606" t="s">
        <v>3283</v>
      </c>
      <c r="I6606" s="8">
        <v>45983</v>
      </c>
      <c r="J6606" t="s">
        <v>2674</v>
      </c>
      <c r="K6606" t="s">
        <v>2675</v>
      </c>
      <c r="L6606" s="13">
        <v>20000</v>
      </c>
      <c r="M6606" t="s">
        <v>2661</v>
      </c>
    </row>
    <row r="6607" spans="1:13">
      <c r="A6607" t="s">
        <v>2571</v>
      </c>
      <c r="B6607" t="s">
        <v>150</v>
      </c>
      <c r="C6607" s="8">
        <v>45932</v>
      </c>
      <c r="D6607" t="s">
        <v>344</v>
      </c>
      <c r="E6607" t="s">
        <v>337</v>
      </c>
      <c r="F6607" s="12">
        <v>494079</v>
      </c>
      <c r="G6607" s="13">
        <v>49</v>
      </c>
      <c r="H6607" t="s">
        <v>3070</v>
      </c>
      <c r="I6607" s="8">
        <v>46003</v>
      </c>
      <c r="J6607" t="s">
        <v>2671</v>
      </c>
      <c r="K6607" t="s">
        <v>2672</v>
      </c>
      <c r="L6607" s="13">
        <v>3000</v>
      </c>
      <c r="M6607" t="s">
        <v>2676</v>
      </c>
    </row>
    <row r="6608" spans="1:13">
      <c r="A6608" t="s">
        <v>2571</v>
      </c>
      <c r="B6608" t="s">
        <v>150</v>
      </c>
      <c r="C6608" s="8">
        <v>45932</v>
      </c>
      <c r="D6608" t="s">
        <v>344</v>
      </c>
      <c r="E6608" t="s">
        <v>337</v>
      </c>
      <c r="F6608" s="12">
        <v>494079</v>
      </c>
      <c r="G6608" s="13">
        <v>49</v>
      </c>
      <c r="H6608" t="s">
        <v>3275</v>
      </c>
      <c r="I6608" s="8">
        <v>45936</v>
      </c>
      <c r="J6608" t="s">
        <v>2688</v>
      </c>
      <c r="K6608" t="s">
        <v>2689</v>
      </c>
      <c r="L6608" s="13">
        <v>8000</v>
      </c>
      <c r="M6608" t="s">
        <v>2661</v>
      </c>
    </row>
    <row r="6609" spans="1:13">
      <c r="A6609" t="s">
        <v>2571</v>
      </c>
      <c r="B6609" t="s">
        <v>150</v>
      </c>
      <c r="C6609" s="8">
        <v>45932</v>
      </c>
      <c r="D6609" t="s">
        <v>344</v>
      </c>
      <c r="E6609" t="s">
        <v>337</v>
      </c>
      <c r="F6609" s="12">
        <v>494079</v>
      </c>
      <c r="G6609" s="13">
        <v>49</v>
      </c>
      <c r="H6609" t="s">
        <v>3352</v>
      </c>
      <c r="I6609" s="8">
        <v>46153</v>
      </c>
      <c r="J6609" t="s">
        <v>2665</v>
      </c>
      <c r="K6609" t="s">
        <v>2666</v>
      </c>
      <c r="L6609" s="13">
        <v>2500</v>
      </c>
      <c r="M6609" t="s">
        <v>2661</v>
      </c>
    </row>
    <row r="6610" spans="1:13">
      <c r="A6610" t="s">
        <v>2573</v>
      </c>
      <c r="B6610" t="s">
        <v>287</v>
      </c>
      <c r="C6610" s="8">
        <v>46182</v>
      </c>
      <c r="D6610" t="s">
        <v>330</v>
      </c>
      <c r="E6610" t="s">
        <v>322</v>
      </c>
      <c r="F6610" s="12">
        <v>152282</v>
      </c>
      <c r="G6610" s="13">
        <v>15</v>
      </c>
      <c r="H6610" t="s">
        <v>2902</v>
      </c>
      <c r="I6610" s="8">
        <v>46135</v>
      </c>
      <c r="J6610" t="s">
        <v>2692</v>
      </c>
      <c r="K6610" t="s">
        <v>2693</v>
      </c>
      <c r="L6610" s="13">
        <v>10000</v>
      </c>
      <c r="M6610" t="s">
        <v>2661</v>
      </c>
    </row>
    <row r="6611" spans="1:13">
      <c r="A6611" t="s">
        <v>2573</v>
      </c>
      <c r="B6611" t="s">
        <v>287</v>
      </c>
      <c r="C6611" s="8">
        <v>46182</v>
      </c>
      <c r="D6611" t="s">
        <v>330</v>
      </c>
      <c r="E6611" t="s">
        <v>322</v>
      </c>
      <c r="F6611" s="12">
        <v>152282</v>
      </c>
      <c r="G6611" s="13">
        <v>15</v>
      </c>
      <c r="H6611" t="s">
        <v>2980</v>
      </c>
      <c r="I6611" s="8">
        <v>46280</v>
      </c>
      <c r="J6611" t="s">
        <v>2663</v>
      </c>
      <c r="K6611" t="s">
        <v>3630</v>
      </c>
      <c r="L6611" s="13">
        <v>1500</v>
      </c>
      <c r="M6611" t="s">
        <v>2661</v>
      </c>
    </row>
    <row r="6612" spans="1:13">
      <c r="A6612" t="s">
        <v>2573</v>
      </c>
      <c r="B6612" t="s">
        <v>287</v>
      </c>
      <c r="C6612" s="8">
        <v>46182</v>
      </c>
      <c r="D6612" t="s">
        <v>330</v>
      </c>
      <c r="E6612" t="s">
        <v>322</v>
      </c>
      <c r="F6612" s="12">
        <v>152282</v>
      </c>
      <c r="G6612" s="13">
        <v>15</v>
      </c>
      <c r="H6612" t="s">
        <v>3096</v>
      </c>
      <c r="I6612" s="8">
        <v>46218</v>
      </c>
      <c r="J6612" t="s">
        <v>2688</v>
      </c>
      <c r="K6612" t="s">
        <v>2689</v>
      </c>
      <c r="L6612" s="13">
        <v>8000</v>
      </c>
      <c r="M6612" t="s">
        <v>2661</v>
      </c>
    </row>
    <row r="6613" spans="1:13">
      <c r="A6613" t="s">
        <v>2573</v>
      </c>
      <c r="B6613" t="s">
        <v>287</v>
      </c>
      <c r="C6613" s="8">
        <v>46182</v>
      </c>
      <c r="D6613" t="s">
        <v>330</v>
      </c>
      <c r="E6613" t="s">
        <v>322</v>
      </c>
      <c r="F6613" s="12">
        <v>152282</v>
      </c>
      <c r="G6613" s="13">
        <v>15</v>
      </c>
      <c r="H6613" t="s">
        <v>3129</v>
      </c>
      <c r="I6613" s="8">
        <v>45981</v>
      </c>
      <c r="J6613" t="s">
        <v>2685</v>
      </c>
      <c r="K6613" t="s">
        <v>2686</v>
      </c>
      <c r="L6613" s="13">
        <v>5000</v>
      </c>
      <c r="M6613" t="s">
        <v>2661</v>
      </c>
    </row>
    <row r="6614" spans="1:13">
      <c r="A6614" t="s">
        <v>2573</v>
      </c>
      <c r="B6614" t="s">
        <v>287</v>
      </c>
      <c r="C6614" s="8">
        <v>46182</v>
      </c>
      <c r="D6614" t="s">
        <v>330</v>
      </c>
      <c r="E6614" t="s">
        <v>322</v>
      </c>
      <c r="F6614" s="12">
        <v>152282</v>
      </c>
      <c r="G6614" s="13">
        <v>15</v>
      </c>
      <c r="H6614" t="s">
        <v>3237</v>
      </c>
      <c r="I6614" s="8">
        <v>46146</v>
      </c>
      <c r="J6614" t="s">
        <v>2682</v>
      </c>
      <c r="K6614" t="s">
        <v>2683</v>
      </c>
      <c r="L6614" s="13">
        <v>6000</v>
      </c>
      <c r="M6614" t="s">
        <v>2676</v>
      </c>
    </row>
    <row r="6615" spans="1:13">
      <c r="A6615" t="s">
        <v>2573</v>
      </c>
      <c r="B6615" t="s">
        <v>287</v>
      </c>
      <c r="C6615" s="8">
        <v>46182</v>
      </c>
      <c r="D6615" t="s">
        <v>330</v>
      </c>
      <c r="E6615" t="s">
        <v>322</v>
      </c>
      <c r="F6615" s="12">
        <v>152282</v>
      </c>
      <c r="G6615" s="13">
        <v>15</v>
      </c>
      <c r="H6615" t="s">
        <v>3576</v>
      </c>
      <c r="I6615" s="8">
        <v>46119</v>
      </c>
      <c r="J6615" t="s">
        <v>2688</v>
      </c>
      <c r="K6615" t="s">
        <v>2689</v>
      </c>
      <c r="L6615" s="13">
        <v>8000</v>
      </c>
      <c r="M6615" t="s">
        <v>2661</v>
      </c>
    </row>
    <row r="6616" spans="1:13">
      <c r="A6616" t="s">
        <v>2574</v>
      </c>
      <c r="B6616" t="s">
        <v>108</v>
      </c>
      <c r="C6616" s="8">
        <v>46283</v>
      </c>
      <c r="D6616" t="s">
        <v>350</v>
      </c>
      <c r="E6616" t="s">
        <v>337</v>
      </c>
      <c r="F6616" s="12">
        <v>234328</v>
      </c>
      <c r="G6616" s="13">
        <v>23</v>
      </c>
      <c r="H6616" t="s">
        <v>2694</v>
      </c>
      <c r="I6616" s="8">
        <v>46032</v>
      </c>
      <c r="J6616" t="s">
        <v>2682</v>
      </c>
      <c r="K6616" t="s">
        <v>2683</v>
      </c>
      <c r="L6616" s="13">
        <v>6000</v>
      </c>
      <c r="M6616" t="s">
        <v>2661</v>
      </c>
    </row>
    <row r="6617" spans="1:13">
      <c r="A6617" t="s">
        <v>2574</v>
      </c>
      <c r="B6617" t="s">
        <v>108</v>
      </c>
      <c r="C6617" s="8">
        <v>46283</v>
      </c>
      <c r="D6617" t="s">
        <v>350</v>
      </c>
      <c r="E6617" t="s">
        <v>337</v>
      </c>
      <c r="F6617" s="12">
        <v>234328</v>
      </c>
      <c r="G6617" s="13">
        <v>23</v>
      </c>
      <c r="H6617" t="s">
        <v>3089</v>
      </c>
      <c r="I6617" s="8">
        <v>46140</v>
      </c>
      <c r="J6617" t="s">
        <v>2659</v>
      </c>
      <c r="K6617" t="s">
        <v>2660</v>
      </c>
      <c r="L6617" s="13">
        <v>3500</v>
      </c>
      <c r="M6617" t="s">
        <v>2661</v>
      </c>
    </row>
    <row r="6618" spans="1:13">
      <c r="A6618" t="s">
        <v>2574</v>
      </c>
      <c r="B6618" t="s">
        <v>108</v>
      </c>
      <c r="C6618" s="8">
        <v>46283</v>
      </c>
      <c r="D6618" t="s">
        <v>350</v>
      </c>
      <c r="E6618" t="s">
        <v>337</v>
      </c>
      <c r="F6618" s="12">
        <v>234328</v>
      </c>
      <c r="G6618" s="13">
        <v>23</v>
      </c>
      <c r="H6618" t="s">
        <v>3140</v>
      </c>
      <c r="I6618" s="8">
        <v>46168</v>
      </c>
      <c r="J6618" t="s">
        <v>2671</v>
      </c>
      <c r="K6618" t="s">
        <v>2672</v>
      </c>
      <c r="L6618" s="13">
        <v>3000</v>
      </c>
      <c r="M6618" t="s">
        <v>2676</v>
      </c>
    </row>
    <row r="6619" spans="1:13">
      <c r="A6619" t="s">
        <v>2574</v>
      </c>
      <c r="B6619" t="s">
        <v>108</v>
      </c>
      <c r="C6619" s="8">
        <v>46283</v>
      </c>
      <c r="D6619" t="s">
        <v>350</v>
      </c>
      <c r="E6619" t="s">
        <v>337</v>
      </c>
      <c r="F6619" s="12">
        <v>234328</v>
      </c>
      <c r="G6619" s="13">
        <v>23</v>
      </c>
      <c r="H6619" t="s">
        <v>3219</v>
      </c>
      <c r="I6619" s="8">
        <v>45964</v>
      </c>
      <c r="J6619" t="s">
        <v>2692</v>
      </c>
      <c r="K6619" t="s">
        <v>2693</v>
      </c>
      <c r="L6619" s="13">
        <v>10000</v>
      </c>
      <c r="M6619" t="s">
        <v>2676</v>
      </c>
    </row>
    <row r="6620" spans="1:13">
      <c r="A6620" t="s">
        <v>2575</v>
      </c>
      <c r="B6620" t="s">
        <v>294</v>
      </c>
      <c r="C6620" s="8">
        <v>46235</v>
      </c>
      <c r="D6620" t="s">
        <v>332</v>
      </c>
      <c r="E6620" t="s">
        <v>322</v>
      </c>
      <c r="F6620" s="12">
        <v>814605</v>
      </c>
      <c r="G6620" s="13">
        <v>81</v>
      </c>
      <c r="H6620" t="s">
        <v>3571</v>
      </c>
      <c r="I6620" s="8">
        <v>45937</v>
      </c>
      <c r="J6620" t="s">
        <v>2663</v>
      </c>
      <c r="K6620" t="s">
        <v>3630</v>
      </c>
      <c r="L6620" s="13">
        <v>1500</v>
      </c>
      <c r="M6620" t="s">
        <v>2661</v>
      </c>
    </row>
    <row r="6621" spans="1:13">
      <c r="A6621" t="s">
        <v>2575</v>
      </c>
      <c r="B6621" t="s">
        <v>294</v>
      </c>
      <c r="C6621" s="8">
        <v>46235</v>
      </c>
      <c r="D6621" t="s">
        <v>332</v>
      </c>
      <c r="E6621" t="s">
        <v>322</v>
      </c>
      <c r="F6621" s="12">
        <v>814605</v>
      </c>
      <c r="G6621" s="13">
        <v>81</v>
      </c>
      <c r="H6621" t="s">
        <v>3572</v>
      </c>
      <c r="I6621" s="8">
        <v>46039</v>
      </c>
      <c r="J6621" t="s">
        <v>2668</v>
      </c>
      <c r="K6621" t="s">
        <v>2669</v>
      </c>
      <c r="L6621" s="13">
        <v>4000</v>
      </c>
      <c r="M6621" t="s">
        <v>2661</v>
      </c>
    </row>
    <row r="6622" spans="1:13">
      <c r="A6622" t="s">
        <v>2576</v>
      </c>
      <c r="B6622" t="s">
        <v>309</v>
      </c>
      <c r="C6622" s="8">
        <v>45959</v>
      </c>
      <c r="D6622" t="s">
        <v>342</v>
      </c>
      <c r="E6622" t="s">
        <v>334</v>
      </c>
      <c r="F6622" s="12">
        <v>381334</v>
      </c>
      <c r="G6622" s="13">
        <v>38</v>
      </c>
      <c r="H6622" t="s">
        <v>2727</v>
      </c>
      <c r="I6622" s="8">
        <v>46058</v>
      </c>
      <c r="J6622" t="s">
        <v>2659</v>
      </c>
      <c r="K6622" t="s">
        <v>2660</v>
      </c>
      <c r="L6622" s="13">
        <v>3500</v>
      </c>
      <c r="M6622" t="s">
        <v>2661</v>
      </c>
    </row>
    <row r="6623" spans="1:13">
      <c r="A6623" t="s">
        <v>2576</v>
      </c>
      <c r="B6623" t="s">
        <v>309</v>
      </c>
      <c r="C6623" s="8">
        <v>45959</v>
      </c>
      <c r="D6623" t="s">
        <v>342</v>
      </c>
      <c r="E6623" t="s">
        <v>334</v>
      </c>
      <c r="F6623" s="12">
        <v>381334</v>
      </c>
      <c r="G6623" s="13">
        <v>38</v>
      </c>
      <c r="H6623" t="s">
        <v>3115</v>
      </c>
      <c r="I6623" s="8">
        <v>45943</v>
      </c>
      <c r="J6623" t="s">
        <v>2682</v>
      </c>
      <c r="K6623" t="s">
        <v>2683</v>
      </c>
      <c r="L6623" s="13">
        <v>6000</v>
      </c>
      <c r="M6623" t="s">
        <v>2676</v>
      </c>
    </row>
    <row r="6624" spans="1:13">
      <c r="A6624" t="s">
        <v>2576</v>
      </c>
      <c r="B6624" t="s">
        <v>309</v>
      </c>
      <c r="C6624" s="8">
        <v>45959</v>
      </c>
      <c r="D6624" t="s">
        <v>342</v>
      </c>
      <c r="E6624" t="s">
        <v>334</v>
      </c>
      <c r="F6624" s="12">
        <v>381334</v>
      </c>
      <c r="G6624" s="13">
        <v>38</v>
      </c>
      <c r="H6624" t="s">
        <v>3418</v>
      </c>
      <c r="I6624" s="8">
        <v>46064</v>
      </c>
      <c r="J6624" t="s">
        <v>2665</v>
      </c>
      <c r="K6624" t="s">
        <v>2666</v>
      </c>
      <c r="L6624" s="13">
        <v>2500</v>
      </c>
      <c r="M6624" t="s">
        <v>2661</v>
      </c>
    </row>
    <row r="6625" spans="1:13">
      <c r="A6625" t="s">
        <v>2577</v>
      </c>
      <c r="B6625" t="s">
        <v>217</v>
      </c>
      <c r="C6625" s="8">
        <v>45985</v>
      </c>
      <c r="D6625" t="s">
        <v>327</v>
      </c>
      <c r="E6625" t="s">
        <v>337</v>
      </c>
      <c r="F6625" s="12">
        <v>182058</v>
      </c>
      <c r="G6625" s="13">
        <v>18</v>
      </c>
      <c r="H6625" t="s">
        <v>3010</v>
      </c>
      <c r="I6625" s="8">
        <v>46213</v>
      </c>
      <c r="J6625" t="s">
        <v>2674</v>
      </c>
      <c r="K6625" t="s">
        <v>2675</v>
      </c>
      <c r="L6625" s="13">
        <v>20000</v>
      </c>
      <c r="M6625" t="s">
        <v>2661</v>
      </c>
    </row>
    <row r="6626" spans="1:13">
      <c r="A6626" t="s">
        <v>2577</v>
      </c>
      <c r="B6626" t="s">
        <v>217</v>
      </c>
      <c r="C6626" s="8">
        <v>45985</v>
      </c>
      <c r="D6626" t="s">
        <v>327</v>
      </c>
      <c r="E6626" t="s">
        <v>337</v>
      </c>
      <c r="F6626" s="12">
        <v>182058</v>
      </c>
      <c r="G6626" s="13">
        <v>18</v>
      </c>
      <c r="H6626" t="s">
        <v>3493</v>
      </c>
      <c r="I6626" s="8">
        <v>46078</v>
      </c>
      <c r="J6626" t="s">
        <v>2682</v>
      </c>
      <c r="K6626" t="s">
        <v>2683</v>
      </c>
      <c r="L6626" s="13">
        <v>6000</v>
      </c>
      <c r="M6626" t="s">
        <v>2661</v>
      </c>
    </row>
    <row r="6627" spans="1:13">
      <c r="A6627" t="s">
        <v>2578</v>
      </c>
      <c r="B6627" t="s">
        <v>310</v>
      </c>
      <c r="C6627" s="8">
        <v>46002</v>
      </c>
      <c r="D6627" t="s">
        <v>330</v>
      </c>
      <c r="E6627" t="s">
        <v>322</v>
      </c>
      <c r="F6627" s="12">
        <v>105910</v>
      </c>
      <c r="G6627" s="13">
        <v>10</v>
      </c>
      <c r="H6627" t="s">
        <v>2712</v>
      </c>
      <c r="I6627" s="8">
        <v>46153</v>
      </c>
      <c r="J6627" t="s">
        <v>2682</v>
      </c>
      <c r="K6627" t="s">
        <v>2683</v>
      </c>
      <c r="L6627" s="13">
        <v>6000</v>
      </c>
      <c r="M6627" t="s">
        <v>2661</v>
      </c>
    </row>
    <row r="6628" spans="1:13">
      <c r="A6628" t="s">
        <v>2578</v>
      </c>
      <c r="B6628" t="s">
        <v>310</v>
      </c>
      <c r="C6628" s="8">
        <v>46002</v>
      </c>
      <c r="D6628" t="s">
        <v>330</v>
      </c>
      <c r="E6628" t="s">
        <v>322</v>
      </c>
      <c r="F6628" s="12">
        <v>105910</v>
      </c>
      <c r="G6628" s="13">
        <v>10</v>
      </c>
      <c r="H6628" t="s">
        <v>2895</v>
      </c>
      <c r="I6628" s="8">
        <v>45957</v>
      </c>
      <c r="J6628" t="s">
        <v>2688</v>
      </c>
      <c r="K6628" t="s">
        <v>2689</v>
      </c>
      <c r="L6628" s="13">
        <v>8000</v>
      </c>
      <c r="M6628" t="s">
        <v>2661</v>
      </c>
    </row>
    <row r="6629" spans="1:13">
      <c r="A6629" t="s">
        <v>2578</v>
      </c>
      <c r="B6629" t="s">
        <v>310</v>
      </c>
      <c r="C6629" s="8">
        <v>46002</v>
      </c>
      <c r="D6629" t="s">
        <v>330</v>
      </c>
      <c r="E6629" t="s">
        <v>322</v>
      </c>
      <c r="F6629" s="12">
        <v>105910</v>
      </c>
      <c r="G6629" s="13">
        <v>10</v>
      </c>
      <c r="H6629" t="s">
        <v>2976</v>
      </c>
      <c r="I6629" s="8">
        <v>46146</v>
      </c>
      <c r="J6629" t="s">
        <v>2685</v>
      </c>
      <c r="K6629" t="s">
        <v>2686</v>
      </c>
      <c r="L6629" s="13">
        <v>5000</v>
      </c>
      <c r="M6629" t="s">
        <v>2661</v>
      </c>
    </row>
    <row r="6630" spans="1:13">
      <c r="A6630" t="s">
        <v>2578</v>
      </c>
      <c r="B6630" t="s">
        <v>310</v>
      </c>
      <c r="C6630" s="8">
        <v>46002</v>
      </c>
      <c r="D6630" t="s">
        <v>330</v>
      </c>
      <c r="E6630" t="s">
        <v>322</v>
      </c>
      <c r="F6630" s="12">
        <v>105910</v>
      </c>
      <c r="G6630" s="13">
        <v>10</v>
      </c>
      <c r="H6630" t="s">
        <v>3295</v>
      </c>
      <c r="I6630" s="8">
        <v>46154</v>
      </c>
      <c r="J6630" t="s">
        <v>2668</v>
      </c>
      <c r="K6630" t="s">
        <v>2669</v>
      </c>
      <c r="L6630" s="13">
        <v>4000</v>
      </c>
      <c r="M6630" t="s">
        <v>2676</v>
      </c>
    </row>
    <row r="6631" spans="1:13">
      <c r="A6631" t="s">
        <v>2578</v>
      </c>
      <c r="B6631" t="s">
        <v>310</v>
      </c>
      <c r="C6631" s="8">
        <v>46002</v>
      </c>
      <c r="D6631" t="s">
        <v>330</v>
      </c>
      <c r="E6631" t="s">
        <v>322</v>
      </c>
      <c r="F6631" s="12">
        <v>105910</v>
      </c>
      <c r="G6631" s="13">
        <v>10</v>
      </c>
      <c r="H6631" t="s">
        <v>3480</v>
      </c>
      <c r="I6631" s="8">
        <v>46012</v>
      </c>
      <c r="J6631" t="s">
        <v>2685</v>
      </c>
      <c r="K6631" t="s">
        <v>2686</v>
      </c>
      <c r="L6631" s="13">
        <v>5000</v>
      </c>
      <c r="M6631" t="s">
        <v>2676</v>
      </c>
    </row>
    <row r="6632" spans="1:13">
      <c r="A6632" t="s">
        <v>2579</v>
      </c>
      <c r="B6632" t="s">
        <v>81</v>
      </c>
      <c r="C6632" s="8">
        <v>46259</v>
      </c>
      <c r="D6632" t="s">
        <v>332</v>
      </c>
      <c r="E6632" t="s">
        <v>334</v>
      </c>
      <c r="F6632" s="12">
        <v>186176</v>
      </c>
      <c r="G6632" s="13">
        <v>18</v>
      </c>
      <c r="H6632" t="s">
        <v>2691</v>
      </c>
      <c r="I6632" s="8">
        <v>46098</v>
      </c>
      <c r="J6632" t="s">
        <v>2692</v>
      </c>
      <c r="K6632" t="s">
        <v>2693</v>
      </c>
      <c r="L6632" s="13">
        <v>10000</v>
      </c>
      <c r="M6632" t="s">
        <v>2661</v>
      </c>
    </row>
    <row r="6633" spans="1:13">
      <c r="A6633" t="s">
        <v>2579</v>
      </c>
      <c r="B6633" t="s">
        <v>81</v>
      </c>
      <c r="C6633" s="8">
        <v>46259</v>
      </c>
      <c r="D6633" t="s">
        <v>332</v>
      </c>
      <c r="E6633" t="s">
        <v>334</v>
      </c>
      <c r="F6633" s="12">
        <v>186176</v>
      </c>
      <c r="G6633" s="13">
        <v>18</v>
      </c>
      <c r="H6633" t="s">
        <v>2788</v>
      </c>
      <c r="I6633" s="8">
        <v>46057</v>
      </c>
      <c r="J6633" t="s">
        <v>2668</v>
      </c>
      <c r="K6633" t="s">
        <v>2669</v>
      </c>
      <c r="L6633" s="13">
        <v>4000</v>
      </c>
      <c r="M6633" t="s">
        <v>2661</v>
      </c>
    </row>
    <row r="6634" spans="1:13">
      <c r="A6634" t="s">
        <v>2579</v>
      </c>
      <c r="B6634" t="s">
        <v>81</v>
      </c>
      <c r="C6634" s="8">
        <v>46259</v>
      </c>
      <c r="D6634" t="s">
        <v>332</v>
      </c>
      <c r="E6634" t="s">
        <v>334</v>
      </c>
      <c r="F6634" s="12">
        <v>186176</v>
      </c>
      <c r="G6634" s="13">
        <v>18</v>
      </c>
      <c r="H6634" t="s">
        <v>2827</v>
      </c>
      <c r="I6634" s="8">
        <v>46245</v>
      </c>
      <c r="J6634" t="s">
        <v>2668</v>
      </c>
      <c r="K6634" t="s">
        <v>2669</v>
      </c>
      <c r="L6634" s="13">
        <v>4000</v>
      </c>
      <c r="M6634" t="s">
        <v>2661</v>
      </c>
    </row>
    <row r="6635" spans="1:13">
      <c r="A6635" t="s">
        <v>2579</v>
      </c>
      <c r="B6635" t="s">
        <v>81</v>
      </c>
      <c r="C6635" s="8">
        <v>46259</v>
      </c>
      <c r="D6635" t="s">
        <v>332</v>
      </c>
      <c r="E6635" t="s">
        <v>334</v>
      </c>
      <c r="F6635" s="12">
        <v>186176</v>
      </c>
      <c r="G6635" s="13">
        <v>18</v>
      </c>
      <c r="H6635" t="s">
        <v>2893</v>
      </c>
      <c r="I6635" s="8">
        <v>46034</v>
      </c>
      <c r="J6635" t="s">
        <v>2663</v>
      </c>
      <c r="K6635" t="s">
        <v>3630</v>
      </c>
      <c r="L6635" s="13">
        <v>1500</v>
      </c>
      <c r="M6635" t="s">
        <v>2661</v>
      </c>
    </row>
    <row r="6636" spans="1:13">
      <c r="A6636" t="s">
        <v>2579</v>
      </c>
      <c r="B6636" t="s">
        <v>81</v>
      </c>
      <c r="C6636" s="8">
        <v>46259</v>
      </c>
      <c r="D6636" t="s">
        <v>332</v>
      </c>
      <c r="E6636" t="s">
        <v>334</v>
      </c>
      <c r="F6636" s="12">
        <v>186176</v>
      </c>
      <c r="G6636" s="13">
        <v>18</v>
      </c>
      <c r="H6636" t="s">
        <v>3088</v>
      </c>
      <c r="I6636" s="8">
        <v>46271</v>
      </c>
      <c r="J6636" t="s">
        <v>2663</v>
      </c>
      <c r="K6636" t="s">
        <v>3630</v>
      </c>
      <c r="L6636" s="13">
        <v>1500</v>
      </c>
      <c r="M6636" t="s">
        <v>2676</v>
      </c>
    </row>
    <row r="6637" spans="1:13">
      <c r="A6637" t="s">
        <v>2579</v>
      </c>
      <c r="B6637" t="s">
        <v>81</v>
      </c>
      <c r="C6637" s="8">
        <v>46259</v>
      </c>
      <c r="D6637" t="s">
        <v>332</v>
      </c>
      <c r="E6637" t="s">
        <v>334</v>
      </c>
      <c r="F6637" s="12">
        <v>186176</v>
      </c>
      <c r="G6637" s="13">
        <v>18</v>
      </c>
      <c r="H6637" t="s">
        <v>3099</v>
      </c>
      <c r="I6637" s="8">
        <v>46247</v>
      </c>
      <c r="J6637" t="s">
        <v>2668</v>
      </c>
      <c r="K6637" t="s">
        <v>2669</v>
      </c>
      <c r="L6637" s="13">
        <v>4000</v>
      </c>
      <c r="M6637" t="s">
        <v>2676</v>
      </c>
    </row>
    <row r="6638" spans="1:13">
      <c r="A6638" t="s">
        <v>2579</v>
      </c>
      <c r="B6638" t="s">
        <v>81</v>
      </c>
      <c r="C6638" s="8">
        <v>46259</v>
      </c>
      <c r="D6638" t="s">
        <v>332</v>
      </c>
      <c r="E6638" t="s">
        <v>334</v>
      </c>
      <c r="F6638" s="12">
        <v>186176</v>
      </c>
      <c r="G6638" s="13">
        <v>18</v>
      </c>
      <c r="H6638" t="s">
        <v>3200</v>
      </c>
      <c r="I6638" s="8">
        <v>46120</v>
      </c>
      <c r="J6638" t="s">
        <v>2685</v>
      </c>
      <c r="K6638" t="s">
        <v>2686</v>
      </c>
      <c r="L6638" s="13">
        <v>5000</v>
      </c>
      <c r="M6638" t="s">
        <v>2661</v>
      </c>
    </row>
    <row r="6639" spans="1:13">
      <c r="A6639" t="s">
        <v>2579</v>
      </c>
      <c r="B6639" t="s">
        <v>81</v>
      </c>
      <c r="C6639" s="8">
        <v>46259</v>
      </c>
      <c r="D6639" t="s">
        <v>332</v>
      </c>
      <c r="E6639" t="s">
        <v>334</v>
      </c>
      <c r="F6639" s="12">
        <v>186176</v>
      </c>
      <c r="G6639" s="13">
        <v>18</v>
      </c>
      <c r="H6639" t="s">
        <v>3250</v>
      </c>
      <c r="I6639" s="8">
        <v>46234</v>
      </c>
      <c r="J6639" t="s">
        <v>2659</v>
      </c>
      <c r="K6639" t="s">
        <v>2660</v>
      </c>
      <c r="L6639" s="13">
        <v>3500</v>
      </c>
      <c r="M6639" t="s">
        <v>2661</v>
      </c>
    </row>
    <row r="6640" spans="1:13">
      <c r="A6640" t="s">
        <v>2579</v>
      </c>
      <c r="B6640" t="s">
        <v>81</v>
      </c>
      <c r="C6640" s="8">
        <v>46259</v>
      </c>
      <c r="D6640" t="s">
        <v>332</v>
      </c>
      <c r="E6640" t="s">
        <v>334</v>
      </c>
      <c r="F6640" s="12">
        <v>186176</v>
      </c>
      <c r="G6640" s="13">
        <v>18</v>
      </c>
      <c r="H6640" t="s">
        <v>3263</v>
      </c>
      <c r="I6640" s="8">
        <v>45996</v>
      </c>
      <c r="J6640" t="s">
        <v>2682</v>
      </c>
      <c r="K6640" t="s">
        <v>2683</v>
      </c>
      <c r="L6640" s="13">
        <v>6000</v>
      </c>
      <c r="M6640" t="s">
        <v>2661</v>
      </c>
    </row>
    <row r="6641" spans="1:13">
      <c r="A6641" t="s">
        <v>2579</v>
      </c>
      <c r="B6641" t="s">
        <v>81</v>
      </c>
      <c r="C6641" s="8">
        <v>46259</v>
      </c>
      <c r="D6641" t="s">
        <v>332</v>
      </c>
      <c r="E6641" t="s">
        <v>334</v>
      </c>
      <c r="F6641" s="12">
        <v>186176</v>
      </c>
      <c r="G6641" s="13">
        <v>18</v>
      </c>
      <c r="H6641" t="s">
        <v>3561</v>
      </c>
      <c r="I6641" s="8">
        <v>46096</v>
      </c>
      <c r="J6641" t="s">
        <v>2692</v>
      </c>
      <c r="K6641" t="s">
        <v>2693</v>
      </c>
      <c r="L6641" s="13">
        <v>10000</v>
      </c>
      <c r="M6641" t="s">
        <v>2676</v>
      </c>
    </row>
    <row r="6642" spans="1:13">
      <c r="A6642" t="s">
        <v>2580</v>
      </c>
      <c r="B6642" t="s">
        <v>92</v>
      </c>
      <c r="C6642" s="8">
        <v>46014</v>
      </c>
      <c r="D6642" t="s">
        <v>330</v>
      </c>
      <c r="E6642" t="s">
        <v>339</v>
      </c>
      <c r="F6642" s="12">
        <v>256658</v>
      </c>
      <c r="G6642" s="13">
        <v>25</v>
      </c>
      <c r="H6642" t="s">
        <v>3415</v>
      </c>
      <c r="I6642" s="8">
        <v>46280</v>
      </c>
      <c r="J6642" t="s">
        <v>2663</v>
      </c>
      <c r="K6642" t="s">
        <v>3630</v>
      </c>
      <c r="L6642" s="13">
        <v>1500</v>
      </c>
      <c r="M6642" t="s">
        <v>2661</v>
      </c>
    </row>
    <row r="6643" spans="1:13">
      <c r="A6643" t="s">
        <v>2580</v>
      </c>
      <c r="B6643" t="s">
        <v>92</v>
      </c>
      <c r="C6643" s="8">
        <v>46014</v>
      </c>
      <c r="D6643" t="s">
        <v>330</v>
      </c>
      <c r="E6643" t="s">
        <v>339</v>
      </c>
      <c r="F6643" s="12">
        <v>256658</v>
      </c>
      <c r="G6643" s="13">
        <v>25</v>
      </c>
      <c r="H6643" t="s">
        <v>3577</v>
      </c>
      <c r="I6643" s="8">
        <v>45965</v>
      </c>
      <c r="J6643" t="s">
        <v>2663</v>
      </c>
      <c r="K6643" t="s">
        <v>3630</v>
      </c>
      <c r="L6643" s="13">
        <v>1500</v>
      </c>
      <c r="M6643" t="s">
        <v>2661</v>
      </c>
    </row>
    <row r="6644" spans="1:13">
      <c r="A6644" t="s">
        <v>2581</v>
      </c>
      <c r="B6644" t="s">
        <v>252</v>
      </c>
      <c r="C6644" s="8">
        <v>46248</v>
      </c>
      <c r="D6644" t="s">
        <v>330</v>
      </c>
      <c r="E6644" t="s">
        <v>339</v>
      </c>
      <c r="F6644" s="12">
        <v>238371</v>
      </c>
      <c r="G6644" s="13">
        <v>23</v>
      </c>
      <c r="H6644" t="s">
        <v>2815</v>
      </c>
      <c r="I6644" s="8">
        <v>45992</v>
      </c>
      <c r="J6644" t="s">
        <v>2688</v>
      </c>
      <c r="K6644" t="s">
        <v>2689</v>
      </c>
      <c r="L6644" s="13">
        <v>8000</v>
      </c>
      <c r="M6644" t="s">
        <v>2661</v>
      </c>
    </row>
    <row r="6645" spans="1:13">
      <c r="A6645" t="s">
        <v>2581</v>
      </c>
      <c r="B6645" t="s">
        <v>252</v>
      </c>
      <c r="C6645" s="8">
        <v>46248</v>
      </c>
      <c r="D6645" t="s">
        <v>330</v>
      </c>
      <c r="E6645" t="s">
        <v>339</v>
      </c>
      <c r="F6645" s="12">
        <v>238371</v>
      </c>
      <c r="G6645" s="13">
        <v>23</v>
      </c>
      <c r="H6645" t="s">
        <v>3320</v>
      </c>
      <c r="I6645" s="8">
        <v>46043</v>
      </c>
      <c r="J6645" t="s">
        <v>2663</v>
      </c>
      <c r="K6645" t="s">
        <v>3630</v>
      </c>
      <c r="L6645" s="13">
        <v>1500</v>
      </c>
      <c r="M6645" t="s">
        <v>2661</v>
      </c>
    </row>
    <row r="6646" spans="1:13">
      <c r="A6646" t="s">
        <v>2581</v>
      </c>
      <c r="B6646" t="s">
        <v>252</v>
      </c>
      <c r="C6646" s="8">
        <v>46248</v>
      </c>
      <c r="D6646" t="s">
        <v>330</v>
      </c>
      <c r="E6646" t="s">
        <v>339</v>
      </c>
      <c r="F6646" s="12">
        <v>238371</v>
      </c>
      <c r="G6646" s="13">
        <v>23</v>
      </c>
      <c r="H6646" t="s">
        <v>3575</v>
      </c>
      <c r="I6646" s="8">
        <v>46263</v>
      </c>
      <c r="J6646" t="s">
        <v>2668</v>
      </c>
      <c r="K6646" t="s">
        <v>2669</v>
      </c>
      <c r="L6646" s="13">
        <v>4000</v>
      </c>
      <c r="M6646" t="s">
        <v>2676</v>
      </c>
    </row>
    <row r="6647" spans="1:13">
      <c r="A6647" t="s">
        <v>2582</v>
      </c>
      <c r="B6647" t="s">
        <v>78</v>
      </c>
      <c r="C6647" s="8">
        <v>46164</v>
      </c>
      <c r="D6647" t="s">
        <v>344</v>
      </c>
      <c r="E6647" t="s">
        <v>339</v>
      </c>
      <c r="F6647" s="12">
        <v>52125</v>
      </c>
      <c r="G6647" s="13">
        <v>5</v>
      </c>
      <c r="H6647" t="s">
        <v>2786</v>
      </c>
      <c r="I6647" s="8">
        <v>46223</v>
      </c>
      <c r="J6647" t="s">
        <v>2692</v>
      </c>
      <c r="K6647" t="s">
        <v>2693</v>
      </c>
      <c r="L6647" s="13">
        <v>10000</v>
      </c>
      <c r="M6647" t="s">
        <v>2661</v>
      </c>
    </row>
    <row r="6648" spans="1:13">
      <c r="A6648" t="s">
        <v>2582</v>
      </c>
      <c r="B6648" t="s">
        <v>78</v>
      </c>
      <c r="C6648" s="8">
        <v>46164</v>
      </c>
      <c r="D6648" t="s">
        <v>344</v>
      </c>
      <c r="E6648" t="s">
        <v>339</v>
      </c>
      <c r="F6648" s="12">
        <v>52125</v>
      </c>
      <c r="G6648" s="13">
        <v>5</v>
      </c>
      <c r="H6648" t="s">
        <v>3071</v>
      </c>
      <c r="I6648" s="8">
        <v>46146</v>
      </c>
      <c r="J6648" t="s">
        <v>2668</v>
      </c>
      <c r="K6648" t="s">
        <v>2669</v>
      </c>
      <c r="L6648" s="13">
        <v>4000</v>
      </c>
      <c r="M6648" t="s">
        <v>2661</v>
      </c>
    </row>
    <row r="6649" spans="1:13">
      <c r="A6649" t="s">
        <v>2583</v>
      </c>
      <c r="B6649" t="s">
        <v>182</v>
      </c>
      <c r="C6649" s="8">
        <v>46007</v>
      </c>
      <c r="D6649" t="s">
        <v>350</v>
      </c>
      <c r="E6649" t="s">
        <v>328</v>
      </c>
      <c r="F6649" s="12">
        <v>66866</v>
      </c>
      <c r="G6649" s="13">
        <v>6</v>
      </c>
      <c r="H6649" t="s">
        <v>3339</v>
      </c>
      <c r="I6649" s="8">
        <v>46065</v>
      </c>
      <c r="J6649" t="s">
        <v>2674</v>
      </c>
      <c r="K6649" t="s">
        <v>2675</v>
      </c>
      <c r="L6649" s="13">
        <v>20000</v>
      </c>
      <c r="M6649" t="s">
        <v>2661</v>
      </c>
    </row>
    <row r="6650" spans="1:13">
      <c r="A6650" t="s">
        <v>2584</v>
      </c>
      <c r="B6650" t="s">
        <v>252</v>
      </c>
      <c r="C6650" s="8">
        <v>46263</v>
      </c>
      <c r="D6650" t="s">
        <v>342</v>
      </c>
      <c r="E6650" t="s">
        <v>334</v>
      </c>
      <c r="F6650" s="12">
        <v>258859</v>
      </c>
      <c r="G6650" s="13">
        <v>25</v>
      </c>
      <c r="H6650" t="s">
        <v>2815</v>
      </c>
      <c r="I6650" s="8">
        <v>45992</v>
      </c>
      <c r="J6650" t="s">
        <v>2688</v>
      </c>
      <c r="K6650" t="s">
        <v>2689</v>
      </c>
      <c r="L6650" s="13">
        <v>8000</v>
      </c>
      <c r="M6650" t="s">
        <v>2661</v>
      </c>
    </row>
    <row r="6651" spans="1:13">
      <c r="A6651" t="s">
        <v>2584</v>
      </c>
      <c r="B6651" t="s">
        <v>252</v>
      </c>
      <c r="C6651" s="8">
        <v>46263</v>
      </c>
      <c r="D6651" t="s">
        <v>342</v>
      </c>
      <c r="E6651" t="s">
        <v>334</v>
      </c>
      <c r="F6651" s="12">
        <v>258859</v>
      </c>
      <c r="G6651" s="13">
        <v>25</v>
      </c>
      <c r="H6651" t="s">
        <v>3320</v>
      </c>
      <c r="I6651" s="8">
        <v>46043</v>
      </c>
      <c r="J6651" t="s">
        <v>2663</v>
      </c>
      <c r="K6651" t="s">
        <v>3630</v>
      </c>
      <c r="L6651" s="13">
        <v>1500</v>
      </c>
      <c r="M6651" t="s">
        <v>2661</v>
      </c>
    </row>
    <row r="6652" spans="1:13">
      <c r="A6652" t="s">
        <v>2584</v>
      </c>
      <c r="B6652" t="s">
        <v>252</v>
      </c>
      <c r="C6652" s="8">
        <v>46263</v>
      </c>
      <c r="D6652" t="s">
        <v>342</v>
      </c>
      <c r="E6652" t="s">
        <v>334</v>
      </c>
      <c r="F6652" s="12">
        <v>258859</v>
      </c>
      <c r="G6652" s="13">
        <v>25</v>
      </c>
      <c r="H6652" t="s">
        <v>3575</v>
      </c>
      <c r="I6652" s="8">
        <v>46263</v>
      </c>
      <c r="J6652" t="s">
        <v>2668</v>
      </c>
      <c r="K6652" t="s">
        <v>2669</v>
      </c>
      <c r="L6652" s="13">
        <v>4000</v>
      </c>
      <c r="M6652" t="s">
        <v>2676</v>
      </c>
    </row>
    <row r="6653" spans="1:13">
      <c r="A6653" t="s">
        <v>2585</v>
      </c>
      <c r="B6653" t="s">
        <v>257</v>
      </c>
      <c r="C6653" s="8">
        <v>46020</v>
      </c>
      <c r="D6653" t="s">
        <v>324</v>
      </c>
      <c r="E6653" t="s">
        <v>337</v>
      </c>
      <c r="F6653" s="12">
        <v>54446</v>
      </c>
      <c r="G6653" s="13">
        <v>5</v>
      </c>
      <c r="H6653" t="s">
        <v>2782</v>
      </c>
      <c r="I6653" s="8">
        <v>46070</v>
      </c>
      <c r="J6653" t="s">
        <v>2692</v>
      </c>
      <c r="K6653" t="s">
        <v>2693</v>
      </c>
      <c r="L6653" s="13">
        <v>10000</v>
      </c>
      <c r="M6653" t="s">
        <v>2676</v>
      </c>
    </row>
    <row r="6654" spans="1:13">
      <c r="A6654" t="s">
        <v>2585</v>
      </c>
      <c r="B6654" t="s">
        <v>257</v>
      </c>
      <c r="C6654" s="8">
        <v>46020</v>
      </c>
      <c r="D6654" t="s">
        <v>324</v>
      </c>
      <c r="E6654" t="s">
        <v>337</v>
      </c>
      <c r="F6654" s="12">
        <v>54446</v>
      </c>
      <c r="G6654" s="13">
        <v>5</v>
      </c>
      <c r="H6654" t="s">
        <v>2850</v>
      </c>
      <c r="I6654" s="8">
        <v>46061</v>
      </c>
      <c r="J6654" t="s">
        <v>2674</v>
      </c>
      <c r="K6654" t="s">
        <v>2675</v>
      </c>
      <c r="L6654" s="13">
        <v>20000</v>
      </c>
      <c r="M6654" t="s">
        <v>2676</v>
      </c>
    </row>
    <row r="6655" spans="1:13">
      <c r="A6655" t="s">
        <v>2585</v>
      </c>
      <c r="B6655" t="s">
        <v>257</v>
      </c>
      <c r="C6655" s="8">
        <v>46020</v>
      </c>
      <c r="D6655" t="s">
        <v>324</v>
      </c>
      <c r="E6655" t="s">
        <v>337</v>
      </c>
      <c r="F6655" s="12">
        <v>54446</v>
      </c>
      <c r="G6655" s="13">
        <v>5</v>
      </c>
      <c r="H6655" t="s">
        <v>2921</v>
      </c>
      <c r="I6655" s="8">
        <v>46239</v>
      </c>
      <c r="J6655" t="s">
        <v>2692</v>
      </c>
      <c r="K6655" t="s">
        <v>2693</v>
      </c>
      <c r="L6655" s="13">
        <v>10000</v>
      </c>
      <c r="M6655" t="s">
        <v>2661</v>
      </c>
    </row>
    <row r="6656" spans="1:13">
      <c r="A6656" t="s">
        <v>2585</v>
      </c>
      <c r="B6656" t="s">
        <v>257</v>
      </c>
      <c r="C6656" s="8">
        <v>46020</v>
      </c>
      <c r="D6656" t="s">
        <v>324</v>
      </c>
      <c r="E6656" t="s">
        <v>337</v>
      </c>
      <c r="F6656" s="12">
        <v>54446</v>
      </c>
      <c r="G6656" s="13">
        <v>5</v>
      </c>
      <c r="H6656" t="s">
        <v>3061</v>
      </c>
      <c r="I6656" s="8">
        <v>46140</v>
      </c>
      <c r="J6656" t="s">
        <v>2674</v>
      </c>
      <c r="K6656" t="s">
        <v>2675</v>
      </c>
      <c r="L6656" s="13">
        <v>20000</v>
      </c>
      <c r="M6656" t="s">
        <v>2661</v>
      </c>
    </row>
    <row r="6657" spans="1:13">
      <c r="A6657" t="s">
        <v>2586</v>
      </c>
      <c r="B6657" t="s">
        <v>199</v>
      </c>
      <c r="C6657" s="8">
        <v>46186</v>
      </c>
      <c r="D6657" t="s">
        <v>332</v>
      </c>
      <c r="E6657" t="s">
        <v>328</v>
      </c>
      <c r="F6657" s="12">
        <v>88752</v>
      </c>
      <c r="G6657" s="13">
        <v>8</v>
      </c>
      <c r="H6657" t="s">
        <v>2993</v>
      </c>
      <c r="I6657" s="8">
        <v>46086</v>
      </c>
      <c r="J6657" t="s">
        <v>2659</v>
      </c>
      <c r="K6657" t="s">
        <v>2660</v>
      </c>
      <c r="L6657" s="13">
        <v>3500</v>
      </c>
      <c r="M6657" t="s">
        <v>2661</v>
      </c>
    </row>
    <row r="6658" spans="1:13">
      <c r="A6658" t="s">
        <v>2586</v>
      </c>
      <c r="B6658" t="s">
        <v>199</v>
      </c>
      <c r="C6658" s="8">
        <v>46186</v>
      </c>
      <c r="D6658" t="s">
        <v>332</v>
      </c>
      <c r="E6658" t="s">
        <v>328</v>
      </c>
      <c r="F6658" s="12">
        <v>88752</v>
      </c>
      <c r="G6658" s="13">
        <v>8</v>
      </c>
      <c r="H6658" t="s">
        <v>3004</v>
      </c>
      <c r="I6658" s="8">
        <v>45974</v>
      </c>
      <c r="J6658" t="s">
        <v>2688</v>
      </c>
      <c r="K6658" t="s">
        <v>2689</v>
      </c>
      <c r="L6658" s="13">
        <v>8000</v>
      </c>
      <c r="M6658" t="s">
        <v>2661</v>
      </c>
    </row>
    <row r="6659" spans="1:13">
      <c r="A6659" t="s">
        <v>2586</v>
      </c>
      <c r="B6659" t="s">
        <v>199</v>
      </c>
      <c r="C6659" s="8">
        <v>46186</v>
      </c>
      <c r="D6659" t="s">
        <v>332</v>
      </c>
      <c r="E6659" t="s">
        <v>328</v>
      </c>
      <c r="F6659" s="12">
        <v>88752</v>
      </c>
      <c r="G6659" s="13">
        <v>8</v>
      </c>
      <c r="H6659" t="s">
        <v>3399</v>
      </c>
      <c r="I6659" s="8">
        <v>46093</v>
      </c>
      <c r="J6659" t="s">
        <v>2659</v>
      </c>
      <c r="K6659" t="s">
        <v>2660</v>
      </c>
      <c r="L6659" s="13">
        <v>3500</v>
      </c>
      <c r="M6659" t="s">
        <v>2661</v>
      </c>
    </row>
    <row r="6660" spans="1:13">
      <c r="A6660" t="s">
        <v>2586</v>
      </c>
      <c r="B6660" t="s">
        <v>199</v>
      </c>
      <c r="C6660" s="8">
        <v>46186</v>
      </c>
      <c r="D6660" t="s">
        <v>332</v>
      </c>
      <c r="E6660" t="s">
        <v>328</v>
      </c>
      <c r="F6660" s="12">
        <v>88752</v>
      </c>
      <c r="G6660" s="13">
        <v>8</v>
      </c>
      <c r="H6660" t="s">
        <v>3496</v>
      </c>
      <c r="I6660" s="8">
        <v>46020</v>
      </c>
      <c r="J6660" t="s">
        <v>2674</v>
      </c>
      <c r="K6660" t="s">
        <v>2675</v>
      </c>
      <c r="L6660" s="13">
        <v>20000</v>
      </c>
      <c r="M6660" t="s">
        <v>2661</v>
      </c>
    </row>
    <row r="6661" spans="1:13">
      <c r="A6661" t="s">
        <v>2587</v>
      </c>
      <c r="B6661" t="s">
        <v>194</v>
      </c>
      <c r="C6661" s="8">
        <v>46033</v>
      </c>
      <c r="D6661" t="s">
        <v>344</v>
      </c>
      <c r="E6661" t="s">
        <v>337</v>
      </c>
      <c r="F6661" s="12">
        <v>380495</v>
      </c>
      <c r="G6661" s="13">
        <v>38</v>
      </c>
      <c r="H6661" t="s">
        <v>2698</v>
      </c>
      <c r="I6661" s="8">
        <v>46045</v>
      </c>
      <c r="J6661" t="s">
        <v>2671</v>
      </c>
      <c r="K6661" t="s">
        <v>2672</v>
      </c>
      <c r="L6661" s="13">
        <v>3000</v>
      </c>
      <c r="M6661" t="s">
        <v>2661</v>
      </c>
    </row>
    <row r="6662" spans="1:13">
      <c r="A6662" t="s">
        <v>2587</v>
      </c>
      <c r="B6662" t="s">
        <v>194</v>
      </c>
      <c r="C6662" s="8">
        <v>46033</v>
      </c>
      <c r="D6662" t="s">
        <v>344</v>
      </c>
      <c r="E6662" t="s">
        <v>337</v>
      </c>
      <c r="F6662" s="12">
        <v>380495</v>
      </c>
      <c r="G6662" s="13">
        <v>38</v>
      </c>
      <c r="H6662" t="s">
        <v>2939</v>
      </c>
      <c r="I6662" s="8">
        <v>46020</v>
      </c>
      <c r="J6662" t="s">
        <v>2692</v>
      </c>
      <c r="K6662" t="s">
        <v>2693</v>
      </c>
      <c r="L6662" s="13">
        <v>10000</v>
      </c>
      <c r="M6662" t="s">
        <v>2676</v>
      </c>
    </row>
    <row r="6663" spans="1:13">
      <c r="A6663" t="s">
        <v>2587</v>
      </c>
      <c r="B6663" t="s">
        <v>194</v>
      </c>
      <c r="C6663" s="8">
        <v>46033</v>
      </c>
      <c r="D6663" t="s">
        <v>344</v>
      </c>
      <c r="E6663" t="s">
        <v>337</v>
      </c>
      <c r="F6663" s="12">
        <v>380495</v>
      </c>
      <c r="G6663" s="13">
        <v>38</v>
      </c>
      <c r="H6663" t="s">
        <v>3288</v>
      </c>
      <c r="I6663" s="8">
        <v>46062</v>
      </c>
      <c r="J6663" t="s">
        <v>2688</v>
      </c>
      <c r="K6663" t="s">
        <v>2689</v>
      </c>
      <c r="L6663" s="13">
        <v>8000</v>
      </c>
      <c r="M6663" t="s">
        <v>2661</v>
      </c>
    </row>
    <row r="6664" spans="1:13">
      <c r="A6664" t="s">
        <v>2588</v>
      </c>
      <c r="B6664" t="s">
        <v>106</v>
      </c>
      <c r="C6664" s="8">
        <v>45998</v>
      </c>
      <c r="D6664" t="s">
        <v>330</v>
      </c>
      <c r="E6664" t="s">
        <v>328</v>
      </c>
      <c r="F6664" s="12">
        <v>114511</v>
      </c>
      <c r="G6664" s="13">
        <v>11</v>
      </c>
      <c r="H6664" t="s">
        <v>2700</v>
      </c>
      <c r="I6664" s="8">
        <v>46262</v>
      </c>
      <c r="J6664" t="s">
        <v>2692</v>
      </c>
      <c r="K6664" t="s">
        <v>2693</v>
      </c>
      <c r="L6664" s="13">
        <v>10000</v>
      </c>
      <c r="M6664" t="s">
        <v>2676</v>
      </c>
    </row>
    <row r="6665" spans="1:13">
      <c r="A6665" t="s">
        <v>2588</v>
      </c>
      <c r="B6665" t="s">
        <v>106</v>
      </c>
      <c r="C6665" s="8">
        <v>45998</v>
      </c>
      <c r="D6665" t="s">
        <v>330</v>
      </c>
      <c r="E6665" t="s">
        <v>328</v>
      </c>
      <c r="F6665" s="12">
        <v>114511</v>
      </c>
      <c r="G6665" s="13">
        <v>11</v>
      </c>
      <c r="H6665" t="s">
        <v>2973</v>
      </c>
      <c r="I6665" s="8">
        <v>46143</v>
      </c>
      <c r="J6665" t="s">
        <v>2682</v>
      </c>
      <c r="K6665" t="s">
        <v>2683</v>
      </c>
      <c r="L6665" s="13">
        <v>6000</v>
      </c>
      <c r="M6665" t="s">
        <v>2661</v>
      </c>
    </row>
    <row r="6666" spans="1:13">
      <c r="A6666" t="s">
        <v>2588</v>
      </c>
      <c r="B6666" t="s">
        <v>106</v>
      </c>
      <c r="C6666" s="8">
        <v>45998</v>
      </c>
      <c r="D6666" t="s">
        <v>330</v>
      </c>
      <c r="E6666" t="s">
        <v>328</v>
      </c>
      <c r="F6666" s="12">
        <v>114511</v>
      </c>
      <c r="G6666" s="13">
        <v>11</v>
      </c>
      <c r="H6666" t="s">
        <v>3217</v>
      </c>
      <c r="I6666" s="8">
        <v>46275</v>
      </c>
      <c r="J6666" t="s">
        <v>2682</v>
      </c>
      <c r="K6666" t="s">
        <v>2683</v>
      </c>
      <c r="L6666" s="13">
        <v>6000</v>
      </c>
      <c r="M6666" t="s">
        <v>2676</v>
      </c>
    </row>
    <row r="6667" spans="1:13">
      <c r="A6667" t="s">
        <v>2588</v>
      </c>
      <c r="B6667" t="s">
        <v>106</v>
      </c>
      <c r="C6667" s="8">
        <v>45998</v>
      </c>
      <c r="D6667" t="s">
        <v>330</v>
      </c>
      <c r="E6667" t="s">
        <v>328</v>
      </c>
      <c r="F6667" s="12">
        <v>114511</v>
      </c>
      <c r="G6667" s="13">
        <v>11</v>
      </c>
      <c r="H6667" t="s">
        <v>3285</v>
      </c>
      <c r="I6667" s="8">
        <v>46234</v>
      </c>
      <c r="J6667" t="s">
        <v>2668</v>
      </c>
      <c r="K6667" t="s">
        <v>2669</v>
      </c>
      <c r="L6667" s="13">
        <v>4000</v>
      </c>
      <c r="M6667" t="s">
        <v>2661</v>
      </c>
    </row>
    <row r="6668" spans="1:13">
      <c r="A6668" t="s">
        <v>2588</v>
      </c>
      <c r="B6668" t="s">
        <v>106</v>
      </c>
      <c r="C6668" s="8">
        <v>45998</v>
      </c>
      <c r="D6668" t="s">
        <v>330</v>
      </c>
      <c r="E6668" t="s">
        <v>328</v>
      </c>
      <c r="F6668" s="12">
        <v>114511</v>
      </c>
      <c r="G6668" s="13">
        <v>11</v>
      </c>
      <c r="H6668" t="s">
        <v>3476</v>
      </c>
      <c r="I6668" s="8">
        <v>45966</v>
      </c>
      <c r="J6668" t="s">
        <v>2674</v>
      </c>
      <c r="K6668" t="s">
        <v>2675</v>
      </c>
      <c r="L6668" s="13">
        <v>20000</v>
      </c>
      <c r="M6668" t="s">
        <v>2661</v>
      </c>
    </row>
    <row r="6669" spans="1:13">
      <c r="A6669" t="s">
        <v>2589</v>
      </c>
      <c r="B6669" t="s">
        <v>164</v>
      </c>
      <c r="C6669" s="8">
        <v>46246</v>
      </c>
      <c r="D6669" t="s">
        <v>324</v>
      </c>
      <c r="E6669" t="s">
        <v>325</v>
      </c>
      <c r="F6669" s="12">
        <v>185091</v>
      </c>
      <c r="G6669" s="13">
        <v>18</v>
      </c>
      <c r="H6669" t="s">
        <v>2971</v>
      </c>
      <c r="I6669" s="8">
        <v>46018</v>
      </c>
      <c r="J6669" t="s">
        <v>2665</v>
      </c>
      <c r="K6669" t="s">
        <v>2666</v>
      </c>
      <c r="L6669" s="13">
        <v>2500</v>
      </c>
      <c r="M6669" t="s">
        <v>2661</v>
      </c>
    </row>
    <row r="6670" spans="1:13">
      <c r="A6670" t="s">
        <v>2589</v>
      </c>
      <c r="B6670" t="s">
        <v>164</v>
      </c>
      <c r="C6670" s="8">
        <v>46246</v>
      </c>
      <c r="D6670" t="s">
        <v>324</v>
      </c>
      <c r="E6670" t="s">
        <v>325</v>
      </c>
      <c r="F6670" s="12">
        <v>185091</v>
      </c>
      <c r="G6670" s="13">
        <v>18</v>
      </c>
      <c r="H6670" t="s">
        <v>3109</v>
      </c>
      <c r="I6670" s="8">
        <v>46204</v>
      </c>
      <c r="J6670" t="s">
        <v>2668</v>
      </c>
      <c r="K6670" t="s">
        <v>2669</v>
      </c>
      <c r="L6670" s="13">
        <v>4000</v>
      </c>
      <c r="M6670" t="s">
        <v>2676</v>
      </c>
    </row>
    <row r="6671" spans="1:13">
      <c r="A6671" t="s">
        <v>2589</v>
      </c>
      <c r="B6671" t="s">
        <v>164</v>
      </c>
      <c r="C6671" s="8">
        <v>46246</v>
      </c>
      <c r="D6671" t="s">
        <v>324</v>
      </c>
      <c r="E6671" t="s">
        <v>325</v>
      </c>
      <c r="F6671" s="12">
        <v>185091</v>
      </c>
      <c r="G6671" s="13">
        <v>18</v>
      </c>
      <c r="H6671" t="s">
        <v>3298</v>
      </c>
      <c r="I6671" s="8">
        <v>46208</v>
      </c>
      <c r="J6671" t="s">
        <v>2692</v>
      </c>
      <c r="K6671" t="s">
        <v>2693</v>
      </c>
      <c r="L6671" s="13">
        <v>10000</v>
      </c>
      <c r="M6671" t="s">
        <v>2661</v>
      </c>
    </row>
    <row r="6672" spans="1:13">
      <c r="A6672" t="s">
        <v>2589</v>
      </c>
      <c r="B6672" t="s">
        <v>164</v>
      </c>
      <c r="C6672" s="8">
        <v>46246</v>
      </c>
      <c r="D6672" t="s">
        <v>324</v>
      </c>
      <c r="E6672" t="s">
        <v>325</v>
      </c>
      <c r="F6672" s="12">
        <v>185091</v>
      </c>
      <c r="G6672" s="13">
        <v>18</v>
      </c>
      <c r="H6672" t="s">
        <v>3523</v>
      </c>
      <c r="I6672" s="8">
        <v>46098</v>
      </c>
      <c r="J6672" t="s">
        <v>2659</v>
      </c>
      <c r="K6672" t="s">
        <v>2660</v>
      </c>
      <c r="L6672" s="13">
        <v>3500</v>
      </c>
      <c r="M6672" t="s">
        <v>2661</v>
      </c>
    </row>
    <row r="6673" spans="1:13">
      <c r="A6673" t="s">
        <v>2590</v>
      </c>
      <c r="B6673" t="s">
        <v>245</v>
      </c>
      <c r="C6673" s="8">
        <v>46009</v>
      </c>
      <c r="D6673" t="s">
        <v>330</v>
      </c>
      <c r="E6673" t="s">
        <v>334</v>
      </c>
      <c r="F6673" s="12">
        <v>73933</v>
      </c>
      <c r="G6673" s="13">
        <v>7</v>
      </c>
      <c r="H6673" t="s">
        <v>2927</v>
      </c>
      <c r="I6673" s="8">
        <v>46075</v>
      </c>
      <c r="J6673" t="s">
        <v>2685</v>
      </c>
      <c r="K6673" t="s">
        <v>2686</v>
      </c>
      <c r="L6673" s="13">
        <v>5000</v>
      </c>
      <c r="M6673" t="s">
        <v>2661</v>
      </c>
    </row>
    <row r="6674" spans="1:13">
      <c r="A6674" t="s">
        <v>2590</v>
      </c>
      <c r="B6674" t="s">
        <v>245</v>
      </c>
      <c r="C6674" s="8">
        <v>46009</v>
      </c>
      <c r="D6674" t="s">
        <v>330</v>
      </c>
      <c r="E6674" t="s">
        <v>334</v>
      </c>
      <c r="F6674" s="12">
        <v>73933</v>
      </c>
      <c r="G6674" s="13">
        <v>7</v>
      </c>
      <c r="H6674" t="s">
        <v>3031</v>
      </c>
      <c r="I6674" s="8">
        <v>46124</v>
      </c>
      <c r="J6674" t="s">
        <v>2688</v>
      </c>
      <c r="K6674" t="s">
        <v>2689</v>
      </c>
      <c r="L6674" s="13">
        <v>8000</v>
      </c>
      <c r="M6674" t="s">
        <v>2676</v>
      </c>
    </row>
    <row r="6675" spans="1:13">
      <c r="A6675" t="s">
        <v>2590</v>
      </c>
      <c r="B6675" t="s">
        <v>245</v>
      </c>
      <c r="C6675" s="8">
        <v>46009</v>
      </c>
      <c r="D6675" t="s">
        <v>330</v>
      </c>
      <c r="E6675" t="s">
        <v>334</v>
      </c>
      <c r="F6675" s="12">
        <v>73933</v>
      </c>
      <c r="G6675" s="13">
        <v>7</v>
      </c>
      <c r="H6675" t="s">
        <v>3328</v>
      </c>
      <c r="I6675" s="8">
        <v>45934</v>
      </c>
      <c r="J6675" t="s">
        <v>2668</v>
      </c>
      <c r="K6675" t="s">
        <v>2669</v>
      </c>
      <c r="L6675" s="13">
        <v>4000</v>
      </c>
      <c r="M6675" t="s">
        <v>2661</v>
      </c>
    </row>
    <row r="6676" spans="1:13">
      <c r="A6676" t="s">
        <v>2590</v>
      </c>
      <c r="B6676" t="s">
        <v>245</v>
      </c>
      <c r="C6676" s="8">
        <v>46009</v>
      </c>
      <c r="D6676" t="s">
        <v>330</v>
      </c>
      <c r="E6676" t="s">
        <v>334</v>
      </c>
      <c r="F6676" s="12">
        <v>73933</v>
      </c>
      <c r="G6676" s="13">
        <v>7</v>
      </c>
      <c r="H6676" t="s">
        <v>3343</v>
      </c>
      <c r="I6676" s="8">
        <v>46021</v>
      </c>
      <c r="J6676" t="s">
        <v>2674</v>
      </c>
      <c r="K6676" t="s">
        <v>2675</v>
      </c>
      <c r="L6676" s="13">
        <v>20000</v>
      </c>
      <c r="M6676" t="s">
        <v>2661</v>
      </c>
    </row>
    <row r="6677" spans="1:13">
      <c r="A6677" t="s">
        <v>2591</v>
      </c>
      <c r="B6677" t="s">
        <v>134</v>
      </c>
      <c r="C6677" s="8">
        <v>46026</v>
      </c>
      <c r="D6677" t="s">
        <v>321</v>
      </c>
      <c r="E6677" t="s">
        <v>322</v>
      </c>
      <c r="F6677" s="12">
        <v>278715</v>
      </c>
      <c r="G6677" s="13">
        <v>27</v>
      </c>
      <c r="H6677" t="s">
        <v>3183</v>
      </c>
      <c r="I6677" s="8">
        <v>46285</v>
      </c>
      <c r="J6677" t="s">
        <v>2663</v>
      </c>
      <c r="K6677" t="s">
        <v>3630</v>
      </c>
      <c r="L6677" s="13">
        <v>1500</v>
      </c>
      <c r="M6677" t="s">
        <v>2661</v>
      </c>
    </row>
    <row r="6678" spans="1:13">
      <c r="A6678" t="s">
        <v>2592</v>
      </c>
      <c r="B6678" t="s">
        <v>171</v>
      </c>
      <c r="C6678" s="8">
        <v>46126</v>
      </c>
      <c r="D6678" t="s">
        <v>332</v>
      </c>
      <c r="E6678" t="s">
        <v>337</v>
      </c>
      <c r="F6678" s="12">
        <v>190726</v>
      </c>
      <c r="G6678" s="13">
        <v>19</v>
      </c>
      <c r="H6678" t="s">
        <v>2740</v>
      </c>
      <c r="I6678" s="8">
        <v>46274</v>
      </c>
      <c r="J6678" t="s">
        <v>2665</v>
      </c>
      <c r="K6678" t="s">
        <v>2666</v>
      </c>
      <c r="L6678" s="13">
        <v>2500</v>
      </c>
      <c r="M6678" t="s">
        <v>2676</v>
      </c>
    </row>
    <row r="6679" spans="1:13">
      <c r="A6679" t="s">
        <v>2592</v>
      </c>
      <c r="B6679" t="s">
        <v>171</v>
      </c>
      <c r="C6679" s="8">
        <v>46126</v>
      </c>
      <c r="D6679" t="s">
        <v>332</v>
      </c>
      <c r="E6679" t="s">
        <v>337</v>
      </c>
      <c r="F6679" s="12">
        <v>190726</v>
      </c>
      <c r="G6679" s="13">
        <v>19</v>
      </c>
      <c r="H6679" t="s">
        <v>2919</v>
      </c>
      <c r="I6679" s="8">
        <v>46190</v>
      </c>
      <c r="J6679" t="s">
        <v>2685</v>
      </c>
      <c r="K6679" t="s">
        <v>2686</v>
      </c>
      <c r="L6679" s="13">
        <v>5000</v>
      </c>
      <c r="M6679" t="s">
        <v>2661</v>
      </c>
    </row>
    <row r="6680" spans="1:13">
      <c r="A6680" t="s">
        <v>2592</v>
      </c>
      <c r="B6680" t="s">
        <v>171</v>
      </c>
      <c r="C6680" s="8">
        <v>46126</v>
      </c>
      <c r="D6680" t="s">
        <v>332</v>
      </c>
      <c r="E6680" t="s">
        <v>337</v>
      </c>
      <c r="F6680" s="12">
        <v>190726</v>
      </c>
      <c r="G6680" s="13">
        <v>19</v>
      </c>
      <c r="H6680" t="s">
        <v>3002</v>
      </c>
      <c r="I6680" s="8">
        <v>46263</v>
      </c>
      <c r="J6680" t="s">
        <v>2682</v>
      </c>
      <c r="K6680" t="s">
        <v>2683</v>
      </c>
      <c r="L6680" s="13">
        <v>6000</v>
      </c>
      <c r="M6680" t="s">
        <v>2661</v>
      </c>
    </row>
    <row r="6681" spans="1:13">
      <c r="A6681" t="s">
        <v>2592</v>
      </c>
      <c r="B6681" t="s">
        <v>171</v>
      </c>
      <c r="C6681" s="8">
        <v>46126</v>
      </c>
      <c r="D6681" t="s">
        <v>332</v>
      </c>
      <c r="E6681" t="s">
        <v>337</v>
      </c>
      <c r="F6681" s="12">
        <v>190726</v>
      </c>
      <c r="G6681" s="13">
        <v>19</v>
      </c>
      <c r="H6681" t="s">
        <v>3026</v>
      </c>
      <c r="I6681" s="8">
        <v>46220</v>
      </c>
      <c r="J6681" t="s">
        <v>2671</v>
      </c>
      <c r="K6681" t="s">
        <v>2672</v>
      </c>
      <c r="L6681" s="13">
        <v>3000</v>
      </c>
      <c r="M6681" t="s">
        <v>2676</v>
      </c>
    </row>
    <row r="6682" spans="1:13">
      <c r="A6682" t="s">
        <v>2592</v>
      </c>
      <c r="B6682" t="s">
        <v>171</v>
      </c>
      <c r="C6682" s="8">
        <v>46126</v>
      </c>
      <c r="D6682" t="s">
        <v>332</v>
      </c>
      <c r="E6682" t="s">
        <v>337</v>
      </c>
      <c r="F6682" s="12">
        <v>190726</v>
      </c>
      <c r="G6682" s="13">
        <v>19</v>
      </c>
      <c r="H6682" t="s">
        <v>3462</v>
      </c>
      <c r="I6682" s="8">
        <v>46181</v>
      </c>
      <c r="J6682" t="s">
        <v>2682</v>
      </c>
      <c r="K6682" t="s">
        <v>2683</v>
      </c>
      <c r="L6682" s="13">
        <v>6000</v>
      </c>
      <c r="M6682" t="s">
        <v>2661</v>
      </c>
    </row>
    <row r="6683" spans="1:13">
      <c r="A6683" t="s">
        <v>2593</v>
      </c>
      <c r="B6683" t="s">
        <v>197</v>
      </c>
      <c r="C6683" s="8">
        <v>46054</v>
      </c>
      <c r="D6683" t="s">
        <v>324</v>
      </c>
      <c r="E6683" t="s">
        <v>328</v>
      </c>
      <c r="F6683" s="12">
        <v>463591</v>
      </c>
      <c r="G6683" s="13">
        <v>46</v>
      </c>
      <c r="H6683" t="s">
        <v>2907</v>
      </c>
      <c r="I6683" s="8">
        <v>46147</v>
      </c>
      <c r="J6683" t="s">
        <v>2659</v>
      </c>
      <c r="K6683" t="s">
        <v>2660</v>
      </c>
      <c r="L6683" s="13">
        <v>3500</v>
      </c>
      <c r="M6683" t="s">
        <v>2676</v>
      </c>
    </row>
    <row r="6684" spans="1:13">
      <c r="A6684" t="s">
        <v>2593</v>
      </c>
      <c r="B6684" t="s">
        <v>197</v>
      </c>
      <c r="C6684" s="8">
        <v>46054</v>
      </c>
      <c r="D6684" t="s">
        <v>324</v>
      </c>
      <c r="E6684" t="s">
        <v>328</v>
      </c>
      <c r="F6684" s="12">
        <v>463591</v>
      </c>
      <c r="G6684" s="13">
        <v>46</v>
      </c>
      <c r="H6684" t="s">
        <v>3356</v>
      </c>
      <c r="I6684" s="8">
        <v>46124</v>
      </c>
      <c r="J6684" t="s">
        <v>2685</v>
      </c>
      <c r="K6684" t="s">
        <v>2686</v>
      </c>
      <c r="L6684" s="13">
        <v>5000</v>
      </c>
      <c r="M6684" t="s">
        <v>2661</v>
      </c>
    </row>
    <row r="6685" spans="1:13">
      <c r="A6685" t="s">
        <v>2593</v>
      </c>
      <c r="B6685" t="s">
        <v>197</v>
      </c>
      <c r="C6685" s="8">
        <v>46054</v>
      </c>
      <c r="D6685" t="s">
        <v>324</v>
      </c>
      <c r="E6685" t="s">
        <v>328</v>
      </c>
      <c r="F6685" s="12">
        <v>463591</v>
      </c>
      <c r="G6685" s="13">
        <v>46</v>
      </c>
      <c r="H6685" t="s">
        <v>3465</v>
      </c>
      <c r="I6685" s="8">
        <v>46076</v>
      </c>
      <c r="J6685" t="s">
        <v>2692</v>
      </c>
      <c r="K6685" t="s">
        <v>2693</v>
      </c>
      <c r="L6685" s="13">
        <v>10000</v>
      </c>
      <c r="M6685" t="s">
        <v>2661</v>
      </c>
    </row>
    <row r="6686" spans="1:13">
      <c r="A6686" t="s">
        <v>2593</v>
      </c>
      <c r="B6686" t="s">
        <v>197</v>
      </c>
      <c r="C6686" s="8">
        <v>46054</v>
      </c>
      <c r="D6686" t="s">
        <v>324</v>
      </c>
      <c r="E6686" t="s">
        <v>328</v>
      </c>
      <c r="F6686" s="12">
        <v>463591</v>
      </c>
      <c r="G6686" s="13">
        <v>46</v>
      </c>
      <c r="H6686" t="s">
        <v>3529</v>
      </c>
      <c r="I6686" s="8">
        <v>46013</v>
      </c>
      <c r="J6686" t="s">
        <v>2688</v>
      </c>
      <c r="K6686" t="s">
        <v>2689</v>
      </c>
      <c r="L6686" s="13">
        <v>8000</v>
      </c>
      <c r="M6686" t="s">
        <v>2661</v>
      </c>
    </row>
    <row r="6687" spans="1:13">
      <c r="A6687" t="s">
        <v>2593</v>
      </c>
      <c r="B6687" t="s">
        <v>197</v>
      </c>
      <c r="C6687" s="8">
        <v>46054</v>
      </c>
      <c r="D6687" t="s">
        <v>324</v>
      </c>
      <c r="E6687" t="s">
        <v>328</v>
      </c>
      <c r="F6687" s="12">
        <v>463591</v>
      </c>
      <c r="G6687" s="13">
        <v>46</v>
      </c>
      <c r="H6687" t="s">
        <v>3540</v>
      </c>
      <c r="I6687" s="8">
        <v>46276</v>
      </c>
      <c r="J6687" t="s">
        <v>2692</v>
      </c>
      <c r="K6687" t="s">
        <v>2693</v>
      </c>
      <c r="L6687" s="13">
        <v>10000</v>
      </c>
      <c r="M6687" t="s">
        <v>2676</v>
      </c>
    </row>
    <row r="6688" spans="1:13">
      <c r="A6688" t="s">
        <v>2594</v>
      </c>
      <c r="B6688" t="s">
        <v>48</v>
      </c>
      <c r="C6688" s="8">
        <v>46172</v>
      </c>
      <c r="D6688" t="s">
        <v>350</v>
      </c>
      <c r="E6688" t="s">
        <v>337</v>
      </c>
      <c r="F6688" s="12">
        <v>203803</v>
      </c>
      <c r="G6688" s="13">
        <v>20</v>
      </c>
      <c r="H6688" t="s">
        <v>3044</v>
      </c>
      <c r="I6688" s="8">
        <v>46137</v>
      </c>
      <c r="J6688" t="s">
        <v>2659</v>
      </c>
      <c r="K6688" t="s">
        <v>2660</v>
      </c>
      <c r="L6688" s="13">
        <v>3500</v>
      </c>
      <c r="M6688" t="s">
        <v>2676</v>
      </c>
    </row>
    <row r="6689" spans="1:13">
      <c r="A6689" t="s">
        <v>2594</v>
      </c>
      <c r="B6689" t="s">
        <v>48</v>
      </c>
      <c r="C6689" s="8">
        <v>46172</v>
      </c>
      <c r="D6689" t="s">
        <v>350</v>
      </c>
      <c r="E6689" t="s">
        <v>337</v>
      </c>
      <c r="F6689" s="12">
        <v>203803</v>
      </c>
      <c r="G6689" s="13">
        <v>20</v>
      </c>
      <c r="H6689" t="s">
        <v>3368</v>
      </c>
      <c r="I6689" s="8">
        <v>46171</v>
      </c>
      <c r="J6689" t="s">
        <v>2659</v>
      </c>
      <c r="K6689" t="s">
        <v>2660</v>
      </c>
      <c r="L6689" s="13">
        <v>3500</v>
      </c>
      <c r="M6689" t="s">
        <v>2676</v>
      </c>
    </row>
    <row r="6690" spans="1:13">
      <c r="A6690" t="s">
        <v>2594</v>
      </c>
      <c r="B6690" t="s">
        <v>48</v>
      </c>
      <c r="C6690" s="8">
        <v>46172</v>
      </c>
      <c r="D6690" t="s">
        <v>350</v>
      </c>
      <c r="E6690" t="s">
        <v>337</v>
      </c>
      <c r="F6690" s="12">
        <v>203803</v>
      </c>
      <c r="G6690" s="13">
        <v>20</v>
      </c>
      <c r="H6690" t="s">
        <v>3393</v>
      </c>
      <c r="I6690" s="8">
        <v>45952</v>
      </c>
      <c r="J6690" t="s">
        <v>2688</v>
      </c>
      <c r="K6690" t="s">
        <v>2689</v>
      </c>
      <c r="L6690" s="13">
        <v>8000</v>
      </c>
      <c r="M6690" t="s">
        <v>2661</v>
      </c>
    </row>
    <row r="6691" spans="1:13">
      <c r="A6691" t="s">
        <v>2595</v>
      </c>
      <c r="B6691" t="s">
        <v>237</v>
      </c>
      <c r="C6691" s="8">
        <v>46018</v>
      </c>
      <c r="D6691" t="s">
        <v>327</v>
      </c>
      <c r="E6691" t="s">
        <v>339</v>
      </c>
      <c r="F6691" s="12">
        <v>53147</v>
      </c>
      <c r="G6691" s="13">
        <v>5</v>
      </c>
      <c r="H6691" t="s">
        <v>2750</v>
      </c>
      <c r="I6691" s="8">
        <v>46183</v>
      </c>
      <c r="J6691" t="s">
        <v>2659</v>
      </c>
      <c r="K6691" t="s">
        <v>2660</v>
      </c>
      <c r="L6691" s="13">
        <v>3500</v>
      </c>
      <c r="M6691" t="s">
        <v>2661</v>
      </c>
    </row>
    <row r="6692" spans="1:13">
      <c r="A6692" t="s">
        <v>2595</v>
      </c>
      <c r="B6692" t="s">
        <v>237</v>
      </c>
      <c r="C6692" s="8">
        <v>46018</v>
      </c>
      <c r="D6692" t="s">
        <v>327</v>
      </c>
      <c r="E6692" t="s">
        <v>339</v>
      </c>
      <c r="F6692" s="12">
        <v>53147</v>
      </c>
      <c r="G6692" s="13">
        <v>5</v>
      </c>
      <c r="H6692" t="s">
        <v>2787</v>
      </c>
      <c r="I6692" s="8">
        <v>46144</v>
      </c>
      <c r="J6692" t="s">
        <v>2692</v>
      </c>
      <c r="K6692" t="s">
        <v>2693</v>
      </c>
      <c r="L6692" s="13">
        <v>10000</v>
      </c>
      <c r="M6692" t="s">
        <v>2661</v>
      </c>
    </row>
    <row r="6693" spans="1:13">
      <c r="A6693" t="s">
        <v>2595</v>
      </c>
      <c r="B6693" t="s">
        <v>237</v>
      </c>
      <c r="C6693" s="8">
        <v>46018</v>
      </c>
      <c r="D6693" t="s">
        <v>327</v>
      </c>
      <c r="E6693" t="s">
        <v>339</v>
      </c>
      <c r="F6693" s="12">
        <v>53147</v>
      </c>
      <c r="G6693" s="13">
        <v>5</v>
      </c>
      <c r="H6693" t="s">
        <v>3055</v>
      </c>
      <c r="I6693" s="8">
        <v>46201</v>
      </c>
      <c r="J6693" t="s">
        <v>2659</v>
      </c>
      <c r="K6693" t="s">
        <v>2660</v>
      </c>
      <c r="L6693" s="13">
        <v>3500</v>
      </c>
      <c r="M6693" t="s">
        <v>2661</v>
      </c>
    </row>
    <row r="6694" spans="1:13">
      <c r="A6694" t="s">
        <v>2595</v>
      </c>
      <c r="B6694" t="s">
        <v>237</v>
      </c>
      <c r="C6694" s="8">
        <v>46018</v>
      </c>
      <c r="D6694" t="s">
        <v>327</v>
      </c>
      <c r="E6694" t="s">
        <v>339</v>
      </c>
      <c r="F6694" s="12">
        <v>53147</v>
      </c>
      <c r="G6694" s="13">
        <v>5</v>
      </c>
      <c r="H6694" t="s">
        <v>3067</v>
      </c>
      <c r="I6694" s="8">
        <v>46122</v>
      </c>
      <c r="J6694" t="s">
        <v>2668</v>
      </c>
      <c r="K6694" t="s">
        <v>2669</v>
      </c>
      <c r="L6694" s="13">
        <v>4000</v>
      </c>
      <c r="M6694" t="s">
        <v>2661</v>
      </c>
    </row>
    <row r="6695" spans="1:13">
      <c r="A6695" t="s">
        <v>2595</v>
      </c>
      <c r="B6695" t="s">
        <v>237</v>
      </c>
      <c r="C6695" s="8">
        <v>46018</v>
      </c>
      <c r="D6695" t="s">
        <v>327</v>
      </c>
      <c r="E6695" t="s">
        <v>339</v>
      </c>
      <c r="F6695" s="12">
        <v>53147</v>
      </c>
      <c r="G6695" s="13">
        <v>5</v>
      </c>
      <c r="H6695" t="s">
        <v>3130</v>
      </c>
      <c r="I6695" s="8">
        <v>46003</v>
      </c>
      <c r="J6695" t="s">
        <v>2663</v>
      </c>
      <c r="K6695" t="s">
        <v>3630</v>
      </c>
      <c r="L6695" s="13">
        <v>1500</v>
      </c>
      <c r="M6695" t="s">
        <v>2661</v>
      </c>
    </row>
    <row r="6696" spans="1:13">
      <c r="A6696" t="s">
        <v>2595</v>
      </c>
      <c r="B6696" t="s">
        <v>237</v>
      </c>
      <c r="C6696" s="8">
        <v>46018</v>
      </c>
      <c r="D6696" t="s">
        <v>327</v>
      </c>
      <c r="E6696" t="s">
        <v>339</v>
      </c>
      <c r="F6696" s="12">
        <v>53147</v>
      </c>
      <c r="G6696" s="13">
        <v>5</v>
      </c>
      <c r="H6696" t="s">
        <v>3258</v>
      </c>
      <c r="I6696" s="8">
        <v>45979</v>
      </c>
      <c r="J6696" t="s">
        <v>2692</v>
      </c>
      <c r="K6696" t="s">
        <v>2693</v>
      </c>
      <c r="L6696" s="13">
        <v>10000</v>
      </c>
      <c r="M6696" t="s">
        <v>2661</v>
      </c>
    </row>
    <row r="6697" spans="1:13">
      <c r="A6697" t="s">
        <v>2595</v>
      </c>
      <c r="B6697" t="s">
        <v>237</v>
      </c>
      <c r="C6697" s="8">
        <v>46018</v>
      </c>
      <c r="D6697" t="s">
        <v>327</v>
      </c>
      <c r="E6697" t="s">
        <v>339</v>
      </c>
      <c r="F6697" s="12">
        <v>53147</v>
      </c>
      <c r="G6697" s="13">
        <v>5</v>
      </c>
      <c r="H6697" t="s">
        <v>3276</v>
      </c>
      <c r="I6697" s="8">
        <v>46127</v>
      </c>
      <c r="J6697" t="s">
        <v>2682</v>
      </c>
      <c r="K6697" t="s">
        <v>2683</v>
      </c>
      <c r="L6697" s="13">
        <v>6000</v>
      </c>
      <c r="M6697" t="s">
        <v>2661</v>
      </c>
    </row>
    <row r="6698" spans="1:13">
      <c r="A6698" t="s">
        <v>2597</v>
      </c>
      <c r="B6698" t="s">
        <v>102</v>
      </c>
      <c r="C6698" s="8">
        <v>46073</v>
      </c>
      <c r="D6698" t="s">
        <v>342</v>
      </c>
      <c r="E6698" t="s">
        <v>339</v>
      </c>
      <c r="F6698" s="12">
        <v>69347</v>
      </c>
      <c r="G6698" s="13">
        <v>6</v>
      </c>
      <c r="H6698" t="s">
        <v>2797</v>
      </c>
      <c r="I6698" s="8">
        <v>46163</v>
      </c>
      <c r="J6698" t="s">
        <v>2665</v>
      </c>
      <c r="K6698" t="s">
        <v>2666</v>
      </c>
      <c r="L6698" s="13">
        <v>2500</v>
      </c>
      <c r="M6698" t="s">
        <v>2661</v>
      </c>
    </row>
    <row r="6699" spans="1:13">
      <c r="A6699" t="s">
        <v>2597</v>
      </c>
      <c r="B6699" t="s">
        <v>102</v>
      </c>
      <c r="C6699" s="8">
        <v>46073</v>
      </c>
      <c r="D6699" t="s">
        <v>342</v>
      </c>
      <c r="E6699" t="s">
        <v>339</v>
      </c>
      <c r="F6699" s="12">
        <v>69347</v>
      </c>
      <c r="G6699" s="13">
        <v>6</v>
      </c>
      <c r="H6699" t="s">
        <v>3355</v>
      </c>
      <c r="I6699" s="8">
        <v>46029</v>
      </c>
      <c r="J6699" t="s">
        <v>2659</v>
      </c>
      <c r="K6699" t="s">
        <v>2660</v>
      </c>
      <c r="L6699" s="13">
        <v>3500</v>
      </c>
      <c r="M6699" t="s">
        <v>2676</v>
      </c>
    </row>
    <row r="6700" spans="1:13">
      <c r="A6700" t="s">
        <v>2597</v>
      </c>
      <c r="B6700" t="s">
        <v>102</v>
      </c>
      <c r="C6700" s="8">
        <v>46073</v>
      </c>
      <c r="D6700" t="s">
        <v>342</v>
      </c>
      <c r="E6700" t="s">
        <v>339</v>
      </c>
      <c r="F6700" s="12">
        <v>69347</v>
      </c>
      <c r="G6700" s="13">
        <v>6</v>
      </c>
      <c r="H6700" t="s">
        <v>3360</v>
      </c>
      <c r="I6700" s="8">
        <v>46231</v>
      </c>
      <c r="J6700" t="s">
        <v>2674</v>
      </c>
      <c r="K6700" t="s">
        <v>2675</v>
      </c>
      <c r="L6700" s="13">
        <v>20000</v>
      </c>
      <c r="M6700" t="s">
        <v>2661</v>
      </c>
    </row>
    <row r="6701" spans="1:13">
      <c r="A6701" t="s">
        <v>2597</v>
      </c>
      <c r="B6701" t="s">
        <v>102</v>
      </c>
      <c r="C6701" s="8">
        <v>46073</v>
      </c>
      <c r="D6701" t="s">
        <v>342</v>
      </c>
      <c r="E6701" t="s">
        <v>339</v>
      </c>
      <c r="F6701" s="12">
        <v>69347</v>
      </c>
      <c r="G6701" s="13">
        <v>6</v>
      </c>
      <c r="H6701" t="s">
        <v>3439</v>
      </c>
      <c r="I6701" s="8">
        <v>46268</v>
      </c>
      <c r="J6701" t="s">
        <v>2663</v>
      </c>
      <c r="K6701" t="s">
        <v>3630</v>
      </c>
      <c r="L6701" s="13">
        <v>1500</v>
      </c>
      <c r="M6701" t="s">
        <v>2661</v>
      </c>
    </row>
    <row r="6702" spans="1:13">
      <c r="A6702" t="s">
        <v>2597</v>
      </c>
      <c r="B6702" t="s">
        <v>102</v>
      </c>
      <c r="C6702" s="8">
        <v>46073</v>
      </c>
      <c r="D6702" t="s">
        <v>342</v>
      </c>
      <c r="E6702" t="s">
        <v>339</v>
      </c>
      <c r="F6702" s="12">
        <v>69347</v>
      </c>
      <c r="G6702" s="13">
        <v>6</v>
      </c>
      <c r="H6702" t="s">
        <v>3565</v>
      </c>
      <c r="I6702" s="8">
        <v>46150</v>
      </c>
      <c r="J6702" t="s">
        <v>2674</v>
      </c>
      <c r="K6702" t="s">
        <v>2675</v>
      </c>
      <c r="L6702" s="13">
        <v>20000</v>
      </c>
      <c r="M6702" t="s">
        <v>2661</v>
      </c>
    </row>
    <row r="6703" spans="1:13">
      <c r="A6703" t="s">
        <v>2598</v>
      </c>
      <c r="B6703" t="s">
        <v>59</v>
      </c>
      <c r="C6703" s="8">
        <v>46002</v>
      </c>
      <c r="D6703" t="s">
        <v>330</v>
      </c>
      <c r="E6703" t="s">
        <v>325</v>
      </c>
      <c r="F6703" s="12">
        <v>93651</v>
      </c>
      <c r="G6703" s="13">
        <v>9</v>
      </c>
      <c r="H6703" t="s">
        <v>3015</v>
      </c>
      <c r="I6703" s="8">
        <v>46063</v>
      </c>
      <c r="J6703" t="s">
        <v>2688</v>
      </c>
      <c r="K6703" t="s">
        <v>2689</v>
      </c>
      <c r="L6703" s="13">
        <v>8000</v>
      </c>
      <c r="M6703" t="s">
        <v>2661</v>
      </c>
    </row>
    <row r="6704" spans="1:13">
      <c r="A6704" t="s">
        <v>2598</v>
      </c>
      <c r="B6704" t="s">
        <v>59</v>
      </c>
      <c r="C6704" s="8">
        <v>46002</v>
      </c>
      <c r="D6704" t="s">
        <v>330</v>
      </c>
      <c r="E6704" t="s">
        <v>325</v>
      </c>
      <c r="F6704" s="12">
        <v>93651</v>
      </c>
      <c r="G6704" s="13">
        <v>9</v>
      </c>
      <c r="H6704" t="s">
        <v>3420</v>
      </c>
      <c r="I6704" s="8">
        <v>46108</v>
      </c>
      <c r="J6704" t="s">
        <v>2665</v>
      </c>
      <c r="K6704" t="s">
        <v>2666</v>
      </c>
      <c r="L6704" s="13">
        <v>2500</v>
      </c>
      <c r="M6704" t="s">
        <v>2661</v>
      </c>
    </row>
    <row r="6705" spans="1:13">
      <c r="A6705" t="s">
        <v>2598</v>
      </c>
      <c r="B6705" t="s">
        <v>59</v>
      </c>
      <c r="C6705" s="8">
        <v>46002</v>
      </c>
      <c r="D6705" t="s">
        <v>330</v>
      </c>
      <c r="E6705" t="s">
        <v>325</v>
      </c>
      <c r="F6705" s="12">
        <v>93651</v>
      </c>
      <c r="G6705" s="13">
        <v>9</v>
      </c>
      <c r="H6705" t="s">
        <v>3515</v>
      </c>
      <c r="I6705" s="8">
        <v>46190</v>
      </c>
      <c r="J6705" t="s">
        <v>2659</v>
      </c>
      <c r="K6705" t="s">
        <v>2660</v>
      </c>
      <c r="L6705" s="13">
        <v>3500</v>
      </c>
      <c r="M6705" t="s">
        <v>2661</v>
      </c>
    </row>
    <row r="6706" spans="1:13">
      <c r="A6706" t="s">
        <v>2599</v>
      </c>
      <c r="B6706" t="s">
        <v>33</v>
      </c>
      <c r="C6706" s="8">
        <v>46272</v>
      </c>
      <c r="D6706" t="s">
        <v>324</v>
      </c>
      <c r="E6706" t="s">
        <v>322</v>
      </c>
      <c r="F6706" s="12">
        <v>143985</v>
      </c>
      <c r="G6706" s="13">
        <v>14</v>
      </c>
      <c r="H6706" t="s">
        <v>2913</v>
      </c>
      <c r="I6706" s="8">
        <v>46261</v>
      </c>
      <c r="J6706" t="s">
        <v>2688</v>
      </c>
      <c r="K6706" t="s">
        <v>2689</v>
      </c>
      <c r="L6706" s="13">
        <v>8000</v>
      </c>
      <c r="M6706" t="s">
        <v>2661</v>
      </c>
    </row>
    <row r="6707" spans="1:13">
      <c r="A6707" t="s">
        <v>2599</v>
      </c>
      <c r="B6707" t="s">
        <v>33</v>
      </c>
      <c r="C6707" s="8">
        <v>46272</v>
      </c>
      <c r="D6707" t="s">
        <v>324</v>
      </c>
      <c r="E6707" t="s">
        <v>322</v>
      </c>
      <c r="F6707" s="12">
        <v>143985</v>
      </c>
      <c r="G6707" s="13">
        <v>14</v>
      </c>
      <c r="H6707" t="s">
        <v>3372</v>
      </c>
      <c r="I6707" s="8">
        <v>46122</v>
      </c>
      <c r="J6707" t="s">
        <v>2665</v>
      </c>
      <c r="K6707" t="s">
        <v>2666</v>
      </c>
      <c r="L6707" s="13">
        <v>2500</v>
      </c>
      <c r="M6707" t="s">
        <v>2661</v>
      </c>
    </row>
    <row r="6708" spans="1:13">
      <c r="A6708" t="s">
        <v>2600</v>
      </c>
      <c r="B6708" t="s">
        <v>184</v>
      </c>
      <c r="C6708" s="8">
        <v>46177</v>
      </c>
      <c r="D6708" t="s">
        <v>350</v>
      </c>
      <c r="E6708" t="s">
        <v>339</v>
      </c>
      <c r="F6708" s="12">
        <v>261405</v>
      </c>
      <c r="G6708" s="13">
        <v>26</v>
      </c>
      <c r="H6708" t="s">
        <v>3030</v>
      </c>
      <c r="I6708" s="8">
        <v>46275</v>
      </c>
      <c r="J6708" t="s">
        <v>2692</v>
      </c>
      <c r="K6708" t="s">
        <v>2693</v>
      </c>
      <c r="L6708" s="13">
        <v>10000</v>
      </c>
      <c r="M6708" t="s">
        <v>2661</v>
      </c>
    </row>
    <row r="6709" spans="1:13">
      <c r="A6709" t="s">
        <v>2600</v>
      </c>
      <c r="B6709" t="s">
        <v>184</v>
      </c>
      <c r="C6709" s="8">
        <v>46177</v>
      </c>
      <c r="D6709" t="s">
        <v>350</v>
      </c>
      <c r="E6709" t="s">
        <v>339</v>
      </c>
      <c r="F6709" s="12">
        <v>261405</v>
      </c>
      <c r="G6709" s="13">
        <v>26</v>
      </c>
      <c r="H6709" t="s">
        <v>3284</v>
      </c>
      <c r="I6709" s="8">
        <v>46235</v>
      </c>
      <c r="J6709" t="s">
        <v>2688</v>
      </c>
      <c r="K6709" t="s">
        <v>2689</v>
      </c>
      <c r="L6709" s="13">
        <v>8000</v>
      </c>
      <c r="M6709" t="s">
        <v>2661</v>
      </c>
    </row>
    <row r="6710" spans="1:13">
      <c r="A6710" t="s">
        <v>2600</v>
      </c>
      <c r="B6710" t="s">
        <v>184</v>
      </c>
      <c r="C6710" s="8">
        <v>46177</v>
      </c>
      <c r="D6710" t="s">
        <v>350</v>
      </c>
      <c r="E6710" t="s">
        <v>339</v>
      </c>
      <c r="F6710" s="12">
        <v>261405</v>
      </c>
      <c r="G6710" s="13">
        <v>26</v>
      </c>
      <c r="H6710" t="s">
        <v>3311</v>
      </c>
      <c r="I6710" s="8">
        <v>46027</v>
      </c>
      <c r="J6710" t="s">
        <v>2668</v>
      </c>
      <c r="K6710" t="s">
        <v>2669</v>
      </c>
      <c r="L6710" s="13">
        <v>4000</v>
      </c>
      <c r="M6710" t="s">
        <v>2661</v>
      </c>
    </row>
    <row r="6711" spans="1:13">
      <c r="A6711" t="s">
        <v>2600</v>
      </c>
      <c r="B6711" t="s">
        <v>184</v>
      </c>
      <c r="C6711" s="8">
        <v>46177</v>
      </c>
      <c r="D6711" t="s">
        <v>350</v>
      </c>
      <c r="E6711" t="s">
        <v>339</v>
      </c>
      <c r="F6711" s="12">
        <v>261405</v>
      </c>
      <c r="G6711" s="13">
        <v>26</v>
      </c>
      <c r="H6711" t="s">
        <v>3417</v>
      </c>
      <c r="I6711" s="8">
        <v>46001</v>
      </c>
      <c r="J6711" t="s">
        <v>2663</v>
      </c>
      <c r="K6711" t="s">
        <v>3630</v>
      </c>
      <c r="L6711" s="13">
        <v>1500</v>
      </c>
      <c r="M6711" t="s">
        <v>2676</v>
      </c>
    </row>
    <row r="6712" spans="1:13">
      <c r="A6712" t="s">
        <v>2600</v>
      </c>
      <c r="B6712" t="s">
        <v>184</v>
      </c>
      <c r="C6712" s="8">
        <v>46177</v>
      </c>
      <c r="D6712" t="s">
        <v>350</v>
      </c>
      <c r="E6712" t="s">
        <v>339</v>
      </c>
      <c r="F6712" s="12">
        <v>261405</v>
      </c>
      <c r="G6712" s="13">
        <v>26</v>
      </c>
      <c r="H6712" t="s">
        <v>3456</v>
      </c>
      <c r="I6712" s="8">
        <v>46099</v>
      </c>
      <c r="J6712" t="s">
        <v>2682</v>
      </c>
      <c r="K6712" t="s">
        <v>2683</v>
      </c>
      <c r="L6712" s="13">
        <v>6000</v>
      </c>
      <c r="M6712" t="s">
        <v>2676</v>
      </c>
    </row>
    <row r="6713" spans="1:13">
      <c r="A6713" t="s">
        <v>2601</v>
      </c>
      <c r="B6713" t="s">
        <v>163</v>
      </c>
      <c r="C6713" s="8">
        <v>46005</v>
      </c>
      <c r="D6713" t="s">
        <v>344</v>
      </c>
      <c r="E6713" t="s">
        <v>337</v>
      </c>
      <c r="F6713" s="12">
        <v>783677</v>
      </c>
      <c r="G6713" s="13">
        <v>78</v>
      </c>
      <c r="H6713" t="s">
        <v>3074</v>
      </c>
      <c r="I6713" s="8">
        <v>46181</v>
      </c>
      <c r="J6713" t="s">
        <v>2663</v>
      </c>
      <c r="K6713" t="s">
        <v>3630</v>
      </c>
      <c r="L6713" s="13">
        <v>1500</v>
      </c>
      <c r="M6713" t="s">
        <v>2661</v>
      </c>
    </row>
    <row r="6714" spans="1:13">
      <c r="A6714" t="s">
        <v>2602</v>
      </c>
      <c r="B6714" t="s">
        <v>252</v>
      </c>
      <c r="C6714" s="8">
        <v>46286</v>
      </c>
      <c r="D6714" t="s">
        <v>332</v>
      </c>
      <c r="E6714" t="s">
        <v>325</v>
      </c>
      <c r="F6714" s="12">
        <v>343997</v>
      </c>
      <c r="G6714" s="13">
        <v>34</v>
      </c>
      <c r="H6714" t="s">
        <v>2815</v>
      </c>
      <c r="I6714" s="8">
        <v>45992</v>
      </c>
      <c r="J6714" t="s">
        <v>2688</v>
      </c>
      <c r="K6714" t="s">
        <v>2689</v>
      </c>
      <c r="L6714" s="13">
        <v>8000</v>
      </c>
      <c r="M6714" t="s">
        <v>2661</v>
      </c>
    </row>
    <row r="6715" spans="1:13">
      <c r="A6715" t="s">
        <v>2602</v>
      </c>
      <c r="B6715" t="s">
        <v>252</v>
      </c>
      <c r="C6715" s="8">
        <v>46286</v>
      </c>
      <c r="D6715" t="s">
        <v>332</v>
      </c>
      <c r="E6715" t="s">
        <v>325</v>
      </c>
      <c r="F6715" s="12">
        <v>343997</v>
      </c>
      <c r="G6715" s="13">
        <v>34</v>
      </c>
      <c r="H6715" t="s">
        <v>3320</v>
      </c>
      <c r="I6715" s="8">
        <v>46043</v>
      </c>
      <c r="J6715" t="s">
        <v>2663</v>
      </c>
      <c r="K6715" t="s">
        <v>3630</v>
      </c>
      <c r="L6715" s="13">
        <v>1500</v>
      </c>
      <c r="M6715" t="s">
        <v>2661</v>
      </c>
    </row>
    <row r="6716" spans="1:13">
      <c r="A6716" t="s">
        <v>2602</v>
      </c>
      <c r="B6716" t="s">
        <v>252</v>
      </c>
      <c r="C6716" s="8">
        <v>46286</v>
      </c>
      <c r="D6716" t="s">
        <v>332</v>
      </c>
      <c r="E6716" t="s">
        <v>325</v>
      </c>
      <c r="F6716" s="12">
        <v>343997</v>
      </c>
      <c r="G6716" s="13">
        <v>34</v>
      </c>
      <c r="H6716" t="s">
        <v>3575</v>
      </c>
      <c r="I6716" s="8">
        <v>46263</v>
      </c>
      <c r="J6716" t="s">
        <v>2668</v>
      </c>
      <c r="K6716" t="s">
        <v>2669</v>
      </c>
      <c r="L6716" s="13">
        <v>4000</v>
      </c>
      <c r="M6716" t="s">
        <v>2676</v>
      </c>
    </row>
    <row r="6717" spans="1:13">
      <c r="A6717" t="s">
        <v>2603</v>
      </c>
      <c r="B6717" t="s">
        <v>148</v>
      </c>
      <c r="C6717" s="8">
        <v>46045</v>
      </c>
      <c r="D6717" t="s">
        <v>350</v>
      </c>
      <c r="E6717" t="s">
        <v>328</v>
      </c>
      <c r="F6717" s="12">
        <v>383008</v>
      </c>
      <c r="G6717" s="13">
        <v>38</v>
      </c>
      <c r="H6717" t="s">
        <v>2701</v>
      </c>
      <c r="I6717" s="8">
        <v>46251</v>
      </c>
      <c r="J6717" t="s">
        <v>2685</v>
      </c>
      <c r="K6717" t="s">
        <v>2686</v>
      </c>
      <c r="L6717" s="13">
        <v>5000</v>
      </c>
      <c r="M6717" t="s">
        <v>2661</v>
      </c>
    </row>
    <row r="6718" spans="1:13">
      <c r="A6718" t="s">
        <v>2603</v>
      </c>
      <c r="B6718" t="s">
        <v>148</v>
      </c>
      <c r="C6718" s="8">
        <v>46045</v>
      </c>
      <c r="D6718" t="s">
        <v>350</v>
      </c>
      <c r="E6718" t="s">
        <v>328</v>
      </c>
      <c r="F6718" s="12">
        <v>383008</v>
      </c>
      <c r="G6718" s="13">
        <v>38</v>
      </c>
      <c r="H6718" t="s">
        <v>2859</v>
      </c>
      <c r="I6718" s="8">
        <v>46163</v>
      </c>
      <c r="J6718" t="s">
        <v>2685</v>
      </c>
      <c r="K6718" t="s">
        <v>2686</v>
      </c>
      <c r="L6718" s="13">
        <v>5000</v>
      </c>
      <c r="M6718" t="s">
        <v>2661</v>
      </c>
    </row>
    <row r="6719" spans="1:13">
      <c r="A6719" t="s">
        <v>2603</v>
      </c>
      <c r="B6719" t="s">
        <v>148</v>
      </c>
      <c r="C6719" s="8">
        <v>46045</v>
      </c>
      <c r="D6719" t="s">
        <v>350</v>
      </c>
      <c r="E6719" t="s">
        <v>328</v>
      </c>
      <c r="F6719" s="12">
        <v>383008</v>
      </c>
      <c r="G6719" s="13">
        <v>38</v>
      </c>
      <c r="H6719" t="s">
        <v>3210</v>
      </c>
      <c r="I6719" s="8">
        <v>46038</v>
      </c>
      <c r="J6719" t="s">
        <v>2663</v>
      </c>
      <c r="K6719" t="s">
        <v>3630</v>
      </c>
      <c r="L6719" s="13">
        <v>1500</v>
      </c>
      <c r="M6719" t="s">
        <v>2661</v>
      </c>
    </row>
    <row r="6720" spans="1:13">
      <c r="A6720" t="s">
        <v>2603</v>
      </c>
      <c r="B6720" t="s">
        <v>148</v>
      </c>
      <c r="C6720" s="8">
        <v>46045</v>
      </c>
      <c r="D6720" t="s">
        <v>350</v>
      </c>
      <c r="E6720" t="s">
        <v>328</v>
      </c>
      <c r="F6720" s="12">
        <v>383008</v>
      </c>
      <c r="G6720" s="13">
        <v>38</v>
      </c>
      <c r="H6720" t="s">
        <v>3242</v>
      </c>
      <c r="I6720" s="8">
        <v>45943</v>
      </c>
      <c r="J6720" t="s">
        <v>2674</v>
      </c>
      <c r="K6720" t="s">
        <v>2675</v>
      </c>
      <c r="L6720" s="13">
        <v>20000</v>
      </c>
      <c r="M6720" t="s">
        <v>2661</v>
      </c>
    </row>
    <row r="6721" spans="1:13">
      <c r="A6721" t="s">
        <v>2603</v>
      </c>
      <c r="B6721" t="s">
        <v>148</v>
      </c>
      <c r="C6721" s="8">
        <v>46045</v>
      </c>
      <c r="D6721" t="s">
        <v>350</v>
      </c>
      <c r="E6721" t="s">
        <v>328</v>
      </c>
      <c r="F6721" s="12">
        <v>383008</v>
      </c>
      <c r="G6721" s="13">
        <v>38</v>
      </c>
      <c r="H6721" t="s">
        <v>3304</v>
      </c>
      <c r="I6721" s="8">
        <v>46267</v>
      </c>
      <c r="J6721" t="s">
        <v>2665</v>
      </c>
      <c r="K6721" t="s">
        <v>2666</v>
      </c>
      <c r="L6721" s="13">
        <v>2500</v>
      </c>
      <c r="M6721" t="s">
        <v>2661</v>
      </c>
    </row>
    <row r="6722" spans="1:13">
      <c r="A6722" t="s">
        <v>2603</v>
      </c>
      <c r="B6722" t="s">
        <v>148</v>
      </c>
      <c r="C6722" s="8">
        <v>46045</v>
      </c>
      <c r="D6722" t="s">
        <v>350</v>
      </c>
      <c r="E6722" t="s">
        <v>328</v>
      </c>
      <c r="F6722" s="12">
        <v>383008</v>
      </c>
      <c r="G6722" s="13">
        <v>38</v>
      </c>
      <c r="H6722" t="s">
        <v>3492</v>
      </c>
      <c r="I6722" s="8">
        <v>45951</v>
      </c>
      <c r="J6722" t="s">
        <v>2659</v>
      </c>
      <c r="K6722" t="s">
        <v>2660</v>
      </c>
      <c r="L6722" s="13">
        <v>3500</v>
      </c>
      <c r="M6722" t="s">
        <v>2661</v>
      </c>
    </row>
    <row r="6723" spans="1:13">
      <c r="A6723" t="s">
        <v>2603</v>
      </c>
      <c r="B6723" t="s">
        <v>148</v>
      </c>
      <c r="C6723" s="8">
        <v>46045</v>
      </c>
      <c r="D6723" t="s">
        <v>350</v>
      </c>
      <c r="E6723" t="s">
        <v>328</v>
      </c>
      <c r="F6723" s="12">
        <v>383008</v>
      </c>
      <c r="G6723" s="13">
        <v>38</v>
      </c>
      <c r="H6723" t="s">
        <v>3552</v>
      </c>
      <c r="I6723" s="8">
        <v>45939</v>
      </c>
      <c r="J6723" t="s">
        <v>2671</v>
      </c>
      <c r="K6723" t="s">
        <v>2672</v>
      </c>
      <c r="L6723" s="13">
        <v>3000</v>
      </c>
      <c r="M6723" t="s">
        <v>2661</v>
      </c>
    </row>
    <row r="6724" spans="1:13">
      <c r="A6724" t="s">
        <v>2604</v>
      </c>
      <c r="B6724" t="s">
        <v>232</v>
      </c>
      <c r="C6724" s="8">
        <v>46049</v>
      </c>
      <c r="D6724" t="s">
        <v>330</v>
      </c>
      <c r="E6724" t="s">
        <v>337</v>
      </c>
      <c r="F6724" s="12">
        <v>161572</v>
      </c>
      <c r="G6724" s="13">
        <v>16</v>
      </c>
      <c r="H6724" t="s">
        <v>2819</v>
      </c>
      <c r="I6724" s="8">
        <v>46271</v>
      </c>
      <c r="J6724" t="s">
        <v>2674</v>
      </c>
      <c r="K6724" t="s">
        <v>2675</v>
      </c>
      <c r="L6724" s="13">
        <v>20000</v>
      </c>
      <c r="M6724" t="s">
        <v>2661</v>
      </c>
    </row>
    <row r="6725" spans="1:13">
      <c r="A6725" t="s">
        <v>2604</v>
      </c>
      <c r="B6725" t="s">
        <v>232</v>
      </c>
      <c r="C6725" s="8">
        <v>46049</v>
      </c>
      <c r="D6725" t="s">
        <v>330</v>
      </c>
      <c r="E6725" t="s">
        <v>337</v>
      </c>
      <c r="F6725" s="12">
        <v>161572</v>
      </c>
      <c r="G6725" s="13">
        <v>16</v>
      </c>
      <c r="H6725" t="s">
        <v>2884</v>
      </c>
      <c r="I6725" s="8">
        <v>46028</v>
      </c>
      <c r="J6725" t="s">
        <v>2671</v>
      </c>
      <c r="K6725" t="s">
        <v>2672</v>
      </c>
      <c r="L6725" s="13">
        <v>3000</v>
      </c>
      <c r="M6725" t="s">
        <v>2661</v>
      </c>
    </row>
    <row r="6726" spans="1:13">
      <c r="A6726" t="s">
        <v>2604</v>
      </c>
      <c r="B6726" t="s">
        <v>232</v>
      </c>
      <c r="C6726" s="8">
        <v>46049</v>
      </c>
      <c r="D6726" t="s">
        <v>330</v>
      </c>
      <c r="E6726" t="s">
        <v>337</v>
      </c>
      <c r="F6726" s="12">
        <v>161572</v>
      </c>
      <c r="G6726" s="13">
        <v>16</v>
      </c>
      <c r="H6726" t="s">
        <v>3101</v>
      </c>
      <c r="I6726" s="8">
        <v>46222</v>
      </c>
      <c r="J6726" t="s">
        <v>2688</v>
      </c>
      <c r="K6726" t="s">
        <v>2689</v>
      </c>
      <c r="L6726" s="13">
        <v>8000</v>
      </c>
      <c r="M6726" t="s">
        <v>2676</v>
      </c>
    </row>
    <row r="6727" spans="1:13">
      <c r="A6727" t="s">
        <v>2604</v>
      </c>
      <c r="B6727" t="s">
        <v>232</v>
      </c>
      <c r="C6727" s="8">
        <v>46049</v>
      </c>
      <c r="D6727" t="s">
        <v>330</v>
      </c>
      <c r="E6727" t="s">
        <v>337</v>
      </c>
      <c r="F6727" s="12">
        <v>161572</v>
      </c>
      <c r="G6727" s="13">
        <v>16</v>
      </c>
      <c r="H6727" t="s">
        <v>3463</v>
      </c>
      <c r="I6727" s="8">
        <v>46026</v>
      </c>
      <c r="J6727" t="s">
        <v>2674</v>
      </c>
      <c r="K6727" t="s">
        <v>2675</v>
      </c>
      <c r="L6727" s="13">
        <v>20000</v>
      </c>
      <c r="M6727" t="s">
        <v>2661</v>
      </c>
    </row>
    <row r="6728" spans="1:13">
      <c r="A6728" t="s">
        <v>2604</v>
      </c>
      <c r="B6728" t="s">
        <v>232</v>
      </c>
      <c r="C6728" s="8">
        <v>46049</v>
      </c>
      <c r="D6728" t="s">
        <v>330</v>
      </c>
      <c r="E6728" t="s">
        <v>337</v>
      </c>
      <c r="F6728" s="12">
        <v>161572</v>
      </c>
      <c r="G6728" s="13">
        <v>16</v>
      </c>
      <c r="H6728" t="s">
        <v>3578</v>
      </c>
      <c r="I6728" s="8">
        <v>46141</v>
      </c>
      <c r="J6728" t="s">
        <v>2692</v>
      </c>
      <c r="K6728" t="s">
        <v>2693</v>
      </c>
      <c r="L6728" s="13">
        <v>10000</v>
      </c>
      <c r="M6728" t="s">
        <v>2661</v>
      </c>
    </row>
    <row r="6729" spans="1:13">
      <c r="A6729" t="s">
        <v>2605</v>
      </c>
      <c r="B6729" t="s">
        <v>184</v>
      </c>
      <c r="C6729" s="8">
        <v>46146</v>
      </c>
      <c r="D6729" t="s">
        <v>327</v>
      </c>
      <c r="E6729" t="s">
        <v>322</v>
      </c>
      <c r="F6729" s="12">
        <v>149956</v>
      </c>
      <c r="G6729" s="13">
        <v>14</v>
      </c>
      <c r="H6729" t="s">
        <v>3030</v>
      </c>
      <c r="I6729" s="8">
        <v>46275</v>
      </c>
      <c r="J6729" t="s">
        <v>2692</v>
      </c>
      <c r="K6729" t="s">
        <v>2693</v>
      </c>
      <c r="L6729" s="13">
        <v>10000</v>
      </c>
      <c r="M6729" t="s">
        <v>2661</v>
      </c>
    </row>
    <row r="6730" spans="1:13">
      <c r="A6730" t="s">
        <v>2605</v>
      </c>
      <c r="B6730" t="s">
        <v>184</v>
      </c>
      <c r="C6730" s="8">
        <v>46146</v>
      </c>
      <c r="D6730" t="s">
        <v>327</v>
      </c>
      <c r="E6730" t="s">
        <v>322</v>
      </c>
      <c r="F6730" s="12">
        <v>149956</v>
      </c>
      <c r="G6730" s="13">
        <v>14</v>
      </c>
      <c r="H6730" t="s">
        <v>3284</v>
      </c>
      <c r="I6730" s="8">
        <v>46235</v>
      </c>
      <c r="J6730" t="s">
        <v>2688</v>
      </c>
      <c r="K6730" t="s">
        <v>2689</v>
      </c>
      <c r="L6730" s="13">
        <v>8000</v>
      </c>
      <c r="M6730" t="s">
        <v>2661</v>
      </c>
    </row>
    <row r="6731" spans="1:13">
      <c r="A6731" t="s">
        <v>2605</v>
      </c>
      <c r="B6731" t="s">
        <v>184</v>
      </c>
      <c r="C6731" s="8">
        <v>46146</v>
      </c>
      <c r="D6731" t="s">
        <v>327</v>
      </c>
      <c r="E6731" t="s">
        <v>322</v>
      </c>
      <c r="F6731" s="12">
        <v>149956</v>
      </c>
      <c r="G6731" s="13">
        <v>14</v>
      </c>
      <c r="H6731" t="s">
        <v>3311</v>
      </c>
      <c r="I6731" s="8">
        <v>46027</v>
      </c>
      <c r="J6731" t="s">
        <v>2668</v>
      </c>
      <c r="K6731" t="s">
        <v>2669</v>
      </c>
      <c r="L6731" s="13">
        <v>4000</v>
      </c>
      <c r="M6731" t="s">
        <v>2661</v>
      </c>
    </row>
    <row r="6732" spans="1:13">
      <c r="A6732" t="s">
        <v>2605</v>
      </c>
      <c r="B6732" t="s">
        <v>184</v>
      </c>
      <c r="C6732" s="8">
        <v>46146</v>
      </c>
      <c r="D6732" t="s">
        <v>327</v>
      </c>
      <c r="E6732" t="s">
        <v>322</v>
      </c>
      <c r="F6732" s="12">
        <v>149956</v>
      </c>
      <c r="G6732" s="13">
        <v>14</v>
      </c>
      <c r="H6732" t="s">
        <v>3417</v>
      </c>
      <c r="I6732" s="8">
        <v>46001</v>
      </c>
      <c r="J6732" t="s">
        <v>2663</v>
      </c>
      <c r="K6732" t="s">
        <v>3630</v>
      </c>
      <c r="L6732" s="13">
        <v>1500</v>
      </c>
      <c r="M6732" t="s">
        <v>2676</v>
      </c>
    </row>
    <row r="6733" spans="1:13">
      <c r="A6733" t="s">
        <v>2605</v>
      </c>
      <c r="B6733" t="s">
        <v>184</v>
      </c>
      <c r="C6733" s="8">
        <v>46146</v>
      </c>
      <c r="D6733" t="s">
        <v>327</v>
      </c>
      <c r="E6733" t="s">
        <v>322</v>
      </c>
      <c r="F6733" s="12">
        <v>149956</v>
      </c>
      <c r="G6733" s="13">
        <v>14</v>
      </c>
      <c r="H6733" t="s">
        <v>3456</v>
      </c>
      <c r="I6733" s="8">
        <v>46099</v>
      </c>
      <c r="J6733" t="s">
        <v>2682</v>
      </c>
      <c r="K6733" t="s">
        <v>2683</v>
      </c>
      <c r="L6733" s="13">
        <v>6000</v>
      </c>
      <c r="M6733" t="s">
        <v>2676</v>
      </c>
    </row>
    <row r="6734" spans="1:13">
      <c r="A6734" t="s">
        <v>2606</v>
      </c>
      <c r="B6734" t="s">
        <v>262</v>
      </c>
      <c r="C6734" s="8">
        <v>46154</v>
      </c>
      <c r="D6734" t="s">
        <v>332</v>
      </c>
      <c r="E6734" t="s">
        <v>337</v>
      </c>
      <c r="F6734" s="12">
        <v>135570</v>
      </c>
      <c r="G6734" s="13">
        <v>13</v>
      </c>
      <c r="H6734" t="s">
        <v>2923</v>
      </c>
      <c r="I6734" s="8">
        <v>46130</v>
      </c>
      <c r="J6734" t="s">
        <v>2682</v>
      </c>
      <c r="K6734" t="s">
        <v>2683</v>
      </c>
      <c r="L6734" s="13">
        <v>6000</v>
      </c>
      <c r="M6734" t="s">
        <v>2661</v>
      </c>
    </row>
    <row r="6735" spans="1:13">
      <c r="A6735" t="s">
        <v>2607</v>
      </c>
      <c r="B6735" t="s">
        <v>211</v>
      </c>
      <c r="C6735" s="8">
        <v>45961</v>
      </c>
      <c r="D6735" t="s">
        <v>344</v>
      </c>
      <c r="E6735" t="s">
        <v>334</v>
      </c>
      <c r="F6735" s="12">
        <v>318150</v>
      </c>
      <c r="G6735" s="13">
        <v>31</v>
      </c>
      <c r="H6735" t="s">
        <v>2724</v>
      </c>
      <c r="I6735" s="8">
        <v>45945</v>
      </c>
      <c r="J6735" t="s">
        <v>2665</v>
      </c>
      <c r="K6735" t="s">
        <v>2666</v>
      </c>
      <c r="L6735" s="13">
        <v>2500</v>
      </c>
      <c r="M6735" t="s">
        <v>2661</v>
      </c>
    </row>
    <row r="6736" spans="1:13">
      <c r="A6736" t="s">
        <v>2609</v>
      </c>
      <c r="B6736" t="s">
        <v>303</v>
      </c>
      <c r="C6736" s="8">
        <v>45982</v>
      </c>
      <c r="D6736" t="s">
        <v>330</v>
      </c>
      <c r="E6736" t="s">
        <v>334</v>
      </c>
      <c r="F6736" s="12">
        <v>281126</v>
      </c>
      <c r="G6736" s="13">
        <v>28</v>
      </c>
      <c r="H6736" t="s">
        <v>2809</v>
      </c>
      <c r="I6736" s="8">
        <v>46061</v>
      </c>
      <c r="J6736" t="s">
        <v>2682</v>
      </c>
      <c r="K6736" t="s">
        <v>2683</v>
      </c>
      <c r="L6736" s="13">
        <v>6000</v>
      </c>
      <c r="M6736" t="s">
        <v>2661</v>
      </c>
    </row>
    <row r="6737" spans="1:13">
      <c r="A6737" t="s">
        <v>2611</v>
      </c>
      <c r="B6737" t="s">
        <v>188</v>
      </c>
      <c r="C6737" s="8">
        <v>46134</v>
      </c>
      <c r="D6737" t="s">
        <v>330</v>
      </c>
      <c r="E6737" t="s">
        <v>325</v>
      </c>
      <c r="F6737" s="12">
        <v>634678</v>
      </c>
      <c r="G6737" s="13">
        <v>63</v>
      </c>
      <c r="H6737" t="s">
        <v>2719</v>
      </c>
      <c r="I6737" s="8">
        <v>46036</v>
      </c>
      <c r="J6737" t="s">
        <v>2674</v>
      </c>
      <c r="K6737" t="s">
        <v>2675</v>
      </c>
      <c r="L6737" s="13">
        <v>20000</v>
      </c>
      <c r="M6737" t="s">
        <v>2676</v>
      </c>
    </row>
    <row r="6738" spans="1:13">
      <c r="A6738" t="s">
        <v>2611</v>
      </c>
      <c r="B6738" t="s">
        <v>188</v>
      </c>
      <c r="C6738" s="8">
        <v>46134</v>
      </c>
      <c r="D6738" t="s">
        <v>330</v>
      </c>
      <c r="E6738" t="s">
        <v>325</v>
      </c>
      <c r="F6738" s="12">
        <v>634678</v>
      </c>
      <c r="G6738" s="13">
        <v>63</v>
      </c>
      <c r="H6738" t="s">
        <v>3384</v>
      </c>
      <c r="I6738" s="8">
        <v>46042</v>
      </c>
      <c r="J6738" t="s">
        <v>2663</v>
      </c>
      <c r="K6738" t="s">
        <v>3630</v>
      </c>
      <c r="L6738" s="13">
        <v>1500</v>
      </c>
      <c r="M6738" t="s">
        <v>2661</v>
      </c>
    </row>
    <row r="6739" spans="1:13">
      <c r="A6739" t="s">
        <v>2611</v>
      </c>
      <c r="B6739" t="s">
        <v>188</v>
      </c>
      <c r="C6739" s="8">
        <v>46134</v>
      </c>
      <c r="D6739" t="s">
        <v>330</v>
      </c>
      <c r="E6739" t="s">
        <v>325</v>
      </c>
      <c r="F6739" s="12">
        <v>634678</v>
      </c>
      <c r="G6739" s="13">
        <v>63</v>
      </c>
      <c r="H6739" t="s">
        <v>3500</v>
      </c>
      <c r="I6739" s="8">
        <v>46268</v>
      </c>
      <c r="J6739" t="s">
        <v>2671</v>
      </c>
      <c r="K6739" t="s">
        <v>2672</v>
      </c>
      <c r="L6739" s="13">
        <v>3000</v>
      </c>
      <c r="M6739" t="s">
        <v>2661</v>
      </c>
    </row>
    <row r="6740" spans="1:13">
      <c r="A6740" t="s">
        <v>2612</v>
      </c>
      <c r="B6740" t="s">
        <v>127</v>
      </c>
      <c r="C6740" s="8">
        <v>46093</v>
      </c>
      <c r="D6740" t="s">
        <v>350</v>
      </c>
      <c r="E6740" t="s">
        <v>337</v>
      </c>
      <c r="F6740" s="12">
        <v>265179</v>
      </c>
      <c r="G6740" s="13">
        <v>26</v>
      </c>
      <c r="H6740" t="s">
        <v>2841</v>
      </c>
      <c r="I6740" s="8">
        <v>46149</v>
      </c>
      <c r="J6740" t="s">
        <v>2659</v>
      </c>
      <c r="K6740" t="s">
        <v>2660</v>
      </c>
      <c r="L6740" s="13">
        <v>3500</v>
      </c>
      <c r="M6740" t="s">
        <v>2661</v>
      </c>
    </row>
    <row r="6741" spans="1:13">
      <c r="A6741" t="s">
        <v>2612</v>
      </c>
      <c r="B6741" t="s">
        <v>127</v>
      </c>
      <c r="C6741" s="8">
        <v>46093</v>
      </c>
      <c r="D6741" t="s">
        <v>350</v>
      </c>
      <c r="E6741" t="s">
        <v>337</v>
      </c>
      <c r="F6741" s="12">
        <v>265179</v>
      </c>
      <c r="G6741" s="13">
        <v>26</v>
      </c>
      <c r="H6741" t="s">
        <v>3175</v>
      </c>
      <c r="I6741" s="8">
        <v>46280</v>
      </c>
      <c r="J6741" t="s">
        <v>2665</v>
      </c>
      <c r="K6741" t="s">
        <v>2666</v>
      </c>
      <c r="L6741" s="13">
        <v>2500</v>
      </c>
      <c r="M6741" t="s">
        <v>2661</v>
      </c>
    </row>
    <row r="6742" spans="1:13">
      <c r="A6742" t="s">
        <v>2613</v>
      </c>
      <c r="B6742" t="s">
        <v>196</v>
      </c>
      <c r="C6742" s="8">
        <v>46063</v>
      </c>
      <c r="D6742" t="s">
        <v>342</v>
      </c>
      <c r="E6742" t="s">
        <v>325</v>
      </c>
      <c r="F6742" s="12">
        <v>390847</v>
      </c>
      <c r="G6742" s="13">
        <v>39</v>
      </c>
      <c r="H6742" t="s">
        <v>3132</v>
      </c>
      <c r="I6742" s="8">
        <v>46123</v>
      </c>
      <c r="J6742" t="s">
        <v>2668</v>
      </c>
      <c r="K6742" t="s">
        <v>2669</v>
      </c>
      <c r="L6742" s="13">
        <v>4000</v>
      </c>
      <c r="M6742" t="s">
        <v>2661</v>
      </c>
    </row>
    <row r="6743" spans="1:13">
      <c r="A6743" t="s">
        <v>2613</v>
      </c>
      <c r="B6743" t="s">
        <v>196</v>
      </c>
      <c r="C6743" s="8">
        <v>46063</v>
      </c>
      <c r="D6743" t="s">
        <v>342</v>
      </c>
      <c r="E6743" t="s">
        <v>325</v>
      </c>
      <c r="F6743" s="12">
        <v>390847</v>
      </c>
      <c r="G6743" s="13">
        <v>39</v>
      </c>
      <c r="H6743" t="s">
        <v>3338</v>
      </c>
      <c r="I6743" s="8">
        <v>46020</v>
      </c>
      <c r="J6743" t="s">
        <v>2692</v>
      </c>
      <c r="K6743" t="s">
        <v>2693</v>
      </c>
      <c r="L6743" s="13">
        <v>10000</v>
      </c>
      <c r="M6743" t="s">
        <v>2661</v>
      </c>
    </row>
    <row r="6744" spans="1:13">
      <c r="A6744" t="s">
        <v>2613</v>
      </c>
      <c r="B6744" t="s">
        <v>196</v>
      </c>
      <c r="C6744" s="8">
        <v>46063</v>
      </c>
      <c r="D6744" t="s">
        <v>342</v>
      </c>
      <c r="E6744" t="s">
        <v>325</v>
      </c>
      <c r="F6744" s="12">
        <v>390847</v>
      </c>
      <c r="G6744" s="13">
        <v>39</v>
      </c>
      <c r="H6744" t="s">
        <v>3502</v>
      </c>
      <c r="I6744" s="8">
        <v>45979</v>
      </c>
      <c r="J6744" t="s">
        <v>2692</v>
      </c>
      <c r="K6744" t="s">
        <v>2693</v>
      </c>
      <c r="L6744" s="13">
        <v>10000</v>
      </c>
      <c r="M6744" t="s">
        <v>2661</v>
      </c>
    </row>
    <row r="6745" spans="1:13">
      <c r="A6745" t="s">
        <v>2614</v>
      </c>
      <c r="B6745" t="s">
        <v>256</v>
      </c>
      <c r="C6745" s="8">
        <v>46226</v>
      </c>
      <c r="D6745" t="s">
        <v>327</v>
      </c>
      <c r="E6745" t="s">
        <v>322</v>
      </c>
      <c r="F6745" s="12">
        <v>73857</v>
      </c>
      <c r="G6745" s="13">
        <v>7</v>
      </c>
      <c r="H6745" t="s">
        <v>3289</v>
      </c>
      <c r="I6745" s="8">
        <v>46146</v>
      </c>
      <c r="J6745" t="s">
        <v>2659</v>
      </c>
      <c r="K6745" t="s">
        <v>2660</v>
      </c>
      <c r="L6745" s="13">
        <v>3500</v>
      </c>
      <c r="M6745" t="s">
        <v>2661</v>
      </c>
    </row>
    <row r="6746" spans="1:13">
      <c r="A6746" t="s">
        <v>2615</v>
      </c>
      <c r="B6746" t="s">
        <v>229</v>
      </c>
      <c r="C6746" s="8">
        <v>46236</v>
      </c>
      <c r="D6746" t="s">
        <v>342</v>
      </c>
      <c r="E6746" t="s">
        <v>328</v>
      </c>
      <c r="F6746" s="12">
        <v>41069</v>
      </c>
      <c r="G6746" s="13">
        <v>4</v>
      </c>
      <c r="H6746" t="s">
        <v>2739</v>
      </c>
      <c r="I6746" s="8">
        <v>46112</v>
      </c>
      <c r="J6746" t="s">
        <v>2663</v>
      </c>
      <c r="K6746" t="s">
        <v>3630</v>
      </c>
      <c r="L6746" s="13">
        <v>1500</v>
      </c>
      <c r="M6746" t="s">
        <v>2676</v>
      </c>
    </row>
    <row r="6747" spans="1:13">
      <c r="A6747" t="s">
        <v>2615</v>
      </c>
      <c r="B6747" t="s">
        <v>229</v>
      </c>
      <c r="C6747" s="8">
        <v>46236</v>
      </c>
      <c r="D6747" t="s">
        <v>342</v>
      </c>
      <c r="E6747" t="s">
        <v>328</v>
      </c>
      <c r="F6747" s="12">
        <v>41069</v>
      </c>
      <c r="G6747" s="13">
        <v>4</v>
      </c>
      <c r="H6747" t="s">
        <v>3019</v>
      </c>
      <c r="I6747" s="8">
        <v>46063</v>
      </c>
      <c r="J6747" t="s">
        <v>2685</v>
      </c>
      <c r="K6747" t="s">
        <v>2686</v>
      </c>
      <c r="L6747" s="13">
        <v>5000</v>
      </c>
      <c r="M6747" t="s">
        <v>2676</v>
      </c>
    </row>
    <row r="6748" spans="1:13">
      <c r="A6748" t="s">
        <v>2615</v>
      </c>
      <c r="B6748" t="s">
        <v>229</v>
      </c>
      <c r="C6748" s="8">
        <v>46236</v>
      </c>
      <c r="D6748" t="s">
        <v>342</v>
      </c>
      <c r="E6748" t="s">
        <v>328</v>
      </c>
      <c r="F6748" s="12">
        <v>41069</v>
      </c>
      <c r="G6748" s="13">
        <v>4</v>
      </c>
      <c r="H6748" t="s">
        <v>3479</v>
      </c>
      <c r="I6748" s="8">
        <v>46152</v>
      </c>
      <c r="J6748" t="s">
        <v>2688</v>
      </c>
      <c r="K6748" t="s">
        <v>2689</v>
      </c>
      <c r="L6748" s="13">
        <v>8000</v>
      </c>
      <c r="M6748" t="s">
        <v>2661</v>
      </c>
    </row>
    <row r="6749" spans="1:13">
      <c r="A6749" t="s">
        <v>2616</v>
      </c>
      <c r="B6749" t="s">
        <v>84</v>
      </c>
      <c r="C6749" s="8">
        <v>46260</v>
      </c>
      <c r="D6749" t="s">
        <v>332</v>
      </c>
      <c r="E6749" t="s">
        <v>339</v>
      </c>
      <c r="F6749" s="12">
        <v>459173</v>
      </c>
      <c r="G6749" s="13">
        <v>45</v>
      </c>
      <c r="H6749" t="s">
        <v>2962</v>
      </c>
      <c r="I6749" s="8">
        <v>46190</v>
      </c>
      <c r="J6749" t="s">
        <v>2671</v>
      </c>
      <c r="K6749" t="s">
        <v>2672</v>
      </c>
      <c r="L6749" s="13">
        <v>3000</v>
      </c>
      <c r="M6749" t="s">
        <v>2661</v>
      </c>
    </row>
    <row r="6750" spans="1:13">
      <c r="A6750" t="s">
        <v>2616</v>
      </c>
      <c r="B6750" t="s">
        <v>84</v>
      </c>
      <c r="C6750" s="8">
        <v>46260</v>
      </c>
      <c r="D6750" t="s">
        <v>332</v>
      </c>
      <c r="E6750" t="s">
        <v>339</v>
      </c>
      <c r="F6750" s="12">
        <v>459173</v>
      </c>
      <c r="G6750" s="13">
        <v>45</v>
      </c>
      <c r="H6750" t="s">
        <v>3204</v>
      </c>
      <c r="I6750" s="8">
        <v>46029</v>
      </c>
      <c r="J6750" t="s">
        <v>2671</v>
      </c>
      <c r="K6750" t="s">
        <v>2672</v>
      </c>
      <c r="L6750" s="13">
        <v>3000</v>
      </c>
      <c r="M6750" t="s">
        <v>2661</v>
      </c>
    </row>
    <row r="6751" spans="1:13">
      <c r="A6751" t="s">
        <v>2616</v>
      </c>
      <c r="B6751" t="s">
        <v>84</v>
      </c>
      <c r="C6751" s="8">
        <v>46260</v>
      </c>
      <c r="D6751" t="s">
        <v>332</v>
      </c>
      <c r="E6751" t="s">
        <v>339</v>
      </c>
      <c r="F6751" s="12">
        <v>459173</v>
      </c>
      <c r="G6751" s="13">
        <v>45</v>
      </c>
      <c r="H6751" t="s">
        <v>3273</v>
      </c>
      <c r="I6751" s="8">
        <v>46050</v>
      </c>
      <c r="J6751" t="s">
        <v>2668</v>
      </c>
      <c r="K6751" t="s">
        <v>2669</v>
      </c>
      <c r="L6751" s="13">
        <v>4000</v>
      </c>
      <c r="M6751" t="s">
        <v>2676</v>
      </c>
    </row>
    <row r="6752" spans="1:13">
      <c r="A6752" t="s">
        <v>2616</v>
      </c>
      <c r="B6752" t="s">
        <v>84</v>
      </c>
      <c r="C6752" s="8">
        <v>46260</v>
      </c>
      <c r="D6752" t="s">
        <v>332</v>
      </c>
      <c r="E6752" t="s">
        <v>339</v>
      </c>
      <c r="F6752" s="12">
        <v>459173</v>
      </c>
      <c r="G6752" s="13">
        <v>45</v>
      </c>
      <c r="H6752" t="s">
        <v>3305</v>
      </c>
      <c r="I6752" s="8">
        <v>45960</v>
      </c>
      <c r="J6752" t="s">
        <v>2682</v>
      </c>
      <c r="K6752" t="s">
        <v>2683</v>
      </c>
      <c r="L6752" s="13">
        <v>6000</v>
      </c>
      <c r="M6752" t="s">
        <v>2661</v>
      </c>
    </row>
    <row r="6753" spans="1:13">
      <c r="A6753" t="s">
        <v>2617</v>
      </c>
      <c r="B6753" t="s">
        <v>87</v>
      </c>
      <c r="C6753" s="8">
        <v>46053</v>
      </c>
      <c r="D6753" t="s">
        <v>327</v>
      </c>
      <c r="E6753" t="s">
        <v>334</v>
      </c>
      <c r="F6753" s="12">
        <v>703342</v>
      </c>
      <c r="G6753" s="13">
        <v>70</v>
      </c>
      <c r="H6753" t="s">
        <v>3531</v>
      </c>
      <c r="I6753" s="8">
        <v>45982</v>
      </c>
      <c r="J6753" t="s">
        <v>2685</v>
      </c>
      <c r="K6753" t="s">
        <v>2686</v>
      </c>
      <c r="L6753" s="13">
        <v>5000</v>
      </c>
      <c r="M6753" t="s">
        <v>2661</v>
      </c>
    </row>
    <row r="6754" spans="1:13">
      <c r="A6754" t="s">
        <v>2618</v>
      </c>
      <c r="B6754" t="s">
        <v>310</v>
      </c>
      <c r="C6754" s="8">
        <v>46122</v>
      </c>
      <c r="D6754" t="s">
        <v>342</v>
      </c>
      <c r="E6754" t="s">
        <v>334</v>
      </c>
      <c r="F6754" s="12">
        <v>188027</v>
      </c>
      <c r="G6754" s="13">
        <v>18</v>
      </c>
      <c r="H6754" t="s">
        <v>2712</v>
      </c>
      <c r="I6754" s="8">
        <v>46153</v>
      </c>
      <c r="J6754" t="s">
        <v>2682</v>
      </c>
      <c r="K6754" t="s">
        <v>2683</v>
      </c>
      <c r="L6754" s="13">
        <v>6000</v>
      </c>
      <c r="M6754" t="s">
        <v>2661</v>
      </c>
    </row>
    <row r="6755" spans="1:13">
      <c r="A6755" t="s">
        <v>2618</v>
      </c>
      <c r="B6755" t="s">
        <v>310</v>
      </c>
      <c r="C6755" s="8">
        <v>46122</v>
      </c>
      <c r="D6755" t="s">
        <v>342</v>
      </c>
      <c r="E6755" t="s">
        <v>334</v>
      </c>
      <c r="F6755" s="12">
        <v>188027</v>
      </c>
      <c r="G6755" s="13">
        <v>18</v>
      </c>
      <c r="H6755" t="s">
        <v>2895</v>
      </c>
      <c r="I6755" s="8">
        <v>45957</v>
      </c>
      <c r="J6755" t="s">
        <v>2688</v>
      </c>
      <c r="K6755" t="s">
        <v>2689</v>
      </c>
      <c r="L6755" s="13">
        <v>8000</v>
      </c>
      <c r="M6755" t="s">
        <v>2661</v>
      </c>
    </row>
    <row r="6756" spans="1:13">
      <c r="A6756" t="s">
        <v>2618</v>
      </c>
      <c r="B6756" t="s">
        <v>310</v>
      </c>
      <c r="C6756" s="8">
        <v>46122</v>
      </c>
      <c r="D6756" t="s">
        <v>342</v>
      </c>
      <c r="E6756" t="s">
        <v>334</v>
      </c>
      <c r="F6756" s="12">
        <v>188027</v>
      </c>
      <c r="G6756" s="13">
        <v>18</v>
      </c>
      <c r="H6756" t="s">
        <v>2976</v>
      </c>
      <c r="I6756" s="8">
        <v>46146</v>
      </c>
      <c r="J6756" t="s">
        <v>2685</v>
      </c>
      <c r="K6756" t="s">
        <v>2686</v>
      </c>
      <c r="L6756" s="13">
        <v>5000</v>
      </c>
      <c r="M6756" t="s">
        <v>2661</v>
      </c>
    </row>
    <row r="6757" spans="1:13">
      <c r="A6757" t="s">
        <v>2618</v>
      </c>
      <c r="B6757" t="s">
        <v>310</v>
      </c>
      <c r="C6757" s="8">
        <v>46122</v>
      </c>
      <c r="D6757" t="s">
        <v>342</v>
      </c>
      <c r="E6757" t="s">
        <v>334</v>
      </c>
      <c r="F6757" s="12">
        <v>188027</v>
      </c>
      <c r="G6757" s="13">
        <v>18</v>
      </c>
      <c r="H6757" t="s">
        <v>3295</v>
      </c>
      <c r="I6757" s="8">
        <v>46154</v>
      </c>
      <c r="J6757" t="s">
        <v>2668</v>
      </c>
      <c r="K6757" t="s">
        <v>2669</v>
      </c>
      <c r="L6757" s="13">
        <v>4000</v>
      </c>
      <c r="M6757" t="s">
        <v>2676</v>
      </c>
    </row>
    <row r="6758" spans="1:13">
      <c r="A6758" t="s">
        <v>2618</v>
      </c>
      <c r="B6758" t="s">
        <v>310</v>
      </c>
      <c r="C6758" s="8">
        <v>46122</v>
      </c>
      <c r="D6758" t="s">
        <v>342</v>
      </c>
      <c r="E6758" t="s">
        <v>334</v>
      </c>
      <c r="F6758" s="12">
        <v>188027</v>
      </c>
      <c r="G6758" s="13">
        <v>18</v>
      </c>
      <c r="H6758" t="s">
        <v>3480</v>
      </c>
      <c r="I6758" s="8">
        <v>46012</v>
      </c>
      <c r="J6758" t="s">
        <v>2685</v>
      </c>
      <c r="K6758" t="s">
        <v>2686</v>
      </c>
      <c r="L6758" s="13">
        <v>5000</v>
      </c>
      <c r="M6758" t="s">
        <v>2676</v>
      </c>
    </row>
    <row r="6759" spans="1:13">
      <c r="A6759" t="s">
        <v>2619</v>
      </c>
      <c r="B6759" t="s">
        <v>209</v>
      </c>
      <c r="C6759" s="8">
        <v>46058</v>
      </c>
      <c r="D6759" t="s">
        <v>332</v>
      </c>
      <c r="E6759" t="s">
        <v>325</v>
      </c>
      <c r="F6759" s="12">
        <v>594273</v>
      </c>
      <c r="G6759" s="13">
        <v>59</v>
      </c>
      <c r="H6759" t="s">
        <v>2877</v>
      </c>
      <c r="I6759" s="8">
        <v>45938</v>
      </c>
      <c r="J6759" t="s">
        <v>2682</v>
      </c>
      <c r="K6759" t="s">
        <v>2683</v>
      </c>
      <c r="L6759" s="13">
        <v>6000</v>
      </c>
      <c r="M6759" t="s">
        <v>2661</v>
      </c>
    </row>
    <row r="6760" spans="1:13">
      <c r="A6760" t="s">
        <v>2619</v>
      </c>
      <c r="B6760" t="s">
        <v>209</v>
      </c>
      <c r="C6760" s="8">
        <v>46058</v>
      </c>
      <c r="D6760" t="s">
        <v>332</v>
      </c>
      <c r="E6760" t="s">
        <v>325</v>
      </c>
      <c r="F6760" s="12">
        <v>594273</v>
      </c>
      <c r="G6760" s="13">
        <v>59</v>
      </c>
      <c r="H6760" t="s">
        <v>2974</v>
      </c>
      <c r="I6760" s="8">
        <v>46253</v>
      </c>
      <c r="J6760" t="s">
        <v>2665</v>
      </c>
      <c r="K6760" t="s">
        <v>2666</v>
      </c>
      <c r="L6760" s="13">
        <v>2500</v>
      </c>
      <c r="M6760" t="s">
        <v>2661</v>
      </c>
    </row>
    <row r="6761" spans="1:13">
      <c r="A6761" t="s">
        <v>2619</v>
      </c>
      <c r="B6761" t="s">
        <v>209</v>
      </c>
      <c r="C6761" s="8">
        <v>46058</v>
      </c>
      <c r="D6761" t="s">
        <v>332</v>
      </c>
      <c r="E6761" t="s">
        <v>325</v>
      </c>
      <c r="F6761" s="12">
        <v>594273</v>
      </c>
      <c r="G6761" s="13">
        <v>59</v>
      </c>
      <c r="H6761" t="s">
        <v>3120</v>
      </c>
      <c r="I6761" s="8">
        <v>46077</v>
      </c>
      <c r="J6761" t="s">
        <v>2668</v>
      </c>
      <c r="K6761" t="s">
        <v>2669</v>
      </c>
      <c r="L6761" s="13">
        <v>4000</v>
      </c>
      <c r="M6761" t="s">
        <v>2661</v>
      </c>
    </row>
    <row r="6762" spans="1:13">
      <c r="A6762" t="s">
        <v>2619</v>
      </c>
      <c r="B6762" t="s">
        <v>209</v>
      </c>
      <c r="C6762" s="8">
        <v>46058</v>
      </c>
      <c r="D6762" t="s">
        <v>332</v>
      </c>
      <c r="E6762" t="s">
        <v>325</v>
      </c>
      <c r="F6762" s="12">
        <v>594273</v>
      </c>
      <c r="G6762" s="13">
        <v>59</v>
      </c>
      <c r="H6762" t="s">
        <v>3270</v>
      </c>
      <c r="I6762" s="8">
        <v>46081</v>
      </c>
      <c r="J6762" t="s">
        <v>2688</v>
      </c>
      <c r="K6762" t="s">
        <v>2689</v>
      </c>
      <c r="L6762" s="13">
        <v>8000</v>
      </c>
      <c r="M6762" t="s">
        <v>2661</v>
      </c>
    </row>
    <row r="6763" spans="1:13">
      <c r="A6763" t="s">
        <v>2619</v>
      </c>
      <c r="B6763" t="s">
        <v>209</v>
      </c>
      <c r="C6763" s="8">
        <v>46058</v>
      </c>
      <c r="D6763" t="s">
        <v>332</v>
      </c>
      <c r="E6763" t="s">
        <v>325</v>
      </c>
      <c r="F6763" s="12">
        <v>594273</v>
      </c>
      <c r="G6763" s="13">
        <v>59</v>
      </c>
      <c r="H6763" t="s">
        <v>3423</v>
      </c>
      <c r="I6763" s="8">
        <v>46172</v>
      </c>
      <c r="J6763" t="s">
        <v>2688</v>
      </c>
      <c r="K6763" t="s">
        <v>2689</v>
      </c>
      <c r="L6763" s="13">
        <v>8000</v>
      </c>
      <c r="M6763" t="s">
        <v>2676</v>
      </c>
    </row>
    <row r="6764" spans="1:13">
      <c r="A6764" t="s">
        <v>2620</v>
      </c>
      <c r="B6764" t="s">
        <v>200</v>
      </c>
      <c r="C6764" s="8">
        <v>45941</v>
      </c>
      <c r="D6764" t="s">
        <v>332</v>
      </c>
      <c r="E6764" t="s">
        <v>322</v>
      </c>
      <c r="F6764" s="12">
        <v>128571</v>
      </c>
      <c r="G6764" s="13">
        <v>12</v>
      </c>
      <c r="H6764" t="s">
        <v>2975</v>
      </c>
      <c r="I6764" s="8">
        <v>46008</v>
      </c>
      <c r="J6764" t="s">
        <v>2671</v>
      </c>
      <c r="K6764" t="s">
        <v>2672</v>
      </c>
      <c r="L6764" s="13">
        <v>3000</v>
      </c>
      <c r="M6764" t="s">
        <v>2676</v>
      </c>
    </row>
    <row r="6765" spans="1:13">
      <c r="A6765" t="s">
        <v>2620</v>
      </c>
      <c r="B6765" t="s">
        <v>200</v>
      </c>
      <c r="C6765" s="8">
        <v>45941</v>
      </c>
      <c r="D6765" t="s">
        <v>332</v>
      </c>
      <c r="E6765" t="s">
        <v>322</v>
      </c>
      <c r="F6765" s="12">
        <v>128571</v>
      </c>
      <c r="G6765" s="13">
        <v>12</v>
      </c>
      <c r="H6765" t="s">
        <v>3381</v>
      </c>
      <c r="I6765" s="8">
        <v>46037</v>
      </c>
      <c r="J6765" t="s">
        <v>2663</v>
      </c>
      <c r="K6765" t="s">
        <v>3630</v>
      </c>
      <c r="L6765" s="13">
        <v>1500</v>
      </c>
      <c r="M6765" t="s">
        <v>2661</v>
      </c>
    </row>
    <row r="6766" spans="1:13">
      <c r="A6766" t="s">
        <v>2622</v>
      </c>
      <c r="B6766" t="s">
        <v>90</v>
      </c>
      <c r="C6766" s="8">
        <v>46077</v>
      </c>
      <c r="D6766" t="s">
        <v>344</v>
      </c>
      <c r="E6766" t="s">
        <v>339</v>
      </c>
      <c r="F6766" s="12">
        <v>274438</v>
      </c>
      <c r="G6766" s="13">
        <v>27</v>
      </c>
      <c r="H6766" t="s">
        <v>3041</v>
      </c>
      <c r="I6766" s="8">
        <v>46040</v>
      </c>
      <c r="J6766" t="s">
        <v>2685</v>
      </c>
      <c r="K6766" t="s">
        <v>2686</v>
      </c>
      <c r="L6766" s="13">
        <v>5000</v>
      </c>
      <c r="M6766" t="s">
        <v>2661</v>
      </c>
    </row>
    <row r="6767" spans="1:13">
      <c r="A6767" t="s">
        <v>2623</v>
      </c>
      <c r="B6767" t="s">
        <v>101</v>
      </c>
      <c r="C6767" s="8">
        <v>46106</v>
      </c>
      <c r="D6767" t="s">
        <v>321</v>
      </c>
      <c r="E6767" t="s">
        <v>328</v>
      </c>
      <c r="F6767" s="12">
        <v>114821</v>
      </c>
      <c r="G6767" s="13">
        <v>11</v>
      </c>
      <c r="H6767" t="s">
        <v>2781</v>
      </c>
      <c r="I6767" s="8">
        <v>46017</v>
      </c>
      <c r="J6767" t="s">
        <v>2663</v>
      </c>
      <c r="K6767" t="s">
        <v>3630</v>
      </c>
      <c r="L6767" s="13">
        <v>1500</v>
      </c>
      <c r="M6767" t="s">
        <v>2676</v>
      </c>
    </row>
    <row r="6768" spans="1:13">
      <c r="A6768" t="s">
        <v>2623</v>
      </c>
      <c r="B6768" t="s">
        <v>101</v>
      </c>
      <c r="C6768" s="8">
        <v>46106</v>
      </c>
      <c r="D6768" t="s">
        <v>321</v>
      </c>
      <c r="E6768" t="s">
        <v>328</v>
      </c>
      <c r="F6768" s="12">
        <v>114821</v>
      </c>
      <c r="G6768" s="13">
        <v>11</v>
      </c>
      <c r="H6768" t="s">
        <v>3051</v>
      </c>
      <c r="I6768" s="8">
        <v>46004</v>
      </c>
      <c r="J6768" t="s">
        <v>2671</v>
      </c>
      <c r="K6768" t="s">
        <v>2672</v>
      </c>
      <c r="L6768" s="13">
        <v>3000</v>
      </c>
      <c r="M6768" t="s">
        <v>2676</v>
      </c>
    </row>
    <row r="6769" spans="1:13">
      <c r="A6769" t="s">
        <v>2623</v>
      </c>
      <c r="B6769" t="s">
        <v>101</v>
      </c>
      <c r="C6769" s="8">
        <v>46106</v>
      </c>
      <c r="D6769" t="s">
        <v>321</v>
      </c>
      <c r="E6769" t="s">
        <v>328</v>
      </c>
      <c r="F6769" s="12">
        <v>114821</v>
      </c>
      <c r="G6769" s="13">
        <v>11</v>
      </c>
      <c r="H6769" t="s">
        <v>3369</v>
      </c>
      <c r="I6769" s="8">
        <v>45964</v>
      </c>
      <c r="J6769" t="s">
        <v>2665</v>
      </c>
      <c r="K6769" t="s">
        <v>2666</v>
      </c>
      <c r="L6769" s="13">
        <v>2500</v>
      </c>
      <c r="M6769" t="s">
        <v>2661</v>
      </c>
    </row>
    <row r="6770" spans="1:13">
      <c r="A6770" t="s">
        <v>2624</v>
      </c>
      <c r="B6770" t="s">
        <v>75</v>
      </c>
      <c r="C6770" s="8">
        <v>46029</v>
      </c>
      <c r="D6770" t="s">
        <v>350</v>
      </c>
      <c r="E6770" t="s">
        <v>339</v>
      </c>
      <c r="F6770" s="12">
        <v>199420</v>
      </c>
      <c r="G6770" s="13">
        <v>19</v>
      </c>
      <c r="H6770" t="s">
        <v>2944</v>
      </c>
      <c r="I6770" s="8">
        <v>46218</v>
      </c>
      <c r="J6770" t="s">
        <v>2665</v>
      </c>
      <c r="K6770" t="s">
        <v>2666</v>
      </c>
      <c r="L6770" s="13">
        <v>2500</v>
      </c>
      <c r="M6770" t="s">
        <v>2661</v>
      </c>
    </row>
    <row r="6771" spans="1:13">
      <c r="A6771" t="s">
        <v>2624</v>
      </c>
      <c r="B6771" t="s">
        <v>75</v>
      </c>
      <c r="C6771" s="8">
        <v>46029</v>
      </c>
      <c r="D6771" t="s">
        <v>350</v>
      </c>
      <c r="E6771" t="s">
        <v>339</v>
      </c>
      <c r="F6771" s="12">
        <v>199420</v>
      </c>
      <c r="G6771" s="13">
        <v>19</v>
      </c>
      <c r="H6771" t="s">
        <v>3396</v>
      </c>
      <c r="I6771" s="8">
        <v>46161</v>
      </c>
      <c r="J6771" t="s">
        <v>2659</v>
      </c>
      <c r="K6771" t="s">
        <v>2660</v>
      </c>
      <c r="L6771" s="13">
        <v>3500</v>
      </c>
      <c r="M6771" t="s">
        <v>2661</v>
      </c>
    </row>
    <row r="6772" spans="1:13">
      <c r="A6772" t="s">
        <v>2624</v>
      </c>
      <c r="B6772" t="s">
        <v>75</v>
      </c>
      <c r="C6772" s="8">
        <v>46029</v>
      </c>
      <c r="D6772" t="s">
        <v>350</v>
      </c>
      <c r="E6772" t="s">
        <v>339</v>
      </c>
      <c r="F6772" s="12">
        <v>199420</v>
      </c>
      <c r="G6772" s="13">
        <v>19</v>
      </c>
      <c r="H6772" t="s">
        <v>3549</v>
      </c>
      <c r="I6772" s="8">
        <v>46034</v>
      </c>
      <c r="J6772" t="s">
        <v>2692</v>
      </c>
      <c r="K6772" t="s">
        <v>2693</v>
      </c>
      <c r="L6772" s="13">
        <v>10000</v>
      </c>
      <c r="M6772" t="s">
        <v>2661</v>
      </c>
    </row>
    <row r="6773" spans="1:13">
      <c r="A6773" t="s">
        <v>2625</v>
      </c>
      <c r="B6773" t="s">
        <v>109</v>
      </c>
      <c r="C6773" s="8">
        <v>45967</v>
      </c>
      <c r="D6773" t="s">
        <v>330</v>
      </c>
      <c r="E6773" t="s">
        <v>325</v>
      </c>
      <c r="F6773" s="12">
        <v>244709</v>
      </c>
      <c r="G6773" s="13">
        <v>24</v>
      </c>
      <c r="H6773" t="s">
        <v>2848</v>
      </c>
      <c r="I6773" s="8">
        <v>46269</v>
      </c>
      <c r="J6773" t="s">
        <v>2659</v>
      </c>
      <c r="K6773" t="s">
        <v>2660</v>
      </c>
      <c r="L6773" s="13">
        <v>3500</v>
      </c>
      <c r="M6773" t="s">
        <v>2676</v>
      </c>
    </row>
    <row r="6774" spans="1:13">
      <c r="A6774" t="s">
        <v>2625</v>
      </c>
      <c r="B6774" t="s">
        <v>109</v>
      </c>
      <c r="C6774" s="8">
        <v>45967</v>
      </c>
      <c r="D6774" t="s">
        <v>330</v>
      </c>
      <c r="E6774" t="s">
        <v>325</v>
      </c>
      <c r="F6774" s="12">
        <v>244709</v>
      </c>
      <c r="G6774" s="13">
        <v>24</v>
      </c>
      <c r="H6774" t="s">
        <v>3196</v>
      </c>
      <c r="I6774" s="8">
        <v>46238</v>
      </c>
      <c r="J6774" t="s">
        <v>2674</v>
      </c>
      <c r="K6774" t="s">
        <v>2675</v>
      </c>
      <c r="L6774" s="13">
        <v>20000</v>
      </c>
      <c r="M6774" t="s">
        <v>2661</v>
      </c>
    </row>
    <row r="6775" spans="1:13">
      <c r="A6775" t="s">
        <v>2626</v>
      </c>
      <c r="B6775" t="s">
        <v>183</v>
      </c>
      <c r="C6775" s="8">
        <v>46138</v>
      </c>
      <c r="D6775" t="s">
        <v>344</v>
      </c>
      <c r="E6775" t="s">
        <v>337</v>
      </c>
      <c r="F6775" s="12">
        <v>455807</v>
      </c>
      <c r="G6775" s="13">
        <v>45</v>
      </c>
      <c r="H6775" t="s">
        <v>2955</v>
      </c>
      <c r="I6775" s="8">
        <v>45983</v>
      </c>
      <c r="J6775" t="s">
        <v>2671</v>
      </c>
      <c r="K6775" t="s">
        <v>2672</v>
      </c>
      <c r="L6775" s="13">
        <v>3000</v>
      </c>
      <c r="M6775" t="s">
        <v>2676</v>
      </c>
    </row>
    <row r="6776" spans="1:13">
      <c r="A6776" t="s">
        <v>2627</v>
      </c>
      <c r="B6776" t="s">
        <v>306</v>
      </c>
      <c r="C6776" s="8">
        <v>46143</v>
      </c>
      <c r="D6776" t="s">
        <v>332</v>
      </c>
      <c r="E6776" t="s">
        <v>334</v>
      </c>
      <c r="F6776" s="12">
        <v>505689</v>
      </c>
      <c r="G6776" s="13">
        <v>50</v>
      </c>
      <c r="H6776" t="s">
        <v>2845</v>
      </c>
      <c r="I6776" s="8">
        <v>45986</v>
      </c>
      <c r="J6776" t="s">
        <v>2665</v>
      </c>
      <c r="K6776" t="s">
        <v>2666</v>
      </c>
      <c r="L6776" s="13">
        <v>2500</v>
      </c>
      <c r="M6776" t="s">
        <v>2676</v>
      </c>
    </row>
    <row r="6777" spans="1:13">
      <c r="A6777" t="s">
        <v>2627</v>
      </c>
      <c r="B6777" t="s">
        <v>306</v>
      </c>
      <c r="C6777" s="8">
        <v>46143</v>
      </c>
      <c r="D6777" t="s">
        <v>332</v>
      </c>
      <c r="E6777" t="s">
        <v>334</v>
      </c>
      <c r="F6777" s="12">
        <v>505689</v>
      </c>
      <c r="G6777" s="13">
        <v>50</v>
      </c>
      <c r="H6777" t="s">
        <v>3198</v>
      </c>
      <c r="I6777" s="8">
        <v>46287</v>
      </c>
      <c r="J6777" t="s">
        <v>2659</v>
      </c>
      <c r="K6777" t="s">
        <v>2660</v>
      </c>
      <c r="L6777" s="13">
        <v>3500</v>
      </c>
      <c r="M6777" t="s">
        <v>2661</v>
      </c>
    </row>
    <row r="6778" spans="1:13">
      <c r="A6778" t="s">
        <v>2628</v>
      </c>
      <c r="B6778" t="s">
        <v>59</v>
      </c>
      <c r="C6778" s="8">
        <v>46213</v>
      </c>
      <c r="D6778" t="s">
        <v>350</v>
      </c>
      <c r="E6778" t="s">
        <v>339</v>
      </c>
      <c r="F6778" s="12">
        <v>406556</v>
      </c>
      <c r="G6778" s="13">
        <v>40</v>
      </c>
      <c r="H6778" t="s">
        <v>3015</v>
      </c>
      <c r="I6778" s="8">
        <v>46063</v>
      </c>
      <c r="J6778" t="s">
        <v>2688</v>
      </c>
      <c r="K6778" t="s">
        <v>2689</v>
      </c>
      <c r="L6778" s="13">
        <v>8000</v>
      </c>
      <c r="M6778" t="s">
        <v>2661</v>
      </c>
    </row>
    <row r="6779" spans="1:13">
      <c r="A6779" t="s">
        <v>2628</v>
      </c>
      <c r="B6779" t="s">
        <v>59</v>
      </c>
      <c r="C6779" s="8">
        <v>46213</v>
      </c>
      <c r="D6779" t="s">
        <v>350</v>
      </c>
      <c r="E6779" t="s">
        <v>339</v>
      </c>
      <c r="F6779" s="12">
        <v>406556</v>
      </c>
      <c r="G6779" s="13">
        <v>40</v>
      </c>
      <c r="H6779" t="s">
        <v>3420</v>
      </c>
      <c r="I6779" s="8">
        <v>46108</v>
      </c>
      <c r="J6779" t="s">
        <v>2665</v>
      </c>
      <c r="K6779" t="s">
        <v>2666</v>
      </c>
      <c r="L6779" s="13">
        <v>2500</v>
      </c>
      <c r="M6779" t="s">
        <v>2661</v>
      </c>
    </row>
    <row r="6780" spans="1:13">
      <c r="A6780" t="s">
        <v>2628</v>
      </c>
      <c r="B6780" t="s">
        <v>59</v>
      </c>
      <c r="C6780" s="8">
        <v>46213</v>
      </c>
      <c r="D6780" t="s">
        <v>350</v>
      </c>
      <c r="E6780" t="s">
        <v>339</v>
      </c>
      <c r="F6780" s="12">
        <v>406556</v>
      </c>
      <c r="G6780" s="13">
        <v>40</v>
      </c>
      <c r="H6780" t="s">
        <v>3515</v>
      </c>
      <c r="I6780" s="8">
        <v>46190</v>
      </c>
      <c r="J6780" t="s">
        <v>2659</v>
      </c>
      <c r="K6780" t="s">
        <v>2660</v>
      </c>
      <c r="L6780" s="13">
        <v>3500</v>
      </c>
      <c r="M6780" t="s">
        <v>2661</v>
      </c>
    </row>
    <row r="6781" spans="1:13">
      <c r="A6781" t="s">
        <v>2629</v>
      </c>
      <c r="B6781" t="s">
        <v>262</v>
      </c>
      <c r="C6781" s="8">
        <v>46059</v>
      </c>
      <c r="D6781" t="s">
        <v>321</v>
      </c>
      <c r="E6781" t="s">
        <v>322</v>
      </c>
      <c r="F6781" s="12">
        <v>519649</v>
      </c>
      <c r="G6781" s="13">
        <v>51</v>
      </c>
      <c r="H6781" t="s">
        <v>2923</v>
      </c>
      <c r="I6781" s="8">
        <v>46130</v>
      </c>
      <c r="J6781" t="s">
        <v>2682</v>
      </c>
      <c r="K6781" t="s">
        <v>2683</v>
      </c>
      <c r="L6781" s="13">
        <v>6000</v>
      </c>
      <c r="M6781" t="s">
        <v>2661</v>
      </c>
    </row>
    <row r="6782" spans="1:13">
      <c r="A6782" t="s">
        <v>2630</v>
      </c>
      <c r="B6782" t="s">
        <v>191</v>
      </c>
      <c r="C6782" s="8">
        <v>46236</v>
      </c>
      <c r="D6782" t="s">
        <v>344</v>
      </c>
      <c r="E6782" t="s">
        <v>328</v>
      </c>
      <c r="F6782" s="12">
        <v>454673</v>
      </c>
      <c r="G6782" s="13">
        <v>45</v>
      </c>
      <c r="H6782" t="s">
        <v>2707</v>
      </c>
      <c r="I6782" s="8">
        <v>46238</v>
      </c>
      <c r="J6782" t="s">
        <v>2665</v>
      </c>
      <c r="K6782" t="s">
        <v>2666</v>
      </c>
      <c r="L6782" s="13">
        <v>2500</v>
      </c>
      <c r="M6782" t="s">
        <v>2661</v>
      </c>
    </row>
    <row r="6783" spans="1:13">
      <c r="A6783" t="s">
        <v>2630</v>
      </c>
      <c r="B6783" t="s">
        <v>191</v>
      </c>
      <c r="C6783" s="8">
        <v>46236</v>
      </c>
      <c r="D6783" t="s">
        <v>344</v>
      </c>
      <c r="E6783" t="s">
        <v>328</v>
      </c>
      <c r="F6783" s="12">
        <v>454673</v>
      </c>
      <c r="G6783" s="13">
        <v>45</v>
      </c>
      <c r="H6783" t="s">
        <v>2934</v>
      </c>
      <c r="I6783" s="8">
        <v>46051</v>
      </c>
      <c r="J6783" t="s">
        <v>2668</v>
      </c>
      <c r="K6783" t="s">
        <v>2669</v>
      </c>
      <c r="L6783" s="13">
        <v>4000</v>
      </c>
      <c r="M6783" t="s">
        <v>2661</v>
      </c>
    </row>
    <row r="6784" spans="1:13">
      <c r="A6784" t="s">
        <v>2630</v>
      </c>
      <c r="B6784" t="s">
        <v>191</v>
      </c>
      <c r="C6784" s="8">
        <v>46236</v>
      </c>
      <c r="D6784" t="s">
        <v>344</v>
      </c>
      <c r="E6784" t="s">
        <v>328</v>
      </c>
      <c r="F6784" s="12">
        <v>454673</v>
      </c>
      <c r="G6784" s="13">
        <v>45</v>
      </c>
      <c r="H6784" t="s">
        <v>3388</v>
      </c>
      <c r="I6784" s="8">
        <v>46212</v>
      </c>
      <c r="J6784" t="s">
        <v>2663</v>
      </c>
      <c r="K6784" t="s">
        <v>3630</v>
      </c>
      <c r="L6784" s="13">
        <v>1500</v>
      </c>
      <c r="M6784" t="s">
        <v>2661</v>
      </c>
    </row>
    <row r="6785" spans="1:13">
      <c r="A6785" t="s">
        <v>2631</v>
      </c>
      <c r="B6785" t="s">
        <v>60</v>
      </c>
      <c r="C6785" s="8">
        <v>46140</v>
      </c>
      <c r="D6785" t="s">
        <v>342</v>
      </c>
      <c r="E6785" t="s">
        <v>328</v>
      </c>
      <c r="F6785" s="12">
        <v>174946</v>
      </c>
      <c r="G6785" s="13">
        <v>17</v>
      </c>
      <c r="H6785" t="s">
        <v>2770</v>
      </c>
      <c r="I6785" s="8">
        <v>46064</v>
      </c>
      <c r="J6785" t="s">
        <v>2663</v>
      </c>
      <c r="K6785" t="s">
        <v>3630</v>
      </c>
      <c r="L6785" s="13">
        <v>1500</v>
      </c>
      <c r="M6785" t="s">
        <v>2661</v>
      </c>
    </row>
    <row r="6786" spans="1:13">
      <c r="A6786" t="s">
        <v>2631</v>
      </c>
      <c r="B6786" t="s">
        <v>60</v>
      </c>
      <c r="C6786" s="8">
        <v>46140</v>
      </c>
      <c r="D6786" t="s">
        <v>342</v>
      </c>
      <c r="E6786" t="s">
        <v>328</v>
      </c>
      <c r="F6786" s="12">
        <v>174946</v>
      </c>
      <c r="G6786" s="13">
        <v>17</v>
      </c>
      <c r="H6786" t="s">
        <v>3116</v>
      </c>
      <c r="I6786" s="8">
        <v>46093</v>
      </c>
      <c r="J6786" t="s">
        <v>2665</v>
      </c>
      <c r="K6786" t="s">
        <v>2666</v>
      </c>
      <c r="L6786" s="13">
        <v>2500</v>
      </c>
      <c r="M6786" t="s">
        <v>2661</v>
      </c>
    </row>
    <row r="6787" spans="1:13">
      <c r="A6787" t="s">
        <v>2632</v>
      </c>
      <c r="B6787" t="s">
        <v>143</v>
      </c>
      <c r="C6787" s="8">
        <v>45976</v>
      </c>
      <c r="D6787" t="s">
        <v>350</v>
      </c>
      <c r="E6787" t="s">
        <v>339</v>
      </c>
      <c r="F6787" s="12">
        <v>83165</v>
      </c>
      <c r="G6787" s="13">
        <v>8</v>
      </c>
      <c r="H6787" t="s">
        <v>3050</v>
      </c>
      <c r="I6787" s="8">
        <v>46144</v>
      </c>
      <c r="J6787" t="s">
        <v>2663</v>
      </c>
      <c r="K6787" t="s">
        <v>3630</v>
      </c>
      <c r="L6787" s="13">
        <v>1500</v>
      </c>
      <c r="M6787" t="s">
        <v>2661</v>
      </c>
    </row>
    <row r="6788" spans="1:13">
      <c r="A6788" t="s">
        <v>2632</v>
      </c>
      <c r="B6788" t="s">
        <v>143</v>
      </c>
      <c r="C6788" s="8">
        <v>45976</v>
      </c>
      <c r="D6788" t="s">
        <v>350</v>
      </c>
      <c r="E6788" t="s">
        <v>339</v>
      </c>
      <c r="F6788" s="12">
        <v>83165</v>
      </c>
      <c r="G6788" s="13">
        <v>8</v>
      </c>
      <c r="H6788" t="s">
        <v>3097</v>
      </c>
      <c r="I6788" s="8">
        <v>46260</v>
      </c>
      <c r="J6788" t="s">
        <v>2688</v>
      </c>
      <c r="K6788" t="s">
        <v>2689</v>
      </c>
      <c r="L6788" s="13">
        <v>8000</v>
      </c>
      <c r="M6788" t="s">
        <v>2676</v>
      </c>
    </row>
    <row r="6789" spans="1:13">
      <c r="A6789" t="s">
        <v>2632</v>
      </c>
      <c r="B6789" t="s">
        <v>143</v>
      </c>
      <c r="C6789" s="8">
        <v>45976</v>
      </c>
      <c r="D6789" t="s">
        <v>350</v>
      </c>
      <c r="E6789" t="s">
        <v>339</v>
      </c>
      <c r="F6789" s="12">
        <v>83165</v>
      </c>
      <c r="G6789" s="13">
        <v>8</v>
      </c>
      <c r="H6789" t="s">
        <v>3107</v>
      </c>
      <c r="I6789" s="8">
        <v>46056</v>
      </c>
      <c r="J6789" t="s">
        <v>2663</v>
      </c>
      <c r="K6789" t="s">
        <v>3630</v>
      </c>
      <c r="L6789" s="13">
        <v>1500</v>
      </c>
      <c r="M6789" t="s">
        <v>2676</v>
      </c>
    </row>
    <row r="6790" spans="1:13">
      <c r="A6790" t="s">
        <v>2632</v>
      </c>
      <c r="B6790" t="s">
        <v>143</v>
      </c>
      <c r="C6790" s="8">
        <v>45976</v>
      </c>
      <c r="D6790" t="s">
        <v>350</v>
      </c>
      <c r="E6790" t="s">
        <v>339</v>
      </c>
      <c r="F6790" s="12">
        <v>83165</v>
      </c>
      <c r="G6790" s="13">
        <v>8</v>
      </c>
      <c r="H6790" t="s">
        <v>3131</v>
      </c>
      <c r="I6790" s="8">
        <v>46096</v>
      </c>
      <c r="J6790" t="s">
        <v>2688</v>
      </c>
      <c r="K6790" t="s">
        <v>2689</v>
      </c>
      <c r="L6790" s="13">
        <v>8000</v>
      </c>
      <c r="M6790" t="s">
        <v>2661</v>
      </c>
    </row>
    <row r="6791" spans="1:13">
      <c r="A6791" t="s">
        <v>2632</v>
      </c>
      <c r="B6791" t="s">
        <v>143</v>
      </c>
      <c r="C6791" s="8">
        <v>45976</v>
      </c>
      <c r="D6791" t="s">
        <v>350</v>
      </c>
      <c r="E6791" t="s">
        <v>339</v>
      </c>
      <c r="F6791" s="12">
        <v>83165</v>
      </c>
      <c r="G6791" s="13">
        <v>8</v>
      </c>
      <c r="H6791" t="s">
        <v>3414</v>
      </c>
      <c r="I6791" s="8">
        <v>46059</v>
      </c>
      <c r="J6791" t="s">
        <v>2674</v>
      </c>
      <c r="K6791" t="s">
        <v>2675</v>
      </c>
      <c r="L6791" s="13">
        <v>20000</v>
      </c>
      <c r="M6791" t="s">
        <v>2661</v>
      </c>
    </row>
    <row r="6792" spans="1:13">
      <c r="A6792" t="s">
        <v>2633</v>
      </c>
      <c r="B6792" t="s">
        <v>276</v>
      </c>
      <c r="C6792" s="8">
        <v>45937</v>
      </c>
      <c r="D6792" t="s">
        <v>332</v>
      </c>
      <c r="E6792" t="s">
        <v>328</v>
      </c>
      <c r="F6792" s="12">
        <v>233447</v>
      </c>
      <c r="G6792" s="13">
        <v>23</v>
      </c>
      <c r="H6792" t="s">
        <v>2991</v>
      </c>
      <c r="I6792" s="8">
        <v>46082</v>
      </c>
      <c r="J6792" t="s">
        <v>2674</v>
      </c>
      <c r="K6792" t="s">
        <v>2675</v>
      </c>
      <c r="L6792" s="13">
        <v>20000</v>
      </c>
      <c r="M6792" t="s">
        <v>2661</v>
      </c>
    </row>
    <row r="6793" spans="1:13">
      <c r="A6793" t="s">
        <v>2633</v>
      </c>
      <c r="B6793" t="s">
        <v>276</v>
      </c>
      <c r="C6793" s="8">
        <v>45937</v>
      </c>
      <c r="D6793" t="s">
        <v>332</v>
      </c>
      <c r="E6793" t="s">
        <v>328</v>
      </c>
      <c r="F6793" s="12">
        <v>233447</v>
      </c>
      <c r="G6793" s="13">
        <v>23</v>
      </c>
      <c r="H6793" t="s">
        <v>3135</v>
      </c>
      <c r="I6793" s="8">
        <v>46231</v>
      </c>
      <c r="J6793" t="s">
        <v>2665</v>
      </c>
      <c r="K6793" t="s">
        <v>2666</v>
      </c>
      <c r="L6793" s="13">
        <v>2500</v>
      </c>
      <c r="M6793" t="s">
        <v>2661</v>
      </c>
    </row>
    <row r="6794" spans="1:13">
      <c r="A6794" t="s">
        <v>2633</v>
      </c>
      <c r="B6794" t="s">
        <v>276</v>
      </c>
      <c r="C6794" s="8">
        <v>45937</v>
      </c>
      <c r="D6794" t="s">
        <v>332</v>
      </c>
      <c r="E6794" t="s">
        <v>328</v>
      </c>
      <c r="F6794" s="12">
        <v>233447</v>
      </c>
      <c r="G6794" s="13">
        <v>23</v>
      </c>
      <c r="H6794" t="s">
        <v>3350</v>
      </c>
      <c r="I6794" s="8">
        <v>46121</v>
      </c>
      <c r="J6794" t="s">
        <v>2685</v>
      </c>
      <c r="K6794" t="s">
        <v>2686</v>
      </c>
      <c r="L6794" s="13">
        <v>5000</v>
      </c>
      <c r="M6794" t="s">
        <v>2661</v>
      </c>
    </row>
    <row r="6795" spans="1:13">
      <c r="A6795" t="s">
        <v>2634</v>
      </c>
      <c r="B6795" t="s">
        <v>294</v>
      </c>
      <c r="C6795" s="8">
        <v>46174</v>
      </c>
      <c r="D6795" t="s">
        <v>327</v>
      </c>
      <c r="E6795" t="s">
        <v>328</v>
      </c>
      <c r="F6795" s="12">
        <v>258913</v>
      </c>
      <c r="G6795" s="13">
        <v>25</v>
      </c>
      <c r="H6795" t="s">
        <v>3571</v>
      </c>
      <c r="I6795" s="8">
        <v>45937</v>
      </c>
      <c r="J6795" t="s">
        <v>2663</v>
      </c>
      <c r="K6795" t="s">
        <v>3630</v>
      </c>
      <c r="L6795" s="13">
        <v>1500</v>
      </c>
      <c r="M6795" t="s">
        <v>2661</v>
      </c>
    </row>
    <row r="6796" spans="1:13">
      <c r="A6796" t="s">
        <v>2634</v>
      </c>
      <c r="B6796" t="s">
        <v>294</v>
      </c>
      <c r="C6796" s="8">
        <v>46174</v>
      </c>
      <c r="D6796" t="s">
        <v>327</v>
      </c>
      <c r="E6796" t="s">
        <v>328</v>
      </c>
      <c r="F6796" s="12">
        <v>258913</v>
      </c>
      <c r="G6796" s="13">
        <v>25</v>
      </c>
      <c r="H6796" t="s">
        <v>3572</v>
      </c>
      <c r="I6796" s="8">
        <v>46039</v>
      </c>
      <c r="J6796" t="s">
        <v>2668</v>
      </c>
      <c r="K6796" t="s">
        <v>2669</v>
      </c>
      <c r="L6796" s="13">
        <v>4000</v>
      </c>
      <c r="M6796" t="s">
        <v>2661</v>
      </c>
    </row>
    <row r="6797" spans="1:13">
      <c r="A6797" t="s">
        <v>2635</v>
      </c>
      <c r="B6797" t="s">
        <v>154</v>
      </c>
      <c r="C6797" s="8">
        <v>46137</v>
      </c>
      <c r="D6797" t="s">
        <v>332</v>
      </c>
      <c r="E6797" t="s">
        <v>322</v>
      </c>
      <c r="F6797" s="12">
        <v>861276</v>
      </c>
      <c r="G6797" s="13">
        <v>86</v>
      </c>
      <c r="H6797" t="s">
        <v>2871</v>
      </c>
      <c r="I6797" s="8">
        <v>46267</v>
      </c>
      <c r="J6797" t="s">
        <v>2692</v>
      </c>
      <c r="K6797" t="s">
        <v>2693</v>
      </c>
      <c r="L6797" s="13">
        <v>10000</v>
      </c>
      <c r="M6797" t="s">
        <v>2676</v>
      </c>
    </row>
    <row r="6798" spans="1:13">
      <c r="A6798" t="s">
        <v>2635</v>
      </c>
      <c r="B6798" t="s">
        <v>154</v>
      </c>
      <c r="C6798" s="8">
        <v>46137</v>
      </c>
      <c r="D6798" t="s">
        <v>332</v>
      </c>
      <c r="E6798" t="s">
        <v>322</v>
      </c>
      <c r="F6798" s="12">
        <v>861276</v>
      </c>
      <c r="G6798" s="13">
        <v>86</v>
      </c>
      <c r="H6798" t="s">
        <v>2963</v>
      </c>
      <c r="I6798" s="8">
        <v>45981</v>
      </c>
      <c r="J6798" t="s">
        <v>2659</v>
      </c>
      <c r="K6798" t="s">
        <v>2660</v>
      </c>
      <c r="L6798" s="13">
        <v>3500</v>
      </c>
      <c r="M6798" t="s">
        <v>2661</v>
      </c>
    </row>
    <row r="6799" spans="1:13">
      <c r="A6799" t="s">
        <v>2635</v>
      </c>
      <c r="B6799" t="s">
        <v>154</v>
      </c>
      <c r="C6799" s="8">
        <v>46137</v>
      </c>
      <c r="D6799" t="s">
        <v>332</v>
      </c>
      <c r="E6799" t="s">
        <v>322</v>
      </c>
      <c r="F6799" s="12">
        <v>861276</v>
      </c>
      <c r="G6799" s="13">
        <v>86</v>
      </c>
      <c r="H6799" t="s">
        <v>2967</v>
      </c>
      <c r="I6799" s="8">
        <v>46155</v>
      </c>
      <c r="J6799" t="s">
        <v>2668</v>
      </c>
      <c r="K6799" t="s">
        <v>2669</v>
      </c>
      <c r="L6799" s="13">
        <v>4000</v>
      </c>
      <c r="M6799" t="s">
        <v>2661</v>
      </c>
    </row>
    <row r="6800" spans="1:13">
      <c r="A6800" t="s">
        <v>2635</v>
      </c>
      <c r="B6800" t="s">
        <v>154</v>
      </c>
      <c r="C6800" s="8">
        <v>46137</v>
      </c>
      <c r="D6800" t="s">
        <v>332</v>
      </c>
      <c r="E6800" t="s">
        <v>322</v>
      </c>
      <c r="F6800" s="12">
        <v>861276</v>
      </c>
      <c r="G6800" s="13">
        <v>86</v>
      </c>
      <c r="H6800" t="s">
        <v>3013</v>
      </c>
      <c r="I6800" s="8">
        <v>45942</v>
      </c>
      <c r="J6800" t="s">
        <v>2682</v>
      </c>
      <c r="K6800" t="s">
        <v>2683</v>
      </c>
      <c r="L6800" s="13">
        <v>6000</v>
      </c>
      <c r="M6800" t="s">
        <v>2661</v>
      </c>
    </row>
    <row r="6801" spans="1:13">
      <c r="A6801" t="s">
        <v>2635</v>
      </c>
      <c r="B6801" t="s">
        <v>154</v>
      </c>
      <c r="C6801" s="8">
        <v>46137</v>
      </c>
      <c r="D6801" t="s">
        <v>332</v>
      </c>
      <c r="E6801" t="s">
        <v>322</v>
      </c>
      <c r="F6801" s="12">
        <v>861276</v>
      </c>
      <c r="G6801" s="13">
        <v>86</v>
      </c>
      <c r="H6801" t="s">
        <v>3188</v>
      </c>
      <c r="I6801" s="8">
        <v>46142</v>
      </c>
      <c r="J6801" t="s">
        <v>2665</v>
      </c>
      <c r="K6801" t="s">
        <v>2666</v>
      </c>
      <c r="L6801" s="13">
        <v>2500</v>
      </c>
      <c r="M6801" t="s">
        <v>2676</v>
      </c>
    </row>
    <row r="6802" spans="1:13">
      <c r="A6802" t="s">
        <v>2635</v>
      </c>
      <c r="B6802" t="s">
        <v>154</v>
      </c>
      <c r="C6802" s="8">
        <v>46137</v>
      </c>
      <c r="D6802" t="s">
        <v>332</v>
      </c>
      <c r="E6802" t="s">
        <v>322</v>
      </c>
      <c r="F6802" s="12">
        <v>861276</v>
      </c>
      <c r="G6802" s="13">
        <v>86</v>
      </c>
      <c r="H6802" t="s">
        <v>3240</v>
      </c>
      <c r="I6802" s="8">
        <v>46030</v>
      </c>
      <c r="J6802" t="s">
        <v>2671</v>
      </c>
      <c r="K6802" t="s">
        <v>2672</v>
      </c>
      <c r="L6802" s="13">
        <v>3000</v>
      </c>
      <c r="M6802" t="s">
        <v>2661</v>
      </c>
    </row>
    <row r="6803" spans="1:13">
      <c r="A6803" t="s">
        <v>2635</v>
      </c>
      <c r="B6803" t="s">
        <v>154</v>
      </c>
      <c r="C6803" s="8">
        <v>46137</v>
      </c>
      <c r="D6803" t="s">
        <v>332</v>
      </c>
      <c r="E6803" t="s">
        <v>322</v>
      </c>
      <c r="F6803" s="12">
        <v>861276</v>
      </c>
      <c r="G6803" s="13">
        <v>86</v>
      </c>
      <c r="H6803" t="s">
        <v>3316</v>
      </c>
      <c r="I6803" s="8">
        <v>46084</v>
      </c>
      <c r="J6803" t="s">
        <v>2688</v>
      </c>
      <c r="K6803" t="s">
        <v>2689</v>
      </c>
      <c r="L6803" s="13">
        <v>8000</v>
      </c>
      <c r="M6803" t="s">
        <v>2661</v>
      </c>
    </row>
    <row r="6804" spans="1:13">
      <c r="A6804" t="s">
        <v>2636</v>
      </c>
      <c r="B6804" t="s">
        <v>259</v>
      </c>
      <c r="C6804" s="8">
        <v>46069</v>
      </c>
      <c r="D6804" t="s">
        <v>324</v>
      </c>
      <c r="E6804" t="s">
        <v>322</v>
      </c>
      <c r="F6804" s="12">
        <v>76961</v>
      </c>
      <c r="G6804" s="13">
        <v>7</v>
      </c>
      <c r="H6804" t="s">
        <v>2802</v>
      </c>
      <c r="I6804" s="8">
        <v>46222</v>
      </c>
      <c r="J6804" t="s">
        <v>2668</v>
      </c>
      <c r="K6804" t="s">
        <v>2669</v>
      </c>
      <c r="L6804" s="13">
        <v>4000</v>
      </c>
      <c r="M6804" t="s">
        <v>2661</v>
      </c>
    </row>
    <row r="6805" spans="1:13">
      <c r="A6805" t="s">
        <v>2636</v>
      </c>
      <c r="B6805" t="s">
        <v>259</v>
      </c>
      <c r="C6805" s="8">
        <v>46069</v>
      </c>
      <c r="D6805" t="s">
        <v>324</v>
      </c>
      <c r="E6805" t="s">
        <v>322</v>
      </c>
      <c r="F6805" s="12">
        <v>76961</v>
      </c>
      <c r="G6805" s="13">
        <v>7</v>
      </c>
      <c r="H6805" t="s">
        <v>2933</v>
      </c>
      <c r="I6805" s="8">
        <v>46183</v>
      </c>
      <c r="J6805" t="s">
        <v>2674</v>
      </c>
      <c r="K6805" t="s">
        <v>2675</v>
      </c>
      <c r="L6805" s="13">
        <v>20000</v>
      </c>
      <c r="M6805" t="s">
        <v>2661</v>
      </c>
    </row>
    <row r="6806" spans="1:13">
      <c r="A6806" t="s">
        <v>2636</v>
      </c>
      <c r="B6806" t="s">
        <v>259</v>
      </c>
      <c r="C6806" s="8">
        <v>46069</v>
      </c>
      <c r="D6806" t="s">
        <v>324</v>
      </c>
      <c r="E6806" t="s">
        <v>322</v>
      </c>
      <c r="F6806" s="12">
        <v>76961</v>
      </c>
      <c r="G6806" s="13">
        <v>7</v>
      </c>
      <c r="H6806" t="s">
        <v>2969</v>
      </c>
      <c r="I6806" s="8">
        <v>46173</v>
      </c>
      <c r="J6806" t="s">
        <v>2668</v>
      </c>
      <c r="K6806" t="s">
        <v>2669</v>
      </c>
      <c r="L6806" s="13">
        <v>4000</v>
      </c>
      <c r="M6806" t="s">
        <v>2661</v>
      </c>
    </row>
    <row r="6807" spans="1:13">
      <c r="A6807" t="s">
        <v>2636</v>
      </c>
      <c r="B6807" t="s">
        <v>259</v>
      </c>
      <c r="C6807" s="8">
        <v>46069</v>
      </c>
      <c r="D6807" t="s">
        <v>324</v>
      </c>
      <c r="E6807" t="s">
        <v>322</v>
      </c>
      <c r="F6807" s="12">
        <v>76961</v>
      </c>
      <c r="G6807" s="13">
        <v>7</v>
      </c>
      <c r="H6807" t="s">
        <v>3300</v>
      </c>
      <c r="I6807" s="8">
        <v>46089</v>
      </c>
      <c r="J6807" t="s">
        <v>2688</v>
      </c>
      <c r="K6807" t="s">
        <v>2689</v>
      </c>
      <c r="L6807" s="13">
        <v>8000</v>
      </c>
      <c r="M6807" t="s">
        <v>2676</v>
      </c>
    </row>
    <row r="6808" spans="1:13">
      <c r="A6808" t="s">
        <v>2637</v>
      </c>
      <c r="B6808" t="s">
        <v>214</v>
      </c>
      <c r="C6808" s="8">
        <v>46266</v>
      </c>
      <c r="D6808" t="s">
        <v>321</v>
      </c>
      <c r="E6808" t="s">
        <v>322</v>
      </c>
      <c r="F6808" s="12">
        <v>822663</v>
      </c>
      <c r="G6808" s="13">
        <v>82</v>
      </c>
      <c r="H6808" t="s">
        <v>2664</v>
      </c>
      <c r="I6808" s="8">
        <v>46259</v>
      </c>
      <c r="J6808" t="s">
        <v>2665</v>
      </c>
      <c r="K6808" t="s">
        <v>2666</v>
      </c>
      <c r="L6808" s="13">
        <v>2500</v>
      </c>
      <c r="M6808" t="s">
        <v>2661</v>
      </c>
    </row>
    <row r="6809" spans="1:13">
      <c r="A6809" t="s">
        <v>2637</v>
      </c>
      <c r="B6809" t="s">
        <v>214</v>
      </c>
      <c r="C6809" s="8">
        <v>46266</v>
      </c>
      <c r="D6809" t="s">
        <v>321</v>
      </c>
      <c r="E6809" t="s">
        <v>322</v>
      </c>
      <c r="F6809" s="12">
        <v>822663</v>
      </c>
      <c r="G6809" s="13">
        <v>82</v>
      </c>
      <c r="H6809" t="s">
        <v>3137</v>
      </c>
      <c r="I6809" s="8">
        <v>46189</v>
      </c>
      <c r="J6809" t="s">
        <v>2685</v>
      </c>
      <c r="K6809" t="s">
        <v>2686</v>
      </c>
      <c r="L6809" s="13">
        <v>5000</v>
      </c>
      <c r="M6809" t="s">
        <v>2661</v>
      </c>
    </row>
    <row r="6810" spans="1:13">
      <c r="A6810" t="s">
        <v>2637</v>
      </c>
      <c r="B6810" t="s">
        <v>214</v>
      </c>
      <c r="C6810" s="8">
        <v>46266</v>
      </c>
      <c r="D6810" t="s">
        <v>321</v>
      </c>
      <c r="E6810" t="s">
        <v>322</v>
      </c>
      <c r="F6810" s="12">
        <v>822663</v>
      </c>
      <c r="G6810" s="13">
        <v>82</v>
      </c>
      <c r="H6810" t="s">
        <v>3302</v>
      </c>
      <c r="I6810" s="8">
        <v>46119</v>
      </c>
      <c r="J6810" t="s">
        <v>2659</v>
      </c>
      <c r="K6810" t="s">
        <v>2660</v>
      </c>
      <c r="L6810" s="13">
        <v>3500</v>
      </c>
      <c r="M6810" t="s">
        <v>2661</v>
      </c>
    </row>
    <row r="6811" spans="1:13">
      <c r="A6811" t="s">
        <v>2637</v>
      </c>
      <c r="B6811" t="s">
        <v>214</v>
      </c>
      <c r="C6811" s="8">
        <v>46266</v>
      </c>
      <c r="D6811" t="s">
        <v>321</v>
      </c>
      <c r="E6811" t="s">
        <v>322</v>
      </c>
      <c r="F6811" s="12">
        <v>822663</v>
      </c>
      <c r="G6811" s="13">
        <v>82</v>
      </c>
      <c r="H6811" t="s">
        <v>3564</v>
      </c>
      <c r="I6811" s="8">
        <v>46208</v>
      </c>
      <c r="J6811" t="s">
        <v>2674</v>
      </c>
      <c r="K6811" t="s">
        <v>2675</v>
      </c>
      <c r="L6811" s="13">
        <v>20000</v>
      </c>
      <c r="M6811" t="s">
        <v>2661</v>
      </c>
    </row>
    <row r="6812" spans="1:13">
      <c r="A6812" t="s">
        <v>2638</v>
      </c>
      <c r="B6812" t="s">
        <v>112</v>
      </c>
      <c r="C6812" s="8">
        <v>46019</v>
      </c>
      <c r="D6812" t="s">
        <v>321</v>
      </c>
      <c r="E6812" t="s">
        <v>322</v>
      </c>
      <c r="F6812" s="12">
        <v>262135</v>
      </c>
      <c r="G6812" s="13">
        <v>26</v>
      </c>
      <c r="H6812" t="s">
        <v>3180</v>
      </c>
      <c r="I6812" s="8">
        <v>46105</v>
      </c>
      <c r="J6812" t="s">
        <v>2663</v>
      </c>
      <c r="K6812" t="s">
        <v>3630</v>
      </c>
      <c r="L6812" s="13">
        <v>1500</v>
      </c>
      <c r="M6812" t="s">
        <v>2661</v>
      </c>
    </row>
    <row r="6813" spans="1:13">
      <c r="A6813" t="s">
        <v>2638</v>
      </c>
      <c r="B6813" t="s">
        <v>112</v>
      </c>
      <c r="C6813" s="8">
        <v>46019</v>
      </c>
      <c r="D6813" t="s">
        <v>321</v>
      </c>
      <c r="E6813" t="s">
        <v>322</v>
      </c>
      <c r="F6813" s="12">
        <v>262135</v>
      </c>
      <c r="G6813" s="13">
        <v>26</v>
      </c>
      <c r="H6813" t="s">
        <v>3203</v>
      </c>
      <c r="I6813" s="8">
        <v>46074</v>
      </c>
      <c r="J6813" t="s">
        <v>2668</v>
      </c>
      <c r="K6813" t="s">
        <v>2669</v>
      </c>
      <c r="L6813" s="13">
        <v>4000</v>
      </c>
      <c r="M6813" t="s">
        <v>2661</v>
      </c>
    </row>
    <row r="6814" spans="1:13">
      <c r="A6814" t="s">
        <v>2638</v>
      </c>
      <c r="B6814" t="s">
        <v>112</v>
      </c>
      <c r="C6814" s="8">
        <v>46019</v>
      </c>
      <c r="D6814" t="s">
        <v>321</v>
      </c>
      <c r="E6814" t="s">
        <v>322</v>
      </c>
      <c r="F6814" s="12">
        <v>262135</v>
      </c>
      <c r="G6814" s="13">
        <v>26</v>
      </c>
      <c r="H6814" t="s">
        <v>3287</v>
      </c>
      <c r="I6814" s="8">
        <v>46257</v>
      </c>
      <c r="J6814" t="s">
        <v>2688</v>
      </c>
      <c r="K6814" t="s">
        <v>2689</v>
      </c>
      <c r="L6814" s="13">
        <v>8000</v>
      </c>
      <c r="M6814" t="s">
        <v>2676</v>
      </c>
    </row>
    <row r="6815" spans="1:13">
      <c r="A6815" t="s">
        <v>2639</v>
      </c>
      <c r="B6815" t="s">
        <v>92</v>
      </c>
      <c r="C6815" s="8">
        <v>46231</v>
      </c>
      <c r="D6815" t="s">
        <v>350</v>
      </c>
      <c r="E6815" t="s">
        <v>337</v>
      </c>
      <c r="F6815" s="12">
        <v>153428</v>
      </c>
      <c r="G6815" s="13">
        <v>15</v>
      </c>
      <c r="H6815" t="s">
        <v>3415</v>
      </c>
      <c r="I6815" s="8">
        <v>46280</v>
      </c>
      <c r="J6815" t="s">
        <v>2663</v>
      </c>
      <c r="K6815" t="s">
        <v>3630</v>
      </c>
      <c r="L6815" s="13">
        <v>1500</v>
      </c>
      <c r="M6815" t="s">
        <v>2661</v>
      </c>
    </row>
    <row r="6816" spans="1:13">
      <c r="A6816" t="s">
        <v>2639</v>
      </c>
      <c r="B6816" t="s">
        <v>92</v>
      </c>
      <c r="C6816" s="8">
        <v>46231</v>
      </c>
      <c r="D6816" t="s">
        <v>350</v>
      </c>
      <c r="E6816" t="s">
        <v>337</v>
      </c>
      <c r="F6816" s="12">
        <v>153428</v>
      </c>
      <c r="G6816" s="13">
        <v>15</v>
      </c>
      <c r="H6816" t="s">
        <v>3577</v>
      </c>
      <c r="I6816" s="8">
        <v>45965</v>
      </c>
      <c r="J6816" t="s">
        <v>2663</v>
      </c>
      <c r="K6816" t="s">
        <v>3630</v>
      </c>
      <c r="L6816" s="13">
        <v>1500</v>
      </c>
      <c r="M6816" t="s">
        <v>2661</v>
      </c>
    </row>
    <row r="6817" spans="1:13">
      <c r="A6817" t="s">
        <v>2640</v>
      </c>
      <c r="B6817" t="s">
        <v>103</v>
      </c>
      <c r="C6817" s="8">
        <v>45935</v>
      </c>
      <c r="D6817" t="s">
        <v>321</v>
      </c>
      <c r="E6817" t="s">
        <v>328</v>
      </c>
      <c r="F6817" s="12">
        <v>200135</v>
      </c>
      <c r="G6817" s="13">
        <v>20</v>
      </c>
      <c r="H6817" t="s">
        <v>2729</v>
      </c>
      <c r="I6817" s="8">
        <v>45974</v>
      </c>
      <c r="J6817" t="s">
        <v>2692</v>
      </c>
      <c r="K6817" t="s">
        <v>2693</v>
      </c>
      <c r="L6817" s="13">
        <v>10000</v>
      </c>
      <c r="M6817" t="s">
        <v>2661</v>
      </c>
    </row>
    <row r="6818" spans="1:13">
      <c r="A6818" t="s">
        <v>2640</v>
      </c>
      <c r="B6818" t="s">
        <v>103</v>
      </c>
      <c r="C6818" s="8">
        <v>45935</v>
      </c>
      <c r="D6818" t="s">
        <v>321</v>
      </c>
      <c r="E6818" t="s">
        <v>328</v>
      </c>
      <c r="F6818" s="12">
        <v>200135</v>
      </c>
      <c r="G6818" s="13">
        <v>20</v>
      </c>
      <c r="H6818" t="s">
        <v>2768</v>
      </c>
      <c r="I6818" s="8">
        <v>46048</v>
      </c>
      <c r="J6818" t="s">
        <v>2682</v>
      </c>
      <c r="K6818" t="s">
        <v>2683</v>
      </c>
      <c r="L6818" s="13">
        <v>6000</v>
      </c>
      <c r="M6818" t="s">
        <v>2661</v>
      </c>
    </row>
    <row r="6819" spans="1:13">
      <c r="A6819" t="s">
        <v>2640</v>
      </c>
      <c r="B6819" t="s">
        <v>103</v>
      </c>
      <c r="C6819" s="8">
        <v>45935</v>
      </c>
      <c r="D6819" t="s">
        <v>321</v>
      </c>
      <c r="E6819" t="s">
        <v>328</v>
      </c>
      <c r="F6819" s="12">
        <v>200135</v>
      </c>
      <c r="G6819" s="13">
        <v>20</v>
      </c>
      <c r="H6819" t="s">
        <v>3094</v>
      </c>
      <c r="I6819" s="8">
        <v>46015</v>
      </c>
      <c r="J6819" t="s">
        <v>2665</v>
      </c>
      <c r="K6819" t="s">
        <v>2666</v>
      </c>
      <c r="L6819" s="13">
        <v>2500</v>
      </c>
      <c r="M6819" t="s">
        <v>2661</v>
      </c>
    </row>
    <row r="6820" spans="1:13">
      <c r="A6820" t="s">
        <v>2640</v>
      </c>
      <c r="B6820" t="s">
        <v>103</v>
      </c>
      <c r="C6820" s="8">
        <v>45935</v>
      </c>
      <c r="D6820" t="s">
        <v>321</v>
      </c>
      <c r="E6820" t="s">
        <v>328</v>
      </c>
      <c r="F6820" s="12">
        <v>200135</v>
      </c>
      <c r="G6820" s="13">
        <v>20</v>
      </c>
      <c r="H6820" t="s">
        <v>3371</v>
      </c>
      <c r="I6820" s="8">
        <v>46261</v>
      </c>
      <c r="J6820" t="s">
        <v>2674</v>
      </c>
      <c r="K6820" t="s">
        <v>2675</v>
      </c>
      <c r="L6820" s="13">
        <v>20000</v>
      </c>
      <c r="M6820" t="s">
        <v>2676</v>
      </c>
    </row>
    <row r="6821" spans="1:13">
      <c r="A6821" t="s">
        <v>2640</v>
      </c>
      <c r="B6821" t="s">
        <v>103</v>
      </c>
      <c r="C6821" s="8">
        <v>45935</v>
      </c>
      <c r="D6821" t="s">
        <v>321</v>
      </c>
      <c r="E6821" t="s">
        <v>328</v>
      </c>
      <c r="F6821" s="12">
        <v>200135</v>
      </c>
      <c r="G6821" s="13">
        <v>20</v>
      </c>
      <c r="H6821" t="s">
        <v>3394</v>
      </c>
      <c r="I6821" s="8">
        <v>46193</v>
      </c>
      <c r="J6821" t="s">
        <v>2659</v>
      </c>
      <c r="K6821" t="s">
        <v>2660</v>
      </c>
      <c r="L6821" s="13">
        <v>3500</v>
      </c>
      <c r="M6821" t="s">
        <v>2676</v>
      </c>
    </row>
    <row r="6822" spans="1:13">
      <c r="A6822" t="s">
        <v>2640</v>
      </c>
      <c r="B6822" t="s">
        <v>103</v>
      </c>
      <c r="C6822" s="8">
        <v>45935</v>
      </c>
      <c r="D6822" t="s">
        <v>321</v>
      </c>
      <c r="E6822" t="s">
        <v>328</v>
      </c>
      <c r="F6822" s="12">
        <v>200135</v>
      </c>
      <c r="G6822" s="13">
        <v>20</v>
      </c>
      <c r="H6822" t="s">
        <v>3445</v>
      </c>
      <c r="I6822" s="8">
        <v>46231</v>
      </c>
      <c r="J6822" t="s">
        <v>2688</v>
      </c>
      <c r="K6822" t="s">
        <v>2689</v>
      </c>
      <c r="L6822" s="13">
        <v>8000</v>
      </c>
      <c r="M6822" t="s">
        <v>2661</v>
      </c>
    </row>
    <row r="6823" spans="1:13">
      <c r="A6823" t="s">
        <v>2640</v>
      </c>
      <c r="B6823" t="s">
        <v>103</v>
      </c>
      <c r="C6823" s="8">
        <v>45935</v>
      </c>
      <c r="D6823" t="s">
        <v>321</v>
      </c>
      <c r="E6823" t="s">
        <v>328</v>
      </c>
      <c r="F6823" s="12">
        <v>200135</v>
      </c>
      <c r="G6823" s="13">
        <v>20</v>
      </c>
      <c r="H6823" t="s">
        <v>3522</v>
      </c>
      <c r="I6823" s="8">
        <v>45989</v>
      </c>
      <c r="J6823" t="s">
        <v>2665</v>
      </c>
      <c r="K6823" t="s">
        <v>2666</v>
      </c>
      <c r="L6823" s="13">
        <v>2500</v>
      </c>
      <c r="M6823" t="s">
        <v>2661</v>
      </c>
    </row>
    <row r="6824" spans="1:13">
      <c r="A6824" t="s">
        <v>2640</v>
      </c>
      <c r="B6824" t="s">
        <v>103</v>
      </c>
      <c r="C6824" s="8">
        <v>45935</v>
      </c>
      <c r="D6824" t="s">
        <v>321</v>
      </c>
      <c r="E6824" t="s">
        <v>328</v>
      </c>
      <c r="F6824" s="12">
        <v>200135</v>
      </c>
      <c r="G6824" s="13">
        <v>20</v>
      </c>
      <c r="H6824" t="s">
        <v>3539</v>
      </c>
      <c r="I6824" s="8">
        <v>46041</v>
      </c>
      <c r="J6824" t="s">
        <v>2682</v>
      </c>
      <c r="K6824" t="s">
        <v>2683</v>
      </c>
      <c r="L6824" s="13">
        <v>6000</v>
      </c>
      <c r="M6824" t="s">
        <v>2661</v>
      </c>
    </row>
    <row r="6825" spans="1:13">
      <c r="A6825" t="s">
        <v>2641</v>
      </c>
      <c r="B6825" t="s">
        <v>51</v>
      </c>
      <c r="C6825" s="8">
        <v>46205</v>
      </c>
      <c r="D6825" t="s">
        <v>344</v>
      </c>
      <c r="E6825" t="s">
        <v>337</v>
      </c>
      <c r="F6825" s="12">
        <v>88904</v>
      </c>
      <c r="G6825" s="13">
        <v>8</v>
      </c>
      <c r="H6825" t="s">
        <v>2800</v>
      </c>
      <c r="I6825" s="8">
        <v>46266</v>
      </c>
      <c r="J6825" t="s">
        <v>2674</v>
      </c>
      <c r="K6825" t="s">
        <v>2675</v>
      </c>
      <c r="L6825" s="13">
        <v>20000</v>
      </c>
      <c r="M6825" t="s">
        <v>2676</v>
      </c>
    </row>
    <row r="6826" spans="1:13">
      <c r="A6826" t="s">
        <v>2641</v>
      </c>
      <c r="B6826" t="s">
        <v>51</v>
      </c>
      <c r="C6826" s="8">
        <v>46205</v>
      </c>
      <c r="D6826" t="s">
        <v>344</v>
      </c>
      <c r="E6826" t="s">
        <v>337</v>
      </c>
      <c r="F6826" s="12">
        <v>88904</v>
      </c>
      <c r="G6826" s="13">
        <v>8</v>
      </c>
      <c r="H6826" t="s">
        <v>3477</v>
      </c>
      <c r="I6826" s="8">
        <v>46036</v>
      </c>
      <c r="J6826" t="s">
        <v>2671</v>
      </c>
      <c r="K6826" t="s">
        <v>2672</v>
      </c>
      <c r="L6826" s="13">
        <v>3000</v>
      </c>
      <c r="M6826" t="s">
        <v>2661</v>
      </c>
    </row>
    <row r="6827" spans="1:13">
      <c r="A6827" t="s">
        <v>2642</v>
      </c>
      <c r="B6827" t="s">
        <v>65</v>
      </c>
      <c r="C6827" s="8">
        <v>45956</v>
      </c>
      <c r="D6827" t="s">
        <v>324</v>
      </c>
      <c r="E6827" t="s">
        <v>325</v>
      </c>
      <c r="F6827" s="12">
        <v>320521</v>
      </c>
      <c r="G6827" s="13">
        <v>32</v>
      </c>
      <c r="H6827" t="s">
        <v>2801</v>
      </c>
      <c r="I6827" s="8">
        <v>46162</v>
      </c>
      <c r="J6827" t="s">
        <v>2688</v>
      </c>
      <c r="K6827" t="s">
        <v>2689</v>
      </c>
      <c r="L6827" s="13">
        <v>8000</v>
      </c>
      <c r="M6827" t="s">
        <v>2661</v>
      </c>
    </row>
    <row r="6828" spans="1:13">
      <c r="A6828" t="s">
        <v>2642</v>
      </c>
      <c r="B6828" t="s">
        <v>65</v>
      </c>
      <c r="C6828" s="8">
        <v>45956</v>
      </c>
      <c r="D6828" t="s">
        <v>324</v>
      </c>
      <c r="E6828" t="s">
        <v>325</v>
      </c>
      <c r="F6828" s="12">
        <v>320521</v>
      </c>
      <c r="G6828" s="13">
        <v>32</v>
      </c>
      <c r="H6828" t="s">
        <v>2826</v>
      </c>
      <c r="I6828" s="8">
        <v>46147</v>
      </c>
      <c r="J6828" t="s">
        <v>2674</v>
      </c>
      <c r="K6828" t="s">
        <v>2675</v>
      </c>
      <c r="L6828" s="13">
        <v>20000</v>
      </c>
      <c r="M6828" t="s">
        <v>2661</v>
      </c>
    </row>
    <row r="6829" spans="1:13">
      <c r="A6829" t="s">
        <v>2642</v>
      </c>
      <c r="B6829" t="s">
        <v>65</v>
      </c>
      <c r="C6829" s="8">
        <v>45956</v>
      </c>
      <c r="D6829" t="s">
        <v>324</v>
      </c>
      <c r="E6829" t="s">
        <v>325</v>
      </c>
      <c r="F6829" s="12">
        <v>320521</v>
      </c>
      <c r="G6829" s="13">
        <v>32</v>
      </c>
      <c r="H6829" t="s">
        <v>3124</v>
      </c>
      <c r="I6829" s="8">
        <v>46278</v>
      </c>
      <c r="J6829" t="s">
        <v>2674</v>
      </c>
      <c r="K6829" t="s">
        <v>2675</v>
      </c>
      <c r="L6829" s="13">
        <v>20000</v>
      </c>
      <c r="M6829" t="s">
        <v>2661</v>
      </c>
    </row>
    <row r="6830" spans="1:13">
      <c r="A6830" t="s">
        <v>2642</v>
      </c>
      <c r="B6830" t="s">
        <v>65</v>
      </c>
      <c r="C6830" s="8">
        <v>45956</v>
      </c>
      <c r="D6830" t="s">
        <v>324</v>
      </c>
      <c r="E6830" t="s">
        <v>325</v>
      </c>
      <c r="F6830" s="12">
        <v>320521</v>
      </c>
      <c r="G6830" s="13">
        <v>32</v>
      </c>
      <c r="H6830" t="s">
        <v>3167</v>
      </c>
      <c r="I6830" s="8">
        <v>46013</v>
      </c>
      <c r="J6830" t="s">
        <v>2685</v>
      </c>
      <c r="K6830" t="s">
        <v>2686</v>
      </c>
      <c r="L6830" s="13">
        <v>5000</v>
      </c>
      <c r="M6830" t="s">
        <v>2676</v>
      </c>
    </row>
    <row r="6831" spans="1:13">
      <c r="A6831" t="s">
        <v>2642</v>
      </c>
      <c r="B6831" t="s">
        <v>65</v>
      </c>
      <c r="C6831" s="8">
        <v>45956</v>
      </c>
      <c r="D6831" t="s">
        <v>324</v>
      </c>
      <c r="E6831" t="s">
        <v>325</v>
      </c>
      <c r="F6831" s="12">
        <v>320521</v>
      </c>
      <c r="G6831" s="13">
        <v>32</v>
      </c>
      <c r="H6831" t="s">
        <v>3344</v>
      </c>
      <c r="I6831" s="8">
        <v>45982</v>
      </c>
      <c r="J6831" t="s">
        <v>2668</v>
      </c>
      <c r="K6831" t="s">
        <v>2669</v>
      </c>
      <c r="L6831" s="13">
        <v>4000</v>
      </c>
      <c r="M6831" t="s">
        <v>2661</v>
      </c>
    </row>
    <row r="6832" spans="1:13">
      <c r="A6832" t="s">
        <v>2643</v>
      </c>
      <c r="B6832" t="s">
        <v>182</v>
      </c>
      <c r="C6832" s="8">
        <v>46116</v>
      </c>
      <c r="D6832" t="s">
        <v>342</v>
      </c>
      <c r="E6832" t="s">
        <v>337</v>
      </c>
      <c r="F6832" s="12">
        <v>155805</v>
      </c>
      <c r="G6832" s="13">
        <v>15</v>
      </c>
      <c r="H6832" t="s">
        <v>3339</v>
      </c>
      <c r="I6832" s="8">
        <v>46065</v>
      </c>
      <c r="J6832" t="s">
        <v>2674</v>
      </c>
      <c r="K6832" t="s">
        <v>2675</v>
      </c>
      <c r="L6832" s="13">
        <v>20000</v>
      </c>
      <c r="M6832" t="s">
        <v>2661</v>
      </c>
    </row>
    <row r="6833" spans="1:13">
      <c r="A6833" t="s">
        <v>2644</v>
      </c>
      <c r="B6833" t="s">
        <v>184</v>
      </c>
      <c r="C6833" s="8">
        <v>46241</v>
      </c>
      <c r="D6833" t="s">
        <v>342</v>
      </c>
      <c r="E6833" t="s">
        <v>328</v>
      </c>
      <c r="F6833" s="12">
        <v>124872</v>
      </c>
      <c r="G6833" s="13">
        <v>12</v>
      </c>
      <c r="H6833" t="s">
        <v>3030</v>
      </c>
      <c r="I6833" s="8">
        <v>46275</v>
      </c>
      <c r="J6833" t="s">
        <v>2692</v>
      </c>
      <c r="K6833" t="s">
        <v>2693</v>
      </c>
      <c r="L6833" s="13">
        <v>10000</v>
      </c>
      <c r="M6833" t="s">
        <v>2661</v>
      </c>
    </row>
    <row r="6834" spans="1:13">
      <c r="A6834" t="s">
        <v>2644</v>
      </c>
      <c r="B6834" t="s">
        <v>184</v>
      </c>
      <c r="C6834" s="8">
        <v>46241</v>
      </c>
      <c r="D6834" t="s">
        <v>342</v>
      </c>
      <c r="E6834" t="s">
        <v>328</v>
      </c>
      <c r="F6834" s="12">
        <v>124872</v>
      </c>
      <c r="G6834" s="13">
        <v>12</v>
      </c>
      <c r="H6834" t="s">
        <v>3284</v>
      </c>
      <c r="I6834" s="8">
        <v>46235</v>
      </c>
      <c r="J6834" t="s">
        <v>2688</v>
      </c>
      <c r="K6834" t="s">
        <v>2689</v>
      </c>
      <c r="L6834" s="13">
        <v>8000</v>
      </c>
      <c r="M6834" t="s">
        <v>2661</v>
      </c>
    </row>
    <row r="6835" spans="1:13">
      <c r="A6835" t="s">
        <v>2644</v>
      </c>
      <c r="B6835" t="s">
        <v>184</v>
      </c>
      <c r="C6835" s="8">
        <v>46241</v>
      </c>
      <c r="D6835" t="s">
        <v>342</v>
      </c>
      <c r="E6835" t="s">
        <v>328</v>
      </c>
      <c r="F6835" s="12">
        <v>124872</v>
      </c>
      <c r="G6835" s="13">
        <v>12</v>
      </c>
      <c r="H6835" t="s">
        <v>3311</v>
      </c>
      <c r="I6835" s="8">
        <v>46027</v>
      </c>
      <c r="J6835" t="s">
        <v>2668</v>
      </c>
      <c r="K6835" t="s">
        <v>2669</v>
      </c>
      <c r="L6835" s="13">
        <v>4000</v>
      </c>
      <c r="M6835" t="s">
        <v>2661</v>
      </c>
    </row>
    <row r="6836" spans="1:13">
      <c r="A6836" t="s">
        <v>2644</v>
      </c>
      <c r="B6836" t="s">
        <v>184</v>
      </c>
      <c r="C6836" s="8">
        <v>46241</v>
      </c>
      <c r="D6836" t="s">
        <v>342</v>
      </c>
      <c r="E6836" t="s">
        <v>328</v>
      </c>
      <c r="F6836" s="12">
        <v>124872</v>
      </c>
      <c r="G6836" s="13">
        <v>12</v>
      </c>
      <c r="H6836" t="s">
        <v>3417</v>
      </c>
      <c r="I6836" s="8">
        <v>46001</v>
      </c>
      <c r="J6836" t="s">
        <v>2663</v>
      </c>
      <c r="K6836" t="s">
        <v>3630</v>
      </c>
      <c r="L6836" s="13">
        <v>1500</v>
      </c>
      <c r="M6836" t="s">
        <v>2676</v>
      </c>
    </row>
    <row r="6837" spans="1:13">
      <c r="A6837" t="s">
        <v>2644</v>
      </c>
      <c r="B6837" t="s">
        <v>184</v>
      </c>
      <c r="C6837" s="8">
        <v>46241</v>
      </c>
      <c r="D6837" t="s">
        <v>342</v>
      </c>
      <c r="E6837" t="s">
        <v>328</v>
      </c>
      <c r="F6837" s="12">
        <v>124872</v>
      </c>
      <c r="G6837" s="13">
        <v>12</v>
      </c>
      <c r="H6837" t="s">
        <v>3456</v>
      </c>
      <c r="I6837" s="8">
        <v>46099</v>
      </c>
      <c r="J6837" t="s">
        <v>2682</v>
      </c>
      <c r="K6837" t="s">
        <v>2683</v>
      </c>
      <c r="L6837" s="13">
        <v>6000</v>
      </c>
      <c r="M6837" t="s">
        <v>2676</v>
      </c>
    </row>
    <row r="6838" spans="1:13">
      <c r="A6838" t="s">
        <v>2645</v>
      </c>
      <c r="B6838" t="s">
        <v>169</v>
      </c>
      <c r="C6838" s="8">
        <v>45968</v>
      </c>
      <c r="D6838" t="s">
        <v>344</v>
      </c>
      <c r="E6838" t="s">
        <v>328</v>
      </c>
      <c r="F6838" s="12">
        <v>447557</v>
      </c>
      <c r="G6838" s="13">
        <v>44</v>
      </c>
      <c r="H6838" t="s">
        <v>3022</v>
      </c>
      <c r="I6838" s="8">
        <v>46160</v>
      </c>
      <c r="J6838" t="s">
        <v>2682</v>
      </c>
      <c r="K6838" t="s">
        <v>2683</v>
      </c>
      <c r="L6838" s="13">
        <v>6000</v>
      </c>
      <c r="M6838" t="s">
        <v>2661</v>
      </c>
    </row>
    <row r="6839" spans="1:13">
      <c r="A6839" t="s">
        <v>2645</v>
      </c>
      <c r="B6839" t="s">
        <v>169</v>
      </c>
      <c r="C6839" s="8">
        <v>45968</v>
      </c>
      <c r="D6839" t="s">
        <v>344</v>
      </c>
      <c r="E6839" t="s">
        <v>328</v>
      </c>
      <c r="F6839" s="12">
        <v>447557</v>
      </c>
      <c r="G6839" s="13">
        <v>44</v>
      </c>
      <c r="H6839" t="s">
        <v>3471</v>
      </c>
      <c r="I6839" s="8">
        <v>46018</v>
      </c>
      <c r="J6839" t="s">
        <v>2663</v>
      </c>
      <c r="K6839" t="s">
        <v>3630</v>
      </c>
      <c r="L6839" s="13">
        <v>1500</v>
      </c>
      <c r="M6839" t="s">
        <v>2661</v>
      </c>
    </row>
    <row r="6840" spans="1:13">
      <c r="A6840" t="s">
        <v>2646</v>
      </c>
      <c r="B6840" t="s">
        <v>27</v>
      </c>
      <c r="C6840" s="8">
        <v>45993</v>
      </c>
      <c r="D6840" t="s">
        <v>332</v>
      </c>
      <c r="E6840" t="s">
        <v>334</v>
      </c>
      <c r="F6840" s="12">
        <v>256891</v>
      </c>
      <c r="G6840" s="13">
        <v>25</v>
      </c>
      <c r="H6840" t="s">
        <v>3224</v>
      </c>
      <c r="I6840" s="8">
        <v>46029</v>
      </c>
      <c r="J6840" t="s">
        <v>2685</v>
      </c>
      <c r="K6840" t="s">
        <v>2686</v>
      </c>
      <c r="L6840" s="13">
        <v>5000</v>
      </c>
      <c r="M6840" t="s">
        <v>2661</v>
      </c>
    </row>
    <row r="6841" spans="1:13">
      <c r="A6841" t="s">
        <v>2646</v>
      </c>
      <c r="B6841" t="s">
        <v>27</v>
      </c>
      <c r="C6841" s="8">
        <v>45993</v>
      </c>
      <c r="D6841" t="s">
        <v>332</v>
      </c>
      <c r="E6841" t="s">
        <v>334</v>
      </c>
      <c r="F6841" s="12">
        <v>256891</v>
      </c>
      <c r="G6841" s="13">
        <v>25</v>
      </c>
      <c r="H6841" t="s">
        <v>3345</v>
      </c>
      <c r="I6841" s="8">
        <v>46277</v>
      </c>
      <c r="J6841" t="s">
        <v>2671</v>
      </c>
      <c r="K6841" t="s">
        <v>2672</v>
      </c>
      <c r="L6841" s="13">
        <v>3000</v>
      </c>
      <c r="M6841" t="s">
        <v>2661</v>
      </c>
    </row>
    <row r="6842" spans="1:13">
      <c r="A6842" t="s">
        <v>2648</v>
      </c>
      <c r="B6842" t="s">
        <v>135</v>
      </c>
      <c r="C6842" s="8">
        <v>46174</v>
      </c>
      <c r="D6842" t="s">
        <v>324</v>
      </c>
      <c r="E6842" t="s">
        <v>334</v>
      </c>
      <c r="F6842" s="12">
        <v>246394</v>
      </c>
      <c r="G6842" s="13">
        <v>24</v>
      </c>
      <c r="H6842" t="s">
        <v>2922</v>
      </c>
      <c r="I6842" s="8">
        <v>45998</v>
      </c>
      <c r="J6842" t="s">
        <v>2682</v>
      </c>
      <c r="K6842" t="s">
        <v>2683</v>
      </c>
      <c r="L6842" s="13">
        <v>6000</v>
      </c>
      <c r="M6842" t="s">
        <v>2661</v>
      </c>
    </row>
    <row r="6843" spans="1:13">
      <c r="A6843" t="s">
        <v>2648</v>
      </c>
      <c r="B6843" t="s">
        <v>135</v>
      </c>
      <c r="C6843" s="8">
        <v>46174</v>
      </c>
      <c r="D6843" t="s">
        <v>324</v>
      </c>
      <c r="E6843" t="s">
        <v>334</v>
      </c>
      <c r="F6843" s="12">
        <v>246394</v>
      </c>
      <c r="G6843" s="13">
        <v>24</v>
      </c>
      <c r="H6843" t="s">
        <v>3053</v>
      </c>
      <c r="I6843" s="8">
        <v>46165</v>
      </c>
      <c r="J6843" t="s">
        <v>2692</v>
      </c>
      <c r="K6843" t="s">
        <v>2693</v>
      </c>
      <c r="L6843" s="13">
        <v>10000</v>
      </c>
      <c r="M6843" t="s">
        <v>2661</v>
      </c>
    </row>
    <row r="6844" spans="1:13">
      <c r="A6844" t="s">
        <v>2648</v>
      </c>
      <c r="B6844" t="s">
        <v>135</v>
      </c>
      <c r="C6844" s="8">
        <v>46174</v>
      </c>
      <c r="D6844" t="s">
        <v>324</v>
      </c>
      <c r="E6844" t="s">
        <v>334</v>
      </c>
      <c r="F6844" s="12">
        <v>246394</v>
      </c>
      <c r="G6844" s="13">
        <v>24</v>
      </c>
      <c r="H6844" t="s">
        <v>3118</v>
      </c>
      <c r="I6844" s="8">
        <v>45989</v>
      </c>
      <c r="J6844" t="s">
        <v>2692</v>
      </c>
      <c r="K6844" t="s">
        <v>2693</v>
      </c>
      <c r="L6844" s="13">
        <v>10000</v>
      </c>
      <c r="M6844" t="s">
        <v>2661</v>
      </c>
    </row>
    <row r="6845" spans="1:13">
      <c r="A6845" t="s">
        <v>2648</v>
      </c>
      <c r="B6845" t="s">
        <v>135</v>
      </c>
      <c r="C6845" s="8">
        <v>46174</v>
      </c>
      <c r="D6845" t="s">
        <v>324</v>
      </c>
      <c r="E6845" t="s">
        <v>334</v>
      </c>
      <c r="F6845" s="12">
        <v>246394</v>
      </c>
      <c r="G6845" s="13">
        <v>24</v>
      </c>
      <c r="H6845" t="s">
        <v>3262</v>
      </c>
      <c r="I6845" s="8">
        <v>46091</v>
      </c>
      <c r="J6845" t="s">
        <v>2682</v>
      </c>
      <c r="K6845" t="s">
        <v>2683</v>
      </c>
      <c r="L6845" s="13">
        <v>6000</v>
      </c>
      <c r="M6845" t="s">
        <v>2661</v>
      </c>
    </row>
    <row r="6846" spans="1:13">
      <c r="A6846" t="s">
        <v>2649</v>
      </c>
      <c r="B6846" t="s">
        <v>129</v>
      </c>
      <c r="C6846" s="8">
        <v>46081</v>
      </c>
      <c r="D6846" t="s">
        <v>344</v>
      </c>
      <c r="E6846" t="s">
        <v>334</v>
      </c>
      <c r="F6846" s="12">
        <v>46480</v>
      </c>
      <c r="G6846" s="13">
        <v>4</v>
      </c>
      <c r="H6846" t="s">
        <v>3185</v>
      </c>
      <c r="I6846" s="8">
        <v>46242</v>
      </c>
      <c r="J6846" t="s">
        <v>2665</v>
      </c>
      <c r="K6846" t="s">
        <v>2666</v>
      </c>
      <c r="L6846" s="13">
        <v>2500</v>
      </c>
      <c r="M6846" t="s">
        <v>2661</v>
      </c>
    </row>
    <row r="6847" spans="1:13">
      <c r="A6847" t="s">
        <v>2651</v>
      </c>
      <c r="B6847" t="s">
        <v>47</v>
      </c>
      <c r="C6847" s="8">
        <v>46161</v>
      </c>
      <c r="D6847" t="s">
        <v>350</v>
      </c>
      <c r="E6847" t="s">
        <v>325</v>
      </c>
      <c r="F6847" s="12">
        <v>537768</v>
      </c>
      <c r="G6847" s="13">
        <v>53</v>
      </c>
      <c r="H6847" t="s">
        <v>3291</v>
      </c>
      <c r="I6847" s="8">
        <v>46026</v>
      </c>
      <c r="J6847" t="s">
        <v>2674</v>
      </c>
      <c r="K6847" t="s">
        <v>2675</v>
      </c>
      <c r="L6847" s="13">
        <v>20000</v>
      </c>
      <c r="M6847" t="s">
        <v>2661</v>
      </c>
    </row>
    <row r="6848" spans="1:13">
      <c r="A6848" t="s">
        <v>2652</v>
      </c>
      <c r="B6848" t="s">
        <v>150</v>
      </c>
      <c r="C6848" s="8">
        <v>46032</v>
      </c>
      <c r="D6848" t="s">
        <v>330</v>
      </c>
      <c r="E6848" t="s">
        <v>334</v>
      </c>
      <c r="F6848" s="12">
        <v>589379</v>
      </c>
      <c r="G6848" s="13">
        <v>58</v>
      </c>
      <c r="H6848" t="s">
        <v>3070</v>
      </c>
      <c r="I6848" s="8">
        <v>46003</v>
      </c>
      <c r="J6848" t="s">
        <v>2671</v>
      </c>
      <c r="K6848" t="s">
        <v>2672</v>
      </c>
      <c r="L6848" s="13">
        <v>3000</v>
      </c>
      <c r="M6848" t="s">
        <v>2676</v>
      </c>
    </row>
    <row r="6849" spans="1:13">
      <c r="A6849" t="s">
        <v>2652</v>
      </c>
      <c r="B6849" t="s">
        <v>150</v>
      </c>
      <c r="C6849" s="8">
        <v>46032</v>
      </c>
      <c r="D6849" t="s">
        <v>330</v>
      </c>
      <c r="E6849" t="s">
        <v>334</v>
      </c>
      <c r="F6849" s="12">
        <v>589379</v>
      </c>
      <c r="G6849" s="13">
        <v>58</v>
      </c>
      <c r="H6849" t="s">
        <v>3275</v>
      </c>
      <c r="I6849" s="8">
        <v>45936</v>
      </c>
      <c r="J6849" t="s">
        <v>2688</v>
      </c>
      <c r="K6849" t="s">
        <v>2689</v>
      </c>
      <c r="L6849" s="13">
        <v>8000</v>
      </c>
      <c r="M6849" t="s">
        <v>2661</v>
      </c>
    </row>
    <row r="6850" spans="1:13">
      <c r="A6850" t="s">
        <v>2652</v>
      </c>
      <c r="B6850" t="s">
        <v>150</v>
      </c>
      <c r="C6850" s="8">
        <v>46032</v>
      </c>
      <c r="D6850" t="s">
        <v>330</v>
      </c>
      <c r="E6850" t="s">
        <v>334</v>
      </c>
      <c r="F6850" s="12">
        <v>589379</v>
      </c>
      <c r="G6850" s="13">
        <v>58</v>
      </c>
      <c r="H6850" t="s">
        <v>3352</v>
      </c>
      <c r="I6850" s="8">
        <v>46153</v>
      </c>
      <c r="J6850" t="s">
        <v>2665</v>
      </c>
      <c r="K6850" t="s">
        <v>2666</v>
      </c>
      <c r="L6850" s="13">
        <v>2500</v>
      </c>
      <c r="M6850" t="s">
        <v>2661</v>
      </c>
    </row>
  </sheetData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1"/>
  <sheetViews>
    <sheetView topLeftCell="A266" zoomScale="90" workbookViewId="0">
      <selection activeCell="B270" sqref="B270"/>
    </sheetView>
  </sheetViews>
  <sheetFormatPr baseColWidth="10" defaultColWidth="8.83203125" defaultRowHeight="15"/>
  <cols>
    <col min="1" max="1" width="15" bestFit="1" customWidth="1"/>
    <col min="2" max="2" width="12" bestFit="1" customWidth="1"/>
    <col min="3" max="3" width="10" bestFit="1" customWidth="1"/>
    <col min="4" max="4" width="19.33203125" bestFit="1" customWidth="1"/>
  </cols>
  <sheetData>
    <row r="1" spans="1:4" ht="19">
      <c r="A1" s="10" t="s">
        <v>0</v>
      </c>
      <c r="B1" s="10" t="s">
        <v>1</v>
      </c>
      <c r="C1" s="10" t="s">
        <v>2</v>
      </c>
      <c r="D1" s="10" t="s">
        <v>3629</v>
      </c>
    </row>
    <row r="2" spans="1:4" ht="19">
      <c r="A2" s="10" t="s">
        <v>3</v>
      </c>
      <c r="B2" s="10" t="s">
        <v>4</v>
      </c>
      <c r="C2" s="10" t="s">
        <v>5</v>
      </c>
      <c r="D2" s="11">
        <v>45581</v>
      </c>
    </row>
    <row r="3" spans="1:4" ht="19">
      <c r="A3" s="10" t="s">
        <v>6</v>
      </c>
      <c r="B3" s="10" t="s">
        <v>7</v>
      </c>
      <c r="C3" s="10" t="s">
        <v>5</v>
      </c>
      <c r="D3" s="11">
        <v>45177</v>
      </c>
    </row>
    <row r="4" spans="1:4" ht="19">
      <c r="A4" s="10" t="s">
        <v>8</v>
      </c>
      <c r="B4" s="10" t="s">
        <v>7</v>
      </c>
      <c r="C4" s="10" t="s">
        <v>9</v>
      </c>
      <c r="D4" s="11">
        <v>45619</v>
      </c>
    </row>
    <row r="5" spans="1:4" ht="19">
      <c r="A5" s="10" t="s">
        <v>10</v>
      </c>
      <c r="B5" s="10" t="s">
        <v>11</v>
      </c>
      <c r="C5" s="10" t="s">
        <v>5</v>
      </c>
      <c r="D5" s="11">
        <v>45531</v>
      </c>
    </row>
    <row r="6" spans="1:4" ht="19">
      <c r="A6" s="10" t="s">
        <v>12</v>
      </c>
      <c r="B6" s="10" t="s">
        <v>11</v>
      </c>
      <c r="C6" s="10" t="s">
        <v>5</v>
      </c>
      <c r="D6" s="11">
        <v>45022</v>
      </c>
    </row>
    <row r="7" spans="1:4" ht="19">
      <c r="A7" s="10" t="s">
        <v>13</v>
      </c>
      <c r="B7" s="10" t="s">
        <v>14</v>
      </c>
      <c r="C7" s="10" t="s">
        <v>5</v>
      </c>
      <c r="D7" s="11">
        <v>45501</v>
      </c>
    </row>
    <row r="8" spans="1:4" ht="19">
      <c r="A8" s="10" t="s">
        <v>15</v>
      </c>
      <c r="B8" s="10" t="s">
        <v>4</v>
      </c>
      <c r="C8" s="10" t="s">
        <v>5</v>
      </c>
      <c r="D8" s="11">
        <v>45152</v>
      </c>
    </row>
    <row r="9" spans="1:4" ht="19">
      <c r="A9" s="10" t="s">
        <v>16</v>
      </c>
      <c r="B9" s="10" t="s">
        <v>17</v>
      </c>
      <c r="C9" s="10" t="s">
        <v>9</v>
      </c>
      <c r="D9" s="11">
        <v>45755</v>
      </c>
    </row>
    <row r="10" spans="1:4" ht="19">
      <c r="A10" s="10" t="s">
        <v>18</v>
      </c>
      <c r="B10" s="10" t="s">
        <v>4</v>
      </c>
      <c r="C10" s="10" t="s">
        <v>5</v>
      </c>
      <c r="D10" s="11">
        <v>45641</v>
      </c>
    </row>
    <row r="11" spans="1:4" ht="19">
      <c r="A11" s="10" t="s">
        <v>19</v>
      </c>
      <c r="B11" s="10" t="s">
        <v>20</v>
      </c>
      <c r="C11" s="10" t="s">
        <v>5</v>
      </c>
      <c r="D11" s="11">
        <v>45086</v>
      </c>
    </row>
    <row r="12" spans="1:4" ht="19">
      <c r="A12" s="10" t="s">
        <v>21</v>
      </c>
      <c r="B12" s="10" t="s">
        <v>7</v>
      </c>
      <c r="C12" s="10" t="s">
        <v>5</v>
      </c>
      <c r="D12" s="11">
        <v>45031</v>
      </c>
    </row>
    <row r="13" spans="1:4" ht="19">
      <c r="A13" s="10" t="s">
        <v>22</v>
      </c>
      <c r="B13" s="10" t="s">
        <v>4</v>
      </c>
      <c r="C13" s="10" t="s">
        <v>9</v>
      </c>
      <c r="D13" s="11">
        <v>45294</v>
      </c>
    </row>
    <row r="14" spans="1:4" ht="19">
      <c r="A14" s="10" t="s">
        <v>23</v>
      </c>
      <c r="B14" s="10" t="s">
        <v>24</v>
      </c>
      <c r="C14" s="10" t="s">
        <v>5</v>
      </c>
      <c r="D14" s="11">
        <v>45753</v>
      </c>
    </row>
    <row r="15" spans="1:4" ht="19">
      <c r="A15" s="10" t="s">
        <v>25</v>
      </c>
      <c r="B15" s="10" t="s">
        <v>14</v>
      </c>
      <c r="C15" s="10" t="s">
        <v>5</v>
      </c>
      <c r="D15" s="11">
        <v>45476</v>
      </c>
    </row>
    <row r="16" spans="1:4" ht="19">
      <c r="A16" s="10" t="s">
        <v>26</v>
      </c>
      <c r="B16" s="10" t="s">
        <v>20</v>
      </c>
      <c r="C16" s="10" t="s">
        <v>5</v>
      </c>
      <c r="D16" s="11">
        <v>45007</v>
      </c>
    </row>
    <row r="17" spans="1:4" ht="19">
      <c r="A17" s="10" t="s">
        <v>27</v>
      </c>
      <c r="B17" s="10" t="s">
        <v>7</v>
      </c>
      <c r="C17" s="10" t="s">
        <v>5</v>
      </c>
      <c r="D17" s="11">
        <v>45518</v>
      </c>
    </row>
    <row r="18" spans="1:4" ht="19">
      <c r="A18" s="10" t="s">
        <v>28</v>
      </c>
      <c r="B18" s="10" t="s">
        <v>4</v>
      </c>
      <c r="C18" s="10" t="s">
        <v>9</v>
      </c>
      <c r="D18" s="11">
        <v>44973</v>
      </c>
    </row>
    <row r="19" spans="1:4" ht="19">
      <c r="A19" s="10" t="s">
        <v>29</v>
      </c>
      <c r="B19" s="10" t="s">
        <v>7</v>
      </c>
      <c r="C19" s="10" t="s">
        <v>9</v>
      </c>
      <c r="D19" s="11">
        <v>45008</v>
      </c>
    </row>
    <row r="20" spans="1:4" ht="19">
      <c r="A20" s="10" t="s">
        <v>30</v>
      </c>
      <c r="B20" s="10" t="s">
        <v>20</v>
      </c>
      <c r="C20" s="10" t="s">
        <v>5</v>
      </c>
      <c r="D20" s="11">
        <v>45316</v>
      </c>
    </row>
    <row r="21" spans="1:4" ht="19">
      <c r="A21" s="10" t="s">
        <v>31</v>
      </c>
      <c r="B21" s="10" t="s">
        <v>32</v>
      </c>
      <c r="C21" s="10" t="s">
        <v>5</v>
      </c>
      <c r="D21" s="11">
        <v>45093</v>
      </c>
    </row>
    <row r="22" spans="1:4" ht="19">
      <c r="A22" s="10" t="s">
        <v>33</v>
      </c>
      <c r="B22" s="10" t="s">
        <v>7</v>
      </c>
      <c r="C22" s="10" t="s">
        <v>5</v>
      </c>
      <c r="D22" s="11">
        <v>45613</v>
      </c>
    </row>
    <row r="23" spans="1:4" ht="19">
      <c r="A23" s="10" t="s">
        <v>34</v>
      </c>
      <c r="B23" s="10" t="s">
        <v>32</v>
      </c>
      <c r="C23" s="10" t="s">
        <v>9</v>
      </c>
      <c r="D23" s="11">
        <v>45550</v>
      </c>
    </row>
    <row r="24" spans="1:4" ht="19">
      <c r="A24" s="10" t="s">
        <v>35</v>
      </c>
      <c r="B24" s="10" t="s">
        <v>4</v>
      </c>
      <c r="C24" s="10" t="s">
        <v>5</v>
      </c>
      <c r="D24" s="11">
        <v>45094</v>
      </c>
    </row>
    <row r="25" spans="1:4" ht="19">
      <c r="A25" s="10" t="s">
        <v>36</v>
      </c>
      <c r="B25" s="10" t="s">
        <v>32</v>
      </c>
      <c r="C25" s="10" t="s">
        <v>9</v>
      </c>
      <c r="D25" s="11">
        <v>45582</v>
      </c>
    </row>
    <row r="26" spans="1:4" ht="19">
      <c r="A26" s="10" t="s">
        <v>37</v>
      </c>
      <c r="B26" s="10" t="s">
        <v>11</v>
      </c>
      <c r="C26" s="10" t="s">
        <v>5</v>
      </c>
      <c r="D26" s="11">
        <v>45628</v>
      </c>
    </row>
    <row r="27" spans="1:4" ht="19">
      <c r="A27" s="10" t="s">
        <v>38</v>
      </c>
      <c r="B27" s="10" t="s">
        <v>20</v>
      </c>
      <c r="C27" s="10" t="s">
        <v>9</v>
      </c>
      <c r="D27" s="11">
        <v>45161</v>
      </c>
    </row>
    <row r="28" spans="1:4" ht="19">
      <c r="A28" s="10" t="s">
        <v>39</v>
      </c>
      <c r="B28" s="10" t="s">
        <v>32</v>
      </c>
      <c r="C28" s="10" t="s">
        <v>5</v>
      </c>
      <c r="D28" s="11">
        <v>45337</v>
      </c>
    </row>
    <row r="29" spans="1:4" ht="19">
      <c r="A29" s="10" t="s">
        <v>40</v>
      </c>
      <c r="B29" s="10" t="s">
        <v>20</v>
      </c>
      <c r="C29" s="10" t="s">
        <v>9</v>
      </c>
      <c r="D29" s="11">
        <v>45507</v>
      </c>
    </row>
    <row r="30" spans="1:4" ht="19">
      <c r="A30" s="10" t="s">
        <v>41</v>
      </c>
      <c r="B30" s="10" t="s">
        <v>14</v>
      </c>
      <c r="C30" s="10" t="s">
        <v>9</v>
      </c>
      <c r="D30" s="11">
        <v>45144</v>
      </c>
    </row>
    <row r="31" spans="1:4" ht="19">
      <c r="A31" s="10" t="s">
        <v>42</v>
      </c>
      <c r="B31" s="10" t="s">
        <v>4</v>
      </c>
      <c r="C31" s="10" t="s">
        <v>5</v>
      </c>
      <c r="D31" s="11">
        <v>45585</v>
      </c>
    </row>
    <row r="32" spans="1:4" ht="19">
      <c r="A32" s="10" t="s">
        <v>43</v>
      </c>
      <c r="B32" s="10" t="s">
        <v>4</v>
      </c>
      <c r="C32" s="10" t="s">
        <v>5</v>
      </c>
      <c r="D32" s="11">
        <v>45069</v>
      </c>
    </row>
    <row r="33" spans="1:4" ht="19">
      <c r="A33" s="10" t="s">
        <v>44</v>
      </c>
      <c r="B33" s="10" t="s">
        <v>14</v>
      </c>
      <c r="C33" s="10" t="s">
        <v>5</v>
      </c>
      <c r="D33" s="11">
        <v>45691</v>
      </c>
    </row>
    <row r="34" spans="1:4" ht="19">
      <c r="A34" s="10" t="s">
        <v>45</v>
      </c>
      <c r="B34" s="10" t="s">
        <v>17</v>
      </c>
      <c r="C34" s="10" t="s">
        <v>5</v>
      </c>
      <c r="D34" s="11">
        <v>45297</v>
      </c>
    </row>
    <row r="35" spans="1:4" ht="19">
      <c r="A35" s="10" t="s">
        <v>46</v>
      </c>
      <c r="B35" s="10" t="s">
        <v>11</v>
      </c>
      <c r="C35" s="10" t="s">
        <v>5</v>
      </c>
      <c r="D35" s="11">
        <v>45448</v>
      </c>
    </row>
    <row r="36" spans="1:4" ht="19">
      <c r="A36" s="10" t="s">
        <v>47</v>
      </c>
      <c r="B36" s="10" t="s">
        <v>17</v>
      </c>
      <c r="C36" s="10" t="s">
        <v>5</v>
      </c>
      <c r="D36" s="11">
        <v>45808</v>
      </c>
    </row>
    <row r="37" spans="1:4" ht="19">
      <c r="A37" s="10" t="s">
        <v>48</v>
      </c>
      <c r="B37" s="10" t="s">
        <v>7</v>
      </c>
      <c r="C37" s="10" t="s">
        <v>9</v>
      </c>
      <c r="D37" s="11">
        <v>45738</v>
      </c>
    </row>
    <row r="38" spans="1:4" ht="19">
      <c r="A38" s="10" t="s">
        <v>49</v>
      </c>
      <c r="B38" s="10" t="s">
        <v>24</v>
      </c>
      <c r="C38" s="10" t="s">
        <v>5</v>
      </c>
      <c r="D38" s="11">
        <v>45321</v>
      </c>
    </row>
    <row r="39" spans="1:4" ht="19">
      <c r="A39" s="10" t="s">
        <v>50</v>
      </c>
      <c r="B39" s="10" t="s">
        <v>11</v>
      </c>
      <c r="C39" s="10" t="s">
        <v>5</v>
      </c>
      <c r="D39" s="11">
        <v>45468</v>
      </c>
    </row>
    <row r="40" spans="1:4" ht="19">
      <c r="A40" s="10" t="s">
        <v>51</v>
      </c>
      <c r="B40" s="10" t="s">
        <v>4</v>
      </c>
      <c r="C40" s="10" t="s">
        <v>9</v>
      </c>
      <c r="D40" s="11">
        <v>45623</v>
      </c>
    </row>
    <row r="41" spans="1:4" ht="19">
      <c r="A41" s="10" t="s">
        <v>52</v>
      </c>
      <c r="B41" s="10" t="s">
        <v>7</v>
      </c>
      <c r="C41" s="10" t="s">
        <v>9</v>
      </c>
      <c r="D41" s="11">
        <v>45714</v>
      </c>
    </row>
    <row r="42" spans="1:4" ht="19">
      <c r="A42" s="10" t="s">
        <v>53</v>
      </c>
      <c r="B42" s="10" t="s">
        <v>24</v>
      </c>
      <c r="C42" s="10" t="s">
        <v>5</v>
      </c>
      <c r="D42" s="11">
        <v>45227</v>
      </c>
    </row>
    <row r="43" spans="1:4" ht="19">
      <c r="A43" s="10" t="s">
        <v>54</v>
      </c>
      <c r="B43" s="10" t="s">
        <v>4</v>
      </c>
      <c r="C43" s="10" t="s">
        <v>55</v>
      </c>
      <c r="D43" s="11">
        <v>44930</v>
      </c>
    </row>
    <row r="44" spans="1:4" ht="19">
      <c r="A44" s="10" t="s">
        <v>56</v>
      </c>
      <c r="B44" s="10" t="s">
        <v>7</v>
      </c>
      <c r="C44" s="10" t="s">
        <v>9</v>
      </c>
      <c r="D44" s="11">
        <v>45439</v>
      </c>
    </row>
    <row r="45" spans="1:4" ht="19">
      <c r="A45" s="10" t="s">
        <v>57</v>
      </c>
      <c r="B45" s="10" t="s">
        <v>32</v>
      </c>
      <c r="C45" s="10" t="s">
        <v>9</v>
      </c>
      <c r="D45" s="11">
        <v>45818</v>
      </c>
    </row>
    <row r="46" spans="1:4" ht="19">
      <c r="A46" s="10" t="s">
        <v>58</v>
      </c>
      <c r="B46" s="10" t="s">
        <v>17</v>
      </c>
      <c r="C46" s="10" t="s">
        <v>5</v>
      </c>
      <c r="D46" s="11">
        <v>45083</v>
      </c>
    </row>
    <row r="47" spans="1:4" ht="19">
      <c r="A47" s="10" t="s">
        <v>59</v>
      </c>
      <c r="B47" s="10" t="s">
        <v>11</v>
      </c>
      <c r="C47" s="10" t="s">
        <v>55</v>
      </c>
      <c r="D47" s="11">
        <v>45479</v>
      </c>
    </row>
    <row r="48" spans="1:4" ht="19">
      <c r="A48" s="10" t="s">
        <v>60</v>
      </c>
      <c r="B48" s="10" t="s">
        <v>11</v>
      </c>
      <c r="C48" s="10" t="s">
        <v>5</v>
      </c>
      <c r="D48" s="11">
        <v>45540</v>
      </c>
    </row>
    <row r="49" spans="1:4" ht="19">
      <c r="A49" s="10" t="s">
        <v>61</v>
      </c>
      <c r="B49" s="10" t="s">
        <v>4</v>
      </c>
      <c r="C49" s="10" t="s">
        <v>55</v>
      </c>
      <c r="D49" s="11">
        <v>45041</v>
      </c>
    </row>
    <row r="50" spans="1:4" ht="19">
      <c r="A50" s="10" t="s">
        <v>62</v>
      </c>
      <c r="B50" s="10" t="s">
        <v>7</v>
      </c>
      <c r="C50" s="10" t="s">
        <v>5</v>
      </c>
      <c r="D50" s="11">
        <v>45172</v>
      </c>
    </row>
    <row r="51" spans="1:4" ht="19">
      <c r="A51" s="10" t="s">
        <v>63</v>
      </c>
      <c r="B51" s="10" t="s">
        <v>7</v>
      </c>
      <c r="C51" s="10" t="s">
        <v>9</v>
      </c>
      <c r="D51" s="11">
        <v>45014</v>
      </c>
    </row>
    <row r="52" spans="1:4" ht="19">
      <c r="A52" s="10" t="s">
        <v>64</v>
      </c>
      <c r="B52" s="10" t="s">
        <v>17</v>
      </c>
      <c r="C52" s="10" t="s">
        <v>5</v>
      </c>
      <c r="D52" s="11">
        <v>45705</v>
      </c>
    </row>
    <row r="53" spans="1:4" ht="19">
      <c r="A53" s="10" t="s">
        <v>65</v>
      </c>
      <c r="B53" s="10" t="s">
        <v>17</v>
      </c>
      <c r="C53" s="10" t="s">
        <v>9</v>
      </c>
      <c r="D53" s="11">
        <v>45058</v>
      </c>
    </row>
    <row r="54" spans="1:4" ht="19">
      <c r="A54" s="10" t="s">
        <v>66</v>
      </c>
      <c r="B54" s="10" t="s">
        <v>14</v>
      </c>
      <c r="C54" s="10" t="s">
        <v>5</v>
      </c>
      <c r="D54" s="11">
        <v>45198</v>
      </c>
    </row>
    <row r="55" spans="1:4" ht="19">
      <c r="A55" s="10" t="s">
        <v>67</v>
      </c>
      <c r="B55" s="10" t="s">
        <v>32</v>
      </c>
      <c r="C55" s="10" t="s">
        <v>55</v>
      </c>
      <c r="D55" s="11">
        <v>45143</v>
      </c>
    </row>
    <row r="56" spans="1:4" ht="19">
      <c r="A56" s="10" t="s">
        <v>68</v>
      </c>
      <c r="B56" s="10" t="s">
        <v>20</v>
      </c>
      <c r="C56" s="10" t="s">
        <v>5</v>
      </c>
      <c r="D56" s="11">
        <v>45657</v>
      </c>
    </row>
    <row r="57" spans="1:4" ht="19">
      <c r="A57" s="10" t="s">
        <v>69</v>
      </c>
      <c r="B57" s="10" t="s">
        <v>24</v>
      </c>
      <c r="C57" s="10" t="s">
        <v>9</v>
      </c>
      <c r="D57" s="11">
        <v>45375</v>
      </c>
    </row>
    <row r="58" spans="1:4" ht="19">
      <c r="A58" s="10" t="s">
        <v>70</v>
      </c>
      <c r="B58" s="10" t="s">
        <v>7</v>
      </c>
      <c r="C58" s="10" t="s">
        <v>5</v>
      </c>
      <c r="D58" s="11">
        <v>45050</v>
      </c>
    </row>
    <row r="59" spans="1:4" ht="19">
      <c r="A59" s="10" t="s">
        <v>71</v>
      </c>
      <c r="B59" s="10" t="s">
        <v>32</v>
      </c>
      <c r="C59" s="10" t="s">
        <v>5</v>
      </c>
      <c r="D59" s="11">
        <v>45273</v>
      </c>
    </row>
    <row r="60" spans="1:4" ht="19">
      <c r="A60" s="10" t="s">
        <v>72</v>
      </c>
      <c r="B60" s="10" t="s">
        <v>7</v>
      </c>
      <c r="C60" s="10" t="s">
        <v>5</v>
      </c>
      <c r="D60" s="11">
        <v>45529</v>
      </c>
    </row>
    <row r="61" spans="1:4" ht="19">
      <c r="A61" s="10" t="s">
        <v>73</v>
      </c>
      <c r="B61" s="10" t="s">
        <v>32</v>
      </c>
      <c r="C61" s="10" t="s">
        <v>9</v>
      </c>
      <c r="D61" s="11">
        <v>45651</v>
      </c>
    </row>
    <row r="62" spans="1:4" ht="19">
      <c r="A62" s="10" t="s">
        <v>74</v>
      </c>
      <c r="B62" s="10" t="s">
        <v>20</v>
      </c>
      <c r="C62" s="10" t="s">
        <v>55</v>
      </c>
      <c r="D62" s="11">
        <v>44996</v>
      </c>
    </row>
    <row r="63" spans="1:4" ht="19">
      <c r="A63" s="10" t="s">
        <v>75</v>
      </c>
      <c r="B63" s="10" t="s">
        <v>4</v>
      </c>
      <c r="C63" s="10" t="s">
        <v>5</v>
      </c>
      <c r="D63" s="11">
        <v>44999</v>
      </c>
    </row>
    <row r="64" spans="1:4" ht="19">
      <c r="A64" s="10" t="s">
        <v>76</v>
      </c>
      <c r="B64" s="10" t="s">
        <v>17</v>
      </c>
      <c r="C64" s="10" t="s">
        <v>5</v>
      </c>
      <c r="D64" s="11">
        <v>45612</v>
      </c>
    </row>
    <row r="65" spans="1:4" ht="19">
      <c r="A65" s="10" t="s">
        <v>77</v>
      </c>
      <c r="B65" s="10" t="s">
        <v>24</v>
      </c>
      <c r="C65" s="10" t="s">
        <v>55</v>
      </c>
      <c r="D65" s="11">
        <v>45667</v>
      </c>
    </row>
    <row r="66" spans="1:4" ht="19">
      <c r="A66" s="10" t="s">
        <v>78</v>
      </c>
      <c r="B66" s="10" t="s">
        <v>14</v>
      </c>
      <c r="C66" s="10" t="s">
        <v>9</v>
      </c>
      <c r="D66" s="11">
        <v>45175</v>
      </c>
    </row>
    <row r="67" spans="1:4" ht="19">
      <c r="A67" s="10" t="s">
        <v>79</v>
      </c>
      <c r="B67" s="10" t="s">
        <v>14</v>
      </c>
      <c r="C67" s="10" t="s">
        <v>5</v>
      </c>
      <c r="D67" s="11">
        <v>45121</v>
      </c>
    </row>
    <row r="68" spans="1:4" ht="19">
      <c r="A68" s="10" t="s">
        <v>80</v>
      </c>
      <c r="B68" s="10" t="s">
        <v>24</v>
      </c>
      <c r="C68" s="10" t="s">
        <v>5</v>
      </c>
      <c r="D68" s="11">
        <v>45289</v>
      </c>
    </row>
    <row r="69" spans="1:4" ht="19">
      <c r="A69" s="10" t="s">
        <v>81</v>
      </c>
      <c r="B69" s="10" t="s">
        <v>7</v>
      </c>
      <c r="C69" s="10" t="s">
        <v>9</v>
      </c>
      <c r="D69" s="11">
        <v>45811</v>
      </c>
    </row>
    <row r="70" spans="1:4" ht="19">
      <c r="A70" s="10" t="s">
        <v>82</v>
      </c>
      <c r="B70" s="10" t="s">
        <v>20</v>
      </c>
      <c r="C70" s="10" t="s">
        <v>5</v>
      </c>
      <c r="D70" s="11">
        <v>44989</v>
      </c>
    </row>
    <row r="71" spans="1:4" ht="19">
      <c r="A71" s="10" t="s">
        <v>83</v>
      </c>
      <c r="B71" s="10" t="s">
        <v>32</v>
      </c>
      <c r="C71" s="10" t="s">
        <v>9</v>
      </c>
      <c r="D71" s="11">
        <v>45746</v>
      </c>
    </row>
    <row r="72" spans="1:4" ht="19">
      <c r="A72" s="10" t="s">
        <v>84</v>
      </c>
      <c r="B72" s="10" t="s">
        <v>24</v>
      </c>
      <c r="C72" s="10" t="s">
        <v>5</v>
      </c>
      <c r="D72" s="11">
        <v>45123</v>
      </c>
    </row>
    <row r="73" spans="1:4" ht="19">
      <c r="A73" s="10" t="s">
        <v>85</v>
      </c>
      <c r="B73" s="10" t="s">
        <v>4</v>
      </c>
      <c r="C73" s="10" t="s">
        <v>5</v>
      </c>
      <c r="D73" s="11">
        <v>45070</v>
      </c>
    </row>
    <row r="74" spans="1:4" ht="19">
      <c r="A74" s="10" t="s">
        <v>86</v>
      </c>
      <c r="B74" s="10" t="s">
        <v>7</v>
      </c>
      <c r="C74" s="10" t="s">
        <v>5</v>
      </c>
      <c r="D74" s="11">
        <v>45400</v>
      </c>
    </row>
    <row r="75" spans="1:4" ht="19">
      <c r="A75" s="10" t="s">
        <v>87</v>
      </c>
      <c r="B75" s="10" t="s">
        <v>7</v>
      </c>
      <c r="C75" s="10" t="s">
        <v>9</v>
      </c>
      <c r="D75" s="11">
        <v>45380</v>
      </c>
    </row>
    <row r="76" spans="1:4" ht="19">
      <c r="A76" s="10" t="s">
        <v>88</v>
      </c>
      <c r="B76" s="10" t="s">
        <v>11</v>
      </c>
      <c r="C76" s="10" t="s">
        <v>9</v>
      </c>
      <c r="D76" s="11">
        <v>44978</v>
      </c>
    </row>
    <row r="77" spans="1:4" ht="19">
      <c r="A77" s="10" t="s">
        <v>89</v>
      </c>
      <c r="B77" s="10" t="s">
        <v>32</v>
      </c>
      <c r="C77" s="10" t="s">
        <v>55</v>
      </c>
      <c r="D77" s="11">
        <v>45022</v>
      </c>
    </row>
    <row r="78" spans="1:4" ht="19">
      <c r="A78" s="10" t="s">
        <v>90</v>
      </c>
      <c r="B78" s="10" t="s">
        <v>24</v>
      </c>
      <c r="C78" s="10" t="s">
        <v>5</v>
      </c>
      <c r="D78" s="11">
        <v>45097</v>
      </c>
    </row>
    <row r="79" spans="1:4" ht="19">
      <c r="A79" s="10" t="s">
        <v>91</v>
      </c>
      <c r="B79" s="10" t="s">
        <v>11</v>
      </c>
      <c r="C79" s="10" t="s">
        <v>9</v>
      </c>
      <c r="D79" s="11">
        <v>45145</v>
      </c>
    </row>
    <row r="80" spans="1:4" ht="19">
      <c r="A80" s="10" t="s">
        <v>92</v>
      </c>
      <c r="B80" s="10" t="s">
        <v>14</v>
      </c>
      <c r="C80" s="10" t="s">
        <v>5</v>
      </c>
      <c r="D80" s="11">
        <v>45095</v>
      </c>
    </row>
    <row r="81" spans="1:4" ht="19">
      <c r="A81" s="10" t="s">
        <v>93</v>
      </c>
      <c r="B81" s="10" t="s">
        <v>24</v>
      </c>
      <c r="C81" s="10" t="s">
        <v>55</v>
      </c>
      <c r="D81" s="11">
        <v>45198</v>
      </c>
    </row>
    <row r="82" spans="1:4" ht="19">
      <c r="A82" s="10" t="s">
        <v>94</v>
      </c>
      <c r="B82" s="10" t="s">
        <v>24</v>
      </c>
      <c r="C82" s="10" t="s">
        <v>5</v>
      </c>
      <c r="D82" s="11">
        <v>45219</v>
      </c>
    </row>
    <row r="83" spans="1:4" ht="19">
      <c r="A83" s="10" t="s">
        <v>95</v>
      </c>
      <c r="B83" s="10" t="s">
        <v>32</v>
      </c>
      <c r="C83" s="10" t="s">
        <v>5</v>
      </c>
      <c r="D83" s="11">
        <v>45085</v>
      </c>
    </row>
    <row r="84" spans="1:4" ht="19">
      <c r="A84" s="10" t="s">
        <v>96</v>
      </c>
      <c r="B84" s="10" t="s">
        <v>11</v>
      </c>
      <c r="C84" s="10" t="s">
        <v>5</v>
      </c>
      <c r="D84" s="11">
        <v>44986</v>
      </c>
    </row>
    <row r="85" spans="1:4" ht="19">
      <c r="A85" s="10" t="s">
        <v>97</v>
      </c>
      <c r="B85" s="10" t="s">
        <v>11</v>
      </c>
      <c r="C85" s="10" t="s">
        <v>5</v>
      </c>
      <c r="D85" s="11">
        <v>45692</v>
      </c>
    </row>
    <row r="86" spans="1:4" ht="19">
      <c r="A86" s="10" t="s">
        <v>98</v>
      </c>
      <c r="B86" s="10" t="s">
        <v>17</v>
      </c>
      <c r="C86" s="10" t="s">
        <v>5</v>
      </c>
      <c r="D86" s="11">
        <v>45525</v>
      </c>
    </row>
    <row r="87" spans="1:4" ht="19">
      <c r="A87" s="10" t="s">
        <v>99</v>
      </c>
      <c r="B87" s="10" t="s">
        <v>7</v>
      </c>
      <c r="C87" s="10" t="s">
        <v>55</v>
      </c>
      <c r="D87" s="11">
        <v>44985</v>
      </c>
    </row>
    <row r="88" spans="1:4" ht="19">
      <c r="A88" s="10" t="s">
        <v>100</v>
      </c>
      <c r="B88" s="10" t="s">
        <v>7</v>
      </c>
      <c r="C88" s="10" t="s">
        <v>5</v>
      </c>
      <c r="D88" s="11">
        <v>45798</v>
      </c>
    </row>
    <row r="89" spans="1:4" ht="19">
      <c r="A89" s="10" t="s">
        <v>101</v>
      </c>
      <c r="B89" s="10" t="s">
        <v>14</v>
      </c>
      <c r="C89" s="10" t="s">
        <v>9</v>
      </c>
      <c r="D89" s="11">
        <v>45618</v>
      </c>
    </row>
    <row r="90" spans="1:4" ht="19">
      <c r="A90" s="10" t="s">
        <v>102</v>
      </c>
      <c r="B90" s="10" t="s">
        <v>32</v>
      </c>
      <c r="C90" s="10" t="s">
        <v>55</v>
      </c>
      <c r="D90" s="11">
        <v>45049</v>
      </c>
    </row>
    <row r="91" spans="1:4" ht="19">
      <c r="A91" s="10" t="s">
        <v>103</v>
      </c>
      <c r="B91" s="10" t="s">
        <v>7</v>
      </c>
      <c r="C91" s="10" t="s">
        <v>5</v>
      </c>
      <c r="D91" s="11">
        <v>45519</v>
      </c>
    </row>
    <row r="92" spans="1:4" ht="19">
      <c r="A92" s="10" t="s">
        <v>104</v>
      </c>
      <c r="B92" s="10" t="s">
        <v>20</v>
      </c>
      <c r="C92" s="10" t="s">
        <v>9</v>
      </c>
      <c r="D92" s="11">
        <v>45356</v>
      </c>
    </row>
    <row r="93" spans="1:4" ht="19">
      <c r="A93" s="10" t="s">
        <v>105</v>
      </c>
      <c r="B93" s="10" t="s">
        <v>20</v>
      </c>
      <c r="C93" s="10" t="s">
        <v>5</v>
      </c>
      <c r="D93" s="11">
        <v>45194</v>
      </c>
    </row>
    <row r="94" spans="1:4" ht="19">
      <c r="A94" s="10" t="s">
        <v>106</v>
      </c>
      <c r="B94" s="10" t="s">
        <v>17</v>
      </c>
      <c r="C94" s="10" t="s">
        <v>5</v>
      </c>
      <c r="D94" s="11">
        <v>45171</v>
      </c>
    </row>
    <row r="95" spans="1:4" ht="19">
      <c r="A95" s="10" t="s">
        <v>107</v>
      </c>
      <c r="B95" s="10" t="s">
        <v>24</v>
      </c>
      <c r="C95" s="10" t="s">
        <v>9</v>
      </c>
      <c r="D95" s="11">
        <v>45614</v>
      </c>
    </row>
    <row r="96" spans="1:4" ht="19">
      <c r="A96" s="10" t="s">
        <v>108</v>
      </c>
      <c r="B96" s="10" t="s">
        <v>7</v>
      </c>
      <c r="C96" s="10" t="s">
        <v>55</v>
      </c>
      <c r="D96" s="11">
        <v>45250</v>
      </c>
    </row>
    <row r="97" spans="1:4" ht="19">
      <c r="A97" s="10" t="s">
        <v>109</v>
      </c>
      <c r="B97" s="10" t="s">
        <v>7</v>
      </c>
      <c r="C97" s="10" t="s">
        <v>5</v>
      </c>
      <c r="D97" s="11">
        <v>44936</v>
      </c>
    </row>
    <row r="98" spans="1:4" ht="19">
      <c r="A98" s="10" t="s">
        <v>110</v>
      </c>
      <c r="B98" s="10" t="s">
        <v>4</v>
      </c>
      <c r="C98" s="10" t="s">
        <v>5</v>
      </c>
      <c r="D98" s="11">
        <v>45002</v>
      </c>
    </row>
    <row r="99" spans="1:4" ht="19">
      <c r="A99" s="10" t="s">
        <v>111</v>
      </c>
      <c r="B99" s="10" t="s">
        <v>7</v>
      </c>
      <c r="C99" s="10" t="s">
        <v>55</v>
      </c>
      <c r="D99" s="11">
        <v>45062</v>
      </c>
    </row>
    <row r="100" spans="1:4" ht="19">
      <c r="A100" s="10" t="s">
        <v>112</v>
      </c>
      <c r="B100" s="10" t="s">
        <v>4</v>
      </c>
      <c r="C100" s="10" t="s">
        <v>5</v>
      </c>
      <c r="D100" s="11">
        <v>45827</v>
      </c>
    </row>
    <row r="101" spans="1:4" ht="19">
      <c r="A101" s="10" t="s">
        <v>113</v>
      </c>
      <c r="B101" s="10" t="s">
        <v>4</v>
      </c>
      <c r="C101" s="10" t="s">
        <v>5</v>
      </c>
      <c r="D101" s="11">
        <v>45088</v>
      </c>
    </row>
    <row r="102" spans="1:4" ht="19">
      <c r="A102" s="10" t="s">
        <v>114</v>
      </c>
      <c r="B102" s="10" t="s">
        <v>11</v>
      </c>
      <c r="C102" s="10" t="s">
        <v>55</v>
      </c>
      <c r="D102" s="11">
        <v>45553</v>
      </c>
    </row>
    <row r="103" spans="1:4" ht="19">
      <c r="A103" s="10" t="s">
        <v>115</v>
      </c>
      <c r="B103" s="10" t="s">
        <v>4</v>
      </c>
      <c r="C103" s="10" t="s">
        <v>9</v>
      </c>
      <c r="D103" s="11">
        <v>45610</v>
      </c>
    </row>
    <row r="104" spans="1:4" ht="19">
      <c r="A104" s="10" t="s">
        <v>116</v>
      </c>
      <c r="B104" s="10" t="s">
        <v>17</v>
      </c>
      <c r="C104" s="10" t="s">
        <v>5</v>
      </c>
      <c r="D104" s="11">
        <v>45606</v>
      </c>
    </row>
    <row r="105" spans="1:4" ht="19">
      <c r="A105" s="10" t="s">
        <v>117</v>
      </c>
      <c r="B105" s="10" t="s">
        <v>7</v>
      </c>
      <c r="C105" s="10" t="s">
        <v>5</v>
      </c>
      <c r="D105" s="11">
        <v>45197</v>
      </c>
    </row>
    <row r="106" spans="1:4" ht="19">
      <c r="A106" s="10" t="s">
        <v>118</v>
      </c>
      <c r="B106" s="10" t="s">
        <v>4</v>
      </c>
      <c r="C106" s="10" t="s">
        <v>5</v>
      </c>
      <c r="D106" s="11">
        <v>45687</v>
      </c>
    </row>
    <row r="107" spans="1:4" ht="19">
      <c r="A107" s="10" t="s">
        <v>119</v>
      </c>
      <c r="B107" s="10" t="s">
        <v>20</v>
      </c>
      <c r="C107" s="10" t="s">
        <v>9</v>
      </c>
      <c r="D107" s="11">
        <v>45215</v>
      </c>
    </row>
    <row r="108" spans="1:4" ht="19">
      <c r="A108" s="10" t="s">
        <v>120</v>
      </c>
      <c r="B108" s="10" t="s">
        <v>4</v>
      </c>
      <c r="C108" s="10" t="s">
        <v>9</v>
      </c>
      <c r="D108" s="11">
        <v>45135</v>
      </c>
    </row>
    <row r="109" spans="1:4" ht="19">
      <c r="A109" s="10" t="s">
        <v>121</v>
      </c>
      <c r="B109" s="10" t="s">
        <v>11</v>
      </c>
      <c r="C109" s="10" t="s">
        <v>5</v>
      </c>
      <c r="D109" s="11">
        <v>45444</v>
      </c>
    </row>
    <row r="110" spans="1:4" ht="19">
      <c r="A110" s="10" t="s">
        <v>122</v>
      </c>
      <c r="B110" s="10" t="s">
        <v>4</v>
      </c>
      <c r="C110" s="10" t="s">
        <v>9</v>
      </c>
      <c r="D110" s="11">
        <v>45021</v>
      </c>
    </row>
    <row r="111" spans="1:4" ht="19">
      <c r="A111" s="10" t="s">
        <v>123</v>
      </c>
      <c r="B111" s="10" t="s">
        <v>17</v>
      </c>
      <c r="C111" s="10" t="s">
        <v>5</v>
      </c>
      <c r="D111" s="11">
        <v>44972</v>
      </c>
    </row>
    <row r="112" spans="1:4" ht="19">
      <c r="A112" s="10" t="s">
        <v>124</v>
      </c>
      <c r="B112" s="10" t="s">
        <v>17</v>
      </c>
      <c r="C112" s="10" t="s">
        <v>55</v>
      </c>
      <c r="D112" s="11">
        <v>45579</v>
      </c>
    </row>
    <row r="113" spans="1:4" ht="19">
      <c r="A113" s="10" t="s">
        <v>125</v>
      </c>
      <c r="B113" s="10" t="s">
        <v>14</v>
      </c>
      <c r="C113" s="10" t="s">
        <v>5</v>
      </c>
      <c r="D113" s="11">
        <v>45686</v>
      </c>
    </row>
    <row r="114" spans="1:4" ht="19">
      <c r="A114" s="10" t="s">
        <v>126</v>
      </c>
      <c r="B114" s="10" t="s">
        <v>7</v>
      </c>
      <c r="C114" s="10" t="s">
        <v>5</v>
      </c>
      <c r="D114" s="11">
        <v>45501</v>
      </c>
    </row>
    <row r="115" spans="1:4" ht="19">
      <c r="A115" s="10" t="s">
        <v>127</v>
      </c>
      <c r="B115" s="10" t="s">
        <v>11</v>
      </c>
      <c r="C115" s="10" t="s">
        <v>55</v>
      </c>
      <c r="D115" s="11">
        <v>45634</v>
      </c>
    </row>
    <row r="116" spans="1:4" ht="19">
      <c r="A116" s="10" t="s">
        <v>128</v>
      </c>
      <c r="B116" s="10" t="s">
        <v>17</v>
      </c>
      <c r="C116" s="10" t="s">
        <v>5</v>
      </c>
      <c r="D116" s="11">
        <v>45781</v>
      </c>
    </row>
    <row r="117" spans="1:4" ht="19">
      <c r="A117" s="10" t="s">
        <v>129</v>
      </c>
      <c r="B117" s="10" t="s">
        <v>4</v>
      </c>
      <c r="C117" s="10" t="s">
        <v>5</v>
      </c>
      <c r="D117" s="11">
        <v>45367</v>
      </c>
    </row>
    <row r="118" spans="1:4" ht="19">
      <c r="A118" s="10" t="s">
        <v>130</v>
      </c>
      <c r="B118" s="10" t="s">
        <v>11</v>
      </c>
      <c r="C118" s="10" t="s">
        <v>9</v>
      </c>
      <c r="D118" s="11">
        <v>45300</v>
      </c>
    </row>
    <row r="119" spans="1:4" ht="19">
      <c r="A119" s="10" t="s">
        <v>131</v>
      </c>
      <c r="B119" s="10" t="s">
        <v>32</v>
      </c>
      <c r="C119" s="10" t="s">
        <v>5</v>
      </c>
      <c r="D119" s="11">
        <v>45293</v>
      </c>
    </row>
    <row r="120" spans="1:4" ht="19">
      <c r="A120" s="10" t="s">
        <v>132</v>
      </c>
      <c r="B120" s="10" t="s">
        <v>14</v>
      </c>
      <c r="C120" s="10" t="s">
        <v>5</v>
      </c>
      <c r="D120" s="11">
        <v>45609</v>
      </c>
    </row>
    <row r="121" spans="1:4" ht="19">
      <c r="A121" s="10" t="s">
        <v>133</v>
      </c>
      <c r="B121" s="10" t="s">
        <v>32</v>
      </c>
      <c r="C121" s="10" t="s">
        <v>9</v>
      </c>
      <c r="D121" s="11">
        <v>45562</v>
      </c>
    </row>
    <row r="122" spans="1:4" ht="19">
      <c r="A122" s="10" t="s">
        <v>134</v>
      </c>
      <c r="B122" s="10" t="s">
        <v>17</v>
      </c>
      <c r="C122" s="10" t="s">
        <v>5</v>
      </c>
      <c r="D122" s="11">
        <v>45812</v>
      </c>
    </row>
    <row r="123" spans="1:4" ht="19">
      <c r="A123" s="10" t="s">
        <v>135</v>
      </c>
      <c r="B123" s="10" t="s">
        <v>20</v>
      </c>
      <c r="C123" s="10" t="s">
        <v>5</v>
      </c>
      <c r="D123" s="11">
        <v>45349</v>
      </c>
    </row>
    <row r="124" spans="1:4" ht="19">
      <c r="A124" s="10" t="s">
        <v>136</v>
      </c>
      <c r="B124" s="10" t="s">
        <v>32</v>
      </c>
      <c r="C124" s="10" t="s">
        <v>55</v>
      </c>
      <c r="D124" s="11">
        <v>45728</v>
      </c>
    </row>
    <row r="125" spans="1:4" ht="19">
      <c r="A125" s="10" t="s">
        <v>137</v>
      </c>
      <c r="B125" s="10" t="s">
        <v>7</v>
      </c>
      <c r="C125" s="10" t="s">
        <v>5</v>
      </c>
      <c r="D125" s="11">
        <v>45200</v>
      </c>
    </row>
    <row r="126" spans="1:4" ht="19">
      <c r="A126" s="10" t="s">
        <v>138</v>
      </c>
      <c r="B126" s="10" t="s">
        <v>24</v>
      </c>
      <c r="C126" s="10" t="s">
        <v>9</v>
      </c>
      <c r="D126" s="11">
        <v>45318</v>
      </c>
    </row>
    <row r="127" spans="1:4" ht="19">
      <c r="A127" s="10" t="s">
        <v>139</v>
      </c>
      <c r="B127" s="10" t="s">
        <v>24</v>
      </c>
      <c r="C127" s="10" t="s">
        <v>5</v>
      </c>
      <c r="D127" s="11">
        <v>45154</v>
      </c>
    </row>
    <row r="128" spans="1:4" ht="19">
      <c r="A128" s="10" t="s">
        <v>140</v>
      </c>
      <c r="B128" s="10" t="s">
        <v>32</v>
      </c>
      <c r="C128" s="10" t="s">
        <v>5</v>
      </c>
      <c r="D128" s="11">
        <v>45285</v>
      </c>
    </row>
    <row r="129" spans="1:4" ht="19">
      <c r="A129" s="10" t="s">
        <v>141</v>
      </c>
      <c r="B129" s="10" t="s">
        <v>32</v>
      </c>
      <c r="C129" s="10" t="s">
        <v>5</v>
      </c>
      <c r="D129" s="11">
        <v>45155</v>
      </c>
    </row>
    <row r="130" spans="1:4" ht="19">
      <c r="A130" s="10" t="s">
        <v>142</v>
      </c>
      <c r="B130" s="10" t="s">
        <v>7</v>
      </c>
      <c r="C130" s="10" t="s">
        <v>5</v>
      </c>
      <c r="D130" s="11">
        <v>45335</v>
      </c>
    </row>
    <row r="131" spans="1:4" ht="19">
      <c r="A131" s="10" t="s">
        <v>143</v>
      </c>
      <c r="B131" s="10" t="s">
        <v>14</v>
      </c>
      <c r="C131" s="10" t="s">
        <v>5</v>
      </c>
      <c r="D131" s="11">
        <v>45718</v>
      </c>
    </row>
    <row r="132" spans="1:4" ht="19">
      <c r="A132" s="10" t="s">
        <v>144</v>
      </c>
      <c r="B132" s="10" t="s">
        <v>20</v>
      </c>
      <c r="C132" s="10" t="s">
        <v>55</v>
      </c>
      <c r="D132" s="11">
        <v>45622</v>
      </c>
    </row>
    <row r="133" spans="1:4" ht="19">
      <c r="A133" s="10" t="s">
        <v>145</v>
      </c>
      <c r="B133" s="10" t="s">
        <v>4</v>
      </c>
      <c r="C133" s="10" t="s">
        <v>5</v>
      </c>
      <c r="D133" s="11">
        <v>44955</v>
      </c>
    </row>
    <row r="134" spans="1:4" ht="19">
      <c r="A134" s="10" t="s">
        <v>146</v>
      </c>
      <c r="B134" s="10" t="s">
        <v>4</v>
      </c>
      <c r="C134" s="10" t="s">
        <v>5</v>
      </c>
      <c r="D134" s="11">
        <v>45109</v>
      </c>
    </row>
    <row r="135" spans="1:4" ht="19">
      <c r="A135" s="10" t="s">
        <v>147</v>
      </c>
      <c r="B135" s="10" t="s">
        <v>14</v>
      </c>
      <c r="C135" s="10" t="s">
        <v>5</v>
      </c>
      <c r="D135" s="11">
        <v>44966</v>
      </c>
    </row>
    <row r="136" spans="1:4" ht="19">
      <c r="A136" s="10" t="s">
        <v>148</v>
      </c>
      <c r="B136" s="10" t="s">
        <v>20</v>
      </c>
      <c r="C136" s="10" t="s">
        <v>9</v>
      </c>
      <c r="D136" s="11">
        <v>45280</v>
      </c>
    </row>
    <row r="137" spans="1:4" ht="19">
      <c r="A137" s="10" t="s">
        <v>149</v>
      </c>
      <c r="B137" s="10" t="s">
        <v>7</v>
      </c>
      <c r="C137" s="10" t="s">
        <v>9</v>
      </c>
      <c r="D137" s="11">
        <v>45373</v>
      </c>
    </row>
    <row r="138" spans="1:4" ht="19">
      <c r="A138" s="10" t="s">
        <v>150</v>
      </c>
      <c r="B138" s="10" t="s">
        <v>32</v>
      </c>
      <c r="C138" s="10" t="s">
        <v>9</v>
      </c>
      <c r="D138" s="11">
        <v>45321</v>
      </c>
    </row>
    <row r="139" spans="1:4" ht="19">
      <c r="A139" s="10" t="s">
        <v>151</v>
      </c>
      <c r="B139" s="10" t="s">
        <v>14</v>
      </c>
      <c r="C139" s="10" t="s">
        <v>5</v>
      </c>
      <c r="D139" s="11">
        <v>45187</v>
      </c>
    </row>
    <row r="140" spans="1:4" ht="19">
      <c r="A140" s="10" t="s">
        <v>152</v>
      </c>
      <c r="B140" s="10" t="s">
        <v>32</v>
      </c>
      <c r="C140" s="10" t="s">
        <v>5</v>
      </c>
      <c r="D140" s="11">
        <v>44928</v>
      </c>
    </row>
    <row r="141" spans="1:4" ht="19">
      <c r="A141" s="10" t="s">
        <v>153</v>
      </c>
      <c r="B141" s="10" t="s">
        <v>20</v>
      </c>
      <c r="C141" s="10" t="s">
        <v>5</v>
      </c>
      <c r="D141" s="11">
        <v>45299</v>
      </c>
    </row>
    <row r="142" spans="1:4" ht="19">
      <c r="A142" s="10" t="s">
        <v>154</v>
      </c>
      <c r="B142" s="10" t="s">
        <v>7</v>
      </c>
      <c r="C142" s="10" t="s">
        <v>5</v>
      </c>
      <c r="D142" s="11">
        <v>45565</v>
      </c>
    </row>
    <row r="143" spans="1:4" ht="19">
      <c r="A143" s="10" t="s">
        <v>155</v>
      </c>
      <c r="B143" s="10" t="s">
        <v>4</v>
      </c>
      <c r="C143" s="10" t="s">
        <v>55</v>
      </c>
      <c r="D143" s="11">
        <v>45664</v>
      </c>
    </row>
    <row r="144" spans="1:4" ht="19">
      <c r="A144" s="10" t="s">
        <v>156</v>
      </c>
      <c r="B144" s="10" t="s">
        <v>14</v>
      </c>
      <c r="C144" s="10" t="s">
        <v>5</v>
      </c>
      <c r="D144" s="11">
        <v>45609</v>
      </c>
    </row>
    <row r="145" spans="1:4" ht="19">
      <c r="A145" s="10" t="s">
        <v>157</v>
      </c>
      <c r="B145" s="10" t="s">
        <v>17</v>
      </c>
      <c r="C145" s="10" t="s">
        <v>5</v>
      </c>
      <c r="D145" s="11">
        <v>45640</v>
      </c>
    </row>
    <row r="146" spans="1:4" ht="19">
      <c r="A146" s="10" t="s">
        <v>158</v>
      </c>
      <c r="B146" s="10" t="s">
        <v>14</v>
      </c>
      <c r="C146" s="10" t="s">
        <v>5</v>
      </c>
      <c r="D146" s="11">
        <v>45123</v>
      </c>
    </row>
    <row r="147" spans="1:4" ht="19">
      <c r="A147" s="10" t="s">
        <v>159</v>
      </c>
      <c r="B147" s="10" t="s">
        <v>17</v>
      </c>
      <c r="C147" s="10" t="s">
        <v>9</v>
      </c>
      <c r="D147" s="11">
        <v>45620</v>
      </c>
    </row>
    <row r="148" spans="1:4" ht="19">
      <c r="A148" s="10" t="s">
        <v>160</v>
      </c>
      <c r="B148" s="10" t="s">
        <v>14</v>
      </c>
      <c r="C148" s="10" t="s">
        <v>5</v>
      </c>
      <c r="D148" s="11">
        <v>45557</v>
      </c>
    </row>
    <row r="149" spans="1:4" ht="19">
      <c r="A149" s="10" t="s">
        <v>161</v>
      </c>
      <c r="B149" s="10" t="s">
        <v>4</v>
      </c>
      <c r="C149" s="10" t="s">
        <v>9</v>
      </c>
      <c r="D149" s="11">
        <v>45488</v>
      </c>
    </row>
    <row r="150" spans="1:4" ht="19">
      <c r="A150" s="10" t="s">
        <v>162</v>
      </c>
      <c r="B150" s="10" t="s">
        <v>20</v>
      </c>
      <c r="C150" s="10" t="s">
        <v>5</v>
      </c>
      <c r="D150" s="11">
        <v>45220</v>
      </c>
    </row>
    <row r="151" spans="1:4" ht="19">
      <c r="A151" s="10" t="s">
        <v>163</v>
      </c>
      <c r="B151" s="10" t="s">
        <v>32</v>
      </c>
      <c r="C151" s="10" t="s">
        <v>5</v>
      </c>
      <c r="D151" s="11">
        <v>45403</v>
      </c>
    </row>
    <row r="152" spans="1:4" ht="19">
      <c r="A152" s="10" t="s">
        <v>164</v>
      </c>
      <c r="B152" s="10" t="s">
        <v>17</v>
      </c>
      <c r="C152" s="10" t="s">
        <v>5</v>
      </c>
      <c r="D152" s="11">
        <v>45450</v>
      </c>
    </row>
    <row r="153" spans="1:4" ht="19">
      <c r="A153" s="10" t="s">
        <v>165</v>
      </c>
      <c r="B153" s="10" t="s">
        <v>20</v>
      </c>
      <c r="C153" s="10" t="s">
        <v>5</v>
      </c>
      <c r="D153" s="11">
        <v>45601</v>
      </c>
    </row>
    <row r="154" spans="1:4" ht="19">
      <c r="A154" s="10" t="s">
        <v>166</v>
      </c>
      <c r="B154" s="10" t="s">
        <v>32</v>
      </c>
      <c r="C154" s="10" t="s">
        <v>9</v>
      </c>
      <c r="D154" s="11">
        <v>45022</v>
      </c>
    </row>
    <row r="155" spans="1:4" ht="19">
      <c r="A155" s="10" t="s">
        <v>167</v>
      </c>
      <c r="B155" s="10" t="s">
        <v>32</v>
      </c>
      <c r="C155" s="10" t="s">
        <v>5</v>
      </c>
      <c r="D155" s="11">
        <v>45615</v>
      </c>
    </row>
    <row r="156" spans="1:4" ht="19">
      <c r="A156" s="10" t="s">
        <v>168</v>
      </c>
      <c r="B156" s="10" t="s">
        <v>32</v>
      </c>
      <c r="C156" s="10" t="s">
        <v>5</v>
      </c>
      <c r="D156" s="11">
        <v>45077</v>
      </c>
    </row>
    <row r="157" spans="1:4" ht="19">
      <c r="A157" s="10" t="s">
        <v>169</v>
      </c>
      <c r="B157" s="10" t="s">
        <v>7</v>
      </c>
      <c r="C157" s="10" t="s">
        <v>9</v>
      </c>
      <c r="D157" s="11">
        <v>45413</v>
      </c>
    </row>
    <row r="158" spans="1:4" ht="19">
      <c r="A158" s="10" t="s">
        <v>170</v>
      </c>
      <c r="B158" s="10" t="s">
        <v>32</v>
      </c>
      <c r="C158" s="10" t="s">
        <v>5</v>
      </c>
      <c r="D158" s="11">
        <v>45393</v>
      </c>
    </row>
    <row r="159" spans="1:4" ht="19">
      <c r="A159" s="10" t="s">
        <v>171</v>
      </c>
      <c r="B159" s="10" t="s">
        <v>24</v>
      </c>
      <c r="C159" s="10" t="s">
        <v>9</v>
      </c>
      <c r="D159" s="11">
        <v>45662</v>
      </c>
    </row>
    <row r="160" spans="1:4" ht="19">
      <c r="A160" s="10" t="s">
        <v>172</v>
      </c>
      <c r="B160" s="10" t="s">
        <v>11</v>
      </c>
      <c r="C160" s="10" t="s">
        <v>5</v>
      </c>
      <c r="D160" s="11">
        <v>45336</v>
      </c>
    </row>
    <row r="161" spans="1:4" ht="19">
      <c r="A161" s="10" t="s">
        <v>173</v>
      </c>
      <c r="B161" s="10" t="s">
        <v>7</v>
      </c>
      <c r="C161" s="10" t="s">
        <v>9</v>
      </c>
      <c r="D161" s="11">
        <v>45695</v>
      </c>
    </row>
    <row r="162" spans="1:4" ht="19">
      <c r="A162" s="10" t="s">
        <v>174</v>
      </c>
      <c r="B162" s="10" t="s">
        <v>17</v>
      </c>
      <c r="C162" s="10" t="s">
        <v>5</v>
      </c>
      <c r="D162" s="11">
        <v>45724</v>
      </c>
    </row>
    <row r="163" spans="1:4" ht="19">
      <c r="A163" s="10" t="s">
        <v>175</v>
      </c>
      <c r="B163" s="10" t="s">
        <v>24</v>
      </c>
      <c r="C163" s="10" t="s">
        <v>55</v>
      </c>
      <c r="D163" s="11">
        <v>45750</v>
      </c>
    </row>
    <row r="164" spans="1:4" ht="19">
      <c r="A164" s="10" t="s">
        <v>176</v>
      </c>
      <c r="B164" s="10" t="s">
        <v>7</v>
      </c>
      <c r="C164" s="10" t="s">
        <v>5</v>
      </c>
      <c r="D164" s="11">
        <v>44978</v>
      </c>
    </row>
    <row r="165" spans="1:4" ht="19">
      <c r="A165" s="10" t="s">
        <v>177</v>
      </c>
      <c r="B165" s="10" t="s">
        <v>24</v>
      </c>
      <c r="C165" s="10" t="s">
        <v>5</v>
      </c>
      <c r="D165" s="11">
        <v>45394</v>
      </c>
    </row>
    <row r="166" spans="1:4" ht="19">
      <c r="A166" s="10" t="s">
        <v>178</v>
      </c>
      <c r="B166" s="10" t="s">
        <v>20</v>
      </c>
      <c r="C166" s="10" t="s">
        <v>5</v>
      </c>
      <c r="D166" s="11">
        <v>45610</v>
      </c>
    </row>
    <row r="167" spans="1:4" ht="19">
      <c r="A167" s="10" t="s">
        <v>179</v>
      </c>
      <c r="B167" s="10" t="s">
        <v>14</v>
      </c>
      <c r="C167" s="10" t="s">
        <v>9</v>
      </c>
      <c r="D167" s="11">
        <v>45700</v>
      </c>
    </row>
    <row r="168" spans="1:4" ht="19">
      <c r="A168" s="10" t="s">
        <v>180</v>
      </c>
      <c r="B168" s="10" t="s">
        <v>24</v>
      </c>
      <c r="C168" s="10" t="s">
        <v>55</v>
      </c>
      <c r="D168" s="11">
        <v>45777</v>
      </c>
    </row>
    <row r="169" spans="1:4" ht="19">
      <c r="A169" s="10" t="s">
        <v>181</v>
      </c>
      <c r="B169" s="10" t="s">
        <v>24</v>
      </c>
      <c r="C169" s="10" t="s">
        <v>9</v>
      </c>
      <c r="D169" s="11">
        <v>45089</v>
      </c>
    </row>
    <row r="170" spans="1:4" ht="19">
      <c r="A170" s="10" t="s">
        <v>182</v>
      </c>
      <c r="B170" s="10" t="s">
        <v>32</v>
      </c>
      <c r="C170" s="10" t="s">
        <v>5</v>
      </c>
      <c r="D170" s="11">
        <v>45387</v>
      </c>
    </row>
    <row r="171" spans="1:4" ht="19">
      <c r="A171" s="10" t="s">
        <v>183</v>
      </c>
      <c r="B171" s="10" t="s">
        <v>24</v>
      </c>
      <c r="C171" s="10" t="s">
        <v>9</v>
      </c>
      <c r="D171" s="11">
        <v>45787</v>
      </c>
    </row>
    <row r="172" spans="1:4" ht="19">
      <c r="A172" s="10" t="s">
        <v>184</v>
      </c>
      <c r="B172" s="10" t="s">
        <v>24</v>
      </c>
      <c r="C172" s="10" t="s">
        <v>5</v>
      </c>
      <c r="D172" s="11">
        <v>45568</v>
      </c>
    </row>
    <row r="173" spans="1:4" ht="19">
      <c r="A173" s="10" t="s">
        <v>185</v>
      </c>
      <c r="B173" s="10" t="s">
        <v>32</v>
      </c>
      <c r="C173" s="10" t="s">
        <v>9</v>
      </c>
      <c r="D173" s="11">
        <v>45006</v>
      </c>
    </row>
    <row r="174" spans="1:4" ht="19">
      <c r="A174" s="10" t="s">
        <v>186</v>
      </c>
      <c r="B174" s="10" t="s">
        <v>7</v>
      </c>
      <c r="C174" s="10" t="s">
        <v>5</v>
      </c>
      <c r="D174" s="11">
        <v>45205</v>
      </c>
    </row>
    <row r="175" spans="1:4" ht="19">
      <c r="A175" s="10" t="s">
        <v>187</v>
      </c>
      <c r="B175" s="10" t="s">
        <v>14</v>
      </c>
      <c r="C175" s="10" t="s">
        <v>5</v>
      </c>
      <c r="D175" s="11">
        <v>45068</v>
      </c>
    </row>
    <row r="176" spans="1:4" ht="19">
      <c r="A176" s="10" t="s">
        <v>188</v>
      </c>
      <c r="B176" s="10" t="s">
        <v>32</v>
      </c>
      <c r="C176" s="10" t="s">
        <v>5</v>
      </c>
      <c r="D176" s="11">
        <v>45637</v>
      </c>
    </row>
    <row r="177" spans="1:4" ht="19">
      <c r="A177" s="10" t="s">
        <v>189</v>
      </c>
      <c r="B177" s="10" t="s">
        <v>20</v>
      </c>
      <c r="C177" s="10" t="s">
        <v>5</v>
      </c>
      <c r="D177" s="11">
        <v>44992</v>
      </c>
    </row>
    <row r="178" spans="1:4" ht="19">
      <c r="A178" s="10" t="s">
        <v>190</v>
      </c>
      <c r="B178" s="10" t="s">
        <v>11</v>
      </c>
      <c r="C178" s="10" t="s">
        <v>5</v>
      </c>
      <c r="D178" s="11">
        <v>45482</v>
      </c>
    </row>
    <row r="179" spans="1:4" ht="19">
      <c r="A179" s="10" t="s">
        <v>191</v>
      </c>
      <c r="B179" s="10" t="s">
        <v>14</v>
      </c>
      <c r="C179" s="10" t="s">
        <v>9</v>
      </c>
      <c r="D179" s="11">
        <v>45138</v>
      </c>
    </row>
    <row r="180" spans="1:4" ht="19">
      <c r="A180" s="10" t="s">
        <v>192</v>
      </c>
      <c r="B180" s="10" t="s">
        <v>11</v>
      </c>
      <c r="C180" s="10" t="s">
        <v>5</v>
      </c>
      <c r="D180" s="11">
        <v>45715</v>
      </c>
    </row>
    <row r="181" spans="1:4" ht="19">
      <c r="A181" s="10" t="s">
        <v>193</v>
      </c>
      <c r="B181" s="10" t="s">
        <v>14</v>
      </c>
      <c r="C181" s="10" t="s">
        <v>9</v>
      </c>
      <c r="D181" s="11">
        <v>45804</v>
      </c>
    </row>
    <row r="182" spans="1:4" ht="19">
      <c r="A182" s="10" t="s">
        <v>194</v>
      </c>
      <c r="B182" s="10" t="s">
        <v>20</v>
      </c>
      <c r="C182" s="10" t="s">
        <v>5</v>
      </c>
      <c r="D182" s="11">
        <v>45415</v>
      </c>
    </row>
    <row r="183" spans="1:4" ht="19">
      <c r="A183" s="10" t="s">
        <v>195</v>
      </c>
      <c r="B183" s="10" t="s">
        <v>14</v>
      </c>
      <c r="C183" s="10" t="s">
        <v>9</v>
      </c>
      <c r="D183" s="11">
        <v>45232</v>
      </c>
    </row>
    <row r="184" spans="1:4" ht="19">
      <c r="A184" s="10" t="s">
        <v>196</v>
      </c>
      <c r="B184" s="10" t="s">
        <v>32</v>
      </c>
      <c r="C184" s="10" t="s">
        <v>9</v>
      </c>
      <c r="D184" s="11">
        <v>45478</v>
      </c>
    </row>
    <row r="185" spans="1:4" ht="19">
      <c r="A185" s="10" t="s">
        <v>197</v>
      </c>
      <c r="B185" s="10" t="s">
        <v>14</v>
      </c>
      <c r="C185" s="10" t="s">
        <v>5</v>
      </c>
      <c r="D185" s="11">
        <v>45426</v>
      </c>
    </row>
    <row r="186" spans="1:4" ht="19">
      <c r="A186" s="10" t="s">
        <v>198</v>
      </c>
      <c r="B186" s="10" t="s">
        <v>20</v>
      </c>
      <c r="C186" s="10" t="s">
        <v>5</v>
      </c>
      <c r="D186" s="11">
        <v>45424</v>
      </c>
    </row>
    <row r="187" spans="1:4" ht="19">
      <c r="A187" s="10" t="s">
        <v>199</v>
      </c>
      <c r="B187" s="10" t="s">
        <v>14</v>
      </c>
      <c r="C187" s="10" t="s">
        <v>9</v>
      </c>
      <c r="D187" s="11">
        <v>45611</v>
      </c>
    </row>
    <row r="188" spans="1:4" ht="19">
      <c r="A188" s="10" t="s">
        <v>200</v>
      </c>
      <c r="B188" s="10" t="s">
        <v>24</v>
      </c>
      <c r="C188" s="10" t="s">
        <v>5</v>
      </c>
      <c r="D188" s="11">
        <v>45668</v>
      </c>
    </row>
    <row r="189" spans="1:4" ht="19">
      <c r="A189" s="10" t="s">
        <v>201</v>
      </c>
      <c r="B189" s="10" t="s">
        <v>11</v>
      </c>
      <c r="C189" s="10" t="s">
        <v>55</v>
      </c>
      <c r="D189" s="11">
        <v>45057</v>
      </c>
    </row>
    <row r="190" spans="1:4" ht="19">
      <c r="A190" s="10" t="s">
        <v>202</v>
      </c>
      <c r="B190" s="10" t="s">
        <v>11</v>
      </c>
      <c r="C190" s="10" t="s">
        <v>5</v>
      </c>
      <c r="D190" s="11">
        <v>45330</v>
      </c>
    </row>
    <row r="191" spans="1:4" ht="19">
      <c r="A191" s="10" t="s">
        <v>203</v>
      </c>
      <c r="B191" s="10" t="s">
        <v>17</v>
      </c>
      <c r="C191" s="10" t="s">
        <v>9</v>
      </c>
      <c r="D191" s="11">
        <v>45012</v>
      </c>
    </row>
    <row r="192" spans="1:4" ht="19">
      <c r="A192" s="10" t="s">
        <v>204</v>
      </c>
      <c r="B192" s="10" t="s">
        <v>11</v>
      </c>
      <c r="C192" s="10" t="s">
        <v>5</v>
      </c>
      <c r="D192" s="11">
        <v>45814</v>
      </c>
    </row>
    <row r="193" spans="1:4" ht="19">
      <c r="A193" s="10" t="s">
        <v>205</v>
      </c>
      <c r="B193" s="10" t="s">
        <v>32</v>
      </c>
      <c r="C193" s="10" t="s">
        <v>5</v>
      </c>
      <c r="D193" s="11">
        <v>45193</v>
      </c>
    </row>
    <row r="194" spans="1:4" ht="19">
      <c r="A194" s="10" t="s">
        <v>206</v>
      </c>
      <c r="B194" s="10" t="s">
        <v>14</v>
      </c>
      <c r="C194" s="10" t="s">
        <v>5</v>
      </c>
      <c r="D194" s="11">
        <v>45392</v>
      </c>
    </row>
    <row r="195" spans="1:4" ht="19">
      <c r="A195" s="10" t="s">
        <v>207</v>
      </c>
      <c r="B195" s="10" t="s">
        <v>14</v>
      </c>
      <c r="C195" s="10" t="s">
        <v>9</v>
      </c>
      <c r="D195" s="11">
        <v>45211</v>
      </c>
    </row>
    <row r="196" spans="1:4" ht="19">
      <c r="A196" s="10" t="s">
        <v>208</v>
      </c>
      <c r="B196" s="10" t="s">
        <v>24</v>
      </c>
      <c r="C196" s="10" t="s">
        <v>9</v>
      </c>
      <c r="D196" s="11">
        <v>45185</v>
      </c>
    </row>
    <row r="197" spans="1:4" ht="19">
      <c r="A197" s="10" t="s">
        <v>209</v>
      </c>
      <c r="B197" s="10" t="s">
        <v>11</v>
      </c>
      <c r="C197" s="10" t="s">
        <v>9</v>
      </c>
      <c r="D197" s="11">
        <v>44946</v>
      </c>
    </row>
    <row r="198" spans="1:4" ht="19">
      <c r="A198" s="10" t="s">
        <v>210</v>
      </c>
      <c r="B198" s="10" t="s">
        <v>7</v>
      </c>
      <c r="C198" s="10" t="s">
        <v>5</v>
      </c>
      <c r="D198" s="11">
        <v>45285</v>
      </c>
    </row>
    <row r="199" spans="1:4" ht="19">
      <c r="A199" s="10" t="s">
        <v>211</v>
      </c>
      <c r="B199" s="10" t="s">
        <v>11</v>
      </c>
      <c r="C199" s="10" t="s">
        <v>55</v>
      </c>
      <c r="D199" s="11">
        <v>45726</v>
      </c>
    </row>
    <row r="200" spans="1:4" ht="19">
      <c r="A200" s="10" t="s">
        <v>212</v>
      </c>
      <c r="B200" s="10" t="s">
        <v>32</v>
      </c>
      <c r="C200" s="10" t="s">
        <v>5</v>
      </c>
      <c r="D200" s="11">
        <v>45699</v>
      </c>
    </row>
    <row r="201" spans="1:4" ht="19">
      <c r="A201" s="10" t="s">
        <v>213</v>
      </c>
      <c r="B201" s="10" t="s">
        <v>17</v>
      </c>
      <c r="C201" s="10" t="s">
        <v>9</v>
      </c>
      <c r="D201" s="11">
        <v>45131</v>
      </c>
    </row>
    <row r="202" spans="1:4" ht="19">
      <c r="A202" s="10" t="s">
        <v>214</v>
      </c>
      <c r="B202" s="10" t="s">
        <v>7</v>
      </c>
      <c r="C202" s="10" t="s">
        <v>5</v>
      </c>
      <c r="D202" s="11">
        <v>45171</v>
      </c>
    </row>
    <row r="203" spans="1:4" ht="19">
      <c r="A203" s="10" t="s">
        <v>215</v>
      </c>
      <c r="B203" s="10" t="s">
        <v>24</v>
      </c>
      <c r="C203" s="10" t="s">
        <v>55</v>
      </c>
      <c r="D203" s="11">
        <v>45504</v>
      </c>
    </row>
    <row r="204" spans="1:4" ht="19">
      <c r="A204" s="10" t="s">
        <v>216</v>
      </c>
      <c r="B204" s="10" t="s">
        <v>20</v>
      </c>
      <c r="C204" s="10" t="s">
        <v>5</v>
      </c>
      <c r="D204" s="11">
        <v>45643</v>
      </c>
    </row>
    <row r="205" spans="1:4" ht="19">
      <c r="A205" s="10" t="s">
        <v>217</v>
      </c>
      <c r="B205" s="10" t="s">
        <v>7</v>
      </c>
      <c r="C205" s="10" t="s">
        <v>9</v>
      </c>
      <c r="D205" s="11">
        <v>45098</v>
      </c>
    </row>
    <row r="206" spans="1:4" ht="19">
      <c r="A206" s="10" t="s">
        <v>218</v>
      </c>
      <c r="B206" s="10" t="s">
        <v>4</v>
      </c>
      <c r="C206" s="10" t="s">
        <v>9</v>
      </c>
      <c r="D206" s="11">
        <v>45723</v>
      </c>
    </row>
    <row r="207" spans="1:4" ht="19">
      <c r="A207" s="10" t="s">
        <v>219</v>
      </c>
      <c r="B207" s="10" t="s">
        <v>4</v>
      </c>
      <c r="C207" s="10" t="s">
        <v>5</v>
      </c>
      <c r="D207" s="11">
        <v>45037</v>
      </c>
    </row>
    <row r="208" spans="1:4" ht="19">
      <c r="A208" s="10" t="s">
        <v>220</v>
      </c>
      <c r="B208" s="10" t="s">
        <v>14</v>
      </c>
      <c r="C208" s="10" t="s">
        <v>9</v>
      </c>
      <c r="D208" s="11">
        <v>45516</v>
      </c>
    </row>
    <row r="209" spans="1:4" ht="19">
      <c r="A209" s="10" t="s">
        <v>221</v>
      </c>
      <c r="B209" s="10" t="s">
        <v>32</v>
      </c>
      <c r="C209" s="10" t="s">
        <v>55</v>
      </c>
      <c r="D209" s="11">
        <v>45333</v>
      </c>
    </row>
    <row r="210" spans="1:4" ht="19">
      <c r="A210" s="10" t="s">
        <v>222</v>
      </c>
      <c r="B210" s="10" t="s">
        <v>32</v>
      </c>
      <c r="C210" s="10" t="s">
        <v>5</v>
      </c>
      <c r="D210" s="11">
        <v>45004</v>
      </c>
    </row>
    <row r="211" spans="1:4" ht="19">
      <c r="A211" s="10" t="s">
        <v>223</v>
      </c>
      <c r="B211" s="10" t="s">
        <v>4</v>
      </c>
      <c r="C211" s="10" t="s">
        <v>9</v>
      </c>
      <c r="D211" s="11">
        <v>45031</v>
      </c>
    </row>
    <row r="212" spans="1:4" ht="19">
      <c r="A212" s="10" t="s">
        <v>224</v>
      </c>
      <c r="B212" s="10" t="s">
        <v>7</v>
      </c>
      <c r="C212" s="10" t="s">
        <v>9</v>
      </c>
      <c r="D212" s="11">
        <v>45797</v>
      </c>
    </row>
    <row r="213" spans="1:4" ht="19">
      <c r="A213" s="10" t="s">
        <v>225</v>
      </c>
      <c r="B213" s="10" t="s">
        <v>11</v>
      </c>
      <c r="C213" s="10" t="s">
        <v>55</v>
      </c>
      <c r="D213" s="11">
        <v>45742</v>
      </c>
    </row>
    <row r="214" spans="1:4" ht="19">
      <c r="A214" s="10" t="s">
        <v>226</v>
      </c>
      <c r="B214" s="10" t="s">
        <v>20</v>
      </c>
      <c r="C214" s="10" t="s">
        <v>5</v>
      </c>
      <c r="D214" s="11">
        <v>45282</v>
      </c>
    </row>
    <row r="215" spans="1:4" ht="19">
      <c r="A215" s="10" t="s">
        <v>227</v>
      </c>
      <c r="B215" s="10" t="s">
        <v>20</v>
      </c>
      <c r="C215" s="10" t="s">
        <v>5</v>
      </c>
      <c r="D215" s="11">
        <v>44997</v>
      </c>
    </row>
    <row r="216" spans="1:4" ht="19">
      <c r="A216" s="10" t="s">
        <v>228</v>
      </c>
      <c r="B216" s="10" t="s">
        <v>24</v>
      </c>
      <c r="C216" s="10" t="s">
        <v>9</v>
      </c>
      <c r="D216" s="11">
        <v>44939</v>
      </c>
    </row>
    <row r="217" spans="1:4" ht="19">
      <c r="A217" s="10" t="s">
        <v>229</v>
      </c>
      <c r="B217" s="10" t="s">
        <v>20</v>
      </c>
      <c r="C217" s="10" t="s">
        <v>5</v>
      </c>
      <c r="D217" s="11">
        <v>45035</v>
      </c>
    </row>
    <row r="218" spans="1:4" ht="19">
      <c r="A218" s="10" t="s">
        <v>230</v>
      </c>
      <c r="B218" s="10" t="s">
        <v>24</v>
      </c>
      <c r="C218" s="10" t="s">
        <v>9</v>
      </c>
      <c r="D218" s="11">
        <v>45577</v>
      </c>
    </row>
    <row r="219" spans="1:4" ht="19">
      <c r="A219" s="10" t="s">
        <v>231</v>
      </c>
      <c r="B219" s="10" t="s">
        <v>17</v>
      </c>
      <c r="C219" s="10" t="s">
        <v>5</v>
      </c>
      <c r="D219" s="11">
        <v>45651</v>
      </c>
    </row>
    <row r="220" spans="1:4" ht="19">
      <c r="A220" s="10" t="s">
        <v>232</v>
      </c>
      <c r="B220" s="10" t="s">
        <v>4</v>
      </c>
      <c r="C220" s="10" t="s">
        <v>5</v>
      </c>
      <c r="D220" s="11">
        <v>45678</v>
      </c>
    </row>
    <row r="221" spans="1:4" ht="19">
      <c r="A221" s="10" t="s">
        <v>233</v>
      </c>
      <c r="B221" s="10" t="s">
        <v>24</v>
      </c>
      <c r="C221" s="10" t="s">
        <v>9</v>
      </c>
      <c r="D221" s="11">
        <v>45557</v>
      </c>
    </row>
    <row r="222" spans="1:4" ht="19">
      <c r="A222" s="10" t="s">
        <v>234</v>
      </c>
      <c r="B222" s="10" t="s">
        <v>4</v>
      </c>
      <c r="C222" s="10" t="s">
        <v>5</v>
      </c>
      <c r="D222" s="11">
        <v>45403</v>
      </c>
    </row>
    <row r="223" spans="1:4" ht="19">
      <c r="A223" s="10" t="s">
        <v>235</v>
      </c>
      <c r="B223" s="10" t="s">
        <v>7</v>
      </c>
      <c r="C223" s="10" t="s">
        <v>9</v>
      </c>
      <c r="D223" s="11">
        <v>45257</v>
      </c>
    </row>
    <row r="224" spans="1:4" ht="19">
      <c r="A224" s="10" t="s">
        <v>236</v>
      </c>
      <c r="B224" s="10" t="s">
        <v>32</v>
      </c>
      <c r="C224" s="10" t="s">
        <v>9</v>
      </c>
      <c r="D224" s="11">
        <v>45212</v>
      </c>
    </row>
    <row r="225" spans="1:4" ht="19">
      <c r="A225" s="10" t="s">
        <v>237</v>
      </c>
      <c r="B225" s="10" t="s">
        <v>14</v>
      </c>
      <c r="C225" s="10" t="s">
        <v>5</v>
      </c>
      <c r="D225" s="11">
        <v>45695</v>
      </c>
    </row>
    <row r="226" spans="1:4" ht="19">
      <c r="A226" s="10" t="s">
        <v>238</v>
      </c>
      <c r="B226" s="10" t="s">
        <v>20</v>
      </c>
      <c r="C226" s="10" t="s">
        <v>5</v>
      </c>
      <c r="D226" s="11">
        <v>45271</v>
      </c>
    </row>
    <row r="227" spans="1:4" ht="19">
      <c r="A227" s="10" t="s">
        <v>239</v>
      </c>
      <c r="B227" s="10" t="s">
        <v>20</v>
      </c>
      <c r="C227" s="10" t="s">
        <v>5</v>
      </c>
      <c r="D227" s="11">
        <v>45113</v>
      </c>
    </row>
    <row r="228" spans="1:4" ht="19">
      <c r="A228" s="10" t="s">
        <v>240</v>
      </c>
      <c r="B228" s="10" t="s">
        <v>4</v>
      </c>
      <c r="C228" s="10" t="s">
        <v>5</v>
      </c>
      <c r="D228" s="11">
        <v>45743</v>
      </c>
    </row>
    <row r="229" spans="1:4" ht="19">
      <c r="A229" s="10" t="s">
        <v>241</v>
      </c>
      <c r="B229" s="10" t="s">
        <v>4</v>
      </c>
      <c r="C229" s="10" t="s">
        <v>9</v>
      </c>
      <c r="D229" s="11">
        <v>45537</v>
      </c>
    </row>
    <row r="230" spans="1:4" ht="19">
      <c r="A230" s="10" t="s">
        <v>242</v>
      </c>
      <c r="B230" s="10" t="s">
        <v>32</v>
      </c>
      <c r="C230" s="10" t="s">
        <v>5</v>
      </c>
      <c r="D230" s="11">
        <v>45496</v>
      </c>
    </row>
    <row r="231" spans="1:4" ht="19">
      <c r="A231" s="10" t="s">
        <v>243</v>
      </c>
      <c r="B231" s="10" t="s">
        <v>14</v>
      </c>
      <c r="C231" s="10" t="s">
        <v>5</v>
      </c>
      <c r="D231" s="11">
        <v>45014</v>
      </c>
    </row>
    <row r="232" spans="1:4" ht="19">
      <c r="A232" s="10" t="s">
        <v>244</v>
      </c>
      <c r="B232" s="10" t="s">
        <v>32</v>
      </c>
      <c r="C232" s="10" t="s">
        <v>5</v>
      </c>
      <c r="D232" s="11">
        <v>45427</v>
      </c>
    </row>
    <row r="233" spans="1:4" ht="19">
      <c r="A233" s="10" t="s">
        <v>245</v>
      </c>
      <c r="B233" s="10" t="s">
        <v>24</v>
      </c>
      <c r="C233" s="10" t="s">
        <v>5</v>
      </c>
      <c r="D233" s="11">
        <v>45634</v>
      </c>
    </row>
    <row r="234" spans="1:4" ht="19">
      <c r="A234" s="10" t="s">
        <v>246</v>
      </c>
      <c r="B234" s="10" t="s">
        <v>7</v>
      </c>
      <c r="C234" s="10" t="s">
        <v>9</v>
      </c>
      <c r="D234" s="11">
        <v>45385</v>
      </c>
    </row>
    <row r="235" spans="1:4" ht="19">
      <c r="A235" s="10" t="s">
        <v>247</v>
      </c>
      <c r="B235" s="10" t="s">
        <v>32</v>
      </c>
      <c r="C235" s="10" t="s">
        <v>5</v>
      </c>
      <c r="D235" s="11">
        <v>45228</v>
      </c>
    </row>
    <row r="236" spans="1:4" ht="19">
      <c r="A236" s="10" t="s">
        <v>248</v>
      </c>
      <c r="B236" s="10" t="s">
        <v>20</v>
      </c>
      <c r="C236" s="10" t="s">
        <v>9</v>
      </c>
      <c r="D236" s="11">
        <v>45240</v>
      </c>
    </row>
    <row r="237" spans="1:4" ht="19">
      <c r="A237" s="10" t="s">
        <v>249</v>
      </c>
      <c r="B237" s="10" t="s">
        <v>20</v>
      </c>
      <c r="C237" s="10" t="s">
        <v>5</v>
      </c>
      <c r="D237" s="11">
        <v>45411</v>
      </c>
    </row>
    <row r="238" spans="1:4" ht="19">
      <c r="A238" s="10" t="s">
        <v>250</v>
      </c>
      <c r="B238" s="10" t="s">
        <v>20</v>
      </c>
      <c r="C238" s="10" t="s">
        <v>55</v>
      </c>
      <c r="D238" s="11">
        <v>45362</v>
      </c>
    </row>
    <row r="239" spans="1:4" ht="19">
      <c r="A239" s="10" t="s">
        <v>251</v>
      </c>
      <c r="B239" s="10" t="s">
        <v>4</v>
      </c>
      <c r="C239" s="10" t="s">
        <v>9</v>
      </c>
      <c r="D239" s="11">
        <v>45287</v>
      </c>
    </row>
    <row r="240" spans="1:4" ht="19">
      <c r="A240" s="10" t="s">
        <v>252</v>
      </c>
      <c r="B240" s="10" t="s">
        <v>7</v>
      </c>
      <c r="C240" s="10" t="s">
        <v>5</v>
      </c>
      <c r="D240" s="11">
        <v>45240</v>
      </c>
    </row>
    <row r="241" spans="1:4" ht="19">
      <c r="A241" s="10" t="s">
        <v>253</v>
      </c>
      <c r="B241" s="10" t="s">
        <v>7</v>
      </c>
      <c r="C241" s="10" t="s">
        <v>5</v>
      </c>
      <c r="D241" s="11">
        <v>45665</v>
      </c>
    </row>
    <row r="242" spans="1:4" ht="19">
      <c r="A242" s="10" t="s">
        <v>254</v>
      </c>
      <c r="B242" s="10" t="s">
        <v>17</v>
      </c>
      <c r="C242" s="10" t="s">
        <v>5</v>
      </c>
      <c r="D242" s="11">
        <v>45687</v>
      </c>
    </row>
    <row r="243" spans="1:4" ht="19">
      <c r="A243" s="10" t="s">
        <v>255</v>
      </c>
      <c r="B243" s="10" t="s">
        <v>24</v>
      </c>
      <c r="C243" s="10" t="s">
        <v>5</v>
      </c>
      <c r="D243" s="11">
        <v>45123</v>
      </c>
    </row>
    <row r="244" spans="1:4" ht="19">
      <c r="A244" s="10" t="s">
        <v>256</v>
      </c>
      <c r="B244" s="10" t="s">
        <v>4</v>
      </c>
      <c r="C244" s="10" t="s">
        <v>9</v>
      </c>
      <c r="D244" s="11">
        <v>45210</v>
      </c>
    </row>
    <row r="245" spans="1:4" ht="19">
      <c r="A245" s="10" t="s">
        <v>257</v>
      </c>
      <c r="B245" s="10" t="s">
        <v>4</v>
      </c>
      <c r="C245" s="10" t="s">
        <v>9</v>
      </c>
      <c r="D245" s="11">
        <v>45029</v>
      </c>
    </row>
    <row r="246" spans="1:4" ht="19">
      <c r="A246" s="10" t="s">
        <v>258</v>
      </c>
      <c r="B246" s="10" t="s">
        <v>4</v>
      </c>
      <c r="C246" s="10" t="s">
        <v>5</v>
      </c>
      <c r="D246" s="11">
        <v>45159</v>
      </c>
    </row>
    <row r="247" spans="1:4" ht="19">
      <c r="A247" s="10" t="s">
        <v>259</v>
      </c>
      <c r="B247" s="10" t="s">
        <v>17</v>
      </c>
      <c r="C247" s="10" t="s">
        <v>9</v>
      </c>
      <c r="D247" s="11">
        <v>44941</v>
      </c>
    </row>
    <row r="248" spans="1:4" ht="19">
      <c r="A248" s="10" t="s">
        <v>260</v>
      </c>
      <c r="B248" s="10" t="s">
        <v>11</v>
      </c>
      <c r="C248" s="10" t="s">
        <v>5</v>
      </c>
      <c r="D248" s="11">
        <v>45207</v>
      </c>
    </row>
    <row r="249" spans="1:4" ht="19">
      <c r="A249" s="10" t="s">
        <v>261</v>
      </c>
      <c r="B249" s="10" t="s">
        <v>17</v>
      </c>
      <c r="C249" s="10" t="s">
        <v>5</v>
      </c>
      <c r="D249" s="11">
        <v>45493</v>
      </c>
    </row>
    <row r="250" spans="1:4" ht="19">
      <c r="A250" s="10" t="s">
        <v>262</v>
      </c>
      <c r="B250" s="10" t="s">
        <v>24</v>
      </c>
      <c r="C250" s="10" t="s">
        <v>9</v>
      </c>
      <c r="D250" s="11">
        <v>45580</v>
      </c>
    </row>
    <row r="251" spans="1:4" ht="19">
      <c r="A251" s="10" t="s">
        <v>263</v>
      </c>
      <c r="B251" s="10" t="s">
        <v>4</v>
      </c>
      <c r="C251" s="10" t="s">
        <v>9</v>
      </c>
      <c r="D251" s="11">
        <v>45032</v>
      </c>
    </row>
    <row r="252" spans="1:4" ht="19">
      <c r="A252" s="10" t="s">
        <v>264</v>
      </c>
      <c r="B252" s="10" t="s">
        <v>20</v>
      </c>
      <c r="C252" s="10" t="s">
        <v>5</v>
      </c>
      <c r="D252" s="11">
        <v>45407</v>
      </c>
    </row>
    <row r="253" spans="1:4" ht="19">
      <c r="A253" s="10" t="s">
        <v>265</v>
      </c>
      <c r="B253" s="10" t="s">
        <v>4</v>
      </c>
      <c r="C253" s="10" t="s">
        <v>55</v>
      </c>
      <c r="D253" s="11">
        <v>45115</v>
      </c>
    </row>
    <row r="254" spans="1:4" ht="19">
      <c r="A254" s="10" t="s">
        <v>266</v>
      </c>
      <c r="B254" s="10" t="s">
        <v>7</v>
      </c>
      <c r="C254" s="10" t="s">
        <v>5</v>
      </c>
      <c r="D254" s="11">
        <v>45809</v>
      </c>
    </row>
    <row r="255" spans="1:4" ht="19">
      <c r="A255" s="10" t="s">
        <v>267</v>
      </c>
      <c r="B255" s="10" t="s">
        <v>11</v>
      </c>
      <c r="C255" s="10" t="s">
        <v>5</v>
      </c>
      <c r="D255" s="11">
        <v>45337</v>
      </c>
    </row>
    <row r="256" spans="1:4" ht="19">
      <c r="A256" s="10" t="s">
        <v>268</v>
      </c>
      <c r="B256" s="10" t="s">
        <v>4</v>
      </c>
      <c r="C256" s="10" t="s">
        <v>5</v>
      </c>
      <c r="D256" s="11">
        <v>45082</v>
      </c>
    </row>
    <row r="257" spans="1:4" ht="19">
      <c r="A257" s="10" t="s">
        <v>269</v>
      </c>
      <c r="B257" s="10" t="s">
        <v>7</v>
      </c>
      <c r="C257" s="10" t="s">
        <v>55</v>
      </c>
      <c r="D257" s="11">
        <v>45014</v>
      </c>
    </row>
    <row r="258" spans="1:4" ht="19">
      <c r="A258" s="10" t="s">
        <v>270</v>
      </c>
      <c r="B258" s="10" t="s">
        <v>32</v>
      </c>
      <c r="C258" s="10" t="s">
        <v>9</v>
      </c>
      <c r="D258" s="11">
        <v>45498</v>
      </c>
    </row>
    <row r="259" spans="1:4" ht="19">
      <c r="A259" s="10" t="s">
        <v>271</v>
      </c>
      <c r="B259" s="10" t="s">
        <v>24</v>
      </c>
      <c r="C259" s="10" t="s">
        <v>5</v>
      </c>
      <c r="D259" s="11">
        <v>45721</v>
      </c>
    </row>
    <row r="260" spans="1:4" ht="19">
      <c r="A260" s="10" t="s">
        <v>272</v>
      </c>
      <c r="B260" s="10" t="s">
        <v>14</v>
      </c>
      <c r="C260" s="10" t="s">
        <v>5</v>
      </c>
      <c r="D260" s="11">
        <v>45380</v>
      </c>
    </row>
    <row r="261" spans="1:4" ht="19">
      <c r="A261" s="10" t="s">
        <v>273</v>
      </c>
      <c r="B261" s="10" t="s">
        <v>11</v>
      </c>
      <c r="C261" s="10" t="s">
        <v>5</v>
      </c>
      <c r="D261" s="11">
        <v>45239</v>
      </c>
    </row>
    <row r="262" spans="1:4" ht="19">
      <c r="A262" s="10" t="s">
        <v>274</v>
      </c>
      <c r="B262" s="10" t="s">
        <v>7</v>
      </c>
      <c r="C262" s="10" t="s">
        <v>55</v>
      </c>
      <c r="D262" s="11">
        <v>45551</v>
      </c>
    </row>
    <row r="263" spans="1:4" ht="19">
      <c r="A263" s="10" t="s">
        <v>275</v>
      </c>
      <c r="B263" s="10" t="s">
        <v>32</v>
      </c>
      <c r="C263" s="10" t="s">
        <v>5</v>
      </c>
      <c r="D263" s="11">
        <v>45708</v>
      </c>
    </row>
    <row r="264" spans="1:4" ht="19">
      <c r="A264" s="10" t="s">
        <v>276</v>
      </c>
      <c r="B264" s="10" t="s">
        <v>17</v>
      </c>
      <c r="C264" s="10" t="s">
        <v>9</v>
      </c>
      <c r="D264" s="11">
        <v>45197</v>
      </c>
    </row>
    <row r="265" spans="1:4" ht="19">
      <c r="A265" s="10" t="s">
        <v>277</v>
      </c>
      <c r="B265" s="10" t="s">
        <v>7</v>
      </c>
      <c r="C265" s="10" t="s">
        <v>5</v>
      </c>
      <c r="D265" s="11">
        <v>45172</v>
      </c>
    </row>
    <row r="266" spans="1:4" ht="19">
      <c r="A266" s="10" t="s">
        <v>278</v>
      </c>
      <c r="B266" s="10" t="s">
        <v>24</v>
      </c>
      <c r="C266" s="10" t="s">
        <v>5</v>
      </c>
      <c r="D266" s="11">
        <v>45087</v>
      </c>
    </row>
    <row r="267" spans="1:4" ht="19">
      <c r="A267" s="10" t="s">
        <v>279</v>
      </c>
      <c r="B267" s="10" t="s">
        <v>4</v>
      </c>
      <c r="C267" s="10" t="s">
        <v>5</v>
      </c>
      <c r="D267" s="11">
        <v>45632</v>
      </c>
    </row>
    <row r="268" spans="1:4" ht="19">
      <c r="A268" s="10" t="s">
        <v>280</v>
      </c>
      <c r="B268" s="10" t="s">
        <v>4</v>
      </c>
      <c r="C268" s="10" t="s">
        <v>5</v>
      </c>
      <c r="D268" s="11">
        <v>44960</v>
      </c>
    </row>
    <row r="269" spans="1:4" ht="19">
      <c r="A269" s="10" t="s">
        <v>281</v>
      </c>
      <c r="B269" s="10" t="s">
        <v>7</v>
      </c>
      <c r="C269" s="10" t="s">
        <v>9</v>
      </c>
      <c r="D269" s="11">
        <v>45646</v>
      </c>
    </row>
    <row r="270" spans="1:4" ht="19">
      <c r="A270" s="10" t="s">
        <v>282</v>
      </c>
      <c r="B270" s="10" t="s">
        <v>4</v>
      </c>
      <c r="C270" s="10" t="s">
        <v>5</v>
      </c>
      <c r="D270" s="11">
        <v>45630</v>
      </c>
    </row>
    <row r="271" spans="1:4" ht="19">
      <c r="A271" s="10" t="s">
        <v>283</v>
      </c>
      <c r="B271" s="10" t="s">
        <v>32</v>
      </c>
      <c r="C271" s="10" t="s">
        <v>9</v>
      </c>
      <c r="D271" s="11">
        <v>45733</v>
      </c>
    </row>
    <row r="272" spans="1:4" ht="19">
      <c r="A272" s="10" t="s">
        <v>284</v>
      </c>
      <c r="B272" s="10" t="s">
        <v>32</v>
      </c>
      <c r="C272" s="10" t="s">
        <v>5</v>
      </c>
      <c r="D272" s="11">
        <v>45362</v>
      </c>
    </row>
    <row r="273" spans="1:4" ht="19">
      <c r="A273" s="10" t="s">
        <v>285</v>
      </c>
      <c r="B273" s="10" t="s">
        <v>4</v>
      </c>
      <c r="C273" s="10" t="s">
        <v>5</v>
      </c>
      <c r="D273" s="11">
        <v>45590</v>
      </c>
    </row>
    <row r="274" spans="1:4" ht="19">
      <c r="A274" s="10" t="s">
        <v>286</v>
      </c>
      <c r="B274" s="10" t="s">
        <v>11</v>
      </c>
      <c r="C274" s="10" t="s">
        <v>5</v>
      </c>
      <c r="D274" s="11">
        <v>45773</v>
      </c>
    </row>
    <row r="275" spans="1:4" ht="19">
      <c r="A275" s="10" t="s">
        <v>287</v>
      </c>
      <c r="B275" s="10" t="s">
        <v>4</v>
      </c>
      <c r="C275" s="10" t="s">
        <v>9</v>
      </c>
      <c r="D275" s="11">
        <v>45096</v>
      </c>
    </row>
    <row r="276" spans="1:4" ht="19">
      <c r="A276" s="10" t="s">
        <v>288</v>
      </c>
      <c r="B276" s="10" t="s">
        <v>4</v>
      </c>
      <c r="C276" s="10" t="s">
        <v>5</v>
      </c>
      <c r="D276" s="11">
        <v>45376</v>
      </c>
    </row>
    <row r="277" spans="1:4" ht="19">
      <c r="A277" s="10" t="s">
        <v>289</v>
      </c>
      <c r="B277" s="10" t="s">
        <v>4</v>
      </c>
      <c r="C277" s="10" t="s">
        <v>5</v>
      </c>
      <c r="D277" s="11">
        <v>45643</v>
      </c>
    </row>
    <row r="278" spans="1:4" ht="19">
      <c r="A278" s="10" t="s">
        <v>290</v>
      </c>
      <c r="B278" s="10" t="s">
        <v>24</v>
      </c>
      <c r="C278" s="10" t="s">
        <v>5</v>
      </c>
      <c r="D278" s="11">
        <v>45439</v>
      </c>
    </row>
    <row r="279" spans="1:4" ht="19">
      <c r="A279" s="10" t="s">
        <v>291</v>
      </c>
      <c r="B279" s="10" t="s">
        <v>14</v>
      </c>
      <c r="C279" s="10" t="s">
        <v>5</v>
      </c>
      <c r="D279" s="11">
        <v>45009</v>
      </c>
    </row>
    <row r="280" spans="1:4" ht="19">
      <c r="A280" s="10" t="s">
        <v>292</v>
      </c>
      <c r="B280" s="10" t="s">
        <v>4</v>
      </c>
      <c r="C280" s="10" t="s">
        <v>5</v>
      </c>
      <c r="D280" s="11">
        <v>45679</v>
      </c>
    </row>
    <row r="281" spans="1:4" ht="19">
      <c r="A281" s="10" t="s">
        <v>293</v>
      </c>
      <c r="B281" s="10" t="s">
        <v>11</v>
      </c>
      <c r="C281" s="10" t="s">
        <v>5</v>
      </c>
      <c r="D281" s="11">
        <v>44953</v>
      </c>
    </row>
    <row r="282" spans="1:4" ht="19">
      <c r="A282" s="10" t="s">
        <v>294</v>
      </c>
      <c r="B282" s="10" t="s">
        <v>4</v>
      </c>
      <c r="C282" s="10" t="s">
        <v>9</v>
      </c>
      <c r="D282" s="11">
        <v>45710</v>
      </c>
    </row>
    <row r="283" spans="1:4" ht="19">
      <c r="A283" s="10" t="s">
        <v>295</v>
      </c>
      <c r="B283" s="10" t="s">
        <v>17</v>
      </c>
      <c r="C283" s="10" t="s">
        <v>5</v>
      </c>
      <c r="D283" s="11">
        <v>45517</v>
      </c>
    </row>
    <row r="284" spans="1:4" ht="19">
      <c r="A284" s="10" t="s">
        <v>296</v>
      </c>
      <c r="B284" s="10" t="s">
        <v>24</v>
      </c>
      <c r="C284" s="10" t="s">
        <v>5</v>
      </c>
      <c r="D284" s="11">
        <v>45408</v>
      </c>
    </row>
    <row r="285" spans="1:4" ht="19">
      <c r="A285" s="10" t="s">
        <v>297</v>
      </c>
      <c r="B285" s="10" t="s">
        <v>14</v>
      </c>
      <c r="C285" s="10" t="s">
        <v>5</v>
      </c>
      <c r="D285" s="11">
        <v>45211</v>
      </c>
    </row>
    <row r="286" spans="1:4" ht="19">
      <c r="A286" s="10" t="s">
        <v>298</v>
      </c>
      <c r="B286" s="10" t="s">
        <v>7</v>
      </c>
      <c r="C286" s="10" t="s">
        <v>9</v>
      </c>
      <c r="D286" s="11">
        <v>45577</v>
      </c>
    </row>
    <row r="287" spans="1:4" ht="19">
      <c r="A287" s="10" t="s">
        <v>299</v>
      </c>
      <c r="B287" s="10" t="s">
        <v>20</v>
      </c>
      <c r="C287" s="10" t="s">
        <v>5</v>
      </c>
      <c r="D287" s="11">
        <v>45408</v>
      </c>
    </row>
    <row r="288" spans="1:4" ht="19">
      <c r="A288" s="10" t="s">
        <v>300</v>
      </c>
      <c r="B288" s="10" t="s">
        <v>17</v>
      </c>
      <c r="C288" s="10" t="s">
        <v>9</v>
      </c>
      <c r="D288" s="11">
        <v>45255</v>
      </c>
    </row>
    <row r="289" spans="1:4" ht="19">
      <c r="A289" s="10" t="s">
        <v>301</v>
      </c>
      <c r="B289" s="10" t="s">
        <v>24</v>
      </c>
      <c r="C289" s="10" t="s">
        <v>5</v>
      </c>
      <c r="D289" s="11">
        <v>45264</v>
      </c>
    </row>
    <row r="290" spans="1:4" ht="19">
      <c r="A290" s="10" t="s">
        <v>302</v>
      </c>
      <c r="B290" s="10" t="s">
        <v>14</v>
      </c>
      <c r="C290" s="10" t="s">
        <v>9</v>
      </c>
      <c r="D290" s="11">
        <v>45222</v>
      </c>
    </row>
    <row r="291" spans="1:4" ht="19">
      <c r="A291" s="10" t="s">
        <v>303</v>
      </c>
      <c r="B291" s="10" t="s">
        <v>11</v>
      </c>
      <c r="C291" s="10" t="s">
        <v>9</v>
      </c>
      <c r="D291" s="11">
        <v>45760</v>
      </c>
    </row>
    <row r="292" spans="1:4" ht="19">
      <c r="A292" s="10" t="s">
        <v>304</v>
      </c>
      <c r="B292" s="10" t="s">
        <v>4</v>
      </c>
      <c r="C292" s="10" t="s">
        <v>5</v>
      </c>
      <c r="D292" s="11">
        <v>45392</v>
      </c>
    </row>
    <row r="293" spans="1:4" ht="19">
      <c r="A293" s="10" t="s">
        <v>305</v>
      </c>
      <c r="B293" s="10" t="s">
        <v>14</v>
      </c>
      <c r="C293" s="10" t="s">
        <v>5</v>
      </c>
      <c r="D293" s="11">
        <v>45258</v>
      </c>
    </row>
    <row r="294" spans="1:4" ht="19">
      <c r="A294" s="10" t="s">
        <v>306</v>
      </c>
      <c r="B294" s="10" t="s">
        <v>11</v>
      </c>
      <c r="C294" s="10" t="s">
        <v>5</v>
      </c>
      <c r="D294" s="11">
        <v>45812</v>
      </c>
    </row>
    <row r="295" spans="1:4" ht="19">
      <c r="A295" s="10" t="s">
        <v>307</v>
      </c>
      <c r="B295" s="10" t="s">
        <v>24</v>
      </c>
      <c r="C295" s="10" t="s">
        <v>9</v>
      </c>
      <c r="D295" s="11">
        <v>45600</v>
      </c>
    </row>
    <row r="296" spans="1:4" ht="19">
      <c r="A296" s="10" t="s">
        <v>308</v>
      </c>
      <c r="B296" s="10" t="s">
        <v>20</v>
      </c>
      <c r="C296" s="10" t="s">
        <v>5</v>
      </c>
      <c r="D296" s="11">
        <v>45350</v>
      </c>
    </row>
    <row r="297" spans="1:4" ht="19">
      <c r="A297" s="10" t="s">
        <v>309</v>
      </c>
      <c r="B297" s="10" t="s">
        <v>24</v>
      </c>
      <c r="C297" s="10" t="s">
        <v>9</v>
      </c>
      <c r="D297" s="11">
        <v>45564</v>
      </c>
    </row>
    <row r="298" spans="1:4" ht="19">
      <c r="A298" s="10" t="s">
        <v>310</v>
      </c>
      <c r="B298" s="10" t="s">
        <v>4</v>
      </c>
      <c r="C298" s="10" t="s">
        <v>5</v>
      </c>
      <c r="D298" s="11">
        <v>45705</v>
      </c>
    </row>
    <row r="299" spans="1:4" ht="19">
      <c r="A299" s="10" t="s">
        <v>311</v>
      </c>
      <c r="B299" s="10" t="s">
        <v>4</v>
      </c>
      <c r="C299" s="10" t="s">
        <v>5</v>
      </c>
      <c r="D299" s="11">
        <v>45489</v>
      </c>
    </row>
    <row r="300" spans="1:4" ht="19">
      <c r="A300" s="10" t="s">
        <v>312</v>
      </c>
      <c r="B300" s="10" t="s">
        <v>24</v>
      </c>
      <c r="C300" s="10" t="s">
        <v>9</v>
      </c>
      <c r="D300" s="11">
        <v>45375</v>
      </c>
    </row>
    <row r="301" spans="1:4" ht="19">
      <c r="A301" s="10" t="s">
        <v>313</v>
      </c>
      <c r="B301" s="10" t="s">
        <v>32</v>
      </c>
      <c r="C301" s="10" t="s">
        <v>5</v>
      </c>
      <c r="D301" s="11">
        <v>45051</v>
      </c>
    </row>
  </sheetData>
  <pageMargins left="0.75" right="0.75" top="1" bottom="1" header="0.5" footer="0.5"/>
  <pageSetup paperSize="9" orientation="portrait" horizontalDpi="0" verticalDpi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"/>
  <sheetViews>
    <sheetView workbookViewId="0">
      <selection activeCell="D2" sqref="D2:D5"/>
    </sheetView>
  </sheetViews>
  <sheetFormatPr baseColWidth="10" defaultColWidth="8.83203125" defaultRowHeight="15"/>
  <cols>
    <col min="2" max="2" width="12.6640625" style="13" bestFit="1" customWidth="1"/>
    <col min="3" max="3" width="12.33203125" style="12" bestFit="1" customWidth="1"/>
    <col min="4" max="4" width="15.1640625" style="13" bestFit="1" customWidth="1"/>
  </cols>
  <sheetData>
    <row r="1" spans="1:4">
      <c r="A1" t="s">
        <v>3621</v>
      </c>
      <c r="B1" s="13" t="s">
        <v>3622</v>
      </c>
      <c r="C1" s="12" t="s">
        <v>3623</v>
      </c>
      <c r="D1" s="13" t="s">
        <v>3624</v>
      </c>
    </row>
    <row r="2" spans="1:4">
      <c r="A2" t="s">
        <v>3625</v>
      </c>
      <c r="B2" s="13">
        <v>260</v>
      </c>
      <c r="C2" s="12">
        <v>45000000</v>
      </c>
      <c r="D2" s="13">
        <v>90</v>
      </c>
    </row>
    <row r="3" spans="1:4">
      <c r="A3" t="s">
        <v>3626</v>
      </c>
      <c r="B3" s="13">
        <v>270</v>
      </c>
      <c r="C3" s="12">
        <v>47000000</v>
      </c>
      <c r="D3" s="13">
        <v>95</v>
      </c>
    </row>
    <row r="4" spans="1:4">
      <c r="A4" t="s">
        <v>3627</v>
      </c>
      <c r="B4" s="13">
        <v>280</v>
      </c>
      <c r="C4" s="12">
        <v>49000000</v>
      </c>
      <c r="D4" s="13">
        <v>100</v>
      </c>
    </row>
    <row r="5" spans="1:4">
      <c r="A5" t="s">
        <v>3628</v>
      </c>
      <c r="B5" s="13">
        <v>290</v>
      </c>
      <c r="C5" s="12">
        <v>51000000</v>
      </c>
      <c r="D5" s="13">
        <v>105</v>
      </c>
    </row>
    <row r="6" spans="1:4">
      <c r="B6" s="13">
        <f>SUM(B2:B5)</f>
        <v>1100</v>
      </c>
      <c r="C6" s="13">
        <f t="shared" ref="C6:D6" si="0">SUM(C2:C5)</f>
        <v>192000000</v>
      </c>
      <c r="D6" s="13">
        <f t="shared" si="0"/>
        <v>390</v>
      </c>
    </row>
  </sheetData>
  <pageMargins left="0.75" right="0.75" top="1" bottom="1" header="0.5" footer="0.5"/>
  <pageSetup paperSize="9"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4E1D8E2-7D7B-B648-8AC5-A805528576B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 CRM Royalty Program</vt:lpstr>
      <vt:lpstr>Analisa</vt:lpstr>
      <vt:lpstr>Transaksi</vt:lpstr>
      <vt:lpstr>Redemption</vt:lpstr>
      <vt:lpstr>Reward_Inventory</vt:lpstr>
      <vt:lpstr>Merchant_Partners</vt:lpstr>
      <vt:lpstr>power-query</vt:lpstr>
      <vt:lpstr>Members</vt:lpstr>
      <vt:lpstr>Target_Program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laela mulyana</cp:lastModifiedBy>
  <dcterms:created xsi:type="dcterms:W3CDTF">2026-09-29T03:11:49Z</dcterms:created>
  <dcterms:modified xsi:type="dcterms:W3CDTF">2026-09-30T09:05:21Z</dcterms:modified>
</cp:coreProperties>
</file>